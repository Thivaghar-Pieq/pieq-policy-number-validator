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5-05-25\"/>
    </mc:Choice>
  </mc:AlternateContent>
  <xr:revisionPtr revIDLastSave="0" documentId="13_ncr:1_{13428D4C-B382-4159-88ED-46B767062398}" xr6:coauthVersionLast="47" xr6:coauthVersionMax="47" xr10:uidLastSave="{00000000-0000-0000-0000-000000000000}"/>
  <bookViews>
    <workbookView xWindow="-120" yWindow="-120" windowWidth="29040" windowHeight="16440" activeTab="1" xr2:uid="{02B97921-20A4-4A1E-971D-0B0927D13B07}"/>
  </bookViews>
  <sheets>
    <sheet name="649163__Newbusiness_NEW_BUSINE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M10" i="2" l="1"/>
  <c r="M11" i="2"/>
  <c r="M12" i="2"/>
  <c r="M13" i="2"/>
  <c r="M6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8" i="2"/>
  <c r="M9" i="2"/>
  <c r="M5" i="2"/>
  <c r="M7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2" i="2"/>
  <c r="M3" i="2"/>
  <c r="M4" i="2"/>
  <c r="M64" i="2"/>
  <c r="M65" i="2"/>
  <c r="M66" i="2"/>
  <c r="M67" i="2"/>
  <c r="M68" i="2"/>
  <c r="M63" i="2"/>
</calcChain>
</file>

<file path=xl/sharedStrings.xml><?xml version="1.0" encoding="utf-8"?>
<sst xmlns="http://schemas.openxmlformats.org/spreadsheetml/2006/main" count="2379" uniqueCount="268">
  <si>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</si>
  <si>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</si>
  <si>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</si>
  <si>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</si>
  <si>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</si>
  <si>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</si>
  <si>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</si>
  <si>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</si>
  <si>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</si>
  <si>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</si>
  <si>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</si>
  <si>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</si>
  <si>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</si>
  <si>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</si>
  <si>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</si>
  <si>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</si>
  <si>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</si>
  <si>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</si>
  <si>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</si>
  <si>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</si>
  <si>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</si>
  <si>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</si>
  <si>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</si>
  <si>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</si>
  <si>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</si>
  <si>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</si>
  <si>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</si>
  <si>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</si>
  <si>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</si>
  <si>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</si>
  <si>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</si>
  <si>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</si>
  <si>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</si>
  <si>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</si>
  <si>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</si>
  <si>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</si>
  <si>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</si>
  <si>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</si>
  <si>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</si>
  <si>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</si>
  <si>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</si>
  <si>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</si>
  <si>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ELIZABETH REESE</t>
  </si>
  <si>
    <t>PA</t>
  </si>
  <si>
    <t>DEBORAH INSKIPT</t>
  </si>
  <si>
    <t>Active</t>
  </si>
  <si>
    <t>NHIC Dental 2020 DVH 65+</t>
  </si>
  <si>
    <t>Monthly</t>
  </si>
  <si>
    <t>AV</t>
  </si>
  <si>
    <t>LAURA HERNANDEZ</t>
  </si>
  <si>
    <t>IL</t>
  </si>
  <si>
    <t>ESTHER HERRERA-LARSEN</t>
  </si>
  <si>
    <t>SELECT DENTAL 29304</t>
  </si>
  <si>
    <t>Plan Enhancer 20214</t>
  </si>
  <si>
    <t>LORI BRACHER</t>
  </si>
  <si>
    <t>FRANK LISKOVEC</t>
  </si>
  <si>
    <t>PATRICIA DOWLING</t>
  </si>
  <si>
    <t>WI</t>
  </si>
  <si>
    <t>CHRISTIAN TAUGNER</t>
  </si>
  <si>
    <t>NHIC MedSupp 2022 WI Plan F G N Age 65-80</t>
  </si>
  <si>
    <t>VIOLETA LUTHER</t>
  </si>
  <si>
    <t>AZ</t>
  </si>
  <si>
    <t>RYAN CALTAGIRONE</t>
  </si>
  <si>
    <t>ALAN BAIN</t>
  </si>
  <si>
    <t>DALE WALENGA</t>
  </si>
  <si>
    <t>NHIC MedSupp 2022 IL Plan N Age 65-80</t>
  </si>
  <si>
    <t>DANIEL WINGARD</t>
  </si>
  <si>
    <t>JAKE SHULMAN</t>
  </si>
  <si>
    <t>MARK KUNZ</t>
  </si>
  <si>
    <t>JACOB YALE</t>
  </si>
  <si>
    <t>ROSA SIMS</t>
  </si>
  <si>
    <t>AE</t>
  </si>
  <si>
    <t>VICTOR FUENTES</t>
  </si>
  <si>
    <t>STEVEN SUDTELGTE</t>
  </si>
  <si>
    <t>IA</t>
  </si>
  <si>
    <t>GREGORY TEIPEL</t>
  </si>
  <si>
    <t>Cancer and Heart/Stroke 20231</t>
  </si>
  <si>
    <t>CARLOTTA MAXIE</t>
  </si>
  <si>
    <t>KIMBERLY PAYNE</t>
  </si>
  <si>
    <t>IN</t>
  </si>
  <si>
    <t>GREGORY HANSFORD</t>
  </si>
  <si>
    <t>ANDRIENNE FRAZIER</t>
  </si>
  <si>
    <t>KATE WEEKS</t>
  </si>
  <si>
    <t>SETTHA LUANGKHAM</t>
  </si>
  <si>
    <t>PATSAMON THANADABOUTH</t>
  </si>
  <si>
    <t>LYNDA GRAHAM</t>
  </si>
  <si>
    <t>AR</t>
  </si>
  <si>
    <t>MATTHEW DAUGHERTY</t>
  </si>
  <si>
    <t>WILLIAM JUNGE</t>
  </si>
  <si>
    <t>HARRY PFISTER</t>
  </si>
  <si>
    <t>TX</t>
  </si>
  <si>
    <t>Critical Illness w/ Term Life 21677</t>
  </si>
  <si>
    <t>RYAN SMITH</t>
  </si>
  <si>
    <t>SC</t>
  </si>
  <si>
    <t>KAREN VOSS</t>
  </si>
  <si>
    <t>CHRISTOPHER BROUSSEAU</t>
  </si>
  <si>
    <t>EDWARD LISBERG</t>
  </si>
  <si>
    <t>ANDREW CHOI</t>
  </si>
  <si>
    <t>LINDA FRAZIER</t>
  </si>
  <si>
    <t>CASEY JORDAN</t>
  </si>
  <si>
    <t>WY</t>
  </si>
  <si>
    <t>MARK CALTAGIRONE</t>
  </si>
  <si>
    <t>BRIAN STROHMAN</t>
  </si>
  <si>
    <t>THOMAS HAPNER</t>
  </si>
  <si>
    <t>OH</t>
  </si>
  <si>
    <t>KEYARA TAYLOR</t>
  </si>
  <si>
    <t>NE</t>
  </si>
  <si>
    <t>HEIDI BERTHELSEN</t>
  </si>
  <si>
    <t>MICHELE OBRIEN</t>
  </si>
  <si>
    <t>KY</t>
  </si>
  <si>
    <t>Accident Fixed Benefit</t>
  </si>
  <si>
    <t>NHIC LM 2021 Hospital Expense Protection U65</t>
  </si>
  <si>
    <t>LIFE Association Membership - C 14956 LM</t>
  </si>
  <si>
    <t>ALEXIS OBERG</t>
  </si>
  <si>
    <t>MT</t>
  </si>
  <si>
    <t>Term Life 21673</t>
  </si>
  <si>
    <t>ANNE CARVETH</t>
  </si>
  <si>
    <t>REAHNELL CASH</t>
  </si>
  <si>
    <t>GA</t>
  </si>
  <si>
    <t>TrioMED Accident and CI 14939</t>
  </si>
  <si>
    <t>GALEN KELLY</t>
  </si>
  <si>
    <t>FL</t>
  </si>
  <si>
    <t>CAROL FOLEY</t>
  </si>
  <si>
    <t>KIMBERLY DOLMOVICH</t>
  </si>
  <si>
    <t>MARGARET SMITH</t>
  </si>
  <si>
    <t>KYLE WICKS</t>
  </si>
  <si>
    <t>MI</t>
  </si>
  <si>
    <t>BRANDON WICKS</t>
  </si>
  <si>
    <t>WILLIAM WEATHERFORD</t>
  </si>
  <si>
    <t>EMMY DAY</t>
  </si>
  <si>
    <t>AARON OWENS</t>
  </si>
  <si>
    <t>VA</t>
  </si>
  <si>
    <t>BRITT MOORE</t>
  </si>
  <si>
    <t>BARRY SCHUMANN</t>
  </si>
  <si>
    <t>KHALIL EDWARDS</t>
  </si>
  <si>
    <t>ANNE MARIE KOZACHECK</t>
  </si>
  <si>
    <t>EDWARD PETERSEN</t>
  </si>
  <si>
    <t>MATTHEW LOPEZ</t>
  </si>
  <si>
    <t>MD</t>
  </si>
  <si>
    <t>RONALD MAX</t>
  </si>
  <si>
    <t>My LIFE Wellness 21038</t>
  </si>
  <si>
    <t>JONATHAN LIGHTFOOT</t>
  </si>
  <si>
    <t>PENNY SAUNDERS</t>
  </si>
  <si>
    <t>ERIC KATCHMAR</t>
  </si>
  <si>
    <t>ANTHONY REGULUS</t>
  </si>
  <si>
    <t>CA</t>
  </si>
  <si>
    <t>ADAM RICHTER</t>
  </si>
  <si>
    <t>JAVIER PANDO</t>
  </si>
  <si>
    <t>SAADIA ABDUL</t>
  </si>
  <si>
    <t>COURTNEY YOUNG</t>
  </si>
  <si>
    <t>KIRK TIGUE</t>
  </si>
  <si>
    <t>COLLEEN SCHULZE</t>
  </si>
  <si>
    <t>LORI TUNSTALL</t>
  </si>
  <si>
    <t>NHIC MedSupp 2022 Plan F G Age 65-80</t>
  </si>
  <si>
    <t>LEE DORITY</t>
  </si>
  <si>
    <t>MO</t>
  </si>
  <si>
    <t>WILLIAM BORTKO</t>
  </si>
  <si>
    <t>RONDA MCGUIRE</t>
  </si>
  <si>
    <t>LEE PETERS</t>
  </si>
  <si>
    <t>RICARDO SANTOS</t>
  </si>
  <si>
    <t>LANCE HARRIS</t>
  </si>
  <si>
    <t>UT</t>
  </si>
  <si>
    <t>DELIA DIAZ</t>
  </si>
  <si>
    <t>Allstate Health Access</t>
  </si>
  <si>
    <t>CYNTHIA JOHNSON</t>
  </si>
  <si>
    <t>JOSEPH MITCHELL</t>
  </si>
  <si>
    <t>KATHLEEN DUNN</t>
  </si>
  <si>
    <t>SHAUN TARPLEY</t>
  </si>
  <si>
    <t>RICHARD YALE</t>
  </si>
  <si>
    <t>TRASIE FAIR</t>
  </si>
  <si>
    <t>TOM SERIO</t>
  </si>
  <si>
    <t>TERRY COCKRELL</t>
  </si>
  <si>
    <t>MS</t>
  </si>
  <si>
    <t>THOMAS PARDUE</t>
  </si>
  <si>
    <t>STEVEN SMITH</t>
  </si>
  <si>
    <t>CHRIS E</t>
  </si>
  <si>
    <t>Dental Indemnity 21618</t>
  </si>
  <si>
    <t>LISA APRECIADO</t>
  </si>
  <si>
    <t>JOHN JAMES</t>
  </si>
  <si>
    <t>OK</t>
  </si>
  <si>
    <t>CHADWICK KELLY</t>
  </si>
  <si>
    <t>LUIS ALMAZO</t>
  </si>
  <si>
    <t>JAIME POSITANO</t>
  </si>
  <si>
    <t>RICHARD ZAPP</t>
  </si>
  <si>
    <t>TIMOTHY POWERS</t>
  </si>
  <si>
    <t>ROUSSELINE ROBILLARD</t>
  </si>
  <si>
    <t>GARY PORTUGAL</t>
  </si>
  <si>
    <t>MARCELLA STERLING</t>
  </si>
  <si>
    <t>NHIC MedSupp 2022 Plan N Age 65-80</t>
  </si>
  <si>
    <t>LATRICE TUBBS</t>
  </si>
  <si>
    <t>GRETCHEN HALL</t>
  </si>
  <si>
    <t>ROSE GAYNOR</t>
  </si>
  <si>
    <t>RYAN WAGNER</t>
  </si>
  <si>
    <t>STEPHANIE DRAPAC</t>
  </si>
  <si>
    <t>NHIC STM PPO All Other States</t>
  </si>
  <si>
    <t>AV1</t>
  </si>
  <si>
    <t>LIFE Association Membership - C 14956 PPO</t>
  </si>
  <si>
    <t>SCOTT HALL</t>
  </si>
  <si>
    <t>NHIC MedSupp 2022 IL Plan F G Age 65-80</t>
  </si>
  <si>
    <t>MANSOUR MANSOUR</t>
  </si>
  <si>
    <t>HEATHER GESKE</t>
  </si>
  <si>
    <t>CO</t>
  </si>
  <si>
    <t>HEATHER MILLER</t>
  </si>
  <si>
    <t>JOANNE HAUPT</t>
  </si>
  <si>
    <t>JESSICA FRANKS</t>
  </si>
  <si>
    <t>CINDY BERLACHER</t>
  </si>
  <si>
    <t>JOHN ROKEN</t>
  </si>
  <si>
    <t>Allstate Health Access (GI)</t>
  </si>
  <si>
    <t>Allstate Recuro RX Discount Card</t>
  </si>
  <si>
    <t>BRIAN PIAZZA</t>
  </si>
  <si>
    <t>PHYLLIS INGRAM</t>
  </si>
  <si>
    <t>CHAD BENDER</t>
  </si>
  <si>
    <t>LINDA MUEHLFELDER</t>
  </si>
  <si>
    <t>ALIYZA AMANULLAH</t>
  </si>
  <si>
    <t>COLLEEN FINNIGAN</t>
  </si>
  <si>
    <t>GABRIELLA MILLER</t>
  </si>
  <si>
    <t>ARLINGA JACKSON</t>
  </si>
  <si>
    <t>CARSON GREEN</t>
  </si>
  <si>
    <t>KS</t>
  </si>
  <si>
    <t>NHIC STM 2022 KS Single Term</t>
  </si>
  <si>
    <t>AV3</t>
  </si>
  <si>
    <t>GINA PISANO</t>
  </si>
  <si>
    <t>JAMES ALLEN</t>
  </si>
  <si>
    <t>CODY GALLOWAY</t>
  </si>
  <si>
    <t>CARALIN FOHL</t>
  </si>
  <si>
    <t>BUYANNEMEKH BUYANTOGTOKH</t>
  </si>
  <si>
    <t>NASANDELGER ZANA</t>
  </si>
  <si>
    <t>SUSHILABEN PATEL</t>
  </si>
  <si>
    <t>NHIC Life 2023 Level - 5029 Final Expense</t>
  </si>
  <si>
    <t>NIKITA PRICE</t>
  </si>
  <si>
    <t>GREGORY SEAMAN</t>
  </si>
  <si>
    <t>LESA MCCORMICK</t>
  </si>
  <si>
    <t>BATBOLD BAYASGALAN</t>
  </si>
  <si>
    <t>7470776AV6</t>
  </si>
  <si>
    <t>19586992AV6</t>
  </si>
  <si>
    <t>21104854AV6</t>
  </si>
  <si>
    <t>19681796AV6</t>
  </si>
  <si>
    <t>8325282AV6</t>
  </si>
  <si>
    <t>8814784AV6</t>
  </si>
  <si>
    <t>17094718AV6</t>
  </si>
  <si>
    <t>16865615AV6</t>
  </si>
  <si>
    <t>18201929AV6</t>
  </si>
  <si>
    <t>17143996AV6</t>
  </si>
  <si>
    <t>21421111AV6</t>
  </si>
  <si>
    <t>20220688AV6</t>
  </si>
  <si>
    <t>8405446AV6</t>
  </si>
  <si>
    <t>19200754AV6</t>
  </si>
  <si>
    <t>16633294AV6</t>
  </si>
  <si>
    <t>371819AV6</t>
  </si>
  <si>
    <t>21283956AV6</t>
  </si>
  <si>
    <t>Allstate STM and Association (where applicable) UT, VA</t>
  </si>
  <si>
    <t>Allstate NHIC MedSupp 2022 IN Plan F G N Age 65-80</t>
  </si>
  <si>
    <t>Allstate NHIC MedSupp 2022 Plan F G Age 65-80</t>
  </si>
  <si>
    <t>Allstate NHIC MedSupp 2022 Plan N Age 65-80</t>
  </si>
  <si>
    <t>Allstate NHIC STM PPO All Other States</t>
  </si>
  <si>
    <t>Allstate Life Association C</t>
  </si>
  <si>
    <t>Allstate SELECT DENTAL 29304</t>
  </si>
  <si>
    <t>Allstate NHIC LM 2021 Hospital Expense Protection U65</t>
  </si>
  <si>
    <t>Allstate NHIC Dental 2020 DVH 65+</t>
  </si>
  <si>
    <t>Allstate Dental Indemnity 21618</t>
  </si>
  <si>
    <t>Allstate Plan Enhancer 20214</t>
  </si>
  <si>
    <t>Allstate Cancer and Heart-Stroke 20231</t>
  </si>
  <si>
    <t>Allstate Critical Illness with Term Life 21677</t>
  </si>
  <si>
    <t>Allstate Term Life 21673</t>
  </si>
  <si>
    <t>19617796AV6</t>
  </si>
  <si>
    <t>17301495AV6</t>
  </si>
  <si>
    <t>20490188AV6</t>
  </si>
  <si>
    <t>17126004AV6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</si>
</sst>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18" fillId="0" borderId="0" xfId="0" applyFont="1"/>
    <xf numFmtId="14" fontId="18" fillId="0" borderId="0" xfId="0" applyNumberFormat="1" applyFont="1"/>
    <xf numFmtId="8" fontId="18" fillId="0" borderId="0" xfId="0" applyNumberFormat="1" applyFont="1"/>
    <xf numFmtId="1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9DD3-4A94-4468-96A0-C34378DAE44F}">
  <dimension ref="A1:AL164"/>
  <sheetViews>
    <sheetView topLeftCell="A70" workbookViewId="0">
      <selection activeCell="I97" sqref="I97"/>
    </sheetView>
  </sheetViews>
  <sheetFormatPr defaultRowHeight="15" x14ac:dyDescent="0.25"/>
  <cols>
    <col min="9" max="9" width="14.140625" bestFit="1" customWidth="1"/>
    <col min="16" max="16" width="27.28515625" bestFit="1" customWidth="1"/>
    <col min="19" max="19" width="10.140625" bestFit="1" customWidth="1"/>
    <col min="25" max="25" width="18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45786</v>
      </c>
      <c r="B2" s="1">
        <v>45782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2028421977</v>
      </c>
      <c r="J2" t="s">
        <v>96</v>
      </c>
      <c r="M2" t="s">
        <v>50</v>
      </c>
      <c r="O2">
        <v>824062</v>
      </c>
      <c r="P2" t="s">
        <v>97</v>
      </c>
      <c r="Q2" t="s">
        <v>45</v>
      </c>
      <c r="R2" t="s">
        <v>46</v>
      </c>
      <c r="S2" s="1">
        <v>45778</v>
      </c>
      <c r="U2" t="s">
        <v>47</v>
      </c>
      <c r="X2" t="s">
        <v>48</v>
      </c>
      <c r="Y2" s="2">
        <v>73.39</v>
      </c>
      <c r="Z2" s="2">
        <v>73.39</v>
      </c>
      <c r="AA2">
        <v>0</v>
      </c>
      <c r="AB2" s="3">
        <v>0.47</v>
      </c>
      <c r="AC2" s="2">
        <v>0</v>
      </c>
      <c r="AD2" s="3">
        <v>0</v>
      </c>
      <c r="AE2" s="2">
        <v>0</v>
      </c>
      <c r="AF2" s="2">
        <v>0</v>
      </c>
      <c r="AK2" s="4">
        <v>18711940</v>
      </c>
    </row>
    <row r="3" spans="1:38" x14ac:dyDescent="0.25">
      <c r="A3" s="1">
        <v>45786</v>
      </c>
      <c r="B3" s="1">
        <v>45782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2028695300</v>
      </c>
      <c r="J3" t="s">
        <v>212</v>
      </c>
      <c r="M3" t="s">
        <v>50</v>
      </c>
      <c r="O3">
        <v>824062</v>
      </c>
      <c r="P3" t="s">
        <v>97</v>
      </c>
      <c r="Q3" t="s">
        <v>45</v>
      </c>
      <c r="R3" t="s">
        <v>52</v>
      </c>
      <c r="S3" s="1">
        <v>45809</v>
      </c>
      <c r="U3" t="s">
        <v>47</v>
      </c>
      <c r="X3" t="s">
        <v>48</v>
      </c>
      <c r="Y3" s="2">
        <v>67.19</v>
      </c>
      <c r="Z3" s="2">
        <v>67.19</v>
      </c>
      <c r="AA3">
        <v>0</v>
      </c>
      <c r="AB3" s="3">
        <v>0.375</v>
      </c>
      <c r="AC3" s="2">
        <v>0</v>
      </c>
      <c r="AD3" s="3">
        <v>0</v>
      </c>
      <c r="AE3" s="2">
        <v>0</v>
      </c>
      <c r="AF3" s="2">
        <v>0</v>
      </c>
      <c r="AK3" s="4">
        <v>18713180</v>
      </c>
    </row>
    <row r="4" spans="1:38" x14ac:dyDescent="0.25">
      <c r="A4" s="1">
        <v>45786</v>
      </c>
      <c r="B4" s="1">
        <v>45782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2028695301</v>
      </c>
      <c r="J4" t="s">
        <v>212</v>
      </c>
      <c r="M4" t="s">
        <v>50</v>
      </c>
      <c r="O4">
        <v>824062</v>
      </c>
      <c r="P4" t="s">
        <v>97</v>
      </c>
      <c r="Q4" t="s">
        <v>45</v>
      </c>
      <c r="R4" t="s">
        <v>53</v>
      </c>
      <c r="S4" s="1">
        <v>45809</v>
      </c>
      <c r="U4" t="s">
        <v>47</v>
      </c>
      <c r="X4" t="s">
        <v>48</v>
      </c>
      <c r="Y4" s="2">
        <v>61.08</v>
      </c>
      <c r="Z4" s="2">
        <v>61.08</v>
      </c>
      <c r="AA4">
        <v>0</v>
      </c>
      <c r="AB4" s="3">
        <v>0.7</v>
      </c>
      <c r="AC4" s="2">
        <v>0</v>
      </c>
      <c r="AD4" s="3">
        <v>0</v>
      </c>
      <c r="AE4" s="2">
        <v>0</v>
      </c>
      <c r="AF4" s="2">
        <v>0</v>
      </c>
      <c r="AK4" s="4">
        <v>18678120</v>
      </c>
    </row>
    <row r="5" spans="1:38" x14ac:dyDescent="0.25">
      <c r="A5" s="1">
        <v>45786</v>
      </c>
      <c r="B5" s="1">
        <v>45782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2028582349</v>
      </c>
      <c r="J5" t="s">
        <v>132</v>
      </c>
      <c r="M5" t="s">
        <v>50</v>
      </c>
      <c r="O5">
        <v>821015</v>
      </c>
      <c r="P5" t="s">
        <v>133</v>
      </c>
      <c r="Q5" t="s">
        <v>45</v>
      </c>
      <c r="R5" t="s">
        <v>53</v>
      </c>
      <c r="S5" s="1">
        <v>45784</v>
      </c>
      <c r="U5" t="s">
        <v>47</v>
      </c>
      <c r="X5" t="s">
        <v>48</v>
      </c>
      <c r="Y5" s="2">
        <v>77.52</v>
      </c>
      <c r="Z5" s="2">
        <v>77.52</v>
      </c>
      <c r="AA5">
        <v>0</v>
      </c>
      <c r="AB5" s="3">
        <v>0.7</v>
      </c>
      <c r="AC5" s="2">
        <v>0</v>
      </c>
      <c r="AD5" s="3">
        <v>0</v>
      </c>
      <c r="AE5" s="2">
        <v>0</v>
      </c>
      <c r="AF5" s="2">
        <v>0</v>
      </c>
      <c r="AK5" s="4">
        <v>18677340</v>
      </c>
    </row>
    <row r="6" spans="1:38" x14ac:dyDescent="0.25">
      <c r="A6" s="1">
        <v>45786</v>
      </c>
      <c r="B6" s="1">
        <v>45782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2028662839</v>
      </c>
      <c r="J6" t="s">
        <v>175</v>
      </c>
      <c r="M6" t="s">
        <v>50</v>
      </c>
      <c r="O6">
        <v>821015</v>
      </c>
      <c r="P6" t="s">
        <v>133</v>
      </c>
      <c r="Q6" t="s">
        <v>45</v>
      </c>
      <c r="R6" t="s">
        <v>176</v>
      </c>
      <c r="S6" s="1">
        <v>45778</v>
      </c>
      <c r="U6" t="s">
        <v>47</v>
      </c>
      <c r="X6" t="s">
        <v>48</v>
      </c>
      <c r="Y6" s="2">
        <v>136.36000000000001</v>
      </c>
      <c r="Z6" s="2">
        <v>136.36000000000001</v>
      </c>
      <c r="AA6">
        <v>0</v>
      </c>
      <c r="AB6" s="3">
        <v>0.42</v>
      </c>
      <c r="AC6" s="2">
        <v>0</v>
      </c>
      <c r="AD6" s="3">
        <v>0</v>
      </c>
      <c r="AE6" s="2">
        <v>0</v>
      </c>
      <c r="AF6" s="2">
        <v>0</v>
      </c>
      <c r="AK6" s="4">
        <v>18712720</v>
      </c>
    </row>
    <row r="7" spans="1:38" x14ac:dyDescent="0.25">
      <c r="A7" s="1">
        <v>45786</v>
      </c>
      <c r="B7" s="1">
        <v>45782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2028662840</v>
      </c>
      <c r="J7" t="s">
        <v>175</v>
      </c>
      <c r="M7" t="s">
        <v>50</v>
      </c>
      <c r="O7">
        <v>821015</v>
      </c>
      <c r="P7" t="s">
        <v>133</v>
      </c>
      <c r="Q7" t="s">
        <v>45</v>
      </c>
      <c r="R7" t="s">
        <v>53</v>
      </c>
      <c r="S7" s="1">
        <v>45778</v>
      </c>
      <c r="U7" t="s">
        <v>47</v>
      </c>
      <c r="X7" t="s">
        <v>48</v>
      </c>
      <c r="Y7" s="2">
        <v>119.06</v>
      </c>
      <c r="Z7" s="2">
        <v>119.06</v>
      </c>
      <c r="AA7">
        <v>0</v>
      </c>
      <c r="AB7" s="3">
        <v>0.7</v>
      </c>
      <c r="AC7" s="2">
        <v>0</v>
      </c>
      <c r="AD7" s="3">
        <v>0</v>
      </c>
      <c r="AE7" s="2">
        <v>0</v>
      </c>
      <c r="AF7" s="2">
        <v>0</v>
      </c>
      <c r="AK7" s="4">
        <v>18677700</v>
      </c>
    </row>
    <row r="8" spans="1:38" x14ac:dyDescent="0.25">
      <c r="A8" s="1">
        <v>45786</v>
      </c>
      <c r="B8" s="1">
        <v>45782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2028472708</v>
      </c>
      <c r="J8" t="s">
        <v>102</v>
      </c>
      <c r="M8" t="s">
        <v>50</v>
      </c>
      <c r="O8">
        <v>768271</v>
      </c>
      <c r="P8" t="s">
        <v>102</v>
      </c>
      <c r="Q8" t="s">
        <v>45</v>
      </c>
      <c r="R8" t="s">
        <v>53</v>
      </c>
      <c r="S8" s="1">
        <v>45778</v>
      </c>
      <c r="U8" t="s">
        <v>47</v>
      </c>
      <c r="X8" t="s">
        <v>48</v>
      </c>
      <c r="Y8" s="2">
        <v>145.41999999999999</v>
      </c>
      <c r="Z8" s="2">
        <v>145.41999999999999</v>
      </c>
      <c r="AA8">
        <v>0</v>
      </c>
      <c r="AB8" s="3">
        <v>0.7</v>
      </c>
      <c r="AC8" s="2">
        <v>0</v>
      </c>
      <c r="AD8" s="3">
        <v>0</v>
      </c>
      <c r="AE8" s="2">
        <v>0</v>
      </c>
      <c r="AF8" s="2">
        <v>0</v>
      </c>
      <c r="AK8" s="4">
        <v>18677180</v>
      </c>
    </row>
    <row r="9" spans="1:38" x14ac:dyDescent="0.25">
      <c r="A9" s="1">
        <v>45786</v>
      </c>
      <c r="B9" s="1">
        <v>45782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2028472709</v>
      </c>
      <c r="J9" t="s">
        <v>102</v>
      </c>
      <c r="M9" t="s">
        <v>50</v>
      </c>
      <c r="O9">
        <v>768271</v>
      </c>
      <c r="P9" t="s">
        <v>102</v>
      </c>
      <c r="Q9" t="s">
        <v>45</v>
      </c>
      <c r="R9" t="s">
        <v>91</v>
      </c>
      <c r="S9" s="1">
        <v>45778</v>
      </c>
      <c r="U9" t="s">
        <v>47</v>
      </c>
      <c r="X9" t="s">
        <v>48</v>
      </c>
      <c r="Y9" s="2">
        <v>114.25</v>
      </c>
      <c r="Z9" s="2">
        <v>114.25</v>
      </c>
      <c r="AA9">
        <v>0</v>
      </c>
      <c r="AB9" s="3">
        <v>0.9</v>
      </c>
      <c r="AC9" s="2">
        <v>0</v>
      </c>
      <c r="AD9" s="3">
        <v>0</v>
      </c>
      <c r="AE9" s="2">
        <v>0</v>
      </c>
      <c r="AF9" s="2">
        <v>0</v>
      </c>
      <c r="AK9" s="4">
        <v>18695080</v>
      </c>
    </row>
    <row r="10" spans="1:38" x14ac:dyDescent="0.25">
      <c r="A10" s="1">
        <v>45786</v>
      </c>
      <c r="B10" s="1">
        <v>45782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2027809824</v>
      </c>
      <c r="J10" t="s">
        <v>56</v>
      </c>
      <c r="M10" t="s">
        <v>57</v>
      </c>
      <c r="O10">
        <v>813184</v>
      </c>
      <c r="P10" t="s">
        <v>58</v>
      </c>
      <c r="Q10" t="s">
        <v>45</v>
      </c>
      <c r="R10" t="s">
        <v>59</v>
      </c>
      <c r="S10" s="1">
        <v>45778</v>
      </c>
      <c r="U10" t="s">
        <v>47</v>
      </c>
      <c r="X10" t="s">
        <v>48</v>
      </c>
      <c r="Y10" s="2">
        <v>113.73</v>
      </c>
      <c r="Z10" s="2">
        <v>113.73</v>
      </c>
      <c r="AA10">
        <v>0</v>
      </c>
      <c r="AB10" s="3">
        <v>0.25</v>
      </c>
      <c r="AC10" s="2">
        <v>0</v>
      </c>
      <c r="AD10" s="3">
        <v>0</v>
      </c>
      <c r="AE10" s="2">
        <v>0</v>
      </c>
      <c r="AF10" s="2">
        <v>0</v>
      </c>
      <c r="AK10" s="4">
        <v>18649990</v>
      </c>
    </row>
    <row r="11" spans="1:38" x14ac:dyDescent="0.25">
      <c r="A11" s="1">
        <v>45786</v>
      </c>
      <c r="B11" s="1">
        <v>45782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2028675881</v>
      </c>
      <c r="J11" t="s">
        <v>190</v>
      </c>
      <c r="M11" t="s">
        <v>50</v>
      </c>
      <c r="O11">
        <v>813184</v>
      </c>
      <c r="P11" t="s">
        <v>58</v>
      </c>
      <c r="Q11" t="s">
        <v>45</v>
      </c>
      <c r="R11" t="s">
        <v>53</v>
      </c>
      <c r="S11" s="1">
        <v>45778</v>
      </c>
      <c r="U11" t="s">
        <v>47</v>
      </c>
      <c r="X11" t="s">
        <v>48</v>
      </c>
      <c r="Y11" s="2">
        <v>115.38</v>
      </c>
      <c r="Z11" s="2">
        <v>115.38</v>
      </c>
      <c r="AA11">
        <v>0</v>
      </c>
      <c r="AB11" s="3">
        <v>0.7</v>
      </c>
      <c r="AC11" s="2">
        <v>0</v>
      </c>
      <c r="AD11" s="3">
        <v>0</v>
      </c>
      <c r="AE11" s="2">
        <v>0</v>
      </c>
      <c r="AF11" s="2">
        <v>0</v>
      </c>
      <c r="AK11" s="4">
        <v>18677910</v>
      </c>
    </row>
    <row r="12" spans="1:38" x14ac:dyDescent="0.25">
      <c r="A12" s="1">
        <v>45786</v>
      </c>
      <c r="B12" s="1">
        <v>45782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2028679376</v>
      </c>
      <c r="J12" t="s">
        <v>197</v>
      </c>
      <c r="M12" t="s">
        <v>50</v>
      </c>
      <c r="O12">
        <v>813184</v>
      </c>
      <c r="P12" t="s">
        <v>58</v>
      </c>
      <c r="Q12" t="s">
        <v>45</v>
      </c>
      <c r="R12" t="s">
        <v>198</v>
      </c>
      <c r="S12" s="1">
        <v>45778</v>
      </c>
      <c r="U12" t="s">
        <v>47</v>
      </c>
      <c r="X12" t="s">
        <v>48</v>
      </c>
      <c r="Y12" s="2">
        <v>129.44</v>
      </c>
      <c r="Z12" s="2">
        <v>129.44</v>
      </c>
      <c r="AA12">
        <v>0</v>
      </c>
      <c r="AB12" s="3">
        <v>0.26</v>
      </c>
      <c r="AC12" s="2">
        <v>0</v>
      </c>
      <c r="AD12" s="3">
        <v>0</v>
      </c>
      <c r="AE12" s="2">
        <v>0</v>
      </c>
      <c r="AF12" s="2">
        <v>0</v>
      </c>
      <c r="AK12" s="4">
        <v>18658430</v>
      </c>
    </row>
    <row r="13" spans="1:38" x14ac:dyDescent="0.25">
      <c r="A13" s="1">
        <v>45786</v>
      </c>
      <c r="B13" s="1">
        <v>45782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2028166815</v>
      </c>
      <c r="J13" t="s">
        <v>63</v>
      </c>
      <c r="M13" t="s">
        <v>50</v>
      </c>
      <c r="O13">
        <v>820873</v>
      </c>
      <c r="P13" t="s">
        <v>64</v>
      </c>
      <c r="Q13" t="s">
        <v>45</v>
      </c>
      <c r="R13" t="s">
        <v>65</v>
      </c>
      <c r="S13" s="1">
        <v>45778</v>
      </c>
      <c r="U13" t="s">
        <v>47</v>
      </c>
      <c r="X13" t="s">
        <v>48</v>
      </c>
      <c r="Y13" s="2">
        <v>106.67</v>
      </c>
      <c r="Z13" s="2">
        <v>106.67</v>
      </c>
      <c r="AA13">
        <v>0</v>
      </c>
      <c r="AB13" s="3">
        <v>0.28000000000000003</v>
      </c>
      <c r="AC13" s="2">
        <v>0</v>
      </c>
      <c r="AD13" s="3">
        <v>0</v>
      </c>
      <c r="AE13" s="2">
        <v>0</v>
      </c>
      <c r="AF13" s="2">
        <v>0</v>
      </c>
      <c r="AK13" s="4">
        <v>18651850</v>
      </c>
    </row>
    <row r="14" spans="1:38" x14ac:dyDescent="0.25">
      <c r="A14" s="1">
        <v>45786</v>
      </c>
      <c r="B14" s="1">
        <v>45782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2028649902</v>
      </c>
      <c r="J14" t="s">
        <v>162</v>
      </c>
      <c r="M14" t="s">
        <v>57</v>
      </c>
      <c r="O14">
        <v>820873</v>
      </c>
      <c r="P14" t="s">
        <v>64</v>
      </c>
      <c r="Q14" t="s">
        <v>45</v>
      </c>
      <c r="R14" t="s">
        <v>163</v>
      </c>
      <c r="S14" s="1">
        <v>45776</v>
      </c>
      <c r="U14" t="s">
        <v>47</v>
      </c>
      <c r="X14" t="s">
        <v>48</v>
      </c>
      <c r="Y14" s="2">
        <v>131.32</v>
      </c>
      <c r="Z14" s="2">
        <v>131.32</v>
      </c>
      <c r="AA14">
        <v>0</v>
      </c>
      <c r="AB14" s="3">
        <v>0.38</v>
      </c>
      <c r="AC14" s="2">
        <v>0</v>
      </c>
      <c r="AD14" s="3">
        <v>0</v>
      </c>
      <c r="AE14" s="2">
        <v>0</v>
      </c>
      <c r="AF14" s="2">
        <v>0</v>
      </c>
      <c r="AK14" s="4">
        <v>18677580</v>
      </c>
    </row>
    <row r="15" spans="1:38" x14ac:dyDescent="0.25">
      <c r="A15" s="1">
        <v>45786</v>
      </c>
      <c r="B15" s="1">
        <v>45782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2027536930</v>
      </c>
      <c r="J15" t="s">
        <v>49</v>
      </c>
      <c r="M15" t="s">
        <v>50</v>
      </c>
      <c r="O15">
        <v>764123</v>
      </c>
      <c r="P15" t="s">
        <v>51</v>
      </c>
      <c r="Q15" t="s">
        <v>45</v>
      </c>
      <c r="R15" t="s">
        <v>52</v>
      </c>
      <c r="S15" s="1">
        <v>45778</v>
      </c>
      <c r="U15" t="s">
        <v>47</v>
      </c>
      <c r="X15" t="s">
        <v>48</v>
      </c>
      <c r="Y15" s="2">
        <v>64.760000000000005</v>
      </c>
      <c r="Z15" s="2">
        <v>64.760000000000005</v>
      </c>
      <c r="AA15">
        <v>0</v>
      </c>
      <c r="AB15" s="3">
        <v>0.375</v>
      </c>
      <c r="AC15" s="2">
        <v>0</v>
      </c>
      <c r="AD15" s="3">
        <v>0</v>
      </c>
      <c r="AE15" s="2">
        <v>0</v>
      </c>
      <c r="AF15" s="2">
        <v>0</v>
      </c>
      <c r="AK15" s="4">
        <v>18710470</v>
      </c>
    </row>
    <row r="16" spans="1:38" x14ac:dyDescent="0.25">
      <c r="A16" s="1">
        <v>45786</v>
      </c>
      <c r="B16" s="1">
        <v>45782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2027536931</v>
      </c>
      <c r="J16" t="s">
        <v>49</v>
      </c>
      <c r="M16" t="s">
        <v>50</v>
      </c>
      <c r="O16">
        <v>764123</v>
      </c>
      <c r="P16" t="s">
        <v>51</v>
      </c>
      <c r="Q16" t="s">
        <v>45</v>
      </c>
      <c r="R16" t="s">
        <v>53</v>
      </c>
      <c r="S16" s="1">
        <v>45778</v>
      </c>
      <c r="U16" t="s">
        <v>47</v>
      </c>
      <c r="X16" t="s">
        <v>48</v>
      </c>
      <c r="Y16" s="2">
        <v>11.5</v>
      </c>
      <c r="Z16" s="2">
        <v>11.5</v>
      </c>
      <c r="AA16">
        <v>0</v>
      </c>
      <c r="AB16" s="3">
        <v>0.7</v>
      </c>
      <c r="AC16" s="2">
        <v>0</v>
      </c>
      <c r="AD16" s="3">
        <v>0</v>
      </c>
      <c r="AE16" s="2">
        <v>0</v>
      </c>
      <c r="AF16" s="2">
        <v>0</v>
      </c>
      <c r="AK16" s="4">
        <v>18675770</v>
      </c>
    </row>
    <row r="17" spans="1:37" x14ac:dyDescent="0.25">
      <c r="A17" s="1">
        <v>45786</v>
      </c>
      <c r="B17" s="1">
        <v>45782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2027659215</v>
      </c>
      <c r="J17" t="s">
        <v>54</v>
      </c>
      <c r="M17" t="s">
        <v>50</v>
      </c>
      <c r="O17">
        <v>814033</v>
      </c>
      <c r="P17" t="s">
        <v>55</v>
      </c>
      <c r="Q17" t="s">
        <v>45</v>
      </c>
      <c r="R17" t="s">
        <v>53</v>
      </c>
      <c r="S17" s="1">
        <v>45778</v>
      </c>
      <c r="U17" t="s">
        <v>47</v>
      </c>
      <c r="X17" t="s">
        <v>48</v>
      </c>
      <c r="Y17" s="2">
        <v>66.36</v>
      </c>
      <c r="Z17" s="2">
        <v>66.36</v>
      </c>
      <c r="AA17">
        <v>0</v>
      </c>
      <c r="AB17" s="3">
        <v>0.7</v>
      </c>
      <c r="AC17" s="2">
        <v>0</v>
      </c>
      <c r="AD17" s="3">
        <v>0</v>
      </c>
      <c r="AE17" s="2">
        <v>0</v>
      </c>
      <c r="AF17" s="2">
        <v>0</v>
      </c>
      <c r="AK17" s="4">
        <v>18676010</v>
      </c>
    </row>
    <row r="18" spans="1:37" x14ac:dyDescent="0.25">
      <c r="A18" s="1">
        <v>45786</v>
      </c>
      <c r="B18" s="1">
        <v>45782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2028321639</v>
      </c>
      <c r="J18" t="s">
        <v>78</v>
      </c>
      <c r="M18" t="s">
        <v>79</v>
      </c>
      <c r="O18">
        <v>766422</v>
      </c>
      <c r="P18" t="s">
        <v>80</v>
      </c>
      <c r="Q18" t="s">
        <v>45</v>
      </c>
      <c r="R18" t="s">
        <v>53</v>
      </c>
      <c r="S18" s="1">
        <v>45778</v>
      </c>
      <c r="U18" t="s">
        <v>47</v>
      </c>
      <c r="X18" t="s">
        <v>48</v>
      </c>
      <c r="Y18" s="2">
        <v>28.38</v>
      </c>
      <c r="Z18" s="2">
        <v>28.38</v>
      </c>
      <c r="AA18">
        <v>0</v>
      </c>
      <c r="AB18" s="3">
        <v>0.7</v>
      </c>
      <c r="AC18" s="2">
        <v>0</v>
      </c>
      <c r="AD18" s="3">
        <v>0</v>
      </c>
      <c r="AE18" s="2">
        <v>0</v>
      </c>
      <c r="AF18" s="2">
        <v>0</v>
      </c>
      <c r="AK18" s="4">
        <v>18677020</v>
      </c>
    </row>
    <row r="19" spans="1:37" x14ac:dyDescent="0.25">
      <c r="A19" s="1">
        <v>45786</v>
      </c>
      <c r="B19" s="1">
        <v>45782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2028321640</v>
      </c>
      <c r="J19" t="s">
        <v>78</v>
      </c>
      <c r="M19" t="s">
        <v>79</v>
      </c>
      <c r="O19">
        <v>766422</v>
      </c>
      <c r="P19" t="s">
        <v>80</v>
      </c>
      <c r="Q19" t="s">
        <v>45</v>
      </c>
      <c r="R19" t="s">
        <v>52</v>
      </c>
      <c r="S19" s="1">
        <v>45778</v>
      </c>
      <c r="U19" t="s">
        <v>47</v>
      </c>
      <c r="X19" t="s">
        <v>48</v>
      </c>
      <c r="Y19" s="2">
        <v>23.62</v>
      </c>
      <c r="Z19" s="2">
        <v>23.62</v>
      </c>
      <c r="AA19">
        <v>0</v>
      </c>
      <c r="AB19" s="3">
        <v>0.375</v>
      </c>
      <c r="AC19" s="2">
        <v>0</v>
      </c>
      <c r="AD19" s="3">
        <v>0</v>
      </c>
      <c r="AE19" s="2">
        <v>0</v>
      </c>
      <c r="AF19" s="2">
        <v>0</v>
      </c>
      <c r="AK19" s="4">
        <v>18711850</v>
      </c>
    </row>
    <row r="20" spans="1:37" x14ac:dyDescent="0.25">
      <c r="A20" s="1">
        <v>45786</v>
      </c>
      <c r="B20" s="1">
        <v>45782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2028685965</v>
      </c>
      <c r="J20" t="s">
        <v>200</v>
      </c>
      <c r="M20" t="s">
        <v>201</v>
      </c>
      <c r="O20">
        <v>816021</v>
      </c>
      <c r="P20" t="s">
        <v>202</v>
      </c>
      <c r="Q20" t="s">
        <v>45</v>
      </c>
      <c r="R20" t="s">
        <v>52</v>
      </c>
      <c r="S20" s="1">
        <v>45778</v>
      </c>
      <c r="U20" t="s">
        <v>47</v>
      </c>
      <c r="X20" t="s">
        <v>48</v>
      </c>
      <c r="Y20" s="2">
        <v>120.25</v>
      </c>
      <c r="Z20" s="2">
        <v>120.25</v>
      </c>
      <c r="AA20">
        <v>0</v>
      </c>
      <c r="AB20" s="3">
        <v>0.375</v>
      </c>
      <c r="AC20" s="2">
        <v>0</v>
      </c>
      <c r="AD20" s="3">
        <v>0</v>
      </c>
      <c r="AE20" s="2">
        <v>0</v>
      </c>
      <c r="AF20" s="2">
        <v>0</v>
      </c>
      <c r="AK20" s="4">
        <v>18713030</v>
      </c>
    </row>
    <row r="21" spans="1:37" x14ac:dyDescent="0.25">
      <c r="A21" s="1">
        <v>45786</v>
      </c>
      <c r="B21" s="1">
        <v>45782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2028685966</v>
      </c>
      <c r="J21" t="s">
        <v>200</v>
      </c>
      <c r="M21" t="s">
        <v>201</v>
      </c>
      <c r="O21">
        <v>816021</v>
      </c>
      <c r="P21" t="s">
        <v>202</v>
      </c>
      <c r="Q21" t="s">
        <v>45</v>
      </c>
      <c r="R21" t="s">
        <v>110</v>
      </c>
      <c r="S21" s="1">
        <v>45778</v>
      </c>
      <c r="U21" t="s">
        <v>47</v>
      </c>
      <c r="X21" t="s">
        <v>48</v>
      </c>
      <c r="Y21" s="2">
        <v>12.6</v>
      </c>
      <c r="Z21" s="2">
        <v>12.6</v>
      </c>
      <c r="AA21">
        <v>0</v>
      </c>
      <c r="AB21" s="3">
        <v>0.7</v>
      </c>
      <c r="AC21" s="2">
        <v>0</v>
      </c>
      <c r="AD21" s="3">
        <v>0</v>
      </c>
      <c r="AE21" s="2">
        <v>0</v>
      </c>
      <c r="AF21" s="2">
        <v>0</v>
      </c>
      <c r="AK21" s="4">
        <v>18661920</v>
      </c>
    </row>
    <row r="22" spans="1:37" x14ac:dyDescent="0.25">
      <c r="A22" s="1">
        <v>45786</v>
      </c>
      <c r="B22" s="1">
        <v>45782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2028697231</v>
      </c>
      <c r="J22" t="s">
        <v>215</v>
      </c>
      <c r="M22" t="s">
        <v>201</v>
      </c>
      <c r="O22">
        <v>816021</v>
      </c>
      <c r="P22" t="s">
        <v>202</v>
      </c>
      <c r="Q22" t="s">
        <v>45</v>
      </c>
      <c r="R22" t="s">
        <v>52</v>
      </c>
      <c r="S22" s="1">
        <v>45778</v>
      </c>
      <c r="U22" t="s">
        <v>47</v>
      </c>
      <c r="X22" t="s">
        <v>48</v>
      </c>
      <c r="Y22" s="2">
        <v>29.18</v>
      </c>
      <c r="Z22" s="2">
        <v>29.18</v>
      </c>
      <c r="AA22">
        <v>0</v>
      </c>
      <c r="AB22" s="3">
        <v>0.375</v>
      </c>
      <c r="AC22" s="2">
        <v>0</v>
      </c>
      <c r="AD22" s="3">
        <v>0</v>
      </c>
      <c r="AE22" s="2">
        <v>0</v>
      </c>
      <c r="AF22" s="2">
        <v>0</v>
      </c>
      <c r="AK22" s="4">
        <v>18713200</v>
      </c>
    </row>
    <row r="23" spans="1:37" x14ac:dyDescent="0.25">
      <c r="A23" s="1">
        <v>45786</v>
      </c>
      <c r="B23" s="1">
        <v>45782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2028697232</v>
      </c>
      <c r="J23" t="s">
        <v>215</v>
      </c>
      <c r="M23" t="s">
        <v>201</v>
      </c>
      <c r="O23">
        <v>816021</v>
      </c>
      <c r="P23" t="s">
        <v>202</v>
      </c>
      <c r="Q23" t="s">
        <v>45</v>
      </c>
      <c r="R23" t="s">
        <v>111</v>
      </c>
      <c r="S23" s="1">
        <v>45778</v>
      </c>
      <c r="U23" t="s">
        <v>47</v>
      </c>
      <c r="X23" t="s">
        <v>48</v>
      </c>
      <c r="Y23" s="2">
        <v>16.91</v>
      </c>
      <c r="Z23" s="2">
        <v>16.91</v>
      </c>
      <c r="AA23">
        <v>0</v>
      </c>
      <c r="AB23" s="3">
        <v>0.38</v>
      </c>
      <c r="AC23" s="2">
        <v>0</v>
      </c>
      <c r="AD23" s="3">
        <v>0</v>
      </c>
      <c r="AE23" s="2">
        <v>0</v>
      </c>
      <c r="AF23" s="2">
        <v>0</v>
      </c>
      <c r="AK23" s="4">
        <v>18715810</v>
      </c>
    </row>
    <row r="24" spans="1:37" x14ac:dyDescent="0.25">
      <c r="A24" s="1">
        <v>45786</v>
      </c>
      <c r="B24" s="1">
        <v>45782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2028697233</v>
      </c>
      <c r="J24" t="s">
        <v>215</v>
      </c>
      <c r="M24" t="s">
        <v>201</v>
      </c>
      <c r="O24">
        <v>816021</v>
      </c>
      <c r="P24" t="s">
        <v>202</v>
      </c>
      <c r="Q24" t="s">
        <v>45</v>
      </c>
      <c r="R24" t="s">
        <v>53</v>
      </c>
      <c r="S24" s="1">
        <v>45778</v>
      </c>
      <c r="U24" t="s">
        <v>47</v>
      </c>
      <c r="X24" t="s">
        <v>48</v>
      </c>
      <c r="Y24" s="2">
        <v>9.6999999999999993</v>
      </c>
      <c r="Z24" s="2">
        <v>9.6999999999999993</v>
      </c>
      <c r="AA24">
        <v>0</v>
      </c>
      <c r="AB24" s="3">
        <v>0.7</v>
      </c>
      <c r="AC24" s="2">
        <v>0</v>
      </c>
      <c r="AD24" s="3">
        <v>0</v>
      </c>
      <c r="AE24" s="2">
        <v>0</v>
      </c>
      <c r="AF24" s="2">
        <v>0</v>
      </c>
      <c r="AK24" s="4">
        <v>18678140</v>
      </c>
    </row>
    <row r="25" spans="1:37" x14ac:dyDescent="0.25">
      <c r="A25" s="1">
        <v>45786</v>
      </c>
      <c r="B25" s="1">
        <v>45782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2028697234</v>
      </c>
      <c r="J25" t="s">
        <v>215</v>
      </c>
      <c r="M25" t="s">
        <v>201</v>
      </c>
      <c r="O25">
        <v>816021</v>
      </c>
      <c r="P25" t="s">
        <v>202</v>
      </c>
      <c r="Q25" t="s">
        <v>45</v>
      </c>
      <c r="R25" t="s">
        <v>91</v>
      </c>
      <c r="S25" s="1">
        <v>45778</v>
      </c>
      <c r="U25" t="s">
        <v>47</v>
      </c>
      <c r="X25" t="s">
        <v>48</v>
      </c>
      <c r="Y25" s="2">
        <v>25</v>
      </c>
      <c r="Z25" s="2">
        <v>25</v>
      </c>
      <c r="AA25">
        <v>0</v>
      </c>
      <c r="AB25" s="3">
        <v>0.9</v>
      </c>
      <c r="AC25" s="2">
        <v>0</v>
      </c>
      <c r="AD25" s="3">
        <v>0</v>
      </c>
      <c r="AE25" s="2">
        <v>0</v>
      </c>
      <c r="AF25" s="2">
        <v>0</v>
      </c>
      <c r="AK25" s="4">
        <v>18695500</v>
      </c>
    </row>
    <row r="26" spans="1:37" x14ac:dyDescent="0.25">
      <c r="A26" s="1">
        <v>45786</v>
      </c>
      <c r="B26" s="1">
        <v>45782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2028537460</v>
      </c>
      <c r="J26" t="s">
        <v>105</v>
      </c>
      <c r="M26" t="s">
        <v>106</v>
      </c>
      <c r="O26">
        <v>862109</v>
      </c>
      <c r="P26" t="s">
        <v>107</v>
      </c>
      <c r="Q26" t="s">
        <v>45</v>
      </c>
      <c r="R26" t="s">
        <v>53</v>
      </c>
      <c r="S26" s="1">
        <v>45784</v>
      </c>
      <c r="U26" t="s">
        <v>47</v>
      </c>
      <c r="X26" t="s">
        <v>48</v>
      </c>
      <c r="Y26" s="2">
        <v>50.65</v>
      </c>
      <c r="Z26" s="2">
        <v>50.65</v>
      </c>
      <c r="AA26">
        <v>0</v>
      </c>
      <c r="AB26" s="3">
        <v>0.7</v>
      </c>
      <c r="AC26" s="2">
        <v>0</v>
      </c>
      <c r="AD26" s="3">
        <v>0</v>
      </c>
      <c r="AE26" s="2">
        <v>0</v>
      </c>
      <c r="AF26" s="2">
        <v>0</v>
      </c>
      <c r="AK26" s="4">
        <v>18677240</v>
      </c>
    </row>
    <row r="27" spans="1:37" x14ac:dyDescent="0.25">
      <c r="A27" s="1">
        <v>45786</v>
      </c>
      <c r="B27" s="1">
        <v>45782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2028707011</v>
      </c>
      <c r="J27" t="s">
        <v>217</v>
      </c>
      <c r="M27" t="s">
        <v>218</v>
      </c>
      <c r="O27">
        <v>862109</v>
      </c>
      <c r="P27" t="s">
        <v>107</v>
      </c>
      <c r="Q27" t="s">
        <v>45</v>
      </c>
      <c r="R27" t="s">
        <v>219</v>
      </c>
      <c r="S27" s="1">
        <v>45779</v>
      </c>
      <c r="U27" t="s">
        <v>47</v>
      </c>
      <c r="X27" t="s">
        <v>220</v>
      </c>
      <c r="Y27" s="2">
        <v>82.5</v>
      </c>
      <c r="Z27" s="2">
        <v>82.5</v>
      </c>
      <c r="AA27">
        <v>0</v>
      </c>
      <c r="AB27" s="3">
        <v>0.24</v>
      </c>
      <c r="AC27" s="2">
        <v>0</v>
      </c>
      <c r="AD27" s="3">
        <v>0</v>
      </c>
      <c r="AE27" s="2">
        <v>0</v>
      </c>
      <c r="AF27" s="2">
        <v>0</v>
      </c>
      <c r="AK27" s="4">
        <v>18724390</v>
      </c>
    </row>
    <row r="28" spans="1:37" x14ac:dyDescent="0.25">
      <c r="A28" s="1">
        <v>45786</v>
      </c>
      <c r="B28" s="1">
        <v>45782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2028707012</v>
      </c>
      <c r="J28" t="s">
        <v>217</v>
      </c>
      <c r="M28" t="s">
        <v>218</v>
      </c>
      <c r="O28">
        <v>862109</v>
      </c>
      <c r="P28" t="s">
        <v>107</v>
      </c>
      <c r="Q28" t="s">
        <v>45</v>
      </c>
      <c r="R28" t="s">
        <v>53</v>
      </c>
      <c r="S28" s="1">
        <v>45779</v>
      </c>
      <c r="U28" t="s">
        <v>47</v>
      </c>
      <c r="X28" t="s">
        <v>48</v>
      </c>
      <c r="Y28" s="2">
        <v>35.04</v>
      </c>
      <c r="Z28" s="2">
        <v>35.04</v>
      </c>
      <c r="AA28">
        <v>0</v>
      </c>
      <c r="AB28" s="3">
        <v>0.7</v>
      </c>
      <c r="AC28" s="2">
        <v>0</v>
      </c>
      <c r="AD28" s="3">
        <v>0</v>
      </c>
      <c r="AE28" s="2">
        <v>0</v>
      </c>
      <c r="AF28" s="2">
        <v>0</v>
      </c>
      <c r="AK28" s="4">
        <v>18678210</v>
      </c>
    </row>
    <row r="29" spans="1:37" x14ac:dyDescent="0.25">
      <c r="A29" s="1">
        <v>45786</v>
      </c>
      <c r="B29" s="1">
        <v>45782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2028707013</v>
      </c>
      <c r="J29" t="s">
        <v>217</v>
      </c>
      <c r="M29" t="s">
        <v>218</v>
      </c>
      <c r="O29">
        <v>862109</v>
      </c>
      <c r="P29" t="s">
        <v>107</v>
      </c>
      <c r="Q29" t="s">
        <v>45</v>
      </c>
      <c r="R29" t="s">
        <v>76</v>
      </c>
      <c r="S29" s="1">
        <v>45779</v>
      </c>
      <c r="U29" t="s">
        <v>47</v>
      </c>
      <c r="X29" t="s">
        <v>48</v>
      </c>
      <c r="Y29" s="2">
        <v>27.78</v>
      </c>
      <c r="Z29" s="2">
        <v>27.78</v>
      </c>
      <c r="AA29">
        <v>0</v>
      </c>
      <c r="AB29" s="3">
        <v>0.75</v>
      </c>
      <c r="AC29" s="2">
        <v>0</v>
      </c>
      <c r="AD29" s="3">
        <v>0</v>
      </c>
      <c r="AE29" s="2">
        <v>0</v>
      </c>
      <c r="AF29" s="2">
        <v>0</v>
      </c>
      <c r="AK29" s="4">
        <v>18695540</v>
      </c>
    </row>
    <row r="30" spans="1:37" x14ac:dyDescent="0.25">
      <c r="A30" s="1">
        <v>45786</v>
      </c>
      <c r="B30" s="1">
        <v>45782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2028170130</v>
      </c>
      <c r="J30" t="s">
        <v>66</v>
      </c>
      <c r="M30" t="s">
        <v>50</v>
      </c>
      <c r="O30">
        <v>856824</v>
      </c>
      <c r="P30" t="s">
        <v>67</v>
      </c>
      <c r="Q30" t="s">
        <v>45</v>
      </c>
      <c r="R30" t="s">
        <v>53</v>
      </c>
      <c r="S30" s="1">
        <v>45778</v>
      </c>
      <c r="U30" t="s">
        <v>47</v>
      </c>
      <c r="X30" t="s">
        <v>48</v>
      </c>
      <c r="Y30" s="2">
        <v>11.5</v>
      </c>
      <c r="Z30" s="2">
        <v>11.5</v>
      </c>
      <c r="AA30">
        <v>0</v>
      </c>
      <c r="AB30" s="3">
        <v>0.7</v>
      </c>
      <c r="AC30" s="2">
        <v>0</v>
      </c>
      <c r="AD30" s="3">
        <v>0</v>
      </c>
      <c r="AE30" s="2">
        <v>0</v>
      </c>
      <c r="AF30" s="2">
        <v>0</v>
      </c>
      <c r="AK30" s="4">
        <v>18676690</v>
      </c>
    </row>
    <row r="31" spans="1:37" x14ac:dyDescent="0.25">
      <c r="A31" s="1">
        <v>45786</v>
      </c>
      <c r="B31" s="1">
        <v>45782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2028170131</v>
      </c>
      <c r="J31" t="s">
        <v>66</v>
      </c>
      <c r="M31" t="s">
        <v>50</v>
      </c>
      <c r="O31">
        <v>856824</v>
      </c>
      <c r="P31" t="s">
        <v>67</v>
      </c>
      <c r="Q31" t="s">
        <v>45</v>
      </c>
      <c r="R31" t="s">
        <v>52</v>
      </c>
      <c r="S31" s="1">
        <v>45778</v>
      </c>
      <c r="U31" t="s">
        <v>47</v>
      </c>
      <c r="X31" t="s">
        <v>48</v>
      </c>
      <c r="Y31" s="2">
        <v>57.19</v>
      </c>
      <c r="Z31" s="2">
        <v>57.19</v>
      </c>
      <c r="AA31">
        <v>0</v>
      </c>
      <c r="AB31" s="3">
        <v>0.375</v>
      </c>
      <c r="AC31" s="2">
        <v>0</v>
      </c>
      <c r="AD31" s="3">
        <v>0</v>
      </c>
      <c r="AE31" s="2">
        <v>0</v>
      </c>
      <c r="AF31" s="2">
        <v>0</v>
      </c>
      <c r="AK31" s="4">
        <v>18711440</v>
      </c>
    </row>
    <row r="32" spans="1:37" x14ac:dyDescent="0.25">
      <c r="A32" s="1">
        <v>45786</v>
      </c>
      <c r="B32" s="1">
        <v>45782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2028222336</v>
      </c>
      <c r="J32" t="s">
        <v>70</v>
      </c>
      <c r="M32" t="s">
        <v>50</v>
      </c>
      <c r="O32">
        <v>856824</v>
      </c>
      <c r="P32" t="s">
        <v>67</v>
      </c>
      <c r="Q32" t="s">
        <v>45</v>
      </c>
      <c r="R32" t="s">
        <v>53</v>
      </c>
      <c r="S32" s="1">
        <v>45778</v>
      </c>
      <c r="U32" t="s">
        <v>47</v>
      </c>
      <c r="X32" t="s">
        <v>71</v>
      </c>
      <c r="Y32" s="2">
        <v>46.08</v>
      </c>
      <c r="Z32" s="2">
        <v>46.08</v>
      </c>
      <c r="AA32">
        <v>0</v>
      </c>
      <c r="AB32" s="3">
        <v>0.7</v>
      </c>
      <c r="AC32" s="2">
        <v>0</v>
      </c>
      <c r="AD32" s="3">
        <v>0</v>
      </c>
      <c r="AE32" s="2">
        <v>0</v>
      </c>
      <c r="AF32" s="2">
        <v>0</v>
      </c>
      <c r="AK32" s="4">
        <v>18676830</v>
      </c>
    </row>
    <row r="33" spans="1:37" x14ac:dyDescent="0.25">
      <c r="A33" s="1">
        <v>45786</v>
      </c>
      <c r="B33" s="1">
        <v>45782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2028298928</v>
      </c>
      <c r="J33" t="s">
        <v>77</v>
      </c>
      <c r="M33" t="s">
        <v>50</v>
      </c>
      <c r="O33">
        <v>856824</v>
      </c>
      <c r="P33" t="s">
        <v>67</v>
      </c>
      <c r="Q33" t="s">
        <v>45</v>
      </c>
      <c r="R33" t="s">
        <v>53</v>
      </c>
      <c r="S33" s="1">
        <v>45778</v>
      </c>
      <c r="U33" t="s">
        <v>47</v>
      </c>
      <c r="X33" t="s">
        <v>48</v>
      </c>
      <c r="Y33" s="2">
        <v>34.68</v>
      </c>
      <c r="Z33" s="2">
        <v>34.68</v>
      </c>
      <c r="AA33">
        <v>0</v>
      </c>
      <c r="AB33" s="3">
        <v>0.7</v>
      </c>
      <c r="AC33" s="2">
        <v>0</v>
      </c>
      <c r="AD33" s="3">
        <v>0</v>
      </c>
      <c r="AE33" s="2">
        <v>0</v>
      </c>
      <c r="AF33" s="2">
        <v>0</v>
      </c>
      <c r="AK33" s="4">
        <v>18677000</v>
      </c>
    </row>
    <row r="34" spans="1:37" x14ac:dyDescent="0.25">
      <c r="A34" s="1">
        <v>45786</v>
      </c>
      <c r="B34" s="1">
        <v>45782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2028298929</v>
      </c>
      <c r="J34" t="s">
        <v>77</v>
      </c>
      <c r="M34" t="s">
        <v>50</v>
      </c>
      <c r="O34">
        <v>856824</v>
      </c>
      <c r="P34" t="s">
        <v>67</v>
      </c>
      <c r="Q34" t="s">
        <v>45</v>
      </c>
      <c r="R34" t="s">
        <v>52</v>
      </c>
      <c r="S34" s="1">
        <v>45778</v>
      </c>
      <c r="U34" t="s">
        <v>47</v>
      </c>
      <c r="X34" t="s">
        <v>48</v>
      </c>
      <c r="Y34" s="2">
        <v>19.14</v>
      </c>
      <c r="Z34" s="2">
        <v>19.14</v>
      </c>
      <c r="AA34">
        <v>0</v>
      </c>
      <c r="AB34" s="3">
        <v>0.375</v>
      </c>
      <c r="AC34" s="2">
        <v>0</v>
      </c>
      <c r="AD34" s="3">
        <v>0</v>
      </c>
      <c r="AE34" s="2">
        <v>0</v>
      </c>
      <c r="AF34" s="2">
        <v>0</v>
      </c>
      <c r="AK34" s="4">
        <v>18711820</v>
      </c>
    </row>
    <row r="35" spans="1:37" x14ac:dyDescent="0.25">
      <c r="A35" s="1">
        <v>45786</v>
      </c>
      <c r="B35" s="1">
        <v>45782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2028323884</v>
      </c>
      <c r="J35" t="s">
        <v>82</v>
      </c>
      <c r="M35" t="s">
        <v>50</v>
      </c>
      <c r="O35">
        <v>856824</v>
      </c>
      <c r="P35" t="s">
        <v>67</v>
      </c>
      <c r="Q35" t="s">
        <v>45</v>
      </c>
      <c r="R35" t="s">
        <v>52</v>
      </c>
      <c r="S35" s="1">
        <v>45778</v>
      </c>
      <c r="U35" t="s">
        <v>47</v>
      </c>
      <c r="X35" t="s">
        <v>48</v>
      </c>
      <c r="Y35" s="2">
        <v>57.19</v>
      </c>
      <c r="Z35" s="2">
        <v>57.19</v>
      </c>
      <c r="AA35">
        <v>0</v>
      </c>
      <c r="AB35" s="3">
        <v>0.375</v>
      </c>
      <c r="AC35" s="2">
        <v>0</v>
      </c>
      <c r="AD35" s="3">
        <v>0</v>
      </c>
      <c r="AE35" s="2">
        <v>0</v>
      </c>
      <c r="AF35" s="2">
        <v>0</v>
      </c>
      <c r="AK35" s="4">
        <v>18711860</v>
      </c>
    </row>
    <row r="36" spans="1:37" x14ac:dyDescent="0.25">
      <c r="A36" s="1">
        <v>45786</v>
      </c>
      <c r="B36" s="1">
        <v>45782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2028323885</v>
      </c>
      <c r="J36" t="s">
        <v>82</v>
      </c>
      <c r="M36" t="s">
        <v>50</v>
      </c>
      <c r="O36">
        <v>856824</v>
      </c>
      <c r="P36" t="s">
        <v>67</v>
      </c>
      <c r="Q36" t="s">
        <v>45</v>
      </c>
      <c r="R36" t="s">
        <v>53</v>
      </c>
      <c r="S36" s="1">
        <v>45778</v>
      </c>
      <c r="U36" t="s">
        <v>47</v>
      </c>
      <c r="X36" t="s">
        <v>48</v>
      </c>
      <c r="Y36" s="2">
        <v>95.44</v>
      </c>
      <c r="Z36" s="2">
        <v>95.44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18677030</v>
      </c>
    </row>
    <row r="37" spans="1:37" x14ac:dyDescent="0.25">
      <c r="A37" s="1">
        <v>45786</v>
      </c>
      <c r="B37" s="1">
        <v>45782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2028549719</v>
      </c>
      <c r="J37" t="s">
        <v>116</v>
      </c>
      <c r="M37" t="s">
        <v>50</v>
      </c>
      <c r="O37">
        <v>856824</v>
      </c>
      <c r="P37" t="s">
        <v>67</v>
      </c>
      <c r="Q37" t="s">
        <v>45</v>
      </c>
      <c r="R37" t="s">
        <v>52</v>
      </c>
      <c r="S37" s="1">
        <v>45778</v>
      </c>
      <c r="U37" t="s">
        <v>47</v>
      </c>
      <c r="X37" t="s">
        <v>48</v>
      </c>
      <c r="Y37" s="2">
        <v>57.19</v>
      </c>
      <c r="Z37" s="2">
        <v>57.19</v>
      </c>
      <c r="AA37">
        <v>0</v>
      </c>
      <c r="AB37" s="3">
        <v>0.375</v>
      </c>
      <c r="AC37" s="2">
        <v>0</v>
      </c>
      <c r="AD37" s="3">
        <v>0</v>
      </c>
      <c r="AE37" s="2">
        <v>0</v>
      </c>
      <c r="AF37" s="2">
        <v>0</v>
      </c>
      <c r="AK37" s="4">
        <v>18712160</v>
      </c>
    </row>
    <row r="38" spans="1:37" x14ac:dyDescent="0.25">
      <c r="A38" s="1">
        <v>45786</v>
      </c>
      <c r="B38" s="1">
        <v>45782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2028549720</v>
      </c>
      <c r="J38" t="s">
        <v>116</v>
      </c>
      <c r="M38" t="s">
        <v>50</v>
      </c>
      <c r="O38">
        <v>856824</v>
      </c>
      <c r="P38" t="s">
        <v>67</v>
      </c>
      <c r="Q38" t="s">
        <v>45</v>
      </c>
      <c r="R38" t="s">
        <v>53</v>
      </c>
      <c r="S38" s="1">
        <v>45778</v>
      </c>
      <c r="U38" t="s">
        <v>47</v>
      </c>
      <c r="X38" t="s">
        <v>48</v>
      </c>
      <c r="Y38" s="2">
        <v>31.6</v>
      </c>
      <c r="Z38" s="2">
        <v>31.6</v>
      </c>
      <c r="AA38">
        <v>0</v>
      </c>
      <c r="AB38" s="3">
        <v>0.7</v>
      </c>
      <c r="AC38" s="2">
        <v>0</v>
      </c>
      <c r="AD38" s="3">
        <v>0</v>
      </c>
      <c r="AE38" s="2">
        <v>0</v>
      </c>
      <c r="AF38" s="2">
        <v>0</v>
      </c>
      <c r="AK38" s="4">
        <v>18677260</v>
      </c>
    </row>
    <row r="39" spans="1:37" x14ac:dyDescent="0.25">
      <c r="A39" s="1">
        <v>45786</v>
      </c>
      <c r="B39" s="1">
        <v>45782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2028740416</v>
      </c>
      <c r="J39" t="s">
        <v>230</v>
      </c>
      <c r="M39" t="s">
        <v>50</v>
      </c>
      <c r="O39">
        <v>856824</v>
      </c>
      <c r="P39" t="s">
        <v>67</v>
      </c>
      <c r="Q39" t="s">
        <v>45</v>
      </c>
      <c r="R39" t="s">
        <v>52</v>
      </c>
      <c r="S39" s="1">
        <v>45780</v>
      </c>
      <c r="U39" t="s">
        <v>47</v>
      </c>
      <c r="X39" t="s">
        <v>48</v>
      </c>
      <c r="Y39" s="2">
        <v>113.66</v>
      </c>
      <c r="Z39" s="2">
        <v>113.66</v>
      </c>
      <c r="AA39">
        <v>0</v>
      </c>
      <c r="AB39" s="3">
        <v>0.375</v>
      </c>
      <c r="AC39" s="2">
        <v>0</v>
      </c>
      <c r="AD39" s="3">
        <v>0</v>
      </c>
      <c r="AE39" s="2">
        <v>0</v>
      </c>
      <c r="AF39" s="2">
        <v>0</v>
      </c>
      <c r="AK39" s="4">
        <v>18713540</v>
      </c>
    </row>
    <row r="40" spans="1:37" x14ac:dyDescent="0.25">
      <c r="A40" s="1">
        <v>45786</v>
      </c>
      <c r="B40" s="1">
        <v>45782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2028707513</v>
      </c>
      <c r="J40" t="s">
        <v>221</v>
      </c>
      <c r="M40" t="s">
        <v>50</v>
      </c>
      <c r="O40">
        <v>843573</v>
      </c>
      <c r="P40" t="s">
        <v>222</v>
      </c>
      <c r="Q40" t="s">
        <v>45</v>
      </c>
      <c r="R40" t="s">
        <v>53</v>
      </c>
      <c r="S40" s="1">
        <v>45779</v>
      </c>
      <c r="U40" t="s">
        <v>47</v>
      </c>
      <c r="X40" t="s">
        <v>48</v>
      </c>
      <c r="Y40" s="2">
        <v>28</v>
      </c>
      <c r="Z40" s="2">
        <v>28</v>
      </c>
      <c r="AA40">
        <v>0</v>
      </c>
      <c r="AB40" s="3">
        <v>0.7</v>
      </c>
      <c r="AC40" s="2">
        <v>0</v>
      </c>
      <c r="AD40" s="3">
        <v>0</v>
      </c>
      <c r="AE40" s="2">
        <v>0</v>
      </c>
      <c r="AF40" s="2">
        <v>0</v>
      </c>
      <c r="AK40" s="4">
        <v>18678210</v>
      </c>
    </row>
    <row r="41" spans="1:37" x14ac:dyDescent="0.25">
      <c r="A41" s="1">
        <v>45786</v>
      </c>
      <c r="B41" s="1">
        <v>45782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2028643492</v>
      </c>
      <c r="J41" t="s">
        <v>149</v>
      </c>
      <c r="M41" t="s">
        <v>61</v>
      </c>
      <c r="O41">
        <v>822865</v>
      </c>
      <c r="P41" t="s">
        <v>150</v>
      </c>
      <c r="Q41" t="s">
        <v>45</v>
      </c>
      <c r="R41" t="s">
        <v>52</v>
      </c>
      <c r="S41" s="1">
        <v>45776</v>
      </c>
      <c r="U41" t="s">
        <v>47</v>
      </c>
      <c r="X41" t="s">
        <v>48</v>
      </c>
      <c r="Y41" s="2">
        <v>31.91</v>
      </c>
      <c r="Z41" s="2">
        <v>31.91</v>
      </c>
      <c r="AA41">
        <v>0</v>
      </c>
      <c r="AB41" s="3">
        <v>0.375</v>
      </c>
      <c r="AC41" s="2">
        <v>0</v>
      </c>
      <c r="AD41" s="3">
        <v>0</v>
      </c>
      <c r="AE41" s="2">
        <v>0</v>
      </c>
      <c r="AF41" s="2">
        <v>0</v>
      </c>
      <c r="AK41" s="4">
        <v>18712480</v>
      </c>
    </row>
    <row r="42" spans="1:37" x14ac:dyDescent="0.25">
      <c r="A42" s="1">
        <v>45786</v>
      </c>
      <c r="B42" s="1">
        <v>45782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2028645329</v>
      </c>
      <c r="J42" t="s">
        <v>156</v>
      </c>
      <c r="M42" t="s">
        <v>121</v>
      </c>
      <c r="O42">
        <v>822865</v>
      </c>
      <c r="P42" t="s">
        <v>150</v>
      </c>
      <c r="Q42" t="s">
        <v>45</v>
      </c>
      <c r="R42" t="s">
        <v>52</v>
      </c>
      <c r="S42" s="1">
        <v>45776</v>
      </c>
      <c r="U42" t="s">
        <v>47</v>
      </c>
      <c r="X42" t="s">
        <v>48</v>
      </c>
      <c r="Y42" s="2">
        <v>24.54</v>
      </c>
      <c r="Z42" s="2">
        <v>24.54</v>
      </c>
      <c r="AA42">
        <v>0</v>
      </c>
      <c r="AB42" s="3">
        <v>0.375</v>
      </c>
      <c r="AC42" s="2">
        <v>0</v>
      </c>
      <c r="AD42" s="3">
        <v>0</v>
      </c>
      <c r="AE42" s="2">
        <v>0</v>
      </c>
      <c r="AF42" s="2">
        <v>0</v>
      </c>
      <c r="AK42" s="4">
        <v>18712500</v>
      </c>
    </row>
    <row r="43" spans="1:37" x14ac:dyDescent="0.25">
      <c r="A43" s="1">
        <v>45786</v>
      </c>
      <c r="B43" s="1">
        <v>45782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2028645330</v>
      </c>
      <c r="J43" t="s">
        <v>156</v>
      </c>
      <c r="M43" t="s">
        <v>121</v>
      </c>
      <c r="O43">
        <v>822865</v>
      </c>
      <c r="P43" t="s">
        <v>150</v>
      </c>
      <c r="Q43" t="s">
        <v>45</v>
      </c>
      <c r="R43" t="s">
        <v>53</v>
      </c>
      <c r="S43" s="1">
        <v>45776</v>
      </c>
      <c r="U43" t="s">
        <v>47</v>
      </c>
      <c r="X43" t="s">
        <v>48</v>
      </c>
      <c r="Y43" s="2">
        <v>48.54</v>
      </c>
      <c r="Z43" s="2">
        <v>48.54</v>
      </c>
      <c r="AA43">
        <v>0</v>
      </c>
      <c r="AB43" s="3">
        <v>0.7</v>
      </c>
      <c r="AC43" s="2">
        <v>0</v>
      </c>
      <c r="AD43" s="3">
        <v>0</v>
      </c>
      <c r="AE43" s="2">
        <v>0</v>
      </c>
      <c r="AF43" s="2">
        <v>0</v>
      </c>
      <c r="AK43" s="4">
        <v>18677540</v>
      </c>
    </row>
    <row r="44" spans="1:37" x14ac:dyDescent="0.25">
      <c r="A44" s="1">
        <v>45786</v>
      </c>
      <c r="B44" s="1">
        <v>45782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2028662414</v>
      </c>
      <c r="J44" t="s">
        <v>174</v>
      </c>
      <c r="M44" t="s">
        <v>121</v>
      </c>
      <c r="O44">
        <v>822865</v>
      </c>
      <c r="P44" t="s">
        <v>150</v>
      </c>
      <c r="Q44" t="s">
        <v>45</v>
      </c>
      <c r="R44" t="s">
        <v>53</v>
      </c>
      <c r="S44" s="1">
        <v>45777</v>
      </c>
      <c r="U44" t="s">
        <v>47</v>
      </c>
      <c r="X44" t="s">
        <v>48</v>
      </c>
      <c r="Y44" s="2">
        <v>6.99</v>
      </c>
      <c r="Z44" s="2">
        <v>6.99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18677690</v>
      </c>
    </row>
    <row r="45" spans="1:37" x14ac:dyDescent="0.25">
      <c r="A45" s="1">
        <v>45786</v>
      </c>
      <c r="B45" s="1">
        <v>45782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2028701577</v>
      </c>
      <c r="J45" t="s">
        <v>216</v>
      </c>
      <c r="M45" t="s">
        <v>90</v>
      </c>
      <c r="O45">
        <v>822865</v>
      </c>
      <c r="P45" t="s">
        <v>150</v>
      </c>
      <c r="Q45" t="s">
        <v>45</v>
      </c>
      <c r="R45" t="s">
        <v>115</v>
      </c>
      <c r="S45" s="1">
        <v>45778</v>
      </c>
      <c r="U45" t="s">
        <v>47</v>
      </c>
      <c r="X45" t="s">
        <v>48</v>
      </c>
      <c r="Y45" s="2">
        <v>18.350000000000001</v>
      </c>
      <c r="Z45" s="2">
        <v>18.350000000000001</v>
      </c>
      <c r="AA45">
        <v>0</v>
      </c>
      <c r="AB45" s="3">
        <v>0.9</v>
      </c>
      <c r="AC45" s="2">
        <v>0</v>
      </c>
      <c r="AD45" s="3">
        <v>0</v>
      </c>
      <c r="AE45" s="2">
        <v>0</v>
      </c>
      <c r="AF45" s="2">
        <v>0</v>
      </c>
      <c r="AK45" s="4">
        <v>18718910</v>
      </c>
    </row>
    <row r="46" spans="1:37" x14ac:dyDescent="0.25">
      <c r="A46" s="1">
        <v>45786</v>
      </c>
      <c r="B46" s="1">
        <v>45782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2028709886</v>
      </c>
      <c r="J46" t="s">
        <v>223</v>
      </c>
      <c r="M46" t="s">
        <v>121</v>
      </c>
      <c r="O46">
        <v>822865</v>
      </c>
      <c r="P46" t="s">
        <v>150</v>
      </c>
      <c r="Q46" t="s">
        <v>45</v>
      </c>
      <c r="R46" t="s">
        <v>52</v>
      </c>
      <c r="S46" s="1">
        <v>45779</v>
      </c>
      <c r="U46" t="s">
        <v>47</v>
      </c>
      <c r="X46" t="s">
        <v>48</v>
      </c>
      <c r="Y46" s="2">
        <v>24.54</v>
      </c>
      <c r="Z46" s="2">
        <v>24.54</v>
      </c>
      <c r="AA46">
        <v>0</v>
      </c>
      <c r="AB46" s="3">
        <v>0.375</v>
      </c>
      <c r="AC46" s="2">
        <v>0</v>
      </c>
      <c r="AD46" s="3">
        <v>0</v>
      </c>
      <c r="AE46" s="2">
        <v>0</v>
      </c>
      <c r="AF46" s="2">
        <v>0</v>
      </c>
      <c r="AK46" s="4">
        <v>18713310</v>
      </c>
    </row>
    <row r="47" spans="1:37" x14ac:dyDescent="0.25">
      <c r="A47" s="1">
        <v>45786</v>
      </c>
      <c r="B47" s="1">
        <v>45782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2028709887</v>
      </c>
      <c r="J47" t="s">
        <v>223</v>
      </c>
      <c r="M47" t="s">
        <v>121</v>
      </c>
      <c r="O47">
        <v>822865</v>
      </c>
      <c r="P47" t="s">
        <v>150</v>
      </c>
      <c r="Q47" t="s">
        <v>45</v>
      </c>
      <c r="R47" t="s">
        <v>53</v>
      </c>
      <c r="S47" s="1">
        <v>45779</v>
      </c>
      <c r="U47" t="s">
        <v>47</v>
      </c>
      <c r="X47" t="s">
        <v>48</v>
      </c>
      <c r="Y47" s="2">
        <v>23</v>
      </c>
      <c r="Z47" s="2">
        <v>23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18678220</v>
      </c>
    </row>
    <row r="48" spans="1:37" x14ac:dyDescent="0.25">
      <c r="A48" s="1">
        <v>45786</v>
      </c>
      <c r="B48" s="1">
        <v>45782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2028752993</v>
      </c>
      <c r="J48" t="s">
        <v>231</v>
      </c>
      <c r="M48" t="s">
        <v>93</v>
      </c>
      <c r="O48">
        <v>822865</v>
      </c>
      <c r="P48" t="s">
        <v>150</v>
      </c>
      <c r="Q48" t="s">
        <v>45</v>
      </c>
      <c r="R48" t="s">
        <v>52</v>
      </c>
      <c r="S48" s="1">
        <v>45780</v>
      </c>
      <c r="U48" t="s">
        <v>47</v>
      </c>
      <c r="X48" t="s">
        <v>48</v>
      </c>
      <c r="Y48" s="2">
        <v>54.74</v>
      </c>
      <c r="Z48" s="2">
        <v>54.74</v>
      </c>
      <c r="AA48">
        <v>0</v>
      </c>
      <c r="AB48" s="3">
        <v>0.375</v>
      </c>
      <c r="AC48" s="2">
        <v>0</v>
      </c>
      <c r="AD48" s="3">
        <v>0</v>
      </c>
      <c r="AE48" s="2">
        <v>0</v>
      </c>
      <c r="AF48" s="2">
        <v>0</v>
      </c>
      <c r="AK48" s="4">
        <v>18713590</v>
      </c>
    </row>
    <row r="49" spans="1:37" x14ac:dyDescent="0.25">
      <c r="A49" s="1">
        <v>45786</v>
      </c>
      <c r="B49" s="1">
        <v>45782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2028752994</v>
      </c>
      <c r="J49" t="s">
        <v>231</v>
      </c>
      <c r="M49" t="s">
        <v>93</v>
      </c>
      <c r="O49">
        <v>822865</v>
      </c>
      <c r="P49" t="s">
        <v>150</v>
      </c>
      <c r="Q49" t="s">
        <v>45</v>
      </c>
      <c r="R49" t="s">
        <v>53</v>
      </c>
      <c r="S49" s="1">
        <v>45780</v>
      </c>
      <c r="U49" t="s">
        <v>47</v>
      </c>
      <c r="X49" t="s">
        <v>48</v>
      </c>
      <c r="Y49" s="2">
        <v>10.82</v>
      </c>
      <c r="Z49" s="2">
        <v>10.82</v>
      </c>
      <c r="AA49">
        <v>0</v>
      </c>
      <c r="AB49" s="3">
        <v>0.7</v>
      </c>
      <c r="AC49" s="2">
        <v>0</v>
      </c>
      <c r="AD49" s="3">
        <v>0</v>
      </c>
      <c r="AE49" s="2">
        <v>0</v>
      </c>
      <c r="AF49" s="2">
        <v>0</v>
      </c>
      <c r="AK49" s="4">
        <v>18678450</v>
      </c>
    </row>
    <row r="50" spans="1:37" x14ac:dyDescent="0.25">
      <c r="A50" s="1">
        <v>45786</v>
      </c>
      <c r="B50" s="1">
        <v>45782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2028715152</v>
      </c>
      <c r="J50" t="s">
        <v>225</v>
      </c>
      <c r="M50" t="s">
        <v>50</v>
      </c>
      <c r="O50">
        <v>807212</v>
      </c>
      <c r="P50" t="s">
        <v>226</v>
      </c>
      <c r="Q50" t="s">
        <v>45</v>
      </c>
      <c r="R50" t="s">
        <v>53</v>
      </c>
      <c r="S50" s="1">
        <v>45779</v>
      </c>
      <c r="U50" t="s">
        <v>47</v>
      </c>
      <c r="X50" t="s">
        <v>48</v>
      </c>
      <c r="Y50" s="2">
        <v>56.5</v>
      </c>
      <c r="Z50" s="2">
        <v>56.5</v>
      </c>
      <c r="AA50">
        <v>0</v>
      </c>
      <c r="AB50" s="3">
        <v>0.7</v>
      </c>
      <c r="AC50" s="2">
        <v>0</v>
      </c>
      <c r="AD50" s="3">
        <v>0</v>
      </c>
      <c r="AE50" s="2">
        <v>0</v>
      </c>
      <c r="AF50" s="2">
        <v>0</v>
      </c>
      <c r="AK50" s="4">
        <v>18678250</v>
      </c>
    </row>
    <row r="51" spans="1:37" x14ac:dyDescent="0.25">
      <c r="A51" s="1">
        <v>45786</v>
      </c>
      <c r="B51" s="1">
        <v>45782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2028766411</v>
      </c>
      <c r="J51" t="s">
        <v>232</v>
      </c>
      <c r="M51" t="s">
        <v>50</v>
      </c>
      <c r="O51">
        <v>807212</v>
      </c>
      <c r="P51" t="s">
        <v>226</v>
      </c>
      <c r="Q51" t="s">
        <v>45</v>
      </c>
      <c r="R51" t="s">
        <v>115</v>
      </c>
      <c r="S51" s="1">
        <v>45782</v>
      </c>
      <c r="U51" t="s">
        <v>47</v>
      </c>
      <c r="X51" t="s">
        <v>48</v>
      </c>
      <c r="Y51" s="2">
        <v>46.58</v>
      </c>
      <c r="Z51" s="2">
        <v>46.58</v>
      </c>
      <c r="AA51">
        <v>0</v>
      </c>
      <c r="AB51" s="3">
        <v>0.9</v>
      </c>
      <c r="AC51" s="2">
        <v>0</v>
      </c>
      <c r="AD51" s="3">
        <v>0</v>
      </c>
      <c r="AE51" s="2">
        <v>0</v>
      </c>
      <c r="AF51" s="2">
        <v>0</v>
      </c>
      <c r="AK51" s="4">
        <v>18719080</v>
      </c>
    </row>
    <row r="52" spans="1:37" x14ac:dyDescent="0.25">
      <c r="A52" s="1">
        <v>45786</v>
      </c>
      <c r="B52" s="1">
        <v>45782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2028352930</v>
      </c>
      <c r="J52" t="s">
        <v>83</v>
      </c>
      <c r="M52" t="s">
        <v>50</v>
      </c>
      <c r="O52">
        <v>789909</v>
      </c>
      <c r="P52" t="s">
        <v>84</v>
      </c>
      <c r="Q52" t="s">
        <v>45</v>
      </c>
      <c r="R52" t="s">
        <v>53</v>
      </c>
      <c r="S52" s="1">
        <v>45778</v>
      </c>
      <c r="U52" t="s">
        <v>47</v>
      </c>
      <c r="X52" t="s">
        <v>48</v>
      </c>
      <c r="Y52" s="2">
        <v>46.08</v>
      </c>
      <c r="Z52" s="2">
        <v>46.08</v>
      </c>
      <c r="AA52">
        <v>0</v>
      </c>
      <c r="AB52" s="3">
        <v>0.7</v>
      </c>
      <c r="AC52" s="2">
        <v>0</v>
      </c>
      <c r="AD52" s="3">
        <v>0</v>
      </c>
      <c r="AE52" s="2">
        <v>0</v>
      </c>
      <c r="AF52" s="2">
        <v>0</v>
      </c>
      <c r="AK52" s="4">
        <v>18677050</v>
      </c>
    </row>
    <row r="53" spans="1:37" x14ac:dyDescent="0.25">
      <c r="A53" s="1">
        <v>45786</v>
      </c>
      <c r="B53" s="1">
        <v>45782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2028646347</v>
      </c>
      <c r="J53" t="s">
        <v>158</v>
      </c>
      <c r="M53" t="s">
        <v>50</v>
      </c>
      <c r="O53">
        <v>812994</v>
      </c>
      <c r="P53" t="s">
        <v>159</v>
      </c>
      <c r="Q53" t="s">
        <v>45</v>
      </c>
      <c r="R53" t="s">
        <v>52</v>
      </c>
      <c r="S53" s="1">
        <v>45778</v>
      </c>
      <c r="U53" t="s">
        <v>47</v>
      </c>
      <c r="X53" t="s">
        <v>48</v>
      </c>
      <c r="Y53" s="2">
        <v>76.19</v>
      </c>
      <c r="Z53" s="2">
        <v>76.19</v>
      </c>
      <c r="AA53">
        <v>0</v>
      </c>
      <c r="AB53" s="3">
        <v>0.375</v>
      </c>
      <c r="AC53" s="2">
        <v>0</v>
      </c>
      <c r="AD53" s="3">
        <v>0</v>
      </c>
      <c r="AE53" s="2">
        <v>0</v>
      </c>
      <c r="AF53" s="2">
        <v>0</v>
      </c>
      <c r="AK53" s="4">
        <v>18712520</v>
      </c>
    </row>
    <row r="54" spans="1:37" x14ac:dyDescent="0.25">
      <c r="A54" s="1">
        <v>45786</v>
      </c>
      <c r="B54" s="1">
        <v>45782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2028646348</v>
      </c>
      <c r="J54" t="s">
        <v>158</v>
      </c>
      <c r="M54" t="s">
        <v>50</v>
      </c>
      <c r="O54">
        <v>812994</v>
      </c>
      <c r="P54" t="s">
        <v>159</v>
      </c>
      <c r="Q54" t="s">
        <v>45</v>
      </c>
      <c r="R54" t="s">
        <v>53</v>
      </c>
      <c r="S54" s="1">
        <v>45778</v>
      </c>
      <c r="U54" t="s">
        <v>47</v>
      </c>
      <c r="X54" t="s">
        <v>48</v>
      </c>
      <c r="Y54" s="2">
        <v>57.35</v>
      </c>
      <c r="Z54" s="2">
        <v>57.35</v>
      </c>
      <c r="AA54">
        <v>0</v>
      </c>
      <c r="AB54" s="3">
        <v>0.7</v>
      </c>
      <c r="AC54" s="2">
        <v>0</v>
      </c>
      <c r="AD54" s="3">
        <v>0</v>
      </c>
      <c r="AE54" s="2">
        <v>0</v>
      </c>
      <c r="AF54" s="2">
        <v>0</v>
      </c>
      <c r="AK54" s="4">
        <v>18677550</v>
      </c>
    </row>
    <row r="55" spans="1:37" x14ac:dyDescent="0.25">
      <c r="A55" s="1">
        <v>45786</v>
      </c>
      <c r="B55" s="1">
        <v>45782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2028653622</v>
      </c>
      <c r="J55" t="s">
        <v>166</v>
      </c>
      <c r="M55" t="s">
        <v>50</v>
      </c>
      <c r="O55">
        <v>812994</v>
      </c>
      <c r="P55" t="s">
        <v>159</v>
      </c>
      <c r="Q55" t="s">
        <v>45</v>
      </c>
      <c r="R55" t="s">
        <v>52</v>
      </c>
      <c r="S55" s="1">
        <v>45778</v>
      </c>
      <c r="U55" t="s">
        <v>47</v>
      </c>
      <c r="X55" t="s">
        <v>48</v>
      </c>
      <c r="Y55" s="2">
        <v>253.51</v>
      </c>
      <c r="Z55" s="2">
        <v>253.51</v>
      </c>
      <c r="AA55">
        <v>0</v>
      </c>
      <c r="AB55" s="3">
        <v>0.375</v>
      </c>
      <c r="AC55" s="2">
        <v>0</v>
      </c>
      <c r="AD55" s="3">
        <v>0</v>
      </c>
      <c r="AE55" s="2">
        <v>0</v>
      </c>
      <c r="AF55" s="2">
        <v>0</v>
      </c>
      <c r="AK55" s="4">
        <v>18712610</v>
      </c>
    </row>
    <row r="56" spans="1:37" x14ac:dyDescent="0.25">
      <c r="A56" s="1">
        <v>45786</v>
      </c>
      <c r="B56" s="1">
        <v>45782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2028653623</v>
      </c>
      <c r="J56" t="s">
        <v>166</v>
      </c>
      <c r="M56" t="s">
        <v>50</v>
      </c>
      <c r="O56">
        <v>812994</v>
      </c>
      <c r="P56" t="s">
        <v>159</v>
      </c>
      <c r="Q56" t="s">
        <v>45</v>
      </c>
      <c r="R56" t="s">
        <v>53</v>
      </c>
      <c r="S56" s="1">
        <v>45778</v>
      </c>
      <c r="U56" t="s">
        <v>47</v>
      </c>
      <c r="X56" t="s">
        <v>48</v>
      </c>
      <c r="Y56" s="2">
        <v>230.03</v>
      </c>
      <c r="Z56" s="2">
        <v>230.03</v>
      </c>
      <c r="AA56">
        <v>0</v>
      </c>
      <c r="AB56" s="3">
        <v>0.7</v>
      </c>
      <c r="AC56" s="2">
        <v>0</v>
      </c>
      <c r="AD56" s="3">
        <v>0</v>
      </c>
      <c r="AE56" s="2">
        <v>0</v>
      </c>
      <c r="AF56" s="2">
        <v>0</v>
      </c>
      <c r="AK56" s="4">
        <v>18677620</v>
      </c>
    </row>
    <row r="57" spans="1:37" x14ac:dyDescent="0.25">
      <c r="A57" s="1">
        <v>45786</v>
      </c>
      <c r="B57" s="1">
        <v>45782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2028669308</v>
      </c>
      <c r="J57" t="s">
        <v>181</v>
      </c>
      <c r="M57" t="s">
        <v>90</v>
      </c>
      <c r="O57">
        <v>812994</v>
      </c>
      <c r="P57" t="s">
        <v>159</v>
      </c>
      <c r="Q57" t="s">
        <v>45</v>
      </c>
      <c r="R57" t="s">
        <v>53</v>
      </c>
      <c r="S57" s="1">
        <v>45778</v>
      </c>
      <c r="U57" t="s">
        <v>47</v>
      </c>
      <c r="X57" t="s">
        <v>48</v>
      </c>
      <c r="Y57" s="2">
        <v>72.400000000000006</v>
      </c>
      <c r="Z57" s="2">
        <v>72.400000000000006</v>
      </c>
      <c r="AA57">
        <v>0</v>
      </c>
      <c r="AB57" s="3">
        <v>0.7</v>
      </c>
      <c r="AC57" s="2">
        <v>0</v>
      </c>
      <c r="AD57" s="3">
        <v>0</v>
      </c>
      <c r="AE57" s="2">
        <v>0</v>
      </c>
      <c r="AF57" s="2">
        <v>0</v>
      </c>
      <c r="AK57" s="4">
        <v>18677800</v>
      </c>
    </row>
    <row r="58" spans="1:37" x14ac:dyDescent="0.25">
      <c r="A58" s="1">
        <v>45786</v>
      </c>
      <c r="B58" s="1">
        <v>45782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2028654837</v>
      </c>
      <c r="J58" t="s">
        <v>167</v>
      </c>
      <c r="M58" t="s">
        <v>121</v>
      </c>
      <c r="O58">
        <v>823350</v>
      </c>
      <c r="P58" t="s">
        <v>168</v>
      </c>
      <c r="Q58" t="s">
        <v>45</v>
      </c>
      <c r="R58" t="s">
        <v>52</v>
      </c>
      <c r="S58" s="1">
        <v>45776</v>
      </c>
      <c r="U58" t="s">
        <v>47</v>
      </c>
      <c r="X58" t="s">
        <v>48</v>
      </c>
      <c r="Y58" s="2">
        <v>91.62</v>
      </c>
      <c r="Z58" s="2">
        <v>91.62</v>
      </c>
      <c r="AA58">
        <v>0</v>
      </c>
      <c r="AB58" s="3">
        <v>0.375</v>
      </c>
      <c r="AC58" s="2">
        <v>0</v>
      </c>
      <c r="AD58" s="3">
        <v>0</v>
      </c>
      <c r="AE58" s="2">
        <v>0</v>
      </c>
      <c r="AF58" s="2">
        <v>0</v>
      </c>
      <c r="AK58" s="4">
        <v>18712630</v>
      </c>
    </row>
    <row r="59" spans="1:37" x14ac:dyDescent="0.25">
      <c r="A59" s="1">
        <v>45786</v>
      </c>
      <c r="B59" s="1">
        <v>45782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2028654838</v>
      </c>
      <c r="J59" t="s">
        <v>167</v>
      </c>
      <c r="M59" t="s">
        <v>121</v>
      </c>
      <c r="O59">
        <v>823350</v>
      </c>
      <c r="P59" t="s">
        <v>168</v>
      </c>
      <c r="Q59" t="s">
        <v>45</v>
      </c>
      <c r="R59" t="s">
        <v>53</v>
      </c>
      <c r="S59" s="1">
        <v>45776</v>
      </c>
      <c r="U59" t="s">
        <v>47</v>
      </c>
      <c r="X59" t="s">
        <v>48</v>
      </c>
      <c r="Y59" s="2">
        <v>55.61</v>
      </c>
      <c r="Z59" s="2">
        <v>55.61</v>
      </c>
      <c r="AA59">
        <v>0</v>
      </c>
      <c r="AB59" s="3">
        <v>0.7</v>
      </c>
      <c r="AC59" s="2">
        <v>0</v>
      </c>
      <c r="AD59" s="3">
        <v>0</v>
      </c>
      <c r="AE59" s="2">
        <v>0</v>
      </c>
      <c r="AF59" s="2">
        <v>0</v>
      </c>
      <c r="AK59" s="4">
        <v>18677640</v>
      </c>
    </row>
    <row r="60" spans="1:37" x14ac:dyDescent="0.25">
      <c r="A60" s="1">
        <v>45786</v>
      </c>
      <c r="B60" s="1">
        <v>45782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2028654839</v>
      </c>
      <c r="J60" t="s">
        <v>167</v>
      </c>
      <c r="M60" t="s">
        <v>121</v>
      </c>
      <c r="O60">
        <v>823350</v>
      </c>
      <c r="P60" t="s">
        <v>168</v>
      </c>
      <c r="Q60" t="s">
        <v>45</v>
      </c>
      <c r="R60" t="s">
        <v>115</v>
      </c>
      <c r="S60" s="1">
        <v>45776</v>
      </c>
      <c r="U60" t="s">
        <v>47</v>
      </c>
      <c r="X60" t="s">
        <v>48</v>
      </c>
      <c r="Y60" s="2">
        <v>43.67</v>
      </c>
      <c r="Z60" s="2">
        <v>43.67</v>
      </c>
      <c r="AA60">
        <v>0</v>
      </c>
      <c r="AB60" s="3">
        <v>0.9</v>
      </c>
      <c r="AC60" s="2">
        <v>0</v>
      </c>
      <c r="AD60" s="3">
        <v>0</v>
      </c>
      <c r="AE60" s="2">
        <v>0</v>
      </c>
      <c r="AF60" s="2">
        <v>0</v>
      </c>
      <c r="AK60" s="4">
        <v>18718670</v>
      </c>
    </row>
    <row r="61" spans="1:37" x14ac:dyDescent="0.25">
      <c r="A61" s="1">
        <v>45786</v>
      </c>
      <c r="B61" s="1">
        <v>45782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2028677999</v>
      </c>
      <c r="J61" t="s">
        <v>167</v>
      </c>
      <c r="M61" t="s">
        <v>121</v>
      </c>
      <c r="O61">
        <v>823350</v>
      </c>
      <c r="P61" t="s">
        <v>168</v>
      </c>
      <c r="Q61" t="s">
        <v>45</v>
      </c>
      <c r="R61" t="s">
        <v>194</v>
      </c>
      <c r="S61" s="1">
        <v>45778</v>
      </c>
      <c r="U61" t="s">
        <v>47</v>
      </c>
      <c r="X61" t="s">
        <v>195</v>
      </c>
      <c r="Y61" s="2">
        <v>1011.06</v>
      </c>
      <c r="Z61" s="2">
        <v>1011.06</v>
      </c>
      <c r="AA61">
        <v>0</v>
      </c>
      <c r="AB61" s="3">
        <v>0.28999999999999998</v>
      </c>
      <c r="AC61" s="2">
        <v>0</v>
      </c>
      <c r="AD61" s="3">
        <v>0</v>
      </c>
      <c r="AE61" s="2">
        <v>0</v>
      </c>
      <c r="AF61" s="2">
        <v>0</v>
      </c>
      <c r="AK61" s="4">
        <v>18724240</v>
      </c>
    </row>
    <row r="62" spans="1:37" x14ac:dyDescent="0.25">
      <c r="A62" s="1">
        <v>45786</v>
      </c>
      <c r="B62" s="1">
        <v>45782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2028678000</v>
      </c>
      <c r="J62" t="s">
        <v>167</v>
      </c>
      <c r="M62" t="s">
        <v>121</v>
      </c>
      <c r="O62">
        <v>823350</v>
      </c>
      <c r="P62" t="s">
        <v>168</v>
      </c>
      <c r="Q62" t="s">
        <v>45</v>
      </c>
      <c r="R62" t="s">
        <v>196</v>
      </c>
      <c r="S62" s="1">
        <v>45778</v>
      </c>
      <c r="U62" t="s">
        <v>47</v>
      </c>
      <c r="X62" t="s">
        <v>195</v>
      </c>
      <c r="Y62" s="2">
        <v>15</v>
      </c>
      <c r="Z62" s="2">
        <v>15</v>
      </c>
      <c r="AA62">
        <v>0</v>
      </c>
      <c r="AB62" s="3">
        <v>0.28999999999999998</v>
      </c>
      <c r="AC62" s="2">
        <v>0</v>
      </c>
      <c r="AD62" s="3">
        <v>0</v>
      </c>
      <c r="AE62" s="2">
        <v>0</v>
      </c>
      <c r="AF62" s="2">
        <v>0</v>
      </c>
      <c r="AK62" s="4">
        <v>18686680</v>
      </c>
    </row>
    <row r="63" spans="1:37" x14ac:dyDescent="0.25">
      <c r="A63" s="1">
        <v>45786</v>
      </c>
      <c r="B63" s="1">
        <v>45782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2028677512</v>
      </c>
      <c r="J63" t="s">
        <v>192</v>
      </c>
      <c r="M63" t="s">
        <v>50</v>
      </c>
      <c r="O63">
        <v>824081</v>
      </c>
      <c r="P63" t="s">
        <v>193</v>
      </c>
      <c r="Q63" t="s">
        <v>45</v>
      </c>
      <c r="R63" t="s">
        <v>53</v>
      </c>
      <c r="S63" s="1">
        <v>45781</v>
      </c>
      <c r="U63" t="s">
        <v>47</v>
      </c>
      <c r="X63" t="s">
        <v>48</v>
      </c>
      <c r="Y63" s="2">
        <v>35.700000000000003</v>
      </c>
      <c r="Z63" s="2">
        <v>35.700000000000003</v>
      </c>
      <c r="AA63">
        <v>0</v>
      </c>
      <c r="AB63" s="3">
        <v>0.7</v>
      </c>
      <c r="AC63" s="2">
        <v>0</v>
      </c>
      <c r="AD63" s="3">
        <v>0</v>
      </c>
      <c r="AE63" s="2">
        <v>0</v>
      </c>
      <c r="AF63" s="2">
        <v>0</v>
      </c>
      <c r="AK63" s="4">
        <v>18677920</v>
      </c>
    </row>
    <row r="64" spans="1:37" x14ac:dyDescent="0.25">
      <c r="A64" s="1">
        <v>45786</v>
      </c>
      <c r="B64" s="1">
        <v>45782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2028662388</v>
      </c>
      <c r="J64" t="s">
        <v>171</v>
      </c>
      <c r="M64" t="s">
        <v>172</v>
      </c>
      <c r="O64">
        <v>767312</v>
      </c>
      <c r="P64" t="s">
        <v>173</v>
      </c>
      <c r="Q64" t="s">
        <v>45</v>
      </c>
      <c r="R64" t="s">
        <v>115</v>
      </c>
      <c r="S64" s="1">
        <v>45777</v>
      </c>
      <c r="U64" t="s">
        <v>47</v>
      </c>
      <c r="X64" t="s">
        <v>48</v>
      </c>
      <c r="Y64" s="2">
        <v>19.28</v>
      </c>
      <c r="Z64" s="2">
        <v>19.28</v>
      </c>
      <c r="AA64">
        <v>0</v>
      </c>
      <c r="AB64" s="3">
        <v>0.9</v>
      </c>
      <c r="AC64" s="2">
        <v>0</v>
      </c>
      <c r="AD64" s="3">
        <v>0</v>
      </c>
      <c r="AE64" s="2">
        <v>0</v>
      </c>
      <c r="AF64" s="2">
        <v>0</v>
      </c>
      <c r="AK64" s="4">
        <v>18718700</v>
      </c>
    </row>
    <row r="65" spans="1:37" x14ac:dyDescent="0.25">
      <c r="A65" s="1">
        <v>45786</v>
      </c>
      <c r="B65" s="1">
        <v>45782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2028664275</v>
      </c>
      <c r="J65" t="s">
        <v>178</v>
      </c>
      <c r="M65" t="s">
        <v>179</v>
      </c>
      <c r="O65">
        <v>767312</v>
      </c>
      <c r="P65" t="s">
        <v>173</v>
      </c>
      <c r="Q65" t="s">
        <v>45</v>
      </c>
      <c r="R65" t="s">
        <v>115</v>
      </c>
      <c r="S65" s="1">
        <v>45777</v>
      </c>
      <c r="U65" t="s">
        <v>47</v>
      </c>
      <c r="X65" t="s">
        <v>48</v>
      </c>
      <c r="Y65" s="2">
        <v>83.63</v>
      </c>
      <c r="Z65" s="2">
        <v>83.63</v>
      </c>
      <c r="AA65">
        <v>0</v>
      </c>
      <c r="AB65" s="3">
        <v>0.9</v>
      </c>
      <c r="AC65" s="2">
        <v>0</v>
      </c>
      <c r="AD65" s="3">
        <v>0</v>
      </c>
      <c r="AE65" s="2">
        <v>0</v>
      </c>
      <c r="AF65" s="2">
        <v>0</v>
      </c>
      <c r="AK65" s="4">
        <v>18718710</v>
      </c>
    </row>
    <row r="66" spans="1:37" x14ac:dyDescent="0.25">
      <c r="A66" s="1">
        <v>45786</v>
      </c>
      <c r="B66" s="1">
        <v>45782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2028659852</v>
      </c>
      <c r="J66" t="s">
        <v>169</v>
      </c>
      <c r="M66" t="s">
        <v>57</v>
      </c>
      <c r="O66">
        <v>839474</v>
      </c>
      <c r="P66" t="s">
        <v>170</v>
      </c>
      <c r="Q66" t="s">
        <v>45</v>
      </c>
      <c r="R66" t="s">
        <v>52</v>
      </c>
      <c r="S66" s="1">
        <v>45778</v>
      </c>
      <c r="U66" t="s">
        <v>47</v>
      </c>
      <c r="X66" t="s">
        <v>48</v>
      </c>
      <c r="Y66" s="2">
        <v>47.42</v>
      </c>
      <c r="Z66" s="2">
        <v>47.42</v>
      </c>
      <c r="AA66">
        <v>0</v>
      </c>
      <c r="AB66" s="3">
        <v>0.375</v>
      </c>
      <c r="AC66" s="2">
        <v>0</v>
      </c>
      <c r="AD66" s="3">
        <v>0</v>
      </c>
      <c r="AE66" s="2">
        <v>0</v>
      </c>
      <c r="AF66" s="2">
        <v>0</v>
      </c>
      <c r="AK66" s="4">
        <v>18712670</v>
      </c>
    </row>
    <row r="67" spans="1:37" x14ac:dyDescent="0.25">
      <c r="A67" s="1">
        <v>45786</v>
      </c>
      <c r="B67" s="1">
        <v>45782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2028224699</v>
      </c>
      <c r="J67" t="s">
        <v>72</v>
      </c>
      <c r="M67" t="s">
        <v>50</v>
      </c>
      <c r="O67">
        <v>792847</v>
      </c>
      <c r="P67" t="s">
        <v>72</v>
      </c>
      <c r="Q67" t="s">
        <v>45</v>
      </c>
      <c r="R67" t="s">
        <v>52</v>
      </c>
      <c r="S67" s="1">
        <v>45778</v>
      </c>
      <c r="U67" t="s">
        <v>47</v>
      </c>
      <c r="X67" t="s">
        <v>48</v>
      </c>
      <c r="Y67" s="2">
        <v>57.19</v>
      </c>
      <c r="Z67" s="2">
        <v>57.19</v>
      </c>
      <c r="AA67">
        <v>0</v>
      </c>
      <c r="AB67" s="3">
        <v>0.375</v>
      </c>
      <c r="AC67" s="2">
        <v>0</v>
      </c>
      <c r="AD67" s="3">
        <v>0</v>
      </c>
      <c r="AE67" s="2">
        <v>0</v>
      </c>
      <c r="AF67" s="2">
        <v>0</v>
      </c>
      <c r="AK67" s="4">
        <v>18711610</v>
      </c>
    </row>
    <row r="68" spans="1:37" x14ac:dyDescent="0.25">
      <c r="A68" s="1">
        <v>45786</v>
      </c>
      <c r="B68" s="1">
        <v>45782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2028224700</v>
      </c>
      <c r="J68" t="s">
        <v>72</v>
      </c>
      <c r="M68" t="s">
        <v>50</v>
      </c>
      <c r="O68">
        <v>792847</v>
      </c>
      <c r="P68" t="s">
        <v>72</v>
      </c>
      <c r="Q68" t="s">
        <v>45</v>
      </c>
      <c r="R68" t="s">
        <v>53</v>
      </c>
      <c r="S68" s="1">
        <v>45778</v>
      </c>
      <c r="U68" t="s">
        <v>47</v>
      </c>
      <c r="X68" t="s">
        <v>48</v>
      </c>
      <c r="Y68" s="2">
        <v>11.5</v>
      </c>
      <c r="Z68" s="2">
        <v>11.5</v>
      </c>
      <c r="AA68">
        <v>0</v>
      </c>
      <c r="AB68" s="3">
        <v>0.7</v>
      </c>
      <c r="AC68" s="2">
        <v>0</v>
      </c>
      <c r="AD68" s="3">
        <v>0</v>
      </c>
      <c r="AE68" s="2">
        <v>0</v>
      </c>
      <c r="AF68" s="2">
        <v>0</v>
      </c>
      <c r="AK68" s="4">
        <v>18676840</v>
      </c>
    </row>
    <row r="69" spans="1:37" x14ac:dyDescent="0.25">
      <c r="A69" s="1">
        <v>45786</v>
      </c>
      <c r="B69" s="1">
        <v>45782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2028641305</v>
      </c>
      <c r="J69" t="s">
        <v>144</v>
      </c>
      <c r="M69" t="s">
        <v>145</v>
      </c>
      <c r="O69">
        <v>652037</v>
      </c>
      <c r="P69" t="s">
        <v>146</v>
      </c>
      <c r="Q69" t="s">
        <v>45</v>
      </c>
      <c r="R69" t="s">
        <v>52</v>
      </c>
      <c r="S69" s="1">
        <v>45778</v>
      </c>
      <c r="U69" t="s">
        <v>47</v>
      </c>
      <c r="X69" t="s">
        <v>48</v>
      </c>
      <c r="Y69" s="2">
        <v>85.49</v>
      </c>
      <c r="Z69" s="2">
        <v>85.49</v>
      </c>
      <c r="AA69">
        <v>0</v>
      </c>
      <c r="AB69" s="3">
        <v>0.375</v>
      </c>
      <c r="AC69" s="2">
        <v>0</v>
      </c>
      <c r="AD69" s="3">
        <v>0</v>
      </c>
      <c r="AE69" s="2">
        <v>0</v>
      </c>
      <c r="AF69" s="2">
        <v>0</v>
      </c>
      <c r="AK69" s="4">
        <v>18712440</v>
      </c>
    </row>
    <row r="70" spans="1:37" x14ac:dyDescent="0.25">
      <c r="A70" s="1">
        <v>45786</v>
      </c>
      <c r="B70" s="1">
        <v>45782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2028584435</v>
      </c>
      <c r="J70" t="s">
        <v>134</v>
      </c>
      <c r="M70" t="s">
        <v>43</v>
      </c>
      <c r="O70">
        <v>649247</v>
      </c>
      <c r="P70" t="s">
        <v>135</v>
      </c>
      <c r="Q70" t="s">
        <v>45</v>
      </c>
      <c r="R70" t="s">
        <v>52</v>
      </c>
      <c r="S70" s="1">
        <v>45778</v>
      </c>
      <c r="U70" t="s">
        <v>47</v>
      </c>
      <c r="X70" t="s">
        <v>48</v>
      </c>
      <c r="Y70" s="2">
        <v>35.979999999999997</v>
      </c>
      <c r="Z70" s="2">
        <v>35.979999999999997</v>
      </c>
      <c r="AA70">
        <v>0</v>
      </c>
      <c r="AB70" s="3">
        <v>0.375</v>
      </c>
      <c r="AC70" s="2">
        <v>0</v>
      </c>
      <c r="AD70" s="3">
        <v>0</v>
      </c>
      <c r="AE70" s="2">
        <v>0</v>
      </c>
      <c r="AF70" s="2">
        <v>0</v>
      </c>
      <c r="AK70" s="4">
        <v>18712270</v>
      </c>
    </row>
    <row r="71" spans="1:37" x14ac:dyDescent="0.25">
      <c r="A71" s="1">
        <v>45786</v>
      </c>
      <c r="B71" s="1">
        <v>45782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2028584436</v>
      </c>
      <c r="J71" t="s">
        <v>134</v>
      </c>
      <c r="M71" t="s">
        <v>43</v>
      </c>
      <c r="O71">
        <v>649247</v>
      </c>
      <c r="P71" t="s">
        <v>135</v>
      </c>
      <c r="Q71" t="s">
        <v>45</v>
      </c>
      <c r="R71" t="s">
        <v>119</v>
      </c>
      <c r="S71" s="1">
        <v>45778</v>
      </c>
      <c r="U71" t="s">
        <v>47</v>
      </c>
      <c r="X71" t="s">
        <v>48</v>
      </c>
      <c r="Y71" s="2">
        <v>52.69</v>
      </c>
      <c r="Z71" s="2">
        <v>52.69</v>
      </c>
      <c r="AA71">
        <v>0</v>
      </c>
      <c r="AB71" s="3">
        <v>0.6</v>
      </c>
      <c r="AC71" s="2">
        <v>0</v>
      </c>
      <c r="AD71" s="3">
        <v>0</v>
      </c>
      <c r="AE71" s="2">
        <v>0</v>
      </c>
      <c r="AF71" s="2">
        <v>0</v>
      </c>
      <c r="AK71" s="4">
        <v>18695200</v>
      </c>
    </row>
    <row r="72" spans="1:37" x14ac:dyDescent="0.25">
      <c r="A72" s="1">
        <v>45786</v>
      </c>
      <c r="B72" s="1">
        <v>45782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2028645589</v>
      </c>
      <c r="J72" t="s">
        <v>157</v>
      </c>
      <c r="M72" t="s">
        <v>43</v>
      </c>
      <c r="O72">
        <v>649247</v>
      </c>
      <c r="P72" t="s">
        <v>135</v>
      </c>
      <c r="Q72" t="s">
        <v>45</v>
      </c>
      <c r="R72" t="s">
        <v>119</v>
      </c>
      <c r="S72" s="1">
        <v>45778</v>
      </c>
      <c r="U72" t="s">
        <v>47</v>
      </c>
      <c r="X72" t="s">
        <v>48</v>
      </c>
      <c r="Y72" s="2">
        <v>52.69</v>
      </c>
      <c r="Z72" s="2">
        <v>52.69</v>
      </c>
      <c r="AA72">
        <v>0</v>
      </c>
      <c r="AB72" s="3">
        <v>0.6</v>
      </c>
      <c r="AC72" s="2">
        <v>0</v>
      </c>
      <c r="AD72" s="3">
        <v>0</v>
      </c>
      <c r="AE72" s="2">
        <v>0</v>
      </c>
      <c r="AF72" s="2">
        <v>0</v>
      </c>
      <c r="AK72" s="4">
        <v>18695280</v>
      </c>
    </row>
    <row r="73" spans="1:37" x14ac:dyDescent="0.25">
      <c r="A73" s="1">
        <v>45786</v>
      </c>
      <c r="B73" s="1">
        <v>45782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2028565355</v>
      </c>
      <c r="J73" t="s">
        <v>120</v>
      </c>
      <c r="M73" t="s">
        <v>121</v>
      </c>
      <c r="O73">
        <v>650218</v>
      </c>
      <c r="P73" t="s">
        <v>122</v>
      </c>
      <c r="Q73" t="s">
        <v>45</v>
      </c>
      <c r="R73" t="s">
        <v>53</v>
      </c>
      <c r="S73" s="1">
        <v>45777</v>
      </c>
      <c r="U73" t="s">
        <v>47</v>
      </c>
      <c r="X73" t="s">
        <v>48</v>
      </c>
      <c r="Y73" s="2">
        <v>30.16</v>
      </c>
      <c r="Z73" s="2">
        <v>30.16</v>
      </c>
      <c r="AA73">
        <v>0</v>
      </c>
      <c r="AB73" s="3">
        <v>0.7</v>
      </c>
      <c r="AC73" s="2">
        <v>0</v>
      </c>
      <c r="AD73" s="3">
        <v>0</v>
      </c>
      <c r="AE73" s="2">
        <v>0</v>
      </c>
      <c r="AF73" s="2">
        <v>0</v>
      </c>
      <c r="AK73" s="4">
        <v>18677310</v>
      </c>
    </row>
    <row r="74" spans="1:37" x14ac:dyDescent="0.25">
      <c r="A74" s="1">
        <v>45786</v>
      </c>
      <c r="B74" s="1">
        <v>45782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2028565356</v>
      </c>
      <c r="J74" t="s">
        <v>120</v>
      </c>
      <c r="M74" t="s">
        <v>121</v>
      </c>
      <c r="O74">
        <v>650218</v>
      </c>
      <c r="P74" t="s">
        <v>122</v>
      </c>
      <c r="Q74" t="s">
        <v>45</v>
      </c>
      <c r="R74" t="s">
        <v>111</v>
      </c>
      <c r="S74" s="1">
        <v>45777</v>
      </c>
      <c r="U74" t="s">
        <v>47</v>
      </c>
      <c r="X74" t="s">
        <v>48</v>
      </c>
      <c r="Y74" s="2">
        <v>39.340000000000003</v>
      </c>
      <c r="Z74" s="2">
        <v>39.340000000000003</v>
      </c>
      <c r="AA74">
        <v>0</v>
      </c>
      <c r="AB74" s="3">
        <v>0.38</v>
      </c>
      <c r="AC74" s="2">
        <v>0</v>
      </c>
      <c r="AD74" s="3">
        <v>0</v>
      </c>
      <c r="AE74" s="2">
        <v>0</v>
      </c>
      <c r="AF74" s="2">
        <v>0</v>
      </c>
      <c r="AK74" s="4">
        <v>18715760</v>
      </c>
    </row>
    <row r="75" spans="1:37" x14ac:dyDescent="0.25">
      <c r="A75" s="1">
        <v>45786</v>
      </c>
      <c r="B75" s="1">
        <v>45782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2028565357</v>
      </c>
      <c r="J75" t="s">
        <v>120</v>
      </c>
      <c r="M75" t="s">
        <v>121</v>
      </c>
      <c r="O75">
        <v>650218</v>
      </c>
      <c r="P75" t="s">
        <v>122</v>
      </c>
      <c r="Q75" t="s">
        <v>45</v>
      </c>
      <c r="R75" t="s">
        <v>52</v>
      </c>
      <c r="S75" s="1">
        <v>45777</v>
      </c>
      <c r="U75" t="s">
        <v>47</v>
      </c>
      <c r="X75" t="s">
        <v>48</v>
      </c>
      <c r="Y75" s="2">
        <v>99.89</v>
      </c>
      <c r="Z75" s="2">
        <v>99.89</v>
      </c>
      <c r="AA75">
        <v>0</v>
      </c>
      <c r="AB75" s="3">
        <v>0.375</v>
      </c>
      <c r="AC75" s="2">
        <v>0</v>
      </c>
      <c r="AD75" s="3">
        <v>0</v>
      </c>
      <c r="AE75" s="2">
        <v>0</v>
      </c>
      <c r="AF75" s="2">
        <v>0</v>
      </c>
      <c r="AK75" s="4">
        <v>18712210</v>
      </c>
    </row>
    <row r="76" spans="1:37" x14ac:dyDescent="0.25">
      <c r="A76" s="1">
        <v>45786</v>
      </c>
      <c r="B76" s="1">
        <v>45782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2028565358</v>
      </c>
      <c r="J76" t="s">
        <v>120</v>
      </c>
      <c r="M76" t="s">
        <v>121</v>
      </c>
      <c r="O76">
        <v>650218</v>
      </c>
      <c r="P76" t="s">
        <v>122</v>
      </c>
      <c r="Q76" t="s">
        <v>45</v>
      </c>
      <c r="R76" t="s">
        <v>112</v>
      </c>
      <c r="S76" s="1">
        <v>45777</v>
      </c>
      <c r="U76" t="s">
        <v>47</v>
      </c>
      <c r="X76" t="s">
        <v>48</v>
      </c>
      <c r="Y76" s="2">
        <v>15</v>
      </c>
      <c r="Z76" s="2">
        <v>15</v>
      </c>
      <c r="AA76">
        <v>0</v>
      </c>
      <c r="AB76" s="3">
        <v>0.38</v>
      </c>
      <c r="AC76" s="2">
        <v>0</v>
      </c>
      <c r="AD76" s="3">
        <v>0</v>
      </c>
      <c r="AE76" s="2">
        <v>0</v>
      </c>
      <c r="AF76" s="2">
        <v>0</v>
      </c>
      <c r="AK76" s="4">
        <v>18686300</v>
      </c>
    </row>
    <row r="77" spans="1:37" x14ac:dyDescent="0.25">
      <c r="A77" s="1">
        <v>45786</v>
      </c>
      <c r="B77" s="1">
        <v>45782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2028672513</v>
      </c>
      <c r="J77" t="s">
        <v>187</v>
      </c>
      <c r="M77" t="s">
        <v>43</v>
      </c>
      <c r="O77">
        <v>650218</v>
      </c>
      <c r="P77" t="s">
        <v>122</v>
      </c>
      <c r="Q77" t="s">
        <v>45</v>
      </c>
      <c r="R77" t="s">
        <v>188</v>
      </c>
      <c r="S77" s="1">
        <v>45778</v>
      </c>
      <c r="U77" t="s">
        <v>47</v>
      </c>
      <c r="X77" t="s">
        <v>48</v>
      </c>
      <c r="Y77" s="2">
        <v>101.27</v>
      </c>
      <c r="Z77" s="2">
        <v>101.27</v>
      </c>
      <c r="AA77">
        <v>0</v>
      </c>
      <c r="AB77" s="3">
        <v>0.28000000000000003</v>
      </c>
      <c r="AC77" s="2">
        <v>0</v>
      </c>
      <c r="AD77" s="3">
        <v>0</v>
      </c>
      <c r="AE77" s="2">
        <v>0</v>
      </c>
      <c r="AF77" s="2">
        <v>0</v>
      </c>
      <c r="AK77" s="4">
        <v>18658300</v>
      </c>
    </row>
    <row r="78" spans="1:37" x14ac:dyDescent="0.25">
      <c r="A78" s="1">
        <v>45786</v>
      </c>
      <c r="B78" s="1">
        <v>45782</v>
      </c>
      <c r="C78" t="s">
        <v>38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2028733297</v>
      </c>
      <c r="J78" t="s">
        <v>229</v>
      </c>
      <c r="M78" t="s">
        <v>121</v>
      </c>
      <c r="O78">
        <v>650218</v>
      </c>
      <c r="P78" t="s">
        <v>122</v>
      </c>
      <c r="Q78" t="s">
        <v>45</v>
      </c>
      <c r="R78" t="s">
        <v>52</v>
      </c>
      <c r="S78" s="1">
        <v>45780</v>
      </c>
      <c r="U78" t="s">
        <v>47</v>
      </c>
      <c r="X78" t="s">
        <v>48</v>
      </c>
      <c r="Y78" s="2">
        <v>84.27</v>
      </c>
      <c r="Z78" s="2">
        <v>84.27</v>
      </c>
      <c r="AA78">
        <v>0</v>
      </c>
      <c r="AB78" s="3">
        <v>0.375</v>
      </c>
      <c r="AC78" s="2">
        <v>0</v>
      </c>
      <c r="AD78" s="3">
        <v>0</v>
      </c>
      <c r="AE78" s="2">
        <v>0</v>
      </c>
      <c r="AF78" s="2">
        <v>0</v>
      </c>
      <c r="AK78" s="4">
        <v>18713490</v>
      </c>
    </row>
    <row r="79" spans="1:37" x14ac:dyDescent="0.25">
      <c r="A79" s="1">
        <v>45786</v>
      </c>
      <c r="B79" s="1">
        <v>45782</v>
      </c>
      <c r="C79" t="s">
        <v>38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2028733298</v>
      </c>
      <c r="J79" t="s">
        <v>229</v>
      </c>
      <c r="M79" t="s">
        <v>121</v>
      </c>
      <c r="O79">
        <v>650218</v>
      </c>
      <c r="P79" t="s">
        <v>122</v>
      </c>
      <c r="Q79" t="s">
        <v>45</v>
      </c>
      <c r="R79" t="s">
        <v>111</v>
      </c>
      <c r="S79" s="1">
        <v>45780</v>
      </c>
      <c r="U79" t="s">
        <v>47</v>
      </c>
      <c r="X79" t="s">
        <v>48</v>
      </c>
      <c r="Y79" s="2">
        <v>35.35</v>
      </c>
      <c r="Z79" s="2">
        <v>35.35</v>
      </c>
      <c r="AA79">
        <v>0</v>
      </c>
      <c r="AB79" s="3">
        <v>0.38</v>
      </c>
      <c r="AC79" s="2">
        <v>0</v>
      </c>
      <c r="AD79" s="3">
        <v>0</v>
      </c>
      <c r="AE79" s="2">
        <v>0</v>
      </c>
      <c r="AF79" s="2">
        <v>0</v>
      </c>
      <c r="AK79" s="4">
        <v>18715830</v>
      </c>
    </row>
    <row r="80" spans="1:37" x14ac:dyDescent="0.25">
      <c r="A80" s="1">
        <v>45786</v>
      </c>
      <c r="B80" s="1">
        <v>45782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2028733299</v>
      </c>
      <c r="J80" t="s">
        <v>229</v>
      </c>
      <c r="M80" t="s">
        <v>121</v>
      </c>
      <c r="O80">
        <v>650218</v>
      </c>
      <c r="P80" t="s">
        <v>122</v>
      </c>
      <c r="Q80" t="s">
        <v>45</v>
      </c>
      <c r="R80" t="s">
        <v>112</v>
      </c>
      <c r="S80" s="1">
        <v>45780</v>
      </c>
      <c r="U80" t="s">
        <v>47</v>
      </c>
      <c r="X80" t="s">
        <v>48</v>
      </c>
      <c r="Y80" s="2">
        <v>15</v>
      </c>
      <c r="Z80" s="2">
        <v>15</v>
      </c>
      <c r="AA80">
        <v>0</v>
      </c>
      <c r="AB80" s="3">
        <v>0.38</v>
      </c>
      <c r="AC80" s="2">
        <v>0</v>
      </c>
      <c r="AD80" s="3">
        <v>0</v>
      </c>
      <c r="AE80" s="2">
        <v>0</v>
      </c>
      <c r="AF80" s="2">
        <v>0</v>
      </c>
      <c r="AK80" s="4">
        <v>18686910</v>
      </c>
    </row>
    <row r="81" spans="1:37" x14ac:dyDescent="0.25">
      <c r="A81" s="1">
        <v>45786</v>
      </c>
      <c r="B81" s="1">
        <v>45782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2028694045</v>
      </c>
      <c r="J81" t="s">
        <v>210</v>
      </c>
      <c r="M81" t="s">
        <v>118</v>
      </c>
      <c r="O81">
        <v>649270</v>
      </c>
      <c r="P81" t="s">
        <v>211</v>
      </c>
      <c r="Q81" t="s">
        <v>45</v>
      </c>
      <c r="R81" t="s">
        <v>52</v>
      </c>
      <c r="S81" s="1">
        <v>45778</v>
      </c>
      <c r="U81" t="s">
        <v>47</v>
      </c>
      <c r="X81" t="s">
        <v>48</v>
      </c>
      <c r="Y81" s="2">
        <v>32.549999999999997</v>
      </c>
      <c r="Z81" s="2">
        <v>32.549999999999997</v>
      </c>
      <c r="AA81">
        <v>0</v>
      </c>
      <c r="AB81" s="3">
        <v>9.5000000000000001E-2</v>
      </c>
      <c r="AC81" s="2">
        <v>0</v>
      </c>
      <c r="AD81" s="3">
        <v>0</v>
      </c>
      <c r="AE81" s="2">
        <v>0</v>
      </c>
      <c r="AF81" s="2">
        <v>0</v>
      </c>
      <c r="AK81" s="4">
        <v>18713150</v>
      </c>
    </row>
    <row r="82" spans="1:37" x14ac:dyDescent="0.25">
      <c r="A82" s="1">
        <v>45786</v>
      </c>
      <c r="B82" s="1">
        <v>45782</v>
      </c>
      <c r="C82" t="s">
        <v>38</v>
      </c>
      <c r="D82" t="s">
        <v>39</v>
      </c>
      <c r="E82" t="s">
        <v>40</v>
      </c>
      <c r="F82">
        <v>649163</v>
      </c>
      <c r="G82">
        <v>20411454</v>
      </c>
      <c r="H82" t="s">
        <v>41</v>
      </c>
      <c r="I82">
        <v>2028421578</v>
      </c>
      <c r="J82" t="s">
        <v>94</v>
      </c>
      <c r="M82" t="s">
        <v>50</v>
      </c>
      <c r="O82">
        <v>822733</v>
      </c>
      <c r="P82" t="s">
        <v>95</v>
      </c>
      <c r="Q82" t="s">
        <v>45</v>
      </c>
      <c r="R82" t="s">
        <v>53</v>
      </c>
      <c r="S82" s="1">
        <v>45784</v>
      </c>
      <c r="U82" t="s">
        <v>47</v>
      </c>
      <c r="X82" t="s">
        <v>48</v>
      </c>
      <c r="Y82" s="2">
        <v>66.36</v>
      </c>
      <c r="Z82" s="2">
        <v>66.36</v>
      </c>
      <c r="AA82">
        <v>0</v>
      </c>
      <c r="AB82" s="3">
        <v>0.7</v>
      </c>
      <c r="AC82" s="2">
        <v>0</v>
      </c>
      <c r="AD82" s="3">
        <v>0</v>
      </c>
      <c r="AE82" s="2">
        <v>0</v>
      </c>
      <c r="AF82" s="2">
        <v>0</v>
      </c>
      <c r="AK82" s="4">
        <v>18677100</v>
      </c>
    </row>
    <row r="83" spans="1:37" x14ac:dyDescent="0.25">
      <c r="A83" s="1">
        <v>45786</v>
      </c>
      <c r="B83" s="1">
        <v>45782</v>
      </c>
      <c r="C83" t="s">
        <v>38</v>
      </c>
      <c r="D83" t="s">
        <v>39</v>
      </c>
      <c r="E83" t="s">
        <v>40</v>
      </c>
      <c r="F83">
        <v>649163</v>
      </c>
      <c r="G83">
        <v>20411454</v>
      </c>
      <c r="H83" t="s">
        <v>41</v>
      </c>
      <c r="I83">
        <v>2028615203</v>
      </c>
      <c r="J83" t="s">
        <v>141</v>
      </c>
      <c r="M83" t="s">
        <v>90</v>
      </c>
      <c r="O83">
        <v>822733</v>
      </c>
      <c r="P83" t="s">
        <v>95</v>
      </c>
      <c r="Q83" t="s">
        <v>45</v>
      </c>
      <c r="R83" t="s">
        <v>52</v>
      </c>
      <c r="S83" s="1">
        <v>45784</v>
      </c>
      <c r="U83" t="s">
        <v>47</v>
      </c>
      <c r="X83" t="s">
        <v>48</v>
      </c>
      <c r="Y83" s="2">
        <v>19.45</v>
      </c>
      <c r="Z83" s="2">
        <v>19.45</v>
      </c>
      <c r="AA83">
        <v>0</v>
      </c>
      <c r="AB83" s="3">
        <v>0.375</v>
      </c>
      <c r="AC83" s="2">
        <v>0</v>
      </c>
      <c r="AD83" s="3">
        <v>0</v>
      </c>
      <c r="AE83" s="2">
        <v>0</v>
      </c>
      <c r="AF83" s="2">
        <v>0</v>
      </c>
      <c r="AK83" s="4">
        <v>18712350</v>
      </c>
    </row>
    <row r="84" spans="1:37" x14ac:dyDescent="0.25">
      <c r="A84" s="1">
        <v>45786</v>
      </c>
      <c r="B84" s="1">
        <v>45782</v>
      </c>
      <c r="C84" t="s">
        <v>38</v>
      </c>
      <c r="D84" t="s">
        <v>39</v>
      </c>
      <c r="E84" t="s">
        <v>40</v>
      </c>
      <c r="F84">
        <v>649163</v>
      </c>
      <c r="G84">
        <v>20411454</v>
      </c>
      <c r="H84" t="s">
        <v>41</v>
      </c>
      <c r="I84">
        <v>2028615204</v>
      </c>
      <c r="J84" t="s">
        <v>141</v>
      </c>
      <c r="M84" t="s">
        <v>90</v>
      </c>
      <c r="O84">
        <v>822733</v>
      </c>
      <c r="P84" t="s">
        <v>95</v>
      </c>
      <c r="Q84" t="s">
        <v>45</v>
      </c>
      <c r="R84" t="s">
        <v>53</v>
      </c>
      <c r="S84" s="1">
        <v>45784</v>
      </c>
      <c r="U84" t="s">
        <v>47</v>
      </c>
      <c r="X84" t="s">
        <v>48</v>
      </c>
      <c r="Y84" s="2">
        <v>150.66</v>
      </c>
      <c r="Z84" s="2">
        <v>150.66</v>
      </c>
      <c r="AA84">
        <v>0</v>
      </c>
      <c r="AB84" s="3">
        <v>0.7</v>
      </c>
      <c r="AC84" s="2">
        <v>0</v>
      </c>
      <c r="AD84" s="3">
        <v>0</v>
      </c>
      <c r="AE84" s="2">
        <v>0</v>
      </c>
      <c r="AF84" s="2">
        <v>0</v>
      </c>
      <c r="AK84" s="4">
        <v>18677410</v>
      </c>
    </row>
    <row r="85" spans="1:37" x14ac:dyDescent="0.25">
      <c r="A85" s="1">
        <v>45786</v>
      </c>
      <c r="B85" s="1">
        <v>45782</v>
      </c>
      <c r="C85" t="s">
        <v>38</v>
      </c>
      <c r="D85" t="s">
        <v>39</v>
      </c>
      <c r="E85" t="s">
        <v>40</v>
      </c>
      <c r="F85">
        <v>649163</v>
      </c>
      <c r="G85">
        <v>20411454</v>
      </c>
      <c r="H85" t="s">
        <v>41</v>
      </c>
      <c r="I85">
        <v>2028615205</v>
      </c>
      <c r="J85" t="s">
        <v>141</v>
      </c>
      <c r="M85" t="s">
        <v>90</v>
      </c>
      <c r="O85">
        <v>822733</v>
      </c>
      <c r="P85" t="s">
        <v>95</v>
      </c>
      <c r="Q85" t="s">
        <v>45</v>
      </c>
      <c r="R85" t="s">
        <v>115</v>
      </c>
      <c r="S85" s="1">
        <v>45784</v>
      </c>
      <c r="U85" t="s">
        <v>47</v>
      </c>
      <c r="X85" t="s">
        <v>48</v>
      </c>
      <c r="Y85" s="2">
        <v>42.42</v>
      </c>
      <c r="Z85" s="2">
        <v>42.42</v>
      </c>
      <c r="AA85">
        <v>0</v>
      </c>
      <c r="AB85" s="3">
        <v>0.9</v>
      </c>
      <c r="AC85" s="2">
        <v>0</v>
      </c>
      <c r="AD85" s="3">
        <v>0</v>
      </c>
      <c r="AE85" s="2">
        <v>0</v>
      </c>
      <c r="AF85" s="2">
        <v>0</v>
      </c>
      <c r="AK85" s="4">
        <v>18718590</v>
      </c>
    </row>
    <row r="86" spans="1:37" x14ac:dyDescent="0.25">
      <c r="A86" s="1">
        <v>45786</v>
      </c>
      <c r="B86" s="1">
        <v>45782</v>
      </c>
      <c r="C86" t="s">
        <v>38</v>
      </c>
      <c r="D86" t="s">
        <v>39</v>
      </c>
      <c r="E86" t="s">
        <v>40</v>
      </c>
      <c r="F86">
        <v>649163</v>
      </c>
      <c r="G86">
        <v>20411454</v>
      </c>
      <c r="H86" t="s">
        <v>41</v>
      </c>
      <c r="I86">
        <v>2028663425</v>
      </c>
      <c r="J86" t="s">
        <v>177</v>
      </c>
      <c r="M86" t="s">
        <v>90</v>
      </c>
      <c r="O86">
        <v>822733</v>
      </c>
      <c r="P86" t="s">
        <v>95</v>
      </c>
      <c r="Q86" t="s">
        <v>45</v>
      </c>
      <c r="R86" t="s">
        <v>53</v>
      </c>
      <c r="S86" s="1">
        <v>45784</v>
      </c>
      <c r="U86" t="s">
        <v>47</v>
      </c>
      <c r="X86" t="s">
        <v>48</v>
      </c>
      <c r="Y86" s="2">
        <v>48.76</v>
      </c>
      <c r="Z86" s="2">
        <v>48.76</v>
      </c>
      <c r="AA86">
        <v>0</v>
      </c>
      <c r="AB86" s="3">
        <v>0.7</v>
      </c>
      <c r="AC86" s="2">
        <v>0</v>
      </c>
      <c r="AD86" s="3">
        <v>0</v>
      </c>
      <c r="AE86" s="2">
        <v>0</v>
      </c>
      <c r="AF86" s="2">
        <v>0</v>
      </c>
      <c r="AK86" s="4">
        <v>18677710</v>
      </c>
    </row>
    <row r="87" spans="1:37" x14ac:dyDescent="0.25">
      <c r="A87" s="1">
        <v>45786</v>
      </c>
      <c r="B87" s="1">
        <v>45782</v>
      </c>
      <c r="C87" t="s">
        <v>38</v>
      </c>
      <c r="D87" t="s">
        <v>39</v>
      </c>
      <c r="E87" t="s">
        <v>40</v>
      </c>
      <c r="F87">
        <v>649163</v>
      </c>
      <c r="G87">
        <v>20411454</v>
      </c>
      <c r="H87" t="s">
        <v>41</v>
      </c>
      <c r="I87">
        <v>2028675136</v>
      </c>
      <c r="J87" t="s">
        <v>189</v>
      </c>
      <c r="M87" t="s">
        <v>90</v>
      </c>
      <c r="O87">
        <v>822733</v>
      </c>
      <c r="P87" t="s">
        <v>95</v>
      </c>
      <c r="Q87" t="s">
        <v>45</v>
      </c>
      <c r="R87" t="s">
        <v>53</v>
      </c>
      <c r="S87" s="1">
        <v>45784</v>
      </c>
      <c r="U87" t="s">
        <v>47</v>
      </c>
      <c r="X87" t="s">
        <v>48</v>
      </c>
      <c r="Y87" s="2">
        <v>48.76</v>
      </c>
      <c r="Z87" s="2">
        <v>48.76</v>
      </c>
      <c r="AA87">
        <v>0</v>
      </c>
      <c r="AB87" s="3">
        <v>0.7</v>
      </c>
      <c r="AC87" s="2">
        <v>0</v>
      </c>
      <c r="AD87" s="3">
        <v>0</v>
      </c>
      <c r="AE87" s="2">
        <v>0</v>
      </c>
      <c r="AF87" s="2">
        <v>0</v>
      </c>
      <c r="AK87" s="4">
        <v>18677900</v>
      </c>
    </row>
    <row r="88" spans="1:37" x14ac:dyDescent="0.25">
      <c r="A88" s="1">
        <v>45786</v>
      </c>
      <c r="B88" s="1">
        <v>45782</v>
      </c>
      <c r="C88" t="s">
        <v>38</v>
      </c>
      <c r="D88" t="s">
        <v>39</v>
      </c>
      <c r="E88" t="s">
        <v>40</v>
      </c>
      <c r="F88">
        <v>649163</v>
      </c>
      <c r="G88">
        <v>20411454</v>
      </c>
      <c r="H88" t="s">
        <v>41</v>
      </c>
      <c r="I88">
        <v>2028696872</v>
      </c>
      <c r="J88" t="s">
        <v>213</v>
      </c>
      <c r="M88" t="s">
        <v>50</v>
      </c>
      <c r="O88">
        <v>669316</v>
      </c>
      <c r="P88" t="s">
        <v>214</v>
      </c>
      <c r="Q88" t="s">
        <v>45</v>
      </c>
      <c r="R88" t="s">
        <v>52</v>
      </c>
      <c r="S88" s="1">
        <v>45778</v>
      </c>
      <c r="U88" t="s">
        <v>47</v>
      </c>
      <c r="X88" t="s">
        <v>48</v>
      </c>
      <c r="Y88" s="2">
        <v>51.86</v>
      </c>
      <c r="Z88" s="2">
        <v>51.86</v>
      </c>
      <c r="AA88">
        <v>0</v>
      </c>
      <c r="AB88" s="3">
        <v>0.375</v>
      </c>
      <c r="AC88" s="2">
        <v>0</v>
      </c>
      <c r="AD88" s="3">
        <v>0</v>
      </c>
      <c r="AE88" s="2">
        <v>0</v>
      </c>
      <c r="AF88" s="2">
        <v>0</v>
      </c>
      <c r="AK88" s="4">
        <v>18713190</v>
      </c>
    </row>
    <row r="89" spans="1:37" x14ac:dyDescent="0.25">
      <c r="A89" s="1">
        <v>45786</v>
      </c>
      <c r="B89" s="1">
        <v>45782</v>
      </c>
      <c r="C89" t="s">
        <v>38</v>
      </c>
      <c r="D89" t="s">
        <v>39</v>
      </c>
      <c r="E89" t="s">
        <v>40</v>
      </c>
      <c r="F89">
        <v>649163</v>
      </c>
      <c r="G89">
        <v>20411454</v>
      </c>
      <c r="H89" t="s">
        <v>41</v>
      </c>
      <c r="I89">
        <v>2028696873</v>
      </c>
      <c r="J89" t="s">
        <v>213</v>
      </c>
      <c r="M89" t="s">
        <v>50</v>
      </c>
      <c r="O89">
        <v>669316</v>
      </c>
      <c r="P89" t="s">
        <v>214</v>
      </c>
      <c r="Q89" t="s">
        <v>45</v>
      </c>
      <c r="R89" t="s">
        <v>53</v>
      </c>
      <c r="S89" s="1">
        <v>45778</v>
      </c>
      <c r="U89" t="s">
        <v>47</v>
      </c>
      <c r="X89" t="s">
        <v>48</v>
      </c>
      <c r="Y89" s="2">
        <v>66.510000000000005</v>
      </c>
      <c r="Z89" s="2">
        <v>66.510000000000005</v>
      </c>
      <c r="AA89">
        <v>0</v>
      </c>
      <c r="AB89" s="3">
        <v>0.7</v>
      </c>
      <c r="AC89" s="2">
        <v>0</v>
      </c>
      <c r="AD89" s="3">
        <v>0</v>
      </c>
      <c r="AE89" s="2">
        <v>0</v>
      </c>
      <c r="AF89" s="2">
        <v>0</v>
      </c>
      <c r="AK89" s="4">
        <v>18678120</v>
      </c>
    </row>
    <row r="90" spans="1:37" x14ac:dyDescent="0.25">
      <c r="A90" s="1">
        <v>45786</v>
      </c>
      <c r="B90" s="1">
        <v>45782</v>
      </c>
      <c r="C90" t="s">
        <v>38</v>
      </c>
      <c r="D90" t="s">
        <v>39</v>
      </c>
      <c r="E90" t="s">
        <v>40</v>
      </c>
      <c r="F90">
        <v>649163</v>
      </c>
      <c r="G90">
        <v>20411454</v>
      </c>
      <c r="H90" t="s">
        <v>41</v>
      </c>
      <c r="I90">
        <v>2027202668</v>
      </c>
      <c r="J90" t="s">
        <v>42</v>
      </c>
      <c r="M90" t="s">
        <v>43</v>
      </c>
      <c r="O90">
        <v>728134</v>
      </c>
      <c r="P90" t="s">
        <v>44</v>
      </c>
      <c r="Q90" t="s">
        <v>45</v>
      </c>
      <c r="R90" t="s">
        <v>46</v>
      </c>
      <c r="S90" s="1">
        <v>45778</v>
      </c>
      <c r="U90" t="s">
        <v>47</v>
      </c>
      <c r="X90" t="s">
        <v>48</v>
      </c>
      <c r="Y90" s="2">
        <v>56.88</v>
      </c>
      <c r="Z90" s="2">
        <v>56.88</v>
      </c>
      <c r="AA90">
        <v>0</v>
      </c>
      <c r="AB90" s="3">
        <v>0.47</v>
      </c>
      <c r="AC90" s="2">
        <v>0</v>
      </c>
      <c r="AD90" s="3">
        <v>0</v>
      </c>
      <c r="AE90" s="2">
        <v>0</v>
      </c>
      <c r="AF90" s="2">
        <v>0</v>
      </c>
      <c r="AK90" s="4">
        <v>18710080</v>
      </c>
    </row>
    <row r="91" spans="1:37" x14ac:dyDescent="0.25">
      <c r="A91" s="1">
        <v>45786</v>
      </c>
      <c r="B91" s="1">
        <v>45782</v>
      </c>
      <c r="C91" t="s">
        <v>38</v>
      </c>
      <c r="D91" t="s">
        <v>39</v>
      </c>
      <c r="E91" t="s">
        <v>40</v>
      </c>
      <c r="F91">
        <v>649163</v>
      </c>
      <c r="G91">
        <v>20411454</v>
      </c>
      <c r="H91" t="s">
        <v>41</v>
      </c>
      <c r="I91">
        <v>2028322560</v>
      </c>
      <c r="J91" t="s">
        <v>81</v>
      </c>
      <c r="M91" t="s">
        <v>43</v>
      </c>
      <c r="O91">
        <v>728134</v>
      </c>
      <c r="P91" t="s">
        <v>44</v>
      </c>
      <c r="Q91" t="s">
        <v>45</v>
      </c>
      <c r="R91" t="s">
        <v>52</v>
      </c>
      <c r="S91" s="1">
        <v>45778</v>
      </c>
      <c r="U91" t="s">
        <v>47</v>
      </c>
      <c r="X91" t="s">
        <v>48</v>
      </c>
      <c r="Y91" s="2">
        <v>81.58</v>
      </c>
      <c r="Z91" s="2">
        <v>81.58</v>
      </c>
      <c r="AA91">
        <v>0</v>
      </c>
      <c r="AB91" s="3">
        <v>0.375</v>
      </c>
      <c r="AC91" s="2">
        <v>0</v>
      </c>
      <c r="AD91" s="3">
        <v>0</v>
      </c>
      <c r="AE91" s="2">
        <v>0</v>
      </c>
      <c r="AF91" s="2">
        <v>0</v>
      </c>
      <c r="AK91" s="4">
        <v>18711850</v>
      </c>
    </row>
    <row r="92" spans="1:37" x14ac:dyDescent="0.25">
      <c r="A92" s="1">
        <v>45786</v>
      </c>
      <c r="B92" s="1">
        <v>45782</v>
      </c>
      <c r="C92" t="s">
        <v>38</v>
      </c>
      <c r="D92" t="s">
        <v>39</v>
      </c>
      <c r="E92" t="s">
        <v>40</v>
      </c>
      <c r="F92">
        <v>649163</v>
      </c>
      <c r="G92">
        <v>20411454</v>
      </c>
      <c r="H92" t="s">
        <v>41</v>
      </c>
      <c r="I92">
        <v>2028710687</v>
      </c>
      <c r="J92" t="s">
        <v>224</v>
      </c>
      <c r="M92" t="s">
        <v>43</v>
      </c>
      <c r="O92">
        <v>728134</v>
      </c>
      <c r="P92" t="s">
        <v>44</v>
      </c>
      <c r="Q92" t="s">
        <v>45</v>
      </c>
      <c r="R92" t="s">
        <v>52</v>
      </c>
      <c r="S92" s="1">
        <v>45779</v>
      </c>
      <c r="U92" t="s">
        <v>47</v>
      </c>
      <c r="X92" t="s">
        <v>48</v>
      </c>
      <c r="Y92" s="2">
        <v>49.98</v>
      </c>
      <c r="Z92" s="2">
        <v>49.98</v>
      </c>
      <c r="AA92">
        <v>0</v>
      </c>
      <c r="AB92" s="3">
        <v>0.375</v>
      </c>
      <c r="AC92" s="2">
        <v>0</v>
      </c>
      <c r="AD92" s="3">
        <v>0</v>
      </c>
      <c r="AE92" s="2">
        <v>0</v>
      </c>
      <c r="AF92" s="2">
        <v>0</v>
      </c>
      <c r="AK92" s="4">
        <v>18713320</v>
      </c>
    </row>
    <row r="93" spans="1:37" x14ac:dyDescent="0.25">
      <c r="A93" s="1">
        <v>45786</v>
      </c>
      <c r="B93" s="1">
        <v>45782</v>
      </c>
      <c r="C93" t="s">
        <v>38</v>
      </c>
      <c r="D93" t="s">
        <v>39</v>
      </c>
      <c r="E93" t="s">
        <v>40</v>
      </c>
      <c r="F93">
        <v>649163</v>
      </c>
      <c r="G93">
        <v>20411454</v>
      </c>
      <c r="H93" t="s">
        <v>41</v>
      </c>
      <c r="I93">
        <v>2028672358</v>
      </c>
      <c r="J93" t="s">
        <v>185</v>
      </c>
      <c r="M93" t="s">
        <v>50</v>
      </c>
      <c r="O93">
        <v>812656</v>
      </c>
      <c r="P93" t="s">
        <v>186</v>
      </c>
      <c r="Q93" t="s">
        <v>45</v>
      </c>
      <c r="R93" t="s">
        <v>52</v>
      </c>
      <c r="S93" s="1">
        <v>45777</v>
      </c>
      <c r="U93" t="s">
        <v>47</v>
      </c>
      <c r="X93" t="s">
        <v>48</v>
      </c>
      <c r="Y93" s="2">
        <v>132.77000000000001</v>
      </c>
      <c r="Z93" s="2">
        <v>132.77000000000001</v>
      </c>
      <c r="AA93">
        <v>0</v>
      </c>
      <c r="AB93" s="3">
        <v>0.375</v>
      </c>
      <c r="AC93" s="2">
        <v>0</v>
      </c>
      <c r="AD93" s="3">
        <v>0</v>
      </c>
      <c r="AE93" s="2">
        <v>0</v>
      </c>
      <c r="AF93" s="2">
        <v>0</v>
      </c>
      <c r="AK93" s="4">
        <v>18712850</v>
      </c>
    </row>
    <row r="94" spans="1:37" x14ac:dyDescent="0.25">
      <c r="A94" s="1">
        <v>45786</v>
      </c>
      <c r="B94" s="1">
        <v>45782</v>
      </c>
      <c r="C94" t="s">
        <v>38</v>
      </c>
      <c r="D94" t="s">
        <v>39</v>
      </c>
      <c r="E94" t="s">
        <v>40</v>
      </c>
      <c r="F94">
        <v>649163</v>
      </c>
      <c r="G94">
        <v>20411454</v>
      </c>
      <c r="H94" t="s">
        <v>41</v>
      </c>
      <c r="I94">
        <v>2028672359</v>
      </c>
      <c r="J94" t="s">
        <v>185</v>
      </c>
      <c r="M94" t="s">
        <v>50</v>
      </c>
      <c r="O94">
        <v>812656</v>
      </c>
      <c r="P94" t="s">
        <v>186</v>
      </c>
      <c r="Q94" t="s">
        <v>45</v>
      </c>
      <c r="R94" t="s">
        <v>53</v>
      </c>
      <c r="S94" s="1">
        <v>45777</v>
      </c>
      <c r="U94" t="s">
        <v>47</v>
      </c>
      <c r="X94" t="s">
        <v>48</v>
      </c>
      <c r="Y94" s="2">
        <v>15.75</v>
      </c>
      <c r="Z94" s="2">
        <v>15.75</v>
      </c>
      <c r="AA94">
        <v>0</v>
      </c>
      <c r="AB94" s="3">
        <v>0.7</v>
      </c>
      <c r="AC94" s="2">
        <v>0</v>
      </c>
      <c r="AD94" s="3">
        <v>0</v>
      </c>
      <c r="AE94" s="2">
        <v>0</v>
      </c>
      <c r="AF94" s="2">
        <v>0</v>
      </c>
      <c r="AK94" s="4">
        <v>18677850</v>
      </c>
    </row>
    <row r="95" spans="1:37" x14ac:dyDescent="0.25">
      <c r="A95" s="1">
        <v>45786</v>
      </c>
      <c r="B95" s="1">
        <v>45782</v>
      </c>
      <c r="C95" t="s">
        <v>38</v>
      </c>
      <c r="D95" t="s">
        <v>39</v>
      </c>
      <c r="E95" t="s">
        <v>40</v>
      </c>
      <c r="F95">
        <v>649163</v>
      </c>
      <c r="G95">
        <v>20411454</v>
      </c>
      <c r="H95" t="s">
        <v>41</v>
      </c>
      <c r="I95">
        <v>2028248979</v>
      </c>
      <c r="J95" t="s">
        <v>73</v>
      </c>
      <c r="M95" t="s">
        <v>74</v>
      </c>
      <c r="O95">
        <v>651818</v>
      </c>
      <c r="P95" t="s">
        <v>75</v>
      </c>
      <c r="Q95" t="s">
        <v>45</v>
      </c>
      <c r="R95" t="s">
        <v>53</v>
      </c>
      <c r="S95" s="1">
        <v>45784</v>
      </c>
      <c r="U95" t="s">
        <v>47</v>
      </c>
      <c r="X95" t="s">
        <v>48</v>
      </c>
      <c r="Y95" s="2">
        <v>120.5</v>
      </c>
      <c r="Z95" s="2">
        <v>120.5</v>
      </c>
      <c r="AA95">
        <v>0</v>
      </c>
      <c r="AB95" s="3">
        <v>0.7</v>
      </c>
      <c r="AC95" s="2">
        <v>0</v>
      </c>
      <c r="AD95" s="3">
        <v>0</v>
      </c>
      <c r="AE95" s="2">
        <v>0</v>
      </c>
      <c r="AF95" s="2">
        <v>0</v>
      </c>
      <c r="AK95" s="4">
        <v>18676880</v>
      </c>
    </row>
    <row r="96" spans="1:37" x14ac:dyDescent="0.25">
      <c r="A96" s="1">
        <v>45786</v>
      </c>
      <c r="B96" s="1">
        <v>45782</v>
      </c>
      <c r="C96" t="s">
        <v>38</v>
      </c>
      <c r="D96" t="s">
        <v>39</v>
      </c>
      <c r="E96" t="s">
        <v>40</v>
      </c>
      <c r="F96">
        <v>649163</v>
      </c>
      <c r="G96">
        <v>20411454</v>
      </c>
      <c r="H96" t="s">
        <v>41</v>
      </c>
      <c r="I96">
        <v>2028248980</v>
      </c>
      <c r="J96" t="s">
        <v>73</v>
      </c>
      <c r="M96" t="s">
        <v>74</v>
      </c>
      <c r="O96">
        <v>651818</v>
      </c>
      <c r="P96" t="s">
        <v>75</v>
      </c>
      <c r="Q96" t="s">
        <v>45</v>
      </c>
      <c r="R96" t="s">
        <v>76</v>
      </c>
      <c r="S96" s="1">
        <v>45784</v>
      </c>
      <c r="U96" t="s">
        <v>47</v>
      </c>
      <c r="X96" t="s">
        <v>48</v>
      </c>
      <c r="Y96" s="2">
        <v>316.83</v>
      </c>
      <c r="Z96" s="2">
        <v>316.83</v>
      </c>
      <c r="AA96">
        <v>0</v>
      </c>
      <c r="AB96" s="3">
        <v>0.75</v>
      </c>
      <c r="AC96" s="2">
        <v>0</v>
      </c>
      <c r="AD96" s="3">
        <v>0</v>
      </c>
      <c r="AE96" s="2">
        <v>0</v>
      </c>
      <c r="AF96" s="2">
        <v>0</v>
      </c>
      <c r="AK96" s="4">
        <v>18694910</v>
      </c>
    </row>
    <row r="97" spans="1:37" x14ac:dyDescent="0.25">
      <c r="A97" s="1">
        <v>45786</v>
      </c>
      <c r="B97" s="1">
        <v>45782</v>
      </c>
      <c r="C97" t="s">
        <v>38</v>
      </c>
      <c r="D97" t="s">
        <v>39</v>
      </c>
      <c r="E97" t="s">
        <v>40</v>
      </c>
      <c r="F97">
        <v>649163</v>
      </c>
      <c r="G97">
        <v>20411454</v>
      </c>
      <c r="H97" t="s">
        <v>41</v>
      </c>
      <c r="I97">
        <v>2028412597</v>
      </c>
      <c r="J97" t="s">
        <v>88</v>
      </c>
      <c r="M97" t="s">
        <v>50</v>
      </c>
      <c r="O97">
        <v>651818</v>
      </c>
      <c r="P97" t="s">
        <v>75</v>
      </c>
      <c r="Q97" t="s">
        <v>45</v>
      </c>
      <c r="R97" t="s">
        <v>53</v>
      </c>
      <c r="S97" s="1">
        <v>45784</v>
      </c>
      <c r="U97" t="s">
        <v>47</v>
      </c>
      <c r="X97" t="s">
        <v>48</v>
      </c>
      <c r="Y97" s="2">
        <v>80.14</v>
      </c>
      <c r="Z97" s="2">
        <v>80.14</v>
      </c>
      <c r="AA97">
        <v>0</v>
      </c>
      <c r="AB97" s="3">
        <v>0.7</v>
      </c>
      <c r="AC97" s="2">
        <v>0</v>
      </c>
      <c r="AD97" s="3">
        <v>0</v>
      </c>
      <c r="AE97" s="2">
        <v>0</v>
      </c>
      <c r="AF97" s="2">
        <v>0</v>
      </c>
      <c r="AK97" s="4">
        <v>18677090</v>
      </c>
    </row>
    <row r="98" spans="1:37" x14ac:dyDescent="0.25">
      <c r="A98" s="1">
        <v>45786</v>
      </c>
      <c r="B98" s="1">
        <v>45782</v>
      </c>
      <c r="C98" t="s">
        <v>38</v>
      </c>
      <c r="D98" t="s">
        <v>39</v>
      </c>
      <c r="E98" t="s">
        <v>40</v>
      </c>
      <c r="F98">
        <v>649163</v>
      </c>
      <c r="G98">
        <v>20411454</v>
      </c>
      <c r="H98" t="s">
        <v>41</v>
      </c>
      <c r="I98">
        <v>2028412598</v>
      </c>
      <c r="J98" t="s">
        <v>88</v>
      </c>
      <c r="M98" t="s">
        <v>50</v>
      </c>
      <c r="O98">
        <v>651818</v>
      </c>
      <c r="P98" t="s">
        <v>75</v>
      </c>
      <c r="Q98" t="s">
        <v>45</v>
      </c>
      <c r="R98" t="s">
        <v>76</v>
      </c>
      <c r="S98" s="1">
        <v>45784</v>
      </c>
      <c r="U98" t="s">
        <v>47</v>
      </c>
      <c r="X98" t="s">
        <v>48</v>
      </c>
      <c r="Y98" s="2">
        <v>125.83</v>
      </c>
      <c r="Z98" s="2">
        <v>125.83</v>
      </c>
      <c r="AA98">
        <v>0</v>
      </c>
      <c r="AB98" s="3">
        <v>0.75</v>
      </c>
      <c r="AC98" s="2">
        <v>0</v>
      </c>
      <c r="AD98" s="3">
        <v>0</v>
      </c>
      <c r="AE98" s="2">
        <v>0</v>
      </c>
      <c r="AF98" s="2">
        <v>0</v>
      </c>
      <c r="AK98" s="4">
        <v>18695040</v>
      </c>
    </row>
    <row r="99" spans="1:37" x14ac:dyDescent="0.25">
      <c r="A99" s="1">
        <v>45786</v>
      </c>
      <c r="B99" s="1">
        <v>45782</v>
      </c>
      <c r="C99" t="s">
        <v>38</v>
      </c>
      <c r="D99" t="s">
        <v>39</v>
      </c>
      <c r="E99" t="s">
        <v>40</v>
      </c>
      <c r="F99">
        <v>649163</v>
      </c>
      <c r="G99">
        <v>20411454</v>
      </c>
      <c r="H99" t="s">
        <v>41</v>
      </c>
      <c r="I99">
        <v>2028436941</v>
      </c>
      <c r="J99" t="s">
        <v>99</v>
      </c>
      <c r="M99" t="s">
        <v>100</v>
      </c>
      <c r="O99">
        <v>651818</v>
      </c>
      <c r="P99" t="s">
        <v>75</v>
      </c>
      <c r="Q99" t="s">
        <v>45</v>
      </c>
      <c r="R99" t="s">
        <v>53</v>
      </c>
      <c r="S99" s="1">
        <v>45784</v>
      </c>
      <c r="U99" t="s">
        <v>47</v>
      </c>
      <c r="X99" t="s">
        <v>48</v>
      </c>
      <c r="Y99" s="2">
        <v>77.12</v>
      </c>
      <c r="Z99" s="2">
        <v>77.12</v>
      </c>
      <c r="AA99">
        <v>0</v>
      </c>
      <c r="AB99" s="3">
        <v>0.7</v>
      </c>
      <c r="AC99" s="2">
        <v>0</v>
      </c>
      <c r="AD99" s="3">
        <v>0</v>
      </c>
      <c r="AE99" s="2">
        <v>0</v>
      </c>
      <c r="AF99" s="2">
        <v>0</v>
      </c>
      <c r="AK99" s="4">
        <v>18677120</v>
      </c>
    </row>
    <row r="100" spans="1:37" x14ac:dyDescent="0.25">
      <c r="A100" s="1">
        <v>45786</v>
      </c>
      <c r="B100" s="1">
        <v>45782</v>
      </c>
      <c r="C100" t="s">
        <v>38</v>
      </c>
      <c r="D100" t="s">
        <v>39</v>
      </c>
      <c r="E100" t="s">
        <v>40</v>
      </c>
      <c r="F100">
        <v>649163</v>
      </c>
      <c r="G100">
        <v>20411454</v>
      </c>
      <c r="H100" t="s">
        <v>41</v>
      </c>
      <c r="I100">
        <v>2028549154</v>
      </c>
      <c r="J100" t="s">
        <v>113</v>
      </c>
      <c r="M100" t="s">
        <v>114</v>
      </c>
      <c r="O100">
        <v>651818</v>
      </c>
      <c r="P100" t="s">
        <v>75</v>
      </c>
      <c r="Q100" t="s">
        <v>45</v>
      </c>
      <c r="R100" t="s">
        <v>115</v>
      </c>
      <c r="S100" s="1">
        <v>45784</v>
      </c>
      <c r="U100" t="s">
        <v>47</v>
      </c>
      <c r="X100" t="s">
        <v>48</v>
      </c>
      <c r="Y100" s="2">
        <v>26.25</v>
      </c>
      <c r="Z100" s="2">
        <v>26.25</v>
      </c>
      <c r="AA100">
        <v>0</v>
      </c>
      <c r="AB100" s="3">
        <v>0.9</v>
      </c>
      <c r="AC100" s="2">
        <v>0</v>
      </c>
      <c r="AD100" s="3">
        <v>0</v>
      </c>
      <c r="AE100" s="2">
        <v>0</v>
      </c>
      <c r="AF100" s="2">
        <v>0</v>
      </c>
      <c r="AK100" s="4">
        <v>18718580</v>
      </c>
    </row>
    <row r="101" spans="1:37" x14ac:dyDescent="0.25">
      <c r="A101" s="1">
        <v>45786</v>
      </c>
      <c r="B101" s="1">
        <v>45782</v>
      </c>
      <c r="C101" t="s">
        <v>38</v>
      </c>
      <c r="D101" t="s">
        <v>39</v>
      </c>
      <c r="E101" t="s">
        <v>40</v>
      </c>
      <c r="F101">
        <v>649163</v>
      </c>
      <c r="G101">
        <v>20411454</v>
      </c>
      <c r="H101" t="s">
        <v>41</v>
      </c>
      <c r="I101">
        <v>2028549155</v>
      </c>
      <c r="J101" t="s">
        <v>113</v>
      </c>
      <c r="M101" t="s">
        <v>114</v>
      </c>
      <c r="O101">
        <v>651818</v>
      </c>
      <c r="P101" t="s">
        <v>75</v>
      </c>
      <c r="Q101" t="s">
        <v>45</v>
      </c>
      <c r="R101" t="s">
        <v>76</v>
      </c>
      <c r="S101" s="1">
        <v>45784</v>
      </c>
      <c r="U101" t="s">
        <v>47</v>
      </c>
      <c r="X101" t="s">
        <v>48</v>
      </c>
      <c r="Y101" s="2">
        <v>31.75</v>
      </c>
      <c r="Z101" s="2">
        <v>31.75</v>
      </c>
      <c r="AA101">
        <v>0</v>
      </c>
      <c r="AB101" s="3">
        <v>0.75</v>
      </c>
      <c r="AC101" s="2">
        <v>0</v>
      </c>
      <c r="AD101" s="3">
        <v>0</v>
      </c>
      <c r="AE101" s="2">
        <v>0</v>
      </c>
      <c r="AF101" s="2">
        <v>0</v>
      </c>
      <c r="AK101" s="4">
        <v>18695140</v>
      </c>
    </row>
    <row r="102" spans="1:37" x14ac:dyDescent="0.25">
      <c r="A102" s="1">
        <v>45786</v>
      </c>
      <c r="B102" s="1">
        <v>45782</v>
      </c>
      <c r="C102" t="s">
        <v>38</v>
      </c>
      <c r="D102" t="s">
        <v>39</v>
      </c>
      <c r="E102" t="s">
        <v>40</v>
      </c>
      <c r="F102">
        <v>649163</v>
      </c>
      <c r="G102">
        <v>20411454</v>
      </c>
      <c r="H102" t="s">
        <v>41</v>
      </c>
      <c r="I102">
        <v>2028567647</v>
      </c>
      <c r="J102" t="s">
        <v>125</v>
      </c>
      <c r="M102" t="s">
        <v>126</v>
      </c>
      <c r="O102">
        <v>651818</v>
      </c>
      <c r="P102" t="s">
        <v>75</v>
      </c>
      <c r="Q102" t="s">
        <v>45</v>
      </c>
      <c r="R102" t="s">
        <v>52</v>
      </c>
      <c r="S102" s="1">
        <v>45778</v>
      </c>
      <c r="U102" t="s">
        <v>47</v>
      </c>
      <c r="X102" t="s">
        <v>48</v>
      </c>
      <c r="Y102" s="2">
        <v>64.34</v>
      </c>
      <c r="Z102" s="2">
        <v>64.34</v>
      </c>
      <c r="AA102">
        <v>0</v>
      </c>
      <c r="AB102" s="3">
        <v>0.375</v>
      </c>
      <c r="AC102" s="2">
        <v>0</v>
      </c>
      <c r="AD102" s="3">
        <v>0</v>
      </c>
      <c r="AE102" s="2">
        <v>0</v>
      </c>
      <c r="AF102" s="2">
        <v>0</v>
      </c>
      <c r="AK102" s="4">
        <v>18712220</v>
      </c>
    </row>
    <row r="103" spans="1:37" x14ac:dyDescent="0.25">
      <c r="A103" s="1">
        <v>45786</v>
      </c>
      <c r="B103" s="1">
        <v>45782</v>
      </c>
      <c r="C103" t="s">
        <v>38</v>
      </c>
      <c r="D103" t="s">
        <v>39</v>
      </c>
      <c r="E103" t="s">
        <v>40</v>
      </c>
      <c r="F103">
        <v>649163</v>
      </c>
      <c r="G103">
        <v>20411454</v>
      </c>
      <c r="H103" t="s">
        <v>41</v>
      </c>
      <c r="I103">
        <v>2028567758</v>
      </c>
      <c r="J103" t="s">
        <v>127</v>
      </c>
      <c r="M103" t="s">
        <v>126</v>
      </c>
      <c r="O103">
        <v>651818</v>
      </c>
      <c r="P103" t="s">
        <v>75</v>
      </c>
      <c r="Q103" t="s">
        <v>45</v>
      </c>
      <c r="R103" t="s">
        <v>52</v>
      </c>
      <c r="S103" s="1">
        <v>45778</v>
      </c>
      <c r="U103" t="s">
        <v>47</v>
      </c>
      <c r="X103" t="s">
        <v>48</v>
      </c>
      <c r="Y103" s="2">
        <v>64.34</v>
      </c>
      <c r="Z103" s="2">
        <v>64.34</v>
      </c>
      <c r="AA103">
        <v>0</v>
      </c>
      <c r="AB103" s="3">
        <v>0.375</v>
      </c>
      <c r="AC103" s="2">
        <v>0</v>
      </c>
      <c r="AD103" s="3">
        <v>0</v>
      </c>
      <c r="AE103" s="2">
        <v>0</v>
      </c>
      <c r="AF103" s="2">
        <v>0</v>
      </c>
      <c r="AK103" s="4">
        <v>18712220</v>
      </c>
    </row>
    <row r="104" spans="1:37" x14ac:dyDescent="0.25">
      <c r="A104" s="1">
        <v>45786</v>
      </c>
      <c r="B104" s="1">
        <v>45782</v>
      </c>
      <c r="C104" t="s">
        <v>38</v>
      </c>
      <c r="D104" t="s">
        <v>39</v>
      </c>
      <c r="E104" t="s">
        <v>40</v>
      </c>
      <c r="F104">
        <v>649163</v>
      </c>
      <c r="G104">
        <v>20411454</v>
      </c>
      <c r="H104" t="s">
        <v>41</v>
      </c>
      <c r="I104">
        <v>2028645306</v>
      </c>
      <c r="J104" t="s">
        <v>154</v>
      </c>
      <c r="M104" t="s">
        <v>155</v>
      </c>
      <c r="O104">
        <v>651818</v>
      </c>
      <c r="P104" t="s">
        <v>75</v>
      </c>
      <c r="Q104" t="s">
        <v>45</v>
      </c>
      <c r="R104" t="s">
        <v>76</v>
      </c>
      <c r="S104" s="1">
        <v>45784</v>
      </c>
      <c r="U104" t="s">
        <v>47</v>
      </c>
      <c r="X104" t="s">
        <v>48</v>
      </c>
      <c r="Y104" s="2">
        <v>228</v>
      </c>
      <c r="Z104" s="2">
        <v>228</v>
      </c>
      <c r="AA104">
        <v>0</v>
      </c>
      <c r="AB104" s="3">
        <v>0.75</v>
      </c>
      <c r="AC104" s="2">
        <v>0</v>
      </c>
      <c r="AD104" s="3">
        <v>0</v>
      </c>
      <c r="AE104" s="2">
        <v>0</v>
      </c>
      <c r="AF104" s="2">
        <v>0</v>
      </c>
      <c r="AK104" s="4">
        <v>18695270</v>
      </c>
    </row>
    <row r="105" spans="1:37" x14ac:dyDescent="0.25">
      <c r="A105" s="1">
        <v>45786</v>
      </c>
      <c r="B105" s="1">
        <v>45782</v>
      </c>
      <c r="C105" t="s">
        <v>38</v>
      </c>
      <c r="D105" t="s">
        <v>39</v>
      </c>
      <c r="E105" t="s">
        <v>40</v>
      </c>
      <c r="F105">
        <v>649163</v>
      </c>
      <c r="G105">
        <v>20411454</v>
      </c>
      <c r="H105" t="s">
        <v>41</v>
      </c>
      <c r="I105">
        <v>2028645307</v>
      </c>
      <c r="J105" t="s">
        <v>154</v>
      </c>
      <c r="M105" t="s">
        <v>155</v>
      </c>
      <c r="O105">
        <v>651818</v>
      </c>
      <c r="P105" t="s">
        <v>75</v>
      </c>
      <c r="Q105" t="s">
        <v>45</v>
      </c>
      <c r="R105" t="s">
        <v>115</v>
      </c>
      <c r="S105" s="1">
        <v>45784</v>
      </c>
      <c r="U105" t="s">
        <v>47</v>
      </c>
      <c r="X105" t="s">
        <v>48</v>
      </c>
      <c r="Y105" s="2">
        <v>92.08</v>
      </c>
      <c r="Z105" s="2">
        <v>92.08</v>
      </c>
      <c r="AA105">
        <v>0</v>
      </c>
      <c r="AB105" s="3">
        <v>0.9</v>
      </c>
      <c r="AC105" s="2">
        <v>0</v>
      </c>
      <c r="AD105" s="3">
        <v>0</v>
      </c>
      <c r="AE105" s="2">
        <v>0</v>
      </c>
      <c r="AF105" s="2">
        <v>0</v>
      </c>
      <c r="AK105" s="4">
        <v>18718620</v>
      </c>
    </row>
    <row r="106" spans="1:37" x14ac:dyDescent="0.25">
      <c r="A106" s="1">
        <v>45786</v>
      </c>
      <c r="B106" s="1">
        <v>45782</v>
      </c>
      <c r="C106" t="s">
        <v>38</v>
      </c>
      <c r="D106" t="s">
        <v>39</v>
      </c>
      <c r="E106" t="s">
        <v>40</v>
      </c>
      <c r="F106">
        <v>649163</v>
      </c>
      <c r="G106">
        <v>20411454</v>
      </c>
      <c r="H106" t="s">
        <v>41</v>
      </c>
      <c r="I106">
        <v>2028692689</v>
      </c>
      <c r="J106" t="s">
        <v>209</v>
      </c>
      <c r="M106" t="s">
        <v>114</v>
      </c>
      <c r="O106">
        <v>651818</v>
      </c>
      <c r="P106" t="s">
        <v>75</v>
      </c>
      <c r="Q106" t="s">
        <v>45</v>
      </c>
      <c r="R106" t="s">
        <v>76</v>
      </c>
      <c r="S106" s="1">
        <v>45784</v>
      </c>
      <c r="U106" t="s">
        <v>47</v>
      </c>
      <c r="X106" t="s">
        <v>48</v>
      </c>
      <c r="Y106" s="2">
        <v>72.38</v>
      </c>
      <c r="Z106" s="2">
        <v>72.38</v>
      </c>
      <c r="AA106">
        <v>0</v>
      </c>
      <c r="AB106" s="3">
        <v>0.75</v>
      </c>
      <c r="AC106" s="2">
        <v>0</v>
      </c>
      <c r="AD106" s="3">
        <v>0</v>
      </c>
      <c r="AE106" s="2">
        <v>0</v>
      </c>
      <c r="AF106" s="2">
        <v>0</v>
      </c>
      <c r="AK106" s="4">
        <v>18695490</v>
      </c>
    </row>
    <row r="107" spans="1:37" x14ac:dyDescent="0.25">
      <c r="A107" s="1">
        <v>45786</v>
      </c>
      <c r="B107" s="1">
        <v>45782</v>
      </c>
      <c r="C107" t="s">
        <v>38</v>
      </c>
      <c r="D107" t="s">
        <v>39</v>
      </c>
      <c r="E107" t="s">
        <v>40</v>
      </c>
      <c r="F107">
        <v>649163</v>
      </c>
      <c r="G107">
        <v>20411454</v>
      </c>
      <c r="H107" t="s">
        <v>41</v>
      </c>
      <c r="I107">
        <v>2028722200</v>
      </c>
      <c r="J107" t="s">
        <v>227</v>
      </c>
      <c r="M107" t="s">
        <v>50</v>
      </c>
      <c r="O107">
        <v>651818</v>
      </c>
      <c r="P107" t="s">
        <v>75</v>
      </c>
      <c r="Q107" t="s">
        <v>45</v>
      </c>
      <c r="R107" t="s">
        <v>228</v>
      </c>
      <c r="S107" s="1">
        <v>45779</v>
      </c>
      <c r="U107" t="s">
        <v>47</v>
      </c>
      <c r="X107" t="s">
        <v>48</v>
      </c>
      <c r="Y107" s="2">
        <v>93.29</v>
      </c>
      <c r="Z107" s="2">
        <v>93.29</v>
      </c>
      <c r="AA107">
        <v>0</v>
      </c>
      <c r="AB107" s="3">
        <v>1.3</v>
      </c>
      <c r="AC107" s="2">
        <v>0</v>
      </c>
      <c r="AD107" s="3">
        <v>0</v>
      </c>
      <c r="AE107" s="2">
        <v>0</v>
      </c>
      <c r="AF107" s="2">
        <v>0</v>
      </c>
      <c r="AK107" s="4">
        <v>18718950</v>
      </c>
    </row>
    <row r="108" spans="1:37" x14ac:dyDescent="0.25">
      <c r="A108" s="1">
        <v>45786</v>
      </c>
      <c r="B108" s="1">
        <v>45782</v>
      </c>
      <c r="C108" t="s">
        <v>38</v>
      </c>
      <c r="D108" t="s">
        <v>39</v>
      </c>
      <c r="E108" t="s">
        <v>40</v>
      </c>
      <c r="F108">
        <v>649163</v>
      </c>
      <c r="G108">
        <v>20411454</v>
      </c>
      <c r="H108" t="s">
        <v>41</v>
      </c>
      <c r="I108">
        <v>2028207400</v>
      </c>
      <c r="J108" t="s">
        <v>68</v>
      </c>
      <c r="M108" t="s">
        <v>50</v>
      </c>
      <c r="O108">
        <v>812782</v>
      </c>
      <c r="P108" t="s">
        <v>69</v>
      </c>
      <c r="Q108" t="s">
        <v>45</v>
      </c>
      <c r="R108" t="s">
        <v>53</v>
      </c>
      <c r="S108" s="1">
        <v>45778</v>
      </c>
      <c r="U108" t="s">
        <v>47</v>
      </c>
      <c r="X108" t="s">
        <v>48</v>
      </c>
      <c r="Y108" s="2">
        <v>79.34</v>
      </c>
      <c r="Z108" s="2">
        <v>79.34</v>
      </c>
      <c r="AA108">
        <v>0</v>
      </c>
      <c r="AB108" s="3">
        <v>0.7</v>
      </c>
      <c r="AC108" s="2">
        <v>0</v>
      </c>
      <c r="AD108" s="3">
        <v>0</v>
      </c>
      <c r="AE108" s="2">
        <v>0</v>
      </c>
      <c r="AF108" s="2">
        <v>0</v>
      </c>
      <c r="AK108" s="4">
        <v>18676790</v>
      </c>
    </row>
    <row r="109" spans="1:37" x14ac:dyDescent="0.25">
      <c r="A109" s="1">
        <v>45786</v>
      </c>
      <c r="B109" s="1">
        <v>45782</v>
      </c>
      <c r="C109" t="s">
        <v>38</v>
      </c>
      <c r="D109" t="s">
        <v>39</v>
      </c>
      <c r="E109" t="s">
        <v>40</v>
      </c>
      <c r="F109">
        <v>649163</v>
      </c>
      <c r="G109">
        <v>20411454</v>
      </c>
      <c r="H109" t="s">
        <v>41</v>
      </c>
      <c r="I109">
        <v>2028602265</v>
      </c>
      <c r="J109" t="s">
        <v>136</v>
      </c>
      <c r="M109" t="s">
        <v>50</v>
      </c>
      <c r="O109">
        <v>812782</v>
      </c>
      <c r="P109" t="s">
        <v>69</v>
      </c>
      <c r="Q109" t="s">
        <v>45</v>
      </c>
      <c r="R109" t="s">
        <v>53</v>
      </c>
      <c r="S109" s="1">
        <v>45780</v>
      </c>
      <c r="U109" t="s">
        <v>47</v>
      </c>
      <c r="X109" t="s">
        <v>48</v>
      </c>
      <c r="Y109" s="2">
        <v>103.18</v>
      </c>
      <c r="Z109" s="2">
        <v>103.18</v>
      </c>
      <c r="AA109">
        <v>0</v>
      </c>
      <c r="AB109" s="3">
        <v>0.7</v>
      </c>
      <c r="AC109" s="2">
        <v>0</v>
      </c>
      <c r="AD109" s="3">
        <v>0</v>
      </c>
      <c r="AE109" s="2">
        <v>0</v>
      </c>
      <c r="AF109" s="2">
        <v>0</v>
      </c>
      <c r="AK109" s="4">
        <v>18677370</v>
      </c>
    </row>
    <row r="110" spans="1:37" x14ac:dyDescent="0.25">
      <c r="A110" s="1">
        <v>45786</v>
      </c>
      <c r="B110" s="1">
        <v>45782</v>
      </c>
      <c r="C110" t="s">
        <v>38</v>
      </c>
      <c r="D110" t="s">
        <v>39</v>
      </c>
      <c r="E110" t="s">
        <v>40</v>
      </c>
      <c r="F110">
        <v>649163</v>
      </c>
      <c r="G110">
        <v>20411454</v>
      </c>
      <c r="H110" t="s">
        <v>41</v>
      </c>
      <c r="I110">
        <v>2028602266</v>
      </c>
      <c r="J110" t="s">
        <v>136</v>
      </c>
      <c r="M110" t="s">
        <v>50</v>
      </c>
      <c r="O110">
        <v>812782</v>
      </c>
      <c r="P110" t="s">
        <v>69</v>
      </c>
      <c r="Q110" t="s">
        <v>45</v>
      </c>
      <c r="R110" t="s">
        <v>52</v>
      </c>
      <c r="S110" s="1">
        <v>45780</v>
      </c>
      <c r="U110" t="s">
        <v>47</v>
      </c>
      <c r="X110" t="s">
        <v>48</v>
      </c>
      <c r="Y110" s="2">
        <v>106.78</v>
      </c>
      <c r="Z110" s="2">
        <v>106.78</v>
      </c>
      <c r="AA110">
        <v>0</v>
      </c>
      <c r="AB110" s="3">
        <v>0.375</v>
      </c>
      <c r="AC110" s="2">
        <v>0</v>
      </c>
      <c r="AD110" s="3">
        <v>0</v>
      </c>
      <c r="AE110" s="2">
        <v>0</v>
      </c>
      <c r="AF110" s="2">
        <v>0</v>
      </c>
      <c r="AK110" s="4">
        <v>18712320</v>
      </c>
    </row>
    <row r="111" spans="1:37" x14ac:dyDescent="0.25">
      <c r="A111" s="1">
        <v>45786</v>
      </c>
      <c r="B111" s="1">
        <v>45782</v>
      </c>
      <c r="C111" t="s">
        <v>38</v>
      </c>
      <c r="D111" t="s">
        <v>39</v>
      </c>
      <c r="E111" t="s">
        <v>40</v>
      </c>
      <c r="F111">
        <v>649163</v>
      </c>
      <c r="G111">
        <v>20411454</v>
      </c>
      <c r="H111" t="s">
        <v>41</v>
      </c>
      <c r="I111">
        <v>2028692039</v>
      </c>
      <c r="J111" t="s">
        <v>205</v>
      </c>
      <c r="M111" t="s">
        <v>43</v>
      </c>
      <c r="O111">
        <v>751867</v>
      </c>
      <c r="P111" t="s">
        <v>206</v>
      </c>
      <c r="Q111" t="s">
        <v>45</v>
      </c>
      <c r="R111" t="s">
        <v>207</v>
      </c>
      <c r="S111" s="1">
        <v>45778</v>
      </c>
      <c r="U111" t="s">
        <v>47</v>
      </c>
      <c r="X111" t="s">
        <v>48</v>
      </c>
      <c r="Y111" s="2">
        <v>230.06</v>
      </c>
      <c r="Z111" s="2">
        <v>230.06</v>
      </c>
      <c r="AA111">
        <v>0</v>
      </c>
      <c r="AB111" s="3">
        <v>0.19</v>
      </c>
      <c r="AC111" s="2">
        <v>0</v>
      </c>
      <c r="AD111" s="3">
        <v>0</v>
      </c>
      <c r="AE111" s="2">
        <v>0</v>
      </c>
      <c r="AF111" s="2">
        <v>0</v>
      </c>
      <c r="AK111" s="4">
        <v>18678070</v>
      </c>
    </row>
    <row r="112" spans="1:37" x14ac:dyDescent="0.25">
      <c r="A112" s="1">
        <v>45786</v>
      </c>
      <c r="B112" s="1">
        <v>45782</v>
      </c>
      <c r="C112" t="s">
        <v>38</v>
      </c>
      <c r="D112" t="s">
        <v>39</v>
      </c>
      <c r="E112" t="s">
        <v>40</v>
      </c>
      <c r="F112">
        <v>649163</v>
      </c>
      <c r="G112">
        <v>20411454</v>
      </c>
      <c r="H112" t="s">
        <v>41</v>
      </c>
      <c r="I112">
        <v>2028692040</v>
      </c>
      <c r="J112" t="s">
        <v>205</v>
      </c>
      <c r="M112" t="s">
        <v>43</v>
      </c>
      <c r="O112">
        <v>751867</v>
      </c>
      <c r="P112" t="s">
        <v>206</v>
      </c>
      <c r="Q112" t="s">
        <v>45</v>
      </c>
      <c r="R112" t="s">
        <v>208</v>
      </c>
      <c r="S112" s="1">
        <v>45778</v>
      </c>
      <c r="U112" t="s">
        <v>47</v>
      </c>
      <c r="X112" t="s">
        <v>48</v>
      </c>
      <c r="Y112" s="2">
        <v>7.09</v>
      </c>
      <c r="Z112" s="2">
        <v>7.09</v>
      </c>
      <c r="AA112">
        <v>0</v>
      </c>
      <c r="AB112" s="3">
        <v>0.38</v>
      </c>
      <c r="AC112" s="2">
        <v>0</v>
      </c>
      <c r="AD112" s="3">
        <v>0</v>
      </c>
      <c r="AE112" s="2">
        <v>0</v>
      </c>
      <c r="AF112" s="2">
        <v>0</v>
      </c>
      <c r="AK112" s="4">
        <v>18714260</v>
      </c>
    </row>
    <row r="113" spans="1:37" x14ac:dyDescent="0.25">
      <c r="A113" s="1">
        <v>45786</v>
      </c>
      <c r="B113" s="1">
        <v>45782</v>
      </c>
      <c r="C113" t="s">
        <v>38</v>
      </c>
      <c r="D113" t="s">
        <v>39</v>
      </c>
      <c r="E113" t="s">
        <v>40</v>
      </c>
      <c r="F113">
        <v>649163</v>
      </c>
      <c r="G113">
        <v>20411454</v>
      </c>
      <c r="H113" t="s">
        <v>41</v>
      </c>
      <c r="I113">
        <v>2028643639</v>
      </c>
      <c r="J113" t="s">
        <v>151</v>
      </c>
      <c r="M113" t="s">
        <v>43</v>
      </c>
      <c r="O113">
        <v>649285</v>
      </c>
      <c r="P113" t="s">
        <v>152</v>
      </c>
      <c r="Q113" t="s">
        <v>45</v>
      </c>
      <c r="R113" t="s">
        <v>153</v>
      </c>
      <c r="S113" s="1">
        <v>45809</v>
      </c>
      <c r="U113" t="s">
        <v>47</v>
      </c>
      <c r="X113" t="s">
        <v>48</v>
      </c>
      <c r="Y113" s="2">
        <v>108.21</v>
      </c>
      <c r="Z113" s="2">
        <v>108.21</v>
      </c>
      <c r="AA113">
        <v>0</v>
      </c>
      <c r="AB113" s="3">
        <v>0.04</v>
      </c>
      <c r="AC113" s="2">
        <v>0</v>
      </c>
      <c r="AD113" s="3">
        <v>0</v>
      </c>
      <c r="AE113" s="2">
        <v>0</v>
      </c>
      <c r="AF113" s="2">
        <v>0</v>
      </c>
      <c r="AK113" s="4">
        <v>18657390</v>
      </c>
    </row>
    <row r="114" spans="1:37" x14ac:dyDescent="0.25">
      <c r="A114" s="1">
        <v>45786</v>
      </c>
      <c r="B114" s="1">
        <v>45782</v>
      </c>
      <c r="C114" t="s">
        <v>38</v>
      </c>
      <c r="D114" t="s">
        <v>39</v>
      </c>
      <c r="E114" t="s">
        <v>40</v>
      </c>
      <c r="F114">
        <v>649163</v>
      </c>
      <c r="G114">
        <v>20411454</v>
      </c>
      <c r="H114" t="s">
        <v>41</v>
      </c>
      <c r="I114">
        <v>2028567412</v>
      </c>
      <c r="J114" t="s">
        <v>123</v>
      </c>
      <c r="M114" t="s">
        <v>43</v>
      </c>
      <c r="O114">
        <v>690329</v>
      </c>
      <c r="P114" t="s">
        <v>124</v>
      </c>
      <c r="Q114" t="s">
        <v>45</v>
      </c>
      <c r="R114" t="s">
        <v>119</v>
      </c>
      <c r="S114" s="1">
        <v>45778</v>
      </c>
      <c r="U114" t="s">
        <v>47</v>
      </c>
      <c r="X114" t="s">
        <v>48</v>
      </c>
      <c r="Y114" s="2">
        <v>52.69</v>
      </c>
      <c r="Z114" s="2">
        <v>52.69</v>
      </c>
      <c r="AA114">
        <v>0</v>
      </c>
      <c r="AB114" s="3">
        <v>0.2</v>
      </c>
      <c r="AC114" s="2">
        <v>0</v>
      </c>
      <c r="AD114" s="3">
        <v>0</v>
      </c>
      <c r="AE114" s="2">
        <v>0</v>
      </c>
      <c r="AF114" s="2">
        <v>0</v>
      </c>
      <c r="AK114" s="4">
        <v>18695180</v>
      </c>
    </row>
    <row r="115" spans="1:37" x14ac:dyDescent="0.25">
      <c r="A115" s="1">
        <v>45786</v>
      </c>
      <c r="B115" s="1">
        <v>45782</v>
      </c>
      <c r="C115" t="s">
        <v>38</v>
      </c>
      <c r="D115" t="s">
        <v>39</v>
      </c>
      <c r="E115" t="s">
        <v>40</v>
      </c>
      <c r="F115">
        <v>649163</v>
      </c>
      <c r="G115">
        <v>20411454</v>
      </c>
      <c r="H115" t="s">
        <v>41</v>
      </c>
      <c r="I115">
        <v>2028405065</v>
      </c>
      <c r="J115" t="s">
        <v>85</v>
      </c>
      <c r="M115" t="s">
        <v>86</v>
      </c>
      <c r="O115">
        <v>753748</v>
      </c>
      <c r="P115" t="s">
        <v>87</v>
      </c>
      <c r="Q115" t="s">
        <v>45</v>
      </c>
      <c r="R115" t="s">
        <v>53</v>
      </c>
      <c r="S115" s="1">
        <v>45778</v>
      </c>
      <c r="U115" t="s">
        <v>47</v>
      </c>
      <c r="X115" t="s">
        <v>48</v>
      </c>
      <c r="Y115" s="2">
        <v>135.84</v>
      </c>
      <c r="Z115" s="2">
        <v>135.84</v>
      </c>
      <c r="AA115">
        <v>0</v>
      </c>
      <c r="AB115" s="3">
        <v>0.7</v>
      </c>
      <c r="AC115" s="2">
        <v>0</v>
      </c>
      <c r="AD115" s="3">
        <v>0</v>
      </c>
      <c r="AE115" s="2">
        <v>0</v>
      </c>
      <c r="AF115" s="2">
        <v>0</v>
      </c>
      <c r="AK115" s="4">
        <v>18677080</v>
      </c>
    </row>
    <row r="116" spans="1:37" x14ac:dyDescent="0.25">
      <c r="A116" s="1">
        <v>45786</v>
      </c>
      <c r="B116" s="1">
        <v>45782</v>
      </c>
      <c r="C116" t="s">
        <v>38</v>
      </c>
      <c r="D116" t="s">
        <v>39</v>
      </c>
      <c r="E116" t="s">
        <v>40</v>
      </c>
      <c r="F116">
        <v>649163</v>
      </c>
      <c r="G116">
        <v>20411454</v>
      </c>
      <c r="H116" t="s">
        <v>41</v>
      </c>
      <c r="I116">
        <v>2028417914</v>
      </c>
      <c r="J116" t="s">
        <v>89</v>
      </c>
      <c r="M116" t="s">
        <v>90</v>
      </c>
      <c r="O116">
        <v>753748</v>
      </c>
      <c r="P116" t="s">
        <v>87</v>
      </c>
      <c r="Q116" t="s">
        <v>45</v>
      </c>
      <c r="R116" t="s">
        <v>91</v>
      </c>
      <c r="S116" s="1">
        <v>45778</v>
      </c>
      <c r="U116" t="s">
        <v>47</v>
      </c>
      <c r="X116" t="s">
        <v>48</v>
      </c>
      <c r="Y116" s="2">
        <v>397.92</v>
      </c>
      <c r="Z116" s="2">
        <v>397.92</v>
      </c>
      <c r="AA116">
        <v>0</v>
      </c>
      <c r="AB116" s="3">
        <v>0.9</v>
      </c>
      <c r="AC116" s="2">
        <v>0</v>
      </c>
      <c r="AD116" s="3">
        <v>0</v>
      </c>
      <c r="AE116" s="2">
        <v>0</v>
      </c>
      <c r="AF116" s="2">
        <v>0</v>
      </c>
      <c r="AK116" s="4">
        <v>18695040</v>
      </c>
    </row>
    <row r="117" spans="1:37" x14ac:dyDescent="0.25">
      <c r="A117" s="1">
        <v>45786</v>
      </c>
      <c r="B117" s="1">
        <v>45782</v>
      </c>
      <c r="C117" t="s">
        <v>38</v>
      </c>
      <c r="D117" t="s">
        <v>39</v>
      </c>
      <c r="E117" t="s">
        <v>40</v>
      </c>
      <c r="F117">
        <v>649163</v>
      </c>
      <c r="G117">
        <v>20411454</v>
      </c>
      <c r="H117" t="s">
        <v>41</v>
      </c>
      <c r="I117">
        <v>2028427595</v>
      </c>
      <c r="J117" t="s">
        <v>98</v>
      </c>
      <c r="M117" t="s">
        <v>79</v>
      </c>
      <c r="O117">
        <v>753748</v>
      </c>
      <c r="P117" t="s">
        <v>87</v>
      </c>
      <c r="Q117" t="s">
        <v>45</v>
      </c>
      <c r="R117" t="s">
        <v>91</v>
      </c>
      <c r="S117" s="1">
        <v>45778</v>
      </c>
      <c r="U117" t="s">
        <v>47</v>
      </c>
      <c r="X117" t="s">
        <v>48</v>
      </c>
      <c r="Y117" s="2">
        <v>60.66</v>
      </c>
      <c r="Z117" s="2">
        <v>60.66</v>
      </c>
      <c r="AA117">
        <v>0</v>
      </c>
      <c r="AB117" s="3">
        <v>0.9</v>
      </c>
      <c r="AC117" s="2">
        <v>0</v>
      </c>
      <c r="AD117" s="3">
        <v>0</v>
      </c>
      <c r="AE117" s="2">
        <v>0</v>
      </c>
      <c r="AF117" s="2">
        <v>0</v>
      </c>
      <c r="AK117" s="4">
        <v>18695050</v>
      </c>
    </row>
    <row r="118" spans="1:37" x14ac:dyDescent="0.25">
      <c r="A118" s="1">
        <v>45786</v>
      </c>
      <c r="B118" s="1">
        <v>45782</v>
      </c>
      <c r="C118" t="s">
        <v>38</v>
      </c>
      <c r="D118" t="s">
        <v>39</v>
      </c>
      <c r="E118" t="s">
        <v>40</v>
      </c>
      <c r="F118">
        <v>649163</v>
      </c>
      <c r="G118">
        <v>20411454</v>
      </c>
      <c r="H118" t="s">
        <v>41</v>
      </c>
      <c r="I118">
        <v>2028427596</v>
      </c>
      <c r="J118" t="s">
        <v>98</v>
      </c>
      <c r="M118" t="s">
        <v>79</v>
      </c>
      <c r="O118">
        <v>753748</v>
      </c>
      <c r="P118" t="s">
        <v>87</v>
      </c>
      <c r="Q118" t="s">
        <v>45</v>
      </c>
      <c r="R118" t="s">
        <v>53</v>
      </c>
      <c r="S118" s="1">
        <v>45778</v>
      </c>
      <c r="U118" t="s">
        <v>47</v>
      </c>
      <c r="X118" t="s">
        <v>48</v>
      </c>
      <c r="Y118" s="2">
        <v>23.22</v>
      </c>
      <c r="Z118" s="2">
        <v>23.22</v>
      </c>
      <c r="AA118">
        <v>0</v>
      </c>
      <c r="AB118" s="3">
        <v>0.7</v>
      </c>
      <c r="AC118" s="2">
        <v>0</v>
      </c>
      <c r="AD118" s="3">
        <v>0</v>
      </c>
      <c r="AE118" s="2">
        <v>0</v>
      </c>
      <c r="AF118" s="2">
        <v>0</v>
      </c>
      <c r="AK118" s="4">
        <v>18677110</v>
      </c>
    </row>
    <row r="119" spans="1:37" x14ac:dyDescent="0.25">
      <c r="A119" s="1">
        <v>45786</v>
      </c>
      <c r="B119" s="1">
        <v>45782</v>
      </c>
      <c r="C119" t="s">
        <v>38</v>
      </c>
      <c r="D119" t="s">
        <v>39</v>
      </c>
      <c r="E119" t="s">
        <v>40</v>
      </c>
      <c r="F119">
        <v>649163</v>
      </c>
      <c r="G119">
        <v>20411454</v>
      </c>
      <c r="H119" t="s">
        <v>41</v>
      </c>
      <c r="I119">
        <v>2028570612</v>
      </c>
      <c r="J119" t="s">
        <v>128</v>
      </c>
      <c r="M119" t="s">
        <v>90</v>
      </c>
      <c r="O119">
        <v>753748</v>
      </c>
      <c r="P119" t="s">
        <v>87</v>
      </c>
      <c r="Q119" t="s">
        <v>45</v>
      </c>
      <c r="R119" t="s">
        <v>53</v>
      </c>
      <c r="S119" s="1">
        <v>45778</v>
      </c>
      <c r="U119" t="s">
        <v>47</v>
      </c>
      <c r="X119" t="s">
        <v>48</v>
      </c>
      <c r="Y119" s="2">
        <v>202.28</v>
      </c>
      <c r="Z119" s="2">
        <v>202.28</v>
      </c>
      <c r="AA119">
        <v>0</v>
      </c>
      <c r="AB119" s="3">
        <v>0.7</v>
      </c>
      <c r="AC119" s="2">
        <v>0</v>
      </c>
      <c r="AD119" s="3">
        <v>0</v>
      </c>
      <c r="AE119" s="2">
        <v>0</v>
      </c>
      <c r="AF119" s="2">
        <v>0</v>
      </c>
      <c r="AK119" s="4">
        <v>18677320</v>
      </c>
    </row>
    <row r="120" spans="1:37" x14ac:dyDescent="0.25">
      <c r="A120" s="1">
        <v>45786</v>
      </c>
      <c r="B120" s="1">
        <v>45782</v>
      </c>
      <c r="C120" t="s">
        <v>38</v>
      </c>
      <c r="D120" t="s">
        <v>39</v>
      </c>
      <c r="E120" t="s">
        <v>40</v>
      </c>
      <c r="F120">
        <v>649163</v>
      </c>
      <c r="G120">
        <v>20411454</v>
      </c>
      <c r="H120" t="s">
        <v>41</v>
      </c>
      <c r="I120">
        <v>2028570613</v>
      </c>
      <c r="J120" t="s">
        <v>128</v>
      </c>
      <c r="M120" t="s">
        <v>90</v>
      </c>
      <c r="O120">
        <v>753748</v>
      </c>
      <c r="P120" t="s">
        <v>87</v>
      </c>
      <c r="Q120" t="s">
        <v>45</v>
      </c>
      <c r="R120" t="s">
        <v>91</v>
      </c>
      <c r="S120" s="1">
        <v>45778</v>
      </c>
      <c r="U120" t="s">
        <v>47</v>
      </c>
      <c r="X120" t="s">
        <v>48</v>
      </c>
      <c r="Y120" s="2">
        <v>117.42</v>
      </c>
      <c r="Z120" s="2">
        <v>117.42</v>
      </c>
      <c r="AA120">
        <v>0</v>
      </c>
      <c r="AB120" s="3">
        <v>0.9</v>
      </c>
      <c r="AC120" s="2">
        <v>0</v>
      </c>
      <c r="AD120" s="3">
        <v>0</v>
      </c>
      <c r="AE120" s="2">
        <v>0</v>
      </c>
      <c r="AF120" s="2">
        <v>0</v>
      </c>
      <c r="AK120" s="4">
        <v>18695180</v>
      </c>
    </row>
    <row r="121" spans="1:37" x14ac:dyDescent="0.25">
      <c r="A121" s="1">
        <v>45786</v>
      </c>
      <c r="B121" s="1">
        <v>45782</v>
      </c>
      <c r="C121" t="s">
        <v>38</v>
      </c>
      <c r="D121" t="s">
        <v>39</v>
      </c>
      <c r="E121" t="s">
        <v>40</v>
      </c>
      <c r="F121">
        <v>649163</v>
      </c>
      <c r="G121">
        <v>20411454</v>
      </c>
      <c r="H121" t="s">
        <v>41</v>
      </c>
      <c r="I121">
        <v>2028570614</v>
      </c>
      <c r="J121" t="s">
        <v>128</v>
      </c>
      <c r="M121" t="s">
        <v>90</v>
      </c>
      <c r="O121">
        <v>753748</v>
      </c>
      <c r="P121" t="s">
        <v>87</v>
      </c>
      <c r="Q121" t="s">
        <v>45</v>
      </c>
      <c r="R121" t="s">
        <v>52</v>
      </c>
      <c r="S121" s="1">
        <v>45778</v>
      </c>
      <c r="U121" t="s">
        <v>47</v>
      </c>
      <c r="X121" t="s">
        <v>48</v>
      </c>
      <c r="Y121" s="2">
        <v>92.66</v>
      </c>
      <c r="Z121" s="2">
        <v>92.66</v>
      </c>
      <c r="AA121">
        <v>0</v>
      </c>
      <c r="AB121" s="3">
        <v>0.375</v>
      </c>
      <c r="AC121" s="2">
        <v>0</v>
      </c>
      <c r="AD121" s="3">
        <v>0</v>
      </c>
      <c r="AE121" s="2">
        <v>0</v>
      </c>
      <c r="AF121" s="2">
        <v>0</v>
      </c>
      <c r="AK121" s="4">
        <v>18712220</v>
      </c>
    </row>
    <row r="122" spans="1:37" x14ac:dyDescent="0.25">
      <c r="A122" s="1">
        <v>45786</v>
      </c>
      <c r="B122" s="1">
        <v>45782</v>
      </c>
      <c r="C122" t="s">
        <v>38</v>
      </c>
      <c r="D122" t="s">
        <v>39</v>
      </c>
      <c r="E122" t="s">
        <v>40</v>
      </c>
      <c r="F122">
        <v>649163</v>
      </c>
      <c r="G122">
        <v>20411454</v>
      </c>
      <c r="H122" t="s">
        <v>41</v>
      </c>
      <c r="I122">
        <v>2028571772</v>
      </c>
      <c r="J122" t="s">
        <v>129</v>
      </c>
      <c r="M122" t="s">
        <v>90</v>
      </c>
      <c r="O122">
        <v>753748</v>
      </c>
      <c r="P122" t="s">
        <v>87</v>
      </c>
      <c r="Q122" t="s">
        <v>45</v>
      </c>
      <c r="R122" t="s">
        <v>53</v>
      </c>
      <c r="S122" s="1">
        <v>45778</v>
      </c>
      <c r="U122" t="s">
        <v>47</v>
      </c>
      <c r="X122" t="s">
        <v>48</v>
      </c>
      <c r="Y122" s="2">
        <v>119.52</v>
      </c>
      <c r="Z122" s="2">
        <v>119.52</v>
      </c>
      <c r="AA122">
        <v>0</v>
      </c>
      <c r="AB122" s="3">
        <v>0.7</v>
      </c>
      <c r="AC122" s="2">
        <v>0</v>
      </c>
      <c r="AD122" s="3">
        <v>0</v>
      </c>
      <c r="AE122" s="2">
        <v>0</v>
      </c>
      <c r="AF122" s="2">
        <v>0</v>
      </c>
      <c r="AK122" s="4">
        <v>18677330</v>
      </c>
    </row>
    <row r="123" spans="1:37" x14ac:dyDescent="0.25">
      <c r="A123" s="1">
        <v>45786</v>
      </c>
      <c r="B123" s="1">
        <v>45782</v>
      </c>
      <c r="C123" t="s">
        <v>38</v>
      </c>
      <c r="D123" t="s">
        <v>39</v>
      </c>
      <c r="E123" t="s">
        <v>40</v>
      </c>
      <c r="F123">
        <v>649163</v>
      </c>
      <c r="G123">
        <v>20411454</v>
      </c>
      <c r="H123" t="s">
        <v>41</v>
      </c>
      <c r="I123">
        <v>2028571773</v>
      </c>
      <c r="J123" t="s">
        <v>129</v>
      </c>
      <c r="M123" t="s">
        <v>90</v>
      </c>
      <c r="O123">
        <v>753748</v>
      </c>
      <c r="P123" t="s">
        <v>87</v>
      </c>
      <c r="Q123" t="s">
        <v>45</v>
      </c>
      <c r="R123" t="s">
        <v>76</v>
      </c>
      <c r="S123" s="1">
        <v>45778</v>
      </c>
      <c r="U123" t="s">
        <v>47</v>
      </c>
      <c r="X123" t="s">
        <v>48</v>
      </c>
      <c r="Y123" s="2">
        <v>126</v>
      </c>
      <c r="Z123" s="2">
        <v>126</v>
      </c>
      <c r="AA123">
        <v>0</v>
      </c>
      <c r="AB123" s="3">
        <v>0.75</v>
      </c>
      <c r="AC123" s="2">
        <v>0</v>
      </c>
      <c r="AD123" s="3">
        <v>0</v>
      </c>
      <c r="AE123" s="2">
        <v>0</v>
      </c>
      <c r="AF123" s="2">
        <v>0</v>
      </c>
      <c r="AK123" s="4">
        <v>18695180</v>
      </c>
    </row>
    <row r="124" spans="1:37" x14ac:dyDescent="0.25">
      <c r="A124" s="1">
        <v>45786</v>
      </c>
      <c r="B124" s="1">
        <v>45782</v>
      </c>
      <c r="C124" t="s">
        <v>38</v>
      </c>
      <c r="D124" t="s">
        <v>39</v>
      </c>
      <c r="E124" t="s">
        <v>40</v>
      </c>
      <c r="F124">
        <v>649163</v>
      </c>
      <c r="G124">
        <v>20411454</v>
      </c>
      <c r="H124" t="s">
        <v>41</v>
      </c>
      <c r="I124">
        <v>2028572869</v>
      </c>
      <c r="J124" t="s">
        <v>130</v>
      </c>
      <c r="M124" t="s">
        <v>131</v>
      </c>
      <c r="O124">
        <v>753748</v>
      </c>
      <c r="P124" t="s">
        <v>87</v>
      </c>
      <c r="Q124" t="s">
        <v>45</v>
      </c>
      <c r="R124" t="s">
        <v>53</v>
      </c>
      <c r="S124" s="1">
        <v>45778</v>
      </c>
      <c r="U124" t="s">
        <v>47</v>
      </c>
      <c r="X124" t="s">
        <v>48</v>
      </c>
      <c r="Y124" s="2">
        <v>46.17</v>
      </c>
      <c r="Z124" s="2">
        <v>46.17</v>
      </c>
      <c r="AA124">
        <v>0</v>
      </c>
      <c r="AB124" s="3">
        <v>0.7</v>
      </c>
      <c r="AC124" s="2">
        <v>0</v>
      </c>
      <c r="AD124" s="3">
        <v>0</v>
      </c>
      <c r="AE124" s="2">
        <v>0</v>
      </c>
      <c r="AF124" s="2">
        <v>0</v>
      </c>
      <c r="AK124" s="4">
        <v>18677330</v>
      </c>
    </row>
    <row r="125" spans="1:37" x14ac:dyDescent="0.25">
      <c r="A125" s="1">
        <v>45786</v>
      </c>
      <c r="B125" s="1">
        <v>45782</v>
      </c>
      <c r="C125" t="s">
        <v>38</v>
      </c>
      <c r="D125" t="s">
        <v>39</v>
      </c>
      <c r="E125" t="s">
        <v>40</v>
      </c>
      <c r="F125">
        <v>649163</v>
      </c>
      <c r="G125">
        <v>20411454</v>
      </c>
      <c r="H125" t="s">
        <v>41</v>
      </c>
      <c r="I125">
        <v>2028616792</v>
      </c>
      <c r="J125" t="s">
        <v>142</v>
      </c>
      <c r="M125" t="s">
        <v>90</v>
      </c>
      <c r="O125">
        <v>753748</v>
      </c>
      <c r="P125" t="s">
        <v>87</v>
      </c>
      <c r="Q125" t="s">
        <v>45</v>
      </c>
      <c r="R125" t="s">
        <v>53</v>
      </c>
      <c r="S125" s="1">
        <v>45778</v>
      </c>
      <c r="U125" t="s">
        <v>47</v>
      </c>
      <c r="X125" t="s">
        <v>48</v>
      </c>
      <c r="Y125" s="2">
        <v>72.400000000000006</v>
      </c>
      <c r="Z125" s="2">
        <v>72.400000000000006</v>
      </c>
      <c r="AA125">
        <v>0</v>
      </c>
      <c r="AB125" s="3">
        <v>0.7</v>
      </c>
      <c r="AC125" s="2">
        <v>0</v>
      </c>
      <c r="AD125" s="3">
        <v>0</v>
      </c>
      <c r="AE125" s="2">
        <v>0</v>
      </c>
      <c r="AF125" s="2">
        <v>0</v>
      </c>
      <c r="AK125" s="4">
        <v>18677410</v>
      </c>
    </row>
    <row r="126" spans="1:37" x14ac:dyDescent="0.25">
      <c r="A126" s="1">
        <v>45786</v>
      </c>
      <c r="B126" s="1">
        <v>45782</v>
      </c>
      <c r="C126" t="s">
        <v>38</v>
      </c>
      <c r="D126" t="s">
        <v>39</v>
      </c>
      <c r="E126" t="s">
        <v>40</v>
      </c>
      <c r="F126">
        <v>649163</v>
      </c>
      <c r="G126">
        <v>20411454</v>
      </c>
      <c r="H126" t="s">
        <v>41</v>
      </c>
      <c r="I126">
        <v>2028616793</v>
      </c>
      <c r="J126" t="s">
        <v>142</v>
      </c>
      <c r="M126" t="s">
        <v>90</v>
      </c>
      <c r="O126">
        <v>753748</v>
      </c>
      <c r="P126" t="s">
        <v>87</v>
      </c>
      <c r="Q126" t="s">
        <v>45</v>
      </c>
      <c r="R126" t="s">
        <v>91</v>
      </c>
      <c r="S126" s="1">
        <v>45778</v>
      </c>
      <c r="U126" t="s">
        <v>47</v>
      </c>
      <c r="X126" t="s">
        <v>48</v>
      </c>
      <c r="Y126" s="2">
        <v>226.81</v>
      </c>
      <c r="Z126" s="2">
        <v>226.81</v>
      </c>
      <c r="AA126">
        <v>0</v>
      </c>
      <c r="AB126" s="3">
        <v>0.9</v>
      </c>
      <c r="AC126" s="2">
        <v>0</v>
      </c>
      <c r="AD126" s="3">
        <v>0</v>
      </c>
      <c r="AE126" s="2">
        <v>0</v>
      </c>
      <c r="AF126" s="2">
        <v>0</v>
      </c>
      <c r="AK126" s="4">
        <v>18695220</v>
      </c>
    </row>
    <row r="127" spans="1:37" x14ac:dyDescent="0.25">
      <c r="A127" s="1">
        <v>45786</v>
      </c>
      <c r="B127" s="1">
        <v>45782</v>
      </c>
      <c r="C127" t="s">
        <v>38</v>
      </c>
      <c r="D127" t="s">
        <v>39</v>
      </c>
      <c r="E127" t="s">
        <v>40</v>
      </c>
      <c r="F127">
        <v>649163</v>
      </c>
      <c r="G127">
        <v>20411454</v>
      </c>
      <c r="H127" t="s">
        <v>41</v>
      </c>
      <c r="I127">
        <v>2028669116</v>
      </c>
      <c r="J127" t="s">
        <v>180</v>
      </c>
      <c r="M127" t="s">
        <v>90</v>
      </c>
      <c r="O127">
        <v>753748</v>
      </c>
      <c r="P127" t="s">
        <v>87</v>
      </c>
      <c r="Q127" t="s">
        <v>45</v>
      </c>
      <c r="R127" t="s">
        <v>53</v>
      </c>
      <c r="S127" s="1">
        <v>45778</v>
      </c>
      <c r="U127" t="s">
        <v>47</v>
      </c>
      <c r="X127" t="s">
        <v>48</v>
      </c>
      <c r="Y127" s="2">
        <v>114.88</v>
      </c>
      <c r="Z127" s="2">
        <v>114.88</v>
      </c>
      <c r="AA127">
        <v>0</v>
      </c>
      <c r="AB127" s="3">
        <v>0.7</v>
      </c>
      <c r="AC127" s="2">
        <v>0</v>
      </c>
      <c r="AD127" s="3">
        <v>0</v>
      </c>
      <c r="AE127" s="2">
        <v>0</v>
      </c>
      <c r="AF127" s="2">
        <v>0</v>
      </c>
      <c r="AK127" s="4">
        <v>18677800</v>
      </c>
    </row>
    <row r="128" spans="1:37" x14ac:dyDescent="0.25">
      <c r="A128" s="1">
        <v>45786</v>
      </c>
      <c r="B128" s="1">
        <v>45782</v>
      </c>
      <c r="C128" t="s">
        <v>38</v>
      </c>
      <c r="D128" t="s">
        <v>39</v>
      </c>
      <c r="E128" t="s">
        <v>40</v>
      </c>
      <c r="F128">
        <v>649163</v>
      </c>
      <c r="G128">
        <v>20411454</v>
      </c>
      <c r="H128" t="s">
        <v>41</v>
      </c>
      <c r="I128">
        <v>2028669117</v>
      </c>
      <c r="J128" t="s">
        <v>180</v>
      </c>
      <c r="M128" t="s">
        <v>90</v>
      </c>
      <c r="O128">
        <v>753748</v>
      </c>
      <c r="P128" t="s">
        <v>87</v>
      </c>
      <c r="Q128" t="s">
        <v>45</v>
      </c>
      <c r="R128" t="s">
        <v>52</v>
      </c>
      <c r="S128" s="1">
        <v>45778</v>
      </c>
      <c r="U128" t="s">
        <v>47</v>
      </c>
      <c r="X128" t="s">
        <v>48</v>
      </c>
      <c r="Y128" s="2">
        <v>35.6</v>
      </c>
      <c r="Z128" s="2">
        <v>35.6</v>
      </c>
      <c r="AA128">
        <v>0</v>
      </c>
      <c r="AB128" s="3">
        <v>0.375</v>
      </c>
      <c r="AC128" s="2">
        <v>0</v>
      </c>
      <c r="AD128" s="3">
        <v>0</v>
      </c>
      <c r="AE128" s="2">
        <v>0</v>
      </c>
      <c r="AF128" s="2">
        <v>0</v>
      </c>
      <c r="AK128" s="4">
        <v>18712800</v>
      </c>
    </row>
    <row r="129" spans="1:37" x14ac:dyDescent="0.25">
      <c r="A129" s="1">
        <v>45786</v>
      </c>
      <c r="B129" s="1">
        <v>45782</v>
      </c>
      <c r="C129" t="s">
        <v>38</v>
      </c>
      <c r="D129" t="s">
        <v>39</v>
      </c>
      <c r="E129" t="s">
        <v>40</v>
      </c>
      <c r="F129">
        <v>649163</v>
      </c>
      <c r="G129">
        <v>20411454</v>
      </c>
      <c r="H129" t="s">
        <v>41</v>
      </c>
      <c r="I129">
        <v>2028677368</v>
      </c>
      <c r="J129" t="s">
        <v>191</v>
      </c>
      <c r="M129" t="s">
        <v>79</v>
      </c>
      <c r="O129">
        <v>753748</v>
      </c>
      <c r="P129" t="s">
        <v>87</v>
      </c>
      <c r="Q129" t="s">
        <v>45</v>
      </c>
      <c r="R129" t="s">
        <v>91</v>
      </c>
      <c r="S129" s="1">
        <v>45778</v>
      </c>
      <c r="U129" t="s">
        <v>47</v>
      </c>
      <c r="X129" t="s">
        <v>48</v>
      </c>
      <c r="Y129" s="2">
        <v>234.17</v>
      </c>
      <c r="Z129" s="2">
        <v>234.17</v>
      </c>
      <c r="AA129">
        <v>0</v>
      </c>
      <c r="AB129" s="3">
        <v>0.9</v>
      </c>
      <c r="AC129" s="2">
        <v>0</v>
      </c>
      <c r="AD129" s="3">
        <v>0</v>
      </c>
      <c r="AE129" s="2">
        <v>0</v>
      </c>
      <c r="AF129" s="2">
        <v>0</v>
      </c>
      <c r="AK129" s="4">
        <v>18695420</v>
      </c>
    </row>
    <row r="130" spans="1:37" x14ac:dyDescent="0.25">
      <c r="A130" s="1">
        <v>45786</v>
      </c>
      <c r="B130" s="1">
        <v>45782</v>
      </c>
      <c r="C130" t="s">
        <v>38</v>
      </c>
      <c r="D130" t="s">
        <v>39</v>
      </c>
      <c r="E130" t="s">
        <v>40</v>
      </c>
      <c r="F130">
        <v>649163</v>
      </c>
      <c r="G130">
        <v>20411454</v>
      </c>
      <c r="H130" t="s">
        <v>41</v>
      </c>
      <c r="I130">
        <v>2028677369</v>
      </c>
      <c r="J130" t="s">
        <v>191</v>
      </c>
      <c r="M130" t="s">
        <v>79</v>
      </c>
      <c r="O130">
        <v>753748</v>
      </c>
      <c r="P130" t="s">
        <v>87</v>
      </c>
      <c r="Q130" t="s">
        <v>45</v>
      </c>
      <c r="R130" t="s">
        <v>53</v>
      </c>
      <c r="S130" s="1">
        <v>45778</v>
      </c>
      <c r="U130" t="s">
        <v>47</v>
      </c>
      <c r="X130" t="s">
        <v>48</v>
      </c>
      <c r="Y130" s="2">
        <v>73.94</v>
      </c>
      <c r="Z130" s="2">
        <v>73.94</v>
      </c>
      <c r="AA130">
        <v>0</v>
      </c>
      <c r="AB130" s="3">
        <v>0.7</v>
      </c>
      <c r="AC130" s="2">
        <v>0</v>
      </c>
      <c r="AD130" s="3">
        <v>0</v>
      </c>
      <c r="AE130" s="2">
        <v>0</v>
      </c>
      <c r="AF130" s="2">
        <v>0</v>
      </c>
      <c r="AK130" s="4">
        <v>18677920</v>
      </c>
    </row>
    <row r="131" spans="1:37" x14ac:dyDescent="0.25">
      <c r="A131" s="1">
        <v>45786</v>
      </c>
      <c r="B131" s="1">
        <v>45782</v>
      </c>
      <c r="C131" t="s">
        <v>38</v>
      </c>
      <c r="D131" t="s">
        <v>39</v>
      </c>
      <c r="E131" t="s">
        <v>40</v>
      </c>
      <c r="F131">
        <v>649163</v>
      </c>
      <c r="G131">
        <v>20411454</v>
      </c>
      <c r="H131" t="s">
        <v>41</v>
      </c>
      <c r="I131">
        <v>2028691111</v>
      </c>
      <c r="J131" t="s">
        <v>204</v>
      </c>
      <c r="M131" t="s">
        <v>90</v>
      </c>
      <c r="O131">
        <v>753748</v>
      </c>
      <c r="P131" t="s">
        <v>87</v>
      </c>
      <c r="Q131" t="s">
        <v>45</v>
      </c>
      <c r="R131" t="s">
        <v>53</v>
      </c>
      <c r="S131" s="1">
        <v>45778</v>
      </c>
      <c r="U131" t="s">
        <v>47</v>
      </c>
      <c r="X131" t="s">
        <v>48</v>
      </c>
      <c r="Y131" s="2">
        <v>28.38</v>
      </c>
      <c r="Z131" s="2">
        <v>28.38</v>
      </c>
      <c r="AA131">
        <v>0</v>
      </c>
      <c r="AB131" s="3">
        <v>0.7</v>
      </c>
      <c r="AC131" s="2">
        <v>0</v>
      </c>
      <c r="AD131" s="3">
        <v>0</v>
      </c>
      <c r="AE131" s="2">
        <v>0</v>
      </c>
      <c r="AF131" s="2">
        <v>0</v>
      </c>
      <c r="AK131" s="4">
        <v>18678050</v>
      </c>
    </row>
    <row r="132" spans="1:37" x14ac:dyDescent="0.25">
      <c r="A132" s="1">
        <v>45786</v>
      </c>
      <c r="B132" s="1">
        <v>45782</v>
      </c>
      <c r="C132" t="s">
        <v>38</v>
      </c>
      <c r="D132" t="s">
        <v>39</v>
      </c>
      <c r="E132" t="s">
        <v>40</v>
      </c>
      <c r="F132">
        <v>649163</v>
      </c>
      <c r="G132">
        <v>20411454</v>
      </c>
      <c r="H132" t="s">
        <v>41</v>
      </c>
      <c r="I132">
        <v>2028691112</v>
      </c>
      <c r="J132" t="s">
        <v>204</v>
      </c>
      <c r="M132" t="s">
        <v>90</v>
      </c>
      <c r="O132">
        <v>753748</v>
      </c>
      <c r="P132" t="s">
        <v>87</v>
      </c>
      <c r="Q132" t="s">
        <v>45</v>
      </c>
      <c r="R132" t="s">
        <v>91</v>
      </c>
      <c r="S132" s="1">
        <v>45778</v>
      </c>
      <c r="U132" t="s">
        <v>47</v>
      </c>
      <c r="X132" t="s">
        <v>48</v>
      </c>
      <c r="Y132" s="2">
        <v>68.08</v>
      </c>
      <c r="Z132" s="2">
        <v>68.08</v>
      </c>
      <c r="AA132">
        <v>0</v>
      </c>
      <c r="AB132" s="3">
        <v>0.9</v>
      </c>
      <c r="AC132" s="2">
        <v>0</v>
      </c>
      <c r="AD132" s="3">
        <v>0</v>
      </c>
      <c r="AE132" s="2">
        <v>0</v>
      </c>
      <c r="AF132" s="2">
        <v>0</v>
      </c>
      <c r="AK132" s="4">
        <v>18695490</v>
      </c>
    </row>
    <row r="133" spans="1:37" x14ac:dyDescent="0.25">
      <c r="A133" s="1">
        <v>45786</v>
      </c>
      <c r="B133" s="1">
        <v>45782</v>
      </c>
      <c r="C133" t="s">
        <v>38</v>
      </c>
      <c r="D133" t="s">
        <v>39</v>
      </c>
      <c r="E133" t="s">
        <v>40</v>
      </c>
      <c r="F133">
        <v>649163</v>
      </c>
      <c r="G133">
        <v>20411454</v>
      </c>
      <c r="H133" t="s">
        <v>41</v>
      </c>
      <c r="I133">
        <v>2028605533</v>
      </c>
      <c r="J133" t="s">
        <v>137</v>
      </c>
      <c r="M133" t="s">
        <v>138</v>
      </c>
      <c r="O133">
        <v>823068</v>
      </c>
      <c r="P133" t="s">
        <v>139</v>
      </c>
      <c r="Q133" t="s">
        <v>45</v>
      </c>
      <c r="R133" t="s">
        <v>110</v>
      </c>
      <c r="S133" s="1">
        <v>45778</v>
      </c>
      <c r="U133" t="s">
        <v>47</v>
      </c>
      <c r="X133" t="s">
        <v>48</v>
      </c>
      <c r="Y133" s="2">
        <v>24.61</v>
      </c>
      <c r="Z133" s="2">
        <v>24.61</v>
      </c>
      <c r="AA133">
        <v>0</v>
      </c>
      <c r="AB133" s="3">
        <v>0.7</v>
      </c>
      <c r="AC133" s="2">
        <v>0</v>
      </c>
      <c r="AD133" s="3">
        <v>0</v>
      </c>
      <c r="AE133" s="2">
        <v>0</v>
      </c>
      <c r="AF133" s="2">
        <v>0</v>
      </c>
      <c r="AK133" s="4">
        <v>18661870</v>
      </c>
    </row>
    <row r="134" spans="1:37" x14ac:dyDescent="0.25">
      <c r="A134" s="1">
        <v>45786</v>
      </c>
      <c r="B134" s="1">
        <v>45782</v>
      </c>
      <c r="C134" t="s">
        <v>38</v>
      </c>
      <c r="D134" t="s">
        <v>39</v>
      </c>
      <c r="E134" t="s">
        <v>40</v>
      </c>
      <c r="F134">
        <v>649163</v>
      </c>
      <c r="G134">
        <v>20411454</v>
      </c>
      <c r="H134" t="s">
        <v>41</v>
      </c>
      <c r="I134">
        <v>2028605534</v>
      </c>
      <c r="J134" t="s">
        <v>137</v>
      </c>
      <c r="M134" t="s">
        <v>138</v>
      </c>
      <c r="O134">
        <v>823068</v>
      </c>
      <c r="P134" t="s">
        <v>139</v>
      </c>
      <c r="Q134" t="s">
        <v>45</v>
      </c>
      <c r="R134" t="s">
        <v>91</v>
      </c>
      <c r="S134" s="1">
        <v>45778</v>
      </c>
      <c r="U134" t="s">
        <v>47</v>
      </c>
      <c r="X134" t="s">
        <v>48</v>
      </c>
      <c r="Y134" s="2">
        <v>109.06</v>
      </c>
      <c r="Z134" s="2">
        <v>109.06</v>
      </c>
      <c r="AA134">
        <v>0</v>
      </c>
      <c r="AB134" s="3">
        <v>0.9</v>
      </c>
      <c r="AC134" s="2">
        <v>0</v>
      </c>
      <c r="AD134" s="3">
        <v>0</v>
      </c>
      <c r="AE134" s="2">
        <v>0</v>
      </c>
      <c r="AF134" s="2">
        <v>0</v>
      </c>
      <c r="AK134" s="4">
        <v>18695210</v>
      </c>
    </row>
    <row r="135" spans="1:37" x14ac:dyDescent="0.25">
      <c r="A135" s="1">
        <v>45786</v>
      </c>
      <c r="B135" s="1">
        <v>45782</v>
      </c>
      <c r="C135" t="s">
        <v>38</v>
      </c>
      <c r="D135" t="s">
        <v>39</v>
      </c>
      <c r="E135" t="s">
        <v>40</v>
      </c>
      <c r="F135">
        <v>649163</v>
      </c>
      <c r="G135">
        <v>20411454</v>
      </c>
      <c r="H135" t="s">
        <v>41</v>
      </c>
      <c r="I135">
        <v>2028605535</v>
      </c>
      <c r="J135" t="s">
        <v>137</v>
      </c>
      <c r="M135" t="s">
        <v>138</v>
      </c>
      <c r="O135">
        <v>823068</v>
      </c>
      <c r="P135" t="s">
        <v>139</v>
      </c>
      <c r="Q135" t="s">
        <v>45</v>
      </c>
      <c r="R135" t="s">
        <v>140</v>
      </c>
      <c r="S135" s="1">
        <v>45778</v>
      </c>
      <c r="U135" t="s">
        <v>47</v>
      </c>
      <c r="X135" t="s">
        <v>48</v>
      </c>
      <c r="Y135" s="2">
        <v>19.5</v>
      </c>
      <c r="Z135" s="2">
        <v>19.5</v>
      </c>
      <c r="AA135">
        <v>0</v>
      </c>
      <c r="AB135" s="3">
        <v>0.39</v>
      </c>
      <c r="AC135" s="2">
        <v>0</v>
      </c>
      <c r="AD135" s="3">
        <v>0</v>
      </c>
      <c r="AE135" s="2">
        <v>0</v>
      </c>
      <c r="AF135" s="2">
        <v>0</v>
      </c>
      <c r="AK135" s="4">
        <v>18677380</v>
      </c>
    </row>
    <row r="136" spans="1:37" x14ac:dyDescent="0.25">
      <c r="A136" s="1">
        <v>45786</v>
      </c>
      <c r="B136" s="1">
        <v>45782</v>
      </c>
      <c r="C136" t="s">
        <v>38</v>
      </c>
      <c r="D136" t="s">
        <v>39</v>
      </c>
      <c r="E136" t="s">
        <v>40</v>
      </c>
      <c r="F136">
        <v>649163</v>
      </c>
      <c r="G136">
        <v>20411454</v>
      </c>
      <c r="H136" t="s">
        <v>41</v>
      </c>
      <c r="I136">
        <v>2028638729</v>
      </c>
      <c r="J136" t="s">
        <v>143</v>
      </c>
      <c r="M136" t="s">
        <v>138</v>
      </c>
      <c r="O136">
        <v>823068</v>
      </c>
      <c r="P136" t="s">
        <v>139</v>
      </c>
      <c r="Q136" t="s">
        <v>45</v>
      </c>
      <c r="R136" t="s">
        <v>115</v>
      </c>
      <c r="S136" s="1">
        <v>45778</v>
      </c>
      <c r="U136" t="s">
        <v>47</v>
      </c>
      <c r="X136" t="s">
        <v>48</v>
      </c>
      <c r="Y136" s="2">
        <v>163.25</v>
      </c>
      <c r="Z136" s="2">
        <v>163.25</v>
      </c>
      <c r="AA136">
        <v>0</v>
      </c>
      <c r="AB136" s="3">
        <v>0.9</v>
      </c>
      <c r="AC136" s="2">
        <v>0</v>
      </c>
      <c r="AD136" s="3">
        <v>0</v>
      </c>
      <c r="AE136" s="2">
        <v>0</v>
      </c>
      <c r="AF136" s="2">
        <v>0</v>
      </c>
      <c r="AK136" s="4">
        <v>18718600</v>
      </c>
    </row>
    <row r="137" spans="1:37" x14ac:dyDescent="0.25">
      <c r="A137" s="1">
        <v>45786</v>
      </c>
      <c r="B137" s="1">
        <v>45782</v>
      </c>
      <c r="C137" t="s">
        <v>38</v>
      </c>
      <c r="D137" t="s">
        <v>39</v>
      </c>
      <c r="E137" t="s">
        <v>40</v>
      </c>
      <c r="F137">
        <v>649163</v>
      </c>
      <c r="G137">
        <v>20411454</v>
      </c>
      <c r="H137" t="s">
        <v>41</v>
      </c>
      <c r="I137">
        <v>2028653456</v>
      </c>
      <c r="J137" t="s">
        <v>165</v>
      </c>
      <c r="M137" t="s">
        <v>138</v>
      </c>
      <c r="O137">
        <v>823068</v>
      </c>
      <c r="P137" t="s">
        <v>139</v>
      </c>
      <c r="Q137" t="s">
        <v>45</v>
      </c>
      <c r="R137" t="s">
        <v>110</v>
      </c>
      <c r="S137" s="1">
        <v>45778</v>
      </c>
      <c r="U137" t="s">
        <v>47</v>
      </c>
      <c r="X137" t="s">
        <v>48</v>
      </c>
      <c r="Y137" s="2">
        <v>24.61</v>
      </c>
      <c r="Z137" s="2">
        <v>24.61</v>
      </c>
      <c r="AA137">
        <v>0</v>
      </c>
      <c r="AB137" s="3">
        <v>0.7</v>
      </c>
      <c r="AC137" s="2">
        <v>0</v>
      </c>
      <c r="AD137" s="3">
        <v>0</v>
      </c>
      <c r="AE137" s="2">
        <v>0</v>
      </c>
      <c r="AF137" s="2">
        <v>0</v>
      </c>
      <c r="AK137" s="4">
        <v>18661890</v>
      </c>
    </row>
    <row r="138" spans="1:37" x14ac:dyDescent="0.25">
      <c r="A138" s="1">
        <v>45786</v>
      </c>
      <c r="B138" s="1">
        <v>45782</v>
      </c>
      <c r="C138" t="s">
        <v>38</v>
      </c>
      <c r="D138" t="s">
        <v>39</v>
      </c>
      <c r="E138" t="s">
        <v>40</v>
      </c>
      <c r="F138">
        <v>649163</v>
      </c>
      <c r="G138">
        <v>20411454</v>
      </c>
      <c r="H138" t="s">
        <v>41</v>
      </c>
      <c r="I138">
        <v>2028653457</v>
      </c>
      <c r="J138" t="s">
        <v>165</v>
      </c>
      <c r="M138" t="s">
        <v>138</v>
      </c>
      <c r="O138">
        <v>823068</v>
      </c>
      <c r="P138" t="s">
        <v>139</v>
      </c>
      <c r="Q138" t="s">
        <v>45</v>
      </c>
      <c r="R138" t="s">
        <v>91</v>
      </c>
      <c r="S138" s="1">
        <v>45778</v>
      </c>
      <c r="U138" t="s">
        <v>47</v>
      </c>
      <c r="X138" t="s">
        <v>48</v>
      </c>
      <c r="Y138" s="2">
        <v>122.79</v>
      </c>
      <c r="Z138" s="2">
        <v>122.79</v>
      </c>
      <c r="AA138">
        <v>0</v>
      </c>
      <c r="AB138" s="3">
        <v>0.9</v>
      </c>
      <c r="AC138" s="2">
        <v>0</v>
      </c>
      <c r="AD138" s="3">
        <v>0</v>
      </c>
      <c r="AE138" s="2">
        <v>0</v>
      </c>
      <c r="AF138" s="2">
        <v>0</v>
      </c>
      <c r="AK138" s="4">
        <v>18695300</v>
      </c>
    </row>
    <row r="139" spans="1:37" x14ac:dyDescent="0.25">
      <c r="A139" s="1">
        <v>45786</v>
      </c>
      <c r="B139" s="1">
        <v>45782</v>
      </c>
      <c r="C139" t="s">
        <v>38</v>
      </c>
      <c r="D139" t="s">
        <v>39</v>
      </c>
      <c r="E139" t="s">
        <v>40</v>
      </c>
      <c r="F139">
        <v>649163</v>
      </c>
      <c r="G139">
        <v>20411454</v>
      </c>
      <c r="H139" t="s">
        <v>41</v>
      </c>
      <c r="I139">
        <v>2028065446</v>
      </c>
      <c r="J139" t="s">
        <v>60</v>
      </c>
      <c r="M139" t="s">
        <v>61</v>
      </c>
      <c r="O139">
        <v>673059</v>
      </c>
      <c r="P139" t="s">
        <v>62</v>
      </c>
      <c r="Q139" t="s">
        <v>45</v>
      </c>
      <c r="R139" t="s">
        <v>53</v>
      </c>
      <c r="S139" s="1">
        <v>45778</v>
      </c>
      <c r="U139" t="s">
        <v>47</v>
      </c>
      <c r="X139" t="s">
        <v>48</v>
      </c>
      <c r="Y139" s="2">
        <v>54.42</v>
      </c>
      <c r="Z139" s="2">
        <v>54.42</v>
      </c>
      <c r="AA139">
        <v>0</v>
      </c>
      <c r="AB139" s="3">
        <v>0.7</v>
      </c>
      <c r="AC139" s="2">
        <v>0</v>
      </c>
      <c r="AD139" s="3">
        <v>0</v>
      </c>
      <c r="AE139" s="2">
        <v>0</v>
      </c>
      <c r="AF139" s="2">
        <v>0</v>
      </c>
      <c r="AK139" s="4">
        <v>18676440</v>
      </c>
    </row>
    <row r="140" spans="1:37" x14ac:dyDescent="0.25">
      <c r="A140" s="1">
        <v>45786</v>
      </c>
      <c r="B140" s="1">
        <v>45782</v>
      </c>
      <c r="C140" t="s">
        <v>38</v>
      </c>
      <c r="D140" t="s">
        <v>39</v>
      </c>
      <c r="E140" t="s">
        <v>40</v>
      </c>
      <c r="F140">
        <v>649163</v>
      </c>
      <c r="G140">
        <v>20411454</v>
      </c>
      <c r="H140" t="s">
        <v>41</v>
      </c>
      <c r="I140">
        <v>2028420912</v>
      </c>
      <c r="J140" t="s">
        <v>92</v>
      </c>
      <c r="M140" t="s">
        <v>93</v>
      </c>
      <c r="O140">
        <v>673059</v>
      </c>
      <c r="P140" t="s">
        <v>62</v>
      </c>
      <c r="Q140" t="s">
        <v>45</v>
      </c>
      <c r="R140" t="s">
        <v>53</v>
      </c>
      <c r="S140" s="1">
        <v>45785</v>
      </c>
      <c r="U140" t="s">
        <v>47</v>
      </c>
      <c r="X140" t="s">
        <v>48</v>
      </c>
      <c r="Y140" s="2">
        <v>48.9</v>
      </c>
      <c r="Z140" s="2">
        <v>48.9</v>
      </c>
      <c r="AA140">
        <v>0</v>
      </c>
      <c r="AB140" s="3">
        <v>0.7</v>
      </c>
      <c r="AC140" s="2">
        <v>0</v>
      </c>
      <c r="AD140" s="3">
        <v>0</v>
      </c>
      <c r="AE140" s="2">
        <v>0</v>
      </c>
      <c r="AF140" s="2">
        <v>0</v>
      </c>
      <c r="AK140" s="4">
        <v>18677100</v>
      </c>
    </row>
    <row r="141" spans="1:37" x14ac:dyDescent="0.25">
      <c r="A141" s="1">
        <v>45786</v>
      </c>
      <c r="B141" s="1">
        <v>45782</v>
      </c>
      <c r="C141" t="s">
        <v>38</v>
      </c>
      <c r="D141" t="s">
        <v>39</v>
      </c>
      <c r="E141" t="s">
        <v>40</v>
      </c>
      <c r="F141">
        <v>649163</v>
      </c>
      <c r="G141">
        <v>20411454</v>
      </c>
      <c r="H141" t="s">
        <v>41</v>
      </c>
      <c r="I141">
        <v>2028457362</v>
      </c>
      <c r="J141" t="s">
        <v>101</v>
      </c>
      <c r="M141" t="s">
        <v>50</v>
      </c>
      <c r="O141">
        <v>673059</v>
      </c>
      <c r="P141" t="s">
        <v>62</v>
      </c>
      <c r="Q141" t="s">
        <v>45</v>
      </c>
      <c r="R141" t="s">
        <v>53</v>
      </c>
      <c r="S141" s="1">
        <v>45778</v>
      </c>
      <c r="U141" t="s">
        <v>47</v>
      </c>
      <c r="X141" t="s">
        <v>48</v>
      </c>
      <c r="Y141" s="2">
        <v>62.75</v>
      </c>
      <c r="Z141" s="2">
        <v>62.75</v>
      </c>
      <c r="AA141">
        <v>0</v>
      </c>
      <c r="AB141" s="3">
        <v>0.7</v>
      </c>
      <c r="AC141" s="2">
        <v>0</v>
      </c>
      <c r="AD141" s="3">
        <v>0</v>
      </c>
      <c r="AE141" s="2">
        <v>0</v>
      </c>
      <c r="AF141" s="2">
        <v>0</v>
      </c>
      <c r="AK141" s="4">
        <v>18677150</v>
      </c>
    </row>
    <row r="142" spans="1:37" x14ac:dyDescent="0.25">
      <c r="A142" s="1">
        <v>45786</v>
      </c>
      <c r="B142" s="1">
        <v>45782</v>
      </c>
      <c r="C142" t="s">
        <v>38</v>
      </c>
      <c r="D142" t="s">
        <v>39</v>
      </c>
      <c r="E142" t="s">
        <v>40</v>
      </c>
      <c r="F142">
        <v>649163</v>
      </c>
      <c r="G142">
        <v>20411454</v>
      </c>
      <c r="H142" t="s">
        <v>41</v>
      </c>
      <c r="I142">
        <v>2028518224</v>
      </c>
      <c r="J142" t="s">
        <v>103</v>
      </c>
      <c r="M142" t="s">
        <v>104</v>
      </c>
      <c r="O142">
        <v>673059</v>
      </c>
      <c r="P142" t="s">
        <v>62</v>
      </c>
      <c r="Q142" t="s">
        <v>45</v>
      </c>
      <c r="R142" t="s">
        <v>53</v>
      </c>
      <c r="S142" s="1">
        <v>45778</v>
      </c>
      <c r="U142" t="s">
        <v>47</v>
      </c>
      <c r="X142" t="s">
        <v>48</v>
      </c>
      <c r="Y142" s="2">
        <v>34.909999999999997</v>
      </c>
      <c r="Z142" s="2">
        <v>34.909999999999997</v>
      </c>
      <c r="AA142">
        <v>0</v>
      </c>
      <c r="AB142" s="3">
        <v>0.7</v>
      </c>
      <c r="AC142" s="2">
        <v>0</v>
      </c>
      <c r="AD142" s="3">
        <v>0</v>
      </c>
      <c r="AE142" s="2">
        <v>0</v>
      </c>
      <c r="AF142" s="2">
        <v>0</v>
      </c>
      <c r="AK142" s="4">
        <v>18677210</v>
      </c>
    </row>
    <row r="143" spans="1:37" x14ac:dyDescent="0.25">
      <c r="A143" s="1">
        <v>45786</v>
      </c>
      <c r="B143" s="1">
        <v>45782</v>
      </c>
      <c r="C143" t="s">
        <v>38</v>
      </c>
      <c r="D143" t="s">
        <v>39</v>
      </c>
      <c r="E143" t="s">
        <v>40</v>
      </c>
      <c r="F143">
        <v>649163</v>
      </c>
      <c r="G143">
        <v>20411454</v>
      </c>
      <c r="H143" t="s">
        <v>41</v>
      </c>
      <c r="I143">
        <v>2028518225</v>
      </c>
      <c r="J143" t="s">
        <v>103</v>
      </c>
      <c r="M143" t="s">
        <v>104</v>
      </c>
      <c r="O143">
        <v>673059</v>
      </c>
      <c r="P143" t="s">
        <v>62</v>
      </c>
      <c r="Q143" t="s">
        <v>45</v>
      </c>
      <c r="R143" t="s">
        <v>52</v>
      </c>
      <c r="S143" s="1">
        <v>45778</v>
      </c>
      <c r="U143" t="s">
        <v>47</v>
      </c>
      <c r="X143" t="s">
        <v>48</v>
      </c>
      <c r="Y143" s="2">
        <v>50.07</v>
      </c>
      <c r="Z143" s="2">
        <v>50.07</v>
      </c>
      <c r="AA143">
        <v>0</v>
      </c>
      <c r="AB143" s="3">
        <v>0.375</v>
      </c>
      <c r="AC143" s="2">
        <v>0</v>
      </c>
      <c r="AD143" s="3">
        <v>0</v>
      </c>
      <c r="AE143" s="2">
        <v>0</v>
      </c>
      <c r="AF143" s="2">
        <v>0</v>
      </c>
      <c r="AK143" s="4">
        <v>18712080</v>
      </c>
    </row>
    <row r="144" spans="1:37" x14ac:dyDescent="0.25">
      <c r="A144" s="1">
        <v>45786</v>
      </c>
      <c r="B144" s="1">
        <v>45782</v>
      </c>
      <c r="C144" t="s">
        <v>38</v>
      </c>
      <c r="D144" t="s">
        <v>39</v>
      </c>
      <c r="E144" t="s">
        <v>40</v>
      </c>
      <c r="F144">
        <v>649163</v>
      </c>
      <c r="G144">
        <v>20411454</v>
      </c>
      <c r="H144" t="s">
        <v>41</v>
      </c>
      <c r="I144">
        <v>2028539827</v>
      </c>
      <c r="J144" t="s">
        <v>108</v>
      </c>
      <c r="M144" t="s">
        <v>109</v>
      </c>
      <c r="O144">
        <v>673059</v>
      </c>
      <c r="P144" t="s">
        <v>62</v>
      </c>
      <c r="Q144" t="s">
        <v>45</v>
      </c>
      <c r="R144" t="s">
        <v>110</v>
      </c>
      <c r="S144" s="1">
        <v>45778</v>
      </c>
      <c r="U144" t="s">
        <v>47</v>
      </c>
      <c r="X144" t="s">
        <v>48</v>
      </c>
      <c r="Y144" s="2">
        <v>71.27</v>
      </c>
      <c r="Z144" s="2">
        <v>71.27</v>
      </c>
      <c r="AA144">
        <v>0</v>
      </c>
      <c r="AB144" s="3">
        <v>0.7</v>
      </c>
      <c r="AC144" s="2">
        <v>0</v>
      </c>
      <c r="AD144" s="3">
        <v>0</v>
      </c>
      <c r="AE144" s="2">
        <v>0</v>
      </c>
      <c r="AF144" s="2">
        <v>0</v>
      </c>
      <c r="AK144" s="4">
        <v>18661860</v>
      </c>
    </row>
    <row r="145" spans="1:37" x14ac:dyDescent="0.25">
      <c r="A145" s="1">
        <v>45786</v>
      </c>
      <c r="B145" s="1">
        <v>45782</v>
      </c>
      <c r="C145" t="s">
        <v>38</v>
      </c>
      <c r="D145" t="s">
        <v>39</v>
      </c>
      <c r="E145" t="s">
        <v>40</v>
      </c>
      <c r="F145">
        <v>649163</v>
      </c>
      <c r="G145">
        <v>20411454</v>
      </c>
      <c r="H145" t="s">
        <v>41</v>
      </c>
      <c r="I145">
        <v>2028539828</v>
      </c>
      <c r="J145" t="s">
        <v>108</v>
      </c>
      <c r="M145" t="s">
        <v>109</v>
      </c>
      <c r="O145">
        <v>673059</v>
      </c>
      <c r="P145" t="s">
        <v>62</v>
      </c>
      <c r="Q145" t="s">
        <v>45</v>
      </c>
      <c r="R145" t="s">
        <v>111</v>
      </c>
      <c r="S145" s="1">
        <v>45778</v>
      </c>
      <c r="U145" t="s">
        <v>47</v>
      </c>
      <c r="X145" t="s">
        <v>48</v>
      </c>
      <c r="Y145" s="2">
        <v>49.43</v>
      </c>
      <c r="Z145" s="2">
        <v>49.43</v>
      </c>
      <c r="AA145">
        <v>0</v>
      </c>
      <c r="AB145" s="3">
        <v>0.38</v>
      </c>
      <c r="AC145" s="2">
        <v>0</v>
      </c>
      <c r="AD145" s="3">
        <v>0</v>
      </c>
      <c r="AE145" s="2">
        <v>0</v>
      </c>
      <c r="AF145" s="2">
        <v>0</v>
      </c>
      <c r="AK145" s="4">
        <v>18715750</v>
      </c>
    </row>
    <row r="146" spans="1:37" x14ac:dyDescent="0.25">
      <c r="A146" s="1">
        <v>45786</v>
      </c>
      <c r="B146" s="1">
        <v>45782</v>
      </c>
      <c r="C146" t="s">
        <v>38</v>
      </c>
      <c r="D146" t="s">
        <v>39</v>
      </c>
      <c r="E146" t="s">
        <v>40</v>
      </c>
      <c r="F146">
        <v>649163</v>
      </c>
      <c r="G146">
        <v>20411454</v>
      </c>
      <c r="H146" t="s">
        <v>41</v>
      </c>
      <c r="I146">
        <v>2028539829</v>
      </c>
      <c r="J146" t="s">
        <v>108</v>
      </c>
      <c r="M146" t="s">
        <v>109</v>
      </c>
      <c r="O146">
        <v>673059</v>
      </c>
      <c r="P146" t="s">
        <v>62</v>
      </c>
      <c r="Q146" t="s">
        <v>45</v>
      </c>
      <c r="R146" t="s">
        <v>52</v>
      </c>
      <c r="S146" s="1">
        <v>45778</v>
      </c>
      <c r="U146" t="s">
        <v>47</v>
      </c>
      <c r="X146" t="s">
        <v>48</v>
      </c>
      <c r="Y146" s="2">
        <v>81.87</v>
      </c>
      <c r="Z146" s="2">
        <v>81.87</v>
      </c>
      <c r="AA146">
        <v>0</v>
      </c>
      <c r="AB146" s="3">
        <v>0.375</v>
      </c>
      <c r="AC146" s="2">
        <v>0</v>
      </c>
      <c r="AD146" s="3">
        <v>0</v>
      </c>
      <c r="AE146" s="2">
        <v>0</v>
      </c>
      <c r="AF146" s="2">
        <v>0</v>
      </c>
      <c r="AK146" s="4">
        <v>18712130</v>
      </c>
    </row>
    <row r="147" spans="1:37" x14ac:dyDescent="0.25">
      <c r="A147" s="1">
        <v>45786</v>
      </c>
      <c r="B147" s="1">
        <v>45782</v>
      </c>
      <c r="C147" t="s">
        <v>38</v>
      </c>
      <c r="D147" t="s">
        <v>39</v>
      </c>
      <c r="E147" t="s">
        <v>40</v>
      </c>
      <c r="F147">
        <v>649163</v>
      </c>
      <c r="G147">
        <v>20411454</v>
      </c>
      <c r="H147" t="s">
        <v>41</v>
      </c>
      <c r="I147">
        <v>2028539830</v>
      </c>
      <c r="J147" t="s">
        <v>108</v>
      </c>
      <c r="M147" t="s">
        <v>109</v>
      </c>
      <c r="O147">
        <v>673059</v>
      </c>
      <c r="P147" t="s">
        <v>62</v>
      </c>
      <c r="Q147" t="s">
        <v>45</v>
      </c>
      <c r="R147" t="s">
        <v>112</v>
      </c>
      <c r="S147" s="1">
        <v>45778</v>
      </c>
      <c r="U147" t="s">
        <v>47</v>
      </c>
      <c r="X147" t="s">
        <v>48</v>
      </c>
      <c r="Y147" s="2">
        <v>15</v>
      </c>
      <c r="Z147" s="2">
        <v>15</v>
      </c>
      <c r="AA147">
        <v>0</v>
      </c>
      <c r="AB147" s="3">
        <v>0.38</v>
      </c>
      <c r="AC147" s="2">
        <v>0</v>
      </c>
      <c r="AD147" s="3">
        <v>0</v>
      </c>
      <c r="AE147" s="2">
        <v>0</v>
      </c>
      <c r="AF147" s="2">
        <v>0</v>
      </c>
      <c r="AK147" s="4">
        <v>18686280</v>
      </c>
    </row>
    <row r="148" spans="1:37" x14ac:dyDescent="0.25">
      <c r="A148" s="1">
        <v>45786</v>
      </c>
      <c r="B148" s="1">
        <v>45782</v>
      </c>
      <c r="C148" t="s">
        <v>38</v>
      </c>
      <c r="D148" t="s">
        <v>39</v>
      </c>
      <c r="E148" t="s">
        <v>40</v>
      </c>
      <c r="F148">
        <v>649163</v>
      </c>
      <c r="G148">
        <v>20411454</v>
      </c>
      <c r="H148" t="s">
        <v>41</v>
      </c>
      <c r="I148">
        <v>2028556244</v>
      </c>
      <c r="J148" t="s">
        <v>117</v>
      </c>
      <c r="M148" t="s">
        <v>118</v>
      </c>
      <c r="O148">
        <v>673059</v>
      </c>
      <c r="P148" t="s">
        <v>62</v>
      </c>
      <c r="Q148" t="s">
        <v>45</v>
      </c>
      <c r="R148" t="s">
        <v>53</v>
      </c>
      <c r="S148" s="1">
        <v>45778</v>
      </c>
      <c r="U148" t="s">
        <v>47</v>
      </c>
      <c r="X148" t="s">
        <v>48</v>
      </c>
      <c r="Y148" s="2">
        <v>23.25</v>
      </c>
      <c r="Z148" s="2">
        <v>23.25</v>
      </c>
      <c r="AA148">
        <v>0</v>
      </c>
      <c r="AB148" s="3">
        <v>0.7</v>
      </c>
      <c r="AC148" s="2">
        <v>0</v>
      </c>
      <c r="AD148" s="3">
        <v>0</v>
      </c>
      <c r="AE148" s="2">
        <v>0</v>
      </c>
      <c r="AF148" s="2">
        <v>0</v>
      </c>
      <c r="AK148" s="4">
        <v>18677270</v>
      </c>
    </row>
    <row r="149" spans="1:37" x14ac:dyDescent="0.25">
      <c r="A149" s="1">
        <v>45786</v>
      </c>
      <c r="B149" s="1">
        <v>45782</v>
      </c>
      <c r="C149" t="s">
        <v>38</v>
      </c>
      <c r="D149" t="s">
        <v>39</v>
      </c>
      <c r="E149" t="s">
        <v>40</v>
      </c>
      <c r="F149">
        <v>649163</v>
      </c>
      <c r="G149">
        <v>20411454</v>
      </c>
      <c r="H149" t="s">
        <v>41</v>
      </c>
      <c r="I149">
        <v>2028556245</v>
      </c>
      <c r="J149" t="s">
        <v>117</v>
      </c>
      <c r="M149" t="s">
        <v>118</v>
      </c>
      <c r="O149">
        <v>673059</v>
      </c>
      <c r="P149" t="s">
        <v>62</v>
      </c>
      <c r="Q149" t="s">
        <v>45</v>
      </c>
      <c r="R149" t="s">
        <v>119</v>
      </c>
      <c r="S149" s="1">
        <v>45778</v>
      </c>
      <c r="U149" t="s">
        <v>47</v>
      </c>
      <c r="X149" t="s">
        <v>48</v>
      </c>
      <c r="Y149" s="2">
        <v>52.69</v>
      </c>
      <c r="Z149" s="2">
        <v>52.69</v>
      </c>
      <c r="AA149">
        <v>0</v>
      </c>
      <c r="AB149" s="3">
        <v>0.6</v>
      </c>
      <c r="AC149" s="2">
        <v>0</v>
      </c>
      <c r="AD149" s="3">
        <v>0</v>
      </c>
      <c r="AE149" s="2">
        <v>0</v>
      </c>
      <c r="AF149" s="2">
        <v>0</v>
      </c>
      <c r="AK149" s="4">
        <v>18695150</v>
      </c>
    </row>
    <row r="150" spans="1:37" x14ac:dyDescent="0.25">
      <c r="A150" s="1">
        <v>45786</v>
      </c>
      <c r="B150" s="1">
        <v>45782</v>
      </c>
      <c r="C150" t="s">
        <v>38</v>
      </c>
      <c r="D150" t="s">
        <v>39</v>
      </c>
      <c r="E150" t="s">
        <v>40</v>
      </c>
      <c r="F150">
        <v>649163</v>
      </c>
      <c r="G150">
        <v>20411454</v>
      </c>
      <c r="H150" t="s">
        <v>41</v>
      </c>
      <c r="I150">
        <v>2028647678</v>
      </c>
      <c r="J150" t="s">
        <v>160</v>
      </c>
      <c r="M150" t="s">
        <v>161</v>
      </c>
      <c r="O150">
        <v>673059</v>
      </c>
      <c r="P150" t="s">
        <v>62</v>
      </c>
      <c r="Q150" t="s">
        <v>45</v>
      </c>
      <c r="R150" t="s">
        <v>76</v>
      </c>
      <c r="S150" s="1">
        <v>45778</v>
      </c>
      <c r="U150" t="s">
        <v>47</v>
      </c>
      <c r="X150" t="s">
        <v>48</v>
      </c>
      <c r="Y150" s="2">
        <v>100.23</v>
      </c>
      <c r="Z150" s="2">
        <v>100.23</v>
      </c>
      <c r="AA150">
        <v>0</v>
      </c>
      <c r="AB150" s="3">
        <v>0.75</v>
      </c>
      <c r="AC150" s="2">
        <v>0</v>
      </c>
      <c r="AD150" s="3">
        <v>0</v>
      </c>
      <c r="AE150" s="2">
        <v>0</v>
      </c>
      <c r="AF150" s="2">
        <v>0</v>
      </c>
      <c r="AK150" s="4">
        <v>18695280</v>
      </c>
    </row>
    <row r="151" spans="1:37" x14ac:dyDescent="0.25">
      <c r="A151" s="1">
        <v>45786</v>
      </c>
      <c r="B151" s="1">
        <v>45782</v>
      </c>
      <c r="C151" t="s">
        <v>38</v>
      </c>
      <c r="D151" t="s">
        <v>39</v>
      </c>
      <c r="E151" t="s">
        <v>40</v>
      </c>
      <c r="F151">
        <v>649163</v>
      </c>
      <c r="G151">
        <v>20411454</v>
      </c>
      <c r="H151" t="s">
        <v>41</v>
      </c>
      <c r="I151">
        <v>2028647679</v>
      </c>
      <c r="J151" t="s">
        <v>160</v>
      </c>
      <c r="M151" t="s">
        <v>161</v>
      </c>
      <c r="O151">
        <v>673059</v>
      </c>
      <c r="P151" t="s">
        <v>62</v>
      </c>
      <c r="Q151" t="s">
        <v>45</v>
      </c>
      <c r="R151" t="s">
        <v>53</v>
      </c>
      <c r="S151" s="1">
        <v>45778</v>
      </c>
      <c r="U151" t="s">
        <v>47</v>
      </c>
      <c r="X151" t="s">
        <v>48</v>
      </c>
      <c r="Y151" s="2">
        <v>107.9</v>
      </c>
      <c r="Z151" s="2">
        <v>107.9</v>
      </c>
      <c r="AA151">
        <v>0</v>
      </c>
      <c r="AB151" s="3">
        <v>0.7</v>
      </c>
      <c r="AC151" s="2">
        <v>0</v>
      </c>
      <c r="AD151" s="3">
        <v>0</v>
      </c>
      <c r="AE151" s="2">
        <v>0</v>
      </c>
      <c r="AF151" s="2">
        <v>0</v>
      </c>
      <c r="AK151" s="4">
        <v>18677550</v>
      </c>
    </row>
    <row r="152" spans="1:37" x14ac:dyDescent="0.25">
      <c r="A152" s="1">
        <v>45786</v>
      </c>
      <c r="B152" s="1">
        <v>45782</v>
      </c>
      <c r="C152" t="s">
        <v>38</v>
      </c>
      <c r="D152" t="s">
        <v>39</v>
      </c>
      <c r="E152" t="s">
        <v>40</v>
      </c>
      <c r="F152">
        <v>649163</v>
      </c>
      <c r="G152">
        <v>20411454</v>
      </c>
      <c r="H152" t="s">
        <v>41</v>
      </c>
      <c r="I152">
        <v>2028650355</v>
      </c>
      <c r="J152" t="s">
        <v>164</v>
      </c>
      <c r="M152" t="s">
        <v>61</v>
      </c>
      <c r="O152">
        <v>673059</v>
      </c>
      <c r="P152" t="s">
        <v>62</v>
      </c>
      <c r="Q152" t="s">
        <v>45</v>
      </c>
      <c r="R152" t="s">
        <v>110</v>
      </c>
      <c r="S152" s="1">
        <v>45778</v>
      </c>
      <c r="U152" t="s">
        <v>47</v>
      </c>
      <c r="X152" t="s">
        <v>48</v>
      </c>
      <c r="Y152" s="2">
        <v>25.73</v>
      </c>
      <c r="Z152" s="2">
        <v>25.73</v>
      </c>
      <c r="AA152">
        <v>0</v>
      </c>
      <c r="AB152" s="3">
        <v>0.7</v>
      </c>
      <c r="AC152" s="2">
        <v>0</v>
      </c>
      <c r="AD152" s="3">
        <v>0</v>
      </c>
      <c r="AE152" s="2">
        <v>0</v>
      </c>
      <c r="AF152" s="2">
        <v>0</v>
      </c>
      <c r="AK152" s="4">
        <v>18661890</v>
      </c>
    </row>
    <row r="153" spans="1:37" x14ac:dyDescent="0.25">
      <c r="A153" s="1">
        <v>45786</v>
      </c>
      <c r="B153" s="1">
        <v>45782</v>
      </c>
      <c r="C153" t="s">
        <v>38</v>
      </c>
      <c r="D153" t="s">
        <v>39</v>
      </c>
      <c r="E153" t="s">
        <v>40</v>
      </c>
      <c r="F153">
        <v>649163</v>
      </c>
      <c r="G153">
        <v>20411454</v>
      </c>
      <c r="H153" t="s">
        <v>41</v>
      </c>
      <c r="I153">
        <v>2028650356</v>
      </c>
      <c r="J153" t="s">
        <v>164</v>
      </c>
      <c r="M153" t="s">
        <v>61</v>
      </c>
      <c r="O153">
        <v>673059</v>
      </c>
      <c r="P153" t="s">
        <v>62</v>
      </c>
      <c r="Q153" t="s">
        <v>45</v>
      </c>
      <c r="R153" t="s">
        <v>53</v>
      </c>
      <c r="S153" s="1">
        <v>45778</v>
      </c>
      <c r="U153" t="s">
        <v>47</v>
      </c>
      <c r="X153" t="s">
        <v>48</v>
      </c>
      <c r="Y153" s="2">
        <v>161.63</v>
      </c>
      <c r="Z153" s="2">
        <v>161.63</v>
      </c>
      <c r="AA153">
        <v>0</v>
      </c>
      <c r="AB153" s="3">
        <v>0.7</v>
      </c>
      <c r="AC153" s="2">
        <v>0</v>
      </c>
      <c r="AD153" s="3">
        <v>0</v>
      </c>
      <c r="AE153" s="2">
        <v>0</v>
      </c>
      <c r="AF153" s="2">
        <v>0</v>
      </c>
      <c r="AK153" s="4">
        <v>18677590</v>
      </c>
    </row>
    <row r="154" spans="1:37" x14ac:dyDescent="0.25">
      <c r="A154" s="1">
        <v>45786</v>
      </c>
      <c r="B154" s="1">
        <v>45782</v>
      </c>
      <c r="C154" t="s">
        <v>38</v>
      </c>
      <c r="D154" t="s">
        <v>39</v>
      </c>
      <c r="E154" t="s">
        <v>40</v>
      </c>
      <c r="F154">
        <v>649163</v>
      </c>
      <c r="G154">
        <v>20411454</v>
      </c>
      <c r="H154" t="s">
        <v>41</v>
      </c>
      <c r="I154">
        <v>2028669329</v>
      </c>
      <c r="J154" t="s">
        <v>182</v>
      </c>
      <c r="M154" t="s">
        <v>50</v>
      </c>
      <c r="O154">
        <v>673059</v>
      </c>
      <c r="P154" t="s">
        <v>62</v>
      </c>
      <c r="Q154" t="s">
        <v>45</v>
      </c>
      <c r="R154" t="s">
        <v>76</v>
      </c>
      <c r="S154" s="1">
        <v>45778</v>
      </c>
      <c r="U154" t="s">
        <v>47</v>
      </c>
      <c r="X154" t="s">
        <v>48</v>
      </c>
      <c r="Y154" s="2">
        <v>90.04</v>
      </c>
      <c r="Z154" s="2">
        <v>90.04</v>
      </c>
      <c r="AA154">
        <v>0</v>
      </c>
      <c r="AB154" s="3">
        <v>0.75</v>
      </c>
      <c r="AC154" s="2">
        <v>0</v>
      </c>
      <c r="AD154" s="3">
        <v>0</v>
      </c>
      <c r="AE154" s="2">
        <v>0</v>
      </c>
      <c r="AF154" s="2">
        <v>0</v>
      </c>
      <c r="AK154" s="4">
        <v>18695370</v>
      </c>
    </row>
    <row r="155" spans="1:37" x14ac:dyDescent="0.25">
      <c r="A155" s="1">
        <v>45786</v>
      </c>
      <c r="B155" s="1">
        <v>45782</v>
      </c>
      <c r="C155" t="s">
        <v>38</v>
      </c>
      <c r="D155" t="s">
        <v>39</v>
      </c>
      <c r="E155" t="s">
        <v>40</v>
      </c>
      <c r="F155">
        <v>649163</v>
      </c>
      <c r="G155">
        <v>20411454</v>
      </c>
      <c r="H155" t="s">
        <v>41</v>
      </c>
      <c r="I155">
        <v>2028669330</v>
      </c>
      <c r="J155" t="s">
        <v>182</v>
      </c>
      <c r="M155" t="s">
        <v>50</v>
      </c>
      <c r="O155">
        <v>673059</v>
      </c>
      <c r="P155" t="s">
        <v>62</v>
      </c>
      <c r="Q155" t="s">
        <v>45</v>
      </c>
      <c r="R155" t="s">
        <v>53</v>
      </c>
      <c r="S155" s="1">
        <v>45778</v>
      </c>
      <c r="U155" t="s">
        <v>47</v>
      </c>
      <c r="X155" t="s">
        <v>48</v>
      </c>
      <c r="Y155" s="2">
        <v>145.41999999999999</v>
      </c>
      <c r="Z155" s="2">
        <v>145.41999999999999</v>
      </c>
      <c r="AA155">
        <v>0</v>
      </c>
      <c r="AB155" s="3">
        <v>0.7</v>
      </c>
      <c r="AC155" s="2">
        <v>0</v>
      </c>
      <c r="AD155" s="3">
        <v>0</v>
      </c>
      <c r="AE155" s="2">
        <v>0</v>
      </c>
      <c r="AF155" s="2">
        <v>0</v>
      </c>
      <c r="AK155" s="4">
        <v>18677810</v>
      </c>
    </row>
    <row r="156" spans="1:37" x14ac:dyDescent="0.25">
      <c r="A156" s="1">
        <v>45786</v>
      </c>
      <c r="B156" s="1">
        <v>45782</v>
      </c>
      <c r="C156" t="s">
        <v>38</v>
      </c>
      <c r="D156" t="s">
        <v>39</v>
      </c>
      <c r="E156" t="s">
        <v>40</v>
      </c>
      <c r="F156">
        <v>649163</v>
      </c>
      <c r="G156">
        <v>20411454</v>
      </c>
      <c r="H156" t="s">
        <v>41</v>
      </c>
      <c r="I156">
        <v>2028687503</v>
      </c>
      <c r="J156" t="s">
        <v>203</v>
      </c>
      <c r="M156" t="s">
        <v>126</v>
      </c>
      <c r="O156">
        <v>673059</v>
      </c>
      <c r="P156" t="s">
        <v>62</v>
      </c>
      <c r="Q156" t="s">
        <v>45</v>
      </c>
      <c r="R156" t="s">
        <v>53</v>
      </c>
      <c r="S156" s="1">
        <v>45778</v>
      </c>
      <c r="U156" t="s">
        <v>47</v>
      </c>
      <c r="X156" t="s">
        <v>48</v>
      </c>
      <c r="Y156" s="2">
        <v>35.04</v>
      </c>
      <c r="Z156" s="2">
        <v>35.04</v>
      </c>
      <c r="AA156">
        <v>0</v>
      </c>
      <c r="AB156" s="3">
        <v>0.7</v>
      </c>
      <c r="AC156" s="2">
        <v>0</v>
      </c>
      <c r="AD156" s="3">
        <v>0</v>
      </c>
      <c r="AE156" s="2">
        <v>0</v>
      </c>
      <c r="AF156" s="2">
        <v>0</v>
      </c>
      <c r="AK156" s="4">
        <v>18678010</v>
      </c>
    </row>
    <row r="157" spans="1:37" x14ac:dyDescent="0.25">
      <c r="A157" s="1">
        <v>45786</v>
      </c>
      <c r="B157" s="1">
        <v>45782</v>
      </c>
      <c r="C157" t="s">
        <v>38</v>
      </c>
      <c r="D157" t="s">
        <v>39</v>
      </c>
      <c r="E157" t="s">
        <v>40</v>
      </c>
      <c r="F157">
        <v>649163</v>
      </c>
      <c r="G157">
        <v>20411454</v>
      </c>
      <c r="H157" t="s">
        <v>41</v>
      </c>
      <c r="I157">
        <v>2028687504</v>
      </c>
      <c r="J157" t="s">
        <v>203</v>
      </c>
      <c r="M157" t="s">
        <v>126</v>
      </c>
      <c r="O157">
        <v>673059</v>
      </c>
      <c r="P157" t="s">
        <v>62</v>
      </c>
      <c r="Q157" t="s">
        <v>45</v>
      </c>
      <c r="R157" t="s">
        <v>119</v>
      </c>
      <c r="S157" s="1">
        <v>45778</v>
      </c>
      <c r="U157" t="s">
        <v>47</v>
      </c>
      <c r="X157" t="s">
        <v>48</v>
      </c>
      <c r="Y157" s="2">
        <v>52.69</v>
      </c>
      <c r="Z157" s="2">
        <v>52.69</v>
      </c>
      <c r="AA157">
        <v>0</v>
      </c>
      <c r="AB157" s="3">
        <v>0.6</v>
      </c>
      <c r="AC157" s="2">
        <v>0</v>
      </c>
      <c r="AD157" s="3">
        <v>0</v>
      </c>
      <c r="AE157" s="2">
        <v>0</v>
      </c>
      <c r="AF157" s="2">
        <v>0</v>
      </c>
      <c r="AK157" s="4">
        <v>18695470</v>
      </c>
    </row>
    <row r="158" spans="1:37" x14ac:dyDescent="0.25">
      <c r="A158" s="1">
        <v>45786</v>
      </c>
      <c r="B158" s="1">
        <v>45782</v>
      </c>
      <c r="C158" t="s">
        <v>38</v>
      </c>
      <c r="D158" t="s">
        <v>39</v>
      </c>
      <c r="E158" t="s">
        <v>40</v>
      </c>
      <c r="F158">
        <v>649163</v>
      </c>
      <c r="G158">
        <v>20411454</v>
      </c>
      <c r="H158" t="s">
        <v>41</v>
      </c>
      <c r="I158">
        <v>2028687505</v>
      </c>
      <c r="J158" t="s">
        <v>203</v>
      </c>
      <c r="M158" t="s">
        <v>126</v>
      </c>
      <c r="O158">
        <v>673059</v>
      </c>
      <c r="P158" t="s">
        <v>62</v>
      </c>
      <c r="Q158" t="s">
        <v>45</v>
      </c>
      <c r="R158" t="s">
        <v>110</v>
      </c>
      <c r="S158" s="1">
        <v>45778</v>
      </c>
      <c r="U158" t="s">
        <v>47</v>
      </c>
      <c r="X158" t="s">
        <v>48</v>
      </c>
      <c r="Y158" s="2">
        <v>25.73</v>
      </c>
      <c r="Z158" s="2">
        <v>25.73</v>
      </c>
      <c r="AA158">
        <v>0</v>
      </c>
      <c r="AB158" s="3">
        <v>0.7</v>
      </c>
      <c r="AC158" s="2">
        <v>0</v>
      </c>
      <c r="AD158" s="3">
        <v>0</v>
      </c>
      <c r="AE158" s="2">
        <v>0</v>
      </c>
      <c r="AF158" s="2">
        <v>0</v>
      </c>
      <c r="AK158" s="4">
        <v>18661920</v>
      </c>
    </row>
    <row r="159" spans="1:37" x14ac:dyDescent="0.25">
      <c r="A159" s="1">
        <v>45786</v>
      </c>
      <c r="B159" s="1">
        <v>45782</v>
      </c>
      <c r="C159" t="s">
        <v>38</v>
      </c>
      <c r="D159" t="s">
        <v>39</v>
      </c>
      <c r="E159" t="s">
        <v>40</v>
      </c>
      <c r="F159">
        <v>649163</v>
      </c>
      <c r="G159">
        <v>20411454</v>
      </c>
      <c r="H159" t="s">
        <v>41</v>
      </c>
      <c r="I159">
        <v>2028642078</v>
      </c>
      <c r="J159" t="s">
        <v>147</v>
      </c>
      <c r="M159" t="s">
        <v>50</v>
      </c>
      <c r="O159">
        <v>824076</v>
      </c>
      <c r="P159" t="s">
        <v>148</v>
      </c>
      <c r="Q159" t="s">
        <v>45</v>
      </c>
      <c r="R159" t="s">
        <v>52</v>
      </c>
      <c r="S159" s="1">
        <v>45778</v>
      </c>
      <c r="U159" t="s">
        <v>47</v>
      </c>
      <c r="X159" t="s">
        <v>48</v>
      </c>
      <c r="Y159" s="2">
        <v>76.19</v>
      </c>
      <c r="Z159" s="2">
        <v>76.19</v>
      </c>
      <c r="AA159">
        <v>0</v>
      </c>
      <c r="AB159" s="3">
        <v>0.375</v>
      </c>
      <c r="AC159" s="2">
        <v>0</v>
      </c>
      <c r="AD159" s="3">
        <v>0</v>
      </c>
      <c r="AE159" s="2">
        <v>0</v>
      </c>
      <c r="AF159" s="2">
        <v>0</v>
      </c>
      <c r="AK159" s="4">
        <v>18712450</v>
      </c>
    </row>
    <row r="160" spans="1:37" x14ac:dyDescent="0.25">
      <c r="A160" s="1">
        <v>45786</v>
      </c>
      <c r="B160" s="1">
        <v>45782</v>
      </c>
      <c r="C160" t="s">
        <v>38</v>
      </c>
      <c r="D160" t="s">
        <v>39</v>
      </c>
      <c r="E160" t="s">
        <v>40</v>
      </c>
      <c r="F160">
        <v>649163</v>
      </c>
      <c r="G160">
        <v>20411454</v>
      </c>
      <c r="H160" t="s">
        <v>41</v>
      </c>
      <c r="I160">
        <v>2028642079</v>
      </c>
      <c r="J160" t="s">
        <v>147</v>
      </c>
      <c r="M160" t="s">
        <v>50</v>
      </c>
      <c r="O160">
        <v>824076</v>
      </c>
      <c r="P160" t="s">
        <v>148</v>
      </c>
      <c r="Q160" t="s">
        <v>45</v>
      </c>
      <c r="R160" t="s">
        <v>53</v>
      </c>
      <c r="S160" s="1">
        <v>45778</v>
      </c>
      <c r="U160" t="s">
        <v>47</v>
      </c>
      <c r="X160" t="s">
        <v>48</v>
      </c>
      <c r="Y160" s="2">
        <v>35.700000000000003</v>
      </c>
      <c r="Z160" s="2">
        <v>35.700000000000003</v>
      </c>
      <c r="AA160">
        <v>0</v>
      </c>
      <c r="AB160" s="3">
        <v>0.7</v>
      </c>
      <c r="AC160" s="2">
        <v>0</v>
      </c>
      <c r="AD160" s="3">
        <v>0</v>
      </c>
      <c r="AE160" s="2">
        <v>0</v>
      </c>
      <c r="AF160" s="2">
        <v>0</v>
      </c>
      <c r="AK160" s="4">
        <v>18677500</v>
      </c>
    </row>
    <row r="161" spans="1:37" x14ac:dyDescent="0.25">
      <c r="A161" s="1">
        <v>45786</v>
      </c>
      <c r="B161" s="1">
        <v>45782</v>
      </c>
      <c r="C161" t="s">
        <v>38</v>
      </c>
      <c r="D161" t="s">
        <v>39</v>
      </c>
      <c r="E161" t="s">
        <v>40</v>
      </c>
      <c r="F161">
        <v>649163</v>
      </c>
      <c r="G161">
        <v>20411454</v>
      </c>
      <c r="H161" t="s">
        <v>41</v>
      </c>
      <c r="I161">
        <v>2028642080</v>
      </c>
      <c r="J161" t="s">
        <v>147</v>
      </c>
      <c r="M161" t="s">
        <v>50</v>
      </c>
      <c r="O161">
        <v>824076</v>
      </c>
      <c r="P161" t="s">
        <v>148</v>
      </c>
      <c r="Q161" t="s">
        <v>45</v>
      </c>
      <c r="R161" t="s">
        <v>115</v>
      </c>
      <c r="S161" s="1">
        <v>45778</v>
      </c>
      <c r="U161" t="s">
        <v>47</v>
      </c>
      <c r="X161" t="s">
        <v>48</v>
      </c>
      <c r="Y161" s="2">
        <v>29.25</v>
      </c>
      <c r="Z161" s="2">
        <v>29.25</v>
      </c>
      <c r="AA161">
        <v>0</v>
      </c>
      <c r="AB161" s="3">
        <v>0.9</v>
      </c>
      <c r="AC161" s="2">
        <v>0</v>
      </c>
      <c r="AD161" s="3">
        <v>0</v>
      </c>
      <c r="AE161" s="2">
        <v>0</v>
      </c>
      <c r="AF161" s="2">
        <v>0</v>
      </c>
      <c r="AK161" s="4">
        <v>18718610</v>
      </c>
    </row>
    <row r="162" spans="1:37" x14ac:dyDescent="0.25">
      <c r="A162" s="1">
        <v>45786</v>
      </c>
      <c r="B162" s="1">
        <v>45782</v>
      </c>
      <c r="C162" t="s">
        <v>38</v>
      </c>
      <c r="D162" t="s">
        <v>39</v>
      </c>
      <c r="E162" t="s">
        <v>40</v>
      </c>
      <c r="F162">
        <v>649163</v>
      </c>
      <c r="G162">
        <v>20411454</v>
      </c>
      <c r="H162" t="s">
        <v>41</v>
      </c>
      <c r="I162">
        <v>2028683414</v>
      </c>
      <c r="J162" t="s">
        <v>199</v>
      </c>
      <c r="M162" t="s">
        <v>50</v>
      </c>
      <c r="O162">
        <v>824076</v>
      </c>
      <c r="P162" t="s">
        <v>148</v>
      </c>
      <c r="Q162" t="s">
        <v>45</v>
      </c>
      <c r="R162" t="s">
        <v>52</v>
      </c>
      <c r="S162" s="1">
        <v>45778</v>
      </c>
      <c r="U162" t="s">
        <v>47</v>
      </c>
      <c r="X162" t="s">
        <v>71</v>
      </c>
      <c r="Y162" s="2">
        <v>176.99</v>
      </c>
      <c r="Z162" s="2">
        <v>176.99</v>
      </c>
      <c r="AA162">
        <v>0</v>
      </c>
      <c r="AB162" s="3">
        <v>0.375</v>
      </c>
      <c r="AC162" s="2">
        <v>0</v>
      </c>
      <c r="AD162" s="3">
        <v>0</v>
      </c>
      <c r="AE162" s="2">
        <v>0</v>
      </c>
      <c r="AF162" s="2">
        <v>0</v>
      </c>
      <c r="AK162" s="4">
        <v>18712990</v>
      </c>
    </row>
    <row r="163" spans="1:37" x14ac:dyDescent="0.25">
      <c r="A163" s="1">
        <v>45786</v>
      </c>
      <c r="B163" s="1">
        <v>45782</v>
      </c>
      <c r="C163" t="s">
        <v>38</v>
      </c>
      <c r="D163" t="s">
        <v>39</v>
      </c>
      <c r="E163" t="s">
        <v>40</v>
      </c>
      <c r="F163">
        <v>649163</v>
      </c>
      <c r="G163">
        <v>20411454</v>
      </c>
      <c r="H163" t="s">
        <v>41</v>
      </c>
      <c r="I163">
        <v>2028683415</v>
      </c>
      <c r="J163" t="s">
        <v>199</v>
      </c>
      <c r="M163" t="s">
        <v>50</v>
      </c>
      <c r="O163">
        <v>824076</v>
      </c>
      <c r="P163" t="s">
        <v>148</v>
      </c>
      <c r="Q163" t="s">
        <v>45</v>
      </c>
      <c r="R163" t="s">
        <v>53</v>
      </c>
      <c r="S163" s="1">
        <v>45778</v>
      </c>
      <c r="U163" t="s">
        <v>47</v>
      </c>
      <c r="X163" t="s">
        <v>71</v>
      </c>
      <c r="Y163" s="2">
        <v>56.62</v>
      </c>
      <c r="Z163" s="2">
        <v>56.62</v>
      </c>
      <c r="AA163">
        <v>0</v>
      </c>
      <c r="AB163" s="3">
        <v>0.7</v>
      </c>
      <c r="AC163" s="2">
        <v>0</v>
      </c>
      <c r="AD163" s="3">
        <v>0</v>
      </c>
      <c r="AE163" s="2">
        <v>0</v>
      </c>
      <c r="AF163" s="2">
        <v>0</v>
      </c>
      <c r="AK163" s="4">
        <v>18677950</v>
      </c>
    </row>
    <row r="164" spans="1:37" x14ac:dyDescent="0.25">
      <c r="A164" s="1">
        <v>45786</v>
      </c>
      <c r="B164" s="1">
        <v>45782</v>
      </c>
      <c r="C164" t="s">
        <v>38</v>
      </c>
      <c r="D164" t="s">
        <v>39</v>
      </c>
      <c r="E164" t="s">
        <v>40</v>
      </c>
      <c r="F164">
        <v>649163</v>
      </c>
      <c r="G164">
        <v>20411454</v>
      </c>
      <c r="H164" t="s">
        <v>41</v>
      </c>
      <c r="I164">
        <v>2028670284</v>
      </c>
      <c r="J164" t="s">
        <v>183</v>
      </c>
      <c r="M164" t="s">
        <v>43</v>
      </c>
      <c r="O164">
        <v>677095</v>
      </c>
      <c r="P164" t="s">
        <v>184</v>
      </c>
      <c r="Q164" t="s">
        <v>45</v>
      </c>
      <c r="R164" t="s">
        <v>119</v>
      </c>
      <c r="S164" s="1">
        <v>45786</v>
      </c>
      <c r="U164" t="s">
        <v>47</v>
      </c>
      <c r="X164" t="s">
        <v>48</v>
      </c>
      <c r="Y164" s="2">
        <v>52.69</v>
      </c>
      <c r="Z164" s="2">
        <v>52.69</v>
      </c>
      <c r="AA164">
        <v>0</v>
      </c>
      <c r="AB164" s="3">
        <v>0.2</v>
      </c>
      <c r="AC164" s="2">
        <v>0</v>
      </c>
      <c r="AD164" s="3">
        <v>0</v>
      </c>
      <c r="AE164" s="2">
        <v>0</v>
      </c>
      <c r="AF164" s="2">
        <v>0</v>
      </c>
      <c r="AK164" s="4">
        <v>18695380</v>
      </c>
    </row>
  </sheetData>
  <sortState xmlns:xlrd2="http://schemas.microsoft.com/office/spreadsheetml/2017/richdata2" ref="A2:AL166">
    <sortCondition sortBy="cellColor" ref="P2:P166" dxfId="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993A-0A30-4765-B88D-A8E735740B73}">
  <dimension ref="A1:AL68"/>
  <sheetViews>
    <sheetView tabSelected="1" workbookViewId="0">
      <selection activeCell="M2" sqref="M2"/>
    </sheetView>
  </sheetViews>
  <sheetFormatPr defaultRowHeight="15" x14ac:dyDescent="0.25"/>
  <cols>
    <col min="1" max="1" width="14.140625" bestFit="1" customWidth="1"/>
    <col min="2" max="2" width="30.5703125" bestFit="1" customWidth="1"/>
    <col min="4" max="4" width="15.7109375" bestFit="1" customWidth="1"/>
    <col min="5" max="5" width="27.28515625" bestFit="1" customWidth="1"/>
    <col min="6" max="6" width="43" bestFit="1" customWidth="1"/>
    <col min="10" max="10" width="12.5703125" customWidth="1"/>
    <col min="11" max="11" width="15.85546875" bestFit="1" customWidth="1"/>
    <col min="12" max="12" width="16.42578125" bestFit="1" customWidth="1"/>
    <col min="14" max="14" width="51.140625" bestFit="1" customWidth="1"/>
  </cols>
  <sheetData>
    <row r="1" spans="1:38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20</v>
      </c>
      <c r="I1" t="s">
        <v>23</v>
      </c>
      <c r="J1" t="s">
        <v>24</v>
      </c>
      <c r="K1" t="s">
        <v>25</v>
      </c>
      <c r="L1" t="s">
        <v>27</v>
      </c>
    </row>
    <row r="2" spans="1:38" x14ac:dyDescent="0.25">
      <c r="A2">
        <v>2028707013</v>
      </c>
      <c r="B2" t="s">
        <v>217</v>
      </c>
      <c r="C2" t="s">
        <v>218</v>
      </c>
      <c r="D2" t="s">
        <v>264</v>
      </c>
      <c r="E2" t="s">
        <v>107</v>
      </c>
      <c r="F2" t="s">
        <v>76</v>
      </c>
      <c r="G2" s="1">
        <v>45779</v>
      </c>
      <c r="H2" t="s">
        <v>47</v>
      </c>
      <c r="I2" t="s">
        <v>48</v>
      </c>
      <c r="J2" s="2">
        <v>27.78</v>
      </c>
      <c r="K2" s="2">
        <v>27.78</v>
      </c>
      <c r="L2" s="3">
        <v>0.75</v>
      </c>
      <c r="M2" s="2">
        <f t="shared" ref="M2:M33" si="0">SUM(K2*L2)</f>
        <v>20.835000000000001</v>
      </c>
      <c r="N2" t="s">
        <v>261</v>
      </c>
    </row>
    <row r="3" spans="1:38" x14ac:dyDescent="0.25">
      <c r="A3">
        <v>2028472709</v>
      </c>
      <c r="B3" t="s">
        <v>102</v>
      </c>
      <c r="C3" t="s">
        <v>50</v>
      </c>
      <c r="D3" t="s">
        <v>235</v>
      </c>
      <c r="E3" t="s">
        <v>102</v>
      </c>
      <c r="F3" t="s">
        <v>91</v>
      </c>
      <c r="G3" s="1">
        <v>45778</v>
      </c>
      <c r="H3" t="s">
        <v>47</v>
      </c>
      <c r="I3" t="s">
        <v>48</v>
      </c>
      <c r="J3" s="2">
        <v>114.25</v>
      </c>
      <c r="K3" s="2">
        <v>114.25</v>
      </c>
      <c r="L3" s="3">
        <v>0.9</v>
      </c>
      <c r="M3" s="2">
        <f t="shared" si="0"/>
        <v>102.825</v>
      </c>
      <c r="N3" t="s">
        <v>262</v>
      </c>
    </row>
    <row r="4" spans="1:38" x14ac:dyDescent="0.25">
      <c r="A4">
        <v>2028697234</v>
      </c>
      <c r="B4" t="s">
        <v>215</v>
      </c>
      <c r="C4" t="s">
        <v>201</v>
      </c>
      <c r="D4" t="s">
        <v>240</v>
      </c>
      <c r="E4" t="s">
        <v>202</v>
      </c>
      <c r="F4" t="s">
        <v>91</v>
      </c>
      <c r="G4" s="1">
        <v>45778</v>
      </c>
      <c r="H4" t="s">
        <v>47</v>
      </c>
      <c r="I4" t="s">
        <v>48</v>
      </c>
      <c r="J4" s="2">
        <v>25</v>
      </c>
      <c r="K4" s="2">
        <v>25</v>
      </c>
      <c r="L4" s="3">
        <v>0.9</v>
      </c>
      <c r="M4" s="2">
        <f t="shared" si="0"/>
        <v>22.5</v>
      </c>
      <c r="N4" t="s">
        <v>262</v>
      </c>
    </row>
    <row r="5" spans="1:38" x14ac:dyDescent="0.25">
      <c r="A5">
        <v>2028662839</v>
      </c>
      <c r="B5" t="s">
        <v>175</v>
      </c>
      <c r="C5" t="s">
        <v>50</v>
      </c>
      <c r="D5" t="s">
        <v>234</v>
      </c>
      <c r="E5" t="s">
        <v>133</v>
      </c>
      <c r="F5" t="s">
        <v>176</v>
      </c>
      <c r="G5" s="1">
        <v>45778</v>
      </c>
      <c r="H5" t="s">
        <v>47</v>
      </c>
      <c r="I5" t="s">
        <v>48</v>
      </c>
      <c r="J5" s="2">
        <v>136.36000000000001</v>
      </c>
      <c r="K5" s="2">
        <v>136.36000000000001</v>
      </c>
      <c r="L5" s="3">
        <v>0.42</v>
      </c>
      <c r="M5" s="2">
        <f t="shared" si="0"/>
        <v>57.2712</v>
      </c>
      <c r="N5" t="s">
        <v>259</v>
      </c>
    </row>
    <row r="6" spans="1:38" x14ac:dyDescent="0.25">
      <c r="A6">
        <v>2028678000</v>
      </c>
      <c r="B6" t="s">
        <v>167</v>
      </c>
      <c r="C6" t="s">
        <v>121</v>
      </c>
      <c r="D6" t="s">
        <v>247</v>
      </c>
      <c r="E6" t="s">
        <v>168</v>
      </c>
      <c r="F6" t="s">
        <v>196</v>
      </c>
      <c r="G6" s="1">
        <v>45778</v>
      </c>
      <c r="H6" t="s">
        <v>47</v>
      </c>
      <c r="I6" t="s">
        <v>195</v>
      </c>
      <c r="J6" s="2">
        <v>15</v>
      </c>
      <c r="K6" s="2">
        <v>15</v>
      </c>
      <c r="L6" s="3">
        <v>0.28999999999999998</v>
      </c>
      <c r="M6" s="2">
        <f t="shared" si="0"/>
        <v>4.3499999999999996</v>
      </c>
      <c r="N6" t="s">
        <v>255</v>
      </c>
    </row>
    <row r="7" spans="1:38" x14ac:dyDescent="0.25">
      <c r="A7">
        <v>2028421977</v>
      </c>
      <c r="B7" t="s">
        <v>96</v>
      </c>
      <c r="C7" t="s">
        <v>50</v>
      </c>
      <c r="D7" t="s">
        <v>233</v>
      </c>
      <c r="E7" t="s">
        <v>97</v>
      </c>
      <c r="F7" t="s">
        <v>46</v>
      </c>
      <c r="G7" s="1">
        <v>45778</v>
      </c>
      <c r="H7" t="s">
        <v>47</v>
      </c>
      <c r="I7" t="s">
        <v>48</v>
      </c>
      <c r="J7" s="2">
        <v>73.39</v>
      </c>
      <c r="K7" s="2">
        <v>73.39</v>
      </c>
      <c r="L7" s="3">
        <v>0.47</v>
      </c>
      <c r="M7" s="2">
        <f t="shared" si="0"/>
        <v>34.493299999999998</v>
      </c>
      <c r="N7" t="s">
        <v>258</v>
      </c>
    </row>
    <row r="8" spans="1:38" x14ac:dyDescent="0.25">
      <c r="A8">
        <v>2028649902</v>
      </c>
      <c r="B8" t="s">
        <v>162</v>
      </c>
      <c r="C8" t="s">
        <v>57</v>
      </c>
      <c r="D8" t="s">
        <v>237</v>
      </c>
      <c r="E8" t="s">
        <v>64</v>
      </c>
      <c r="F8" t="s">
        <v>163</v>
      </c>
      <c r="G8" s="1">
        <v>45776</v>
      </c>
      <c r="H8" t="s">
        <v>47</v>
      </c>
      <c r="I8" t="s">
        <v>48</v>
      </c>
      <c r="J8" s="2">
        <v>131.32</v>
      </c>
      <c r="K8" s="2">
        <v>131.32</v>
      </c>
      <c r="L8" s="3">
        <v>0.38</v>
      </c>
      <c r="M8" s="2">
        <f t="shared" si="0"/>
        <v>49.901599999999995</v>
      </c>
      <c r="N8" t="s">
        <v>257</v>
      </c>
    </row>
    <row r="9" spans="1:38" x14ac:dyDescent="0.25">
      <c r="A9">
        <v>2028697232</v>
      </c>
      <c r="B9" t="s">
        <v>215</v>
      </c>
      <c r="C9" t="s">
        <v>201</v>
      </c>
      <c r="D9" t="s">
        <v>240</v>
      </c>
      <c r="E9" t="s">
        <v>202</v>
      </c>
      <c r="F9" t="s">
        <v>111</v>
      </c>
      <c r="G9" s="1">
        <v>45778</v>
      </c>
      <c r="H9" t="s">
        <v>47</v>
      </c>
      <c r="I9" t="s">
        <v>48</v>
      </c>
      <c r="J9" s="2">
        <v>16.91</v>
      </c>
      <c r="K9" s="2">
        <v>16.91</v>
      </c>
      <c r="L9" s="3">
        <v>0.38</v>
      </c>
      <c r="M9" s="2">
        <f t="shared" si="0"/>
        <v>6.4257999999999997</v>
      </c>
      <c r="N9" t="s">
        <v>257</v>
      </c>
    </row>
    <row r="10" spans="1:38" x14ac:dyDescent="0.25">
      <c r="A10">
        <v>2027809824</v>
      </c>
      <c r="B10" t="s">
        <v>56</v>
      </c>
      <c r="C10" t="s">
        <v>57</v>
      </c>
      <c r="D10" t="s">
        <v>236</v>
      </c>
      <c r="E10" t="s">
        <v>58</v>
      </c>
      <c r="F10" t="s">
        <v>59</v>
      </c>
      <c r="G10" s="1">
        <v>45778</v>
      </c>
      <c r="H10" t="s">
        <v>47</v>
      </c>
      <c r="I10" t="s">
        <v>48</v>
      </c>
      <c r="J10" s="2">
        <v>113.73</v>
      </c>
      <c r="K10" s="2">
        <v>113.73</v>
      </c>
      <c r="L10" s="3">
        <v>0.25</v>
      </c>
      <c r="M10" s="2">
        <f t="shared" si="0"/>
        <v>28.432500000000001</v>
      </c>
      <c r="N10" t="s">
        <v>251</v>
      </c>
    </row>
    <row r="11" spans="1:38" x14ac:dyDescent="0.25">
      <c r="A11">
        <v>2028679376</v>
      </c>
      <c r="B11" t="s">
        <v>197</v>
      </c>
      <c r="C11" t="s">
        <v>50</v>
      </c>
      <c r="D11" t="s">
        <v>236</v>
      </c>
      <c r="E11" t="s">
        <v>58</v>
      </c>
      <c r="F11" t="s">
        <v>198</v>
      </c>
      <c r="G11" s="1">
        <v>45778</v>
      </c>
      <c r="H11" t="s">
        <v>47</v>
      </c>
      <c r="I11" t="s">
        <v>48</v>
      </c>
      <c r="J11" s="2">
        <v>129.44</v>
      </c>
      <c r="K11" s="2">
        <v>129.44</v>
      </c>
      <c r="L11" s="3">
        <v>0.26</v>
      </c>
      <c r="M11" s="2">
        <f t="shared" si="0"/>
        <v>33.654400000000003</v>
      </c>
      <c r="N11" t="s">
        <v>252</v>
      </c>
    </row>
    <row r="12" spans="1:38" x14ac:dyDescent="0.25">
      <c r="A12">
        <v>2028166815</v>
      </c>
      <c r="B12" t="s">
        <v>63</v>
      </c>
      <c r="C12" t="s">
        <v>50</v>
      </c>
      <c r="D12" t="s">
        <v>237</v>
      </c>
      <c r="E12" t="s">
        <v>64</v>
      </c>
      <c r="F12" t="s">
        <v>65</v>
      </c>
      <c r="G12" s="1">
        <v>45778</v>
      </c>
      <c r="H12" t="s">
        <v>47</v>
      </c>
      <c r="I12" t="s">
        <v>48</v>
      </c>
      <c r="J12" s="2">
        <v>106.67</v>
      </c>
      <c r="K12" s="2">
        <v>106.67</v>
      </c>
      <c r="L12" s="3">
        <v>0.28000000000000003</v>
      </c>
      <c r="M12" s="2">
        <f t="shared" si="0"/>
        <v>29.867600000000003</v>
      </c>
      <c r="N12" t="s">
        <v>253</v>
      </c>
    </row>
    <row r="13" spans="1:38" x14ac:dyDescent="0.25">
      <c r="A13">
        <v>2028677999</v>
      </c>
      <c r="B13" t="s">
        <v>167</v>
      </c>
      <c r="C13" t="s">
        <v>121</v>
      </c>
      <c r="D13" t="s">
        <v>247</v>
      </c>
      <c r="E13" t="s">
        <v>168</v>
      </c>
      <c r="F13" t="s">
        <v>194</v>
      </c>
      <c r="G13" s="1">
        <v>45778</v>
      </c>
      <c r="H13" t="s">
        <v>47</v>
      </c>
      <c r="I13" t="s">
        <v>195</v>
      </c>
      <c r="J13" s="2">
        <v>1011.06</v>
      </c>
      <c r="K13" s="2">
        <v>1011.06</v>
      </c>
      <c r="L13" s="3">
        <v>0.28999999999999998</v>
      </c>
      <c r="M13" s="2">
        <f t="shared" si="0"/>
        <v>293.20739999999995</v>
      </c>
      <c r="N13" t="s">
        <v>254</v>
      </c>
    </row>
    <row r="14" spans="1:38" x14ac:dyDescent="0.25">
      <c r="A14">
        <v>2028695301</v>
      </c>
      <c r="B14" t="s">
        <v>212</v>
      </c>
      <c r="C14" t="s">
        <v>50</v>
      </c>
      <c r="D14" t="s">
        <v>233</v>
      </c>
      <c r="E14" t="s">
        <v>97</v>
      </c>
      <c r="F14" t="s">
        <v>53</v>
      </c>
      <c r="G14" s="1">
        <v>45809</v>
      </c>
      <c r="H14" t="s">
        <v>47</v>
      </c>
      <c r="I14" t="s">
        <v>48</v>
      </c>
      <c r="J14" s="2">
        <v>61.08</v>
      </c>
      <c r="K14" s="2">
        <v>61.08</v>
      </c>
      <c r="L14" s="3">
        <v>0.7</v>
      </c>
      <c r="M14" s="2">
        <f t="shared" si="0"/>
        <v>42.755999999999993</v>
      </c>
      <c r="N14" t="s">
        <v>260</v>
      </c>
    </row>
    <row r="15" spans="1:38" x14ac:dyDescent="0.25">
      <c r="A15">
        <v>2028582349</v>
      </c>
      <c r="B15" t="s">
        <v>132</v>
      </c>
      <c r="C15" t="s">
        <v>50</v>
      </c>
      <c r="D15" t="s">
        <v>234</v>
      </c>
      <c r="E15" t="s">
        <v>133</v>
      </c>
      <c r="F15" t="s">
        <v>53</v>
      </c>
      <c r="G15" s="1">
        <v>45784</v>
      </c>
      <c r="H15" t="s">
        <v>47</v>
      </c>
      <c r="I15" t="s">
        <v>48</v>
      </c>
      <c r="J15" s="2">
        <v>77.52</v>
      </c>
      <c r="K15" s="2">
        <v>77.52</v>
      </c>
      <c r="L15" s="3">
        <v>0.7</v>
      </c>
      <c r="M15" s="2">
        <f t="shared" si="0"/>
        <v>54.263999999999996</v>
      </c>
      <c r="N15" t="s">
        <v>260</v>
      </c>
    </row>
    <row r="16" spans="1:38" s="5" customFormat="1" x14ac:dyDescent="0.25">
      <c r="A16">
        <v>2028662840</v>
      </c>
      <c r="B16" t="s">
        <v>175</v>
      </c>
      <c r="C16" t="s">
        <v>50</v>
      </c>
      <c r="D16" t="s">
        <v>234</v>
      </c>
      <c r="E16" t="s">
        <v>133</v>
      </c>
      <c r="F16" t="s">
        <v>53</v>
      </c>
      <c r="G16" s="1">
        <v>45778</v>
      </c>
      <c r="H16" t="s">
        <v>47</v>
      </c>
      <c r="I16" t="s">
        <v>48</v>
      </c>
      <c r="J16" s="2">
        <v>119.06</v>
      </c>
      <c r="K16" s="2">
        <v>119.06</v>
      </c>
      <c r="L16" s="3">
        <v>0.7</v>
      </c>
      <c r="M16" s="2">
        <f t="shared" si="0"/>
        <v>83.341999999999999</v>
      </c>
      <c r="N16" t="s">
        <v>260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 s="5" customFormat="1" x14ac:dyDescent="0.25">
      <c r="A17">
        <v>2028472708</v>
      </c>
      <c r="B17" t="s">
        <v>102</v>
      </c>
      <c r="C17" t="s">
        <v>50</v>
      </c>
      <c r="D17" t="s">
        <v>235</v>
      </c>
      <c r="E17" t="s">
        <v>102</v>
      </c>
      <c r="F17" t="s">
        <v>53</v>
      </c>
      <c r="G17" s="1">
        <v>45778</v>
      </c>
      <c r="H17" t="s">
        <v>47</v>
      </c>
      <c r="I17" t="s">
        <v>48</v>
      </c>
      <c r="J17" s="2">
        <v>145.41999999999999</v>
      </c>
      <c r="K17" s="2">
        <v>145.41999999999999</v>
      </c>
      <c r="L17" s="3">
        <v>0.7</v>
      </c>
      <c r="M17" s="2">
        <f t="shared" si="0"/>
        <v>101.79399999999998</v>
      </c>
      <c r="N17" t="s">
        <v>260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x14ac:dyDescent="0.25">
      <c r="A18">
        <v>2028675881</v>
      </c>
      <c r="B18" t="s">
        <v>190</v>
      </c>
      <c r="C18" t="s">
        <v>50</v>
      </c>
      <c r="D18" t="s">
        <v>236</v>
      </c>
      <c r="E18" t="s">
        <v>58</v>
      </c>
      <c r="F18" t="s">
        <v>53</v>
      </c>
      <c r="G18" s="1">
        <v>45778</v>
      </c>
      <c r="H18" t="s">
        <v>47</v>
      </c>
      <c r="I18" t="s">
        <v>48</v>
      </c>
      <c r="J18" s="2">
        <v>115.38</v>
      </c>
      <c r="K18" s="2">
        <v>115.38</v>
      </c>
      <c r="L18" s="3">
        <v>0.7</v>
      </c>
      <c r="M18" s="2">
        <f t="shared" si="0"/>
        <v>80.765999999999991</v>
      </c>
      <c r="N18" t="s">
        <v>260</v>
      </c>
    </row>
    <row r="19" spans="1:38" x14ac:dyDescent="0.25">
      <c r="A19" s="5">
        <v>2027536931</v>
      </c>
      <c r="B19" s="5" t="s">
        <v>49</v>
      </c>
      <c r="C19" s="5" t="s">
        <v>50</v>
      </c>
      <c r="D19" s="5" t="s">
        <v>265</v>
      </c>
      <c r="E19" s="5" t="s">
        <v>51</v>
      </c>
      <c r="F19" s="5" t="s">
        <v>53</v>
      </c>
      <c r="G19" s="6">
        <v>45778</v>
      </c>
      <c r="H19" s="5" t="s">
        <v>47</v>
      </c>
      <c r="I19" s="5" t="s">
        <v>48</v>
      </c>
      <c r="J19" s="7">
        <v>11.5</v>
      </c>
      <c r="K19" s="7">
        <v>11.5</v>
      </c>
      <c r="L19" s="8">
        <v>0.7</v>
      </c>
      <c r="M19" s="2">
        <f t="shared" si="0"/>
        <v>8.0499999999999989</v>
      </c>
      <c r="N19" t="s">
        <v>260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x14ac:dyDescent="0.25">
      <c r="A20">
        <v>2027659215</v>
      </c>
      <c r="B20" t="s">
        <v>54</v>
      </c>
      <c r="C20" t="s">
        <v>50</v>
      </c>
      <c r="D20" t="s">
        <v>238</v>
      </c>
      <c r="E20" t="s">
        <v>55</v>
      </c>
      <c r="F20" t="s">
        <v>53</v>
      </c>
      <c r="G20" s="1">
        <v>45778</v>
      </c>
      <c r="H20" t="s">
        <v>47</v>
      </c>
      <c r="I20" t="s">
        <v>48</v>
      </c>
      <c r="J20" s="2">
        <v>66.36</v>
      </c>
      <c r="K20" s="2">
        <v>66.36</v>
      </c>
      <c r="L20" s="3">
        <v>0.7</v>
      </c>
      <c r="M20" s="2">
        <f t="shared" si="0"/>
        <v>46.451999999999998</v>
      </c>
      <c r="N20" t="s">
        <v>260</v>
      </c>
    </row>
    <row r="21" spans="1:38" x14ac:dyDescent="0.25">
      <c r="A21">
        <v>2028321639</v>
      </c>
      <c r="B21" t="s">
        <v>78</v>
      </c>
      <c r="C21" t="s">
        <v>79</v>
      </c>
      <c r="D21" t="s">
        <v>239</v>
      </c>
      <c r="E21" t="s">
        <v>80</v>
      </c>
      <c r="F21" t="s">
        <v>53</v>
      </c>
      <c r="G21" s="1">
        <v>45778</v>
      </c>
      <c r="H21" t="s">
        <v>47</v>
      </c>
      <c r="I21" t="s">
        <v>48</v>
      </c>
      <c r="J21" s="2">
        <v>28.38</v>
      </c>
      <c r="K21" s="2">
        <v>28.38</v>
      </c>
      <c r="L21" s="3">
        <v>0.7</v>
      </c>
      <c r="M21" s="2">
        <f t="shared" si="0"/>
        <v>19.866</v>
      </c>
      <c r="N21" t="s">
        <v>260</v>
      </c>
    </row>
    <row r="22" spans="1:38" x14ac:dyDescent="0.25">
      <c r="A22">
        <v>2028685966</v>
      </c>
      <c r="B22" t="s">
        <v>200</v>
      </c>
      <c r="C22" t="s">
        <v>201</v>
      </c>
      <c r="D22" t="s">
        <v>240</v>
      </c>
      <c r="E22" t="s">
        <v>202</v>
      </c>
      <c r="F22" t="s">
        <v>110</v>
      </c>
      <c r="G22" s="1">
        <v>45778</v>
      </c>
      <c r="H22" t="s">
        <v>47</v>
      </c>
      <c r="I22" t="s">
        <v>48</v>
      </c>
      <c r="J22" s="2">
        <v>12.6</v>
      </c>
      <c r="K22" s="2">
        <v>12.6</v>
      </c>
      <c r="L22" s="3">
        <v>0.7</v>
      </c>
      <c r="M22" s="2">
        <f t="shared" si="0"/>
        <v>8.8199999999999985</v>
      </c>
      <c r="N22" t="s">
        <v>260</v>
      </c>
    </row>
    <row r="23" spans="1:38" x14ac:dyDescent="0.25">
      <c r="A23">
        <v>2028697233</v>
      </c>
      <c r="B23" t="s">
        <v>215</v>
      </c>
      <c r="C23" t="s">
        <v>201</v>
      </c>
      <c r="D23" t="s">
        <v>240</v>
      </c>
      <c r="E23" t="s">
        <v>202</v>
      </c>
      <c r="F23" t="s">
        <v>53</v>
      </c>
      <c r="G23" s="1">
        <v>45778</v>
      </c>
      <c r="H23" t="s">
        <v>47</v>
      </c>
      <c r="I23" t="s">
        <v>48</v>
      </c>
      <c r="J23" s="2">
        <v>9.6999999999999993</v>
      </c>
      <c r="K23" s="2">
        <v>9.6999999999999993</v>
      </c>
      <c r="L23" s="3">
        <v>0.7</v>
      </c>
      <c r="M23" s="2">
        <f t="shared" si="0"/>
        <v>6.7899999999999991</v>
      </c>
      <c r="N23" t="s">
        <v>260</v>
      </c>
    </row>
    <row r="24" spans="1:38" x14ac:dyDescent="0.25">
      <c r="A24">
        <v>2028537460</v>
      </c>
      <c r="B24" t="s">
        <v>105</v>
      </c>
      <c r="C24" t="s">
        <v>106</v>
      </c>
      <c r="D24" t="s">
        <v>264</v>
      </c>
      <c r="E24" t="s">
        <v>107</v>
      </c>
      <c r="F24" t="s">
        <v>53</v>
      </c>
      <c r="G24" s="1">
        <v>45784</v>
      </c>
      <c r="H24" t="s">
        <v>47</v>
      </c>
      <c r="I24" t="s">
        <v>48</v>
      </c>
      <c r="J24" s="2">
        <v>50.65</v>
      </c>
      <c r="K24" s="2">
        <v>50.65</v>
      </c>
      <c r="L24" s="3">
        <v>0.7</v>
      </c>
      <c r="M24" s="2">
        <f t="shared" si="0"/>
        <v>35.454999999999998</v>
      </c>
      <c r="N24" t="s">
        <v>260</v>
      </c>
    </row>
    <row r="25" spans="1:38" x14ac:dyDescent="0.25">
      <c r="A25">
        <v>2028707012</v>
      </c>
      <c r="B25" t="s">
        <v>217</v>
      </c>
      <c r="C25" t="s">
        <v>218</v>
      </c>
      <c r="D25" t="s">
        <v>264</v>
      </c>
      <c r="E25" t="s">
        <v>107</v>
      </c>
      <c r="F25" t="s">
        <v>53</v>
      </c>
      <c r="G25" s="1">
        <v>45779</v>
      </c>
      <c r="H25" t="s">
        <v>47</v>
      </c>
      <c r="I25" t="s">
        <v>48</v>
      </c>
      <c r="J25" s="2">
        <v>35.04</v>
      </c>
      <c r="K25" s="2">
        <v>35.04</v>
      </c>
      <c r="L25" s="3">
        <v>0.7</v>
      </c>
      <c r="M25" s="2">
        <f t="shared" si="0"/>
        <v>24.527999999999999</v>
      </c>
      <c r="N25" t="s">
        <v>260</v>
      </c>
    </row>
    <row r="26" spans="1:38" x14ac:dyDescent="0.25">
      <c r="A26">
        <v>2028170130</v>
      </c>
      <c r="B26" t="s">
        <v>66</v>
      </c>
      <c r="C26" t="s">
        <v>50</v>
      </c>
      <c r="D26" t="s">
        <v>241</v>
      </c>
      <c r="E26" t="s">
        <v>67</v>
      </c>
      <c r="F26" t="s">
        <v>53</v>
      </c>
      <c r="G26" s="1">
        <v>45778</v>
      </c>
      <c r="H26" t="s">
        <v>47</v>
      </c>
      <c r="I26" t="s">
        <v>48</v>
      </c>
      <c r="J26" s="2">
        <v>11.5</v>
      </c>
      <c r="K26" s="2">
        <v>11.5</v>
      </c>
      <c r="L26" s="3">
        <v>0.7</v>
      </c>
      <c r="M26" s="2">
        <f t="shared" si="0"/>
        <v>8.0499999999999989</v>
      </c>
      <c r="N26" t="s">
        <v>260</v>
      </c>
    </row>
    <row r="27" spans="1:38" x14ac:dyDescent="0.25">
      <c r="A27">
        <v>2028222336</v>
      </c>
      <c r="B27" t="s">
        <v>70</v>
      </c>
      <c r="C27" t="s">
        <v>50</v>
      </c>
      <c r="D27" t="s">
        <v>241</v>
      </c>
      <c r="E27" t="s">
        <v>67</v>
      </c>
      <c r="F27" t="s">
        <v>53</v>
      </c>
      <c r="G27" s="1">
        <v>45778</v>
      </c>
      <c r="H27" t="s">
        <v>47</v>
      </c>
      <c r="I27" t="s">
        <v>71</v>
      </c>
      <c r="J27" s="2">
        <v>46.08</v>
      </c>
      <c r="K27" s="2">
        <v>46.08</v>
      </c>
      <c r="L27" s="3">
        <v>0.7</v>
      </c>
      <c r="M27" s="2">
        <f t="shared" si="0"/>
        <v>32.256</v>
      </c>
      <c r="N27" t="s">
        <v>260</v>
      </c>
    </row>
    <row r="28" spans="1:38" x14ac:dyDescent="0.25">
      <c r="A28">
        <v>2028298928</v>
      </c>
      <c r="B28" t="s">
        <v>77</v>
      </c>
      <c r="C28" t="s">
        <v>50</v>
      </c>
      <c r="D28" t="s">
        <v>241</v>
      </c>
      <c r="E28" t="s">
        <v>67</v>
      </c>
      <c r="F28" t="s">
        <v>53</v>
      </c>
      <c r="G28" s="1">
        <v>45778</v>
      </c>
      <c r="H28" t="s">
        <v>47</v>
      </c>
      <c r="I28" t="s">
        <v>48</v>
      </c>
      <c r="J28" s="2">
        <v>34.68</v>
      </c>
      <c r="K28" s="2">
        <v>34.68</v>
      </c>
      <c r="L28" s="3">
        <v>0.7</v>
      </c>
      <c r="M28" s="2">
        <f t="shared" si="0"/>
        <v>24.276</v>
      </c>
      <c r="N28" t="s">
        <v>260</v>
      </c>
    </row>
    <row r="29" spans="1:38" x14ac:dyDescent="0.25">
      <c r="A29">
        <v>2028323885</v>
      </c>
      <c r="B29" t="s">
        <v>82</v>
      </c>
      <c r="C29" t="s">
        <v>50</v>
      </c>
      <c r="D29" t="s">
        <v>241</v>
      </c>
      <c r="E29" t="s">
        <v>67</v>
      </c>
      <c r="F29" t="s">
        <v>53</v>
      </c>
      <c r="G29" s="1">
        <v>45778</v>
      </c>
      <c r="H29" t="s">
        <v>47</v>
      </c>
      <c r="I29" t="s">
        <v>48</v>
      </c>
      <c r="J29" s="2">
        <v>95.44</v>
      </c>
      <c r="K29" s="2">
        <v>95.44</v>
      </c>
      <c r="L29" s="3">
        <v>0.7</v>
      </c>
      <c r="M29" s="2">
        <f t="shared" si="0"/>
        <v>66.807999999999993</v>
      </c>
      <c r="N29" t="s">
        <v>260</v>
      </c>
    </row>
    <row r="30" spans="1:38" x14ac:dyDescent="0.25">
      <c r="A30">
        <v>2028549720</v>
      </c>
      <c r="B30" t="s">
        <v>116</v>
      </c>
      <c r="C30" t="s">
        <v>50</v>
      </c>
      <c r="D30" t="s">
        <v>241</v>
      </c>
      <c r="E30" t="s">
        <v>67</v>
      </c>
      <c r="F30" t="s">
        <v>53</v>
      </c>
      <c r="G30" s="1">
        <v>45778</v>
      </c>
      <c r="H30" t="s">
        <v>47</v>
      </c>
      <c r="I30" t="s">
        <v>48</v>
      </c>
      <c r="J30" s="2">
        <v>31.6</v>
      </c>
      <c r="K30" s="2">
        <v>31.6</v>
      </c>
      <c r="L30" s="3">
        <v>0.7</v>
      </c>
      <c r="M30" s="2">
        <f t="shared" si="0"/>
        <v>22.12</v>
      </c>
      <c r="N30" t="s">
        <v>260</v>
      </c>
    </row>
    <row r="31" spans="1:38" x14ac:dyDescent="0.25">
      <c r="A31">
        <v>2028707513</v>
      </c>
      <c r="B31" t="s">
        <v>221</v>
      </c>
      <c r="C31" t="s">
        <v>50</v>
      </c>
      <c r="D31" t="s">
        <v>242</v>
      </c>
      <c r="E31" t="s">
        <v>222</v>
      </c>
      <c r="F31" t="s">
        <v>53</v>
      </c>
      <c r="G31" s="1">
        <v>45779</v>
      </c>
      <c r="H31" t="s">
        <v>47</v>
      </c>
      <c r="I31" t="s">
        <v>48</v>
      </c>
      <c r="J31" s="2">
        <v>28</v>
      </c>
      <c r="K31" s="2">
        <v>28</v>
      </c>
      <c r="L31" s="3">
        <v>0.7</v>
      </c>
      <c r="M31" s="2">
        <f t="shared" si="0"/>
        <v>19.599999999999998</v>
      </c>
      <c r="N31" t="s">
        <v>260</v>
      </c>
    </row>
    <row r="32" spans="1:38" x14ac:dyDescent="0.25">
      <c r="A32">
        <v>2028645330</v>
      </c>
      <c r="B32" t="s">
        <v>156</v>
      </c>
      <c r="C32" t="s">
        <v>121</v>
      </c>
      <c r="D32" t="s">
        <v>243</v>
      </c>
      <c r="E32" t="s">
        <v>150</v>
      </c>
      <c r="F32" t="s">
        <v>53</v>
      </c>
      <c r="G32" s="1">
        <v>45776</v>
      </c>
      <c r="H32" t="s">
        <v>47</v>
      </c>
      <c r="I32" t="s">
        <v>48</v>
      </c>
      <c r="J32" s="2">
        <v>48.54</v>
      </c>
      <c r="K32" s="2">
        <v>48.54</v>
      </c>
      <c r="L32" s="3">
        <v>0.7</v>
      </c>
      <c r="M32" s="2">
        <f t="shared" si="0"/>
        <v>33.977999999999994</v>
      </c>
      <c r="N32" t="s">
        <v>260</v>
      </c>
    </row>
    <row r="33" spans="1:38" x14ac:dyDescent="0.25">
      <c r="A33">
        <v>2028662414</v>
      </c>
      <c r="B33" t="s">
        <v>174</v>
      </c>
      <c r="C33" t="s">
        <v>121</v>
      </c>
      <c r="D33" t="s">
        <v>243</v>
      </c>
      <c r="E33" t="s">
        <v>150</v>
      </c>
      <c r="F33" t="s">
        <v>53</v>
      </c>
      <c r="G33" s="1">
        <v>45777</v>
      </c>
      <c r="H33" t="s">
        <v>47</v>
      </c>
      <c r="I33" t="s">
        <v>48</v>
      </c>
      <c r="J33" s="2">
        <v>6.99</v>
      </c>
      <c r="K33" s="2">
        <v>6.99</v>
      </c>
      <c r="L33" s="3">
        <v>0.7</v>
      </c>
      <c r="M33" s="2">
        <f t="shared" si="0"/>
        <v>4.8929999999999998</v>
      </c>
      <c r="N33" t="s">
        <v>260</v>
      </c>
    </row>
    <row r="34" spans="1:38" x14ac:dyDescent="0.25">
      <c r="A34">
        <v>2028709887</v>
      </c>
      <c r="B34" t="s">
        <v>223</v>
      </c>
      <c r="C34" t="s">
        <v>121</v>
      </c>
      <c r="D34" t="s">
        <v>243</v>
      </c>
      <c r="E34" t="s">
        <v>150</v>
      </c>
      <c r="F34" t="s">
        <v>53</v>
      </c>
      <c r="G34" s="1">
        <v>45779</v>
      </c>
      <c r="H34" t="s">
        <v>47</v>
      </c>
      <c r="I34" t="s">
        <v>48</v>
      </c>
      <c r="J34" s="2">
        <v>23</v>
      </c>
      <c r="K34" s="2">
        <v>23</v>
      </c>
      <c r="L34" s="3">
        <v>0.7</v>
      </c>
      <c r="M34" s="2">
        <f t="shared" ref="M34:M65" si="1">SUM(K34*L34)</f>
        <v>16.099999999999998</v>
      </c>
      <c r="N34" t="s">
        <v>260</v>
      </c>
    </row>
    <row r="35" spans="1:38" x14ac:dyDescent="0.25">
      <c r="A35">
        <v>2028752994</v>
      </c>
      <c r="B35" t="s">
        <v>231</v>
      </c>
      <c r="C35" t="s">
        <v>93</v>
      </c>
      <c r="D35" t="s">
        <v>243</v>
      </c>
      <c r="E35" t="s">
        <v>150</v>
      </c>
      <c r="F35" t="s">
        <v>53</v>
      </c>
      <c r="G35" s="1">
        <v>45780</v>
      </c>
      <c r="H35" t="s">
        <v>47</v>
      </c>
      <c r="I35" t="s">
        <v>48</v>
      </c>
      <c r="J35" s="2">
        <v>10.82</v>
      </c>
      <c r="K35" s="2">
        <v>10.82</v>
      </c>
      <c r="L35" s="3">
        <v>0.7</v>
      </c>
      <c r="M35" s="2">
        <f t="shared" si="1"/>
        <v>7.5739999999999998</v>
      </c>
      <c r="N35" t="s">
        <v>260</v>
      </c>
    </row>
    <row r="36" spans="1:38" x14ac:dyDescent="0.25">
      <c r="A36">
        <v>2028715152</v>
      </c>
      <c r="B36" t="s">
        <v>225</v>
      </c>
      <c r="C36" t="s">
        <v>50</v>
      </c>
      <c r="D36" t="s">
        <v>244</v>
      </c>
      <c r="E36" t="s">
        <v>226</v>
      </c>
      <c r="F36" t="s">
        <v>53</v>
      </c>
      <c r="G36" s="1">
        <v>45779</v>
      </c>
      <c r="H36" t="s">
        <v>47</v>
      </c>
      <c r="I36" t="s">
        <v>48</v>
      </c>
      <c r="J36" s="2">
        <v>56.5</v>
      </c>
      <c r="K36" s="2">
        <v>56.5</v>
      </c>
      <c r="L36" s="3">
        <v>0.7</v>
      </c>
      <c r="M36" s="2">
        <f t="shared" si="1"/>
        <v>39.549999999999997</v>
      </c>
      <c r="N36" t="s">
        <v>260</v>
      </c>
    </row>
    <row r="37" spans="1:38" x14ac:dyDescent="0.25">
      <c r="A37">
        <v>2028352930</v>
      </c>
      <c r="B37" t="s">
        <v>83</v>
      </c>
      <c r="C37" t="s">
        <v>50</v>
      </c>
      <c r="D37" t="s">
        <v>245</v>
      </c>
      <c r="E37" t="s">
        <v>84</v>
      </c>
      <c r="F37" t="s">
        <v>53</v>
      </c>
      <c r="G37" s="1">
        <v>45778</v>
      </c>
      <c r="H37" t="s">
        <v>47</v>
      </c>
      <c r="I37" t="s">
        <v>48</v>
      </c>
      <c r="J37" s="2">
        <v>46.08</v>
      </c>
      <c r="K37" s="2">
        <v>46.08</v>
      </c>
      <c r="L37" s="3">
        <v>0.7</v>
      </c>
      <c r="M37" s="2">
        <f t="shared" si="1"/>
        <v>32.256</v>
      </c>
      <c r="N37" t="s">
        <v>260</v>
      </c>
    </row>
    <row r="38" spans="1:38" x14ac:dyDescent="0.25">
      <c r="A38">
        <v>2028646348</v>
      </c>
      <c r="B38" t="s">
        <v>158</v>
      </c>
      <c r="C38" t="s">
        <v>50</v>
      </c>
      <c r="D38" t="s">
        <v>246</v>
      </c>
      <c r="E38" t="s">
        <v>159</v>
      </c>
      <c r="F38" t="s">
        <v>53</v>
      </c>
      <c r="G38" s="1">
        <v>45778</v>
      </c>
      <c r="H38" t="s">
        <v>47</v>
      </c>
      <c r="I38" t="s">
        <v>48</v>
      </c>
      <c r="J38" s="2">
        <v>57.35</v>
      </c>
      <c r="K38" s="2">
        <v>57.35</v>
      </c>
      <c r="L38" s="3">
        <v>0.7</v>
      </c>
      <c r="M38" s="2">
        <f t="shared" si="1"/>
        <v>40.144999999999996</v>
      </c>
      <c r="N38" t="s">
        <v>260</v>
      </c>
    </row>
    <row r="39" spans="1:38" x14ac:dyDescent="0.25">
      <c r="A39">
        <v>2028653623</v>
      </c>
      <c r="B39" t="s">
        <v>166</v>
      </c>
      <c r="C39" t="s">
        <v>50</v>
      </c>
      <c r="D39" t="s">
        <v>246</v>
      </c>
      <c r="E39" t="s">
        <v>159</v>
      </c>
      <c r="F39" t="s">
        <v>53</v>
      </c>
      <c r="G39" s="1">
        <v>45778</v>
      </c>
      <c r="H39" t="s">
        <v>47</v>
      </c>
      <c r="I39" t="s">
        <v>48</v>
      </c>
      <c r="J39" s="2">
        <v>230.03</v>
      </c>
      <c r="K39" s="2">
        <v>230.03</v>
      </c>
      <c r="L39" s="3">
        <v>0.7</v>
      </c>
      <c r="M39" s="2">
        <f t="shared" si="1"/>
        <v>161.02099999999999</v>
      </c>
      <c r="N39" t="s">
        <v>260</v>
      </c>
    </row>
    <row r="40" spans="1:38" x14ac:dyDescent="0.25">
      <c r="A40">
        <v>2028669308</v>
      </c>
      <c r="B40" t="s">
        <v>181</v>
      </c>
      <c r="C40" t="s">
        <v>90</v>
      </c>
      <c r="D40" t="s">
        <v>246</v>
      </c>
      <c r="E40" t="s">
        <v>159</v>
      </c>
      <c r="F40" t="s">
        <v>53</v>
      </c>
      <c r="G40" s="1">
        <v>45778</v>
      </c>
      <c r="H40" t="s">
        <v>47</v>
      </c>
      <c r="I40" t="s">
        <v>48</v>
      </c>
      <c r="J40" s="2">
        <v>72.400000000000006</v>
      </c>
      <c r="K40" s="2">
        <v>72.400000000000006</v>
      </c>
      <c r="L40" s="3">
        <v>0.7</v>
      </c>
      <c r="M40" s="2">
        <f t="shared" si="1"/>
        <v>50.68</v>
      </c>
      <c r="N40" t="s">
        <v>260</v>
      </c>
    </row>
    <row r="41" spans="1:38" x14ac:dyDescent="0.25">
      <c r="A41">
        <v>2028654838</v>
      </c>
      <c r="B41" t="s">
        <v>167</v>
      </c>
      <c r="C41" t="s">
        <v>121</v>
      </c>
      <c r="D41" t="s">
        <v>247</v>
      </c>
      <c r="E41" t="s">
        <v>168</v>
      </c>
      <c r="F41" t="s">
        <v>53</v>
      </c>
      <c r="G41" s="1">
        <v>45776</v>
      </c>
      <c r="H41" t="s">
        <v>47</v>
      </c>
      <c r="I41" t="s">
        <v>48</v>
      </c>
      <c r="J41" s="2">
        <v>55.61</v>
      </c>
      <c r="K41" s="2">
        <v>55.61</v>
      </c>
      <c r="L41" s="3">
        <v>0.7</v>
      </c>
      <c r="M41" s="2">
        <f t="shared" si="1"/>
        <v>38.927</v>
      </c>
      <c r="N41" t="s">
        <v>260</v>
      </c>
    </row>
    <row r="42" spans="1:38" x14ac:dyDescent="0.25">
      <c r="A42">
        <v>2028677512</v>
      </c>
      <c r="B42" t="s">
        <v>192</v>
      </c>
      <c r="C42" t="s">
        <v>50</v>
      </c>
      <c r="D42" t="s">
        <v>267</v>
      </c>
      <c r="E42" t="s">
        <v>193</v>
      </c>
      <c r="F42" t="s">
        <v>53</v>
      </c>
      <c r="G42" s="1">
        <v>45781</v>
      </c>
      <c r="H42" t="s">
        <v>47</v>
      </c>
      <c r="I42" t="s">
        <v>48</v>
      </c>
      <c r="J42" s="2">
        <v>35.700000000000003</v>
      </c>
      <c r="K42" s="2">
        <v>35.700000000000003</v>
      </c>
      <c r="L42" s="3">
        <v>0.7</v>
      </c>
      <c r="M42" s="2">
        <f t="shared" si="1"/>
        <v>24.990000000000002</v>
      </c>
      <c r="N42" t="s">
        <v>260</v>
      </c>
    </row>
    <row r="43" spans="1:38" x14ac:dyDescent="0.25">
      <c r="A43">
        <v>2028224700</v>
      </c>
      <c r="B43" t="s">
        <v>72</v>
      </c>
      <c r="C43" t="s">
        <v>50</v>
      </c>
      <c r="D43" t="s">
        <v>249</v>
      </c>
      <c r="E43" t="s">
        <v>72</v>
      </c>
      <c r="F43" t="s">
        <v>53</v>
      </c>
      <c r="G43" s="1">
        <v>45778</v>
      </c>
      <c r="H43" t="s">
        <v>47</v>
      </c>
      <c r="I43" t="s">
        <v>48</v>
      </c>
      <c r="J43" s="2">
        <v>11.5</v>
      </c>
      <c r="K43" s="2">
        <v>11.5</v>
      </c>
      <c r="L43" s="3">
        <v>0.7</v>
      </c>
      <c r="M43" s="2">
        <f t="shared" si="1"/>
        <v>8.0499999999999989</v>
      </c>
      <c r="N43" t="s">
        <v>260</v>
      </c>
    </row>
    <row r="44" spans="1:38" x14ac:dyDescent="0.25">
      <c r="A44">
        <v>2028695300</v>
      </c>
      <c r="B44" t="s">
        <v>212</v>
      </c>
      <c r="C44" t="s">
        <v>50</v>
      </c>
      <c r="D44" t="s">
        <v>233</v>
      </c>
      <c r="E44" t="s">
        <v>97</v>
      </c>
      <c r="F44" t="s">
        <v>52</v>
      </c>
      <c r="G44" s="1">
        <v>45809</v>
      </c>
      <c r="H44" t="s">
        <v>47</v>
      </c>
      <c r="I44" t="s">
        <v>48</v>
      </c>
      <c r="J44" s="2">
        <v>67.19</v>
      </c>
      <c r="K44" s="2">
        <v>67.19</v>
      </c>
      <c r="L44" s="3">
        <v>0.375</v>
      </c>
      <c r="M44" s="2">
        <f t="shared" si="1"/>
        <v>25.196249999999999</v>
      </c>
      <c r="N44" t="s">
        <v>256</v>
      </c>
    </row>
    <row r="45" spans="1:38" x14ac:dyDescent="0.25">
      <c r="A45" s="5">
        <v>2027536930</v>
      </c>
      <c r="B45" s="5" t="s">
        <v>49</v>
      </c>
      <c r="C45" s="5" t="s">
        <v>50</v>
      </c>
      <c r="D45" s="5" t="s">
        <v>265</v>
      </c>
      <c r="E45" s="5" t="s">
        <v>51</v>
      </c>
      <c r="F45" s="5" t="s">
        <v>52</v>
      </c>
      <c r="G45" s="6">
        <v>45778</v>
      </c>
      <c r="H45" s="5" t="s">
        <v>47</v>
      </c>
      <c r="I45" s="5" t="s">
        <v>48</v>
      </c>
      <c r="J45" s="7">
        <v>64.760000000000005</v>
      </c>
      <c r="K45" s="7">
        <v>64.760000000000005</v>
      </c>
      <c r="L45" s="8">
        <v>0.375</v>
      </c>
      <c r="M45" s="2">
        <f t="shared" si="1"/>
        <v>24.285000000000004</v>
      </c>
      <c r="N45" t="s">
        <v>256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x14ac:dyDescent="0.25">
      <c r="A46">
        <v>2028321640</v>
      </c>
      <c r="B46" t="s">
        <v>78</v>
      </c>
      <c r="C46" t="s">
        <v>79</v>
      </c>
      <c r="D46" t="s">
        <v>239</v>
      </c>
      <c r="E46" t="s">
        <v>80</v>
      </c>
      <c r="F46" t="s">
        <v>52</v>
      </c>
      <c r="G46" s="1">
        <v>45778</v>
      </c>
      <c r="H46" t="s">
        <v>47</v>
      </c>
      <c r="I46" t="s">
        <v>48</v>
      </c>
      <c r="J46" s="2">
        <v>23.62</v>
      </c>
      <c r="K46" s="2">
        <v>23.62</v>
      </c>
      <c r="L46" s="3">
        <v>0.375</v>
      </c>
      <c r="M46" s="2">
        <f t="shared" si="1"/>
        <v>8.8574999999999999</v>
      </c>
      <c r="N46" t="s">
        <v>256</v>
      </c>
    </row>
    <row r="47" spans="1:38" x14ac:dyDescent="0.25">
      <c r="A47">
        <v>2028685965</v>
      </c>
      <c r="B47" t="s">
        <v>200</v>
      </c>
      <c r="C47" t="s">
        <v>201</v>
      </c>
      <c r="D47" t="s">
        <v>240</v>
      </c>
      <c r="E47" t="s">
        <v>202</v>
      </c>
      <c r="F47" t="s">
        <v>52</v>
      </c>
      <c r="G47" s="1">
        <v>45778</v>
      </c>
      <c r="H47" t="s">
        <v>47</v>
      </c>
      <c r="I47" t="s">
        <v>48</v>
      </c>
      <c r="J47" s="2">
        <v>120.25</v>
      </c>
      <c r="K47" s="2">
        <v>120.25</v>
      </c>
      <c r="L47" s="3">
        <v>0.375</v>
      </c>
      <c r="M47" s="2">
        <f t="shared" si="1"/>
        <v>45.09375</v>
      </c>
      <c r="N47" t="s">
        <v>256</v>
      </c>
    </row>
    <row r="48" spans="1:38" x14ac:dyDescent="0.25">
      <c r="A48">
        <v>2028697231</v>
      </c>
      <c r="B48" t="s">
        <v>215</v>
      </c>
      <c r="C48" t="s">
        <v>201</v>
      </c>
      <c r="D48" t="s">
        <v>240</v>
      </c>
      <c r="E48" t="s">
        <v>202</v>
      </c>
      <c r="F48" t="s">
        <v>52</v>
      </c>
      <c r="G48" s="1">
        <v>45778</v>
      </c>
      <c r="H48" t="s">
        <v>47</v>
      </c>
      <c r="I48" t="s">
        <v>48</v>
      </c>
      <c r="J48" s="2">
        <v>29.18</v>
      </c>
      <c r="K48" s="2">
        <v>29.18</v>
      </c>
      <c r="L48" s="3">
        <v>0.375</v>
      </c>
      <c r="M48" s="2">
        <f t="shared" si="1"/>
        <v>10.942499999999999</v>
      </c>
      <c r="N48" t="s">
        <v>256</v>
      </c>
    </row>
    <row r="49" spans="1:14" x14ac:dyDescent="0.25">
      <c r="A49">
        <v>2028170131</v>
      </c>
      <c r="B49" t="s">
        <v>66</v>
      </c>
      <c r="C49" t="s">
        <v>50</v>
      </c>
      <c r="D49" t="s">
        <v>241</v>
      </c>
      <c r="E49" t="s">
        <v>67</v>
      </c>
      <c r="F49" t="s">
        <v>52</v>
      </c>
      <c r="G49" s="1">
        <v>45778</v>
      </c>
      <c r="H49" t="s">
        <v>47</v>
      </c>
      <c r="I49" t="s">
        <v>48</v>
      </c>
      <c r="J49" s="2">
        <v>57.19</v>
      </c>
      <c r="K49" s="2">
        <v>57.19</v>
      </c>
      <c r="L49" s="3">
        <v>0.375</v>
      </c>
      <c r="M49" s="2">
        <f t="shared" si="1"/>
        <v>21.446249999999999</v>
      </c>
      <c r="N49" t="s">
        <v>256</v>
      </c>
    </row>
    <row r="50" spans="1:14" x14ac:dyDescent="0.25">
      <c r="A50">
        <v>2028298929</v>
      </c>
      <c r="B50" t="s">
        <v>77</v>
      </c>
      <c r="C50" t="s">
        <v>50</v>
      </c>
      <c r="D50" t="s">
        <v>241</v>
      </c>
      <c r="E50" t="s">
        <v>67</v>
      </c>
      <c r="F50" t="s">
        <v>52</v>
      </c>
      <c r="G50" s="1">
        <v>45778</v>
      </c>
      <c r="H50" t="s">
        <v>47</v>
      </c>
      <c r="I50" t="s">
        <v>48</v>
      </c>
      <c r="J50" s="2">
        <v>19.14</v>
      </c>
      <c r="K50" s="2">
        <v>19.14</v>
      </c>
      <c r="L50" s="3">
        <v>0.375</v>
      </c>
      <c r="M50" s="2">
        <f t="shared" si="1"/>
        <v>7.1775000000000002</v>
      </c>
      <c r="N50" t="s">
        <v>256</v>
      </c>
    </row>
    <row r="51" spans="1:14" x14ac:dyDescent="0.25">
      <c r="A51">
        <v>2028323884</v>
      </c>
      <c r="B51" t="s">
        <v>82</v>
      </c>
      <c r="C51" t="s">
        <v>50</v>
      </c>
      <c r="D51" t="s">
        <v>241</v>
      </c>
      <c r="E51" t="s">
        <v>67</v>
      </c>
      <c r="F51" t="s">
        <v>52</v>
      </c>
      <c r="G51" s="1">
        <v>45778</v>
      </c>
      <c r="H51" t="s">
        <v>47</v>
      </c>
      <c r="I51" t="s">
        <v>48</v>
      </c>
      <c r="J51" s="2">
        <v>57.19</v>
      </c>
      <c r="K51" s="2">
        <v>57.19</v>
      </c>
      <c r="L51" s="3">
        <v>0.375</v>
      </c>
      <c r="M51" s="2">
        <f t="shared" si="1"/>
        <v>21.446249999999999</v>
      </c>
      <c r="N51" t="s">
        <v>256</v>
      </c>
    </row>
    <row r="52" spans="1:14" x14ac:dyDescent="0.25">
      <c r="A52">
        <v>2028549719</v>
      </c>
      <c r="B52" t="s">
        <v>116</v>
      </c>
      <c r="C52" t="s">
        <v>50</v>
      </c>
      <c r="D52" t="s">
        <v>241</v>
      </c>
      <c r="E52" t="s">
        <v>67</v>
      </c>
      <c r="F52" t="s">
        <v>52</v>
      </c>
      <c r="G52" s="1">
        <v>45778</v>
      </c>
      <c r="H52" t="s">
        <v>47</v>
      </c>
      <c r="I52" t="s">
        <v>48</v>
      </c>
      <c r="J52" s="2">
        <v>57.19</v>
      </c>
      <c r="K52" s="2">
        <v>57.19</v>
      </c>
      <c r="L52" s="3">
        <v>0.375</v>
      </c>
      <c r="M52" s="2">
        <f t="shared" si="1"/>
        <v>21.446249999999999</v>
      </c>
      <c r="N52" t="s">
        <v>256</v>
      </c>
    </row>
    <row r="53" spans="1:14" x14ac:dyDescent="0.25">
      <c r="A53">
        <v>2028740416</v>
      </c>
      <c r="B53" t="s">
        <v>230</v>
      </c>
      <c r="C53" t="s">
        <v>50</v>
      </c>
      <c r="D53" t="s">
        <v>241</v>
      </c>
      <c r="E53" t="s">
        <v>67</v>
      </c>
      <c r="F53" t="s">
        <v>52</v>
      </c>
      <c r="G53" s="1">
        <v>45780</v>
      </c>
      <c r="H53" t="s">
        <v>47</v>
      </c>
      <c r="I53" t="s">
        <v>48</v>
      </c>
      <c r="J53" s="2">
        <v>113.66</v>
      </c>
      <c r="K53" s="2">
        <v>113.66</v>
      </c>
      <c r="L53" s="3">
        <v>0.375</v>
      </c>
      <c r="M53" s="2">
        <f t="shared" si="1"/>
        <v>42.622500000000002</v>
      </c>
      <c r="N53" t="s">
        <v>256</v>
      </c>
    </row>
    <row r="54" spans="1:14" x14ac:dyDescent="0.25">
      <c r="A54">
        <v>2028643492</v>
      </c>
      <c r="B54" t="s">
        <v>149</v>
      </c>
      <c r="C54" t="s">
        <v>61</v>
      </c>
      <c r="D54" t="s">
        <v>243</v>
      </c>
      <c r="E54" t="s">
        <v>150</v>
      </c>
      <c r="F54" t="s">
        <v>52</v>
      </c>
      <c r="G54" s="1">
        <v>45776</v>
      </c>
      <c r="H54" t="s">
        <v>47</v>
      </c>
      <c r="I54" t="s">
        <v>48</v>
      </c>
      <c r="J54" s="2">
        <v>31.91</v>
      </c>
      <c r="K54" s="2">
        <v>31.91</v>
      </c>
      <c r="L54" s="3">
        <v>0.375</v>
      </c>
      <c r="M54" s="2">
        <f t="shared" si="1"/>
        <v>11.96625</v>
      </c>
      <c r="N54" t="s">
        <v>256</v>
      </c>
    </row>
    <row r="55" spans="1:14" x14ac:dyDescent="0.25">
      <c r="A55">
        <v>2028645329</v>
      </c>
      <c r="B55" t="s">
        <v>156</v>
      </c>
      <c r="C55" t="s">
        <v>121</v>
      </c>
      <c r="D55" t="s">
        <v>243</v>
      </c>
      <c r="E55" t="s">
        <v>150</v>
      </c>
      <c r="F55" t="s">
        <v>52</v>
      </c>
      <c r="G55" s="1">
        <v>45776</v>
      </c>
      <c r="H55" t="s">
        <v>47</v>
      </c>
      <c r="I55" t="s">
        <v>48</v>
      </c>
      <c r="J55" s="2">
        <v>24.54</v>
      </c>
      <c r="K55" s="2">
        <v>24.54</v>
      </c>
      <c r="L55" s="3">
        <v>0.375</v>
      </c>
      <c r="M55" s="2">
        <f t="shared" si="1"/>
        <v>9.2025000000000006</v>
      </c>
      <c r="N55" t="s">
        <v>256</v>
      </c>
    </row>
    <row r="56" spans="1:14" x14ac:dyDescent="0.25">
      <c r="A56">
        <v>2028709886</v>
      </c>
      <c r="B56" t="s">
        <v>223</v>
      </c>
      <c r="C56" t="s">
        <v>121</v>
      </c>
      <c r="D56" t="s">
        <v>243</v>
      </c>
      <c r="E56" t="s">
        <v>150</v>
      </c>
      <c r="F56" t="s">
        <v>52</v>
      </c>
      <c r="G56" s="1">
        <v>45779</v>
      </c>
      <c r="H56" t="s">
        <v>47</v>
      </c>
      <c r="I56" t="s">
        <v>48</v>
      </c>
      <c r="J56" s="2">
        <v>24.54</v>
      </c>
      <c r="K56" s="2">
        <v>24.54</v>
      </c>
      <c r="L56" s="3">
        <v>0.375</v>
      </c>
      <c r="M56" s="2">
        <f t="shared" si="1"/>
        <v>9.2025000000000006</v>
      </c>
      <c r="N56" t="s">
        <v>256</v>
      </c>
    </row>
    <row r="57" spans="1:14" x14ac:dyDescent="0.25">
      <c r="A57">
        <v>2028752993</v>
      </c>
      <c r="B57" t="s">
        <v>231</v>
      </c>
      <c r="C57" t="s">
        <v>93</v>
      </c>
      <c r="D57" t="s">
        <v>243</v>
      </c>
      <c r="E57" t="s">
        <v>150</v>
      </c>
      <c r="F57" t="s">
        <v>52</v>
      </c>
      <c r="G57" s="1">
        <v>45780</v>
      </c>
      <c r="H57" t="s">
        <v>47</v>
      </c>
      <c r="I57" t="s">
        <v>48</v>
      </c>
      <c r="J57" s="2">
        <v>54.74</v>
      </c>
      <c r="K57" s="2">
        <v>54.74</v>
      </c>
      <c r="L57" s="3">
        <v>0.375</v>
      </c>
      <c r="M57" s="2">
        <f t="shared" si="1"/>
        <v>20.5275</v>
      </c>
      <c r="N57" t="s">
        <v>256</v>
      </c>
    </row>
    <row r="58" spans="1:14" x14ac:dyDescent="0.25">
      <c r="A58">
        <v>2028646347</v>
      </c>
      <c r="B58" t="s">
        <v>158</v>
      </c>
      <c r="C58" t="s">
        <v>50</v>
      </c>
      <c r="D58" t="s">
        <v>246</v>
      </c>
      <c r="E58" t="s">
        <v>159</v>
      </c>
      <c r="F58" t="s">
        <v>52</v>
      </c>
      <c r="G58" s="1">
        <v>45778</v>
      </c>
      <c r="H58" t="s">
        <v>47</v>
      </c>
      <c r="I58" t="s">
        <v>48</v>
      </c>
      <c r="J58" s="2">
        <v>76.19</v>
      </c>
      <c r="K58" s="2">
        <v>76.19</v>
      </c>
      <c r="L58" s="3">
        <v>0.375</v>
      </c>
      <c r="M58" s="2">
        <f t="shared" si="1"/>
        <v>28.571249999999999</v>
      </c>
      <c r="N58" t="s">
        <v>256</v>
      </c>
    </row>
    <row r="59" spans="1:14" x14ac:dyDescent="0.25">
      <c r="A59">
        <v>2028653622</v>
      </c>
      <c r="B59" t="s">
        <v>166</v>
      </c>
      <c r="C59" t="s">
        <v>50</v>
      </c>
      <c r="D59" t="s">
        <v>246</v>
      </c>
      <c r="E59" t="s">
        <v>159</v>
      </c>
      <c r="F59" t="s">
        <v>52</v>
      </c>
      <c r="G59" s="1">
        <v>45778</v>
      </c>
      <c r="H59" t="s">
        <v>47</v>
      </c>
      <c r="I59" t="s">
        <v>48</v>
      </c>
      <c r="J59" s="2">
        <v>253.51</v>
      </c>
      <c r="K59" s="2">
        <v>253.51</v>
      </c>
      <c r="L59" s="3">
        <v>0.375</v>
      </c>
      <c r="M59" s="2">
        <f t="shared" si="1"/>
        <v>95.066249999999997</v>
      </c>
      <c r="N59" t="s">
        <v>256</v>
      </c>
    </row>
    <row r="60" spans="1:14" x14ac:dyDescent="0.25">
      <c r="A60">
        <v>2028654837</v>
      </c>
      <c r="B60" t="s">
        <v>167</v>
      </c>
      <c r="C60" t="s">
        <v>121</v>
      </c>
      <c r="D60" t="s">
        <v>247</v>
      </c>
      <c r="E60" t="s">
        <v>168</v>
      </c>
      <c r="F60" t="s">
        <v>52</v>
      </c>
      <c r="G60" s="1">
        <v>45776</v>
      </c>
      <c r="H60" t="s">
        <v>47</v>
      </c>
      <c r="I60" t="s">
        <v>48</v>
      </c>
      <c r="J60" s="2">
        <v>91.62</v>
      </c>
      <c r="K60" s="2">
        <v>91.62</v>
      </c>
      <c r="L60" s="3">
        <v>0.375</v>
      </c>
      <c r="M60" s="2">
        <f t="shared" si="1"/>
        <v>34.357500000000002</v>
      </c>
      <c r="N60" t="s">
        <v>256</v>
      </c>
    </row>
    <row r="61" spans="1:14" x14ac:dyDescent="0.25">
      <c r="A61">
        <v>2028659852</v>
      </c>
      <c r="B61" t="s">
        <v>169</v>
      </c>
      <c r="C61" t="s">
        <v>57</v>
      </c>
      <c r="D61" t="s">
        <v>266</v>
      </c>
      <c r="E61" t="s">
        <v>170</v>
      </c>
      <c r="F61" t="s">
        <v>52</v>
      </c>
      <c r="G61" s="1">
        <v>45778</v>
      </c>
      <c r="H61" t="s">
        <v>47</v>
      </c>
      <c r="I61" t="s">
        <v>48</v>
      </c>
      <c r="J61" s="2">
        <v>47.42</v>
      </c>
      <c r="K61" s="2">
        <v>47.42</v>
      </c>
      <c r="L61" s="3">
        <v>0.375</v>
      </c>
      <c r="M61" s="2">
        <f t="shared" si="1"/>
        <v>17.782499999999999</v>
      </c>
      <c r="N61" t="s">
        <v>256</v>
      </c>
    </row>
    <row r="62" spans="1:14" x14ac:dyDescent="0.25">
      <c r="A62">
        <v>2028224699</v>
      </c>
      <c r="B62" t="s">
        <v>72</v>
      </c>
      <c r="C62" t="s">
        <v>50</v>
      </c>
      <c r="D62" t="s">
        <v>249</v>
      </c>
      <c r="E62" t="s">
        <v>72</v>
      </c>
      <c r="F62" t="s">
        <v>52</v>
      </c>
      <c r="G62" s="1">
        <v>45778</v>
      </c>
      <c r="H62" t="s">
        <v>47</v>
      </c>
      <c r="I62" t="s">
        <v>48</v>
      </c>
      <c r="J62" s="2">
        <v>57.19</v>
      </c>
      <c r="K62" s="2">
        <v>57.19</v>
      </c>
      <c r="L62" s="3">
        <v>0.375</v>
      </c>
      <c r="M62" s="2">
        <f t="shared" si="1"/>
        <v>21.446249999999999</v>
      </c>
      <c r="N62" t="s">
        <v>256</v>
      </c>
    </row>
    <row r="63" spans="1:14" x14ac:dyDescent="0.25">
      <c r="A63">
        <v>2028707011</v>
      </c>
      <c r="B63" t="s">
        <v>217</v>
      </c>
      <c r="C63" t="s">
        <v>218</v>
      </c>
      <c r="D63" t="s">
        <v>264</v>
      </c>
      <c r="E63" t="s">
        <v>107</v>
      </c>
      <c r="F63" t="s">
        <v>219</v>
      </c>
      <c r="G63" s="1">
        <v>45779</v>
      </c>
      <c r="H63" t="s">
        <v>47</v>
      </c>
      <c r="I63" t="s">
        <v>220</v>
      </c>
      <c r="J63" s="2">
        <v>82.5</v>
      </c>
      <c r="K63" s="2">
        <v>82.5</v>
      </c>
      <c r="L63" s="3">
        <v>0.24</v>
      </c>
      <c r="M63" s="2">
        <f t="shared" si="1"/>
        <v>19.8</v>
      </c>
      <c r="N63" s="2" t="s">
        <v>250</v>
      </c>
    </row>
    <row r="64" spans="1:14" x14ac:dyDescent="0.25">
      <c r="A64">
        <v>2028701577</v>
      </c>
      <c r="B64" t="s">
        <v>216</v>
      </c>
      <c r="C64" t="s">
        <v>90</v>
      </c>
      <c r="D64" t="s">
        <v>243</v>
      </c>
      <c r="E64" t="s">
        <v>150</v>
      </c>
      <c r="F64" t="s">
        <v>115</v>
      </c>
      <c r="G64" s="1">
        <v>45778</v>
      </c>
      <c r="H64" t="s">
        <v>47</v>
      </c>
      <c r="I64" t="s">
        <v>48</v>
      </c>
      <c r="J64" s="2">
        <v>18.350000000000001</v>
      </c>
      <c r="K64" s="2">
        <v>18.350000000000001</v>
      </c>
      <c r="L64" s="3">
        <v>0.9</v>
      </c>
      <c r="M64" s="2">
        <f t="shared" si="1"/>
        <v>16.515000000000001</v>
      </c>
      <c r="N64" t="s">
        <v>263</v>
      </c>
    </row>
    <row r="65" spans="1:14" x14ac:dyDescent="0.25">
      <c r="A65">
        <v>2028766411</v>
      </c>
      <c r="B65" t="s">
        <v>232</v>
      </c>
      <c r="C65" t="s">
        <v>50</v>
      </c>
      <c r="D65" t="s">
        <v>244</v>
      </c>
      <c r="E65" t="s">
        <v>226</v>
      </c>
      <c r="F65" t="s">
        <v>115</v>
      </c>
      <c r="G65" s="1">
        <v>45782</v>
      </c>
      <c r="H65" t="s">
        <v>47</v>
      </c>
      <c r="I65" t="s">
        <v>48</v>
      </c>
      <c r="J65" s="2">
        <v>46.58</v>
      </c>
      <c r="K65" s="2">
        <v>46.58</v>
      </c>
      <c r="L65" s="3">
        <v>0.9</v>
      </c>
      <c r="M65" s="2">
        <f t="shared" si="1"/>
        <v>41.921999999999997</v>
      </c>
      <c r="N65" t="s">
        <v>263</v>
      </c>
    </row>
    <row r="66" spans="1:14" x14ac:dyDescent="0.25">
      <c r="A66">
        <v>2028654839</v>
      </c>
      <c r="B66" t="s">
        <v>167</v>
      </c>
      <c r="C66" t="s">
        <v>121</v>
      </c>
      <c r="D66" t="s">
        <v>247</v>
      </c>
      <c r="E66" t="s">
        <v>168</v>
      </c>
      <c r="F66" t="s">
        <v>115</v>
      </c>
      <c r="G66" s="1">
        <v>45776</v>
      </c>
      <c r="H66" t="s">
        <v>47</v>
      </c>
      <c r="I66" t="s">
        <v>48</v>
      </c>
      <c r="J66" s="2">
        <v>43.67</v>
      </c>
      <c r="K66" s="2">
        <v>43.67</v>
      </c>
      <c r="L66" s="3">
        <v>0.9</v>
      </c>
      <c r="M66" s="2">
        <f t="shared" ref="M66:M68" si="2">SUM(K66*L66)</f>
        <v>39.303000000000004</v>
      </c>
      <c r="N66" t="s">
        <v>263</v>
      </c>
    </row>
    <row r="67" spans="1:14" x14ac:dyDescent="0.25">
      <c r="A67">
        <v>2028662388</v>
      </c>
      <c r="B67" t="s">
        <v>171</v>
      </c>
      <c r="C67" t="s">
        <v>172</v>
      </c>
      <c r="D67" t="s">
        <v>248</v>
      </c>
      <c r="E67" t="s">
        <v>173</v>
      </c>
      <c r="F67" t="s">
        <v>115</v>
      </c>
      <c r="G67" s="1">
        <v>45777</v>
      </c>
      <c r="H67" t="s">
        <v>47</v>
      </c>
      <c r="I67" t="s">
        <v>48</v>
      </c>
      <c r="J67" s="2">
        <v>19.28</v>
      </c>
      <c r="K67" s="2">
        <v>19.28</v>
      </c>
      <c r="L67" s="3">
        <v>0.9</v>
      </c>
      <c r="M67" s="2">
        <f t="shared" si="2"/>
        <v>17.352</v>
      </c>
      <c r="N67" t="s">
        <v>263</v>
      </c>
    </row>
    <row r="68" spans="1:14" x14ac:dyDescent="0.25">
      <c r="A68">
        <v>2028664275</v>
      </c>
      <c r="B68" t="s">
        <v>178</v>
      </c>
      <c r="C68" t="s">
        <v>179</v>
      </c>
      <c r="D68" t="s">
        <v>248</v>
      </c>
      <c r="E68" t="s">
        <v>173</v>
      </c>
      <c r="F68" t="s">
        <v>115</v>
      </c>
      <c r="G68" s="1">
        <v>45777</v>
      </c>
      <c r="H68" t="s">
        <v>47</v>
      </c>
      <c r="I68" t="s">
        <v>48</v>
      </c>
      <c r="J68" s="2">
        <v>83.63</v>
      </c>
      <c r="K68" s="2">
        <v>83.63</v>
      </c>
      <c r="L68" s="3">
        <v>0.9</v>
      </c>
      <c r="M68" s="2">
        <f t="shared" si="2"/>
        <v>75.266999999999996</v>
      </c>
      <c r="N68" t="s">
        <v>263</v>
      </c>
    </row>
  </sheetData>
  <sortState xmlns:xlrd2="http://schemas.microsoft.com/office/spreadsheetml/2017/richdata2" ref="A2:AL68">
    <sortCondition ref="N2:N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2025-05-12T12:12:47Z</dcterms:created>
  <dcterms:modified xsi:type="dcterms:W3CDTF">2025-05-20T16:10:22Z</dcterms:modified>
</cp:coreProperties>
</file>