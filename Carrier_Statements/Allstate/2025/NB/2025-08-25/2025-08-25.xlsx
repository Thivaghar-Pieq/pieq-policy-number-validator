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8-25-25\"/>
    </mc:Choice>
  </mc:AlternateContent>
  <xr:revisionPtr revIDLastSave="0" documentId="13_ncr:1_{E68CCFC7-52D2-430D-8595-D4E1407995F3}" xr6:coauthVersionLast="47" xr6:coauthVersionMax="47" xr10:uidLastSave="{00000000-0000-0000-0000-000000000000}"/>
  <bookViews>
    <workbookView xWindow="-57720" yWindow="-45" windowWidth="29040" windowHeight="15720" activeTab="1" xr2:uid="{5CD68DE3-13D3-4ED7-90F2-D076781A1828}"/>
  </bookViews>
  <sheets>
    <sheet name="649163__Newbusiness_NEW_BUSINES" sheetId="1" r:id="rId1"/>
    <sheet name="clean sheet" sheetId="2" r:id="rId2"/>
  </sheets>
  <definedNames>
    <definedName name="_xlnm._FilterDatabase" localSheetId="1" hidden="1">'clean sheet'!$A$1:$Y$20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" i="2"/>
</calcChain>
</file>

<file path=xl/sharedStrings.xml><?xml version="1.0" encoding="utf-8"?>
<sst xmlns="http://schemas.openxmlformats.org/spreadsheetml/2006/main" count="1246" uniqueCount="238">
  <si>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</si>
  <si>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</si>
  <si>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</si>
  <si>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</si>
  <si>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</si>
  <si>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</si>
  <si>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</si>
  <si>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</si>
  <si>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</si>
  <si>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</si>
  <si>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</si>
  <si>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</si>
  <si>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</si>
  <si>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</si>
  <si>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</si>
  <si>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</si>
  <si>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</si>
  <si>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</si>
  <si>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</si>
  <si>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</si>
  <si>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</si>
  <si>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</si>
  <si>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</si>
  <si>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</si>
  <si>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</si>
  <si>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</si>
  <si>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</si>
  <si>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</si>
  <si>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</si>
  <si>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</si>
  <si>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</si>
  <si>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</si>
  <si>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</si>
  <si>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</si>
  <si>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</si>
  <si>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</si>
  <si>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</si>
  <si>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</si>
  <si>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</si>
  <si>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</si>
  <si>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</si>
  <si>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'649163</t>
  </si>
  <si>
    <t>'20411454</t>
  </si>
  <si>
    <t>JASON HOFFMANN</t>
  </si>
  <si>
    <t>'2030313588</t>
  </si>
  <si>
    <t>WILLANDA BURT-HOLSENDOLPH</t>
  </si>
  <si>
    <t>FL</t>
  </si>
  <si>
    <t>'673059</t>
  </si>
  <si>
    <t>RYAN CALTAGIRONE</t>
  </si>
  <si>
    <t>Active</t>
  </si>
  <si>
    <t>Plan Enhancer 20214</t>
  </si>
  <si>
    <t>Monthly</t>
  </si>
  <si>
    <t>AV</t>
  </si>
  <si>
    <t>[NOADMINFEE]</t>
  </si>
  <si>
    <t>'2030452758</t>
  </si>
  <si>
    <t>JENNIFER ALEXANDER</t>
  </si>
  <si>
    <t>AZ</t>
  </si>
  <si>
    <t>'753748</t>
  </si>
  <si>
    <t>MATTHEW DAUGHERTY</t>
  </si>
  <si>
    <t>Critical Illness w/ Term Life 21677</t>
  </si>
  <si>
    <t>'2030461446</t>
  </si>
  <si>
    <t>JASON MELTON</t>
  </si>
  <si>
    <t>KS</t>
  </si>
  <si>
    <t>'767312</t>
  </si>
  <si>
    <t>THOMAS PARDUE</t>
  </si>
  <si>
    <t>SELECT DENTAL 29304</t>
  </si>
  <si>
    <t>'2030461447</t>
  </si>
  <si>
    <t>Term Life 21673</t>
  </si>
  <si>
    <t>'2030490467</t>
  </si>
  <si>
    <t>DANIEL WARDLOW</t>
  </si>
  <si>
    <t>OH</t>
  </si>
  <si>
    <t>'874230</t>
  </si>
  <si>
    <t>JENNIFER HALSAVER</t>
  </si>
  <si>
    <t>'2030500796</t>
  </si>
  <si>
    <t>CHELSEA TALARICO</t>
  </si>
  <si>
    <t>IL</t>
  </si>
  <si>
    <t>'2030500797</t>
  </si>
  <si>
    <t>'2030547902</t>
  </si>
  <si>
    <t>LARA BUCHOLTZ</t>
  </si>
  <si>
    <t>AL</t>
  </si>
  <si>
    <t>'2030547903</t>
  </si>
  <si>
    <t>Accident Fixed Benefit</t>
  </si>
  <si>
    <t>'2030547904</t>
  </si>
  <si>
    <t>'2030548566</t>
  </si>
  <si>
    <t>MATASHWARIE GOMANIE</t>
  </si>
  <si>
    <t>PA</t>
  </si>
  <si>
    <t>'885445</t>
  </si>
  <si>
    <t>RYAN STOCKER</t>
  </si>
  <si>
    <t>'2030548567</t>
  </si>
  <si>
    <t>Allstate Health Access</t>
  </si>
  <si>
    <t>'2030548568</t>
  </si>
  <si>
    <t>TrioMED 15k 15285</t>
  </si>
  <si>
    <t>'2030552136</t>
  </si>
  <si>
    <t>JEREMY LIST</t>
  </si>
  <si>
    <t>'2030552137</t>
  </si>
  <si>
    <t>'2030552138</t>
  </si>
  <si>
    <t>Cancer and Heart/Stroke 20231</t>
  </si>
  <si>
    <t>'2030552139</t>
  </si>
  <si>
    <t>'2030558287</t>
  </si>
  <si>
    <t>RICHARD SMITH</t>
  </si>
  <si>
    <t>SC</t>
  </si>
  <si>
    <t>'650218</t>
  </si>
  <si>
    <t>CAROL FOLEY</t>
  </si>
  <si>
    <t>'2030558288</t>
  </si>
  <si>
    <t>Allstate Recuro RX Discount Card</t>
  </si>
  <si>
    <t>'2030558289</t>
  </si>
  <si>
    <t>Life Association Access</t>
  </si>
  <si>
    <t>AV6</t>
  </si>
  <si>
    <t>'2030560164</t>
  </si>
  <si>
    <t>GEORGE KNOTTS</t>
  </si>
  <si>
    <t>MD</t>
  </si>
  <si>
    <t>'652037</t>
  </si>
  <si>
    <t>ADAM RICHTER</t>
  </si>
  <si>
    <t>Dental Indemnity 21618</t>
  </si>
  <si>
    <t>'2030560165</t>
  </si>
  <si>
    <t>'2030567353</t>
  </si>
  <si>
    <t>STEVEN YOUNG</t>
  </si>
  <si>
    <t>'823068</t>
  </si>
  <si>
    <t>RONALD MAX</t>
  </si>
  <si>
    <t>'2030567354</t>
  </si>
  <si>
    <t>'2030567355</t>
  </si>
  <si>
    <t>'2030571498</t>
  </si>
  <si>
    <t>CHRISTINE DUDA</t>
  </si>
  <si>
    <t>'843573</t>
  </si>
  <si>
    <t>JAMES ALLEN</t>
  </si>
  <si>
    <t>'2030571499</t>
  </si>
  <si>
    <t>'2030578218</t>
  </si>
  <si>
    <t>STEPHANIE WILLIAMS</t>
  </si>
  <si>
    <t>'882035</t>
  </si>
  <si>
    <t>JASON ROLLER</t>
  </si>
  <si>
    <t>'2030578219</t>
  </si>
  <si>
    <t>'2030579017</t>
  </si>
  <si>
    <t>DUSTIN CALKINS</t>
  </si>
  <si>
    <t>WI</t>
  </si>
  <si>
    <t>'812782</t>
  </si>
  <si>
    <t>JACOB YALE</t>
  </si>
  <si>
    <t>'2030581492</t>
  </si>
  <si>
    <t>GRZEGORZ STRONSKI</t>
  </si>
  <si>
    <t>'813184</t>
  </si>
  <si>
    <t>CHRISTIAN TAUGNER</t>
  </si>
  <si>
    <t>'2030583041</t>
  </si>
  <si>
    <t>KANDICE ISBELL</t>
  </si>
  <si>
    <t>OK</t>
  </si>
  <si>
    <t>'820140</t>
  </si>
  <si>
    <t>MATTHEW POWERS</t>
  </si>
  <si>
    <t>'2030583042</t>
  </si>
  <si>
    <t>'2030590884</t>
  </si>
  <si>
    <t>KENZLEE BROWN</t>
  </si>
  <si>
    <t>VA</t>
  </si>
  <si>
    <t>'2030591796</t>
  </si>
  <si>
    <t>EDWARD BURGENER</t>
  </si>
  <si>
    <t>'856163</t>
  </si>
  <si>
    <t>CHAD YALE</t>
  </si>
  <si>
    <t>'2030591797</t>
  </si>
  <si>
    <t>'2030591798</t>
  </si>
  <si>
    <t>'2030591799</t>
  </si>
  <si>
    <t>'2030594253</t>
  </si>
  <si>
    <t>DULMAA ODSUREN</t>
  </si>
  <si>
    <t>'807212</t>
  </si>
  <si>
    <t>NASANDELGER ZANA</t>
  </si>
  <si>
    <t>'2030594429</t>
  </si>
  <si>
    <t>MATHIAS HIBBARD</t>
  </si>
  <si>
    <t>'822723</t>
  </si>
  <si>
    <t>TIMOTHY HODGMAN</t>
  </si>
  <si>
    <t>'2030594430</t>
  </si>
  <si>
    <t>'2030598136</t>
  </si>
  <si>
    <t>KRISTINE BELL</t>
  </si>
  <si>
    <t>WA</t>
  </si>
  <si>
    <t>'856824</t>
  </si>
  <si>
    <t>JAKE SHULMAN</t>
  </si>
  <si>
    <t>Cancer and Heart/Stroke GI 20231</t>
  </si>
  <si>
    <t>'2030600737</t>
  </si>
  <si>
    <t>AFOLASADE EKUNDAYO</t>
  </si>
  <si>
    <t>TX</t>
  </si>
  <si>
    <t>'882919</t>
  </si>
  <si>
    <t>ZAMEER KOTADIA</t>
  </si>
  <si>
    <t>NHIC STM PPO All Other States</t>
  </si>
  <si>
    <t>AV3</t>
  </si>
  <si>
    <t>'2030600738</t>
  </si>
  <si>
    <t>LIFE Association Membership - C 14956 PPO</t>
  </si>
  <si>
    <t>'2030601614</t>
  </si>
  <si>
    <t>SARAH O'CONNOR</t>
  </si>
  <si>
    <t>'2030601875</t>
  </si>
  <si>
    <t>REEANNA THOMAS</t>
  </si>
  <si>
    <t>'702406</t>
  </si>
  <si>
    <t>SCOTT AGUGLIA</t>
  </si>
  <si>
    <t>'2030602566</t>
  </si>
  <si>
    <t>TSERENLKHAM ERDENEBAYAR</t>
  </si>
  <si>
    <t>'2030613892</t>
  </si>
  <si>
    <t>YVETTE TURNER</t>
  </si>
  <si>
    <t>'812656</t>
  </si>
  <si>
    <t>GARY PORTUGAL</t>
  </si>
  <si>
    <t>'2030621734</t>
  </si>
  <si>
    <t>ALEXANDER WIRTH</t>
  </si>
  <si>
    <t>'840313</t>
  </si>
  <si>
    <t>ANTHONY HUNSBERGER</t>
  </si>
  <si>
    <t>'2030625302</t>
  </si>
  <si>
    <t>BRAXTON HART</t>
  </si>
  <si>
    <t>'2030625303</t>
  </si>
  <si>
    <t>'2030625304</t>
  </si>
  <si>
    <t>'2030625305</t>
  </si>
  <si>
    <t>'2030625306</t>
  </si>
  <si>
    <t>'2030627972</t>
  </si>
  <si>
    <t>MARTINA TOUHEY</t>
  </si>
  <si>
    <t>NHIC LM 2021 Hospital Expense Protection U65</t>
  </si>
  <si>
    <t>'2030627973</t>
  </si>
  <si>
    <t>LIFE Association Membership - C 14956 LM</t>
  </si>
  <si>
    <t>'2030638848</t>
  </si>
  <si>
    <t>TIFFANY RIOS</t>
  </si>
  <si>
    <t>'2030638849</t>
  </si>
  <si>
    <t>'2030642688</t>
  </si>
  <si>
    <t>THOMAS MARSICO</t>
  </si>
  <si>
    <t>Allstate Health Cancer Only 5035</t>
  </si>
  <si>
    <t>'2030642689</t>
  </si>
  <si>
    <t>CB</t>
  </si>
  <si>
    <t>'2029110118</t>
  </si>
  <si>
    <t>CHARGEBACK</t>
  </si>
  <si>
    <t>AE</t>
  </si>
  <si>
    <t>'2029972592</t>
  </si>
  <si>
    <t>LAVISA BARNES</t>
  </si>
  <si>
    <t>'2029972593</t>
  </si>
  <si>
    <t>'2030012896</t>
  </si>
  <si>
    <t>JACQUELYNE SCHMIDT</t>
  </si>
  <si>
    <t>'2030012897</t>
  </si>
  <si>
    <t>'2030012898</t>
  </si>
  <si>
    <t>SARAH OCONNOR</t>
  </si>
  <si>
    <t>Life Association C</t>
  </si>
  <si>
    <t>Cancer and Heart-Stroke 20231</t>
  </si>
  <si>
    <t>AS Term Life 21673</t>
  </si>
  <si>
    <t>7146581AV6</t>
  </si>
  <si>
    <t>19681796AV6</t>
  </si>
  <si>
    <t>18201929AV6</t>
  </si>
  <si>
    <t>17143996AV6</t>
  </si>
  <si>
    <t>21564088AV6</t>
  </si>
  <si>
    <t>20220688AV6</t>
  </si>
  <si>
    <t>8971826AV6</t>
  </si>
  <si>
    <t>371819AV6</t>
  </si>
  <si>
    <t>21648482AV6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</si>
</sst>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9669-FF11-4B77-B72C-C9139D602BF8}">
  <dimension ref="A1:AL67"/>
  <sheetViews>
    <sheetView workbookViewId="0">
      <selection activeCell="G27" sqref="A1:AL67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45898</v>
      </c>
      <c r="B2" s="1">
        <v>45894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45894</v>
      </c>
      <c r="U2" t="s">
        <v>51</v>
      </c>
      <c r="X2" t="s">
        <v>52</v>
      </c>
      <c r="Y2" s="2">
        <v>120.91</v>
      </c>
      <c r="Z2" s="2">
        <v>120.91</v>
      </c>
      <c r="AA2">
        <v>6</v>
      </c>
      <c r="AB2" s="3">
        <v>0.7</v>
      </c>
      <c r="AC2" s="2">
        <v>507.82</v>
      </c>
      <c r="AD2" s="3">
        <v>0</v>
      </c>
      <c r="AE2" s="2">
        <v>0</v>
      </c>
      <c r="AF2" s="2">
        <v>507.82</v>
      </c>
      <c r="AK2" s="4">
        <v>19605850</v>
      </c>
      <c r="AL2" t="s">
        <v>53</v>
      </c>
    </row>
    <row r="3" spans="1:38" x14ac:dyDescent="0.25">
      <c r="A3" s="1">
        <v>45898</v>
      </c>
      <c r="B3" s="1">
        <v>45894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56</v>
      </c>
      <c r="O3" t="s">
        <v>57</v>
      </c>
      <c r="P3" t="s">
        <v>58</v>
      </c>
      <c r="Q3" t="s">
        <v>49</v>
      </c>
      <c r="R3" t="s">
        <v>59</v>
      </c>
      <c r="S3" s="1">
        <v>45892</v>
      </c>
      <c r="U3" t="s">
        <v>51</v>
      </c>
      <c r="X3" t="s">
        <v>52</v>
      </c>
      <c r="Y3" s="2">
        <v>146.5</v>
      </c>
      <c r="Z3" s="2">
        <v>146.5</v>
      </c>
      <c r="AA3">
        <v>6</v>
      </c>
      <c r="AB3" s="3">
        <v>0.9</v>
      </c>
      <c r="AC3" s="2">
        <v>791.1</v>
      </c>
      <c r="AD3" s="3">
        <v>0</v>
      </c>
      <c r="AE3" s="2">
        <v>0</v>
      </c>
      <c r="AF3" s="2">
        <v>791.1</v>
      </c>
      <c r="AK3" s="4">
        <v>19616060</v>
      </c>
      <c r="AL3" t="s">
        <v>53</v>
      </c>
    </row>
    <row r="4" spans="1:38" x14ac:dyDescent="0.25">
      <c r="A4" s="1">
        <v>45898</v>
      </c>
      <c r="B4" s="1">
        <v>45894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60</v>
      </c>
      <c r="J4" t="s">
        <v>61</v>
      </c>
      <c r="M4" t="s">
        <v>62</v>
      </c>
      <c r="O4" t="s">
        <v>63</v>
      </c>
      <c r="P4" t="s">
        <v>64</v>
      </c>
      <c r="Q4" t="s">
        <v>49</v>
      </c>
      <c r="R4" t="s">
        <v>65</v>
      </c>
      <c r="S4" s="1">
        <v>45892</v>
      </c>
      <c r="U4" t="s">
        <v>51</v>
      </c>
      <c r="X4" t="s">
        <v>52</v>
      </c>
      <c r="Y4" s="2">
        <v>79.27</v>
      </c>
      <c r="Z4" s="2">
        <v>79.27</v>
      </c>
      <c r="AA4">
        <v>6</v>
      </c>
      <c r="AB4" s="3">
        <v>0.375</v>
      </c>
      <c r="AC4" s="2">
        <v>178.36</v>
      </c>
      <c r="AD4" s="3">
        <v>0</v>
      </c>
      <c r="AE4" s="2">
        <v>0</v>
      </c>
      <c r="AF4" s="2">
        <v>178.36</v>
      </c>
      <c r="AK4" s="4">
        <v>19622580</v>
      </c>
      <c r="AL4" t="s">
        <v>53</v>
      </c>
    </row>
    <row r="5" spans="1:38" x14ac:dyDescent="0.25">
      <c r="A5" s="1">
        <v>45898</v>
      </c>
      <c r="B5" s="1">
        <v>45894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66</v>
      </c>
      <c r="J5" t="s">
        <v>61</v>
      </c>
      <c r="M5" t="s">
        <v>62</v>
      </c>
      <c r="O5" t="s">
        <v>63</v>
      </c>
      <c r="P5" t="s">
        <v>64</v>
      </c>
      <c r="Q5" t="s">
        <v>49</v>
      </c>
      <c r="R5" t="s">
        <v>67</v>
      </c>
      <c r="S5" s="1">
        <v>45892</v>
      </c>
      <c r="U5" t="s">
        <v>51</v>
      </c>
      <c r="X5" t="s">
        <v>52</v>
      </c>
      <c r="Y5" s="2">
        <v>51.25</v>
      </c>
      <c r="Z5" s="2">
        <v>51.25</v>
      </c>
      <c r="AA5">
        <v>6</v>
      </c>
      <c r="AB5" s="3">
        <v>0.9</v>
      </c>
      <c r="AC5" s="2">
        <v>276.75</v>
      </c>
      <c r="AD5" s="3">
        <v>0</v>
      </c>
      <c r="AE5" s="2">
        <v>0</v>
      </c>
      <c r="AF5" s="2">
        <v>276.75</v>
      </c>
      <c r="AK5" s="4">
        <v>19626630</v>
      </c>
      <c r="AL5" t="s">
        <v>53</v>
      </c>
    </row>
    <row r="6" spans="1:38" x14ac:dyDescent="0.25">
      <c r="A6" s="1">
        <v>45898</v>
      </c>
      <c r="B6" s="1">
        <v>45894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70</v>
      </c>
      <c r="O6" t="s">
        <v>71</v>
      </c>
      <c r="P6" t="s">
        <v>72</v>
      </c>
      <c r="Q6" t="s">
        <v>49</v>
      </c>
      <c r="R6" t="s">
        <v>50</v>
      </c>
      <c r="S6" s="1">
        <v>45901</v>
      </c>
      <c r="U6" t="s">
        <v>51</v>
      </c>
      <c r="X6" t="s">
        <v>52</v>
      </c>
      <c r="Y6" s="2">
        <v>65.819999999999993</v>
      </c>
      <c r="Z6" s="2">
        <v>65.819999999999993</v>
      </c>
      <c r="AA6">
        <v>6</v>
      </c>
      <c r="AB6" s="3">
        <v>0.7</v>
      </c>
      <c r="AC6" s="2">
        <v>276.44</v>
      </c>
      <c r="AD6" s="3">
        <v>0</v>
      </c>
      <c r="AE6" s="2">
        <v>0</v>
      </c>
      <c r="AF6" s="2">
        <v>276.44</v>
      </c>
      <c r="AK6" s="4">
        <v>19605930</v>
      </c>
      <c r="AL6" t="s">
        <v>53</v>
      </c>
    </row>
    <row r="7" spans="1:38" x14ac:dyDescent="0.25">
      <c r="A7" s="1">
        <v>45898</v>
      </c>
      <c r="B7" s="1">
        <v>45894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73</v>
      </c>
      <c r="J7" t="s">
        <v>74</v>
      </c>
      <c r="M7" t="s">
        <v>75</v>
      </c>
      <c r="O7" t="s">
        <v>47</v>
      </c>
      <c r="P7" t="s">
        <v>48</v>
      </c>
      <c r="Q7" t="s">
        <v>49</v>
      </c>
      <c r="R7" t="s">
        <v>50</v>
      </c>
      <c r="S7" s="1">
        <v>45901</v>
      </c>
      <c r="U7" t="s">
        <v>51</v>
      </c>
      <c r="X7" t="s">
        <v>52</v>
      </c>
      <c r="Y7" s="2">
        <v>119.57</v>
      </c>
      <c r="Z7" s="2">
        <v>119.57</v>
      </c>
      <c r="AA7">
        <v>6</v>
      </c>
      <c r="AB7" s="3">
        <v>0.7</v>
      </c>
      <c r="AC7" s="2">
        <v>502.19</v>
      </c>
      <c r="AD7" s="3">
        <v>0</v>
      </c>
      <c r="AE7" s="2">
        <v>0</v>
      </c>
      <c r="AF7" s="2">
        <v>502.19</v>
      </c>
      <c r="AK7" s="4">
        <v>19605940</v>
      </c>
      <c r="AL7" t="s">
        <v>53</v>
      </c>
    </row>
    <row r="8" spans="1:38" x14ac:dyDescent="0.25">
      <c r="A8" s="1">
        <v>45898</v>
      </c>
      <c r="B8" s="1">
        <v>45894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76</v>
      </c>
      <c r="J8" t="s">
        <v>74</v>
      </c>
      <c r="M8" t="s">
        <v>75</v>
      </c>
      <c r="O8" t="s">
        <v>47</v>
      </c>
      <c r="P8" t="s">
        <v>48</v>
      </c>
      <c r="Q8" t="s">
        <v>49</v>
      </c>
      <c r="R8" t="s">
        <v>59</v>
      </c>
      <c r="S8" s="1">
        <v>45901</v>
      </c>
      <c r="U8" t="s">
        <v>51</v>
      </c>
      <c r="X8" t="s">
        <v>52</v>
      </c>
      <c r="Y8" s="2">
        <v>68.08</v>
      </c>
      <c r="Z8" s="2">
        <v>68.08</v>
      </c>
      <c r="AA8">
        <v>6</v>
      </c>
      <c r="AB8" s="3">
        <v>0.9</v>
      </c>
      <c r="AC8" s="2">
        <v>367.63</v>
      </c>
      <c r="AD8" s="3">
        <v>0</v>
      </c>
      <c r="AE8" s="2">
        <v>0</v>
      </c>
      <c r="AF8" s="2">
        <v>367.63</v>
      </c>
      <c r="AK8" s="4">
        <v>19616070</v>
      </c>
      <c r="AL8" t="s">
        <v>53</v>
      </c>
    </row>
    <row r="9" spans="1:38" x14ac:dyDescent="0.25">
      <c r="A9" s="1">
        <v>45898</v>
      </c>
      <c r="B9" s="1">
        <v>45894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77</v>
      </c>
      <c r="J9" t="s">
        <v>78</v>
      </c>
      <c r="M9" t="s">
        <v>79</v>
      </c>
      <c r="O9" t="s">
        <v>47</v>
      </c>
      <c r="P9" t="s">
        <v>48</v>
      </c>
      <c r="Q9" t="s">
        <v>49</v>
      </c>
      <c r="R9" t="s">
        <v>50</v>
      </c>
      <c r="S9" s="1">
        <v>45901</v>
      </c>
      <c r="U9" t="s">
        <v>51</v>
      </c>
      <c r="X9" t="s">
        <v>52</v>
      </c>
      <c r="Y9" s="2">
        <v>180.06</v>
      </c>
      <c r="Z9" s="2">
        <v>180.06</v>
      </c>
      <c r="AA9">
        <v>6</v>
      </c>
      <c r="AB9" s="3">
        <v>0.7</v>
      </c>
      <c r="AC9" s="2">
        <v>756.25</v>
      </c>
      <c r="AD9" s="3">
        <v>0</v>
      </c>
      <c r="AE9" s="2">
        <v>0</v>
      </c>
      <c r="AF9" s="2">
        <v>756.25</v>
      </c>
      <c r="AK9" s="4">
        <v>19605980</v>
      </c>
      <c r="AL9" t="s">
        <v>53</v>
      </c>
    </row>
    <row r="10" spans="1:38" x14ac:dyDescent="0.25">
      <c r="A10" s="1">
        <v>45898</v>
      </c>
      <c r="B10" s="1">
        <v>45894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80</v>
      </c>
      <c r="J10" t="s">
        <v>78</v>
      </c>
      <c r="M10" t="s">
        <v>79</v>
      </c>
      <c r="O10" t="s">
        <v>47</v>
      </c>
      <c r="P10" t="s">
        <v>48</v>
      </c>
      <c r="Q10" t="s">
        <v>49</v>
      </c>
      <c r="R10" t="s">
        <v>81</v>
      </c>
      <c r="S10" s="1">
        <v>45901</v>
      </c>
      <c r="U10" t="s">
        <v>51</v>
      </c>
      <c r="X10" t="s">
        <v>52</v>
      </c>
      <c r="Y10" s="2">
        <v>25.73</v>
      </c>
      <c r="Z10" s="2">
        <v>25.73</v>
      </c>
      <c r="AA10">
        <v>6</v>
      </c>
      <c r="AB10" s="3">
        <v>0.7</v>
      </c>
      <c r="AC10" s="2">
        <v>108.07</v>
      </c>
      <c r="AD10" s="3">
        <v>0</v>
      </c>
      <c r="AE10" s="2">
        <v>0</v>
      </c>
      <c r="AF10" s="2">
        <v>108.07</v>
      </c>
      <c r="AK10" s="4">
        <v>19597540</v>
      </c>
      <c r="AL10" t="s">
        <v>53</v>
      </c>
    </row>
    <row r="11" spans="1:38" x14ac:dyDescent="0.25">
      <c r="A11" s="1">
        <v>45898</v>
      </c>
      <c r="B11" s="1">
        <v>45894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82</v>
      </c>
      <c r="J11" t="s">
        <v>78</v>
      </c>
      <c r="M11" t="s">
        <v>79</v>
      </c>
      <c r="O11" t="s">
        <v>47</v>
      </c>
      <c r="P11" t="s">
        <v>48</v>
      </c>
      <c r="Q11" t="s">
        <v>49</v>
      </c>
      <c r="R11" t="s">
        <v>65</v>
      </c>
      <c r="S11" s="1">
        <v>45901</v>
      </c>
      <c r="U11" t="s">
        <v>51</v>
      </c>
      <c r="X11" t="s">
        <v>52</v>
      </c>
      <c r="Y11" s="2">
        <v>58.23</v>
      </c>
      <c r="Z11" s="2">
        <v>58.23</v>
      </c>
      <c r="AA11">
        <v>6</v>
      </c>
      <c r="AB11" s="3">
        <v>0.375</v>
      </c>
      <c r="AC11" s="2">
        <v>131.02000000000001</v>
      </c>
      <c r="AD11" s="3">
        <v>0</v>
      </c>
      <c r="AE11" s="2">
        <v>0</v>
      </c>
      <c r="AF11" s="2">
        <v>131.02000000000001</v>
      </c>
      <c r="AK11" s="4">
        <v>19622650</v>
      </c>
      <c r="AL11" t="s">
        <v>53</v>
      </c>
    </row>
    <row r="12" spans="1:38" x14ac:dyDescent="0.25">
      <c r="A12" s="1">
        <v>45898</v>
      </c>
      <c r="B12" s="1">
        <v>45894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83</v>
      </c>
      <c r="J12" t="s">
        <v>84</v>
      </c>
      <c r="M12" t="s">
        <v>85</v>
      </c>
      <c r="O12" t="s">
        <v>86</v>
      </c>
      <c r="P12" t="s">
        <v>87</v>
      </c>
      <c r="Q12" t="s">
        <v>49</v>
      </c>
      <c r="R12" t="s">
        <v>65</v>
      </c>
      <c r="S12" s="1">
        <v>45901</v>
      </c>
      <c r="U12" t="s">
        <v>51</v>
      </c>
      <c r="X12" t="s">
        <v>52</v>
      </c>
      <c r="Y12" s="2">
        <v>36.11</v>
      </c>
      <c r="Z12" s="2">
        <v>36.11</v>
      </c>
      <c r="AA12">
        <v>6</v>
      </c>
      <c r="AB12" s="3">
        <v>0.375</v>
      </c>
      <c r="AC12" s="2">
        <v>81.25</v>
      </c>
      <c r="AD12" s="3">
        <v>0</v>
      </c>
      <c r="AE12" s="2">
        <v>0</v>
      </c>
      <c r="AF12" s="2">
        <v>81.25</v>
      </c>
      <c r="AK12" s="4">
        <v>19622660</v>
      </c>
      <c r="AL12" t="s">
        <v>53</v>
      </c>
    </row>
    <row r="13" spans="1:38" x14ac:dyDescent="0.25">
      <c r="A13" s="1">
        <v>45898</v>
      </c>
      <c r="B13" s="1">
        <v>45894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88</v>
      </c>
      <c r="J13" t="s">
        <v>84</v>
      </c>
      <c r="M13" t="s">
        <v>85</v>
      </c>
      <c r="O13" t="s">
        <v>86</v>
      </c>
      <c r="P13" t="s">
        <v>87</v>
      </c>
      <c r="Q13" t="s">
        <v>49</v>
      </c>
      <c r="R13" t="s">
        <v>89</v>
      </c>
      <c r="S13" s="1">
        <v>45901</v>
      </c>
      <c r="U13" t="s">
        <v>51</v>
      </c>
      <c r="X13" t="s">
        <v>52</v>
      </c>
      <c r="Y13" s="2">
        <v>121.15</v>
      </c>
      <c r="Z13" s="2">
        <v>121.15</v>
      </c>
      <c r="AA13">
        <v>6</v>
      </c>
      <c r="AB13" s="3">
        <v>0.38</v>
      </c>
      <c r="AC13" s="2">
        <v>276.22000000000003</v>
      </c>
      <c r="AD13" s="3">
        <v>0</v>
      </c>
      <c r="AE13" s="2">
        <v>0</v>
      </c>
      <c r="AF13" s="2">
        <v>276.22000000000003</v>
      </c>
      <c r="AK13" s="4">
        <v>19605980</v>
      </c>
      <c r="AL13" t="s">
        <v>53</v>
      </c>
    </row>
    <row r="14" spans="1:38" x14ac:dyDescent="0.25">
      <c r="A14" s="1">
        <v>45898</v>
      </c>
      <c r="B14" s="1">
        <v>45894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90</v>
      </c>
      <c r="J14" t="s">
        <v>84</v>
      </c>
      <c r="M14" t="s">
        <v>85</v>
      </c>
      <c r="O14" t="s">
        <v>86</v>
      </c>
      <c r="P14" t="s">
        <v>87</v>
      </c>
      <c r="Q14" t="s">
        <v>49</v>
      </c>
      <c r="R14" t="s">
        <v>91</v>
      </c>
      <c r="S14" s="1">
        <v>45901</v>
      </c>
      <c r="U14" t="s">
        <v>51</v>
      </c>
      <c r="X14" t="s">
        <v>52</v>
      </c>
      <c r="Y14" s="2">
        <v>46.56</v>
      </c>
      <c r="Z14" s="2">
        <v>46.56</v>
      </c>
      <c r="AA14">
        <v>6</v>
      </c>
      <c r="AB14" s="3">
        <v>0.6</v>
      </c>
      <c r="AC14" s="2">
        <v>167.62</v>
      </c>
      <c r="AD14" s="3">
        <v>0</v>
      </c>
      <c r="AE14" s="2">
        <v>0</v>
      </c>
      <c r="AF14" s="2">
        <v>167.62</v>
      </c>
      <c r="AK14" s="4">
        <v>19616100</v>
      </c>
      <c r="AL14" t="s">
        <v>53</v>
      </c>
    </row>
    <row r="15" spans="1:38" x14ac:dyDescent="0.25">
      <c r="A15" s="1">
        <v>45898</v>
      </c>
      <c r="B15" s="1">
        <v>45894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92</v>
      </c>
      <c r="J15" t="s">
        <v>93</v>
      </c>
      <c r="M15" t="s">
        <v>70</v>
      </c>
      <c r="O15" t="s">
        <v>71</v>
      </c>
      <c r="P15" t="s">
        <v>72</v>
      </c>
      <c r="Q15" t="s">
        <v>49</v>
      </c>
      <c r="R15" t="s">
        <v>50</v>
      </c>
      <c r="S15" s="1">
        <v>45901</v>
      </c>
      <c r="U15" t="s">
        <v>51</v>
      </c>
      <c r="X15" t="s">
        <v>52</v>
      </c>
      <c r="Y15" s="2">
        <v>65.48</v>
      </c>
      <c r="Z15" s="2">
        <v>65.48</v>
      </c>
      <c r="AA15">
        <v>6</v>
      </c>
      <c r="AB15" s="3">
        <v>0.7</v>
      </c>
      <c r="AC15" s="2">
        <v>275.02</v>
      </c>
      <c r="AD15" s="3">
        <v>0</v>
      </c>
      <c r="AE15" s="2">
        <v>0</v>
      </c>
      <c r="AF15" s="2">
        <v>275.02</v>
      </c>
      <c r="AK15" s="4">
        <v>19606010</v>
      </c>
      <c r="AL15" t="s">
        <v>53</v>
      </c>
    </row>
    <row r="16" spans="1:38" x14ac:dyDescent="0.25">
      <c r="A16" s="1">
        <v>45898</v>
      </c>
      <c r="B16" s="1">
        <v>45894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94</v>
      </c>
      <c r="J16" t="s">
        <v>93</v>
      </c>
      <c r="M16" t="s">
        <v>70</v>
      </c>
      <c r="O16" t="s">
        <v>71</v>
      </c>
      <c r="P16" t="s">
        <v>72</v>
      </c>
      <c r="Q16" t="s">
        <v>49</v>
      </c>
      <c r="R16" t="s">
        <v>67</v>
      </c>
      <c r="S16" s="1">
        <v>45901</v>
      </c>
      <c r="U16" t="s">
        <v>51</v>
      </c>
      <c r="X16" t="s">
        <v>52</v>
      </c>
      <c r="Y16" s="2">
        <v>16.63</v>
      </c>
      <c r="Z16" s="2">
        <v>16.63</v>
      </c>
      <c r="AA16">
        <v>6</v>
      </c>
      <c r="AB16" s="3">
        <v>0.9</v>
      </c>
      <c r="AC16" s="2">
        <v>89.8</v>
      </c>
      <c r="AD16" s="3">
        <v>0</v>
      </c>
      <c r="AE16" s="2">
        <v>0</v>
      </c>
      <c r="AF16" s="2">
        <v>89.8</v>
      </c>
      <c r="AK16" s="4">
        <v>19626650</v>
      </c>
      <c r="AL16" t="s">
        <v>53</v>
      </c>
    </row>
    <row r="17" spans="1:38" x14ac:dyDescent="0.25">
      <c r="A17" s="1">
        <v>45898</v>
      </c>
      <c r="B17" s="1">
        <v>45894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95</v>
      </c>
      <c r="J17" t="s">
        <v>93</v>
      </c>
      <c r="M17" t="s">
        <v>70</v>
      </c>
      <c r="O17" t="s">
        <v>71</v>
      </c>
      <c r="P17" t="s">
        <v>72</v>
      </c>
      <c r="Q17" t="s">
        <v>49</v>
      </c>
      <c r="R17" t="s">
        <v>96</v>
      </c>
      <c r="S17" s="1">
        <v>45901</v>
      </c>
      <c r="U17" t="s">
        <v>51</v>
      </c>
      <c r="X17" t="s">
        <v>52</v>
      </c>
      <c r="Y17" s="2">
        <v>20.6</v>
      </c>
      <c r="Z17" s="2">
        <v>20.6</v>
      </c>
      <c r="AA17">
        <v>6</v>
      </c>
      <c r="AB17" s="3">
        <v>0.75</v>
      </c>
      <c r="AC17" s="2">
        <v>92.7</v>
      </c>
      <c r="AD17" s="3">
        <v>0</v>
      </c>
      <c r="AE17" s="2">
        <v>0</v>
      </c>
      <c r="AF17" s="2">
        <v>92.7</v>
      </c>
      <c r="AK17" s="4">
        <v>19616120</v>
      </c>
      <c r="AL17" t="s">
        <v>53</v>
      </c>
    </row>
    <row r="18" spans="1:38" x14ac:dyDescent="0.25">
      <c r="A18" s="1">
        <v>45898</v>
      </c>
      <c r="B18" s="1">
        <v>45894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97</v>
      </c>
      <c r="J18" t="s">
        <v>93</v>
      </c>
      <c r="M18" t="s">
        <v>70</v>
      </c>
      <c r="O18" t="s">
        <v>71</v>
      </c>
      <c r="P18" t="s">
        <v>72</v>
      </c>
      <c r="Q18" t="s">
        <v>49</v>
      </c>
      <c r="R18" t="s">
        <v>65</v>
      </c>
      <c r="S18" s="1">
        <v>45901</v>
      </c>
      <c r="U18" t="s">
        <v>51</v>
      </c>
      <c r="X18" t="s">
        <v>52</v>
      </c>
      <c r="Y18" s="2">
        <v>54.54</v>
      </c>
      <c r="Z18" s="2">
        <v>54.54</v>
      </c>
      <c r="AA18">
        <v>6</v>
      </c>
      <c r="AB18" s="3">
        <v>0.375</v>
      </c>
      <c r="AC18" s="2">
        <v>122.72</v>
      </c>
      <c r="AD18" s="3">
        <v>0</v>
      </c>
      <c r="AE18" s="2">
        <v>0</v>
      </c>
      <c r="AF18" s="2">
        <v>122.72</v>
      </c>
      <c r="AK18" s="4">
        <v>19622690</v>
      </c>
      <c r="AL18" t="s">
        <v>53</v>
      </c>
    </row>
    <row r="19" spans="1:38" x14ac:dyDescent="0.25">
      <c r="A19" s="1">
        <v>45898</v>
      </c>
      <c r="B19" s="1">
        <v>45894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98</v>
      </c>
      <c r="J19" t="s">
        <v>99</v>
      </c>
      <c r="M19" t="s">
        <v>100</v>
      </c>
      <c r="O19" t="s">
        <v>101</v>
      </c>
      <c r="P19" t="s">
        <v>102</v>
      </c>
      <c r="Q19" t="s">
        <v>49</v>
      </c>
      <c r="R19" t="s">
        <v>89</v>
      </c>
      <c r="S19" s="1">
        <v>45888</v>
      </c>
      <c r="U19" t="s">
        <v>51</v>
      </c>
      <c r="X19" t="s">
        <v>52</v>
      </c>
      <c r="Y19" s="2">
        <v>115.38</v>
      </c>
      <c r="Z19" s="2">
        <v>115.38</v>
      </c>
      <c r="AA19">
        <v>6</v>
      </c>
      <c r="AB19" s="3">
        <v>0.38</v>
      </c>
      <c r="AC19" s="2">
        <v>263.07</v>
      </c>
      <c r="AD19" s="3">
        <v>0</v>
      </c>
      <c r="AE19" s="2">
        <v>0</v>
      </c>
      <c r="AF19" s="2">
        <v>263.07</v>
      </c>
      <c r="AK19" s="4">
        <v>19606060</v>
      </c>
      <c r="AL19" t="s">
        <v>53</v>
      </c>
    </row>
    <row r="20" spans="1:38" x14ac:dyDescent="0.25">
      <c r="A20" s="1">
        <v>45898</v>
      </c>
      <c r="B20" s="1">
        <v>45894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103</v>
      </c>
      <c r="J20" t="s">
        <v>99</v>
      </c>
      <c r="M20" t="s">
        <v>100</v>
      </c>
      <c r="O20" t="s">
        <v>101</v>
      </c>
      <c r="P20" t="s">
        <v>102</v>
      </c>
      <c r="Q20" t="s">
        <v>49</v>
      </c>
      <c r="R20" t="s">
        <v>104</v>
      </c>
      <c r="S20" s="1">
        <v>45888</v>
      </c>
      <c r="U20" t="s">
        <v>51</v>
      </c>
      <c r="X20" t="s">
        <v>52</v>
      </c>
      <c r="Y20" s="2">
        <v>7.09</v>
      </c>
      <c r="Z20" s="2">
        <v>7.09</v>
      </c>
      <c r="AA20">
        <v>6</v>
      </c>
      <c r="AB20" s="3">
        <v>0.38</v>
      </c>
      <c r="AC20" s="2">
        <v>16.170000000000002</v>
      </c>
      <c r="AD20" s="3">
        <v>0</v>
      </c>
      <c r="AE20" s="2">
        <v>0</v>
      </c>
      <c r="AF20" s="2">
        <v>16.170000000000002</v>
      </c>
      <c r="AK20" s="4">
        <v>19623860</v>
      </c>
      <c r="AL20" t="s">
        <v>53</v>
      </c>
    </row>
    <row r="21" spans="1:38" x14ac:dyDescent="0.25">
      <c r="A21" s="1">
        <v>45898</v>
      </c>
      <c r="B21" s="1">
        <v>45894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105</v>
      </c>
      <c r="J21" t="s">
        <v>99</v>
      </c>
      <c r="M21" t="s">
        <v>100</v>
      </c>
      <c r="O21" t="s">
        <v>101</v>
      </c>
      <c r="P21" t="s">
        <v>102</v>
      </c>
      <c r="Q21" t="s">
        <v>49</v>
      </c>
      <c r="R21" t="s">
        <v>106</v>
      </c>
      <c r="S21" s="1">
        <v>45888</v>
      </c>
      <c r="U21" t="s">
        <v>51</v>
      </c>
      <c r="X21" t="s">
        <v>107</v>
      </c>
      <c r="Y21" s="2">
        <v>15</v>
      </c>
      <c r="Z21" s="2">
        <v>15</v>
      </c>
      <c r="AA21">
        <v>6</v>
      </c>
      <c r="AB21" s="3">
        <v>0.38</v>
      </c>
      <c r="AC21" s="2">
        <v>34.200000000000003</v>
      </c>
      <c r="AD21" s="3">
        <v>0</v>
      </c>
      <c r="AE21" s="2">
        <v>0</v>
      </c>
      <c r="AF21" s="2">
        <v>34.200000000000003</v>
      </c>
      <c r="AK21" s="4">
        <v>19613180</v>
      </c>
      <c r="AL21" t="s">
        <v>53</v>
      </c>
    </row>
    <row r="22" spans="1:38" x14ac:dyDescent="0.25">
      <c r="A22" s="1">
        <v>45898</v>
      </c>
      <c r="B22" s="1">
        <v>45894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108</v>
      </c>
      <c r="J22" t="s">
        <v>109</v>
      </c>
      <c r="M22" t="s">
        <v>110</v>
      </c>
      <c r="O22" t="s">
        <v>111</v>
      </c>
      <c r="P22" t="s">
        <v>112</v>
      </c>
      <c r="Q22" t="s">
        <v>49</v>
      </c>
      <c r="R22" t="s">
        <v>113</v>
      </c>
      <c r="S22" s="1">
        <v>45888</v>
      </c>
      <c r="U22" t="s">
        <v>51</v>
      </c>
      <c r="X22" t="s">
        <v>52</v>
      </c>
      <c r="Y22" s="2">
        <v>43.86</v>
      </c>
      <c r="Z22" s="2">
        <v>43.86</v>
      </c>
      <c r="AA22">
        <v>6</v>
      </c>
      <c r="AB22" s="3">
        <v>0.42</v>
      </c>
      <c r="AC22" s="2">
        <v>110.53</v>
      </c>
      <c r="AD22" s="3">
        <v>0</v>
      </c>
      <c r="AE22" s="2">
        <v>0</v>
      </c>
      <c r="AF22" s="2">
        <v>110.53</v>
      </c>
      <c r="AK22" s="4">
        <v>19622760</v>
      </c>
      <c r="AL22" t="s">
        <v>53</v>
      </c>
    </row>
    <row r="23" spans="1:38" x14ac:dyDescent="0.25">
      <c r="A23" s="1">
        <v>45898</v>
      </c>
      <c r="B23" s="1">
        <v>45894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114</v>
      </c>
      <c r="J23" t="s">
        <v>109</v>
      </c>
      <c r="M23" t="s">
        <v>110</v>
      </c>
      <c r="O23" t="s">
        <v>111</v>
      </c>
      <c r="P23" t="s">
        <v>112</v>
      </c>
      <c r="Q23" t="s">
        <v>49</v>
      </c>
      <c r="R23" t="s">
        <v>67</v>
      </c>
      <c r="S23" s="1">
        <v>45888</v>
      </c>
      <c r="U23" t="s">
        <v>51</v>
      </c>
      <c r="X23" t="s">
        <v>52</v>
      </c>
      <c r="Y23" s="2">
        <v>128.69</v>
      </c>
      <c r="Z23" s="2">
        <v>128.69</v>
      </c>
      <c r="AA23">
        <v>6</v>
      </c>
      <c r="AB23" s="3">
        <v>0.9</v>
      </c>
      <c r="AC23" s="2">
        <v>694.93</v>
      </c>
      <c r="AD23" s="3">
        <v>0</v>
      </c>
      <c r="AE23" s="2">
        <v>0</v>
      </c>
      <c r="AF23" s="2">
        <v>694.93</v>
      </c>
      <c r="AK23" s="4">
        <v>19626660</v>
      </c>
      <c r="AL23" t="s">
        <v>53</v>
      </c>
    </row>
    <row r="24" spans="1:38" x14ac:dyDescent="0.25">
      <c r="A24" s="1">
        <v>45898</v>
      </c>
      <c r="B24" s="1">
        <v>45894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115</v>
      </c>
      <c r="J24" t="s">
        <v>116</v>
      </c>
      <c r="M24" t="s">
        <v>110</v>
      </c>
      <c r="O24" t="s">
        <v>117</v>
      </c>
      <c r="P24" t="s">
        <v>118</v>
      </c>
      <c r="Q24" t="s">
        <v>49</v>
      </c>
      <c r="R24" t="s">
        <v>81</v>
      </c>
      <c r="S24" s="1">
        <v>45892</v>
      </c>
      <c r="U24" t="s">
        <v>51</v>
      </c>
      <c r="X24" t="s">
        <v>52</v>
      </c>
      <c r="Y24" s="2">
        <v>24.61</v>
      </c>
      <c r="Z24" s="2">
        <v>24.61</v>
      </c>
      <c r="AA24">
        <v>6</v>
      </c>
      <c r="AB24" s="3">
        <v>0.7</v>
      </c>
      <c r="AC24" s="2">
        <v>103.36</v>
      </c>
      <c r="AD24" s="3">
        <v>0</v>
      </c>
      <c r="AE24" s="2">
        <v>0</v>
      </c>
      <c r="AF24" s="2">
        <v>103.36</v>
      </c>
      <c r="AK24" s="4">
        <v>19597540</v>
      </c>
      <c r="AL24" t="s">
        <v>53</v>
      </c>
    </row>
    <row r="25" spans="1:38" x14ac:dyDescent="0.25">
      <c r="A25" s="1">
        <v>45898</v>
      </c>
      <c r="B25" s="1">
        <v>45894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119</v>
      </c>
      <c r="J25" t="s">
        <v>116</v>
      </c>
      <c r="M25" t="s">
        <v>110</v>
      </c>
      <c r="O25" t="s">
        <v>117</v>
      </c>
      <c r="P25" t="s">
        <v>118</v>
      </c>
      <c r="Q25" t="s">
        <v>49</v>
      </c>
      <c r="R25" t="s">
        <v>59</v>
      </c>
      <c r="S25" s="1">
        <v>45892</v>
      </c>
      <c r="U25" t="s">
        <v>51</v>
      </c>
      <c r="X25" t="s">
        <v>52</v>
      </c>
      <c r="Y25" s="2">
        <v>106.25</v>
      </c>
      <c r="Z25" s="2">
        <v>106.25</v>
      </c>
      <c r="AA25">
        <v>6</v>
      </c>
      <c r="AB25" s="3">
        <v>0.9</v>
      </c>
      <c r="AC25" s="2">
        <v>573.75</v>
      </c>
      <c r="AD25" s="3">
        <v>0</v>
      </c>
      <c r="AE25" s="2">
        <v>0</v>
      </c>
      <c r="AF25" s="2">
        <v>573.75</v>
      </c>
      <c r="AK25" s="4">
        <v>19616150</v>
      </c>
      <c r="AL25" t="s">
        <v>53</v>
      </c>
    </row>
    <row r="26" spans="1:38" x14ac:dyDescent="0.25">
      <c r="A26" s="1">
        <v>45898</v>
      </c>
      <c r="B26" s="1">
        <v>45894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120</v>
      </c>
      <c r="J26" t="s">
        <v>116</v>
      </c>
      <c r="M26" t="s">
        <v>110</v>
      </c>
      <c r="O26" t="s">
        <v>117</v>
      </c>
      <c r="P26" t="s">
        <v>118</v>
      </c>
      <c r="Q26" t="s">
        <v>49</v>
      </c>
      <c r="R26" t="s">
        <v>113</v>
      </c>
      <c r="S26" s="1">
        <v>45892</v>
      </c>
      <c r="U26" t="s">
        <v>51</v>
      </c>
      <c r="X26" t="s">
        <v>52</v>
      </c>
      <c r="Y26" s="2">
        <v>38.85</v>
      </c>
      <c r="Z26" s="2">
        <v>38.85</v>
      </c>
      <c r="AA26">
        <v>6</v>
      </c>
      <c r="AB26" s="3">
        <v>0.42</v>
      </c>
      <c r="AC26" s="2">
        <v>97.9</v>
      </c>
      <c r="AD26" s="3">
        <v>0</v>
      </c>
      <c r="AE26" s="2">
        <v>0</v>
      </c>
      <c r="AF26" s="2">
        <v>97.9</v>
      </c>
      <c r="AK26" s="4">
        <v>19622800</v>
      </c>
      <c r="AL26" t="s">
        <v>53</v>
      </c>
    </row>
    <row r="27" spans="1:38" x14ac:dyDescent="0.25">
      <c r="A27" s="1">
        <v>45898</v>
      </c>
      <c r="B27" s="1">
        <v>45894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121</v>
      </c>
      <c r="J27" t="s">
        <v>122</v>
      </c>
      <c r="M27" t="s">
        <v>75</v>
      </c>
      <c r="O27" t="s">
        <v>123</v>
      </c>
      <c r="P27" t="s">
        <v>124</v>
      </c>
      <c r="Q27" t="s">
        <v>49</v>
      </c>
      <c r="R27" t="s">
        <v>50</v>
      </c>
      <c r="S27" s="1">
        <v>45894</v>
      </c>
      <c r="U27" t="s">
        <v>51</v>
      </c>
      <c r="X27" t="s">
        <v>52</v>
      </c>
      <c r="Y27" s="2">
        <v>27.5</v>
      </c>
      <c r="Z27" s="2">
        <v>27.5</v>
      </c>
      <c r="AA27">
        <v>6</v>
      </c>
      <c r="AB27" s="3">
        <v>0.7</v>
      </c>
      <c r="AC27" s="2">
        <v>115.5</v>
      </c>
      <c r="AD27" s="3">
        <v>0</v>
      </c>
      <c r="AE27" s="2">
        <v>0</v>
      </c>
      <c r="AF27" s="2">
        <v>115.5</v>
      </c>
      <c r="AK27" s="4">
        <v>19606140</v>
      </c>
      <c r="AL27" t="s">
        <v>53</v>
      </c>
    </row>
    <row r="28" spans="1:38" x14ac:dyDescent="0.25">
      <c r="A28" s="1">
        <v>45898</v>
      </c>
      <c r="B28" s="1">
        <v>45894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125</v>
      </c>
      <c r="J28" t="s">
        <v>122</v>
      </c>
      <c r="M28" t="s">
        <v>75</v>
      </c>
      <c r="O28" t="s">
        <v>123</v>
      </c>
      <c r="P28" t="s">
        <v>124</v>
      </c>
      <c r="Q28" t="s">
        <v>49</v>
      </c>
      <c r="R28" t="s">
        <v>65</v>
      </c>
      <c r="S28" s="1">
        <v>45894</v>
      </c>
      <c r="U28" t="s">
        <v>51</v>
      </c>
      <c r="X28" t="s">
        <v>52</v>
      </c>
      <c r="Y28" s="2">
        <v>77.48</v>
      </c>
      <c r="Z28" s="2">
        <v>77.48</v>
      </c>
      <c r="AA28">
        <v>6</v>
      </c>
      <c r="AB28" s="3">
        <v>0.375</v>
      </c>
      <c r="AC28" s="2">
        <v>174.33</v>
      </c>
      <c r="AD28" s="3">
        <v>0</v>
      </c>
      <c r="AE28" s="2">
        <v>0</v>
      </c>
      <c r="AF28" s="2">
        <v>174.33</v>
      </c>
      <c r="AK28" s="4">
        <v>19622840</v>
      </c>
      <c r="AL28" t="s">
        <v>53</v>
      </c>
    </row>
    <row r="29" spans="1:38" x14ac:dyDescent="0.25">
      <c r="A29" s="1">
        <v>45898</v>
      </c>
      <c r="B29" s="1">
        <v>45894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126</v>
      </c>
      <c r="J29" t="s">
        <v>127</v>
      </c>
      <c r="M29" t="s">
        <v>75</v>
      </c>
      <c r="O29" t="s">
        <v>128</v>
      </c>
      <c r="P29" t="s">
        <v>129</v>
      </c>
      <c r="Q29" t="s">
        <v>49</v>
      </c>
      <c r="R29" t="s">
        <v>65</v>
      </c>
      <c r="S29" s="1">
        <v>45901</v>
      </c>
      <c r="U29" t="s">
        <v>51</v>
      </c>
      <c r="X29" t="s">
        <v>52</v>
      </c>
      <c r="Y29" s="2">
        <v>77.48</v>
      </c>
      <c r="Z29" s="2">
        <v>77.48</v>
      </c>
      <c r="AA29">
        <v>6</v>
      </c>
      <c r="AB29" s="3">
        <v>0.375</v>
      </c>
      <c r="AC29" s="2">
        <v>174.33</v>
      </c>
      <c r="AD29" s="3">
        <v>0</v>
      </c>
      <c r="AE29" s="2">
        <v>0</v>
      </c>
      <c r="AF29" s="2">
        <v>174.33</v>
      </c>
      <c r="AK29" s="4">
        <v>19622900</v>
      </c>
      <c r="AL29" t="s">
        <v>53</v>
      </c>
    </row>
    <row r="30" spans="1:38" x14ac:dyDescent="0.25">
      <c r="A30" s="1">
        <v>45898</v>
      </c>
      <c r="B30" s="1">
        <v>45894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130</v>
      </c>
      <c r="J30" t="s">
        <v>127</v>
      </c>
      <c r="M30" t="s">
        <v>75</v>
      </c>
      <c r="O30" t="s">
        <v>128</v>
      </c>
      <c r="P30" t="s">
        <v>129</v>
      </c>
      <c r="Q30" t="s">
        <v>49</v>
      </c>
      <c r="R30" t="s">
        <v>50</v>
      </c>
      <c r="S30" s="1">
        <v>45901</v>
      </c>
      <c r="U30" t="s">
        <v>51</v>
      </c>
      <c r="X30" t="s">
        <v>52</v>
      </c>
      <c r="Y30" s="2">
        <v>34</v>
      </c>
      <c r="Z30" s="2">
        <v>34</v>
      </c>
      <c r="AA30">
        <v>6</v>
      </c>
      <c r="AB30" s="3">
        <v>0.7</v>
      </c>
      <c r="AC30" s="2">
        <v>142.80000000000001</v>
      </c>
      <c r="AD30" s="3">
        <v>0</v>
      </c>
      <c r="AE30" s="2">
        <v>0</v>
      </c>
      <c r="AF30" s="2">
        <v>142.80000000000001</v>
      </c>
      <c r="AK30" s="4">
        <v>19606200</v>
      </c>
      <c r="AL30" t="s">
        <v>53</v>
      </c>
    </row>
    <row r="31" spans="1:38" x14ac:dyDescent="0.25">
      <c r="A31" s="1">
        <v>45898</v>
      </c>
      <c r="B31" s="1">
        <v>45894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131</v>
      </c>
      <c r="J31" t="s">
        <v>132</v>
      </c>
      <c r="M31" t="s">
        <v>133</v>
      </c>
      <c r="O31" t="s">
        <v>134</v>
      </c>
      <c r="P31" t="s">
        <v>135</v>
      </c>
      <c r="Q31" t="s">
        <v>49</v>
      </c>
      <c r="R31" t="s">
        <v>50</v>
      </c>
      <c r="S31" s="1">
        <v>45901</v>
      </c>
      <c r="U31" t="s">
        <v>51</v>
      </c>
      <c r="X31" t="s">
        <v>52</v>
      </c>
      <c r="Y31" s="2">
        <v>109.25</v>
      </c>
      <c r="Z31" s="2">
        <v>109.25</v>
      </c>
      <c r="AA31">
        <v>6</v>
      </c>
      <c r="AB31" s="3">
        <v>0.7</v>
      </c>
      <c r="AC31" s="2">
        <v>458.85</v>
      </c>
      <c r="AD31" s="3">
        <v>0</v>
      </c>
      <c r="AE31" s="2">
        <v>0</v>
      </c>
      <c r="AF31" s="2">
        <v>458.85</v>
      </c>
      <c r="AK31" s="4">
        <v>19606210</v>
      </c>
      <c r="AL31" t="s">
        <v>53</v>
      </c>
    </row>
    <row r="32" spans="1:38" x14ac:dyDescent="0.25">
      <c r="A32" s="1">
        <v>45898</v>
      </c>
      <c r="B32" s="1">
        <v>45894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136</v>
      </c>
      <c r="J32" t="s">
        <v>137</v>
      </c>
      <c r="M32" t="s">
        <v>75</v>
      </c>
      <c r="O32" t="s">
        <v>138</v>
      </c>
      <c r="P32" t="s">
        <v>139</v>
      </c>
      <c r="Q32" t="s">
        <v>49</v>
      </c>
      <c r="R32" t="s">
        <v>50</v>
      </c>
      <c r="S32" s="1">
        <v>45890</v>
      </c>
      <c r="U32" t="s">
        <v>51</v>
      </c>
      <c r="X32" t="s">
        <v>52</v>
      </c>
      <c r="Y32" s="2">
        <v>204.04</v>
      </c>
      <c r="Z32" s="2">
        <v>204.04</v>
      </c>
      <c r="AA32">
        <v>6</v>
      </c>
      <c r="AB32" s="3">
        <v>0.7</v>
      </c>
      <c r="AC32" s="2">
        <v>856.97</v>
      </c>
      <c r="AD32" s="3">
        <v>0</v>
      </c>
      <c r="AE32" s="2">
        <v>0</v>
      </c>
      <c r="AF32" s="2">
        <v>856.97</v>
      </c>
      <c r="AK32" s="4">
        <v>19606230</v>
      </c>
      <c r="AL32" t="s">
        <v>53</v>
      </c>
    </row>
    <row r="33" spans="1:38" x14ac:dyDescent="0.25">
      <c r="A33" s="1">
        <v>45898</v>
      </c>
      <c r="B33" s="1">
        <v>45894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140</v>
      </c>
      <c r="J33" t="s">
        <v>141</v>
      </c>
      <c r="M33" t="s">
        <v>142</v>
      </c>
      <c r="O33" t="s">
        <v>143</v>
      </c>
      <c r="P33" t="s">
        <v>144</v>
      </c>
      <c r="Q33" t="s">
        <v>49</v>
      </c>
      <c r="R33" t="s">
        <v>50</v>
      </c>
      <c r="S33" s="1">
        <v>45889</v>
      </c>
      <c r="U33" t="s">
        <v>51</v>
      </c>
      <c r="X33" t="s">
        <v>52</v>
      </c>
      <c r="Y33" s="2">
        <v>11.5</v>
      </c>
      <c r="Z33" s="2">
        <v>11.5</v>
      </c>
      <c r="AA33">
        <v>6</v>
      </c>
      <c r="AB33" s="3">
        <v>0.3</v>
      </c>
      <c r="AC33" s="2">
        <v>20.7</v>
      </c>
      <c r="AD33" s="3">
        <v>0</v>
      </c>
      <c r="AE33" s="2">
        <v>0</v>
      </c>
      <c r="AF33" s="2">
        <v>20.7</v>
      </c>
      <c r="AK33" s="4">
        <v>19606240</v>
      </c>
      <c r="AL33" t="s">
        <v>53</v>
      </c>
    </row>
    <row r="34" spans="1:38" x14ac:dyDescent="0.25">
      <c r="A34" s="1">
        <v>45898</v>
      </c>
      <c r="B34" s="1">
        <v>45894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145</v>
      </c>
      <c r="J34" t="s">
        <v>141</v>
      </c>
      <c r="M34" t="s">
        <v>142</v>
      </c>
      <c r="O34" t="s">
        <v>143</v>
      </c>
      <c r="P34" t="s">
        <v>144</v>
      </c>
      <c r="Q34" t="s">
        <v>49</v>
      </c>
      <c r="R34" t="s">
        <v>65</v>
      </c>
      <c r="S34" s="1">
        <v>45889</v>
      </c>
      <c r="U34" t="s">
        <v>51</v>
      </c>
      <c r="X34" t="s">
        <v>52</v>
      </c>
      <c r="Y34" s="2">
        <v>123.26</v>
      </c>
      <c r="Z34" s="2">
        <v>123.26</v>
      </c>
      <c r="AA34">
        <v>6</v>
      </c>
      <c r="AB34" s="3">
        <v>9.5000000000000001E-2</v>
      </c>
      <c r="AC34" s="2">
        <v>70.260000000000005</v>
      </c>
      <c r="AD34" s="3">
        <v>0</v>
      </c>
      <c r="AE34" s="2">
        <v>0</v>
      </c>
      <c r="AF34" s="2">
        <v>70.260000000000005</v>
      </c>
      <c r="AK34" s="4">
        <v>19622950</v>
      </c>
      <c r="AL34" t="s">
        <v>53</v>
      </c>
    </row>
    <row r="35" spans="1:38" x14ac:dyDescent="0.25">
      <c r="A35" s="1">
        <v>45898</v>
      </c>
      <c r="B35" s="1">
        <v>45894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146</v>
      </c>
      <c r="J35" t="s">
        <v>147</v>
      </c>
      <c r="M35" t="s">
        <v>148</v>
      </c>
      <c r="O35" t="s">
        <v>63</v>
      </c>
      <c r="P35" t="s">
        <v>64</v>
      </c>
      <c r="Q35" t="s">
        <v>49</v>
      </c>
      <c r="R35" t="s">
        <v>65</v>
      </c>
      <c r="S35" s="1">
        <v>45890</v>
      </c>
      <c r="U35" t="s">
        <v>51</v>
      </c>
      <c r="X35" t="s">
        <v>52</v>
      </c>
      <c r="Y35" s="2">
        <v>17.37</v>
      </c>
      <c r="Z35" s="2">
        <v>17.37</v>
      </c>
      <c r="AA35">
        <v>6</v>
      </c>
      <c r="AB35" s="3">
        <v>0.375</v>
      </c>
      <c r="AC35" s="2">
        <v>39.08</v>
      </c>
      <c r="AD35" s="3">
        <v>0</v>
      </c>
      <c r="AE35" s="2">
        <v>0</v>
      </c>
      <c r="AF35" s="2">
        <v>39.08</v>
      </c>
      <c r="AK35" s="4">
        <v>19623030</v>
      </c>
      <c r="AL35" t="s">
        <v>53</v>
      </c>
    </row>
    <row r="36" spans="1:38" x14ac:dyDescent="0.25">
      <c r="A36" s="1">
        <v>45898</v>
      </c>
      <c r="B36" s="1">
        <v>45894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149</v>
      </c>
      <c r="J36" t="s">
        <v>150</v>
      </c>
      <c r="M36" t="s">
        <v>75</v>
      </c>
      <c r="O36" t="s">
        <v>151</v>
      </c>
      <c r="P36" t="s">
        <v>152</v>
      </c>
      <c r="Q36" t="s">
        <v>49</v>
      </c>
      <c r="R36" t="s">
        <v>89</v>
      </c>
      <c r="S36" s="1">
        <v>45890</v>
      </c>
      <c r="U36" t="s">
        <v>51</v>
      </c>
      <c r="X36" t="s">
        <v>52</v>
      </c>
      <c r="Y36" s="2">
        <v>187.73</v>
      </c>
      <c r="Z36" s="2">
        <v>187.73</v>
      </c>
      <c r="AA36">
        <v>6</v>
      </c>
      <c r="AB36" s="3">
        <v>0.38</v>
      </c>
      <c r="AC36" s="2">
        <v>428.02</v>
      </c>
      <c r="AD36" s="3">
        <v>0</v>
      </c>
      <c r="AE36" s="2">
        <v>0</v>
      </c>
      <c r="AF36" s="2">
        <v>428.02</v>
      </c>
      <c r="AK36" s="4">
        <v>19606310</v>
      </c>
      <c r="AL36" t="s">
        <v>53</v>
      </c>
    </row>
    <row r="37" spans="1:38" x14ac:dyDescent="0.25">
      <c r="A37" s="1">
        <v>45898</v>
      </c>
      <c r="B37" s="1">
        <v>45894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153</v>
      </c>
      <c r="J37" t="s">
        <v>150</v>
      </c>
      <c r="M37" t="s">
        <v>75</v>
      </c>
      <c r="O37" t="s">
        <v>151</v>
      </c>
      <c r="P37" t="s">
        <v>152</v>
      </c>
      <c r="Q37" t="s">
        <v>49</v>
      </c>
      <c r="R37" t="s">
        <v>50</v>
      </c>
      <c r="S37" s="1">
        <v>45890</v>
      </c>
      <c r="U37" t="s">
        <v>51</v>
      </c>
      <c r="X37" t="s">
        <v>52</v>
      </c>
      <c r="Y37" s="2">
        <v>112.95</v>
      </c>
      <c r="Z37" s="2">
        <v>112.95</v>
      </c>
      <c r="AA37">
        <v>6</v>
      </c>
      <c r="AB37" s="3">
        <v>0.7</v>
      </c>
      <c r="AC37" s="2">
        <v>474.39</v>
      </c>
      <c r="AD37" s="3">
        <v>0</v>
      </c>
      <c r="AE37" s="2">
        <v>0</v>
      </c>
      <c r="AF37" s="2">
        <v>474.39</v>
      </c>
      <c r="AK37" s="4">
        <v>19606310</v>
      </c>
      <c r="AL37" t="s">
        <v>53</v>
      </c>
    </row>
    <row r="38" spans="1:38" x14ac:dyDescent="0.25">
      <c r="A38" s="1">
        <v>45898</v>
      </c>
      <c r="B38" s="1">
        <v>45894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154</v>
      </c>
      <c r="J38" t="s">
        <v>150</v>
      </c>
      <c r="M38" t="s">
        <v>75</v>
      </c>
      <c r="O38" t="s">
        <v>151</v>
      </c>
      <c r="P38" t="s">
        <v>152</v>
      </c>
      <c r="Q38" t="s">
        <v>49</v>
      </c>
      <c r="R38" t="s">
        <v>104</v>
      </c>
      <c r="S38" s="1">
        <v>45890</v>
      </c>
      <c r="U38" t="s">
        <v>51</v>
      </c>
      <c r="X38" t="s">
        <v>52</v>
      </c>
      <c r="Y38" s="2">
        <v>7.09</v>
      </c>
      <c r="Z38" s="2">
        <v>7.09</v>
      </c>
      <c r="AA38">
        <v>6</v>
      </c>
      <c r="AB38" s="3">
        <v>0.38</v>
      </c>
      <c r="AC38" s="2">
        <v>16.170000000000002</v>
      </c>
      <c r="AD38" s="3">
        <v>0</v>
      </c>
      <c r="AE38" s="2">
        <v>0</v>
      </c>
      <c r="AF38" s="2">
        <v>16.170000000000002</v>
      </c>
      <c r="AK38" s="4">
        <v>19623900</v>
      </c>
      <c r="AL38" t="s">
        <v>53</v>
      </c>
    </row>
    <row r="39" spans="1:38" x14ac:dyDescent="0.25">
      <c r="A39" s="1">
        <v>45898</v>
      </c>
      <c r="B39" s="1">
        <v>45894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155</v>
      </c>
      <c r="J39" t="s">
        <v>150</v>
      </c>
      <c r="M39" t="s">
        <v>75</v>
      </c>
      <c r="O39" t="s">
        <v>151</v>
      </c>
      <c r="P39" t="s">
        <v>152</v>
      </c>
      <c r="Q39" t="s">
        <v>49</v>
      </c>
      <c r="R39" t="s">
        <v>106</v>
      </c>
      <c r="S39" s="1">
        <v>45890</v>
      </c>
      <c r="U39" t="s">
        <v>51</v>
      </c>
      <c r="X39" t="s">
        <v>107</v>
      </c>
      <c r="Y39" s="2">
        <v>15</v>
      </c>
      <c r="Z39" s="2">
        <v>15</v>
      </c>
      <c r="AA39">
        <v>6</v>
      </c>
      <c r="AB39" s="3">
        <v>0.38</v>
      </c>
      <c r="AC39" s="2">
        <v>34.200000000000003</v>
      </c>
      <c r="AD39" s="3">
        <v>0</v>
      </c>
      <c r="AE39" s="2">
        <v>0</v>
      </c>
      <c r="AF39" s="2">
        <v>34.200000000000003</v>
      </c>
      <c r="AK39" s="4">
        <v>19613300</v>
      </c>
      <c r="AL39" t="s">
        <v>53</v>
      </c>
    </row>
    <row r="40" spans="1:38" x14ac:dyDescent="0.25">
      <c r="A40" s="1">
        <v>45898</v>
      </c>
      <c r="B40" s="1">
        <v>45894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156</v>
      </c>
      <c r="J40" t="s">
        <v>157</v>
      </c>
      <c r="M40" t="s">
        <v>75</v>
      </c>
      <c r="O40" t="s">
        <v>158</v>
      </c>
      <c r="P40" t="s">
        <v>159</v>
      </c>
      <c r="Q40" t="s">
        <v>49</v>
      </c>
      <c r="R40" t="s">
        <v>50</v>
      </c>
      <c r="S40" s="1">
        <v>45890</v>
      </c>
      <c r="U40" t="s">
        <v>51</v>
      </c>
      <c r="X40" t="s">
        <v>52</v>
      </c>
      <c r="Y40" s="2">
        <v>58.24</v>
      </c>
      <c r="Z40" s="2">
        <v>58.24</v>
      </c>
      <c r="AA40">
        <v>6</v>
      </c>
      <c r="AB40" s="3">
        <v>0.7</v>
      </c>
      <c r="AC40" s="2">
        <v>244.61</v>
      </c>
      <c r="AD40" s="3">
        <v>0</v>
      </c>
      <c r="AE40" s="2">
        <v>0</v>
      </c>
      <c r="AF40" s="2">
        <v>244.61</v>
      </c>
      <c r="AK40" s="4">
        <v>19606330</v>
      </c>
      <c r="AL40" t="s">
        <v>53</v>
      </c>
    </row>
    <row r="41" spans="1:38" x14ac:dyDescent="0.25">
      <c r="A41" s="1">
        <v>45898</v>
      </c>
      <c r="B41" s="1">
        <v>45894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160</v>
      </c>
      <c r="J41" t="s">
        <v>161</v>
      </c>
      <c r="M41" t="s">
        <v>133</v>
      </c>
      <c r="O41" t="s">
        <v>162</v>
      </c>
      <c r="P41" t="s">
        <v>163</v>
      </c>
      <c r="Q41" t="s">
        <v>49</v>
      </c>
      <c r="R41" t="s">
        <v>65</v>
      </c>
      <c r="S41" s="1">
        <v>45898</v>
      </c>
      <c r="U41" t="s">
        <v>51</v>
      </c>
      <c r="X41" t="s">
        <v>52</v>
      </c>
      <c r="Y41" s="2">
        <v>60.74</v>
      </c>
      <c r="Z41" s="2">
        <v>60.74</v>
      </c>
      <c r="AA41">
        <v>6</v>
      </c>
      <c r="AB41" s="3">
        <v>0.375</v>
      </c>
      <c r="AC41" s="2">
        <v>136.66999999999999</v>
      </c>
      <c r="AD41" s="3">
        <v>0</v>
      </c>
      <c r="AE41" s="2">
        <v>0</v>
      </c>
      <c r="AF41" s="2">
        <v>136.66999999999999</v>
      </c>
      <c r="AK41" s="4">
        <v>19623070</v>
      </c>
      <c r="AL41" t="s">
        <v>53</v>
      </c>
    </row>
    <row r="42" spans="1:38" x14ac:dyDescent="0.25">
      <c r="A42" s="1">
        <v>45898</v>
      </c>
      <c r="B42" s="1">
        <v>45894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164</v>
      </c>
      <c r="J42" t="s">
        <v>161</v>
      </c>
      <c r="M42" t="s">
        <v>133</v>
      </c>
      <c r="O42" t="s">
        <v>162</v>
      </c>
      <c r="P42" t="s">
        <v>163</v>
      </c>
      <c r="Q42" t="s">
        <v>49</v>
      </c>
      <c r="R42" t="s">
        <v>50</v>
      </c>
      <c r="S42" s="1">
        <v>45898</v>
      </c>
      <c r="U42" t="s">
        <v>51</v>
      </c>
      <c r="X42" t="s">
        <v>52</v>
      </c>
      <c r="Y42" s="2">
        <v>41.5</v>
      </c>
      <c r="Z42" s="2">
        <v>41.5</v>
      </c>
      <c r="AA42">
        <v>6</v>
      </c>
      <c r="AB42" s="3">
        <v>0.7</v>
      </c>
      <c r="AC42" s="2">
        <v>174.3</v>
      </c>
      <c r="AD42" s="3">
        <v>0</v>
      </c>
      <c r="AE42" s="2">
        <v>0</v>
      </c>
      <c r="AF42" s="2">
        <v>174.3</v>
      </c>
      <c r="AK42" s="4">
        <v>19606340</v>
      </c>
      <c r="AL42" t="s">
        <v>53</v>
      </c>
    </row>
    <row r="43" spans="1:38" x14ac:dyDescent="0.25">
      <c r="A43" s="1">
        <v>45898</v>
      </c>
      <c r="B43" s="1">
        <v>45894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165</v>
      </c>
      <c r="J43" t="s">
        <v>166</v>
      </c>
      <c r="M43" t="s">
        <v>167</v>
      </c>
      <c r="O43" t="s">
        <v>168</v>
      </c>
      <c r="P43" t="s">
        <v>169</v>
      </c>
      <c r="Q43" t="s">
        <v>49</v>
      </c>
      <c r="R43" t="s">
        <v>170</v>
      </c>
      <c r="S43" s="1">
        <v>45931</v>
      </c>
      <c r="U43" t="s">
        <v>51</v>
      </c>
      <c r="X43" t="s">
        <v>52</v>
      </c>
      <c r="Y43" s="2">
        <v>39.880000000000003</v>
      </c>
      <c r="Z43" s="2">
        <v>39.880000000000003</v>
      </c>
      <c r="AA43">
        <v>6</v>
      </c>
      <c r="AB43" s="3">
        <v>0.75</v>
      </c>
      <c r="AC43" s="2">
        <v>179.46</v>
      </c>
      <c r="AD43" s="3">
        <v>0</v>
      </c>
      <c r="AE43" s="2">
        <v>0</v>
      </c>
      <c r="AF43" s="2">
        <v>179.46</v>
      </c>
      <c r="AK43" s="4">
        <v>19616230</v>
      </c>
      <c r="AL43" t="s">
        <v>53</v>
      </c>
    </row>
    <row r="44" spans="1:38" x14ac:dyDescent="0.25">
      <c r="A44" s="1">
        <v>45898</v>
      </c>
      <c r="B44" s="1">
        <v>45894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171</v>
      </c>
      <c r="J44" t="s">
        <v>172</v>
      </c>
      <c r="M44" t="s">
        <v>173</v>
      </c>
      <c r="O44" t="s">
        <v>174</v>
      </c>
      <c r="P44" t="s">
        <v>175</v>
      </c>
      <c r="Q44" t="s">
        <v>49</v>
      </c>
      <c r="R44" t="s">
        <v>176</v>
      </c>
      <c r="S44" s="1">
        <v>45894</v>
      </c>
      <c r="U44" t="s">
        <v>51</v>
      </c>
      <c r="X44" t="s">
        <v>177</v>
      </c>
      <c r="Y44" s="2">
        <v>89.62</v>
      </c>
      <c r="Z44" s="2">
        <v>89.62</v>
      </c>
      <c r="AA44">
        <v>3</v>
      </c>
      <c r="AB44" s="3">
        <v>0.28999999999999998</v>
      </c>
      <c r="AC44" s="2">
        <v>77.97</v>
      </c>
      <c r="AD44" s="3">
        <v>0</v>
      </c>
      <c r="AE44" s="2">
        <v>0</v>
      </c>
      <c r="AF44" s="2">
        <v>77.97</v>
      </c>
      <c r="AK44" s="4">
        <v>19629550</v>
      </c>
      <c r="AL44" t="s">
        <v>53</v>
      </c>
    </row>
    <row r="45" spans="1:38" x14ac:dyDescent="0.25">
      <c r="A45" s="1">
        <v>45898</v>
      </c>
      <c r="B45" s="1">
        <v>45894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178</v>
      </c>
      <c r="J45" t="s">
        <v>172</v>
      </c>
      <c r="M45" t="s">
        <v>173</v>
      </c>
      <c r="O45" t="s">
        <v>174</v>
      </c>
      <c r="P45" t="s">
        <v>175</v>
      </c>
      <c r="Q45" t="s">
        <v>49</v>
      </c>
      <c r="R45" t="s">
        <v>179</v>
      </c>
      <c r="S45" s="1">
        <v>45894</v>
      </c>
      <c r="U45" t="s">
        <v>51</v>
      </c>
      <c r="X45" t="s">
        <v>177</v>
      </c>
      <c r="Y45" s="2">
        <v>15</v>
      </c>
      <c r="Z45" s="2">
        <v>15</v>
      </c>
      <c r="AA45">
        <v>3</v>
      </c>
      <c r="AB45" s="3">
        <v>0.28999999999999998</v>
      </c>
      <c r="AC45" s="2">
        <v>13.05</v>
      </c>
      <c r="AD45" s="3">
        <v>0</v>
      </c>
      <c r="AE45" s="2">
        <v>0</v>
      </c>
      <c r="AF45" s="2">
        <v>13.05</v>
      </c>
      <c r="AK45" s="4">
        <v>19613340</v>
      </c>
      <c r="AL45" t="s">
        <v>53</v>
      </c>
    </row>
    <row r="46" spans="1:38" x14ac:dyDescent="0.25">
      <c r="A46" s="1">
        <v>45898</v>
      </c>
      <c r="B46" s="1">
        <v>45894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180</v>
      </c>
      <c r="J46" t="s">
        <v>181</v>
      </c>
      <c r="M46" t="s">
        <v>75</v>
      </c>
      <c r="O46" t="s">
        <v>138</v>
      </c>
      <c r="P46" t="s">
        <v>139</v>
      </c>
      <c r="Q46" t="s">
        <v>49</v>
      </c>
      <c r="R46" t="s">
        <v>65</v>
      </c>
      <c r="S46" s="1">
        <v>45891</v>
      </c>
      <c r="U46" t="s">
        <v>51</v>
      </c>
      <c r="X46" t="s">
        <v>52</v>
      </c>
      <c r="Y46" s="2">
        <v>63.37</v>
      </c>
      <c r="Z46" s="2">
        <v>63.37</v>
      </c>
      <c r="AA46">
        <v>6</v>
      </c>
      <c r="AB46" s="3">
        <v>0.375</v>
      </c>
      <c r="AC46" s="2">
        <v>142.58000000000001</v>
      </c>
      <c r="AD46" s="3">
        <v>0</v>
      </c>
      <c r="AE46" s="2">
        <v>0</v>
      </c>
      <c r="AF46" s="2">
        <v>142.58000000000001</v>
      </c>
      <c r="AK46" s="4">
        <v>19623180</v>
      </c>
      <c r="AL46" t="s">
        <v>53</v>
      </c>
    </row>
    <row r="47" spans="1:38" x14ac:dyDescent="0.25">
      <c r="A47" s="1">
        <v>45898</v>
      </c>
      <c r="B47" s="1">
        <v>45894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182</v>
      </c>
      <c r="J47" t="s">
        <v>183</v>
      </c>
      <c r="M47" t="s">
        <v>85</v>
      </c>
      <c r="O47" t="s">
        <v>184</v>
      </c>
      <c r="P47" t="s">
        <v>185</v>
      </c>
      <c r="Q47" t="s">
        <v>49</v>
      </c>
      <c r="R47" t="s">
        <v>65</v>
      </c>
      <c r="S47" s="1">
        <v>45890</v>
      </c>
      <c r="U47" t="s">
        <v>51</v>
      </c>
      <c r="X47" t="s">
        <v>52</v>
      </c>
      <c r="Y47" s="2">
        <v>36.65</v>
      </c>
      <c r="Z47" s="2">
        <v>36.65</v>
      </c>
      <c r="AA47">
        <v>6</v>
      </c>
      <c r="AB47" s="3">
        <v>0.375</v>
      </c>
      <c r="AC47" s="2">
        <v>82.46</v>
      </c>
      <c r="AD47" s="3">
        <v>0</v>
      </c>
      <c r="AE47" s="2">
        <v>0</v>
      </c>
      <c r="AF47" s="2">
        <v>82.46</v>
      </c>
      <c r="AK47" s="4">
        <v>19623180</v>
      </c>
      <c r="AL47" t="s">
        <v>53</v>
      </c>
    </row>
    <row r="48" spans="1:38" x14ac:dyDescent="0.25">
      <c r="A48" s="1">
        <v>45898</v>
      </c>
      <c r="B48" s="1">
        <v>45894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186</v>
      </c>
      <c r="J48" t="s">
        <v>187</v>
      </c>
      <c r="M48" t="s">
        <v>75</v>
      </c>
      <c r="O48" t="s">
        <v>158</v>
      </c>
      <c r="P48" t="s">
        <v>159</v>
      </c>
      <c r="Q48" t="s">
        <v>49</v>
      </c>
      <c r="R48" t="s">
        <v>50</v>
      </c>
      <c r="S48" s="1">
        <v>45890</v>
      </c>
      <c r="U48" t="s">
        <v>51</v>
      </c>
      <c r="X48" t="s">
        <v>52</v>
      </c>
      <c r="Y48" s="2">
        <v>56.51</v>
      </c>
      <c r="Z48" s="2">
        <v>56.51</v>
      </c>
      <c r="AA48">
        <v>6</v>
      </c>
      <c r="AB48" s="3">
        <v>0.7</v>
      </c>
      <c r="AC48" s="2">
        <v>237.34</v>
      </c>
      <c r="AD48" s="3">
        <v>0</v>
      </c>
      <c r="AE48" s="2">
        <v>0</v>
      </c>
      <c r="AF48" s="2">
        <v>237.34</v>
      </c>
      <c r="AK48" s="4">
        <v>19606410</v>
      </c>
      <c r="AL48" t="s">
        <v>53</v>
      </c>
    </row>
    <row r="49" spans="1:38" x14ac:dyDescent="0.25">
      <c r="A49" s="1">
        <v>45898</v>
      </c>
      <c r="B49" s="1">
        <v>45894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188</v>
      </c>
      <c r="J49" t="s">
        <v>189</v>
      </c>
      <c r="M49" t="s">
        <v>75</v>
      </c>
      <c r="O49" t="s">
        <v>190</v>
      </c>
      <c r="P49" t="s">
        <v>191</v>
      </c>
      <c r="Q49" t="s">
        <v>49</v>
      </c>
      <c r="R49" t="s">
        <v>50</v>
      </c>
      <c r="S49" s="1">
        <v>45891</v>
      </c>
      <c r="U49" t="s">
        <v>51</v>
      </c>
      <c r="X49" t="s">
        <v>52</v>
      </c>
      <c r="Y49" s="2">
        <v>110.16</v>
      </c>
      <c r="Z49" s="2">
        <v>110.16</v>
      </c>
      <c r="AA49">
        <v>6</v>
      </c>
      <c r="AB49" s="3">
        <v>0.7</v>
      </c>
      <c r="AC49" s="2">
        <v>462.67</v>
      </c>
      <c r="AD49" s="3">
        <v>0</v>
      </c>
      <c r="AE49" s="2">
        <v>0</v>
      </c>
      <c r="AF49" s="2">
        <v>462.67</v>
      </c>
      <c r="AK49" s="4">
        <v>19606520</v>
      </c>
      <c r="AL49" t="s">
        <v>53</v>
      </c>
    </row>
    <row r="50" spans="1:38" x14ac:dyDescent="0.25">
      <c r="A50" s="1">
        <v>45898</v>
      </c>
      <c r="B50" s="1">
        <v>45894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192</v>
      </c>
      <c r="J50" t="s">
        <v>193</v>
      </c>
      <c r="M50" t="s">
        <v>75</v>
      </c>
      <c r="O50" t="s">
        <v>194</v>
      </c>
      <c r="P50" t="s">
        <v>195</v>
      </c>
      <c r="Q50" t="s">
        <v>49</v>
      </c>
      <c r="R50" t="s">
        <v>50</v>
      </c>
      <c r="S50" s="1">
        <v>45901</v>
      </c>
      <c r="U50" t="s">
        <v>51</v>
      </c>
      <c r="X50" t="s">
        <v>52</v>
      </c>
      <c r="Y50" s="2">
        <v>118.33</v>
      </c>
      <c r="Z50" s="2">
        <v>118.33</v>
      </c>
      <c r="AA50">
        <v>6</v>
      </c>
      <c r="AB50" s="3">
        <v>0.7</v>
      </c>
      <c r="AC50" s="2">
        <v>496.99</v>
      </c>
      <c r="AD50" s="3">
        <v>0</v>
      </c>
      <c r="AE50" s="2">
        <v>0</v>
      </c>
      <c r="AF50" s="2">
        <v>496.99</v>
      </c>
      <c r="AK50" s="4">
        <v>19606600</v>
      </c>
      <c r="AL50" t="s">
        <v>53</v>
      </c>
    </row>
    <row r="51" spans="1:38" x14ac:dyDescent="0.25">
      <c r="A51" s="1">
        <v>45898</v>
      </c>
      <c r="B51" s="1">
        <v>45894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196</v>
      </c>
      <c r="J51" t="s">
        <v>197</v>
      </c>
      <c r="M51" t="s">
        <v>75</v>
      </c>
      <c r="O51" t="s">
        <v>128</v>
      </c>
      <c r="P51" t="s">
        <v>129</v>
      </c>
      <c r="Q51" t="s">
        <v>49</v>
      </c>
      <c r="R51" t="s">
        <v>89</v>
      </c>
      <c r="S51" s="1">
        <v>45901</v>
      </c>
      <c r="U51" t="s">
        <v>51</v>
      </c>
      <c r="X51" t="s">
        <v>52</v>
      </c>
      <c r="Y51" s="2">
        <v>131.32</v>
      </c>
      <c r="Z51" s="2">
        <v>131.32</v>
      </c>
      <c r="AA51">
        <v>6</v>
      </c>
      <c r="AB51" s="3">
        <v>0.38</v>
      </c>
      <c r="AC51" s="2">
        <v>299.41000000000003</v>
      </c>
      <c r="AD51" s="3">
        <v>0</v>
      </c>
      <c r="AE51" s="2">
        <v>0</v>
      </c>
      <c r="AF51" s="2">
        <v>299.41000000000003</v>
      </c>
      <c r="AK51" s="4">
        <v>19606620</v>
      </c>
      <c r="AL51" t="s">
        <v>53</v>
      </c>
    </row>
    <row r="52" spans="1:38" x14ac:dyDescent="0.25">
      <c r="A52" s="1">
        <v>45898</v>
      </c>
      <c r="B52" s="1">
        <v>45894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198</v>
      </c>
      <c r="J52" t="s">
        <v>197</v>
      </c>
      <c r="M52" t="s">
        <v>75</v>
      </c>
      <c r="O52" t="s">
        <v>128</v>
      </c>
      <c r="P52" t="s">
        <v>129</v>
      </c>
      <c r="Q52" t="s">
        <v>49</v>
      </c>
      <c r="R52" t="s">
        <v>104</v>
      </c>
      <c r="S52" s="1">
        <v>45901</v>
      </c>
      <c r="U52" t="s">
        <v>51</v>
      </c>
      <c r="X52" t="s">
        <v>52</v>
      </c>
      <c r="Y52" s="2">
        <v>7.09</v>
      </c>
      <c r="Z52" s="2">
        <v>7.09</v>
      </c>
      <c r="AA52">
        <v>6</v>
      </c>
      <c r="AB52" s="3">
        <v>0.38</v>
      </c>
      <c r="AC52" s="2">
        <v>16.170000000000002</v>
      </c>
      <c r="AD52" s="3">
        <v>0</v>
      </c>
      <c r="AE52" s="2">
        <v>0</v>
      </c>
      <c r="AF52" s="2">
        <v>16.170000000000002</v>
      </c>
      <c r="AK52" s="4">
        <v>19623940</v>
      </c>
      <c r="AL52" t="s">
        <v>53</v>
      </c>
    </row>
    <row r="53" spans="1:38" x14ac:dyDescent="0.25">
      <c r="A53" s="1">
        <v>45898</v>
      </c>
      <c r="B53" s="1">
        <v>45894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199</v>
      </c>
      <c r="J53" t="s">
        <v>197</v>
      </c>
      <c r="M53" t="s">
        <v>75</v>
      </c>
      <c r="O53" t="s">
        <v>128</v>
      </c>
      <c r="P53" t="s">
        <v>129</v>
      </c>
      <c r="Q53" t="s">
        <v>49</v>
      </c>
      <c r="R53" t="s">
        <v>65</v>
      </c>
      <c r="S53" s="1">
        <v>45901</v>
      </c>
      <c r="U53" t="s">
        <v>51</v>
      </c>
      <c r="X53" t="s">
        <v>52</v>
      </c>
      <c r="Y53" s="2">
        <v>77.48</v>
      </c>
      <c r="Z53" s="2">
        <v>77.48</v>
      </c>
      <c r="AA53">
        <v>6</v>
      </c>
      <c r="AB53" s="3">
        <v>0.375</v>
      </c>
      <c r="AC53" s="2">
        <v>174.33</v>
      </c>
      <c r="AD53" s="3">
        <v>0</v>
      </c>
      <c r="AE53" s="2">
        <v>0</v>
      </c>
      <c r="AF53" s="2">
        <v>174.33</v>
      </c>
      <c r="AK53" s="4">
        <v>19623400</v>
      </c>
      <c r="AL53" t="s">
        <v>53</v>
      </c>
    </row>
    <row r="54" spans="1:38" x14ac:dyDescent="0.25">
      <c r="A54" s="1">
        <v>45898</v>
      </c>
      <c r="B54" s="1">
        <v>45894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200</v>
      </c>
      <c r="J54" t="s">
        <v>197</v>
      </c>
      <c r="M54" t="s">
        <v>75</v>
      </c>
      <c r="O54" t="s">
        <v>128</v>
      </c>
      <c r="P54" t="s">
        <v>129</v>
      </c>
      <c r="Q54" t="s">
        <v>49</v>
      </c>
      <c r="R54" t="s">
        <v>50</v>
      </c>
      <c r="S54" s="1">
        <v>45901</v>
      </c>
      <c r="U54" t="s">
        <v>51</v>
      </c>
      <c r="X54" t="s">
        <v>52</v>
      </c>
      <c r="Y54" s="2">
        <v>59.4</v>
      </c>
      <c r="Z54" s="2">
        <v>59.4</v>
      </c>
      <c r="AA54">
        <v>6</v>
      </c>
      <c r="AB54" s="3">
        <v>0.7</v>
      </c>
      <c r="AC54" s="2">
        <v>249.48</v>
      </c>
      <c r="AD54" s="3">
        <v>0</v>
      </c>
      <c r="AE54" s="2">
        <v>0</v>
      </c>
      <c r="AF54" s="2">
        <v>249.48</v>
      </c>
      <c r="AK54" s="4">
        <v>19606630</v>
      </c>
      <c r="AL54" t="s">
        <v>53</v>
      </c>
    </row>
    <row r="55" spans="1:38" x14ac:dyDescent="0.25">
      <c r="A55" s="1">
        <v>45898</v>
      </c>
      <c r="B55" s="1">
        <v>45894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201</v>
      </c>
      <c r="J55" t="s">
        <v>197</v>
      </c>
      <c r="M55" t="s">
        <v>75</v>
      </c>
      <c r="O55" t="s">
        <v>128</v>
      </c>
      <c r="P55" t="s">
        <v>129</v>
      </c>
      <c r="Q55" t="s">
        <v>49</v>
      </c>
      <c r="R55" t="s">
        <v>106</v>
      </c>
      <c r="S55" s="1">
        <v>45901</v>
      </c>
      <c r="U55" t="s">
        <v>51</v>
      </c>
      <c r="X55" t="s">
        <v>107</v>
      </c>
      <c r="Y55" s="2">
        <v>15</v>
      </c>
      <c r="Z55" s="2">
        <v>15</v>
      </c>
      <c r="AA55">
        <v>6</v>
      </c>
      <c r="AB55" s="3">
        <v>0.38</v>
      </c>
      <c r="AC55" s="2">
        <v>34.200000000000003</v>
      </c>
      <c r="AD55" s="3">
        <v>0</v>
      </c>
      <c r="AE55" s="2">
        <v>0</v>
      </c>
      <c r="AF55" s="2">
        <v>34.200000000000003</v>
      </c>
      <c r="AK55" s="4">
        <v>19613450</v>
      </c>
      <c r="AL55" t="s">
        <v>53</v>
      </c>
    </row>
    <row r="56" spans="1:38" x14ac:dyDescent="0.25">
      <c r="A56" s="1">
        <v>45898</v>
      </c>
      <c r="B56" s="1">
        <v>45894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202</v>
      </c>
      <c r="J56" t="s">
        <v>203</v>
      </c>
      <c r="M56" t="s">
        <v>85</v>
      </c>
      <c r="O56" t="s">
        <v>86</v>
      </c>
      <c r="P56" t="s">
        <v>87</v>
      </c>
      <c r="Q56" t="s">
        <v>49</v>
      </c>
      <c r="R56" t="s">
        <v>204</v>
      </c>
      <c r="S56" s="1">
        <v>45901</v>
      </c>
      <c r="U56" t="s">
        <v>51</v>
      </c>
      <c r="X56" t="s">
        <v>52</v>
      </c>
      <c r="Y56" s="2">
        <v>104.81</v>
      </c>
      <c r="Z56" s="2">
        <v>104.81</v>
      </c>
      <c r="AA56">
        <v>6</v>
      </c>
      <c r="AB56" s="3">
        <v>0.38</v>
      </c>
      <c r="AC56" s="2">
        <v>238.97</v>
      </c>
      <c r="AD56" s="3">
        <v>0</v>
      </c>
      <c r="AE56" s="2">
        <v>0</v>
      </c>
      <c r="AF56" s="2">
        <v>238.97</v>
      </c>
      <c r="AK56" s="4">
        <v>19624520</v>
      </c>
      <c r="AL56" t="s">
        <v>53</v>
      </c>
    </row>
    <row r="57" spans="1:38" x14ac:dyDescent="0.25">
      <c r="A57" s="1">
        <v>45898</v>
      </c>
      <c r="B57" s="1">
        <v>45894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205</v>
      </c>
      <c r="J57" t="s">
        <v>203</v>
      </c>
      <c r="M57" t="s">
        <v>85</v>
      </c>
      <c r="O57" t="s">
        <v>86</v>
      </c>
      <c r="P57" t="s">
        <v>87</v>
      </c>
      <c r="Q57" t="s">
        <v>49</v>
      </c>
      <c r="R57" t="s">
        <v>206</v>
      </c>
      <c r="S57" s="1">
        <v>45901</v>
      </c>
      <c r="U57" t="s">
        <v>51</v>
      </c>
      <c r="X57" t="s">
        <v>52</v>
      </c>
      <c r="Y57" s="2">
        <v>15</v>
      </c>
      <c r="Z57" s="2">
        <v>15</v>
      </c>
      <c r="AA57">
        <v>6</v>
      </c>
      <c r="AB57" s="3">
        <v>0.38</v>
      </c>
      <c r="AC57" s="2">
        <v>34.200000000000003</v>
      </c>
      <c r="AD57" s="3">
        <v>0</v>
      </c>
      <c r="AE57" s="2">
        <v>0</v>
      </c>
      <c r="AF57" s="2">
        <v>34.200000000000003</v>
      </c>
      <c r="AK57" s="4">
        <v>19613460</v>
      </c>
      <c r="AL57" t="s">
        <v>53</v>
      </c>
    </row>
    <row r="58" spans="1:38" x14ac:dyDescent="0.25">
      <c r="A58" s="1">
        <v>45898</v>
      </c>
      <c r="B58" s="1">
        <v>45894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207</v>
      </c>
      <c r="J58" t="s">
        <v>208</v>
      </c>
      <c r="M58" t="s">
        <v>173</v>
      </c>
      <c r="O58" t="s">
        <v>47</v>
      </c>
      <c r="P58" t="s">
        <v>48</v>
      </c>
      <c r="Q58" t="s">
        <v>49</v>
      </c>
      <c r="R58" t="s">
        <v>50</v>
      </c>
      <c r="S58" s="1">
        <v>45901</v>
      </c>
      <c r="U58" t="s">
        <v>51</v>
      </c>
      <c r="X58" t="s">
        <v>52</v>
      </c>
      <c r="Y58" s="2">
        <v>69.14</v>
      </c>
      <c r="Z58" s="2">
        <v>69.14</v>
      </c>
      <c r="AA58">
        <v>6</v>
      </c>
      <c r="AB58" s="3">
        <v>0.7</v>
      </c>
      <c r="AC58" s="2">
        <v>290.39</v>
      </c>
      <c r="AD58" s="3">
        <v>0</v>
      </c>
      <c r="AE58" s="2">
        <v>0</v>
      </c>
      <c r="AF58" s="2">
        <v>290.39</v>
      </c>
      <c r="AK58" s="4">
        <v>19606720</v>
      </c>
      <c r="AL58" t="s">
        <v>53</v>
      </c>
    </row>
    <row r="59" spans="1:38" x14ac:dyDescent="0.25">
      <c r="A59" s="1">
        <v>45898</v>
      </c>
      <c r="B59" s="1">
        <v>45894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209</v>
      </c>
      <c r="J59" t="s">
        <v>208</v>
      </c>
      <c r="M59" t="s">
        <v>173</v>
      </c>
      <c r="O59" t="s">
        <v>47</v>
      </c>
      <c r="P59" t="s">
        <v>48</v>
      </c>
      <c r="Q59" t="s">
        <v>49</v>
      </c>
      <c r="R59" t="s">
        <v>170</v>
      </c>
      <c r="S59" s="1">
        <v>45901</v>
      </c>
      <c r="U59" t="s">
        <v>51</v>
      </c>
      <c r="X59" t="s">
        <v>52</v>
      </c>
      <c r="Y59" s="2">
        <v>33.58</v>
      </c>
      <c r="Z59" s="2">
        <v>33.58</v>
      </c>
      <c r="AA59">
        <v>6</v>
      </c>
      <c r="AB59" s="3">
        <v>0.75</v>
      </c>
      <c r="AC59" s="2">
        <v>151.11000000000001</v>
      </c>
      <c r="AD59" s="3">
        <v>0</v>
      </c>
      <c r="AE59" s="2">
        <v>0</v>
      </c>
      <c r="AF59" s="2">
        <v>151.11000000000001</v>
      </c>
      <c r="AK59" s="4">
        <v>19616320</v>
      </c>
      <c r="AL59" t="s">
        <v>53</v>
      </c>
    </row>
    <row r="60" spans="1:38" x14ac:dyDescent="0.25">
      <c r="A60" s="1">
        <v>45898</v>
      </c>
      <c r="B60" s="1">
        <v>45894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210</v>
      </c>
      <c r="J60" t="s">
        <v>211</v>
      </c>
      <c r="M60" t="s">
        <v>46</v>
      </c>
      <c r="O60" t="s">
        <v>47</v>
      </c>
      <c r="P60" t="s">
        <v>48</v>
      </c>
      <c r="Q60" t="s">
        <v>49</v>
      </c>
      <c r="R60" t="s">
        <v>212</v>
      </c>
      <c r="S60" s="1">
        <v>45901</v>
      </c>
      <c r="U60" t="s">
        <v>51</v>
      </c>
      <c r="X60" t="s">
        <v>52</v>
      </c>
      <c r="Y60" s="2">
        <v>52.3</v>
      </c>
      <c r="Z60" s="2">
        <v>52.3</v>
      </c>
      <c r="AA60">
        <v>6</v>
      </c>
      <c r="AB60" s="3">
        <v>0.75</v>
      </c>
      <c r="AC60" s="2">
        <v>235.35</v>
      </c>
      <c r="AD60" s="3">
        <v>0</v>
      </c>
      <c r="AE60" s="2">
        <v>0</v>
      </c>
      <c r="AF60" s="2">
        <v>235.35</v>
      </c>
      <c r="AK60" s="4">
        <v>19616320</v>
      </c>
      <c r="AL60" t="s">
        <v>53</v>
      </c>
    </row>
    <row r="61" spans="1:38" x14ac:dyDescent="0.25">
      <c r="A61" s="1">
        <v>45898</v>
      </c>
      <c r="B61" s="1">
        <v>45894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213</v>
      </c>
      <c r="J61" t="s">
        <v>211</v>
      </c>
      <c r="M61" t="s">
        <v>46</v>
      </c>
      <c r="O61" t="s">
        <v>47</v>
      </c>
      <c r="P61" t="s">
        <v>48</v>
      </c>
      <c r="Q61" t="s">
        <v>49</v>
      </c>
      <c r="R61" t="s">
        <v>50</v>
      </c>
      <c r="S61" s="1">
        <v>45901</v>
      </c>
      <c r="U61" t="s">
        <v>51</v>
      </c>
      <c r="X61" t="s">
        <v>52</v>
      </c>
      <c r="Y61" s="2">
        <v>41.75</v>
      </c>
      <c r="Z61" s="2">
        <v>41.75</v>
      </c>
      <c r="AA61">
        <v>6</v>
      </c>
      <c r="AB61" s="3">
        <v>0.7</v>
      </c>
      <c r="AC61" s="2">
        <v>175.35</v>
      </c>
      <c r="AD61" s="3">
        <v>0</v>
      </c>
      <c r="AE61" s="2">
        <v>0</v>
      </c>
      <c r="AF61" s="2">
        <v>175.35</v>
      </c>
      <c r="AK61" s="4">
        <v>19606750</v>
      </c>
      <c r="AL61" t="s">
        <v>53</v>
      </c>
    </row>
    <row r="62" spans="1:38" x14ac:dyDescent="0.25">
      <c r="A62" s="1">
        <v>45898</v>
      </c>
      <c r="B62" s="1">
        <v>45894</v>
      </c>
      <c r="C62" t="s">
        <v>214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215</v>
      </c>
      <c r="J62" t="s">
        <v>109</v>
      </c>
      <c r="M62" t="s">
        <v>110</v>
      </c>
      <c r="O62" t="s">
        <v>111</v>
      </c>
      <c r="P62" t="s">
        <v>112</v>
      </c>
      <c r="Q62" t="s">
        <v>216</v>
      </c>
      <c r="R62" t="s">
        <v>67</v>
      </c>
      <c r="S62" s="1">
        <v>45809</v>
      </c>
      <c r="U62" t="s">
        <v>51</v>
      </c>
      <c r="X62" t="s">
        <v>217</v>
      </c>
      <c r="AF62" s="2">
        <v>694.93</v>
      </c>
      <c r="AG62" s="2">
        <v>347.46</v>
      </c>
      <c r="AJ62" s="2">
        <v>347.47</v>
      </c>
    </row>
    <row r="63" spans="1:38" x14ac:dyDescent="0.25">
      <c r="A63" s="1">
        <v>45898</v>
      </c>
      <c r="B63" s="1">
        <v>45894</v>
      </c>
      <c r="C63" t="s">
        <v>214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218</v>
      </c>
      <c r="J63" t="s">
        <v>219</v>
      </c>
      <c r="M63" t="s">
        <v>56</v>
      </c>
      <c r="O63" t="s">
        <v>47</v>
      </c>
      <c r="P63" t="s">
        <v>48</v>
      </c>
      <c r="Q63" t="s">
        <v>216</v>
      </c>
      <c r="R63" t="s">
        <v>212</v>
      </c>
      <c r="S63" s="1">
        <v>45870</v>
      </c>
      <c r="U63" t="s">
        <v>51</v>
      </c>
      <c r="X63" t="s">
        <v>217</v>
      </c>
      <c r="AF63" s="2">
        <v>329.18</v>
      </c>
      <c r="AG63" s="2">
        <v>54.86</v>
      </c>
      <c r="AJ63" s="2">
        <v>274.32</v>
      </c>
    </row>
    <row r="64" spans="1:38" x14ac:dyDescent="0.25">
      <c r="A64" s="1">
        <v>45898</v>
      </c>
      <c r="B64" s="1">
        <v>45894</v>
      </c>
      <c r="C64" t="s">
        <v>214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220</v>
      </c>
      <c r="J64" t="s">
        <v>219</v>
      </c>
      <c r="M64" t="s">
        <v>56</v>
      </c>
      <c r="O64" t="s">
        <v>47</v>
      </c>
      <c r="P64" t="s">
        <v>48</v>
      </c>
      <c r="Q64" t="s">
        <v>216</v>
      </c>
      <c r="R64" t="s">
        <v>50</v>
      </c>
      <c r="S64" s="1">
        <v>45870</v>
      </c>
      <c r="U64" t="s">
        <v>51</v>
      </c>
      <c r="X64" t="s">
        <v>217</v>
      </c>
      <c r="AF64" s="2">
        <v>248.14</v>
      </c>
      <c r="AG64" s="2">
        <v>41.36</v>
      </c>
      <c r="AJ64" s="2">
        <v>206.78</v>
      </c>
    </row>
    <row r="65" spans="1:36" x14ac:dyDescent="0.25">
      <c r="A65" s="1">
        <v>45898</v>
      </c>
      <c r="B65" s="1">
        <v>45894</v>
      </c>
      <c r="C65" t="s">
        <v>214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221</v>
      </c>
      <c r="J65" t="s">
        <v>222</v>
      </c>
      <c r="M65" t="s">
        <v>46</v>
      </c>
      <c r="O65" t="s">
        <v>47</v>
      </c>
      <c r="P65" t="s">
        <v>48</v>
      </c>
      <c r="Q65" t="s">
        <v>216</v>
      </c>
      <c r="R65" t="s">
        <v>50</v>
      </c>
      <c r="S65" s="1">
        <v>45888</v>
      </c>
      <c r="U65" t="s">
        <v>51</v>
      </c>
      <c r="X65" t="s">
        <v>217</v>
      </c>
      <c r="AF65" s="2">
        <v>328.57</v>
      </c>
      <c r="AG65" s="2">
        <v>54.76</v>
      </c>
      <c r="AJ65" s="2">
        <v>273.81</v>
      </c>
    </row>
    <row r="66" spans="1:36" x14ac:dyDescent="0.25">
      <c r="A66" s="1">
        <v>45898</v>
      </c>
      <c r="B66" s="1">
        <v>45894</v>
      </c>
      <c r="C66" t="s">
        <v>214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223</v>
      </c>
      <c r="J66" t="s">
        <v>222</v>
      </c>
      <c r="M66" t="s">
        <v>46</v>
      </c>
      <c r="O66" t="s">
        <v>47</v>
      </c>
      <c r="P66" t="s">
        <v>48</v>
      </c>
      <c r="Q66" t="s">
        <v>216</v>
      </c>
      <c r="R66" t="s">
        <v>212</v>
      </c>
      <c r="S66" s="1">
        <v>45888</v>
      </c>
      <c r="U66" t="s">
        <v>51</v>
      </c>
      <c r="X66" t="s">
        <v>217</v>
      </c>
      <c r="AF66" s="2">
        <v>198.27</v>
      </c>
      <c r="AG66" s="2">
        <v>33.04</v>
      </c>
      <c r="AJ66" s="2">
        <v>165.23</v>
      </c>
    </row>
    <row r="67" spans="1:36" x14ac:dyDescent="0.25">
      <c r="A67" s="1">
        <v>45898</v>
      </c>
      <c r="B67" s="1">
        <v>45894</v>
      </c>
      <c r="C67" t="s">
        <v>214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224</v>
      </c>
      <c r="J67" t="s">
        <v>222</v>
      </c>
      <c r="M67" t="s">
        <v>46</v>
      </c>
      <c r="O67" t="s">
        <v>47</v>
      </c>
      <c r="P67" t="s">
        <v>48</v>
      </c>
      <c r="Q67" t="s">
        <v>216</v>
      </c>
      <c r="R67" t="s">
        <v>65</v>
      </c>
      <c r="S67" s="1">
        <v>45888</v>
      </c>
      <c r="U67" t="s">
        <v>51</v>
      </c>
      <c r="X67" t="s">
        <v>217</v>
      </c>
      <c r="AF67" s="2">
        <v>78.5</v>
      </c>
      <c r="AG67" s="2">
        <v>13.08</v>
      </c>
      <c r="AJ67" s="2">
        <v>65.42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E447-E0F9-45CA-B81F-63F6AEF33EDE}">
  <dimension ref="A1:Y20"/>
  <sheetViews>
    <sheetView tabSelected="1" workbookViewId="0">
      <selection activeCell="A9" sqref="A9"/>
    </sheetView>
  </sheetViews>
  <sheetFormatPr defaultRowHeight="15" x14ac:dyDescent="0.25"/>
  <cols>
    <col min="1" max="1" width="14" bestFit="1" customWidth="1"/>
    <col min="2" max="2" width="29.28515625" bestFit="1" customWidth="1"/>
    <col min="3" max="3" width="8.140625" bestFit="1" customWidth="1"/>
    <col min="4" max="4" width="4.140625" bestFit="1" customWidth="1"/>
    <col min="5" max="5" width="5.28515625" bestFit="1" customWidth="1"/>
    <col min="6" max="6" width="8.5703125" bestFit="1" customWidth="1"/>
    <col min="7" max="7" width="15" bestFit="1" customWidth="1"/>
    <col min="8" max="8" width="22.28515625" bestFit="1" customWidth="1"/>
    <col min="9" max="9" width="12.5703125" bestFit="1" customWidth="1"/>
    <col min="10" max="10" width="42.42578125" bestFit="1" customWidth="1"/>
    <col min="11" max="11" width="10.140625" bestFit="1" customWidth="1"/>
    <col min="12" max="12" width="17.85546875" bestFit="1" customWidth="1"/>
    <col min="13" max="13" width="16.140625" bestFit="1" customWidth="1"/>
    <col min="14" max="14" width="16.7109375" bestFit="1" customWidth="1"/>
    <col min="15" max="15" width="16.5703125" bestFit="1" customWidth="1"/>
    <col min="16" max="16" width="18" bestFit="1" customWidth="1"/>
    <col min="17" max="17" width="11.5703125" bestFit="1" customWidth="1"/>
    <col min="18" max="18" width="14.7109375" bestFit="1" customWidth="1"/>
    <col min="19" max="19" width="9.5703125" bestFit="1" customWidth="1"/>
    <col min="20" max="20" width="12.7109375" bestFit="1" customWidth="1"/>
    <col min="21" max="21" width="19" bestFit="1" customWidth="1"/>
    <col min="22" max="22" width="18" bestFit="1" customWidth="1"/>
    <col min="23" max="23" width="11.42578125" bestFit="1" customWidth="1"/>
    <col min="24" max="24" width="14" bestFit="1" customWidth="1"/>
    <col min="25" max="25" width="16.28515625" bestFit="1" customWidth="1"/>
  </cols>
  <sheetData>
    <row r="1" spans="1:2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 x14ac:dyDescent="0.25">
      <c r="A2">
        <v>2030621734</v>
      </c>
      <c r="B2" t="s">
        <v>193</v>
      </c>
      <c r="E2" t="s">
        <v>75</v>
      </c>
      <c r="G2" t="s">
        <v>229</v>
      </c>
      <c r="H2" t="s">
        <v>195</v>
      </c>
      <c r="I2" t="s">
        <v>49</v>
      </c>
      <c r="J2" t="s">
        <v>50</v>
      </c>
      <c r="K2" s="1">
        <v>45901</v>
      </c>
      <c r="L2" s="2">
        <v>118.33</v>
      </c>
      <c r="M2" s="2">
        <v>118.33</v>
      </c>
      <c r="N2">
        <v>6</v>
      </c>
      <c r="O2" s="3">
        <v>0.7</v>
      </c>
      <c r="P2" s="2">
        <v>496.99</v>
      </c>
      <c r="Q2" s="3">
        <v>0</v>
      </c>
      <c r="R2" s="2">
        <v>0</v>
      </c>
      <c r="S2" s="2">
        <v>496.99</v>
      </c>
      <c r="T2" s="2">
        <f>SUM(S2/6)</f>
        <v>82.831666666666663</v>
      </c>
      <c r="X2" s="4">
        <v>19606600</v>
      </c>
      <c r="Y2" t="s">
        <v>53</v>
      </c>
    </row>
    <row r="3" spans="1:25" x14ac:dyDescent="0.25">
      <c r="A3">
        <v>2030601614</v>
      </c>
      <c r="B3" t="s">
        <v>225</v>
      </c>
      <c r="E3" t="s">
        <v>75</v>
      </c>
      <c r="G3" t="s">
        <v>230</v>
      </c>
      <c r="H3" t="s">
        <v>139</v>
      </c>
      <c r="I3" t="s">
        <v>49</v>
      </c>
      <c r="J3" t="s">
        <v>65</v>
      </c>
      <c r="K3" s="1">
        <v>45891</v>
      </c>
      <c r="L3" s="2">
        <v>63.37</v>
      </c>
      <c r="M3" s="2">
        <v>63.37</v>
      </c>
      <c r="N3">
        <v>6</v>
      </c>
      <c r="O3" s="3">
        <v>0.375</v>
      </c>
      <c r="P3" s="2">
        <v>142.58000000000001</v>
      </c>
      <c r="Q3" s="3">
        <v>0</v>
      </c>
      <c r="R3" s="2">
        <v>0</v>
      </c>
      <c r="S3" s="2">
        <v>142.58000000000001</v>
      </c>
      <c r="T3" s="2">
        <f t="shared" ref="T3:T20" si="0">SUM(S3/6)</f>
        <v>23.763333333333335</v>
      </c>
      <c r="X3" s="4">
        <v>19623180</v>
      </c>
      <c r="Y3" t="s">
        <v>53</v>
      </c>
    </row>
    <row r="4" spans="1:25" x14ac:dyDescent="0.25">
      <c r="A4">
        <v>2030581492</v>
      </c>
      <c r="B4" t="s">
        <v>137</v>
      </c>
      <c r="E4" t="s">
        <v>75</v>
      </c>
      <c r="G4" t="s">
        <v>230</v>
      </c>
      <c r="H4" t="s">
        <v>139</v>
      </c>
      <c r="I4" t="s">
        <v>49</v>
      </c>
      <c r="J4" t="s">
        <v>50</v>
      </c>
      <c r="K4" s="1">
        <v>45890</v>
      </c>
      <c r="L4" s="2">
        <v>204.04</v>
      </c>
      <c r="M4" s="2">
        <v>204.04</v>
      </c>
      <c r="N4">
        <v>6</v>
      </c>
      <c r="O4" s="3">
        <v>0.7</v>
      </c>
      <c r="P4" s="2">
        <v>856.97</v>
      </c>
      <c r="Q4" s="3">
        <v>0</v>
      </c>
      <c r="R4" s="2">
        <v>0</v>
      </c>
      <c r="S4" s="2">
        <v>856.97</v>
      </c>
      <c r="T4" s="2">
        <f t="shared" si="0"/>
        <v>142.82833333333335</v>
      </c>
      <c r="X4" s="4">
        <v>19606230</v>
      </c>
      <c r="Y4" t="s">
        <v>53</v>
      </c>
    </row>
    <row r="5" spans="1:25" x14ac:dyDescent="0.25">
      <c r="A5">
        <v>2030598136</v>
      </c>
      <c r="B5" t="s">
        <v>166</v>
      </c>
      <c r="E5" t="s">
        <v>167</v>
      </c>
      <c r="G5" t="s">
        <v>231</v>
      </c>
      <c r="H5" t="s">
        <v>169</v>
      </c>
      <c r="I5" t="s">
        <v>49</v>
      </c>
      <c r="J5" t="s">
        <v>227</v>
      </c>
      <c r="K5" s="1">
        <v>45931</v>
      </c>
      <c r="L5" s="2">
        <v>39.880000000000003</v>
      </c>
      <c r="M5" s="2">
        <v>39.880000000000003</v>
      </c>
      <c r="N5">
        <v>6</v>
      </c>
      <c r="O5" s="3">
        <v>0.75</v>
      </c>
      <c r="P5" s="2">
        <v>179.46</v>
      </c>
      <c r="Q5" s="3">
        <v>0</v>
      </c>
      <c r="R5" s="2">
        <v>0</v>
      </c>
      <c r="S5" s="2">
        <v>179.46</v>
      </c>
      <c r="T5" s="2">
        <f t="shared" si="0"/>
        <v>29.91</v>
      </c>
      <c r="X5" s="4">
        <v>19616230</v>
      </c>
      <c r="Y5" t="s">
        <v>53</v>
      </c>
    </row>
    <row r="6" spans="1:25" x14ac:dyDescent="0.25">
      <c r="A6">
        <v>2030571499</v>
      </c>
      <c r="B6" t="s">
        <v>122</v>
      </c>
      <c r="E6" t="s">
        <v>75</v>
      </c>
      <c r="G6" t="s">
        <v>232</v>
      </c>
      <c r="H6" t="s">
        <v>124</v>
      </c>
      <c r="I6" t="s">
        <v>49</v>
      </c>
      <c r="J6" t="s">
        <v>65</v>
      </c>
      <c r="K6" s="1">
        <v>45894</v>
      </c>
      <c r="L6" s="2">
        <v>77.48</v>
      </c>
      <c r="M6" s="2">
        <v>77.48</v>
      </c>
      <c r="N6">
        <v>6</v>
      </c>
      <c r="O6" s="3">
        <v>0.375</v>
      </c>
      <c r="P6" s="2">
        <v>174.33</v>
      </c>
      <c r="Q6" s="3">
        <v>0</v>
      </c>
      <c r="R6" s="2">
        <v>0</v>
      </c>
      <c r="S6" s="2">
        <v>174.33</v>
      </c>
      <c r="T6" s="2">
        <f t="shared" si="0"/>
        <v>29.055000000000003</v>
      </c>
      <c r="X6" s="4">
        <v>19622840</v>
      </c>
      <c r="Y6" t="s">
        <v>53</v>
      </c>
    </row>
    <row r="7" spans="1:25" x14ac:dyDescent="0.25">
      <c r="A7">
        <v>2030571498</v>
      </c>
      <c r="B7" t="s">
        <v>122</v>
      </c>
      <c r="E7" t="s">
        <v>75</v>
      </c>
      <c r="G7" t="s">
        <v>232</v>
      </c>
      <c r="H7" t="s">
        <v>124</v>
      </c>
      <c r="I7" t="s">
        <v>49</v>
      </c>
      <c r="J7" t="s">
        <v>50</v>
      </c>
      <c r="K7" s="1">
        <v>45894</v>
      </c>
      <c r="L7" s="2">
        <v>27.5</v>
      </c>
      <c r="M7" s="2">
        <v>27.5</v>
      </c>
      <c r="N7">
        <v>6</v>
      </c>
      <c r="O7" s="3">
        <v>0.7</v>
      </c>
      <c r="P7" s="2">
        <v>115.5</v>
      </c>
      <c r="Q7" s="3">
        <v>0</v>
      </c>
      <c r="R7" s="2">
        <v>0</v>
      </c>
      <c r="S7" s="2">
        <v>115.5</v>
      </c>
      <c r="T7" s="2">
        <f t="shared" si="0"/>
        <v>19.25</v>
      </c>
      <c r="X7" s="4">
        <v>19606140</v>
      </c>
      <c r="Y7" t="s">
        <v>53</v>
      </c>
    </row>
    <row r="8" spans="1:25" x14ac:dyDescent="0.25">
      <c r="A8">
        <v>2030552139</v>
      </c>
      <c r="B8" t="s">
        <v>93</v>
      </c>
      <c r="E8" t="s">
        <v>70</v>
      </c>
      <c r="G8" t="s">
        <v>233</v>
      </c>
      <c r="H8" t="s">
        <v>72</v>
      </c>
      <c r="I8" t="s">
        <v>49</v>
      </c>
      <c r="J8" t="s">
        <v>65</v>
      </c>
      <c r="K8" s="1">
        <v>45901</v>
      </c>
      <c r="L8" s="2">
        <v>54.54</v>
      </c>
      <c r="M8" s="2">
        <v>54.54</v>
      </c>
      <c r="N8">
        <v>6</v>
      </c>
      <c r="O8" s="3">
        <v>0.375</v>
      </c>
      <c r="P8" s="2">
        <v>122.72</v>
      </c>
      <c r="Q8" s="3">
        <v>0</v>
      </c>
      <c r="R8" s="2">
        <v>0</v>
      </c>
      <c r="S8" s="2">
        <v>122.72</v>
      </c>
      <c r="T8" s="2">
        <f t="shared" si="0"/>
        <v>20.453333333333333</v>
      </c>
      <c r="X8" s="4">
        <v>19622690</v>
      </c>
      <c r="Y8" t="s">
        <v>53</v>
      </c>
    </row>
    <row r="9" spans="1:25" x14ac:dyDescent="0.25">
      <c r="A9">
        <v>2030490467</v>
      </c>
      <c r="B9" t="s">
        <v>69</v>
      </c>
      <c r="E9" t="s">
        <v>70</v>
      </c>
      <c r="G9" t="s">
        <v>233</v>
      </c>
      <c r="H9" t="s">
        <v>72</v>
      </c>
      <c r="I9" t="s">
        <v>49</v>
      </c>
      <c r="J9" t="s">
        <v>50</v>
      </c>
      <c r="K9" s="1">
        <v>45901</v>
      </c>
      <c r="L9" s="2">
        <v>65.819999999999993</v>
      </c>
      <c r="M9" s="2">
        <v>65.819999999999993</v>
      </c>
      <c r="N9">
        <v>6</v>
      </c>
      <c r="O9" s="3">
        <v>0.7</v>
      </c>
      <c r="P9" s="2">
        <v>276.44</v>
      </c>
      <c r="Q9" s="3">
        <v>0</v>
      </c>
      <c r="R9" s="2">
        <v>0</v>
      </c>
      <c r="S9" s="2">
        <v>276.44</v>
      </c>
      <c r="T9" s="2">
        <f t="shared" si="0"/>
        <v>46.073333333333331</v>
      </c>
      <c r="X9" s="4">
        <v>19605930</v>
      </c>
      <c r="Y9" t="s">
        <v>53</v>
      </c>
    </row>
    <row r="10" spans="1:25" x14ac:dyDescent="0.25">
      <c r="A10">
        <v>2030552136</v>
      </c>
      <c r="B10" t="s">
        <v>93</v>
      </c>
      <c r="E10" t="s">
        <v>70</v>
      </c>
      <c r="G10" t="s">
        <v>233</v>
      </c>
      <c r="H10" t="s">
        <v>72</v>
      </c>
      <c r="I10" t="s">
        <v>49</v>
      </c>
      <c r="J10" t="s">
        <v>50</v>
      </c>
      <c r="K10" s="1">
        <v>45901</v>
      </c>
      <c r="L10" s="2">
        <v>65.48</v>
      </c>
      <c r="M10" s="2">
        <v>65.48</v>
      </c>
      <c r="N10">
        <v>6</v>
      </c>
      <c r="O10" s="3">
        <v>0.7</v>
      </c>
      <c r="P10" s="2">
        <v>275.02</v>
      </c>
      <c r="Q10" s="3">
        <v>0</v>
      </c>
      <c r="R10" s="2">
        <v>0</v>
      </c>
      <c r="S10" s="2">
        <v>275.02</v>
      </c>
      <c r="T10" s="2">
        <f t="shared" si="0"/>
        <v>45.836666666666666</v>
      </c>
      <c r="X10" s="4">
        <v>19606010</v>
      </c>
      <c r="Y10" t="s">
        <v>53</v>
      </c>
    </row>
    <row r="11" spans="1:25" x14ac:dyDescent="0.25">
      <c r="A11">
        <v>2030552138</v>
      </c>
      <c r="B11" t="s">
        <v>93</v>
      </c>
      <c r="E11" t="s">
        <v>70</v>
      </c>
      <c r="G11" t="s">
        <v>233</v>
      </c>
      <c r="H11" t="s">
        <v>72</v>
      </c>
      <c r="I11" t="s">
        <v>49</v>
      </c>
      <c r="J11" t="s">
        <v>227</v>
      </c>
      <c r="K11" s="1">
        <v>45901</v>
      </c>
      <c r="L11" s="2">
        <v>20.6</v>
      </c>
      <c r="M11" s="2">
        <v>20.6</v>
      </c>
      <c r="N11">
        <v>6</v>
      </c>
      <c r="O11" s="3">
        <v>0.75</v>
      </c>
      <c r="P11" s="2">
        <v>92.7</v>
      </c>
      <c r="Q11" s="3">
        <v>0</v>
      </c>
      <c r="R11" s="2">
        <v>0</v>
      </c>
      <c r="S11" s="2">
        <v>92.7</v>
      </c>
      <c r="T11" s="2">
        <f t="shared" si="0"/>
        <v>15.450000000000001</v>
      </c>
      <c r="X11" s="4">
        <v>19616120</v>
      </c>
      <c r="Y11" t="s">
        <v>53</v>
      </c>
    </row>
    <row r="12" spans="1:25" x14ac:dyDescent="0.25">
      <c r="A12">
        <v>2030552137</v>
      </c>
      <c r="B12" t="s">
        <v>93</v>
      </c>
      <c r="E12" t="s">
        <v>70</v>
      </c>
      <c r="G12" t="s">
        <v>233</v>
      </c>
      <c r="H12" t="s">
        <v>72</v>
      </c>
      <c r="I12" t="s">
        <v>49</v>
      </c>
      <c r="J12" t="s">
        <v>228</v>
      </c>
      <c r="K12" s="1">
        <v>45901</v>
      </c>
      <c r="L12" s="2">
        <v>16.63</v>
      </c>
      <c r="M12" s="2">
        <v>16.63</v>
      </c>
      <c r="N12">
        <v>6</v>
      </c>
      <c r="O12" s="3">
        <v>0.9</v>
      </c>
      <c r="P12" s="2">
        <v>89.8</v>
      </c>
      <c r="Q12" s="3">
        <v>0</v>
      </c>
      <c r="R12" s="2">
        <v>0</v>
      </c>
      <c r="S12" s="2">
        <v>89.8</v>
      </c>
      <c r="T12" s="2">
        <f t="shared" si="0"/>
        <v>14.966666666666667</v>
      </c>
      <c r="X12" s="4">
        <v>19626650</v>
      </c>
      <c r="Y12" t="s">
        <v>53</v>
      </c>
    </row>
    <row r="13" spans="1:25" x14ac:dyDescent="0.25">
      <c r="A13">
        <v>2030594253</v>
      </c>
      <c r="B13" t="s">
        <v>157</v>
      </c>
      <c r="E13" t="s">
        <v>75</v>
      </c>
      <c r="G13" t="s">
        <v>234</v>
      </c>
      <c r="H13" t="s">
        <v>159</v>
      </c>
      <c r="I13" t="s">
        <v>49</v>
      </c>
      <c r="J13" t="s">
        <v>50</v>
      </c>
      <c r="K13" s="1">
        <v>45890</v>
      </c>
      <c r="L13" s="2">
        <v>58.24</v>
      </c>
      <c r="M13" s="2">
        <v>58.24</v>
      </c>
      <c r="N13">
        <v>6</v>
      </c>
      <c r="O13" s="3">
        <v>0.7</v>
      </c>
      <c r="P13" s="2">
        <v>244.61</v>
      </c>
      <c r="Q13" s="3">
        <v>0</v>
      </c>
      <c r="R13" s="2">
        <v>0</v>
      </c>
      <c r="S13" s="2">
        <v>244.61</v>
      </c>
      <c r="T13" s="2">
        <f t="shared" si="0"/>
        <v>40.768333333333338</v>
      </c>
      <c r="X13" s="4">
        <v>19606330</v>
      </c>
      <c r="Y13" t="s">
        <v>53</v>
      </c>
    </row>
    <row r="14" spans="1:25" x14ac:dyDescent="0.25">
      <c r="A14">
        <v>2030602566</v>
      </c>
      <c r="B14" t="s">
        <v>187</v>
      </c>
      <c r="E14" t="s">
        <v>75</v>
      </c>
      <c r="G14" t="s">
        <v>234</v>
      </c>
      <c r="H14" t="s">
        <v>159</v>
      </c>
      <c r="I14" t="s">
        <v>49</v>
      </c>
      <c r="J14" t="s">
        <v>50</v>
      </c>
      <c r="K14" s="1">
        <v>45890</v>
      </c>
      <c r="L14" s="2">
        <v>56.51</v>
      </c>
      <c r="M14" s="2">
        <v>56.51</v>
      </c>
      <c r="N14">
        <v>6</v>
      </c>
      <c r="O14" s="3">
        <v>0.7</v>
      </c>
      <c r="P14" s="2">
        <v>237.34</v>
      </c>
      <c r="Q14" s="3">
        <v>0</v>
      </c>
      <c r="R14" s="2">
        <v>0</v>
      </c>
      <c r="S14" s="2">
        <v>237.34</v>
      </c>
      <c r="T14" s="2">
        <f t="shared" si="0"/>
        <v>39.556666666666665</v>
      </c>
      <c r="X14" s="4">
        <v>19606410</v>
      </c>
      <c r="Y14" t="s">
        <v>53</v>
      </c>
    </row>
    <row r="15" spans="1:25" x14ac:dyDescent="0.25">
      <c r="A15">
        <v>2030601875</v>
      </c>
      <c r="B15" t="s">
        <v>183</v>
      </c>
      <c r="E15" t="s">
        <v>85</v>
      </c>
      <c r="G15" t="s">
        <v>235</v>
      </c>
      <c r="H15" t="s">
        <v>185</v>
      </c>
      <c r="I15" t="s">
        <v>49</v>
      </c>
      <c r="J15" t="s">
        <v>65</v>
      </c>
      <c r="K15" s="1">
        <v>45890</v>
      </c>
      <c r="L15" s="2">
        <v>36.65</v>
      </c>
      <c r="M15" s="2">
        <v>36.65</v>
      </c>
      <c r="N15">
        <v>6</v>
      </c>
      <c r="O15" s="3">
        <v>0.375</v>
      </c>
      <c r="P15" s="2">
        <v>82.46</v>
      </c>
      <c r="Q15" s="3">
        <v>0</v>
      </c>
      <c r="R15" s="2">
        <v>0</v>
      </c>
      <c r="S15" s="2">
        <v>82.46</v>
      </c>
      <c r="T15" s="2">
        <f t="shared" si="0"/>
        <v>13.743333333333332</v>
      </c>
      <c r="X15" s="4">
        <v>19623180</v>
      </c>
      <c r="Y15" t="s">
        <v>53</v>
      </c>
    </row>
    <row r="16" spans="1:25" x14ac:dyDescent="0.25">
      <c r="A16">
        <v>2030461446</v>
      </c>
      <c r="B16" t="s">
        <v>61</v>
      </c>
      <c r="E16" t="s">
        <v>62</v>
      </c>
      <c r="G16" t="s">
        <v>236</v>
      </c>
      <c r="H16" t="s">
        <v>64</v>
      </c>
      <c r="I16" t="s">
        <v>49</v>
      </c>
      <c r="J16" t="s">
        <v>65</v>
      </c>
      <c r="K16" s="1">
        <v>45892</v>
      </c>
      <c r="L16" s="2">
        <v>79.27</v>
      </c>
      <c r="M16" s="2">
        <v>79.27</v>
      </c>
      <c r="N16">
        <v>6</v>
      </c>
      <c r="O16" s="3">
        <v>0.375</v>
      </c>
      <c r="P16" s="2">
        <v>178.36</v>
      </c>
      <c r="Q16" s="3">
        <v>0</v>
      </c>
      <c r="R16" s="2">
        <v>0</v>
      </c>
      <c r="S16" s="2">
        <v>178.36</v>
      </c>
      <c r="T16" s="2">
        <f t="shared" si="0"/>
        <v>29.72666666666667</v>
      </c>
      <c r="X16" s="4">
        <v>19622580</v>
      </c>
      <c r="Y16" t="s">
        <v>53</v>
      </c>
    </row>
    <row r="17" spans="1:25" x14ac:dyDescent="0.25">
      <c r="A17">
        <v>2030590884</v>
      </c>
      <c r="B17" t="s">
        <v>147</v>
      </c>
      <c r="E17" t="s">
        <v>148</v>
      </c>
      <c r="G17" t="s">
        <v>236</v>
      </c>
      <c r="H17" t="s">
        <v>64</v>
      </c>
      <c r="I17" t="s">
        <v>49</v>
      </c>
      <c r="J17" t="s">
        <v>65</v>
      </c>
      <c r="K17" s="1">
        <v>45890</v>
      </c>
      <c r="L17" s="2">
        <v>17.37</v>
      </c>
      <c r="M17" s="2">
        <v>17.37</v>
      </c>
      <c r="N17">
        <v>6</v>
      </c>
      <c r="O17" s="3">
        <v>0.375</v>
      </c>
      <c r="P17" s="2">
        <v>39.08</v>
      </c>
      <c r="Q17" s="3">
        <v>0</v>
      </c>
      <c r="R17" s="2">
        <v>0</v>
      </c>
      <c r="S17" s="2">
        <v>39.08</v>
      </c>
      <c r="T17" s="2">
        <f t="shared" si="0"/>
        <v>6.5133333333333328</v>
      </c>
      <c r="X17" s="4">
        <v>19623030</v>
      </c>
      <c r="Y17" t="s">
        <v>53</v>
      </c>
    </row>
    <row r="18" spans="1:25" x14ac:dyDescent="0.25">
      <c r="A18">
        <v>2030461447</v>
      </c>
      <c r="B18" t="s">
        <v>61</v>
      </c>
      <c r="E18" t="s">
        <v>62</v>
      </c>
      <c r="G18" t="s">
        <v>236</v>
      </c>
      <c r="H18" t="s">
        <v>64</v>
      </c>
      <c r="I18" t="s">
        <v>49</v>
      </c>
      <c r="J18" t="s">
        <v>228</v>
      </c>
      <c r="K18" s="1">
        <v>45892</v>
      </c>
      <c r="L18" s="2">
        <v>51.25</v>
      </c>
      <c r="M18" s="2">
        <v>51.25</v>
      </c>
      <c r="N18">
        <v>6</v>
      </c>
      <c r="O18" s="3">
        <v>0.9</v>
      </c>
      <c r="P18" s="2">
        <v>276.75</v>
      </c>
      <c r="Q18" s="3">
        <v>0</v>
      </c>
      <c r="R18" s="2">
        <v>0</v>
      </c>
      <c r="S18" s="2">
        <v>276.75</v>
      </c>
      <c r="T18" s="2">
        <f t="shared" si="0"/>
        <v>46.125</v>
      </c>
      <c r="X18" s="4">
        <v>19626630</v>
      </c>
      <c r="Y18" t="s">
        <v>53</v>
      </c>
    </row>
    <row r="19" spans="1:25" x14ac:dyDescent="0.25">
      <c r="A19">
        <v>2030600737</v>
      </c>
      <c r="B19" t="s">
        <v>172</v>
      </c>
      <c r="E19" t="s">
        <v>173</v>
      </c>
      <c r="G19" t="s">
        <v>237</v>
      </c>
      <c r="H19" t="s">
        <v>175</v>
      </c>
      <c r="I19" t="s">
        <v>49</v>
      </c>
      <c r="J19" t="s">
        <v>176</v>
      </c>
      <c r="K19" s="1">
        <v>45894</v>
      </c>
      <c r="L19" s="2">
        <v>89.62</v>
      </c>
      <c r="M19" s="2">
        <v>89.62</v>
      </c>
      <c r="N19">
        <v>3</v>
      </c>
      <c r="O19" s="3">
        <v>0.28999999999999998</v>
      </c>
      <c r="P19" s="2">
        <v>77.97</v>
      </c>
      <c r="Q19" s="3">
        <v>0</v>
      </c>
      <c r="R19" s="2">
        <v>0</v>
      </c>
      <c r="S19" s="2">
        <v>77.97</v>
      </c>
      <c r="T19" s="2">
        <f t="shared" si="0"/>
        <v>12.994999999999999</v>
      </c>
      <c r="X19" s="4">
        <v>19629550</v>
      </c>
      <c r="Y19" t="s">
        <v>53</v>
      </c>
    </row>
    <row r="20" spans="1:25" x14ac:dyDescent="0.25">
      <c r="A20">
        <v>2030600738</v>
      </c>
      <c r="B20" t="s">
        <v>172</v>
      </c>
      <c r="E20" t="s">
        <v>173</v>
      </c>
      <c r="G20" t="s">
        <v>237</v>
      </c>
      <c r="H20" t="s">
        <v>175</v>
      </c>
      <c r="I20" t="s">
        <v>49</v>
      </c>
      <c r="J20" t="s">
        <v>226</v>
      </c>
      <c r="K20" s="1">
        <v>45894</v>
      </c>
      <c r="L20" s="2">
        <v>15</v>
      </c>
      <c r="M20" s="2">
        <v>15</v>
      </c>
      <c r="N20">
        <v>3</v>
      </c>
      <c r="O20" s="3">
        <v>0.28999999999999998</v>
      </c>
      <c r="P20" s="2">
        <v>13.05</v>
      </c>
      <c r="Q20" s="3">
        <v>0</v>
      </c>
      <c r="R20" s="2">
        <v>0</v>
      </c>
      <c r="S20" s="2">
        <v>13.05</v>
      </c>
      <c r="T20" s="2">
        <f t="shared" si="0"/>
        <v>2.1750000000000003</v>
      </c>
      <c r="X20" s="4">
        <v>19613340</v>
      </c>
      <c r="Y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649163__Newbusiness_NEW_BUSINES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2025-09-02T14:29:46Z</dcterms:created>
  <dcterms:modified xsi:type="dcterms:W3CDTF">2025-09-04T03:50:27Z</dcterms:modified>
</cp:coreProperties>
</file>