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11-25-24\"/>
    </mc:Choice>
  </mc:AlternateContent>
  <xr:revisionPtr revIDLastSave="0" documentId="13_ncr:1_{A0880DF1-C024-4604-AD6E-110AB830F46C}" xr6:coauthVersionLast="47" xr6:coauthVersionMax="47" xr10:uidLastSave="{00000000-0000-0000-0000-000000000000}"/>
  <bookViews>
    <workbookView xWindow="-57720" yWindow="-45" windowWidth="29040" windowHeight="15720" firstSheet="1" activeTab="1" xr2:uid="{6A7DEAF7-C8B6-40E9-9506-D85896D396E2}"/>
  </bookViews>
  <sheets>
    <sheet name="649163__Newbusiness_NEW_BUSINE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" i="3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2" i="2"/>
</calcChain>
</file>

<file path=xl/sharedStrings.xml><?xml version="1.0" encoding="utf-8"?>
<sst xmlns="http://schemas.openxmlformats.org/spreadsheetml/2006/main" count="1308" uniqueCount="108">
  <si>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</si>
  <si>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</si>
  <si>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</si>
  <si>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</si>
  <si>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</si>
  <si>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</si>
  <si>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</si>
  <si>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</si>
  <si>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</si>
  <si>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</si>
  <si>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</si>
  <si>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</si>
  <si>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</si>
  <si>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</si>
  <si>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</si>
  <si>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</si>
  <si>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</si>
  <si>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</si>
  <si>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</si>
  <si>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</si>
  <si>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</si>
  <si>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</si>
  <si>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</si>
  <si>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</si>
  <si>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</si>
  <si>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</si>
  <si>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</si>
  <si>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</si>
  <si>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</si>
  <si>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</si>
  <si>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</si>
  <si>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</si>
  <si>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</si>
  <si>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</si>
  <si>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</si>
  <si>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</si>
  <si>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</si>
  <si>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</si>
  <si>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</si>
  <si>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</si>
  <si>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</si>
  <si>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JASON HOFFMANN</t>
  </si>
  <si>
    <t>SUSAN CONDITT</t>
  </si>
  <si>
    <t>TX</t>
  </si>
  <si>
    <t>RYAN CALTAGIRONE</t>
  </si>
  <si>
    <t>Active</t>
  </si>
  <si>
    <t>Accident Fixed Benefit</t>
  </si>
  <si>
    <t>Monthly</t>
  </si>
  <si>
    <t>AV</t>
  </si>
  <si>
    <t>Plan Enhancer 20214</t>
  </si>
  <si>
    <t>DONNA VICK</t>
  </si>
  <si>
    <t>THOMAS PARDUE</t>
  </si>
  <si>
    <t>NICOLE KRAUSE</t>
  </si>
  <si>
    <t>PA</t>
  </si>
  <si>
    <t>CAROL FOLEY</t>
  </si>
  <si>
    <t>NHIC LM 2021 Hospital Expense Protection U65</t>
  </si>
  <si>
    <t>TrioMED Accident and CI 14939</t>
  </si>
  <si>
    <t>CONRAD SIMO</t>
  </si>
  <si>
    <t>OK</t>
  </si>
  <si>
    <t>SELECT DENTAL 29304</t>
  </si>
  <si>
    <t>Critical Illness w/ Term Life 21677</t>
  </si>
  <si>
    <t>FRANCISCA SIMO</t>
  </si>
  <si>
    <t>Term Life 21673</t>
  </si>
  <si>
    <t>MERIWTHER HARDIE</t>
  </si>
  <si>
    <t>CO</t>
  </si>
  <si>
    <t>WILLIAM GESKE</t>
  </si>
  <si>
    <t>RICHARD JARVIS</t>
  </si>
  <si>
    <t>FL</t>
  </si>
  <si>
    <t>Cancer and Heart/Stroke 20231 CO-FL-MN-MI</t>
  </si>
  <si>
    <t>CORBIN CORNELL</t>
  </si>
  <si>
    <t>LINNEA CORNELL</t>
  </si>
  <si>
    <t>ATHENA SHRECK</t>
  </si>
  <si>
    <t>AZ</t>
  </si>
  <si>
    <t>ADAM ROBINSON</t>
  </si>
  <si>
    <t>IL</t>
  </si>
  <si>
    <t>BRIAN STROHMAN</t>
  </si>
  <si>
    <t>ARIUNTUUL NYAMAA</t>
  </si>
  <si>
    <t>NASANDELGER ZANA</t>
  </si>
  <si>
    <t>KEITH OLSSON</t>
  </si>
  <si>
    <t>NANCY MAXWELL</t>
  </si>
  <si>
    <t>IN</t>
  </si>
  <si>
    <t>JACQUELYNN SEYMOUR</t>
  </si>
  <si>
    <t>NYAMSUREN BATMUNKH</t>
  </si>
  <si>
    <t>ALBA QUINTERO</t>
  </si>
  <si>
    <t>WANIETA TAYLOR</t>
  </si>
  <si>
    <t>MI</t>
  </si>
  <si>
    <t>TrioMED 30k 15307</t>
  </si>
  <si>
    <t>EUSIBIO ESQUIVEL</t>
  </si>
  <si>
    <t>CLAUDIA WEEMS</t>
  </si>
  <si>
    <t>Cancer and Heart/Stroke 20231</t>
  </si>
  <si>
    <t>YAHEL CARCIENTE</t>
  </si>
  <si>
    <t>JOHN ROKEN</t>
  </si>
  <si>
    <t>LIFE Association Membership - C 14956 LM</t>
  </si>
  <si>
    <t>DINA ALEMAGNA</t>
  </si>
  <si>
    <t>SHELLY VANDEVORD</t>
  </si>
  <si>
    <t>KS</t>
  </si>
  <si>
    <t>KATHERINE KALOUSEK</t>
  </si>
  <si>
    <t>AMANDA ENGLISH</t>
  </si>
  <si>
    <t>NC</t>
  </si>
  <si>
    <t>MAUREEN BOWMAN</t>
  </si>
  <si>
    <t>VICTOR FUENTES</t>
  </si>
  <si>
    <t>RONNIE BROWN</t>
  </si>
  <si>
    <t>NHIC MedSupp 2022 Plan F G 81+</t>
  </si>
  <si>
    <t>DARIA FORREST</t>
  </si>
  <si>
    <t>GREGORY HANSFORD</t>
  </si>
  <si>
    <t>DANIEL HIRNER</t>
  </si>
  <si>
    <t>GA</t>
  </si>
  <si>
    <t>SUVD BATSAIKHAN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</si>
</sst>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0" fontId="0" fillId="33" borderId="0" xfId="0" applyNumberFormat="1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D520-A06A-4614-AE9A-90D34147D8B6}">
  <dimension ref="A1:AL70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10.42578125" bestFit="1" customWidth="1"/>
    <col min="6" max="6" width="8.140625" bestFit="1" customWidth="1"/>
    <col min="7" max="7" width="9.42578125" bestFit="1" customWidth="1"/>
    <col min="8" max="8" width="17.7109375" bestFit="1" customWidth="1"/>
    <col min="9" max="9" width="14" bestFit="1" customWidth="1"/>
    <col min="10" max="10" width="22.8554687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19.7109375" bestFit="1" customWidth="1"/>
    <col min="17" max="17" width="12.140625" bestFit="1" customWidth="1"/>
    <col min="18" max="18" width="42.42578125" bestFit="1" customWidth="1"/>
    <col min="19" max="19" width="10.425781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570312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45623</v>
      </c>
      <c r="B2" s="1">
        <v>45621</v>
      </c>
      <c r="C2" t="s">
        <v>38</v>
      </c>
      <c r="D2" t="s">
        <v>39</v>
      </c>
      <c r="E2" t="s">
        <v>40</v>
      </c>
      <c r="F2">
        <v>649163</v>
      </c>
      <c r="G2">
        <v>20411454</v>
      </c>
      <c r="H2" t="s">
        <v>41</v>
      </c>
      <c r="I2">
        <v>2025604322</v>
      </c>
      <c r="J2" t="s">
        <v>42</v>
      </c>
      <c r="M2" t="s">
        <v>43</v>
      </c>
      <c r="O2">
        <v>673059</v>
      </c>
      <c r="P2" t="s">
        <v>44</v>
      </c>
      <c r="Q2" t="s">
        <v>45</v>
      </c>
      <c r="R2" t="s">
        <v>46</v>
      </c>
      <c r="S2" s="1">
        <v>45651</v>
      </c>
      <c r="U2" t="s">
        <v>47</v>
      </c>
      <c r="X2" t="s">
        <v>48</v>
      </c>
      <c r="Y2" s="2">
        <v>25.73</v>
      </c>
      <c r="Z2" s="2">
        <v>25.73</v>
      </c>
      <c r="AA2">
        <v>0</v>
      </c>
      <c r="AB2" s="3">
        <v>0.7</v>
      </c>
      <c r="AC2" s="2">
        <v>0</v>
      </c>
      <c r="AD2" s="3">
        <v>0</v>
      </c>
      <c r="AE2" s="2">
        <v>0</v>
      </c>
      <c r="AF2" s="2">
        <v>0</v>
      </c>
      <c r="AK2" s="4">
        <v>17073880</v>
      </c>
    </row>
    <row r="3" spans="1:38" x14ac:dyDescent="0.25">
      <c r="A3" s="1">
        <v>45623</v>
      </c>
      <c r="B3" s="1">
        <v>45621</v>
      </c>
      <c r="C3" t="s">
        <v>38</v>
      </c>
      <c r="D3" t="s">
        <v>39</v>
      </c>
      <c r="E3" t="s">
        <v>40</v>
      </c>
      <c r="F3">
        <v>649163</v>
      </c>
      <c r="G3">
        <v>20411454</v>
      </c>
      <c r="H3" t="s">
        <v>41</v>
      </c>
      <c r="I3">
        <v>2025821393</v>
      </c>
      <c r="J3" t="s">
        <v>66</v>
      </c>
      <c r="M3" t="s">
        <v>67</v>
      </c>
      <c r="O3">
        <v>673059</v>
      </c>
      <c r="P3" t="s">
        <v>44</v>
      </c>
      <c r="Q3" t="s">
        <v>45</v>
      </c>
      <c r="R3" t="s">
        <v>46</v>
      </c>
      <c r="S3" s="1">
        <v>45658</v>
      </c>
      <c r="U3" t="s">
        <v>47</v>
      </c>
      <c r="X3" t="s">
        <v>48</v>
      </c>
      <c r="Y3" s="2">
        <v>25.73</v>
      </c>
      <c r="Z3" s="2">
        <v>25.73</v>
      </c>
      <c r="AA3">
        <v>0</v>
      </c>
      <c r="AB3" s="3">
        <v>0.7</v>
      </c>
      <c r="AC3" s="2">
        <v>0</v>
      </c>
      <c r="AD3" s="3">
        <v>0</v>
      </c>
      <c r="AE3" s="2">
        <v>0</v>
      </c>
      <c r="AF3" s="2">
        <v>0</v>
      </c>
      <c r="AK3" s="4">
        <v>17073890</v>
      </c>
    </row>
    <row r="4" spans="1:38" x14ac:dyDescent="0.25">
      <c r="A4" s="1">
        <v>45623</v>
      </c>
      <c r="B4" s="1">
        <v>45621</v>
      </c>
      <c r="C4" t="s">
        <v>38</v>
      </c>
      <c r="D4" t="s">
        <v>39</v>
      </c>
      <c r="E4" t="s">
        <v>40</v>
      </c>
      <c r="F4">
        <v>649163</v>
      </c>
      <c r="G4">
        <v>20411454</v>
      </c>
      <c r="H4" t="s">
        <v>41</v>
      </c>
      <c r="I4">
        <v>2025831417</v>
      </c>
      <c r="J4" t="s">
        <v>70</v>
      </c>
      <c r="M4" t="s">
        <v>67</v>
      </c>
      <c r="O4">
        <v>673059</v>
      </c>
      <c r="P4" t="s">
        <v>44</v>
      </c>
      <c r="Q4" t="s">
        <v>45</v>
      </c>
      <c r="R4" t="s">
        <v>46</v>
      </c>
      <c r="S4" s="1">
        <v>45658</v>
      </c>
      <c r="U4" t="s">
        <v>47</v>
      </c>
      <c r="X4" t="s">
        <v>48</v>
      </c>
      <c r="Y4" s="2">
        <v>25.73</v>
      </c>
      <c r="Z4" s="2">
        <v>25.73</v>
      </c>
      <c r="AA4">
        <v>0</v>
      </c>
      <c r="AB4" s="3">
        <v>0.7</v>
      </c>
      <c r="AC4" s="2">
        <v>0</v>
      </c>
      <c r="AD4" s="3">
        <v>0</v>
      </c>
      <c r="AE4" s="2">
        <v>0</v>
      </c>
      <c r="AF4" s="2">
        <v>0</v>
      </c>
      <c r="AK4" s="4">
        <v>17073900</v>
      </c>
    </row>
    <row r="5" spans="1:38" x14ac:dyDescent="0.25">
      <c r="A5" s="1">
        <v>45623</v>
      </c>
      <c r="B5" s="1">
        <v>45621</v>
      </c>
      <c r="C5" t="s">
        <v>38</v>
      </c>
      <c r="D5" t="s">
        <v>39</v>
      </c>
      <c r="E5" t="s">
        <v>40</v>
      </c>
      <c r="F5">
        <v>649163</v>
      </c>
      <c r="G5">
        <v>20411454</v>
      </c>
      <c r="H5" t="s">
        <v>41</v>
      </c>
      <c r="I5">
        <v>2025839289</v>
      </c>
      <c r="J5" t="s">
        <v>71</v>
      </c>
      <c r="M5" t="s">
        <v>72</v>
      </c>
      <c r="O5">
        <v>673059</v>
      </c>
      <c r="P5" t="s">
        <v>44</v>
      </c>
      <c r="Q5" t="s">
        <v>45</v>
      </c>
      <c r="R5" t="s">
        <v>46</v>
      </c>
      <c r="S5" s="1">
        <v>45658</v>
      </c>
      <c r="U5" t="s">
        <v>47</v>
      </c>
      <c r="X5" t="s">
        <v>48</v>
      </c>
      <c r="Y5" s="2">
        <v>25.73</v>
      </c>
      <c r="Z5" s="2">
        <v>25.73</v>
      </c>
      <c r="AA5">
        <v>0</v>
      </c>
      <c r="AB5" s="3">
        <v>0.7</v>
      </c>
      <c r="AC5" s="2">
        <v>0</v>
      </c>
      <c r="AD5" s="3">
        <v>0</v>
      </c>
      <c r="AE5" s="2">
        <v>0</v>
      </c>
      <c r="AF5" s="2">
        <v>0</v>
      </c>
      <c r="AK5" s="4">
        <v>17073900</v>
      </c>
    </row>
    <row r="6" spans="1:38" x14ac:dyDescent="0.25">
      <c r="A6" s="1">
        <v>45623</v>
      </c>
      <c r="B6" s="1">
        <v>45621</v>
      </c>
      <c r="C6" t="s">
        <v>38</v>
      </c>
      <c r="D6" t="s">
        <v>39</v>
      </c>
      <c r="E6" t="s">
        <v>40</v>
      </c>
      <c r="F6">
        <v>649163</v>
      </c>
      <c r="G6">
        <v>20411454</v>
      </c>
      <c r="H6" t="s">
        <v>41</v>
      </c>
      <c r="I6">
        <v>2025845088</v>
      </c>
      <c r="J6" t="s">
        <v>78</v>
      </c>
      <c r="M6" t="s">
        <v>53</v>
      </c>
      <c r="O6">
        <v>649164</v>
      </c>
      <c r="P6" t="s">
        <v>41</v>
      </c>
      <c r="Q6" t="s">
        <v>45</v>
      </c>
      <c r="R6" t="s">
        <v>46</v>
      </c>
      <c r="S6" s="1">
        <v>45658</v>
      </c>
      <c r="U6" t="s">
        <v>47</v>
      </c>
      <c r="X6" t="s">
        <v>48</v>
      </c>
      <c r="Y6" s="2">
        <v>51.46</v>
      </c>
      <c r="Z6" s="2">
        <v>51.46</v>
      </c>
      <c r="AA6">
        <v>0</v>
      </c>
      <c r="AB6" s="3">
        <v>0.7</v>
      </c>
      <c r="AC6" s="2">
        <v>0</v>
      </c>
      <c r="AD6" s="3">
        <v>0</v>
      </c>
      <c r="AE6" s="2">
        <v>0</v>
      </c>
      <c r="AF6" s="2">
        <v>0</v>
      </c>
      <c r="AK6" s="4">
        <v>17073900</v>
      </c>
    </row>
    <row r="7" spans="1:38" x14ac:dyDescent="0.25">
      <c r="A7" s="1">
        <v>45623</v>
      </c>
      <c r="B7" s="1">
        <v>45621</v>
      </c>
      <c r="C7" t="s">
        <v>38</v>
      </c>
      <c r="D7" t="s">
        <v>39</v>
      </c>
      <c r="E7" t="s">
        <v>40</v>
      </c>
      <c r="F7">
        <v>649163</v>
      </c>
      <c r="G7">
        <v>20411454</v>
      </c>
      <c r="H7" t="s">
        <v>41</v>
      </c>
      <c r="I7">
        <v>2025845320</v>
      </c>
      <c r="J7" t="s">
        <v>79</v>
      </c>
      <c r="M7" t="s">
        <v>80</v>
      </c>
      <c r="O7">
        <v>673059</v>
      </c>
      <c r="P7" t="s">
        <v>44</v>
      </c>
      <c r="Q7" t="s">
        <v>45</v>
      </c>
      <c r="R7" t="s">
        <v>46</v>
      </c>
      <c r="S7" s="1">
        <v>45658</v>
      </c>
      <c r="U7" t="s">
        <v>47</v>
      </c>
      <c r="X7" t="s">
        <v>48</v>
      </c>
      <c r="Y7" s="2">
        <v>8.3699999999999992</v>
      </c>
      <c r="Z7" s="2">
        <v>8.3699999999999992</v>
      </c>
      <c r="AA7">
        <v>0</v>
      </c>
      <c r="AB7" s="3">
        <v>0.7</v>
      </c>
      <c r="AC7" s="2">
        <v>0</v>
      </c>
      <c r="AD7" s="3">
        <v>0</v>
      </c>
      <c r="AE7" s="2">
        <v>0</v>
      </c>
      <c r="AF7" s="2">
        <v>0</v>
      </c>
      <c r="AK7" s="4">
        <v>17073900</v>
      </c>
    </row>
    <row r="8" spans="1:38" x14ac:dyDescent="0.25">
      <c r="A8" s="1">
        <v>45623</v>
      </c>
      <c r="B8" s="1">
        <v>45621</v>
      </c>
      <c r="C8" t="s">
        <v>38</v>
      </c>
      <c r="D8" t="s">
        <v>39</v>
      </c>
      <c r="E8" t="s">
        <v>40</v>
      </c>
      <c r="F8">
        <v>649163</v>
      </c>
      <c r="G8">
        <v>20411454</v>
      </c>
      <c r="H8" t="s">
        <v>41</v>
      </c>
      <c r="I8">
        <v>2025850684</v>
      </c>
      <c r="J8" t="s">
        <v>84</v>
      </c>
      <c r="M8" t="s">
        <v>85</v>
      </c>
      <c r="O8">
        <v>673059</v>
      </c>
      <c r="P8" t="s">
        <v>44</v>
      </c>
      <c r="Q8" t="s">
        <v>45</v>
      </c>
      <c r="R8" t="s">
        <v>46</v>
      </c>
      <c r="S8" s="1">
        <v>45658</v>
      </c>
      <c r="U8" t="s">
        <v>47</v>
      </c>
      <c r="X8" t="s">
        <v>48</v>
      </c>
      <c r="Y8" s="2">
        <v>25.73</v>
      </c>
      <c r="Z8" s="2">
        <v>25.73</v>
      </c>
      <c r="AA8">
        <v>0</v>
      </c>
      <c r="AB8" s="3">
        <v>0.7</v>
      </c>
      <c r="AC8" s="2">
        <v>0</v>
      </c>
      <c r="AD8" s="3">
        <v>0</v>
      </c>
      <c r="AE8" s="2">
        <v>0</v>
      </c>
      <c r="AF8" s="2">
        <v>0</v>
      </c>
      <c r="AK8" s="4">
        <v>17073910</v>
      </c>
    </row>
    <row r="9" spans="1:38" x14ac:dyDescent="0.25">
      <c r="A9" s="1">
        <v>45623</v>
      </c>
      <c r="B9" s="1">
        <v>45621</v>
      </c>
      <c r="C9" t="s">
        <v>38</v>
      </c>
      <c r="D9" t="s">
        <v>39</v>
      </c>
      <c r="E9" t="s">
        <v>40</v>
      </c>
      <c r="F9">
        <v>649163</v>
      </c>
      <c r="G9">
        <v>20411454</v>
      </c>
      <c r="H9" t="s">
        <v>41</v>
      </c>
      <c r="I9">
        <v>2025855066</v>
      </c>
      <c r="J9" t="s">
        <v>88</v>
      </c>
      <c r="M9" t="s">
        <v>74</v>
      </c>
      <c r="O9">
        <v>673059</v>
      </c>
      <c r="P9" t="s">
        <v>44</v>
      </c>
      <c r="Q9" t="s">
        <v>45</v>
      </c>
      <c r="R9" t="s">
        <v>46</v>
      </c>
      <c r="S9" s="1">
        <v>45658</v>
      </c>
      <c r="U9" t="s">
        <v>47</v>
      </c>
      <c r="X9" t="s">
        <v>48</v>
      </c>
      <c r="Y9" s="2">
        <v>25.73</v>
      </c>
      <c r="Z9" s="2">
        <v>25.73</v>
      </c>
      <c r="AA9">
        <v>0</v>
      </c>
      <c r="AB9" s="3">
        <v>0.7</v>
      </c>
      <c r="AC9" s="2">
        <v>0</v>
      </c>
      <c r="AD9" s="3">
        <v>0</v>
      </c>
      <c r="AE9" s="2">
        <v>0</v>
      </c>
      <c r="AF9" s="2">
        <v>0</v>
      </c>
      <c r="AK9" s="4">
        <v>17073910</v>
      </c>
    </row>
    <row r="10" spans="1:38" x14ac:dyDescent="0.25">
      <c r="A10" s="1">
        <v>45623</v>
      </c>
      <c r="B10" s="1">
        <v>45621</v>
      </c>
      <c r="C10" t="s">
        <v>38</v>
      </c>
      <c r="D10" t="s">
        <v>39</v>
      </c>
      <c r="E10" t="s">
        <v>40</v>
      </c>
      <c r="F10">
        <v>649163</v>
      </c>
      <c r="G10">
        <v>20411454</v>
      </c>
      <c r="H10" t="s">
        <v>41</v>
      </c>
      <c r="I10">
        <v>2025888226</v>
      </c>
      <c r="J10" t="s">
        <v>96</v>
      </c>
      <c r="M10" t="s">
        <v>74</v>
      </c>
      <c r="O10">
        <v>673059</v>
      </c>
      <c r="P10" t="s">
        <v>44</v>
      </c>
      <c r="Q10" t="s">
        <v>45</v>
      </c>
      <c r="R10" t="s">
        <v>46</v>
      </c>
      <c r="S10" s="1">
        <v>45658</v>
      </c>
      <c r="U10" t="s">
        <v>47</v>
      </c>
      <c r="X10" t="s">
        <v>48</v>
      </c>
      <c r="Y10" s="2">
        <v>59.8</v>
      </c>
      <c r="Z10" s="2">
        <v>59.8</v>
      </c>
      <c r="AA10">
        <v>0</v>
      </c>
      <c r="AB10" s="3">
        <v>0.7</v>
      </c>
      <c r="AC10" s="2">
        <v>0</v>
      </c>
      <c r="AD10" s="3">
        <v>0</v>
      </c>
      <c r="AE10" s="2">
        <v>0</v>
      </c>
      <c r="AF10" s="2">
        <v>0</v>
      </c>
      <c r="AK10" s="4">
        <v>17073930</v>
      </c>
    </row>
    <row r="11" spans="1:38" x14ac:dyDescent="0.25">
      <c r="A11" s="1">
        <v>45623</v>
      </c>
      <c r="B11" s="1">
        <v>45621</v>
      </c>
      <c r="C11" t="s">
        <v>38</v>
      </c>
      <c r="D11" t="s">
        <v>39</v>
      </c>
      <c r="E11" t="s">
        <v>40</v>
      </c>
      <c r="F11">
        <v>649163</v>
      </c>
      <c r="G11">
        <v>20411454</v>
      </c>
      <c r="H11" t="s">
        <v>41</v>
      </c>
      <c r="I11">
        <v>2025855064</v>
      </c>
      <c r="J11" t="s">
        <v>88</v>
      </c>
      <c r="M11" t="s">
        <v>74</v>
      </c>
      <c r="O11">
        <v>673059</v>
      </c>
      <c r="P11" t="s">
        <v>44</v>
      </c>
      <c r="Q11" t="s">
        <v>45</v>
      </c>
      <c r="R11" t="s">
        <v>89</v>
      </c>
      <c r="S11" s="1">
        <v>45658</v>
      </c>
      <c r="U11" t="s">
        <v>47</v>
      </c>
      <c r="X11" t="s">
        <v>48</v>
      </c>
      <c r="Y11" s="2">
        <v>78</v>
      </c>
      <c r="Z11" s="2">
        <v>78</v>
      </c>
      <c r="AA11">
        <v>0</v>
      </c>
      <c r="AB11" s="3">
        <v>0.75</v>
      </c>
      <c r="AC11" s="2">
        <v>0</v>
      </c>
      <c r="AD11" s="3">
        <v>0</v>
      </c>
      <c r="AE11" s="2">
        <v>0</v>
      </c>
      <c r="AF11" s="2">
        <v>0</v>
      </c>
      <c r="AK11" s="4">
        <v>17093260</v>
      </c>
    </row>
    <row r="12" spans="1:38" x14ac:dyDescent="0.25">
      <c r="A12" s="1">
        <v>45623</v>
      </c>
      <c r="B12" s="1">
        <v>45621</v>
      </c>
      <c r="C12" t="s">
        <v>38</v>
      </c>
      <c r="D12" t="s">
        <v>39</v>
      </c>
      <c r="E12" t="s">
        <v>40</v>
      </c>
      <c r="F12">
        <v>649163</v>
      </c>
      <c r="G12">
        <v>20411454</v>
      </c>
      <c r="H12" t="s">
        <v>41</v>
      </c>
      <c r="I12">
        <v>2025875988</v>
      </c>
      <c r="J12" t="s">
        <v>94</v>
      </c>
      <c r="M12" t="s">
        <v>95</v>
      </c>
      <c r="O12">
        <v>767312</v>
      </c>
      <c r="P12" t="s">
        <v>51</v>
      </c>
      <c r="Q12" t="s">
        <v>45</v>
      </c>
      <c r="R12" t="s">
        <v>89</v>
      </c>
      <c r="S12" s="1">
        <v>45627</v>
      </c>
      <c r="U12" t="s">
        <v>47</v>
      </c>
      <c r="X12" t="s">
        <v>48</v>
      </c>
      <c r="Y12" s="2">
        <v>130.43</v>
      </c>
      <c r="Z12" s="2">
        <v>130.43</v>
      </c>
      <c r="AA12">
        <v>0</v>
      </c>
      <c r="AB12" s="3">
        <v>0.75</v>
      </c>
      <c r="AC12" s="2">
        <v>0</v>
      </c>
      <c r="AD12" s="3">
        <v>0</v>
      </c>
      <c r="AE12" s="2">
        <v>0</v>
      </c>
      <c r="AF12" s="2">
        <v>0</v>
      </c>
      <c r="AK12" s="4">
        <v>17093340</v>
      </c>
    </row>
    <row r="13" spans="1:38" x14ac:dyDescent="0.25">
      <c r="A13" s="1">
        <v>45623</v>
      </c>
      <c r="B13" s="1">
        <v>45621</v>
      </c>
      <c r="C13" t="s">
        <v>38</v>
      </c>
      <c r="D13" t="s">
        <v>39</v>
      </c>
      <c r="E13" t="s">
        <v>40</v>
      </c>
      <c r="F13">
        <v>649163</v>
      </c>
      <c r="G13">
        <v>20411454</v>
      </c>
      <c r="H13" t="s">
        <v>41</v>
      </c>
      <c r="I13">
        <v>2025888227</v>
      </c>
      <c r="J13" t="s">
        <v>96</v>
      </c>
      <c r="M13" t="s">
        <v>74</v>
      </c>
      <c r="O13">
        <v>673059</v>
      </c>
      <c r="P13" t="s">
        <v>44</v>
      </c>
      <c r="Q13" t="s">
        <v>45</v>
      </c>
      <c r="R13" t="s">
        <v>89</v>
      </c>
      <c r="S13" s="1">
        <v>45658</v>
      </c>
      <c r="U13" t="s">
        <v>47</v>
      </c>
      <c r="X13" t="s">
        <v>48</v>
      </c>
      <c r="Y13" s="2">
        <v>54.73</v>
      </c>
      <c r="Z13" s="2">
        <v>54.73</v>
      </c>
      <c r="AA13">
        <v>0</v>
      </c>
      <c r="AB13" s="3">
        <v>0.75</v>
      </c>
      <c r="AC13" s="2">
        <v>0</v>
      </c>
      <c r="AD13" s="3">
        <v>0</v>
      </c>
      <c r="AE13" s="2">
        <v>0</v>
      </c>
      <c r="AF13" s="2">
        <v>0</v>
      </c>
      <c r="AK13" s="4">
        <v>17093380</v>
      </c>
    </row>
    <row r="14" spans="1:38" x14ac:dyDescent="0.25">
      <c r="A14" s="1">
        <v>45623</v>
      </c>
      <c r="B14" s="1">
        <v>45621</v>
      </c>
      <c r="C14" t="s">
        <v>38</v>
      </c>
      <c r="D14" t="s">
        <v>39</v>
      </c>
      <c r="E14" t="s">
        <v>40</v>
      </c>
      <c r="F14">
        <v>649163</v>
      </c>
      <c r="G14">
        <v>20411454</v>
      </c>
      <c r="H14" t="s">
        <v>41</v>
      </c>
      <c r="I14">
        <v>2025821394</v>
      </c>
      <c r="J14" t="s">
        <v>66</v>
      </c>
      <c r="M14" t="s">
        <v>67</v>
      </c>
      <c r="O14">
        <v>673059</v>
      </c>
      <c r="P14" t="s">
        <v>44</v>
      </c>
      <c r="Q14" t="s">
        <v>45</v>
      </c>
      <c r="R14" t="s">
        <v>68</v>
      </c>
      <c r="S14" s="1">
        <v>45658</v>
      </c>
      <c r="U14" t="s">
        <v>47</v>
      </c>
      <c r="X14" t="s">
        <v>48</v>
      </c>
      <c r="Y14" s="2">
        <v>34.36</v>
      </c>
      <c r="Z14" s="2">
        <v>34.36</v>
      </c>
      <c r="AA14">
        <v>0</v>
      </c>
      <c r="AB14" s="3">
        <v>0.65</v>
      </c>
      <c r="AC14" s="2">
        <v>0</v>
      </c>
      <c r="AD14" s="3">
        <v>0</v>
      </c>
      <c r="AE14" s="2">
        <v>0</v>
      </c>
      <c r="AF14" s="2">
        <v>0</v>
      </c>
      <c r="AK14" s="4">
        <v>17093140</v>
      </c>
    </row>
    <row r="15" spans="1:38" x14ac:dyDescent="0.25">
      <c r="A15" s="1">
        <v>45623</v>
      </c>
      <c r="B15" s="1">
        <v>45621</v>
      </c>
      <c r="C15" t="s">
        <v>38</v>
      </c>
      <c r="D15" t="s">
        <v>39</v>
      </c>
      <c r="E15" t="s">
        <v>40</v>
      </c>
      <c r="F15">
        <v>649163</v>
      </c>
      <c r="G15">
        <v>20411454</v>
      </c>
      <c r="H15" t="s">
        <v>41</v>
      </c>
      <c r="I15">
        <v>2025831090</v>
      </c>
      <c r="J15" t="s">
        <v>69</v>
      </c>
      <c r="M15" t="s">
        <v>67</v>
      </c>
      <c r="O15">
        <v>673059</v>
      </c>
      <c r="P15" t="s">
        <v>44</v>
      </c>
      <c r="Q15" t="s">
        <v>45</v>
      </c>
      <c r="R15" t="s">
        <v>68</v>
      </c>
      <c r="S15" s="1">
        <v>45658</v>
      </c>
      <c r="U15" t="s">
        <v>47</v>
      </c>
      <c r="X15" t="s">
        <v>48</v>
      </c>
      <c r="Y15" s="2">
        <v>87.01</v>
      </c>
      <c r="Z15" s="2">
        <v>87.01</v>
      </c>
      <c r="AA15">
        <v>0</v>
      </c>
      <c r="AB15" s="3">
        <v>0.65</v>
      </c>
      <c r="AC15" s="2">
        <v>0</v>
      </c>
      <c r="AD15" s="3">
        <v>0</v>
      </c>
      <c r="AE15" s="2">
        <v>0</v>
      </c>
      <c r="AF15" s="2">
        <v>0</v>
      </c>
      <c r="AK15" s="4">
        <v>17093170</v>
      </c>
    </row>
    <row r="16" spans="1:38" x14ac:dyDescent="0.25">
      <c r="A16" s="1">
        <v>45623</v>
      </c>
      <c r="B16" s="1">
        <v>45621</v>
      </c>
      <c r="C16" t="s">
        <v>38</v>
      </c>
      <c r="D16" t="s">
        <v>39</v>
      </c>
      <c r="E16" t="s">
        <v>40</v>
      </c>
      <c r="F16">
        <v>649163</v>
      </c>
      <c r="G16">
        <v>20411454</v>
      </c>
      <c r="H16" t="s">
        <v>41</v>
      </c>
      <c r="I16">
        <v>2025831419</v>
      </c>
      <c r="J16" t="s">
        <v>70</v>
      </c>
      <c r="M16" t="s">
        <v>67</v>
      </c>
      <c r="O16">
        <v>673059</v>
      </c>
      <c r="P16" t="s">
        <v>44</v>
      </c>
      <c r="Q16" t="s">
        <v>45</v>
      </c>
      <c r="R16" t="s">
        <v>68</v>
      </c>
      <c r="S16" s="1">
        <v>45658</v>
      </c>
      <c r="U16" t="s">
        <v>47</v>
      </c>
      <c r="X16" t="s">
        <v>48</v>
      </c>
      <c r="Y16" s="2">
        <v>14.61</v>
      </c>
      <c r="Z16" s="2">
        <v>14.61</v>
      </c>
      <c r="AA16">
        <v>0</v>
      </c>
      <c r="AB16" s="3">
        <v>0.65</v>
      </c>
      <c r="AC16" s="2">
        <v>0</v>
      </c>
      <c r="AD16" s="3">
        <v>0</v>
      </c>
      <c r="AE16" s="2">
        <v>0</v>
      </c>
      <c r="AF16" s="2">
        <v>0</v>
      </c>
      <c r="AK16" s="4">
        <v>17093170</v>
      </c>
    </row>
    <row r="17" spans="1:37" x14ac:dyDescent="0.25">
      <c r="A17" s="1">
        <v>45623</v>
      </c>
      <c r="B17" s="1">
        <v>45621</v>
      </c>
      <c r="C17" t="s">
        <v>38</v>
      </c>
      <c r="D17" t="s">
        <v>39</v>
      </c>
      <c r="E17" t="s">
        <v>40</v>
      </c>
      <c r="F17">
        <v>649163</v>
      </c>
      <c r="G17">
        <v>20411454</v>
      </c>
      <c r="H17" t="s">
        <v>41</v>
      </c>
      <c r="I17">
        <v>2025847343</v>
      </c>
      <c r="J17" t="s">
        <v>81</v>
      </c>
      <c r="M17" t="s">
        <v>67</v>
      </c>
      <c r="O17">
        <v>767312</v>
      </c>
      <c r="P17" t="s">
        <v>51</v>
      </c>
      <c r="Q17" t="s">
        <v>45</v>
      </c>
      <c r="R17" t="s">
        <v>68</v>
      </c>
      <c r="S17" s="1">
        <v>45658</v>
      </c>
      <c r="U17" t="s">
        <v>47</v>
      </c>
      <c r="X17" t="s">
        <v>48</v>
      </c>
      <c r="Y17" s="2">
        <v>18.239999999999998</v>
      </c>
      <c r="Z17" s="2">
        <v>18.239999999999998</v>
      </c>
      <c r="AA17">
        <v>0</v>
      </c>
      <c r="AB17" s="3">
        <v>0.65</v>
      </c>
      <c r="AC17" s="2">
        <v>0</v>
      </c>
      <c r="AD17" s="3">
        <v>0</v>
      </c>
      <c r="AE17" s="2">
        <v>0</v>
      </c>
      <c r="AF17" s="2">
        <v>0</v>
      </c>
      <c r="AK17" s="4">
        <v>17093240</v>
      </c>
    </row>
    <row r="18" spans="1:37" x14ac:dyDescent="0.25">
      <c r="A18" s="1">
        <v>45623</v>
      </c>
      <c r="B18" s="1">
        <v>45621</v>
      </c>
      <c r="C18" t="s">
        <v>38</v>
      </c>
      <c r="D18" t="s">
        <v>39</v>
      </c>
      <c r="E18" t="s">
        <v>40</v>
      </c>
      <c r="F18">
        <v>649163</v>
      </c>
      <c r="G18">
        <v>20411454</v>
      </c>
      <c r="H18" t="s">
        <v>41</v>
      </c>
      <c r="I18">
        <v>2025850686</v>
      </c>
      <c r="J18" t="s">
        <v>84</v>
      </c>
      <c r="M18" t="s">
        <v>85</v>
      </c>
      <c r="O18">
        <v>673059</v>
      </c>
      <c r="P18" t="s">
        <v>44</v>
      </c>
      <c r="Q18" t="s">
        <v>45</v>
      </c>
      <c r="R18" t="s">
        <v>68</v>
      </c>
      <c r="S18" s="1">
        <v>45658</v>
      </c>
      <c r="U18" t="s">
        <v>47</v>
      </c>
      <c r="X18" t="s">
        <v>48</v>
      </c>
      <c r="Y18" s="2">
        <v>126.15</v>
      </c>
      <c r="Z18" s="2">
        <v>126.15</v>
      </c>
      <c r="AA18">
        <v>0</v>
      </c>
      <c r="AB18" s="3">
        <v>0.65</v>
      </c>
      <c r="AC18" s="2">
        <v>0</v>
      </c>
      <c r="AD18" s="3">
        <v>0</v>
      </c>
      <c r="AE18" s="2">
        <v>0</v>
      </c>
      <c r="AF18" s="2">
        <v>0</v>
      </c>
      <c r="AK18" s="4">
        <v>17093250</v>
      </c>
    </row>
    <row r="19" spans="1:37" x14ac:dyDescent="0.25">
      <c r="A19" s="1">
        <v>45623</v>
      </c>
      <c r="B19" s="1">
        <v>45621</v>
      </c>
      <c r="C19" t="s">
        <v>38</v>
      </c>
      <c r="D19" t="s">
        <v>39</v>
      </c>
      <c r="E19" t="s">
        <v>40</v>
      </c>
      <c r="F19">
        <v>649163</v>
      </c>
      <c r="G19">
        <v>20411454</v>
      </c>
      <c r="H19" t="s">
        <v>41</v>
      </c>
      <c r="I19">
        <v>2025819740</v>
      </c>
      <c r="J19" t="s">
        <v>57</v>
      </c>
      <c r="M19" t="s">
        <v>58</v>
      </c>
      <c r="O19">
        <v>767312</v>
      </c>
      <c r="P19" t="s">
        <v>51</v>
      </c>
      <c r="Q19" t="s">
        <v>45</v>
      </c>
      <c r="R19" t="s">
        <v>60</v>
      </c>
      <c r="S19" s="1">
        <v>45627</v>
      </c>
      <c r="U19" t="s">
        <v>47</v>
      </c>
      <c r="X19" t="s">
        <v>48</v>
      </c>
      <c r="Y19" s="2">
        <v>145.06</v>
      </c>
      <c r="Z19" s="2">
        <v>145.06</v>
      </c>
      <c r="AA19">
        <v>0</v>
      </c>
      <c r="AB19" s="3">
        <v>0.9</v>
      </c>
      <c r="AC19" s="2">
        <v>0</v>
      </c>
      <c r="AD19" s="3">
        <v>0</v>
      </c>
      <c r="AE19" s="2">
        <v>0</v>
      </c>
      <c r="AF19" s="2">
        <v>0</v>
      </c>
      <c r="AK19" s="4">
        <v>17093130</v>
      </c>
    </row>
    <row r="20" spans="1:37" x14ac:dyDescent="0.25">
      <c r="A20" s="1">
        <v>45623</v>
      </c>
      <c r="B20" s="1">
        <v>45621</v>
      </c>
      <c r="C20" t="s">
        <v>38</v>
      </c>
      <c r="D20" t="s">
        <v>39</v>
      </c>
      <c r="E20" t="s">
        <v>40</v>
      </c>
      <c r="F20">
        <v>649163</v>
      </c>
      <c r="G20">
        <v>20411454</v>
      </c>
      <c r="H20" t="s">
        <v>41</v>
      </c>
      <c r="I20">
        <v>2025820174</v>
      </c>
      <c r="J20" t="s">
        <v>63</v>
      </c>
      <c r="M20" t="s">
        <v>64</v>
      </c>
      <c r="O20">
        <v>796984</v>
      </c>
      <c r="P20" t="s">
        <v>65</v>
      </c>
      <c r="Q20" t="s">
        <v>45</v>
      </c>
      <c r="R20" t="s">
        <v>60</v>
      </c>
      <c r="S20" s="1">
        <v>45615</v>
      </c>
      <c r="U20" t="s">
        <v>47</v>
      </c>
      <c r="X20" t="s">
        <v>48</v>
      </c>
      <c r="Y20" s="2">
        <v>40.21</v>
      </c>
      <c r="Z20" s="2">
        <v>40.21</v>
      </c>
      <c r="AA20">
        <v>0</v>
      </c>
      <c r="AB20" s="3">
        <v>0.9</v>
      </c>
      <c r="AC20" s="2">
        <v>0</v>
      </c>
      <c r="AD20" s="3">
        <v>0</v>
      </c>
      <c r="AE20" s="2">
        <v>0</v>
      </c>
      <c r="AF20" s="2">
        <v>0</v>
      </c>
      <c r="AK20" s="4">
        <v>17093140</v>
      </c>
    </row>
    <row r="21" spans="1:37" x14ac:dyDescent="0.25">
      <c r="A21" s="1">
        <v>45623</v>
      </c>
      <c r="B21" s="1">
        <v>45621</v>
      </c>
      <c r="C21" t="s">
        <v>38</v>
      </c>
      <c r="D21" t="s">
        <v>39</v>
      </c>
      <c r="E21" t="s">
        <v>40</v>
      </c>
      <c r="F21">
        <v>649163</v>
      </c>
      <c r="G21">
        <v>20411454</v>
      </c>
      <c r="H21" t="s">
        <v>41</v>
      </c>
      <c r="I21">
        <v>2025862451</v>
      </c>
      <c r="J21" t="s">
        <v>90</v>
      </c>
      <c r="M21" t="s">
        <v>67</v>
      </c>
      <c r="O21">
        <v>751867</v>
      </c>
      <c r="P21" t="s">
        <v>91</v>
      </c>
      <c r="Q21" t="s">
        <v>45</v>
      </c>
      <c r="R21" t="s">
        <v>92</v>
      </c>
      <c r="S21" s="1">
        <v>45627</v>
      </c>
      <c r="U21" t="s">
        <v>47</v>
      </c>
      <c r="X21" t="s">
        <v>48</v>
      </c>
      <c r="Y21" s="2">
        <v>15</v>
      </c>
      <c r="Z21" s="2">
        <v>15</v>
      </c>
      <c r="AA21">
        <v>0</v>
      </c>
      <c r="AB21" s="3">
        <v>0.38</v>
      </c>
      <c r="AC21" s="2">
        <v>0</v>
      </c>
      <c r="AD21" s="3">
        <v>0</v>
      </c>
      <c r="AE21" s="2">
        <v>0</v>
      </c>
      <c r="AF21" s="2">
        <v>0</v>
      </c>
      <c r="AK21" s="4">
        <v>17090590</v>
      </c>
    </row>
    <row r="22" spans="1:37" x14ac:dyDescent="0.25">
      <c r="A22" s="1">
        <v>45623</v>
      </c>
      <c r="B22" s="1">
        <v>45621</v>
      </c>
      <c r="C22" t="s">
        <v>38</v>
      </c>
      <c r="D22" t="s">
        <v>39</v>
      </c>
      <c r="E22" t="s">
        <v>40</v>
      </c>
      <c r="F22">
        <v>649163</v>
      </c>
      <c r="G22">
        <v>20411454</v>
      </c>
      <c r="H22" t="s">
        <v>41</v>
      </c>
      <c r="I22">
        <v>2025888458</v>
      </c>
      <c r="J22" t="s">
        <v>97</v>
      </c>
      <c r="M22" t="s">
        <v>98</v>
      </c>
      <c r="O22">
        <v>751867</v>
      </c>
      <c r="P22" t="s">
        <v>91</v>
      </c>
      <c r="Q22" t="s">
        <v>45</v>
      </c>
      <c r="R22" t="s">
        <v>92</v>
      </c>
      <c r="S22" s="1">
        <v>45627</v>
      </c>
      <c r="U22" t="s">
        <v>47</v>
      </c>
      <c r="X22" t="s">
        <v>48</v>
      </c>
      <c r="Y22" s="2">
        <v>15</v>
      </c>
      <c r="Z22" s="2">
        <v>15</v>
      </c>
      <c r="AA22">
        <v>0</v>
      </c>
      <c r="AB22" s="3">
        <v>0.38</v>
      </c>
      <c r="AC22" s="2">
        <v>0</v>
      </c>
      <c r="AD22" s="3">
        <v>0</v>
      </c>
      <c r="AE22" s="2">
        <v>0</v>
      </c>
      <c r="AF22" s="2">
        <v>0</v>
      </c>
      <c r="AK22" s="4">
        <v>17090650</v>
      </c>
    </row>
    <row r="23" spans="1:37" x14ac:dyDescent="0.25">
      <c r="A23" s="1">
        <v>45623</v>
      </c>
      <c r="B23" s="1">
        <v>45621</v>
      </c>
      <c r="C23" t="s">
        <v>38</v>
      </c>
      <c r="D23" t="s">
        <v>39</v>
      </c>
      <c r="E23" t="s">
        <v>40</v>
      </c>
      <c r="F23">
        <v>649163</v>
      </c>
      <c r="G23">
        <v>20411454</v>
      </c>
      <c r="H23" t="s">
        <v>41</v>
      </c>
      <c r="I23">
        <v>2025815675</v>
      </c>
      <c r="J23" t="s">
        <v>52</v>
      </c>
      <c r="M23" t="s">
        <v>53</v>
      </c>
      <c r="O23">
        <v>650218</v>
      </c>
      <c r="P23" t="s">
        <v>54</v>
      </c>
      <c r="Q23" t="s">
        <v>45</v>
      </c>
      <c r="R23" t="s">
        <v>55</v>
      </c>
      <c r="S23" s="1">
        <v>45627</v>
      </c>
      <c r="U23" t="s">
        <v>47</v>
      </c>
      <c r="X23" t="s">
        <v>48</v>
      </c>
      <c r="Y23" s="2">
        <v>27.15</v>
      </c>
      <c r="Z23" s="2">
        <v>27.15</v>
      </c>
      <c r="AA23">
        <v>0</v>
      </c>
      <c r="AB23" s="3">
        <v>0.38</v>
      </c>
      <c r="AC23" s="2">
        <v>0</v>
      </c>
      <c r="AD23" s="3">
        <v>0</v>
      </c>
      <c r="AE23" s="2">
        <v>0</v>
      </c>
      <c r="AF23" s="2">
        <v>0</v>
      </c>
      <c r="AK23" s="4">
        <v>17100580</v>
      </c>
    </row>
    <row r="24" spans="1:37" x14ac:dyDescent="0.25">
      <c r="A24" s="1">
        <v>45623</v>
      </c>
      <c r="B24" s="1">
        <v>45621</v>
      </c>
      <c r="C24" t="s">
        <v>38</v>
      </c>
      <c r="D24" t="s">
        <v>39</v>
      </c>
      <c r="E24" t="s">
        <v>40</v>
      </c>
      <c r="F24">
        <v>649163</v>
      </c>
      <c r="G24">
        <v>20411454</v>
      </c>
      <c r="H24" t="s">
        <v>41</v>
      </c>
      <c r="I24">
        <v>2025820172</v>
      </c>
      <c r="J24" t="s">
        <v>63</v>
      </c>
      <c r="M24" t="s">
        <v>64</v>
      </c>
      <c r="O24">
        <v>796984</v>
      </c>
      <c r="P24" t="s">
        <v>65</v>
      </c>
      <c r="Q24" t="s">
        <v>45</v>
      </c>
      <c r="R24" t="s">
        <v>55</v>
      </c>
      <c r="S24" s="1">
        <v>45615</v>
      </c>
      <c r="U24" t="s">
        <v>47</v>
      </c>
      <c r="X24" t="s">
        <v>48</v>
      </c>
      <c r="Y24" s="2">
        <v>26.43</v>
      </c>
      <c r="Z24" s="2">
        <v>26.43</v>
      </c>
      <c r="AA24">
        <v>0</v>
      </c>
      <c r="AB24" s="3">
        <v>0.38</v>
      </c>
      <c r="AC24" s="2">
        <v>0</v>
      </c>
      <c r="AD24" s="3">
        <v>0</v>
      </c>
      <c r="AE24" s="2">
        <v>0</v>
      </c>
      <c r="AF24" s="2">
        <v>0</v>
      </c>
      <c r="AK24" s="4">
        <v>17100580</v>
      </c>
    </row>
    <row r="25" spans="1:37" x14ac:dyDescent="0.25">
      <c r="A25" s="1">
        <v>45623</v>
      </c>
      <c r="B25" s="1">
        <v>45621</v>
      </c>
      <c r="C25" t="s">
        <v>38</v>
      </c>
      <c r="D25" t="s">
        <v>39</v>
      </c>
      <c r="E25" t="s">
        <v>40</v>
      </c>
      <c r="F25">
        <v>649163</v>
      </c>
      <c r="G25">
        <v>20411454</v>
      </c>
      <c r="H25" t="s">
        <v>41</v>
      </c>
      <c r="I25">
        <v>2025862450</v>
      </c>
      <c r="J25" t="s">
        <v>90</v>
      </c>
      <c r="M25" t="s">
        <v>67</v>
      </c>
      <c r="O25">
        <v>751867</v>
      </c>
      <c r="P25" t="s">
        <v>91</v>
      </c>
      <c r="Q25" t="s">
        <v>45</v>
      </c>
      <c r="R25" t="s">
        <v>55</v>
      </c>
      <c r="S25" s="1">
        <v>45627</v>
      </c>
      <c r="U25" t="s">
        <v>47</v>
      </c>
      <c r="X25" t="s">
        <v>48</v>
      </c>
      <c r="Y25" s="2">
        <v>48.51</v>
      </c>
      <c r="Z25" s="2">
        <v>48.51</v>
      </c>
      <c r="AA25">
        <v>0</v>
      </c>
      <c r="AB25" s="3">
        <v>0.38</v>
      </c>
      <c r="AC25" s="2">
        <v>0</v>
      </c>
      <c r="AD25" s="3">
        <v>0</v>
      </c>
      <c r="AE25" s="2">
        <v>0</v>
      </c>
      <c r="AF25" s="2">
        <v>0</v>
      </c>
      <c r="AK25" s="4">
        <v>17100620</v>
      </c>
    </row>
    <row r="26" spans="1:37" x14ac:dyDescent="0.25">
      <c r="A26" s="1">
        <v>45623</v>
      </c>
      <c r="B26" s="1">
        <v>45621</v>
      </c>
      <c r="C26" t="s">
        <v>38</v>
      </c>
      <c r="D26" t="s">
        <v>39</v>
      </c>
      <c r="E26" t="s">
        <v>40</v>
      </c>
      <c r="F26">
        <v>649163</v>
      </c>
      <c r="G26">
        <v>20411454</v>
      </c>
      <c r="H26" t="s">
        <v>41</v>
      </c>
      <c r="I26">
        <v>2025872066</v>
      </c>
      <c r="J26" t="s">
        <v>93</v>
      </c>
      <c r="M26" t="s">
        <v>53</v>
      </c>
      <c r="O26">
        <v>751867</v>
      </c>
      <c r="P26" t="s">
        <v>91</v>
      </c>
      <c r="Q26" t="s">
        <v>45</v>
      </c>
      <c r="R26" t="s">
        <v>55</v>
      </c>
      <c r="S26" s="1">
        <v>45627</v>
      </c>
      <c r="U26" t="s">
        <v>47</v>
      </c>
      <c r="X26" t="s">
        <v>48</v>
      </c>
      <c r="Y26" s="2">
        <v>87.66</v>
      </c>
      <c r="Z26" s="2">
        <v>87.66</v>
      </c>
      <c r="AA26">
        <v>0</v>
      </c>
      <c r="AB26" s="3">
        <v>0.38</v>
      </c>
      <c r="AC26" s="2">
        <v>0</v>
      </c>
      <c r="AD26" s="3">
        <v>0</v>
      </c>
      <c r="AE26" s="2">
        <v>0</v>
      </c>
      <c r="AF26" s="2">
        <v>0</v>
      </c>
      <c r="AK26" s="4">
        <v>17100620</v>
      </c>
    </row>
    <row r="27" spans="1:37" x14ac:dyDescent="0.25">
      <c r="A27" s="1">
        <v>45623</v>
      </c>
      <c r="B27" s="1">
        <v>45621</v>
      </c>
      <c r="C27" t="s">
        <v>38</v>
      </c>
      <c r="D27" t="s">
        <v>39</v>
      </c>
      <c r="E27" t="s">
        <v>40</v>
      </c>
      <c r="F27">
        <v>649163</v>
      </c>
      <c r="G27">
        <v>20411454</v>
      </c>
      <c r="H27" t="s">
        <v>41</v>
      </c>
      <c r="I27">
        <v>2025888457</v>
      </c>
      <c r="J27" t="s">
        <v>97</v>
      </c>
      <c r="M27" t="s">
        <v>98</v>
      </c>
      <c r="O27">
        <v>751867</v>
      </c>
      <c r="P27" t="s">
        <v>91</v>
      </c>
      <c r="Q27" t="s">
        <v>45</v>
      </c>
      <c r="R27" t="s">
        <v>55</v>
      </c>
      <c r="S27" s="1">
        <v>45627</v>
      </c>
      <c r="U27" t="s">
        <v>47</v>
      </c>
      <c r="X27" t="s">
        <v>48</v>
      </c>
      <c r="Y27" s="2">
        <v>77.010000000000005</v>
      </c>
      <c r="Z27" s="2">
        <v>77.010000000000005</v>
      </c>
      <c r="AA27">
        <v>0</v>
      </c>
      <c r="AB27" s="3">
        <v>0.38</v>
      </c>
      <c r="AC27" s="2">
        <v>0</v>
      </c>
      <c r="AD27" s="3">
        <v>0</v>
      </c>
      <c r="AE27" s="2">
        <v>0</v>
      </c>
      <c r="AF27" s="2">
        <v>0</v>
      </c>
      <c r="AK27" s="4">
        <v>17100630</v>
      </c>
    </row>
    <row r="28" spans="1:37" x14ac:dyDescent="0.25">
      <c r="A28" s="1">
        <v>45623</v>
      </c>
      <c r="B28" s="1">
        <v>45621</v>
      </c>
      <c r="C28" t="s">
        <v>38</v>
      </c>
      <c r="D28" t="s">
        <v>39</v>
      </c>
      <c r="E28" t="s">
        <v>40</v>
      </c>
      <c r="F28">
        <v>649163</v>
      </c>
      <c r="G28">
        <v>20411454</v>
      </c>
      <c r="H28" t="s">
        <v>41</v>
      </c>
      <c r="I28">
        <v>2025892048</v>
      </c>
      <c r="J28" t="s">
        <v>101</v>
      </c>
      <c r="M28" t="s">
        <v>53</v>
      </c>
      <c r="O28">
        <v>650218</v>
      </c>
      <c r="P28" t="s">
        <v>54</v>
      </c>
      <c r="Q28" t="s">
        <v>45</v>
      </c>
      <c r="R28" t="s">
        <v>102</v>
      </c>
      <c r="S28" s="1">
        <v>45658</v>
      </c>
      <c r="U28" t="s">
        <v>47</v>
      </c>
      <c r="X28" t="s">
        <v>48</v>
      </c>
      <c r="Y28" s="2">
        <v>214.75</v>
      </c>
      <c r="Z28" s="2">
        <v>214.75</v>
      </c>
      <c r="AA28">
        <v>0</v>
      </c>
      <c r="AB28" s="3">
        <v>0.13</v>
      </c>
      <c r="AC28" s="2">
        <v>0</v>
      </c>
      <c r="AD28" s="3">
        <v>0</v>
      </c>
      <c r="AE28" s="2">
        <v>0</v>
      </c>
      <c r="AF28" s="2">
        <v>0</v>
      </c>
      <c r="AK28" s="4">
        <v>17073550</v>
      </c>
    </row>
    <row r="29" spans="1:37" x14ac:dyDescent="0.25">
      <c r="A29" s="1">
        <v>45623</v>
      </c>
      <c r="B29" s="1">
        <v>45621</v>
      </c>
      <c r="C29" t="s">
        <v>38</v>
      </c>
      <c r="D29" t="s">
        <v>39</v>
      </c>
      <c r="E29" t="s">
        <v>40</v>
      </c>
      <c r="F29">
        <v>649163</v>
      </c>
      <c r="G29">
        <v>20411454</v>
      </c>
      <c r="H29" t="s">
        <v>41</v>
      </c>
      <c r="I29">
        <v>2025604323</v>
      </c>
      <c r="J29" t="s">
        <v>42</v>
      </c>
      <c r="M29" t="s">
        <v>43</v>
      </c>
      <c r="O29">
        <v>673059</v>
      </c>
      <c r="P29" t="s">
        <v>44</v>
      </c>
      <c r="Q29" t="s">
        <v>45</v>
      </c>
      <c r="R29" t="s">
        <v>49</v>
      </c>
      <c r="S29" s="1">
        <v>45651</v>
      </c>
      <c r="U29" t="s">
        <v>47</v>
      </c>
      <c r="X29" t="s">
        <v>48</v>
      </c>
      <c r="Y29" s="2">
        <v>38.31</v>
      </c>
      <c r="Z29" s="2">
        <v>38.31</v>
      </c>
      <c r="AA29">
        <v>0</v>
      </c>
      <c r="AB29" s="3">
        <v>0.7</v>
      </c>
      <c r="AC29" s="2">
        <v>0</v>
      </c>
      <c r="AD29" s="3">
        <v>0</v>
      </c>
      <c r="AE29" s="2">
        <v>0</v>
      </c>
      <c r="AF29" s="2">
        <v>0</v>
      </c>
      <c r="AK29" s="4">
        <v>17081800</v>
      </c>
    </row>
    <row r="30" spans="1:37" x14ac:dyDescent="0.25">
      <c r="A30" s="1">
        <v>45623</v>
      </c>
      <c r="B30" s="1">
        <v>45621</v>
      </c>
      <c r="C30" t="s">
        <v>38</v>
      </c>
      <c r="D30" t="s">
        <v>39</v>
      </c>
      <c r="E30" t="s">
        <v>40</v>
      </c>
      <c r="F30">
        <v>649163</v>
      </c>
      <c r="G30">
        <v>20411454</v>
      </c>
      <c r="H30" t="s">
        <v>41</v>
      </c>
      <c r="I30">
        <v>2025809461</v>
      </c>
      <c r="J30" t="s">
        <v>50</v>
      </c>
      <c r="M30" t="s">
        <v>43</v>
      </c>
      <c r="O30">
        <v>767312</v>
      </c>
      <c r="P30" t="s">
        <v>51</v>
      </c>
      <c r="Q30" t="s">
        <v>45</v>
      </c>
      <c r="R30" t="s">
        <v>49</v>
      </c>
      <c r="S30" s="1">
        <v>45658</v>
      </c>
      <c r="U30" t="s">
        <v>47</v>
      </c>
      <c r="X30" t="s">
        <v>48</v>
      </c>
      <c r="Y30" s="2">
        <v>38.31</v>
      </c>
      <c r="Z30" s="2">
        <v>38.31</v>
      </c>
      <c r="AA30">
        <v>0</v>
      </c>
      <c r="AB30" s="3">
        <v>0.7</v>
      </c>
      <c r="AC30" s="2">
        <v>0</v>
      </c>
      <c r="AD30" s="3">
        <v>0</v>
      </c>
      <c r="AE30" s="2">
        <v>0</v>
      </c>
      <c r="AF30" s="2">
        <v>0</v>
      </c>
      <c r="AK30" s="4">
        <v>17081910</v>
      </c>
    </row>
    <row r="31" spans="1:37" x14ac:dyDescent="0.25">
      <c r="A31" s="1">
        <v>45623</v>
      </c>
      <c r="B31" s="1">
        <v>45621</v>
      </c>
      <c r="C31" t="s">
        <v>38</v>
      </c>
      <c r="D31" t="s">
        <v>39</v>
      </c>
      <c r="E31" t="s">
        <v>40</v>
      </c>
      <c r="F31">
        <v>649163</v>
      </c>
      <c r="G31">
        <v>20411454</v>
      </c>
      <c r="H31" t="s">
        <v>41</v>
      </c>
      <c r="I31">
        <v>2025819739</v>
      </c>
      <c r="J31" t="s">
        <v>57</v>
      </c>
      <c r="M31" t="s">
        <v>58</v>
      </c>
      <c r="O31">
        <v>767312</v>
      </c>
      <c r="P31" t="s">
        <v>51</v>
      </c>
      <c r="Q31" t="s">
        <v>45</v>
      </c>
      <c r="R31" t="s">
        <v>49</v>
      </c>
      <c r="S31" s="1">
        <v>45627</v>
      </c>
      <c r="U31" t="s">
        <v>47</v>
      </c>
      <c r="X31" t="s">
        <v>48</v>
      </c>
      <c r="Y31" s="2">
        <v>35.06</v>
      </c>
      <c r="Z31" s="2">
        <v>35.06</v>
      </c>
      <c r="AA31">
        <v>0</v>
      </c>
      <c r="AB31" s="3">
        <v>0.7</v>
      </c>
      <c r="AC31" s="2">
        <v>0</v>
      </c>
      <c r="AD31" s="3">
        <v>0</v>
      </c>
      <c r="AE31" s="2">
        <v>0</v>
      </c>
      <c r="AF31" s="2">
        <v>0</v>
      </c>
      <c r="AK31" s="4">
        <v>17082000</v>
      </c>
    </row>
    <row r="32" spans="1:37" x14ac:dyDescent="0.25">
      <c r="A32" s="1">
        <v>45623</v>
      </c>
      <c r="B32" s="1">
        <v>45621</v>
      </c>
      <c r="C32" t="s">
        <v>38</v>
      </c>
      <c r="D32" t="s">
        <v>39</v>
      </c>
      <c r="E32" t="s">
        <v>40</v>
      </c>
      <c r="F32">
        <v>649163</v>
      </c>
      <c r="G32">
        <v>20411454</v>
      </c>
      <c r="H32" t="s">
        <v>41</v>
      </c>
      <c r="I32">
        <v>2025820173</v>
      </c>
      <c r="J32" t="s">
        <v>63</v>
      </c>
      <c r="M32" t="s">
        <v>64</v>
      </c>
      <c r="O32">
        <v>796984</v>
      </c>
      <c r="P32" t="s">
        <v>65</v>
      </c>
      <c r="Q32" t="s">
        <v>45</v>
      </c>
      <c r="R32" t="s">
        <v>49</v>
      </c>
      <c r="S32" s="1">
        <v>45615</v>
      </c>
      <c r="U32" t="s">
        <v>47</v>
      </c>
      <c r="X32" t="s">
        <v>48</v>
      </c>
      <c r="Y32" s="2">
        <v>9.6999999999999993</v>
      </c>
      <c r="Z32" s="2">
        <v>9.6999999999999993</v>
      </c>
      <c r="AA32">
        <v>0</v>
      </c>
      <c r="AB32" s="3">
        <v>0.7</v>
      </c>
      <c r="AC32" s="2">
        <v>0</v>
      </c>
      <c r="AD32" s="3">
        <v>0</v>
      </c>
      <c r="AE32" s="2">
        <v>0</v>
      </c>
      <c r="AF32" s="2">
        <v>0</v>
      </c>
      <c r="AK32" s="4">
        <v>17082000</v>
      </c>
    </row>
    <row r="33" spans="1:37" x14ac:dyDescent="0.25">
      <c r="A33" s="1">
        <v>45623</v>
      </c>
      <c r="B33" s="1">
        <v>45621</v>
      </c>
      <c r="C33" t="s">
        <v>38</v>
      </c>
      <c r="D33" t="s">
        <v>39</v>
      </c>
      <c r="E33" t="s">
        <v>40</v>
      </c>
      <c r="F33">
        <v>649163</v>
      </c>
      <c r="G33">
        <v>20411454</v>
      </c>
      <c r="H33" t="s">
        <v>41</v>
      </c>
      <c r="I33">
        <v>2025821392</v>
      </c>
      <c r="J33" t="s">
        <v>66</v>
      </c>
      <c r="M33" t="s">
        <v>67</v>
      </c>
      <c r="O33">
        <v>673059</v>
      </c>
      <c r="P33" t="s">
        <v>44</v>
      </c>
      <c r="Q33" t="s">
        <v>45</v>
      </c>
      <c r="R33" t="s">
        <v>49</v>
      </c>
      <c r="S33" s="1">
        <v>45658</v>
      </c>
      <c r="U33" t="s">
        <v>47</v>
      </c>
      <c r="X33" t="s">
        <v>48</v>
      </c>
      <c r="Y33" s="2">
        <v>35.36</v>
      </c>
      <c r="Z33" s="2">
        <v>35.36</v>
      </c>
      <c r="AA33">
        <v>0</v>
      </c>
      <c r="AB33" s="3">
        <v>0.7</v>
      </c>
      <c r="AC33" s="2">
        <v>0</v>
      </c>
      <c r="AD33" s="3">
        <v>0</v>
      </c>
      <c r="AE33" s="2">
        <v>0</v>
      </c>
      <c r="AF33" s="2">
        <v>0</v>
      </c>
      <c r="AK33" s="4">
        <v>17082020</v>
      </c>
    </row>
    <row r="34" spans="1:37" x14ac:dyDescent="0.25">
      <c r="A34" s="1">
        <v>45623</v>
      </c>
      <c r="B34" s="1">
        <v>45621</v>
      </c>
      <c r="C34" t="s">
        <v>38</v>
      </c>
      <c r="D34" t="s">
        <v>39</v>
      </c>
      <c r="E34" t="s">
        <v>40</v>
      </c>
      <c r="F34">
        <v>649163</v>
      </c>
      <c r="G34">
        <v>20411454</v>
      </c>
      <c r="H34" t="s">
        <v>41</v>
      </c>
      <c r="I34">
        <v>2025831091</v>
      </c>
      <c r="J34" t="s">
        <v>69</v>
      </c>
      <c r="M34" t="s">
        <v>67</v>
      </c>
      <c r="O34">
        <v>673059</v>
      </c>
      <c r="P34" t="s">
        <v>44</v>
      </c>
      <c r="Q34" t="s">
        <v>45</v>
      </c>
      <c r="R34" t="s">
        <v>49</v>
      </c>
      <c r="S34" s="1">
        <v>45658</v>
      </c>
      <c r="U34" t="s">
        <v>47</v>
      </c>
      <c r="X34" t="s">
        <v>48</v>
      </c>
      <c r="Y34" s="2">
        <v>70.989999999999995</v>
      </c>
      <c r="Z34" s="2">
        <v>70.989999999999995</v>
      </c>
      <c r="AA34">
        <v>0</v>
      </c>
      <c r="AB34" s="3">
        <v>0.7</v>
      </c>
      <c r="AC34" s="2">
        <v>0</v>
      </c>
      <c r="AD34" s="3">
        <v>0</v>
      </c>
      <c r="AE34" s="2">
        <v>0</v>
      </c>
      <c r="AF34" s="2">
        <v>0</v>
      </c>
      <c r="AK34" s="4">
        <v>17082110</v>
      </c>
    </row>
    <row r="35" spans="1:37" x14ac:dyDescent="0.25">
      <c r="A35" s="1">
        <v>45623</v>
      </c>
      <c r="B35" s="1">
        <v>45621</v>
      </c>
      <c r="C35" t="s">
        <v>38</v>
      </c>
      <c r="D35" t="s">
        <v>39</v>
      </c>
      <c r="E35" t="s">
        <v>40</v>
      </c>
      <c r="F35">
        <v>649163</v>
      </c>
      <c r="G35">
        <v>20411454</v>
      </c>
      <c r="H35" t="s">
        <v>41</v>
      </c>
      <c r="I35">
        <v>2025831418</v>
      </c>
      <c r="J35" t="s">
        <v>70</v>
      </c>
      <c r="M35" t="s">
        <v>67</v>
      </c>
      <c r="O35">
        <v>673059</v>
      </c>
      <c r="P35" t="s">
        <v>44</v>
      </c>
      <c r="Q35" t="s">
        <v>45</v>
      </c>
      <c r="R35" t="s">
        <v>49</v>
      </c>
      <c r="S35" s="1">
        <v>45658</v>
      </c>
      <c r="U35" t="s">
        <v>47</v>
      </c>
      <c r="X35" t="s">
        <v>48</v>
      </c>
      <c r="Y35" s="2">
        <v>13.95</v>
      </c>
      <c r="Z35" s="2">
        <v>13.95</v>
      </c>
      <c r="AA35">
        <v>0</v>
      </c>
      <c r="AB35" s="3">
        <v>0.7</v>
      </c>
      <c r="AC35" s="2">
        <v>0</v>
      </c>
      <c r="AD35" s="3">
        <v>0</v>
      </c>
      <c r="AE35" s="2">
        <v>0</v>
      </c>
      <c r="AF35" s="2">
        <v>0</v>
      </c>
      <c r="AK35" s="4">
        <v>17082120</v>
      </c>
    </row>
    <row r="36" spans="1:37" x14ac:dyDescent="0.25">
      <c r="A36" s="1">
        <v>45623</v>
      </c>
      <c r="B36" s="1">
        <v>45621</v>
      </c>
      <c r="C36" t="s">
        <v>38</v>
      </c>
      <c r="D36" t="s">
        <v>39</v>
      </c>
      <c r="E36" t="s">
        <v>40</v>
      </c>
      <c r="F36">
        <v>649163</v>
      </c>
      <c r="G36">
        <v>20411454</v>
      </c>
      <c r="H36" t="s">
        <v>41</v>
      </c>
      <c r="I36">
        <v>2025839288</v>
      </c>
      <c r="J36" t="s">
        <v>71</v>
      </c>
      <c r="M36" t="s">
        <v>72</v>
      </c>
      <c r="O36">
        <v>673059</v>
      </c>
      <c r="P36" t="s">
        <v>44</v>
      </c>
      <c r="Q36" t="s">
        <v>45</v>
      </c>
      <c r="R36" t="s">
        <v>49</v>
      </c>
      <c r="S36" s="1">
        <v>45658</v>
      </c>
      <c r="U36" t="s">
        <v>47</v>
      </c>
      <c r="X36" t="s">
        <v>48</v>
      </c>
      <c r="Y36" s="2">
        <v>124.21</v>
      </c>
      <c r="Z36" s="2">
        <v>124.21</v>
      </c>
      <c r="AA36">
        <v>0</v>
      </c>
      <c r="AB36" s="3">
        <v>0.7</v>
      </c>
      <c r="AC36" s="2">
        <v>0</v>
      </c>
      <c r="AD36" s="3">
        <v>0</v>
      </c>
      <c r="AE36" s="2">
        <v>0</v>
      </c>
      <c r="AF36" s="2">
        <v>0</v>
      </c>
      <c r="AK36" s="4">
        <v>17082190</v>
      </c>
    </row>
    <row r="37" spans="1:37" x14ac:dyDescent="0.25">
      <c r="A37" s="1">
        <v>45623</v>
      </c>
      <c r="B37" s="1">
        <v>45621</v>
      </c>
      <c r="C37" t="s">
        <v>38</v>
      </c>
      <c r="D37" t="s">
        <v>39</v>
      </c>
      <c r="E37" t="s">
        <v>40</v>
      </c>
      <c r="F37">
        <v>649163</v>
      </c>
      <c r="G37">
        <v>20411454</v>
      </c>
      <c r="H37" t="s">
        <v>41</v>
      </c>
      <c r="I37">
        <v>2025842066</v>
      </c>
      <c r="J37" t="s">
        <v>73</v>
      </c>
      <c r="M37" t="s">
        <v>74</v>
      </c>
      <c r="O37">
        <v>768271</v>
      </c>
      <c r="P37" t="s">
        <v>75</v>
      </c>
      <c r="Q37" t="s">
        <v>45</v>
      </c>
      <c r="R37" t="s">
        <v>49</v>
      </c>
      <c r="S37" s="1">
        <v>45616</v>
      </c>
      <c r="U37" t="s">
        <v>47</v>
      </c>
      <c r="X37" t="s">
        <v>48</v>
      </c>
      <c r="Y37" s="2">
        <v>74.58</v>
      </c>
      <c r="Z37" s="2">
        <v>74.58</v>
      </c>
      <c r="AA37">
        <v>0</v>
      </c>
      <c r="AB37" s="3">
        <v>0.7</v>
      </c>
      <c r="AC37" s="2">
        <v>0</v>
      </c>
      <c r="AD37" s="3">
        <v>0</v>
      </c>
      <c r="AE37" s="2">
        <v>0</v>
      </c>
      <c r="AF37" s="2">
        <v>0</v>
      </c>
      <c r="AK37" s="4">
        <v>17082220</v>
      </c>
    </row>
    <row r="38" spans="1:37" x14ac:dyDescent="0.25">
      <c r="A38" s="1">
        <v>45623</v>
      </c>
      <c r="B38" s="1">
        <v>45621</v>
      </c>
      <c r="C38" t="s">
        <v>38</v>
      </c>
      <c r="D38" t="s">
        <v>39</v>
      </c>
      <c r="E38" t="s">
        <v>40</v>
      </c>
      <c r="F38">
        <v>649163</v>
      </c>
      <c r="G38">
        <v>20411454</v>
      </c>
      <c r="H38" t="s">
        <v>41</v>
      </c>
      <c r="I38">
        <v>2025844894</v>
      </c>
      <c r="J38" t="s">
        <v>76</v>
      </c>
      <c r="M38" t="s">
        <v>74</v>
      </c>
      <c r="O38">
        <v>807212</v>
      </c>
      <c r="P38" t="s">
        <v>77</v>
      </c>
      <c r="Q38" t="s">
        <v>45</v>
      </c>
      <c r="R38" t="s">
        <v>49</v>
      </c>
      <c r="S38" s="1">
        <v>45617</v>
      </c>
      <c r="U38" t="s">
        <v>47</v>
      </c>
      <c r="X38" t="s">
        <v>48</v>
      </c>
      <c r="Y38" s="2">
        <v>121.06</v>
      </c>
      <c r="Z38" s="2">
        <v>121.06</v>
      </c>
      <c r="AA38">
        <v>0</v>
      </c>
      <c r="AB38" s="3">
        <v>0.7</v>
      </c>
      <c r="AC38" s="2">
        <v>0</v>
      </c>
      <c r="AD38" s="3">
        <v>0</v>
      </c>
      <c r="AE38" s="2">
        <v>0</v>
      </c>
      <c r="AF38" s="2">
        <v>0</v>
      </c>
      <c r="AK38" s="4">
        <v>17082240</v>
      </c>
    </row>
    <row r="39" spans="1:37" x14ac:dyDescent="0.25">
      <c r="A39" s="1">
        <v>45623</v>
      </c>
      <c r="B39" s="1">
        <v>45621</v>
      </c>
      <c r="C39" t="s">
        <v>38</v>
      </c>
      <c r="D39" t="s">
        <v>39</v>
      </c>
      <c r="E39" t="s">
        <v>40</v>
      </c>
      <c r="F39">
        <v>649163</v>
      </c>
      <c r="G39">
        <v>20411454</v>
      </c>
      <c r="H39" t="s">
        <v>41</v>
      </c>
      <c r="I39">
        <v>2025845319</v>
      </c>
      <c r="J39" t="s">
        <v>79</v>
      </c>
      <c r="M39" t="s">
        <v>80</v>
      </c>
      <c r="O39">
        <v>673059</v>
      </c>
      <c r="P39" t="s">
        <v>44</v>
      </c>
      <c r="Q39" t="s">
        <v>45</v>
      </c>
      <c r="R39" t="s">
        <v>49</v>
      </c>
      <c r="S39" s="1">
        <v>45658</v>
      </c>
      <c r="U39" t="s">
        <v>47</v>
      </c>
      <c r="X39" t="s">
        <v>48</v>
      </c>
      <c r="Y39" s="2">
        <v>73.94</v>
      </c>
      <c r="Z39" s="2">
        <v>73.94</v>
      </c>
      <c r="AA39">
        <v>0</v>
      </c>
      <c r="AB39" s="3">
        <v>0.7</v>
      </c>
      <c r="AC39" s="2">
        <v>0</v>
      </c>
      <c r="AD39" s="3">
        <v>0</v>
      </c>
      <c r="AE39" s="2">
        <v>0</v>
      </c>
      <c r="AF39" s="2">
        <v>0</v>
      </c>
      <c r="AK39" s="4">
        <v>17082240</v>
      </c>
    </row>
    <row r="40" spans="1:37" x14ac:dyDescent="0.25">
      <c r="A40" s="1">
        <v>45623</v>
      </c>
      <c r="B40" s="1">
        <v>45621</v>
      </c>
      <c r="C40" t="s">
        <v>38</v>
      </c>
      <c r="D40" t="s">
        <v>39</v>
      </c>
      <c r="E40" t="s">
        <v>40</v>
      </c>
      <c r="F40">
        <v>649163</v>
      </c>
      <c r="G40">
        <v>20411454</v>
      </c>
      <c r="H40" t="s">
        <v>41</v>
      </c>
      <c r="I40">
        <v>2025847341</v>
      </c>
      <c r="J40" t="s">
        <v>81</v>
      </c>
      <c r="M40" t="s">
        <v>67</v>
      </c>
      <c r="O40">
        <v>767312</v>
      </c>
      <c r="P40" t="s">
        <v>51</v>
      </c>
      <c r="Q40" t="s">
        <v>45</v>
      </c>
      <c r="R40" t="s">
        <v>49</v>
      </c>
      <c r="S40" s="1">
        <v>45658</v>
      </c>
      <c r="U40" t="s">
        <v>47</v>
      </c>
      <c r="X40" t="s">
        <v>48</v>
      </c>
      <c r="Y40" s="2">
        <v>49.56</v>
      </c>
      <c r="Z40" s="2">
        <v>49.56</v>
      </c>
      <c r="AA40">
        <v>0</v>
      </c>
      <c r="AB40" s="3">
        <v>0.7</v>
      </c>
      <c r="AC40" s="2">
        <v>0</v>
      </c>
      <c r="AD40" s="3">
        <v>0</v>
      </c>
      <c r="AE40" s="2">
        <v>0</v>
      </c>
      <c r="AF40" s="2">
        <v>0</v>
      </c>
      <c r="AK40" s="4">
        <v>17082270</v>
      </c>
    </row>
    <row r="41" spans="1:37" x14ac:dyDescent="0.25">
      <c r="A41" s="1">
        <v>45623</v>
      </c>
      <c r="B41" s="1">
        <v>45621</v>
      </c>
      <c r="C41" t="s">
        <v>38</v>
      </c>
      <c r="D41" t="s">
        <v>39</v>
      </c>
      <c r="E41" t="s">
        <v>40</v>
      </c>
      <c r="F41">
        <v>649163</v>
      </c>
      <c r="G41">
        <v>20411454</v>
      </c>
      <c r="H41" t="s">
        <v>41</v>
      </c>
      <c r="I41">
        <v>2025847603</v>
      </c>
      <c r="J41" t="s">
        <v>82</v>
      </c>
      <c r="M41" t="s">
        <v>74</v>
      </c>
      <c r="O41">
        <v>807212</v>
      </c>
      <c r="P41" t="s">
        <v>77</v>
      </c>
      <c r="Q41" t="s">
        <v>45</v>
      </c>
      <c r="R41" t="s">
        <v>49</v>
      </c>
      <c r="S41" s="1">
        <v>45617</v>
      </c>
      <c r="U41" t="s">
        <v>47</v>
      </c>
      <c r="X41" t="s">
        <v>48</v>
      </c>
      <c r="Y41" s="2">
        <v>46.08</v>
      </c>
      <c r="Z41" s="2">
        <v>46.08</v>
      </c>
      <c r="AA41">
        <v>0</v>
      </c>
      <c r="AB41" s="3">
        <v>0.7</v>
      </c>
      <c r="AC41" s="2">
        <v>0</v>
      </c>
      <c r="AD41" s="3">
        <v>0</v>
      </c>
      <c r="AE41" s="2">
        <v>0</v>
      </c>
      <c r="AF41" s="2">
        <v>0</v>
      </c>
      <c r="AK41" s="4">
        <v>17082280</v>
      </c>
    </row>
    <row r="42" spans="1:37" x14ac:dyDescent="0.25">
      <c r="A42" s="1">
        <v>45623</v>
      </c>
      <c r="B42" s="1">
        <v>45621</v>
      </c>
      <c r="C42" t="s">
        <v>38</v>
      </c>
      <c r="D42" t="s">
        <v>39</v>
      </c>
      <c r="E42" t="s">
        <v>40</v>
      </c>
      <c r="F42">
        <v>649163</v>
      </c>
      <c r="G42">
        <v>20411454</v>
      </c>
      <c r="H42" t="s">
        <v>41</v>
      </c>
      <c r="I42">
        <v>2025850683</v>
      </c>
      <c r="J42" t="s">
        <v>84</v>
      </c>
      <c r="M42" t="s">
        <v>85</v>
      </c>
      <c r="O42">
        <v>673059</v>
      </c>
      <c r="P42" t="s">
        <v>44</v>
      </c>
      <c r="Q42" t="s">
        <v>45</v>
      </c>
      <c r="R42" t="s">
        <v>49</v>
      </c>
      <c r="S42" s="1">
        <v>45658</v>
      </c>
      <c r="U42" t="s">
        <v>47</v>
      </c>
      <c r="X42" t="s">
        <v>48</v>
      </c>
      <c r="Y42" s="2">
        <v>35.04</v>
      </c>
      <c r="Z42" s="2">
        <v>35.04</v>
      </c>
      <c r="AA42">
        <v>0</v>
      </c>
      <c r="AB42" s="3">
        <v>0.7</v>
      </c>
      <c r="AC42" s="2">
        <v>0</v>
      </c>
      <c r="AD42" s="3">
        <v>0</v>
      </c>
      <c r="AE42" s="2">
        <v>0</v>
      </c>
      <c r="AF42" s="2">
        <v>0</v>
      </c>
      <c r="AK42" s="4">
        <v>17082330</v>
      </c>
    </row>
    <row r="43" spans="1:37" x14ac:dyDescent="0.25">
      <c r="A43" s="1">
        <v>45623</v>
      </c>
      <c r="B43" s="1">
        <v>45621</v>
      </c>
      <c r="C43" t="s">
        <v>38</v>
      </c>
      <c r="D43" t="s">
        <v>39</v>
      </c>
      <c r="E43" t="s">
        <v>40</v>
      </c>
      <c r="F43">
        <v>649163</v>
      </c>
      <c r="G43">
        <v>20411454</v>
      </c>
      <c r="H43" t="s">
        <v>41</v>
      </c>
      <c r="I43">
        <v>2025852190</v>
      </c>
      <c r="J43" t="s">
        <v>87</v>
      </c>
      <c r="M43" t="s">
        <v>43</v>
      </c>
      <c r="O43">
        <v>767312</v>
      </c>
      <c r="P43" t="s">
        <v>51</v>
      </c>
      <c r="Q43" t="s">
        <v>45</v>
      </c>
      <c r="R43" t="s">
        <v>49</v>
      </c>
      <c r="S43" s="1">
        <v>45627</v>
      </c>
      <c r="U43" t="s">
        <v>47</v>
      </c>
      <c r="X43" t="s">
        <v>48</v>
      </c>
      <c r="Y43" s="2">
        <v>83</v>
      </c>
      <c r="Z43" s="2">
        <v>83</v>
      </c>
      <c r="AA43">
        <v>0</v>
      </c>
      <c r="AB43" s="3">
        <v>0.7</v>
      </c>
      <c r="AC43" s="2">
        <v>0</v>
      </c>
      <c r="AD43" s="3">
        <v>0</v>
      </c>
      <c r="AE43" s="2">
        <v>0</v>
      </c>
      <c r="AF43" s="2">
        <v>0</v>
      </c>
      <c r="AK43" s="4">
        <v>17082350</v>
      </c>
    </row>
    <row r="44" spans="1:37" x14ac:dyDescent="0.25">
      <c r="A44" s="1">
        <v>45623</v>
      </c>
      <c r="B44" s="1">
        <v>45621</v>
      </c>
      <c r="C44" t="s">
        <v>38</v>
      </c>
      <c r="D44" t="s">
        <v>39</v>
      </c>
      <c r="E44" t="s">
        <v>40</v>
      </c>
      <c r="F44">
        <v>649163</v>
      </c>
      <c r="G44">
        <v>20411454</v>
      </c>
      <c r="H44" t="s">
        <v>41</v>
      </c>
      <c r="I44">
        <v>2025855065</v>
      </c>
      <c r="J44" t="s">
        <v>88</v>
      </c>
      <c r="M44" t="s">
        <v>74</v>
      </c>
      <c r="O44">
        <v>673059</v>
      </c>
      <c r="P44" t="s">
        <v>44</v>
      </c>
      <c r="Q44" t="s">
        <v>45</v>
      </c>
      <c r="R44" t="s">
        <v>49</v>
      </c>
      <c r="S44" s="1">
        <v>45658</v>
      </c>
      <c r="U44" t="s">
        <v>47</v>
      </c>
      <c r="X44" t="s">
        <v>48</v>
      </c>
      <c r="Y44" s="2">
        <v>60.8</v>
      </c>
      <c r="Z44" s="2">
        <v>60.8</v>
      </c>
      <c r="AA44">
        <v>0</v>
      </c>
      <c r="AB44" s="3">
        <v>0.7</v>
      </c>
      <c r="AC44" s="2">
        <v>0</v>
      </c>
      <c r="AD44" s="3">
        <v>0</v>
      </c>
      <c r="AE44" s="2">
        <v>0</v>
      </c>
      <c r="AF44" s="2">
        <v>0</v>
      </c>
      <c r="AK44" s="4">
        <v>17082370</v>
      </c>
    </row>
    <row r="45" spans="1:37" x14ac:dyDescent="0.25">
      <c r="A45" s="1">
        <v>45623</v>
      </c>
      <c r="B45" s="1">
        <v>45621</v>
      </c>
      <c r="C45" t="s">
        <v>38</v>
      </c>
      <c r="D45" t="s">
        <v>39</v>
      </c>
      <c r="E45" t="s">
        <v>40</v>
      </c>
      <c r="F45">
        <v>649163</v>
      </c>
      <c r="G45">
        <v>20411454</v>
      </c>
      <c r="H45" t="s">
        <v>41</v>
      </c>
      <c r="I45">
        <v>2025888228</v>
      </c>
      <c r="J45" t="s">
        <v>96</v>
      </c>
      <c r="M45" t="s">
        <v>74</v>
      </c>
      <c r="O45">
        <v>673059</v>
      </c>
      <c r="P45" t="s">
        <v>44</v>
      </c>
      <c r="Q45" t="s">
        <v>45</v>
      </c>
      <c r="R45" t="s">
        <v>49</v>
      </c>
      <c r="S45" s="1">
        <v>45658</v>
      </c>
      <c r="U45" t="s">
        <v>47</v>
      </c>
      <c r="X45" t="s">
        <v>48</v>
      </c>
      <c r="Y45" s="2">
        <v>62.75</v>
      </c>
      <c r="Z45" s="2">
        <v>62.75</v>
      </c>
      <c r="AA45">
        <v>0</v>
      </c>
      <c r="AB45" s="3">
        <v>0.7</v>
      </c>
      <c r="AC45" s="2">
        <v>0</v>
      </c>
      <c r="AD45" s="3">
        <v>0</v>
      </c>
      <c r="AE45" s="2">
        <v>0</v>
      </c>
      <c r="AF45" s="2">
        <v>0</v>
      </c>
      <c r="AK45" s="4">
        <v>17082660</v>
      </c>
    </row>
    <row r="46" spans="1:37" x14ac:dyDescent="0.25">
      <c r="A46" s="1">
        <v>45623</v>
      </c>
      <c r="B46" s="1">
        <v>45621</v>
      </c>
      <c r="C46" t="s">
        <v>38</v>
      </c>
      <c r="D46" t="s">
        <v>39</v>
      </c>
      <c r="E46" t="s">
        <v>40</v>
      </c>
      <c r="F46">
        <v>649163</v>
      </c>
      <c r="G46">
        <v>20411454</v>
      </c>
      <c r="H46" t="s">
        <v>41</v>
      </c>
      <c r="I46">
        <v>2025894366</v>
      </c>
      <c r="J46" t="s">
        <v>103</v>
      </c>
      <c r="M46" t="s">
        <v>80</v>
      </c>
      <c r="O46">
        <v>766422</v>
      </c>
      <c r="P46" t="s">
        <v>104</v>
      </c>
      <c r="Q46" t="s">
        <v>45</v>
      </c>
      <c r="R46" t="s">
        <v>49</v>
      </c>
      <c r="S46" s="1">
        <v>45627</v>
      </c>
      <c r="U46" t="s">
        <v>47</v>
      </c>
      <c r="X46" t="s">
        <v>48</v>
      </c>
      <c r="Y46" s="2">
        <v>8.76</v>
      </c>
      <c r="Z46" s="2">
        <v>8.76</v>
      </c>
      <c r="AA46">
        <v>0</v>
      </c>
      <c r="AB46" s="3">
        <v>0.7</v>
      </c>
      <c r="AC46" s="2">
        <v>0</v>
      </c>
      <c r="AD46" s="3">
        <v>0</v>
      </c>
      <c r="AE46" s="2">
        <v>0</v>
      </c>
      <c r="AF46" s="2">
        <v>0</v>
      </c>
      <c r="AK46" s="4">
        <v>17082700</v>
      </c>
    </row>
    <row r="47" spans="1:37" x14ac:dyDescent="0.25">
      <c r="A47" s="1">
        <v>45623</v>
      </c>
      <c r="B47" s="1">
        <v>45621</v>
      </c>
      <c r="C47" t="s">
        <v>38</v>
      </c>
      <c r="D47" t="s">
        <v>39</v>
      </c>
      <c r="E47" t="s">
        <v>40</v>
      </c>
      <c r="F47">
        <v>649163</v>
      </c>
      <c r="G47">
        <v>20411454</v>
      </c>
      <c r="H47" t="s">
        <v>41</v>
      </c>
      <c r="I47">
        <v>2025894962</v>
      </c>
      <c r="J47" t="s">
        <v>105</v>
      </c>
      <c r="M47" t="s">
        <v>106</v>
      </c>
      <c r="O47">
        <v>673059</v>
      </c>
      <c r="P47" t="s">
        <v>44</v>
      </c>
      <c r="Q47" t="s">
        <v>45</v>
      </c>
      <c r="R47" t="s">
        <v>49</v>
      </c>
      <c r="S47" s="1">
        <v>45658</v>
      </c>
      <c r="U47" t="s">
        <v>47</v>
      </c>
      <c r="X47" t="s">
        <v>48</v>
      </c>
      <c r="Y47" s="2">
        <v>23.25</v>
      </c>
      <c r="Z47" s="2">
        <v>23.25</v>
      </c>
      <c r="AA47">
        <v>0</v>
      </c>
      <c r="AB47" s="3">
        <v>0.7</v>
      </c>
      <c r="AC47" s="2">
        <v>0</v>
      </c>
      <c r="AD47" s="3">
        <v>0</v>
      </c>
      <c r="AE47" s="2">
        <v>0</v>
      </c>
      <c r="AF47" s="2">
        <v>0</v>
      </c>
      <c r="AK47" s="4">
        <v>17082700</v>
      </c>
    </row>
    <row r="48" spans="1:37" x14ac:dyDescent="0.25">
      <c r="A48" s="1">
        <v>45623</v>
      </c>
      <c r="B48" s="1">
        <v>45621</v>
      </c>
      <c r="C48" t="s">
        <v>38</v>
      </c>
      <c r="D48" t="s">
        <v>39</v>
      </c>
      <c r="E48" t="s">
        <v>40</v>
      </c>
      <c r="F48">
        <v>649163</v>
      </c>
      <c r="G48">
        <v>20411454</v>
      </c>
      <c r="H48" t="s">
        <v>41</v>
      </c>
      <c r="I48">
        <v>2025895058</v>
      </c>
      <c r="J48" t="s">
        <v>107</v>
      </c>
      <c r="M48" t="s">
        <v>74</v>
      </c>
      <c r="O48">
        <v>807212</v>
      </c>
      <c r="P48" t="s">
        <v>77</v>
      </c>
      <c r="Q48" t="s">
        <v>45</v>
      </c>
      <c r="R48" t="s">
        <v>49</v>
      </c>
      <c r="S48" s="1">
        <v>45619</v>
      </c>
      <c r="U48" t="s">
        <v>47</v>
      </c>
      <c r="X48" t="s">
        <v>48</v>
      </c>
      <c r="Y48" s="2">
        <v>49.92</v>
      </c>
      <c r="Z48" s="2">
        <v>49.92</v>
      </c>
      <c r="AA48">
        <v>0</v>
      </c>
      <c r="AB48" s="3">
        <v>0.7</v>
      </c>
      <c r="AC48" s="2">
        <v>0</v>
      </c>
      <c r="AD48" s="3">
        <v>0</v>
      </c>
      <c r="AE48" s="2">
        <v>0</v>
      </c>
      <c r="AF48" s="2">
        <v>0</v>
      </c>
      <c r="AK48" s="4">
        <v>17082700</v>
      </c>
    </row>
    <row r="49" spans="1:37" x14ac:dyDescent="0.25">
      <c r="A49" s="1">
        <v>45623</v>
      </c>
      <c r="B49" s="1">
        <v>45621</v>
      </c>
      <c r="C49" t="s">
        <v>38</v>
      </c>
      <c r="D49" t="s">
        <v>39</v>
      </c>
      <c r="E49" t="s">
        <v>40</v>
      </c>
      <c r="F49">
        <v>649163</v>
      </c>
      <c r="G49">
        <v>20411454</v>
      </c>
      <c r="H49" t="s">
        <v>41</v>
      </c>
      <c r="I49">
        <v>2025819738</v>
      </c>
      <c r="J49" t="s">
        <v>57</v>
      </c>
      <c r="M49" t="s">
        <v>58</v>
      </c>
      <c r="O49">
        <v>767312</v>
      </c>
      <c r="P49" t="s">
        <v>51</v>
      </c>
      <c r="Q49" t="s">
        <v>45</v>
      </c>
      <c r="R49" t="s">
        <v>59</v>
      </c>
      <c r="S49" s="1">
        <v>45627</v>
      </c>
      <c r="U49" t="s">
        <v>47</v>
      </c>
      <c r="X49" t="s">
        <v>48</v>
      </c>
      <c r="Y49" s="2">
        <v>24.36</v>
      </c>
      <c r="Z49" s="2">
        <v>24.36</v>
      </c>
      <c r="AA49">
        <v>0</v>
      </c>
      <c r="AB49" s="3">
        <v>0.375</v>
      </c>
      <c r="AC49" s="2">
        <v>0</v>
      </c>
      <c r="AD49" s="3">
        <v>0</v>
      </c>
      <c r="AE49" s="2">
        <v>0</v>
      </c>
      <c r="AF49" s="2">
        <v>0</v>
      </c>
      <c r="AK49" s="4">
        <v>17098970</v>
      </c>
    </row>
    <row r="50" spans="1:37" x14ac:dyDescent="0.25">
      <c r="A50" s="1">
        <v>45623</v>
      </c>
      <c r="B50" s="1">
        <v>45621</v>
      </c>
      <c r="C50" t="s">
        <v>38</v>
      </c>
      <c r="D50" t="s">
        <v>39</v>
      </c>
      <c r="E50" t="s">
        <v>40</v>
      </c>
      <c r="F50">
        <v>649163</v>
      </c>
      <c r="G50">
        <v>20411454</v>
      </c>
      <c r="H50" t="s">
        <v>41</v>
      </c>
      <c r="I50">
        <v>2025820105</v>
      </c>
      <c r="J50" t="s">
        <v>61</v>
      </c>
      <c r="M50" t="s">
        <v>58</v>
      </c>
      <c r="O50">
        <v>767312</v>
      </c>
      <c r="P50" t="s">
        <v>51</v>
      </c>
      <c r="Q50" t="s">
        <v>45</v>
      </c>
      <c r="R50" t="s">
        <v>59</v>
      </c>
      <c r="S50" s="1">
        <v>45627</v>
      </c>
      <c r="U50" t="s">
        <v>47</v>
      </c>
      <c r="X50" t="s">
        <v>48</v>
      </c>
      <c r="Y50" s="2">
        <v>24.36</v>
      </c>
      <c r="Z50" s="2">
        <v>24.36</v>
      </c>
      <c r="AA50">
        <v>0</v>
      </c>
      <c r="AB50" s="3">
        <v>0.375</v>
      </c>
      <c r="AC50" s="2">
        <v>0</v>
      </c>
      <c r="AD50" s="3">
        <v>0</v>
      </c>
      <c r="AE50" s="2">
        <v>0</v>
      </c>
      <c r="AF50" s="2">
        <v>0</v>
      </c>
      <c r="AK50" s="4">
        <v>17098980</v>
      </c>
    </row>
    <row r="51" spans="1:37" x14ac:dyDescent="0.25">
      <c r="A51" s="1">
        <v>45623</v>
      </c>
      <c r="B51" s="1">
        <v>45621</v>
      </c>
      <c r="C51" t="s">
        <v>38</v>
      </c>
      <c r="D51" t="s">
        <v>39</v>
      </c>
      <c r="E51" t="s">
        <v>40</v>
      </c>
      <c r="F51">
        <v>649163</v>
      </c>
      <c r="G51">
        <v>20411454</v>
      </c>
      <c r="H51" t="s">
        <v>41</v>
      </c>
      <c r="I51">
        <v>2025831092</v>
      </c>
      <c r="J51" t="s">
        <v>69</v>
      </c>
      <c r="M51" t="s">
        <v>67</v>
      </c>
      <c r="O51">
        <v>673059</v>
      </c>
      <c r="P51" t="s">
        <v>44</v>
      </c>
      <c r="Q51" t="s">
        <v>45</v>
      </c>
      <c r="R51" t="s">
        <v>59</v>
      </c>
      <c r="S51" s="1">
        <v>45658</v>
      </c>
      <c r="U51" t="s">
        <v>47</v>
      </c>
      <c r="X51" t="s">
        <v>48</v>
      </c>
      <c r="Y51" s="2">
        <v>72.83</v>
      </c>
      <c r="Z51" s="2">
        <v>72.83</v>
      </c>
      <c r="AA51">
        <v>0</v>
      </c>
      <c r="AB51" s="3">
        <v>0.375</v>
      </c>
      <c r="AC51" s="2">
        <v>0</v>
      </c>
      <c r="AD51" s="3">
        <v>0</v>
      </c>
      <c r="AE51" s="2">
        <v>0</v>
      </c>
      <c r="AF51" s="2">
        <v>0</v>
      </c>
      <c r="AK51" s="4">
        <v>17099120</v>
      </c>
    </row>
    <row r="52" spans="1:37" x14ac:dyDescent="0.25">
      <c r="A52" s="1">
        <v>45623</v>
      </c>
      <c r="B52" s="1">
        <v>45621</v>
      </c>
      <c r="C52" t="s">
        <v>38</v>
      </c>
      <c r="D52" t="s">
        <v>39</v>
      </c>
      <c r="E52" t="s">
        <v>40</v>
      </c>
      <c r="F52">
        <v>649163</v>
      </c>
      <c r="G52">
        <v>20411454</v>
      </c>
      <c r="H52" t="s">
        <v>41</v>
      </c>
      <c r="I52">
        <v>2025831420</v>
      </c>
      <c r="J52" t="s">
        <v>70</v>
      </c>
      <c r="M52" t="s">
        <v>67</v>
      </c>
      <c r="O52">
        <v>673059</v>
      </c>
      <c r="P52" t="s">
        <v>44</v>
      </c>
      <c r="Q52" t="s">
        <v>45</v>
      </c>
      <c r="R52" t="s">
        <v>59</v>
      </c>
      <c r="S52" s="1">
        <v>45658</v>
      </c>
      <c r="U52" t="s">
        <v>47</v>
      </c>
      <c r="X52" t="s">
        <v>48</v>
      </c>
      <c r="Y52" s="2">
        <v>41.72</v>
      </c>
      <c r="Z52" s="2">
        <v>41.72</v>
      </c>
      <c r="AA52">
        <v>0</v>
      </c>
      <c r="AB52" s="3">
        <v>0.375</v>
      </c>
      <c r="AC52" s="2">
        <v>0</v>
      </c>
      <c r="AD52" s="3">
        <v>0</v>
      </c>
      <c r="AE52" s="2">
        <v>0</v>
      </c>
      <c r="AF52" s="2">
        <v>0</v>
      </c>
      <c r="AK52" s="4">
        <v>17099130</v>
      </c>
    </row>
    <row r="53" spans="1:37" x14ac:dyDescent="0.25">
      <c r="A53" s="1">
        <v>45623</v>
      </c>
      <c r="B53" s="1">
        <v>45621</v>
      </c>
      <c r="C53" t="s">
        <v>38</v>
      </c>
      <c r="D53" t="s">
        <v>39</v>
      </c>
      <c r="E53" t="s">
        <v>40</v>
      </c>
      <c r="F53">
        <v>649163</v>
      </c>
      <c r="G53">
        <v>20411454</v>
      </c>
      <c r="H53" t="s">
        <v>41</v>
      </c>
      <c r="I53">
        <v>2025839290</v>
      </c>
      <c r="J53" t="s">
        <v>71</v>
      </c>
      <c r="M53" t="s">
        <v>72</v>
      </c>
      <c r="O53">
        <v>673059</v>
      </c>
      <c r="P53" t="s">
        <v>44</v>
      </c>
      <c r="Q53" t="s">
        <v>45</v>
      </c>
      <c r="R53" t="s">
        <v>59</v>
      </c>
      <c r="S53" s="1">
        <v>45658</v>
      </c>
      <c r="U53" t="s">
        <v>47</v>
      </c>
      <c r="X53" t="s">
        <v>48</v>
      </c>
      <c r="Y53" s="2">
        <v>51.08</v>
      </c>
      <c r="Z53" s="2">
        <v>51.08</v>
      </c>
      <c r="AA53">
        <v>0</v>
      </c>
      <c r="AB53" s="3">
        <v>0.375</v>
      </c>
      <c r="AC53" s="2">
        <v>0</v>
      </c>
      <c r="AD53" s="3">
        <v>0</v>
      </c>
      <c r="AE53" s="2">
        <v>0</v>
      </c>
      <c r="AF53" s="2">
        <v>0</v>
      </c>
      <c r="AK53" s="4">
        <v>17099230</v>
      </c>
    </row>
    <row r="54" spans="1:37" x14ac:dyDescent="0.25">
      <c r="A54" s="1">
        <v>45623</v>
      </c>
      <c r="B54" s="1">
        <v>45621</v>
      </c>
      <c r="C54" t="s">
        <v>38</v>
      </c>
      <c r="D54" t="s">
        <v>39</v>
      </c>
      <c r="E54" t="s">
        <v>40</v>
      </c>
      <c r="F54">
        <v>649163</v>
      </c>
      <c r="G54">
        <v>20411454</v>
      </c>
      <c r="H54" t="s">
        <v>41</v>
      </c>
      <c r="I54">
        <v>2025845322</v>
      </c>
      <c r="J54" t="s">
        <v>79</v>
      </c>
      <c r="M54" t="s">
        <v>80</v>
      </c>
      <c r="O54">
        <v>673059</v>
      </c>
      <c r="P54" t="s">
        <v>44</v>
      </c>
      <c r="Q54" t="s">
        <v>45</v>
      </c>
      <c r="R54" t="s">
        <v>59</v>
      </c>
      <c r="S54" s="1">
        <v>45658</v>
      </c>
      <c r="U54" t="s">
        <v>47</v>
      </c>
      <c r="X54" t="s">
        <v>48</v>
      </c>
      <c r="Y54" s="2">
        <v>49.42</v>
      </c>
      <c r="Z54" s="2">
        <v>49.42</v>
      </c>
      <c r="AA54">
        <v>0</v>
      </c>
      <c r="AB54" s="3">
        <v>0.375</v>
      </c>
      <c r="AC54" s="2">
        <v>0</v>
      </c>
      <c r="AD54" s="3">
        <v>0</v>
      </c>
      <c r="AE54" s="2">
        <v>0</v>
      </c>
      <c r="AF54" s="2">
        <v>0</v>
      </c>
      <c r="AK54" s="4">
        <v>17099300</v>
      </c>
    </row>
    <row r="55" spans="1:37" x14ac:dyDescent="0.25">
      <c r="A55" s="1">
        <v>45623</v>
      </c>
      <c r="B55" s="1">
        <v>45621</v>
      </c>
      <c r="C55" t="s">
        <v>38</v>
      </c>
      <c r="D55" t="s">
        <v>39</v>
      </c>
      <c r="E55" t="s">
        <v>40</v>
      </c>
      <c r="F55">
        <v>649163</v>
      </c>
      <c r="G55">
        <v>20411454</v>
      </c>
      <c r="H55" t="s">
        <v>41</v>
      </c>
      <c r="I55">
        <v>2025849650</v>
      </c>
      <c r="J55" t="s">
        <v>83</v>
      </c>
      <c r="M55" t="s">
        <v>67</v>
      </c>
      <c r="O55">
        <v>767312</v>
      </c>
      <c r="P55" t="s">
        <v>51</v>
      </c>
      <c r="Q55" t="s">
        <v>45</v>
      </c>
      <c r="R55" t="s">
        <v>59</v>
      </c>
      <c r="S55" s="1">
        <v>45617</v>
      </c>
      <c r="U55" t="s">
        <v>47</v>
      </c>
      <c r="X55" t="s">
        <v>48</v>
      </c>
      <c r="Y55" s="2">
        <v>68.66</v>
      </c>
      <c r="Z55" s="2">
        <v>68.66</v>
      </c>
      <c r="AA55">
        <v>0</v>
      </c>
      <c r="AB55" s="3">
        <v>0.375</v>
      </c>
      <c r="AC55" s="2">
        <v>0</v>
      </c>
      <c r="AD55" s="3">
        <v>0</v>
      </c>
      <c r="AE55" s="2">
        <v>0</v>
      </c>
      <c r="AF55" s="2">
        <v>0</v>
      </c>
      <c r="AK55" s="4">
        <v>17099380</v>
      </c>
    </row>
    <row r="56" spans="1:37" x14ac:dyDescent="0.25">
      <c r="A56" s="1">
        <v>45623</v>
      </c>
      <c r="B56" s="1">
        <v>45621</v>
      </c>
      <c r="C56" t="s">
        <v>38</v>
      </c>
      <c r="D56" t="s">
        <v>39</v>
      </c>
      <c r="E56" t="s">
        <v>40</v>
      </c>
      <c r="F56">
        <v>649163</v>
      </c>
      <c r="G56">
        <v>20411454</v>
      </c>
      <c r="H56" t="s">
        <v>41</v>
      </c>
      <c r="I56">
        <v>2025850687</v>
      </c>
      <c r="J56" t="s">
        <v>84</v>
      </c>
      <c r="M56" t="s">
        <v>85</v>
      </c>
      <c r="O56">
        <v>673059</v>
      </c>
      <c r="P56" t="s">
        <v>44</v>
      </c>
      <c r="Q56" t="s">
        <v>45</v>
      </c>
      <c r="R56" t="s">
        <v>59</v>
      </c>
      <c r="S56" s="1">
        <v>45658</v>
      </c>
      <c r="U56" t="s">
        <v>47</v>
      </c>
      <c r="X56" t="s">
        <v>48</v>
      </c>
      <c r="Y56" s="2">
        <v>63.34</v>
      </c>
      <c r="Z56" s="2">
        <v>63.34</v>
      </c>
      <c r="AA56">
        <v>0</v>
      </c>
      <c r="AB56" s="3">
        <v>0.375</v>
      </c>
      <c r="AC56" s="2">
        <v>0</v>
      </c>
      <c r="AD56" s="3">
        <v>0</v>
      </c>
      <c r="AE56" s="2">
        <v>0</v>
      </c>
      <c r="AF56" s="2">
        <v>0</v>
      </c>
      <c r="AK56" s="4">
        <v>17099400</v>
      </c>
    </row>
    <row r="57" spans="1:37" x14ac:dyDescent="0.25">
      <c r="A57" s="1">
        <v>45623</v>
      </c>
      <c r="B57" s="1">
        <v>45621</v>
      </c>
      <c r="C57" t="s">
        <v>38</v>
      </c>
      <c r="D57" t="s">
        <v>39</v>
      </c>
      <c r="E57" t="s">
        <v>40</v>
      </c>
      <c r="F57">
        <v>649163</v>
      </c>
      <c r="G57">
        <v>20411454</v>
      </c>
      <c r="H57" t="s">
        <v>41</v>
      </c>
      <c r="I57">
        <v>2025855067</v>
      </c>
      <c r="J57" t="s">
        <v>88</v>
      </c>
      <c r="M57" t="s">
        <v>74</v>
      </c>
      <c r="O57">
        <v>673059</v>
      </c>
      <c r="P57" t="s">
        <v>44</v>
      </c>
      <c r="Q57" t="s">
        <v>45</v>
      </c>
      <c r="R57" t="s">
        <v>59</v>
      </c>
      <c r="S57" s="1">
        <v>45658</v>
      </c>
      <c r="U57" t="s">
        <v>47</v>
      </c>
      <c r="X57" t="s">
        <v>48</v>
      </c>
      <c r="Y57" s="2">
        <v>41.17</v>
      </c>
      <c r="Z57" s="2">
        <v>41.17</v>
      </c>
      <c r="AA57">
        <v>0</v>
      </c>
      <c r="AB57" s="3">
        <v>0.375</v>
      </c>
      <c r="AC57" s="2">
        <v>0</v>
      </c>
      <c r="AD57" s="3">
        <v>0</v>
      </c>
      <c r="AE57" s="2">
        <v>0</v>
      </c>
      <c r="AF57" s="2">
        <v>0</v>
      </c>
      <c r="AK57" s="4">
        <v>17099440</v>
      </c>
    </row>
    <row r="58" spans="1:37" x14ac:dyDescent="0.25">
      <c r="A58" s="1">
        <v>45623</v>
      </c>
      <c r="B58" s="1">
        <v>45621</v>
      </c>
      <c r="C58" t="s">
        <v>38</v>
      </c>
      <c r="D58" t="s">
        <v>39</v>
      </c>
      <c r="E58" t="s">
        <v>40</v>
      </c>
      <c r="F58">
        <v>649163</v>
      </c>
      <c r="G58">
        <v>20411454</v>
      </c>
      <c r="H58" t="s">
        <v>41</v>
      </c>
      <c r="I58">
        <v>2025875986</v>
      </c>
      <c r="J58" t="s">
        <v>94</v>
      </c>
      <c r="M58" t="s">
        <v>95</v>
      </c>
      <c r="O58">
        <v>767312</v>
      </c>
      <c r="P58" t="s">
        <v>51</v>
      </c>
      <c r="Q58" t="s">
        <v>45</v>
      </c>
      <c r="R58" t="s">
        <v>59</v>
      </c>
      <c r="S58" s="1">
        <v>45627</v>
      </c>
      <c r="U58" t="s">
        <v>47</v>
      </c>
      <c r="X58" t="s">
        <v>48</v>
      </c>
      <c r="Y58" s="2">
        <v>49.02</v>
      </c>
      <c r="Z58" s="2">
        <v>49.02</v>
      </c>
      <c r="AA58">
        <v>0</v>
      </c>
      <c r="AB58" s="3">
        <v>0.375</v>
      </c>
      <c r="AC58" s="2">
        <v>0</v>
      </c>
      <c r="AD58" s="3">
        <v>0</v>
      </c>
      <c r="AE58" s="2">
        <v>0</v>
      </c>
      <c r="AF58" s="2">
        <v>0</v>
      </c>
      <c r="AK58" s="4">
        <v>17099670</v>
      </c>
    </row>
    <row r="59" spans="1:37" x14ac:dyDescent="0.25">
      <c r="A59" s="1">
        <v>45623</v>
      </c>
      <c r="B59" s="1">
        <v>45621</v>
      </c>
      <c r="C59" t="s">
        <v>38</v>
      </c>
      <c r="D59" t="s">
        <v>39</v>
      </c>
      <c r="E59" t="s">
        <v>40</v>
      </c>
      <c r="F59">
        <v>649163</v>
      </c>
      <c r="G59">
        <v>20411454</v>
      </c>
      <c r="H59" t="s">
        <v>41</v>
      </c>
      <c r="I59">
        <v>2025890588</v>
      </c>
      <c r="J59" t="s">
        <v>99</v>
      </c>
      <c r="M59" t="s">
        <v>74</v>
      </c>
      <c r="O59">
        <v>792847</v>
      </c>
      <c r="P59" t="s">
        <v>100</v>
      </c>
      <c r="Q59" t="s">
        <v>45</v>
      </c>
      <c r="R59" t="s">
        <v>59</v>
      </c>
      <c r="S59" s="1">
        <v>45658</v>
      </c>
      <c r="U59" t="s">
        <v>47</v>
      </c>
      <c r="X59" t="s">
        <v>48</v>
      </c>
      <c r="Y59" s="2">
        <v>41.52</v>
      </c>
      <c r="Z59" s="2">
        <v>41.52</v>
      </c>
      <c r="AA59">
        <v>0</v>
      </c>
      <c r="AB59" s="3">
        <v>0.375</v>
      </c>
      <c r="AC59" s="2">
        <v>0</v>
      </c>
      <c r="AD59" s="3">
        <v>0</v>
      </c>
      <c r="AE59" s="2">
        <v>0</v>
      </c>
      <c r="AF59" s="2">
        <v>0</v>
      </c>
      <c r="AK59" s="4">
        <v>17099800</v>
      </c>
    </row>
    <row r="60" spans="1:37" x14ac:dyDescent="0.25">
      <c r="A60" s="1">
        <v>45623</v>
      </c>
      <c r="B60" s="1">
        <v>45621</v>
      </c>
      <c r="C60" t="s">
        <v>38</v>
      </c>
      <c r="D60" t="s">
        <v>39</v>
      </c>
      <c r="E60" t="s">
        <v>40</v>
      </c>
      <c r="F60">
        <v>649163</v>
      </c>
      <c r="G60">
        <v>20411454</v>
      </c>
      <c r="H60" t="s">
        <v>41</v>
      </c>
      <c r="I60">
        <v>2025894367</v>
      </c>
      <c r="J60" t="s">
        <v>103</v>
      </c>
      <c r="M60" t="s">
        <v>80</v>
      </c>
      <c r="O60">
        <v>766422</v>
      </c>
      <c r="P60" t="s">
        <v>104</v>
      </c>
      <c r="Q60" t="s">
        <v>45</v>
      </c>
      <c r="R60" t="s">
        <v>59</v>
      </c>
      <c r="S60" s="1">
        <v>45627</v>
      </c>
      <c r="U60" t="s">
        <v>47</v>
      </c>
      <c r="X60" t="s">
        <v>48</v>
      </c>
      <c r="Y60" s="2">
        <v>34.32</v>
      </c>
      <c r="Z60" s="2">
        <v>34.32</v>
      </c>
      <c r="AA60">
        <v>0</v>
      </c>
      <c r="AB60" s="3">
        <v>0.375</v>
      </c>
      <c r="AC60" s="2">
        <v>0</v>
      </c>
      <c r="AD60" s="3">
        <v>0</v>
      </c>
      <c r="AE60" s="2">
        <v>0</v>
      </c>
      <c r="AF60" s="2">
        <v>0</v>
      </c>
      <c r="AK60" s="4">
        <v>17099830</v>
      </c>
    </row>
    <row r="61" spans="1:37" x14ac:dyDescent="0.25">
      <c r="A61" s="1">
        <v>45623</v>
      </c>
      <c r="B61" s="1">
        <v>45621</v>
      </c>
      <c r="C61" t="s">
        <v>38</v>
      </c>
      <c r="D61" t="s">
        <v>39</v>
      </c>
      <c r="E61" t="s">
        <v>40</v>
      </c>
      <c r="F61">
        <v>649163</v>
      </c>
      <c r="G61">
        <v>20411454</v>
      </c>
      <c r="H61" t="s">
        <v>41</v>
      </c>
      <c r="I61">
        <v>2025820106</v>
      </c>
      <c r="J61" t="s">
        <v>61</v>
      </c>
      <c r="M61" t="s">
        <v>58</v>
      </c>
      <c r="O61">
        <v>767312</v>
      </c>
      <c r="P61" t="s">
        <v>51</v>
      </c>
      <c r="Q61" t="s">
        <v>45</v>
      </c>
      <c r="R61" t="s">
        <v>62</v>
      </c>
      <c r="S61" s="1">
        <v>45627</v>
      </c>
      <c r="U61" t="s">
        <v>47</v>
      </c>
      <c r="X61" t="s">
        <v>48</v>
      </c>
      <c r="Y61" s="2">
        <v>51.63</v>
      </c>
      <c r="Z61" s="2">
        <v>51.63</v>
      </c>
      <c r="AA61">
        <v>0</v>
      </c>
      <c r="AB61" s="3">
        <v>0.9</v>
      </c>
      <c r="AC61" s="2">
        <v>0</v>
      </c>
      <c r="AD61" s="3">
        <v>0</v>
      </c>
      <c r="AE61" s="2">
        <v>0</v>
      </c>
      <c r="AF61" s="2">
        <v>0</v>
      </c>
      <c r="AK61" s="4">
        <v>17102350</v>
      </c>
    </row>
    <row r="62" spans="1:37" x14ac:dyDescent="0.25">
      <c r="A62" s="1">
        <v>45623</v>
      </c>
      <c r="B62" s="1">
        <v>45621</v>
      </c>
      <c r="C62" t="s">
        <v>38</v>
      </c>
      <c r="D62" t="s">
        <v>39</v>
      </c>
      <c r="E62" t="s">
        <v>40</v>
      </c>
      <c r="F62">
        <v>649163</v>
      </c>
      <c r="G62">
        <v>20411454</v>
      </c>
      <c r="H62" t="s">
        <v>41</v>
      </c>
      <c r="I62">
        <v>2025831089</v>
      </c>
      <c r="J62" t="s">
        <v>69</v>
      </c>
      <c r="M62" t="s">
        <v>67</v>
      </c>
      <c r="O62">
        <v>673059</v>
      </c>
      <c r="P62" t="s">
        <v>44</v>
      </c>
      <c r="Q62" t="s">
        <v>45</v>
      </c>
      <c r="R62" t="s">
        <v>62</v>
      </c>
      <c r="S62" s="1">
        <v>45658</v>
      </c>
      <c r="U62" t="s">
        <v>47</v>
      </c>
      <c r="X62" t="s">
        <v>48</v>
      </c>
      <c r="Y62" s="2">
        <v>95.08</v>
      </c>
      <c r="Z62" s="2">
        <v>95.08</v>
      </c>
      <c r="AA62">
        <v>0</v>
      </c>
      <c r="AB62" s="3">
        <v>0.9</v>
      </c>
      <c r="AC62" s="2">
        <v>0</v>
      </c>
      <c r="AD62" s="3">
        <v>0</v>
      </c>
      <c r="AE62" s="2">
        <v>0</v>
      </c>
      <c r="AF62" s="2">
        <v>0</v>
      </c>
      <c r="AK62" s="4">
        <v>17102390</v>
      </c>
    </row>
    <row r="63" spans="1:37" x14ac:dyDescent="0.25">
      <c r="A63" s="1">
        <v>45623</v>
      </c>
      <c r="B63" s="1">
        <v>45621</v>
      </c>
      <c r="C63" t="s">
        <v>38</v>
      </c>
      <c r="D63" t="s">
        <v>39</v>
      </c>
      <c r="E63" t="s">
        <v>40</v>
      </c>
      <c r="F63">
        <v>649163</v>
      </c>
      <c r="G63">
        <v>20411454</v>
      </c>
      <c r="H63" t="s">
        <v>41</v>
      </c>
      <c r="I63">
        <v>2025847342</v>
      </c>
      <c r="J63" t="s">
        <v>81</v>
      </c>
      <c r="M63" t="s">
        <v>67</v>
      </c>
      <c r="O63">
        <v>767312</v>
      </c>
      <c r="P63" t="s">
        <v>51</v>
      </c>
      <c r="Q63" t="s">
        <v>45</v>
      </c>
      <c r="R63" t="s">
        <v>62</v>
      </c>
      <c r="S63" s="1">
        <v>45658</v>
      </c>
      <c r="U63" t="s">
        <v>47</v>
      </c>
      <c r="X63" t="s">
        <v>48</v>
      </c>
      <c r="Y63" s="2">
        <v>15.02</v>
      </c>
      <c r="Z63" s="2">
        <v>15.02</v>
      </c>
      <c r="AA63">
        <v>0</v>
      </c>
      <c r="AB63" s="3">
        <v>0.9</v>
      </c>
      <c r="AC63" s="2">
        <v>0</v>
      </c>
      <c r="AD63" s="3">
        <v>0</v>
      </c>
      <c r="AE63" s="2">
        <v>0</v>
      </c>
      <c r="AF63" s="2">
        <v>0</v>
      </c>
      <c r="AK63" s="4">
        <v>17102440</v>
      </c>
    </row>
    <row r="64" spans="1:37" x14ac:dyDescent="0.25">
      <c r="A64" s="1">
        <v>45623</v>
      </c>
      <c r="B64" s="1">
        <v>45621</v>
      </c>
      <c r="C64" t="s">
        <v>38</v>
      </c>
      <c r="D64" t="s">
        <v>39</v>
      </c>
      <c r="E64" t="s">
        <v>40</v>
      </c>
      <c r="F64">
        <v>649163</v>
      </c>
      <c r="G64">
        <v>20411454</v>
      </c>
      <c r="H64" t="s">
        <v>41</v>
      </c>
      <c r="I64">
        <v>2025875987</v>
      </c>
      <c r="J64" t="s">
        <v>94</v>
      </c>
      <c r="M64" t="s">
        <v>95</v>
      </c>
      <c r="O64">
        <v>767312</v>
      </c>
      <c r="P64" t="s">
        <v>51</v>
      </c>
      <c r="Q64" t="s">
        <v>45</v>
      </c>
      <c r="R64" t="s">
        <v>62</v>
      </c>
      <c r="S64" s="1">
        <v>45627</v>
      </c>
      <c r="U64" t="s">
        <v>47</v>
      </c>
      <c r="X64" t="s">
        <v>48</v>
      </c>
      <c r="Y64" s="2">
        <v>55.4</v>
      </c>
      <c r="Z64" s="2">
        <v>55.4</v>
      </c>
      <c r="AA64">
        <v>0</v>
      </c>
      <c r="AB64" s="3">
        <v>0.9</v>
      </c>
      <c r="AC64" s="2">
        <v>0</v>
      </c>
      <c r="AD64" s="3">
        <v>0</v>
      </c>
      <c r="AE64" s="2">
        <v>0</v>
      </c>
      <c r="AF64" s="2">
        <v>0</v>
      </c>
      <c r="AK64" s="4">
        <v>17102530</v>
      </c>
    </row>
    <row r="65" spans="1:37" x14ac:dyDescent="0.25">
      <c r="A65" s="1">
        <v>45623</v>
      </c>
      <c r="B65" s="1">
        <v>45621</v>
      </c>
      <c r="C65" t="s">
        <v>38</v>
      </c>
      <c r="D65" t="s">
        <v>39</v>
      </c>
      <c r="E65" t="s">
        <v>40</v>
      </c>
      <c r="F65">
        <v>649163</v>
      </c>
      <c r="G65">
        <v>20411454</v>
      </c>
      <c r="H65" t="s">
        <v>41</v>
      </c>
      <c r="I65">
        <v>2025850685</v>
      </c>
      <c r="J65" t="s">
        <v>84</v>
      </c>
      <c r="M65" t="s">
        <v>85</v>
      </c>
      <c r="O65">
        <v>673059</v>
      </c>
      <c r="P65" t="s">
        <v>44</v>
      </c>
      <c r="Q65" t="s">
        <v>45</v>
      </c>
      <c r="R65" t="s">
        <v>86</v>
      </c>
      <c r="S65" s="1">
        <v>45658</v>
      </c>
      <c r="U65" t="s">
        <v>47</v>
      </c>
      <c r="X65" t="s">
        <v>48</v>
      </c>
      <c r="Y65" s="2">
        <v>105.84</v>
      </c>
      <c r="Z65" s="2">
        <v>105.84</v>
      </c>
      <c r="AA65">
        <v>0</v>
      </c>
      <c r="AB65" s="3">
        <v>0.6</v>
      </c>
      <c r="AC65" s="2">
        <v>0</v>
      </c>
      <c r="AD65" s="3">
        <v>0</v>
      </c>
      <c r="AE65" s="2">
        <v>0</v>
      </c>
      <c r="AF65" s="2">
        <v>0</v>
      </c>
      <c r="AK65" s="4">
        <v>17093250</v>
      </c>
    </row>
    <row r="66" spans="1:37" x14ac:dyDescent="0.25">
      <c r="A66" s="1">
        <v>45623</v>
      </c>
      <c r="B66" s="1">
        <v>45621</v>
      </c>
      <c r="C66" t="s">
        <v>38</v>
      </c>
      <c r="D66" t="s">
        <v>39</v>
      </c>
      <c r="E66" t="s">
        <v>40</v>
      </c>
      <c r="F66">
        <v>649163</v>
      </c>
      <c r="G66">
        <v>20411454</v>
      </c>
      <c r="H66" t="s">
        <v>41</v>
      </c>
      <c r="I66">
        <v>2025815676</v>
      </c>
      <c r="J66" t="s">
        <v>52</v>
      </c>
      <c r="M66" t="s">
        <v>53</v>
      </c>
      <c r="O66">
        <v>650218</v>
      </c>
      <c r="P66" t="s">
        <v>54</v>
      </c>
      <c r="Q66" t="s">
        <v>45</v>
      </c>
      <c r="R66" t="s">
        <v>56</v>
      </c>
      <c r="S66" s="1">
        <v>45627</v>
      </c>
      <c r="U66" t="s">
        <v>47</v>
      </c>
      <c r="X66" t="s">
        <v>48</v>
      </c>
      <c r="Y66" s="2">
        <v>46.45</v>
      </c>
      <c r="Z66" s="2">
        <v>46.45</v>
      </c>
      <c r="AA66">
        <v>0</v>
      </c>
      <c r="AB66" s="3">
        <v>0.6</v>
      </c>
      <c r="AC66" s="2">
        <v>0</v>
      </c>
      <c r="AD66" s="3">
        <v>0</v>
      </c>
      <c r="AE66" s="2">
        <v>0</v>
      </c>
      <c r="AF66" s="2">
        <v>0</v>
      </c>
      <c r="AK66" s="4">
        <v>17093120</v>
      </c>
    </row>
    <row r="67" spans="1:37" x14ac:dyDescent="0.25">
      <c r="A67" s="1">
        <v>45623</v>
      </c>
      <c r="B67" s="1">
        <v>45621</v>
      </c>
      <c r="C67" t="s">
        <v>38</v>
      </c>
      <c r="D67" t="s">
        <v>39</v>
      </c>
      <c r="E67" t="s">
        <v>40</v>
      </c>
      <c r="F67">
        <v>649163</v>
      </c>
      <c r="G67">
        <v>20411454</v>
      </c>
      <c r="H67" t="s">
        <v>41</v>
      </c>
      <c r="I67">
        <v>2025845087</v>
      </c>
      <c r="J67" t="s">
        <v>78</v>
      </c>
      <c r="M67" t="s">
        <v>53</v>
      </c>
      <c r="O67">
        <v>649164</v>
      </c>
      <c r="P67" t="s">
        <v>41</v>
      </c>
      <c r="Q67" t="s">
        <v>45</v>
      </c>
      <c r="R67" t="s">
        <v>56</v>
      </c>
      <c r="S67" s="1">
        <v>45658</v>
      </c>
      <c r="U67" t="s">
        <v>47</v>
      </c>
      <c r="X67" t="s">
        <v>48</v>
      </c>
      <c r="Y67" s="2">
        <v>75.75</v>
      </c>
      <c r="Z67" s="2">
        <v>75.75</v>
      </c>
      <c r="AA67">
        <v>0</v>
      </c>
      <c r="AB67" s="3">
        <v>0.6</v>
      </c>
      <c r="AC67" s="2">
        <v>0</v>
      </c>
      <c r="AD67" s="3">
        <v>0</v>
      </c>
      <c r="AE67" s="2">
        <v>0</v>
      </c>
      <c r="AF67" s="2">
        <v>0</v>
      </c>
      <c r="AK67" s="4">
        <v>17093230</v>
      </c>
    </row>
    <row r="68" spans="1:37" x14ac:dyDescent="0.25">
      <c r="A68" s="1">
        <v>45623</v>
      </c>
      <c r="B68" s="1">
        <v>45621</v>
      </c>
      <c r="C68" t="s">
        <v>38</v>
      </c>
      <c r="D68" t="s">
        <v>39</v>
      </c>
      <c r="E68" t="s">
        <v>40</v>
      </c>
      <c r="F68">
        <v>649163</v>
      </c>
      <c r="G68">
        <v>20411454</v>
      </c>
      <c r="H68" t="s">
        <v>41</v>
      </c>
      <c r="I68">
        <v>2025845321</v>
      </c>
      <c r="J68" t="s">
        <v>79</v>
      </c>
      <c r="M68" t="s">
        <v>80</v>
      </c>
      <c r="O68">
        <v>673059</v>
      </c>
      <c r="P68" t="s">
        <v>44</v>
      </c>
      <c r="Q68" t="s">
        <v>45</v>
      </c>
      <c r="R68" t="s">
        <v>56</v>
      </c>
      <c r="S68" s="1">
        <v>45658</v>
      </c>
      <c r="U68" t="s">
        <v>47</v>
      </c>
      <c r="X68" t="s">
        <v>48</v>
      </c>
      <c r="Y68" s="2">
        <v>34.01</v>
      </c>
      <c r="Z68" s="2">
        <v>34.01</v>
      </c>
      <c r="AA68">
        <v>0</v>
      </c>
      <c r="AB68" s="3">
        <v>0.6</v>
      </c>
      <c r="AC68" s="2">
        <v>0</v>
      </c>
      <c r="AD68" s="3">
        <v>0</v>
      </c>
      <c r="AE68" s="2">
        <v>0</v>
      </c>
      <c r="AF68" s="2">
        <v>0</v>
      </c>
      <c r="AK68" s="4">
        <v>17093230</v>
      </c>
    </row>
    <row r="69" spans="1:37" x14ac:dyDescent="0.25">
      <c r="A69" s="1">
        <v>45623</v>
      </c>
      <c r="B69" s="1">
        <v>45621</v>
      </c>
      <c r="C69" t="s">
        <v>38</v>
      </c>
      <c r="D69" t="s">
        <v>39</v>
      </c>
      <c r="E69" t="s">
        <v>40</v>
      </c>
      <c r="F69">
        <v>649163</v>
      </c>
      <c r="G69">
        <v>20411454</v>
      </c>
      <c r="H69" t="s">
        <v>41</v>
      </c>
      <c r="I69">
        <v>2025872067</v>
      </c>
      <c r="J69" t="s">
        <v>93</v>
      </c>
      <c r="M69" t="s">
        <v>53</v>
      </c>
      <c r="O69">
        <v>751867</v>
      </c>
      <c r="P69" t="s">
        <v>91</v>
      </c>
      <c r="Q69" t="s">
        <v>45</v>
      </c>
      <c r="R69" t="s">
        <v>56</v>
      </c>
      <c r="S69" s="1">
        <v>45627</v>
      </c>
      <c r="U69" t="s">
        <v>47</v>
      </c>
      <c r="X69" t="s">
        <v>48</v>
      </c>
      <c r="Y69" s="2">
        <v>62.54</v>
      </c>
      <c r="Z69" s="2">
        <v>62.54</v>
      </c>
      <c r="AA69">
        <v>0</v>
      </c>
      <c r="AB69" s="3">
        <v>0.6</v>
      </c>
      <c r="AC69" s="2">
        <v>0</v>
      </c>
      <c r="AD69" s="3">
        <v>0</v>
      </c>
      <c r="AE69" s="2">
        <v>0</v>
      </c>
      <c r="AF69" s="2">
        <v>0</v>
      </c>
      <c r="AK69" s="4">
        <v>17093320</v>
      </c>
    </row>
    <row r="70" spans="1:37" x14ac:dyDescent="0.25">
      <c r="A70" s="1">
        <v>45623</v>
      </c>
      <c r="B70" s="1">
        <v>45621</v>
      </c>
      <c r="C70" t="s">
        <v>38</v>
      </c>
      <c r="D70" t="s">
        <v>39</v>
      </c>
      <c r="E70" t="s">
        <v>40</v>
      </c>
      <c r="F70">
        <v>649163</v>
      </c>
      <c r="G70">
        <v>20411454</v>
      </c>
      <c r="H70" t="s">
        <v>41</v>
      </c>
      <c r="I70">
        <v>2025894963</v>
      </c>
      <c r="J70" t="s">
        <v>105</v>
      </c>
      <c r="M70" t="s">
        <v>106</v>
      </c>
      <c r="O70">
        <v>673059</v>
      </c>
      <c r="P70" t="s">
        <v>44</v>
      </c>
      <c r="Q70" t="s">
        <v>45</v>
      </c>
      <c r="R70" t="s">
        <v>56</v>
      </c>
      <c r="S70" s="1">
        <v>45658</v>
      </c>
      <c r="U70" t="s">
        <v>47</v>
      </c>
      <c r="X70" t="s">
        <v>48</v>
      </c>
      <c r="Y70" s="2">
        <v>52.69</v>
      </c>
      <c r="Z70" s="2">
        <v>52.69</v>
      </c>
      <c r="AA70">
        <v>0</v>
      </c>
      <c r="AB70" s="3">
        <v>0.6</v>
      </c>
      <c r="AC70" s="2">
        <v>0</v>
      </c>
      <c r="AD70" s="3">
        <v>0</v>
      </c>
      <c r="AE70" s="2">
        <v>0</v>
      </c>
      <c r="AF70" s="2">
        <v>0</v>
      </c>
      <c r="AK70" s="4">
        <v>17093390</v>
      </c>
    </row>
  </sheetData>
  <sortState xmlns:xlrd2="http://schemas.microsoft.com/office/spreadsheetml/2017/richdata2" ref="A2:AL70">
    <sortCondition ref="R2:R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6359-AFE3-4765-87BF-69E30C8BCFC4}">
  <dimension ref="A1:AB70"/>
  <sheetViews>
    <sheetView tabSelected="1" topLeftCell="A16" workbookViewId="0">
      <selection activeCell="M29" sqref="M29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26.28515625" customWidth="1"/>
    <col min="4" max="4" width="5.28515625" bestFit="1" customWidth="1"/>
    <col min="5" max="5" width="15" bestFit="1" customWidth="1"/>
    <col min="6" max="6" width="19.7109375" bestFit="1" customWidth="1"/>
    <col min="7" max="7" width="12.140625" bestFit="1" customWidth="1"/>
    <col min="8" max="8" width="42.42578125" bestFit="1" customWidth="1"/>
    <col min="9" max="9" width="10.42578125" bestFit="1" customWidth="1"/>
    <col min="10" max="10" width="12.28515625" bestFit="1" customWidth="1"/>
    <col min="11" max="11" width="14" bestFit="1" customWidth="1"/>
    <col min="12" max="12" width="12" bestFit="1" customWidth="1"/>
    <col min="13" max="13" width="16.140625" bestFit="1" customWidth="1"/>
    <col min="14" max="14" width="9" bestFit="1" customWidth="1"/>
    <col min="15" max="15" width="17.85546875" bestFit="1" customWidth="1"/>
    <col min="16" max="16" width="16.140625" bestFit="1" customWidth="1"/>
    <col min="17" max="17" width="16.7109375" bestFit="1" customWidth="1"/>
    <col min="18" max="18" width="16.5703125" bestFit="1" customWidth="1"/>
    <col min="19" max="19" width="18" bestFit="1" customWidth="1"/>
    <col min="20" max="20" width="11.5703125" bestFit="1" customWidth="1"/>
    <col min="21" max="21" width="14.7109375" bestFit="1" customWidth="1"/>
    <col min="22" max="22" width="9.5703125" bestFit="1" customWidth="1"/>
    <col min="23" max="23" width="12.7109375" bestFit="1" customWidth="1"/>
    <col min="24" max="24" width="19" bestFit="1" customWidth="1"/>
    <col min="25" max="25" width="18" bestFit="1" customWidth="1"/>
    <col min="26" max="26" width="11.42578125" bestFit="1" customWidth="1"/>
    <col min="27" max="27" width="14" bestFit="1" customWidth="1"/>
    <col min="28" max="28" width="16.28515625" bestFit="1" customWidth="1"/>
  </cols>
  <sheetData>
    <row r="1" spans="1:28" x14ac:dyDescent="0.25">
      <c r="A1" t="s">
        <v>0</v>
      </c>
      <c r="B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</row>
    <row r="2" spans="1:28" s="6" customFormat="1" x14ac:dyDescent="0.25">
      <c r="A2" s="1">
        <v>45623</v>
      </c>
      <c r="B2">
        <v>2025845088</v>
      </c>
      <c r="C2" t="s">
        <v>78</v>
      </c>
      <c r="D2" t="s">
        <v>53</v>
      </c>
      <c r="E2">
        <v>649164</v>
      </c>
      <c r="F2" t="s">
        <v>41</v>
      </c>
      <c r="G2" t="s">
        <v>45</v>
      </c>
      <c r="H2" t="s">
        <v>46</v>
      </c>
      <c r="I2" s="1">
        <v>45658</v>
      </c>
      <c r="J2"/>
      <c r="K2" t="s">
        <v>47</v>
      </c>
      <c r="L2"/>
      <c r="M2"/>
      <c r="N2" t="s">
        <v>48</v>
      </c>
      <c r="O2" s="2">
        <v>51.46</v>
      </c>
      <c r="P2" s="2">
        <v>51.46</v>
      </c>
      <c r="Q2">
        <v>0</v>
      </c>
      <c r="R2" s="3">
        <v>0.7</v>
      </c>
      <c r="S2" s="2">
        <f>SUM(P2*R2)</f>
        <v>36.021999999999998</v>
      </c>
      <c r="T2" s="3">
        <v>0</v>
      </c>
      <c r="U2" s="2">
        <v>0</v>
      </c>
      <c r="V2" s="2">
        <v>0</v>
      </c>
      <c r="W2"/>
      <c r="X2"/>
      <c r="Y2"/>
      <c r="Z2"/>
      <c r="AA2" s="4">
        <v>17073900</v>
      </c>
      <c r="AB2"/>
    </row>
    <row r="3" spans="1:28" x14ac:dyDescent="0.25">
      <c r="A3" s="1">
        <v>45623</v>
      </c>
      <c r="B3">
        <v>2025604322</v>
      </c>
      <c r="C3" t="s">
        <v>42</v>
      </c>
      <c r="D3" t="s">
        <v>43</v>
      </c>
      <c r="E3">
        <v>673059</v>
      </c>
      <c r="F3" t="s">
        <v>44</v>
      </c>
      <c r="G3" t="s">
        <v>45</v>
      </c>
      <c r="H3" t="s">
        <v>46</v>
      </c>
      <c r="I3" s="1">
        <v>45651</v>
      </c>
      <c r="K3" t="s">
        <v>47</v>
      </c>
      <c r="N3" t="s">
        <v>48</v>
      </c>
      <c r="O3" s="2">
        <v>25.73</v>
      </c>
      <c r="P3" s="2">
        <v>25.73</v>
      </c>
      <c r="Q3">
        <v>0</v>
      </c>
      <c r="R3" s="3">
        <v>0.7</v>
      </c>
      <c r="S3" s="2">
        <f t="shared" ref="S3:S66" si="0">SUM(P3*R3)</f>
        <v>18.010999999999999</v>
      </c>
      <c r="T3" s="3">
        <v>0</v>
      </c>
      <c r="U3" s="2">
        <v>0</v>
      </c>
      <c r="V3" s="2">
        <v>0</v>
      </c>
      <c r="AA3" s="4">
        <v>17073880</v>
      </c>
    </row>
    <row r="4" spans="1:28" x14ac:dyDescent="0.25">
      <c r="A4" s="1">
        <v>45623</v>
      </c>
      <c r="B4">
        <v>2025821393</v>
      </c>
      <c r="C4" t="s">
        <v>66</v>
      </c>
      <c r="D4" t="s">
        <v>67</v>
      </c>
      <c r="E4">
        <v>673059</v>
      </c>
      <c r="F4" t="s">
        <v>44</v>
      </c>
      <c r="G4" t="s">
        <v>45</v>
      </c>
      <c r="H4" t="s">
        <v>46</v>
      </c>
      <c r="I4" s="1">
        <v>45658</v>
      </c>
      <c r="K4" t="s">
        <v>47</v>
      </c>
      <c r="N4" t="s">
        <v>48</v>
      </c>
      <c r="O4" s="2">
        <v>25.73</v>
      </c>
      <c r="P4" s="2">
        <v>25.73</v>
      </c>
      <c r="Q4">
        <v>0</v>
      </c>
      <c r="R4" s="3">
        <v>0.7</v>
      </c>
      <c r="S4" s="2">
        <f t="shared" si="0"/>
        <v>18.010999999999999</v>
      </c>
      <c r="T4" s="3">
        <v>0</v>
      </c>
      <c r="U4" s="2">
        <v>0</v>
      </c>
      <c r="V4" s="2">
        <v>0</v>
      </c>
      <c r="AA4" s="4">
        <v>17073890</v>
      </c>
    </row>
    <row r="5" spans="1:28" x14ac:dyDescent="0.25">
      <c r="A5" s="1">
        <v>45623</v>
      </c>
      <c r="B5">
        <v>2025831417</v>
      </c>
      <c r="C5" t="s">
        <v>70</v>
      </c>
      <c r="D5" t="s">
        <v>67</v>
      </c>
      <c r="E5">
        <v>673059</v>
      </c>
      <c r="F5" t="s">
        <v>44</v>
      </c>
      <c r="G5" t="s">
        <v>45</v>
      </c>
      <c r="H5" t="s">
        <v>46</v>
      </c>
      <c r="I5" s="1">
        <v>45658</v>
      </c>
      <c r="K5" t="s">
        <v>47</v>
      </c>
      <c r="N5" t="s">
        <v>48</v>
      </c>
      <c r="O5" s="2">
        <v>25.73</v>
      </c>
      <c r="P5" s="2">
        <v>25.73</v>
      </c>
      <c r="Q5">
        <v>0</v>
      </c>
      <c r="R5" s="3">
        <v>0.7</v>
      </c>
      <c r="S5" s="2">
        <f t="shared" si="0"/>
        <v>18.010999999999999</v>
      </c>
      <c r="T5" s="3">
        <v>0</v>
      </c>
      <c r="U5" s="2">
        <v>0</v>
      </c>
      <c r="V5" s="2">
        <v>0</v>
      </c>
      <c r="AA5" s="4">
        <v>17073900</v>
      </c>
    </row>
    <row r="6" spans="1:28" s="6" customFormat="1" x14ac:dyDescent="0.25">
      <c r="A6" s="1">
        <v>45623</v>
      </c>
      <c r="B6">
        <v>2025839289</v>
      </c>
      <c r="C6" t="s">
        <v>71</v>
      </c>
      <c r="D6" t="s">
        <v>72</v>
      </c>
      <c r="E6">
        <v>673059</v>
      </c>
      <c r="F6" t="s">
        <v>44</v>
      </c>
      <c r="G6" t="s">
        <v>45</v>
      </c>
      <c r="H6" t="s">
        <v>46</v>
      </c>
      <c r="I6" s="1">
        <v>45658</v>
      </c>
      <c r="J6"/>
      <c r="K6" t="s">
        <v>47</v>
      </c>
      <c r="L6"/>
      <c r="M6"/>
      <c r="N6" t="s">
        <v>48</v>
      </c>
      <c r="O6" s="2">
        <v>25.73</v>
      </c>
      <c r="P6" s="2">
        <v>25.73</v>
      </c>
      <c r="Q6">
        <v>0</v>
      </c>
      <c r="R6" s="3">
        <v>0.7</v>
      </c>
      <c r="S6" s="2">
        <f t="shared" si="0"/>
        <v>18.010999999999999</v>
      </c>
      <c r="T6" s="3">
        <v>0</v>
      </c>
      <c r="U6" s="2">
        <v>0</v>
      </c>
      <c r="V6" s="2">
        <v>0</v>
      </c>
      <c r="W6"/>
      <c r="X6"/>
      <c r="Y6"/>
      <c r="Z6"/>
      <c r="AA6" s="4">
        <v>17073900</v>
      </c>
      <c r="AB6"/>
    </row>
    <row r="7" spans="1:28" s="6" customFormat="1" x14ac:dyDescent="0.25">
      <c r="A7" s="1">
        <v>45623</v>
      </c>
      <c r="B7">
        <v>2025845320</v>
      </c>
      <c r="C7" t="s">
        <v>79</v>
      </c>
      <c r="D7" t="s">
        <v>80</v>
      </c>
      <c r="E7">
        <v>673059</v>
      </c>
      <c r="F7" t="s">
        <v>44</v>
      </c>
      <c r="G7" t="s">
        <v>45</v>
      </c>
      <c r="H7" t="s">
        <v>46</v>
      </c>
      <c r="I7" s="1">
        <v>45658</v>
      </c>
      <c r="J7"/>
      <c r="K7" t="s">
        <v>47</v>
      </c>
      <c r="L7"/>
      <c r="M7"/>
      <c r="N7" t="s">
        <v>48</v>
      </c>
      <c r="O7" s="2">
        <v>8.3699999999999992</v>
      </c>
      <c r="P7" s="2">
        <v>8.3699999999999992</v>
      </c>
      <c r="Q7">
        <v>0</v>
      </c>
      <c r="R7" s="3">
        <v>0.7</v>
      </c>
      <c r="S7" s="2">
        <f t="shared" si="0"/>
        <v>5.8589999999999991</v>
      </c>
      <c r="T7" s="3">
        <v>0</v>
      </c>
      <c r="U7" s="2">
        <v>0</v>
      </c>
      <c r="V7" s="2">
        <v>0</v>
      </c>
      <c r="W7"/>
      <c r="X7"/>
      <c r="Y7"/>
      <c r="Z7"/>
      <c r="AA7" s="4">
        <v>17073900</v>
      </c>
      <c r="AB7"/>
    </row>
    <row r="8" spans="1:28" x14ac:dyDescent="0.25">
      <c r="A8" s="1">
        <v>45623</v>
      </c>
      <c r="B8">
        <v>2025850684</v>
      </c>
      <c r="C8" t="s">
        <v>84</v>
      </c>
      <c r="D8" t="s">
        <v>85</v>
      </c>
      <c r="E8">
        <v>673059</v>
      </c>
      <c r="F8" t="s">
        <v>44</v>
      </c>
      <c r="G8" t="s">
        <v>45</v>
      </c>
      <c r="H8" t="s">
        <v>46</v>
      </c>
      <c r="I8" s="1">
        <v>45658</v>
      </c>
      <c r="K8" t="s">
        <v>47</v>
      </c>
      <c r="N8" t="s">
        <v>48</v>
      </c>
      <c r="O8" s="2">
        <v>25.73</v>
      </c>
      <c r="P8" s="2">
        <v>25.73</v>
      </c>
      <c r="Q8">
        <v>0</v>
      </c>
      <c r="R8" s="3">
        <v>0.7</v>
      </c>
      <c r="S8" s="2">
        <f t="shared" si="0"/>
        <v>18.010999999999999</v>
      </c>
      <c r="T8" s="3">
        <v>0</v>
      </c>
      <c r="U8" s="2">
        <v>0</v>
      </c>
      <c r="V8" s="2">
        <v>0</v>
      </c>
      <c r="AA8" s="4">
        <v>17073910</v>
      </c>
    </row>
    <row r="9" spans="1:28" x14ac:dyDescent="0.25">
      <c r="A9" s="1">
        <v>45623</v>
      </c>
      <c r="B9">
        <v>2025855066</v>
      </c>
      <c r="C9" t="s">
        <v>88</v>
      </c>
      <c r="D9" t="s">
        <v>74</v>
      </c>
      <c r="E9">
        <v>673059</v>
      </c>
      <c r="F9" t="s">
        <v>44</v>
      </c>
      <c r="G9" t="s">
        <v>45</v>
      </c>
      <c r="H9" t="s">
        <v>46</v>
      </c>
      <c r="I9" s="1">
        <v>45658</v>
      </c>
      <c r="K9" t="s">
        <v>47</v>
      </c>
      <c r="N9" t="s">
        <v>48</v>
      </c>
      <c r="O9" s="2">
        <v>25.73</v>
      </c>
      <c r="P9" s="2">
        <v>25.73</v>
      </c>
      <c r="Q9">
        <v>0</v>
      </c>
      <c r="R9" s="3">
        <v>0.7</v>
      </c>
      <c r="S9" s="2">
        <f t="shared" si="0"/>
        <v>18.010999999999999</v>
      </c>
      <c r="T9" s="3">
        <v>0</v>
      </c>
      <c r="U9" s="2">
        <v>0</v>
      </c>
      <c r="V9" s="2">
        <v>0</v>
      </c>
      <c r="AA9" s="4">
        <v>17073910</v>
      </c>
    </row>
    <row r="10" spans="1:28" x14ac:dyDescent="0.25">
      <c r="A10" s="1">
        <v>45623</v>
      </c>
      <c r="B10">
        <v>2025888226</v>
      </c>
      <c r="C10" t="s">
        <v>96</v>
      </c>
      <c r="D10" t="s">
        <v>74</v>
      </c>
      <c r="E10">
        <v>673059</v>
      </c>
      <c r="F10" t="s">
        <v>44</v>
      </c>
      <c r="G10" t="s">
        <v>45</v>
      </c>
      <c r="H10" t="s">
        <v>46</v>
      </c>
      <c r="I10" s="1">
        <v>45658</v>
      </c>
      <c r="K10" t="s">
        <v>47</v>
      </c>
      <c r="N10" t="s">
        <v>48</v>
      </c>
      <c r="O10" s="2">
        <v>59.8</v>
      </c>
      <c r="P10" s="2">
        <v>59.8</v>
      </c>
      <c r="Q10">
        <v>0</v>
      </c>
      <c r="R10" s="3">
        <v>0.7</v>
      </c>
      <c r="S10" s="2">
        <f t="shared" si="0"/>
        <v>41.859999999999992</v>
      </c>
      <c r="T10" s="3">
        <v>0</v>
      </c>
      <c r="U10" s="2">
        <v>0</v>
      </c>
      <c r="V10" s="2">
        <v>0</v>
      </c>
      <c r="AA10" s="4">
        <v>17073930</v>
      </c>
    </row>
    <row r="11" spans="1:28" x14ac:dyDescent="0.25">
      <c r="A11" s="1">
        <v>45623</v>
      </c>
      <c r="B11">
        <v>2025855064</v>
      </c>
      <c r="C11" t="s">
        <v>88</v>
      </c>
      <c r="D11" t="s">
        <v>74</v>
      </c>
      <c r="E11">
        <v>673059</v>
      </c>
      <c r="F11" t="s">
        <v>44</v>
      </c>
      <c r="G11" t="s">
        <v>45</v>
      </c>
      <c r="H11" t="s">
        <v>89</v>
      </c>
      <c r="I11" s="1">
        <v>45658</v>
      </c>
      <c r="K11" t="s">
        <v>47</v>
      </c>
      <c r="N11" t="s">
        <v>48</v>
      </c>
      <c r="O11" s="2">
        <v>78</v>
      </c>
      <c r="P11" s="2">
        <v>78</v>
      </c>
      <c r="Q11">
        <v>0</v>
      </c>
      <c r="R11" s="3">
        <v>0.75</v>
      </c>
      <c r="S11" s="2">
        <f t="shared" si="0"/>
        <v>58.5</v>
      </c>
      <c r="T11" s="3">
        <v>0</v>
      </c>
      <c r="U11" s="2">
        <v>0</v>
      </c>
      <c r="V11" s="2">
        <v>0</v>
      </c>
      <c r="AA11" s="4">
        <v>17093260</v>
      </c>
    </row>
    <row r="12" spans="1:28" x14ac:dyDescent="0.25">
      <c r="A12" s="1">
        <v>45623</v>
      </c>
      <c r="B12">
        <v>2025888227</v>
      </c>
      <c r="C12" t="s">
        <v>96</v>
      </c>
      <c r="D12" t="s">
        <v>74</v>
      </c>
      <c r="E12">
        <v>673059</v>
      </c>
      <c r="F12" t="s">
        <v>44</v>
      </c>
      <c r="G12" t="s">
        <v>45</v>
      </c>
      <c r="H12" t="s">
        <v>89</v>
      </c>
      <c r="I12" s="1">
        <v>45658</v>
      </c>
      <c r="K12" t="s">
        <v>47</v>
      </c>
      <c r="N12" t="s">
        <v>48</v>
      </c>
      <c r="O12" s="2">
        <v>54.73</v>
      </c>
      <c r="P12" s="2">
        <v>54.73</v>
      </c>
      <c r="Q12">
        <v>0</v>
      </c>
      <c r="R12" s="3">
        <v>0.75</v>
      </c>
      <c r="S12" s="2">
        <f t="shared" si="0"/>
        <v>41.047499999999999</v>
      </c>
      <c r="T12" s="3">
        <v>0</v>
      </c>
      <c r="U12" s="2">
        <v>0</v>
      </c>
      <c r="V12" s="2">
        <v>0</v>
      </c>
      <c r="AA12" s="4">
        <v>17093380</v>
      </c>
    </row>
    <row r="13" spans="1:28" x14ac:dyDescent="0.25">
      <c r="A13" s="5">
        <v>45623</v>
      </c>
      <c r="B13" s="6">
        <v>2025875988</v>
      </c>
      <c r="C13" s="6" t="s">
        <v>94</v>
      </c>
      <c r="D13" s="6" t="s">
        <v>95</v>
      </c>
      <c r="E13" s="6">
        <v>767312</v>
      </c>
      <c r="F13" s="6" t="s">
        <v>51</v>
      </c>
      <c r="G13" s="6" t="s">
        <v>45</v>
      </c>
      <c r="H13" s="6" t="s">
        <v>89</v>
      </c>
      <c r="I13" s="5">
        <v>45627</v>
      </c>
      <c r="J13" s="6"/>
      <c r="K13" s="6" t="s">
        <v>47</v>
      </c>
      <c r="L13" s="6"/>
      <c r="M13" s="6"/>
      <c r="N13" s="6" t="s">
        <v>48</v>
      </c>
      <c r="O13" s="7">
        <v>130.43</v>
      </c>
      <c r="P13" s="7">
        <v>130.43</v>
      </c>
      <c r="Q13" s="6">
        <v>0</v>
      </c>
      <c r="R13" s="8">
        <v>0.75</v>
      </c>
      <c r="S13" s="2">
        <f t="shared" si="0"/>
        <v>97.822500000000005</v>
      </c>
      <c r="T13" s="8">
        <v>0</v>
      </c>
      <c r="U13" s="7">
        <v>0</v>
      </c>
      <c r="V13" s="7">
        <v>0</v>
      </c>
      <c r="W13" s="6"/>
      <c r="X13" s="6"/>
      <c r="Y13" s="6"/>
      <c r="Z13" s="6"/>
      <c r="AA13" s="9">
        <v>17093340</v>
      </c>
      <c r="AB13" s="6"/>
    </row>
    <row r="14" spans="1:28" x14ac:dyDescent="0.25">
      <c r="A14" s="1">
        <v>45623</v>
      </c>
      <c r="B14">
        <v>2025821394</v>
      </c>
      <c r="C14" t="s">
        <v>66</v>
      </c>
      <c r="D14" t="s">
        <v>67</v>
      </c>
      <c r="E14">
        <v>673059</v>
      </c>
      <c r="F14" t="s">
        <v>44</v>
      </c>
      <c r="G14" t="s">
        <v>45</v>
      </c>
      <c r="H14" t="s">
        <v>68</v>
      </c>
      <c r="I14" s="1">
        <v>45658</v>
      </c>
      <c r="K14" t="s">
        <v>47</v>
      </c>
      <c r="N14" t="s">
        <v>48</v>
      </c>
      <c r="O14" s="2">
        <v>34.36</v>
      </c>
      <c r="P14" s="2">
        <v>34.36</v>
      </c>
      <c r="Q14">
        <v>0</v>
      </c>
      <c r="R14" s="3">
        <v>0.65</v>
      </c>
      <c r="S14" s="2">
        <f t="shared" si="0"/>
        <v>22.334</v>
      </c>
      <c r="T14" s="3">
        <v>0</v>
      </c>
      <c r="U14" s="2">
        <v>0</v>
      </c>
      <c r="V14" s="2">
        <v>0</v>
      </c>
      <c r="AA14" s="4">
        <v>17093140</v>
      </c>
    </row>
    <row r="15" spans="1:28" x14ac:dyDescent="0.25">
      <c r="A15" s="1">
        <v>45623</v>
      </c>
      <c r="B15">
        <v>2025831090</v>
      </c>
      <c r="C15" t="s">
        <v>69</v>
      </c>
      <c r="D15" t="s">
        <v>67</v>
      </c>
      <c r="E15">
        <v>673059</v>
      </c>
      <c r="F15" t="s">
        <v>44</v>
      </c>
      <c r="G15" t="s">
        <v>45</v>
      </c>
      <c r="H15" t="s">
        <v>68</v>
      </c>
      <c r="I15" s="1">
        <v>45658</v>
      </c>
      <c r="K15" t="s">
        <v>47</v>
      </c>
      <c r="N15" t="s">
        <v>48</v>
      </c>
      <c r="O15" s="2">
        <v>87.01</v>
      </c>
      <c r="P15" s="2">
        <v>87.01</v>
      </c>
      <c r="Q15">
        <v>0</v>
      </c>
      <c r="R15" s="3">
        <v>0.65</v>
      </c>
      <c r="S15" s="2">
        <f t="shared" si="0"/>
        <v>56.556500000000007</v>
      </c>
      <c r="T15" s="3">
        <v>0</v>
      </c>
      <c r="U15" s="2">
        <v>0</v>
      </c>
      <c r="V15" s="2">
        <v>0</v>
      </c>
      <c r="AA15" s="4">
        <v>17093170</v>
      </c>
    </row>
    <row r="16" spans="1:28" s="6" customFormat="1" x14ac:dyDescent="0.25">
      <c r="A16" s="1">
        <v>45623</v>
      </c>
      <c r="B16">
        <v>2025831419</v>
      </c>
      <c r="C16" t="s">
        <v>70</v>
      </c>
      <c r="D16" t="s">
        <v>67</v>
      </c>
      <c r="E16">
        <v>673059</v>
      </c>
      <c r="F16" t="s">
        <v>44</v>
      </c>
      <c r="G16" t="s">
        <v>45</v>
      </c>
      <c r="H16" t="s">
        <v>68</v>
      </c>
      <c r="I16" s="1">
        <v>45658</v>
      </c>
      <c r="J16"/>
      <c r="K16" t="s">
        <v>47</v>
      </c>
      <c r="L16"/>
      <c r="M16"/>
      <c r="N16" t="s">
        <v>48</v>
      </c>
      <c r="O16" s="2">
        <v>14.61</v>
      </c>
      <c r="P16" s="2">
        <v>14.61</v>
      </c>
      <c r="Q16">
        <v>0</v>
      </c>
      <c r="R16" s="3">
        <v>0.65</v>
      </c>
      <c r="S16" s="2">
        <f t="shared" si="0"/>
        <v>9.4964999999999993</v>
      </c>
      <c r="T16" s="3">
        <v>0</v>
      </c>
      <c r="U16" s="2">
        <v>0</v>
      </c>
      <c r="V16" s="2">
        <v>0</v>
      </c>
      <c r="W16"/>
      <c r="X16"/>
      <c r="Y16"/>
      <c r="Z16"/>
      <c r="AA16" s="4">
        <v>17093170</v>
      </c>
      <c r="AB16"/>
    </row>
    <row r="17" spans="1:28" s="6" customFormat="1" x14ac:dyDescent="0.25">
      <c r="A17" s="1">
        <v>45623</v>
      </c>
      <c r="B17">
        <v>2025850686</v>
      </c>
      <c r="C17" t="s">
        <v>84</v>
      </c>
      <c r="D17" t="s">
        <v>85</v>
      </c>
      <c r="E17">
        <v>673059</v>
      </c>
      <c r="F17" t="s">
        <v>44</v>
      </c>
      <c r="G17" t="s">
        <v>45</v>
      </c>
      <c r="H17" t="s">
        <v>68</v>
      </c>
      <c r="I17" s="1">
        <v>45658</v>
      </c>
      <c r="J17"/>
      <c r="K17" t="s">
        <v>47</v>
      </c>
      <c r="L17"/>
      <c r="M17"/>
      <c r="N17" t="s">
        <v>48</v>
      </c>
      <c r="O17" s="2">
        <v>126.15</v>
      </c>
      <c r="P17" s="2">
        <v>126.15</v>
      </c>
      <c r="Q17">
        <v>0</v>
      </c>
      <c r="R17" s="3">
        <v>0.65</v>
      </c>
      <c r="S17" s="2">
        <f t="shared" si="0"/>
        <v>81.997500000000002</v>
      </c>
      <c r="T17" s="3">
        <v>0</v>
      </c>
      <c r="U17" s="2">
        <v>0</v>
      </c>
      <c r="V17" s="2">
        <v>0</v>
      </c>
      <c r="W17"/>
      <c r="X17"/>
      <c r="Y17"/>
      <c r="Z17"/>
      <c r="AA17" s="4">
        <v>17093250</v>
      </c>
      <c r="AB17"/>
    </row>
    <row r="18" spans="1:28" s="6" customFormat="1" x14ac:dyDescent="0.25">
      <c r="A18" s="5">
        <v>45623</v>
      </c>
      <c r="B18" s="6">
        <v>2025847343</v>
      </c>
      <c r="C18" s="6" t="s">
        <v>81</v>
      </c>
      <c r="D18" s="6" t="s">
        <v>67</v>
      </c>
      <c r="E18" s="6">
        <v>767312</v>
      </c>
      <c r="F18" s="6" t="s">
        <v>51</v>
      </c>
      <c r="G18" s="6" t="s">
        <v>45</v>
      </c>
      <c r="H18" s="6" t="s">
        <v>68</v>
      </c>
      <c r="I18" s="5">
        <v>45658</v>
      </c>
      <c r="K18" s="6" t="s">
        <v>47</v>
      </c>
      <c r="N18" s="6" t="s">
        <v>48</v>
      </c>
      <c r="O18" s="7">
        <v>18.239999999999998</v>
      </c>
      <c r="P18" s="7">
        <v>18.239999999999998</v>
      </c>
      <c r="Q18" s="6">
        <v>0</v>
      </c>
      <c r="R18" s="8">
        <v>0.65</v>
      </c>
      <c r="S18" s="2">
        <f t="shared" si="0"/>
        <v>11.856</v>
      </c>
      <c r="T18" s="8">
        <v>0</v>
      </c>
      <c r="U18" s="7">
        <v>0</v>
      </c>
      <c r="V18" s="7">
        <v>0</v>
      </c>
      <c r="AA18" s="9">
        <v>17093240</v>
      </c>
    </row>
    <row r="19" spans="1:28" x14ac:dyDescent="0.25">
      <c r="A19" s="5">
        <v>45623</v>
      </c>
      <c r="B19" s="6">
        <v>2025819740</v>
      </c>
      <c r="C19" s="6" t="s">
        <v>57</v>
      </c>
      <c r="D19" s="6" t="s">
        <v>58</v>
      </c>
      <c r="E19" s="6">
        <v>767312</v>
      </c>
      <c r="F19" s="6" t="s">
        <v>51</v>
      </c>
      <c r="G19" s="6" t="s">
        <v>45</v>
      </c>
      <c r="H19" s="6" t="s">
        <v>60</v>
      </c>
      <c r="I19" s="5">
        <v>45627</v>
      </c>
      <c r="J19" s="6"/>
      <c r="K19" s="6" t="s">
        <v>47</v>
      </c>
      <c r="L19" s="6"/>
      <c r="M19" s="6"/>
      <c r="N19" s="6" t="s">
        <v>48</v>
      </c>
      <c r="O19" s="7">
        <v>145.06</v>
      </c>
      <c r="P19" s="7">
        <v>145.06</v>
      </c>
      <c r="Q19" s="6">
        <v>0</v>
      </c>
      <c r="R19" s="8">
        <v>0.9</v>
      </c>
      <c r="S19" s="2">
        <f t="shared" si="0"/>
        <v>130.554</v>
      </c>
      <c r="T19" s="8">
        <v>0</v>
      </c>
      <c r="U19" s="7">
        <v>0</v>
      </c>
      <c r="V19" s="7">
        <v>0</v>
      </c>
      <c r="W19" s="6"/>
      <c r="X19" s="6"/>
      <c r="Y19" s="6"/>
      <c r="Z19" s="6"/>
      <c r="AA19" s="9">
        <v>17093130</v>
      </c>
      <c r="AB19" s="6"/>
    </row>
    <row r="20" spans="1:28" x14ac:dyDescent="0.25">
      <c r="A20" s="5">
        <v>45623</v>
      </c>
      <c r="B20" s="6">
        <v>2025820174</v>
      </c>
      <c r="C20" s="6" t="s">
        <v>63</v>
      </c>
      <c r="D20" s="6" t="s">
        <v>64</v>
      </c>
      <c r="E20" s="6">
        <v>796984</v>
      </c>
      <c r="F20" s="6" t="s">
        <v>65</v>
      </c>
      <c r="G20" s="6" t="s">
        <v>45</v>
      </c>
      <c r="H20" s="6" t="s">
        <v>60</v>
      </c>
      <c r="I20" s="5">
        <v>45615</v>
      </c>
      <c r="J20" s="6"/>
      <c r="K20" s="6" t="s">
        <v>47</v>
      </c>
      <c r="L20" s="6"/>
      <c r="M20" s="6"/>
      <c r="N20" s="6" t="s">
        <v>48</v>
      </c>
      <c r="O20" s="7">
        <v>40.21</v>
      </c>
      <c r="P20" s="7">
        <v>40.21</v>
      </c>
      <c r="Q20" s="6">
        <v>0</v>
      </c>
      <c r="R20" s="8">
        <v>0.9</v>
      </c>
      <c r="S20" s="2">
        <f t="shared" si="0"/>
        <v>36.189</v>
      </c>
      <c r="T20" s="8">
        <v>0</v>
      </c>
      <c r="U20" s="7">
        <v>0</v>
      </c>
      <c r="V20" s="7">
        <v>0</v>
      </c>
      <c r="W20" s="6"/>
      <c r="X20" s="6"/>
      <c r="Y20" s="6"/>
      <c r="Z20" s="6"/>
      <c r="AA20" s="9">
        <v>17093140</v>
      </c>
      <c r="AB20" s="6"/>
    </row>
    <row r="21" spans="1:28" x14ac:dyDescent="0.25">
      <c r="A21" s="1">
        <v>45623</v>
      </c>
      <c r="B21">
        <v>2025862451</v>
      </c>
      <c r="C21" t="s">
        <v>90</v>
      </c>
      <c r="D21" t="s">
        <v>67</v>
      </c>
      <c r="E21">
        <v>751867</v>
      </c>
      <c r="F21" t="s">
        <v>91</v>
      </c>
      <c r="G21" t="s">
        <v>45</v>
      </c>
      <c r="H21" t="s">
        <v>92</v>
      </c>
      <c r="I21" s="1">
        <v>45627</v>
      </c>
      <c r="K21" t="s">
        <v>47</v>
      </c>
      <c r="N21" t="s">
        <v>48</v>
      </c>
      <c r="O21" s="2">
        <v>15</v>
      </c>
      <c r="P21" s="2">
        <v>15</v>
      </c>
      <c r="Q21">
        <v>0</v>
      </c>
      <c r="R21" s="3">
        <v>0.38</v>
      </c>
      <c r="S21" s="2">
        <f t="shared" si="0"/>
        <v>5.7</v>
      </c>
      <c r="T21" s="3">
        <v>0</v>
      </c>
      <c r="U21" s="2">
        <v>0</v>
      </c>
      <c r="V21" s="2">
        <v>0</v>
      </c>
      <c r="AA21" s="4">
        <v>17090590</v>
      </c>
    </row>
    <row r="22" spans="1:28" x14ac:dyDescent="0.25">
      <c r="A22" s="1">
        <v>45623</v>
      </c>
      <c r="B22">
        <v>2025888458</v>
      </c>
      <c r="C22" t="s">
        <v>97</v>
      </c>
      <c r="D22" t="s">
        <v>98</v>
      </c>
      <c r="E22">
        <v>751867</v>
      </c>
      <c r="F22" t="s">
        <v>91</v>
      </c>
      <c r="G22" t="s">
        <v>45</v>
      </c>
      <c r="H22" t="s">
        <v>92</v>
      </c>
      <c r="I22" s="1">
        <v>45627</v>
      </c>
      <c r="K22" t="s">
        <v>47</v>
      </c>
      <c r="N22" t="s">
        <v>48</v>
      </c>
      <c r="O22" s="2">
        <v>15</v>
      </c>
      <c r="P22" s="2">
        <v>15</v>
      </c>
      <c r="Q22">
        <v>0</v>
      </c>
      <c r="R22" s="3">
        <v>0.38</v>
      </c>
      <c r="S22" s="2">
        <f t="shared" si="0"/>
        <v>5.7</v>
      </c>
      <c r="T22" s="3">
        <v>0</v>
      </c>
      <c r="U22" s="2">
        <v>0</v>
      </c>
      <c r="V22" s="2">
        <v>0</v>
      </c>
      <c r="AA22" s="4">
        <v>17090650</v>
      </c>
    </row>
    <row r="23" spans="1:28" x14ac:dyDescent="0.25">
      <c r="A23" s="1">
        <v>45623</v>
      </c>
      <c r="B23">
        <v>2025815675</v>
      </c>
      <c r="C23" t="s">
        <v>52</v>
      </c>
      <c r="D23" t="s">
        <v>53</v>
      </c>
      <c r="E23">
        <v>650218</v>
      </c>
      <c r="F23" t="s">
        <v>54</v>
      </c>
      <c r="G23" t="s">
        <v>45</v>
      </c>
      <c r="H23" t="s">
        <v>55</v>
      </c>
      <c r="I23" s="1">
        <v>45627</v>
      </c>
      <c r="K23" t="s">
        <v>47</v>
      </c>
      <c r="N23" t="s">
        <v>48</v>
      </c>
      <c r="O23" s="2">
        <v>27.15</v>
      </c>
      <c r="P23" s="2">
        <v>27.15</v>
      </c>
      <c r="Q23">
        <v>0</v>
      </c>
      <c r="R23" s="3">
        <v>0.38</v>
      </c>
      <c r="S23" s="2">
        <f t="shared" si="0"/>
        <v>10.317</v>
      </c>
      <c r="T23" s="3">
        <v>0</v>
      </c>
      <c r="U23" s="2">
        <v>0</v>
      </c>
      <c r="V23" s="2">
        <v>0</v>
      </c>
      <c r="AA23" s="4">
        <v>17100580</v>
      </c>
    </row>
    <row r="24" spans="1:28" x14ac:dyDescent="0.25">
      <c r="A24" s="1">
        <v>45623</v>
      </c>
      <c r="B24">
        <v>2025862450</v>
      </c>
      <c r="C24" t="s">
        <v>90</v>
      </c>
      <c r="D24" t="s">
        <v>67</v>
      </c>
      <c r="E24">
        <v>751867</v>
      </c>
      <c r="F24" t="s">
        <v>91</v>
      </c>
      <c r="G24" t="s">
        <v>45</v>
      </c>
      <c r="H24" t="s">
        <v>55</v>
      </c>
      <c r="I24" s="1">
        <v>45627</v>
      </c>
      <c r="K24" t="s">
        <v>47</v>
      </c>
      <c r="N24" t="s">
        <v>48</v>
      </c>
      <c r="O24" s="2">
        <v>48.51</v>
      </c>
      <c r="P24" s="2">
        <v>48.51</v>
      </c>
      <c r="Q24">
        <v>0</v>
      </c>
      <c r="R24" s="3">
        <v>0.38</v>
      </c>
      <c r="S24" s="2">
        <f t="shared" si="0"/>
        <v>18.433799999999998</v>
      </c>
      <c r="T24" s="3">
        <v>0</v>
      </c>
      <c r="U24" s="2">
        <v>0</v>
      </c>
      <c r="V24" s="2">
        <v>0</v>
      </c>
      <c r="AA24" s="4">
        <v>17100620</v>
      </c>
    </row>
    <row r="25" spans="1:28" x14ac:dyDescent="0.25">
      <c r="A25" s="1">
        <v>45623</v>
      </c>
      <c r="B25">
        <v>2025872066</v>
      </c>
      <c r="C25" t="s">
        <v>93</v>
      </c>
      <c r="D25" t="s">
        <v>53</v>
      </c>
      <c r="E25">
        <v>751867</v>
      </c>
      <c r="F25" t="s">
        <v>91</v>
      </c>
      <c r="G25" t="s">
        <v>45</v>
      </c>
      <c r="H25" t="s">
        <v>55</v>
      </c>
      <c r="I25" s="1">
        <v>45627</v>
      </c>
      <c r="K25" t="s">
        <v>47</v>
      </c>
      <c r="N25" t="s">
        <v>48</v>
      </c>
      <c r="O25" s="2">
        <v>87.66</v>
      </c>
      <c r="P25" s="2">
        <v>87.66</v>
      </c>
      <c r="Q25">
        <v>0</v>
      </c>
      <c r="R25" s="3">
        <v>0.38</v>
      </c>
      <c r="S25" s="2">
        <f t="shared" si="0"/>
        <v>33.3108</v>
      </c>
      <c r="T25" s="3">
        <v>0</v>
      </c>
      <c r="U25" s="2">
        <v>0</v>
      </c>
      <c r="V25" s="2">
        <v>0</v>
      </c>
      <c r="AA25" s="4">
        <v>17100620</v>
      </c>
    </row>
    <row r="26" spans="1:28" x14ac:dyDescent="0.25">
      <c r="A26" s="1">
        <v>45623</v>
      </c>
      <c r="B26">
        <v>2025888457</v>
      </c>
      <c r="C26" t="s">
        <v>97</v>
      </c>
      <c r="D26" t="s">
        <v>98</v>
      </c>
      <c r="E26">
        <v>751867</v>
      </c>
      <c r="F26" t="s">
        <v>91</v>
      </c>
      <c r="G26" t="s">
        <v>45</v>
      </c>
      <c r="H26" t="s">
        <v>55</v>
      </c>
      <c r="I26" s="1">
        <v>45627</v>
      </c>
      <c r="K26" t="s">
        <v>47</v>
      </c>
      <c r="N26" t="s">
        <v>48</v>
      </c>
      <c r="O26" s="2">
        <v>77.010000000000005</v>
      </c>
      <c r="P26" s="2">
        <v>77.010000000000005</v>
      </c>
      <c r="Q26">
        <v>0</v>
      </c>
      <c r="R26" s="3">
        <v>0.38</v>
      </c>
      <c r="S26" s="2">
        <f t="shared" si="0"/>
        <v>29.263800000000003</v>
      </c>
      <c r="T26" s="3">
        <v>0</v>
      </c>
      <c r="U26" s="2">
        <v>0</v>
      </c>
      <c r="V26" s="2">
        <v>0</v>
      </c>
      <c r="AA26" s="4">
        <v>17100630</v>
      </c>
    </row>
    <row r="27" spans="1:28" x14ac:dyDescent="0.25">
      <c r="A27" s="5">
        <v>45623</v>
      </c>
      <c r="B27" s="6">
        <v>2025820172</v>
      </c>
      <c r="C27" s="6" t="s">
        <v>63</v>
      </c>
      <c r="D27" s="6" t="s">
        <v>64</v>
      </c>
      <c r="E27" s="6">
        <v>796984</v>
      </c>
      <c r="F27" s="6" t="s">
        <v>65</v>
      </c>
      <c r="G27" s="6" t="s">
        <v>45</v>
      </c>
      <c r="H27" s="6" t="s">
        <v>55</v>
      </c>
      <c r="I27" s="5">
        <v>45615</v>
      </c>
      <c r="J27" s="6"/>
      <c r="K27" s="6" t="s">
        <v>47</v>
      </c>
      <c r="L27" s="6"/>
      <c r="M27" s="6"/>
      <c r="N27" s="6" t="s">
        <v>48</v>
      </c>
      <c r="O27" s="7">
        <v>26.43</v>
      </c>
      <c r="P27" s="7">
        <v>26.43</v>
      </c>
      <c r="Q27" s="6">
        <v>0</v>
      </c>
      <c r="R27" s="8">
        <v>0.38</v>
      </c>
      <c r="S27" s="2">
        <f t="shared" si="0"/>
        <v>10.0434</v>
      </c>
      <c r="T27" s="8">
        <v>0</v>
      </c>
      <c r="U27" s="7">
        <v>0</v>
      </c>
      <c r="V27" s="7">
        <v>0</v>
      </c>
      <c r="W27" s="6"/>
      <c r="X27" s="6"/>
      <c r="Y27" s="6"/>
      <c r="Z27" s="6"/>
      <c r="AA27" s="9">
        <v>17100580</v>
      </c>
      <c r="AB27" s="6"/>
    </row>
    <row r="28" spans="1:28" x14ac:dyDescent="0.25">
      <c r="A28" s="1">
        <v>45623</v>
      </c>
      <c r="B28">
        <v>2025892048</v>
      </c>
      <c r="C28" t="s">
        <v>101</v>
      </c>
      <c r="D28" t="s">
        <v>53</v>
      </c>
      <c r="E28">
        <v>650218</v>
      </c>
      <c r="F28" t="s">
        <v>54</v>
      </c>
      <c r="G28" t="s">
        <v>45</v>
      </c>
      <c r="H28" t="s">
        <v>102</v>
      </c>
      <c r="I28" s="1">
        <v>45658</v>
      </c>
      <c r="K28" t="s">
        <v>47</v>
      </c>
      <c r="N28" t="s">
        <v>48</v>
      </c>
      <c r="O28" s="2">
        <v>214.75</v>
      </c>
      <c r="P28" s="2">
        <v>214.75</v>
      </c>
      <c r="Q28">
        <v>0</v>
      </c>
      <c r="R28" s="3">
        <v>0.13</v>
      </c>
      <c r="S28" s="2">
        <f t="shared" si="0"/>
        <v>27.9175</v>
      </c>
      <c r="T28" s="3">
        <v>0</v>
      </c>
      <c r="U28" s="2">
        <v>0</v>
      </c>
      <c r="V28" s="2">
        <v>0</v>
      </c>
      <c r="AA28" s="4">
        <v>17073550</v>
      </c>
    </row>
    <row r="29" spans="1:28" x14ac:dyDescent="0.25">
      <c r="A29" s="5">
        <v>45623</v>
      </c>
      <c r="B29" s="6">
        <v>2025842066</v>
      </c>
      <c r="C29" s="6" t="s">
        <v>73</v>
      </c>
      <c r="D29" s="6" t="s">
        <v>74</v>
      </c>
      <c r="E29" s="6">
        <v>768271</v>
      </c>
      <c r="F29" s="6" t="s">
        <v>75</v>
      </c>
      <c r="G29" s="6" t="s">
        <v>45</v>
      </c>
      <c r="H29" s="6" t="s">
        <v>49</v>
      </c>
      <c r="I29" s="5">
        <v>45616</v>
      </c>
      <c r="J29" s="6"/>
      <c r="K29" s="6" t="s">
        <v>47</v>
      </c>
      <c r="L29" s="6"/>
      <c r="M29" s="6"/>
      <c r="N29" s="6" t="s">
        <v>48</v>
      </c>
      <c r="O29" s="7">
        <v>74.58</v>
      </c>
      <c r="P29" s="7">
        <v>74.58</v>
      </c>
      <c r="Q29" s="6">
        <v>0</v>
      </c>
      <c r="R29" s="8">
        <v>0.7</v>
      </c>
      <c r="S29" s="2">
        <f t="shared" si="0"/>
        <v>52.205999999999996</v>
      </c>
      <c r="T29" s="8">
        <v>0</v>
      </c>
      <c r="U29" s="7">
        <v>0</v>
      </c>
      <c r="V29" s="7">
        <v>0</v>
      </c>
      <c r="W29" s="6"/>
      <c r="X29" s="6"/>
      <c r="Y29" s="6"/>
      <c r="Z29" s="6"/>
      <c r="AA29" s="9">
        <v>17082220</v>
      </c>
      <c r="AB29" s="6"/>
    </row>
    <row r="30" spans="1:28" x14ac:dyDescent="0.25">
      <c r="A30" s="5">
        <v>45623</v>
      </c>
      <c r="B30" s="6">
        <v>2025894366</v>
      </c>
      <c r="C30" s="6" t="s">
        <v>103</v>
      </c>
      <c r="D30" s="6" t="s">
        <v>80</v>
      </c>
      <c r="E30" s="6">
        <v>766422</v>
      </c>
      <c r="F30" s="6" t="s">
        <v>104</v>
      </c>
      <c r="G30" s="6" t="s">
        <v>45</v>
      </c>
      <c r="H30" s="6" t="s">
        <v>49</v>
      </c>
      <c r="I30" s="5">
        <v>45627</v>
      </c>
      <c r="J30" s="6"/>
      <c r="K30" s="6" t="s">
        <v>47</v>
      </c>
      <c r="L30" s="6"/>
      <c r="M30" s="6"/>
      <c r="N30" s="6" t="s">
        <v>48</v>
      </c>
      <c r="O30" s="7">
        <v>8.76</v>
      </c>
      <c r="P30" s="7">
        <v>8.76</v>
      </c>
      <c r="Q30" s="6">
        <v>0</v>
      </c>
      <c r="R30" s="8">
        <v>0.7</v>
      </c>
      <c r="S30" s="2">
        <f t="shared" si="0"/>
        <v>6.1319999999999997</v>
      </c>
      <c r="T30" s="8">
        <v>0</v>
      </c>
      <c r="U30" s="7">
        <v>0</v>
      </c>
      <c r="V30" s="7">
        <v>0</v>
      </c>
      <c r="W30" s="6"/>
      <c r="X30" s="6"/>
      <c r="Y30" s="6"/>
      <c r="Z30" s="6"/>
      <c r="AA30" s="9">
        <v>17082700</v>
      </c>
      <c r="AB30" s="6"/>
    </row>
    <row r="31" spans="1:28" x14ac:dyDescent="0.25">
      <c r="A31" s="5">
        <v>45623</v>
      </c>
      <c r="B31" s="6">
        <v>2025844894</v>
      </c>
      <c r="C31" s="6" t="s">
        <v>76</v>
      </c>
      <c r="D31" s="6" t="s">
        <v>74</v>
      </c>
      <c r="E31" s="6">
        <v>807212</v>
      </c>
      <c r="F31" s="6" t="s">
        <v>77</v>
      </c>
      <c r="G31" s="6" t="s">
        <v>45</v>
      </c>
      <c r="H31" s="6" t="s">
        <v>49</v>
      </c>
      <c r="I31" s="5">
        <v>45617</v>
      </c>
      <c r="J31" s="6"/>
      <c r="K31" s="6" t="s">
        <v>47</v>
      </c>
      <c r="L31" s="6"/>
      <c r="M31" s="6"/>
      <c r="N31" s="6" t="s">
        <v>48</v>
      </c>
      <c r="O31" s="7">
        <v>121.06</v>
      </c>
      <c r="P31" s="7">
        <v>121.06</v>
      </c>
      <c r="Q31" s="6">
        <v>0</v>
      </c>
      <c r="R31" s="8">
        <v>0.7</v>
      </c>
      <c r="S31" s="2">
        <f t="shared" si="0"/>
        <v>84.74199999999999</v>
      </c>
      <c r="T31" s="8">
        <v>0</v>
      </c>
      <c r="U31" s="7">
        <v>0</v>
      </c>
      <c r="V31" s="7">
        <v>0</v>
      </c>
      <c r="W31" s="6"/>
      <c r="X31" s="6"/>
      <c r="Y31" s="6"/>
      <c r="Z31" s="6"/>
      <c r="AA31" s="9">
        <v>17082240</v>
      </c>
      <c r="AB31" s="6"/>
    </row>
    <row r="32" spans="1:28" x14ac:dyDescent="0.25">
      <c r="A32" s="5">
        <v>45623</v>
      </c>
      <c r="B32" s="6">
        <v>2025847603</v>
      </c>
      <c r="C32" s="6" t="s">
        <v>82</v>
      </c>
      <c r="D32" s="6" t="s">
        <v>74</v>
      </c>
      <c r="E32" s="6">
        <v>807212</v>
      </c>
      <c r="F32" s="6" t="s">
        <v>77</v>
      </c>
      <c r="G32" s="6" t="s">
        <v>45</v>
      </c>
      <c r="H32" s="6" t="s">
        <v>49</v>
      </c>
      <c r="I32" s="5">
        <v>45617</v>
      </c>
      <c r="J32" s="6"/>
      <c r="K32" s="6" t="s">
        <v>47</v>
      </c>
      <c r="L32" s="6"/>
      <c r="M32" s="6"/>
      <c r="N32" s="6" t="s">
        <v>48</v>
      </c>
      <c r="O32" s="7">
        <v>46.08</v>
      </c>
      <c r="P32" s="7">
        <v>46.08</v>
      </c>
      <c r="Q32" s="6">
        <v>0</v>
      </c>
      <c r="R32" s="8">
        <v>0.7</v>
      </c>
      <c r="S32" s="2">
        <f t="shared" si="0"/>
        <v>32.256</v>
      </c>
      <c r="T32" s="8">
        <v>0</v>
      </c>
      <c r="U32" s="7">
        <v>0</v>
      </c>
      <c r="V32" s="7">
        <v>0</v>
      </c>
      <c r="W32" s="6"/>
      <c r="X32" s="6"/>
      <c r="Y32" s="6"/>
      <c r="Z32" s="6"/>
      <c r="AA32" s="9">
        <v>17082280</v>
      </c>
      <c r="AB32" s="6"/>
    </row>
    <row r="33" spans="1:28" x14ac:dyDescent="0.25">
      <c r="A33" s="5">
        <v>45623</v>
      </c>
      <c r="B33" s="6">
        <v>2025895058</v>
      </c>
      <c r="C33" s="6" t="s">
        <v>107</v>
      </c>
      <c r="D33" s="6" t="s">
        <v>74</v>
      </c>
      <c r="E33" s="6">
        <v>807212</v>
      </c>
      <c r="F33" s="6" t="s">
        <v>77</v>
      </c>
      <c r="G33" s="6" t="s">
        <v>45</v>
      </c>
      <c r="H33" s="6" t="s">
        <v>49</v>
      </c>
      <c r="I33" s="5">
        <v>45619</v>
      </c>
      <c r="J33" s="6"/>
      <c r="K33" s="6" t="s">
        <v>47</v>
      </c>
      <c r="L33" s="6"/>
      <c r="M33" s="6"/>
      <c r="N33" s="6" t="s">
        <v>48</v>
      </c>
      <c r="O33" s="7">
        <v>49.92</v>
      </c>
      <c r="P33" s="7">
        <v>49.92</v>
      </c>
      <c r="Q33" s="6">
        <v>0</v>
      </c>
      <c r="R33" s="8">
        <v>0.7</v>
      </c>
      <c r="S33" s="2">
        <f t="shared" si="0"/>
        <v>34.943999999999996</v>
      </c>
      <c r="T33" s="8">
        <v>0</v>
      </c>
      <c r="U33" s="7">
        <v>0</v>
      </c>
      <c r="V33" s="7">
        <v>0</v>
      </c>
      <c r="W33" s="6"/>
      <c r="X33" s="6"/>
      <c r="Y33" s="6"/>
      <c r="Z33" s="6"/>
      <c r="AA33" s="9">
        <v>17082700</v>
      </c>
      <c r="AB33" s="6"/>
    </row>
    <row r="34" spans="1:28" x14ac:dyDescent="0.25">
      <c r="A34" s="1">
        <v>45623</v>
      </c>
      <c r="B34">
        <v>2025604323</v>
      </c>
      <c r="C34" t="s">
        <v>42</v>
      </c>
      <c r="D34" t="s">
        <v>43</v>
      </c>
      <c r="E34">
        <v>673059</v>
      </c>
      <c r="F34" t="s">
        <v>44</v>
      </c>
      <c r="G34" t="s">
        <v>45</v>
      </c>
      <c r="H34" t="s">
        <v>49</v>
      </c>
      <c r="I34" s="1">
        <v>45651</v>
      </c>
      <c r="K34" t="s">
        <v>47</v>
      </c>
      <c r="N34" t="s">
        <v>48</v>
      </c>
      <c r="O34" s="2">
        <v>38.31</v>
      </c>
      <c r="P34" s="2">
        <v>38.31</v>
      </c>
      <c r="Q34">
        <v>0</v>
      </c>
      <c r="R34" s="3">
        <v>0.7</v>
      </c>
      <c r="S34" s="2">
        <f t="shared" si="0"/>
        <v>26.817</v>
      </c>
      <c r="T34" s="3">
        <v>0</v>
      </c>
      <c r="U34" s="2">
        <v>0</v>
      </c>
      <c r="V34" s="2">
        <v>0</v>
      </c>
      <c r="AA34" s="4">
        <v>17081800</v>
      </c>
    </row>
    <row r="35" spans="1:28" x14ac:dyDescent="0.25">
      <c r="A35" s="1">
        <v>45623</v>
      </c>
      <c r="B35">
        <v>2025821392</v>
      </c>
      <c r="C35" t="s">
        <v>66</v>
      </c>
      <c r="D35" t="s">
        <v>67</v>
      </c>
      <c r="E35">
        <v>673059</v>
      </c>
      <c r="F35" t="s">
        <v>44</v>
      </c>
      <c r="G35" t="s">
        <v>45</v>
      </c>
      <c r="H35" t="s">
        <v>49</v>
      </c>
      <c r="I35" s="1">
        <v>45658</v>
      </c>
      <c r="K35" t="s">
        <v>47</v>
      </c>
      <c r="N35" t="s">
        <v>48</v>
      </c>
      <c r="O35" s="2">
        <v>35.36</v>
      </c>
      <c r="P35" s="2">
        <v>35.36</v>
      </c>
      <c r="Q35">
        <v>0</v>
      </c>
      <c r="R35" s="3">
        <v>0.7</v>
      </c>
      <c r="S35" s="2">
        <f t="shared" si="0"/>
        <v>24.751999999999999</v>
      </c>
      <c r="T35" s="3">
        <v>0</v>
      </c>
      <c r="U35" s="2">
        <v>0</v>
      </c>
      <c r="V35" s="2">
        <v>0</v>
      </c>
      <c r="AA35" s="4">
        <v>17082020</v>
      </c>
    </row>
    <row r="36" spans="1:28" x14ac:dyDescent="0.25">
      <c r="A36" s="1">
        <v>45623</v>
      </c>
      <c r="B36">
        <v>2025831091</v>
      </c>
      <c r="C36" t="s">
        <v>69</v>
      </c>
      <c r="D36" t="s">
        <v>67</v>
      </c>
      <c r="E36">
        <v>673059</v>
      </c>
      <c r="F36" t="s">
        <v>44</v>
      </c>
      <c r="G36" t="s">
        <v>45</v>
      </c>
      <c r="H36" t="s">
        <v>49</v>
      </c>
      <c r="I36" s="1">
        <v>45658</v>
      </c>
      <c r="K36" t="s">
        <v>47</v>
      </c>
      <c r="N36" t="s">
        <v>48</v>
      </c>
      <c r="O36" s="2">
        <v>70.989999999999995</v>
      </c>
      <c r="P36" s="2">
        <v>70.989999999999995</v>
      </c>
      <c r="Q36">
        <v>0</v>
      </c>
      <c r="R36" s="3">
        <v>0.7</v>
      </c>
      <c r="S36" s="2">
        <f t="shared" si="0"/>
        <v>49.692999999999991</v>
      </c>
      <c r="T36" s="3">
        <v>0</v>
      </c>
      <c r="U36" s="2">
        <v>0</v>
      </c>
      <c r="V36" s="2">
        <v>0</v>
      </c>
      <c r="AA36" s="4">
        <v>17082110</v>
      </c>
    </row>
    <row r="37" spans="1:28" x14ac:dyDescent="0.25">
      <c r="A37" s="1">
        <v>45623</v>
      </c>
      <c r="B37">
        <v>2025831418</v>
      </c>
      <c r="C37" t="s">
        <v>70</v>
      </c>
      <c r="D37" t="s">
        <v>67</v>
      </c>
      <c r="E37">
        <v>673059</v>
      </c>
      <c r="F37" t="s">
        <v>44</v>
      </c>
      <c r="G37" t="s">
        <v>45</v>
      </c>
      <c r="H37" t="s">
        <v>49</v>
      </c>
      <c r="I37" s="1">
        <v>45658</v>
      </c>
      <c r="K37" t="s">
        <v>47</v>
      </c>
      <c r="N37" t="s">
        <v>48</v>
      </c>
      <c r="O37" s="2">
        <v>13.95</v>
      </c>
      <c r="P37" s="2">
        <v>13.95</v>
      </c>
      <c r="Q37">
        <v>0</v>
      </c>
      <c r="R37" s="3">
        <v>0.7</v>
      </c>
      <c r="S37" s="2">
        <f t="shared" si="0"/>
        <v>9.7649999999999988</v>
      </c>
      <c r="T37" s="3">
        <v>0</v>
      </c>
      <c r="U37" s="2">
        <v>0</v>
      </c>
      <c r="V37" s="2">
        <v>0</v>
      </c>
      <c r="AA37" s="4">
        <v>17082120</v>
      </c>
    </row>
    <row r="38" spans="1:28" x14ac:dyDescent="0.25">
      <c r="A38" s="1">
        <v>45623</v>
      </c>
      <c r="B38">
        <v>2025839288</v>
      </c>
      <c r="C38" t="s">
        <v>71</v>
      </c>
      <c r="D38" t="s">
        <v>72</v>
      </c>
      <c r="E38">
        <v>673059</v>
      </c>
      <c r="F38" t="s">
        <v>44</v>
      </c>
      <c r="G38" t="s">
        <v>45</v>
      </c>
      <c r="H38" t="s">
        <v>49</v>
      </c>
      <c r="I38" s="1">
        <v>45658</v>
      </c>
      <c r="K38" t="s">
        <v>47</v>
      </c>
      <c r="N38" t="s">
        <v>48</v>
      </c>
      <c r="O38" s="2">
        <v>124.21</v>
      </c>
      <c r="P38" s="2">
        <v>124.21</v>
      </c>
      <c r="Q38">
        <v>0</v>
      </c>
      <c r="R38" s="3">
        <v>0.7</v>
      </c>
      <c r="S38" s="2">
        <f t="shared" si="0"/>
        <v>86.946999999999989</v>
      </c>
      <c r="T38" s="3">
        <v>0</v>
      </c>
      <c r="U38" s="2">
        <v>0</v>
      </c>
      <c r="V38" s="2">
        <v>0</v>
      </c>
      <c r="AA38" s="4">
        <v>17082190</v>
      </c>
    </row>
    <row r="39" spans="1:28" x14ac:dyDescent="0.25">
      <c r="A39" s="1">
        <v>45623</v>
      </c>
      <c r="B39">
        <v>2025845319</v>
      </c>
      <c r="C39" t="s">
        <v>79</v>
      </c>
      <c r="D39" t="s">
        <v>80</v>
      </c>
      <c r="E39">
        <v>673059</v>
      </c>
      <c r="F39" t="s">
        <v>44</v>
      </c>
      <c r="G39" t="s">
        <v>45</v>
      </c>
      <c r="H39" t="s">
        <v>49</v>
      </c>
      <c r="I39" s="1">
        <v>45658</v>
      </c>
      <c r="K39" t="s">
        <v>47</v>
      </c>
      <c r="N39" t="s">
        <v>48</v>
      </c>
      <c r="O39" s="2">
        <v>73.94</v>
      </c>
      <c r="P39" s="2">
        <v>73.94</v>
      </c>
      <c r="Q39">
        <v>0</v>
      </c>
      <c r="R39" s="3">
        <v>0.7</v>
      </c>
      <c r="S39" s="2">
        <f t="shared" si="0"/>
        <v>51.757999999999996</v>
      </c>
      <c r="T39" s="3">
        <v>0</v>
      </c>
      <c r="U39" s="2">
        <v>0</v>
      </c>
      <c r="V39" s="2">
        <v>0</v>
      </c>
      <c r="AA39" s="4">
        <v>17082240</v>
      </c>
    </row>
    <row r="40" spans="1:28" x14ac:dyDescent="0.25">
      <c r="A40" s="1">
        <v>45623</v>
      </c>
      <c r="B40">
        <v>2025850683</v>
      </c>
      <c r="C40" t="s">
        <v>84</v>
      </c>
      <c r="D40" t="s">
        <v>85</v>
      </c>
      <c r="E40">
        <v>673059</v>
      </c>
      <c r="F40" t="s">
        <v>44</v>
      </c>
      <c r="G40" t="s">
        <v>45</v>
      </c>
      <c r="H40" t="s">
        <v>49</v>
      </c>
      <c r="I40" s="1">
        <v>45658</v>
      </c>
      <c r="K40" t="s">
        <v>47</v>
      </c>
      <c r="N40" t="s">
        <v>48</v>
      </c>
      <c r="O40" s="2">
        <v>35.04</v>
      </c>
      <c r="P40" s="2">
        <v>35.04</v>
      </c>
      <c r="Q40">
        <v>0</v>
      </c>
      <c r="R40" s="3">
        <v>0.7</v>
      </c>
      <c r="S40" s="2">
        <f t="shared" si="0"/>
        <v>24.527999999999999</v>
      </c>
      <c r="T40" s="3">
        <v>0</v>
      </c>
      <c r="U40" s="2">
        <v>0</v>
      </c>
      <c r="V40" s="2">
        <v>0</v>
      </c>
      <c r="AA40" s="4">
        <v>17082330</v>
      </c>
    </row>
    <row r="41" spans="1:28" x14ac:dyDescent="0.25">
      <c r="A41" s="1">
        <v>45623</v>
      </c>
      <c r="B41">
        <v>2025855065</v>
      </c>
      <c r="C41" t="s">
        <v>88</v>
      </c>
      <c r="D41" t="s">
        <v>74</v>
      </c>
      <c r="E41">
        <v>673059</v>
      </c>
      <c r="F41" t="s">
        <v>44</v>
      </c>
      <c r="G41" t="s">
        <v>45</v>
      </c>
      <c r="H41" t="s">
        <v>49</v>
      </c>
      <c r="I41" s="1">
        <v>45658</v>
      </c>
      <c r="K41" t="s">
        <v>47</v>
      </c>
      <c r="N41" t="s">
        <v>48</v>
      </c>
      <c r="O41" s="2">
        <v>60.8</v>
      </c>
      <c r="P41" s="2">
        <v>60.8</v>
      </c>
      <c r="Q41">
        <v>0</v>
      </c>
      <c r="R41" s="3">
        <v>0.7</v>
      </c>
      <c r="S41" s="2">
        <f t="shared" si="0"/>
        <v>42.559999999999995</v>
      </c>
      <c r="T41" s="3">
        <v>0</v>
      </c>
      <c r="U41" s="2">
        <v>0</v>
      </c>
      <c r="V41" s="2">
        <v>0</v>
      </c>
      <c r="AA41" s="4">
        <v>17082370</v>
      </c>
    </row>
    <row r="42" spans="1:28" x14ac:dyDescent="0.25">
      <c r="A42" s="1">
        <v>45623</v>
      </c>
      <c r="B42">
        <v>2025888228</v>
      </c>
      <c r="C42" t="s">
        <v>96</v>
      </c>
      <c r="D42" t="s">
        <v>74</v>
      </c>
      <c r="E42">
        <v>673059</v>
      </c>
      <c r="F42" t="s">
        <v>44</v>
      </c>
      <c r="G42" t="s">
        <v>45</v>
      </c>
      <c r="H42" t="s">
        <v>49</v>
      </c>
      <c r="I42" s="1">
        <v>45658</v>
      </c>
      <c r="K42" t="s">
        <v>47</v>
      </c>
      <c r="N42" t="s">
        <v>48</v>
      </c>
      <c r="O42" s="2">
        <v>62.75</v>
      </c>
      <c r="P42" s="2">
        <v>62.75</v>
      </c>
      <c r="Q42">
        <v>0</v>
      </c>
      <c r="R42" s="3">
        <v>0.7</v>
      </c>
      <c r="S42" s="2">
        <f t="shared" si="0"/>
        <v>43.924999999999997</v>
      </c>
      <c r="T42" s="3">
        <v>0</v>
      </c>
      <c r="U42" s="2">
        <v>0</v>
      </c>
      <c r="V42" s="2">
        <v>0</v>
      </c>
      <c r="AA42" s="4">
        <v>17082660</v>
      </c>
    </row>
    <row r="43" spans="1:28" x14ac:dyDescent="0.25">
      <c r="A43" s="1">
        <v>45623</v>
      </c>
      <c r="B43">
        <v>2025894962</v>
      </c>
      <c r="C43" t="s">
        <v>105</v>
      </c>
      <c r="D43" t="s">
        <v>106</v>
      </c>
      <c r="E43">
        <v>673059</v>
      </c>
      <c r="F43" t="s">
        <v>44</v>
      </c>
      <c r="G43" t="s">
        <v>45</v>
      </c>
      <c r="H43" t="s">
        <v>49</v>
      </c>
      <c r="I43" s="1">
        <v>45658</v>
      </c>
      <c r="K43" t="s">
        <v>47</v>
      </c>
      <c r="N43" t="s">
        <v>48</v>
      </c>
      <c r="O43" s="2">
        <v>23.25</v>
      </c>
      <c r="P43" s="2">
        <v>23.25</v>
      </c>
      <c r="Q43">
        <v>0</v>
      </c>
      <c r="R43" s="3">
        <v>0.7</v>
      </c>
      <c r="S43" s="2">
        <f t="shared" si="0"/>
        <v>16.274999999999999</v>
      </c>
      <c r="T43" s="3">
        <v>0</v>
      </c>
      <c r="U43" s="2">
        <v>0</v>
      </c>
      <c r="V43" s="2">
        <v>0</v>
      </c>
      <c r="AA43" s="4">
        <v>17082700</v>
      </c>
    </row>
    <row r="44" spans="1:28" x14ac:dyDescent="0.25">
      <c r="A44" s="5">
        <v>45623</v>
      </c>
      <c r="B44" s="6">
        <v>2025809461</v>
      </c>
      <c r="C44" s="6" t="s">
        <v>50</v>
      </c>
      <c r="D44" s="6" t="s">
        <v>43</v>
      </c>
      <c r="E44" s="6">
        <v>767312</v>
      </c>
      <c r="F44" s="6" t="s">
        <v>51</v>
      </c>
      <c r="G44" s="6" t="s">
        <v>45</v>
      </c>
      <c r="H44" s="6" t="s">
        <v>49</v>
      </c>
      <c r="I44" s="5">
        <v>45658</v>
      </c>
      <c r="J44" s="6"/>
      <c r="K44" s="6" t="s">
        <v>47</v>
      </c>
      <c r="L44" s="6"/>
      <c r="M44" s="6"/>
      <c r="N44" s="6" t="s">
        <v>48</v>
      </c>
      <c r="O44" s="7">
        <v>38.31</v>
      </c>
      <c r="P44" s="7">
        <v>38.31</v>
      </c>
      <c r="Q44" s="6">
        <v>0</v>
      </c>
      <c r="R44" s="8">
        <v>0.7</v>
      </c>
      <c r="S44" s="2">
        <f t="shared" si="0"/>
        <v>26.817</v>
      </c>
      <c r="T44" s="8">
        <v>0</v>
      </c>
      <c r="U44" s="7">
        <v>0</v>
      </c>
      <c r="V44" s="7">
        <v>0</v>
      </c>
      <c r="W44" s="6"/>
      <c r="X44" s="6"/>
      <c r="Y44" s="6"/>
      <c r="Z44" s="6"/>
      <c r="AA44" s="9">
        <v>17081910</v>
      </c>
      <c r="AB44" s="6"/>
    </row>
    <row r="45" spans="1:28" x14ac:dyDescent="0.25">
      <c r="A45" s="5">
        <v>45623</v>
      </c>
      <c r="B45" s="6">
        <v>2025819739</v>
      </c>
      <c r="C45" s="6" t="s">
        <v>57</v>
      </c>
      <c r="D45" s="6" t="s">
        <v>58</v>
      </c>
      <c r="E45" s="6">
        <v>767312</v>
      </c>
      <c r="F45" s="6" t="s">
        <v>51</v>
      </c>
      <c r="G45" s="6" t="s">
        <v>45</v>
      </c>
      <c r="H45" s="6" t="s">
        <v>49</v>
      </c>
      <c r="I45" s="5">
        <v>45627</v>
      </c>
      <c r="J45" s="6"/>
      <c r="K45" s="6" t="s">
        <v>47</v>
      </c>
      <c r="L45" s="6"/>
      <c r="M45" s="6"/>
      <c r="N45" s="6" t="s">
        <v>48</v>
      </c>
      <c r="O45" s="7">
        <v>35.06</v>
      </c>
      <c r="P45" s="7">
        <v>35.06</v>
      </c>
      <c r="Q45" s="6">
        <v>0</v>
      </c>
      <c r="R45" s="8">
        <v>0.7</v>
      </c>
      <c r="S45" s="2">
        <f t="shared" si="0"/>
        <v>24.542000000000002</v>
      </c>
      <c r="T45" s="8">
        <v>0</v>
      </c>
      <c r="U45" s="7">
        <v>0</v>
      </c>
      <c r="V45" s="7">
        <v>0</v>
      </c>
      <c r="W45" s="6"/>
      <c r="X45" s="6"/>
      <c r="Y45" s="6"/>
      <c r="Z45" s="6"/>
      <c r="AA45" s="9">
        <v>17082000</v>
      </c>
      <c r="AB45" s="6"/>
    </row>
    <row r="46" spans="1:28" x14ac:dyDescent="0.25">
      <c r="A46" s="5">
        <v>45623</v>
      </c>
      <c r="B46" s="6">
        <v>2025847341</v>
      </c>
      <c r="C46" s="6" t="s">
        <v>81</v>
      </c>
      <c r="D46" s="6" t="s">
        <v>67</v>
      </c>
      <c r="E46" s="6">
        <v>767312</v>
      </c>
      <c r="F46" s="6" t="s">
        <v>51</v>
      </c>
      <c r="G46" s="6" t="s">
        <v>45</v>
      </c>
      <c r="H46" s="6" t="s">
        <v>49</v>
      </c>
      <c r="I46" s="5">
        <v>45658</v>
      </c>
      <c r="J46" s="6"/>
      <c r="K46" s="6" t="s">
        <v>47</v>
      </c>
      <c r="L46" s="6"/>
      <c r="M46" s="6"/>
      <c r="N46" s="6" t="s">
        <v>48</v>
      </c>
      <c r="O46" s="7">
        <v>49.56</v>
      </c>
      <c r="P46" s="7">
        <v>49.56</v>
      </c>
      <c r="Q46" s="6">
        <v>0</v>
      </c>
      <c r="R46" s="8">
        <v>0.7</v>
      </c>
      <c r="S46" s="2">
        <f t="shared" si="0"/>
        <v>34.692</v>
      </c>
      <c r="T46" s="8">
        <v>0</v>
      </c>
      <c r="U46" s="7">
        <v>0</v>
      </c>
      <c r="V46" s="7">
        <v>0</v>
      </c>
      <c r="W46" s="6"/>
      <c r="X46" s="6"/>
      <c r="Y46" s="6"/>
      <c r="Z46" s="6"/>
      <c r="AA46" s="9">
        <v>17082270</v>
      </c>
      <c r="AB46" s="6"/>
    </row>
    <row r="47" spans="1:28" x14ac:dyDescent="0.25">
      <c r="A47" s="5">
        <v>45623</v>
      </c>
      <c r="B47" s="6">
        <v>2025852190</v>
      </c>
      <c r="C47" s="6" t="s">
        <v>87</v>
      </c>
      <c r="D47" s="6" t="s">
        <v>43</v>
      </c>
      <c r="E47" s="6">
        <v>767312</v>
      </c>
      <c r="F47" s="6" t="s">
        <v>51</v>
      </c>
      <c r="G47" s="6" t="s">
        <v>45</v>
      </c>
      <c r="H47" s="6" t="s">
        <v>49</v>
      </c>
      <c r="I47" s="5">
        <v>45627</v>
      </c>
      <c r="J47" s="6"/>
      <c r="K47" s="6" t="s">
        <v>47</v>
      </c>
      <c r="L47" s="6"/>
      <c r="M47" s="6"/>
      <c r="N47" s="6" t="s">
        <v>48</v>
      </c>
      <c r="O47" s="7">
        <v>83</v>
      </c>
      <c r="P47" s="7">
        <v>83</v>
      </c>
      <c r="Q47" s="6">
        <v>0</v>
      </c>
      <c r="R47" s="8">
        <v>0.7</v>
      </c>
      <c r="S47" s="2">
        <f t="shared" si="0"/>
        <v>58.099999999999994</v>
      </c>
      <c r="T47" s="8">
        <v>0</v>
      </c>
      <c r="U47" s="7">
        <v>0</v>
      </c>
      <c r="V47" s="7">
        <v>0</v>
      </c>
      <c r="W47" s="6"/>
      <c r="X47" s="6"/>
      <c r="Y47" s="6"/>
      <c r="Z47" s="6"/>
      <c r="AA47" s="9">
        <v>17082350</v>
      </c>
      <c r="AB47" s="6"/>
    </row>
    <row r="48" spans="1:28" x14ac:dyDescent="0.25">
      <c r="A48" s="5">
        <v>45623</v>
      </c>
      <c r="B48" s="6">
        <v>2025820173</v>
      </c>
      <c r="C48" s="6" t="s">
        <v>63</v>
      </c>
      <c r="D48" s="6" t="s">
        <v>64</v>
      </c>
      <c r="E48" s="6">
        <v>796984</v>
      </c>
      <c r="F48" s="6" t="s">
        <v>65</v>
      </c>
      <c r="G48" s="6" t="s">
        <v>45</v>
      </c>
      <c r="H48" s="6" t="s">
        <v>49</v>
      </c>
      <c r="I48" s="5">
        <v>45615</v>
      </c>
      <c r="J48" s="6"/>
      <c r="K48" s="6" t="s">
        <v>47</v>
      </c>
      <c r="L48" s="6"/>
      <c r="M48" s="6"/>
      <c r="N48" s="6" t="s">
        <v>48</v>
      </c>
      <c r="O48" s="7">
        <v>9.6999999999999993</v>
      </c>
      <c r="P48" s="7">
        <v>9.6999999999999993</v>
      </c>
      <c r="Q48" s="6">
        <v>0</v>
      </c>
      <c r="R48" s="8">
        <v>0.7</v>
      </c>
      <c r="S48" s="2">
        <f t="shared" si="0"/>
        <v>6.7899999999999991</v>
      </c>
      <c r="T48" s="8">
        <v>0</v>
      </c>
      <c r="U48" s="7">
        <v>0</v>
      </c>
      <c r="V48" s="7">
        <v>0</v>
      </c>
      <c r="W48" s="6"/>
      <c r="X48" s="6"/>
      <c r="Y48" s="6"/>
      <c r="Z48" s="6"/>
      <c r="AA48" s="9">
        <v>17082000</v>
      </c>
      <c r="AB48" s="6"/>
    </row>
    <row r="49" spans="1:28" x14ac:dyDescent="0.25">
      <c r="A49" s="5">
        <v>45623</v>
      </c>
      <c r="B49" s="6">
        <v>2025894367</v>
      </c>
      <c r="C49" s="6" t="s">
        <v>103</v>
      </c>
      <c r="D49" s="6" t="s">
        <v>80</v>
      </c>
      <c r="E49" s="6">
        <v>766422</v>
      </c>
      <c r="F49" s="6" t="s">
        <v>104</v>
      </c>
      <c r="G49" s="6" t="s">
        <v>45</v>
      </c>
      <c r="H49" s="6" t="s">
        <v>59</v>
      </c>
      <c r="I49" s="5">
        <v>45627</v>
      </c>
      <c r="J49" s="6"/>
      <c r="K49" s="6" t="s">
        <v>47</v>
      </c>
      <c r="L49" s="6"/>
      <c r="M49" s="6"/>
      <c r="N49" s="6" t="s">
        <v>48</v>
      </c>
      <c r="O49" s="7">
        <v>34.32</v>
      </c>
      <c r="P49" s="7">
        <v>34.32</v>
      </c>
      <c r="Q49" s="6">
        <v>0</v>
      </c>
      <c r="R49" s="8">
        <v>0.375</v>
      </c>
      <c r="S49" s="2">
        <f t="shared" si="0"/>
        <v>12.870000000000001</v>
      </c>
      <c r="T49" s="8">
        <v>0</v>
      </c>
      <c r="U49" s="7">
        <v>0</v>
      </c>
      <c r="V49" s="7">
        <v>0</v>
      </c>
      <c r="W49" s="6"/>
      <c r="X49" s="6"/>
      <c r="Y49" s="6"/>
      <c r="Z49" s="6"/>
      <c r="AA49" s="9">
        <v>17099830</v>
      </c>
      <c r="AB49" s="6"/>
    </row>
    <row r="50" spans="1:28" x14ac:dyDescent="0.25">
      <c r="A50" s="1">
        <v>45623</v>
      </c>
      <c r="B50">
        <v>2025831092</v>
      </c>
      <c r="C50" t="s">
        <v>69</v>
      </c>
      <c r="D50" t="s">
        <v>67</v>
      </c>
      <c r="E50">
        <v>673059</v>
      </c>
      <c r="F50" t="s">
        <v>44</v>
      </c>
      <c r="G50" t="s">
        <v>45</v>
      </c>
      <c r="H50" t="s">
        <v>59</v>
      </c>
      <c r="I50" s="1">
        <v>45658</v>
      </c>
      <c r="K50" t="s">
        <v>47</v>
      </c>
      <c r="N50" t="s">
        <v>48</v>
      </c>
      <c r="O50" s="2">
        <v>72.83</v>
      </c>
      <c r="P50" s="2">
        <v>72.83</v>
      </c>
      <c r="Q50">
        <v>0</v>
      </c>
      <c r="R50" s="3">
        <v>0.375</v>
      </c>
      <c r="S50" s="2">
        <f t="shared" si="0"/>
        <v>27.311250000000001</v>
      </c>
      <c r="T50" s="3">
        <v>0</v>
      </c>
      <c r="U50" s="2">
        <v>0</v>
      </c>
      <c r="V50" s="2">
        <v>0</v>
      </c>
      <c r="AA50" s="4">
        <v>17099120</v>
      </c>
    </row>
    <row r="51" spans="1:28" x14ac:dyDescent="0.25">
      <c r="A51" s="1">
        <v>45623</v>
      </c>
      <c r="B51">
        <v>2025831420</v>
      </c>
      <c r="C51" t="s">
        <v>70</v>
      </c>
      <c r="D51" t="s">
        <v>67</v>
      </c>
      <c r="E51">
        <v>673059</v>
      </c>
      <c r="F51" t="s">
        <v>44</v>
      </c>
      <c r="G51" t="s">
        <v>45</v>
      </c>
      <c r="H51" t="s">
        <v>59</v>
      </c>
      <c r="I51" s="1">
        <v>45658</v>
      </c>
      <c r="K51" t="s">
        <v>47</v>
      </c>
      <c r="N51" t="s">
        <v>48</v>
      </c>
      <c r="O51" s="2">
        <v>41.72</v>
      </c>
      <c r="P51" s="2">
        <v>41.72</v>
      </c>
      <c r="Q51">
        <v>0</v>
      </c>
      <c r="R51" s="3">
        <v>0.375</v>
      </c>
      <c r="S51" s="2">
        <f t="shared" si="0"/>
        <v>15.645</v>
      </c>
      <c r="T51" s="3">
        <v>0</v>
      </c>
      <c r="U51" s="2">
        <v>0</v>
      </c>
      <c r="V51" s="2">
        <v>0</v>
      </c>
      <c r="AA51" s="4">
        <v>17099130</v>
      </c>
    </row>
    <row r="52" spans="1:28" x14ac:dyDescent="0.25">
      <c r="A52" s="1">
        <v>45623</v>
      </c>
      <c r="B52">
        <v>2025839290</v>
      </c>
      <c r="C52" t="s">
        <v>71</v>
      </c>
      <c r="D52" t="s">
        <v>72</v>
      </c>
      <c r="E52">
        <v>673059</v>
      </c>
      <c r="F52" t="s">
        <v>44</v>
      </c>
      <c r="G52" t="s">
        <v>45</v>
      </c>
      <c r="H52" t="s">
        <v>59</v>
      </c>
      <c r="I52" s="1">
        <v>45658</v>
      </c>
      <c r="K52" t="s">
        <v>47</v>
      </c>
      <c r="N52" t="s">
        <v>48</v>
      </c>
      <c r="O52" s="2">
        <v>51.08</v>
      </c>
      <c r="P52" s="2">
        <v>51.08</v>
      </c>
      <c r="Q52">
        <v>0</v>
      </c>
      <c r="R52" s="3">
        <v>0.375</v>
      </c>
      <c r="S52" s="2">
        <f t="shared" si="0"/>
        <v>19.155000000000001</v>
      </c>
      <c r="T52" s="3">
        <v>0</v>
      </c>
      <c r="U52" s="2">
        <v>0</v>
      </c>
      <c r="V52" s="2">
        <v>0</v>
      </c>
      <c r="AA52" s="4">
        <v>17099230</v>
      </c>
    </row>
    <row r="53" spans="1:28" s="6" customFormat="1" x14ac:dyDescent="0.25">
      <c r="A53" s="1">
        <v>45623</v>
      </c>
      <c r="B53">
        <v>2025845322</v>
      </c>
      <c r="C53" t="s">
        <v>79</v>
      </c>
      <c r="D53" t="s">
        <v>80</v>
      </c>
      <c r="E53">
        <v>673059</v>
      </c>
      <c r="F53" t="s">
        <v>44</v>
      </c>
      <c r="G53" t="s">
        <v>45</v>
      </c>
      <c r="H53" t="s">
        <v>59</v>
      </c>
      <c r="I53" s="1">
        <v>45658</v>
      </c>
      <c r="J53"/>
      <c r="K53" t="s">
        <v>47</v>
      </c>
      <c r="L53"/>
      <c r="M53"/>
      <c r="N53" t="s">
        <v>48</v>
      </c>
      <c r="O53" s="2">
        <v>49.42</v>
      </c>
      <c r="P53" s="2">
        <v>49.42</v>
      </c>
      <c r="Q53">
        <v>0</v>
      </c>
      <c r="R53" s="3">
        <v>0.375</v>
      </c>
      <c r="S53" s="2">
        <f t="shared" si="0"/>
        <v>18.532499999999999</v>
      </c>
      <c r="T53" s="3">
        <v>0</v>
      </c>
      <c r="U53" s="2">
        <v>0</v>
      </c>
      <c r="V53" s="2">
        <v>0</v>
      </c>
      <c r="W53"/>
      <c r="X53"/>
      <c r="Y53"/>
      <c r="Z53"/>
      <c r="AA53" s="4">
        <v>17099300</v>
      </c>
      <c r="AB53"/>
    </row>
    <row r="54" spans="1:28" s="6" customFormat="1" x14ac:dyDescent="0.25">
      <c r="A54" s="1">
        <v>45623</v>
      </c>
      <c r="B54">
        <v>2025850687</v>
      </c>
      <c r="C54" t="s">
        <v>84</v>
      </c>
      <c r="D54" t="s">
        <v>85</v>
      </c>
      <c r="E54">
        <v>673059</v>
      </c>
      <c r="F54" t="s">
        <v>44</v>
      </c>
      <c r="G54" t="s">
        <v>45</v>
      </c>
      <c r="H54" t="s">
        <v>59</v>
      </c>
      <c r="I54" s="1">
        <v>45658</v>
      </c>
      <c r="J54"/>
      <c r="K54" t="s">
        <v>47</v>
      </c>
      <c r="L54"/>
      <c r="M54"/>
      <c r="N54" t="s">
        <v>48</v>
      </c>
      <c r="O54" s="2">
        <v>63.34</v>
      </c>
      <c r="P54" s="2">
        <v>63.34</v>
      </c>
      <c r="Q54">
        <v>0</v>
      </c>
      <c r="R54" s="3">
        <v>0.375</v>
      </c>
      <c r="S54" s="2">
        <f t="shared" si="0"/>
        <v>23.752500000000001</v>
      </c>
      <c r="T54" s="3">
        <v>0</v>
      </c>
      <c r="U54" s="2">
        <v>0</v>
      </c>
      <c r="V54" s="2">
        <v>0</v>
      </c>
      <c r="W54"/>
      <c r="X54"/>
      <c r="Y54"/>
      <c r="Z54"/>
      <c r="AA54" s="4">
        <v>17099400</v>
      </c>
      <c r="AB54"/>
    </row>
    <row r="55" spans="1:28" s="6" customFormat="1" x14ac:dyDescent="0.25">
      <c r="A55" s="1">
        <v>45623</v>
      </c>
      <c r="B55">
        <v>2025855067</v>
      </c>
      <c r="C55" t="s">
        <v>88</v>
      </c>
      <c r="D55" t="s">
        <v>74</v>
      </c>
      <c r="E55">
        <v>673059</v>
      </c>
      <c r="F55" t="s">
        <v>44</v>
      </c>
      <c r="G55" t="s">
        <v>45</v>
      </c>
      <c r="H55" t="s">
        <v>59</v>
      </c>
      <c r="I55" s="1">
        <v>45658</v>
      </c>
      <c r="J55"/>
      <c r="K55" t="s">
        <v>47</v>
      </c>
      <c r="L55"/>
      <c r="M55"/>
      <c r="N55" t="s">
        <v>48</v>
      </c>
      <c r="O55" s="2">
        <v>41.17</v>
      </c>
      <c r="P55" s="2">
        <v>41.17</v>
      </c>
      <c r="Q55">
        <v>0</v>
      </c>
      <c r="R55" s="3">
        <v>0.375</v>
      </c>
      <c r="S55" s="2">
        <f t="shared" si="0"/>
        <v>15.438750000000001</v>
      </c>
      <c r="T55" s="3">
        <v>0</v>
      </c>
      <c r="U55" s="2">
        <v>0</v>
      </c>
      <c r="V55" s="2">
        <v>0</v>
      </c>
      <c r="W55"/>
      <c r="X55"/>
      <c r="Y55"/>
      <c r="Z55"/>
      <c r="AA55" s="4">
        <v>17099440</v>
      </c>
      <c r="AB55"/>
    </row>
    <row r="56" spans="1:28" s="6" customFormat="1" x14ac:dyDescent="0.25">
      <c r="A56" s="5">
        <v>45623</v>
      </c>
      <c r="B56" s="6">
        <v>2025819738</v>
      </c>
      <c r="C56" s="6" t="s">
        <v>57</v>
      </c>
      <c r="D56" s="6" t="s">
        <v>58</v>
      </c>
      <c r="E56" s="6">
        <v>767312</v>
      </c>
      <c r="F56" s="6" t="s">
        <v>51</v>
      </c>
      <c r="G56" s="6" t="s">
        <v>45</v>
      </c>
      <c r="H56" s="6" t="s">
        <v>59</v>
      </c>
      <c r="I56" s="5">
        <v>45627</v>
      </c>
      <c r="K56" s="6" t="s">
        <v>47</v>
      </c>
      <c r="N56" s="6" t="s">
        <v>48</v>
      </c>
      <c r="O56" s="7">
        <v>24.36</v>
      </c>
      <c r="P56" s="7">
        <v>24.36</v>
      </c>
      <c r="Q56" s="6">
        <v>0</v>
      </c>
      <c r="R56" s="8">
        <v>0.375</v>
      </c>
      <c r="S56" s="2">
        <f t="shared" si="0"/>
        <v>9.1349999999999998</v>
      </c>
      <c r="T56" s="8">
        <v>0</v>
      </c>
      <c r="U56" s="7">
        <v>0</v>
      </c>
      <c r="V56" s="7">
        <v>0</v>
      </c>
      <c r="AA56" s="9">
        <v>17098970</v>
      </c>
    </row>
    <row r="57" spans="1:28" s="6" customFormat="1" x14ac:dyDescent="0.25">
      <c r="A57" s="5">
        <v>45623</v>
      </c>
      <c r="B57" s="6">
        <v>2025820105</v>
      </c>
      <c r="C57" s="6" t="s">
        <v>61</v>
      </c>
      <c r="D57" s="6" t="s">
        <v>58</v>
      </c>
      <c r="E57" s="6">
        <v>767312</v>
      </c>
      <c r="F57" s="6" t="s">
        <v>51</v>
      </c>
      <c r="G57" s="6" t="s">
        <v>45</v>
      </c>
      <c r="H57" s="6" t="s">
        <v>59</v>
      </c>
      <c r="I57" s="5">
        <v>45627</v>
      </c>
      <c r="K57" s="6" t="s">
        <v>47</v>
      </c>
      <c r="N57" s="6" t="s">
        <v>48</v>
      </c>
      <c r="O57" s="7">
        <v>24.36</v>
      </c>
      <c r="P57" s="7">
        <v>24.36</v>
      </c>
      <c r="Q57" s="6">
        <v>0</v>
      </c>
      <c r="R57" s="8">
        <v>0.375</v>
      </c>
      <c r="S57" s="2">
        <f t="shared" si="0"/>
        <v>9.1349999999999998</v>
      </c>
      <c r="T57" s="8">
        <v>0</v>
      </c>
      <c r="U57" s="7">
        <v>0</v>
      </c>
      <c r="V57" s="7">
        <v>0</v>
      </c>
      <c r="AA57" s="9">
        <v>17098980</v>
      </c>
    </row>
    <row r="58" spans="1:28" s="6" customFormat="1" x14ac:dyDescent="0.25">
      <c r="A58" s="5">
        <v>45623</v>
      </c>
      <c r="B58" s="6">
        <v>2025849650</v>
      </c>
      <c r="C58" s="6" t="s">
        <v>83</v>
      </c>
      <c r="D58" s="6" t="s">
        <v>67</v>
      </c>
      <c r="E58" s="6">
        <v>767312</v>
      </c>
      <c r="F58" s="6" t="s">
        <v>51</v>
      </c>
      <c r="G58" s="6" t="s">
        <v>45</v>
      </c>
      <c r="H58" s="6" t="s">
        <v>59</v>
      </c>
      <c r="I58" s="5">
        <v>45617</v>
      </c>
      <c r="K58" s="6" t="s">
        <v>47</v>
      </c>
      <c r="N58" s="6" t="s">
        <v>48</v>
      </c>
      <c r="O58" s="7">
        <v>68.66</v>
      </c>
      <c r="P58" s="7">
        <v>68.66</v>
      </c>
      <c r="Q58" s="6">
        <v>0</v>
      </c>
      <c r="R58" s="8">
        <v>0.375</v>
      </c>
      <c r="S58" s="2">
        <f t="shared" si="0"/>
        <v>25.747499999999999</v>
      </c>
      <c r="T58" s="8">
        <v>0</v>
      </c>
      <c r="U58" s="7">
        <v>0</v>
      </c>
      <c r="V58" s="7">
        <v>0</v>
      </c>
      <c r="AA58" s="9">
        <v>17099380</v>
      </c>
    </row>
    <row r="59" spans="1:28" s="6" customFormat="1" x14ac:dyDescent="0.25">
      <c r="A59" s="5">
        <v>45623</v>
      </c>
      <c r="B59" s="6">
        <v>2025875986</v>
      </c>
      <c r="C59" s="6" t="s">
        <v>94</v>
      </c>
      <c r="D59" s="6" t="s">
        <v>95</v>
      </c>
      <c r="E59" s="6">
        <v>767312</v>
      </c>
      <c r="F59" s="6" t="s">
        <v>51</v>
      </c>
      <c r="G59" s="6" t="s">
        <v>45</v>
      </c>
      <c r="H59" s="6" t="s">
        <v>59</v>
      </c>
      <c r="I59" s="5">
        <v>45627</v>
      </c>
      <c r="K59" s="6" t="s">
        <v>47</v>
      </c>
      <c r="N59" s="6" t="s">
        <v>48</v>
      </c>
      <c r="O59" s="7">
        <v>49.02</v>
      </c>
      <c r="P59" s="7">
        <v>49.02</v>
      </c>
      <c r="Q59" s="6">
        <v>0</v>
      </c>
      <c r="R59" s="8">
        <v>0.375</v>
      </c>
      <c r="S59" s="2">
        <f t="shared" si="0"/>
        <v>18.3825</v>
      </c>
      <c r="T59" s="8">
        <v>0</v>
      </c>
      <c r="U59" s="7">
        <v>0</v>
      </c>
      <c r="V59" s="7">
        <v>0</v>
      </c>
      <c r="AA59" s="9">
        <v>17099670</v>
      </c>
    </row>
    <row r="60" spans="1:28" s="6" customFormat="1" x14ac:dyDescent="0.25">
      <c r="A60" s="5">
        <v>45623</v>
      </c>
      <c r="B60" s="6">
        <v>2025890588</v>
      </c>
      <c r="C60" s="6" t="s">
        <v>99</v>
      </c>
      <c r="D60" s="6" t="s">
        <v>74</v>
      </c>
      <c r="E60" s="6">
        <v>792847</v>
      </c>
      <c r="F60" s="6" t="s">
        <v>100</v>
      </c>
      <c r="G60" s="6" t="s">
        <v>45</v>
      </c>
      <c r="H60" s="6" t="s">
        <v>59</v>
      </c>
      <c r="I60" s="5">
        <v>45658</v>
      </c>
      <c r="K60" s="6" t="s">
        <v>47</v>
      </c>
      <c r="N60" s="6" t="s">
        <v>48</v>
      </c>
      <c r="O60" s="7">
        <v>41.52</v>
      </c>
      <c r="P60" s="7">
        <v>41.52</v>
      </c>
      <c r="Q60" s="6">
        <v>0</v>
      </c>
      <c r="R60" s="8">
        <v>0.375</v>
      </c>
      <c r="S60" s="2">
        <f t="shared" si="0"/>
        <v>15.57</v>
      </c>
      <c r="T60" s="8">
        <v>0</v>
      </c>
      <c r="U60" s="7">
        <v>0</v>
      </c>
      <c r="V60" s="7">
        <v>0</v>
      </c>
      <c r="AA60" s="9">
        <v>17099800</v>
      </c>
    </row>
    <row r="61" spans="1:28" s="6" customFormat="1" x14ac:dyDescent="0.25">
      <c r="A61" s="1">
        <v>45623</v>
      </c>
      <c r="B61">
        <v>2025831089</v>
      </c>
      <c r="C61" t="s">
        <v>69</v>
      </c>
      <c r="D61" t="s">
        <v>67</v>
      </c>
      <c r="E61">
        <v>673059</v>
      </c>
      <c r="F61" t="s">
        <v>44</v>
      </c>
      <c r="G61" t="s">
        <v>45</v>
      </c>
      <c r="H61" t="s">
        <v>62</v>
      </c>
      <c r="I61" s="1">
        <v>45658</v>
      </c>
      <c r="J61"/>
      <c r="K61" t="s">
        <v>47</v>
      </c>
      <c r="L61"/>
      <c r="M61"/>
      <c r="N61" t="s">
        <v>48</v>
      </c>
      <c r="O61" s="2">
        <v>95.08</v>
      </c>
      <c r="P61" s="2">
        <v>95.08</v>
      </c>
      <c r="Q61">
        <v>0</v>
      </c>
      <c r="R61" s="3">
        <v>0.9</v>
      </c>
      <c r="S61" s="2">
        <f t="shared" si="0"/>
        <v>85.572000000000003</v>
      </c>
      <c r="T61" s="3">
        <v>0</v>
      </c>
      <c r="U61" s="2">
        <v>0</v>
      </c>
      <c r="V61" s="2">
        <v>0</v>
      </c>
      <c r="W61"/>
      <c r="X61"/>
      <c r="Y61"/>
      <c r="Z61"/>
      <c r="AA61" s="4">
        <v>17102390</v>
      </c>
      <c r="AB61"/>
    </row>
    <row r="62" spans="1:28" s="6" customFormat="1" x14ac:dyDescent="0.25">
      <c r="A62" s="5">
        <v>45623</v>
      </c>
      <c r="B62" s="6">
        <v>2025820106</v>
      </c>
      <c r="C62" s="6" t="s">
        <v>61</v>
      </c>
      <c r="D62" s="6" t="s">
        <v>58</v>
      </c>
      <c r="E62" s="6">
        <v>767312</v>
      </c>
      <c r="F62" s="6" t="s">
        <v>51</v>
      </c>
      <c r="G62" s="6" t="s">
        <v>45</v>
      </c>
      <c r="H62" s="6" t="s">
        <v>62</v>
      </c>
      <c r="I62" s="5">
        <v>45627</v>
      </c>
      <c r="K62" s="6" t="s">
        <v>47</v>
      </c>
      <c r="N62" s="6" t="s">
        <v>48</v>
      </c>
      <c r="O62" s="7">
        <v>51.63</v>
      </c>
      <c r="P62" s="7">
        <v>51.63</v>
      </c>
      <c r="Q62" s="6">
        <v>0</v>
      </c>
      <c r="R62" s="8">
        <v>0.9</v>
      </c>
      <c r="S62" s="2">
        <f t="shared" si="0"/>
        <v>46.467000000000006</v>
      </c>
      <c r="T62" s="8">
        <v>0</v>
      </c>
      <c r="U62" s="7">
        <v>0</v>
      </c>
      <c r="V62" s="7">
        <v>0</v>
      </c>
      <c r="AA62" s="9">
        <v>17102350</v>
      </c>
    </row>
    <row r="63" spans="1:28" s="6" customFormat="1" x14ac:dyDescent="0.25">
      <c r="A63" s="5">
        <v>45623</v>
      </c>
      <c r="B63" s="6">
        <v>2025847342</v>
      </c>
      <c r="C63" s="6" t="s">
        <v>81</v>
      </c>
      <c r="D63" s="6" t="s">
        <v>67</v>
      </c>
      <c r="E63" s="6">
        <v>767312</v>
      </c>
      <c r="F63" s="6" t="s">
        <v>51</v>
      </c>
      <c r="G63" s="6" t="s">
        <v>45</v>
      </c>
      <c r="H63" s="6" t="s">
        <v>62</v>
      </c>
      <c r="I63" s="5">
        <v>45658</v>
      </c>
      <c r="K63" s="6" t="s">
        <v>47</v>
      </c>
      <c r="N63" s="6" t="s">
        <v>48</v>
      </c>
      <c r="O63" s="7">
        <v>15.02</v>
      </c>
      <c r="P63" s="7">
        <v>15.02</v>
      </c>
      <c r="Q63" s="6">
        <v>0</v>
      </c>
      <c r="R63" s="8">
        <v>0.9</v>
      </c>
      <c r="S63" s="2">
        <f t="shared" si="0"/>
        <v>13.518000000000001</v>
      </c>
      <c r="T63" s="8">
        <v>0</v>
      </c>
      <c r="U63" s="7">
        <v>0</v>
      </c>
      <c r="V63" s="7">
        <v>0</v>
      </c>
      <c r="AA63" s="9">
        <v>17102440</v>
      </c>
    </row>
    <row r="64" spans="1:28" s="6" customFormat="1" x14ac:dyDescent="0.25">
      <c r="A64" s="5">
        <v>45623</v>
      </c>
      <c r="B64" s="6">
        <v>2025875987</v>
      </c>
      <c r="C64" s="6" t="s">
        <v>94</v>
      </c>
      <c r="D64" s="6" t="s">
        <v>95</v>
      </c>
      <c r="E64" s="6">
        <v>767312</v>
      </c>
      <c r="F64" s="6" t="s">
        <v>51</v>
      </c>
      <c r="G64" s="6" t="s">
        <v>45</v>
      </c>
      <c r="H64" s="6" t="s">
        <v>62</v>
      </c>
      <c r="I64" s="5">
        <v>45627</v>
      </c>
      <c r="K64" s="6" t="s">
        <v>47</v>
      </c>
      <c r="N64" s="6" t="s">
        <v>48</v>
      </c>
      <c r="O64" s="7">
        <v>55.4</v>
      </c>
      <c r="P64" s="7">
        <v>55.4</v>
      </c>
      <c r="Q64" s="6">
        <v>0</v>
      </c>
      <c r="R64" s="8">
        <v>0.9</v>
      </c>
      <c r="S64" s="2">
        <f t="shared" si="0"/>
        <v>49.86</v>
      </c>
      <c r="T64" s="8">
        <v>0</v>
      </c>
      <c r="U64" s="7">
        <v>0</v>
      </c>
      <c r="V64" s="7">
        <v>0</v>
      </c>
      <c r="AA64" s="9">
        <v>17102530</v>
      </c>
    </row>
    <row r="65" spans="1:28" s="6" customFormat="1" x14ac:dyDescent="0.25">
      <c r="A65" s="1">
        <v>45623</v>
      </c>
      <c r="B65">
        <v>2025850685</v>
      </c>
      <c r="C65" t="s">
        <v>84</v>
      </c>
      <c r="D65" t="s">
        <v>85</v>
      </c>
      <c r="E65">
        <v>673059</v>
      </c>
      <c r="F65" t="s">
        <v>44</v>
      </c>
      <c r="G65" t="s">
        <v>45</v>
      </c>
      <c r="H65" t="s">
        <v>86</v>
      </c>
      <c r="I65" s="1">
        <v>45658</v>
      </c>
      <c r="J65"/>
      <c r="K65" t="s">
        <v>47</v>
      </c>
      <c r="L65"/>
      <c r="M65"/>
      <c r="N65" t="s">
        <v>48</v>
      </c>
      <c r="O65" s="2">
        <v>105.84</v>
      </c>
      <c r="P65" s="2">
        <v>105.84</v>
      </c>
      <c r="Q65">
        <v>0</v>
      </c>
      <c r="R65" s="3">
        <v>0.6</v>
      </c>
      <c r="S65" s="2">
        <f t="shared" si="0"/>
        <v>63.503999999999998</v>
      </c>
      <c r="T65" s="3">
        <v>0</v>
      </c>
      <c r="U65" s="2">
        <v>0</v>
      </c>
      <c r="V65" s="2">
        <v>0</v>
      </c>
      <c r="W65"/>
      <c r="X65"/>
      <c r="Y65"/>
      <c r="Z65"/>
      <c r="AA65" s="4">
        <v>17093250</v>
      </c>
      <c r="AB65"/>
    </row>
    <row r="66" spans="1:28" s="6" customFormat="1" x14ac:dyDescent="0.25">
      <c r="A66" s="1">
        <v>45623</v>
      </c>
      <c r="B66">
        <v>2025815676</v>
      </c>
      <c r="C66" t="s">
        <v>52</v>
      </c>
      <c r="D66" t="s">
        <v>53</v>
      </c>
      <c r="E66">
        <v>650218</v>
      </c>
      <c r="F66" t="s">
        <v>54</v>
      </c>
      <c r="G66" t="s">
        <v>45</v>
      </c>
      <c r="H66" t="s">
        <v>56</v>
      </c>
      <c r="I66" s="1">
        <v>45627</v>
      </c>
      <c r="J66"/>
      <c r="K66" t="s">
        <v>47</v>
      </c>
      <c r="L66"/>
      <c r="M66"/>
      <c r="N66" t="s">
        <v>48</v>
      </c>
      <c r="O66" s="2">
        <v>46.45</v>
      </c>
      <c r="P66" s="2">
        <v>46.45</v>
      </c>
      <c r="Q66">
        <v>0</v>
      </c>
      <c r="R66" s="3">
        <v>0.6</v>
      </c>
      <c r="S66" s="2">
        <f t="shared" si="0"/>
        <v>27.87</v>
      </c>
      <c r="T66" s="3">
        <v>0</v>
      </c>
      <c r="U66" s="2">
        <v>0</v>
      </c>
      <c r="V66" s="2">
        <v>0</v>
      </c>
      <c r="W66"/>
      <c r="X66"/>
      <c r="Y66"/>
      <c r="Z66"/>
      <c r="AA66" s="4">
        <v>17093120</v>
      </c>
      <c r="AB66"/>
    </row>
    <row r="67" spans="1:28" s="6" customFormat="1" x14ac:dyDescent="0.25">
      <c r="A67" s="1">
        <v>45623</v>
      </c>
      <c r="B67">
        <v>2025845087</v>
      </c>
      <c r="C67" t="s">
        <v>78</v>
      </c>
      <c r="D67" t="s">
        <v>53</v>
      </c>
      <c r="E67">
        <v>649164</v>
      </c>
      <c r="F67" t="s">
        <v>41</v>
      </c>
      <c r="G67" t="s">
        <v>45</v>
      </c>
      <c r="H67" t="s">
        <v>56</v>
      </c>
      <c r="I67" s="1">
        <v>45658</v>
      </c>
      <c r="J67"/>
      <c r="K67" t="s">
        <v>47</v>
      </c>
      <c r="L67"/>
      <c r="M67"/>
      <c r="N67" t="s">
        <v>48</v>
      </c>
      <c r="O67" s="2">
        <v>75.75</v>
      </c>
      <c r="P67" s="2">
        <v>75.75</v>
      </c>
      <c r="Q67">
        <v>0</v>
      </c>
      <c r="R67" s="3">
        <v>0.6</v>
      </c>
      <c r="S67" s="2">
        <f t="shared" ref="S67:S70" si="1">SUM(P67*R67)</f>
        <v>45.449999999999996</v>
      </c>
      <c r="T67" s="3">
        <v>0</v>
      </c>
      <c r="U67" s="2">
        <v>0</v>
      </c>
      <c r="V67" s="2">
        <v>0</v>
      </c>
      <c r="W67"/>
      <c r="X67"/>
      <c r="Y67"/>
      <c r="Z67"/>
      <c r="AA67" s="4">
        <v>17093230</v>
      </c>
      <c r="AB67"/>
    </row>
    <row r="68" spans="1:28" s="6" customFormat="1" x14ac:dyDescent="0.25">
      <c r="A68" s="1">
        <v>45623</v>
      </c>
      <c r="B68">
        <v>2025872067</v>
      </c>
      <c r="C68" t="s">
        <v>93</v>
      </c>
      <c r="D68" t="s">
        <v>53</v>
      </c>
      <c r="E68">
        <v>751867</v>
      </c>
      <c r="F68" t="s">
        <v>91</v>
      </c>
      <c r="G68" t="s">
        <v>45</v>
      </c>
      <c r="H68" t="s">
        <v>56</v>
      </c>
      <c r="I68" s="1">
        <v>45627</v>
      </c>
      <c r="J68"/>
      <c r="K68" t="s">
        <v>47</v>
      </c>
      <c r="L68"/>
      <c r="M68"/>
      <c r="N68" t="s">
        <v>48</v>
      </c>
      <c r="O68" s="2">
        <v>62.54</v>
      </c>
      <c r="P68" s="2">
        <v>62.54</v>
      </c>
      <c r="Q68">
        <v>0</v>
      </c>
      <c r="R68" s="3">
        <v>0.6</v>
      </c>
      <c r="S68" s="2">
        <f t="shared" si="1"/>
        <v>37.524000000000001</v>
      </c>
      <c r="T68" s="3">
        <v>0</v>
      </c>
      <c r="U68" s="2">
        <v>0</v>
      </c>
      <c r="V68" s="2">
        <v>0</v>
      </c>
      <c r="W68"/>
      <c r="X68"/>
      <c r="Y68"/>
      <c r="Z68"/>
      <c r="AA68" s="4">
        <v>17093320</v>
      </c>
      <c r="AB68"/>
    </row>
    <row r="69" spans="1:28" s="6" customFormat="1" x14ac:dyDescent="0.25">
      <c r="A69" s="1">
        <v>45623</v>
      </c>
      <c r="B69">
        <v>2025845321</v>
      </c>
      <c r="C69" t="s">
        <v>79</v>
      </c>
      <c r="D69" t="s">
        <v>80</v>
      </c>
      <c r="E69">
        <v>673059</v>
      </c>
      <c r="F69" t="s">
        <v>44</v>
      </c>
      <c r="G69" t="s">
        <v>45</v>
      </c>
      <c r="H69" t="s">
        <v>56</v>
      </c>
      <c r="I69" s="1">
        <v>45658</v>
      </c>
      <c r="J69"/>
      <c r="K69" t="s">
        <v>47</v>
      </c>
      <c r="L69"/>
      <c r="M69"/>
      <c r="N69" t="s">
        <v>48</v>
      </c>
      <c r="O69" s="2">
        <v>34.01</v>
      </c>
      <c r="P69" s="2">
        <v>34.01</v>
      </c>
      <c r="Q69">
        <v>0</v>
      </c>
      <c r="R69" s="3">
        <v>0.6</v>
      </c>
      <c r="S69" s="2">
        <f t="shared" si="1"/>
        <v>20.405999999999999</v>
      </c>
      <c r="T69" s="3">
        <v>0</v>
      </c>
      <c r="U69" s="2">
        <v>0</v>
      </c>
      <c r="V69" s="2">
        <v>0</v>
      </c>
      <c r="W69"/>
      <c r="X69"/>
      <c r="Y69"/>
      <c r="Z69"/>
      <c r="AA69" s="4">
        <v>17093230</v>
      </c>
      <c r="AB69"/>
    </row>
    <row r="70" spans="1:28" s="6" customFormat="1" x14ac:dyDescent="0.25">
      <c r="A70" s="1">
        <v>45623</v>
      </c>
      <c r="B70">
        <v>2025894963</v>
      </c>
      <c r="C70" t="s">
        <v>105</v>
      </c>
      <c r="D70" t="s">
        <v>106</v>
      </c>
      <c r="E70">
        <v>673059</v>
      </c>
      <c r="F70" t="s">
        <v>44</v>
      </c>
      <c r="G70" t="s">
        <v>45</v>
      </c>
      <c r="H70" t="s">
        <v>56</v>
      </c>
      <c r="I70" s="1">
        <v>45658</v>
      </c>
      <c r="J70"/>
      <c r="K70" t="s">
        <v>47</v>
      </c>
      <c r="L70"/>
      <c r="M70"/>
      <c r="N70" t="s">
        <v>48</v>
      </c>
      <c r="O70" s="2">
        <v>52.69</v>
      </c>
      <c r="P70" s="2">
        <v>52.69</v>
      </c>
      <c r="Q70">
        <v>0</v>
      </c>
      <c r="R70" s="3">
        <v>0.6</v>
      </c>
      <c r="S70" s="2">
        <f t="shared" si="1"/>
        <v>31.613999999999997</v>
      </c>
      <c r="T70" s="3">
        <v>0</v>
      </c>
      <c r="U70" s="2">
        <v>0</v>
      </c>
      <c r="V70" s="2">
        <v>0</v>
      </c>
      <c r="W70"/>
      <c r="X70"/>
      <c r="Y70"/>
      <c r="Z70"/>
      <c r="AA70" s="4">
        <v>17093390</v>
      </c>
      <c r="AB70"/>
    </row>
  </sheetData>
  <sortState xmlns:xlrd2="http://schemas.microsoft.com/office/spreadsheetml/2017/richdata2" ref="A2:AB70">
    <sortCondition ref="H2:H7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2CC6-DF62-41C2-A545-953BE696792A}">
  <dimension ref="A1:B15"/>
  <sheetViews>
    <sheetView workbookViewId="0">
      <selection activeCell="B15" sqref="B15"/>
    </sheetView>
  </sheetViews>
  <sheetFormatPr defaultRowHeight="15" x14ac:dyDescent="0.25"/>
  <cols>
    <col min="1" max="1" width="10.42578125" bestFit="1" customWidth="1"/>
  </cols>
  <sheetData>
    <row r="1" spans="1:2" x14ac:dyDescent="0.25">
      <c r="A1" s="1">
        <v>45627</v>
      </c>
      <c r="B1" s="1">
        <f>DATE(YEAR(A1), MONTH(A1) +6, DAY(A1))</f>
        <v>45809</v>
      </c>
    </row>
    <row r="2" spans="1:2" x14ac:dyDescent="0.25">
      <c r="A2" s="1">
        <v>45658</v>
      </c>
      <c r="B2" s="1">
        <f t="shared" ref="B2:B15" si="0">DATE(YEAR(A2), MONTH(A2) +6, DAY(A2))</f>
        <v>45839</v>
      </c>
    </row>
    <row r="3" spans="1:2" x14ac:dyDescent="0.25">
      <c r="A3" s="1">
        <v>45627</v>
      </c>
      <c r="B3" s="1">
        <f t="shared" si="0"/>
        <v>45809</v>
      </c>
    </row>
    <row r="4" spans="1:2" x14ac:dyDescent="0.25">
      <c r="A4" s="1">
        <v>45658</v>
      </c>
      <c r="B4" s="1">
        <f t="shared" si="0"/>
        <v>45839</v>
      </c>
    </row>
    <row r="5" spans="1:2" x14ac:dyDescent="0.25">
      <c r="A5" s="1">
        <v>45627</v>
      </c>
      <c r="B5" s="1">
        <f t="shared" si="0"/>
        <v>45809</v>
      </c>
    </row>
    <row r="6" spans="1:2" x14ac:dyDescent="0.25">
      <c r="A6" s="1">
        <v>45658</v>
      </c>
      <c r="B6" s="1">
        <f t="shared" si="0"/>
        <v>45839</v>
      </c>
    </row>
    <row r="7" spans="1:2" x14ac:dyDescent="0.25">
      <c r="A7" s="1">
        <v>45627</v>
      </c>
      <c r="B7" s="1">
        <f t="shared" si="0"/>
        <v>45809</v>
      </c>
    </row>
    <row r="8" spans="1:2" x14ac:dyDescent="0.25">
      <c r="A8" s="1">
        <v>45627</v>
      </c>
      <c r="B8" s="1">
        <f t="shared" si="0"/>
        <v>45809</v>
      </c>
    </row>
    <row r="9" spans="1:2" x14ac:dyDescent="0.25">
      <c r="A9" s="1">
        <v>45627</v>
      </c>
      <c r="B9" s="1">
        <f t="shared" si="0"/>
        <v>45809</v>
      </c>
    </row>
    <row r="10" spans="1:2" x14ac:dyDescent="0.25">
      <c r="A10" s="1">
        <v>45617</v>
      </c>
      <c r="B10" s="1">
        <f t="shared" si="0"/>
        <v>45798</v>
      </c>
    </row>
    <row r="11" spans="1:2" x14ac:dyDescent="0.25">
      <c r="A11" s="1">
        <v>45627</v>
      </c>
      <c r="B11" s="1">
        <f t="shared" si="0"/>
        <v>45809</v>
      </c>
    </row>
    <row r="12" spans="1:2" x14ac:dyDescent="0.25">
      <c r="A12" s="1">
        <v>45627</v>
      </c>
      <c r="B12" s="1">
        <f t="shared" si="0"/>
        <v>45809</v>
      </c>
    </row>
    <row r="13" spans="1:2" x14ac:dyDescent="0.25">
      <c r="A13" s="1">
        <v>45658</v>
      </c>
      <c r="B13" s="1">
        <f t="shared" si="0"/>
        <v>45839</v>
      </c>
    </row>
    <row r="14" spans="1:2" x14ac:dyDescent="0.25">
      <c r="A14" s="1">
        <v>45627</v>
      </c>
      <c r="B14" s="1">
        <f t="shared" si="0"/>
        <v>45809</v>
      </c>
    </row>
    <row r="15" spans="1:2" x14ac:dyDescent="0.25">
      <c r="A15" s="1">
        <v>45597</v>
      </c>
      <c r="B15" s="1">
        <f t="shared" si="0"/>
        <v>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649163__Newbusiness_NEW_BUSINES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2024-11-29T14:27:58Z</dcterms:created>
  <dcterms:modified xsi:type="dcterms:W3CDTF">2025-01-02T16:14:51Z</dcterms:modified>
</cp:coreProperties>
</file>