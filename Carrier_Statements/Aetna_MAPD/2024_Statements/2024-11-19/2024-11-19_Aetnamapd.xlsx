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11-19-24\"/>
    </mc:Choice>
  </mc:AlternateContent>
  <xr:revisionPtr revIDLastSave="0" documentId="13_ncr:1_{5D43B7D1-23F1-4F43-9272-972C8A8AF80D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Main Line Benefits LLC_med_comm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OYG3kS6jmfEHmoo5ABC93s57Sts7ukRRodnslishDQ="/>
    </ext>
  </extLst>
</workbook>
</file>

<file path=xl/calcChain.xml><?xml version="1.0" encoding="utf-8"?>
<calcChain xmlns="http://schemas.openxmlformats.org/spreadsheetml/2006/main">
  <c r="U167" i="1" l="1"/>
  <c r="I66" i="3"/>
  <c r="I65" i="3"/>
  <c r="I64" i="3"/>
  <c r="I63" i="3"/>
  <c r="C63" i="3"/>
  <c r="I62" i="3"/>
  <c r="C62" i="3"/>
  <c r="I61" i="3"/>
  <c r="C61" i="3"/>
  <c r="I60" i="3"/>
  <c r="C60" i="3"/>
  <c r="I59" i="3"/>
  <c r="C59" i="3"/>
  <c r="I58" i="3"/>
  <c r="C58" i="3"/>
  <c r="I57" i="3"/>
  <c r="C57" i="3"/>
  <c r="I56" i="3"/>
  <c r="C56" i="3"/>
  <c r="I55" i="3"/>
  <c r="C55" i="3"/>
  <c r="I54" i="3"/>
  <c r="C54" i="3"/>
  <c r="I53" i="3"/>
  <c r="C53" i="3"/>
  <c r="I52" i="3"/>
  <c r="C52" i="3"/>
  <c r="I51" i="3"/>
  <c r="C51" i="3"/>
  <c r="I50" i="3"/>
  <c r="C50" i="3"/>
  <c r="I49" i="3"/>
  <c r="C49" i="3"/>
  <c r="I48" i="3"/>
  <c r="C48" i="3"/>
  <c r="I47" i="3"/>
  <c r="C47" i="3"/>
  <c r="I46" i="3"/>
  <c r="C46" i="3"/>
  <c r="I45" i="3"/>
  <c r="C45" i="3"/>
  <c r="I44" i="3"/>
  <c r="C44" i="3"/>
  <c r="I43" i="3"/>
  <c r="C43" i="3"/>
  <c r="I42" i="3"/>
  <c r="C42" i="3"/>
  <c r="I41" i="3"/>
  <c r="C41" i="3"/>
  <c r="I40" i="3"/>
  <c r="C40" i="3"/>
  <c r="I39" i="3"/>
  <c r="C39" i="3"/>
  <c r="I38" i="3"/>
  <c r="C38" i="3"/>
  <c r="I37" i="3"/>
  <c r="C37" i="3"/>
  <c r="I36" i="3"/>
  <c r="C36" i="3"/>
  <c r="I35" i="3"/>
  <c r="C35" i="3"/>
  <c r="I34" i="3"/>
  <c r="C34" i="3"/>
  <c r="I33" i="3"/>
  <c r="C33" i="3"/>
  <c r="I32" i="3"/>
  <c r="C32" i="3"/>
  <c r="I31" i="3"/>
  <c r="C31" i="3"/>
  <c r="I30" i="3"/>
  <c r="C30" i="3"/>
  <c r="I29" i="3"/>
  <c r="C29" i="3"/>
  <c r="I28" i="3"/>
  <c r="C28" i="3"/>
  <c r="I27" i="3"/>
  <c r="C27" i="3"/>
  <c r="I26" i="3"/>
  <c r="C26" i="3"/>
  <c r="I25" i="3"/>
  <c r="C25" i="3"/>
  <c r="I24" i="3"/>
  <c r="C24" i="3"/>
  <c r="I23" i="3"/>
  <c r="C23" i="3"/>
  <c r="I22" i="3"/>
  <c r="C22" i="3"/>
  <c r="I21" i="3"/>
  <c r="C21" i="3"/>
  <c r="I20" i="3"/>
  <c r="C20" i="3"/>
  <c r="I19" i="3"/>
  <c r="C19" i="3"/>
  <c r="I18" i="3"/>
  <c r="C18" i="3"/>
  <c r="I17" i="3"/>
  <c r="C17" i="3"/>
  <c r="I16" i="3"/>
  <c r="C16" i="3"/>
  <c r="I15" i="3"/>
  <c r="C15" i="3"/>
  <c r="I14" i="3"/>
  <c r="C14" i="3"/>
  <c r="I13" i="3"/>
  <c r="C13" i="3"/>
  <c r="I12" i="3"/>
  <c r="C12" i="3"/>
  <c r="I11" i="3"/>
  <c r="C11" i="3"/>
  <c r="I10" i="3"/>
  <c r="C10" i="3"/>
  <c r="I9" i="3"/>
  <c r="C9" i="3"/>
  <c r="I8" i="3"/>
  <c r="C8" i="3"/>
  <c r="I7" i="3"/>
  <c r="C7" i="3"/>
  <c r="I6" i="3"/>
  <c r="C6" i="3"/>
  <c r="I5" i="3"/>
  <c r="C5" i="3"/>
  <c r="I4" i="3"/>
  <c r="C4" i="3"/>
  <c r="I3" i="3"/>
  <c r="C3" i="3"/>
  <c r="I2" i="3"/>
  <c r="C2" i="3"/>
  <c r="I1" i="3"/>
  <c r="M167" i="2"/>
  <c r="C167" i="2"/>
  <c r="M166" i="2"/>
  <c r="C166" i="2"/>
  <c r="M165" i="2"/>
  <c r="C165" i="2"/>
  <c r="M164" i="2"/>
  <c r="C164" i="2"/>
  <c r="M163" i="2"/>
  <c r="C163" i="2"/>
  <c r="M162" i="2"/>
  <c r="C162" i="2"/>
  <c r="M161" i="2"/>
  <c r="C161" i="2"/>
  <c r="M160" i="2"/>
  <c r="C160" i="2"/>
  <c r="M159" i="2"/>
  <c r="C159" i="2"/>
  <c r="M158" i="2"/>
  <c r="C158" i="2"/>
  <c r="M157" i="2"/>
  <c r="C157" i="2"/>
  <c r="M156" i="2"/>
  <c r="C156" i="2"/>
  <c r="M155" i="2"/>
  <c r="C155" i="2"/>
  <c r="M154" i="2"/>
  <c r="C154" i="2"/>
  <c r="M153" i="2"/>
  <c r="C153" i="2"/>
  <c r="M152" i="2"/>
  <c r="C152" i="2"/>
  <c r="M151" i="2"/>
  <c r="C151" i="2"/>
  <c r="M150" i="2"/>
  <c r="C150" i="2"/>
  <c r="M149" i="2"/>
  <c r="C149" i="2"/>
  <c r="M148" i="2"/>
  <c r="C148" i="2"/>
  <c r="M147" i="2"/>
  <c r="C147" i="2"/>
  <c r="M146" i="2"/>
  <c r="C146" i="2"/>
  <c r="M145" i="2"/>
  <c r="C145" i="2"/>
  <c r="M144" i="2"/>
  <c r="C144" i="2"/>
  <c r="M143" i="2"/>
  <c r="C143" i="2"/>
  <c r="M142" i="2"/>
  <c r="C142" i="2"/>
  <c r="M141" i="2"/>
  <c r="C141" i="2"/>
  <c r="M140" i="2"/>
  <c r="C140" i="2"/>
  <c r="M139" i="2"/>
  <c r="C139" i="2"/>
  <c r="M138" i="2"/>
  <c r="C138" i="2"/>
  <c r="M137" i="2"/>
  <c r="C137" i="2"/>
  <c r="M136" i="2"/>
  <c r="C136" i="2"/>
  <c r="M135" i="2"/>
  <c r="C135" i="2"/>
  <c r="M134" i="2"/>
  <c r="C134" i="2"/>
  <c r="M133" i="2"/>
  <c r="C133" i="2"/>
  <c r="M132" i="2"/>
  <c r="C132" i="2"/>
  <c r="M131" i="2"/>
  <c r="C131" i="2"/>
  <c r="M130" i="2"/>
  <c r="C130" i="2"/>
  <c r="M129" i="2"/>
  <c r="C129" i="2"/>
  <c r="M128" i="2"/>
  <c r="C128" i="2"/>
  <c r="M127" i="2"/>
  <c r="C127" i="2"/>
  <c r="M126" i="2"/>
  <c r="C126" i="2"/>
  <c r="M125" i="2"/>
  <c r="C125" i="2"/>
  <c r="M124" i="2"/>
  <c r="C124" i="2"/>
  <c r="M123" i="2"/>
  <c r="C123" i="2"/>
  <c r="M122" i="2"/>
  <c r="C122" i="2"/>
  <c r="M121" i="2"/>
  <c r="C121" i="2"/>
  <c r="M120" i="2"/>
  <c r="C120" i="2"/>
  <c r="M119" i="2"/>
  <c r="C119" i="2"/>
  <c r="M118" i="2"/>
  <c r="C118" i="2"/>
  <c r="M117" i="2"/>
  <c r="C117" i="2"/>
  <c r="M116" i="2"/>
  <c r="C116" i="2"/>
  <c r="M115" i="2"/>
  <c r="C115" i="2"/>
  <c r="M114" i="2"/>
  <c r="C114" i="2"/>
  <c r="M113" i="2"/>
  <c r="C113" i="2"/>
  <c r="M112" i="2"/>
  <c r="C112" i="2"/>
  <c r="M111" i="2"/>
  <c r="C111" i="2"/>
  <c r="M110" i="2"/>
  <c r="C110" i="2"/>
  <c r="M109" i="2"/>
  <c r="C109" i="2"/>
  <c r="M108" i="2"/>
  <c r="C108" i="2"/>
  <c r="M107" i="2"/>
  <c r="C107" i="2"/>
  <c r="M106" i="2"/>
  <c r="C106" i="2"/>
  <c r="M105" i="2"/>
  <c r="C105" i="2"/>
  <c r="M104" i="2"/>
  <c r="C104" i="2"/>
  <c r="M103" i="2"/>
  <c r="C103" i="2"/>
  <c r="M102" i="2"/>
  <c r="C102" i="2"/>
  <c r="M101" i="2"/>
  <c r="C101" i="2"/>
  <c r="M100" i="2"/>
  <c r="C100" i="2"/>
  <c r="M99" i="2"/>
  <c r="C99" i="2"/>
  <c r="M98" i="2"/>
  <c r="C98" i="2"/>
  <c r="M97" i="2"/>
  <c r="C97" i="2"/>
  <c r="M96" i="2"/>
  <c r="C96" i="2"/>
  <c r="M95" i="2"/>
  <c r="C95" i="2"/>
  <c r="M94" i="2"/>
  <c r="C94" i="2"/>
  <c r="M93" i="2"/>
  <c r="C93" i="2"/>
  <c r="M92" i="2"/>
  <c r="C92" i="2"/>
  <c r="M91" i="2"/>
  <c r="C91" i="2"/>
  <c r="M90" i="2"/>
  <c r="C90" i="2"/>
  <c r="M89" i="2"/>
  <c r="C89" i="2"/>
  <c r="M88" i="2"/>
  <c r="C88" i="2"/>
  <c r="M87" i="2"/>
  <c r="C87" i="2"/>
  <c r="M86" i="2"/>
  <c r="C86" i="2"/>
  <c r="M85" i="2"/>
  <c r="C85" i="2"/>
  <c r="M84" i="2"/>
  <c r="C84" i="2"/>
  <c r="M83" i="2"/>
  <c r="C83" i="2"/>
  <c r="M82" i="2"/>
  <c r="C82" i="2"/>
  <c r="M81" i="2"/>
  <c r="C81" i="2"/>
  <c r="M80" i="2"/>
  <c r="C80" i="2"/>
  <c r="M79" i="2"/>
  <c r="C79" i="2"/>
  <c r="M78" i="2"/>
  <c r="C78" i="2"/>
  <c r="M77" i="2"/>
  <c r="C77" i="2"/>
  <c r="M76" i="2"/>
  <c r="C76" i="2"/>
  <c r="M75" i="2"/>
  <c r="C75" i="2"/>
  <c r="M74" i="2"/>
  <c r="C74" i="2"/>
  <c r="M73" i="2"/>
  <c r="C73" i="2"/>
  <c r="M72" i="2"/>
  <c r="C72" i="2"/>
  <c r="M71" i="2"/>
  <c r="C71" i="2"/>
  <c r="M70" i="2"/>
  <c r="C70" i="2"/>
  <c r="M69" i="2"/>
  <c r="C69" i="2"/>
  <c r="M68" i="2"/>
  <c r="C68" i="2"/>
  <c r="M67" i="2"/>
  <c r="C67" i="2"/>
  <c r="M66" i="2"/>
  <c r="C66" i="2"/>
  <c r="M65" i="2"/>
  <c r="C65" i="2"/>
  <c r="M64" i="2"/>
  <c r="C64" i="2"/>
  <c r="M63" i="2"/>
  <c r="C63" i="2"/>
  <c r="M62" i="2"/>
  <c r="C62" i="2"/>
  <c r="M61" i="2"/>
  <c r="C61" i="2"/>
  <c r="M60" i="2"/>
  <c r="C60" i="2"/>
  <c r="M59" i="2"/>
  <c r="C59" i="2"/>
  <c r="M58" i="2"/>
  <c r="C58" i="2"/>
  <c r="M57" i="2"/>
  <c r="C57" i="2"/>
  <c r="M56" i="2"/>
  <c r="C56" i="2"/>
  <c r="M55" i="2"/>
  <c r="C55" i="2"/>
  <c r="M54" i="2"/>
  <c r="C54" i="2"/>
  <c r="M53" i="2"/>
  <c r="C53" i="2"/>
  <c r="M52" i="2"/>
  <c r="C52" i="2"/>
  <c r="M51" i="2"/>
  <c r="C51" i="2"/>
  <c r="M50" i="2"/>
  <c r="C50" i="2"/>
  <c r="M49" i="2"/>
  <c r="C49" i="2"/>
  <c r="M48" i="2"/>
  <c r="C48" i="2"/>
  <c r="M47" i="2"/>
  <c r="C47" i="2"/>
  <c r="M46" i="2"/>
  <c r="C46" i="2"/>
  <c r="M45" i="2"/>
  <c r="C45" i="2"/>
  <c r="M44" i="2"/>
  <c r="C44" i="2"/>
  <c r="M43" i="2"/>
  <c r="C43" i="2"/>
  <c r="M42" i="2"/>
  <c r="C42" i="2"/>
  <c r="M41" i="2"/>
  <c r="C41" i="2"/>
  <c r="M40" i="2"/>
  <c r="C40" i="2"/>
  <c r="M39" i="2"/>
  <c r="C39" i="2"/>
  <c r="M38" i="2"/>
  <c r="C38" i="2"/>
  <c r="M37" i="2"/>
  <c r="C37" i="2"/>
  <c r="M36" i="2"/>
  <c r="C36" i="2"/>
  <c r="M35" i="2"/>
  <c r="C35" i="2"/>
  <c r="M34" i="2"/>
  <c r="C34" i="2"/>
  <c r="M33" i="2"/>
  <c r="C33" i="2"/>
  <c r="M32" i="2"/>
  <c r="C32" i="2"/>
  <c r="M31" i="2"/>
  <c r="C31" i="2"/>
  <c r="M30" i="2"/>
  <c r="C30" i="2"/>
  <c r="M29" i="2"/>
  <c r="C29" i="2"/>
  <c r="M28" i="2"/>
  <c r="C28" i="2"/>
  <c r="M27" i="2"/>
  <c r="C27" i="2"/>
  <c r="M26" i="2"/>
  <c r="C26" i="2"/>
  <c r="M25" i="2"/>
  <c r="C25" i="2"/>
  <c r="M24" i="2"/>
  <c r="C24" i="2"/>
  <c r="M23" i="2"/>
  <c r="C23" i="2"/>
  <c r="M22" i="2"/>
  <c r="C22" i="2"/>
  <c r="M21" i="2"/>
  <c r="C21" i="2"/>
  <c r="M20" i="2"/>
  <c r="C20" i="2"/>
  <c r="M19" i="2"/>
  <c r="C19" i="2"/>
  <c r="M18" i="2"/>
  <c r="C18" i="2"/>
  <c r="M17" i="2"/>
  <c r="C17" i="2"/>
  <c r="M16" i="2"/>
  <c r="C16" i="2"/>
  <c r="M15" i="2"/>
  <c r="C15" i="2"/>
  <c r="M14" i="2"/>
  <c r="C14" i="2"/>
  <c r="M13" i="2"/>
  <c r="C13" i="2"/>
  <c r="M12" i="2"/>
  <c r="C12" i="2"/>
  <c r="M11" i="2"/>
  <c r="C11" i="2"/>
  <c r="M10" i="2"/>
  <c r="C10" i="2"/>
  <c r="M9" i="2"/>
  <c r="C9" i="2"/>
  <c r="M8" i="2"/>
  <c r="C8" i="2"/>
  <c r="M7" i="2"/>
  <c r="C7" i="2"/>
  <c r="M6" i="2"/>
  <c r="C6" i="2"/>
  <c r="M5" i="2"/>
  <c r="C5" i="2"/>
  <c r="M4" i="2"/>
  <c r="C4" i="2"/>
  <c r="M3" i="2"/>
  <c r="C3" i="2"/>
  <c r="M2" i="2"/>
  <c r="C2" i="2"/>
</calcChain>
</file>

<file path=xl/sharedStrings.xml><?xml version="1.0" encoding="utf-8"?>
<sst xmlns="http://schemas.openxmlformats.org/spreadsheetml/2006/main" count="4366" uniqueCount="900">
  <si>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</si>
  <si>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</si>
  <si>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</si>
  <si>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</si>
  <si>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</si>
  <si>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</si>
  <si>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</si>
  <si>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</si>
  <si>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</si>
  <si>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</si>
  <si>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</si>
  <si>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</si>
  <si>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</si>
  <si>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</si>
  <si>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</si>
  <si>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</si>
  <si>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</si>
  <si>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</si>
  <si>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</si>
  <si>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</si>
  <si>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</si>
  <si>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</si>
  <si>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</si>
  <si>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</si>
  <si>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7XC0CJ9QY00</t>
  </si>
  <si>
    <t>ZEJER,BARBARA</t>
  </si>
  <si>
    <t>IL</t>
  </si>
  <si>
    <t>New Business</t>
  </si>
  <si>
    <t>MAPD</t>
  </si>
  <si>
    <t>IMM606</t>
  </si>
  <si>
    <t>H7301-013</t>
  </si>
  <si>
    <t>LOA</t>
  </si>
  <si>
    <t>ABDUL, SAADIA</t>
  </si>
  <si>
    <t>GMO</t>
  </si>
  <si>
    <t>Main Line Benefits LLC</t>
  </si>
  <si>
    <t xml:space="preserve">N  </t>
  </si>
  <si>
    <t>6WM5WQ4GW84</t>
  </si>
  <si>
    <t>MECHGA4817656</t>
  </si>
  <si>
    <t>BEAUSEIGNEUR,JOSEPH</t>
  </si>
  <si>
    <t>PA</t>
  </si>
  <si>
    <t>Renewal</t>
  </si>
  <si>
    <t>PDP</t>
  </si>
  <si>
    <t>S5601-013</t>
  </si>
  <si>
    <t>Carryer, Kelly</t>
  </si>
  <si>
    <t>LMO</t>
  </si>
  <si>
    <t>5A54U01TE07</t>
  </si>
  <si>
    <t>BROWN S,JEFFREY</t>
  </si>
  <si>
    <t>IMM608</t>
  </si>
  <si>
    <t>H3959-011</t>
  </si>
  <si>
    <t>8GD5DR3DJ50</t>
  </si>
  <si>
    <t>MCLELLAN L,JANET</t>
  </si>
  <si>
    <t>H3959-001</t>
  </si>
  <si>
    <t>7JT3PP7XV00</t>
  </si>
  <si>
    <t>STEWART,MARCIA</t>
  </si>
  <si>
    <t>H3959-002</t>
  </si>
  <si>
    <t>8J83AN0MJ93</t>
  </si>
  <si>
    <t>MCGOWAN M,CHERYL</t>
  </si>
  <si>
    <t>WV</t>
  </si>
  <si>
    <t>H1608-027</t>
  </si>
  <si>
    <t>DAUGHERTY, MATTHEW</t>
  </si>
  <si>
    <t>9FA0TA4FA00</t>
  </si>
  <si>
    <t>WILLIAMS,JOYCE</t>
  </si>
  <si>
    <t>H3959-033</t>
  </si>
  <si>
    <t>AG4</t>
  </si>
  <si>
    <t>FINNEGAN, MARGARET</t>
  </si>
  <si>
    <t>1HD6FH7VW58</t>
  </si>
  <si>
    <t>CHIAFFA C,JOSEPH</t>
  </si>
  <si>
    <t>NJ</t>
  </si>
  <si>
    <t>IMM614</t>
  </si>
  <si>
    <t>H5521-391</t>
  </si>
  <si>
    <t>Foley, Carol</t>
  </si>
  <si>
    <t>5EX4YG5AP98</t>
  </si>
  <si>
    <t>CHIAFFA J,THOMAS</t>
  </si>
  <si>
    <t>4ND3UH5AW78</t>
  </si>
  <si>
    <t>GUZMAN,ROSA</t>
  </si>
  <si>
    <t>DE</t>
  </si>
  <si>
    <t>H3959-055</t>
  </si>
  <si>
    <t>8YV4KH2GQ77</t>
  </si>
  <si>
    <t>MECHGA5120190</t>
  </si>
  <si>
    <t>PRUITT,JUANITA</t>
  </si>
  <si>
    <t>MD</t>
  </si>
  <si>
    <t>S5601-011</t>
  </si>
  <si>
    <t>8UM6M66KV64</t>
  </si>
  <si>
    <t>SAWYER G,CHRISTOPHER</t>
  </si>
  <si>
    <t>H5522-017</t>
  </si>
  <si>
    <t>5X55DN3RA93</t>
  </si>
  <si>
    <t>CAPELLA A,JOHN</t>
  </si>
  <si>
    <t>H3959-035</t>
  </si>
  <si>
    <t>HERCHENRODER KLAUS</t>
  </si>
  <si>
    <t>7J02TF6EW96</t>
  </si>
  <si>
    <t>GOLDENBERG F,ABRAHAM</t>
  </si>
  <si>
    <t>4TV1A53XF00</t>
  </si>
  <si>
    <t>SKINNER L,VICKI</t>
  </si>
  <si>
    <t>WI</t>
  </si>
  <si>
    <t>H5521-195</t>
  </si>
  <si>
    <t>Hodgman, Timothy</t>
  </si>
  <si>
    <t>9PG8D44UC55</t>
  </si>
  <si>
    <t>MECHGA4875380</t>
  </si>
  <si>
    <t>KENWORTHY,GERARD</t>
  </si>
  <si>
    <t>Hoffmann Jason</t>
  </si>
  <si>
    <t>6AJ0T83TP37</t>
  </si>
  <si>
    <t>KROM L,CHRISTOPHER</t>
  </si>
  <si>
    <t>IN</t>
  </si>
  <si>
    <t>H5521-099</t>
  </si>
  <si>
    <t>6E19GK0TK30</t>
  </si>
  <si>
    <t>MECHGA4675978</t>
  </si>
  <si>
    <t>LUIPERSBECK,SUSAN</t>
  </si>
  <si>
    <t>CO</t>
  </si>
  <si>
    <t>S5601-054</t>
  </si>
  <si>
    <t>7QD5N91JW78</t>
  </si>
  <si>
    <t>ANDERSON L,SANDRA</t>
  </si>
  <si>
    <t>H3959-010</t>
  </si>
  <si>
    <t>Inskipt, Deborah</t>
  </si>
  <si>
    <t>2V80NY6VV23</t>
  </si>
  <si>
    <t>BOTT E,THOMAS</t>
  </si>
  <si>
    <t>1GN6GW8TW85</t>
  </si>
  <si>
    <t>BURGH R,DONNA</t>
  </si>
  <si>
    <t>9XF1X65GQ05</t>
  </si>
  <si>
    <t>CONNERS,LISA</t>
  </si>
  <si>
    <t>2KJ6TA4WV62</t>
  </si>
  <si>
    <t>DEWEY R,JAMES</t>
  </si>
  <si>
    <t>9RM2UC4PV14</t>
  </si>
  <si>
    <t>DIMOCK S,WILLIAM</t>
  </si>
  <si>
    <t>4VN7J87UR52</t>
  </si>
  <si>
    <t>DULSKI B,LORETTA</t>
  </si>
  <si>
    <t>8N53D79JC05</t>
  </si>
  <si>
    <t>GIBSON A,DARLENE</t>
  </si>
  <si>
    <t>8XJ2FW3KQ88</t>
  </si>
  <si>
    <t>GITTINGS,DAVID</t>
  </si>
  <si>
    <t>Exception</t>
  </si>
  <si>
    <t>7T38FJ8XA62</t>
  </si>
  <si>
    <t>GREEN H,JAYNE</t>
  </si>
  <si>
    <t>4M31PN0DK39</t>
  </si>
  <si>
    <t>HOFFMAN L,ERNEST</t>
  </si>
  <si>
    <t>9E37R36TH60</t>
  </si>
  <si>
    <t>HORVWALT A,ROSEMARY</t>
  </si>
  <si>
    <t>4VH4Q19GK63</t>
  </si>
  <si>
    <t>JONES R,BUSTER</t>
  </si>
  <si>
    <t>MA</t>
  </si>
  <si>
    <t>H3959-041</t>
  </si>
  <si>
    <t>3Q43TT7FD95</t>
  </si>
  <si>
    <t xml:space="preserve">9320576HPA       </t>
  </si>
  <si>
    <t>KELLY,THOMAS J</t>
  </si>
  <si>
    <t>IMM401</t>
  </si>
  <si>
    <t>7Q20QV5JY39</t>
  </si>
  <si>
    <t>KENDALL S,WENDY</t>
  </si>
  <si>
    <t>2UF0R89NE06</t>
  </si>
  <si>
    <t>KERR L,ROGER</t>
  </si>
  <si>
    <t>H1692-007</t>
  </si>
  <si>
    <t>6Y87FW7AC50</t>
  </si>
  <si>
    <t>KOREY P,MARY</t>
  </si>
  <si>
    <t>7F10GC4JH46</t>
  </si>
  <si>
    <t>KOREY,JOSEPH</t>
  </si>
  <si>
    <t>8R67GE8QN45</t>
  </si>
  <si>
    <t>KROBOT R,WILLIAM</t>
  </si>
  <si>
    <t>5FH3Y34WP86</t>
  </si>
  <si>
    <t>LINK C,THOMAS</t>
  </si>
  <si>
    <t>5E49EA6PU28</t>
  </si>
  <si>
    <t>MAZAR D,BRUCE</t>
  </si>
  <si>
    <t>1NN4HT2RQ81</t>
  </si>
  <si>
    <t>MAZAR M,CHRISTINA</t>
  </si>
  <si>
    <t>6NQ1F42XH97</t>
  </si>
  <si>
    <t>MAZZA J,DONNA</t>
  </si>
  <si>
    <t>8CR1WF7WW20</t>
  </si>
  <si>
    <t>MAZZA W,DAVID</t>
  </si>
  <si>
    <t>5M81GP9GD10</t>
  </si>
  <si>
    <t>MAZZETTI A,LEA</t>
  </si>
  <si>
    <t>4YR0DC5VV18</t>
  </si>
  <si>
    <t>MCDOWELL R,TAMMY</t>
  </si>
  <si>
    <t>4CF3EH2EG08</t>
  </si>
  <si>
    <t>PETERSON J,TIMOTHY</t>
  </si>
  <si>
    <t>3CQ6CV6AU85</t>
  </si>
  <si>
    <t>POLITE J,CAROL</t>
  </si>
  <si>
    <t>8GA1VG1JK17</t>
  </si>
  <si>
    <t>RAY T,FRANK</t>
  </si>
  <si>
    <t>9ED6CP6EA51</t>
  </si>
  <si>
    <t>ROBISON L,SARA</t>
  </si>
  <si>
    <t>H3959-036</t>
  </si>
  <si>
    <t>6JA6GP5PJ75</t>
  </si>
  <si>
    <t>SLANEY R,JAMES</t>
  </si>
  <si>
    <t>8A50E16UG38</t>
  </si>
  <si>
    <t>STEVENS J,RICHARD</t>
  </si>
  <si>
    <t>FL</t>
  </si>
  <si>
    <t>IMM604</t>
  </si>
  <si>
    <t>H1609-027</t>
  </si>
  <si>
    <t>8DW4FA5VD70</t>
  </si>
  <si>
    <t>STEWART E,KIM</t>
  </si>
  <si>
    <t>H5522-005</t>
  </si>
  <si>
    <t>4N12RU3ED01</t>
  </si>
  <si>
    <t>STEWART F,REGIS</t>
  </si>
  <si>
    <t>4KM3QM7MJ75</t>
  </si>
  <si>
    <t>SUTY A,MARGARET</t>
  </si>
  <si>
    <t>6N74D62MC07</t>
  </si>
  <si>
    <t>WOODWARD,HEMA</t>
  </si>
  <si>
    <t>1QG2U95UQ16</t>
  </si>
  <si>
    <t>WROBLESKI J,MARK</t>
  </si>
  <si>
    <t>3K19KA7NG55</t>
  </si>
  <si>
    <t>ZELENKO J,RICHARD</t>
  </si>
  <si>
    <t>8QR4UV1CH50</t>
  </si>
  <si>
    <t>MCABEE J,COLLEEN</t>
  </si>
  <si>
    <t>CA</t>
  </si>
  <si>
    <t>IMM602</t>
  </si>
  <si>
    <t>H5521-421</t>
  </si>
  <si>
    <t>Miller, Heather</t>
  </si>
  <si>
    <t>5NU3J33JD86</t>
  </si>
  <si>
    <t>MESHENBERG J,RONALD</t>
  </si>
  <si>
    <t>4J11N38FW27</t>
  </si>
  <si>
    <t>MEBS2WCG</t>
  </si>
  <si>
    <t xml:space="preserve">DILORENZO,MARIA                                                                                     </t>
  </si>
  <si>
    <t>IMM504</t>
  </si>
  <si>
    <t>H5521-086</t>
  </si>
  <si>
    <t>Portugal, Gary</t>
  </si>
  <si>
    <t>3TH1W68YM04</t>
  </si>
  <si>
    <t>MEBS2W2L</t>
  </si>
  <si>
    <t xml:space="preserve">DILORENZO,NICOLA                                                                                    </t>
  </si>
  <si>
    <t>1NY2Q86GG03</t>
  </si>
  <si>
    <t>JACOBSEN M,PAUL</t>
  </si>
  <si>
    <t>H5521-016</t>
  </si>
  <si>
    <t>2VA8CC7UT43</t>
  </si>
  <si>
    <t>AMMON A,LOIS</t>
  </si>
  <si>
    <t>H3959-047</t>
  </si>
  <si>
    <t>Powers, Deborah</t>
  </si>
  <si>
    <t>2N96KF3QR51</t>
  </si>
  <si>
    <t>BURNS P,JOHN</t>
  </si>
  <si>
    <t>IMM507</t>
  </si>
  <si>
    <t>2DQ9GQ5RM29</t>
  </si>
  <si>
    <t>DASCH L,MARSHA</t>
  </si>
  <si>
    <t>4GW9W30PQ00</t>
  </si>
  <si>
    <t>GRIFFITH B,SARAH</t>
  </si>
  <si>
    <t>5K92A66AW25</t>
  </si>
  <si>
    <t>LUNN D,MARK</t>
  </si>
  <si>
    <t>7UC3TP3YG05</t>
  </si>
  <si>
    <t>LUNN M,ELAINE</t>
  </si>
  <si>
    <t>1Q02R16AE01</t>
  </si>
  <si>
    <t>MCGAHEY G,KEVIN</t>
  </si>
  <si>
    <t>9V87W77WW44</t>
  </si>
  <si>
    <t>MOTKO,MARIA</t>
  </si>
  <si>
    <t>9JR5QQ6CD64</t>
  </si>
  <si>
    <t xml:space="preserve">9296288HPA       </t>
  </si>
  <si>
    <t>SCHEERBAUM,ELAINE A</t>
  </si>
  <si>
    <t>6H91V21TX06</t>
  </si>
  <si>
    <t>SCHUMAN L,HELEN</t>
  </si>
  <si>
    <t>9EC7PU1AK57</t>
  </si>
  <si>
    <t>SCHUMAN R,RICHARD</t>
  </si>
  <si>
    <t>3CU4YC4TU79</t>
  </si>
  <si>
    <t>SEMES L,VICKI</t>
  </si>
  <si>
    <t>5N67NX5ER40</t>
  </si>
  <si>
    <t>SEMES S,PAUL</t>
  </si>
  <si>
    <t>6NC4JK4RQ62</t>
  </si>
  <si>
    <t>TONER F,HARRY</t>
  </si>
  <si>
    <t>2XH9Y99CV11</t>
  </si>
  <si>
    <t>TURK I,LINDA</t>
  </si>
  <si>
    <t>2JX9P33CW44</t>
  </si>
  <si>
    <t xml:space="preserve">2971542HPA       </t>
  </si>
  <si>
    <t>BECK,CLAUDE R</t>
  </si>
  <si>
    <t>IMM001</t>
  </si>
  <si>
    <t>Powers, Timothy</t>
  </si>
  <si>
    <t>5KE1VF1PT36</t>
  </si>
  <si>
    <t>BLOSTEIN A,MICHAEL</t>
  </si>
  <si>
    <t>7MY8TU2AM27</t>
  </si>
  <si>
    <t>BROWN L,CINDY</t>
  </si>
  <si>
    <t>4Y98ET4QH64</t>
  </si>
  <si>
    <t>BYRON A,DEBORA</t>
  </si>
  <si>
    <t>5FR6QA5TP53</t>
  </si>
  <si>
    <t xml:space="preserve">6707383HPA       </t>
  </si>
  <si>
    <t>CARRIGAN,LINDA J</t>
  </si>
  <si>
    <t>3QR6QH7QP53</t>
  </si>
  <si>
    <t>CHRISTY E,SUE</t>
  </si>
  <si>
    <t>3VC0G14MV16</t>
  </si>
  <si>
    <t xml:space="preserve">9188753HPA       </t>
  </si>
  <si>
    <t>CHRISTY,ALICE J</t>
  </si>
  <si>
    <t>IMM201</t>
  </si>
  <si>
    <t>5AG6K45YT40</t>
  </si>
  <si>
    <t xml:space="preserve">9188749HPA       </t>
  </si>
  <si>
    <t>CHRISTY,ROBERT L</t>
  </si>
  <si>
    <t>4CJ4TD9KH82</t>
  </si>
  <si>
    <t>CLINGENSMITH E,ROXANNE</t>
  </si>
  <si>
    <t>6KJ4QN3YM65</t>
  </si>
  <si>
    <t xml:space="preserve">3313321HPA       </t>
  </si>
  <si>
    <t>CLOUSE,RICHARD A</t>
  </si>
  <si>
    <t>4FV4TW7KE78</t>
  </si>
  <si>
    <t>DESMOND A,CAROL</t>
  </si>
  <si>
    <t>3AX6GM0GD59</t>
  </si>
  <si>
    <t xml:space="preserve">7357668HPA       </t>
  </si>
  <si>
    <t>DOUBLE,JUDITH A</t>
  </si>
  <si>
    <t>8HK8P00WQ29</t>
  </si>
  <si>
    <t xml:space="preserve">7348362HPA       </t>
  </si>
  <si>
    <t>DOUBLE,WAYNE R</t>
  </si>
  <si>
    <t>7H43TQ0FE76</t>
  </si>
  <si>
    <t>DOUGLAS A,DARLENE</t>
  </si>
  <si>
    <t>9T45JT0NC64</t>
  </si>
  <si>
    <t xml:space="preserve">7342957HPA       </t>
  </si>
  <si>
    <t>DUESPOHL,DONALD W</t>
  </si>
  <si>
    <t>4FJ2EF8QV11</t>
  </si>
  <si>
    <t xml:space="preserve">7367954HPA       </t>
  </si>
  <si>
    <t>DUESPOHL,LINDA L</t>
  </si>
  <si>
    <t>8K29XN8YE14</t>
  </si>
  <si>
    <t xml:space="preserve">7353774HPA       </t>
  </si>
  <si>
    <t>FEND,DENA J</t>
  </si>
  <si>
    <t>7GQ1TM5VV37</t>
  </si>
  <si>
    <t>GAISER P,DONALD</t>
  </si>
  <si>
    <t>7TF4K49KN73</t>
  </si>
  <si>
    <t>GALKO K,ANITA</t>
  </si>
  <si>
    <t>9XP1E86RF94</t>
  </si>
  <si>
    <t xml:space="preserve">4044042HPA       </t>
  </si>
  <si>
    <t>GIESLER,JOYCE I</t>
  </si>
  <si>
    <t>5M43G51DH09</t>
  </si>
  <si>
    <t>GOETTLER L,TRACY</t>
  </si>
  <si>
    <t>1D22HJ0CH07</t>
  </si>
  <si>
    <t xml:space="preserve">8182504HPA       </t>
  </si>
  <si>
    <t>GREEN,STEPHEN P</t>
  </si>
  <si>
    <t>5MP7WQ3AW37</t>
  </si>
  <si>
    <t xml:space="preserve">9322731HPA       </t>
  </si>
  <si>
    <t>HEARN,RUSSELL B</t>
  </si>
  <si>
    <t>9NF3JP6CV79</t>
  </si>
  <si>
    <t>HEASLEY BLOSTEIN G,BILLIE</t>
  </si>
  <si>
    <t>7VA5G43FR62</t>
  </si>
  <si>
    <t>HILGAR P,MARK</t>
  </si>
  <si>
    <t>7RN9G43TX27</t>
  </si>
  <si>
    <t>HINDMAN L,CINDY</t>
  </si>
  <si>
    <t>9E70XC3DR09</t>
  </si>
  <si>
    <t>HUF D,JOSEPH</t>
  </si>
  <si>
    <t>5JR6V11RU47</t>
  </si>
  <si>
    <t>HUSTAK A,DEBORA</t>
  </si>
  <si>
    <t>7XJ2QK8WP27</t>
  </si>
  <si>
    <t>JACOB F,WILLIAM</t>
  </si>
  <si>
    <t>8CE5CW9PF76</t>
  </si>
  <si>
    <t>KRAMER K,MARY</t>
  </si>
  <si>
    <t>4DC8AA6MU45</t>
  </si>
  <si>
    <t>LENTZ L,PAMELA</t>
  </si>
  <si>
    <t>7DY7CF1WG53</t>
  </si>
  <si>
    <t>LONG E,JEFFRY</t>
  </si>
  <si>
    <t>2CF7H33XG60</t>
  </si>
  <si>
    <t xml:space="preserve">9296155HPA       </t>
  </si>
  <si>
    <t>LYDON,DONNA E</t>
  </si>
  <si>
    <t>3UV4H90AA75</t>
  </si>
  <si>
    <t>MARKLE H,DANIEL</t>
  </si>
  <si>
    <t>4WM7PW3MA48</t>
  </si>
  <si>
    <t>MARSHALL E,GLORIA</t>
  </si>
  <si>
    <t>3GF8UP3QG30</t>
  </si>
  <si>
    <t>MATSON A,THOMAS</t>
  </si>
  <si>
    <t>6FW9NY2KD18</t>
  </si>
  <si>
    <t>MCELRAVY U,KATHLEEN</t>
  </si>
  <si>
    <t>4HW4F79VE79</t>
  </si>
  <si>
    <t>NEIL L,TAMMY</t>
  </si>
  <si>
    <t>9J40Y16AP04</t>
  </si>
  <si>
    <t>NEWMYER W,STEVE</t>
  </si>
  <si>
    <t>4X42HK8WF97</t>
  </si>
  <si>
    <t>NORRIS A,SANDRA</t>
  </si>
  <si>
    <t>5G76K59JP57</t>
  </si>
  <si>
    <t xml:space="preserve">9219414HPA       </t>
  </si>
  <si>
    <t>PEARCE,JUDY K</t>
  </si>
  <si>
    <t>1XF4JV0VR86</t>
  </si>
  <si>
    <t xml:space="preserve">9308512HPA       </t>
  </si>
  <si>
    <t>PEER,MAURINE J</t>
  </si>
  <si>
    <t>3NP4RC1XJ97</t>
  </si>
  <si>
    <t xml:space="preserve">9291315HPA       </t>
  </si>
  <si>
    <t>RACKHAM,GARY E</t>
  </si>
  <si>
    <t>5N78U28JA65</t>
  </si>
  <si>
    <t>REYNOLDS E,JUNE</t>
  </si>
  <si>
    <t>8MU4KH5CT88</t>
  </si>
  <si>
    <t>REYNOLDS J,ROBERT</t>
  </si>
  <si>
    <t>3FX9EV4TH13</t>
  </si>
  <si>
    <t>RODGERS A,MARCIA</t>
  </si>
  <si>
    <t>6N04CM4GF63</t>
  </si>
  <si>
    <t xml:space="preserve">6991358HPA       </t>
  </si>
  <si>
    <t>SCHNUR,GLORIA R</t>
  </si>
  <si>
    <t>4TV0AJ8KE90</t>
  </si>
  <si>
    <t>SCHUBERT D,GLENN</t>
  </si>
  <si>
    <t>3PA6VN1GH55</t>
  </si>
  <si>
    <t>STEIGHNER A,SHIRLEY</t>
  </si>
  <si>
    <t>5PM1MA6MD29</t>
  </si>
  <si>
    <t>WOOD A,LISA</t>
  </si>
  <si>
    <t>5JK4WR7CX65</t>
  </si>
  <si>
    <t>ZULICK,JOHN</t>
  </si>
  <si>
    <t>4CK4WW3TD99</t>
  </si>
  <si>
    <t>BAKER A,TERRE</t>
  </si>
  <si>
    <t>H5521-263</t>
  </si>
  <si>
    <t>Richter Peter</t>
  </si>
  <si>
    <t>4J14DA0FW87</t>
  </si>
  <si>
    <t>STANKO M,IRENE</t>
  </si>
  <si>
    <t>H5521-272</t>
  </si>
  <si>
    <t>4U52XD4HG00</t>
  </si>
  <si>
    <t>MECHGA6301508</t>
  </si>
  <si>
    <t>DONALDSON,CHARLES</t>
  </si>
  <si>
    <t>Richter, Adam</t>
  </si>
  <si>
    <t>6YM5MG8QV54</t>
  </si>
  <si>
    <t>MECHGA4665687</t>
  </si>
  <si>
    <t>GATES III,H</t>
  </si>
  <si>
    <t>9VG6PU7MR76</t>
  </si>
  <si>
    <t>MECHGA4841273</t>
  </si>
  <si>
    <t>POOLE,TERESA</t>
  </si>
  <si>
    <t>6A67YH1GE58</t>
  </si>
  <si>
    <t>MECHGA4911986</t>
  </si>
  <si>
    <t>LANCASTER,DANIEL</t>
  </si>
  <si>
    <t>STUMP, SHANNON</t>
  </si>
  <si>
    <t>2F16C21QX40</t>
  </si>
  <si>
    <t>BELCHER A,EDWARD</t>
  </si>
  <si>
    <t>H5522-004</t>
  </si>
  <si>
    <t>Teipel, Gregory</t>
  </si>
  <si>
    <t>7WH1HW4KD27</t>
  </si>
  <si>
    <t>BERENDZEN,MICHAEL</t>
  </si>
  <si>
    <t>MO</t>
  </si>
  <si>
    <t>IMM619</t>
  </si>
  <si>
    <t>H2663-041</t>
  </si>
  <si>
    <t>2CJ2CU8JH21</t>
  </si>
  <si>
    <t>BERGER A,MARY</t>
  </si>
  <si>
    <t>H5521-223</t>
  </si>
  <si>
    <t>2PK0QX0DF41</t>
  </si>
  <si>
    <t>CLAYTON T,ROGER</t>
  </si>
  <si>
    <t>AL</t>
  </si>
  <si>
    <t>IMM605</t>
  </si>
  <si>
    <t>H5521-227</t>
  </si>
  <si>
    <t>7PN7GC6FF63</t>
  </si>
  <si>
    <t>DAUGHERTY D,HIAWATHA</t>
  </si>
  <si>
    <t>TX</t>
  </si>
  <si>
    <t>IMM618</t>
  </si>
  <si>
    <t>H2293-013</t>
  </si>
  <si>
    <t>9QH9X75CR00</t>
  </si>
  <si>
    <t>DAVIS S,TAMMIE</t>
  </si>
  <si>
    <t>H8332-003</t>
  </si>
  <si>
    <t>9U61E22HJ02</t>
  </si>
  <si>
    <t>DAVIS,JAYE</t>
  </si>
  <si>
    <t>IMM607</t>
  </si>
  <si>
    <t>H2663-026</t>
  </si>
  <si>
    <t>8RV6CD8RQ86</t>
  </si>
  <si>
    <t>DOBBS C,TAMMY</t>
  </si>
  <si>
    <t>H5521-269</t>
  </si>
  <si>
    <t>3C06FW9JR72</t>
  </si>
  <si>
    <t>EVERS F,LYDIA</t>
  </si>
  <si>
    <t>H2663-005</t>
  </si>
  <si>
    <t>4C12GP5FM09</t>
  </si>
  <si>
    <t>FLOYD L,MICHAEL</t>
  </si>
  <si>
    <t>H7301-006</t>
  </si>
  <si>
    <t>6Y65FT8JF79</t>
  </si>
  <si>
    <t>FLOYD R,BARBARA</t>
  </si>
  <si>
    <t>6WG0NV5YF18</t>
  </si>
  <si>
    <t>FOLTZ M,KATHERINE</t>
  </si>
  <si>
    <t>H8332-001</t>
  </si>
  <si>
    <t>3RE5VX1FG77</t>
  </si>
  <si>
    <t>GONZALEZ,JESUS</t>
  </si>
  <si>
    <t>H5521-273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</si>
  <si>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</si>
  <si>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</si>
  <si>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</si>
  <si>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</si>
  <si>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</si>
  <si>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</si>
  <si>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</si>
  <si>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</si>
  <si>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</si>
  <si>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7QN6PF7HK67</t>
  </si>
  <si>
    <t>HOWARD R,DARRELL</t>
  </si>
  <si>
    <t>KS</t>
  </si>
  <si>
    <t>H1608-018</t>
  </si>
  <si>
    <t>8A84CW2KU82</t>
  </si>
  <si>
    <t>KOLLER A,JEFFERY</t>
  </si>
  <si>
    <t>AR</t>
  </si>
  <si>
    <t>H1608-021</t>
  </si>
  <si>
    <t>7T14MP5EX98</t>
  </si>
  <si>
    <t>KOLLER J,SUSAN</t>
  </si>
  <si>
    <t>4JE2M19GH18</t>
  </si>
  <si>
    <t>KROM E,TODD</t>
  </si>
  <si>
    <t>9X06AC0XA89</t>
  </si>
  <si>
    <t>LEVIN L,CHARENE</t>
  </si>
  <si>
    <t>AZ</t>
  </si>
  <si>
    <t>IMM601</t>
  </si>
  <si>
    <t>H3931-092</t>
  </si>
  <si>
    <t>1K31HV6KC33</t>
  </si>
  <si>
    <t>MACAVAGE,CHARLENE</t>
  </si>
  <si>
    <t>5N74YU2JY05</t>
  </si>
  <si>
    <t>MARKSBERRY,ELWOOD</t>
  </si>
  <si>
    <t>8DG3VD2WN04</t>
  </si>
  <si>
    <t>MARTIN E,MARY</t>
  </si>
  <si>
    <t>OK</t>
  </si>
  <si>
    <t>H3288-020</t>
  </si>
  <si>
    <t>4WW4W91JY95</t>
  </si>
  <si>
    <t>NEY R,RICHARD</t>
  </si>
  <si>
    <t>9D25MN1WD53</t>
  </si>
  <si>
    <t>PARK H,JOHN</t>
  </si>
  <si>
    <t>OH</t>
  </si>
  <si>
    <t>IMM617</t>
  </si>
  <si>
    <t>H5521-087</t>
  </si>
  <si>
    <t>3NA0RW3FY90</t>
  </si>
  <si>
    <t>SADOWSKI J,WILLIAM</t>
  </si>
  <si>
    <t>2H26V84UH67</t>
  </si>
  <si>
    <t>SARGENT M,TALLI</t>
  </si>
  <si>
    <t>9F31JM2QW10</t>
  </si>
  <si>
    <t>SMITH L,GARY</t>
  </si>
  <si>
    <t>H1608-017</t>
  </si>
  <si>
    <t>2WV9E99WQ56</t>
  </si>
  <si>
    <t>VLAHOS G,JOHN</t>
  </si>
  <si>
    <t>4KE5FG0HN62</t>
  </si>
  <si>
    <t>VRY A,PATRICIA</t>
  </si>
  <si>
    <t>NC</t>
  </si>
  <si>
    <t>H5521-168</t>
  </si>
  <si>
    <t>Total Payee Amount: $6658.82</t>
  </si>
  <si>
    <t>member ID</t>
  </si>
  <si>
    <t>Paycode</t>
  </si>
  <si>
    <t>paid-to-date</t>
  </si>
  <si>
    <t>AE2</t>
  </si>
  <si>
    <t>Aetna GMO Aetna MAPD NATIONAL 2024!</t>
  </si>
  <si>
    <t>[%/$=431][prorate=1/12]</t>
  </si>
  <si>
    <t>AE</t>
  </si>
  <si>
    <t>Aetna PDP 2024! Plus</t>
  </si>
  <si>
    <t>[%/$=4]</t>
  </si>
  <si>
    <t>BROWN JEFFREY</t>
  </si>
  <si>
    <t>Aetna LMO MAPD CT, PA, DC 2024!</t>
  </si>
  <si>
    <t>[%/$=31.25]</t>
  </si>
  <si>
    <t>Aetna MAPD NATIONAL 2024!</t>
  </si>
  <si>
    <t>[%/$=28]</t>
  </si>
  <si>
    <t>Aetna MAPD override</t>
  </si>
  <si>
    <t>[%/$=2.5]</t>
  </si>
  <si>
    <t>GUZMAN ROSA</t>
  </si>
  <si>
    <t>CHIAFFA JOSEPH</t>
  </si>
  <si>
    <t>CHIAFFA THOMAS</t>
  </si>
  <si>
    <t>CAPELLA JOHN</t>
  </si>
  <si>
    <t>GOLDENBERG ABRAHAM</t>
  </si>
  <si>
    <t>Aetna PDP 2023</t>
  </si>
  <si>
    <t>[%/$=47][prorate=1/12]</t>
  </si>
  <si>
    <t>GITTINGS DAVID</t>
  </si>
  <si>
    <t>Aetna MAPD CT, PA, DC 2024!</t>
  </si>
  <si>
    <t>[%/$=470][prorate=10/12]</t>
  </si>
  <si>
    <t>JONES BUSTER</t>
  </si>
  <si>
    <t>ANDERSON SANDRA</t>
  </si>
  <si>
    <t>BOTT THOMAS</t>
  </si>
  <si>
    <t>BURGH DONNA</t>
  </si>
  <si>
    <t>CONNERS LISA</t>
  </si>
  <si>
    <t>DEWEY JAMES</t>
  </si>
  <si>
    <t>DIMOCK WILLIAM</t>
  </si>
  <si>
    <t>DULSKI LORETTA</t>
  </si>
  <si>
    <t>GIBSON DARLENE</t>
  </si>
  <si>
    <t>GREEN JAYNE</t>
  </si>
  <si>
    <t>Aetna GMO MAPD CT, PA, DC 2024!</t>
  </si>
  <si>
    <t>[%/$=45][prorate=8/12]</t>
  </si>
  <si>
    <t>[%/$=375][prorate=10/12]</t>
  </si>
  <si>
    <t>[%/$=516][prorate=1/12]</t>
  </si>
  <si>
    <t>DILORENZO MARIA</t>
  </si>
  <si>
    <t>[%/$=351][prorate=1/12]</t>
  </si>
  <si>
    <t>DILORENZO NICOLA</t>
  </si>
  <si>
    <t>TONER HARRY</t>
  </si>
  <si>
    <t>AMMON LOIS</t>
  </si>
  <si>
    <t>BURNS JOHN</t>
  </si>
  <si>
    <t>DASCH MARSHA</t>
  </si>
  <si>
    <t>[%/$=45][prorate=1/12]</t>
  </si>
  <si>
    <t>GRIFFITH SARAH</t>
  </si>
  <si>
    <t>CLOUSE RICHARD</t>
  </si>
  <si>
    <t>BECK CLAUDE</t>
  </si>
  <si>
    <t>BLOSTEIN MICHAEL</t>
  </si>
  <si>
    <t>BROWN CINDY</t>
  </si>
  <si>
    <t>BYRON DEBORA</t>
  </si>
  <si>
    <t>CARRIGAN LINDA</t>
  </si>
  <si>
    <t>CHRISTY SUE</t>
  </si>
  <si>
    <t>CHRISTY ALICE</t>
  </si>
  <si>
    <t>CHRISTY ROBERT</t>
  </si>
  <si>
    <t>CLINGENSMITH ROXANNE</t>
  </si>
  <si>
    <t>DESMOND CAROL</t>
  </si>
  <si>
    <t>DOUBLE JUDITH</t>
  </si>
  <si>
    <t>DOUBLE WAYNE</t>
  </si>
  <si>
    <t>DOUGLAS DARLENE</t>
  </si>
  <si>
    <t>DUESPOHL DONALD</t>
  </si>
  <si>
    <t>DUESPOHL LINDA</t>
  </si>
  <si>
    <t>FEND DENA</t>
  </si>
  <si>
    <t>GAISER DONALD</t>
  </si>
  <si>
    <t>GALKO ANITA</t>
  </si>
  <si>
    <t>GOETTLER TRACY</t>
  </si>
  <si>
    <t>GIESLER JOYCE</t>
  </si>
  <si>
    <t>GREEN STEPHEN</t>
  </si>
  <si>
    <t>HEARN RUSSELL</t>
  </si>
  <si>
    <t>BAKER TERRE</t>
  </si>
  <si>
    <t>BERENDZEN MICHAEL</t>
  </si>
  <si>
    <t>BERGER MARY</t>
  </si>
  <si>
    <t>CLAYTON ROGER</t>
  </si>
  <si>
    <t>DAUGHERTY HIAWATHA</t>
  </si>
  <si>
    <t>DAVIS TAMMIE</t>
  </si>
  <si>
    <t>DAVIS JAYE</t>
  </si>
  <si>
    <t>DOBBS TAMMY</t>
  </si>
  <si>
    <t>EVERS LYDIA</t>
  </si>
  <si>
    <t>FLOYD MICHAEL</t>
  </si>
  <si>
    <t>FLOYD BARBARA</t>
  </si>
  <si>
    <t>FOLTZ KATHERINE</t>
  </si>
  <si>
    <t>GONZALEZ JESUS</t>
  </si>
  <si>
    <t>BELCHER EDWARD</t>
  </si>
  <si>
    <t>[%/$=431][prorate=2/12]</t>
  </si>
  <si>
    <t>Member</t>
  </si>
  <si>
    <t>6NC4JK4RQ627</t>
  </si>
  <si>
    <t>JONES</t>
  </si>
  <si>
    <t>BUSTER</t>
  </si>
  <si>
    <t>2VA8CC7UT437</t>
  </si>
  <si>
    <t>TONER</t>
  </si>
  <si>
    <t>HARRY</t>
  </si>
  <si>
    <t>2N96KF3QR517</t>
  </si>
  <si>
    <t>AMMON</t>
  </si>
  <si>
    <t>LOIS</t>
  </si>
  <si>
    <t>5K92A66AW257</t>
  </si>
  <si>
    <t>ANDERSON</t>
  </si>
  <si>
    <t>SANDRA</t>
  </si>
  <si>
    <t>7UC3TP3YG057</t>
  </si>
  <si>
    <t>BAKER</t>
  </si>
  <si>
    <t>TERRE</t>
  </si>
  <si>
    <t>1Q02R16AE017</t>
  </si>
  <si>
    <t>BECK</t>
  </si>
  <si>
    <t>CLAUDE</t>
  </si>
  <si>
    <t>6H91V21TX067</t>
  </si>
  <si>
    <t>BELCHER</t>
  </si>
  <si>
    <t>EDWARD</t>
  </si>
  <si>
    <t>9EC7PU1AK577</t>
  </si>
  <si>
    <t>BERENDZEN</t>
  </si>
  <si>
    <t>MICHAEL</t>
  </si>
  <si>
    <t>3CU4YC4TU797</t>
  </si>
  <si>
    <t>BERGER</t>
  </si>
  <si>
    <t>MARY</t>
  </si>
  <si>
    <t>5N67NX5ER407</t>
  </si>
  <si>
    <t>BLOSTEIN</t>
  </si>
  <si>
    <t>2DQ9GQ5RM297</t>
  </si>
  <si>
    <t>BOTT</t>
  </si>
  <si>
    <t>THOMAS</t>
  </si>
  <si>
    <t>4GW9W30PQ007</t>
  </si>
  <si>
    <t>BROWN</t>
  </si>
  <si>
    <t>CINDY</t>
  </si>
  <si>
    <t>9V87W77WW447</t>
  </si>
  <si>
    <t>JEFFREY</t>
  </si>
  <si>
    <t>9JR5QQ6CD647</t>
  </si>
  <si>
    <t>BURGH</t>
  </si>
  <si>
    <t>DONNA</t>
  </si>
  <si>
    <t>2XH9Y99CV117</t>
  </si>
  <si>
    <t>BURNS</t>
  </si>
  <si>
    <t>JOHN</t>
  </si>
  <si>
    <t>6KJ4QN3YM657</t>
  </si>
  <si>
    <t>BYRON</t>
  </si>
  <si>
    <t>DEBORA</t>
  </si>
  <si>
    <t>2JX9P33CW447</t>
  </si>
  <si>
    <t>CAPELLA</t>
  </si>
  <si>
    <t>5KE1VF1PT367</t>
  </si>
  <si>
    <t>CARRIGAN</t>
  </si>
  <si>
    <t>LINDA</t>
  </si>
  <si>
    <t>7MY8TU2AM277</t>
  </si>
  <si>
    <t>CHIAFFA</t>
  </si>
  <si>
    <t>JOSEPH</t>
  </si>
  <si>
    <t>4Y98ET4QH647</t>
  </si>
  <si>
    <t>5FR6QA5TP537</t>
  </si>
  <si>
    <t>CHRISTY</t>
  </si>
  <si>
    <t>SUE</t>
  </si>
  <si>
    <t>3QR6QH7QP537</t>
  </si>
  <si>
    <t>ALICE</t>
  </si>
  <si>
    <t>3VC0G14MV167</t>
  </si>
  <si>
    <t>ROBERT</t>
  </si>
  <si>
    <t>5AG6K45YT407</t>
  </si>
  <si>
    <t>CLAYTON</t>
  </si>
  <si>
    <t>ROGER</t>
  </si>
  <si>
    <t>4CJ4TD9KH827</t>
  </si>
  <si>
    <t>CLINGENSMITH</t>
  </si>
  <si>
    <t>ROXANNE</t>
  </si>
  <si>
    <t>4FV4TW7KE787</t>
  </si>
  <si>
    <t>CLOUSE</t>
  </si>
  <si>
    <t>RICHARD</t>
  </si>
  <si>
    <t>3AX6GM0GD597</t>
  </si>
  <si>
    <t>CONNERS</t>
  </si>
  <si>
    <t>LISA</t>
  </si>
  <si>
    <t>8HK8P00WQ297</t>
  </si>
  <si>
    <t>DASCH</t>
  </si>
  <si>
    <t>MARSHA</t>
  </si>
  <si>
    <t>7H43TQ0FE767</t>
  </si>
  <si>
    <t>DAUGHERTY</t>
  </si>
  <si>
    <t>HIAWATHA</t>
  </si>
  <si>
    <t>9T45JT0NC647</t>
  </si>
  <si>
    <t>DAVIS</t>
  </si>
  <si>
    <t>TAMMIE</t>
  </si>
  <si>
    <t>4FJ2EF8QV117</t>
  </si>
  <si>
    <t>JAYE</t>
  </si>
  <si>
    <t>8K29XN8YE147</t>
  </si>
  <si>
    <t>DESMOND</t>
  </si>
  <si>
    <t>CAROL</t>
  </si>
  <si>
    <t>7GQ1TM5VV377</t>
  </si>
  <si>
    <t>DEWEY</t>
  </si>
  <si>
    <t>JAMES</t>
  </si>
  <si>
    <t>7TF4K49KN737</t>
  </si>
  <si>
    <t>DILORENZO</t>
  </si>
  <si>
    <t>MARIA</t>
  </si>
  <si>
    <t>5M43G51DH097</t>
  </si>
  <si>
    <t>NICOLA</t>
  </si>
  <si>
    <t>9NF3JP6CV797</t>
  </si>
  <si>
    <t>DIMOCK</t>
  </si>
  <si>
    <t>WILLIAM</t>
  </si>
  <si>
    <t>7VA5G43FR627</t>
  </si>
  <si>
    <t>DOBBS</t>
  </si>
  <si>
    <t>TAMMY</t>
  </si>
  <si>
    <t>7RN9G43TX277</t>
  </si>
  <si>
    <t>DOUBLE</t>
  </si>
  <si>
    <t>JUDITH</t>
  </si>
  <si>
    <t>9E70XC3DR097</t>
  </si>
  <si>
    <t>WAYNE</t>
  </si>
  <si>
    <t>5JR6V11RU477</t>
  </si>
  <si>
    <t>DOUGLAS</t>
  </si>
  <si>
    <t>DARLENE</t>
  </si>
  <si>
    <t>7XJ2QK8WP277</t>
  </si>
  <si>
    <t>DUESPOHL</t>
  </si>
  <si>
    <t>DONALD</t>
  </si>
  <si>
    <t>8CE5CW9PF767</t>
  </si>
  <si>
    <t>4DC8AA6MU457</t>
  </si>
  <si>
    <t>DULSKI</t>
  </si>
  <si>
    <t>LORETTA</t>
  </si>
  <si>
    <t>7DY7CF1WG537</t>
  </si>
  <si>
    <t>EVERS</t>
  </si>
  <si>
    <t>LYDIA</t>
  </si>
  <si>
    <t>3UV4H90AA757</t>
  </si>
  <si>
    <t>FEND</t>
  </si>
  <si>
    <t>DENA</t>
  </si>
  <si>
    <t>3GF8UP3QG307</t>
  </si>
  <si>
    <t>FLOYD</t>
  </si>
  <si>
    <t>6FW9NY2KD187</t>
  </si>
  <si>
    <t>BARBARA</t>
  </si>
  <si>
    <t>4HW4F79VE797</t>
  </si>
  <si>
    <t>FOLTZ</t>
  </si>
  <si>
    <t>KATHERINE</t>
  </si>
  <si>
    <t>9J40Y16AP047</t>
  </si>
  <si>
    <t>GAISER</t>
  </si>
  <si>
    <t>5G76K59JP577</t>
  </si>
  <si>
    <t>GALKO</t>
  </si>
  <si>
    <t>ANITA</t>
  </si>
  <si>
    <t>1XF4JV0VR867</t>
  </si>
  <si>
    <t>GIBSON</t>
  </si>
  <si>
    <t>3NP4RC1XJ977</t>
  </si>
  <si>
    <t>GIESLER</t>
  </si>
  <si>
    <t>JOYCE</t>
  </si>
  <si>
    <t>5N78U28JA657</t>
  </si>
  <si>
    <t>GITTINGS</t>
  </si>
  <si>
    <t>DAVID</t>
  </si>
  <si>
    <t>8MU4KH5CT887</t>
  </si>
  <si>
    <t>3FX9EV4TH137</t>
  </si>
  <si>
    <t>GOETTLER</t>
  </si>
  <si>
    <t>TRACY</t>
  </si>
  <si>
    <t>4TV0AJ8KE907</t>
  </si>
  <si>
    <t>GOLDENBERG</t>
  </si>
  <si>
    <t>ABRAHAM</t>
  </si>
  <si>
    <t>3PA6VN1GH557</t>
  </si>
  <si>
    <t>GONZALEZ</t>
  </si>
  <si>
    <t>JESUS</t>
  </si>
  <si>
    <t>5PM1MA6MD297</t>
  </si>
  <si>
    <t>GREEN</t>
  </si>
  <si>
    <t>JAYNE</t>
  </si>
  <si>
    <t>5JK4WR7CX657</t>
  </si>
  <si>
    <t>STEPHEN</t>
  </si>
  <si>
    <t>4WM7PW3MA487</t>
  </si>
  <si>
    <t>GRIFFITH</t>
  </si>
  <si>
    <t>SARAH</t>
  </si>
  <si>
    <t>9XP1E86RF947</t>
  </si>
  <si>
    <t>GUZMAN</t>
  </si>
  <si>
    <t>ROSA</t>
  </si>
  <si>
    <t>1D22HJ0CH077</t>
  </si>
  <si>
    <t>HEARN</t>
  </si>
  <si>
    <t>RUSSELL</t>
  </si>
  <si>
    <t>5MP7WQ3AW377</t>
  </si>
  <si>
    <t>HEASLEY</t>
  </si>
  <si>
    <t>BILLIE</t>
  </si>
  <si>
    <t>2CF7H33XG607</t>
  </si>
  <si>
    <t>HENNINGER</t>
  </si>
  <si>
    <t>4X42HK8WF977</t>
  </si>
  <si>
    <t>HERRICK</t>
  </si>
  <si>
    <t>6N04CM4GF637</t>
  </si>
  <si>
    <t>TIMOTHY</t>
  </si>
  <si>
    <t>HILGAR</t>
  </si>
  <si>
    <t>MARK</t>
  </si>
  <si>
    <t>HINDMAN</t>
  </si>
  <si>
    <t>HOFFMAN</t>
  </si>
  <si>
    <t>ERNEST</t>
  </si>
  <si>
    <t>HORVWALT</t>
  </si>
  <si>
    <t>ROSEMARY</t>
  </si>
  <si>
    <t>HOWARD</t>
  </si>
  <si>
    <t>DARRELL</t>
  </si>
  <si>
    <t>HUF</t>
  </si>
  <si>
    <t>HUSTAK</t>
  </si>
  <si>
    <t>JACOB</t>
  </si>
  <si>
    <t>JACOBSEN</t>
  </si>
  <si>
    <t>PAUL</t>
  </si>
  <si>
    <t>KELLY</t>
  </si>
  <si>
    <t>KENDALL</t>
  </si>
  <si>
    <t>WENDY</t>
  </si>
  <si>
    <t>KERR</t>
  </si>
  <si>
    <t>KOLLER</t>
  </si>
  <si>
    <t>JEFFERY</t>
  </si>
  <si>
    <t>SUSAN</t>
  </si>
  <si>
    <t>KOREY</t>
  </si>
  <si>
    <t>KRAMER</t>
  </si>
  <si>
    <t>KROBOT</t>
  </si>
  <si>
    <t>KROM</t>
  </si>
  <si>
    <t>TODD</t>
  </si>
  <si>
    <t>CHRISTOPHER</t>
  </si>
  <si>
    <t>LENTZ</t>
  </si>
  <si>
    <t>PAMELA</t>
  </si>
  <si>
    <t>LEVIN</t>
  </si>
  <si>
    <t>CHARENE</t>
  </si>
  <si>
    <t>LINK</t>
  </si>
  <si>
    <t>LONG</t>
  </si>
  <si>
    <t>JEFFRY</t>
  </si>
  <si>
    <t>LUNN</t>
  </si>
  <si>
    <t>ELAINE</t>
  </si>
  <si>
    <t>LYDON</t>
  </si>
  <si>
    <t>MACAVAGE</t>
  </si>
  <si>
    <t>CHARLENE</t>
  </si>
  <si>
    <t>MARKLE</t>
  </si>
  <si>
    <t>DANIEL</t>
  </si>
  <si>
    <t>MARKSBERRY</t>
  </si>
  <si>
    <t>ELWOOD</t>
  </si>
  <si>
    <t>MARSHALL</t>
  </si>
  <si>
    <t>GLORIA</t>
  </si>
  <si>
    <t>MARTIN</t>
  </si>
  <si>
    <t>MATSON</t>
  </si>
  <si>
    <t>MAZAR</t>
  </si>
  <si>
    <t>BRUCE</t>
  </si>
  <si>
    <t>CHRISTINA</t>
  </si>
  <si>
    <t>MAZZA</t>
  </si>
  <si>
    <t>MAZZETTI</t>
  </si>
  <si>
    <t>LEA</t>
  </si>
  <si>
    <t>MCABEE</t>
  </si>
  <si>
    <t>COLLEEN</t>
  </si>
  <si>
    <t>MCDOWELL</t>
  </si>
  <si>
    <t>MCELRAVY</t>
  </si>
  <si>
    <t>KATHLEEN</t>
  </si>
  <si>
    <t>MCGAHEY</t>
  </si>
  <si>
    <t>KEVIN</t>
  </si>
  <si>
    <t>MCGOWAN</t>
  </si>
  <si>
    <t>CHERYL</t>
  </si>
  <si>
    <t>MCLELLAN</t>
  </si>
  <si>
    <t>JANET</t>
  </si>
  <si>
    <t>MESHENBERG</t>
  </si>
  <si>
    <t>RONALD</t>
  </si>
  <si>
    <t>MOTKO</t>
  </si>
  <si>
    <t>NEIL</t>
  </si>
  <si>
    <t>NEWMYER</t>
  </si>
  <si>
    <t>STEVE</t>
  </si>
  <si>
    <t>NEY</t>
  </si>
  <si>
    <t>NORRIS</t>
  </si>
  <si>
    <t>PARK</t>
  </si>
  <si>
    <t>PEARCE</t>
  </si>
  <si>
    <t>JUDY</t>
  </si>
  <si>
    <t>PEER</t>
  </si>
  <si>
    <t>MAURINE</t>
  </si>
  <si>
    <t>PETERSON</t>
  </si>
  <si>
    <t>POLITE</t>
  </si>
  <si>
    <t>RACKHAM</t>
  </si>
  <si>
    <t>GARY</t>
  </si>
  <si>
    <t>RAY</t>
  </si>
  <si>
    <t>FRANK</t>
  </si>
  <si>
    <t>REYNOLDS</t>
  </si>
  <si>
    <t>JUNE</t>
  </si>
  <si>
    <t>ROBISON</t>
  </si>
  <si>
    <t>SARA</t>
  </si>
  <si>
    <t>RODGERS</t>
  </si>
  <si>
    <t>MARCIA</t>
  </si>
  <si>
    <t>SADOWSKI</t>
  </si>
  <si>
    <t>SARGENT</t>
  </si>
  <si>
    <t>TALLI</t>
  </si>
  <si>
    <t>SAWYER</t>
  </si>
  <si>
    <t>SCHEERBAUM</t>
  </si>
  <si>
    <t>SCHNUR</t>
  </si>
  <si>
    <t>SCHUBERT</t>
  </si>
  <si>
    <t>GLENN</t>
  </si>
  <si>
    <t>SCHUMAN</t>
  </si>
  <si>
    <t>HELEN</t>
  </si>
  <si>
    <t>SEMES</t>
  </si>
  <si>
    <t>VICKI</t>
  </si>
  <si>
    <t>SKINNER</t>
  </si>
  <si>
    <t>SLANEY</t>
  </si>
  <si>
    <t>SMITH</t>
  </si>
  <si>
    <t>STANKO</t>
  </si>
  <si>
    <t>IRENE</t>
  </si>
  <si>
    <t>STEIGHNER</t>
  </si>
  <si>
    <t>SHIRLEY</t>
  </si>
  <si>
    <t>STEVENS</t>
  </si>
  <si>
    <t>STEWART</t>
  </si>
  <si>
    <t>KIM</t>
  </si>
  <si>
    <t>REGIS</t>
  </si>
  <si>
    <t>SUTY</t>
  </si>
  <si>
    <t>MARGARET</t>
  </si>
  <si>
    <t>TURK</t>
  </si>
  <si>
    <t>VLAHOS</t>
  </si>
  <si>
    <t>VRY</t>
  </si>
  <si>
    <t>PATRICIA</t>
  </si>
  <si>
    <t>WILLIAMS</t>
  </si>
  <si>
    <t>WOOD</t>
  </si>
  <si>
    <t>WOODWARD</t>
  </si>
  <si>
    <t>HEMA</t>
  </si>
  <si>
    <t>WROBLESKI</t>
  </si>
  <si>
    <t>ZEJER</t>
  </si>
  <si>
    <t>ZELENKO</t>
  </si>
  <si>
    <t>ZULICK</t>
  </si>
  <si>
    <t>BEAUSEIGNEUR</t>
  </si>
  <si>
    <t>DONALDSON</t>
  </si>
  <si>
    <t>CHARLES</t>
  </si>
  <si>
    <t>GATES</t>
  </si>
  <si>
    <t>H</t>
  </si>
  <si>
    <t>KENWORTHY</t>
  </si>
  <si>
    <t>GERARD</t>
  </si>
  <si>
    <t>LANCASTER</t>
  </si>
  <si>
    <t>LUIPERSBECK</t>
  </si>
  <si>
    <t>POOLE</t>
  </si>
  <si>
    <t>TERESA</t>
  </si>
  <si>
    <t>PRUITT</t>
  </si>
  <si>
    <t>JUANITA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</si>
</sst>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/>
    <xf numFmtId="14" fontId="2" fillId="0" borderId="0" xfId="0" applyNumberFormat="1" applyFont="1"/>
    <xf numFmtId="14" fontId="2" fillId="2" borderId="1" xfId="0" applyNumberFormat="1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E149" workbookViewId="0">
      <selection activeCell="M174" sqref="M174"/>
    </sheetView>
  </sheetViews>
  <sheetFormatPr defaultColWidth="11.25" defaultRowHeight="15" customHeight="1" x14ac:dyDescent="0.25"/>
  <cols>
    <col min="1" max="1" width="25.75" customWidth="1"/>
    <col min="2" max="2" width="15.5" customWidth="1"/>
    <col min="3" max="3" width="15.375" customWidth="1"/>
    <col min="4" max="4" width="15.875" customWidth="1"/>
    <col min="5" max="5" width="32.125" customWidth="1"/>
    <col min="6" max="6" width="9.375" customWidth="1"/>
    <col min="7" max="7" width="7.5" customWidth="1"/>
    <col min="8" max="8" width="7.125" customWidth="1"/>
    <col min="9" max="9" width="7.375" customWidth="1"/>
    <col min="10" max="10" width="3.375" customWidth="1"/>
    <col min="11" max="11" width="2.125" customWidth="1"/>
    <col min="12" max="12" width="14.125" customWidth="1"/>
    <col min="13" max="13" width="12.125" customWidth="1"/>
    <col min="14" max="14" width="10.125" customWidth="1"/>
    <col min="15" max="15" width="12.125" customWidth="1"/>
    <col min="16" max="16" width="11.75" customWidth="1"/>
    <col min="17" max="17" width="20.75" customWidth="1"/>
    <col min="18" max="18" width="7.875" customWidth="1"/>
    <col min="19" max="19" width="10.375" customWidth="1"/>
    <col min="20" max="20" width="13.875" customWidth="1"/>
    <col min="21" max="21" width="12.5" customWidth="1"/>
    <col min="22" max="22" width="8.625" customWidth="1"/>
    <col min="23" max="23" width="12.625" customWidth="1"/>
    <col min="24" max="24" width="8.875" customWidth="1"/>
    <col min="25" max="26" width="8" customWidth="1"/>
  </cols>
  <sheetData>
    <row r="1" spans="1:2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25">
      <c r="A2" s="3">
        <v>45615</v>
      </c>
      <c r="B2" s="1" t="s">
        <v>24</v>
      </c>
      <c r="C2" s="2">
        <v>102086309300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L2" s="3">
        <v>45627</v>
      </c>
      <c r="M2" s="3">
        <v>45627</v>
      </c>
      <c r="O2" s="1">
        <v>19396223</v>
      </c>
      <c r="P2" s="1" t="s">
        <v>31</v>
      </c>
      <c r="Q2" s="1" t="s">
        <v>32</v>
      </c>
      <c r="R2" s="1">
        <v>8192</v>
      </c>
      <c r="S2" s="1" t="s">
        <v>33</v>
      </c>
      <c r="T2" s="1" t="s">
        <v>34</v>
      </c>
      <c r="U2" s="1">
        <v>35.92</v>
      </c>
      <c r="V2" s="1" t="s">
        <v>35</v>
      </c>
      <c r="W2" s="3">
        <v>45601</v>
      </c>
      <c r="X2" s="1">
        <v>2024</v>
      </c>
    </row>
    <row r="3" spans="1:24" ht="15.75" customHeight="1" x14ac:dyDescent="0.25">
      <c r="A3" s="3">
        <v>45615</v>
      </c>
      <c r="B3" s="1" t="s">
        <v>36</v>
      </c>
      <c r="C3" s="2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J3" s="1" t="s">
        <v>42</v>
      </c>
      <c r="L3" s="3">
        <v>45597</v>
      </c>
      <c r="M3" s="3">
        <v>45108</v>
      </c>
      <c r="N3" s="3">
        <v>45657</v>
      </c>
      <c r="O3" s="1">
        <v>19562245</v>
      </c>
      <c r="P3" s="1" t="s">
        <v>31</v>
      </c>
      <c r="Q3" s="1" t="s">
        <v>43</v>
      </c>
      <c r="R3" s="1">
        <v>8192</v>
      </c>
      <c r="S3" s="1" t="s">
        <v>44</v>
      </c>
      <c r="T3" s="1" t="s">
        <v>34</v>
      </c>
      <c r="U3" s="1">
        <v>4</v>
      </c>
      <c r="V3" s="1" t="s">
        <v>35</v>
      </c>
      <c r="W3" s="3">
        <v>45069</v>
      </c>
      <c r="X3" s="1">
        <v>2024</v>
      </c>
    </row>
    <row r="4" spans="1:24" ht="15.75" customHeight="1" x14ac:dyDescent="0.25">
      <c r="A4" s="3">
        <v>45615</v>
      </c>
      <c r="B4" s="1" t="s">
        <v>45</v>
      </c>
      <c r="C4" s="2">
        <v>101739179000</v>
      </c>
      <c r="E4" s="1" t="s">
        <v>46</v>
      </c>
      <c r="F4" s="1" t="s">
        <v>39</v>
      </c>
      <c r="G4" s="1" t="s">
        <v>40</v>
      </c>
      <c r="H4" s="1" t="s">
        <v>28</v>
      </c>
      <c r="I4" s="1" t="s">
        <v>47</v>
      </c>
      <c r="J4" s="1" t="s">
        <v>48</v>
      </c>
      <c r="L4" s="3">
        <v>45597</v>
      </c>
      <c r="M4" s="3">
        <v>45108</v>
      </c>
      <c r="O4" s="1">
        <v>19562245</v>
      </c>
      <c r="P4" s="1" t="s">
        <v>31</v>
      </c>
      <c r="Q4" s="1" t="s">
        <v>43</v>
      </c>
      <c r="R4" s="1">
        <v>8192</v>
      </c>
      <c r="S4" s="1" t="s">
        <v>44</v>
      </c>
      <c r="T4" s="1" t="s">
        <v>34</v>
      </c>
      <c r="U4" s="1">
        <v>31.25</v>
      </c>
      <c r="V4" s="1" t="s">
        <v>35</v>
      </c>
      <c r="W4" s="3">
        <v>45097</v>
      </c>
      <c r="X4" s="1">
        <v>2024</v>
      </c>
    </row>
    <row r="5" spans="1:24" ht="15.75" customHeight="1" x14ac:dyDescent="0.25">
      <c r="A5" s="3">
        <v>45615</v>
      </c>
      <c r="B5" s="1" t="s">
        <v>49</v>
      </c>
      <c r="C5" s="2">
        <v>101723446300</v>
      </c>
      <c r="E5" s="1" t="s">
        <v>50</v>
      </c>
      <c r="F5" s="1" t="s">
        <v>39</v>
      </c>
      <c r="G5" s="1" t="s">
        <v>40</v>
      </c>
      <c r="H5" s="1" t="s">
        <v>28</v>
      </c>
      <c r="I5" s="1" t="s">
        <v>47</v>
      </c>
      <c r="J5" s="1" t="s">
        <v>51</v>
      </c>
      <c r="L5" s="3">
        <v>45597</v>
      </c>
      <c r="M5" s="3">
        <v>45078</v>
      </c>
      <c r="O5" s="1">
        <v>19562245</v>
      </c>
      <c r="P5" s="1" t="s">
        <v>31</v>
      </c>
      <c r="Q5" s="1" t="s">
        <v>43</v>
      </c>
      <c r="R5" s="1">
        <v>8192</v>
      </c>
      <c r="S5" s="1" t="s">
        <v>44</v>
      </c>
      <c r="T5" s="1" t="s">
        <v>34</v>
      </c>
      <c r="U5" s="1">
        <v>31.25</v>
      </c>
      <c r="V5" s="1" t="s">
        <v>35</v>
      </c>
      <c r="W5" s="3">
        <v>45048</v>
      </c>
      <c r="X5" s="1">
        <v>2024</v>
      </c>
    </row>
    <row r="6" spans="1:24" ht="15.75" customHeight="1" x14ac:dyDescent="0.25">
      <c r="A6" s="3">
        <v>45615</v>
      </c>
      <c r="B6" s="1" t="s">
        <v>52</v>
      </c>
      <c r="C6" s="2">
        <v>101722164300</v>
      </c>
      <c r="E6" s="1" t="s">
        <v>53</v>
      </c>
      <c r="F6" s="1" t="s">
        <v>39</v>
      </c>
      <c r="G6" s="1" t="s">
        <v>40</v>
      </c>
      <c r="H6" s="1" t="s">
        <v>28</v>
      </c>
      <c r="I6" s="1" t="s">
        <v>47</v>
      </c>
      <c r="J6" s="1" t="s">
        <v>54</v>
      </c>
      <c r="L6" s="3">
        <v>45597</v>
      </c>
      <c r="M6" s="3">
        <v>45047</v>
      </c>
      <c r="O6" s="1">
        <v>19562245</v>
      </c>
      <c r="P6" s="1" t="s">
        <v>31</v>
      </c>
      <c r="Q6" s="1" t="s">
        <v>43</v>
      </c>
      <c r="R6" s="1">
        <v>8192</v>
      </c>
      <c r="S6" s="1" t="s">
        <v>44</v>
      </c>
      <c r="T6" s="1" t="s">
        <v>34</v>
      </c>
      <c r="U6" s="1">
        <v>31.25</v>
      </c>
      <c r="V6" s="1" t="s">
        <v>35</v>
      </c>
      <c r="W6" s="3">
        <v>45044</v>
      </c>
      <c r="X6" s="1">
        <v>2024</v>
      </c>
    </row>
    <row r="7" spans="1:24" ht="15.75" customHeight="1" x14ac:dyDescent="0.25">
      <c r="A7" s="3">
        <v>45615</v>
      </c>
      <c r="B7" s="1" t="s">
        <v>55</v>
      </c>
      <c r="C7" s="2">
        <v>101773527500</v>
      </c>
      <c r="E7" s="1" t="s">
        <v>56</v>
      </c>
      <c r="F7" s="1" t="s">
        <v>57</v>
      </c>
      <c r="G7" s="1" t="s">
        <v>40</v>
      </c>
      <c r="H7" s="1" t="s">
        <v>28</v>
      </c>
      <c r="I7" s="1" t="s">
        <v>47</v>
      </c>
      <c r="J7" s="1" t="s">
        <v>58</v>
      </c>
      <c r="L7" s="3">
        <v>45597</v>
      </c>
      <c r="M7" s="3">
        <v>45200</v>
      </c>
      <c r="O7" s="1">
        <v>16378851</v>
      </c>
      <c r="P7" s="1" t="s">
        <v>31</v>
      </c>
      <c r="Q7" s="1" t="s">
        <v>59</v>
      </c>
      <c r="R7" s="1">
        <v>8192</v>
      </c>
      <c r="S7" s="1" t="s">
        <v>44</v>
      </c>
      <c r="T7" s="1" t="s">
        <v>34</v>
      </c>
      <c r="U7" s="1">
        <v>28</v>
      </c>
      <c r="V7" s="1" t="s">
        <v>35</v>
      </c>
      <c r="W7" s="3">
        <v>45195</v>
      </c>
      <c r="X7" s="1">
        <v>2024</v>
      </c>
    </row>
    <row r="8" spans="1:24" ht="15.75" customHeight="1" x14ac:dyDescent="0.25">
      <c r="A8" s="3">
        <v>45615</v>
      </c>
      <c r="B8" s="1" t="s">
        <v>60</v>
      </c>
      <c r="C8" s="2">
        <v>101787545700</v>
      </c>
      <c r="E8" s="1" t="s">
        <v>61</v>
      </c>
      <c r="F8" s="1" t="s">
        <v>39</v>
      </c>
      <c r="G8" s="1" t="s">
        <v>40</v>
      </c>
      <c r="H8" s="1" t="s">
        <v>28</v>
      </c>
      <c r="I8" s="1" t="s">
        <v>47</v>
      </c>
      <c r="J8" s="1" t="s">
        <v>62</v>
      </c>
      <c r="L8" s="3">
        <v>45597</v>
      </c>
      <c r="M8" s="3">
        <v>45231</v>
      </c>
      <c r="O8" s="1">
        <v>19861194</v>
      </c>
      <c r="P8" s="1" t="s">
        <v>63</v>
      </c>
      <c r="Q8" s="1" t="s">
        <v>64</v>
      </c>
      <c r="R8" s="1">
        <v>8192</v>
      </c>
      <c r="S8" s="1" t="s">
        <v>44</v>
      </c>
      <c r="T8" s="1" t="s">
        <v>34</v>
      </c>
      <c r="U8" s="1">
        <v>2.5</v>
      </c>
      <c r="V8" s="1" t="s">
        <v>35</v>
      </c>
      <c r="W8" s="3">
        <v>45217</v>
      </c>
      <c r="X8" s="1">
        <v>2024</v>
      </c>
    </row>
    <row r="9" spans="1:24" ht="15.75" customHeight="1" x14ac:dyDescent="0.25">
      <c r="A9" s="3">
        <v>45615</v>
      </c>
      <c r="B9" s="1" t="s">
        <v>65</v>
      </c>
      <c r="C9" s="2">
        <v>101219443100</v>
      </c>
      <c r="E9" s="1" t="s">
        <v>66</v>
      </c>
      <c r="F9" s="1" t="s">
        <v>67</v>
      </c>
      <c r="G9" s="1" t="s">
        <v>40</v>
      </c>
      <c r="H9" s="1" t="s">
        <v>28</v>
      </c>
      <c r="I9" s="1" t="s">
        <v>68</v>
      </c>
      <c r="J9" s="1" t="s">
        <v>69</v>
      </c>
      <c r="L9" s="3">
        <v>45597</v>
      </c>
      <c r="M9" s="3">
        <v>44927</v>
      </c>
      <c r="N9" s="3">
        <v>45657</v>
      </c>
      <c r="O9" s="1">
        <v>17425766</v>
      </c>
      <c r="P9" s="1" t="s">
        <v>31</v>
      </c>
      <c r="Q9" s="1" t="s">
        <v>70</v>
      </c>
      <c r="R9" s="1">
        <v>8192</v>
      </c>
      <c r="S9" s="1" t="s">
        <v>33</v>
      </c>
      <c r="T9" s="1" t="s">
        <v>34</v>
      </c>
      <c r="U9" s="1">
        <v>35.92</v>
      </c>
      <c r="V9" s="1" t="s">
        <v>35</v>
      </c>
      <c r="W9" s="3">
        <v>45566</v>
      </c>
      <c r="X9" s="1">
        <v>2024</v>
      </c>
    </row>
    <row r="10" spans="1:24" ht="15.75" customHeight="1" x14ac:dyDescent="0.25">
      <c r="A10" s="3">
        <v>45615</v>
      </c>
      <c r="B10" s="1" t="s">
        <v>71</v>
      </c>
      <c r="C10" s="2">
        <v>101628690500</v>
      </c>
      <c r="E10" s="1" t="s">
        <v>72</v>
      </c>
      <c r="F10" s="1" t="s">
        <v>67</v>
      </c>
      <c r="G10" s="1" t="s">
        <v>40</v>
      </c>
      <c r="H10" s="1" t="s">
        <v>28</v>
      </c>
      <c r="I10" s="1" t="s">
        <v>68</v>
      </c>
      <c r="J10" s="1" t="s">
        <v>69</v>
      </c>
      <c r="L10" s="3">
        <v>45597</v>
      </c>
      <c r="M10" s="3">
        <v>44927</v>
      </c>
      <c r="N10" s="3">
        <v>45657</v>
      </c>
      <c r="O10" s="1">
        <v>17425766</v>
      </c>
      <c r="P10" s="1" t="s">
        <v>31</v>
      </c>
      <c r="Q10" s="1" t="s">
        <v>70</v>
      </c>
      <c r="R10" s="1">
        <v>8192</v>
      </c>
      <c r="S10" s="1" t="s">
        <v>33</v>
      </c>
      <c r="T10" s="1" t="s">
        <v>34</v>
      </c>
      <c r="U10" s="1">
        <v>35.92</v>
      </c>
      <c r="V10" s="1" t="s">
        <v>35</v>
      </c>
      <c r="W10" s="3">
        <v>45566</v>
      </c>
      <c r="X10" s="1">
        <v>2024</v>
      </c>
    </row>
    <row r="11" spans="1:24" ht="15.75" customHeight="1" x14ac:dyDescent="0.25">
      <c r="A11" s="3">
        <v>45615</v>
      </c>
      <c r="B11" s="1" t="s">
        <v>73</v>
      </c>
      <c r="C11" s="2">
        <v>101748777600</v>
      </c>
      <c r="E11" s="1" t="s">
        <v>74</v>
      </c>
      <c r="F11" s="1" t="s">
        <v>75</v>
      </c>
      <c r="G11" s="1" t="s">
        <v>40</v>
      </c>
      <c r="H11" s="1" t="s">
        <v>28</v>
      </c>
      <c r="I11" s="1" t="s">
        <v>47</v>
      </c>
      <c r="J11" s="1" t="s">
        <v>76</v>
      </c>
      <c r="L11" s="3">
        <v>45597</v>
      </c>
      <c r="M11" s="3">
        <v>45139</v>
      </c>
      <c r="O11" s="1">
        <v>17425766</v>
      </c>
      <c r="P11" s="1" t="s">
        <v>31</v>
      </c>
      <c r="Q11" s="1" t="s">
        <v>70</v>
      </c>
      <c r="R11" s="1">
        <v>8192</v>
      </c>
      <c r="S11" s="1" t="s">
        <v>44</v>
      </c>
      <c r="T11" s="1" t="s">
        <v>34</v>
      </c>
      <c r="U11" s="1">
        <v>28</v>
      </c>
      <c r="V11" s="1" t="s">
        <v>35</v>
      </c>
      <c r="W11" s="3">
        <v>45126</v>
      </c>
      <c r="X11" s="1">
        <v>2024</v>
      </c>
    </row>
    <row r="12" spans="1:24" ht="15.75" customHeight="1" x14ac:dyDescent="0.25">
      <c r="A12" s="3">
        <v>45615</v>
      </c>
      <c r="B12" s="1" t="s">
        <v>77</v>
      </c>
      <c r="C12" s="2" t="s">
        <v>78</v>
      </c>
      <c r="E12" s="1" t="s">
        <v>79</v>
      </c>
      <c r="F12" s="1" t="s">
        <v>80</v>
      </c>
      <c r="G12" s="1" t="s">
        <v>40</v>
      </c>
      <c r="H12" s="1" t="s">
        <v>41</v>
      </c>
      <c r="J12" s="1" t="s">
        <v>81</v>
      </c>
      <c r="L12" s="3">
        <v>45597</v>
      </c>
      <c r="M12" s="3">
        <v>45200</v>
      </c>
      <c r="N12" s="3">
        <v>45657</v>
      </c>
      <c r="O12" s="1">
        <v>17425766</v>
      </c>
      <c r="P12" s="1" t="s">
        <v>31</v>
      </c>
      <c r="Q12" s="1" t="s">
        <v>70</v>
      </c>
      <c r="R12" s="1">
        <v>8192</v>
      </c>
      <c r="S12" s="1" t="s">
        <v>44</v>
      </c>
      <c r="T12" s="1" t="s">
        <v>34</v>
      </c>
      <c r="U12" s="1">
        <v>4</v>
      </c>
      <c r="V12" s="1" t="s">
        <v>35</v>
      </c>
      <c r="W12" s="3">
        <v>45194</v>
      </c>
      <c r="X12" s="1">
        <v>2024</v>
      </c>
    </row>
    <row r="13" spans="1:24" ht="15.75" customHeight="1" x14ac:dyDescent="0.25">
      <c r="A13" s="3">
        <v>45615</v>
      </c>
      <c r="B13" s="1" t="s">
        <v>82</v>
      </c>
      <c r="C13" s="2">
        <v>101842382600</v>
      </c>
      <c r="E13" s="1" t="s">
        <v>83</v>
      </c>
      <c r="F13" s="1" t="s">
        <v>39</v>
      </c>
      <c r="G13" s="1" t="s">
        <v>40</v>
      </c>
      <c r="H13" s="1" t="s">
        <v>28</v>
      </c>
      <c r="I13" s="1" t="s">
        <v>47</v>
      </c>
      <c r="J13" s="1" t="s">
        <v>84</v>
      </c>
      <c r="L13" s="3">
        <v>45597</v>
      </c>
      <c r="M13" s="3">
        <v>45261</v>
      </c>
      <c r="O13" s="1">
        <v>17425766</v>
      </c>
      <c r="P13" s="1" t="s">
        <v>31</v>
      </c>
      <c r="Q13" s="1" t="s">
        <v>70</v>
      </c>
      <c r="R13" s="1">
        <v>8192</v>
      </c>
      <c r="S13" s="1" t="s">
        <v>44</v>
      </c>
      <c r="T13" s="1" t="s">
        <v>34</v>
      </c>
      <c r="U13" s="1">
        <v>31.25</v>
      </c>
      <c r="V13" s="1" t="s">
        <v>35</v>
      </c>
      <c r="W13" s="3">
        <v>45256</v>
      </c>
      <c r="X13" s="1">
        <v>2024</v>
      </c>
    </row>
    <row r="14" spans="1:24" ht="15.75" customHeight="1" x14ac:dyDescent="0.25">
      <c r="A14" s="3">
        <v>45615</v>
      </c>
      <c r="B14" s="1" t="s">
        <v>85</v>
      </c>
      <c r="C14" s="2">
        <v>101761975200</v>
      </c>
      <c r="E14" s="1" t="s">
        <v>86</v>
      </c>
      <c r="F14" s="1" t="s">
        <v>39</v>
      </c>
      <c r="G14" s="1" t="s">
        <v>40</v>
      </c>
      <c r="H14" s="1" t="s">
        <v>28</v>
      </c>
      <c r="I14" s="1" t="s">
        <v>47</v>
      </c>
      <c r="J14" s="1" t="s">
        <v>87</v>
      </c>
      <c r="L14" s="3">
        <v>45597</v>
      </c>
      <c r="M14" s="3">
        <v>45170</v>
      </c>
      <c r="O14" s="1">
        <v>14936854</v>
      </c>
      <c r="P14" s="1" t="s">
        <v>63</v>
      </c>
      <c r="Q14" s="1" t="s">
        <v>88</v>
      </c>
      <c r="R14" s="1">
        <v>8192</v>
      </c>
      <c r="S14" s="1" t="s">
        <v>44</v>
      </c>
      <c r="T14" s="1" t="s">
        <v>34</v>
      </c>
      <c r="U14" s="1">
        <v>2.5</v>
      </c>
      <c r="V14" s="1" t="s">
        <v>35</v>
      </c>
      <c r="W14" s="3">
        <v>45160</v>
      </c>
      <c r="X14" s="1">
        <v>2024</v>
      </c>
    </row>
    <row r="15" spans="1:24" ht="15.75" customHeight="1" x14ac:dyDescent="0.25">
      <c r="A15" s="3">
        <v>45615</v>
      </c>
      <c r="B15" s="1" t="s">
        <v>89</v>
      </c>
      <c r="C15" s="2">
        <v>101758725100</v>
      </c>
      <c r="E15" s="1" t="s">
        <v>90</v>
      </c>
      <c r="F15" s="1" t="s">
        <v>39</v>
      </c>
      <c r="G15" s="1" t="s">
        <v>40</v>
      </c>
      <c r="H15" s="1" t="s">
        <v>28</v>
      </c>
      <c r="I15" s="1" t="s">
        <v>47</v>
      </c>
      <c r="J15" s="1" t="s">
        <v>87</v>
      </c>
      <c r="L15" s="3">
        <v>45597</v>
      </c>
      <c r="M15" s="3">
        <v>45170</v>
      </c>
      <c r="O15" s="1">
        <v>14936854</v>
      </c>
      <c r="P15" s="1" t="s">
        <v>63</v>
      </c>
      <c r="Q15" s="1" t="s">
        <v>88</v>
      </c>
      <c r="R15" s="1">
        <v>8192</v>
      </c>
      <c r="S15" s="1" t="s">
        <v>44</v>
      </c>
      <c r="T15" s="1" t="s">
        <v>34</v>
      </c>
      <c r="U15" s="1">
        <v>2.5</v>
      </c>
      <c r="V15" s="1" t="s">
        <v>35</v>
      </c>
      <c r="W15" s="3">
        <v>45152</v>
      </c>
      <c r="X15" s="1">
        <v>2024</v>
      </c>
    </row>
    <row r="16" spans="1:24" ht="15.75" customHeight="1" x14ac:dyDescent="0.25">
      <c r="A16" s="3">
        <v>45615</v>
      </c>
      <c r="B16" s="1" t="s">
        <v>91</v>
      </c>
      <c r="C16" s="2">
        <v>102085672600</v>
      </c>
      <c r="E16" s="1" t="s">
        <v>92</v>
      </c>
      <c r="F16" s="1" t="s">
        <v>93</v>
      </c>
      <c r="G16" s="1" t="s">
        <v>27</v>
      </c>
      <c r="H16" s="1" t="s">
        <v>28</v>
      </c>
      <c r="I16" s="1" t="s">
        <v>29</v>
      </c>
      <c r="J16" s="1" t="s">
        <v>94</v>
      </c>
      <c r="L16" s="3">
        <v>45627</v>
      </c>
      <c r="M16" s="3">
        <v>45627</v>
      </c>
      <c r="O16" s="1">
        <v>18581063</v>
      </c>
      <c r="P16" s="1" t="s">
        <v>31</v>
      </c>
      <c r="Q16" s="1" t="s">
        <v>95</v>
      </c>
      <c r="R16" s="1">
        <v>8192</v>
      </c>
      <c r="S16" s="1" t="s">
        <v>33</v>
      </c>
      <c r="T16" s="1" t="s">
        <v>34</v>
      </c>
      <c r="U16" s="1">
        <v>35.92</v>
      </c>
      <c r="V16" s="1" t="s">
        <v>35</v>
      </c>
      <c r="W16" s="3">
        <v>45600</v>
      </c>
      <c r="X16" s="1">
        <v>2024</v>
      </c>
    </row>
    <row r="17" spans="1:24" ht="15.75" customHeight="1" x14ac:dyDescent="0.25">
      <c r="A17" s="3">
        <v>45615</v>
      </c>
      <c r="B17" s="1" t="s">
        <v>96</v>
      </c>
      <c r="C17" s="2" t="s">
        <v>97</v>
      </c>
      <c r="E17" s="1" t="s">
        <v>98</v>
      </c>
      <c r="F17" s="1" t="s">
        <v>39</v>
      </c>
      <c r="G17" s="1" t="s">
        <v>40</v>
      </c>
      <c r="H17" s="1" t="s">
        <v>41</v>
      </c>
      <c r="J17" s="1" t="s">
        <v>42</v>
      </c>
      <c r="L17" s="3">
        <v>45597</v>
      </c>
      <c r="M17" s="3">
        <v>45108</v>
      </c>
      <c r="N17" s="3">
        <v>45657</v>
      </c>
      <c r="O17" s="1">
        <v>15278437</v>
      </c>
      <c r="P17" s="1" t="s">
        <v>31</v>
      </c>
      <c r="Q17" s="1" t="s">
        <v>99</v>
      </c>
      <c r="R17" s="1">
        <v>8192</v>
      </c>
      <c r="S17" s="1" t="s">
        <v>44</v>
      </c>
      <c r="T17" s="1" t="s">
        <v>34</v>
      </c>
      <c r="U17" s="1">
        <v>4</v>
      </c>
      <c r="V17" s="1" t="s">
        <v>35</v>
      </c>
      <c r="W17" s="3">
        <v>45089</v>
      </c>
      <c r="X17" s="1">
        <v>2024</v>
      </c>
    </row>
    <row r="18" spans="1:24" ht="15.75" customHeight="1" x14ac:dyDescent="0.25">
      <c r="A18" s="3">
        <v>45615</v>
      </c>
      <c r="B18" s="1" t="s">
        <v>100</v>
      </c>
      <c r="C18" s="2">
        <v>101691144200</v>
      </c>
      <c r="E18" s="1" t="s">
        <v>101</v>
      </c>
      <c r="F18" s="1" t="s">
        <v>102</v>
      </c>
      <c r="G18" s="1" t="s">
        <v>40</v>
      </c>
      <c r="H18" s="1" t="s">
        <v>28</v>
      </c>
      <c r="I18" s="1" t="s">
        <v>29</v>
      </c>
      <c r="J18" s="1" t="s">
        <v>103</v>
      </c>
      <c r="L18" s="3">
        <v>45597</v>
      </c>
      <c r="M18" s="3">
        <v>44958</v>
      </c>
      <c r="O18" s="1">
        <v>15278437</v>
      </c>
      <c r="P18" s="1" t="s">
        <v>31</v>
      </c>
      <c r="Q18" s="1" t="s">
        <v>99</v>
      </c>
      <c r="R18" s="1">
        <v>8192</v>
      </c>
      <c r="S18" s="1" t="s">
        <v>44</v>
      </c>
      <c r="T18" s="1" t="s">
        <v>34</v>
      </c>
      <c r="U18" s="1">
        <v>28</v>
      </c>
      <c r="V18" s="1" t="s">
        <v>35</v>
      </c>
      <c r="W18" s="3">
        <v>44953</v>
      </c>
      <c r="X18" s="1">
        <v>2024</v>
      </c>
    </row>
    <row r="19" spans="1:24" ht="15.75" customHeight="1" x14ac:dyDescent="0.25">
      <c r="A19" s="3">
        <v>45615</v>
      </c>
      <c r="B19" s="1" t="s">
        <v>104</v>
      </c>
      <c r="C19" s="2" t="s">
        <v>105</v>
      </c>
      <c r="E19" s="1" t="s">
        <v>106</v>
      </c>
      <c r="F19" s="1" t="s">
        <v>107</v>
      </c>
      <c r="G19" s="1" t="s">
        <v>40</v>
      </c>
      <c r="H19" s="1" t="s">
        <v>41</v>
      </c>
      <c r="J19" s="1" t="s">
        <v>108</v>
      </c>
      <c r="L19" s="3">
        <v>45597</v>
      </c>
      <c r="M19" s="3">
        <v>45261</v>
      </c>
      <c r="O19" s="1">
        <v>15278437</v>
      </c>
      <c r="P19" s="1" t="s">
        <v>31</v>
      </c>
      <c r="Q19" s="1" t="s">
        <v>99</v>
      </c>
      <c r="R19" s="1">
        <v>8192</v>
      </c>
      <c r="S19" s="1" t="s">
        <v>44</v>
      </c>
      <c r="T19" s="1" t="s">
        <v>34</v>
      </c>
      <c r="U19" s="1">
        <v>3.92</v>
      </c>
      <c r="V19" s="1" t="s">
        <v>35</v>
      </c>
      <c r="W19" s="3">
        <v>45247</v>
      </c>
      <c r="X19" s="1">
        <v>2024</v>
      </c>
    </row>
    <row r="20" spans="1:24" ht="15.75" customHeight="1" x14ac:dyDescent="0.25">
      <c r="A20" s="3">
        <v>45615</v>
      </c>
      <c r="B20" s="1" t="s">
        <v>109</v>
      </c>
      <c r="C20" s="2">
        <v>101821730700</v>
      </c>
      <c r="E20" s="1" t="s">
        <v>110</v>
      </c>
      <c r="F20" s="1" t="s">
        <v>39</v>
      </c>
      <c r="G20" s="1" t="s">
        <v>40</v>
      </c>
      <c r="H20" s="1" t="s">
        <v>28</v>
      </c>
      <c r="I20" s="1" t="s">
        <v>47</v>
      </c>
      <c r="J20" s="1" t="s">
        <v>111</v>
      </c>
      <c r="L20" s="3">
        <v>45597</v>
      </c>
      <c r="M20" s="3">
        <v>45261</v>
      </c>
      <c r="O20" s="1">
        <v>17528908</v>
      </c>
      <c r="P20" s="1" t="s">
        <v>31</v>
      </c>
      <c r="Q20" s="1" t="s">
        <v>112</v>
      </c>
      <c r="R20" s="1">
        <v>8192</v>
      </c>
      <c r="S20" s="1" t="s">
        <v>44</v>
      </c>
      <c r="T20" s="1" t="s">
        <v>34</v>
      </c>
      <c r="U20" s="1">
        <v>31.25</v>
      </c>
      <c r="V20" s="1" t="s">
        <v>35</v>
      </c>
      <c r="W20" s="3">
        <v>45239</v>
      </c>
      <c r="X20" s="1">
        <v>2024</v>
      </c>
    </row>
    <row r="21" spans="1:24" ht="15.75" customHeight="1" x14ac:dyDescent="0.25">
      <c r="A21" s="3">
        <v>45615</v>
      </c>
      <c r="B21" s="1" t="s">
        <v>113</v>
      </c>
      <c r="C21" s="2">
        <v>101746906900</v>
      </c>
      <c r="E21" s="1" t="s">
        <v>114</v>
      </c>
      <c r="F21" s="1" t="s">
        <v>39</v>
      </c>
      <c r="G21" s="1" t="s">
        <v>40</v>
      </c>
      <c r="H21" s="1" t="s">
        <v>28</v>
      </c>
      <c r="I21" s="1" t="s">
        <v>47</v>
      </c>
      <c r="J21" s="1" t="s">
        <v>51</v>
      </c>
      <c r="L21" s="3">
        <v>45597</v>
      </c>
      <c r="M21" s="3">
        <v>45139</v>
      </c>
      <c r="O21" s="1">
        <v>17528908</v>
      </c>
      <c r="P21" s="1" t="s">
        <v>31</v>
      </c>
      <c r="Q21" s="1" t="s">
        <v>112</v>
      </c>
      <c r="R21" s="1">
        <v>8192</v>
      </c>
      <c r="S21" s="1" t="s">
        <v>44</v>
      </c>
      <c r="T21" s="1" t="s">
        <v>34</v>
      </c>
      <c r="U21" s="1">
        <v>31.25</v>
      </c>
      <c r="V21" s="1" t="s">
        <v>35</v>
      </c>
      <c r="W21" s="3">
        <v>45120</v>
      </c>
      <c r="X21" s="1">
        <v>2024</v>
      </c>
    </row>
    <row r="22" spans="1:24" ht="15.75" customHeight="1" x14ac:dyDescent="0.25">
      <c r="A22" s="3">
        <v>45615</v>
      </c>
      <c r="B22" s="1" t="s">
        <v>115</v>
      </c>
      <c r="C22" s="2">
        <v>101793148400</v>
      </c>
      <c r="E22" s="1" t="s">
        <v>116</v>
      </c>
      <c r="F22" s="1" t="s">
        <v>39</v>
      </c>
      <c r="G22" s="1" t="s">
        <v>40</v>
      </c>
      <c r="H22" s="1" t="s">
        <v>28</v>
      </c>
      <c r="I22" s="1" t="s">
        <v>47</v>
      </c>
      <c r="J22" s="1" t="s">
        <v>51</v>
      </c>
      <c r="L22" s="3">
        <v>45597</v>
      </c>
      <c r="M22" s="3">
        <v>45261</v>
      </c>
      <c r="N22" s="3">
        <v>45657</v>
      </c>
      <c r="O22" s="1">
        <v>17528908</v>
      </c>
      <c r="P22" s="1" t="s">
        <v>31</v>
      </c>
      <c r="Q22" s="1" t="s">
        <v>112</v>
      </c>
      <c r="R22" s="1">
        <v>8192</v>
      </c>
      <c r="S22" s="1" t="s">
        <v>44</v>
      </c>
      <c r="T22" s="1" t="s">
        <v>34</v>
      </c>
      <c r="U22" s="1">
        <v>31.25</v>
      </c>
      <c r="V22" s="1" t="s">
        <v>35</v>
      </c>
      <c r="W22" s="3">
        <v>45224</v>
      </c>
      <c r="X22" s="1">
        <v>2024</v>
      </c>
    </row>
    <row r="23" spans="1:24" ht="15.75" customHeight="1" x14ac:dyDescent="0.25">
      <c r="A23" s="3">
        <v>45615</v>
      </c>
      <c r="B23" s="1" t="s">
        <v>117</v>
      </c>
      <c r="C23" s="2">
        <v>101746932000</v>
      </c>
      <c r="E23" s="1" t="s">
        <v>118</v>
      </c>
      <c r="F23" s="1" t="s">
        <v>39</v>
      </c>
      <c r="G23" s="1" t="s">
        <v>40</v>
      </c>
      <c r="H23" s="1" t="s">
        <v>28</v>
      </c>
      <c r="I23" s="1" t="s">
        <v>47</v>
      </c>
      <c r="J23" s="1" t="s">
        <v>51</v>
      </c>
      <c r="L23" s="3">
        <v>45597</v>
      </c>
      <c r="M23" s="3">
        <v>45139</v>
      </c>
      <c r="O23" s="1">
        <v>17528908</v>
      </c>
      <c r="P23" s="1" t="s">
        <v>31</v>
      </c>
      <c r="Q23" s="1" t="s">
        <v>112</v>
      </c>
      <c r="R23" s="1">
        <v>8192</v>
      </c>
      <c r="S23" s="1" t="s">
        <v>44</v>
      </c>
      <c r="T23" s="1" t="s">
        <v>34</v>
      </c>
      <c r="U23" s="1">
        <v>31.25</v>
      </c>
      <c r="V23" s="1" t="s">
        <v>35</v>
      </c>
      <c r="W23" s="3">
        <v>45120</v>
      </c>
      <c r="X23" s="1">
        <v>2024</v>
      </c>
    </row>
    <row r="24" spans="1:24" ht="15.75" customHeight="1" x14ac:dyDescent="0.25">
      <c r="A24" s="3">
        <v>45615</v>
      </c>
      <c r="B24" s="1" t="s">
        <v>119</v>
      </c>
      <c r="C24" s="2">
        <v>101778170800</v>
      </c>
      <c r="E24" s="1" t="s">
        <v>120</v>
      </c>
      <c r="F24" s="1" t="s">
        <v>39</v>
      </c>
      <c r="G24" s="1" t="s">
        <v>40</v>
      </c>
      <c r="H24" s="1" t="s">
        <v>28</v>
      </c>
      <c r="I24" s="1" t="s">
        <v>47</v>
      </c>
      <c r="J24" s="1" t="s">
        <v>54</v>
      </c>
      <c r="L24" s="3">
        <v>45597</v>
      </c>
      <c r="M24" s="3">
        <v>45231</v>
      </c>
      <c r="O24" s="1">
        <v>17528908</v>
      </c>
      <c r="P24" s="1" t="s">
        <v>31</v>
      </c>
      <c r="Q24" s="1" t="s">
        <v>112</v>
      </c>
      <c r="R24" s="1">
        <v>8192</v>
      </c>
      <c r="S24" s="1" t="s">
        <v>44</v>
      </c>
      <c r="T24" s="1" t="s">
        <v>34</v>
      </c>
      <c r="U24" s="1">
        <v>31.25</v>
      </c>
      <c r="V24" s="1" t="s">
        <v>35</v>
      </c>
      <c r="W24" s="3">
        <v>45208</v>
      </c>
      <c r="X24" s="1">
        <v>2024</v>
      </c>
    </row>
    <row r="25" spans="1:24" ht="15.75" customHeight="1" x14ac:dyDescent="0.25">
      <c r="A25" s="3">
        <v>45615</v>
      </c>
      <c r="B25" s="1" t="s">
        <v>121</v>
      </c>
      <c r="C25" s="2">
        <v>101756252000</v>
      </c>
      <c r="E25" s="1" t="s">
        <v>122</v>
      </c>
      <c r="F25" s="1" t="s">
        <v>39</v>
      </c>
      <c r="G25" s="1" t="s">
        <v>40</v>
      </c>
      <c r="H25" s="1" t="s">
        <v>28</v>
      </c>
      <c r="I25" s="1" t="s">
        <v>47</v>
      </c>
      <c r="J25" s="1" t="s">
        <v>54</v>
      </c>
      <c r="L25" s="3">
        <v>45597</v>
      </c>
      <c r="M25" s="3">
        <v>45170</v>
      </c>
      <c r="O25" s="1">
        <v>17528908</v>
      </c>
      <c r="P25" s="1" t="s">
        <v>31</v>
      </c>
      <c r="Q25" s="1" t="s">
        <v>112</v>
      </c>
      <c r="R25" s="1">
        <v>8192</v>
      </c>
      <c r="S25" s="1" t="s">
        <v>44</v>
      </c>
      <c r="T25" s="1" t="s">
        <v>34</v>
      </c>
      <c r="U25" s="1">
        <v>31.25</v>
      </c>
      <c r="V25" s="1" t="s">
        <v>35</v>
      </c>
      <c r="W25" s="3">
        <v>45146</v>
      </c>
      <c r="X25" s="1">
        <v>2024</v>
      </c>
    </row>
    <row r="26" spans="1:24" ht="15.75" customHeight="1" x14ac:dyDescent="0.25">
      <c r="A26" s="3">
        <v>45615</v>
      </c>
      <c r="B26" s="1" t="s">
        <v>123</v>
      </c>
      <c r="C26" s="2">
        <v>101843197200</v>
      </c>
      <c r="E26" s="1" t="s">
        <v>124</v>
      </c>
      <c r="F26" s="1" t="s">
        <v>39</v>
      </c>
      <c r="G26" s="1" t="s">
        <v>40</v>
      </c>
      <c r="H26" s="1" t="s">
        <v>28</v>
      </c>
      <c r="I26" s="1" t="s">
        <v>47</v>
      </c>
      <c r="J26" s="1" t="s">
        <v>111</v>
      </c>
      <c r="L26" s="3">
        <v>45597</v>
      </c>
      <c r="M26" s="3">
        <v>45261</v>
      </c>
      <c r="O26" s="1">
        <v>17528908</v>
      </c>
      <c r="P26" s="1" t="s">
        <v>31</v>
      </c>
      <c r="Q26" s="1" t="s">
        <v>112</v>
      </c>
      <c r="R26" s="1">
        <v>8192</v>
      </c>
      <c r="S26" s="1" t="s">
        <v>44</v>
      </c>
      <c r="T26" s="1" t="s">
        <v>34</v>
      </c>
      <c r="U26" s="1">
        <v>31.25</v>
      </c>
      <c r="V26" s="1" t="s">
        <v>35</v>
      </c>
      <c r="W26" s="3">
        <v>45257</v>
      </c>
      <c r="X26" s="1">
        <v>2024</v>
      </c>
    </row>
    <row r="27" spans="1:24" ht="15.75" customHeight="1" x14ac:dyDescent="0.25">
      <c r="A27" s="3">
        <v>45615</v>
      </c>
      <c r="B27" s="1" t="s">
        <v>125</v>
      </c>
      <c r="C27" s="2">
        <v>101751846000</v>
      </c>
      <c r="E27" s="1" t="s">
        <v>126</v>
      </c>
      <c r="F27" s="1" t="s">
        <v>39</v>
      </c>
      <c r="G27" s="1" t="s">
        <v>40</v>
      </c>
      <c r="H27" s="1" t="s">
        <v>28</v>
      </c>
      <c r="I27" s="1" t="s">
        <v>47</v>
      </c>
      <c r="J27" s="1" t="s">
        <v>51</v>
      </c>
      <c r="L27" s="3">
        <v>45597</v>
      </c>
      <c r="M27" s="3">
        <v>45200</v>
      </c>
      <c r="O27" s="1">
        <v>17528908</v>
      </c>
      <c r="P27" s="1" t="s">
        <v>31</v>
      </c>
      <c r="Q27" s="1" t="s">
        <v>112</v>
      </c>
      <c r="R27" s="1">
        <v>8192</v>
      </c>
      <c r="S27" s="1" t="s">
        <v>44</v>
      </c>
      <c r="T27" s="1" t="s">
        <v>34</v>
      </c>
      <c r="U27" s="1">
        <v>31.25</v>
      </c>
      <c r="V27" s="1" t="s">
        <v>35</v>
      </c>
      <c r="W27" s="3">
        <v>45134</v>
      </c>
      <c r="X27" s="1">
        <v>2024</v>
      </c>
    </row>
    <row r="28" spans="1:24" ht="15.75" customHeight="1" x14ac:dyDescent="0.25">
      <c r="A28" s="3">
        <v>45615</v>
      </c>
      <c r="B28" s="1" t="s">
        <v>127</v>
      </c>
      <c r="C28" s="2">
        <v>101135276600</v>
      </c>
      <c r="E28" s="1" t="s">
        <v>128</v>
      </c>
      <c r="F28" s="1" t="s">
        <v>39</v>
      </c>
      <c r="G28" s="1" t="s">
        <v>129</v>
      </c>
      <c r="H28" s="1" t="s">
        <v>28</v>
      </c>
      <c r="I28" s="1" t="s">
        <v>47</v>
      </c>
      <c r="J28" s="1" t="s">
        <v>111</v>
      </c>
      <c r="L28" s="3">
        <v>45352</v>
      </c>
      <c r="M28" s="3">
        <v>45352</v>
      </c>
      <c r="N28" s="3">
        <v>45596</v>
      </c>
      <c r="O28" s="1">
        <v>17528908</v>
      </c>
      <c r="P28" s="1" t="s">
        <v>31</v>
      </c>
      <c r="Q28" s="1" t="s">
        <v>112</v>
      </c>
      <c r="R28" s="1">
        <v>8192</v>
      </c>
      <c r="S28" s="1" t="s">
        <v>33</v>
      </c>
      <c r="T28" s="1" t="s">
        <v>34</v>
      </c>
      <c r="U28" s="1">
        <v>313.33</v>
      </c>
      <c r="V28" s="1" t="s">
        <v>35</v>
      </c>
      <c r="W28" s="3">
        <v>45350</v>
      </c>
      <c r="X28" s="1">
        <v>2024</v>
      </c>
    </row>
    <row r="29" spans="1:24" ht="15.75" customHeight="1" x14ac:dyDescent="0.25">
      <c r="A29" s="3">
        <v>45615</v>
      </c>
      <c r="B29" s="1" t="s">
        <v>127</v>
      </c>
      <c r="C29" s="2">
        <v>101135276600</v>
      </c>
      <c r="E29" s="1" t="s">
        <v>128</v>
      </c>
      <c r="F29" s="1" t="s">
        <v>39</v>
      </c>
      <c r="G29" s="1" t="s">
        <v>129</v>
      </c>
      <c r="H29" s="1" t="s">
        <v>28</v>
      </c>
      <c r="I29" s="1" t="s">
        <v>47</v>
      </c>
      <c r="J29" s="1" t="s">
        <v>111</v>
      </c>
      <c r="L29" s="3">
        <v>45352</v>
      </c>
      <c r="M29" s="3">
        <v>45352</v>
      </c>
      <c r="N29" s="3">
        <v>45596</v>
      </c>
      <c r="O29" s="1">
        <v>17528908</v>
      </c>
      <c r="P29" s="1" t="s">
        <v>31</v>
      </c>
      <c r="Q29" s="1" t="s">
        <v>112</v>
      </c>
      <c r="R29" s="1">
        <v>8192</v>
      </c>
      <c r="S29" s="1" t="s">
        <v>33</v>
      </c>
      <c r="T29" s="1" t="s">
        <v>34</v>
      </c>
      <c r="U29" s="1">
        <v>-391.67</v>
      </c>
      <c r="V29" s="1" t="s">
        <v>35</v>
      </c>
      <c r="W29" s="3">
        <v>45350</v>
      </c>
      <c r="X29" s="1">
        <v>2024</v>
      </c>
    </row>
    <row r="30" spans="1:24" ht="15.75" customHeight="1" x14ac:dyDescent="0.25">
      <c r="A30" s="3">
        <v>45615</v>
      </c>
      <c r="B30" s="1" t="s">
        <v>130</v>
      </c>
      <c r="C30" s="2">
        <v>101767923000</v>
      </c>
      <c r="E30" s="1" t="s">
        <v>131</v>
      </c>
      <c r="F30" s="1" t="s">
        <v>39</v>
      </c>
      <c r="G30" s="1" t="s">
        <v>40</v>
      </c>
      <c r="H30" s="1" t="s">
        <v>28</v>
      </c>
      <c r="I30" s="1" t="s">
        <v>47</v>
      </c>
      <c r="J30" s="1" t="s">
        <v>51</v>
      </c>
      <c r="L30" s="3">
        <v>45597</v>
      </c>
      <c r="M30" s="3">
        <v>45200</v>
      </c>
      <c r="O30" s="1">
        <v>17528908</v>
      </c>
      <c r="P30" s="1" t="s">
        <v>31</v>
      </c>
      <c r="Q30" s="1" t="s">
        <v>112</v>
      </c>
      <c r="R30" s="1">
        <v>8192</v>
      </c>
      <c r="S30" s="1" t="s">
        <v>44</v>
      </c>
      <c r="T30" s="1" t="s">
        <v>34</v>
      </c>
      <c r="U30" s="1">
        <v>31.25</v>
      </c>
      <c r="V30" s="1" t="s">
        <v>35</v>
      </c>
      <c r="W30" s="3">
        <v>45178</v>
      </c>
      <c r="X30" s="1">
        <v>2024</v>
      </c>
    </row>
    <row r="31" spans="1:24" ht="15.75" customHeight="1" x14ac:dyDescent="0.25">
      <c r="A31" s="3">
        <v>45615</v>
      </c>
      <c r="B31" s="1" t="s">
        <v>132</v>
      </c>
      <c r="C31" s="2">
        <v>101778179500</v>
      </c>
      <c r="E31" s="1" t="s">
        <v>133</v>
      </c>
      <c r="F31" s="1" t="s">
        <v>39</v>
      </c>
      <c r="G31" s="1" t="s">
        <v>40</v>
      </c>
      <c r="H31" s="1" t="s">
        <v>28</v>
      </c>
      <c r="I31" s="1" t="s">
        <v>47</v>
      </c>
      <c r="J31" s="1" t="s">
        <v>54</v>
      </c>
      <c r="L31" s="3">
        <v>45597</v>
      </c>
      <c r="M31" s="3">
        <v>45231</v>
      </c>
      <c r="O31" s="1">
        <v>17528908</v>
      </c>
      <c r="P31" s="1" t="s">
        <v>31</v>
      </c>
      <c r="Q31" s="1" t="s">
        <v>112</v>
      </c>
      <c r="R31" s="1">
        <v>8192</v>
      </c>
      <c r="S31" s="1" t="s">
        <v>44</v>
      </c>
      <c r="T31" s="1" t="s">
        <v>34</v>
      </c>
      <c r="U31" s="1">
        <v>31.25</v>
      </c>
      <c r="V31" s="1" t="s">
        <v>35</v>
      </c>
      <c r="W31" s="3">
        <v>45208</v>
      </c>
      <c r="X31" s="1">
        <v>2024</v>
      </c>
    </row>
    <row r="32" spans="1:24" ht="15.75" customHeight="1" x14ac:dyDescent="0.25">
      <c r="A32" s="3">
        <v>45615</v>
      </c>
      <c r="B32" s="1" t="s">
        <v>134</v>
      </c>
      <c r="C32" s="2">
        <v>101760566800</v>
      </c>
      <c r="E32" s="1" t="s">
        <v>135</v>
      </c>
      <c r="F32" s="1" t="s">
        <v>39</v>
      </c>
      <c r="G32" s="1" t="s">
        <v>40</v>
      </c>
      <c r="H32" s="1" t="s">
        <v>28</v>
      </c>
      <c r="I32" s="1" t="s">
        <v>47</v>
      </c>
      <c r="J32" s="1" t="s">
        <v>54</v>
      </c>
      <c r="L32" s="3">
        <v>45597</v>
      </c>
      <c r="M32" s="3">
        <v>45170</v>
      </c>
      <c r="O32" s="1">
        <v>17528908</v>
      </c>
      <c r="P32" s="1" t="s">
        <v>31</v>
      </c>
      <c r="Q32" s="1" t="s">
        <v>112</v>
      </c>
      <c r="R32" s="1">
        <v>8192</v>
      </c>
      <c r="S32" s="1" t="s">
        <v>44</v>
      </c>
      <c r="T32" s="1" t="s">
        <v>34</v>
      </c>
      <c r="U32" s="1">
        <v>31.25</v>
      </c>
      <c r="V32" s="1" t="s">
        <v>35</v>
      </c>
      <c r="W32" s="3">
        <v>45159</v>
      </c>
      <c r="X32" s="1">
        <v>2024</v>
      </c>
    </row>
    <row r="33" spans="1:24" ht="15.75" customHeight="1" x14ac:dyDescent="0.25">
      <c r="A33" s="3">
        <v>45615</v>
      </c>
      <c r="B33" s="1" t="s">
        <v>136</v>
      </c>
      <c r="C33" s="2">
        <v>101746159400</v>
      </c>
      <c r="E33" s="1" t="s">
        <v>137</v>
      </c>
      <c r="F33" s="1" t="s">
        <v>39</v>
      </c>
      <c r="G33" s="1" t="s">
        <v>40</v>
      </c>
      <c r="H33" s="1" t="s">
        <v>138</v>
      </c>
      <c r="I33" s="1" t="s">
        <v>47</v>
      </c>
      <c r="J33" s="1" t="s">
        <v>139</v>
      </c>
      <c r="L33" s="3">
        <v>45597</v>
      </c>
      <c r="M33" s="3">
        <v>45200</v>
      </c>
      <c r="O33" s="1">
        <v>17528908</v>
      </c>
      <c r="P33" s="1" t="s">
        <v>31</v>
      </c>
      <c r="Q33" s="1" t="s">
        <v>112</v>
      </c>
      <c r="R33" s="1">
        <v>8192</v>
      </c>
      <c r="S33" s="1" t="s">
        <v>44</v>
      </c>
      <c r="T33" s="1" t="s">
        <v>34</v>
      </c>
      <c r="U33" s="1">
        <v>31.25</v>
      </c>
      <c r="V33" s="1" t="s">
        <v>35</v>
      </c>
      <c r="W33" s="3">
        <v>45118</v>
      </c>
      <c r="X33" s="1">
        <v>2024</v>
      </c>
    </row>
    <row r="34" spans="1:24" ht="15.75" customHeight="1" x14ac:dyDescent="0.25">
      <c r="A34" s="3">
        <v>45615</v>
      </c>
      <c r="B34" s="1" t="s">
        <v>140</v>
      </c>
      <c r="C34" s="2">
        <v>101073285800</v>
      </c>
      <c r="D34" s="1" t="s">
        <v>141</v>
      </c>
      <c r="E34" s="1" t="s">
        <v>142</v>
      </c>
      <c r="F34" s="1" t="s">
        <v>39</v>
      </c>
      <c r="G34" s="1" t="s">
        <v>40</v>
      </c>
      <c r="H34" s="1" t="s">
        <v>28</v>
      </c>
      <c r="I34" s="1" t="s">
        <v>143</v>
      </c>
      <c r="J34" s="1" t="s">
        <v>51</v>
      </c>
      <c r="L34" s="3">
        <v>45597</v>
      </c>
      <c r="M34" s="3">
        <v>43678</v>
      </c>
      <c r="O34" s="1">
        <v>17528908</v>
      </c>
      <c r="P34" s="1" t="s">
        <v>31</v>
      </c>
      <c r="Q34" s="1" t="s">
        <v>112</v>
      </c>
      <c r="R34" s="1">
        <v>8192</v>
      </c>
      <c r="S34" s="1" t="s">
        <v>44</v>
      </c>
      <c r="T34" s="1" t="s">
        <v>34</v>
      </c>
      <c r="U34" s="1">
        <v>31.25</v>
      </c>
      <c r="V34" s="1" t="s">
        <v>35</v>
      </c>
      <c r="W34" s="3">
        <v>45170</v>
      </c>
      <c r="X34" s="1">
        <v>2024</v>
      </c>
    </row>
    <row r="35" spans="1:24" ht="15.75" customHeight="1" x14ac:dyDescent="0.25">
      <c r="A35" s="3">
        <v>45615</v>
      </c>
      <c r="B35" s="1" t="s">
        <v>144</v>
      </c>
      <c r="C35" s="2">
        <v>101807525500</v>
      </c>
      <c r="E35" s="1" t="s">
        <v>145</v>
      </c>
      <c r="F35" s="1" t="s">
        <v>39</v>
      </c>
      <c r="G35" s="1" t="s">
        <v>40</v>
      </c>
      <c r="H35" s="1" t="s">
        <v>28</v>
      </c>
      <c r="I35" s="1" t="s">
        <v>47</v>
      </c>
      <c r="J35" s="1" t="s">
        <v>51</v>
      </c>
      <c r="L35" s="3">
        <v>45597</v>
      </c>
      <c r="M35" s="3">
        <v>45261</v>
      </c>
      <c r="O35" s="1">
        <v>17528908</v>
      </c>
      <c r="P35" s="1" t="s">
        <v>31</v>
      </c>
      <c r="Q35" s="1" t="s">
        <v>112</v>
      </c>
      <c r="R35" s="1">
        <v>8192</v>
      </c>
      <c r="S35" s="1" t="s">
        <v>44</v>
      </c>
      <c r="T35" s="1" t="s">
        <v>34</v>
      </c>
      <c r="U35" s="1">
        <v>31.25</v>
      </c>
      <c r="V35" s="1" t="s">
        <v>35</v>
      </c>
      <c r="W35" s="3">
        <v>45234</v>
      </c>
      <c r="X35" s="1">
        <v>2024</v>
      </c>
    </row>
    <row r="36" spans="1:24" ht="15.75" customHeight="1" x14ac:dyDescent="0.25">
      <c r="A36" s="3">
        <v>45615</v>
      </c>
      <c r="B36" s="1" t="s">
        <v>146</v>
      </c>
      <c r="C36" s="2">
        <v>101751824400</v>
      </c>
      <c r="E36" s="1" t="s">
        <v>147</v>
      </c>
      <c r="F36" s="1" t="s">
        <v>57</v>
      </c>
      <c r="G36" s="1" t="s">
        <v>40</v>
      </c>
      <c r="H36" s="1" t="s">
        <v>28</v>
      </c>
      <c r="I36" s="1" t="s">
        <v>47</v>
      </c>
      <c r="J36" s="1" t="s">
        <v>148</v>
      </c>
      <c r="L36" s="3">
        <v>45597</v>
      </c>
      <c r="M36" s="3">
        <v>45139</v>
      </c>
      <c r="O36" s="1">
        <v>17528908</v>
      </c>
      <c r="P36" s="1" t="s">
        <v>31</v>
      </c>
      <c r="Q36" s="1" t="s">
        <v>112</v>
      </c>
      <c r="R36" s="1">
        <v>8192</v>
      </c>
      <c r="S36" s="1" t="s">
        <v>44</v>
      </c>
      <c r="T36" s="1" t="s">
        <v>34</v>
      </c>
      <c r="U36" s="1">
        <v>28</v>
      </c>
      <c r="V36" s="1" t="s">
        <v>35</v>
      </c>
      <c r="W36" s="3">
        <v>45134</v>
      </c>
      <c r="X36" s="1">
        <v>2024</v>
      </c>
    </row>
    <row r="37" spans="1:24" ht="15.75" customHeight="1" x14ac:dyDescent="0.25">
      <c r="A37" s="3">
        <v>45615</v>
      </c>
      <c r="B37" s="1" t="s">
        <v>149</v>
      </c>
      <c r="C37" s="2">
        <v>101796181600</v>
      </c>
      <c r="E37" s="1" t="s">
        <v>150</v>
      </c>
      <c r="F37" s="1" t="s">
        <v>39</v>
      </c>
      <c r="G37" s="1" t="s">
        <v>40</v>
      </c>
      <c r="H37" s="1" t="s">
        <v>28</v>
      </c>
      <c r="I37" s="1" t="s">
        <v>47</v>
      </c>
      <c r="J37" s="1" t="s">
        <v>111</v>
      </c>
      <c r="L37" s="3">
        <v>45597</v>
      </c>
      <c r="M37" s="3">
        <v>45231</v>
      </c>
      <c r="N37" s="3">
        <v>45657</v>
      </c>
      <c r="O37" s="1">
        <v>17528908</v>
      </c>
      <c r="P37" s="1" t="s">
        <v>31</v>
      </c>
      <c r="Q37" s="1" t="s">
        <v>112</v>
      </c>
      <c r="R37" s="1">
        <v>8192</v>
      </c>
      <c r="S37" s="1" t="s">
        <v>44</v>
      </c>
      <c r="T37" s="1" t="s">
        <v>34</v>
      </c>
      <c r="U37" s="1">
        <v>31.25</v>
      </c>
      <c r="V37" s="1" t="s">
        <v>35</v>
      </c>
      <c r="W37" s="3">
        <v>45226</v>
      </c>
      <c r="X37" s="1">
        <v>2024</v>
      </c>
    </row>
    <row r="38" spans="1:24" ht="15.75" customHeight="1" x14ac:dyDescent="0.25">
      <c r="A38" s="3">
        <v>45615</v>
      </c>
      <c r="B38" s="1" t="s">
        <v>151</v>
      </c>
      <c r="C38" s="2">
        <v>101796544100</v>
      </c>
      <c r="E38" s="1" t="s">
        <v>152</v>
      </c>
      <c r="F38" s="1" t="s">
        <v>39</v>
      </c>
      <c r="G38" s="1" t="s">
        <v>40</v>
      </c>
      <c r="H38" s="1" t="s">
        <v>28</v>
      </c>
      <c r="I38" s="1" t="s">
        <v>47</v>
      </c>
      <c r="J38" s="1" t="s">
        <v>111</v>
      </c>
      <c r="L38" s="3">
        <v>45597</v>
      </c>
      <c r="M38" s="3">
        <v>45231</v>
      </c>
      <c r="N38" s="3">
        <v>45657</v>
      </c>
      <c r="O38" s="1">
        <v>17528908</v>
      </c>
      <c r="P38" s="1" t="s">
        <v>31</v>
      </c>
      <c r="Q38" s="1" t="s">
        <v>112</v>
      </c>
      <c r="R38" s="1">
        <v>8192</v>
      </c>
      <c r="S38" s="1" t="s">
        <v>44</v>
      </c>
      <c r="T38" s="1" t="s">
        <v>34</v>
      </c>
      <c r="U38" s="1">
        <v>31.25</v>
      </c>
      <c r="V38" s="1" t="s">
        <v>35</v>
      </c>
      <c r="W38" s="3">
        <v>45226</v>
      </c>
      <c r="X38" s="1">
        <v>2024</v>
      </c>
    </row>
    <row r="39" spans="1:24" ht="15.75" customHeight="1" x14ac:dyDescent="0.25">
      <c r="A39" s="3">
        <v>45615</v>
      </c>
      <c r="B39" s="1" t="s">
        <v>153</v>
      </c>
      <c r="C39" s="2">
        <v>101778364200</v>
      </c>
      <c r="E39" s="1" t="s">
        <v>154</v>
      </c>
      <c r="F39" s="1" t="s">
        <v>39</v>
      </c>
      <c r="G39" s="1" t="s">
        <v>40</v>
      </c>
      <c r="H39" s="1" t="s">
        <v>28</v>
      </c>
      <c r="I39" s="1" t="s">
        <v>47</v>
      </c>
      <c r="J39" s="1" t="s">
        <v>51</v>
      </c>
      <c r="L39" s="3">
        <v>45597</v>
      </c>
      <c r="M39" s="3">
        <v>45231</v>
      </c>
      <c r="O39" s="1">
        <v>17528908</v>
      </c>
      <c r="P39" s="1" t="s">
        <v>31</v>
      </c>
      <c r="Q39" s="1" t="s">
        <v>112</v>
      </c>
      <c r="R39" s="1">
        <v>8192</v>
      </c>
      <c r="S39" s="1" t="s">
        <v>44</v>
      </c>
      <c r="T39" s="1" t="s">
        <v>34</v>
      </c>
      <c r="U39" s="1">
        <v>31.25</v>
      </c>
      <c r="V39" s="1" t="s">
        <v>35</v>
      </c>
      <c r="W39" s="3">
        <v>45210</v>
      </c>
      <c r="X39" s="1">
        <v>2024</v>
      </c>
    </row>
    <row r="40" spans="1:24" ht="15.75" customHeight="1" x14ac:dyDescent="0.25">
      <c r="A40" s="3">
        <v>45615</v>
      </c>
      <c r="B40" s="1" t="s">
        <v>155</v>
      </c>
      <c r="C40" s="2">
        <v>101782789900</v>
      </c>
      <c r="E40" s="1" t="s">
        <v>156</v>
      </c>
      <c r="F40" s="1" t="s">
        <v>39</v>
      </c>
      <c r="G40" s="1" t="s">
        <v>40</v>
      </c>
      <c r="H40" s="1" t="s">
        <v>28</v>
      </c>
      <c r="I40" s="1" t="s">
        <v>47</v>
      </c>
      <c r="J40" s="1" t="s">
        <v>111</v>
      </c>
      <c r="L40" s="3">
        <v>45597</v>
      </c>
      <c r="M40" s="3">
        <v>45261</v>
      </c>
      <c r="O40" s="1">
        <v>17528908</v>
      </c>
      <c r="P40" s="1" t="s">
        <v>31</v>
      </c>
      <c r="Q40" s="1" t="s">
        <v>112</v>
      </c>
      <c r="R40" s="1">
        <v>8192</v>
      </c>
      <c r="S40" s="1" t="s">
        <v>44</v>
      </c>
      <c r="T40" s="1" t="s">
        <v>34</v>
      </c>
      <c r="U40" s="1">
        <v>31.25</v>
      </c>
      <c r="V40" s="1" t="s">
        <v>35</v>
      </c>
      <c r="W40" s="3">
        <v>45216</v>
      </c>
      <c r="X40" s="1">
        <v>2024</v>
      </c>
    </row>
    <row r="41" spans="1:24" ht="15.75" customHeight="1" x14ac:dyDescent="0.25">
      <c r="A41" s="3">
        <v>45615</v>
      </c>
      <c r="B41" s="1" t="s">
        <v>157</v>
      </c>
      <c r="C41" s="2">
        <v>101823852600</v>
      </c>
      <c r="E41" s="1" t="s">
        <v>158</v>
      </c>
      <c r="F41" s="1" t="s">
        <v>39</v>
      </c>
      <c r="G41" s="1" t="s">
        <v>40</v>
      </c>
      <c r="H41" s="1" t="s">
        <v>28</v>
      </c>
      <c r="I41" s="1" t="s">
        <v>47</v>
      </c>
      <c r="J41" s="1" t="s">
        <v>51</v>
      </c>
      <c r="L41" s="3">
        <v>45597</v>
      </c>
      <c r="M41" s="3">
        <v>45231</v>
      </c>
      <c r="O41" s="1">
        <v>17528908</v>
      </c>
      <c r="P41" s="1" t="s">
        <v>31</v>
      </c>
      <c r="Q41" s="1" t="s">
        <v>112</v>
      </c>
      <c r="R41" s="1">
        <v>8192</v>
      </c>
      <c r="S41" s="1" t="s">
        <v>44</v>
      </c>
      <c r="T41" s="1" t="s">
        <v>34</v>
      </c>
      <c r="U41" s="1">
        <v>31.25</v>
      </c>
      <c r="V41" s="1" t="s">
        <v>35</v>
      </c>
      <c r="W41" s="3">
        <v>45229</v>
      </c>
      <c r="X41" s="1">
        <v>2024</v>
      </c>
    </row>
    <row r="42" spans="1:24" ht="15.75" customHeight="1" x14ac:dyDescent="0.25">
      <c r="A42" s="3">
        <v>45615</v>
      </c>
      <c r="B42" s="1" t="s">
        <v>159</v>
      </c>
      <c r="C42" s="2">
        <v>101823852900</v>
      </c>
      <c r="E42" s="1" t="s">
        <v>160</v>
      </c>
      <c r="F42" s="1" t="s">
        <v>39</v>
      </c>
      <c r="G42" s="1" t="s">
        <v>40</v>
      </c>
      <c r="H42" s="1" t="s">
        <v>28</v>
      </c>
      <c r="I42" s="1" t="s">
        <v>47</v>
      </c>
      <c r="J42" s="1" t="s">
        <v>51</v>
      </c>
      <c r="L42" s="3">
        <v>45597</v>
      </c>
      <c r="M42" s="3">
        <v>45231</v>
      </c>
      <c r="O42" s="1">
        <v>17528908</v>
      </c>
      <c r="P42" s="1" t="s">
        <v>31</v>
      </c>
      <c r="Q42" s="1" t="s">
        <v>112</v>
      </c>
      <c r="R42" s="1">
        <v>8192</v>
      </c>
      <c r="S42" s="1" t="s">
        <v>44</v>
      </c>
      <c r="T42" s="1" t="s">
        <v>34</v>
      </c>
      <c r="U42" s="1">
        <v>31.25</v>
      </c>
      <c r="V42" s="1" t="s">
        <v>35</v>
      </c>
      <c r="W42" s="3">
        <v>45229</v>
      </c>
      <c r="X42" s="1">
        <v>2024</v>
      </c>
    </row>
    <row r="43" spans="1:24" ht="15.75" customHeight="1" x14ac:dyDescent="0.25">
      <c r="A43" s="3">
        <v>45615</v>
      </c>
      <c r="B43" s="1" t="s">
        <v>161</v>
      </c>
      <c r="C43" s="2">
        <v>101780750600</v>
      </c>
      <c r="E43" s="1" t="s">
        <v>162</v>
      </c>
      <c r="F43" s="1" t="s">
        <v>39</v>
      </c>
      <c r="G43" s="1" t="s">
        <v>40</v>
      </c>
      <c r="H43" s="1" t="s">
        <v>28</v>
      </c>
      <c r="I43" s="1" t="s">
        <v>47</v>
      </c>
      <c r="J43" s="1" t="s">
        <v>51</v>
      </c>
      <c r="L43" s="3">
        <v>45597</v>
      </c>
      <c r="M43" s="3">
        <v>45261</v>
      </c>
      <c r="O43" s="1">
        <v>17528908</v>
      </c>
      <c r="P43" s="1" t="s">
        <v>31</v>
      </c>
      <c r="Q43" s="1" t="s">
        <v>112</v>
      </c>
      <c r="R43" s="1">
        <v>8192</v>
      </c>
      <c r="S43" s="1" t="s">
        <v>44</v>
      </c>
      <c r="T43" s="1" t="s">
        <v>34</v>
      </c>
      <c r="U43" s="1">
        <v>31.25</v>
      </c>
      <c r="V43" s="1" t="s">
        <v>35</v>
      </c>
      <c r="W43" s="3">
        <v>45215</v>
      </c>
      <c r="X43" s="1">
        <v>2024</v>
      </c>
    </row>
    <row r="44" spans="1:24" ht="15.75" customHeight="1" x14ac:dyDescent="0.25">
      <c r="A44" s="3">
        <v>45615</v>
      </c>
      <c r="B44" s="1" t="s">
        <v>163</v>
      </c>
      <c r="C44" s="2">
        <v>101745584200</v>
      </c>
      <c r="E44" s="1" t="s">
        <v>164</v>
      </c>
      <c r="F44" s="1" t="s">
        <v>39</v>
      </c>
      <c r="G44" s="1" t="s">
        <v>40</v>
      </c>
      <c r="H44" s="1" t="s">
        <v>28</v>
      </c>
      <c r="I44" s="1" t="s">
        <v>47</v>
      </c>
      <c r="J44" s="1" t="s">
        <v>51</v>
      </c>
      <c r="L44" s="3">
        <v>45597</v>
      </c>
      <c r="M44" s="3">
        <v>45139</v>
      </c>
      <c r="N44" s="3">
        <v>45657</v>
      </c>
      <c r="O44" s="1">
        <v>17528908</v>
      </c>
      <c r="P44" s="1" t="s">
        <v>31</v>
      </c>
      <c r="Q44" s="1" t="s">
        <v>112</v>
      </c>
      <c r="R44" s="1">
        <v>8192</v>
      </c>
      <c r="S44" s="1" t="s">
        <v>44</v>
      </c>
      <c r="T44" s="1" t="s">
        <v>34</v>
      </c>
      <c r="U44" s="1">
        <v>31.25</v>
      </c>
      <c r="V44" s="1" t="s">
        <v>35</v>
      </c>
      <c r="W44" s="3">
        <v>45117</v>
      </c>
      <c r="X44" s="1">
        <v>2024</v>
      </c>
    </row>
    <row r="45" spans="1:24" ht="15.75" customHeight="1" x14ac:dyDescent="0.25">
      <c r="A45" s="3">
        <v>45615</v>
      </c>
      <c r="B45" s="1" t="s">
        <v>165</v>
      </c>
      <c r="C45" s="2">
        <v>101552085100</v>
      </c>
      <c r="E45" s="1" t="s">
        <v>166</v>
      </c>
      <c r="F45" s="1" t="s">
        <v>39</v>
      </c>
      <c r="G45" s="1" t="s">
        <v>40</v>
      </c>
      <c r="H45" s="1" t="s">
        <v>28</v>
      </c>
      <c r="I45" s="1" t="s">
        <v>47</v>
      </c>
      <c r="J45" s="1" t="s">
        <v>54</v>
      </c>
      <c r="L45" s="3">
        <v>45597</v>
      </c>
      <c r="M45" s="3">
        <v>45170</v>
      </c>
      <c r="O45" s="1">
        <v>17528908</v>
      </c>
      <c r="P45" s="1" t="s">
        <v>31</v>
      </c>
      <c r="Q45" s="1" t="s">
        <v>112</v>
      </c>
      <c r="R45" s="1">
        <v>8192</v>
      </c>
      <c r="S45" s="1" t="s">
        <v>44</v>
      </c>
      <c r="T45" s="1" t="s">
        <v>34</v>
      </c>
      <c r="U45" s="1">
        <v>31.25</v>
      </c>
      <c r="V45" s="1" t="s">
        <v>35</v>
      </c>
      <c r="W45" s="3">
        <v>45147</v>
      </c>
      <c r="X45" s="1">
        <v>2024</v>
      </c>
    </row>
    <row r="46" spans="1:24" ht="15.75" customHeight="1" x14ac:dyDescent="0.25">
      <c r="A46" s="3">
        <v>45615</v>
      </c>
      <c r="B46" s="1" t="s">
        <v>167</v>
      </c>
      <c r="C46" s="2">
        <v>101744311000</v>
      </c>
      <c r="E46" s="1" t="s">
        <v>168</v>
      </c>
      <c r="F46" s="1" t="s">
        <v>39</v>
      </c>
      <c r="G46" s="1" t="s">
        <v>40</v>
      </c>
      <c r="H46" s="1" t="s">
        <v>28</v>
      </c>
      <c r="I46" s="1" t="s">
        <v>47</v>
      </c>
      <c r="J46" s="1" t="s">
        <v>111</v>
      </c>
      <c r="L46" s="3">
        <v>45597</v>
      </c>
      <c r="M46" s="3">
        <v>45170</v>
      </c>
      <c r="O46" s="1">
        <v>17528908</v>
      </c>
      <c r="P46" s="1" t="s">
        <v>31</v>
      </c>
      <c r="Q46" s="1" t="s">
        <v>112</v>
      </c>
      <c r="R46" s="1">
        <v>8192</v>
      </c>
      <c r="S46" s="1" t="s">
        <v>44</v>
      </c>
      <c r="T46" s="1" t="s">
        <v>34</v>
      </c>
      <c r="U46" s="1">
        <v>31.25</v>
      </c>
      <c r="V46" s="1" t="s">
        <v>35</v>
      </c>
      <c r="W46" s="3">
        <v>45112</v>
      </c>
      <c r="X46" s="1">
        <v>2024</v>
      </c>
    </row>
    <row r="47" spans="1:24" ht="15.75" customHeight="1" x14ac:dyDescent="0.25">
      <c r="A47" s="3">
        <v>45615</v>
      </c>
      <c r="B47" s="1" t="s">
        <v>169</v>
      </c>
      <c r="C47" s="2">
        <v>101789861200</v>
      </c>
      <c r="E47" s="1" t="s">
        <v>170</v>
      </c>
      <c r="F47" s="1" t="s">
        <v>39</v>
      </c>
      <c r="G47" s="1" t="s">
        <v>40</v>
      </c>
      <c r="H47" s="1" t="s">
        <v>28</v>
      </c>
      <c r="I47" s="1" t="s">
        <v>47</v>
      </c>
      <c r="J47" s="1" t="s">
        <v>51</v>
      </c>
      <c r="L47" s="3">
        <v>45597</v>
      </c>
      <c r="M47" s="3">
        <v>45231</v>
      </c>
      <c r="O47" s="1">
        <v>17528908</v>
      </c>
      <c r="P47" s="1" t="s">
        <v>31</v>
      </c>
      <c r="Q47" s="1" t="s">
        <v>112</v>
      </c>
      <c r="R47" s="1">
        <v>8192</v>
      </c>
      <c r="S47" s="1" t="s">
        <v>44</v>
      </c>
      <c r="T47" s="1" t="s">
        <v>34</v>
      </c>
      <c r="U47" s="1">
        <v>31.25</v>
      </c>
      <c r="V47" s="1" t="s">
        <v>35</v>
      </c>
      <c r="W47" s="3">
        <v>45222</v>
      </c>
      <c r="X47" s="1">
        <v>2024</v>
      </c>
    </row>
    <row r="48" spans="1:24" ht="15.75" customHeight="1" x14ac:dyDescent="0.25">
      <c r="A48" s="3">
        <v>45615</v>
      </c>
      <c r="B48" s="1" t="s">
        <v>171</v>
      </c>
      <c r="C48" s="2">
        <v>101254580100</v>
      </c>
      <c r="E48" s="1" t="s">
        <v>172</v>
      </c>
      <c r="F48" s="1" t="s">
        <v>39</v>
      </c>
      <c r="G48" s="1" t="s">
        <v>40</v>
      </c>
      <c r="H48" s="1" t="s">
        <v>28</v>
      </c>
      <c r="I48" s="1" t="s">
        <v>47</v>
      </c>
      <c r="J48" s="1" t="s">
        <v>48</v>
      </c>
      <c r="L48" s="3">
        <v>45597</v>
      </c>
      <c r="M48" s="3">
        <v>45200</v>
      </c>
      <c r="O48" s="1">
        <v>17528908</v>
      </c>
      <c r="P48" s="1" t="s">
        <v>31</v>
      </c>
      <c r="Q48" s="1" t="s">
        <v>112</v>
      </c>
      <c r="R48" s="1">
        <v>8192</v>
      </c>
      <c r="S48" s="1" t="s">
        <v>44</v>
      </c>
      <c r="T48" s="1" t="s">
        <v>34</v>
      </c>
      <c r="U48" s="1">
        <v>31.25</v>
      </c>
      <c r="V48" s="1" t="s">
        <v>35</v>
      </c>
      <c r="W48" s="3">
        <v>45182</v>
      </c>
      <c r="X48" s="1">
        <v>2024</v>
      </c>
    </row>
    <row r="49" spans="1:24" ht="15.75" customHeight="1" x14ac:dyDescent="0.25">
      <c r="A49" s="3">
        <v>45615</v>
      </c>
      <c r="B49" s="1" t="s">
        <v>173</v>
      </c>
      <c r="C49" s="2">
        <v>101778371800</v>
      </c>
      <c r="E49" s="1" t="s">
        <v>174</v>
      </c>
      <c r="F49" s="1" t="s">
        <v>39</v>
      </c>
      <c r="G49" s="1" t="s">
        <v>40</v>
      </c>
      <c r="H49" s="1" t="s">
        <v>28</v>
      </c>
      <c r="I49" s="1" t="s">
        <v>47</v>
      </c>
      <c r="J49" s="1" t="s">
        <v>51</v>
      </c>
      <c r="L49" s="3">
        <v>45597</v>
      </c>
      <c r="M49" s="3">
        <v>45231</v>
      </c>
      <c r="O49" s="1">
        <v>17528908</v>
      </c>
      <c r="P49" s="1" t="s">
        <v>31</v>
      </c>
      <c r="Q49" s="1" t="s">
        <v>112</v>
      </c>
      <c r="R49" s="1">
        <v>8192</v>
      </c>
      <c r="S49" s="1" t="s">
        <v>44</v>
      </c>
      <c r="T49" s="1" t="s">
        <v>34</v>
      </c>
      <c r="U49" s="1">
        <v>31.25</v>
      </c>
      <c r="V49" s="1" t="s">
        <v>35</v>
      </c>
      <c r="W49" s="3">
        <v>45210</v>
      </c>
      <c r="X49" s="1">
        <v>2024</v>
      </c>
    </row>
    <row r="50" spans="1:24" ht="15.75" customHeight="1" x14ac:dyDescent="0.25">
      <c r="A50" s="3">
        <v>45615</v>
      </c>
      <c r="B50" s="1" t="s">
        <v>175</v>
      </c>
      <c r="C50" s="2">
        <v>101749308400</v>
      </c>
      <c r="E50" s="1" t="s">
        <v>176</v>
      </c>
      <c r="F50" s="1" t="s">
        <v>39</v>
      </c>
      <c r="G50" s="1" t="s">
        <v>40</v>
      </c>
      <c r="H50" s="1" t="s">
        <v>28</v>
      </c>
      <c r="I50" s="1" t="s">
        <v>47</v>
      </c>
      <c r="J50" s="1" t="s">
        <v>177</v>
      </c>
      <c r="L50" s="3">
        <v>45597</v>
      </c>
      <c r="M50" s="3">
        <v>45139</v>
      </c>
      <c r="O50" s="1">
        <v>17528908</v>
      </c>
      <c r="P50" s="1" t="s">
        <v>31</v>
      </c>
      <c r="Q50" s="1" t="s">
        <v>112</v>
      </c>
      <c r="R50" s="1">
        <v>8192</v>
      </c>
      <c r="S50" s="1" t="s">
        <v>44</v>
      </c>
      <c r="T50" s="1" t="s">
        <v>34</v>
      </c>
      <c r="U50" s="1">
        <v>31.25</v>
      </c>
      <c r="V50" s="1" t="s">
        <v>35</v>
      </c>
      <c r="W50" s="3">
        <v>45127</v>
      </c>
      <c r="X50" s="1">
        <v>2024</v>
      </c>
    </row>
    <row r="51" spans="1:24" ht="15.75" customHeight="1" x14ac:dyDescent="0.25">
      <c r="A51" s="3">
        <v>45615</v>
      </c>
      <c r="B51" s="1" t="s">
        <v>178</v>
      </c>
      <c r="C51" s="2">
        <v>101204555000</v>
      </c>
      <c r="E51" s="1" t="s">
        <v>179</v>
      </c>
      <c r="F51" s="1" t="s">
        <v>39</v>
      </c>
      <c r="G51" s="1" t="s">
        <v>40</v>
      </c>
      <c r="H51" s="1" t="s">
        <v>28</v>
      </c>
      <c r="I51" s="1" t="s">
        <v>47</v>
      </c>
      <c r="J51" s="1" t="s">
        <v>51</v>
      </c>
      <c r="L51" s="3">
        <v>45597</v>
      </c>
      <c r="M51" s="3">
        <v>45261</v>
      </c>
      <c r="O51" s="1">
        <v>17528908</v>
      </c>
      <c r="P51" s="1" t="s">
        <v>31</v>
      </c>
      <c r="Q51" s="1" t="s">
        <v>112</v>
      </c>
      <c r="R51" s="1">
        <v>8192</v>
      </c>
      <c r="S51" s="1" t="s">
        <v>44</v>
      </c>
      <c r="T51" s="1" t="s">
        <v>34</v>
      </c>
      <c r="U51" s="1">
        <v>31.25</v>
      </c>
      <c r="V51" s="1" t="s">
        <v>35</v>
      </c>
      <c r="W51" s="3">
        <v>45246</v>
      </c>
      <c r="X51" s="1">
        <v>2024</v>
      </c>
    </row>
    <row r="52" spans="1:24" ht="15.75" customHeight="1" x14ac:dyDescent="0.25">
      <c r="A52" s="3">
        <v>45615</v>
      </c>
      <c r="B52" s="1" t="s">
        <v>180</v>
      </c>
      <c r="C52" s="2">
        <v>101794999600</v>
      </c>
      <c r="E52" s="1" t="s">
        <v>181</v>
      </c>
      <c r="F52" s="1" t="s">
        <v>182</v>
      </c>
      <c r="G52" s="1" t="s">
        <v>40</v>
      </c>
      <c r="H52" s="1" t="s">
        <v>28</v>
      </c>
      <c r="I52" s="1" t="s">
        <v>183</v>
      </c>
      <c r="J52" s="1" t="s">
        <v>184</v>
      </c>
      <c r="L52" s="3">
        <v>45597</v>
      </c>
      <c r="M52" s="3">
        <v>45231</v>
      </c>
      <c r="O52" s="1">
        <v>17528908</v>
      </c>
      <c r="P52" s="1" t="s">
        <v>31</v>
      </c>
      <c r="Q52" s="1" t="s">
        <v>112</v>
      </c>
      <c r="R52" s="1">
        <v>8192</v>
      </c>
      <c r="S52" s="1" t="s">
        <v>44</v>
      </c>
      <c r="T52" s="1" t="s">
        <v>34</v>
      </c>
      <c r="U52" s="1">
        <v>28</v>
      </c>
      <c r="V52" s="1" t="s">
        <v>35</v>
      </c>
      <c r="W52" s="3">
        <v>45225</v>
      </c>
      <c r="X52" s="1">
        <v>2024</v>
      </c>
    </row>
    <row r="53" spans="1:24" ht="15.75" customHeight="1" x14ac:dyDescent="0.25">
      <c r="A53" s="3">
        <v>45615</v>
      </c>
      <c r="B53" s="1" t="s">
        <v>185</v>
      </c>
      <c r="C53" s="2">
        <v>101775115800</v>
      </c>
      <c r="E53" s="1" t="s">
        <v>186</v>
      </c>
      <c r="F53" s="1" t="s">
        <v>39</v>
      </c>
      <c r="G53" s="1" t="s">
        <v>40</v>
      </c>
      <c r="H53" s="1" t="s">
        <v>28</v>
      </c>
      <c r="I53" s="1" t="s">
        <v>47</v>
      </c>
      <c r="J53" s="1" t="s">
        <v>187</v>
      </c>
      <c r="L53" s="3">
        <v>45597</v>
      </c>
      <c r="M53" s="3">
        <v>45200</v>
      </c>
      <c r="O53" s="1">
        <v>17528908</v>
      </c>
      <c r="P53" s="1" t="s">
        <v>31</v>
      </c>
      <c r="Q53" s="1" t="s">
        <v>112</v>
      </c>
      <c r="R53" s="1">
        <v>8192</v>
      </c>
      <c r="S53" s="1" t="s">
        <v>44</v>
      </c>
      <c r="T53" s="1" t="s">
        <v>34</v>
      </c>
      <c r="U53" s="1">
        <v>31.25</v>
      </c>
      <c r="V53" s="1" t="s">
        <v>35</v>
      </c>
      <c r="W53" s="3">
        <v>45198</v>
      </c>
      <c r="X53" s="1">
        <v>2024</v>
      </c>
    </row>
    <row r="54" spans="1:24" ht="15.75" customHeight="1" x14ac:dyDescent="0.25">
      <c r="A54" s="3">
        <v>45615</v>
      </c>
      <c r="B54" s="1" t="s">
        <v>188</v>
      </c>
      <c r="C54" s="2">
        <v>101775074700</v>
      </c>
      <c r="E54" s="1" t="s">
        <v>189</v>
      </c>
      <c r="F54" s="1" t="s">
        <v>39</v>
      </c>
      <c r="G54" s="1" t="s">
        <v>40</v>
      </c>
      <c r="H54" s="1" t="s">
        <v>28</v>
      </c>
      <c r="I54" s="1" t="s">
        <v>47</v>
      </c>
      <c r="J54" s="1" t="s">
        <v>187</v>
      </c>
      <c r="L54" s="3">
        <v>45597</v>
      </c>
      <c r="M54" s="3">
        <v>45200</v>
      </c>
      <c r="O54" s="1">
        <v>17528908</v>
      </c>
      <c r="P54" s="1" t="s">
        <v>31</v>
      </c>
      <c r="Q54" s="1" t="s">
        <v>112</v>
      </c>
      <c r="R54" s="1">
        <v>8192</v>
      </c>
      <c r="S54" s="1" t="s">
        <v>44</v>
      </c>
      <c r="T54" s="1" t="s">
        <v>34</v>
      </c>
      <c r="U54" s="1">
        <v>31.25</v>
      </c>
      <c r="V54" s="1" t="s">
        <v>35</v>
      </c>
      <c r="W54" s="3">
        <v>45198</v>
      </c>
      <c r="X54" s="1">
        <v>2024</v>
      </c>
    </row>
    <row r="55" spans="1:24" ht="15.75" customHeight="1" x14ac:dyDescent="0.25">
      <c r="A55" s="3">
        <v>45615</v>
      </c>
      <c r="B55" s="1" t="s">
        <v>190</v>
      </c>
      <c r="C55" s="2">
        <v>101766726300</v>
      </c>
      <c r="E55" s="1" t="s">
        <v>191</v>
      </c>
      <c r="F55" s="1" t="s">
        <v>39</v>
      </c>
      <c r="G55" s="1" t="s">
        <v>40</v>
      </c>
      <c r="H55" s="1" t="s">
        <v>28</v>
      </c>
      <c r="I55" s="1" t="s">
        <v>47</v>
      </c>
      <c r="J55" s="1" t="s">
        <v>54</v>
      </c>
      <c r="L55" s="3">
        <v>45597</v>
      </c>
      <c r="M55" s="3">
        <v>45200</v>
      </c>
      <c r="O55" s="1">
        <v>17528908</v>
      </c>
      <c r="P55" s="1" t="s">
        <v>31</v>
      </c>
      <c r="Q55" s="1" t="s">
        <v>112</v>
      </c>
      <c r="R55" s="1">
        <v>8192</v>
      </c>
      <c r="S55" s="1" t="s">
        <v>44</v>
      </c>
      <c r="T55" s="1" t="s">
        <v>34</v>
      </c>
      <c r="U55" s="1">
        <v>31.25</v>
      </c>
      <c r="V55" s="1" t="s">
        <v>35</v>
      </c>
      <c r="W55" s="3">
        <v>45175</v>
      </c>
      <c r="X55" s="1">
        <v>2024</v>
      </c>
    </row>
    <row r="56" spans="1:24" ht="15.75" customHeight="1" x14ac:dyDescent="0.25">
      <c r="A56" s="3">
        <v>45615</v>
      </c>
      <c r="B56" s="1" t="s">
        <v>192</v>
      </c>
      <c r="C56" s="2">
        <v>101098603800</v>
      </c>
      <c r="E56" s="1" t="s">
        <v>193</v>
      </c>
      <c r="F56" s="1" t="s">
        <v>39</v>
      </c>
      <c r="G56" s="1" t="s">
        <v>40</v>
      </c>
      <c r="H56" s="1" t="s">
        <v>28</v>
      </c>
      <c r="I56" s="1" t="s">
        <v>47</v>
      </c>
      <c r="J56" s="1" t="s">
        <v>111</v>
      </c>
      <c r="L56" s="3">
        <v>45597</v>
      </c>
      <c r="M56" s="3">
        <v>44562</v>
      </c>
      <c r="O56" s="1">
        <v>17528908</v>
      </c>
      <c r="P56" s="1" t="s">
        <v>31</v>
      </c>
      <c r="Q56" s="1" t="s">
        <v>112</v>
      </c>
      <c r="R56" s="1">
        <v>8192</v>
      </c>
      <c r="S56" s="1" t="s">
        <v>33</v>
      </c>
      <c r="T56" s="1" t="s">
        <v>34</v>
      </c>
      <c r="U56" s="1">
        <v>32.5</v>
      </c>
      <c r="V56" s="1" t="s">
        <v>35</v>
      </c>
      <c r="W56" s="3">
        <v>45444</v>
      </c>
      <c r="X56" s="1">
        <v>2024</v>
      </c>
    </row>
    <row r="57" spans="1:24" ht="15.75" customHeight="1" x14ac:dyDescent="0.25">
      <c r="A57" s="3">
        <v>45615</v>
      </c>
      <c r="B57" s="1" t="s">
        <v>194</v>
      </c>
      <c r="C57" s="2">
        <v>101778770300</v>
      </c>
      <c r="E57" s="1" t="s">
        <v>195</v>
      </c>
      <c r="F57" s="1" t="s">
        <v>39</v>
      </c>
      <c r="G57" s="1" t="s">
        <v>40</v>
      </c>
      <c r="H57" s="1" t="s">
        <v>28</v>
      </c>
      <c r="I57" s="1" t="s">
        <v>47</v>
      </c>
      <c r="J57" s="1" t="s">
        <v>111</v>
      </c>
      <c r="L57" s="3">
        <v>45597</v>
      </c>
      <c r="M57" s="3">
        <v>45231</v>
      </c>
      <c r="O57" s="1">
        <v>17528908</v>
      </c>
      <c r="P57" s="1" t="s">
        <v>31</v>
      </c>
      <c r="Q57" s="1" t="s">
        <v>112</v>
      </c>
      <c r="R57" s="1">
        <v>8192</v>
      </c>
      <c r="S57" s="1" t="s">
        <v>44</v>
      </c>
      <c r="T57" s="1" t="s">
        <v>34</v>
      </c>
      <c r="U57" s="1">
        <v>31.25</v>
      </c>
      <c r="V57" s="1" t="s">
        <v>35</v>
      </c>
      <c r="W57" s="3">
        <v>45213</v>
      </c>
      <c r="X57" s="1">
        <v>2024</v>
      </c>
    </row>
    <row r="58" spans="1:24" ht="15.75" customHeight="1" x14ac:dyDescent="0.25">
      <c r="A58" s="3">
        <v>45615</v>
      </c>
      <c r="B58" s="1" t="s">
        <v>196</v>
      </c>
      <c r="C58" s="2">
        <v>101783462600</v>
      </c>
      <c r="E58" s="1" t="s">
        <v>197</v>
      </c>
      <c r="F58" s="1" t="s">
        <v>39</v>
      </c>
      <c r="G58" s="1" t="s">
        <v>40</v>
      </c>
      <c r="H58" s="1" t="s">
        <v>28</v>
      </c>
      <c r="I58" s="1" t="s">
        <v>47</v>
      </c>
      <c r="J58" s="1" t="s">
        <v>48</v>
      </c>
      <c r="L58" s="3">
        <v>45597</v>
      </c>
      <c r="M58" s="3">
        <v>45261</v>
      </c>
      <c r="O58" s="1">
        <v>17528908</v>
      </c>
      <c r="P58" s="1" t="s">
        <v>31</v>
      </c>
      <c r="Q58" s="1" t="s">
        <v>112</v>
      </c>
      <c r="R58" s="1">
        <v>8192</v>
      </c>
      <c r="S58" s="1" t="s">
        <v>44</v>
      </c>
      <c r="T58" s="1" t="s">
        <v>34</v>
      </c>
      <c r="U58" s="1">
        <v>31.25</v>
      </c>
      <c r="V58" s="1" t="s">
        <v>35</v>
      </c>
      <c r="W58" s="3">
        <v>45215</v>
      </c>
      <c r="X58" s="1">
        <v>2024</v>
      </c>
    </row>
    <row r="59" spans="1:24" ht="15.75" customHeight="1" x14ac:dyDescent="0.25">
      <c r="A59" s="3">
        <v>45615</v>
      </c>
      <c r="B59" s="1" t="s">
        <v>198</v>
      </c>
      <c r="C59" s="2">
        <v>102082153100</v>
      </c>
      <c r="E59" s="1" t="s">
        <v>199</v>
      </c>
      <c r="F59" s="1" t="s">
        <v>200</v>
      </c>
      <c r="G59" s="1" t="s">
        <v>27</v>
      </c>
      <c r="H59" s="1" t="s">
        <v>28</v>
      </c>
      <c r="I59" s="1" t="s">
        <v>201</v>
      </c>
      <c r="J59" s="1" t="s">
        <v>202</v>
      </c>
      <c r="L59" s="3">
        <v>45627</v>
      </c>
      <c r="M59" s="3">
        <v>45627</v>
      </c>
      <c r="O59" s="1">
        <v>16865615</v>
      </c>
      <c r="P59" s="1" t="s">
        <v>31</v>
      </c>
      <c r="Q59" s="1" t="s">
        <v>203</v>
      </c>
      <c r="R59" s="1">
        <v>8192</v>
      </c>
      <c r="S59" s="1" t="s">
        <v>33</v>
      </c>
      <c r="T59" s="1" t="s">
        <v>34</v>
      </c>
      <c r="U59" s="1">
        <v>43</v>
      </c>
      <c r="V59" s="1" t="s">
        <v>35</v>
      </c>
      <c r="W59" s="3">
        <v>45596</v>
      </c>
      <c r="X59" s="1">
        <v>2024</v>
      </c>
    </row>
    <row r="60" spans="1:24" ht="15.75" customHeight="1" x14ac:dyDescent="0.25">
      <c r="A60" s="3">
        <v>45615</v>
      </c>
      <c r="B60" s="1" t="s">
        <v>204</v>
      </c>
      <c r="C60" s="2">
        <v>102084927600</v>
      </c>
      <c r="E60" s="1" t="s">
        <v>205</v>
      </c>
      <c r="F60" s="1" t="s">
        <v>26</v>
      </c>
      <c r="G60" s="1" t="s">
        <v>27</v>
      </c>
      <c r="H60" s="1" t="s">
        <v>28</v>
      </c>
      <c r="I60" s="1" t="s">
        <v>29</v>
      </c>
      <c r="J60" s="1" t="s">
        <v>30</v>
      </c>
      <c r="L60" s="3">
        <v>45627</v>
      </c>
      <c r="M60" s="3">
        <v>45627</v>
      </c>
      <c r="O60" s="1">
        <v>16865615</v>
      </c>
      <c r="P60" s="1" t="s">
        <v>31</v>
      </c>
      <c r="Q60" s="1" t="s">
        <v>203</v>
      </c>
      <c r="R60" s="1">
        <v>8192</v>
      </c>
      <c r="S60" s="1" t="s">
        <v>33</v>
      </c>
      <c r="T60" s="1" t="s">
        <v>34</v>
      </c>
      <c r="U60" s="1">
        <v>35.92</v>
      </c>
      <c r="V60" s="1" t="s">
        <v>35</v>
      </c>
      <c r="W60" s="3">
        <v>45599</v>
      </c>
      <c r="X60" s="1">
        <v>2024</v>
      </c>
    </row>
    <row r="61" spans="1:24" ht="15.75" customHeight="1" x14ac:dyDescent="0.25">
      <c r="A61" s="3">
        <v>45615</v>
      </c>
      <c r="B61" s="1" t="s">
        <v>206</v>
      </c>
      <c r="C61" s="2">
        <v>101279531500</v>
      </c>
      <c r="D61" s="1" t="s">
        <v>207</v>
      </c>
      <c r="E61" s="1" t="s">
        <v>208</v>
      </c>
      <c r="F61" s="1" t="s">
        <v>26</v>
      </c>
      <c r="G61" s="1" t="s">
        <v>40</v>
      </c>
      <c r="H61" s="1" t="s">
        <v>28</v>
      </c>
      <c r="I61" s="1" t="s">
        <v>209</v>
      </c>
      <c r="J61" s="1" t="s">
        <v>210</v>
      </c>
      <c r="L61" s="3">
        <v>45597</v>
      </c>
      <c r="M61" s="3">
        <v>43831</v>
      </c>
      <c r="N61" s="3">
        <v>45657</v>
      </c>
      <c r="O61" s="1">
        <v>9213293</v>
      </c>
      <c r="P61" s="1" t="s">
        <v>31</v>
      </c>
      <c r="Q61" s="1" t="s">
        <v>211</v>
      </c>
      <c r="R61" s="1">
        <v>8192</v>
      </c>
      <c r="S61" s="1" t="s">
        <v>33</v>
      </c>
      <c r="T61" s="1" t="s">
        <v>34</v>
      </c>
      <c r="U61" s="1">
        <v>29.25</v>
      </c>
      <c r="V61" s="1" t="s">
        <v>35</v>
      </c>
      <c r="W61" s="3">
        <v>45566</v>
      </c>
      <c r="X61" s="1">
        <v>2024</v>
      </c>
    </row>
    <row r="62" spans="1:24" ht="15.75" customHeight="1" x14ac:dyDescent="0.25">
      <c r="A62" s="3">
        <v>45615</v>
      </c>
      <c r="B62" s="1" t="s">
        <v>212</v>
      </c>
      <c r="C62" s="2">
        <v>101267237100</v>
      </c>
      <c r="D62" s="1" t="s">
        <v>213</v>
      </c>
      <c r="E62" s="1" t="s">
        <v>214</v>
      </c>
      <c r="F62" s="1" t="s">
        <v>26</v>
      </c>
      <c r="G62" s="1" t="s">
        <v>40</v>
      </c>
      <c r="H62" s="1" t="s">
        <v>28</v>
      </c>
      <c r="I62" s="1" t="s">
        <v>209</v>
      </c>
      <c r="J62" s="1" t="s">
        <v>210</v>
      </c>
      <c r="L62" s="3">
        <v>45597</v>
      </c>
      <c r="M62" s="3">
        <v>43831</v>
      </c>
      <c r="N62" s="3">
        <v>45657</v>
      </c>
      <c r="O62" s="1">
        <v>9213293</v>
      </c>
      <c r="P62" s="1" t="s">
        <v>31</v>
      </c>
      <c r="Q62" s="1" t="s">
        <v>211</v>
      </c>
      <c r="R62" s="1">
        <v>8192</v>
      </c>
      <c r="S62" s="1" t="s">
        <v>33</v>
      </c>
      <c r="T62" s="1" t="s">
        <v>34</v>
      </c>
      <c r="U62" s="1">
        <v>29.25</v>
      </c>
      <c r="V62" s="1" t="s">
        <v>35</v>
      </c>
      <c r="W62" s="3">
        <v>45566</v>
      </c>
      <c r="X62" s="1">
        <v>2024</v>
      </c>
    </row>
    <row r="63" spans="1:24" ht="15.75" customHeight="1" x14ac:dyDescent="0.25">
      <c r="A63" s="3">
        <v>45615</v>
      </c>
      <c r="B63" s="1" t="s">
        <v>215</v>
      </c>
      <c r="C63" s="2">
        <v>101478457400</v>
      </c>
      <c r="E63" s="1" t="s">
        <v>216</v>
      </c>
      <c r="F63" s="1" t="s">
        <v>26</v>
      </c>
      <c r="G63" s="1" t="s">
        <v>40</v>
      </c>
      <c r="H63" s="1" t="s">
        <v>28</v>
      </c>
      <c r="I63" s="1" t="s">
        <v>29</v>
      </c>
      <c r="J63" s="1" t="s">
        <v>217</v>
      </c>
      <c r="L63" s="3">
        <v>45597</v>
      </c>
      <c r="M63" s="3">
        <v>44927</v>
      </c>
      <c r="O63" s="1">
        <v>9213293</v>
      </c>
      <c r="P63" s="1" t="s">
        <v>31</v>
      </c>
      <c r="Q63" s="1" t="s">
        <v>211</v>
      </c>
      <c r="R63" s="1">
        <v>8192</v>
      </c>
      <c r="S63" s="1" t="s">
        <v>33</v>
      </c>
      <c r="T63" s="1" t="s">
        <v>34</v>
      </c>
      <c r="U63" s="1">
        <v>29.25</v>
      </c>
      <c r="V63" s="1" t="s">
        <v>35</v>
      </c>
      <c r="W63" s="3">
        <v>45597</v>
      </c>
      <c r="X63" s="1">
        <v>2024</v>
      </c>
    </row>
    <row r="64" spans="1:24" ht="15.75" customHeight="1" x14ac:dyDescent="0.25">
      <c r="A64" s="3">
        <v>45615</v>
      </c>
      <c r="B64" s="1" t="s">
        <v>218</v>
      </c>
      <c r="C64" s="2">
        <v>101558799400</v>
      </c>
      <c r="E64" s="1" t="s">
        <v>219</v>
      </c>
      <c r="F64" s="1" t="s">
        <v>39</v>
      </c>
      <c r="G64" s="1" t="s">
        <v>40</v>
      </c>
      <c r="H64" s="1" t="s">
        <v>28</v>
      </c>
      <c r="I64" s="1" t="s">
        <v>47</v>
      </c>
      <c r="J64" s="1" t="s">
        <v>220</v>
      </c>
      <c r="L64" s="3">
        <v>45597</v>
      </c>
      <c r="M64" s="3">
        <v>45231</v>
      </c>
      <c r="N64" s="3">
        <v>45657</v>
      </c>
      <c r="O64" s="1">
        <v>19606009</v>
      </c>
      <c r="P64" s="1" t="s">
        <v>31</v>
      </c>
      <c r="Q64" s="1" t="s">
        <v>221</v>
      </c>
      <c r="R64" s="1">
        <v>8192</v>
      </c>
      <c r="S64" s="1" t="s">
        <v>44</v>
      </c>
      <c r="T64" s="1" t="s">
        <v>34</v>
      </c>
      <c r="U64" s="1">
        <v>2.5</v>
      </c>
      <c r="V64" s="1" t="s">
        <v>35</v>
      </c>
      <c r="W64" s="3">
        <v>45222</v>
      </c>
      <c r="X64" s="1">
        <v>2024</v>
      </c>
    </row>
    <row r="65" spans="1:24" ht="15.75" customHeight="1" x14ac:dyDescent="0.25">
      <c r="A65" s="3">
        <v>45615</v>
      </c>
      <c r="B65" s="1" t="s">
        <v>222</v>
      </c>
      <c r="C65" s="2">
        <v>101067108300</v>
      </c>
      <c r="E65" s="1" t="s">
        <v>223</v>
      </c>
      <c r="F65" s="1" t="s">
        <v>39</v>
      </c>
      <c r="G65" s="1" t="s">
        <v>40</v>
      </c>
      <c r="H65" s="1" t="s">
        <v>28</v>
      </c>
      <c r="I65" s="1" t="s">
        <v>224</v>
      </c>
      <c r="J65" s="1" t="s">
        <v>54</v>
      </c>
      <c r="L65" s="3">
        <v>45597</v>
      </c>
      <c r="M65" s="3">
        <v>44075</v>
      </c>
      <c r="O65" s="1">
        <v>19606009</v>
      </c>
      <c r="P65" s="1" t="s">
        <v>31</v>
      </c>
      <c r="Q65" s="1" t="s">
        <v>221</v>
      </c>
      <c r="R65" s="1">
        <v>8192</v>
      </c>
      <c r="S65" s="1" t="s">
        <v>44</v>
      </c>
      <c r="T65" s="1" t="s">
        <v>34</v>
      </c>
      <c r="U65" s="1">
        <v>2.5</v>
      </c>
      <c r="V65" s="1" t="s">
        <v>35</v>
      </c>
      <c r="W65" s="3">
        <v>45261</v>
      </c>
      <c r="X65" s="1">
        <v>2024</v>
      </c>
    </row>
    <row r="66" spans="1:24" ht="15.75" customHeight="1" x14ac:dyDescent="0.25">
      <c r="A66" s="3">
        <v>45615</v>
      </c>
      <c r="B66" s="1" t="s">
        <v>225</v>
      </c>
      <c r="C66" s="2">
        <v>101067543000</v>
      </c>
      <c r="E66" s="1" t="s">
        <v>226</v>
      </c>
      <c r="F66" s="1" t="s">
        <v>39</v>
      </c>
      <c r="G66" s="1" t="s">
        <v>40</v>
      </c>
      <c r="H66" s="1" t="s">
        <v>28</v>
      </c>
      <c r="I66" s="1" t="s">
        <v>224</v>
      </c>
      <c r="J66" s="1" t="s">
        <v>54</v>
      </c>
      <c r="L66" s="3">
        <v>45597</v>
      </c>
      <c r="M66" s="3">
        <v>44228</v>
      </c>
      <c r="O66" s="1">
        <v>19606009</v>
      </c>
      <c r="P66" s="1" t="s">
        <v>31</v>
      </c>
      <c r="Q66" s="1" t="s">
        <v>221</v>
      </c>
      <c r="R66" s="1">
        <v>8192</v>
      </c>
      <c r="S66" s="1" t="s">
        <v>33</v>
      </c>
      <c r="T66" s="1" t="s">
        <v>34</v>
      </c>
      <c r="U66" s="1">
        <v>3.75</v>
      </c>
      <c r="V66" s="1" t="s">
        <v>35</v>
      </c>
      <c r="W66" s="3">
        <v>45352</v>
      </c>
      <c r="X66" s="1">
        <v>2024</v>
      </c>
    </row>
    <row r="67" spans="1:24" ht="15.75" customHeight="1" x14ac:dyDescent="0.25">
      <c r="A67" s="3">
        <v>45615</v>
      </c>
      <c r="B67" s="1" t="s">
        <v>227</v>
      </c>
      <c r="C67" s="2">
        <v>101521802900</v>
      </c>
      <c r="E67" s="1" t="s">
        <v>228</v>
      </c>
      <c r="F67" s="1" t="s">
        <v>39</v>
      </c>
      <c r="G67" s="1" t="s">
        <v>40</v>
      </c>
      <c r="H67" s="1" t="s">
        <v>28</v>
      </c>
      <c r="I67" s="1" t="s">
        <v>47</v>
      </c>
      <c r="J67" s="1" t="s">
        <v>220</v>
      </c>
      <c r="L67" s="3">
        <v>45597</v>
      </c>
      <c r="M67" s="3">
        <v>44593</v>
      </c>
      <c r="N67" s="3">
        <v>45657</v>
      </c>
      <c r="O67" s="1">
        <v>19606009</v>
      </c>
      <c r="P67" s="1" t="s">
        <v>31</v>
      </c>
      <c r="Q67" s="1" t="s">
        <v>221</v>
      </c>
      <c r="R67" s="1">
        <v>8192</v>
      </c>
      <c r="S67" s="1" t="s">
        <v>33</v>
      </c>
      <c r="T67" s="1" t="s">
        <v>34</v>
      </c>
      <c r="U67" s="1">
        <v>3.75</v>
      </c>
      <c r="V67" s="1" t="s">
        <v>35</v>
      </c>
      <c r="W67" s="3">
        <v>45352</v>
      </c>
      <c r="X67" s="1">
        <v>2024</v>
      </c>
    </row>
    <row r="68" spans="1:24" ht="15.75" customHeight="1" x14ac:dyDescent="0.25">
      <c r="A68" s="3">
        <v>45615</v>
      </c>
      <c r="B68" s="1" t="s">
        <v>229</v>
      </c>
      <c r="C68" s="2">
        <v>101527305700</v>
      </c>
      <c r="E68" s="1" t="s">
        <v>230</v>
      </c>
      <c r="F68" s="1" t="s">
        <v>39</v>
      </c>
      <c r="G68" s="1" t="s">
        <v>40</v>
      </c>
      <c r="H68" s="1" t="s">
        <v>28</v>
      </c>
      <c r="I68" s="1" t="s">
        <v>47</v>
      </c>
      <c r="J68" s="1" t="s">
        <v>220</v>
      </c>
      <c r="L68" s="3">
        <v>45597</v>
      </c>
      <c r="M68" s="3">
        <v>44927</v>
      </c>
      <c r="N68" s="3">
        <v>45657</v>
      </c>
      <c r="O68" s="1">
        <v>19606009</v>
      </c>
      <c r="P68" s="1" t="s">
        <v>31</v>
      </c>
      <c r="Q68" s="1" t="s">
        <v>221</v>
      </c>
      <c r="R68" s="1">
        <v>8192</v>
      </c>
      <c r="S68" s="1" t="s">
        <v>44</v>
      </c>
      <c r="T68" s="1" t="s">
        <v>34</v>
      </c>
      <c r="U68" s="1">
        <v>2.5</v>
      </c>
      <c r="V68" s="1" t="s">
        <v>35</v>
      </c>
      <c r="W68" s="3">
        <v>45231</v>
      </c>
      <c r="X68" s="1">
        <v>2024</v>
      </c>
    </row>
    <row r="69" spans="1:24" ht="15.75" customHeight="1" x14ac:dyDescent="0.25">
      <c r="A69" s="3">
        <v>45615</v>
      </c>
      <c r="B69" s="1" t="s">
        <v>231</v>
      </c>
      <c r="C69" s="2">
        <v>101462550000</v>
      </c>
      <c r="E69" s="1" t="s">
        <v>232</v>
      </c>
      <c r="F69" s="1" t="s">
        <v>39</v>
      </c>
      <c r="G69" s="1" t="s">
        <v>40</v>
      </c>
      <c r="H69" s="1" t="s">
        <v>28</v>
      </c>
      <c r="I69" s="1" t="s">
        <v>47</v>
      </c>
      <c r="J69" s="1" t="s">
        <v>220</v>
      </c>
      <c r="L69" s="3">
        <v>45597</v>
      </c>
      <c r="M69" s="3">
        <v>44927</v>
      </c>
      <c r="N69" s="3">
        <v>45657</v>
      </c>
      <c r="O69" s="1">
        <v>19606009</v>
      </c>
      <c r="P69" s="1" t="s">
        <v>31</v>
      </c>
      <c r="Q69" s="1" t="s">
        <v>221</v>
      </c>
      <c r="R69" s="1">
        <v>8192</v>
      </c>
      <c r="S69" s="1" t="s">
        <v>44</v>
      </c>
      <c r="T69" s="1" t="s">
        <v>34</v>
      </c>
      <c r="U69" s="1">
        <v>2.5</v>
      </c>
      <c r="V69" s="1" t="s">
        <v>35</v>
      </c>
      <c r="W69" s="3">
        <v>45231</v>
      </c>
      <c r="X69" s="1">
        <v>2024</v>
      </c>
    </row>
    <row r="70" spans="1:24" ht="15.75" customHeight="1" x14ac:dyDescent="0.25">
      <c r="A70" s="3">
        <v>45615</v>
      </c>
      <c r="B70" s="1" t="s">
        <v>233</v>
      </c>
      <c r="C70" s="2">
        <v>101521071400</v>
      </c>
      <c r="E70" s="1" t="s">
        <v>234</v>
      </c>
      <c r="F70" s="1" t="s">
        <v>39</v>
      </c>
      <c r="G70" s="1" t="s">
        <v>40</v>
      </c>
      <c r="H70" s="1" t="s">
        <v>28</v>
      </c>
      <c r="I70" s="1" t="s">
        <v>47</v>
      </c>
      <c r="J70" s="1" t="s">
        <v>51</v>
      </c>
      <c r="L70" s="3">
        <v>45597</v>
      </c>
      <c r="M70" s="3">
        <v>44593</v>
      </c>
      <c r="O70" s="1">
        <v>19606009</v>
      </c>
      <c r="P70" s="1" t="s">
        <v>31</v>
      </c>
      <c r="Q70" s="1" t="s">
        <v>221</v>
      </c>
      <c r="R70" s="1">
        <v>8192</v>
      </c>
      <c r="S70" s="1" t="s">
        <v>44</v>
      </c>
      <c r="T70" s="1" t="s">
        <v>34</v>
      </c>
      <c r="U70" s="1">
        <v>2.5</v>
      </c>
      <c r="V70" s="1" t="s">
        <v>35</v>
      </c>
      <c r="W70" s="3">
        <v>45231</v>
      </c>
      <c r="X70" s="1">
        <v>2024</v>
      </c>
    </row>
    <row r="71" spans="1:24" ht="15.75" customHeight="1" x14ac:dyDescent="0.25">
      <c r="A71" s="3">
        <v>45615</v>
      </c>
      <c r="B71" s="1" t="s">
        <v>235</v>
      </c>
      <c r="C71" s="2">
        <v>101456926300</v>
      </c>
      <c r="E71" s="1" t="s">
        <v>236</v>
      </c>
      <c r="F71" s="1" t="s">
        <v>39</v>
      </c>
      <c r="G71" s="1" t="s">
        <v>40</v>
      </c>
      <c r="H71" s="1" t="s">
        <v>28</v>
      </c>
      <c r="I71" s="1" t="s">
        <v>224</v>
      </c>
      <c r="J71" s="1" t="s">
        <v>54</v>
      </c>
      <c r="L71" s="3">
        <v>45597</v>
      </c>
      <c r="M71" s="3">
        <v>44287</v>
      </c>
      <c r="O71" s="1">
        <v>19606009</v>
      </c>
      <c r="P71" s="1" t="s">
        <v>31</v>
      </c>
      <c r="Q71" s="1" t="s">
        <v>221</v>
      </c>
      <c r="R71" s="1">
        <v>8192</v>
      </c>
      <c r="S71" s="1" t="s">
        <v>33</v>
      </c>
      <c r="T71" s="1" t="s">
        <v>34</v>
      </c>
      <c r="U71" s="1">
        <v>3.75</v>
      </c>
      <c r="V71" s="1" t="s">
        <v>35</v>
      </c>
      <c r="W71" s="3">
        <v>45352</v>
      </c>
      <c r="X71" s="1">
        <v>2024</v>
      </c>
    </row>
    <row r="72" spans="1:24" ht="15.75" customHeight="1" x14ac:dyDescent="0.25">
      <c r="A72" s="3">
        <v>45615</v>
      </c>
      <c r="B72" s="1" t="s">
        <v>237</v>
      </c>
      <c r="C72" s="2">
        <v>101094056700</v>
      </c>
      <c r="D72" s="1" t="s">
        <v>238</v>
      </c>
      <c r="E72" s="1" t="s">
        <v>239</v>
      </c>
      <c r="F72" s="1" t="s">
        <v>39</v>
      </c>
      <c r="G72" s="1" t="s">
        <v>40</v>
      </c>
      <c r="H72" s="1" t="s">
        <v>28</v>
      </c>
      <c r="I72" s="1" t="s">
        <v>143</v>
      </c>
      <c r="J72" s="1" t="s">
        <v>54</v>
      </c>
      <c r="L72" s="3">
        <v>45597</v>
      </c>
      <c r="M72" s="3">
        <v>43466</v>
      </c>
      <c r="O72" s="1">
        <v>19606009</v>
      </c>
      <c r="P72" s="1" t="s">
        <v>31</v>
      </c>
      <c r="Q72" s="1" t="s">
        <v>221</v>
      </c>
      <c r="R72" s="1">
        <v>8192</v>
      </c>
      <c r="S72" s="1" t="s">
        <v>33</v>
      </c>
      <c r="T72" s="1" t="s">
        <v>34</v>
      </c>
      <c r="U72" s="1">
        <v>3.75</v>
      </c>
      <c r="V72" s="1" t="s">
        <v>35</v>
      </c>
      <c r="W72" s="3">
        <v>45352</v>
      </c>
      <c r="X72" s="1">
        <v>2024</v>
      </c>
    </row>
    <row r="73" spans="1:24" ht="15.75" customHeight="1" x14ac:dyDescent="0.25">
      <c r="A73" s="3">
        <v>45615</v>
      </c>
      <c r="B73" s="1" t="s">
        <v>240</v>
      </c>
      <c r="C73" s="2">
        <v>101520146500</v>
      </c>
      <c r="E73" s="1" t="s">
        <v>241</v>
      </c>
      <c r="F73" s="1" t="s">
        <v>39</v>
      </c>
      <c r="G73" s="1" t="s">
        <v>40</v>
      </c>
      <c r="H73" s="1" t="s">
        <v>28</v>
      </c>
      <c r="I73" s="1" t="s">
        <v>47</v>
      </c>
      <c r="J73" s="1" t="s">
        <v>54</v>
      </c>
      <c r="L73" s="3">
        <v>45597</v>
      </c>
      <c r="M73" s="3">
        <v>44652</v>
      </c>
      <c r="O73" s="1">
        <v>19606009</v>
      </c>
      <c r="P73" s="1" t="s">
        <v>31</v>
      </c>
      <c r="Q73" s="1" t="s">
        <v>221</v>
      </c>
      <c r="R73" s="1">
        <v>8192</v>
      </c>
      <c r="S73" s="1" t="s">
        <v>44</v>
      </c>
      <c r="T73" s="1" t="s">
        <v>34</v>
      </c>
      <c r="U73" s="1">
        <v>2.5</v>
      </c>
      <c r="V73" s="1" t="s">
        <v>35</v>
      </c>
      <c r="W73" s="3">
        <v>45231</v>
      </c>
      <c r="X73" s="1">
        <v>2024</v>
      </c>
    </row>
    <row r="74" spans="1:24" ht="15.75" customHeight="1" x14ac:dyDescent="0.25">
      <c r="A74" s="3">
        <v>45615</v>
      </c>
      <c r="B74" s="1" t="s">
        <v>242</v>
      </c>
      <c r="C74" s="2">
        <v>101517826700</v>
      </c>
      <c r="E74" s="1" t="s">
        <v>243</v>
      </c>
      <c r="F74" s="1" t="s">
        <v>39</v>
      </c>
      <c r="G74" s="1" t="s">
        <v>40</v>
      </c>
      <c r="H74" s="1" t="s">
        <v>28</v>
      </c>
      <c r="I74" s="1" t="s">
        <v>47</v>
      </c>
      <c r="J74" s="1" t="s">
        <v>54</v>
      </c>
      <c r="L74" s="3">
        <v>45597</v>
      </c>
      <c r="M74" s="3">
        <v>44562</v>
      </c>
      <c r="O74" s="1">
        <v>19606009</v>
      </c>
      <c r="P74" s="1" t="s">
        <v>31</v>
      </c>
      <c r="Q74" s="1" t="s">
        <v>221</v>
      </c>
      <c r="R74" s="1">
        <v>8192</v>
      </c>
      <c r="S74" s="1" t="s">
        <v>44</v>
      </c>
      <c r="T74" s="1" t="s">
        <v>34</v>
      </c>
      <c r="U74" s="1">
        <v>2.5</v>
      </c>
      <c r="V74" s="1" t="s">
        <v>35</v>
      </c>
      <c r="W74" s="3">
        <v>45231</v>
      </c>
      <c r="X74" s="1">
        <v>2024</v>
      </c>
    </row>
    <row r="75" spans="1:24" ht="15.75" customHeight="1" x14ac:dyDescent="0.25">
      <c r="A75" s="3">
        <v>45615</v>
      </c>
      <c r="B75" s="1" t="s">
        <v>244</v>
      </c>
      <c r="C75" s="2">
        <v>101524578200</v>
      </c>
      <c r="E75" s="1" t="s">
        <v>245</v>
      </c>
      <c r="F75" s="1" t="s">
        <v>39</v>
      </c>
      <c r="G75" s="1" t="s">
        <v>40</v>
      </c>
      <c r="H75" s="1" t="s">
        <v>28</v>
      </c>
      <c r="I75" s="1" t="s">
        <v>47</v>
      </c>
      <c r="J75" s="1" t="s">
        <v>54</v>
      </c>
      <c r="L75" s="3">
        <v>45597</v>
      </c>
      <c r="M75" s="3">
        <v>44652</v>
      </c>
      <c r="O75" s="1">
        <v>19606009</v>
      </c>
      <c r="P75" s="1" t="s">
        <v>31</v>
      </c>
      <c r="Q75" s="1" t="s">
        <v>221</v>
      </c>
      <c r="R75" s="1">
        <v>8192</v>
      </c>
      <c r="S75" s="1" t="s">
        <v>44</v>
      </c>
      <c r="T75" s="1" t="s">
        <v>34</v>
      </c>
      <c r="U75" s="1">
        <v>2.5</v>
      </c>
      <c r="V75" s="1" t="s">
        <v>35</v>
      </c>
      <c r="W75" s="3">
        <v>45231</v>
      </c>
      <c r="X75" s="1">
        <v>2024</v>
      </c>
    </row>
    <row r="76" spans="1:24" ht="15.75" customHeight="1" x14ac:dyDescent="0.25">
      <c r="A76" s="3">
        <v>45615</v>
      </c>
      <c r="B76" s="1" t="s">
        <v>246</v>
      </c>
      <c r="C76" s="2">
        <v>101593153200</v>
      </c>
      <c r="E76" s="1" t="s">
        <v>247</v>
      </c>
      <c r="F76" s="1" t="s">
        <v>39</v>
      </c>
      <c r="G76" s="1" t="s">
        <v>40</v>
      </c>
      <c r="H76" s="1" t="s">
        <v>28</v>
      </c>
      <c r="I76" s="1" t="s">
        <v>47</v>
      </c>
      <c r="J76" s="1" t="s">
        <v>220</v>
      </c>
      <c r="L76" s="3">
        <v>45597</v>
      </c>
      <c r="M76" s="3">
        <v>44958</v>
      </c>
      <c r="N76" s="3">
        <v>45657</v>
      </c>
      <c r="O76" s="1">
        <v>19606009</v>
      </c>
      <c r="P76" s="1" t="s">
        <v>31</v>
      </c>
      <c r="Q76" s="1" t="s">
        <v>221</v>
      </c>
      <c r="R76" s="1">
        <v>8192</v>
      </c>
      <c r="S76" s="1" t="s">
        <v>44</v>
      </c>
      <c r="T76" s="1" t="s">
        <v>34</v>
      </c>
      <c r="U76" s="1">
        <v>2.5</v>
      </c>
      <c r="V76" s="1" t="s">
        <v>35</v>
      </c>
      <c r="W76" s="3">
        <v>45231</v>
      </c>
      <c r="X76" s="1">
        <v>2024</v>
      </c>
    </row>
    <row r="77" spans="1:24" ht="15.75" customHeight="1" x14ac:dyDescent="0.25">
      <c r="A77" s="3">
        <v>45615</v>
      </c>
      <c r="B77" s="1" t="s">
        <v>248</v>
      </c>
      <c r="C77" s="2">
        <v>101471626400</v>
      </c>
      <c r="E77" s="1" t="s">
        <v>249</v>
      </c>
      <c r="F77" s="1" t="s">
        <v>39</v>
      </c>
      <c r="G77" s="1" t="s">
        <v>40</v>
      </c>
      <c r="H77" s="1" t="s">
        <v>138</v>
      </c>
      <c r="I77" s="1" t="s">
        <v>47</v>
      </c>
      <c r="J77" s="1" t="s">
        <v>139</v>
      </c>
      <c r="L77" s="3">
        <v>45597</v>
      </c>
      <c r="M77" s="3">
        <v>44562</v>
      </c>
      <c r="O77" s="1">
        <v>19606009</v>
      </c>
      <c r="P77" s="1" t="s">
        <v>31</v>
      </c>
      <c r="Q77" s="1" t="s">
        <v>221</v>
      </c>
      <c r="R77" s="1">
        <v>8192</v>
      </c>
      <c r="S77" s="1" t="s">
        <v>44</v>
      </c>
      <c r="T77" s="1" t="s">
        <v>34</v>
      </c>
      <c r="U77" s="1">
        <v>2.5</v>
      </c>
      <c r="V77" s="1" t="s">
        <v>35</v>
      </c>
      <c r="W77" s="3">
        <v>45231</v>
      </c>
      <c r="X77" s="1">
        <v>2024</v>
      </c>
    </row>
    <row r="78" spans="1:24" ht="15.75" customHeight="1" x14ac:dyDescent="0.25">
      <c r="A78" s="3">
        <v>45615</v>
      </c>
      <c r="B78" s="1" t="s">
        <v>250</v>
      </c>
      <c r="C78" s="2">
        <v>101109146700</v>
      </c>
      <c r="E78" s="1" t="s">
        <v>251</v>
      </c>
      <c r="F78" s="1" t="s">
        <v>39</v>
      </c>
      <c r="G78" s="1" t="s">
        <v>40</v>
      </c>
      <c r="H78" s="1" t="s">
        <v>28</v>
      </c>
      <c r="I78" s="1" t="s">
        <v>224</v>
      </c>
      <c r="J78" s="1" t="s">
        <v>220</v>
      </c>
      <c r="L78" s="3">
        <v>45597</v>
      </c>
      <c r="M78" s="3">
        <v>43831</v>
      </c>
      <c r="N78" s="3">
        <v>45657</v>
      </c>
      <c r="O78" s="1">
        <v>19606009</v>
      </c>
      <c r="P78" s="1" t="s">
        <v>31</v>
      </c>
      <c r="Q78" s="1" t="s">
        <v>221</v>
      </c>
      <c r="R78" s="1">
        <v>8192</v>
      </c>
      <c r="S78" s="1" t="s">
        <v>33</v>
      </c>
      <c r="T78" s="1" t="s">
        <v>34</v>
      </c>
      <c r="U78" s="1">
        <v>3.75</v>
      </c>
      <c r="V78" s="1" t="s">
        <v>35</v>
      </c>
      <c r="W78" s="3">
        <v>45352</v>
      </c>
      <c r="X78" s="1">
        <v>2024</v>
      </c>
    </row>
    <row r="79" spans="1:24" ht="15.75" customHeight="1" x14ac:dyDescent="0.25">
      <c r="A79" s="3">
        <v>45615</v>
      </c>
      <c r="B79" s="1" t="s">
        <v>252</v>
      </c>
      <c r="C79" s="2">
        <v>101084611600</v>
      </c>
      <c r="D79" s="1" t="s">
        <v>253</v>
      </c>
      <c r="E79" s="1" t="s">
        <v>254</v>
      </c>
      <c r="F79" s="1" t="s">
        <v>39</v>
      </c>
      <c r="G79" s="1" t="s">
        <v>40</v>
      </c>
      <c r="H79" s="1" t="s">
        <v>28</v>
      </c>
      <c r="I79" s="1" t="s">
        <v>255</v>
      </c>
      <c r="J79" s="1" t="s">
        <v>51</v>
      </c>
      <c r="L79" s="3">
        <v>45597</v>
      </c>
      <c r="M79" s="3">
        <v>37987</v>
      </c>
      <c r="O79" s="1">
        <v>17886092</v>
      </c>
      <c r="P79" s="1" t="s">
        <v>31</v>
      </c>
      <c r="Q79" s="1" t="s">
        <v>256</v>
      </c>
      <c r="R79" s="1">
        <v>8192</v>
      </c>
      <c r="S79" s="1" t="s">
        <v>44</v>
      </c>
      <c r="T79" s="1" t="s">
        <v>34</v>
      </c>
      <c r="U79" s="1">
        <v>2.5</v>
      </c>
      <c r="V79" s="1" t="s">
        <v>35</v>
      </c>
      <c r="W79" s="3">
        <v>45231</v>
      </c>
      <c r="X79" s="1">
        <v>2024</v>
      </c>
    </row>
    <row r="80" spans="1:24" ht="15.75" customHeight="1" x14ac:dyDescent="0.25">
      <c r="A80" s="3">
        <v>45615</v>
      </c>
      <c r="B80" s="1" t="s">
        <v>257</v>
      </c>
      <c r="C80" s="2">
        <v>101775104200</v>
      </c>
      <c r="E80" s="1" t="s">
        <v>258</v>
      </c>
      <c r="F80" s="1" t="s">
        <v>39</v>
      </c>
      <c r="G80" s="1" t="s">
        <v>40</v>
      </c>
      <c r="H80" s="1" t="s">
        <v>28</v>
      </c>
      <c r="I80" s="1" t="s">
        <v>47</v>
      </c>
      <c r="J80" s="1" t="s">
        <v>54</v>
      </c>
      <c r="L80" s="3">
        <v>45597</v>
      </c>
      <c r="M80" s="3">
        <v>45200</v>
      </c>
      <c r="O80" s="1">
        <v>17886092</v>
      </c>
      <c r="P80" s="1" t="s">
        <v>31</v>
      </c>
      <c r="Q80" s="1" t="s">
        <v>256</v>
      </c>
      <c r="R80" s="1">
        <v>8192</v>
      </c>
      <c r="S80" s="1" t="s">
        <v>44</v>
      </c>
      <c r="T80" s="1" t="s">
        <v>34</v>
      </c>
      <c r="U80" s="1">
        <v>2.5</v>
      </c>
      <c r="V80" s="1" t="s">
        <v>35</v>
      </c>
      <c r="W80" s="3">
        <v>45198</v>
      </c>
      <c r="X80" s="1">
        <v>2024</v>
      </c>
    </row>
    <row r="81" spans="1:24" ht="15.75" customHeight="1" x14ac:dyDescent="0.25">
      <c r="A81" s="3">
        <v>45615</v>
      </c>
      <c r="B81" s="1" t="s">
        <v>259</v>
      </c>
      <c r="C81" s="2">
        <v>101778268700</v>
      </c>
      <c r="E81" s="1" t="s">
        <v>260</v>
      </c>
      <c r="F81" s="1" t="s">
        <v>39</v>
      </c>
      <c r="G81" s="1" t="s">
        <v>40</v>
      </c>
      <c r="H81" s="1" t="s">
        <v>28</v>
      </c>
      <c r="I81" s="1" t="s">
        <v>47</v>
      </c>
      <c r="J81" s="1" t="s">
        <v>48</v>
      </c>
      <c r="L81" s="3">
        <v>45597</v>
      </c>
      <c r="M81" s="3">
        <v>45231</v>
      </c>
      <c r="O81" s="1">
        <v>17886092</v>
      </c>
      <c r="P81" s="1" t="s">
        <v>31</v>
      </c>
      <c r="Q81" s="1" t="s">
        <v>256</v>
      </c>
      <c r="R81" s="1">
        <v>8192</v>
      </c>
      <c r="S81" s="1" t="s">
        <v>44</v>
      </c>
      <c r="T81" s="1" t="s">
        <v>34</v>
      </c>
      <c r="U81" s="1">
        <v>2.5</v>
      </c>
      <c r="V81" s="1" t="s">
        <v>35</v>
      </c>
      <c r="W81" s="3">
        <v>45209</v>
      </c>
      <c r="X81" s="1">
        <v>2024</v>
      </c>
    </row>
    <row r="82" spans="1:24" ht="15.75" customHeight="1" x14ac:dyDescent="0.25">
      <c r="A82" s="3">
        <v>45615</v>
      </c>
      <c r="B82" s="1" t="s">
        <v>261</v>
      </c>
      <c r="C82" s="2">
        <v>101772686200</v>
      </c>
      <c r="E82" s="1" t="s">
        <v>262</v>
      </c>
      <c r="F82" s="1" t="s">
        <v>39</v>
      </c>
      <c r="G82" s="1" t="s">
        <v>40</v>
      </c>
      <c r="H82" s="1" t="s">
        <v>28</v>
      </c>
      <c r="I82" s="1" t="s">
        <v>47</v>
      </c>
      <c r="J82" s="1" t="s">
        <v>51</v>
      </c>
      <c r="L82" s="3">
        <v>45597</v>
      </c>
      <c r="M82" s="3">
        <v>45231</v>
      </c>
      <c r="O82" s="1">
        <v>17886092</v>
      </c>
      <c r="P82" s="1" t="s">
        <v>31</v>
      </c>
      <c r="Q82" s="1" t="s">
        <v>256</v>
      </c>
      <c r="R82" s="1">
        <v>8192</v>
      </c>
      <c r="S82" s="1" t="s">
        <v>44</v>
      </c>
      <c r="T82" s="1" t="s">
        <v>34</v>
      </c>
      <c r="U82" s="1">
        <v>2.5</v>
      </c>
      <c r="V82" s="1" t="s">
        <v>35</v>
      </c>
      <c r="W82" s="3">
        <v>45191</v>
      </c>
      <c r="X82" s="1">
        <v>2024</v>
      </c>
    </row>
    <row r="83" spans="1:24" ht="15.75" customHeight="1" x14ac:dyDescent="0.25">
      <c r="A83" s="3">
        <v>45615</v>
      </c>
      <c r="B83" s="1" t="s">
        <v>263</v>
      </c>
      <c r="C83" s="2">
        <v>101082956400</v>
      </c>
      <c r="D83" s="1" t="s">
        <v>264</v>
      </c>
      <c r="E83" s="1" t="s">
        <v>265</v>
      </c>
      <c r="F83" s="1" t="s">
        <v>39</v>
      </c>
      <c r="G83" s="1" t="s">
        <v>40</v>
      </c>
      <c r="H83" s="1" t="s">
        <v>28</v>
      </c>
      <c r="I83" s="1" t="s">
        <v>255</v>
      </c>
      <c r="J83" s="1" t="s">
        <v>187</v>
      </c>
      <c r="L83" s="3">
        <v>45597</v>
      </c>
      <c r="M83" s="3">
        <v>41000</v>
      </c>
      <c r="O83" s="1">
        <v>17886092</v>
      </c>
      <c r="P83" s="1" t="s">
        <v>31</v>
      </c>
      <c r="Q83" s="1" t="s">
        <v>256</v>
      </c>
      <c r="R83" s="1">
        <v>8192</v>
      </c>
      <c r="S83" s="1" t="s">
        <v>44</v>
      </c>
      <c r="T83" s="1" t="s">
        <v>34</v>
      </c>
      <c r="U83" s="1">
        <v>2.5</v>
      </c>
      <c r="V83" s="1" t="s">
        <v>35</v>
      </c>
      <c r="W83" s="3">
        <v>45261</v>
      </c>
      <c r="X83" s="1">
        <v>2024</v>
      </c>
    </row>
    <row r="84" spans="1:24" ht="15.75" customHeight="1" x14ac:dyDescent="0.25">
      <c r="A84" s="3">
        <v>45615</v>
      </c>
      <c r="B84" s="1" t="s">
        <v>266</v>
      </c>
      <c r="C84" s="2">
        <v>101770929100</v>
      </c>
      <c r="E84" s="1" t="s">
        <v>267</v>
      </c>
      <c r="F84" s="1" t="s">
        <v>39</v>
      </c>
      <c r="G84" s="1" t="s">
        <v>40</v>
      </c>
      <c r="H84" s="1" t="s">
        <v>28</v>
      </c>
      <c r="I84" s="1" t="s">
        <v>47</v>
      </c>
      <c r="J84" s="1" t="s">
        <v>54</v>
      </c>
      <c r="L84" s="3">
        <v>45597</v>
      </c>
      <c r="M84" s="3">
        <v>45261</v>
      </c>
      <c r="O84" s="1">
        <v>17886092</v>
      </c>
      <c r="P84" s="1" t="s">
        <v>31</v>
      </c>
      <c r="Q84" s="1" t="s">
        <v>256</v>
      </c>
      <c r="R84" s="1">
        <v>8192</v>
      </c>
      <c r="S84" s="1" t="s">
        <v>44</v>
      </c>
      <c r="T84" s="1" t="s">
        <v>34</v>
      </c>
      <c r="U84" s="1">
        <v>2.5</v>
      </c>
      <c r="V84" s="1" t="s">
        <v>35</v>
      </c>
      <c r="W84" s="3">
        <v>45188</v>
      </c>
      <c r="X84" s="1">
        <v>2024</v>
      </c>
    </row>
    <row r="85" spans="1:24" ht="15.75" customHeight="1" x14ac:dyDescent="0.25">
      <c r="A85" s="3">
        <v>45615</v>
      </c>
      <c r="B85" s="1" t="s">
        <v>268</v>
      </c>
      <c r="C85" s="2">
        <v>101072603200</v>
      </c>
      <c r="D85" s="1" t="s">
        <v>269</v>
      </c>
      <c r="E85" s="1" t="s">
        <v>270</v>
      </c>
      <c r="F85" s="1" t="s">
        <v>39</v>
      </c>
      <c r="G85" s="1" t="s">
        <v>40</v>
      </c>
      <c r="H85" s="1" t="s">
        <v>28</v>
      </c>
      <c r="I85" s="1" t="s">
        <v>271</v>
      </c>
      <c r="J85" s="1" t="s">
        <v>220</v>
      </c>
      <c r="L85" s="3">
        <v>45597</v>
      </c>
      <c r="M85" s="3">
        <v>42736</v>
      </c>
      <c r="N85" s="3">
        <v>45657</v>
      </c>
      <c r="O85" s="1">
        <v>17886092</v>
      </c>
      <c r="P85" s="1" t="s">
        <v>31</v>
      </c>
      <c r="Q85" s="1" t="s">
        <v>256</v>
      </c>
      <c r="R85" s="1">
        <v>8192</v>
      </c>
      <c r="S85" s="1" t="s">
        <v>44</v>
      </c>
      <c r="T85" s="1" t="s">
        <v>34</v>
      </c>
      <c r="U85" s="1">
        <v>2.5</v>
      </c>
      <c r="V85" s="1" t="s">
        <v>35</v>
      </c>
      <c r="W85" s="3">
        <v>45261</v>
      </c>
      <c r="X85" s="1">
        <v>2024</v>
      </c>
    </row>
    <row r="86" spans="1:24" ht="15.75" customHeight="1" x14ac:dyDescent="0.25">
      <c r="A86" s="3">
        <v>45615</v>
      </c>
      <c r="B86" s="1" t="s">
        <v>272</v>
      </c>
      <c r="C86" s="2">
        <v>101062800700</v>
      </c>
      <c r="D86" s="1" t="s">
        <v>273</v>
      </c>
      <c r="E86" s="1" t="s">
        <v>274</v>
      </c>
      <c r="F86" s="1" t="s">
        <v>39</v>
      </c>
      <c r="G86" s="1" t="s">
        <v>40</v>
      </c>
      <c r="H86" s="1" t="s">
        <v>28</v>
      </c>
      <c r="I86" s="1" t="s">
        <v>271</v>
      </c>
      <c r="J86" s="1" t="s">
        <v>220</v>
      </c>
      <c r="L86" s="3">
        <v>45597</v>
      </c>
      <c r="M86" s="3">
        <v>42736</v>
      </c>
      <c r="N86" s="3">
        <v>45657</v>
      </c>
      <c r="O86" s="1">
        <v>17886092</v>
      </c>
      <c r="P86" s="1" t="s">
        <v>31</v>
      </c>
      <c r="Q86" s="1" t="s">
        <v>256</v>
      </c>
      <c r="R86" s="1">
        <v>8192</v>
      </c>
      <c r="S86" s="1" t="s">
        <v>44</v>
      </c>
      <c r="T86" s="1" t="s">
        <v>34</v>
      </c>
      <c r="U86" s="1">
        <v>2.5</v>
      </c>
      <c r="V86" s="1" t="s">
        <v>35</v>
      </c>
      <c r="W86" s="3">
        <v>45261</v>
      </c>
      <c r="X86" s="1">
        <v>2024</v>
      </c>
    </row>
    <row r="87" spans="1:24" ht="15.75" customHeight="1" x14ac:dyDescent="0.25">
      <c r="A87" s="3">
        <v>45615</v>
      </c>
      <c r="B87" s="1" t="s">
        <v>275</v>
      </c>
      <c r="C87" s="2">
        <v>101791541400</v>
      </c>
      <c r="E87" s="1" t="s">
        <v>276</v>
      </c>
      <c r="F87" s="1" t="s">
        <v>39</v>
      </c>
      <c r="G87" s="1" t="s">
        <v>40</v>
      </c>
      <c r="H87" s="1" t="s">
        <v>28</v>
      </c>
      <c r="I87" s="1" t="s">
        <v>47</v>
      </c>
      <c r="J87" s="1" t="s">
        <v>54</v>
      </c>
      <c r="L87" s="3">
        <v>45597</v>
      </c>
      <c r="M87" s="3">
        <v>45261</v>
      </c>
      <c r="O87" s="1">
        <v>17886092</v>
      </c>
      <c r="P87" s="1" t="s">
        <v>31</v>
      </c>
      <c r="Q87" s="1" t="s">
        <v>256</v>
      </c>
      <c r="R87" s="1">
        <v>8192</v>
      </c>
      <c r="S87" s="1" t="s">
        <v>44</v>
      </c>
      <c r="T87" s="1" t="s">
        <v>34</v>
      </c>
      <c r="U87" s="1">
        <v>2.5</v>
      </c>
      <c r="V87" s="1" t="s">
        <v>35</v>
      </c>
      <c r="W87" s="3">
        <v>45223</v>
      </c>
      <c r="X87" s="1">
        <v>2024</v>
      </c>
    </row>
    <row r="88" spans="1:24" ht="15.75" customHeight="1" x14ac:dyDescent="0.25">
      <c r="A88" s="3">
        <v>45615</v>
      </c>
      <c r="B88" s="1" t="s">
        <v>277</v>
      </c>
      <c r="C88" s="2">
        <v>101054911000</v>
      </c>
      <c r="D88" s="1" t="s">
        <v>278</v>
      </c>
      <c r="E88" s="1" t="s">
        <v>279</v>
      </c>
      <c r="F88" s="1" t="s">
        <v>39</v>
      </c>
      <c r="G88" s="1" t="s">
        <v>40</v>
      </c>
      <c r="H88" s="1" t="s">
        <v>28</v>
      </c>
      <c r="I88" s="1" t="s">
        <v>143</v>
      </c>
      <c r="J88" s="1" t="s">
        <v>48</v>
      </c>
      <c r="L88" s="3">
        <v>45597</v>
      </c>
      <c r="M88" s="3">
        <v>43678</v>
      </c>
      <c r="O88" s="1">
        <v>17886092</v>
      </c>
      <c r="P88" s="1" t="s">
        <v>31</v>
      </c>
      <c r="Q88" s="1" t="s">
        <v>256</v>
      </c>
      <c r="R88" s="1">
        <v>8192</v>
      </c>
      <c r="S88" s="1" t="s">
        <v>33</v>
      </c>
      <c r="T88" s="1" t="s">
        <v>34</v>
      </c>
      <c r="U88" s="1">
        <v>1.25</v>
      </c>
      <c r="V88" s="1" t="s">
        <v>35</v>
      </c>
      <c r="W88" s="3">
        <v>45597</v>
      </c>
      <c r="X88" s="1">
        <v>2024</v>
      </c>
    </row>
    <row r="89" spans="1:24" ht="15.75" customHeight="1" x14ac:dyDescent="0.25">
      <c r="A89" s="3">
        <v>45615</v>
      </c>
      <c r="B89" s="1" t="s">
        <v>280</v>
      </c>
      <c r="C89" s="2">
        <v>101471419800</v>
      </c>
      <c r="E89" s="1" t="s">
        <v>281</v>
      </c>
      <c r="F89" s="1" t="s">
        <v>39</v>
      </c>
      <c r="G89" s="1" t="s">
        <v>40</v>
      </c>
      <c r="H89" s="1" t="s">
        <v>28</v>
      </c>
      <c r="I89" s="1" t="s">
        <v>47</v>
      </c>
      <c r="J89" s="1" t="s">
        <v>177</v>
      </c>
      <c r="L89" s="3">
        <v>45597</v>
      </c>
      <c r="M89" s="3">
        <v>44927</v>
      </c>
      <c r="O89" s="1">
        <v>17886092</v>
      </c>
      <c r="P89" s="1" t="s">
        <v>31</v>
      </c>
      <c r="Q89" s="1" t="s">
        <v>256</v>
      </c>
      <c r="R89" s="1">
        <v>8192</v>
      </c>
      <c r="S89" s="1" t="s">
        <v>44</v>
      </c>
      <c r="T89" s="1" t="s">
        <v>34</v>
      </c>
      <c r="U89" s="1">
        <v>2.5</v>
      </c>
      <c r="V89" s="1" t="s">
        <v>35</v>
      </c>
      <c r="W89" s="3">
        <v>45323</v>
      </c>
      <c r="X89" s="1">
        <v>2024</v>
      </c>
    </row>
    <row r="90" spans="1:24" ht="15.75" customHeight="1" x14ac:dyDescent="0.25">
      <c r="A90" s="3">
        <v>45615</v>
      </c>
      <c r="B90" s="1" t="s">
        <v>282</v>
      </c>
      <c r="C90" s="2">
        <v>101061019000</v>
      </c>
      <c r="D90" s="1" t="s">
        <v>283</v>
      </c>
      <c r="E90" s="1" t="s">
        <v>284</v>
      </c>
      <c r="F90" s="1" t="s">
        <v>39</v>
      </c>
      <c r="G90" s="1" t="s">
        <v>40</v>
      </c>
      <c r="H90" s="1" t="s">
        <v>28</v>
      </c>
      <c r="I90" s="1" t="s">
        <v>143</v>
      </c>
      <c r="J90" s="1" t="s">
        <v>220</v>
      </c>
      <c r="L90" s="3">
        <v>45597</v>
      </c>
      <c r="M90" s="3">
        <v>43466</v>
      </c>
      <c r="N90" s="3">
        <v>45657</v>
      </c>
      <c r="O90" s="1">
        <v>17886092</v>
      </c>
      <c r="P90" s="1" t="s">
        <v>31</v>
      </c>
      <c r="Q90" s="1" t="s">
        <v>256</v>
      </c>
      <c r="R90" s="1">
        <v>8192</v>
      </c>
      <c r="S90" s="1" t="s">
        <v>44</v>
      </c>
      <c r="T90" s="1" t="s">
        <v>34</v>
      </c>
      <c r="U90" s="1">
        <v>2.5</v>
      </c>
      <c r="V90" s="1" t="s">
        <v>35</v>
      </c>
      <c r="W90" s="3">
        <v>45200</v>
      </c>
      <c r="X90" s="1">
        <v>2024</v>
      </c>
    </row>
    <row r="91" spans="1:24" ht="15.75" customHeight="1" x14ac:dyDescent="0.25">
      <c r="A91" s="3">
        <v>45615</v>
      </c>
      <c r="B91" s="1" t="s">
        <v>285</v>
      </c>
      <c r="C91" s="2">
        <v>101093137900</v>
      </c>
      <c r="D91" s="1" t="s">
        <v>286</v>
      </c>
      <c r="E91" s="1" t="s">
        <v>287</v>
      </c>
      <c r="F91" s="1" t="s">
        <v>39</v>
      </c>
      <c r="G91" s="1" t="s">
        <v>40</v>
      </c>
      <c r="H91" s="1" t="s">
        <v>28</v>
      </c>
      <c r="I91" s="1" t="s">
        <v>143</v>
      </c>
      <c r="J91" s="1" t="s">
        <v>220</v>
      </c>
      <c r="L91" s="3">
        <v>45597</v>
      </c>
      <c r="M91" s="3">
        <v>43466</v>
      </c>
      <c r="N91" s="3">
        <v>45657</v>
      </c>
      <c r="O91" s="1">
        <v>17886092</v>
      </c>
      <c r="P91" s="1" t="s">
        <v>31</v>
      </c>
      <c r="Q91" s="1" t="s">
        <v>256</v>
      </c>
      <c r="R91" s="1">
        <v>8192</v>
      </c>
      <c r="S91" s="1" t="s">
        <v>44</v>
      </c>
      <c r="T91" s="1" t="s">
        <v>34</v>
      </c>
      <c r="U91" s="1">
        <v>2.5</v>
      </c>
      <c r="V91" s="1" t="s">
        <v>35</v>
      </c>
      <c r="W91" s="3">
        <v>45200</v>
      </c>
      <c r="X91" s="1">
        <v>2024</v>
      </c>
    </row>
    <row r="92" spans="1:24" ht="15.75" customHeight="1" x14ac:dyDescent="0.25">
      <c r="A92" s="3">
        <v>45615</v>
      </c>
      <c r="B92" s="1" t="s">
        <v>288</v>
      </c>
      <c r="C92" s="2">
        <v>101836449900</v>
      </c>
      <c r="E92" s="1" t="s">
        <v>289</v>
      </c>
      <c r="F92" s="1" t="s">
        <v>39</v>
      </c>
      <c r="G92" s="1" t="s">
        <v>40</v>
      </c>
      <c r="H92" s="1" t="s">
        <v>28</v>
      </c>
      <c r="I92" s="1" t="s">
        <v>47</v>
      </c>
      <c r="J92" s="1" t="s">
        <v>54</v>
      </c>
      <c r="L92" s="3">
        <v>45597</v>
      </c>
      <c r="M92" s="3">
        <v>45261</v>
      </c>
      <c r="O92" s="1">
        <v>17886092</v>
      </c>
      <c r="P92" s="1" t="s">
        <v>31</v>
      </c>
      <c r="Q92" s="1" t="s">
        <v>256</v>
      </c>
      <c r="R92" s="1">
        <v>8192</v>
      </c>
      <c r="S92" s="1" t="s">
        <v>44</v>
      </c>
      <c r="T92" s="1" t="s">
        <v>34</v>
      </c>
      <c r="U92" s="1">
        <v>2.5</v>
      </c>
      <c r="V92" s="1" t="s">
        <v>35</v>
      </c>
      <c r="W92" s="3">
        <v>45251</v>
      </c>
      <c r="X92" s="1">
        <v>2024</v>
      </c>
    </row>
    <row r="93" spans="1:24" ht="15.75" customHeight="1" x14ac:dyDescent="0.25">
      <c r="A93" s="3">
        <v>45615</v>
      </c>
      <c r="B93" s="1" t="s">
        <v>290</v>
      </c>
      <c r="C93" s="2">
        <v>101095837500</v>
      </c>
      <c r="D93" s="1" t="s">
        <v>291</v>
      </c>
      <c r="E93" s="1" t="s">
        <v>292</v>
      </c>
      <c r="F93" s="1" t="s">
        <v>39</v>
      </c>
      <c r="G93" s="1" t="s">
        <v>40</v>
      </c>
      <c r="H93" s="1" t="s">
        <v>28</v>
      </c>
      <c r="I93" s="1" t="s">
        <v>143</v>
      </c>
      <c r="J93" s="1" t="s">
        <v>220</v>
      </c>
      <c r="L93" s="3">
        <v>45597</v>
      </c>
      <c r="M93" s="3">
        <v>43466</v>
      </c>
      <c r="N93" s="3">
        <v>45657</v>
      </c>
      <c r="O93" s="1">
        <v>17886092</v>
      </c>
      <c r="P93" s="1" t="s">
        <v>31</v>
      </c>
      <c r="Q93" s="1" t="s">
        <v>256</v>
      </c>
      <c r="R93" s="1">
        <v>8192</v>
      </c>
      <c r="S93" s="1" t="s">
        <v>44</v>
      </c>
      <c r="T93" s="1" t="s">
        <v>34</v>
      </c>
      <c r="U93" s="1">
        <v>2.5</v>
      </c>
      <c r="V93" s="1" t="s">
        <v>35</v>
      </c>
      <c r="W93" s="3">
        <v>45261</v>
      </c>
      <c r="X93" s="1">
        <v>2024</v>
      </c>
    </row>
    <row r="94" spans="1:24" ht="15.75" customHeight="1" x14ac:dyDescent="0.25">
      <c r="A94" s="3">
        <v>45615</v>
      </c>
      <c r="B94" s="1" t="s">
        <v>293</v>
      </c>
      <c r="C94" s="2">
        <v>101065125000</v>
      </c>
      <c r="D94" s="1" t="s">
        <v>294</v>
      </c>
      <c r="E94" s="1" t="s">
        <v>295</v>
      </c>
      <c r="F94" s="1" t="s">
        <v>39</v>
      </c>
      <c r="G94" s="1" t="s">
        <v>40</v>
      </c>
      <c r="H94" s="1" t="s">
        <v>28</v>
      </c>
      <c r="I94" s="1" t="s">
        <v>143</v>
      </c>
      <c r="J94" s="1" t="s">
        <v>220</v>
      </c>
      <c r="L94" s="3">
        <v>45597</v>
      </c>
      <c r="M94" s="3">
        <v>43466</v>
      </c>
      <c r="N94" s="3">
        <v>45657</v>
      </c>
      <c r="O94" s="1">
        <v>17886092</v>
      </c>
      <c r="P94" s="1" t="s">
        <v>31</v>
      </c>
      <c r="Q94" s="1" t="s">
        <v>256</v>
      </c>
      <c r="R94" s="1">
        <v>8192</v>
      </c>
      <c r="S94" s="1" t="s">
        <v>44</v>
      </c>
      <c r="T94" s="1" t="s">
        <v>34</v>
      </c>
      <c r="U94" s="1">
        <v>2.5</v>
      </c>
      <c r="V94" s="1" t="s">
        <v>35</v>
      </c>
      <c r="W94" s="3">
        <v>45261</v>
      </c>
      <c r="X94" s="1">
        <v>2024</v>
      </c>
    </row>
    <row r="95" spans="1:24" ht="15.75" customHeight="1" x14ac:dyDescent="0.25">
      <c r="A95" s="3">
        <v>45615</v>
      </c>
      <c r="B95" s="1" t="s">
        <v>296</v>
      </c>
      <c r="C95" s="2">
        <v>101086107300</v>
      </c>
      <c r="D95" s="1" t="s">
        <v>297</v>
      </c>
      <c r="E95" s="1" t="s">
        <v>298</v>
      </c>
      <c r="F95" s="1" t="s">
        <v>39</v>
      </c>
      <c r="G95" s="1" t="s">
        <v>40</v>
      </c>
      <c r="H95" s="1" t="s">
        <v>28</v>
      </c>
      <c r="I95" s="1" t="s">
        <v>255</v>
      </c>
      <c r="J95" s="1" t="s">
        <v>54</v>
      </c>
      <c r="L95" s="3">
        <v>45597</v>
      </c>
      <c r="M95" s="3">
        <v>41640</v>
      </c>
      <c r="O95" s="1">
        <v>17886092</v>
      </c>
      <c r="P95" s="1" t="s">
        <v>31</v>
      </c>
      <c r="Q95" s="1" t="s">
        <v>256</v>
      </c>
      <c r="R95" s="1">
        <v>8192</v>
      </c>
      <c r="S95" s="1" t="s">
        <v>44</v>
      </c>
      <c r="T95" s="1" t="s">
        <v>34</v>
      </c>
      <c r="U95" s="1">
        <v>2.5</v>
      </c>
      <c r="V95" s="1" t="s">
        <v>35</v>
      </c>
      <c r="W95" s="3">
        <v>45200</v>
      </c>
      <c r="X95" s="1">
        <v>2024</v>
      </c>
    </row>
    <row r="96" spans="1:24" ht="15.75" customHeight="1" x14ac:dyDescent="0.25">
      <c r="A96" s="3">
        <v>45615</v>
      </c>
      <c r="B96" s="1" t="s">
        <v>299</v>
      </c>
      <c r="C96" s="2">
        <v>101853377400</v>
      </c>
      <c r="E96" s="1" t="s">
        <v>300</v>
      </c>
      <c r="F96" s="1" t="s">
        <v>39</v>
      </c>
      <c r="G96" s="1" t="s">
        <v>40</v>
      </c>
      <c r="H96" s="1" t="s">
        <v>28</v>
      </c>
      <c r="I96" s="1" t="s">
        <v>47</v>
      </c>
      <c r="J96" s="1" t="s">
        <v>54</v>
      </c>
      <c r="L96" s="3">
        <v>45597</v>
      </c>
      <c r="M96" s="3">
        <v>45261</v>
      </c>
      <c r="O96" s="1">
        <v>17886092</v>
      </c>
      <c r="P96" s="1" t="s">
        <v>31</v>
      </c>
      <c r="Q96" s="1" t="s">
        <v>256</v>
      </c>
      <c r="R96" s="1">
        <v>8192</v>
      </c>
      <c r="S96" s="1" t="s">
        <v>44</v>
      </c>
      <c r="T96" s="1" t="s">
        <v>34</v>
      </c>
      <c r="U96" s="1">
        <v>2.5</v>
      </c>
      <c r="V96" s="1" t="s">
        <v>35</v>
      </c>
      <c r="W96" s="3">
        <v>45260</v>
      </c>
      <c r="X96" s="1">
        <v>2024</v>
      </c>
    </row>
    <row r="97" spans="1:24" ht="15.75" customHeight="1" x14ac:dyDescent="0.25">
      <c r="A97" s="3">
        <v>45615</v>
      </c>
      <c r="B97" s="1" t="s">
        <v>301</v>
      </c>
      <c r="C97" s="2">
        <v>101782935400</v>
      </c>
      <c r="E97" s="1" t="s">
        <v>302</v>
      </c>
      <c r="F97" s="1" t="s">
        <v>39</v>
      </c>
      <c r="G97" s="1" t="s">
        <v>40</v>
      </c>
      <c r="H97" s="1" t="s">
        <v>28</v>
      </c>
      <c r="I97" s="1" t="s">
        <v>47</v>
      </c>
      <c r="J97" s="1" t="s">
        <v>48</v>
      </c>
      <c r="L97" s="3">
        <v>45597</v>
      </c>
      <c r="M97" s="3">
        <v>45231</v>
      </c>
      <c r="O97" s="1">
        <v>17886092</v>
      </c>
      <c r="P97" s="1" t="s">
        <v>31</v>
      </c>
      <c r="Q97" s="1" t="s">
        <v>256</v>
      </c>
      <c r="R97" s="1">
        <v>8192</v>
      </c>
      <c r="S97" s="1" t="s">
        <v>44</v>
      </c>
      <c r="T97" s="1" t="s">
        <v>34</v>
      </c>
      <c r="U97" s="1">
        <v>2.5</v>
      </c>
      <c r="V97" s="1" t="s">
        <v>35</v>
      </c>
      <c r="W97" s="3">
        <v>45216</v>
      </c>
      <c r="X97" s="1">
        <v>2024</v>
      </c>
    </row>
    <row r="98" spans="1:24" ht="15.75" customHeight="1" x14ac:dyDescent="0.25">
      <c r="A98" s="3">
        <v>45615</v>
      </c>
      <c r="B98" s="1" t="s">
        <v>303</v>
      </c>
      <c r="C98" s="2">
        <v>101097095200</v>
      </c>
      <c r="D98" s="1" t="s">
        <v>304</v>
      </c>
      <c r="E98" s="1" t="s">
        <v>305</v>
      </c>
      <c r="F98" s="1" t="s">
        <v>39</v>
      </c>
      <c r="G98" s="1" t="s">
        <v>40</v>
      </c>
      <c r="H98" s="1" t="s">
        <v>28</v>
      </c>
      <c r="I98" s="1" t="s">
        <v>271</v>
      </c>
      <c r="J98" s="1" t="s">
        <v>220</v>
      </c>
      <c r="L98" s="3">
        <v>45597</v>
      </c>
      <c r="M98" s="3">
        <v>43101</v>
      </c>
      <c r="N98" s="3">
        <v>45657</v>
      </c>
      <c r="O98" s="1">
        <v>17886092</v>
      </c>
      <c r="P98" s="1" t="s">
        <v>31</v>
      </c>
      <c r="Q98" s="1" t="s">
        <v>256</v>
      </c>
      <c r="R98" s="1">
        <v>8192</v>
      </c>
      <c r="S98" s="1" t="s">
        <v>33</v>
      </c>
      <c r="T98" s="1" t="s">
        <v>34</v>
      </c>
      <c r="U98" s="1">
        <v>3.75</v>
      </c>
      <c r="V98" s="1" t="s">
        <v>35</v>
      </c>
      <c r="W98" s="3">
        <v>45474</v>
      </c>
      <c r="X98" s="1">
        <v>2024</v>
      </c>
    </row>
    <row r="99" spans="1:24" ht="15.75" customHeight="1" x14ac:dyDescent="0.25">
      <c r="A99" s="3">
        <v>45615</v>
      </c>
      <c r="B99" s="1" t="s">
        <v>306</v>
      </c>
      <c r="C99" s="2">
        <v>101800597100</v>
      </c>
      <c r="E99" s="1" t="s">
        <v>307</v>
      </c>
      <c r="F99" s="1" t="s">
        <v>39</v>
      </c>
      <c r="G99" s="1" t="s">
        <v>40</v>
      </c>
      <c r="H99" s="1" t="s">
        <v>28</v>
      </c>
      <c r="I99" s="1" t="s">
        <v>47</v>
      </c>
      <c r="J99" s="1" t="s">
        <v>54</v>
      </c>
      <c r="L99" s="3">
        <v>45597</v>
      </c>
      <c r="M99" s="3">
        <v>45231</v>
      </c>
      <c r="O99" s="1">
        <v>17886092</v>
      </c>
      <c r="P99" s="1" t="s">
        <v>31</v>
      </c>
      <c r="Q99" s="1" t="s">
        <v>256</v>
      </c>
      <c r="R99" s="1">
        <v>8192</v>
      </c>
      <c r="S99" s="1" t="s">
        <v>44</v>
      </c>
      <c r="T99" s="1" t="s">
        <v>34</v>
      </c>
      <c r="U99" s="1">
        <v>2.5</v>
      </c>
      <c r="V99" s="1" t="s">
        <v>35</v>
      </c>
      <c r="W99" s="3">
        <v>45230</v>
      </c>
      <c r="X99" s="1">
        <v>2024</v>
      </c>
    </row>
    <row r="100" spans="1:24" ht="15.75" customHeight="1" x14ac:dyDescent="0.25">
      <c r="A100" s="3">
        <v>45615</v>
      </c>
      <c r="B100" s="1" t="s">
        <v>308</v>
      </c>
      <c r="C100" s="2">
        <v>101063039500</v>
      </c>
      <c r="D100" s="1" t="s">
        <v>309</v>
      </c>
      <c r="E100" s="1" t="s">
        <v>310</v>
      </c>
      <c r="F100" s="1" t="s">
        <v>39</v>
      </c>
      <c r="G100" s="1" t="s">
        <v>40</v>
      </c>
      <c r="H100" s="1" t="s">
        <v>28</v>
      </c>
      <c r="I100" s="1" t="s">
        <v>271</v>
      </c>
      <c r="J100" s="1" t="s">
        <v>220</v>
      </c>
      <c r="L100" s="3">
        <v>45597</v>
      </c>
      <c r="M100" s="3">
        <v>42736</v>
      </c>
      <c r="N100" s="3">
        <v>45657</v>
      </c>
      <c r="O100" s="1">
        <v>17886092</v>
      </c>
      <c r="P100" s="1" t="s">
        <v>31</v>
      </c>
      <c r="Q100" s="1" t="s">
        <v>256</v>
      </c>
      <c r="R100" s="1">
        <v>8192</v>
      </c>
      <c r="S100" s="1" t="s">
        <v>33</v>
      </c>
      <c r="T100" s="1" t="s">
        <v>34</v>
      </c>
      <c r="U100" s="1">
        <v>3.75</v>
      </c>
      <c r="V100" s="1" t="s">
        <v>35</v>
      </c>
      <c r="W100" s="3">
        <v>45444</v>
      </c>
      <c r="X100" s="1">
        <v>2024</v>
      </c>
    </row>
    <row r="101" spans="1:24" ht="15.75" customHeight="1" x14ac:dyDescent="0.25">
      <c r="A101" s="3">
        <v>45615</v>
      </c>
      <c r="B101" s="1" t="s">
        <v>311</v>
      </c>
      <c r="C101" s="2">
        <v>101060073300</v>
      </c>
      <c r="D101" s="1" t="s">
        <v>312</v>
      </c>
      <c r="E101" s="1" t="s">
        <v>313</v>
      </c>
      <c r="F101" s="1" t="s">
        <v>39</v>
      </c>
      <c r="G101" s="1" t="s">
        <v>40</v>
      </c>
      <c r="H101" s="1" t="s">
        <v>28</v>
      </c>
      <c r="I101" s="1" t="s">
        <v>143</v>
      </c>
      <c r="J101" s="1" t="s">
        <v>54</v>
      </c>
      <c r="L101" s="3">
        <v>45597</v>
      </c>
      <c r="M101" s="3">
        <v>43678</v>
      </c>
      <c r="O101" s="1">
        <v>17886092</v>
      </c>
      <c r="P101" s="1" t="s">
        <v>31</v>
      </c>
      <c r="Q101" s="1" t="s">
        <v>256</v>
      </c>
      <c r="R101" s="1">
        <v>8192</v>
      </c>
      <c r="S101" s="1" t="s">
        <v>33</v>
      </c>
      <c r="T101" s="1" t="s">
        <v>34</v>
      </c>
      <c r="U101" s="1">
        <v>3.75</v>
      </c>
      <c r="V101" s="1" t="s">
        <v>35</v>
      </c>
      <c r="W101" s="3">
        <v>45505</v>
      </c>
      <c r="X101" s="1">
        <v>2024</v>
      </c>
    </row>
    <row r="102" spans="1:24" ht="15.75" customHeight="1" x14ac:dyDescent="0.25">
      <c r="A102" s="3">
        <v>45615</v>
      </c>
      <c r="B102" s="1" t="s">
        <v>314</v>
      </c>
      <c r="C102" s="2">
        <v>101775096700</v>
      </c>
      <c r="E102" s="1" t="s">
        <v>315</v>
      </c>
      <c r="F102" s="1" t="s">
        <v>39</v>
      </c>
      <c r="G102" s="1" t="s">
        <v>40</v>
      </c>
      <c r="H102" s="1" t="s">
        <v>28</v>
      </c>
      <c r="I102" s="1" t="s">
        <v>47</v>
      </c>
      <c r="J102" s="1" t="s">
        <v>54</v>
      </c>
      <c r="L102" s="3">
        <v>45597</v>
      </c>
      <c r="M102" s="3">
        <v>45200</v>
      </c>
      <c r="O102" s="1">
        <v>17886092</v>
      </c>
      <c r="P102" s="1" t="s">
        <v>31</v>
      </c>
      <c r="Q102" s="1" t="s">
        <v>256</v>
      </c>
      <c r="R102" s="1">
        <v>8192</v>
      </c>
      <c r="S102" s="1" t="s">
        <v>44</v>
      </c>
      <c r="T102" s="1" t="s">
        <v>34</v>
      </c>
      <c r="U102" s="1">
        <v>2.5</v>
      </c>
      <c r="V102" s="1" t="s">
        <v>35</v>
      </c>
      <c r="W102" s="3">
        <v>45198</v>
      </c>
      <c r="X102" s="1">
        <v>2024</v>
      </c>
    </row>
    <row r="103" spans="1:24" ht="15.75" customHeight="1" x14ac:dyDescent="0.25">
      <c r="A103" s="3">
        <v>45615</v>
      </c>
      <c r="B103" s="1" t="s">
        <v>316</v>
      </c>
      <c r="C103" s="2">
        <v>101778355200</v>
      </c>
      <c r="E103" s="1" t="s">
        <v>317</v>
      </c>
      <c r="F103" s="1" t="s">
        <v>39</v>
      </c>
      <c r="G103" s="1" t="s">
        <v>40</v>
      </c>
      <c r="H103" s="1" t="s">
        <v>28</v>
      </c>
      <c r="I103" s="1" t="s">
        <v>47</v>
      </c>
      <c r="J103" s="1" t="s">
        <v>220</v>
      </c>
      <c r="L103" s="3">
        <v>45597</v>
      </c>
      <c r="M103" s="3">
        <v>45231</v>
      </c>
      <c r="N103" s="3">
        <v>45657</v>
      </c>
      <c r="O103" s="1">
        <v>17886092</v>
      </c>
      <c r="P103" s="1" t="s">
        <v>31</v>
      </c>
      <c r="Q103" s="1" t="s">
        <v>256</v>
      </c>
      <c r="R103" s="1">
        <v>8192</v>
      </c>
      <c r="S103" s="1" t="s">
        <v>44</v>
      </c>
      <c r="T103" s="1" t="s">
        <v>34</v>
      </c>
      <c r="U103" s="1">
        <v>2.5</v>
      </c>
      <c r="V103" s="1" t="s">
        <v>35</v>
      </c>
      <c r="W103" s="3">
        <v>45210</v>
      </c>
      <c r="X103" s="1">
        <v>2024</v>
      </c>
    </row>
    <row r="104" spans="1:24" ht="15.75" customHeight="1" x14ac:dyDescent="0.25">
      <c r="A104" s="3">
        <v>45615</v>
      </c>
      <c r="B104" s="1" t="s">
        <v>318</v>
      </c>
      <c r="C104" s="2">
        <v>101707700000</v>
      </c>
      <c r="E104" s="1" t="s">
        <v>319</v>
      </c>
      <c r="F104" s="1" t="s">
        <v>39</v>
      </c>
      <c r="G104" s="1" t="s">
        <v>40</v>
      </c>
      <c r="H104" s="1" t="s">
        <v>28</v>
      </c>
      <c r="I104" s="1" t="s">
        <v>47</v>
      </c>
      <c r="J104" s="1" t="s">
        <v>54</v>
      </c>
      <c r="L104" s="3">
        <v>45597</v>
      </c>
      <c r="M104" s="3">
        <v>45017</v>
      </c>
      <c r="O104" s="1">
        <v>17886092</v>
      </c>
      <c r="P104" s="1" t="s">
        <v>31</v>
      </c>
      <c r="Q104" s="1" t="s">
        <v>256</v>
      </c>
      <c r="R104" s="1">
        <v>8192</v>
      </c>
      <c r="S104" s="1" t="s">
        <v>44</v>
      </c>
      <c r="T104" s="1" t="s">
        <v>34</v>
      </c>
      <c r="U104" s="1">
        <v>2.5</v>
      </c>
      <c r="V104" s="1" t="s">
        <v>35</v>
      </c>
      <c r="W104" s="3">
        <v>45292</v>
      </c>
      <c r="X104" s="1">
        <v>2024</v>
      </c>
    </row>
    <row r="105" spans="1:24" ht="15.75" customHeight="1" x14ac:dyDescent="0.25">
      <c r="A105" s="3">
        <v>45615</v>
      </c>
      <c r="B105" s="1" t="s">
        <v>320</v>
      </c>
      <c r="C105" s="2">
        <v>101772992600</v>
      </c>
      <c r="E105" s="1" t="s">
        <v>321</v>
      </c>
      <c r="F105" s="1" t="s">
        <v>39</v>
      </c>
      <c r="G105" s="1" t="s">
        <v>40</v>
      </c>
      <c r="H105" s="1" t="s">
        <v>28</v>
      </c>
      <c r="I105" s="1" t="s">
        <v>47</v>
      </c>
      <c r="J105" s="1" t="s">
        <v>220</v>
      </c>
      <c r="L105" s="3">
        <v>45597</v>
      </c>
      <c r="M105" s="3">
        <v>45200</v>
      </c>
      <c r="N105" s="3">
        <v>45657</v>
      </c>
      <c r="O105" s="1">
        <v>17886092</v>
      </c>
      <c r="P105" s="1" t="s">
        <v>31</v>
      </c>
      <c r="Q105" s="1" t="s">
        <v>256</v>
      </c>
      <c r="R105" s="1">
        <v>8192</v>
      </c>
      <c r="S105" s="1" t="s">
        <v>44</v>
      </c>
      <c r="T105" s="1" t="s">
        <v>34</v>
      </c>
      <c r="U105" s="1">
        <v>2.5</v>
      </c>
      <c r="V105" s="1" t="s">
        <v>35</v>
      </c>
      <c r="W105" s="3">
        <v>45194</v>
      </c>
      <c r="X105" s="1">
        <v>2024</v>
      </c>
    </row>
    <row r="106" spans="1:24" ht="15.75" customHeight="1" x14ac:dyDescent="0.25">
      <c r="A106" s="3">
        <v>45615</v>
      </c>
      <c r="B106" s="1" t="s">
        <v>322</v>
      </c>
      <c r="C106" s="2">
        <v>101788155800</v>
      </c>
      <c r="E106" s="1" t="s">
        <v>323</v>
      </c>
      <c r="F106" s="1" t="s">
        <v>39</v>
      </c>
      <c r="G106" s="1" t="s">
        <v>40</v>
      </c>
      <c r="H106" s="1" t="s">
        <v>28</v>
      </c>
      <c r="I106" s="1" t="s">
        <v>47</v>
      </c>
      <c r="J106" s="1" t="s">
        <v>54</v>
      </c>
      <c r="L106" s="3">
        <v>45597</v>
      </c>
      <c r="M106" s="3">
        <v>45261</v>
      </c>
      <c r="O106" s="1">
        <v>17886092</v>
      </c>
      <c r="P106" s="1" t="s">
        <v>31</v>
      </c>
      <c r="Q106" s="1" t="s">
        <v>256</v>
      </c>
      <c r="R106" s="1">
        <v>8192</v>
      </c>
      <c r="S106" s="1" t="s">
        <v>44</v>
      </c>
      <c r="T106" s="1" t="s">
        <v>34</v>
      </c>
      <c r="U106" s="1">
        <v>2.5</v>
      </c>
      <c r="V106" s="1" t="s">
        <v>35</v>
      </c>
      <c r="W106" s="3">
        <v>45219</v>
      </c>
      <c r="X106" s="1">
        <v>2024</v>
      </c>
    </row>
    <row r="107" spans="1:24" ht="15.75" customHeight="1" x14ac:dyDescent="0.25">
      <c r="A107" s="3">
        <v>45615</v>
      </c>
      <c r="B107" s="1" t="s">
        <v>324</v>
      </c>
      <c r="C107" s="2">
        <v>101817569200</v>
      </c>
      <c r="E107" s="1" t="s">
        <v>325</v>
      </c>
      <c r="F107" s="1" t="s">
        <v>39</v>
      </c>
      <c r="G107" s="1" t="s">
        <v>40</v>
      </c>
      <c r="H107" s="1" t="s">
        <v>28</v>
      </c>
      <c r="I107" s="1" t="s">
        <v>47</v>
      </c>
      <c r="J107" s="1" t="s">
        <v>54</v>
      </c>
      <c r="L107" s="3">
        <v>45597</v>
      </c>
      <c r="M107" s="3">
        <v>45261</v>
      </c>
      <c r="O107" s="1">
        <v>17886092</v>
      </c>
      <c r="P107" s="1" t="s">
        <v>31</v>
      </c>
      <c r="Q107" s="1" t="s">
        <v>256</v>
      </c>
      <c r="R107" s="1">
        <v>8192</v>
      </c>
      <c r="S107" s="1" t="s">
        <v>44</v>
      </c>
      <c r="T107" s="1" t="s">
        <v>34</v>
      </c>
      <c r="U107" s="1">
        <v>2.5</v>
      </c>
      <c r="V107" s="1" t="s">
        <v>35</v>
      </c>
      <c r="W107" s="3">
        <v>45257</v>
      </c>
      <c r="X107" s="1">
        <v>2024</v>
      </c>
    </row>
    <row r="108" spans="1:24" ht="15.75" customHeight="1" x14ac:dyDescent="0.25">
      <c r="A108" s="3">
        <v>45615</v>
      </c>
      <c r="B108" s="1" t="s">
        <v>326</v>
      </c>
      <c r="C108" s="2">
        <v>101777369100</v>
      </c>
      <c r="E108" s="1" t="s">
        <v>327</v>
      </c>
      <c r="F108" s="1" t="s">
        <v>39</v>
      </c>
      <c r="G108" s="1" t="s">
        <v>40</v>
      </c>
      <c r="H108" s="1" t="s">
        <v>28</v>
      </c>
      <c r="I108" s="1" t="s">
        <v>47</v>
      </c>
      <c r="J108" s="1" t="s">
        <v>54</v>
      </c>
      <c r="L108" s="3">
        <v>45597</v>
      </c>
      <c r="M108" s="3">
        <v>45231</v>
      </c>
      <c r="O108" s="1">
        <v>17886092</v>
      </c>
      <c r="P108" s="1" t="s">
        <v>31</v>
      </c>
      <c r="Q108" s="1" t="s">
        <v>256</v>
      </c>
      <c r="R108" s="1">
        <v>8192</v>
      </c>
      <c r="S108" s="1" t="s">
        <v>44</v>
      </c>
      <c r="T108" s="1" t="s">
        <v>34</v>
      </c>
      <c r="U108" s="1">
        <v>2.5</v>
      </c>
      <c r="V108" s="1" t="s">
        <v>35</v>
      </c>
      <c r="W108" s="3">
        <v>45204</v>
      </c>
      <c r="X108" s="1">
        <v>2024</v>
      </c>
    </row>
    <row r="109" spans="1:24" ht="15.75" customHeight="1" x14ac:dyDescent="0.25">
      <c r="A109" s="3">
        <v>45615</v>
      </c>
      <c r="B109" s="1" t="s">
        <v>328</v>
      </c>
      <c r="C109" s="2">
        <v>101804887800</v>
      </c>
      <c r="E109" s="1" t="s">
        <v>329</v>
      </c>
      <c r="F109" s="1" t="s">
        <v>39</v>
      </c>
      <c r="G109" s="1" t="s">
        <v>40</v>
      </c>
      <c r="H109" s="1" t="s">
        <v>28</v>
      </c>
      <c r="I109" s="1" t="s">
        <v>47</v>
      </c>
      <c r="J109" s="1" t="s">
        <v>187</v>
      </c>
      <c r="L109" s="3">
        <v>45597</v>
      </c>
      <c r="M109" s="3">
        <v>45261</v>
      </c>
      <c r="O109" s="1">
        <v>17886092</v>
      </c>
      <c r="P109" s="1" t="s">
        <v>31</v>
      </c>
      <c r="Q109" s="1" t="s">
        <v>256</v>
      </c>
      <c r="R109" s="1">
        <v>8192</v>
      </c>
      <c r="S109" s="1" t="s">
        <v>44</v>
      </c>
      <c r="T109" s="1" t="s">
        <v>34</v>
      </c>
      <c r="U109" s="1">
        <v>2.5</v>
      </c>
      <c r="V109" s="1" t="s">
        <v>35</v>
      </c>
      <c r="W109" s="3">
        <v>45232</v>
      </c>
      <c r="X109" s="1">
        <v>2024</v>
      </c>
    </row>
    <row r="110" spans="1:24" ht="15.75" customHeight="1" x14ac:dyDescent="0.25">
      <c r="A110" s="3">
        <v>45615</v>
      </c>
      <c r="B110" s="1" t="s">
        <v>330</v>
      </c>
      <c r="C110" s="2">
        <v>101788040300</v>
      </c>
      <c r="E110" s="1" t="s">
        <v>331</v>
      </c>
      <c r="F110" s="1" t="s">
        <v>39</v>
      </c>
      <c r="G110" s="1" t="s">
        <v>40</v>
      </c>
      <c r="H110" s="1" t="s">
        <v>28</v>
      </c>
      <c r="I110" s="1" t="s">
        <v>47</v>
      </c>
      <c r="J110" s="1" t="s">
        <v>220</v>
      </c>
      <c r="L110" s="3">
        <v>45597</v>
      </c>
      <c r="M110" s="3">
        <v>45231</v>
      </c>
      <c r="N110" s="3">
        <v>45657</v>
      </c>
      <c r="O110" s="1">
        <v>17886092</v>
      </c>
      <c r="P110" s="1" t="s">
        <v>31</v>
      </c>
      <c r="Q110" s="1" t="s">
        <v>256</v>
      </c>
      <c r="R110" s="1">
        <v>8192</v>
      </c>
      <c r="S110" s="1" t="s">
        <v>44</v>
      </c>
      <c r="T110" s="1" t="s">
        <v>34</v>
      </c>
      <c r="U110" s="1">
        <v>2.5</v>
      </c>
      <c r="V110" s="1" t="s">
        <v>35</v>
      </c>
      <c r="W110" s="3">
        <v>45219</v>
      </c>
      <c r="X110" s="1">
        <v>2024</v>
      </c>
    </row>
    <row r="111" spans="1:24" ht="15.75" customHeight="1" x14ac:dyDescent="0.25">
      <c r="A111" s="3">
        <v>45615</v>
      </c>
      <c r="B111" s="1" t="s">
        <v>332</v>
      </c>
      <c r="C111" s="2">
        <v>101080305300</v>
      </c>
      <c r="D111" s="1" t="s">
        <v>333</v>
      </c>
      <c r="E111" s="1" t="s">
        <v>334</v>
      </c>
      <c r="F111" s="1" t="s">
        <v>39</v>
      </c>
      <c r="G111" s="1" t="s">
        <v>40</v>
      </c>
      <c r="H111" s="1" t="s">
        <v>28</v>
      </c>
      <c r="I111" s="1" t="s">
        <v>143</v>
      </c>
      <c r="J111" s="1" t="s">
        <v>220</v>
      </c>
      <c r="L111" s="3">
        <v>45597</v>
      </c>
      <c r="M111" s="3">
        <v>43466</v>
      </c>
      <c r="N111" s="3">
        <v>45657</v>
      </c>
      <c r="O111" s="1">
        <v>17886092</v>
      </c>
      <c r="P111" s="1" t="s">
        <v>31</v>
      </c>
      <c r="Q111" s="1" t="s">
        <v>256</v>
      </c>
      <c r="R111" s="1">
        <v>8192</v>
      </c>
      <c r="S111" s="1" t="s">
        <v>33</v>
      </c>
      <c r="T111" s="1" t="s">
        <v>34</v>
      </c>
      <c r="U111" s="1">
        <v>3.75</v>
      </c>
      <c r="V111" s="1" t="s">
        <v>35</v>
      </c>
      <c r="W111" s="3">
        <v>45413</v>
      </c>
      <c r="X111" s="1">
        <v>2024</v>
      </c>
    </row>
    <row r="112" spans="1:24" ht="15.75" customHeight="1" x14ac:dyDescent="0.25">
      <c r="A112" s="3">
        <v>45615</v>
      </c>
      <c r="B112" s="1" t="s">
        <v>335</v>
      </c>
      <c r="C112" s="2">
        <v>101193322800</v>
      </c>
      <c r="E112" s="1" t="s">
        <v>336</v>
      </c>
      <c r="F112" s="1" t="s">
        <v>39</v>
      </c>
      <c r="G112" s="1" t="s">
        <v>40</v>
      </c>
      <c r="H112" s="1" t="s">
        <v>28</v>
      </c>
      <c r="I112" s="1" t="s">
        <v>224</v>
      </c>
      <c r="J112" s="1" t="s">
        <v>220</v>
      </c>
      <c r="L112" s="3">
        <v>45597</v>
      </c>
      <c r="M112" s="3">
        <v>44197</v>
      </c>
      <c r="N112" s="3">
        <v>45657</v>
      </c>
      <c r="O112" s="1">
        <v>17886092</v>
      </c>
      <c r="P112" s="1" t="s">
        <v>31</v>
      </c>
      <c r="Q112" s="1" t="s">
        <v>256</v>
      </c>
      <c r="R112" s="1">
        <v>8192</v>
      </c>
      <c r="S112" s="1" t="s">
        <v>44</v>
      </c>
      <c r="T112" s="1" t="s">
        <v>34</v>
      </c>
      <c r="U112" s="1">
        <v>2.5</v>
      </c>
      <c r="V112" s="1" t="s">
        <v>35</v>
      </c>
      <c r="W112" s="3">
        <v>45292</v>
      </c>
      <c r="X112" s="1">
        <v>2024</v>
      </c>
    </row>
    <row r="113" spans="1:24" ht="15.75" customHeight="1" x14ac:dyDescent="0.25">
      <c r="A113" s="3">
        <v>45615</v>
      </c>
      <c r="B113" s="1" t="s">
        <v>337</v>
      </c>
      <c r="C113" s="2">
        <v>102081559700</v>
      </c>
      <c r="E113" s="1" t="s">
        <v>338</v>
      </c>
      <c r="F113" s="1" t="s">
        <v>39</v>
      </c>
      <c r="G113" s="1" t="s">
        <v>27</v>
      </c>
      <c r="H113" s="1" t="s">
        <v>28</v>
      </c>
      <c r="I113" s="1" t="s">
        <v>47</v>
      </c>
      <c r="J113" s="1" t="s">
        <v>54</v>
      </c>
      <c r="L113" s="3">
        <v>45627</v>
      </c>
      <c r="M113" s="3">
        <v>45627</v>
      </c>
      <c r="O113" s="1">
        <v>17886092</v>
      </c>
      <c r="P113" s="1" t="s">
        <v>31</v>
      </c>
      <c r="Q113" s="1" t="s">
        <v>256</v>
      </c>
      <c r="R113" s="1">
        <v>8192</v>
      </c>
      <c r="S113" s="1" t="s">
        <v>33</v>
      </c>
      <c r="T113" s="1" t="s">
        <v>34</v>
      </c>
      <c r="U113" s="1">
        <v>3.34</v>
      </c>
      <c r="V113" s="1" t="s">
        <v>35</v>
      </c>
      <c r="W113" s="3">
        <v>45595</v>
      </c>
      <c r="X113" s="1">
        <v>2024</v>
      </c>
    </row>
    <row r="114" spans="1:24" ht="15.75" customHeight="1" x14ac:dyDescent="0.25">
      <c r="A114" s="3">
        <v>45615</v>
      </c>
      <c r="B114" s="1" t="s">
        <v>339</v>
      </c>
      <c r="C114" s="2">
        <v>101798892900</v>
      </c>
      <c r="E114" s="1" t="s">
        <v>340</v>
      </c>
      <c r="F114" s="1" t="s">
        <v>39</v>
      </c>
      <c r="G114" s="1" t="s">
        <v>40</v>
      </c>
      <c r="H114" s="1" t="s">
        <v>28</v>
      </c>
      <c r="I114" s="1" t="s">
        <v>47</v>
      </c>
      <c r="J114" s="1" t="s">
        <v>48</v>
      </c>
      <c r="L114" s="3">
        <v>45597</v>
      </c>
      <c r="M114" s="3">
        <v>45231</v>
      </c>
      <c r="O114" s="1">
        <v>17886092</v>
      </c>
      <c r="P114" s="1" t="s">
        <v>31</v>
      </c>
      <c r="Q114" s="1" t="s">
        <v>256</v>
      </c>
      <c r="R114" s="1">
        <v>8192</v>
      </c>
      <c r="S114" s="1" t="s">
        <v>44</v>
      </c>
      <c r="T114" s="1" t="s">
        <v>34</v>
      </c>
      <c r="U114" s="1">
        <v>2.5</v>
      </c>
      <c r="V114" s="1" t="s">
        <v>35</v>
      </c>
      <c r="W114" s="3">
        <v>45229</v>
      </c>
      <c r="X114" s="1">
        <v>2024</v>
      </c>
    </row>
    <row r="115" spans="1:24" ht="15.75" customHeight="1" x14ac:dyDescent="0.25">
      <c r="A115" s="3">
        <v>45615</v>
      </c>
      <c r="B115" s="1" t="s">
        <v>341</v>
      </c>
      <c r="C115" s="2">
        <v>101769841000</v>
      </c>
      <c r="E115" s="1" t="s">
        <v>342</v>
      </c>
      <c r="F115" s="1" t="s">
        <v>39</v>
      </c>
      <c r="G115" s="1" t="s">
        <v>40</v>
      </c>
      <c r="H115" s="1" t="s">
        <v>28</v>
      </c>
      <c r="I115" s="1" t="s">
        <v>47</v>
      </c>
      <c r="J115" s="1" t="s">
        <v>54</v>
      </c>
      <c r="L115" s="3">
        <v>45597</v>
      </c>
      <c r="M115" s="3">
        <v>45200</v>
      </c>
      <c r="O115" s="1">
        <v>17886092</v>
      </c>
      <c r="P115" s="1" t="s">
        <v>31</v>
      </c>
      <c r="Q115" s="1" t="s">
        <v>256</v>
      </c>
      <c r="R115" s="1">
        <v>8192</v>
      </c>
      <c r="S115" s="1" t="s">
        <v>44</v>
      </c>
      <c r="T115" s="1" t="s">
        <v>34</v>
      </c>
      <c r="U115" s="1">
        <v>2.5</v>
      </c>
      <c r="V115" s="1" t="s">
        <v>35</v>
      </c>
      <c r="W115" s="3">
        <v>45184</v>
      </c>
      <c r="X115" s="1">
        <v>2024</v>
      </c>
    </row>
    <row r="116" spans="1:24" ht="15.75" customHeight="1" x14ac:dyDescent="0.25">
      <c r="A116" s="3">
        <v>45615</v>
      </c>
      <c r="B116" s="1" t="s">
        <v>343</v>
      </c>
      <c r="C116" s="2">
        <v>101784800000</v>
      </c>
      <c r="E116" s="1" t="s">
        <v>344</v>
      </c>
      <c r="F116" s="1" t="s">
        <v>39</v>
      </c>
      <c r="G116" s="1" t="s">
        <v>40</v>
      </c>
      <c r="H116" s="1" t="s">
        <v>28</v>
      </c>
      <c r="I116" s="1" t="s">
        <v>47</v>
      </c>
      <c r="J116" s="1" t="s">
        <v>54</v>
      </c>
      <c r="L116" s="3">
        <v>45597</v>
      </c>
      <c r="M116" s="3">
        <v>45261</v>
      </c>
      <c r="N116" s="3">
        <v>45657</v>
      </c>
      <c r="O116" s="1">
        <v>17886092</v>
      </c>
      <c r="P116" s="1" t="s">
        <v>31</v>
      </c>
      <c r="Q116" s="1" t="s">
        <v>256</v>
      </c>
      <c r="R116" s="1">
        <v>8192</v>
      </c>
      <c r="S116" s="1" t="s">
        <v>44</v>
      </c>
      <c r="T116" s="1" t="s">
        <v>34</v>
      </c>
      <c r="U116" s="1">
        <v>2.5</v>
      </c>
      <c r="V116" s="1" t="s">
        <v>35</v>
      </c>
      <c r="W116" s="3">
        <v>45217</v>
      </c>
      <c r="X116" s="1">
        <v>2024</v>
      </c>
    </row>
    <row r="117" spans="1:24" ht="15.75" customHeight="1" x14ac:dyDescent="0.25">
      <c r="A117" s="3">
        <v>45615</v>
      </c>
      <c r="B117" s="1" t="s">
        <v>345</v>
      </c>
      <c r="C117" s="2">
        <v>101778370400</v>
      </c>
      <c r="E117" s="1" t="s">
        <v>346</v>
      </c>
      <c r="F117" s="1" t="s">
        <v>39</v>
      </c>
      <c r="G117" s="1" t="s">
        <v>40</v>
      </c>
      <c r="H117" s="1" t="s">
        <v>28</v>
      </c>
      <c r="I117" s="1" t="s">
        <v>47</v>
      </c>
      <c r="J117" s="1" t="s">
        <v>48</v>
      </c>
      <c r="L117" s="3">
        <v>45597</v>
      </c>
      <c r="M117" s="3">
        <v>45261</v>
      </c>
      <c r="O117" s="1">
        <v>17886092</v>
      </c>
      <c r="P117" s="1" t="s">
        <v>31</v>
      </c>
      <c r="Q117" s="1" t="s">
        <v>256</v>
      </c>
      <c r="R117" s="1">
        <v>8192</v>
      </c>
      <c r="S117" s="1" t="s">
        <v>44</v>
      </c>
      <c r="T117" s="1" t="s">
        <v>34</v>
      </c>
      <c r="U117" s="1">
        <v>2.5</v>
      </c>
      <c r="V117" s="1" t="s">
        <v>35</v>
      </c>
      <c r="W117" s="3">
        <v>45210</v>
      </c>
      <c r="X117" s="1">
        <v>2024</v>
      </c>
    </row>
    <row r="118" spans="1:24" ht="15.75" customHeight="1" x14ac:dyDescent="0.25">
      <c r="A118" s="3">
        <v>45615</v>
      </c>
      <c r="B118" s="1" t="s">
        <v>347</v>
      </c>
      <c r="C118" s="2">
        <v>101200748700</v>
      </c>
      <c r="E118" s="1" t="s">
        <v>348</v>
      </c>
      <c r="F118" s="1" t="s">
        <v>39</v>
      </c>
      <c r="G118" s="1" t="s">
        <v>40</v>
      </c>
      <c r="H118" s="1" t="s">
        <v>28</v>
      </c>
      <c r="I118" s="1" t="s">
        <v>47</v>
      </c>
      <c r="J118" s="1" t="s">
        <v>54</v>
      </c>
      <c r="L118" s="3">
        <v>45597</v>
      </c>
      <c r="M118" s="3">
        <v>44562</v>
      </c>
      <c r="O118" s="1">
        <v>17886092</v>
      </c>
      <c r="P118" s="1" t="s">
        <v>31</v>
      </c>
      <c r="Q118" s="1" t="s">
        <v>256</v>
      </c>
      <c r="R118" s="1">
        <v>8192</v>
      </c>
      <c r="S118" s="1" t="s">
        <v>33</v>
      </c>
      <c r="T118" s="1" t="s">
        <v>34</v>
      </c>
      <c r="U118" s="1">
        <v>3.75</v>
      </c>
      <c r="V118" s="1" t="s">
        <v>35</v>
      </c>
      <c r="W118" s="3">
        <v>45383</v>
      </c>
      <c r="X118" s="1">
        <v>2024</v>
      </c>
    </row>
    <row r="119" spans="1:24" ht="15.75" customHeight="1" x14ac:dyDescent="0.25">
      <c r="A119" s="3">
        <v>45615</v>
      </c>
      <c r="B119" s="1" t="s">
        <v>349</v>
      </c>
      <c r="C119" s="2">
        <v>101061320300</v>
      </c>
      <c r="D119" s="1" t="s">
        <v>350</v>
      </c>
      <c r="E119" s="1" t="s">
        <v>351</v>
      </c>
      <c r="F119" s="1" t="s">
        <v>39</v>
      </c>
      <c r="G119" s="1" t="s">
        <v>40</v>
      </c>
      <c r="H119" s="1" t="s">
        <v>28</v>
      </c>
      <c r="I119" s="1" t="s">
        <v>271</v>
      </c>
      <c r="J119" s="1" t="s">
        <v>220</v>
      </c>
      <c r="L119" s="3">
        <v>45597</v>
      </c>
      <c r="M119" s="3">
        <v>42948</v>
      </c>
      <c r="N119" s="3">
        <v>45657</v>
      </c>
      <c r="O119" s="1">
        <v>17886092</v>
      </c>
      <c r="P119" s="1" t="s">
        <v>31</v>
      </c>
      <c r="Q119" s="1" t="s">
        <v>256</v>
      </c>
      <c r="R119" s="1">
        <v>8192</v>
      </c>
      <c r="S119" s="1" t="s">
        <v>44</v>
      </c>
      <c r="T119" s="1" t="s">
        <v>34</v>
      </c>
      <c r="U119" s="1">
        <v>2.5</v>
      </c>
      <c r="V119" s="1" t="s">
        <v>35</v>
      </c>
      <c r="W119" s="3">
        <v>45261</v>
      </c>
      <c r="X119" s="1">
        <v>2024</v>
      </c>
    </row>
    <row r="120" spans="1:24" ht="15.75" customHeight="1" x14ac:dyDescent="0.25">
      <c r="A120" s="3">
        <v>45615</v>
      </c>
      <c r="B120" s="1" t="s">
        <v>352</v>
      </c>
      <c r="C120" s="2">
        <v>101080884700</v>
      </c>
      <c r="D120" s="1" t="s">
        <v>353</v>
      </c>
      <c r="E120" s="1" t="s">
        <v>354</v>
      </c>
      <c r="F120" s="1" t="s">
        <v>39</v>
      </c>
      <c r="G120" s="1" t="s">
        <v>40</v>
      </c>
      <c r="H120" s="1" t="s">
        <v>28</v>
      </c>
      <c r="I120" s="1" t="s">
        <v>143</v>
      </c>
      <c r="J120" s="1" t="s">
        <v>54</v>
      </c>
      <c r="L120" s="3">
        <v>45597</v>
      </c>
      <c r="M120" s="3">
        <v>43525</v>
      </c>
      <c r="O120" s="1">
        <v>17886092</v>
      </c>
      <c r="P120" s="1" t="s">
        <v>31</v>
      </c>
      <c r="Q120" s="1" t="s">
        <v>256</v>
      </c>
      <c r="R120" s="1">
        <v>8192</v>
      </c>
      <c r="S120" s="1" t="s">
        <v>44</v>
      </c>
      <c r="T120" s="1" t="s">
        <v>34</v>
      </c>
      <c r="U120" s="1">
        <v>2.5</v>
      </c>
      <c r="V120" s="1" t="s">
        <v>35</v>
      </c>
      <c r="W120" s="3">
        <v>45231</v>
      </c>
      <c r="X120" s="1">
        <v>2024</v>
      </c>
    </row>
    <row r="121" spans="1:24" ht="15.75" customHeight="1" x14ac:dyDescent="0.25">
      <c r="A121" s="3">
        <v>45615</v>
      </c>
      <c r="B121" s="1" t="s">
        <v>355</v>
      </c>
      <c r="C121" s="2">
        <v>101066071900</v>
      </c>
      <c r="D121" s="1" t="s">
        <v>356</v>
      </c>
      <c r="E121" s="1" t="s">
        <v>357</v>
      </c>
      <c r="F121" s="1" t="s">
        <v>39</v>
      </c>
      <c r="G121" s="1" t="s">
        <v>40</v>
      </c>
      <c r="H121" s="1" t="s">
        <v>28</v>
      </c>
      <c r="I121" s="1" t="s">
        <v>143</v>
      </c>
      <c r="J121" s="1" t="s">
        <v>54</v>
      </c>
      <c r="L121" s="3">
        <v>45597</v>
      </c>
      <c r="M121" s="3">
        <v>43466</v>
      </c>
      <c r="O121" s="1">
        <v>17886092</v>
      </c>
      <c r="P121" s="1" t="s">
        <v>31</v>
      </c>
      <c r="Q121" s="1" t="s">
        <v>256</v>
      </c>
      <c r="R121" s="1">
        <v>8192</v>
      </c>
      <c r="S121" s="1" t="s">
        <v>44</v>
      </c>
      <c r="T121" s="1" t="s">
        <v>34</v>
      </c>
      <c r="U121" s="1">
        <v>2.5</v>
      </c>
      <c r="V121" s="1" t="s">
        <v>35</v>
      </c>
      <c r="W121" s="3">
        <v>45231</v>
      </c>
      <c r="X121" s="1">
        <v>2024</v>
      </c>
    </row>
    <row r="122" spans="1:24" ht="15.75" customHeight="1" x14ac:dyDescent="0.25">
      <c r="A122" s="3">
        <v>45615</v>
      </c>
      <c r="B122" s="1" t="s">
        <v>358</v>
      </c>
      <c r="C122" s="2">
        <v>101835507900</v>
      </c>
      <c r="E122" s="1" t="s">
        <v>359</v>
      </c>
      <c r="F122" s="1" t="s">
        <v>39</v>
      </c>
      <c r="G122" s="1" t="s">
        <v>40</v>
      </c>
      <c r="H122" s="1" t="s">
        <v>28</v>
      </c>
      <c r="I122" s="1" t="s">
        <v>47</v>
      </c>
      <c r="J122" s="1" t="s">
        <v>54</v>
      </c>
      <c r="L122" s="3">
        <v>45597</v>
      </c>
      <c r="M122" s="3">
        <v>45261</v>
      </c>
      <c r="O122" s="1">
        <v>17886092</v>
      </c>
      <c r="P122" s="1" t="s">
        <v>31</v>
      </c>
      <c r="Q122" s="1" t="s">
        <v>256</v>
      </c>
      <c r="R122" s="1">
        <v>8192</v>
      </c>
      <c r="S122" s="1" t="s">
        <v>44</v>
      </c>
      <c r="T122" s="1" t="s">
        <v>34</v>
      </c>
      <c r="U122" s="1">
        <v>2.5</v>
      </c>
      <c r="V122" s="1" t="s">
        <v>35</v>
      </c>
      <c r="W122" s="3">
        <v>45246</v>
      </c>
      <c r="X122" s="1">
        <v>2024</v>
      </c>
    </row>
    <row r="123" spans="1:24" ht="15.75" customHeight="1" x14ac:dyDescent="0.25">
      <c r="A123" s="3">
        <v>45615</v>
      </c>
      <c r="B123" s="1" t="s">
        <v>360</v>
      </c>
      <c r="C123" s="2">
        <v>101839903500</v>
      </c>
      <c r="E123" s="1" t="s">
        <v>361</v>
      </c>
      <c r="F123" s="1" t="s">
        <v>39</v>
      </c>
      <c r="G123" s="1" t="s">
        <v>40</v>
      </c>
      <c r="H123" s="1" t="s">
        <v>28</v>
      </c>
      <c r="I123" s="1" t="s">
        <v>47</v>
      </c>
      <c r="J123" s="1" t="s">
        <v>54</v>
      </c>
      <c r="L123" s="3">
        <v>45597</v>
      </c>
      <c r="M123" s="3">
        <v>45261</v>
      </c>
      <c r="O123" s="1">
        <v>17886092</v>
      </c>
      <c r="P123" s="1" t="s">
        <v>31</v>
      </c>
      <c r="Q123" s="1" t="s">
        <v>256</v>
      </c>
      <c r="R123" s="1">
        <v>8192</v>
      </c>
      <c r="S123" s="1" t="s">
        <v>44</v>
      </c>
      <c r="T123" s="1" t="s">
        <v>34</v>
      </c>
      <c r="U123" s="1">
        <v>2.5</v>
      </c>
      <c r="V123" s="1" t="s">
        <v>35</v>
      </c>
      <c r="W123" s="3">
        <v>45246</v>
      </c>
      <c r="X123" s="1">
        <v>2024</v>
      </c>
    </row>
    <row r="124" spans="1:24" ht="15.75" customHeight="1" x14ac:dyDescent="0.25">
      <c r="A124" s="3">
        <v>45615</v>
      </c>
      <c r="B124" s="1" t="s">
        <v>362</v>
      </c>
      <c r="C124" s="2">
        <v>101784945000</v>
      </c>
      <c r="E124" s="1" t="s">
        <v>363</v>
      </c>
      <c r="F124" s="1" t="s">
        <v>39</v>
      </c>
      <c r="G124" s="1" t="s">
        <v>40</v>
      </c>
      <c r="H124" s="1" t="s">
        <v>28</v>
      </c>
      <c r="I124" s="1" t="s">
        <v>47</v>
      </c>
      <c r="J124" s="1" t="s">
        <v>111</v>
      </c>
      <c r="L124" s="3">
        <v>45597</v>
      </c>
      <c r="M124" s="3">
        <v>45231</v>
      </c>
      <c r="O124" s="1">
        <v>17886092</v>
      </c>
      <c r="P124" s="1" t="s">
        <v>31</v>
      </c>
      <c r="Q124" s="1" t="s">
        <v>256</v>
      </c>
      <c r="R124" s="1">
        <v>8192</v>
      </c>
      <c r="S124" s="1" t="s">
        <v>44</v>
      </c>
      <c r="T124" s="1" t="s">
        <v>34</v>
      </c>
      <c r="U124" s="1">
        <v>2.5</v>
      </c>
      <c r="V124" s="1" t="s">
        <v>35</v>
      </c>
      <c r="W124" s="3">
        <v>45217</v>
      </c>
      <c r="X124" s="1">
        <v>2024</v>
      </c>
    </row>
    <row r="125" spans="1:24" ht="15.75" customHeight="1" x14ac:dyDescent="0.25">
      <c r="A125" s="3">
        <v>45615</v>
      </c>
      <c r="B125" s="1" t="s">
        <v>364</v>
      </c>
      <c r="C125" s="2">
        <v>101054430800</v>
      </c>
      <c r="D125" s="1" t="s">
        <v>365</v>
      </c>
      <c r="E125" s="1" t="s">
        <v>366</v>
      </c>
      <c r="F125" s="1" t="s">
        <v>39</v>
      </c>
      <c r="G125" s="1" t="s">
        <v>40</v>
      </c>
      <c r="H125" s="1" t="s">
        <v>28</v>
      </c>
      <c r="I125" s="1" t="s">
        <v>271</v>
      </c>
      <c r="J125" s="1" t="s">
        <v>220</v>
      </c>
      <c r="L125" s="3">
        <v>45597</v>
      </c>
      <c r="M125" s="3">
        <v>42736</v>
      </c>
      <c r="N125" s="3">
        <v>45657</v>
      </c>
      <c r="O125" s="1">
        <v>17886092</v>
      </c>
      <c r="P125" s="1" t="s">
        <v>31</v>
      </c>
      <c r="Q125" s="1" t="s">
        <v>256</v>
      </c>
      <c r="R125" s="1">
        <v>8192</v>
      </c>
      <c r="S125" s="1" t="s">
        <v>33</v>
      </c>
      <c r="T125" s="1" t="s">
        <v>34</v>
      </c>
      <c r="U125" s="1">
        <v>3.75</v>
      </c>
      <c r="V125" s="1" t="s">
        <v>35</v>
      </c>
      <c r="W125" s="3">
        <v>45352</v>
      </c>
      <c r="X125" s="1">
        <v>2024</v>
      </c>
    </row>
    <row r="126" spans="1:24" ht="15.75" customHeight="1" x14ac:dyDescent="0.25">
      <c r="A126" s="3">
        <v>45615</v>
      </c>
      <c r="B126" s="1" t="s">
        <v>367</v>
      </c>
      <c r="C126" s="2">
        <v>101833894700</v>
      </c>
      <c r="E126" s="1" t="s">
        <v>368</v>
      </c>
      <c r="F126" s="1" t="s">
        <v>39</v>
      </c>
      <c r="G126" s="1" t="s">
        <v>40</v>
      </c>
      <c r="H126" s="1" t="s">
        <v>28</v>
      </c>
      <c r="I126" s="1" t="s">
        <v>47</v>
      </c>
      <c r="J126" s="1" t="s">
        <v>54</v>
      </c>
      <c r="L126" s="3">
        <v>45597</v>
      </c>
      <c r="M126" s="3">
        <v>45261</v>
      </c>
      <c r="O126" s="1">
        <v>17886092</v>
      </c>
      <c r="P126" s="1" t="s">
        <v>31</v>
      </c>
      <c r="Q126" s="1" t="s">
        <v>256</v>
      </c>
      <c r="R126" s="1">
        <v>8192</v>
      </c>
      <c r="S126" s="1" t="s">
        <v>44</v>
      </c>
      <c r="T126" s="1" t="s">
        <v>34</v>
      </c>
      <c r="U126" s="1">
        <v>2.5</v>
      </c>
      <c r="V126" s="1" t="s">
        <v>35</v>
      </c>
      <c r="W126" s="3">
        <v>45250</v>
      </c>
      <c r="X126" s="1">
        <v>2024</v>
      </c>
    </row>
    <row r="127" spans="1:24" ht="15.75" customHeight="1" x14ac:dyDescent="0.25">
      <c r="A127" s="3">
        <v>45615</v>
      </c>
      <c r="B127" s="1" t="s">
        <v>369</v>
      </c>
      <c r="C127" s="2">
        <v>101794788300</v>
      </c>
      <c r="E127" s="1" t="s">
        <v>370</v>
      </c>
      <c r="F127" s="1" t="s">
        <v>39</v>
      </c>
      <c r="G127" s="1" t="s">
        <v>40</v>
      </c>
      <c r="H127" s="1" t="s">
        <v>28</v>
      </c>
      <c r="I127" s="1" t="s">
        <v>47</v>
      </c>
      <c r="J127" s="1" t="s">
        <v>54</v>
      </c>
      <c r="L127" s="3">
        <v>45597</v>
      </c>
      <c r="M127" s="3">
        <v>45261</v>
      </c>
      <c r="O127" s="1">
        <v>17886092</v>
      </c>
      <c r="P127" s="1" t="s">
        <v>31</v>
      </c>
      <c r="Q127" s="1" t="s">
        <v>256</v>
      </c>
      <c r="R127" s="1">
        <v>8192</v>
      </c>
      <c r="S127" s="1" t="s">
        <v>44</v>
      </c>
      <c r="T127" s="1" t="s">
        <v>34</v>
      </c>
      <c r="U127" s="1">
        <v>2.5</v>
      </c>
      <c r="V127" s="1" t="s">
        <v>35</v>
      </c>
      <c r="W127" s="3">
        <v>45225</v>
      </c>
      <c r="X127" s="1">
        <v>2024</v>
      </c>
    </row>
    <row r="128" spans="1:24" ht="15.75" customHeight="1" x14ac:dyDescent="0.25">
      <c r="A128" s="3">
        <v>45615</v>
      </c>
      <c r="B128" s="1" t="s">
        <v>371</v>
      </c>
      <c r="C128" s="2">
        <v>101794748100</v>
      </c>
      <c r="E128" s="1" t="s">
        <v>372</v>
      </c>
      <c r="F128" s="1" t="s">
        <v>39</v>
      </c>
      <c r="G128" s="1" t="s">
        <v>40</v>
      </c>
      <c r="H128" s="1" t="s">
        <v>28</v>
      </c>
      <c r="I128" s="1" t="s">
        <v>47</v>
      </c>
      <c r="J128" s="1" t="s">
        <v>220</v>
      </c>
      <c r="L128" s="3">
        <v>45597</v>
      </c>
      <c r="M128" s="3">
        <v>45231</v>
      </c>
      <c r="N128" s="3">
        <v>45657</v>
      </c>
      <c r="O128" s="1">
        <v>17886092</v>
      </c>
      <c r="P128" s="1" t="s">
        <v>31</v>
      </c>
      <c r="Q128" s="1" t="s">
        <v>256</v>
      </c>
      <c r="R128" s="1">
        <v>8192</v>
      </c>
      <c r="S128" s="1" t="s">
        <v>44</v>
      </c>
      <c r="T128" s="1" t="s">
        <v>34</v>
      </c>
      <c r="U128" s="1">
        <v>2.5</v>
      </c>
      <c r="V128" s="1" t="s">
        <v>35</v>
      </c>
      <c r="W128" s="3">
        <v>45225</v>
      </c>
      <c r="X128" s="1">
        <v>2024</v>
      </c>
    </row>
    <row r="129" spans="1:24" ht="15.75" customHeight="1" x14ac:dyDescent="0.25">
      <c r="A129" s="3">
        <v>45615</v>
      </c>
      <c r="B129" s="1" t="s">
        <v>373</v>
      </c>
      <c r="C129" s="2">
        <v>101853302100</v>
      </c>
      <c r="E129" s="1" t="s">
        <v>374</v>
      </c>
      <c r="F129" s="1" t="s">
        <v>39</v>
      </c>
      <c r="G129" s="1" t="s">
        <v>40</v>
      </c>
      <c r="H129" s="1" t="s">
        <v>28</v>
      </c>
      <c r="I129" s="1" t="s">
        <v>47</v>
      </c>
      <c r="J129" s="1" t="s">
        <v>220</v>
      </c>
      <c r="L129" s="3">
        <v>45597</v>
      </c>
      <c r="M129" s="3">
        <v>45261</v>
      </c>
      <c r="N129" s="3">
        <v>45657</v>
      </c>
      <c r="O129" s="1">
        <v>17886092</v>
      </c>
      <c r="P129" s="1" t="s">
        <v>31</v>
      </c>
      <c r="Q129" s="1" t="s">
        <v>256</v>
      </c>
      <c r="R129" s="1">
        <v>8192</v>
      </c>
      <c r="S129" s="1" t="s">
        <v>44</v>
      </c>
      <c r="T129" s="1" t="s">
        <v>34</v>
      </c>
      <c r="U129" s="1">
        <v>2.5</v>
      </c>
      <c r="V129" s="1" t="s">
        <v>35</v>
      </c>
      <c r="W129" s="3">
        <v>45260</v>
      </c>
      <c r="X129" s="1">
        <v>2024</v>
      </c>
    </row>
    <row r="130" spans="1:24" ht="15.75" customHeight="1" x14ac:dyDescent="0.25">
      <c r="A130" s="3">
        <v>45615</v>
      </c>
      <c r="B130" s="1" t="s">
        <v>375</v>
      </c>
      <c r="C130" s="2">
        <v>101721693400</v>
      </c>
      <c r="E130" s="1" t="s">
        <v>376</v>
      </c>
      <c r="F130" s="1" t="s">
        <v>39</v>
      </c>
      <c r="G130" s="1" t="s">
        <v>40</v>
      </c>
      <c r="H130" s="1" t="s">
        <v>28</v>
      </c>
      <c r="I130" s="1" t="s">
        <v>47</v>
      </c>
      <c r="J130" s="1" t="s">
        <v>377</v>
      </c>
      <c r="L130" s="3">
        <v>45597</v>
      </c>
      <c r="M130" s="3">
        <v>45047</v>
      </c>
      <c r="O130" s="1">
        <v>16509456</v>
      </c>
      <c r="P130" s="1" t="s">
        <v>31</v>
      </c>
      <c r="Q130" s="1" t="s">
        <v>378</v>
      </c>
      <c r="R130" s="1">
        <v>8192</v>
      </c>
      <c r="S130" s="1" t="s">
        <v>44</v>
      </c>
      <c r="T130" s="1" t="s">
        <v>34</v>
      </c>
      <c r="U130" s="1">
        <v>31.25</v>
      </c>
      <c r="V130" s="1" t="s">
        <v>35</v>
      </c>
      <c r="W130" s="3">
        <v>45043</v>
      </c>
      <c r="X130" s="1">
        <v>2024</v>
      </c>
    </row>
    <row r="131" spans="1:24" ht="15.75" customHeight="1" x14ac:dyDescent="0.25">
      <c r="A131" s="3">
        <v>45615</v>
      </c>
      <c r="B131" s="1" t="s">
        <v>379</v>
      </c>
      <c r="C131" s="2">
        <v>101557843300</v>
      </c>
      <c r="E131" s="1" t="s">
        <v>380</v>
      </c>
      <c r="F131" s="1" t="s">
        <v>182</v>
      </c>
      <c r="G131" s="1" t="s">
        <v>40</v>
      </c>
      <c r="H131" s="1" t="s">
        <v>28</v>
      </c>
      <c r="I131" s="1" t="s">
        <v>183</v>
      </c>
      <c r="J131" s="1" t="s">
        <v>381</v>
      </c>
      <c r="L131" s="3">
        <v>45597</v>
      </c>
      <c r="M131" s="3">
        <v>45170</v>
      </c>
      <c r="O131" s="1">
        <v>16509456</v>
      </c>
      <c r="P131" s="1" t="s">
        <v>31</v>
      </c>
      <c r="Q131" s="1" t="s">
        <v>378</v>
      </c>
      <c r="R131" s="1">
        <v>8192</v>
      </c>
      <c r="S131" s="1" t="s">
        <v>44</v>
      </c>
      <c r="T131" s="1" t="s">
        <v>34</v>
      </c>
      <c r="U131" s="1">
        <v>28</v>
      </c>
      <c r="V131" s="1" t="s">
        <v>35</v>
      </c>
      <c r="W131" s="3">
        <v>45146</v>
      </c>
      <c r="X131" s="1">
        <v>2024</v>
      </c>
    </row>
    <row r="132" spans="1:24" ht="15.75" customHeight="1" x14ac:dyDescent="0.25">
      <c r="A132" s="3">
        <v>45615</v>
      </c>
      <c r="B132" s="1" t="s">
        <v>382</v>
      </c>
      <c r="C132" s="2" t="s">
        <v>383</v>
      </c>
      <c r="E132" s="1" t="s">
        <v>384</v>
      </c>
      <c r="F132" s="1" t="s">
        <v>80</v>
      </c>
      <c r="G132" s="1" t="s">
        <v>40</v>
      </c>
      <c r="H132" s="1" t="s">
        <v>41</v>
      </c>
      <c r="J132" s="1" t="s">
        <v>81</v>
      </c>
      <c r="L132" s="3">
        <v>45597</v>
      </c>
      <c r="M132" s="3">
        <v>45261</v>
      </c>
      <c r="N132" s="3">
        <v>45657</v>
      </c>
      <c r="O132" s="1">
        <v>9079571</v>
      </c>
      <c r="P132" s="1" t="s">
        <v>31</v>
      </c>
      <c r="Q132" s="1" t="s">
        <v>385</v>
      </c>
      <c r="R132" s="1">
        <v>8192</v>
      </c>
      <c r="S132" s="1" t="s">
        <v>44</v>
      </c>
      <c r="T132" s="1" t="s">
        <v>34</v>
      </c>
      <c r="U132" s="1">
        <v>4</v>
      </c>
      <c r="V132" s="1" t="s">
        <v>35</v>
      </c>
      <c r="W132" s="3">
        <v>45260</v>
      </c>
      <c r="X132" s="1">
        <v>2024</v>
      </c>
    </row>
    <row r="133" spans="1:24" ht="15.75" customHeight="1" x14ac:dyDescent="0.25">
      <c r="A133" s="3">
        <v>45615</v>
      </c>
      <c r="B133" s="1" t="s">
        <v>386</v>
      </c>
      <c r="C133" s="2" t="s">
        <v>387</v>
      </c>
      <c r="E133" s="1" t="s">
        <v>388</v>
      </c>
      <c r="F133" s="1" t="s">
        <v>80</v>
      </c>
      <c r="G133" s="1" t="s">
        <v>40</v>
      </c>
      <c r="H133" s="1" t="s">
        <v>41</v>
      </c>
      <c r="J133" s="1" t="s">
        <v>81</v>
      </c>
      <c r="L133" s="3">
        <v>45597</v>
      </c>
      <c r="M133" s="3">
        <v>45017</v>
      </c>
      <c r="N133" s="3">
        <v>45657</v>
      </c>
      <c r="O133" s="1">
        <v>9079571</v>
      </c>
      <c r="P133" s="1" t="s">
        <v>31</v>
      </c>
      <c r="Q133" s="1" t="s">
        <v>385</v>
      </c>
      <c r="R133" s="1">
        <v>8192</v>
      </c>
      <c r="S133" s="1" t="s">
        <v>44</v>
      </c>
      <c r="T133" s="1" t="s">
        <v>34</v>
      </c>
      <c r="U133" s="1">
        <v>4</v>
      </c>
      <c r="V133" s="1" t="s">
        <v>35</v>
      </c>
      <c r="W133" s="3">
        <v>45001</v>
      </c>
      <c r="X133" s="1">
        <v>2024</v>
      </c>
    </row>
    <row r="134" spans="1:24" ht="15.75" customHeight="1" x14ac:dyDescent="0.25">
      <c r="A134" s="3">
        <v>45615</v>
      </c>
      <c r="B134" s="1" t="s">
        <v>389</v>
      </c>
      <c r="C134" s="2" t="s">
        <v>390</v>
      </c>
      <c r="E134" s="1" t="s">
        <v>391</v>
      </c>
      <c r="F134" s="1" t="s">
        <v>80</v>
      </c>
      <c r="G134" s="1" t="s">
        <v>40</v>
      </c>
      <c r="H134" s="1" t="s">
        <v>41</v>
      </c>
      <c r="J134" s="1" t="s">
        <v>81</v>
      </c>
      <c r="L134" s="3">
        <v>45597</v>
      </c>
      <c r="M134" s="3">
        <v>45078</v>
      </c>
      <c r="N134" s="3">
        <v>45657</v>
      </c>
      <c r="O134" s="1">
        <v>9079571</v>
      </c>
      <c r="P134" s="1" t="s">
        <v>31</v>
      </c>
      <c r="Q134" s="1" t="s">
        <v>385</v>
      </c>
      <c r="R134" s="1">
        <v>8192</v>
      </c>
      <c r="S134" s="1" t="s">
        <v>44</v>
      </c>
      <c r="T134" s="1" t="s">
        <v>34</v>
      </c>
      <c r="U134" s="1">
        <v>4</v>
      </c>
      <c r="V134" s="1" t="s">
        <v>35</v>
      </c>
      <c r="W134" s="3">
        <v>45076</v>
      </c>
      <c r="X134" s="1">
        <v>2024</v>
      </c>
    </row>
    <row r="135" spans="1:24" ht="15.75" customHeight="1" x14ac:dyDescent="0.25">
      <c r="A135" s="3">
        <v>45615</v>
      </c>
      <c r="B135" s="1" t="s">
        <v>392</v>
      </c>
      <c r="C135" s="2" t="s">
        <v>393</v>
      </c>
      <c r="E135" s="1" t="s">
        <v>394</v>
      </c>
      <c r="F135" s="1" t="s">
        <v>39</v>
      </c>
      <c r="G135" s="1" t="s">
        <v>40</v>
      </c>
      <c r="H135" s="1" t="s">
        <v>41</v>
      </c>
      <c r="J135" s="1" t="s">
        <v>42</v>
      </c>
      <c r="L135" s="3">
        <v>45597</v>
      </c>
      <c r="M135" s="3">
        <v>45108</v>
      </c>
      <c r="N135" s="3">
        <v>45657</v>
      </c>
      <c r="O135" s="1">
        <v>18943687</v>
      </c>
      <c r="P135" s="1" t="s">
        <v>31</v>
      </c>
      <c r="Q135" s="1" t="s">
        <v>395</v>
      </c>
      <c r="R135" s="1">
        <v>8192</v>
      </c>
      <c r="S135" s="1" t="s">
        <v>44</v>
      </c>
      <c r="T135" s="1" t="s">
        <v>34</v>
      </c>
      <c r="U135" s="1">
        <v>4</v>
      </c>
      <c r="V135" s="1" t="s">
        <v>35</v>
      </c>
      <c r="W135" s="3">
        <v>45105</v>
      </c>
      <c r="X135" s="1">
        <v>2024</v>
      </c>
    </row>
    <row r="136" spans="1:24" ht="15.75" customHeight="1" x14ac:dyDescent="0.25">
      <c r="A136" s="3">
        <v>45615</v>
      </c>
      <c r="B136" s="1" t="s">
        <v>396</v>
      </c>
      <c r="C136" s="2">
        <v>101700534500</v>
      </c>
      <c r="E136" s="1" t="s">
        <v>397</v>
      </c>
      <c r="F136" s="1" t="s">
        <v>39</v>
      </c>
      <c r="G136" s="1" t="s">
        <v>40</v>
      </c>
      <c r="H136" s="1" t="s">
        <v>28</v>
      </c>
      <c r="I136" s="1" t="s">
        <v>47</v>
      </c>
      <c r="J136" s="1" t="s">
        <v>398</v>
      </c>
      <c r="L136" s="3">
        <v>45597</v>
      </c>
      <c r="M136" s="3">
        <v>44986</v>
      </c>
      <c r="O136" s="1">
        <v>8307933</v>
      </c>
      <c r="P136" s="1" t="s">
        <v>31</v>
      </c>
      <c r="Q136" s="1" t="s">
        <v>399</v>
      </c>
      <c r="R136" s="1">
        <v>8192</v>
      </c>
      <c r="S136" s="1" t="s">
        <v>44</v>
      </c>
      <c r="T136" s="1" t="s">
        <v>34</v>
      </c>
      <c r="U136" s="1">
        <v>31.25</v>
      </c>
      <c r="V136" s="1" t="s">
        <v>35</v>
      </c>
      <c r="W136" s="3">
        <v>44979</v>
      </c>
      <c r="X136" s="1">
        <v>2024</v>
      </c>
    </row>
    <row r="137" spans="1:24" ht="15.75" customHeight="1" x14ac:dyDescent="0.25">
      <c r="A137" s="3">
        <v>45615</v>
      </c>
      <c r="B137" s="1" t="s">
        <v>400</v>
      </c>
      <c r="C137" s="2">
        <v>101813111300</v>
      </c>
      <c r="E137" s="1" t="s">
        <v>401</v>
      </c>
      <c r="F137" s="1" t="s">
        <v>402</v>
      </c>
      <c r="G137" s="1" t="s">
        <v>40</v>
      </c>
      <c r="H137" s="1" t="s">
        <v>28</v>
      </c>
      <c r="I137" s="1" t="s">
        <v>403</v>
      </c>
      <c r="J137" s="1" t="s">
        <v>404</v>
      </c>
      <c r="L137" s="3">
        <v>45597</v>
      </c>
      <c r="M137" s="3">
        <v>45261</v>
      </c>
      <c r="O137" s="1">
        <v>8307933</v>
      </c>
      <c r="P137" s="1" t="s">
        <v>31</v>
      </c>
      <c r="Q137" s="1" t="s">
        <v>399</v>
      </c>
      <c r="R137" s="1">
        <v>8192</v>
      </c>
      <c r="S137" s="1" t="s">
        <v>44</v>
      </c>
      <c r="T137" s="1" t="s">
        <v>34</v>
      </c>
      <c r="U137" s="1">
        <v>28</v>
      </c>
      <c r="V137" s="1" t="s">
        <v>35</v>
      </c>
      <c r="W137" s="3">
        <v>45238</v>
      </c>
      <c r="X137" s="1">
        <v>2024</v>
      </c>
    </row>
    <row r="138" spans="1:24" ht="15.75" customHeight="1" x14ac:dyDescent="0.25">
      <c r="A138" s="3">
        <v>45615</v>
      </c>
      <c r="B138" s="1" t="s">
        <v>405</v>
      </c>
      <c r="C138" s="2">
        <v>101806263100</v>
      </c>
      <c r="E138" s="1" t="s">
        <v>406</v>
      </c>
      <c r="F138" s="1" t="s">
        <v>102</v>
      </c>
      <c r="G138" s="1" t="s">
        <v>40</v>
      </c>
      <c r="H138" s="1" t="s">
        <v>28</v>
      </c>
      <c r="I138" s="1" t="s">
        <v>29</v>
      </c>
      <c r="J138" s="1" t="s">
        <v>407</v>
      </c>
      <c r="L138" s="3">
        <v>45597</v>
      </c>
      <c r="M138" s="3">
        <v>45261</v>
      </c>
      <c r="O138" s="1">
        <v>8307933</v>
      </c>
      <c r="P138" s="1" t="s">
        <v>31</v>
      </c>
      <c r="Q138" s="1" t="s">
        <v>399</v>
      </c>
      <c r="R138" s="1">
        <v>8192</v>
      </c>
      <c r="S138" s="1" t="s">
        <v>44</v>
      </c>
      <c r="T138" s="1" t="s">
        <v>34</v>
      </c>
      <c r="U138" s="1">
        <v>28</v>
      </c>
      <c r="V138" s="1" t="s">
        <v>35</v>
      </c>
      <c r="W138" s="3">
        <v>45233</v>
      </c>
      <c r="X138" s="1">
        <v>2024</v>
      </c>
    </row>
    <row r="139" spans="1:24" ht="15.75" customHeight="1" x14ac:dyDescent="0.25">
      <c r="A139" s="3">
        <v>45615</v>
      </c>
      <c r="B139" s="1" t="s">
        <v>408</v>
      </c>
      <c r="C139" s="2">
        <v>101758173300</v>
      </c>
      <c r="E139" s="1" t="s">
        <v>409</v>
      </c>
      <c r="F139" s="1" t="s">
        <v>410</v>
      </c>
      <c r="G139" s="1" t="s">
        <v>40</v>
      </c>
      <c r="H139" s="1" t="s">
        <v>28</v>
      </c>
      <c r="I139" s="1" t="s">
        <v>411</v>
      </c>
      <c r="J139" s="1" t="s">
        <v>412</v>
      </c>
      <c r="L139" s="3">
        <v>45597</v>
      </c>
      <c r="M139" s="3">
        <v>45231</v>
      </c>
      <c r="O139" s="1">
        <v>8307933</v>
      </c>
      <c r="P139" s="1" t="s">
        <v>31</v>
      </c>
      <c r="Q139" s="1" t="s">
        <v>399</v>
      </c>
      <c r="R139" s="1">
        <v>8192</v>
      </c>
      <c r="S139" s="1" t="s">
        <v>44</v>
      </c>
      <c r="T139" s="1" t="s">
        <v>34</v>
      </c>
      <c r="U139" s="1">
        <v>28</v>
      </c>
      <c r="V139" s="1" t="s">
        <v>35</v>
      </c>
      <c r="W139" s="3">
        <v>45152</v>
      </c>
      <c r="X139" s="1">
        <v>2024</v>
      </c>
    </row>
    <row r="140" spans="1:24" ht="15.75" customHeight="1" x14ac:dyDescent="0.25">
      <c r="A140" s="3">
        <v>45615</v>
      </c>
      <c r="B140" s="1" t="s">
        <v>413</v>
      </c>
      <c r="C140" s="2">
        <v>101706065400</v>
      </c>
      <c r="E140" s="1" t="s">
        <v>414</v>
      </c>
      <c r="F140" s="1" t="s">
        <v>415</v>
      </c>
      <c r="G140" s="1" t="s">
        <v>40</v>
      </c>
      <c r="H140" s="1" t="s">
        <v>28</v>
      </c>
      <c r="I140" s="1" t="s">
        <v>416</v>
      </c>
      <c r="J140" s="1" t="s">
        <v>417</v>
      </c>
      <c r="L140" s="3">
        <v>45597</v>
      </c>
      <c r="M140" s="3">
        <v>45047</v>
      </c>
      <c r="N140" s="3">
        <v>45657</v>
      </c>
      <c r="O140" s="1">
        <v>8307933</v>
      </c>
      <c r="P140" s="1" t="s">
        <v>31</v>
      </c>
      <c r="Q140" s="1" t="s">
        <v>399</v>
      </c>
      <c r="R140" s="1">
        <v>8192</v>
      </c>
      <c r="S140" s="1" t="s">
        <v>44</v>
      </c>
      <c r="T140" s="1" t="s">
        <v>34</v>
      </c>
      <c r="U140" s="1">
        <v>28</v>
      </c>
      <c r="V140" s="1" t="s">
        <v>35</v>
      </c>
      <c r="W140" s="3">
        <v>44993</v>
      </c>
      <c r="X140" s="1">
        <v>2024</v>
      </c>
    </row>
    <row r="141" spans="1:24" ht="15.75" customHeight="1" x14ac:dyDescent="0.25">
      <c r="A141" s="3">
        <v>45615</v>
      </c>
      <c r="B141" s="1" t="s">
        <v>418</v>
      </c>
      <c r="C141" s="2">
        <v>101734308700</v>
      </c>
      <c r="E141" s="1" t="s">
        <v>419</v>
      </c>
      <c r="F141" s="1" t="s">
        <v>415</v>
      </c>
      <c r="G141" s="1" t="s">
        <v>40</v>
      </c>
      <c r="H141" s="1" t="s">
        <v>28</v>
      </c>
      <c r="I141" s="1" t="s">
        <v>416</v>
      </c>
      <c r="J141" s="1" t="s">
        <v>420</v>
      </c>
      <c r="L141" s="3">
        <v>45597</v>
      </c>
      <c r="M141" s="3">
        <v>45170</v>
      </c>
      <c r="N141" s="3">
        <v>45657</v>
      </c>
      <c r="O141" s="1">
        <v>8307933</v>
      </c>
      <c r="P141" s="1" t="s">
        <v>31</v>
      </c>
      <c r="Q141" s="1" t="s">
        <v>399</v>
      </c>
      <c r="R141" s="1">
        <v>8192</v>
      </c>
      <c r="S141" s="1" t="s">
        <v>44</v>
      </c>
      <c r="T141" s="1" t="s">
        <v>34</v>
      </c>
      <c r="U141" s="1">
        <v>28</v>
      </c>
      <c r="V141" s="1" t="s">
        <v>35</v>
      </c>
      <c r="W141" s="3">
        <v>45082</v>
      </c>
      <c r="X141" s="1">
        <v>2024</v>
      </c>
    </row>
    <row r="142" spans="1:24" ht="15.75" customHeight="1" x14ac:dyDescent="0.25">
      <c r="A142" s="3">
        <v>45615</v>
      </c>
      <c r="B142" s="1" t="s">
        <v>421</v>
      </c>
      <c r="C142" s="2">
        <v>101733633000</v>
      </c>
      <c r="E142" s="1" t="s">
        <v>422</v>
      </c>
      <c r="F142" s="1" t="s">
        <v>402</v>
      </c>
      <c r="G142" s="1" t="s">
        <v>40</v>
      </c>
      <c r="H142" s="1" t="s">
        <v>28</v>
      </c>
      <c r="I142" s="1" t="s">
        <v>423</v>
      </c>
      <c r="J142" s="1" t="s">
        <v>424</v>
      </c>
      <c r="L142" s="3">
        <v>45597</v>
      </c>
      <c r="M142" s="3">
        <v>45108</v>
      </c>
      <c r="O142" s="1">
        <v>8307933</v>
      </c>
      <c r="P142" s="1" t="s">
        <v>31</v>
      </c>
      <c r="Q142" s="1" t="s">
        <v>399</v>
      </c>
      <c r="R142" s="1">
        <v>8192</v>
      </c>
      <c r="S142" s="1" t="s">
        <v>44</v>
      </c>
      <c r="T142" s="1" t="s">
        <v>34</v>
      </c>
      <c r="U142" s="1">
        <v>28</v>
      </c>
      <c r="V142" s="1" t="s">
        <v>35</v>
      </c>
      <c r="W142" s="3">
        <v>45077</v>
      </c>
      <c r="X142" s="1">
        <v>2024</v>
      </c>
    </row>
    <row r="143" spans="1:24" ht="15.75" customHeight="1" x14ac:dyDescent="0.25">
      <c r="A143" s="3">
        <v>45615</v>
      </c>
      <c r="B143" s="1" t="s">
        <v>425</v>
      </c>
      <c r="C143" s="2">
        <v>101700110400</v>
      </c>
      <c r="E143" s="1" t="s">
        <v>426</v>
      </c>
      <c r="F143" s="1" t="s">
        <v>182</v>
      </c>
      <c r="G143" s="1" t="s">
        <v>40</v>
      </c>
      <c r="H143" s="1" t="s">
        <v>28</v>
      </c>
      <c r="I143" s="1" t="s">
        <v>183</v>
      </c>
      <c r="J143" s="1" t="s">
        <v>427</v>
      </c>
      <c r="L143" s="3">
        <v>45597</v>
      </c>
      <c r="M143" s="3">
        <v>44986</v>
      </c>
      <c r="O143" s="1">
        <v>8307933</v>
      </c>
      <c r="P143" s="1" t="s">
        <v>31</v>
      </c>
      <c r="Q143" s="1" t="s">
        <v>399</v>
      </c>
      <c r="R143" s="1">
        <v>8192</v>
      </c>
      <c r="S143" s="1" t="s">
        <v>44</v>
      </c>
      <c r="T143" s="1" t="s">
        <v>34</v>
      </c>
      <c r="U143" s="1">
        <v>28</v>
      </c>
      <c r="V143" s="1" t="s">
        <v>35</v>
      </c>
      <c r="W143" s="3">
        <v>44978</v>
      </c>
      <c r="X143" s="1">
        <v>2024</v>
      </c>
    </row>
    <row r="144" spans="1:24" ht="15.75" customHeight="1" x14ac:dyDescent="0.25">
      <c r="A144" s="3">
        <v>45615</v>
      </c>
      <c r="B144" s="1" t="s">
        <v>428</v>
      </c>
      <c r="C144" s="2">
        <v>101741462600</v>
      </c>
      <c r="E144" s="1" t="s">
        <v>429</v>
      </c>
      <c r="F144" s="1" t="s">
        <v>402</v>
      </c>
      <c r="G144" s="1" t="s">
        <v>40</v>
      </c>
      <c r="H144" s="1" t="s">
        <v>28</v>
      </c>
      <c r="I144" s="1" t="s">
        <v>403</v>
      </c>
      <c r="J144" s="1" t="s">
        <v>430</v>
      </c>
      <c r="L144" s="3">
        <v>45597</v>
      </c>
      <c r="M144" s="3">
        <v>45170</v>
      </c>
      <c r="O144" s="1">
        <v>8307933</v>
      </c>
      <c r="P144" s="1" t="s">
        <v>31</v>
      </c>
      <c r="Q144" s="1" t="s">
        <v>399</v>
      </c>
      <c r="R144" s="1">
        <v>8192</v>
      </c>
      <c r="S144" s="1" t="s">
        <v>44</v>
      </c>
      <c r="T144" s="1" t="s">
        <v>34</v>
      </c>
      <c r="U144" s="1">
        <v>28</v>
      </c>
      <c r="V144" s="1" t="s">
        <v>35</v>
      </c>
      <c r="W144" s="3">
        <v>45103</v>
      </c>
      <c r="X144" s="1">
        <v>2024</v>
      </c>
    </row>
    <row r="145" spans="1:24" ht="15.75" customHeight="1" x14ac:dyDescent="0.25">
      <c r="A145" s="3">
        <v>45615</v>
      </c>
      <c r="B145" s="1" t="s">
        <v>431</v>
      </c>
      <c r="C145" s="2">
        <v>101504343800</v>
      </c>
      <c r="E145" s="1" t="s">
        <v>432</v>
      </c>
      <c r="F145" s="1" t="s">
        <v>26</v>
      </c>
      <c r="G145" s="1" t="s">
        <v>40</v>
      </c>
      <c r="H145" s="1" t="s">
        <v>28</v>
      </c>
      <c r="I145" s="1" t="s">
        <v>29</v>
      </c>
      <c r="J145" s="1" t="s">
        <v>433</v>
      </c>
      <c r="L145" s="3">
        <v>45597</v>
      </c>
      <c r="M145" s="3">
        <v>45231</v>
      </c>
      <c r="O145" s="1">
        <v>8307933</v>
      </c>
      <c r="P145" s="1" t="s">
        <v>31</v>
      </c>
      <c r="Q145" s="1" t="s">
        <v>399</v>
      </c>
      <c r="R145" s="1">
        <v>8192</v>
      </c>
      <c r="S145" s="1" t="s">
        <v>44</v>
      </c>
      <c r="T145" s="1" t="s">
        <v>34</v>
      </c>
      <c r="U145" s="1">
        <v>28</v>
      </c>
      <c r="V145" s="1" t="s">
        <v>35</v>
      </c>
      <c r="W145" s="3">
        <v>45224</v>
      </c>
      <c r="X145" s="1">
        <v>2024</v>
      </c>
    </row>
    <row r="146" spans="1:24" ht="15.75" customHeight="1" x14ac:dyDescent="0.25">
      <c r="A146" s="3">
        <v>45615</v>
      </c>
      <c r="B146" s="1" t="s">
        <v>434</v>
      </c>
      <c r="C146" s="2">
        <v>101504555900</v>
      </c>
      <c r="E146" s="1" t="s">
        <v>435</v>
      </c>
      <c r="F146" s="1" t="s">
        <v>26</v>
      </c>
      <c r="G146" s="1" t="s">
        <v>40</v>
      </c>
      <c r="H146" s="1" t="s">
        <v>28</v>
      </c>
      <c r="I146" s="1" t="s">
        <v>29</v>
      </c>
      <c r="J146" s="1" t="s">
        <v>433</v>
      </c>
      <c r="L146" s="3">
        <v>45597</v>
      </c>
      <c r="M146" s="3">
        <v>45231</v>
      </c>
      <c r="O146" s="1">
        <v>8307933</v>
      </c>
      <c r="P146" s="1" t="s">
        <v>31</v>
      </c>
      <c r="Q146" s="1" t="s">
        <v>399</v>
      </c>
      <c r="R146" s="1">
        <v>8192</v>
      </c>
      <c r="S146" s="1" t="s">
        <v>44</v>
      </c>
      <c r="T146" s="1" t="s">
        <v>34</v>
      </c>
      <c r="U146" s="1">
        <v>28</v>
      </c>
      <c r="V146" s="1" t="s">
        <v>35</v>
      </c>
      <c r="W146" s="3">
        <v>45224</v>
      </c>
      <c r="X146" s="1">
        <v>2024</v>
      </c>
    </row>
    <row r="147" spans="1:24" ht="15.75" customHeight="1" x14ac:dyDescent="0.25">
      <c r="A147" s="3">
        <v>45615</v>
      </c>
      <c r="B147" s="1" t="s">
        <v>436</v>
      </c>
      <c r="C147" s="2">
        <v>101706129600</v>
      </c>
      <c r="E147" s="1" t="s">
        <v>437</v>
      </c>
      <c r="F147" s="1" t="s">
        <v>415</v>
      </c>
      <c r="G147" s="1" t="s">
        <v>40</v>
      </c>
      <c r="H147" s="1" t="s">
        <v>28</v>
      </c>
      <c r="I147" s="1" t="s">
        <v>416</v>
      </c>
      <c r="J147" s="1" t="s">
        <v>438</v>
      </c>
      <c r="L147" s="3">
        <v>45597</v>
      </c>
      <c r="M147" s="3">
        <v>45017</v>
      </c>
      <c r="N147" s="3">
        <v>45657</v>
      </c>
      <c r="O147" s="1">
        <v>8307933</v>
      </c>
      <c r="P147" s="1" t="s">
        <v>31</v>
      </c>
      <c r="Q147" s="1" t="s">
        <v>399</v>
      </c>
      <c r="R147" s="1">
        <v>8192</v>
      </c>
      <c r="S147" s="1" t="s">
        <v>44</v>
      </c>
      <c r="T147" s="1" t="s">
        <v>34</v>
      </c>
      <c r="U147" s="1">
        <v>28</v>
      </c>
      <c r="V147" s="1" t="s">
        <v>35</v>
      </c>
      <c r="W147" s="3">
        <v>44995</v>
      </c>
      <c r="X147" s="1">
        <v>2024</v>
      </c>
    </row>
    <row r="148" spans="1:24" ht="15.75" customHeight="1" x14ac:dyDescent="0.25">
      <c r="A148" s="3">
        <v>45615</v>
      </c>
      <c r="B148" s="1" t="s">
        <v>439</v>
      </c>
      <c r="C148" s="2">
        <v>101760374600</v>
      </c>
      <c r="E148" s="1" t="s">
        <v>440</v>
      </c>
      <c r="F148" s="1" t="s">
        <v>182</v>
      </c>
      <c r="G148" s="1" t="s">
        <v>40</v>
      </c>
      <c r="H148" s="1" t="s">
        <v>28</v>
      </c>
      <c r="I148" s="1" t="s">
        <v>183</v>
      </c>
      <c r="J148" s="1" t="s">
        <v>441</v>
      </c>
      <c r="L148" s="3">
        <v>45597</v>
      </c>
      <c r="M148" s="3">
        <v>45170</v>
      </c>
      <c r="O148" s="1">
        <v>8307933</v>
      </c>
      <c r="P148" s="1" t="s">
        <v>31</v>
      </c>
      <c r="Q148" s="1" t="s">
        <v>399</v>
      </c>
      <c r="R148" s="1">
        <v>8192</v>
      </c>
      <c r="S148" s="1" t="s">
        <v>44</v>
      </c>
      <c r="T148" s="1" t="s">
        <v>34</v>
      </c>
      <c r="U148" s="1">
        <v>28</v>
      </c>
      <c r="V148" s="1" t="s">
        <v>35</v>
      </c>
      <c r="W148" s="3">
        <v>45156</v>
      </c>
      <c r="X148" s="1">
        <v>2024</v>
      </c>
    </row>
    <row r="149" spans="1:24" ht="15.75" customHeight="1" x14ac:dyDescent="0.25">
      <c r="A149" s="3">
        <v>45615</v>
      </c>
      <c r="B149" s="1" t="s">
        <v>442</v>
      </c>
      <c r="C149" s="2">
        <v>101709465900</v>
      </c>
      <c r="E149" s="1" t="s">
        <v>443</v>
      </c>
      <c r="F149" s="1" t="s">
        <v>26</v>
      </c>
      <c r="G149" s="1" t="s">
        <v>40</v>
      </c>
      <c r="H149" s="1" t="s">
        <v>28</v>
      </c>
      <c r="I149" s="1" t="s">
        <v>29</v>
      </c>
      <c r="J149" s="1" t="s">
        <v>210</v>
      </c>
      <c r="L149" s="3">
        <v>45597</v>
      </c>
      <c r="M149" s="3">
        <v>45017</v>
      </c>
      <c r="O149" s="1">
        <v>8307933</v>
      </c>
      <c r="P149" s="1" t="s">
        <v>31</v>
      </c>
      <c r="Q149" s="1" t="s">
        <v>399</v>
      </c>
      <c r="R149" s="1">
        <v>8192</v>
      </c>
      <c r="S149" s="1" t="s">
        <v>44</v>
      </c>
      <c r="T149" s="1" t="s">
        <v>34</v>
      </c>
      <c r="U149" s="1">
        <v>28</v>
      </c>
      <c r="V149" s="1" t="s">
        <v>35</v>
      </c>
      <c r="W149" s="3">
        <v>45006</v>
      </c>
      <c r="X149" s="1">
        <v>2024</v>
      </c>
    </row>
    <row r="150" spans="1:24" ht="15.75" customHeight="1" x14ac:dyDescent="0.25">
      <c r="A150" s="3">
        <v>45615</v>
      </c>
      <c r="B150" s="1" t="s">
        <v>444</v>
      </c>
      <c r="C150" s="2">
        <v>101755840900</v>
      </c>
      <c r="E150" s="1" t="s">
        <v>445</v>
      </c>
      <c r="F150" s="1" t="s">
        <v>446</v>
      </c>
      <c r="G150" s="1" t="s">
        <v>40</v>
      </c>
      <c r="H150" s="1" t="s">
        <v>28</v>
      </c>
      <c r="I150" s="1" t="s">
        <v>447</v>
      </c>
      <c r="J150" s="1" t="s">
        <v>448</v>
      </c>
      <c r="L150" s="3">
        <v>45597</v>
      </c>
      <c r="M150" s="3">
        <v>45170</v>
      </c>
      <c r="O150" s="1">
        <v>8307933</v>
      </c>
      <c r="P150" s="1" t="s">
        <v>31</v>
      </c>
      <c r="Q150" s="1" t="s">
        <v>399</v>
      </c>
      <c r="R150" s="1">
        <v>8192</v>
      </c>
      <c r="S150" s="1" t="s">
        <v>44</v>
      </c>
      <c r="T150" s="1" t="s">
        <v>34</v>
      </c>
      <c r="U150" s="1">
        <v>28</v>
      </c>
      <c r="V150" s="1" t="s">
        <v>35</v>
      </c>
      <c r="W150" s="3">
        <v>45145</v>
      </c>
      <c r="X150" s="1">
        <v>2024</v>
      </c>
    </row>
    <row r="151" spans="1:24" ht="15.75" customHeight="1" x14ac:dyDescent="0.25">
      <c r="A151" s="3">
        <v>45615</v>
      </c>
      <c r="B151" s="1" t="s">
        <v>449</v>
      </c>
      <c r="C151" s="2">
        <v>101706106900</v>
      </c>
      <c r="E151" s="1" t="s">
        <v>450</v>
      </c>
      <c r="F151" s="1" t="s">
        <v>446</v>
      </c>
      <c r="G151" s="1" t="s">
        <v>40</v>
      </c>
      <c r="H151" s="1" t="s">
        <v>28</v>
      </c>
      <c r="I151" s="1" t="s">
        <v>447</v>
      </c>
      <c r="J151" s="1" t="s">
        <v>448</v>
      </c>
      <c r="L151" s="3">
        <v>45597</v>
      </c>
      <c r="M151" s="3">
        <v>45017</v>
      </c>
      <c r="O151" s="1">
        <v>8307933</v>
      </c>
      <c r="P151" s="1" t="s">
        <v>31</v>
      </c>
      <c r="Q151" s="1" t="s">
        <v>399</v>
      </c>
      <c r="R151" s="1">
        <v>8192</v>
      </c>
      <c r="S151" s="1" t="s">
        <v>44</v>
      </c>
      <c r="T151" s="1" t="s">
        <v>34</v>
      </c>
      <c r="U151" s="1">
        <v>28</v>
      </c>
      <c r="V151" s="1" t="s">
        <v>35</v>
      </c>
      <c r="W151" s="3">
        <v>44995</v>
      </c>
      <c r="X151" s="1">
        <v>2024</v>
      </c>
    </row>
    <row r="152" spans="1:24" ht="15.75" customHeight="1" x14ac:dyDescent="0.25">
      <c r="A152" s="3">
        <v>45615</v>
      </c>
      <c r="B152" s="1" t="s">
        <v>451</v>
      </c>
      <c r="C152" s="2">
        <v>101762874900</v>
      </c>
      <c r="E152" s="1" t="s">
        <v>452</v>
      </c>
      <c r="F152" s="1" t="s">
        <v>453</v>
      </c>
      <c r="G152" s="1" t="s">
        <v>40</v>
      </c>
      <c r="H152" s="1" t="s">
        <v>28</v>
      </c>
      <c r="I152" s="1" t="s">
        <v>423</v>
      </c>
      <c r="J152" s="1" t="s">
        <v>454</v>
      </c>
      <c r="L152" s="3">
        <v>45597</v>
      </c>
      <c r="M152" s="3">
        <v>45170</v>
      </c>
      <c r="O152" s="1">
        <v>8307933</v>
      </c>
      <c r="P152" s="1" t="s">
        <v>31</v>
      </c>
      <c r="Q152" s="1" t="s">
        <v>399</v>
      </c>
      <c r="R152" s="1">
        <v>8192</v>
      </c>
      <c r="S152" s="1" t="s">
        <v>44</v>
      </c>
      <c r="T152" s="1" t="s">
        <v>34</v>
      </c>
      <c r="U152" s="1">
        <v>28</v>
      </c>
      <c r="V152" s="1" t="s">
        <v>35</v>
      </c>
      <c r="W152" s="3">
        <v>45163</v>
      </c>
      <c r="X152" s="1">
        <v>2024</v>
      </c>
    </row>
    <row r="153" spans="1:24" ht="15.75" customHeight="1" x14ac:dyDescent="0.25">
      <c r="A153" s="3">
        <v>45615</v>
      </c>
      <c r="B153" s="1" t="s">
        <v>455</v>
      </c>
      <c r="C153" s="2">
        <v>101698710100</v>
      </c>
      <c r="E153" s="1" t="s">
        <v>456</v>
      </c>
      <c r="F153" s="1" t="s">
        <v>457</v>
      </c>
      <c r="G153" s="1" t="s">
        <v>40</v>
      </c>
      <c r="H153" s="1" t="s">
        <v>28</v>
      </c>
      <c r="I153" s="1" t="s">
        <v>423</v>
      </c>
      <c r="J153" s="1" t="s">
        <v>458</v>
      </c>
      <c r="L153" s="3">
        <v>45597</v>
      </c>
      <c r="M153" s="3">
        <v>44986</v>
      </c>
      <c r="O153" s="1">
        <v>8307933</v>
      </c>
      <c r="P153" s="1" t="s">
        <v>31</v>
      </c>
      <c r="Q153" s="1" t="s">
        <v>399</v>
      </c>
      <c r="R153" s="1">
        <v>8192</v>
      </c>
      <c r="S153" s="1" t="s">
        <v>44</v>
      </c>
      <c r="T153" s="1" t="s">
        <v>34</v>
      </c>
      <c r="U153" s="1">
        <v>28</v>
      </c>
      <c r="V153" s="1" t="s">
        <v>35</v>
      </c>
      <c r="W153" s="3">
        <v>44973</v>
      </c>
      <c r="X153" s="1">
        <v>2024</v>
      </c>
    </row>
    <row r="154" spans="1:24" ht="15.75" customHeight="1" x14ac:dyDescent="0.25">
      <c r="A154" s="3">
        <v>45615</v>
      </c>
      <c r="B154" s="1" t="s">
        <v>459</v>
      </c>
      <c r="C154" s="2">
        <v>101754974700</v>
      </c>
      <c r="E154" s="1" t="s">
        <v>460</v>
      </c>
      <c r="F154" s="1" t="s">
        <v>457</v>
      </c>
      <c r="G154" s="1" t="s">
        <v>40</v>
      </c>
      <c r="H154" s="1" t="s">
        <v>28</v>
      </c>
      <c r="I154" s="1" t="s">
        <v>423</v>
      </c>
      <c r="J154" s="1" t="s">
        <v>458</v>
      </c>
      <c r="L154" s="3">
        <v>45597</v>
      </c>
      <c r="M154" s="3">
        <v>45170</v>
      </c>
      <c r="O154" s="1">
        <v>8307933</v>
      </c>
      <c r="P154" s="1" t="s">
        <v>31</v>
      </c>
      <c r="Q154" s="1" t="s">
        <v>399</v>
      </c>
      <c r="R154" s="1">
        <v>8192</v>
      </c>
      <c r="S154" s="1" t="s">
        <v>44</v>
      </c>
      <c r="T154" s="1" t="s">
        <v>34</v>
      </c>
      <c r="U154" s="1">
        <v>28</v>
      </c>
      <c r="V154" s="1" t="s">
        <v>35</v>
      </c>
      <c r="W154" s="3">
        <v>45141</v>
      </c>
      <c r="X154" s="1">
        <v>2024</v>
      </c>
    </row>
    <row r="155" spans="1:24" ht="15.75" customHeight="1" x14ac:dyDescent="0.25">
      <c r="A155" s="3">
        <v>45615</v>
      </c>
      <c r="B155" s="1" t="s">
        <v>461</v>
      </c>
      <c r="C155" s="2">
        <v>101720248500</v>
      </c>
      <c r="E155" s="1" t="s">
        <v>462</v>
      </c>
      <c r="F155" s="1" t="s">
        <v>102</v>
      </c>
      <c r="G155" s="1" t="s">
        <v>40</v>
      </c>
      <c r="H155" s="1" t="s">
        <v>28</v>
      </c>
      <c r="I155" s="1" t="s">
        <v>29</v>
      </c>
      <c r="J155" s="1" t="s">
        <v>103</v>
      </c>
      <c r="L155" s="3">
        <v>45597</v>
      </c>
      <c r="M155" s="3">
        <v>45047</v>
      </c>
      <c r="O155" s="1">
        <v>8307933</v>
      </c>
      <c r="P155" s="1" t="s">
        <v>31</v>
      </c>
      <c r="Q155" s="1" t="s">
        <v>399</v>
      </c>
      <c r="R155" s="1">
        <v>8192</v>
      </c>
      <c r="S155" s="1" t="s">
        <v>44</v>
      </c>
      <c r="T155" s="1" t="s">
        <v>34</v>
      </c>
      <c r="U155" s="1">
        <v>28</v>
      </c>
      <c r="V155" s="1" t="s">
        <v>35</v>
      </c>
      <c r="W155" s="3">
        <v>45040</v>
      </c>
      <c r="X155" s="1">
        <v>2024</v>
      </c>
    </row>
    <row r="156" spans="1:24" ht="15.75" customHeight="1" x14ac:dyDescent="0.25">
      <c r="A156" s="3">
        <v>45615</v>
      </c>
      <c r="B156" s="1" t="s">
        <v>463</v>
      </c>
      <c r="C156" s="2">
        <v>101767163600</v>
      </c>
      <c r="E156" s="1" t="s">
        <v>464</v>
      </c>
      <c r="F156" s="1" t="s">
        <v>465</v>
      </c>
      <c r="G156" s="1" t="s">
        <v>40</v>
      </c>
      <c r="H156" s="1" t="s">
        <v>28</v>
      </c>
      <c r="I156" s="1" t="s">
        <v>466</v>
      </c>
      <c r="J156" s="1" t="s">
        <v>467</v>
      </c>
      <c r="L156" s="3">
        <v>45597</v>
      </c>
      <c r="M156" s="3">
        <v>45200</v>
      </c>
      <c r="O156" s="1">
        <v>8307933</v>
      </c>
      <c r="P156" s="1" t="s">
        <v>31</v>
      </c>
      <c r="Q156" s="1" t="s">
        <v>399</v>
      </c>
      <c r="R156" s="1">
        <v>8192</v>
      </c>
      <c r="S156" s="1" t="s">
        <v>44</v>
      </c>
      <c r="T156" s="1" t="s">
        <v>34</v>
      </c>
      <c r="U156" s="1">
        <v>28</v>
      </c>
      <c r="V156" s="1" t="s">
        <v>35</v>
      </c>
      <c r="W156" s="3">
        <v>45176</v>
      </c>
      <c r="X156" s="1">
        <v>2024</v>
      </c>
    </row>
    <row r="157" spans="1:24" ht="15.75" customHeight="1" x14ac:dyDescent="0.25">
      <c r="A157" s="3">
        <v>45615</v>
      </c>
      <c r="B157" s="1" t="s">
        <v>468</v>
      </c>
      <c r="C157" s="2">
        <v>101761973000</v>
      </c>
      <c r="E157" s="1" t="s">
        <v>469</v>
      </c>
      <c r="F157" s="1" t="s">
        <v>39</v>
      </c>
      <c r="G157" s="1" t="s">
        <v>40</v>
      </c>
      <c r="H157" s="1" t="s">
        <v>28</v>
      </c>
      <c r="I157" s="1" t="s">
        <v>47</v>
      </c>
      <c r="J157" s="1" t="s">
        <v>398</v>
      </c>
      <c r="L157" s="3">
        <v>45597</v>
      </c>
      <c r="M157" s="3">
        <v>45200</v>
      </c>
      <c r="O157" s="1">
        <v>8307933</v>
      </c>
      <c r="P157" s="1" t="s">
        <v>31</v>
      </c>
      <c r="Q157" s="1" t="s">
        <v>399</v>
      </c>
      <c r="R157" s="1">
        <v>8192</v>
      </c>
      <c r="S157" s="1" t="s">
        <v>44</v>
      </c>
      <c r="T157" s="1" t="s">
        <v>34</v>
      </c>
      <c r="U157" s="1">
        <v>31.25</v>
      </c>
      <c r="V157" s="1" t="s">
        <v>35</v>
      </c>
      <c r="W157" s="3">
        <v>45160</v>
      </c>
      <c r="X157" s="1">
        <v>2024</v>
      </c>
    </row>
    <row r="158" spans="1:24" ht="15.75" customHeight="1" x14ac:dyDescent="0.25">
      <c r="A158" s="3">
        <v>45615</v>
      </c>
      <c r="B158" s="1" t="s">
        <v>470</v>
      </c>
      <c r="C158" s="2">
        <v>101697944000</v>
      </c>
      <c r="E158" s="1" t="s">
        <v>471</v>
      </c>
      <c r="F158" s="1" t="s">
        <v>26</v>
      </c>
      <c r="G158" s="1" t="s">
        <v>40</v>
      </c>
      <c r="H158" s="1" t="s">
        <v>28</v>
      </c>
      <c r="I158" s="1" t="s">
        <v>29</v>
      </c>
      <c r="J158" s="1" t="s">
        <v>210</v>
      </c>
      <c r="L158" s="3">
        <v>45597</v>
      </c>
      <c r="M158" s="3">
        <v>45017</v>
      </c>
      <c r="O158" s="1">
        <v>8307933</v>
      </c>
      <c r="P158" s="1" t="s">
        <v>31</v>
      </c>
      <c r="Q158" s="1" t="s">
        <v>399</v>
      </c>
      <c r="R158" s="1">
        <v>8192</v>
      </c>
      <c r="S158" s="1" t="s">
        <v>44</v>
      </c>
      <c r="T158" s="1" t="s">
        <v>34</v>
      </c>
      <c r="U158" s="1">
        <v>28</v>
      </c>
      <c r="V158" s="1" t="s">
        <v>35</v>
      </c>
      <c r="W158" s="3">
        <v>44971</v>
      </c>
      <c r="X158" s="1">
        <v>2024</v>
      </c>
    </row>
    <row r="159" spans="1:24" ht="15.75" customHeight="1" x14ac:dyDescent="0.25">
      <c r="A159" s="3">
        <v>45615</v>
      </c>
      <c r="B159" s="1" t="s">
        <v>472</v>
      </c>
      <c r="C159" s="2">
        <v>101740447400</v>
      </c>
      <c r="E159" s="1" t="s">
        <v>473</v>
      </c>
      <c r="F159" s="1" t="s">
        <v>474</v>
      </c>
      <c r="G159" s="1" t="s">
        <v>40</v>
      </c>
      <c r="H159" s="1" t="s">
        <v>28</v>
      </c>
      <c r="I159" s="1" t="s">
        <v>416</v>
      </c>
      <c r="J159" s="1" t="s">
        <v>475</v>
      </c>
      <c r="L159" s="3">
        <v>45597</v>
      </c>
      <c r="M159" s="3">
        <v>45139</v>
      </c>
      <c r="O159" s="1">
        <v>8307933</v>
      </c>
      <c r="P159" s="1" t="s">
        <v>31</v>
      </c>
      <c r="Q159" s="1" t="s">
        <v>399</v>
      </c>
      <c r="R159" s="1">
        <v>8192</v>
      </c>
      <c r="S159" s="1" t="s">
        <v>44</v>
      </c>
      <c r="T159" s="1" t="s">
        <v>34</v>
      </c>
      <c r="U159" s="1">
        <v>28</v>
      </c>
      <c r="V159" s="1" t="s">
        <v>35</v>
      </c>
      <c r="W159" s="3">
        <v>45099</v>
      </c>
      <c r="X159" s="1">
        <v>2024</v>
      </c>
    </row>
    <row r="160" spans="1:24" ht="15.75" customHeight="1" x14ac:dyDescent="0.25">
      <c r="A160" s="3">
        <v>45615</v>
      </c>
      <c r="B160" s="1" t="s">
        <v>476</v>
      </c>
      <c r="C160" s="2">
        <v>101704569600</v>
      </c>
      <c r="E160" s="1" t="s">
        <v>477</v>
      </c>
      <c r="F160" s="1" t="s">
        <v>39</v>
      </c>
      <c r="G160" s="1" t="s">
        <v>40</v>
      </c>
      <c r="H160" s="1" t="s">
        <v>28</v>
      </c>
      <c r="I160" s="1" t="s">
        <v>47</v>
      </c>
      <c r="J160" s="1" t="s">
        <v>398</v>
      </c>
      <c r="L160" s="3">
        <v>45597</v>
      </c>
      <c r="M160" s="3">
        <v>45047</v>
      </c>
      <c r="O160" s="1">
        <v>8307933</v>
      </c>
      <c r="P160" s="1" t="s">
        <v>31</v>
      </c>
      <c r="Q160" s="1" t="s">
        <v>399</v>
      </c>
      <c r="R160" s="1">
        <v>8192</v>
      </c>
      <c r="S160" s="1" t="s">
        <v>44</v>
      </c>
      <c r="T160" s="1" t="s">
        <v>34</v>
      </c>
      <c r="U160" s="1">
        <v>31.25</v>
      </c>
      <c r="V160" s="1" t="s">
        <v>35</v>
      </c>
      <c r="W160" s="3">
        <v>44986</v>
      </c>
      <c r="X160" s="1">
        <v>2024</v>
      </c>
    </row>
    <row r="161" spans="1:24" ht="15.75" customHeight="1" x14ac:dyDescent="0.25">
      <c r="A161" s="3">
        <v>45615</v>
      </c>
      <c r="B161" s="1" t="s">
        <v>478</v>
      </c>
      <c r="C161" s="2">
        <v>101734123900</v>
      </c>
      <c r="E161" s="1" t="s">
        <v>479</v>
      </c>
      <c r="F161" s="1" t="s">
        <v>480</v>
      </c>
      <c r="G161" s="1" t="s">
        <v>40</v>
      </c>
      <c r="H161" s="1" t="s">
        <v>28</v>
      </c>
      <c r="I161" s="1" t="s">
        <v>481</v>
      </c>
      <c r="J161" s="1" t="s">
        <v>482</v>
      </c>
      <c r="L161" s="3">
        <v>45597</v>
      </c>
      <c r="M161" s="3">
        <v>45108</v>
      </c>
      <c r="O161" s="1">
        <v>8307933</v>
      </c>
      <c r="P161" s="1" t="s">
        <v>31</v>
      </c>
      <c r="Q161" s="1" t="s">
        <v>399</v>
      </c>
      <c r="R161" s="1">
        <v>8192</v>
      </c>
      <c r="S161" s="1" t="s">
        <v>44</v>
      </c>
      <c r="T161" s="1" t="s">
        <v>34</v>
      </c>
      <c r="U161" s="1">
        <v>28</v>
      </c>
      <c r="V161" s="1" t="s">
        <v>35</v>
      </c>
      <c r="W161" s="3">
        <v>45083</v>
      </c>
      <c r="X161" s="1">
        <v>2024</v>
      </c>
    </row>
    <row r="162" spans="1:24" ht="15.75" customHeight="1" x14ac:dyDescent="0.25">
      <c r="A162" s="3">
        <v>45615</v>
      </c>
      <c r="B162" s="1" t="s">
        <v>483</v>
      </c>
      <c r="C162" s="2">
        <v>101707201600</v>
      </c>
      <c r="E162" s="1" t="s">
        <v>484</v>
      </c>
      <c r="F162" s="1" t="s">
        <v>26</v>
      </c>
      <c r="G162" s="1" t="s">
        <v>40</v>
      </c>
      <c r="H162" s="1" t="s">
        <v>28</v>
      </c>
      <c r="I162" s="1" t="s">
        <v>29</v>
      </c>
      <c r="J162" s="1" t="s">
        <v>210</v>
      </c>
      <c r="L162" s="3">
        <v>45597</v>
      </c>
      <c r="M162" s="3">
        <v>45017</v>
      </c>
      <c r="O162" s="1">
        <v>8307933</v>
      </c>
      <c r="P162" s="1" t="s">
        <v>31</v>
      </c>
      <c r="Q162" s="1" t="s">
        <v>399</v>
      </c>
      <c r="R162" s="1">
        <v>8192</v>
      </c>
      <c r="S162" s="1" t="s">
        <v>44</v>
      </c>
      <c r="T162" s="1" t="s">
        <v>34</v>
      </c>
      <c r="U162" s="1">
        <v>28</v>
      </c>
      <c r="V162" s="1" t="s">
        <v>35</v>
      </c>
      <c r="W162" s="3">
        <v>44999</v>
      </c>
      <c r="X162" s="1">
        <v>2024</v>
      </c>
    </row>
    <row r="163" spans="1:24" ht="15.75" customHeight="1" x14ac:dyDescent="0.25">
      <c r="A163" s="3">
        <v>45615</v>
      </c>
      <c r="B163" s="1" t="s">
        <v>485</v>
      </c>
      <c r="C163" s="2">
        <v>101697130900</v>
      </c>
      <c r="E163" s="1" t="s">
        <v>486</v>
      </c>
      <c r="F163" s="1" t="s">
        <v>93</v>
      </c>
      <c r="G163" s="1" t="s">
        <v>40</v>
      </c>
      <c r="H163" s="1" t="s">
        <v>28</v>
      </c>
      <c r="I163" s="1" t="s">
        <v>29</v>
      </c>
      <c r="J163" s="1" t="s">
        <v>94</v>
      </c>
      <c r="L163" s="3">
        <v>45597</v>
      </c>
      <c r="M163" s="3">
        <v>44986</v>
      </c>
      <c r="O163" s="1">
        <v>8307933</v>
      </c>
      <c r="P163" s="1" t="s">
        <v>31</v>
      </c>
      <c r="Q163" s="1" t="s">
        <v>399</v>
      </c>
      <c r="R163" s="1">
        <v>8192</v>
      </c>
      <c r="S163" s="1" t="s">
        <v>44</v>
      </c>
      <c r="T163" s="1" t="s">
        <v>34</v>
      </c>
      <c r="U163" s="1">
        <v>28</v>
      </c>
      <c r="V163" s="1" t="s">
        <v>35</v>
      </c>
      <c r="W163" s="3">
        <v>44970</v>
      </c>
      <c r="X163" s="1">
        <v>2024</v>
      </c>
    </row>
    <row r="164" spans="1:24" ht="15.75" customHeight="1" x14ac:dyDescent="0.25">
      <c r="A164" s="3">
        <v>45615</v>
      </c>
      <c r="B164" s="1" t="s">
        <v>487</v>
      </c>
      <c r="C164" s="2">
        <v>101763748700</v>
      </c>
      <c r="E164" s="1" t="s">
        <v>488</v>
      </c>
      <c r="F164" s="1" t="s">
        <v>453</v>
      </c>
      <c r="G164" s="1" t="s">
        <v>40</v>
      </c>
      <c r="H164" s="1" t="s">
        <v>28</v>
      </c>
      <c r="I164" s="1" t="s">
        <v>423</v>
      </c>
      <c r="J164" s="1" t="s">
        <v>489</v>
      </c>
      <c r="L164" s="3">
        <v>45597</v>
      </c>
      <c r="M164" s="3">
        <v>45200</v>
      </c>
      <c r="O164" s="1">
        <v>8307933</v>
      </c>
      <c r="P164" s="1" t="s">
        <v>31</v>
      </c>
      <c r="Q164" s="1" t="s">
        <v>399</v>
      </c>
      <c r="R164" s="1">
        <v>8192</v>
      </c>
      <c r="S164" s="1" t="s">
        <v>44</v>
      </c>
      <c r="T164" s="1" t="s">
        <v>34</v>
      </c>
      <c r="U164" s="1">
        <v>28</v>
      </c>
      <c r="V164" s="1" t="s">
        <v>35</v>
      </c>
      <c r="W164" s="3">
        <v>45167</v>
      </c>
      <c r="X164" s="1">
        <v>2024</v>
      </c>
    </row>
    <row r="165" spans="1:24" ht="15.75" customHeight="1" x14ac:dyDescent="0.25">
      <c r="A165" s="3">
        <v>45615</v>
      </c>
      <c r="B165" s="1" t="s">
        <v>490</v>
      </c>
      <c r="C165" s="2">
        <v>102082370200</v>
      </c>
      <c r="E165" s="1" t="s">
        <v>491</v>
      </c>
      <c r="F165" s="1" t="s">
        <v>26</v>
      </c>
      <c r="G165" s="1" t="s">
        <v>27</v>
      </c>
      <c r="H165" s="1" t="s">
        <v>28</v>
      </c>
      <c r="I165" s="1" t="s">
        <v>29</v>
      </c>
      <c r="J165" s="1" t="s">
        <v>30</v>
      </c>
      <c r="L165" s="3">
        <v>45597</v>
      </c>
      <c r="M165" s="3">
        <v>45597</v>
      </c>
      <c r="O165" s="1">
        <v>8307933</v>
      </c>
      <c r="P165" s="1" t="s">
        <v>31</v>
      </c>
      <c r="Q165" s="1" t="s">
        <v>399</v>
      </c>
      <c r="R165" s="1">
        <v>8192</v>
      </c>
      <c r="S165" s="1" t="s">
        <v>33</v>
      </c>
      <c r="T165" s="1" t="s">
        <v>34</v>
      </c>
      <c r="U165" s="1">
        <v>71.83</v>
      </c>
      <c r="V165" s="1" t="s">
        <v>35</v>
      </c>
      <c r="W165" s="3">
        <v>45596</v>
      </c>
      <c r="X165" s="1">
        <v>2024</v>
      </c>
    </row>
    <row r="166" spans="1:24" ht="15.75" customHeight="1" x14ac:dyDescent="0.25">
      <c r="A166" s="3">
        <v>45615</v>
      </c>
      <c r="B166" s="1" t="s">
        <v>492</v>
      </c>
      <c r="C166" s="2">
        <v>101705087000</v>
      </c>
      <c r="E166" s="1" t="s">
        <v>493</v>
      </c>
      <c r="F166" s="1" t="s">
        <v>494</v>
      </c>
      <c r="G166" s="1" t="s">
        <v>40</v>
      </c>
      <c r="H166" s="1" t="s">
        <v>28</v>
      </c>
      <c r="I166" s="1" t="s">
        <v>447</v>
      </c>
      <c r="J166" s="1" t="s">
        <v>495</v>
      </c>
      <c r="L166" s="3">
        <v>45597</v>
      </c>
      <c r="M166" s="3">
        <v>45047</v>
      </c>
      <c r="N166" s="3">
        <v>45657</v>
      </c>
      <c r="O166" s="1">
        <v>8307933</v>
      </c>
      <c r="P166" s="1" t="s">
        <v>31</v>
      </c>
      <c r="Q166" s="1" t="s">
        <v>399</v>
      </c>
      <c r="R166" s="1">
        <v>8192</v>
      </c>
      <c r="S166" s="1" t="s">
        <v>44</v>
      </c>
      <c r="T166" s="1" t="s">
        <v>34</v>
      </c>
      <c r="U166" s="1">
        <v>28</v>
      </c>
      <c r="V166" s="1" t="s">
        <v>35</v>
      </c>
      <c r="W166" s="3">
        <v>44988</v>
      </c>
      <c r="X166" s="1">
        <v>2024</v>
      </c>
    </row>
    <row r="167" spans="1:24" ht="15.75" customHeight="1" x14ac:dyDescent="0.25">
      <c r="A167" s="3"/>
      <c r="C167" s="2"/>
      <c r="L167" s="3"/>
      <c r="M167" s="3"/>
      <c r="U167">
        <f>SUM(U2:U166)</f>
        <v>2790.6</v>
      </c>
      <c r="W167" s="3"/>
    </row>
    <row r="168" spans="1:24" ht="15.75" customHeight="1" x14ac:dyDescent="0.25">
      <c r="A168" s="3"/>
      <c r="C168" s="2"/>
      <c r="L168" s="3"/>
      <c r="M168" s="3"/>
      <c r="W168" s="3"/>
    </row>
    <row r="169" spans="1:24" ht="15.75" customHeight="1" x14ac:dyDescent="0.25">
      <c r="A169" s="3"/>
      <c r="C169" s="2"/>
      <c r="L169" s="3"/>
      <c r="M169" s="3"/>
      <c r="W169" s="3"/>
    </row>
    <row r="170" spans="1:24" ht="15.75" customHeight="1" x14ac:dyDescent="0.25">
      <c r="A170" s="3"/>
      <c r="C170" s="2"/>
      <c r="L170" s="3"/>
      <c r="M170" s="3"/>
      <c r="W170" s="3"/>
    </row>
    <row r="171" spans="1:24" ht="15.75" customHeight="1" x14ac:dyDescent="0.25">
      <c r="A171" s="3"/>
      <c r="C171" s="2"/>
      <c r="L171" s="3"/>
      <c r="M171" s="3"/>
      <c r="N171" s="3"/>
      <c r="W171" s="3"/>
    </row>
    <row r="172" spans="1:24" ht="15.75" customHeight="1" x14ac:dyDescent="0.25">
      <c r="A172" s="3"/>
      <c r="C172" s="2"/>
      <c r="L172" s="3"/>
      <c r="M172" s="3"/>
      <c r="N172" s="3"/>
      <c r="W172" s="3"/>
    </row>
    <row r="173" spans="1:24" ht="15.75" customHeight="1" x14ac:dyDescent="0.25">
      <c r="A173" s="3"/>
      <c r="C173" s="2"/>
      <c r="L173" s="3"/>
      <c r="M173" s="3"/>
      <c r="W173" s="3"/>
    </row>
    <row r="174" spans="1:24" ht="15.75" customHeight="1" x14ac:dyDescent="0.25">
      <c r="A174" s="3"/>
      <c r="C174" s="2"/>
      <c r="L174" s="3"/>
      <c r="M174" s="3"/>
      <c r="W174" s="3"/>
    </row>
    <row r="175" spans="1:24" ht="15.75" customHeight="1" x14ac:dyDescent="0.25">
      <c r="A175" s="3"/>
      <c r="C175" s="2"/>
      <c r="L175" s="3"/>
      <c r="M175" s="3"/>
      <c r="N175" s="3"/>
      <c r="W175" s="3"/>
    </row>
    <row r="176" spans="1:24" ht="15.75" customHeight="1" x14ac:dyDescent="0.25">
      <c r="A176" s="3"/>
      <c r="C176" s="2"/>
      <c r="L176" s="3"/>
      <c r="M176" s="3"/>
      <c r="N176" s="3"/>
      <c r="W176" s="3"/>
    </row>
    <row r="177" spans="1:23" ht="15.75" customHeight="1" x14ac:dyDescent="0.25">
      <c r="A177" s="3"/>
      <c r="C177" s="2"/>
      <c r="L177" s="3"/>
      <c r="M177" s="3"/>
      <c r="W177" s="3"/>
    </row>
    <row r="178" spans="1:23" ht="15.75" customHeight="1" x14ac:dyDescent="0.25">
      <c r="A178" s="3"/>
      <c r="C178" s="2"/>
      <c r="L178" s="3"/>
      <c r="M178" s="3"/>
      <c r="W178" s="3"/>
    </row>
    <row r="179" spans="1:23" ht="15.75" customHeight="1" x14ac:dyDescent="0.25">
      <c r="A179" s="3"/>
      <c r="C179" s="2"/>
      <c r="L179" s="3"/>
      <c r="M179" s="3"/>
      <c r="W179" s="3"/>
    </row>
    <row r="180" spans="1:23" ht="15.75" customHeight="1" x14ac:dyDescent="0.25">
      <c r="A180" s="3"/>
      <c r="C180" s="2"/>
      <c r="L180" s="3"/>
      <c r="M180" s="3"/>
      <c r="W180" s="3"/>
    </row>
    <row r="181" spans="1:23" ht="15.75" customHeight="1" x14ac:dyDescent="0.25">
      <c r="A181" s="3"/>
      <c r="C181" s="2"/>
      <c r="L181" s="3"/>
      <c r="M181" s="3"/>
      <c r="W181" s="3"/>
    </row>
    <row r="182" spans="1:23" ht="15.75" customHeight="1" x14ac:dyDescent="0.25">
      <c r="A182" s="3"/>
      <c r="C182" s="2"/>
      <c r="L182" s="3"/>
      <c r="M182" s="3"/>
      <c r="W182" s="3"/>
    </row>
    <row r="183" spans="1:23" ht="15.75" customHeight="1" x14ac:dyDescent="0.25">
      <c r="A183" s="3"/>
      <c r="C183" s="2"/>
      <c r="L183" s="3"/>
      <c r="M183" s="3"/>
      <c r="N183" s="3"/>
      <c r="W183" s="3"/>
    </row>
    <row r="184" spans="1:23" ht="15.75" customHeight="1" x14ac:dyDescent="0.25">
      <c r="A184" s="3"/>
      <c r="C184" s="2"/>
      <c r="L184" s="3"/>
      <c r="M184" s="3"/>
      <c r="N184" s="3"/>
      <c r="W184" s="3"/>
    </row>
    <row r="185" spans="1:23" ht="15.75" customHeight="1" x14ac:dyDescent="0.25">
      <c r="A185" s="3"/>
      <c r="C185" s="2"/>
      <c r="L185" s="3"/>
      <c r="M185" s="3"/>
      <c r="W185" s="3"/>
    </row>
    <row r="186" spans="1:23" ht="15.75" customHeight="1" x14ac:dyDescent="0.25">
      <c r="A186" s="3"/>
      <c r="C186" s="2"/>
      <c r="L186" s="3"/>
      <c r="M186" s="3"/>
      <c r="W186" s="3"/>
    </row>
    <row r="187" spans="1:23" ht="15.75" customHeight="1" x14ac:dyDescent="0.25">
      <c r="A187" s="3"/>
      <c r="C187" s="2"/>
      <c r="L187" s="3"/>
      <c r="M187" s="3"/>
      <c r="N187" s="3"/>
      <c r="W187" s="3"/>
    </row>
    <row r="188" spans="1:23" ht="15.75" customHeight="1" x14ac:dyDescent="0.25">
      <c r="A188" s="3"/>
      <c r="C188" s="2"/>
      <c r="L188" s="3"/>
      <c r="M188" s="3"/>
      <c r="W188" s="3"/>
    </row>
    <row r="189" spans="1:23" ht="15.75" customHeight="1" x14ac:dyDescent="0.25">
      <c r="A189" s="3"/>
      <c r="C189" s="2"/>
      <c r="L189" s="3"/>
      <c r="M189" s="3"/>
      <c r="W189" s="3"/>
    </row>
    <row r="190" spans="1:23" ht="15.75" customHeight="1" x14ac:dyDescent="0.25">
      <c r="A190" s="3"/>
      <c r="C190" s="2"/>
      <c r="L190" s="3"/>
      <c r="M190" s="3"/>
      <c r="W190" s="3"/>
    </row>
    <row r="191" spans="1:23" ht="15.75" customHeight="1" x14ac:dyDescent="0.25">
      <c r="A191" s="3"/>
      <c r="C191" s="2"/>
      <c r="L191" s="3"/>
      <c r="M191" s="3"/>
      <c r="W191" s="3"/>
    </row>
    <row r="192" spans="1:23" ht="15.75" customHeight="1" x14ac:dyDescent="0.25">
      <c r="A192" s="3"/>
      <c r="C192" s="2"/>
      <c r="L192" s="3"/>
      <c r="M192" s="3"/>
      <c r="W192" s="3"/>
    </row>
    <row r="193" spans="1:23" ht="15.75" customHeight="1" x14ac:dyDescent="0.25">
      <c r="A193" s="3"/>
      <c r="C193" s="2"/>
      <c r="L193" s="3"/>
      <c r="M193" s="3"/>
      <c r="W193" s="3"/>
    </row>
    <row r="194" spans="1:23" ht="15.75" customHeight="1" x14ac:dyDescent="0.25">
      <c r="C194" s="2"/>
    </row>
    <row r="195" spans="1:23" ht="15.75" customHeight="1" x14ac:dyDescent="0.25">
      <c r="C195" s="2"/>
    </row>
    <row r="196" spans="1:23" ht="15.75" customHeight="1" x14ac:dyDescent="0.25">
      <c r="A196" s="1" t="s">
        <v>496</v>
      </c>
      <c r="C196" s="2"/>
    </row>
    <row r="197" spans="1:23" ht="15.75" customHeight="1" x14ac:dyDescent="0.25">
      <c r="C197" s="2"/>
    </row>
    <row r="198" spans="1:23" ht="15.75" customHeight="1" x14ac:dyDescent="0.25">
      <c r="C198" s="2"/>
    </row>
    <row r="199" spans="1:23" ht="15.75" customHeight="1" x14ac:dyDescent="0.25">
      <c r="C199" s="2"/>
    </row>
    <row r="200" spans="1:23" ht="15.75" customHeight="1" x14ac:dyDescent="0.25">
      <c r="C200" s="2"/>
    </row>
    <row r="201" spans="1:23" ht="15.75" customHeight="1" x14ac:dyDescent="0.25">
      <c r="C201" s="2"/>
    </row>
    <row r="202" spans="1:23" ht="15.75" customHeight="1" x14ac:dyDescent="0.25">
      <c r="C202" s="2"/>
    </row>
    <row r="203" spans="1:23" ht="15.75" customHeight="1" x14ac:dyDescent="0.25">
      <c r="C203" s="2"/>
    </row>
    <row r="204" spans="1:23" ht="15.75" customHeight="1" x14ac:dyDescent="0.25">
      <c r="C204" s="2"/>
    </row>
    <row r="205" spans="1:23" ht="15.75" customHeight="1" x14ac:dyDescent="0.25">
      <c r="C205" s="2"/>
    </row>
    <row r="206" spans="1:23" ht="15.75" customHeight="1" x14ac:dyDescent="0.25">
      <c r="C206" s="2"/>
    </row>
    <row r="207" spans="1:23" ht="15.75" customHeight="1" x14ac:dyDescent="0.25">
      <c r="C207" s="2"/>
    </row>
    <row r="208" spans="1:23" ht="15.75" customHeight="1" x14ac:dyDescent="0.25">
      <c r="C208" s="2"/>
    </row>
    <row r="209" spans="3:3" ht="15.75" customHeight="1" x14ac:dyDescent="0.25">
      <c r="C209" s="2"/>
    </row>
    <row r="210" spans="3:3" ht="15.75" customHeight="1" x14ac:dyDescent="0.25">
      <c r="C210" s="2"/>
    </row>
    <row r="211" spans="3:3" ht="15.75" customHeight="1" x14ac:dyDescent="0.25">
      <c r="C211" s="2"/>
    </row>
    <row r="212" spans="3:3" ht="15.75" customHeight="1" x14ac:dyDescent="0.25">
      <c r="C212" s="2"/>
    </row>
    <row r="213" spans="3:3" ht="15.75" customHeight="1" x14ac:dyDescent="0.25">
      <c r="C213" s="2"/>
    </row>
    <row r="214" spans="3:3" ht="15.75" customHeight="1" x14ac:dyDescent="0.25">
      <c r="C214" s="2"/>
    </row>
    <row r="215" spans="3:3" ht="15.75" customHeight="1" x14ac:dyDescent="0.25">
      <c r="C215" s="2"/>
    </row>
    <row r="216" spans="3:3" ht="15.75" customHeight="1" x14ac:dyDescent="0.25">
      <c r="C216" s="2"/>
    </row>
    <row r="217" spans="3:3" ht="15.75" customHeight="1" x14ac:dyDescent="0.25">
      <c r="C217" s="2"/>
    </row>
    <row r="218" spans="3:3" ht="15.75" customHeight="1" x14ac:dyDescent="0.25">
      <c r="C218" s="2"/>
    </row>
    <row r="219" spans="3:3" ht="15.75" customHeight="1" x14ac:dyDescent="0.25">
      <c r="C219" s="2"/>
    </row>
    <row r="220" spans="3:3" ht="15.75" customHeight="1" x14ac:dyDescent="0.25">
      <c r="C220" s="2"/>
    </row>
    <row r="221" spans="3:3" ht="15.75" customHeight="1" x14ac:dyDescent="0.25">
      <c r="C221" s="2"/>
    </row>
    <row r="222" spans="3:3" ht="15.75" customHeight="1" x14ac:dyDescent="0.25">
      <c r="C222" s="2"/>
    </row>
    <row r="223" spans="3:3" ht="15.75" customHeight="1" x14ac:dyDescent="0.25">
      <c r="C223" s="2"/>
    </row>
    <row r="224" spans="3:3" ht="15.75" customHeight="1" x14ac:dyDescent="0.25">
      <c r="C224" s="2"/>
    </row>
    <row r="225" spans="3:3" ht="15.75" customHeight="1" x14ac:dyDescent="0.25">
      <c r="C225" s="2"/>
    </row>
    <row r="226" spans="3:3" ht="15.75" customHeight="1" x14ac:dyDescent="0.25">
      <c r="C226" s="2"/>
    </row>
    <row r="227" spans="3:3" ht="15.75" customHeight="1" x14ac:dyDescent="0.25">
      <c r="C227" s="2"/>
    </row>
    <row r="228" spans="3:3" ht="15.75" customHeight="1" x14ac:dyDescent="0.25">
      <c r="C228" s="2"/>
    </row>
    <row r="229" spans="3:3" ht="15.75" customHeight="1" x14ac:dyDescent="0.25">
      <c r="C229" s="2"/>
    </row>
    <row r="230" spans="3:3" ht="15.75" customHeight="1" x14ac:dyDescent="0.25">
      <c r="C230" s="2"/>
    </row>
    <row r="231" spans="3:3" ht="15.75" customHeight="1" x14ac:dyDescent="0.25">
      <c r="C231" s="2"/>
    </row>
    <row r="232" spans="3:3" ht="15.75" customHeight="1" x14ac:dyDescent="0.25">
      <c r="C232" s="2"/>
    </row>
    <row r="233" spans="3:3" ht="15.75" customHeight="1" x14ac:dyDescent="0.25">
      <c r="C233" s="2"/>
    </row>
    <row r="234" spans="3:3" ht="15.75" customHeight="1" x14ac:dyDescent="0.25">
      <c r="C234" s="2"/>
    </row>
    <row r="235" spans="3:3" ht="15.75" customHeight="1" x14ac:dyDescent="0.25">
      <c r="C235" s="2"/>
    </row>
    <row r="236" spans="3:3" ht="15.75" customHeight="1" x14ac:dyDescent="0.25">
      <c r="C236" s="2"/>
    </row>
    <row r="237" spans="3:3" ht="15.75" customHeight="1" x14ac:dyDescent="0.25">
      <c r="C237" s="2"/>
    </row>
    <row r="238" spans="3:3" ht="15.75" customHeight="1" x14ac:dyDescent="0.25">
      <c r="C238" s="2"/>
    </row>
    <row r="239" spans="3:3" ht="15.75" customHeight="1" x14ac:dyDescent="0.25">
      <c r="C239" s="2"/>
    </row>
    <row r="240" spans="3:3" ht="15.75" customHeight="1" x14ac:dyDescent="0.25">
      <c r="C240" s="2"/>
    </row>
    <row r="241" spans="3:3" ht="15.75" customHeight="1" x14ac:dyDescent="0.25">
      <c r="C241" s="2"/>
    </row>
    <row r="242" spans="3:3" ht="15.75" customHeight="1" x14ac:dyDescent="0.25">
      <c r="C242" s="2"/>
    </row>
    <row r="243" spans="3:3" ht="15.75" customHeight="1" x14ac:dyDescent="0.25">
      <c r="C243" s="2"/>
    </row>
    <row r="244" spans="3:3" ht="15.75" customHeight="1" x14ac:dyDescent="0.25">
      <c r="C244" s="2"/>
    </row>
    <row r="245" spans="3:3" ht="15.75" customHeight="1" x14ac:dyDescent="0.25">
      <c r="C245" s="2"/>
    </row>
    <row r="246" spans="3:3" ht="15.75" customHeight="1" x14ac:dyDescent="0.25">
      <c r="C246" s="2"/>
    </row>
    <row r="247" spans="3:3" ht="15.75" customHeight="1" x14ac:dyDescent="0.25">
      <c r="C247" s="2"/>
    </row>
    <row r="248" spans="3:3" ht="15.75" customHeight="1" x14ac:dyDescent="0.25">
      <c r="C248" s="2"/>
    </row>
    <row r="249" spans="3:3" ht="15.75" customHeight="1" x14ac:dyDescent="0.25">
      <c r="C249" s="2"/>
    </row>
    <row r="250" spans="3:3" ht="15.75" customHeight="1" x14ac:dyDescent="0.25">
      <c r="C250" s="2"/>
    </row>
    <row r="251" spans="3:3" ht="15.75" customHeight="1" x14ac:dyDescent="0.25">
      <c r="C251" s="2"/>
    </row>
    <row r="252" spans="3:3" ht="15.75" customHeight="1" x14ac:dyDescent="0.25">
      <c r="C252" s="2"/>
    </row>
    <row r="253" spans="3:3" ht="15.75" customHeight="1" x14ac:dyDescent="0.25">
      <c r="C253" s="2"/>
    </row>
    <row r="254" spans="3:3" ht="15.75" customHeight="1" x14ac:dyDescent="0.25">
      <c r="C254" s="2"/>
    </row>
    <row r="255" spans="3:3" ht="15.75" customHeight="1" x14ac:dyDescent="0.25">
      <c r="C255" s="2"/>
    </row>
    <row r="256" spans="3:3" ht="15.75" customHeight="1" x14ac:dyDescent="0.25">
      <c r="C256" s="2"/>
    </row>
    <row r="257" spans="3:3" ht="15.75" customHeight="1" x14ac:dyDescent="0.25">
      <c r="C257" s="2"/>
    </row>
    <row r="258" spans="3:3" ht="15.75" customHeight="1" x14ac:dyDescent="0.25">
      <c r="C258" s="2"/>
    </row>
    <row r="259" spans="3:3" ht="15.75" customHeight="1" x14ac:dyDescent="0.25">
      <c r="C259" s="2"/>
    </row>
    <row r="260" spans="3:3" ht="15.75" customHeight="1" x14ac:dyDescent="0.25">
      <c r="C260" s="2"/>
    </row>
    <row r="261" spans="3:3" ht="15.75" customHeight="1" x14ac:dyDescent="0.25">
      <c r="C261" s="2"/>
    </row>
    <row r="262" spans="3:3" ht="15.75" customHeight="1" x14ac:dyDescent="0.25">
      <c r="C262" s="2"/>
    </row>
    <row r="263" spans="3:3" ht="15.75" customHeight="1" x14ac:dyDescent="0.25">
      <c r="C263" s="2"/>
    </row>
    <row r="264" spans="3:3" ht="15.75" customHeight="1" x14ac:dyDescent="0.25">
      <c r="C264" s="2"/>
    </row>
    <row r="265" spans="3:3" ht="15.75" customHeight="1" x14ac:dyDescent="0.25">
      <c r="C265" s="2"/>
    </row>
    <row r="266" spans="3:3" ht="15.75" customHeight="1" x14ac:dyDescent="0.25">
      <c r="C266" s="2"/>
    </row>
    <row r="267" spans="3:3" ht="15.75" customHeight="1" x14ac:dyDescent="0.25">
      <c r="C267" s="2"/>
    </row>
    <row r="268" spans="3:3" ht="15.75" customHeight="1" x14ac:dyDescent="0.25">
      <c r="C268" s="2"/>
    </row>
    <row r="269" spans="3:3" ht="15.75" customHeight="1" x14ac:dyDescent="0.25">
      <c r="C269" s="2"/>
    </row>
    <row r="270" spans="3:3" ht="15.75" customHeight="1" x14ac:dyDescent="0.25">
      <c r="C270" s="2"/>
    </row>
    <row r="271" spans="3:3" ht="15.75" customHeight="1" x14ac:dyDescent="0.25">
      <c r="C271" s="2"/>
    </row>
    <row r="272" spans="3:3" ht="15.75" customHeight="1" x14ac:dyDescent="0.25">
      <c r="C272" s="2"/>
    </row>
    <row r="273" spans="3:3" ht="15.75" customHeight="1" x14ac:dyDescent="0.25">
      <c r="C273" s="2"/>
    </row>
    <row r="274" spans="3:3" ht="15.75" customHeight="1" x14ac:dyDescent="0.25">
      <c r="C274" s="2"/>
    </row>
    <row r="275" spans="3:3" ht="15.75" customHeight="1" x14ac:dyDescent="0.25">
      <c r="C275" s="2"/>
    </row>
    <row r="276" spans="3:3" ht="15.75" customHeight="1" x14ac:dyDescent="0.25">
      <c r="C276" s="2"/>
    </row>
    <row r="277" spans="3:3" ht="15.75" customHeight="1" x14ac:dyDescent="0.25">
      <c r="C277" s="2"/>
    </row>
    <row r="278" spans="3:3" ht="15.75" customHeight="1" x14ac:dyDescent="0.25">
      <c r="C278" s="2"/>
    </row>
    <row r="279" spans="3:3" ht="15.75" customHeight="1" x14ac:dyDescent="0.25">
      <c r="C279" s="2"/>
    </row>
    <row r="280" spans="3:3" ht="15.75" customHeight="1" x14ac:dyDescent="0.25">
      <c r="C280" s="2"/>
    </row>
    <row r="281" spans="3:3" ht="15.75" customHeight="1" x14ac:dyDescent="0.25">
      <c r="C281" s="2"/>
    </row>
    <row r="282" spans="3:3" ht="15.75" customHeight="1" x14ac:dyDescent="0.25">
      <c r="C282" s="2"/>
    </row>
    <row r="283" spans="3:3" ht="15.75" customHeight="1" x14ac:dyDescent="0.25">
      <c r="C283" s="2"/>
    </row>
    <row r="284" spans="3:3" ht="15.75" customHeight="1" x14ac:dyDescent="0.25">
      <c r="C284" s="2"/>
    </row>
    <row r="285" spans="3:3" ht="15.75" customHeight="1" x14ac:dyDescent="0.25">
      <c r="C285" s="2"/>
    </row>
    <row r="286" spans="3:3" ht="15.75" customHeight="1" x14ac:dyDescent="0.25">
      <c r="C286" s="2"/>
    </row>
    <row r="287" spans="3:3" ht="15.75" customHeight="1" x14ac:dyDescent="0.25">
      <c r="C287" s="2"/>
    </row>
    <row r="288" spans="3:3" ht="15.75" customHeight="1" x14ac:dyDescent="0.25">
      <c r="C288" s="2"/>
    </row>
    <row r="289" spans="3:3" ht="15.75" customHeight="1" x14ac:dyDescent="0.25">
      <c r="C289" s="2"/>
    </row>
    <row r="290" spans="3:3" ht="15.75" customHeight="1" x14ac:dyDescent="0.25">
      <c r="C290" s="2"/>
    </row>
    <row r="291" spans="3:3" ht="15.75" customHeight="1" x14ac:dyDescent="0.25">
      <c r="C291" s="2"/>
    </row>
    <row r="292" spans="3:3" ht="15.75" customHeight="1" x14ac:dyDescent="0.25">
      <c r="C292" s="2"/>
    </row>
    <row r="293" spans="3:3" ht="15.75" customHeight="1" x14ac:dyDescent="0.25">
      <c r="C293" s="2"/>
    </row>
    <row r="294" spans="3:3" ht="15.75" customHeight="1" x14ac:dyDescent="0.25">
      <c r="C294" s="2"/>
    </row>
    <row r="295" spans="3:3" ht="15.75" customHeight="1" x14ac:dyDescent="0.25">
      <c r="C295" s="2"/>
    </row>
    <row r="296" spans="3:3" ht="15.75" customHeight="1" x14ac:dyDescent="0.25">
      <c r="C296" s="2"/>
    </row>
    <row r="297" spans="3:3" ht="15.75" customHeight="1" x14ac:dyDescent="0.25">
      <c r="C297" s="2"/>
    </row>
    <row r="298" spans="3:3" ht="15.75" customHeight="1" x14ac:dyDescent="0.25">
      <c r="C298" s="2"/>
    </row>
    <row r="299" spans="3:3" ht="15.75" customHeight="1" x14ac:dyDescent="0.25">
      <c r="C299" s="2"/>
    </row>
    <row r="300" spans="3:3" ht="15.75" customHeight="1" x14ac:dyDescent="0.25">
      <c r="C300" s="2"/>
    </row>
    <row r="301" spans="3:3" ht="15.75" customHeight="1" x14ac:dyDescent="0.25">
      <c r="C301" s="2"/>
    </row>
    <row r="302" spans="3:3" ht="15.75" customHeight="1" x14ac:dyDescent="0.25">
      <c r="C302" s="2"/>
    </row>
    <row r="303" spans="3:3" ht="15.75" customHeight="1" x14ac:dyDescent="0.25">
      <c r="C303" s="2"/>
    </row>
    <row r="304" spans="3:3" ht="15.75" customHeight="1" x14ac:dyDescent="0.25">
      <c r="C304" s="2"/>
    </row>
    <row r="305" spans="3:3" ht="15.75" customHeight="1" x14ac:dyDescent="0.25">
      <c r="C305" s="2"/>
    </row>
    <row r="306" spans="3:3" ht="15.75" customHeight="1" x14ac:dyDescent="0.25">
      <c r="C306" s="2"/>
    </row>
    <row r="307" spans="3:3" ht="15.75" customHeight="1" x14ac:dyDescent="0.25">
      <c r="C307" s="2"/>
    </row>
    <row r="308" spans="3:3" ht="15.75" customHeight="1" x14ac:dyDescent="0.25">
      <c r="C308" s="2"/>
    </row>
    <row r="309" spans="3:3" ht="15.75" customHeight="1" x14ac:dyDescent="0.25">
      <c r="C309" s="2"/>
    </row>
    <row r="310" spans="3:3" ht="15.75" customHeight="1" x14ac:dyDescent="0.25">
      <c r="C310" s="2"/>
    </row>
    <row r="311" spans="3:3" ht="15.75" customHeight="1" x14ac:dyDescent="0.25">
      <c r="C311" s="2"/>
    </row>
    <row r="312" spans="3:3" ht="15.75" customHeight="1" x14ac:dyDescent="0.25">
      <c r="C312" s="2"/>
    </row>
    <row r="313" spans="3:3" ht="15.75" customHeight="1" x14ac:dyDescent="0.25">
      <c r="C313" s="2"/>
    </row>
    <row r="314" spans="3:3" ht="15.75" customHeight="1" x14ac:dyDescent="0.25">
      <c r="C314" s="2"/>
    </row>
    <row r="315" spans="3:3" ht="15.75" customHeight="1" x14ac:dyDescent="0.25">
      <c r="C315" s="2"/>
    </row>
    <row r="316" spans="3:3" ht="15.75" customHeight="1" x14ac:dyDescent="0.25">
      <c r="C316" s="2"/>
    </row>
    <row r="317" spans="3:3" ht="15.75" customHeight="1" x14ac:dyDescent="0.25">
      <c r="C317" s="2"/>
    </row>
    <row r="318" spans="3:3" ht="15.75" customHeight="1" x14ac:dyDescent="0.25">
      <c r="C318" s="2"/>
    </row>
    <row r="319" spans="3:3" ht="15.75" customHeight="1" x14ac:dyDescent="0.25">
      <c r="C319" s="2"/>
    </row>
    <row r="320" spans="3:3" ht="15.75" customHeight="1" x14ac:dyDescent="0.25">
      <c r="C320" s="2"/>
    </row>
    <row r="321" spans="3:3" ht="15.75" customHeight="1" x14ac:dyDescent="0.25">
      <c r="C321" s="2"/>
    </row>
    <row r="322" spans="3:3" ht="15.75" customHeight="1" x14ac:dyDescent="0.25">
      <c r="C322" s="2"/>
    </row>
    <row r="323" spans="3:3" ht="15.75" customHeight="1" x14ac:dyDescent="0.25">
      <c r="C323" s="2"/>
    </row>
    <row r="324" spans="3:3" ht="15.75" customHeight="1" x14ac:dyDescent="0.25">
      <c r="C324" s="2"/>
    </row>
    <row r="325" spans="3:3" ht="15.75" customHeight="1" x14ac:dyDescent="0.25">
      <c r="C325" s="2"/>
    </row>
    <row r="326" spans="3:3" ht="15.75" customHeight="1" x14ac:dyDescent="0.25">
      <c r="C326" s="2"/>
    </row>
    <row r="327" spans="3:3" ht="15.75" customHeight="1" x14ac:dyDescent="0.25">
      <c r="C327" s="2"/>
    </row>
    <row r="328" spans="3:3" ht="15.75" customHeight="1" x14ac:dyDescent="0.25">
      <c r="C328" s="2"/>
    </row>
    <row r="329" spans="3:3" ht="15.75" customHeight="1" x14ac:dyDescent="0.25">
      <c r="C329" s="2"/>
    </row>
    <row r="330" spans="3:3" ht="15.75" customHeight="1" x14ac:dyDescent="0.25">
      <c r="C330" s="2"/>
    </row>
    <row r="331" spans="3:3" ht="15.75" customHeight="1" x14ac:dyDescent="0.25">
      <c r="C331" s="2"/>
    </row>
    <row r="332" spans="3:3" ht="15.75" customHeight="1" x14ac:dyDescent="0.25">
      <c r="C332" s="2"/>
    </row>
    <row r="333" spans="3:3" ht="15.75" customHeight="1" x14ac:dyDescent="0.25">
      <c r="C333" s="2"/>
    </row>
    <row r="334" spans="3:3" ht="15.75" customHeight="1" x14ac:dyDescent="0.25">
      <c r="C334" s="2"/>
    </row>
    <row r="335" spans="3:3" ht="15.75" customHeight="1" x14ac:dyDescent="0.25">
      <c r="C335" s="2"/>
    </row>
    <row r="336" spans="3:3" ht="15.75" customHeight="1" x14ac:dyDescent="0.25">
      <c r="C336" s="2"/>
    </row>
    <row r="337" spans="3:3" ht="15.75" customHeight="1" x14ac:dyDescent="0.25">
      <c r="C337" s="2"/>
    </row>
    <row r="338" spans="3:3" ht="15.75" customHeight="1" x14ac:dyDescent="0.25">
      <c r="C338" s="2"/>
    </row>
    <row r="339" spans="3:3" ht="15.75" customHeight="1" x14ac:dyDescent="0.25">
      <c r="C339" s="2"/>
    </row>
    <row r="340" spans="3:3" ht="15.75" customHeight="1" x14ac:dyDescent="0.25">
      <c r="C340" s="2"/>
    </row>
    <row r="341" spans="3:3" ht="15.75" customHeight="1" x14ac:dyDescent="0.25">
      <c r="C341" s="2"/>
    </row>
    <row r="342" spans="3:3" ht="15.75" customHeight="1" x14ac:dyDescent="0.25">
      <c r="C342" s="2"/>
    </row>
    <row r="343" spans="3:3" ht="15.75" customHeight="1" x14ac:dyDescent="0.25">
      <c r="C343" s="2"/>
    </row>
    <row r="344" spans="3:3" ht="15.75" customHeight="1" x14ac:dyDescent="0.25">
      <c r="C344" s="2"/>
    </row>
    <row r="345" spans="3:3" ht="15.75" customHeight="1" x14ac:dyDescent="0.25">
      <c r="C345" s="2"/>
    </row>
    <row r="346" spans="3:3" ht="15.75" customHeight="1" x14ac:dyDescent="0.25">
      <c r="C346" s="2"/>
    </row>
    <row r="347" spans="3:3" ht="15.75" customHeight="1" x14ac:dyDescent="0.25">
      <c r="C347" s="2"/>
    </row>
    <row r="348" spans="3:3" ht="15.75" customHeight="1" x14ac:dyDescent="0.25">
      <c r="C348" s="2"/>
    </row>
    <row r="349" spans="3:3" ht="15.75" customHeight="1" x14ac:dyDescent="0.25">
      <c r="C349" s="2"/>
    </row>
    <row r="350" spans="3:3" ht="15.75" customHeight="1" x14ac:dyDescent="0.25">
      <c r="C350" s="2"/>
    </row>
    <row r="351" spans="3:3" ht="15.75" customHeight="1" x14ac:dyDescent="0.25">
      <c r="C351" s="2"/>
    </row>
    <row r="352" spans="3:3" ht="15.75" customHeight="1" x14ac:dyDescent="0.25">
      <c r="C352" s="2"/>
    </row>
    <row r="353" spans="3:3" ht="15.75" customHeight="1" x14ac:dyDescent="0.25">
      <c r="C353" s="2"/>
    </row>
    <row r="354" spans="3:3" ht="15.75" customHeight="1" x14ac:dyDescent="0.25">
      <c r="C354" s="2"/>
    </row>
    <row r="355" spans="3:3" ht="15.75" customHeight="1" x14ac:dyDescent="0.25">
      <c r="C355" s="2"/>
    </row>
    <row r="356" spans="3:3" ht="15.75" customHeight="1" x14ac:dyDescent="0.25">
      <c r="C356" s="2"/>
    </row>
    <row r="357" spans="3:3" ht="15.75" customHeight="1" x14ac:dyDescent="0.25">
      <c r="C357" s="2"/>
    </row>
    <row r="358" spans="3:3" ht="15.75" customHeight="1" x14ac:dyDescent="0.25">
      <c r="C358" s="2"/>
    </row>
    <row r="359" spans="3:3" ht="15.75" customHeight="1" x14ac:dyDescent="0.25">
      <c r="C359" s="2"/>
    </row>
    <row r="360" spans="3:3" ht="15.75" customHeight="1" x14ac:dyDescent="0.25">
      <c r="C360" s="2"/>
    </row>
    <row r="361" spans="3:3" ht="15.75" customHeight="1" x14ac:dyDescent="0.25">
      <c r="C361" s="2"/>
    </row>
    <row r="362" spans="3:3" ht="15.75" customHeight="1" x14ac:dyDescent="0.25">
      <c r="C362" s="2"/>
    </row>
    <row r="363" spans="3:3" ht="15.75" customHeight="1" x14ac:dyDescent="0.25">
      <c r="C363" s="2"/>
    </row>
    <row r="364" spans="3:3" ht="15.75" customHeight="1" x14ac:dyDescent="0.25">
      <c r="C364" s="2"/>
    </row>
    <row r="365" spans="3:3" ht="15.75" customHeight="1" x14ac:dyDescent="0.25">
      <c r="C365" s="2"/>
    </row>
    <row r="366" spans="3:3" ht="15.75" customHeight="1" x14ac:dyDescent="0.25">
      <c r="C366" s="2"/>
    </row>
    <row r="367" spans="3:3" ht="15.75" customHeight="1" x14ac:dyDescent="0.25">
      <c r="C367" s="2"/>
    </row>
    <row r="368" spans="3:3" ht="15.75" customHeight="1" x14ac:dyDescent="0.25">
      <c r="C368" s="2"/>
    </row>
    <row r="369" spans="3:3" ht="15.75" customHeight="1" x14ac:dyDescent="0.25">
      <c r="C369" s="2"/>
    </row>
    <row r="370" spans="3:3" ht="15.75" customHeight="1" x14ac:dyDescent="0.25">
      <c r="C370" s="2"/>
    </row>
    <row r="371" spans="3:3" ht="15.75" customHeight="1" x14ac:dyDescent="0.25">
      <c r="C371" s="2"/>
    </row>
    <row r="372" spans="3:3" ht="15.75" customHeight="1" x14ac:dyDescent="0.25">
      <c r="C372" s="2"/>
    </row>
    <row r="373" spans="3:3" ht="15.75" customHeight="1" x14ac:dyDescent="0.25">
      <c r="C373" s="2"/>
    </row>
    <row r="374" spans="3:3" ht="15.75" customHeight="1" x14ac:dyDescent="0.25">
      <c r="C374" s="2"/>
    </row>
    <row r="375" spans="3:3" ht="15.75" customHeight="1" x14ac:dyDescent="0.25">
      <c r="C375" s="2"/>
    </row>
    <row r="376" spans="3:3" ht="15.75" customHeight="1" x14ac:dyDescent="0.25">
      <c r="C376" s="2"/>
    </row>
    <row r="377" spans="3:3" ht="15.75" customHeight="1" x14ac:dyDescent="0.25">
      <c r="C377" s="2"/>
    </row>
    <row r="378" spans="3:3" ht="15.75" customHeight="1" x14ac:dyDescent="0.25">
      <c r="C378" s="2"/>
    </row>
    <row r="379" spans="3:3" ht="15.75" customHeight="1" x14ac:dyDescent="0.25">
      <c r="C379" s="2"/>
    </row>
    <row r="380" spans="3:3" ht="15.75" customHeight="1" x14ac:dyDescent="0.25">
      <c r="C380" s="2"/>
    </row>
    <row r="381" spans="3:3" ht="15.75" customHeight="1" x14ac:dyDescent="0.25">
      <c r="C381" s="2"/>
    </row>
    <row r="382" spans="3:3" ht="15.75" customHeight="1" x14ac:dyDescent="0.25">
      <c r="C382" s="2"/>
    </row>
    <row r="383" spans="3:3" ht="15.75" customHeight="1" x14ac:dyDescent="0.25">
      <c r="C383" s="2"/>
    </row>
    <row r="384" spans="3:3" ht="15.75" customHeight="1" x14ac:dyDescent="0.25">
      <c r="C384" s="2"/>
    </row>
    <row r="385" spans="3:3" ht="15.75" customHeight="1" x14ac:dyDescent="0.25">
      <c r="C385" s="2"/>
    </row>
    <row r="386" spans="3:3" ht="15.75" customHeight="1" x14ac:dyDescent="0.25">
      <c r="C386" s="2"/>
    </row>
    <row r="387" spans="3:3" ht="15.75" customHeight="1" x14ac:dyDescent="0.25">
      <c r="C387" s="2"/>
    </row>
    <row r="388" spans="3:3" ht="15.75" customHeight="1" x14ac:dyDescent="0.25">
      <c r="C388" s="2"/>
    </row>
    <row r="389" spans="3:3" ht="15.75" customHeight="1" x14ac:dyDescent="0.25">
      <c r="C389" s="2"/>
    </row>
    <row r="390" spans="3:3" ht="15.75" customHeight="1" x14ac:dyDescent="0.25">
      <c r="C390" s="2"/>
    </row>
    <row r="391" spans="3:3" ht="15.75" customHeight="1" x14ac:dyDescent="0.25">
      <c r="C391" s="2"/>
    </row>
    <row r="392" spans="3:3" ht="15.75" customHeight="1" x14ac:dyDescent="0.25">
      <c r="C392" s="2"/>
    </row>
    <row r="393" spans="3:3" ht="15.75" customHeight="1" x14ac:dyDescent="0.25">
      <c r="C393" s="2"/>
    </row>
    <row r="394" spans="3:3" ht="15.75" customHeight="1" x14ac:dyDescent="0.25">
      <c r="C394" s="2"/>
    </row>
    <row r="395" spans="3:3" ht="15.75" customHeight="1" x14ac:dyDescent="0.25">
      <c r="C395" s="2"/>
    </row>
    <row r="396" spans="3:3" ht="15.75" customHeight="1" x14ac:dyDescent="0.25">
      <c r="C396" s="2"/>
    </row>
    <row r="397" spans="3:3" ht="15.75" customHeight="1" x14ac:dyDescent="0.25">
      <c r="C397" s="2"/>
    </row>
    <row r="398" spans="3:3" ht="15.75" customHeight="1" x14ac:dyDescent="0.25">
      <c r="C398" s="2"/>
    </row>
    <row r="399" spans="3:3" ht="15.75" customHeight="1" x14ac:dyDescent="0.25">
      <c r="C399" s="2"/>
    </row>
    <row r="400" spans="3:3" ht="15.75" customHeight="1" x14ac:dyDescent="0.25">
      <c r="C400" s="2"/>
    </row>
    <row r="401" spans="3:3" ht="15.75" customHeight="1" x14ac:dyDescent="0.25">
      <c r="C401" s="2"/>
    </row>
    <row r="402" spans="3:3" ht="15.75" customHeight="1" x14ac:dyDescent="0.25">
      <c r="C402" s="2"/>
    </row>
    <row r="403" spans="3:3" ht="15.75" customHeight="1" x14ac:dyDescent="0.25">
      <c r="C403" s="2"/>
    </row>
    <row r="404" spans="3:3" ht="15.75" customHeight="1" x14ac:dyDescent="0.25">
      <c r="C404" s="2"/>
    </row>
    <row r="405" spans="3:3" ht="15.75" customHeight="1" x14ac:dyDescent="0.25">
      <c r="C405" s="2"/>
    </row>
    <row r="406" spans="3:3" ht="15.75" customHeight="1" x14ac:dyDescent="0.25">
      <c r="C406" s="2"/>
    </row>
    <row r="407" spans="3:3" ht="15.75" customHeight="1" x14ac:dyDescent="0.25">
      <c r="C407" s="2"/>
    </row>
    <row r="408" spans="3:3" ht="15.75" customHeight="1" x14ac:dyDescent="0.25">
      <c r="C408" s="2"/>
    </row>
    <row r="409" spans="3:3" ht="15.75" customHeight="1" x14ac:dyDescent="0.25">
      <c r="C409" s="2"/>
    </row>
    <row r="410" spans="3:3" ht="15.75" customHeight="1" x14ac:dyDescent="0.25">
      <c r="C410" s="2"/>
    </row>
    <row r="411" spans="3:3" ht="15.75" customHeight="1" x14ac:dyDescent="0.25">
      <c r="C411" s="2"/>
    </row>
    <row r="412" spans="3:3" ht="15.75" customHeight="1" x14ac:dyDescent="0.25">
      <c r="C412" s="2"/>
    </row>
    <row r="413" spans="3:3" ht="15.75" customHeight="1" x14ac:dyDescent="0.25">
      <c r="C413" s="2"/>
    </row>
    <row r="414" spans="3:3" ht="15.75" customHeight="1" x14ac:dyDescent="0.25">
      <c r="C414" s="2"/>
    </row>
    <row r="415" spans="3:3" ht="15.75" customHeight="1" x14ac:dyDescent="0.25">
      <c r="C415" s="2"/>
    </row>
    <row r="416" spans="3:3" ht="15.75" customHeight="1" x14ac:dyDescent="0.25">
      <c r="C416" s="2"/>
    </row>
    <row r="417" spans="3:3" ht="15.75" customHeight="1" x14ac:dyDescent="0.25">
      <c r="C417" s="2"/>
    </row>
    <row r="418" spans="3:3" ht="15.75" customHeight="1" x14ac:dyDescent="0.25">
      <c r="C418" s="2"/>
    </row>
    <row r="419" spans="3:3" ht="15.75" customHeight="1" x14ac:dyDescent="0.25">
      <c r="C419" s="2"/>
    </row>
    <row r="420" spans="3:3" ht="15.75" customHeight="1" x14ac:dyDescent="0.25">
      <c r="C420" s="2"/>
    </row>
    <row r="421" spans="3:3" ht="15.75" customHeight="1" x14ac:dyDescent="0.25">
      <c r="C421" s="2"/>
    </row>
    <row r="422" spans="3:3" ht="15.75" customHeight="1" x14ac:dyDescent="0.25">
      <c r="C422" s="2"/>
    </row>
    <row r="423" spans="3:3" ht="15.75" customHeight="1" x14ac:dyDescent="0.25">
      <c r="C423" s="2"/>
    </row>
    <row r="424" spans="3:3" ht="15.75" customHeight="1" x14ac:dyDescent="0.25">
      <c r="C424" s="2"/>
    </row>
    <row r="425" spans="3:3" ht="15.75" customHeight="1" x14ac:dyDescent="0.25">
      <c r="C425" s="2"/>
    </row>
    <row r="426" spans="3:3" ht="15.75" customHeight="1" x14ac:dyDescent="0.25">
      <c r="C426" s="2"/>
    </row>
    <row r="427" spans="3:3" ht="15.75" customHeight="1" x14ac:dyDescent="0.25">
      <c r="C427" s="2"/>
    </row>
    <row r="428" spans="3:3" ht="15.75" customHeight="1" x14ac:dyDescent="0.25">
      <c r="C428" s="2"/>
    </row>
    <row r="429" spans="3:3" ht="15.75" customHeight="1" x14ac:dyDescent="0.25">
      <c r="C429" s="2"/>
    </row>
    <row r="430" spans="3:3" ht="15.75" customHeight="1" x14ac:dyDescent="0.25">
      <c r="C430" s="2"/>
    </row>
    <row r="431" spans="3:3" ht="15.75" customHeight="1" x14ac:dyDescent="0.25">
      <c r="C431" s="2"/>
    </row>
    <row r="432" spans="3:3" ht="15.75" customHeight="1" x14ac:dyDescent="0.25">
      <c r="C432" s="2"/>
    </row>
    <row r="433" spans="3:3" ht="15.75" customHeight="1" x14ac:dyDescent="0.25">
      <c r="C433" s="2"/>
    </row>
    <row r="434" spans="3:3" ht="15.75" customHeight="1" x14ac:dyDescent="0.25">
      <c r="C434" s="2"/>
    </row>
    <row r="435" spans="3:3" ht="15.75" customHeight="1" x14ac:dyDescent="0.25">
      <c r="C435" s="2"/>
    </row>
    <row r="436" spans="3:3" ht="15.75" customHeight="1" x14ac:dyDescent="0.25">
      <c r="C436" s="2"/>
    </row>
    <row r="437" spans="3:3" ht="15.75" customHeight="1" x14ac:dyDescent="0.25">
      <c r="C437" s="2"/>
    </row>
    <row r="438" spans="3:3" ht="15.75" customHeight="1" x14ac:dyDescent="0.25">
      <c r="C438" s="2"/>
    </row>
    <row r="439" spans="3:3" ht="15.75" customHeight="1" x14ac:dyDescent="0.25">
      <c r="C439" s="2"/>
    </row>
    <row r="440" spans="3:3" ht="15.75" customHeight="1" x14ac:dyDescent="0.25">
      <c r="C440" s="2"/>
    </row>
    <row r="441" spans="3:3" ht="15.75" customHeight="1" x14ac:dyDescent="0.25">
      <c r="C441" s="2"/>
    </row>
    <row r="442" spans="3:3" ht="15.75" customHeight="1" x14ac:dyDescent="0.25">
      <c r="C442" s="2"/>
    </row>
    <row r="443" spans="3:3" ht="15.75" customHeight="1" x14ac:dyDescent="0.25">
      <c r="C443" s="2"/>
    </row>
    <row r="444" spans="3:3" ht="15.75" customHeight="1" x14ac:dyDescent="0.25">
      <c r="C444" s="2"/>
    </row>
    <row r="445" spans="3:3" ht="15.75" customHeight="1" x14ac:dyDescent="0.25">
      <c r="C445" s="2"/>
    </row>
    <row r="446" spans="3:3" ht="15.75" customHeight="1" x14ac:dyDescent="0.25">
      <c r="C446" s="2"/>
    </row>
    <row r="447" spans="3:3" ht="15.75" customHeight="1" x14ac:dyDescent="0.25">
      <c r="C447" s="2"/>
    </row>
    <row r="448" spans="3:3" ht="15.75" customHeight="1" x14ac:dyDescent="0.25">
      <c r="C448" s="2"/>
    </row>
    <row r="449" spans="3:3" ht="15.75" customHeight="1" x14ac:dyDescent="0.25">
      <c r="C449" s="2"/>
    </row>
    <row r="450" spans="3:3" ht="15.75" customHeight="1" x14ac:dyDescent="0.25">
      <c r="C450" s="2"/>
    </row>
    <row r="451" spans="3:3" ht="15.75" customHeight="1" x14ac:dyDescent="0.25">
      <c r="C451" s="2"/>
    </row>
    <row r="452" spans="3:3" ht="15.75" customHeight="1" x14ac:dyDescent="0.25">
      <c r="C452" s="2"/>
    </row>
    <row r="453" spans="3:3" ht="15.75" customHeight="1" x14ac:dyDescent="0.25">
      <c r="C453" s="2"/>
    </row>
    <row r="454" spans="3:3" ht="15.75" customHeight="1" x14ac:dyDescent="0.25">
      <c r="C454" s="2"/>
    </row>
    <row r="455" spans="3:3" ht="15.75" customHeight="1" x14ac:dyDescent="0.25">
      <c r="C455" s="2"/>
    </row>
    <row r="456" spans="3:3" ht="15.75" customHeight="1" x14ac:dyDescent="0.25">
      <c r="C456" s="2"/>
    </row>
    <row r="457" spans="3:3" ht="15.75" customHeight="1" x14ac:dyDescent="0.25">
      <c r="C457" s="2"/>
    </row>
    <row r="458" spans="3:3" ht="15.75" customHeight="1" x14ac:dyDescent="0.25">
      <c r="C458" s="2"/>
    </row>
    <row r="459" spans="3:3" ht="15.75" customHeight="1" x14ac:dyDescent="0.25">
      <c r="C459" s="2"/>
    </row>
    <row r="460" spans="3:3" ht="15.75" customHeight="1" x14ac:dyDescent="0.25">
      <c r="C460" s="2"/>
    </row>
    <row r="461" spans="3:3" ht="15.75" customHeight="1" x14ac:dyDescent="0.25">
      <c r="C461" s="2"/>
    </row>
    <row r="462" spans="3:3" ht="15.75" customHeight="1" x14ac:dyDescent="0.25">
      <c r="C462" s="2"/>
    </row>
    <row r="463" spans="3:3" ht="15.75" customHeight="1" x14ac:dyDescent="0.25">
      <c r="C463" s="2"/>
    </row>
    <row r="464" spans="3:3" ht="15.75" customHeight="1" x14ac:dyDescent="0.25">
      <c r="C464" s="2"/>
    </row>
    <row r="465" spans="3:3" ht="15.75" customHeight="1" x14ac:dyDescent="0.25">
      <c r="C465" s="2"/>
    </row>
    <row r="466" spans="3:3" ht="15.75" customHeight="1" x14ac:dyDescent="0.25">
      <c r="C466" s="2"/>
    </row>
    <row r="467" spans="3:3" ht="15.75" customHeight="1" x14ac:dyDescent="0.25">
      <c r="C467" s="2"/>
    </row>
    <row r="468" spans="3:3" ht="15.75" customHeight="1" x14ac:dyDescent="0.25">
      <c r="C468" s="2"/>
    </row>
    <row r="469" spans="3:3" ht="15.75" customHeight="1" x14ac:dyDescent="0.25">
      <c r="C469" s="2"/>
    </row>
    <row r="470" spans="3:3" ht="15.75" customHeight="1" x14ac:dyDescent="0.25">
      <c r="C470" s="2"/>
    </row>
    <row r="471" spans="3:3" ht="15.75" customHeight="1" x14ac:dyDescent="0.25">
      <c r="C471" s="2"/>
    </row>
    <row r="472" spans="3:3" ht="15.75" customHeight="1" x14ac:dyDescent="0.25">
      <c r="C472" s="2"/>
    </row>
    <row r="473" spans="3:3" ht="15.75" customHeight="1" x14ac:dyDescent="0.25">
      <c r="C473" s="2"/>
    </row>
    <row r="474" spans="3:3" ht="15.75" customHeight="1" x14ac:dyDescent="0.25">
      <c r="C474" s="2"/>
    </row>
    <row r="475" spans="3:3" ht="15.75" customHeight="1" x14ac:dyDescent="0.25">
      <c r="C475" s="2"/>
    </row>
    <row r="476" spans="3:3" ht="15.75" customHeight="1" x14ac:dyDescent="0.25">
      <c r="C476" s="2"/>
    </row>
    <row r="477" spans="3:3" ht="15.75" customHeight="1" x14ac:dyDescent="0.25">
      <c r="C477" s="2"/>
    </row>
    <row r="478" spans="3:3" ht="15.75" customHeight="1" x14ac:dyDescent="0.25">
      <c r="C478" s="2"/>
    </row>
    <row r="479" spans="3:3" ht="15.75" customHeight="1" x14ac:dyDescent="0.25">
      <c r="C479" s="2"/>
    </row>
    <row r="480" spans="3:3" ht="15.75" customHeight="1" x14ac:dyDescent="0.25">
      <c r="C480" s="2"/>
    </row>
    <row r="481" spans="3:3" ht="15.75" customHeight="1" x14ac:dyDescent="0.25">
      <c r="C481" s="2"/>
    </row>
    <row r="482" spans="3:3" ht="15.75" customHeight="1" x14ac:dyDescent="0.25">
      <c r="C482" s="2"/>
    </row>
    <row r="483" spans="3:3" ht="15.75" customHeight="1" x14ac:dyDescent="0.25">
      <c r="C483" s="2"/>
    </row>
    <row r="484" spans="3:3" ht="15.75" customHeight="1" x14ac:dyDescent="0.25">
      <c r="C484" s="2"/>
    </row>
    <row r="485" spans="3:3" ht="15.75" customHeight="1" x14ac:dyDescent="0.25">
      <c r="C485" s="2"/>
    </row>
    <row r="486" spans="3:3" ht="15.75" customHeight="1" x14ac:dyDescent="0.25">
      <c r="C486" s="2"/>
    </row>
    <row r="487" spans="3:3" ht="15.75" customHeight="1" x14ac:dyDescent="0.25">
      <c r="C487" s="2"/>
    </row>
    <row r="488" spans="3:3" ht="15.75" customHeight="1" x14ac:dyDescent="0.25">
      <c r="C488" s="2"/>
    </row>
    <row r="489" spans="3:3" ht="15.75" customHeight="1" x14ac:dyDescent="0.25">
      <c r="C489" s="2"/>
    </row>
    <row r="490" spans="3:3" ht="15.75" customHeight="1" x14ac:dyDescent="0.25">
      <c r="C490" s="2"/>
    </row>
    <row r="491" spans="3:3" ht="15.75" customHeight="1" x14ac:dyDescent="0.25">
      <c r="C491" s="2"/>
    </row>
    <row r="492" spans="3:3" ht="15.75" customHeight="1" x14ac:dyDescent="0.25">
      <c r="C492" s="2"/>
    </row>
    <row r="493" spans="3:3" ht="15.75" customHeight="1" x14ac:dyDescent="0.25">
      <c r="C493" s="2"/>
    </row>
    <row r="494" spans="3:3" ht="15.75" customHeight="1" x14ac:dyDescent="0.25">
      <c r="C494" s="2"/>
    </row>
    <row r="495" spans="3:3" ht="15.75" customHeight="1" x14ac:dyDescent="0.25">
      <c r="C495" s="2"/>
    </row>
    <row r="496" spans="3:3" ht="15.75" customHeight="1" x14ac:dyDescent="0.25">
      <c r="C496" s="2"/>
    </row>
    <row r="497" spans="3:3" ht="15.75" customHeight="1" x14ac:dyDescent="0.25">
      <c r="C497" s="2"/>
    </row>
    <row r="498" spans="3:3" ht="15.75" customHeight="1" x14ac:dyDescent="0.25">
      <c r="C498" s="2"/>
    </row>
    <row r="499" spans="3:3" ht="15.75" customHeight="1" x14ac:dyDescent="0.25">
      <c r="C499" s="2"/>
    </row>
    <row r="500" spans="3:3" ht="15.75" customHeight="1" x14ac:dyDescent="0.25">
      <c r="C500" s="2"/>
    </row>
    <row r="501" spans="3:3" ht="15.75" customHeight="1" x14ac:dyDescent="0.25">
      <c r="C501" s="2"/>
    </row>
    <row r="502" spans="3:3" ht="15.75" customHeight="1" x14ac:dyDescent="0.25">
      <c r="C502" s="2"/>
    </row>
    <row r="503" spans="3:3" ht="15.75" customHeight="1" x14ac:dyDescent="0.25">
      <c r="C503" s="2"/>
    </row>
    <row r="504" spans="3:3" ht="15.75" customHeight="1" x14ac:dyDescent="0.25">
      <c r="C504" s="2"/>
    </row>
    <row r="505" spans="3:3" ht="15.75" customHeight="1" x14ac:dyDescent="0.25">
      <c r="C505" s="2"/>
    </row>
    <row r="506" spans="3:3" ht="15.75" customHeight="1" x14ac:dyDescent="0.25">
      <c r="C506" s="2"/>
    </row>
    <row r="507" spans="3:3" ht="15.75" customHeight="1" x14ac:dyDescent="0.25">
      <c r="C507" s="2"/>
    </row>
    <row r="508" spans="3:3" ht="15.75" customHeight="1" x14ac:dyDescent="0.25">
      <c r="C508" s="2"/>
    </row>
    <row r="509" spans="3:3" ht="15.75" customHeight="1" x14ac:dyDescent="0.25">
      <c r="C509" s="2"/>
    </row>
    <row r="510" spans="3:3" ht="15.75" customHeight="1" x14ac:dyDescent="0.25">
      <c r="C510" s="2"/>
    </row>
    <row r="511" spans="3:3" ht="15.75" customHeight="1" x14ac:dyDescent="0.25">
      <c r="C511" s="2"/>
    </row>
    <row r="512" spans="3:3" ht="15.75" customHeight="1" x14ac:dyDescent="0.25">
      <c r="C512" s="2"/>
    </row>
    <row r="513" spans="3:3" ht="15.75" customHeight="1" x14ac:dyDescent="0.25">
      <c r="C513" s="2"/>
    </row>
    <row r="514" spans="3:3" ht="15.75" customHeight="1" x14ac:dyDescent="0.25">
      <c r="C514" s="2"/>
    </row>
    <row r="515" spans="3:3" ht="15.75" customHeight="1" x14ac:dyDescent="0.25">
      <c r="C515" s="2"/>
    </row>
    <row r="516" spans="3:3" ht="15.75" customHeight="1" x14ac:dyDescent="0.25">
      <c r="C516" s="2"/>
    </row>
    <row r="517" spans="3:3" ht="15.75" customHeight="1" x14ac:dyDescent="0.25">
      <c r="C517" s="2"/>
    </row>
    <row r="518" spans="3:3" ht="15.75" customHeight="1" x14ac:dyDescent="0.25">
      <c r="C518" s="2"/>
    </row>
    <row r="519" spans="3:3" ht="15.75" customHeight="1" x14ac:dyDescent="0.25">
      <c r="C519" s="2"/>
    </row>
    <row r="520" spans="3:3" ht="15.75" customHeight="1" x14ac:dyDescent="0.25">
      <c r="C520" s="2"/>
    </row>
    <row r="521" spans="3:3" ht="15.75" customHeight="1" x14ac:dyDescent="0.25">
      <c r="C521" s="2"/>
    </row>
    <row r="522" spans="3:3" ht="15.75" customHeight="1" x14ac:dyDescent="0.25">
      <c r="C522" s="2"/>
    </row>
    <row r="523" spans="3:3" ht="15.75" customHeight="1" x14ac:dyDescent="0.25">
      <c r="C523" s="2"/>
    </row>
    <row r="524" spans="3:3" ht="15.75" customHeight="1" x14ac:dyDescent="0.25">
      <c r="C524" s="2"/>
    </row>
    <row r="525" spans="3:3" ht="15.75" customHeight="1" x14ac:dyDescent="0.25">
      <c r="C525" s="2"/>
    </row>
    <row r="526" spans="3:3" ht="15.75" customHeight="1" x14ac:dyDescent="0.25">
      <c r="C526" s="2"/>
    </row>
    <row r="527" spans="3:3" ht="15.75" customHeight="1" x14ac:dyDescent="0.25">
      <c r="C527" s="2"/>
    </row>
    <row r="528" spans="3:3" ht="15.75" customHeight="1" x14ac:dyDescent="0.25">
      <c r="C528" s="2"/>
    </row>
    <row r="529" spans="3:3" ht="15.75" customHeight="1" x14ac:dyDescent="0.25">
      <c r="C529" s="2"/>
    </row>
    <row r="530" spans="3:3" ht="15.75" customHeight="1" x14ac:dyDescent="0.25">
      <c r="C530" s="2"/>
    </row>
    <row r="531" spans="3:3" ht="15.75" customHeight="1" x14ac:dyDescent="0.25">
      <c r="C531" s="2"/>
    </row>
    <row r="532" spans="3:3" ht="15.75" customHeight="1" x14ac:dyDescent="0.25">
      <c r="C532" s="2"/>
    </row>
    <row r="533" spans="3:3" ht="15.75" customHeight="1" x14ac:dyDescent="0.25">
      <c r="C533" s="2"/>
    </row>
    <row r="534" spans="3:3" ht="15.75" customHeight="1" x14ac:dyDescent="0.25">
      <c r="C534" s="2"/>
    </row>
    <row r="535" spans="3:3" ht="15.75" customHeight="1" x14ac:dyDescent="0.25">
      <c r="C535" s="2"/>
    </row>
    <row r="536" spans="3:3" ht="15.75" customHeight="1" x14ac:dyDescent="0.25">
      <c r="C536" s="2"/>
    </row>
    <row r="537" spans="3:3" ht="15.75" customHeight="1" x14ac:dyDescent="0.25">
      <c r="C537" s="2"/>
    </row>
    <row r="538" spans="3:3" ht="15.75" customHeight="1" x14ac:dyDescent="0.25">
      <c r="C538" s="2"/>
    </row>
    <row r="539" spans="3:3" ht="15.75" customHeight="1" x14ac:dyDescent="0.25">
      <c r="C539" s="2"/>
    </row>
    <row r="540" spans="3:3" ht="15.75" customHeight="1" x14ac:dyDescent="0.25">
      <c r="C540" s="2"/>
    </row>
    <row r="541" spans="3:3" ht="15.75" customHeight="1" x14ac:dyDescent="0.25">
      <c r="C541" s="2"/>
    </row>
    <row r="542" spans="3:3" ht="15.75" customHeight="1" x14ac:dyDescent="0.25">
      <c r="C542" s="2"/>
    </row>
    <row r="543" spans="3:3" ht="15.75" customHeight="1" x14ac:dyDescent="0.25">
      <c r="C543" s="2"/>
    </row>
    <row r="544" spans="3:3" ht="15.75" customHeight="1" x14ac:dyDescent="0.25">
      <c r="C544" s="2"/>
    </row>
    <row r="545" spans="3:3" ht="15.75" customHeight="1" x14ac:dyDescent="0.25">
      <c r="C545" s="2"/>
    </row>
    <row r="546" spans="3:3" ht="15.75" customHeight="1" x14ac:dyDescent="0.25">
      <c r="C546" s="2"/>
    </row>
    <row r="547" spans="3:3" ht="15.75" customHeight="1" x14ac:dyDescent="0.25">
      <c r="C547" s="2"/>
    </row>
    <row r="548" spans="3:3" ht="15.75" customHeight="1" x14ac:dyDescent="0.25">
      <c r="C548" s="2"/>
    </row>
    <row r="549" spans="3:3" ht="15.75" customHeight="1" x14ac:dyDescent="0.25">
      <c r="C549" s="2"/>
    </row>
    <row r="550" spans="3:3" ht="15.75" customHeight="1" x14ac:dyDescent="0.25">
      <c r="C550" s="2"/>
    </row>
    <row r="551" spans="3:3" ht="15.75" customHeight="1" x14ac:dyDescent="0.25">
      <c r="C551" s="2"/>
    </row>
    <row r="552" spans="3:3" ht="15.75" customHeight="1" x14ac:dyDescent="0.25">
      <c r="C552" s="2"/>
    </row>
    <row r="553" spans="3:3" ht="15.75" customHeight="1" x14ac:dyDescent="0.25">
      <c r="C553" s="2"/>
    </row>
    <row r="554" spans="3:3" ht="15.75" customHeight="1" x14ac:dyDescent="0.25">
      <c r="C554" s="2"/>
    </row>
    <row r="555" spans="3:3" ht="15.75" customHeight="1" x14ac:dyDescent="0.25">
      <c r="C555" s="2"/>
    </row>
    <row r="556" spans="3:3" ht="15.75" customHeight="1" x14ac:dyDescent="0.25">
      <c r="C556" s="2"/>
    </row>
    <row r="557" spans="3:3" ht="15.75" customHeight="1" x14ac:dyDescent="0.25">
      <c r="C557" s="2"/>
    </row>
    <row r="558" spans="3:3" ht="15.75" customHeight="1" x14ac:dyDescent="0.25">
      <c r="C558" s="2"/>
    </row>
    <row r="559" spans="3:3" ht="15.75" customHeight="1" x14ac:dyDescent="0.25">
      <c r="C559" s="2"/>
    </row>
    <row r="560" spans="3:3" ht="15.75" customHeight="1" x14ac:dyDescent="0.25">
      <c r="C560" s="2"/>
    </row>
    <row r="561" spans="3:3" ht="15.75" customHeight="1" x14ac:dyDescent="0.25">
      <c r="C561" s="2"/>
    </row>
    <row r="562" spans="3:3" ht="15.75" customHeight="1" x14ac:dyDescent="0.25">
      <c r="C562" s="2"/>
    </row>
    <row r="563" spans="3:3" ht="15.75" customHeight="1" x14ac:dyDescent="0.25">
      <c r="C563" s="2"/>
    </row>
    <row r="564" spans="3:3" ht="15.75" customHeight="1" x14ac:dyDescent="0.25">
      <c r="C564" s="2"/>
    </row>
    <row r="565" spans="3:3" ht="15.75" customHeight="1" x14ac:dyDescent="0.25">
      <c r="C565" s="2"/>
    </row>
    <row r="566" spans="3:3" ht="15.75" customHeight="1" x14ac:dyDescent="0.25">
      <c r="C566" s="2"/>
    </row>
    <row r="567" spans="3:3" ht="15.75" customHeight="1" x14ac:dyDescent="0.25">
      <c r="C567" s="2"/>
    </row>
    <row r="568" spans="3:3" ht="15.75" customHeight="1" x14ac:dyDescent="0.25">
      <c r="C568" s="2"/>
    </row>
    <row r="569" spans="3:3" ht="15.75" customHeight="1" x14ac:dyDescent="0.25">
      <c r="C569" s="2"/>
    </row>
    <row r="570" spans="3:3" ht="15.75" customHeight="1" x14ac:dyDescent="0.25">
      <c r="C570" s="2"/>
    </row>
    <row r="571" spans="3:3" ht="15.75" customHeight="1" x14ac:dyDescent="0.25">
      <c r="C571" s="2"/>
    </row>
    <row r="572" spans="3:3" ht="15.75" customHeight="1" x14ac:dyDescent="0.25">
      <c r="C572" s="2"/>
    </row>
    <row r="573" spans="3:3" ht="15.75" customHeight="1" x14ac:dyDescent="0.25">
      <c r="C573" s="2"/>
    </row>
    <row r="574" spans="3:3" ht="15.75" customHeight="1" x14ac:dyDescent="0.25">
      <c r="C574" s="2"/>
    </row>
    <row r="575" spans="3:3" ht="15.75" customHeight="1" x14ac:dyDescent="0.25">
      <c r="C575" s="2"/>
    </row>
    <row r="576" spans="3:3" ht="15.75" customHeight="1" x14ac:dyDescent="0.25">
      <c r="C576" s="2"/>
    </row>
    <row r="577" spans="3:3" ht="15.75" customHeight="1" x14ac:dyDescent="0.25">
      <c r="C577" s="2"/>
    </row>
    <row r="578" spans="3:3" ht="15.75" customHeight="1" x14ac:dyDescent="0.25">
      <c r="C578" s="2"/>
    </row>
    <row r="579" spans="3:3" ht="15.75" customHeight="1" x14ac:dyDescent="0.25">
      <c r="C579" s="2"/>
    </row>
    <row r="580" spans="3:3" ht="15.75" customHeight="1" x14ac:dyDescent="0.25">
      <c r="C580" s="2"/>
    </row>
    <row r="581" spans="3:3" ht="15.75" customHeight="1" x14ac:dyDescent="0.25">
      <c r="C581" s="2"/>
    </row>
    <row r="582" spans="3:3" ht="15.75" customHeight="1" x14ac:dyDescent="0.25">
      <c r="C582" s="2"/>
    </row>
    <row r="583" spans="3:3" ht="15.75" customHeight="1" x14ac:dyDescent="0.25">
      <c r="C583" s="2"/>
    </row>
    <row r="584" spans="3:3" ht="15.75" customHeight="1" x14ac:dyDescent="0.25">
      <c r="C584" s="2"/>
    </row>
    <row r="585" spans="3:3" ht="15.75" customHeight="1" x14ac:dyDescent="0.25">
      <c r="C585" s="2"/>
    </row>
    <row r="586" spans="3:3" ht="15.75" customHeight="1" x14ac:dyDescent="0.25">
      <c r="C586" s="2"/>
    </row>
    <row r="587" spans="3:3" ht="15.75" customHeight="1" x14ac:dyDescent="0.25">
      <c r="C587" s="2"/>
    </row>
    <row r="588" spans="3:3" ht="15.75" customHeight="1" x14ac:dyDescent="0.25">
      <c r="C588" s="2"/>
    </row>
    <row r="589" spans="3:3" ht="15.75" customHeight="1" x14ac:dyDescent="0.25">
      <c r="C589" s="2"/>
    </row>
    <row r="590" spans="3:3" ht="15.75" customHeight="1" x14ac:dyDescent="0.25">
      <c r="C590" s="2"/>
    </row>
    <row r="591" spans="3:3" ht="15.75" customHeight="1" x14ac:dyDescent="0.25">
      <c r="C591" s="2"/>
    </row>
    <row r="592" spans="3:3" ht="15.75" customHeight="1" x14ac:dyDescent="0.25">
      <c r="C592" s="2"/>
    </row>
    <row r="593" spans="3:3" ht="15.75" customHeight="1" x14ac:dyDescent="0.25">
      <c r="C593" s="2"/>
    </row>
    <row r="594" spans="3:3" ht="15.75" customHeight="1" x14ac:dyDescent="0.25">
      <c r="C594" s="2"/>
    </row>
    <row r="595" spans="3:3" ht="15.75" customHeight="1" x14ac:dyDescent="0.25">
      <c r="C595" s="2"/>
    </row>
    <row r="596" spans="3:3" ht="15.75" customHeight="1" x14ac:dyDescent="0.25">
      <c r="C596" s="2"/>
    </row>
    <row r="597" spans="3:3" ht="15.75" customHeight="1" x14ac:dyDescent="0.25">
      <c r="C597" s="2"/>
    </row>
    <row r="598" spans="3:3" ht="15.75" customHeight="1" x14ac:dyDescent="0.25">
      <c r="C598" s="2"/>
    </row>
    <row r="599" spans="3:3" ht="15.75" customHeight="1" x14ac:dyDescent="0.25">
      <c r="C599" s="2"/>
    </row>
    <row r="600" spans="3:3" ht="15.75" customHeight="1" x14ac:dyDescent="0.25">
      <c r="C600" s="2"/>
    </row>
    <row r="601" spans="3:3" ht="15.75" customHeight="1" x14ac:dyDescent="0.25">
      <c r="C601" s="2"/>
    </row>
    <row r="602" spans="3:3" ht="15.75" customHeight="1" x14ac:dyDescent="0.25">
      <c r="C602" s="2"/>
    </row>
    <row r="603" spans="3:3" ht="15.75" customHeight="1" x14ac:dyDescent="0.25">
      <c r="C603" s="2"/>
    </row>
    <row r="604" spans="3:3" ht="15.75" customHeight="1" x14ac:dyDescent="0.25">
      <c r="C604" s="2"/>
    </row>
    <row r="605" spans="3:3" ht="15.75" customHeight="1" x14ac:dyDescent="0.25">
      <c r="C605" s="2"/>
    </row>
    <row r="606" spans="3:3" ht="15.75" customHeight="1" x14ac:dyDescent="0.25">
      <c r="C606" s="2"/>
    </row>
    <row r="607" spans="3:3" ht="15.75" customHeight="1" x14ac:dyDescent="0.25">
      <c r="C607" s="2"/>
    </row>
    <row r="608" spans="3:3" ht="15.75" customHeight="1" x14ac:dyDescent="0.25">
      <c r="C608" s="2"/>
    </row>
    <row r="609" spans="3:3" ht="15.75" customHeight="1" x14ac:dyDescent="0.25">
      <c r="C609" s="2"/>
    </row>
    <row r="610" spans="3:3" ht="15.75" customHeight="1" x14ac:dyDescent="0.25">
      <c r="C610" s="2"/>
    </row>
    <row r="611" spans="3:3" ht="15.75" customHeight="1" x14ac:dyDescent="0.25">
      <c r="C611" s="2"/>
    </row>
    <row r="612" spans="3:3" ht="15.75" customHeight="1" x14ac:dyDescent="0.25">
      <c r="C612" s="2"/>
    </row>
    <row r="613" spans="3:3" ht="15.75" customHeight="1" x14ac:dyDescent="0.25">
      <c r="C613" s="2"/>
    </row>
    <row r="614" spans="3:3" ht="15.75" customHeight="1" x14ac:dyDescent="0.25">
      <c r="C614" s="2"/>
    </row>
    <row r="615" spans="3:3" ht="15.75" customHeight="1" x14ac:dyDescent="0.25">
      <c r="C615" s="2"/>
    </row>
    <row r="616" spans="3:3" ht="15.75" customHeight="1" x14ac:dyDescent="0.25">
      <c r="C616" s="2"/>
    </row>
    <row r="617" spans="3:3" ht="15.75" customHeight="1" x14ac:dyDescent="0.25">
      <c r="C617" s="2"/>
    </row>
    <row r="618" spans="3:3" ht="15.75" customHeight="1" x14ac:dyDescent="0.25">
      <c r="C618" s="2"/>
    </row>
    <row r="619" spans="3:3" ht="15.75" customHeight="1" x14ac:dyDescent="0.25">
      <c r="C619" s="2"/>
    </row>
    <row r="620" spans="3:3" ht="15.75" customHeight="1" x14ac:dyDescent="0.25">
      <c r="C620" s="2"/>
    </row>
    <row r="621" spans="3:3" ht="15.75" customHeight="1" x14ac:dyDescent="0.25">
      <c r="C621" s="2"/>
    </row>
    <row r="622" spans="3:3" ht="15.75" customHeight="1" x14ac:dyDescent="0.25">
      <c r="C622" s="2"/>
    </row>
    <row r="623" spans="3:3" ht="15.75" customHeight="1" x14ac:dyDescent="0.25">
      <c r="C623" s="2"/>
    </row>
    <row r="624" spans="3:3" ht="15.75" customHeight="1" x14ac:dyDescent="0.25">
      <c r="C624" s="2"/>
    </row>
    <row r="625" spans="3:3" ht="15.75" customHeight="1" x14ac:dyDescent="0.25">
      <c r="C625" s="2"/>
    </row>
    <row r="626" spans="3:3" ht="15.75" customHeight="1" x14ac:dyDescent="0.25">
      <c r="C626" s="2"/>
    </row>
    <row r="627" spans="3:3" ht="15.75" customHeight="1" x14ac:dyDescent="0.25">
      <c r="C627" s="2"/>
    </row>
    <row r="628" spans="3:3" ht="15.75" customHeight="1" x14ac:dyDescent="0.25">
      <c r="C628" s="2"/>
    </row>
    <row r="629" spans="3:3" ht="15.75" customHeight="1" x14ac:dyDescent="0.25">
      <c r="C629" s="2"/>
    </row>
    <row r="630" spans="3:3" ht="15.75" customHeight="1" x14ac:dyDescent="0.25">
      <c r="C630" s="2"/>
    </row>
    <row r="631" spans="3:3" ht="15.75" customHeight="1" x14ac:dyDescent="0.25">
      <c r="C631" s="2"/>
    </row>
    <row r="632" spans="3:3" ht="15.75" customHeight="1" x14ac:dyDescent="0.25">
      <c r="C632" s="2"/>
    </row>
    <row r="633" spans="3:3" ht="15.75" customHeight="1" x14ac:dyDescent="0.25">
      <c r="C633" s="2"/>
    </row>
    <row r="634" spans="3:3" ht="15.75" customHeight="1" x14ac:dyDescent="0.25">
      <c r="C634" s="2"/>
    </row>
    <row r="635" spans="3:3" ht="15.75" customHeight="1" x14ac:dyDescent="0.25">
      <c r="C635" s="2"/>
    </row>
    <row r="636" spans="3:3" ht="15.75" customHeight="1" x14ac:dyDescent="0.25">
      <c r="C636" s="2"/>
    </row>
    <row r="637" spans="3:3" ht="15.75" customHeight="1" x14ac:dyDescent="0.25">
      <c r="C637" s="2"/>
    </row>
    <row r="638" spans="3:3" ht="15.75" customHeight="1" x14ac:dyDescent="0.25">
      <c r="C638" s="2"/>
    </row>
    <row r="639" spans="3:3" ht="15.75" customHeight="1" x14ac:dyDescent="0.25">
      <c r="C639" s="2"/>
    </row>
    <row r="640" spans="3:3" ht="15.75" customHeight="1" x14ac:dyDescent="0.25">
      <c r="C640" s="2"/>
    </row>
    <row r="641" spans="3:3" ht="15.75" customHeight="1" x14ac:dyDescent="0.25">
      <c r="C641" s="2"/>
    </row>
    <row r="642" spans="3:3" ht="15.75" customHeight="1" x14ac:dyDescent="0.25">
      <c r="C642" s="2"/>
    </row>
    <row r="643" spans="3:3" ht="15.75" customHeight="1" x14ac:dyDescent="0.25">
      <c r="C643" s="2"/>
    </row>
    <row r="644" spans="3:3" ht="15.75" customHeight="1" x14ac:dyDescent="0.25">
      <c r="C644" s="2"/>
    </row>
    <row r="645" spans="3:3" ht="15.75" customHeight="1" x14ac:dyDescent="0.25">
      <c r="C645" s="2"/>
    </row>
    <row r="646" spans="3:3" ht="15.75" customHeight="1" x14ac:dyDescent="0.25">
      <c r="C646" s="2"/>
    </row>
    <row r="647" spans="3:3" ht="15.75" customHeight="1" x14ac:dyDescent="0.25">
      <c r="C647" s="2"/>
    </row>
    <row r="648" spans="3:3" ht="15.75" customHeight="1" x14ac:dyDescent="0.25">
      <c r="C648" s="2"/>
    </row>
    <row r="649" spans="3:3" ht="15.75" customHeight="1" x14ac:dyDescent="0.25">
      <c r="C649" s="2"/>
    </row>
    <row r="650" spans="3:3" ht="15.75" customHeight="1" x14ac:dyDescent="0.25">
      <c r="C650" s="2"/>
    </row>
    <row r="651" spans="3:3" ht="15.75" customHeight="1" x14ac:dyDescent="0.25">
      <c r="C651" s="2"/>
    </row>
    <row r="652" spans="3:3" ht="15.75" customHeight="1" x14ac:dyDescent="0.25">
      <c r="C652" s="2"/>
    </row>
    <row r="653" spans="3:3" ht="15.75" customHeight="1" x14ac:dyDescent="0.25">
      <c r="C653" s="2"/>
    </row>
    <row r="654" spans="3:3" ht="15.75" customHeight="1" x14ac:dyDescent="0.25">
      <c r="C654" s="2"/>
    </row>
    <row r="655" spans="3:3" ht="15.75" customHeight="1" x14ac:dyDescent="0.25">
      <c r="C655" s="2"/>
    </row>
    <row r="656" spans="3:3" ht="15.75" customHeight="1" x14ac:dyDescent="0.25">
      <c r="C656" s="2"/>
    </row>
    <row r="657" spans="3:3" ht="15.75" customHeight="1" x14ac:dyDescent="0.25">
      <c r="C657" s="2"/>
    </row>
    <row r="658" spans="3:3" ht="15.75" customHeight="1" x14ac:dyDescent="0.25">
      <c r="C658" s="2"/>
    </row>
    <row r="659" spans="3:3" ht="15.75" customHeight="1" x14ac:dyDescent="0.25">
      <c r="C659" s="2"/>
    </row>
    <row r="660" spans="3:3" ht="15.75" customHeight="1" x14ac:dyDescent="0.25">
      <c r="C660" s="2"/>
    </row>
    <row r="661" spans="3:3" ht="15.75" customHeight="1" x14ac:dyDescent="0.25">
      <c r="C661" s="2"/>
    </row>
    <row r="662" spans="3:3" ht="15.75" customHeight="1" x14ac:dyDescent="0.25">
      <c r="C662" s="2"/>
    </row>
    <row r="663" spans="3:3" ht="15.75" customHeight="1" x14ac:dyDescent="0.25">
      <c r="C663" s="2"/>
    </row>
    <row r="664" spans="3:3" ht="15.75" customHeight="1" x14ac:dyDescent="0.25">
      <c r="C664" s="2"/>
    </row>
    <row r="665" spans="3:3" ht="15.75" customHeight="1" x14ac:dyDescent="0.25">
      <c r="C665" s="2"/>
    </row>
    <row r="666" spans="3:3" ht="15.75" customHeight="1" x14ac:dyDescent="0.25">
      <c r="C666" s="2"/>
    </row>
    <row r="667" spans="3:3" ht="15.75" customHeight="1" x14ac:dyDescent="0.25">
      <c r="C667" s="2"/>
    </row>
    <row r="668" spans="3:3" ht="15.75" customHeight="1" x14ac:dyDescent="0.25">
      <c r="C668" s="2"/>
    </row>
    <row r="669" spans="3:3" ht="15.75" customHeight="1" x14ac:dyDescent="0.25">
      <c r="C669" s="2"/>
    </row>
    <row r="670" spans="3:3" ht="15.75" customHeight="1" x14ac:dyDescent="0.25">
      <c r="C670" s="2"/>
    </row>
    <row r="671" spans="3:3" ht="15.75" customHeight="1" x14ac:dyDescent="0.25">
      <c r="C671" s="2"/>
    </row>
    <row r="672" spans="3:3" ht="15.75" customHeight="1" x14ac:dyDescent="0.25">
      <c r="C672" s="2"/>
    </row>
    <row r="673" spans="3:3" ht="15.75" customHeight="1" x14ac:dyDescent="0.25">
      <c r="C673" s="2"/>
    </row>
    <row r="674" spans="3:3" ht="15.75" customHeight="1" x14ac:dyDescent="0.25">
      <c r="C674" s="2"/>
    </row>
    <row r="675" spans="3:3" ht="15.75" customHeight="1" x14ac:dyDescent="0.25">
      <c r="C675" s="2"/>
    </row>
    <row r="676" spans="3:3" ht="15.75" customHeight="1" x14ac:dyDescent="0.25">
      <c r="C676" s="2"/>
    </row>
    <row r="677" spans="3:3" ht="15.75" customHeight="1" x14ac:dyDescent="0.25">
      <c r="C677" s="2"/>
    </row>
    <row r="678" spans="3:3" ht="15.75" customHeight="1" x14ac:dyDescent="0.25">
      <c r="C678" s="2"/>
    </row>
    <row r="679" spans="3:3" ht="15.75" customHeight="1" x14ac:dyDescent="0.25">
      <c r="C679" s="2"/>
    </row>
    <row r="680" spans="3:3" ht="15.75" customHeight="1" x14ac:dyDescent="0.25">
      <c r="C680" s="2"/>
    </row>
    <row r="681" spans="3:3" ht="15.75" customHeight="1" x14ac:dyDescent="0.25">
      <c r="C681" s="2"/>
    </row>
    <row r="682" spans="3:3" ht="15.75" customHeight="1" x14ac:dyDescent="0.25">
      <c r="C682" s="2"/>
    </row>
    <row r="683" spans="3:3" ht="15.75" customHeight="1" x14ac:dyDescent="0.25">
      <c r="C683" s="2"/>
    </row>
    <row r="684" spans="3:3" ht="15.75" customHeight="1" x14ac:dyDescent="0.25">
      <c r="C684" s="2"/>
    </row>
    <row r="685" spans="3:3" ht="15.75" customHeight="1" x14ac:dyDescent="0.25">
      <c r="C685" s="2"/>
    </row>
    <row r="686" spans="3:3" ht="15.75" customHeight="1" x14ac:dyDescent="0.25">
      <c r="C686" s="2"/>
    </row>
    <row r="687" spans="3:3" ht="15.75" customHeight="1" x14ac:dyDescent="0.25">
      <c r="C687" s="2"/>
    </row>
    <row r="688" spans="3:3" ht="15.75" customHeight="1" x14ac:dyDescent="0.25">
      <c r="C688" s="2"/>
    </row>
    <row r="689" spans="3:3" ht="15.75" customHeight="1" x14ac:dyDescent="0.25">
      <c r="C689" s="2"/>
    </row>
    <row r="690" spans="3:3" ht="15.75" customHeight="1" x14ac:dyDescent="0.25">
      <c r="C690" s="2"/>
    </row>
    <row r="691" spans="3:3" ht="15.75" customHeight="1" x14ac:dyDescent="0.25">
      <c r="C691" s="2"/>
    </row>
    <row r="692" spans="3:3" ht="15.75" customHeight="1" x14ac:dyDescent="0.25">
      <c r="C692" s="2"/>
    </row>
    <row r="693" spans="3:3" ht="15.75" customHeight="1" x14ac:dyDescent="0.25">
      <c r="C693" s="2"/>
    </row>
    <row r="694" spans="3:3" ht="15.75" customHeight="1" x14ac:dyDescent="0.25">
      <c r="C694" s="2"/>
    </row>
    <row r="695" spans="3:3" ht="15.75" customHeight="1" x14ac:dyDescent="0.25">
      <c r="C695" s="2"/>
    </row>
    <row r="696" spans="3:3" ht="15.75" customHeight="1" x14ac:dyDescent="0.25">
      <c r="C696" s="2"/>
    </row>
    <row r="697" spans="3:3" ht="15.75" customHeight="1" x14ac:dyDescent="0.25">
      <c r="C697" s="2"/>
    </row>
    <row r="698" spans="3:3" ht="15.75" customHeight="1" x14ac:dyDescent="0.25">
      <c r="C698" s="2"/>
    </row>
    <row r="699" spans="3:3" ht="15.75" customHeight="1" x14ac:dyDescent="0.25">
      <c r="C699" s="2"/>
    </row>
    <row r="700" spans="3:3" ht="15.75" customHeight="1" x14ac:dyDescent="0.25">
      <c r="C700" s="2"/>
    </row>
    <row r="701" spans="3:3" ht="15.75" customHeight="1" x14ac:dyDescent="0.25">
      <c r="C701" s="2"/>
    </row>
    <row r="702" spans="3:3" ht="15.75" customHeight="1" x14ac:dyDescent="0.25">
      <c r="C702" s="2"/>
    </row>
    <row r="703" spans="3:3" ht="15.75" customHeight="1" x14ac:dyDescent="0.25">
      <c r="C703" s="2"/>
    </row>
    <row r="704" spans="3:3" ht="15.75" customHeight="1" x14ac:dyDescent="0.25">
      <c r="C704" s="2"/>
    </row>
    <row r="705" spans="3:3" ht="15.75" customHeight="1" x14ac:dyDescent="0.25">
      <c r="C705" s="2"/>
    </row>
    <row r="706" spans="3:3" ht="15.75" customHeight="1" x14ac:dyDescent="0.25">
      <c r="C706" s="2"/>
    </row>
    <row r="707" spans="3:3" ht="15.75" customHeight="1" x14ac:dyDescent="0.25">
      <c r="C707" s="2"/>
    </row>
    <row r="708" spans="3:3" ht="15.75" customHeight="1" x14ac:dyDescent="0.25">
      <c r="C708" s="2"/>
    </row>
    <row r="709" spans="3:3" ht="15.75" customHeight="1" x14ac:dyDescent="0.25">
      <c r="C709" s="2"/>
    </row>
    <row r="710" spans="3:3" ht="15.75" customHeight="1" x14ac:dyDescent="0.25">
      <c r="C710" s="2"/>
    </row>
    <row r="711" spans="3:3" ht="15.75" customHeight="1" x14ac:dyDescent="0.25">
      <c r="C711" s="2"/>
    </row>
    <row r="712" spans="3:3" ht="15.75" customHeight="1" x14ac:dyDescent="0.25">
      <c r="C712" s="2"/>
    </row>
    <row r="713" spans="3:3" ht="15.75" customHeight="1" x14ac:dyDescent="0.25">
      <c r="C713" s="2"/>
    </row>
    <row r="714" spans="3:3" ht="15.75" customHeight="1" x14ac:dyDescent="0.25">
      <c r="C714" s="2"/>
    </row>
    <row r="715" spans="3:3" ht="15.75" customHeight="1" x14ac:dyDescent="0.25">
      <c r="C715" s="2"/>
    </row>
    <row r="716" spans="3:3" ht="15.75" customHeight="1" x14ac:dyDescent="0.25">
      <c r="C716" s="2"/>
    </row>
    <row r="717" spans="3:3" ht="15.75" customHeight="1" x14ac:dyDescent="0.25">
      <c r="C717" s="2"/>
    </row>
    <row r="718" spans="3:3" ht="15.75" customHeight="1" x14ac:dyDescent="0.25">
      <c r="C718" s="2"/>
    </row>
    <row r="719" spans="3:3" ht="15.75" customHeight="1" x14ac:dyDescent="0.25">
      <c r="C719" s="2"/>
    </row>
    <row r="720" spans="3:3" ht="15.75" customHeight="1" x14ac:dyDescent="0.25">
      <c r="C720" s="2"/>
    </row>
    <row r="721" spans="3:3" ht="15.75" customHeight="1" x14ac:dyDescent="0.25">
      <c r="C721" s="2"/>
    </row>
    <row r="722" spans="3:3" ht="15.75" customHeight="1" x14ac:dyDescent="0.25">
      <c r="C722" s="2"/>
    </row>
    <row r="723" spans="3:3" ht="15.75" customHeight="1" x14ac:dyDescent="0.25">
      <c r="C723" s="2"/>
    </row>
    <row r="724" spans="3:3" ht="15.75" customHeight="1" x14ac:dyDescent="0.25">
      <c r="C724" s="2"/>
    </row>
    <row r="725" spans="3:3" ht="15.75" customHeight="1" x14ac:dyDescent="0.25">
      <c r="C725" s="2"/>
    </row>
    <row r="726" spans="3:3" ht="15.75" customHeight="1" x14ac:dyDescent="0.25">
      <c r="C726" s="2"/>
    </row>
    <row r="727" spans="3:3" ht="15.75" customHeight="1" x14ac:dyDescent="0.25">
      <c r="C727" s="2"/>
    </row>
    <row r="728" spans="3:3" ht="15.75" customHeight="1" x14ac:dyDescent="0.25">
      <c r="C728" s="2"/>
    </row>
    <row r="729" spans="3:3" ht="15.75" customHeight="1" x14ac:dyDescent="0.25">
      <c r="C729" s="2"/>
    </row>
    <row r="730" spans="3:3" ht="15.75" customHeight="1" x14ac:dyDescent="0.25">
      <c r="C730" s="2"/>
    </row>
    <row r="731" spans="3:3" ht="15.75" customHeight="1" x14ac:dyDescent="0.25">
      <c r="C731" s="2"/>
    </row>
    <row r="732" spans="3:3" ht="15.75" customHeight="1" x14ac:dyDescent="0.25">
      <c r="C732" s="2"/>
    </row>
    <row r="733" spans="3:3" ht="15.75" customHeight="1" x14ac:dyDescent="0.25">
      <c r="C733" s="2"/>
    </row>
    <row r="734" spans="3:3" ht="15.75" customHeight="1" x14ac:dyDescent="0.25">
      <c r="C734" s="2"/>
    </row>
    <row r="735" spans="3:3" ht="15.75" customHeight="1" x14ac:dyDescent="0.25">
      <c r="C735" s="2"/>
    </row>
    <row r="736" spans="3:3" ht="15.75" customHeight="1" x14ac:dyDescent="0.25">
      <c r="C736" s="2"/>
    </row>
    <row r="737" spans="3:3" ht="15.75" customHeight="1" x14ac:dyDescent="0.25">
      <c r="C737" s="2"/>
    </row>
    <row r="738" spans="3:3" ht="15.75" customHeight="1" x14ac:dyDescent="0.25">
      <c r="C738" s="2"/>
    </row>
    <row r="739" spans="3:3" ht="15.75" customHeight="1" x14ac:dyDescent="0.25">
      <c r="C739" s="2"/>
    </row>
    <row r="740" spans="3:3" ht="15.75" customHeight="1" x14ac:dyDescent="0.25">
      <c r="C740" s="2"/>
    </row>
    <row r="741" spans="3:3" ht="15.75" customHeight="1" x14ac:dyDescent="0.25">
      <c r="C741" s="2"/>
    </row>
    <row r="742" spans="3:3" ht="15.75" customHeight="1" x14ac:dyDescent="0.25">
      <c r="C742" s="2"/>
    </row>
    <row r="743" spans="3:3" ht="15.75" customHeight="1" x14ac:dyDescent="0.25">
      <c r="C743" s="2"/>
    </row>
    <row r="744" spans="3:3" ht="15.75" customHeight="1" x14ac:dyDescent="0.25">
      <c r="C744" s="2"/>
    </row>
    <row r="745" spans="3:3" ht="15.75" customHeight="1" x14ac:dyDescent="0.25">
      <c r="C745" s="2"/>
    </row>
    <row r="746" spans="3:3" ht="15.75" customHeight="1" x14ac:dyDescent="0.25">
      <c r="C746" s="2"/>
    </row>
    <row r="747" spans="3:3" ht="15.75" customHeight="1" x14ac:dyDescent="0.25">
      <c r="C747" s="2"/>
    </row>
    <row r="748" spans="3:3" ht="15.75" customHeight="1" x14ac:dyDescent="0.25">
      <c r="C748" s="2"/>
    </row>
    <row r="749" spans="3:3" ht="15.75" customHeight="1" x14ac:dyDescent="0.25">
      <c r="C749" s="2"/>
    </row>
    <row r="750" spans="3:3" ht="15.75" customHeight="1" x14ac:dyDescent="0.25">
      <c r="C750" s="2"/>
    </row>
    <row r="751" spans="3:3" ht="15.75" customHeight="1" x14ac:dyDescent="0.25">
      <c r="C751" s="2"/>
    </row>
    <row r="752" spans="3:3" ht="15.75" customHeight="1" x14ac:dyDescent="0.25">
      <c r="C752" s="2"/>
    </row>
    <row r="753" spans="3:3" ht="15.75" customHeight="1" x14ac:dyDescent="0.25">
      <c r="C753" s="2"/>
    </row>
    <row r="754" spans="3:3" ht="15.75" customHeight="1" x14ac:dyDescent="0.25">
      <c r="C754" s="2"/>
    </row>
    <row r="755" spans="3:3" ht="15.75" customHeight="1" x14ac:dyDescent="0.25">
      <c r="C755" s="2"/>
    </row>
    <row r="756" spans="3:3" ht="15.75" customHeight="1" x14ac:dyDescent="0.25">
      <c r="C756" s="2"/>
    </row>
    <row r="757" spans="3:3" ht="15.75" customHeight="1" x14ac:dyDescent="0.25">
      <c r="C757" s="2"/>
    </row>
    <row r="758" spans="3:3" ht="15.75" customHeight="1" x14ac:dyDescent="0.25">
      <c r="C758" s="2"/>
    </row>
    <row r="759" spans="3:3" ht="15.75" customHeight="1" x14ac:dyDescent="0.25">
      <c r="C759" s="2"/>
    </row>
    <row r="760" spans="3:3" ht="15.75" customHeight="1" x14ac:dyDescent="0.25">
      <c r="C760" s="2"/>
    </row>
    <row r="761" spans="3:3" ht="15.75" customHeight="1" x14ac:dyDescent="0.25">
      <c r="C761" s="2"/>
    </row>
    <row r="762" spans="3:3" ht="15.75" customHeight="1" x14ac:dyDescent="0.25">
      <c r="C762" s="2"/>
    </row>
    <row r="763" spans="3:3" ht="15.75" customHeight="1" x14ac:dyDescent="0.25">
      <c r="C763" s="2"/>
    </row>
    <row r="764" spans="3:3" ht="15.75" customHeight="1" x14ac:dyDescent="0.25">
      <c r="C764" s="2"/>
    </row>
    <row r="765" spans="3:3" ht="15.75" customHeight="1" x14ac:dyDescent="0.25">
      <c r="C765" s="2"/>
    </row>
    <row r="766" spans="3:3" ht="15.75" customHeight="1" x14ac:dyDescent="0.25">
      <c r="C766" s="2"/>
    </row>
    <row r="767" spans="3:3" ht="15.75" customHeight="1" x14ac:dyDescent="0.25">
      <c r="C767" s="2"/>
    </row>
    <row r="768" spans="3:3" ht="15.75" customHeight="1" x14ac:dyDescent="0.25">
      <c r="C768" s="2"/>
    </row>
    <row r="769" spans="3:3" ht="15.75" customHeight="1" x14ac:dyDescent="0.25">
      <c r="C769" s="2"/>
    </row>
    <row r="770" spans="3:3" ht="15.75" customHeight="1" x14ac:dyDescent="0.25">
      <c r="C770" s="2"/>
    </row>
    <row r="771" spans="3:3" ht="15.75" customHeight="1" x14ac:dyDescent="0.25">
      <c r="C771" s="2"/>
    </row>
    <row r="772" spans="3:3" ht="15.75" customHeight="1" x14ac:dyDescent="0.25">
      <c r="C772" s="2"/>
    </row>
    <row r="773" spans="3:3" ht="15.75" customHeight="1" x14ac:dyDescent="0.25">
      <c r="C773" s="2"/>
    </row>
    <row r="774" spans="3:3" ht="15.75" customHeight="1" x14ac:dyDescent="0.25">
      <c r="C774" s="2"/>
    </row>
    <row r="775" spans="3:3" ht="15.75" customHeight="1" x14ac:dyDescent="0.25">
      <c r="C775" s="2"/>
    </row>
    <row r="776" spans="3:3" ht="15.75" customHeight="1" x14ac:dyDescent="0.25">
      <c r="C776" s="2"/>
    </row>
    <row r="777" spans="3:3" ht="15.75" customHeight="1" x14ac:dyDescent="0.25">
      <c r="C777" s="2"/>
    </row>
    <row r="778" spans="3:3" ht="15.75" customHeight="1" x14ac:dyDescent="0.25">
      <c r="C778" s="2"/>
    </row>
    <row r="779" spans="3:3" ht="15.75" customHeight="1" x14ac:dyDescent="0.25">
      <c r="C779" s="2"/>
    </row>
    <row r="780" spans="3:3" ht="15.75" customHeight="1" x14ac:dyDescent="0.25">
      <c r="C780" s="2"/>
    </row>
    <row r="781" spans="3:3" ht="15.75" customHeight="1" x14ac:dyDescent="0.25">
      <c r="C781" s="2"/>
    </row>
    <row r="782" spans="3:3" ht="15.75" customHeight="1" x14ac:dyDescent="0.25">
      <c r="C782" s="2"/>
    </row>
    <row r="783" spans="3:3" ht="15.75" customHeight="1" x14ac:dyDescent="0.25">
      <c r="C783" s="2"/>
    </row>
    <row r="784" spans="3:3" ht="15.75" customHeight="1" x14ac:dyDescent="0.25">
      <c r="C784" s="2"/>
    </row>
    <row r="785" spans="3:3" ht="15.75" customHeight="1" x14ac:dyDescent="0.25">
      <c r="C785" s="2"/>
    </row>
    <row r="786" spans="3:3" ht="15.75" customHeight="1" x14ac:dyDescent="0.25">
      <c r="C786" s="2"/>
    </row>
    <row r="787" spans="3:3" ht="15.75" customHeight="1" x14ac:dyDescent="0.25">
      <c r="C787" s="2"/>
    </row>
    <row r="788" spans="3:3" ht="15.75" customHeight="1" x14ac:dyDescent="0.25">
      <c r="C788" s="2"/>
    </row>
    <row r="789" spans="3:3" ht="15.75" customHeight="1" x14ac:dyDescent="0.25">
      <c r="C789" s="2"/>
    </row>
    <row r="790" spans="3:3" ht="15.75" customHeight="1" x14ac:dyDescent="0.25">
      <c r="C790" s="2"/>
    </row>
    <row r="791" spans="3:3" ht="15.75" customHeight="1" x14ac:dyDescent="0.25">
      <c r="C791" s="2"/>
    </row>
    <row r="792" spans="3:3" ht="15.75" customHeight="1" x14ac:dyDescent="0.25">
      <c r="C792" s="2"/>
    </row>
    <row r="793" spans="3:3" ht="15.75" customHeight="1" x14ac:dyDescent="0.25">
      <c r="C793" s="2"/>
    </row>
    <row r="794" spans="3:3" ht="15.75" customHeight="1" x14ac:dyDescent="0.25">
      <c r="C794" s="2"/>
    </row>
    <row r="795" spans="3:3" ht="15.75" customHeight="1" x14ac:dyDescent="0.25">
      <c r="C795" s="2"/>
    </row>
    <row r="796" spans="3:3" ht="15.75" customHeight="1" x14ac:dyDescent="0.25">
      <c r="C796" s="2"/>
    </row>
    <row r="797" spans="3:3" ht="15.75" customHeight="1" x14ac:dyDescent="0.25">
      <c r="C797" s="2"/>
    </row>
    <row r="798" spans="3:3" ht="15.75" customHeight="1" x14ac:dyDescent="0.25">
      <c r="C798" s="2"/>
    </row>
    <row r="799" spans="3:3" ht="15.75" customHeight="1" x14ac:dyDescent="0.25">
      <c r="C799" s="2"/>
    </row>
    <row r="800" spans="3:3" ht="15.75" customHeight="1" x14ac:dyDescent="0.25">
      <c r="C800" s="2"/>
    </row>
    <row r="801" spans="3:3" ht="15.75" customHeight="1" x14ac:dyDescent="0.25">
      <c r="C801" s="2"/>
    </row>
    <row r="802" spans="3:3" ht="15.75" customHeight="1" x14ac:dyDescent="0.25">
      <c r="C802" s="2"/>
    </row>
    <row r="803" spans="3:3" ht="15.75" customHeight="1" x14ac:dyDescent="0.25">
      <c r="C803" s="2"/>
    </row>
    <row r="804" spans="3:3" ht="15.75" customHeight="1" x14ac:dyDescent="0.25">
      <c r="C804" s="2"/>
    </row>
    <row r="805" spans="3:3" ht="15.75" customHeight="1" x14ac:dyDescent="0.25">
      <c r="C805" s="2"/>
    </row>
    <row r="806" spans="3:3" ht="15.75" customHeight="1" x14ac:dyDescent="0.25">
      <c r="C806" s="2"/>
    </row>
    <row r="807" spans="3:3" ht="15.75" customHeight="1" x14ac:dyDescent="0.25">
      <c r="C807" s="2"/>
    </row>
    <row r="808" spans="3:3" ht="15.75" customHeight="1" x14ac:dyDescent="0.25">
      <c r="C808" s="2"/>
    </row>
    <row r="809" spans="3:3" ht="15.75" customHeight="1" x14ac:dyDescent="0.25">
      <c r="C809" s="2"/>
    </row>
    <row r="810" spans="3:3" ht="15.75" customHeight="1" x14ac:dyDescent="0.25">
      <c r="C810" s="2"/>
    </row>
    <row r="811" spans="3:3" ht="15.75" customHeight="1" x14ac:dyDescent="0.25">
      <c r="C811" s="2"/>
    </row>
    <row r="812" spans="3:3" ht="15.75" customHeight="1" x14ac:dyDescent="0.25">
      <c r="C812" s="2"/>
    </row>
    <row r="813" spans="3:3" ht="15.75" customHeight="1" x14ac:dyDescent="0.25">
      <c r="C813" s="2"/>
    </row>
    <row r="814" spans="3:3" ht="15.75" customHeight="1" x14ac:dyDescent="0.25">
      <c r="C814" s="2"/>
    </row>
    <row r="815" spans="3:3" ht="15.75" customHeight="1" x14ac:dyDescent="0.25">
      <c r="C815" s="2"/>
    </row>
    <row r="816" spans="3:3" ht="15.75" customHeight="1" x14ac:dyDescent="0.25">
      <c r="C816" s="2"/>
    </row>
    <row r="817" spans="3:3" ht="15.75" customHeight="1" x14ac:dyDescent="0.25">
      <c r="C817" s="2"/>
    </row>
    <row r="818" spans="3:3" ht="15.75" customHeight="1" x14ac:dyDescent="0.25">
      <c r="C818" s="2"/>
    </row>
    <row r="819" spans="3:3" ht="15.75" customHeight="1" x14ac:dyDescent="0.25">
      <c r="C819" s="2"/>
    </row>
    <row r="820" spans="3:3" ht="15.75" customHeight="1" x14ac:dyDescent="0.25">
      <c r="C820" s="2"/>
    </row>
    <row r="821" spans="3:3" ht="15.75" customHeight="1" x14ac:dyDescent="0.25">
      <c r="C821" s="2"/>
    </row>
    <row r="822" spans="3:3" ht="15.75" customHeight="1" x14ac:dyDescent="0.25">
      <c r="C822" s="2"/>
    </row>
    <row r="823" spans="3:3" ht="15.75" customHeight="1" x14ac:dyDescent="0.25">
      <c r="C823" s="2"/>
    </row>
    <row r="824" spans="3:3" ht="15.75" customHeight="1" x14ac:dyDescent="0.25">
      <c r="C824" s="2"/>
    </row>
    <row r="825" spans="3:3" ht="15.75" customHeight="1" x14ac:dyDescent="0.25">
      <c r="C825" s="2"/>
    </row>
    <row r="826" spans="3:3" ht="15.75" customHeight="1" x14ac:dyDescent="0.25">
      <c r="C826" s="2"/>
    </row>
    <row r="827" spans="3:3" ht="15.75" customHeight="1" x14ac:dyDescent="0.25">
      <c r="C827" s="2"/>
    </row>
    <row r="828" spans="3:3" ht="15.75" customHeight="1" x14ac:dyDescent="0.25">
      <c r="C828" s="2"/>
    </row>
    <row r="829" spans="3:3" ht="15.75" customHeight="1" x14ac:dyDescent="0.25">
      <c r="C829" s="2"/>
    </row>
    <row r="830" spans="3:3" ht="15.75" customHeight="1" x14ac:dyDescent="0.25">
      <c r="C830" s="2"/>
    </row>
    <row r="831" spans="3:3" ht="15.75" customHeight="1" x14ac:dyDescent="0.25">
      <c r="C831" s="2"/>
    </row>
    <row r="832" spans="3:3" ht="15.75" customHeight="1" x14ac:dyDescent="0.25">
      <c r="C832" s="2"/>
    </row>
    <row r="833" spans="3:3" ht="15.75" customHeight="1" x14ac:dyDescent="0.25">
      <c r="C833" s="2"/>
    </row>
    <row r="834" spans="3:3" ht="15.75" customHeight="1" x14ac:dyDescent="0.25">
      <c r="C834" s="2"/>
    </row>
    <row r="835" spans="3:3" ht="15.75" customHeight="1" x14ac:dyDescent="0.25">
      <c r="C835" s="2"/>
    </row>
    <row r="836" spans="3:3" ht="15.75" customHeight="1" x14ac:dyDescent="0.25">
      <c r="C836" s="2"/>
    </row>
    <row r="837" spans="3:3" ht="15.75" customHeight="1" x14ac:dyDescent="0.25">
      <c r="C837" s="2"/>
    </row>
    <row r="838" spans="3:3" ht="15.75" customHeight="1" x14ac:dyDescent="0.25">
      <c r="C838" s="2"/>
    </row>
    <row r="839" spans="3:3" ht="15.75" customHeight="1" x14ac:dyDescent="0.25">
      <c r="C839" s="2"/>
    </row>
    <row r="840" spans="3:3" ht="15.75" customHeight="1" x14ac:dyDescent="0.25">
      <c r="C840" s="2"/>
    </row>
    <row r="841" spans="3:3" ht="15.75" customHeight="1" x14ac:dyDescent="0.25">
      <c r="C841" s="2"/>
    </row>
    <row r="842" spans="3:3" ht="15.75" customHeight="1" x14ac:dyDescent="0.25">
      <c r="C842" s="2"/>
    </row>
    <row r="843" spans="3:3" ht="15.75" customHeight="1" x14ac:dyDescent="0.25">
      <c r="C843" s="2"/>
    </row>
    <row r="844" spans="3:3" ht="15.75" customHeight="1" x14ac:dyDescent="0.25">
      <c r="C844" s="2"/>
    </row>
    <row r="845" spans="3:3" ht="15.75" customHeight="1" x14ac:dyDescent="0.25">
      <c r="C845" s="2"/>
    </row>
    <row r="846" spans="3:3" ht="15.75" customHeight="1" x14ac:dyDescent="0.25">
      <c r="C846" s="2"/>
    </row>
    <row r="847" spans="3:3" ht="15.75" customHeight="1" x14ac:dyDescent="0.25">
      <c r="C847" s="2"/>
    </row>
    <row r="848" spans="3:3" ht="15.75" customHeight="1" x14ac:dyDescent="0.25">
      <c r="C848" s="2"/>
    </row>
    <row r="849" spans="3:3" ht="15.75" customHeight="1" x14ac:dyDescent="0.25">
      <c r="C849" s="2"/>
    </row>
    <row r="850" spans="3:3" ht="15.75" customHeight="1" x14ac:dyDescent="0.25">
      <c r="C850" s="2"/>
    </row>
    <row r="851" spans="3:3" ht="15.75" customHeight="1" x14ac:dyDescent="0.25">
      <c r="C851" s="2"/>
    </row>
    <row r="852" spans="3:3" ht="15.75" customHeight="1" x14ac:dyDescent="0.25">
      <c r="C852" s="2"/>
    </row>
    <row r="853" spans="3:3" ht="15.75" customHeight="1" x14ac:dyDescent="0.25">
      <c r="C853" s="2"/>
    </row>
    <row r="854" spans="3:3" ht="15.75" customHeight="1" x14ac:dyDescent="0.25">
      <c r="C854" s="2"/>
    </row>
    <row r="855" spans="3:3" ht="15.75" customHeight="1" x14ac:dyDescent="0.25">
      <c r="C855" s="2"/>
    </row>
    <row r="856" spans="3:3" ht="15.75" customHeight="1" x14ac:dyDescent="0.25">
      <c r="C856" s="2"/>
    </row>
    <row r="857" spans="3:3" ht="15.75" customHeight="1" x14ac:dyDescent="0.25">
      <c r="C857" s="2"/>
    </row>
    <row r="858" spans="3:3" ht="15.75" customHeight="1" x14ac:dyDescent="0.25">
      <c r="C858" s="2"/>
    </row>
    <row r="859" spans="3:3" ht="15.75" customHeight="1" x14ac:dyDescent="0.25">
      <c r="C859" s="2"/>
    </row>
    <row r="860" spans="3:3" ht="15.75" customHeight="1" x14ac:dyDescent="0.25">
      <c r="C860" s="2"/>
    </row>
    <row r="861" spans="3:3" ht="15.75" customHeight="1" x14ac:dyDescent="0.25">
      <c r="C861" s="2"/>
    </row>
    <row r="862" spans="3:3" ht="15.75" customHeight="1" x14ac:dyDescent="0.25">
      <c r="C862" s="2"/>
    </row>
    <row r="863" spans="3:3" ht="15.75" customHeight="1" x14ac:dyDescent="0.25">
      <c r="C863" s="2"/>
    </row>
    <row r="864" spans="3:3" ht="15.75" customHeight="1" x14ac:dyDescent="0.25">
      <c r="C864" s="2"/>
    </row>
    <row r="865" spans="3:3" ht="15.75" customHeight="1" x14ac:dyDescent="0.25">
      <c r="C865" s="2"/>
    </row>
    <row r="866" spans="3:3" ht="15.75" customHeight="1" x14ac:dyDescent="0.25">
      <c r="C866" s="2"/>
    </row>
    <row r="867" spans="3:3" ht="15.75" customHeight="1" x14ac:dyDescent="0.25">
      <c r="C867" s="2"/>
    </row>
    <row r="868" spans="3:3" ht="15.75" customHeight="1" x14ac:dyDescent="0.25">
      <c r="C868" s="2"/>
    </row>
    <row r="869" spans="3:3" ht="15.75" customHeight="1" x14ac:dyDescent="0.25">
      <c r="C869" s="2"/>
    </row>
    <row r="870" spans="3:3" ht="15.75" customHeight="1" x14ac:dyDescent="0.25">
      <c r="C870" s="2"/>
    </row>
    <row r="871" spans="3:3" ht="15.75" customHeight="1" x14ac:dyDescent="0.25">
      <c r="C871" s="2"/>
    </row>
    <row r="872" spans="3:3" ht="15.75" customHeight="1" x14ac:dyDescent="0.25">
      <c r="C872" s="2"/>
    </row>
    <row r="873" spans="3:3" ht="15.75" customHeight="1" x14ac:dyDescent="0.25">
      <c r="C873" s="2"/>
    </row>
    <row r="874" spans="3:3" ht="15.75" customHeight="1" x14ac:dyDescent="0.25">
      <c r="C874" s="2"/>
    </row>
    <row r="875" spans="3:3" ht="15.75" customHeight="1" x14ac:dyDescent="0.25">
      <c r="C875" s="2"/>
    </row>
    <row r="876" spans="3:3" ht="15.75" customHeight="1" x14ac:dyDescent="0.25">
      <c r="C876" s="2"/>
    </row>
    <row r="877" spans="3:3" ht="15.75" customHeight="1" x14ac:dyDescent="0.25">
      <c r="C877" s="2"/>
    </row>
    <row r="878" spans="3:3" ht="15.75" customHeight="1" x14ac:dyDescent="0.25">
      <c r="C878" s="2"/>
    </row>
    <row r="879" spans="3:3" ht="15.75" customHeight="1" x14ac:dyDescent="0.25">
      <c r="C879" s="2"/>
    </row>
    <row r="880" spans="3:3" ht="15.75" customHeight="1" x14ac:dyDescent="0.25">
      <c r="C880" s="2"/>
    </row>
    <row r="881" spans="3:3" ht="15.75" customHeight="1" x14ac:dyDescent="0.25">
      <c r="C881" s="2"/>
    </row>
    <row r="882" spans="3:3" ht="15.75" customHeight="1" x14ac:dyDescent="0.25">
      <c r="C882" s="2"/>
    </row>
    <row r="883" spans="3:3" ht="15.75" customHeight="1" x14ac:dyDescent="0.25">
      <c r="C883" s="2"/>
    </row>
    <row r="884" spans="3:3" ht="15.75" customHeight="1" x14ac:dyDescent="0.25">
      <c r="C884" s="2"/>
    </row>
    <row r="885" spans="3:3" ht="15.75" customHeight="1" x14ac:dyDescent="0.25">
      <c r="C885" s="2"/>
    </row>
    <row r="886" spans="3:3" ht="15.75" customHeight="1" x14ac:dyDescent="0.25">
      <c r="C886" s="2"/>
    </row>
    <row r="887" spans="3:3" ht="15.75" customHeight="1" x14ac:dyDescent="0.25">
      <c r="C887" s="2"/>
    </row>
    <row r="888" spans="3:3" ht="15.75" customHeight="1" x14ac:dyDescent="0.25">
      <c r="C888" s="2"/>
    </row>
    <row r="889" spans="3:3" ht="15.75" customHeight="1" x14ac:dyDescent="0.25">
      <c r="C889" s="2"/>
    </row>
    <row r="890" spans="3:3" ht="15.75" customHeight="1" x14ac:dyDescent="0.25">
      <c r="C890" s="2"/>
    </row>
    <row r="891" spans="3:3" ht="15.75" customHeight="1" x14ac:dyDescent="0.25">
      <c r="C891" s="2"/>
    </row>
    <row r="892" spans="3:3" ht="15.75" customHeight="1" x14ac:dyDescent="0.25">
      <c r="C892" s="2"/>
    </row>
    <row r="893" spans="3:3" ht="15.75" customHeight="1" x14ac:dyDescent="0.25">
      <c r="C893" s="2"/>
    </row>
    <row r="894" spans="3:3" ht="15.75" customHeight="1" x14ac:dyDescent="0.25">
      <c r="C894" s="2"/>
    </row>
    <row r="895" spans="3:3" ht="15.75" customHeight="1" x14ac:dyDescent="0.25">
      <c r="C895" s="2"/>
    </row>
    <row r="896" spans="3:3" ht="15.75" customHeight="1" x14ac:dyDescent="0.25">
      <c r="C896" s="2"/>
    </row>
    <row r="897" spans="3:3" ht="15.75" customHeight="1" x14ac:dyDescent="0.25">
      <c r="C897" s="2"/>
    </row>
    <row r="898" spans="3:3" ht="15.75" customHeight="1" x14ac:dyDescent="0.25">
      <c r="C898" s="2"/>
    </row>
    <row r="899" spans="3:3" ht="15.75" customHeight="1" x14ac:dyDescent="0.25">
      <c r="C899" s="2"/>
    </row>
    <row r="900" spans="3:3" ht="15.75" customHeight="1" x14ac:dyDescent="0.25">
      <c r="C900" s="2"/>
    </row>
    <row r="901" spans="3:3" ht="15.75" customHeight="1" x14ac:dyDescent="0.25">
      <c r="C901" s="2"/>
    </row>
    <row r="902" spans="3:3" ht="15.75" customHeight="1" x14ac:dyDescent="0.25">
      <c r="C902" s="2"/>
    </row>
    <row r="903" spans="3:3" ht="15.75" customHeight="1" x14ac:dyDescent="0.25">
      <c r="C903" s="2"/>
    </row>
    <row r="904" spans="3:3" ht="15.75" customHeight="1" x14ac:dyDescent="0.25">
      <c r="C904" s="2"/>
    </row>
    <row r="905" spans="3:3" ht="15.75" customHeight="1" x14ac:dyDescent="0.25">
      <c r="C905" s="2"/>
    </row>
    <row r="906" spans="3:3" ht="15.75" customHeight="1" x14ac:dyDescent="0.25">
      <c r="C906" s="2"/>
    </row>
    <row r="907" spans="3:3" ht="15.75" customHeight="1" x14ac:dyDescent="0.25">
      <c r="C907" s="2"/>
    </row>
    <row r="908" spans="3:3" ht="15.75" customHeight="1" x14ac:dyDescent="0.25">
      <c r="C908" s="2"/>
    </row>
    <row r="909" spans="3:3" ht="15.75" customHeight="1" x14ac:dyDescent="0.25">
      <c r="C909" s="2"/>
    </row>
    <row r="910" spans="3:3" ht="15.75" customHeight="1" x14ac:dyDescent="0.25">
      <c r="C910" s="2"/>
    </row>
    <row r="911" spans="3:3" ht="15.75" customHeight="1" x14ac:dyDescent="0.25">
      <c r="C911" s="2"/>
    </row>
    <row r="912" spans="3:3" ht="15.75" customHeight="1" x14ac:dyDescent="0.25">
      <c r="C912" s="2"/>
    </row>
    <row r="913" spans="3:3" ht="15.75" customHeight="1" x14ac:dyDescent="0.25">
      <c r="C913" s="2"/>
    </row>
    <row r="914" spans="3:3" ht="15.75" customHeight="1" x14ac:dyDescent="0.25">
      <c r="C914" s="2"/>
    </row>
    <row r="915" spans="3:3" ht="15.75" customHeight="1" x14ac:dyDescent="0.25">
      <c r="C915" s="2"/>
    </row>
    <row r="916" spans="3:3" ht="15.75" customHeight="1" x14ac:dyDescent="0.25">
      <c r="C916" s="2"/>
    </row>
    <row r="917" spans="3:3" ht="15.75" customHeight="1" x14ac:dyDescent="0.25">
      <c r="C917" s="2"/>
    </row>
    <row r="918" spans="3:3" ht="15.75" customHeight="1" x14ac:dyDescent="0.25">
      <c r="C918" s="2"/>
    </row>
    <row r="919" spans="3:3" ht="15.75" customHeight="1" x14ac:dyDescent="0.25">
      <c r="C919" s="2"/>
    </row>
    <row r="920" spans="3:3" ht="15.75" customHeight="1" x14ac:dyDescent="0.25">
      <c r="C920" s="2"/>
    </row>
    <row r="921" spans="3:3" ht="15.75" customHeight="1" x14ac:dyDescent="0.25">
      <c r="C921" s="2"/>
    </row>
    <row r="922" spans="3:3" ht="15.75" customHeight="1" x14ac:dyDescent="0.25">
      <c r="C922" s="2"/>
    </row>
    <row r="923" spans="3:3" ht="15.75" customHeight="1" x14ac:dyDescent="0.25">
      <c r="C923" s="2"/>
    </row>
    <row r="924" spans="3:3" ht="15.75" customHeight="1" x14ac:dyDescent="0.25">
      <c r="C924" s="2"/>
    </row>
    <row r="925" spans="3:3" ht="15.75" customHeight="1" x14ac:dyDescent="0.25">
      <c r="C925" s="2"/>
    </row>
    <row r="926" spans="3:3" ht="15.75" customHeight="1" x14ac:dyDescent="0.25">
      <c r="C926" s="2"/>
    </row>
    <row r="927" spans="3:3" ht="15.75" customHeight="1" x14ac:dyDescent="0.25">
      <c r="C927" s="2"/>
    </row>
    <row r="928" spans="3:3" ht="15.75" customHeight="1" x14ac:dyDescent="0.25">
      <c r="C928" s="2"/>
    </row>
    <row r="929" spans="3:3" ht="15.75" customHeight="1" x14ac:dyDescent="0.25">
      <c r="C929" s="2"/>
    </row>
    <row r="930" spans="3:3" ht="15.75" customHeight="1" x14ac:dyDescent="0.25">
      <c r="C930" s="2"/>
    </row>
    <row r="931" spans="3:3" ht="15.75" customHeight="1" x14ac:dyDescent="0.25">
      <c r="C931" s="2"/>
    </row>
    <row r="932" spans="3:3" ht="15.75" customHeight="1" x14ac:dyDescent="0.25">
      <c r="C932" s="2"/>
    </row>
    <row r="933" spans="3:3" ht="15.75" customHeight="1" x14ac:dyDescent="0.25">
      <c r="C933" s="2"/>
    </row>
    <row r="934" spans="3:3" ht="15.75" customHeight="1" x14ac:dyDescent="0.25">
      <c r="C934" s="2"/>
    </row>
    <row r="935" spans="3:3" ht="15.75" customHeight="1" x14ac:dyDescent="0.25">
      <c r="C935" s="2"/>
    </row>
    <row r="936" spans="3:3" ht="15.75" customHeight="1" x14ac:dyDescent="0.25">
      <c r="C936" s="2"/>
    </row>
    <row r="937" spans="3:3" ht="15.75" customHeight="1" x14ac:dyDescent="0.25">
      <c r="C937" s="2"/>
    </row>
    <row r="938" spans="3:3" ht="15.75" customHeight="1" x14ac:dyDescent="0.25">
      <c r="C938" s="2"/>
    </row>
    <row r="939" spans="3:3" ht="15.75" customHeight="1" x14ac:dyDescent="0.25">
      <c r="C939" s="2"/>
    </row>
    <row r="940" spans="3:3" ht="15.75" customHeight="1" x14ac:dyDescent="0.25">
      <c r="C940" s="2"/>
    </row>
    <row r="941" spans="3:3" ht="15.75" customHeight="1" x14ac:dyDescent="0.25">
      <c r="C941" s="2"/>
    </row>
    <row r="942" spans="3:3" ht="15.75" customHeight="1" x14ac:dyDescent="0.25">
      <c r="C942" s="2"/>
    </row>
    <row r="943" spans="3:3" ht="15.75" customHeight="1" x14ac:dyDescent="0.25">
      <c r="C943" s="2"/>
    </row>
    <row r="944" spans="3:3" ht="15.75" customHeight="1" x14ac:dyDescent="0.25">
      <c r="C944" s="2"/>
    </row>
    <row r="945" spans="3:3" ht="15.75" customHeight="1" x14ac:dyDescent="0.25">
      <c r="C945" s="2"/>
    </row>
    <row r="946" spans="3:3" ht="15.75" customHeight="1" x14ac:dyDescent="0.25">
      <c r="C946" s="2"/>
    </row>
    <row r="947" spans="3:3" ht="15.75" customHeight="1" x14ac:dyDescent="0.25">
      <c r="C947" s="2"/>
    </row>
    <row r="948" spans="3:3" ht="15.75" customHeight="1" x14ac:dyDescent="0.25">
      <c r="C948" s="2"/>
    </row>
    <row r="949" spans="3:3" ht="15.75" customHeight="1" x14ac:dyDescent="0.25">
      <c r="C949" s="2"/>
    </row>
    <row r="950" spans="3:3" ht="15.75" customHeight="1" x14ac:dyDescent="0.25">
      <c r="C950" s="2"/>
    </row>
    <row r="951" spans="3:3" ht="15.75" customHeight="1" x14ac:dyDescent="0.25">
      <c r="C951" s="2"/>
    </row>
    <row r="952" spans="3:3" ht="15.75" customHeight="1" x14ac:dyDescent="0.25">
      <c r="C952" s="2"/>
    </row>
    <row r="953" spans="3:3" ht="15.75" customHeight="1" x14ac:dyDescent="0.25">
      <c r="C953" s="2"/>
    </row>
    <row r="954" spans="3:3" ht="15.75" customHeight="1" x14ac:dyDescent="0.25">
      <c r="C954" s="2"/>
    </row>
    <row r="955" spans="3:3" ht="15.75" customHeight="1" x14ac:dyDescent="0.25">
      <c r="C955" s="2"/>
    </row>
    <row r="956" spans="3:3" ht="15.75" customHeight="1" x14ac:dyDescent="0.25">
      <c r="C956" s="2"/>
    </row>
    <row r="957" spans="3:3" ht="15.75" customHeight="1" x14ac:dyDescent="0.25">
      <c r="C957" s="2"/>
    </row>
    <row r="958" spans="3:3" ht="15.75" customHeight="1" x14ac:dyDescent="0.25">
      <c r="C958" s="2"/>
    </row>
    <row r="959" spans="3:3" ht="15.75" customHeight="1" x14ac:dyDescent="0.25">
      <c r="C959" s="2"/>
    </row>
    <row r="960" spans="3:3" ht="15.75" customHeight="1" x14ac:dyDescent="0.25">
      <c r="C960" s="2"/>
    </row>
    <row r="961" spans="3:3" ht="15.75" customHeight="1" x14ac:dyDescent="0.25">
      <c r="C961" s="2"/>
    </row>
    <row r="962" spans="3:3" ht="15.75" customHeight="1" x14ac:dyDescent="0.25">
      <c r="C962" s="2"/>
    </row>
    <row r="963" spans="3:3" ht="15.75" customHeight="1" x14ac:dyDescent="0.25">
      <c r="C963" s="2"/>
    </row>
    <row r="964" spans="3:3" ht="15.75" customHeight="1" x14ac:dyDescent="0.25">
      <c r="C964" s="2"/>
    </row>
    <row r="965" spans="3:3" ht="15.75" customHeight="1" x14ac:dyDescent="0.25">
      <c r="C965" s="2"/>
    </row>
    <row r="966" spans="3:3" ht="15.75" customHeight="1" x14ac:dyDescent="0.25">
      <c r="C966" s="2"/>
    </row>
    <row r="967" spans="3:3" ht="15.75" customHeight="1" x14ac:dyDescent="0.25">
      <c r="C967" s="2"/>
    </row>
    <row r="968" spans="3:3" ht="15.75" customHeight="1" x14ac:dyDescent="0.25">
      <c r="C968" s="2"/>
    </row>
    <row r="969" spans="3:3" ht="15.75" customHeight="1" x14ac:dyDescent="0.25">
      <c r="C969" s="2"/>
    </row>
    <row r="970" spans="3:3" ht="15.75" customHeight="1" x14ac:dyDescent="0.25">
      <c r="C970" s="2"/>
    </row>
    <row r="971" spans="3:3" ht="15.75" customHeight="1" x14ac:dyDescent="0.25">
      <c r="C971" s="2"/>
    </row>
    <row r="972" spans="3:3" ht="15.75" customHeight="1" x14ac:dyDescent="0.25">
      <c r="C972" s="2"/>
    </row>
    <row r="973" spans="3:3" ht="15.75" customHeight="1" x14ac:dyDescent="0.25">
      <c r="C973" s="2"/>
    </row>
    <row r="974" spans="3:3" ht="15.75" customHeight="1" x14ac:dyDescent="0.25">
      <c r="C974" s="2"/>
    </row>
    <row r="975" spans="3:3" ht="15.75" customHeight="1" x14ac:dyDescent="0.25">
      <c r="C975" s="2"/>
    </row>
    <row r="976" spans="3:3" ht="15.75" customHeight="1" x14ac:dyDescent="0.25">
      <c r="C976" s="2"/>
    </row>
    <row r="977" spans="3:3" ht="15.75" customHeight="1" x14ac:dyDescent="0.25">
      <c r="C977" s="2"/>
    </row>
    <row r="978" spans="3:3" ht="15.75" customHeight="1" x14ac:dyDescent="0.25">
      <c r="C978" s="2"/>
    </row>
    <row r="979" spans="3:3" ht="15.75" customHeight="1" x14ac:dyDescent="0.25">
      <c r="C979" s="2"/>
    </row>
    <row r="980" spans="3:3" ht="15.75" customHeight="1" x14ac:dyDescent="0.25">
      <c r="C980" s="2"/>
    </row>
    <row r="981" spans="3:3" ht="15.75" customHeight="1" x14ac:dyDescent="0.25">
      <c r="C981" s="2"/>
    </row>
    <row r="982" spans="3:3" ht="15.75" customHeight="1" x14ac:dyDescent="0.25">
      <c r="C982" s="2"/>
    </row>
    <row r="983" spans="3:3" ht="15.75" customHeight="1" x14ac:dyDescent="0.25">
      <c r="C983" s="2"/>
    </row>
    <row r="984" spans="3:3" ht="15.75" customHeight="1" x14ac:dyDescent="0.25">
      <c r="C984" s="2"/>
    </row>
    <row r="985" spans="3:3" ht="15.75" customHeight="1" x14ac:dyDescent="0.25">
      <c r="C985" s="2"/>
    </row>
    <row r="986" spans="3:3" ht="15.75" customHeight="1" x14ac:dyDescent="0.25">
      <c r="C986" s="2"/>
    </row>
    <row r="987" spans="3:3" ht="15.75" customHeight="1" x14ac:dyDescent="0.25">
      <c r="C987" s="2"/>
    </row>
    <row r="988" spans="3:3" ht="15.75" customHeight="1" x14ac:dyDescent="0.25">
      <c r="C988" s="2"/>
    </row>
    <row r="989" spans="3:3" ht="15.75" customHeight="1" x14ac:dyDescent="0.25">
      <c r="C989" s="2"/>
    </row>
    <row r="990" spans="3:3" ht="15.75" customHeight="1" x14ac:dyDescent="0.25">
      <c r="C990" s="2"/>
    </row>
    <row r="991" spans="3:3" ht="15.75" customHeight="1" x14ac:dyDescent="0.25">
      <c r="C991" s="2"/>
    </row>
    <row r="992" spans="3:3" ht="15.75" customHeight="1" x14ac:dyDescent="0.25">
      <c r="C992" s="2"/>
    </row>
    <row r="993" spans="3:3" ht="15.75" customHeight="1" x14ac:dyDescent="0.25">
      <c r="C993" s="2"/>
    </row>
    <row r="994" spans="3:3" ht="15.75" customHeight="1" x14ac:dyDescent="0.25">
      <c r="C994" s="2"/>
    </row>
    <row r="995" spans="3:3" ht="15.75" customHeight="1" x14ac:dyDescent="0.25">
      <c r="C995" s="2"/>
    </row>
    <row r="996" spans="3:3" ht="15.75" customHeight="1" x14ac:dyDescent="0.25">
      <c r="C996" s="2"/>
    </row>
    <row r="997" spans="3:3" ht="15.75" customHeight="1" x14ac:dyDescent="0.25">
      <c r="C997" s="2"/>
    </row>
    <row r="998" spans="3:3" ht="15.75" customHeight="1" x14ac:dyDescent="0.25">
      <c r="C998" s="2"/>
    </row>
    <row r="999" spans="3:3" ht="15.75" customHeight="1" x14ac:dyDescent="0.25">
      <c r="C999" s="2"/>
    </row>
    <row r="1000" spans="3:3" ht="15.75" customHeight="1" x14ac:dyDescent="0.25">
      <c r="C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5" defaultRowHeight="15" customHeight="1" x14ac:dyDescent="0.25"/>
  <cols>
    <col min="1" max="1" width="25.75" customWidth="1"/>
    <col min="2" max="2" width="15.5" customWidth="1"/>
    <col min="3" max="3" width="16" customWidth="1"/>
    <col min="4" max="4" width="15.375" customWidth="1"/>
    <col min="5" max="5" width="15.875" customWidth="1"/>
    <col min="6" max="6" width="23.875" customWidth="1"/>
    <col min="7" max="7" width="12.25" customWidth="1"/>
    <col min="8" max="8" width="12.125" customWidth="1"/>
    <col min="9" max="9" width="7.75" customWidth="1"/>
    <col min="10" max="10" width="7.125" customWidth="1"/>
    <col min="11" max="11" width="14.125" customWidth="1"/>
    <col min="12" max="13" width="12.125" customWidth="1"/>
    <col min="14" max="14" width="15.625" customWidth="1"/>
    <col min="15" max="15" width="20.75" customWidth="1"/>
    <col min="16" max="16" width="7.875" customWidth="1"/>
    <col min="17" max="17" width="10.375" customWidth="1"/>
    <col min="18" max="18" width="19.25" customWidth="1"/>
    <col min="19" max="19" width="12.5" customWidth="1"/>
    <col min="20" max="20" width="35" customWidth="1"/>
    <col min="21" max="21" width="11" customWidth="1"/>
    <col min="22" max="22" width="21.875" customWidth="1"/>
    <col min="23" max="26" width="8" customWidth="1"/>
  </cols>
  <sheetData>
    <row r="1" spans="1:22" ht="15.75" customHeight="1" x14ac:dyDescent="0.25">
      <c r="A1" s="1" t="s">
        <v>0</v>
      </c>
      <c r="B1" s="1" t="s">
        <v>1</v>
      </c>
      <c r="C1" s="1" t="s">
        <v>497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498</v>
      </c>
      <c r="J1" s="1" t="s">
        <v>7</v>
      </c>
      <c r="K1" s="1" t="s">
        <v>11</v>
      </c>
      <c r="L1" s="1" t="s">
        <v>12</v>
      </c>
      <c r="M1" s="1" t="s">
        <v>499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22" ht="15.75" customHeight="1" x14ac:dyDescent="0.25">
      <c r="A2" s="3">
        <v>45615</v>
      </c>
      <c r="B2" s="1" t="s">
        <v>24</v>
      </c>
      <c r="C2" s="1" t="str">
        <f t="shared" ref="C2:C167" si="0">CONCATENATE(B2,7)</f>
        <v>7XC0CJ9QY007</v>
      </c>
      <c r="D2" s="2">
        <v>102086309300</v>
      </c>
      <c r="F2" s="1" t="s">
        <v>25</v>
      </c>
      <c r="G2" s="1" t="s">
        <v>26</v>
      </c>
      <c r="H2" s="1" t="s">
        <v>27</v>
      </c>
      <c r="I2" s="1" t="s">
        <v>500</v>
      </c>
      <c r="J2" s="1" t="s">
        <v>28</v>
      </c>
      <c r="K2" s="3">
        <v>45627</v>
      </c>
      <c r="L2" s="3">
        <v>45627</v>
      </c>
      <c r="M2" s="3">
        <f t="shared" ref="M2:M167" si="1">DATE(YEAR(L2),MONTH(L2)+1,DAY(L2))</f>
        <v>45658</v>
      </c>
      <c r="N2" s="1">
        <v>19396223</v>
      </c>
      <c r="O2" s="1" t="s">
        <v>32</v>
      </c>
      <c r="P2" s="1">
        <v>8192</v>
      </c>
      <c r="Q2" s="1" t="s">
        <v>33</v>
      </c>
      <c r="R2" s="1" t="s">
        <v>34</v>
      </c>
      <c r="S2" s="1">
        <v>35.92</v>
      </c>
      <c r="T2" s="1" t="s">
        <v>501</v>
      </c>
      <c r="V2" s="1" t="s">
        <v>502</v>
      </c>
    </row>
    <row r="3" spans="1:22" ht="15.75" customHeight="1" x14ac:dyDescent="0.25">
      <c r="A3" s="3">
        <v>45615</v>
      </c>
      <c r="B3" s="1" t="s">
        <v>36</v>
      </c>
      <c r="C3" s="1" t="str">
        <f t="shared" si="0"/>
        <v>6WM5WQ4GW847</v>
      </c>
      <c r="D3" s="2" t="s">
        <v>37</v>
      </c>
      <c r="F3" s="1" t="s">
        <v>38</v>
      </c>
      <c r="G3" s="1" t="s">
        <v>39</v>
      </c>
      <c r="H3" s="1" t="s">
        <v>40</v>
      </c>
      <c r="I3" s="1" t="s">
        <v>503</v>
      </c>
      <c r="J3" s="1" t="s">
        <v>41</v>
      </c>
      <c r="K3" s="3">
        <v>45597</v>
      </c>
      <c r="L3" s="3">
        <v>45108</v>
      </c>
      <c r="M3" s="3">
        <f t="shared" si="1"/>
        <v>45139</v>
      </c>
      <c r="N3" s="1">
        <v>19562245</v>
      </c>
      <c r="O3" s="1" t="s">
        <v>43</v>
      </c>
      <c r="P3" s="1">
        <v>8192</v>
      </c>
      <c r="Q3" s="1" t="s">
        <v>44</v>
      </c>
      <c r="R3" s="1" t="s">
        <v>34</v>
      </c>
      <c r="S3" s="1">
        <v>4</v>
      </c>
      <c r="T3" s="1" t="s">
        <v>504</v>
      </c>
      <c r="V3" s="1" t="s">
        <v>505</v>
      </c>
    </row>
    <row r="4" spans="1:22" ht="15.75" customHeight="1" x14ac:dyDescent="0.25">
      <c r="A4" s="3">
        <v>45615</v>
      </c>
      <c r="B4" s="1" t="s">
        <v>45</v>
      </c>
      <c r="C4" s="1" t="str">
        <f t="shared" si="0"/>
        <v>5A54U01TE077</v>
      </c>
      <c r="D4" s="2">
        <v>101739179000</v>
      </c>
      <c r="F4" s="1" t="s">
        <v>506</v>
      </c>
      <c r="G4" s="1" t="s">
        <v>39</v>
      </c>
      <c r="H4" s="1" t="s">
        <v>40</v>
      </c>
      <c r="I4" s="1" t="s">
        <v>503</v>
      </c>
      <c r="J4" s="1" t="s">
        <v>28</v>
      </c>
      <c r="K4" s="3">
        <v>45597</v>
      </c>
      <c r="L4" s="3">
        <v>45108</v>
      </c>
      <c r="M4" s="3">
        <f t="shared" si="1"/>
        <v>45139</v>
      </c>
      <c r="N4" s="1">
        <v>19562245</v>
      </c>
      <c r="O4" s="1" t="s">
        <v>43</v>
      </c>
      <c r="P4" s="1">
        <v>8192</v>
      </c>
      <c r="Q4" s="1" t="s">
        <v>44</v>
      </c>
      <c r="R4" s="1" t="s">
        <v>34</v>
      </c>
      <c r="S4" s="1">
        <v>31.25</v>
      </c>
      <c r="T4" s="1" t="s">
        <v>507</v>
      </c>
      <c r="V4" s="1" t="s">
        <v>508</v>
      </c>
    </row>
    <row r="5" spans="1:22" ht="15.75" customHeight="1" x14ac:dyDescent="0.25">
      <c r="A5" s="3">
        <v>45615</v>
      </c>
      <c r="B5" s="1" t="s">
        <v>49</v>
      </c>
      <c r="C5" s="1" t="str">
        <f t="shared" si="0"/>
        <v>8GD5DR3DJ507</v>
      </c>
      <c r="D5" s="2">
        <v>101723446300</v>
      </c>
      <c r="F5" s="1" t="s">
        <v>50</v>
      </c>
      <c r="G5" s="1" t="s">
        <v>39</v>
      </c>
      <c r="H5" s="1" t="s">
        <v>40</v>
      </c>
      <c r="I5" s="1" t="s">
        <v>503</v>
      </c>
      <c r="J5" s="1" t="s">
        <v>28</v>
      </c>
      <c r="K5" s="3">
        <v>45597</v>
      </c>
      <c r="L5" s="3">
        <v>45078</v>
      </c>
      <c r="M5" s="3">
        <f t="shared" si="1"/>
        <v>45108</v>
      </c>
      <c r="N5" s="1">
        <v>19562245</v>
      </c>
      <c r="O5" s="1" t="s">
        <v>43</v>
      </c>
      <c r="P5" s="1">
        <v>8192</v>
      </c>
      <c r="Q5" s="1" t="s">
        <v>44</v>
      </c>
      <c r="R5" s="1" t="s">
        <v>34</v>
      </c>
      <c r="S5" s="1">
        <v>31.25</v>
      </c>
      <c r="T5" s="1" t="s">
        <v>507</v>
      </c>
      <c r="V5" s="1" t="s">
        <v>508</v>
      </c>
    </row>
    <row r="6" spans="1:22" ht="15.75" customHeight="1" x14ac:dyDescent="0.25">
      <c r="A6" s="3">
        <v>45615</v>
      </c>
      <c r="B6" s="1" t="s">
        <v>52</v>
      </c>
      <c r="C6" s="1" t="str">
        <f t="shared" si="0"/>
        <v>7JT3PP7XV007</v>
      </c>
      <c r="D6" s="2">
        <v>101722164300</v>
      </c>
      <c r="F6" s="1" t="s">
        <v>53</v>
      </c>
      <c r="G6" s="1" t="s">
        <v>39</v>
      </c>
      <c r="H6" s="1" t="s">
        <v>40</v>
      </c>
      <c r="I6" s="1" t="s">
        <v>503</v>
      </c>
      <c r="J6" s="1" t="s">
        <v>28</v>
      </c>
      <c r="K6" s="3">
        <v>45597</v>
      </c>
      <c r="L6" s="3">
        <v>45047</v>
      </c>
      <c r="M6" s="3">
        <f t="shared" si="1"/>
        <v>45078</v>
      </c>
      <c r="N6" s="1">
        <v>19562245</v>
      </c>
      <c r="O6" s="1" t="s">
        <v>43</v>
      </c>
      <c r="P6" s="1">
        <v>8192</v>
      </c>
      <c r="Q6" s="1" t="s">
        <v>44</v>
      </c>
      <c r="R6" s="1" t="s">
        <v>34</v>
      </c>
      <c r="S6" s="1">
        <v>31.25</v>
      </c>
      <c r="T6" s="1" t="s">
        <v>507</v>
      </c>
      <c r="V6" s="1" t="s">
        <v>508</v>
      </c>
    </row>
    <row r="7" spans="1:22" ht="15.75" customHeight="1" x14ac:dyDescent="0.25">
      <c r="A7" s="3">
        <v>45615</v>
      </c>
      <c r="B7" s="1" t="s">
        <v>55</v>
      </c>
      <c r="C7" s="1" t="str">
        <f t="shared" si="0"/>
        <v>8J83AN0MJ937</v>
      </c>
      <c r="D7" s="2">
        <v>101773527500</v>
      </c>
      <c r="F7" s="1" t="s">
        <v>56</v>
      </c>
      <c r="G7" s="1" t="s">
        <v>57</v>
      </c>
      <c r="H7" s="1" t="s">
        <v>40</v>
      </c>
      <c r="I7" s="1" t="s">
        <v>503</v>
      </c>
      <c r="J7" s="1" t="s">
        <v>28</v>
      </c>
      <c r="K7" s="3">
        <v>45597</v>
      </c>
      <c r="L7" s="3">
        <v>45200</v>
      </c>
      <c r="M7" s="3">
        <f t="shared" si="1"/>
        <v>45231</v>
      </c>
      <c r="N7" s="1">
        <v>16378851</v>
      </c>
      <c r="O7" s="1" t="s">
        <v>59</v>
      </c>
      <c r="P7" s="1">
        <v>8192</v>
      </c>
      <c r="Q7" s="1" t="s">
        <v>44</v>
      </c>
      <c r="R7" s="1" t="s">
        <v>34</v>
      </c>
      <c r="S7" s="1">
        <v>28</v>
      </c>
      <c r="T7" s="1" t="s">
        <v>509</v>
      </c>
      <c r="V7" s="1" t="s">
        <v>510</v>
      </c>
    </row>
    <row r="8" spans="1:22" ht="15.75" customHeight="1" x14ac:dyDescent="0.25">
      <c r="A8" s="3">
        <v>45615</v>
      </c>
      <c r="B8" s="1" t="s">
        <v>60</v>
      </c>
      <c r="C8" s="1" t="str">
        <f t="shared" si="0"/>
        <v>9FA0TA4FA007</v>
      </c>
      <c r="D8" s="2">
        <v>101787545700</v>
      </c>
      <c r="F8" s="1" t="s">
        <v>61</v>
      </c>
      <c r="G8" s="1" t="s">
        <v>39</v>
      </c>
      <c r="H8" s="1" t="s">
        <v>40</v>
      </c>
      <c r="I8" s="1" t="s">
        <v>503</v>
      </c>
      <c r="J8" s="1" t="s">
        <v>28</v>
      </c>
      <c r="K8" s="3">
        <v>45597</v>
      </c>
      <c r="L8" s="3">
        <v>45231</v>
      </c>
      <c r="M8" s="3">
        <f t="shared" si="1"/>
        <v>45261</v>
      </c>
      <c r="N8" s="1">
        <v>19861194</v>
      </c>
      <c r="O8" s="1" t="s">
        <v>64</v>
      </c>
      <c r="P8" s="1">
        <v>8192</v>
      </c>
      <c r="Q8" s="1" t="s">
        <v>44</v>
      </c>
      <c r="R8" s="1" t="s">
        <v>34</v>
      </c>
      <c r="S8" s="1">
        <v>2.5</v>
      </c>
      <c r="T8" s="1" t="s">
        <v>511</v>
      </c>
      <c r="V8" s="1" t="s">
        <v>512</v>
      </c>
    </row>
    <row r="9" spans="1:22" ht="15.75" customHeight="1" x14ac:dyDescent="0.25">
      <c r="A9" s="3">
        <v>45615</v>
      </c>
      <c r="B9" s="1" t="s">
        <v>77</v>
      </c>
      <c r="C9" s="1" t="str">
        <f t="shared" si="0"/>
        <v>8YV4KH2GQ777</v>
      </c>
      <c r="D9" s="2" t="s">
        <v>78</v>
      </c>
      <c r="F9" s="1" t="s">
        <v>79</v>
      </c>
      <c r="G9" s="1" t="s">
        <v>80</v>
      </c>
      <c r="H9" s="1" t="s">
        <v>40</v>
      </c>
      <c r="I9" s="1" t="s">
        <v>503</v>
      </c>
      <c r="J9" s="1" t="s">
        <v>41</v>
      </c>
      <c r="K9" s="3">
        <v>45597</v>
      </c>
      <c r="L9" s="3">
        <v>45200</v>
      </c>
      <c r="M9" s="3">
        <f t="shared" si="1"/>
        <v>45231</v>
      </c>
      <c r="N9" s="1">
        <v>17425766</v>
      </c>
      <c r="O9" s="1" t="s">
        <v>70</v>
      </c>
      <c r="P9" s="1">
        <v>8192</v>
      </c>
      <c r="Q9" s="1" t="s">
        <v>44</v>
      </c>
      <c r="R9" s="1" t="s">
        <v>34</v>
      </c>
      <c r="S9" s="1">
        <v>4</v>
      </c>
      <c r="T9" s="1" t="s">
        <v>504</v>
      </c>
      <c r="V9" s="1" t="s">
        <v>505</v>
      </c>
    </row>
    <row r="10" spans="1:22" ht="15.75" customHeight="1" x14ac:dyDescent="0.25">
      <c r="A10" s="3">
        <v>45615</v>
      </c>
      <c r="B10" s="1" t="s">
        <v>73</v>
      </c>
      <c r="C10" s="1" t="str">
        <f t="shared" si="0"/>
        <v>4ND3UH5AW787</v>
      </c>
      <c r="D10" s="2">
        <v>101748777600</v>
      </c>
      <c r="F10" s="1" t="s">
        <v>513</v>
      </c>
      <c r="G10" s="1" t="s">
        <v>75</v>
      </c>
      <c r="H10" s="1" t="s">
        <v>40</v>
      </c>
      <c r="I10" s="1" t="s">
        <v>503</v>
      </c>
      <c r="J10" s="1" t="s">
        <v>28</v>
      </c>
      <c r="K10" s="3">
        <v>45597</v>
      </c>
      <c r="L10" s="3">
        <v>45139</v>
      </c>
      <c r="M10" s="3">
        <f t="shared" si="1"/>
        <v>45170</v>
      </c>
      <c r="N10" s="1">
        <v>17425766</v>
      </c>
      <c r="O10" s="1" t="s">
        <v>70</v>
      </c>
      <c r="P10" s="1">
        <v>8192</v>
      </c>
      <c r="Q10" s="1" t="s">
        <v>44</v>
      </c>
      <c r="R10" s="1" t="s">
        <v>34</v>
      </c>
      <c r="S10" s="1">
        <v>28</v>
      </c>
      <c r="T10" s="1" t="s">
        <v>509</v>
      </c>
      <c r="V10" s="1" t="s">
        <v>510</v>
      </c>
    </row>
    <row r="11" spans="1:22" ht="15.75" customHeight="1" x14ac:dyDescent="0.25">
      <c r="A11" s="3">
        <v>45615</v>
      </c>
      <c r="B11" s="1" t="s">
        <v>82</v>
      </c>
      <c r="C11" s="1" t="str">
        <f t="shared" si="0"/>
        <v>8UM6M66KV647</v>
      </c>
      <c r="D11" s="2">
        <v>101842382600</v>
      </c>
      <c r="F11" s="1" t="s">
        <v>83</v>
      </c>
      <c r="G11" s="1" t="s">
        <v>39</v>
      </c>
      <c r="H11" s="1" t="s">
        <v>40</v>
      </c>
      <c r="I11" s="1" t="s">
        <v>503</v>
      </c>
      <c r="J11" s="1" t="s">
        <v>28</v>
      </c>
      <c r="K11" s="3">
        <v>45597</v>
      </c>
      <c r="L11" s="3">
        <v>45261</v>
      </c>
      <c r="M11" s="3">
        <f t="shared" si="1"/>
        <v>45292</v>
      </c>
      <c r="N11" s="1">
        <v>17425766</v>
      </c>
      <c r="O11" s="1" t="s">
        <v>70</v>
      </c>
      <c r="P11" s="1">
        <v>8192</v>
      </c>
      <c r="Q11" s="1" t="s">
        <v>44</v>
      </c>
      <c r="R11" s="1" t="s">
        <v>34</v>
      </c>
      <c r="S11" s="1">
        <v>31.25</v>
      </c>
      <c r="T11" s="1" t="s">
        <v>507</v>
      </c>
      <c r="V11" s="1" t="s">
        <v>508</v>
      </c>
    </row>
    <row r="12" spans="1:22" ht="15.75" customHeight="1" x14ac:dyDescent="0.25">
      <c r="A12" s="3">
        <v>45615</v>
      </c>
      <c r="B12" s="1" t="s">
        <v>65</v>
      </c>
      <c r="C12" s="1" t="str">
        <f t="shared" si="0"/>
        <v>1HD6FH7VW587</v>
      </c>
      <c r="D12" s="2">
        <v>101219443100</v>
      </c>
      <c r="F12" s="1" t="s">
        <v>514</v>
      </c>
      <c r="G12" s="1" t="s">
        <v>67</v>
      </c>
      <c r="H12" s="1" t="s">
        <v>40</v>
      </c>
      <c r="I12" s="1" t="s">
        <v>503</v>
      </c>
      <c r="J12" s="1" t="s">
        <v>28</v>
      </c>
      <c r="K12" s="3">
        <v>45597</v>
      </c>
      <c r="L12" s="3">
        <v>44927</v>
      </c>
      <c r="M12" s="3">
        <f t="shared" si="1"/>
        <v>44958</v>
      </c>
      <c r="N12" s="1">
        <v>17425766</v>
      </c>
      <c r="O12" s="1" t="s">
        <v>70</v>
      </c>
      <c r="P12" s="1">
        <v>8192</v>
      </c>
      <c r="Q12" s="1" t="s">
        <v>33</v>
      </c>
      <c r="R12" s="1" t="s">
        <v>34</v>
      </c>
      <c r="S12" s="1">
        <v>35.92</v>
      </c>
      <c r="T12" s="1" t="s">
        <v>501</v>
      </c>
      <c r="V12" s="1" t="s">
        <v>502</v>
      </c>
    </row>
    <row r="13" spans="1:22" ht="15.75" customHeight="1" x14ac:dyDescent="0.25">
      <c r="A13" s="3">
        <v>45615</v>
      </c>
      <c r="B13" s="1" t="s">
        <v>71</v>
      </c>
      <c r="C13" s="1" t="str">
        <f t="shared" si="0"/>
        <v>5EX4YG5AP987</v>
      </c>
      <c r="D13" s="2">
        <v>101628690500</v>
      </c>
      <c r="F13" s="1" t="s">
        <v>515</v>
      </c>
      <c r="G13" s="1" t="s">
        <v>67</v>
      </c>
      <c r="H13" s="1" t="s">
        <v>40</v>
      </c>
      <c r="I13" s="1" t="s">
        <v>503</v>
      </c>
      <c r="J13" s="1" t="s">
        <v>28</v>
      </c>
      <c r="K13" s="3">
        <v>45597</v>
      </c>
      <c r="L13" s="3">
        <v>44927</v>
      </c>
      <c r="M13" s="3">
        <f t="shared" si="1"/>
        <v>44958</v>
      </c>
      <c r="N13" s="1">
        <v>17425766</v>
      </c>
      <c r="O13" s="1" t="s">
        <v>70</v>
      </c>
      <c r="P13" s="1">
        <v>8192</v>
      </c>
      <c r="Q13" s="1" t="s">
        <v>33</v>
      </c>
      <c r="R13" s="1" t="s">
        <v>34</v>
      </c>
      <c r="S13" s="1">
        <v>35.92</v>
      </c>
      <c r="T13" s="1" t="s">
        <v>501</v>
      </c>
      <c r="V13" s="1" t="s">
        <v>502</v>
      </c>
    </row>
    <row r="14" spans="1:22" ht="15.75" customHeight="1" x14ac:dyDescent="0.25">
      <c r="A14" s="3">
        <v>45615</v>
      </c>
      <c r="B14" s="1" t="s">
        <v>85</v>
      </c>
      <c r="C14" s="1" t="str">
        <f t="shared" si="0"/>
        <v>5X55DN3RA937</v>
      </c>
      <c r="D14" s="2">
        <v>101761975200</v>
      </c>
      <c r="F14" s="1" t="s">
        <v>516</v>
      </c>
      <c r="G14" s="1" t="s">
        <v>39</v>
      </c>
      <c r="H14" s="1" t="s">
        <v>40</v>
      </c>
      <c r="I14" s="1" t="s">
        <v>503</v>
      </c>
      <c r="J14" s="1" t="s">
        <v>28</v>
      </c>
      <c r="K14" s="3">
        <v>45597</v>
      </c>
      <c r="L14" s="3">
        <v>45170</v>
      </c>
      <c r="M14" s="3">
        <f t="shared" si="1"/>
        <v>45200</v>
      </c>
      <c r="N14" s="1">
        <v>14936854</v>
      </c>
      <c r="O14" s="1" t="s">
        <v>88</v>
      </c>
      <c r="P14" s="1">
        <v>8192</v>
      </c>
      <c r="Q14" s="1" t="s">
        <v>44</v>
      </c>
      <c r="R14" s="1" t="s">
        <v>34</v>
      </c>
      <c r="S14" s="1">
        <v>2.5</v>
      </c>
      <c r="T14" s="1" t="s">
        <v>511</v>
      </c>
      <c r="V14" s="1" t="s">
        <v>512</v>
      </c>
    </row>
    <row r="15" spans="1:22" ht="15.75" customHeight="1" x14ac:dyDescent="0.25">
      <c r="A15" s="3">
        <v>45615</v>
      </c>
      <c r="B15" s="1" t="s">
        <v>89</v>
      </c>
      <c r="C15" s="1" t="str">
        <f t="shared" si="0"/>
        <v>7J02TF6EW967</v>
      </c>
      <c r="D15" s="2">
        <v>101758725100</v>
      </c>
      <c r="F15" s="1" t="s">
        <v>517</v>
      </c>
      <c r="G15" s="1" t="s">
        <v>39</v>
      </c>
      <c r="H15" s="1" t="s">
        <v>40</v>
      </c>
      <c r="I15" s="1" t="s">
        <v>503</v>
      </c>
      <c r="J15" s="1" t="s">
        <v>28</v>
      </c>
      <c r="K15" s="3">
        <v>45597</v>
      </c>
      <c r="L15" s="3">
        <v>45170</v>
      </c>
      <c r="M15" s="3">
        <f t="shared" si="1"/>
        <v>45200</v>
      </c>
      <c r="N15" s="1">
        <v>14936854</v>
      </c>
      <c r="O15" s="1" t="s">
        <v>88</v>
      </c>
      <c r="P15" s="1">
        <v>8192</v>
      </c>
      <c r="Q15" s="1" t="s">
        <v>44</v>
      </c>
      <c r="R15" s="1" t="s">
        <v>34</v>
      </c>
      <c r="S15" s="1">
        <v>2.5</v>
      </c>
      <c r="T15" s="1" t="s">
        <v>511</v>
      </c>
      <c r="V15" s="1" t="s">
        <v>512</v>
      </c>
    </row>
    <row r="16" spans="1:22" ht="15.75" customHeight="1" x14ac:dyDescent="0.25">
      <c r="A16" s="3">
        <v>45615</v>
      </c>
      <c r="B16" s="1" t="s">
        <v>91</v>
      </c>
      <c r="C16" s="1" t="str">
        <f t="shared" si="0"/>
        <v>4TV1A53XF007</v>
      </c>
      <c r="D16" s="2">
        <v>102085672600</v>
      </c>
      <c r="F16" s="1" t="s">
        <v>92</v>
      </c>
      <c r="G16" s="1" t="s">
        <v>93</v>
      </c>
      <c r="H16" s="1" t="s">
        <v>27</v>
      </c>
      <c r="I16" s="1" t="s">
        <v>500</v>
      </c>
      <c r="J16" s="1" t="s">
        <v>28</v>
      </c>
      <c r="K16" s="3">
        <v>45627</v>
      </c>
      <c r="L16" s="3">
        <v>45627</v>
      </c>
      <c r="M16" s="3">
        <f t="shared" si="1"/>
        <v>45658</v>
      </c>
      <c r="N16" s="1">
        <v>18581063</v>
      </c>
      <c r="O16" s="1" t="s">
        <v>95</v>
      </c>
      <c r="P16" s="1">
        <v>8192</v>
      </c>
      <c r="Q16" s="1" t="s">
        <v>33</v>
      </c>
      <c r="R16" s="1" t="s">
        <v>34</v>
      </c>
      <c r="S16" s="1">
        <v>35.92</v>
      </c>
      <c r="T16" s="1" t="s">
        <v>501</v>
      </c>
      <c r="V16" s="1" t="s">
        <v>502</v>
      </c>
    </row>
    <row r="17" spans="1:22" ht="15.75" customHeight="1" x14ac:dyDescent="0.25">
      <c r="A17" s="3">
        <v>45615</v>
      </c>
      <c r="B17" s="1" t="s">
        <v>104</v>
      </c>
      <c r="C17" s="1" t="str">
        <f t="shared" si="0"/>
        <v>6E19GK0TK307</v>
      </c>
      <c r="D17" s="2" t="s">
        <v>105</v>
      </c>
      <c r="F17" s="1" t="s">
        <v>106</v>
      </c>
      <c r="G17" s="1" t="s">
        <v>107</v>
      </c>
      <c r="H17" s="1" t="s">
        <v>40</v>
      </c>
      <c r="I17" s="1" t="s">
        <v>503</v>
      </c>
      <c r="J17" s="1" t="s">
        <v>41</v>
      </c>
      <c r="K17" s="3">
        <v>45597</v>
      </c>
      <c r="L17" s="3">
        <v>45261</v>
      </c>
      <c r="M17" s="3">
        <f t="shared" si="1"/>
        <v>45292</v>
      </c>
      <c r="N17" s="1">
        <v>15278437</v>
      </c>
      <c r="O17" s="1" t="s">
        <v>99</v>
      </c>
      <c r="P17" s="1">
        <v>8192</v>
      </c>
      <c r="Q17" s="1" t="s">
        <v>44</v>
      </c>
      <c r="R17" s="1" t="s">
        <v>34</v>
      </c>
      <c r="S17" s="1">
        <v>3.92</v>
      </c>
      <c r="T17" s="1" t="s">
        <v>518</v>
      </c>
      <c r="V17" s="1" t="s">
        <v>519</v>
      </c>
    </row>
    <row r="18" spans="1:22" ht="15.75" customHeight="1" x14ac:dyDescent="0.25">
      <c r="A18" s="3">
        <v>45615</v>
      </c>
      <c r="B18" s="1" t="s">
        <v>96</v>
      </c>
      <c r="C18" s="1" t="str">
        <f t="shared" si="0"/>
        <v>9PG8D44UC557</v>
      </c>
      <c r="D18" s="2" t="s">
        <v>97</v>
      </c>
      <c r="F18" s="1" t="s">
        <v>98</v>
      </c>
      <c r="G18" s="1" t="s">
        <v>39</v>
      </c>
      <c r="H18" s="1" t="s">
        <v>40</v>
      </c>
      <c r="I18" s="1" t="s">
        <v>503</v>
      </c>
      <c r="J18" s="1" t="s">
        <v>41</v>
      </c>
      <c r="K18" s="3">
        <v>45597</v>
      </c>
      <c r="L18" s="3">
        <v>45108</v>
      </c>
      <c r="M18" s="3">
        <f t="shared" si="1"/>
        <v>45139</v>
      </c>
      <c r="N18" s="1">
        <v>15278437</v>
      </c>
      <c r="O18" s="1" t="s">
        <v>99</v>
      </c>
      <c r="P18" s="1">
        <v>8192</v>
      </c>
      <c r="Q18" s="1" t="s">
        <v>44</v>
      </c>
      <c r="R18" s="1" t="s">
        <v>34</v>
      </c>
      <c r="S18" s="1">
        <v>4</v>
      </c>
      <c r="T18" s="1" t="s">
        <v>504</v>
      </c>
      <c r="V18" s="1" t="s">
        <v>505</v>
      </c>
    </row>
    <row r="19" spans="1:22" ht="15.75" customHeight="1" x14ac:dyDescent="0.25">
      <c r="A19" s="3">
        <v>45615</v>
      </c>
      <c r="B19" s="1" t="s">
        <v>100</v>
      </c>
      <c r="C19" s="1" t="str">
        <f t="shared" si="0"/>
        <v>6AJ0T83TP377</v>
      </c>
      <c r="D19" s="2">
        <v>101691144200</v>
      </c>
      <c r="F19" s="1" t="s">
        <v>101</v>
      </c>
      <c r="G19" s="1" t="s">
        <v>102</v>
      </c>
      <c r="H19" s="1" t="s">
        <v>40</v>
      </c>
      <c r="I19" s="1" t="s">
        <v>503</v>
      </c>
      <c r="J19" s="1" t="s">
        <v>28</v>
      </c>
      <c r="K19" s="3">
        <v>45597</v>
      </c>
      <c r="L19" s="3">
        <v>44958</v>
      </c>
      <c r="M19" s="3">
        <f t="shared" si="1"/>
        <v>44986</v>
      </c>
      <c r="N19" s="1">
        <v>15278437</v>
      </c>
      <c r="O19" s="1" t="s">
        <v>99</v>
      </c>
      <c r="P19" s="1">
        <v>8192</v>
      </c>
      <c r="Q19" s="1" t="s">
        <v>44</v>
      </c>
      <c r="R19" s="1" t="s">
        <v>34</v>
      </c>
      <c r="S19" s="1">
        <v>28</v>
      </c>
      <c r="T19" s="1" t="s">
        <v>509</v>
      </c>
      <c r="V19" s="1" t="s">
        <v>510</v>
      </c>
    </row>
    <row r="20" spans="1:22" ht="15.75" customHeight="1" x14ac:dyDescent="0.25">
      <c r="A20" s="3">
        <v>45615</v>
      </c>
      <c r="B20" s="1" t="s">
        <v>127</v>
      </c>
      <c r="C20" s="1" t="str">
        <f t="shared" si="0"/>
        <v>8XJ2FW3KQ887</v>
      </c>
      <c r="D20" s="2">
        <v>101135276600</v>
      </c>
      <c r="F20" s="1" t="s">
        <v>520</v>
      </c>
      <c r="G20" s="1" t="s">
        <v>39</v>
      </c>
      <c r="H20" s="1" t="s">
        <v>129</v>
      </c>
      <c r="I20" s="1" t="s">
        <v>500</v>
      </c>
      <c r="J20" s="1" t="s">
        <v>28</v>
      </c>
      <c r="K20" s="3">
        <v>45352</v>
      </c>
      <c r="L20" s="3">
        <v>45352</v>
      </c>
      <c r="M20" s="3">
        <f t="shared" si="1"/>
        <v>45383</v>
      </c>
      <c r="N20" s="1">
        <v>17528908</v>
      </c>
      <c r="O20" s="1" t="s">
        <v>112</v>
      </c>
      <c r="P20" s="1">
        <v>8192</v>
      </c>
      <c r="Q20" s="1" t="s">
        <v>33</v>
      </c>
      <c r="R20" s="1" t="s">
        <v>34</v>
      </c>
      <c r="S20" s="1">
        <v>-391.67</v>
      </c>
      <c r="T20" s="1" t="s">
        <v>521</v>
      </c>
      <c r="V20" s="1" t="s">
        <v>522</v>
      </c>
    </row>
    <row r="21" spans="1:22" ht="15.75" customHeight="1" x14ac:dyDescent="0.25">
      <c r="A21" s="3">
        <v>45615</v>
      </c>
      <c r="B21" s="1" t="s">
        <v>146</v>
      </c>
      <c r="C21" s="1" t="str">
        <f t="shared" si="0"/>
        <v>2UF0R89NE067</v>
      </c>
      <c r="D21" s="2">
        <v>101751824400</v>
      </c>
      <c r="F21" s="1" t="s">
        <v>147</v>
      </c>
      <c r="G21" s="1" t="s">
        <v>57</v>
      </c>
      <c r="H21" s="1" t="s">
        <v>40</v>
      </c>
      <c r="I21" s="1" t="s">
        <v>503</v>
      </c>
      <c r="J21" s="1" t="s">
        <v>28</v>
      </c>
      <c r="K21" s="3">
        <v>45597</v>
      </c>
      <c r="L21" s="3">
        <v>45139</v>
      </c>
      <c r="M21" s="3">
        <f t="shared" si="1"/>
        <v>45170</v>
      </c>
      <c r="N21" s="1">
        <v>17528908</v>
      </c>
      <c r="O21" s="1" t="s">
        <v>112</v>
      </c>
      <c r="P21" s="1">
        <v>8192</v>
      </c>
      <c r="Q21" s="1" t="s">
        <v>44</v>
      </c>
      <c r="R21" s="1" t="s">
        <v>34</v>
      </c>
      <c r="S21" s="1">
        <v>28</v>
      </c>
      <c r="T21" s="1" t="s">
        <v>509</v>
      </c>
      <c r="V21" s="1" t="s">
        <v>510</v>
      </c>
    </row>
    <row r="22" spans="1:22" ht="15.75" customHeight="1" x14ac:dyDescent="0.25">
      <c r="A22" s="3">
        <v>45615</v>
      </c>
      <c r="B22" s="1" t="s">
        <v>180</v>
      </c>
      <c r="C22" s="1" t="str">
        <f t="shared" si="0"/>
        <v>8A50E16UG387</v>
      </c>
      <c r="D22" s="2">
        <v>101794999600</v>
      </c>
      <c r="F22" s="1" t="s">
        <v>181</v>
      </c>
      <c r="G22" s="1" t="s">
        <v>182</v>
      </c>
      <c r="H22" s="1" t="s">
        <v>40</v>
      </c>
      <c r="I22" s="1" t="s">
        <v>503</v>
      </c>
      <c r="J22" s="1" t="s">
        <v>28</v>
      </c>
      <c r="K22" s="3">
        <v>45597</v>
      </c>
      <c r="L22" s="3">
        <v>45231</v>
      </c>
      <c r="M22" s="3">
        <f t="shared" si="1"/>
        <v>45261</v>
      </c>
      <c r="N22" s="1">
        <v>17528908</v>
      </c>
      <c r="O22" s="1" t="s">
        <v>112</v>
      </c>
      <c r="P22" s="1">
        <v>8192</v>
      </c>
      <c r="Q22" s="1" t="s">
        <v>44</v>
      </c>
      <c r="R22" s="1" t="s">
        <v>34</v>
      </c>
      <c r="S22" s="1">
        <v>28</v>
      </c>
      <c r="T22" s="1" t="s">
        <v>509</v>
      </c>
      <c r="V22" s="1" t="s">
        <v>510</v>
      </c>
    </row>
    <row r="23" spans="1:22" ht="15.75" customHeight="1" x14ac:dyDescent="0.25">
      <c r="A23" s="3">
        <v>45615</v>
      </c>
      <c r="B23" s="1" t="s">
        <v>136</v>
      </c>
      <c r="C23" s="1" t="str">
        <f t="shared" si="0"/>
        <v>4VH4Q19GK637</v>
      </c>
      <c r="D23" s="2">
        <v>101746159400</v>
      </c>
      <c r="F23" s="1" t="s">
        <v>523</v>
      </c>
      <c r="G23" s="1" t="s">
        <v>39</v>
      </c>
      <c r="H23" s="1" t="s">
        <v>40</v>
      </c>
      <c r="I23" s="1" t="s">
        <v>503</v>
      </c>
      <c r="J23" s="1" t="s">
        <v>138</v>
      </c>
      <c r="K23" s="3">
        <v>45597</v>
      </c>
      <c r="L23" s="3">
        <v>45200</v>
      </c>
      <c r="M23" s="3">
        <f t="shared" si="1"/>
        <v>45231</v>
      </c>
      <c r="N23" s="1">
        <v>17528908</v>
      </c>
      <c r="O23" s="1" t="s">
        <v>112</v>
      </c>
      <c r="P23" s="1">
        <v>8192</v>
      </c>
      <c r="Q23" s="1" t="s">
        <v>44</v>
      </c>
      <c r="R23" s="1" t="s">
        <v>34</v>
      </c>
      <c r="S23" s="1">
        <v>31.25</v>
      </c>
      <c r="T23" s="1" t="s">
        <v>507</v>
      </c>
      <c r="V23" s="1" t="s">
        <v>508</v>
      </c>
    </row>
    <row r="24" spans="1:22" ht="15.75" customHeight="1" x14ac:dyDescent="0.25">
      <c r="A24" s="3">
        <v>45615</v>
      </c>
      <c r="B24" s="1" t="s">
        <v>109</v>
      </c>
      <c r="C24" s="1" t="str">
        <f t="shared" si="0"/>
        <v>7QD5N91JW787</v>
      </c>
      <c r="D24" s="2">
        <v>101821730700</v>
      </c>
      <c r="F24" s="1" t="s">
        <v>524</v>
      </c>
      <c r="G24" s="1" t="s">
        <v>39</v>
      </c>
      <c r="H24" s="1" t="s">
        <v>40</v>
      </c>
      <c r="I24" s="1" t="s">
        <v>503</v>
      </c>
      <c r="J24" s="1" t="s">
        <v>28</v>
      </c>
      <c r="K24" s="3">
        <v>45597</v>
      </c>
      <c r="L24" s="3">
        <v>45261</v>
      </c>
      <c r="M24" s="3">
        <f t="shared" si="1"/>
        <v>45292</v>
      </c>
      <c r="N24" s="1">
        <v>17528908</v>
      </c>
      <c r="O24" s="1" t="s">
        <v>112</v>
      </c>
      <c r="P24" s="1">
        <v>8192</v>
      </c>
      <c r="Q24" s="1" t="s">
        <v>44</v>
      </c>
      <c r="R24" s="1" t="s">
        <v>34</v>
      </c>
      <c r="S24" s="1">
        <v>31.25</v>
      </c>
      <c r="T24" s="1" t="s">
        <v>507</v>
      </c>
      <c r="V24" s="1" t="s">
        <v>508</v>
      </c>
    </row>
    <row r="25" spans="1:22" ht="15.75" customHeight="1" x14ac:dyDescent="0.25">
      <c r="A25" s="3">
        <v>45615</v>
      </c>
      <c r="B25" s="1" t="s">
        <v>113</v>
      </c>
      <c r="C25" s="1" t="str">
        <f t="shared" si="0"/>
        <v>2V80NY6VV237</v>
      </c>
      <c r="D25" s="2">
        <v>101746906900</v>
      </c>
      <c r="F25" s="1" t="s">
        <v>525</v>
      </c>
      <c r="G25" s="1" t="s">
        <v>39</v>
      </c>
      <c r="H25" s="1" t="s">
        <v>40</v>
      </c>
      <c r="I25" s="1" t="s">
        <v>503</v>
      </c>
      <c r="J25" s="1" t="s">
        <v>28</v>
      </c>
      <c r="K25" s="3">
        <v>45597</v>
      </c>
      <c r="L25" s="3">
        <v>45139</v>
      </c>
      <c r="M25" s="3">
        <f t="shared" si="1"/>
        <v>45170</v>
      </c>
      <c r="N25" s="1">
        <v>17528908</v>
      </c>
      <c r="O25" s="1" t="s">
        <v>112</v>
      </c>
      <c r="P25" s="1">
        <v>8192</v>
      </c>
      <c r="Q25" s="1" t="s">
        <v>44</v>
      </c>
      <c r="R25" s="1" t="s">
        <v>34</v>
      </c>
      <c r="S25" s="1">
        <v>31.25</v>
      </c>
      <c r="T25" s="1" t="s">
        <v>507</v>
      </c>
      <c r="V25" s="1" t="s">
        <v>508</v>
      </c>
    </row>
    <row r="26" spans="1:22" ht="15.75" customHeight="1" x14ac:dyDescent="0.25">
      <c r="A26" s="3">
        <v>45615</v>
      </c>
      <c r="B26" s="1" t="s">
        <v>115</v>
      </c>
      <c r="C26" s="1" t="str">
        <f t="shared" si="0"/>
        <v>1GN6GW8TW857</v>
      </c>
      <c r="D26" s="2">
        <v>101793148400</v>
      </c>
      <c r="F26" s="1" t="s">
        <v>526</v>
      </c>
      <c r="G26" s="1" t="s">
        <v>39</v>
      </c>
      <c r="H26" s="1" t="s">
        <v>40</v>
      </c>
      <c r="I26" s="1" t="s">
        <v>503</v>
      </c>
      <c r="J26" s="1" t="s">
        <v>28</v>
      </c>
      <c r="K26" s="3">
        <v>45597</v>
      </c>
      <c r="L26" s="3">
        <v>45261</v>
      </c>
      <c r="M26" s="3">
        <f t="shared" si="1"/>
        <v>45292</v>
      </c>
      <c r="N26" s="1">
        <v>17528908</v>
      </c>
      <c r="O26" s="1" t="s">
        <v>112</v>
      </c>
      <c r="P26" s="1">
        <v>8192</v>
      </c>
      <c r="Q26" s="1" t="s">
        <v>44</v>
      </c>
      <c r="R26" s="1" t="s">
        <v>34</v>
      </c>
      <c r="S26" s="1">
        <v>31.25</v>
      </c>
      <c r="T26" s="1" t="s">
        <v>507</v>
      </c>
      <c r="V26" s="1" t="s">
        <v>508</v>
      </c>
    </row>
    <row r="27" spans="1:22" ht="15.75" customHeight="1" x14ac:dyDescent="0.25">
      <c r="A27" s="3">
        <v>45615</v>
      </c>
      <c r="B27" s="1" t="s">
        <v>117</v>
      </c>
      <c r="C27" s="1" t="str">
        <f t="shared" si="0"/>
        <v>9XF1X65GQ057</v>
      </c>
      <c r="D27" s="2">
        <v>101746932000</v>
      </c>
      <c r="F27" s="1" t="s">
        <v>527</v>
      </c>
      <c r="G27" s="1" t="s">
        <v>39</v>
      </c>
      <c r="H27" s="1" t="s">
        <v>40</v>
      </c>
      <c r="I27" s="1" t="s">
        <v>503</v>
      </c>
      <c r="J27" s="1" t="s">
        <v>28</v>
      </c>
      <c r="K27" s="3">
        <v>45597</v>
      </c>
      <c r="L27" s="3">
        <v>45139</v>
      </c>
      <c r="M27" s="3">
        <f t="shared" si="1"/>
        <v>45170</v>
      </c>
      <c r="N27" s="1">
        <v>17528908</v>
      </c>
      <c r="O27" s="1" t="s">
        <v>112</v>
      </c>
      <c r="P27" s="1">
        <v>8192</v>
      </c>
      <c r="Q27" s="1" t="s">
        <v>44</v>
      </c>
      <c r="R27" s="1" t="s">
        <v>34</v>
      </c>
      <c r="S27" s="1">
        <v>31.25</v>
      </c>
      <c r="T27" s="1" t="s">
        <v>507</v>
      </c>
      <c r="V27" s="1" t="s">
        <v>508</v>
      </c>
    </row>
    <row r="28" spans="1:22" ht="15.75" customHeight="1" x14ac:dyDescent="0.25">
      <c r="A28" s="3">
        <v>45615</v>
      </c>
      <c r="B28" s="1" t="s">
        <v>119</v>
      </c>
      <c r="C28" s="1" t="str">
        <f t="shared" si="0"/>
        <v>2KJ6TA4WV627</v>
      </c>
      <c r="D28" s="2">
        <v>101778170800</v>
      </c>
      <c r="F28" s="1" t="s">
        <v>528</v>
      </c>
      <c r="G28" s="1" t="s">
        <v>39</v>
      </c>
      <c r="H28" s="1" t="s">
        <v>40</v>
      </c>
      <c r="I28" s="1" t="s">
        <v>503</v>
      </c>
      <c r="J28" s="1" t="s">
        <v>28</v>
      </c>
      <c r="K28" s="3">
        <v>45597</v>
      </c>
      <c r="L28" s="3">
        <v>45231</v>
      </c>
      <c r="M28" s="3">
        <f t="shared" si="1"/>
        <v>45261</v>
      </c>
      <c r="N28" s="1">
        <v>17528908</v>
      </c>
      <c r="O28" s="1" t="s">
        <v>112</v>
      </c>
      <c r="P28" s="1">
        <v>8192</v>
      </c>
      <c r="Q28" s="1" t="s">
        <v>44</v>
      </c>
      <c r="R28" s="1" t="s">
        <v>34</v>
      </c>
      <c r="S28" s="1">
        <v>31.25</v>
      </c>
      <c r="T28" s="1" t="s">
        <v>507</v>
      </c>
      <c r="V28" s="1" t="s">
        <v>508</v>
      </c>
    </row>
    <row r="29" spans="1:22" ht="15.75" customHeight="1" x14ac:dyDescent="0.25">
      <c r="A29" s="3">
        <v>45615</v>
      </c>
      <c r="B29" s="1" t="s">
        <v>121</v>
      </c>
      <c r="C29" s="1" t="str">
        <f t="shared" si="0"/>
        <v>9RM2UC4PV147</v>
      </c>
      <c r="D29" s="2">
        <v>101756252000</v>
      </c>
      <c r="F29" s="1" t="s">
        <v>529</v>
      </c>
      <c r="G29" s="1" t="s">
        <v>39</v>
      </c>
      <c r="H29" s="1" t="s">
        <v>40</v>
      </c>
      <c r="I29" s="1" t="s">
        <v>503</v>
      </c>
      <c r="J29" s="1" t="s">
        <v>28</v>
      </c>
      <c r="K29" s="3">
        <v>45597</v>
      </c>
      <c r="L29" s="3">
        <v>45170</v>
      </c>
      <c r="M29" s="3">
        <f t="shared" si="1"/>
        <v>45200</v>
      </c>
      <c r="N29" s="1">
        <v>17528908</v>
      </c>
      <c r="O29" s="1" t="s">
        <v>112</v>
      </c>
      <c r="P29" s="1">
        <v>8192</v>
      </c>
      <c r="Q29" s="1" t="s">
        <v>44</v>
      </c>
      <c r="R29" s="1" t="s">
        <v>34</v>
      </c>
      <c r="S29" s="1">
        <v>31.25</v>
      </c>
      <c r="T29" s="1" t="s">
        <v>507</v>
      </c>
      <c r="V29" s="1" t="s">
        <v>508</v>
      </c>
    </row>
    <row r="30" spans="1:22" ht="15.75" customHeight="1" x14ac:dyDescent="0.25">
      <c r="A30" s="3">
        <v>45615</v>
      </c>
      <c r="B30" s="1" t="s">
        <v>123</v>
      </c>
      <c r="C30" s="1" t="str">
        <f t="shared" si="0"/>
        <v>4VN7J87UR527</v>
      </c>
      <c r="D30" s="2">
        <v>101843197200</v>
      </c>
      <c r="F30" s="1" t="s">
        <v>530</v>
      </c>
      <c r="G30" s="1" t="s">
        <v>39</v>
      </c>
      <c r="H30" s="1" t="s">
        <v>40</v>
      </c>
      <c r="I30" s="1" t="s">
        <v>503</v>
      </c>
      <c r="J30" s="1" t="s">
        <v>28</v>
      </c>
      <c r="K30" s="3">
        <v>45597</v>
      </c>
      <c r="L30" s="3">
        <v>45261</v>
      </c>
      <c r="M30" s="3">
        <f t="shared" si="1"/>
        <v>45292</v>
      </c>
      <c r="N30" s="1">
        <v>17528908</v>
      </c>
      <c r="O30" s="1" t="s">
        <v>112</v>
      </c>
      <c r="P30" s="1">
        <v>8192</v>
      </c>
      <c r="Q30" s="1" t="s">
        <v>44</v>
      </c>
      <c r="R30" s="1" t="s">
        <v>34</v>
      </c>
      <c r="S30" s="1">
        <v>31.25</v>
      </c>
      <c r="T30" s="1" t="s">
        <v>507</v>
      </c>
      <c r="V30" s="1" t="s">
        <v>508</v>
      </c>
    </row>
    <row r="31" spans="1:22" ht="15.75" customHeight="1" x14ac:dyDescent="0.25">
      <c r="A31" s="3">
        <v>45615</v>
      </c>
      <c r="B31" s="1" t="s">
        <v>125</v>
      </c>
      <c r="C31" s="1" t="str">
        <f t="shared" si="0"/>
        <v>8N53D79JC057</v>
      </c>
      <c r="D31" s="2">
        <v>101751846000</v>
      </c>
      <c r="F31" s="1" t="s">
        <v>531</v>
      </c>
      <c r="G31" s="1" t="s">
        <v>39</v>
      </c>
      <c r="H31" s="1" t="s">
        <v>40</v>
      </c>
      <c r="I31" s="1" t="s">
        <v>503</v>
      </c>
      <c r="J31" s="1" t="s">
        <v>28</v>
      </c>
      <c r="K31" s="3">
        <v>45597</v>
      </c>
      <c r="L31" s="3">
        <v>45200</v>
      </c>
      <c r="M31" s="3">
        <f t="shared" si="1"/>
        <v>45231</v>
      </c>
      <c r="N31" s="1">
        <v>17528908</v>
      </c>
      <c r="O31" s="1" t="s">
        <v>112</v>
      </c>
      <c r="P31" s="1">
        <v>8192</v>
      </c>
      <c r="Q31" s="1" t="s">
        <v>44</v>
      </c>
      <c r="R31" s="1" t="s">
        <v>34</v>
      </c>
      <c r="S31" s="1">
        <v>31.25</v>
      </c>
      <c r="T31" s="1" t="s">
        <v>507</v>
      </c>
      <c r="V31" s="1" t="s">
        <v>508</v>
      </c>
    </row>
    <row r="32" spans="1:22" ht="15.75" customHeight="1" x14ac:dyDescent="0.25">
      <c r="A32" s="3">
        <v>45615</v>
      </c>
      <c r="B32" s="1" t="s">
        <v>130</v>
      </c>
      <c r="C32" s="1" t="str">
        <f t="shared" si="0"/>
        <v>7T38FJ8XA627</v>
      </c>
      <c r="D32" s="2">
        <v>101767923000</v>
      </c>
      <c r="F32" s="1" t="s">
        <v>532</v>
      </c>
      <c r="G32" s="1" t="s">
        <v>39</v>
      </c>
      <c r="H32" s="1" t="s">
        <v>40</v>
      </c>
      <c r="I32" s="1" t="s">
        <v>503</v>
      </c>
      <c r="J32" s="1" t="s">
        <v>28</v>
      </c>
      <c r="K32" s="3">
        <v>45597</v>
      </c>
      <c r="L32" s="3">
        <v>45200</v>
      </c>
      <c r="M32" s="3">
        <f t="shared" si="1"/>
        <v>45231</v>
      </c>
      <c r="N32" s="1">
        <v>17528908</v>
      </c>
      <c r="O32" s="1" t="s">
        <v>112</v>
      </c>
      <c r="P32" s="1">
        <v>8192</v>
      </c>
      <c r="Q32" s="1" t="s">
        <v>44</v>
      </c>
      <c r="R32" s="1" t="s">
        <v>34</v>
      </c>
      <c r="S32" s="1">
        <v>31.25</v>
      </c>
      <c r="T32" s="1" t="s">
        <v>507</v>
      </c>
      <c r="V32" s="1" t="s">
        <v>508</v>
      </c>
    </row>
    <row r="33" spans="1:22" ht="15.75" customHeight="1" x14ac:dyDescent="0.25">
      <c r="A33" s="3">
        <v>45615</v>
      </c>
      <c r="B33" s="1" t="s">
        <v>132</v>
      </c>
      <c r="C33" s="1" t="str">
        <f t="shared" si="0"/>
        <v>4M31PN0DK397</v>
      </c>
      <c r="D33" s="2">
        <v>101778179500</v>
      </c>
      <c r="F33" s="1" t="s">
        <v>133</v>
      </c>
      <c r="G33" s="1" t="s">
        <v>39</v>
      </c>
      <c r="H33" s="1" t="s">
        <v>40</v>
      </c>
      <c r="I33" s="1" t="s">
        <v>503</v>
      </c>
      <c r="J33" s="1" t="s">
        <v>28</v>
      </c>
      <c r="K33" s="3">
        <v>45597</v>
      </c>
      <c r="L33" s="3">
        <v>45231</v>
      </c>
      <c r="M33" s="3">
        <f t="shared" si="1"/>
        <v>45261</v>
      </c>
      <c r="N33" s="1">
        <v>17528908</v>
      </c>
      <c r="O33" s="1" t="s">
        <v>112</v>
      </c>
      <c r="P33" s="1">
        <v>8192</v>
      </c>
      <c r="Q33" s="1" t="s">
        <v>44</v>
      </c>
      <c r="R33" s="1" t="s">
        <v>34</v>
      </c>
      <c r="S33" s="1">
        <v>31.25</v>
      </c>
      <c r="T33" s="1" t="s">
        <v>507</v>
      </c>
      <c r="V33" s="1" t="s">
        <v>508</v>
      </c>
    </row>
    <row r="34" spans="1:22" ht="15.75" customHeight="1" x14ac:dyDescent="0.25">
      <c r="A34" s="3">
        <v>45615</v>
      </c>
      <c r="B34" s="1" t="s">
        <v>134</v>
      </c>
      <c r="C34" s="1" t="str">
        <f t="shared" si="0"/>
        <v>9E37R36TH607</v>
      </c>
      <c r="D34" s="2">
        <v>101760566800</v>
      </c>
      <c r="F34" s="1" t="s">
        <v>135</v>
      </c>
      <c r="G34" s="1" t="s">
        <v>39</v>
      </c>
      <c r="H34" s="1" t="s">
        <v>40</v>
      </c>
      <c r="I34" s="1" t="s">
        <v>503</v>
      </c>
      <c r="J34" s="1" t="s">
        <v>28</v>
      </c>
      <c r="K34" s="3">
        <v>45597</v>
      </c>
      <c r="L34" s="3">
        <v>45170</v>
      </c>
      <c r="M34" s="3">
        <f t="shared" si="1"/>
        <v>45200</v>
      </c>
      <c r="N34" s="1">
        <v>17528908</v>
      </c>
      <c r="O34" s="1" t="s">
        <v>112</v>
      </c>
      <c r="P34" s="1">
        <v>8192</v>
      </c>
      <c r="Q34" s="1" t="s">
        <v>44</v>
      </c>
      <c r="R34" s="1" t="s">
        <v>34</v>
      </c>
      <c r="S34" s="1">
        <v>31.25</v>
      </c>
      <c r="T34" s="1" t="s">
        <v>507</v>
      </c>
      <c r="V34" s="1" t="s">
        <v>508</v>
      </c>
    </row>
    <row r="35" spans="1:22" ht="15.75" customHeight="1" x14ac:dyDescent="0.25">
      <c r="A35" s="3">
        <v>45615</v>
      </c>
      <c r="B35" s="1" t="s">
        <v>140</v>
      </c>
      <c r="C35" s="1" t="str">
        <f t="shared" si="0"/>
        <v>3Q43TT7FD957</v>
      </c>
      <c r="D35" s="2">
        <v>101073285800</v>
      </c>
      <c r="E35" s="1" t="s">
        <v>141</v>
      </c>
      <c r="F35" s="1" t="s">
        <v>142</v>
      </c>
      <c r="G35" s="1" t="s">
        <v>39</v>
      </c>
      <c r="H35" s="1" t="s">
        <v>40</v>
      </c>
      <c r="I35" s="1" t="s">
        <v>503</v>
      </c>
      <c r="J35" s="1" t="s">
        <v>28</v>
      </c>
      <c r="K35" s="3">
        <v>45597</v>
      </c>
      <c r="L35" s="3">
        <v>43678</v>
      </c>
      <c r="M35" s="3">
        <f t="shared" si="1"/>
        <v>43709</v>
      </c>
      <c r="N35" s="1">
        <v>17528908</v>
      </c>
      <c r="O35" s="1" t="s">
        <v>112</v>
      </c>
      <c r="P35" s="1">
        <v>8192</v>
      </c>
      <c r="Q35" s="1" t="s">
        <v>44</v>
      </c>
      <c r="R35" s="1" t="s">
        <v>34</v>
      </c>
      <c r="S35" s="1">
        <v>31.25</v>
      </c>
      <c r="T35" s="1" t="s">
        <v>507</v>
      </c>
      <c r="V35" s="1" t="s">
        <v>508</v>
      </c>
    </row>
    <row r="36" spans="1:22" ht="15.75" customHeight="1" x14ac:dyDescent="0.25">
      <c r="A36" s="3">
        <v>45615</v>
      </c>
      <c r="B36" s="1" t="s">
        <v>144</v>
      </c>
      <c r="C36" s="1" t="str">
        <f t="shared" si="0"/>
        <v>7Q20QV5JY397</v>
      </c>
      <c r="D36" s="2">
        <v>101807525500</v>
      </c>
      <c r="F36" s="1" t="s">
        <v>145</v>
      </c>
      <c r="G36" s="1" t="s">
        <v>39</v>
      </c>
      <c r="H36" s="1" t="s">
        <v>40</v>
      </c>
      <c r="I36" s="1" t="s">
        <v>503</v>
      </c>
      <c r="J36" s="1" t="s">
        <v>28</v>
      </c>
      <c r="K36" s="3">
        <v>45597</v>
      </c>
      <c r="L36" s="3">
        <v>45261</v>
      </c>
      <c r="M36" s="3">
        <f t="shared" si="1"/>
        <v>45292</v>
      </c>
      <c r="N36" s="1">
        <v>17528908</v>
      </c>
      <c r="O36" s="1" t="s">
        <v>112</v>
      </c>
      <c r="P36" s="1">
        <v>8192</v>
      </c>
      <c r="Q36" s="1" t="s">
        <v>44</v>
      </c>
      <c r="R36" s="1" t="s">
        <v>34</v>
      </c>
      <c r="S36" s="1">
        <v>31.25</v>
      </c>
      <c r="T36" s="1" t="s">
        <v>507</v>
      </c>
      <c r="V36" s="1" t="s">
        <v>508</v>
      </c>
    </row>
    <row r="37" spans="1:22" ht="15.75" customHeight="1" x14ac:dyDescent="0.25">
      <c r="A37" s="3">
        <v>45615</v>
      </c>
      <c r="B37" s="1" t="s">
        <v>149</v>
      </c>
      <c r="C37" s="1" t="str">
        <f t="shared" si="0"/>
        <v>6Y87FW7AC507</v>
      </c>
      <c r="D37" s="2">
        <v>101796181600</v>
      </c>
      <c r="F37" s="1" t="s">
        <v>150</v>
      </c>
      <c r="G37" s="1" t="s">
        <v>39</v>
      </c>
      <c r="H37" s="1" t="s">
        <v>40</v>
      </c>
      <c r="I37" s="1" t="s">
        <v>503</v>
      </c>
      <c r="J37" s="1" t="s">
        <v>28</v>
      </c>
      <c r="K37" s="3">
        <v>45597</v>
      </c>
      <c r="L37" s="3">
        <v>45231</v>
      </c>
      <c r="M37" s="3">
        <f t="shared" si="1"/>
        <v>45261</v>
      </c>
      <c r="N37" s="1">
        <v>17528908</v>
      </c>
      <c r="O37" s="1" t="s">
        <v>112</v>
      </c>
      <c r="P37" s="1">
        <v>8192</v>
      </c>
      <c r="Q37" s="1" t="s">
        <v>44</v>
      </c>
      <c r="R37" s="1" t="s">
        <v>34</v>
      </c>
      <c r="S37" s="1">
        <v>31.25</v>
      </c>
      <c r="T37" s="1" t="s">
        <v>507</v>
      </c>
      <c r="V37" s="1" t="s">
        <v>508</v>
      </c>
    </row>
    <row r="38" spans="1:22" ht="15.75" customHeight="1" x14ac:dyDescent="0.25">
      <c r="A38" s="3">
        <v>45615</v>
      </c>
      <c r="B38" s="1" t="s">
        <v>151</v>
      </c>
      <c r="C38" s="1" t="str">
        <f t="shared" si="0"/>
        <v>7F10GC4JH467</v>
      </c>
      <c r="D38" s="2">
        <v>101796544100</v>
      </c>
      <c r="F38" s="1" t="s">
        <v>152</v>
      </c>
      <c r="G38" s="1" t="s">
        <v>39</v>
      </c>
      <c r="H38" s="1" t="s">
        <v>40</v>
      </c>
      <c r="I38" s="1" t="s">
        <v>503</v>
      </c>
      <c r="J38" s="1" t="s">
        <v>28</v>
      </c>
      <c r="K38" s="3">
        <v>45597</v>
      </c>
      <c r="L38" s="3">
        <v>45231</v>
      </c>
      <c r="M38" s="3">
        <f t="shared" si="1"/>
        <v>45261</v>
      </c>
      <c r="N38" s="1">
        <v>17528908</v>
      </c>
      <c r="O38" s="1" t="s">
        <v>112</v>
      </c>
      <c r="P38" s="1">
        <v>8192</v>
      </c>
      <c r="Q38" s="1" t="s">
        <v>44</v>
      </c>
      <c r="R38" s="1" t="s">
        <v>34</v>
      </c>
      <c r="S38" s="1">
        <v>31.25</v>
      </c>
      <c r="T38" s="1" t="s">
        <v>507</v>
      </c>
      <c r="V38" s="1" t="s">
        <v>508</v>
      </c>
    </row>
    <row r="39" spans="1:22" ht="15.75" customHeight="1" x14ac:dyDescent="0.25">
      <c r="A39" s="3">
        <v>45615</v>
      </c>
      <c r="B39" s="1" t="s">
        <v>153</v>
      </c>
      <c r="C39" s="1" t="str">
        <f t="shared" si="0"/>
        <v>8R67GE8QN457</v>
      </c>
      <c r="D39" s="2">
        <v>101778364200</v>
      </c>
      <c r="F39" s="1" t="s">
        <v>154</v>
      </c>
      <c r="G39" s="1" t="s">
        <v>39</v>
      </c>
      <c r="H39" s="1" t="s">
        <v>40</v>
      </c>
      <c r="I39" s="1" t="s">
        <v>503</v>
      </c>
      <c r="J39" s="1" t="s">
        <v>28</v>
      </c>
      <c r="K39" s="3">
        <v>45597</v>
      </c>
      <c r="L39" s="3">
        <v>45231</v>
      </c>
      <c r="M39" s="3">
        <f t="shared" si="1"/>
        <v>45261</v>
      </c>
      <c r="N39" s="1">
        <v>17528908</v>
      </c>
      <c r="O39" s="1" t="s">
        <v>112</v>
      </c>
      <c r="P39" s="1">
        <v>8192</v>
      </c>
      <c r="Q39" s="1" t="s">
        <v>44</v>
      </c>
      <c r="R39" s="1" t="s">
        <v>34</v>
      </c>
      <c r="S39" s="1">
        <v>31.25</v>
      </c>
      <c r="T39" s="1" t="s">
        <v>507</v>
      </c>
      <c r="V39" s="1" t="s">
        <v>508</v>
      </c>
    </row>
    <row r="40" spans="1:22" ht="15.75" customHeight="1" x14ac:dyDescent="0.25">
      <c r="A40" s="3">
        <v>45615</v>
      </c>
      <c r="B40" s="1" t="s">
        <v>155</v>
      </c>
      <c r="C40" s="1" t="str">
        <f t="shared" si="0"/>
        <v>5FH3Y34WP867</v>
      </c>
      <c r="D40" s="2">
        <v>101782789900</v>
      </c>
      <c r="F40" s="1" t="s">
        <v>156</v>
      </c>
      <c r="G40" s="1" t="s">
        <v>39</v>
      </c>
      <c r="H40" s="1" t="s">
        <v>40</v>
      </c>
      <c r="I40" s="1" t="s">
        <v>503</v>
      </c>
      <c r="J40" s="1" t="s">
        <v>28</v>
      </c>
      <c r="K40" s="3">
        <v>45597</v>
      </c>
      <c r="L40" s="3">
        <v>45261</v>
      </c>
      <c r="M40" s="3">
        <f t="shared" si="1"/>
        <v>45292</v>
      </c>
      <c r="N40" s="1">
        <v>17528908</v>
      </c>
      <c r="O40" s="1" t="s">
        <v>112</v>
      </c>
      <c r="P40" s="1">
        <v>8192</v>
      </c>
      <c r="Q40" s="1" t="s">
        <v>44</v>
      </c>
      <c r="R40" s="1" t="s">
        <v>34</v>
      </c>
      <c r="S40" s="1">
        <v>31.25</v>
      </c>
      <c r="T40" s="1" t="s">
        <v>507</v>
      </c>
      <c r="V40" s="1" t="s">
        <v>508</v>
      </c>
    </row>
    <row r="41" spans="1:22" ht="15.75" customHeight="1" x14ac:dyDescent="0.25">
      <c r="A41" s="3">
        <v>45615</v>
      </c>
      <c r="B41" s="1" t="s">
        <v>157</v>
      </c>
      <c r="C41" s="1" t="str">
        <f t="shared" si="0"/>
        <v>5E49EA6PU287</v>
      </c>
      <c r="D41" s="2">
        <v>101823852600</v>
      </c>
      <c r="F41" s="1" t="s">
        <v>158</v>
      </c>
      <c r="G41" s="1" t="s">
        <v>39</v>
      </c>
      <c r="H41" s="1" t="s">
        <v>40</v>
      </c>
      <c r="I41" s="1" t="s">
        <v>503</v>
      </c>
      <c r="J41" s="1" t="s">
        <v>28</v>
      </c>
      <c r="K41" s="3">
        <v>45597</v>
      </c>
      <c r="L41" s="3">
        <v>45231</v>
      </c>
      <c r="M41" s="3">
        <f t="shared" si="1"/>
        <v>45261</v>
      </c>
      <c r="N41" s="1">
        <v>17528908</v>
      </c>
      <c r="O41" s="1" t="s">
        <v>112</v>
      </c>
      <c r="P41" s="1">
        <v>8192</v>
      </c>
      <c r="Q41" s="1" t="s">
        <v>44</v>
      </c>
      <c r="R41" s="1" t="s">
        <v>34</v>
      </c>
      <c r="S41" s="1">
        <v>31.25</v>
      </c>
      <c r="T41" s="1" t="s">
        <v>507</v>
      </c>
      <c r="V41" s="1" t="s">
        <v>508</v>
      </c>
    </row>
    <row r="42" spans="1:22" ht="15.75" customHeight="1" x14ac:dyDescent="0.25">
      <c r="A42" s="3">
        <v>45615</v>
      </c>
      <c r="B42" s="1" t="s">
        <v>159</v>
      </c>
      <c r="C42" s="1" t="str">
        <f t="shared" si="0"/>
        <v>1NN4HT2RQ817</v>
      </c>
      <c r="D42" s="2">
        <v>101823852900</v>
      </c>
      <c r="F42" s="1" t="s">
        <v>160</v>
      </c>
      <c r="G42" s="1" t="s">
        <v>39</v>
      </c>
      <c r="H42" s="1" t="s">
        <v>40</v>
      </c>
      <c r="I42" s="1" t="s">
        <v>503</v>
      </c>
      <c r="J42" s="1" t="s">
        <v>28</v>
      </c>
      <c r="K42" s="3">
        <v>45597</v>
      </c>
      <c r="L42" s="3">
        <v>45231</v>
      </c>
      <c r="M42" s="3">
        <f t="shared" si="1"/>
        <v>45261</v>
      </c>
      <c r="N42" s="1">
        <v>17528908</v>
      </c>
      <c r="O42" s="1" t="s">
        <v>112</v>
      </c>
      <c r="P42" s="1">
        <v>8192</v>
      </c>
      <c r="Q42" s="1" t="s">
        <v>44</v>
      </c>
      <c r="R42" s="1" t="s">
        <v>34</v>
      </c>
      <c r="S42" s="1">
        <v>31.25</v>
      </c>
      <c r="T42" s="1" t="s">
        <v>507</v>
      </c>
      <c r="V42" s="1" t="s">
        <v>508</v>
      </c>
    </row>
    <row r="43" spans="1:22" ht="15.75" customHeight="1" x14ac:dyDescent="0.25">
      <c r="A43" s="3">
        <v>45615</v>
      </c>
      <c r="B43" s="1" t="s">
        <v>161</v>
      </c>
      <c r="C43" s="1" t="str">
        <f t="shared" si="0"/>
        <v>6NQ1F42XH977</v>
      </c>
      <c r="D43" s="2">
        <v>101780750600</v>
      </c>
      <c r="F43" s="1" t="s">
        <v>162</v>
      </c>
      <c r="G43" s="1" t="s">
        <v>39</v>
      </c>
      <c r="H43" s="1" t="s">
        <v>40</v>
      </c>
      <c r="I43" s="1" t="s">
        <v>503</v>
      </c>
      <c r="J43" s="1" t="s">
        <v>28</v>
      </c>
      <c r="K43" s="3">
        <v>45597</v>
      </c>
      <c r="L43" s="3">
        <v>45261</v>
      </c>
      <c r="M43" s="3">
        <f t="shared" si="1"/>
        <v>45292</v>
      </c>
      <c r="N43" s="1">
        <v>17528908</v>
      </c>
      <c r="O43" s="1" t="s">
        <v>112</v>
      </c>
      <c r="P43" s="1">
        <v>8192</v>
      </c>
      <c r="Q43" s="1" t="s">
        <v>44</v>
      </c>
      <c r="R43" s="1" t="s">
        <v>34</v>
      </c>
      <c r="S43" s="1">
        <v>31.25</v>
      </c>
      <c r="T43" s="1" t="s">
        <v>507</v>
      </c>
      <c r="V43" s="1" t="s">
        <v>508</v>
      </c>
    </row>
    <row r="44" spans="1:22" ht="15.75" customHeight="1" x14ac:dyDescent="0.25">
      <c r="A44" s="3">
        <v>45615</v>
      </c>
      <c r="B44" s="1" t="s">
        <v>163</v>
      </c>
      <c r="C44" s="1" t="str">
        <f t="shared" si="0"/>
        <v>8CR1WF7WW207</v>
      </c>
      <c r="D44" s="2">
        <v>101745584200</v>
      </c>
      <c r="F44" s="1" t="s">
        <v>164</v>
      </c>
      <c r="G44" s="1" t="s">
        <v>39</v>
      </c>
      <c r="H44" s="1" t="s">
        <v>40</v>
      </c>
      <c r="I44" s="1" t="s">
        <v>503</v>
      </c>
      <c r="J44" s="1" t="s">
        <v>28</v>
      </c>
      <c r="K44" s="3">
        <v>45597</v>
      </c>
      <c r="L44" s="3">
        <v>45139</v>
      </c>
      <c r="M44" s="3">
        <f t="shared" si="1"/>
        <v>45170</v>
      </c>
      <c r="N44" s="1">
        <v>17528908</v>
      </c>
      <c r="O44" s="1" t="s">
        <v>112</v>
      </c>
      <c r="P44" s="1">
        <v>8192</v>
      </c>
      <c r="Q44" s="1" t="s">
        <v>44</v>
      </c>
      <c r="R44" s="1" t="s">
        <v>34</v>
      </c>
      <c r="S44" s="1">
        <v>31.25</v>
      </c>
      <c r="T44" s="1" t="s">
        <v>507</v>
      </c>
      <c r="V44" s="1" t="s">
        <v>508</v>
      </c>
    </row>
    <row r="45" spans="1:22" ht="15.75" customHeight="1" x14ac:dyDescent="0.25">
      <c r="A45" s="3">
        <v>45615</v>
      </c>
      <c r="B45" s="1" t="s">
        <v>165</v>
      </c>
      <c r="C45" s="1" t="str">
        <f t="shared" si="0"/>
        <v>5M81GP9GD107</v>
      </c>
      <c r="D45" s="2">
        <v>101552085100</v>
      </c>
      <c r="F45" s="1" t="s">
        <v>166</v>
      </c>
      <c r="G45" s="1" t="s">
        <v>39</v>
      </c>
      <c r="H45" s="1" t="s">
        <v>40</v>
      </c>
      <c r="I45" s="1" t="s">
        <v>503</v>
      </c>
      <c r="J45" s="1" t="s">
        <v>28</v>
      </c>
      <c r="K45" s="3">
        <v>45597</v>
      </c>
      <c r="L45" s="3">
        <v>45170</v>
      </c>
      <c r="M45" s="3">
        <f t="shared" si="1"/>
        <v>45200</v>
      </c>
      <c r="N45" s="1">
        <v>17528908</v>
      </c>
      <c r="O45" s="1" t="s">
        <v>112</v>
      </c>
      <c r="P45" s="1">
        <v>8192</v>
      </c>
      <c r="Q45" s="1" t="s">
        <v>44</v>
      </c>
      <c r="R45" s="1" t="s">
        <v>34</v>
      </c>
      <c r="S45" s="1">
        <v>31.25</v>
      </c>
      <c r="T45" s="1" t="s">
        <v>507</v>
      </c>
      <c r="V45" s="1" t="s">
        <v>508</v>
      </c>
    </row>
    <row r="46" spans="1:22" ht="15.75" customHeight="1" x14ac:dyDescent="0.25">
      <c r="A46" s="3">
        <v>45615</v>
      </c>
      <c r="B46" s="1" t="s">
        <v>167</v>
      </c>
      <c r="C46" s="1" t="str">
        <f t="shared" si="0"/>
        <v>4YR0DC5VV187</v>
      </c>
      <c r="D46" s="2">
        <v>101744311000</v>
      </c>
      <c r="F46" s="1" t="s">
        <v>168</v>
      </c>
      <c r="G46" s="1" t="s">
        <v>39</v>
      </c>
      <c r="H46" s="1" t="s">
        <v>40</v>
      </c>
      <c r="I46" s="1" t="s">
        <v>503</v>
      </c>
      <c r="J46" s="1" t="s">
        <v>28</v>
      </c>
      <c r="K46" s="3">
        <v>45597</v>
      </c>
      <c r="L46" s="3">
        <v>45170</v>
      </c>
      <c r="M46" s="3">
        <f t="shared" si="1"/>
        <v>45200</v>
      </c>
      <c r="N46" s="1">
        <v>17528908</v>
      </c>
      <c r="O46" s="1" t="s">
        <v>112</v>
      </c>
      <c r="P46" s="1">
        <v>8192</v>
      </c>
      <c r="Q46" s="1" t="s">
        <v>44</v>
      </c>
      <c r="R46" s="1" t="s">
        <v>34</v>
      </c>
      <c r="S46" s="1">
        <v>31.25</v>
      </c>
      <c r="T46" s="1" t="s">
        <v>507</v>
      </c>
      <c r="V46" s="1" t="s">
        <v>508</v>
      </c>
    </row>
    <row r="47" spans="1:22" ht="15.75" customHeight="1" x14ac:dyDescent="0.25">
      <c r="A47" s="3">
        <v>45615</v>
      </c>
      <c r="B47" s="1" t="s">
        <v>169</v>
      </c>
      <c r="C47" s="1" t="str">
        <f t="shared" si="0"/>
        <v>4CF3EH2EG087</v>
      </c>
      <c r="D47" s="2">
        <v>101789861200</v>
      </c>
      <c r="F47" s="1" t="s">
        <v>170</v>
      </c>
      <c r="G47" s="1" t="s">
        <v>39</v>
      </c>
      <c r="H47" s="1" t="s">
        <v>40</v>
      </c>
      <c r="I47" s="1" t="s">
        <v>503</v>
      </c>
      <c r="J47" s="1" t="s">
        <v>28</v>
      </c>
      <c r="K47" s="3">
        <v>45597</v>
      </c>
      <c r="L47" s="3">
        <v>45231</v>
      </c>
      <c r="M47" s="3">
        <f t="shared" si="1"/>
        <v>45261</v>
      </c>
      <c r="N47" s="1">
        <v>17528908</v>
      </c>
      <c r="O47" s="1" t="s">
        <v>112</v>
      </c>
      <c r="P47" s="1">
        <v>8192</v>
      </c>
      <c r="Q47" s="1" t="s">
        <v>44</v>
      </c>
      <c r="R47" s="1" t="s">
        <v>34</v>
      </c>
      <c r="S47" s="1">
        <v>31.25</v>
      </c>
      <c r="T47" s="1" t="s">
        <v>507</v>
      </c>
      <c r="V47" s="1" t="s">
        <v>508</v>
      </c>
    </row>
    <row r="48" spans="1:22" ht="15.75" customHeight="1" x14ac:dyDescent="0.25">
      <c r="A48" s="3">
        <v>45615</v>
      </c>
      <c r="B48" s="1" t="s">
        <v>171</v>
      </c>
      <c r="C48" s="1" t="str">
        <f t="shared" si="0"/>
        <v>3CQ6CV6AU857</v>
      </c>
      <c r="D48" s="2">
        <v>101254580100</v>
      </c>
      <c r="F48" s="1" t="s">
        <v>172</v>
      </c>
      <c r="G48" s="1" t="s">
        <v>39</v>
      </c>
      <c r="H48" s="1" t="s">
        <v>40</v>
      </c>
      <c r="I48" s="1" t="s">
        <v>503</v>
      </c>
      <c r="J48" s="1" t="s">
        <v>28</v>
      </c>
      <c r="K48" s="3">
        <v>45597</v>
      </c>
      <c r="L48" s="3">
        <v>45200</v>
      </c>
      <c r="M48" s="3">
        <f t="shared" si="1"/>
        <v>45231</v>
      </c>
      <c r="N48" s="1">
        <v>17528908</v>
      </c>
      <c r="O48" s="1" t="s">
        <v>112</v>
      </c>
      <c r="P48" s="1">
        <v>8192</v>
      </c>
      <c r="Q48" s="1" t="s">
        <v>44</v>
      </c>
      <c r="R48" s="1" t="s">
        <v>34</v>
      </c>
      <c r="S48" s="1">
        <v>31.25</v>
      </c>
      <c r="T48" s="1" t="s">
        <v>507</v>
      </c>
      <c r="V48" s="1" t="s">
        <v>508</v>
      </c>
    </row>
    <row r="49" spans="1:22" ht="15.75" customHeight="1" x14ac:dyDescent="0.25">
      <c r="A49" s="3">
        <v>45615</v>
      </c>
      <c r="B49" s="1" t="s">
        <v>173</v>
      </c>
      <c r="C49" s="1" t="str">
        <f t="shared" si="0"/>
        <v>8GA1VG1JK177</v>
      </c>
      <c r="D49" s="2">
        <v>101778371800</v>
      </c>
      <c r="F49" s="1" t="s">
        <v>174</v>
      </c>
      <c r="G49" s="1" t="s">
        <v>39</v>
      </c>
      <c r="H49" s="1" t="s">
        <v>40</v>
      </c>
      <c r="I49" s="1" t="s">
        <v>503</v>
      </c>
      <c r="J49" s="1" t="s">
        <v>28</v>
      </c>
      <c r="K49" s="3">
        <v>45597</v>
      </c>
      <c r="L49" s="3">
        <v>45231</v>
      </c>
      <c r="M49" s="3">
        <f t="shared" si="1"/>
        <v>45261</v>
      </c>
      <c r="N49" s="1">
        <v>17528908</v>
      </c>
      <c r="O49" s="1" t="s">
        <v>112</v>
      </c>
      <c r="P49" s="1">
        <v>8192</v>
      </c>
      <c r="Q49" s="1" t="s">
        <v>44</v>
      </c>
      <c r="R49" s="1" t="s">
        <v>34</v>
      </c>
      <c r="S49" s="1">
        <v>31.25</v>
      </c>
      <c r="T49" s="1" t="s">
        <v>507</v>
      </c>
      <c r="V49" s="1" t="s">
        <v>508</v>
      </c>
    </row>
    <row r="50" spans="1:22" ht="15.75" customHeight="1" x14ac:dyDescent="0.25">
      <c r="A50" s="3">
        <v>45615</v>
      </c>
      <c r="B50" s="1" t="s">
        <v>175</v>
      </c>
      <c r="C50" s="1" t="str">
        <f t="shared" si="0"/>
        <v>9ED6CP6EA517</v>
      </c>
      <c r="D50" s="2">
        <v>101749308400</v>
      </c>
      <c r="F50" s="1" t="s">
        <v>176</v>
      </c>
      <c r="G50" s="1" t="s">
        <v>39</v>
      </c>
      <c r="H50" s="1" t="s">
        <v>40</v>
      </c>
      <c r="I50" s="1" t="s">
        <v>503</v>
      </c>
      <c r="J50" s="1" t="s">
        <v>28</v>
      </c>
      <c r="K50" s="3">
        <v>45597</v>
      </c>
      <c r="L50" s="3">
        <v>45139</v>
      </c>
      <c r="M50" s="3">
        <f t="shared" si="1"/>
        <v>45170</v>
      </c>
      <c r="N50" s="1">
        <v>17528908</v>
      </c>
      <c r="O50" s="1" t="s">
        <v>112</v>
      </c>
      <c r="P50" s="1">
        <v>8192</v>
      </c>
      <c r="Q50" s="1" t="s">
        <v>44</v>
      </c>
      <c r="R50" s="1" t="s">
        <v>34</v>
      </c>
      <c r="S50" s="1">
        <v>31.25</v>
      </c>
      <c r="T50" s="1" t="s">
        <v>507</v>
      </c>
      <c r="V50" s="1" t="s">
        <v>508</v>
      </c>
    </row>
    <row r="51" spans="1:22" ht="15.75" customHeight="1" x14ac:dyDescent="0.25">
      <c r="A51" s="3">
        <v>45615</v>
      </c>
      <c r="B51" s="1" t="s">
        <v>178</v>
      </c>
      <c r="C51" s="1" t="str">
        <f t="shared" si="0"/>
        <v>6JA6GP5PJ757</v>
      </c>
      <c r="D51" s="2">
        <v>101204555000</v>
      </c>
      <c r="F51" s="1" t="s">
        <v>179</v>
      </c>
      <c r="G51" s="1" t="s">
        <v>39</v>
      </c>
      <c r="H51" s="1" t="s">
        <v>40</v>
      </c>
      <c r="I51" s="1" t="s">
        <v>503</v>
      </c>
      <c r="J51" s="1" t="s">
        <v>28</v>
      </c>
      <c r="K51" s="3">
        <v>45597</v>
      </c>
      <c r="L51" s="3">
        <v>45261</v>
      </c>
      <c r="M51" s="3">
        <f t="shared" si="1"/>
        <v>45292</v>
      </c>
      <c r="N51" s="1">
        <v>17528908</v>
      </c>
      <c r="O51" s="1" t="s">
        <v>112</v>
      </c>
      <c r="P51" s="1">
        <v>8192</v>
      </c>
      <c r="Q51" s="1" t="s">
        <v>44</v>
      </c>
      <c r="R51" s="1" t="s">
        <v>34</v>
      </c>
      <c r="S51" s="1">
        <v>31.25</v>
      </c>
      <c r="T51" s="1" t="s">
        <v>507</v>
      </c>
      <c r="V51" s="1" t="s">
        <v>508</v>
      </c>
    </row>
    <row r="52" spans="1:22" ht="15.75" customHeight="1" x14ac:dyDescent="0.25">
      <c r="A52" s="3">
        <v>45615</v>
      </c>
      <c r="B52" s="1" t="s">
        <v>185</v>
      </c>
      <c r="C52" s="1" t="str">
        <f t="shared" si="0"/>
        <v>8DW4FA5VD707</v>
      </c>
      <c r="D52" s="2">
        <v>101775115800</v>
      </c>
      <c r="F52" s="1" t="s">
        <v>186</v>
      </c>
      <c r="G52" s="1" t="s">
        <v>39</v>
      </c>
      <c r="H52" s="1" t="s">
        <v>40</v>
      </c>
      <c r="I52" s="1" t="s">
        <v>503</v>
      </c>
      <c r="J52" s="1" t="s">
        <v>28</v>
      </c>
      <c r="K52" s="3">
        <v>45597</v>
      </c>
      <c r="L52" s="3">
        <v>45200</v>
      </c>
      <c r="M52" s="3">
        <f t="shared" si="1"/>
        <v>45231</v>
      </c>
      <c r="N52" s="1">
        <v>17528908</v>
      </c>
      <c r="O52" s="1" t="s">
        <v>112</v>
      </c>
      <c r="P52" s="1">
        <v>8192</v>
      </c>
      <c r="Q52" s="1" t="s">
        <v>44</v>
      </c>
      <c r="R52" s="1" t="s">
        <v>34</v>
      </c>
      <c r="S52" s="1">
        <v>31.25</v>
      </c>
      <c r="T52" s="1" t="s">
        <v>507</v>
      </c>
      <c r="V52" s="1" t="s">
        <v>508</v>
      </c>
    </row>
    <row r="53" spans="1:22" ht="15.75" customHeight="1" x14ac:dyDescent="0.25">
      <c r="A53" s="3">
        <v>45615</v>
      </c>
      <c r="B53" s="1" t="s">
        <v>188</v>
      </c>
      <c r="C53" s="1" t="str">
        <f t="shared" si="0"/>
        <v>4N12RU3ED017</v>
      </c>
      <c r="D53" s="2">
        <v>101775074700</v>
      </c>
      <c r="F53" s="1" t="s">
        <v>189</v>
      </c>
      <c r="G53" s="1" t="s">
        <v>39</v>
      </c>
      <c r="H53" s="1" t="s">
        <v>40</v>
      </c>
      <c r="I53" s="1" t="s">
        <v>503</v>
      </c>
      <c r="J53" s="1" t="s">
        <v>28</v>
      </c>
      <c r="K53" s="3">
        <v>45597</v>
      </c>
      <c r="L53" s="3">
        <v>45200</v>
      </c>
      <c r="M53" s="3">
        <f t="shared" si="1"/>
        <v>45231</v>
      </c>
      <c r="N53" s="1">
        <v>17528908</v>
      </c>
      <c r="O53" s="1" t="s">
        <v>112</v>
      </c>
      <c r="P53" s="1">
        <v>8192</v>
      </c>
      <c r="Q53" s="1" t="s">
        <v>44</v>
      </c>
      <c r="R53" s="1" t="s">
        <v>34</v>
      </c>
      <c r="S53" s="1">
        <v>31.25</v>
      </c>
      <c r="T53" s="1" t="s">
        <v>507</v>
      </c>
      <c r="V53" s="1" t="s">
        <v>508</v>
      </c>
    </row>
    <row r="54" spans="1:22" ht="15.75" customHeight="1" x14ac:dyDescent="0.25">
      <c r="A54" s="3">
        <v>45615</v>
      </c>
      <c r="B54" s="1" t="s">
        <v>190</v>
      </c>
      <c r="C54" s="1" t="str">
        <f t="shared" si="0"/>
        <v>4KM3QM7MJ757</v>
      </c>
      <c r="D54" s="2">
        <v>101766726300</v>
      </c>
      <c r="F54" s="1" t="s">
        <v>191</v>
      </c>
      <c r="G54" s="1" t="s">
        <v>39</v>
      </c>
      <c r="H54" s="1" t="s">
        <v>40</v>
      </c>
      <c r="I54" s="1" t="s">
        <v>503</v>
      </c>
      <c r="J54" s="1" t="s">
        <v>28</v>
      </c>
      <c r="K54" s="3">
        <v>45597</v>
      </c>
      <c r="L54" s="3">
        <v>45200</v>
      </c>
      <c r="M54" s="3">
        <f t="shared" si="1"/>
        <v>45231</v>
      </c>
      <c r="N54" s="1">
        <v>17528908</v>
      </c>
      <c r="O54" s="1" t="s">
        <v>112</v>
      </c>
      <c r="P54" s="1">
        <v>8192</v>
      </c>
      <c r="Q54" s="1" t="s">
        <v>44</v>
      </c>
      <c r="R54" s="1" t="s">
        <v>34</v>
      </c>
      <c r="S54" s="1">
        <v>31.25</v>
      </c>
      <c r="T54" s="1" t="s">
        <v>507</v>
      </c>
      <c r="V54" s="1" t="s">
        <v>508</v>
      </c>
    </row>
    <row r="55" spans="1:22" ht="15.75" customHeight="1" x14ac:dyDescent="0.25">
      <c r="A55" s="3">
        <v>45615</v>
      </c>
      <c r="B55" s="1" t="s">
        <v>194</v>
      </c>
      <c r="C55" s="1" t="str">
        <f t="shared" si="0"/>
        <v>1QG2U95UQ167</v>
      </c>
      <c r="D55" s="2">
        <v>101778770300</v>
      </c>
      <c r="F55" s="1" t="s">
        <v>195</v>
      </c>
      <c r="G55" s="1" t="s">
        <v>39</v>
      </c>
      <c r="H55" s="1" t="s">
        <v>40</v>
      </c>
      <c r="I55" s="1" t="s">
        <v>503</v>
      </c>
      <c r="J55" s="1" t="s">
        <v>28</v>
      </c>
      <c r="K55" s="3">
        <v>45597</v>
      </c>
      <c r="L55" s="3">
        <v>45231</v>
      </c>
      <c r="M55" s="3">
        <f t="shared" si="1"/>
        <v>45261</v>
      </c>
      <c r="N55" s="1">
        <v>17528908</v>
      </c>
      <c r="O55" s="1" t="s">
        <v>112</v>
      </c>
      <c r="P55" s="1">
        <v>8192</v>
      </c>
      <c r="Q55" s="1" t="s">
        <v>44</v>
      </c>
      <c r="R55" s="1" t="s">
        <v>34</v>
      </c>
      <c r="S55" s="1">
        <v>31.25</v>
      </c>
      <c r="T55" s="1" t="s">
        <v>507</v>
      </c>
      <c r="V55" s="1" t="s">
        <v>508</v>
      </c>
    </row>
    <row r="56" spans="1:22" ht="15.75" customHeight="1" x14ac:dyDescent="0.25">
      <c r="A56" s="3">
        <v>45615</v>
      </c>
      <c r="B56" s="1" t="s">
        <v>196</v>
      </c>
      <c r="C56" s="1" t="str">
        <f t="shared" si="0"/>
        <v>3K19KA7NG557</v>
      </c>
      <c r="D56" s="2">
        <v>101783462600</v>
      </c>
      <c r="F56" s="1" t="s">
        <v>197</v>
      </c>
      <c r="G56" s="1" t="s">
        <v>39</v>
      </c>
      <c r="H56" s="1" t="s">
        <v>40</v>
      </c>
      <c r="I56" s="1" t="s">
        <v>503</v>
      </c>
      <c r="J56" s="1" t="s">
        <v>28</v>
      </c>
      <c r="K56" s="3">
        <v>45597</v>
      </c>
      <c r="L56" s="3">
        <v>45261</v>
      </c>
      <c r="M56" s="3">
        <f t="shared" si="1"/>
        <v>45292</v>
      </c>
      <c r="N56" s="1">
        <v>17528908</v>
      </c>
      <c r="O56" s="1" t="s">
        <v>112</v>
      </c>
      <c r="P56" s="1">
        <v>8192</v>
      </c>
      <c r="Q56" s="1" t="s">
        <v>44</v>
      </c>
      <c r="R56" s="1" t="s">
        <v>34</v>
      </c>
      <c r="S56" s="1">
        <v>31.25</v>
      </c>
      <c r="T56" s="1" t="s">
        <v>507</v>
      </c>
      <c r="V56" s="1" t="s">
        <v>508</v>
      </c>
    </row>
    <row r="57" spans="1:22" ht="15.75" customHeight="1" x14ac:dyDescent="0.25">
      <c r="A57" s="3">
        <v>45615</v>
      </c>
      <c r="B57" s="1" t="s">
        <v>192</v>
      </c>
      <c r="C57" s="1" t="str">
        <f t="shared" si="0"/>
        <v>6N74D62MC077</v>
      </c>
      <c r="D57" s="2">
        <v>101098603800</v>
      </c>
      <c r="F57" s="1" t="s">
        <v>193</v>
      </c>
      <c r="G57" s="1" t="s">
        <v>39</v>
      </c>
      <c r="H57" s="1" t="s">
        <v>40</v>
      </c>
      <c r="I57" s="1" t="s">
        <v>503</v>
      </c>
      <c r="J57" s="1" t="s">
        <v>28</v>
      </c>
      <c r="K57" s="3">
        <v>45597</v>
      </c>
      <c r="L57" s="3">
        <v>44562</v>
      </c>
      <c r="M57" s="3">
        <f t="shared" si="1"/>
        <v>44593</v>
      </c>
      <c r="N57" s="1">
        <v>17528908</v>
      </c>
      <c r="O57" s="1" t="s">
        <v>112</v>
      </c>
      <c r="P57" s="1">
        <v>8192</v>
      </c>
      <c r="Q57" s="1" t="s">
        <v>33</v>
      </c>
      <c r="R57" s="1" t="s">
        <v>34</v>
      </c>
      <c r="S57" s="1">
        <v>30</v>
      </c>
      <c r="T57" s="1" t="s">
        <v>533</v>
      </c>
      <c r="V57" s="1" t="s">
        <v>534</v>
      </c>
    </row>
    <row r="58" spans="1:22" ht="15.75" customHeight="1" x14ac:dyDescent="0.25">
      <c r="A58" s="3">
        <v>45615</v>
      </c>
      <c r="B58" s="1" t="s">
        <v>192</v>
      </c>
      <c r="C58" s="1" t="str">
        <f t="shared" si="0"/>
        <v>6N74D62MC077</v>
      </c>
      <c r="D58" s="2">
        <v>101098603800</v>
      </c>
      <c r="F58" s="1" t="s">
        <v>193</v>
      </c>
      <c r="G58" s="1" t="s">
        <v>39</v>
      </c>
      <c r="H58" s="1" t="s">
        <v>40</v>
      </c>
      <c r="I58" s="1" t="s">
        <v>503</v>
      </c>
      <c r="J58" s="1" t="s">
        <v>28</v>
      </c>
      <c r="K58" s="3">
        <v>45597</v>
      </c>
      <c r="L58" s="3">
        <v>44562</v>
      </c>
      <c r="M58" s="3">
        <f t="shared" si="1"/>
        <v>44593</v>
      </c>
      <c r="N58" s="1">
        <v>17528908</v>
      </c>
      <c r="O58" s="1" t="s">
        <v>112</v>
      </c>
      <c r="P58" s="1">
        <v>8192</v>
      </c>
      <c r="Q58" s="1" t="s">
        <v>33</v>
      </c>
      <c r="R58" s="1" t="s">
        <v>34</v>
      </c>
      <c r="S58" s="1">
        <v>2.5</v>
      </c>
      <c r="T58" s="1" t="s">
        <v>533</v>
      </c>
      <c r="V58" s="1" t="s">
        <v>512</v>
      </c>
    </row>
    <row r="59" spans="1:22" ht="15.75" customHeight="1" x14ac:dyDescent="0.25">
      <c r="A59" s="3">
        <v>45615</v>
      </c>
      <c r="B59" s="1" t="s">
        <v>127</v>
      </c>
      <c r="C59" s="1" t="str">
        <f t="shared" si="0"/>
        <v>8XJ2FW3KQ887</v>
      </c>
      <c r="D59" s="2">
        <v>101135276600</v>
      </c>
      <c r="F59" s="1" t="s">
        <v>520</v>
      </c>
      <c r="G59" s="1" t="s">
        <v>39</v>
      </c>
      <c r="H59" s="1" t="s">
        <v>129</v>
      </c>
      <c r="I59" s="1" t="s">
        <v>500</v>
      </c>
      <c r="J59" s="1" t="s">
        <v>28</v>
      </c>
      <c r="K59" s="3">
        <v>45352</v>
      </c>
      <c r="L59" s="3">
        <v>45352</v>
      </c>
      <c r="M59" s="3">
        <f t="shared" si="1"/>
        <v>45383</v>
      </c>
      <c r="N59" s="1">
        <v>17528908</v>
      </c>
      <c r="O59" s="1" t="s">
        <v>112</v>
      </c>
      <c r="P59" s="1">
        <v>8192</v>
      </c>
      <c r="Q59" s="1" t="s">
        <v>33</v>
      </c>
      <c r="R59" s="1" t="s">
        <v>34</v>
      </c>
      <c r="S59" s="1">
        <v>313.33</v>
      </c>
      <c r="T59" s="1" t="s">
        <v>521</v>
      </c>
      <c r="V59" s="1" t="s">
        <v>535</v>
      </c>
    </row>
    <row r="60" spans="1:22" ht="15.75" customHeight="1" x14ac:dyDescent="0.25">
      <c r="A60" s="3">
        <v>45615</v>
      </c>
      <c r="B60" s="1" t="s">
        <v>204</v>
      </c>
      <c r="C60" s="1" t="str">
        <f t="shared" si="0"/>
        <v>5NU3J33JD867</v>
      </c>
      <c r="D60" s="2">
        <v>102084927600</v>
      </c>
      <c r="F60" s="1" t="s">
        <v>205</v>
      </c>
      <c r="G60" s="1" t="s">
        <v>26</v>
      </c>
      <c r="H60" s="1" t="s">
        <v>27</v>
      </c>
      <c r="I60" s="1" t="s">
        <v>500</v>
      </c>
      <c r="J60" s="1" t="s">
        <v>28</v>
      </c>
      <c r="K60" s="3">
        <v>45627</v>
      </c>
      <c r="L60" s="3">
        <v>45627</v>
      </c>
      <c r="M60" s="3">
        <f t="shared" si="1"/>
        <v>45658</v>
      </c>
      <c r="N60" s="1">
        <v>16865615</v>
      </c>
      <c r="O60" s="1" t="s">
        <v>203</v>
      </c>
      <c r="P60" s="1">
        <v>8192</v>
      </c>
      <c r="Q60" s="1" t="s">
        <v>33</v>
      </c>
      <c r="R60" s="1" t="s">
        <v>34</v>
      </c>
      <c r="S60" s="1">
        <v>35.92</v>
      </c>
      <c r="T60" s="1" t="s">
        <v>501</v>
      </c>
      <c r="V60" s="1" t="s">
        <v>502</v>
      </c>
    </row>
    <row r="61" spans="1:22" ht="15.75" customHeight="1" x14ac:dyDescent="0.25">
      <c r="A61" s="4">
        <v>45615</v>
      </c>
      <c r="B61" s="5" t="s">
        <v>198</v>
      </c>
      <c r="C61" s="5" t="str">
        <f t="shared" si="0"/>
        <v>8QR4UV1CH507</v>
      </c>
      <c r="D61" s="6">
        <v>102082153100</v>
      </c>
      <c r="E61" s="5"/>
      <c r="F61" s="5" t="s">
        <v>199</v>
      </c>
      <c r="G61" s="5" t="s">
        <v>200</v>
      </c>
      <c r="H61" s="5" t="s">
        <v>27</v>
      </c>
      <c r="I61" s="5" t="s">
        <v>500</v>
      </c>
      <c r="J61" s="5" t="s">
        <v>28</v>
      </c>
      <c r="K61" s="4">
        <v>45627</v>
      </c>
      <c r="L61" s="4">
        <v>45627</v>
      </c>
      <c r="M61" s="3">
        <f t="shared" si="1"/>
        <v>45658</v>
      </c>
      <c r="N61" s="5">
        <v>16865615</v>
      </c>
      <c r="O61" s="5" t="s">
        <v>203</v>
      </c>
      <c r="P61" s="5">
        <v>8192</v>
      </c>
      <c r="Q61" s="5" t="s">
        <v>33</v>
      </c>
      <c r="R61" s="5" t="s">
        <v>34</v>
      </c>
      <c r="S61" s="5">
        <v>43</v>
      </c>
      <c r="T61" s="5"/>
      <c r="U61" s="5"/>
      <c r="V61" s="1" t="s">
        <v>536</v>
      </c>
    </row>
    <row r="62" spans="1:22" ht="15.75" customHeight="1" x14ac:dyDescent="0.25">
      <c r="A62" s="3">
        <v>45615</v>
      </c>
      <c r="B62" s="1" t="s">
        <v>206</v>
      </c>
      <c r="C62" s="1" t="str">
        <f t="shared" si="0"/>
        <v>4J11N38FW277</v>
      </c>
      <c r="D62" s="2">
        <v>101279531500</v>
      </c>
      <c r="E62" s="1" t="s">
        <v>207</v>
      </c>
      <c r="F62" s="1" t="s">
        <v>537</v>
      </c>
      <c r="G62" s="1" t="s">
        <v>26</v>
      </c>
      <c r="H62" s="1" t="s">
        <v>40</v>
      </c>
      <c r="I62" s="1" t="s">
        <v>503</v>
      </c>
      <c r="J62" s="1" t="s">
        <v>28</v>
      </c>
      <c r="K62" s="3">
        <v>45597</v>
      </c>
      <c r="L62" s="3">
        <v>43831</v>
      </c>
      <c r="M62" s="3">
        <f t="shared" si="1"/>
        <v>43862</v>
      </c>
      <c r="N62" s="1">
        <v>9213293</v>
      </c>
      <c r="O62" s="1" t="s">
        <v>211</v>
      </c>
      <c r="P62" s="1">
        <v>8192</v>
      </c>
      <c r="Q62" s="1" t="s">
        <v>33</v>
      </c>
      <c r="R62" s="1" t="s">
        <v>34</v>
      </c>
      <c r="S62" s="1">
        <v>29.25</v>
      </c>
      <c r="T62" s="1" t="s">
        <v>501</v>
      </c>
      <c r="V62" s="1" t="s">
        <v>538</v>
      </c>
    </row>
    <row r="63" spans="1:22" ht="15.75" customHeight="1" x14ac:dyDescent="0.25">
      <c r="A63" s="3">
        <v>45615</v>
      </c>
      <c r="B63" s="1" t="s">
        <v>212</v>
      </c>
      <c r="C63" s="1" t="str">
        <f t="shared" si="0"/>
        <v>3TH1W68YM047</v>
      </c>
      <c r="D63" s="2">
        <v>101267237100</v>
      </c>
      <c r="E63" s="1" t="s">
        <v>213</v>
      </c>
      <c r="F63" s="1" t="s">
        <v>539</v>
      </c>
      <c r="G63" s="1" t="s">
        <v>26</v>
      </c>
      <c r="H63" s="1" t="s">
        <v>40</v>
      </c>
      <c r="I63" s="1" t="s">
        <v>503</v>
      </c>
      <c r="J63" s="1" t="s">
        <v>28</v>
      </c>
      <c r="K63" s="3">
        <v>45597</v>
      </c>
      <c r="L63" s="3">
        <v>43831</v>
      </c>
      <c r="M63" s="3">
        <f t="shared" si="1"/>
        <v>43862</v>
      </c>
      <c r="N63" s="1">
        <v>9213293</v>
      </c>
      <c r="O63" s="1" t="s">
        <v>211</v>
      </c>
      <c r="P63" s="1">
        <v>8192</v>
      </c>
      <c r="Q63" s="1" t="s">
        <v>33</v>
      </c>
      <c r="R63" s="1" t="s">
        <v>34</v>
      </c>
      <c r="S63" s="1">
        <v>29.25</v>
      </c>
      <c r="T63" s="1" t="s">
        <v>501</v>
      </c>
      <c r="V63" s="1" t="s">
        <v>538</v>
      </c>
    </row>
    <row r="64" spans="1:22" ht="15.75" customHeight="1" x14ac:dyDescent="0.25">
      <c r="A64" s="3">
        <v>45615</v>
      </c>
      <c r="B64" s="1" t="s">
        <v>215</v>
      </c>
      <c r="C64" s="1" t="str">
        <f t="shared" si="0"/>
        <v>1NY2Q86GG037</v>
      </c>
      <c r="D64" s="2">
        <v>101478457400</v>
      </c>
      <c r="F64" s="1" t="s">
        <v>216</v>
      </c>
      <c r="G64" s="1" t="s">
        <v>26</v>
      </c>
      <c r="H64" s="1" t="s">
        <v>40</v>
      </c>
      <c r="I64" s="1" t="s">
        <v>503</v>
      </c>
      <c r="J64" s="1" t="s">
        <v>28</v>
      </c>
      <c r="K64" s="3">
        <v>45597</v>
      </c>
      <c r="L64" s="3">
        <v>44927</v>
      </c>
      <c r="M64" s="3">
        <f t="shared" si="1"/>
        <v>44958</v>
      </c>
      <c r="N64" s="1">
        <v>9213293</v>
      </c>
      <c r="O64" s="1" t="s">
        <v>211</v>
      </c>
      <c r="P64" s="1">
        <v>8192</v>
      </c>
      <c r="Q64" s="1" t="s">
        <v>33</v>
      </c>
      <c r="R64" s="1" t="s">
        <v>34</v>
      </c>
      <c r="S64" s="1">
        <v>29.25</v>
      </c>
      <c r="T64" s="1" t="s">
        <v>501</v>
      </c>
      <c r="V64" s="1" t="s">
        <v>538</v>
      </c>
    </row>
    <row r="65" spans="1:22" ht="15.75" customHeight="1" x14ac:dyDescent="0.25">
      <c r="A65" s="3">
        <v>45615</v>
      </c>
      <c r="B65" s="1" t="s">
        <v>248</v>
      </c>
      <c r="C65" s="1" t="str">
        <f t="shared" si="0"/>
        <v>6NC4JK4RQ627</v>
      </c>
      <c r="D65" s="2">
        <v>101471626400</v>
      </c>
      <c r="F65" s="1" t="s">
        <v>540</v>
      </c>
      <c r="G65" s="1" t="s">
        <v>39</v>
      </c>
      <c r="H65" s="1" t="s">
        <v>40</v>
      </c>
      <c r="I65" s="1" t="s">
        <v>503</v>
      </c>
      <c r="J65" s="1" t="s">
        <v>138</v>
      </c>
      <c r="K65" s="3">
        <v>45597</v>
      </c>
      <c r="L65" s="3">
        <v>44562</v>
      </c>
      <c r="M65" s="3">
        <f t="shared" si="1"/>
        <v>44593</v>
      </c>
      <c r="N65" s="1">
        <v>19606009</v>
      </c>
      <c r="O65" s="1" t="s">
        <v>221</v>
      </c>
      <c r="P65" s="1">
        <v>8192</v>
      </c>
      <c r="Q65" s="1" t="s">
        <v>44</v>
      </c>
      <c r="R65" s="1" t="s">
        <v>34</v>
      </c>
      <c r="S65" s="1">
        <v>2.5</v>
      </c>
      <c r="T65" s="1" t="s">
        <v>511</v>
      </c>
      <c r="V65" s="1" t="s">
        <v>512</v>
      </c>
    </row>
    <row r="66" spans="1:22" ht="15.75" customHeight="1" x14ac:dyDescent="0.25">
      <c r="A66" s="3">
        <v>45615</v>
      </c>
      <c r="B66" s="1" t="s">
        <v>218</v>
      </c>
      <c r="C66" s="1" t="str">
        <f t="shared" si="0"/>
        <v>2VA8CC7UT437</v>
      </c>
      <c r="D66" s="2">
        <v>101558799400</v>
      </c>
      <c r="F66" s="1" t="s">
        <v>541</v>
      </c>
      <c r="G66" s="1" t="s">
        <v>39</v>
      </c>
      <c r="H66" s="1" t="s">
        <v>40</v>
      </c>
      <c r="I66" s="1" t="s">
        <v>503</v>
      </c>
      <c r="J66" s="1" t="s">
        <v>28</v>
      </c>
      <c r="K66" s="3">
        <v>45597</v>
      </c>
      <c r="L66" s="3">
        <v>45231</v>
      </c>
      <c r="M66" s="3">
        <f t="shared" si="1"/>
        <v>45261</v>
      </c>
      <c r="N66" s="1">
        <v>19606009</v>
      </c>
      <c r="O66" s="1" t="s">
        <v>221</v>
      </c>
      <c r="P66" s="1">
        <v>8192</v>
      </c>
      <c r="Q66" s="1" t="s">
        <v>44</v>
      </c>
      <c r="R66" s="1" t="s">
        <v>34</v>
      </c>
      <c r="S66" s="1">
        <v>2.5</v>
      </c>
      <c r="T66" s="1" t="s">
        <v>511</v>
      </c>
      <c r="V66" s="1" t="s">
        <v>512</v>
      </c>
    </row>
    <row r="67" spans="1:22" ht="15.75" customHeight="1" x14ac:dyDescent="0.25">
      <c r="A67" s="3">
        <v>45615</v>
      </c>
      <c r="B67" s="1" t="s">
        <v>222</v>
      </c>
      <c r="C67" s="1" t="str">
        <f t="shared" si="0"/>
        <v>2N96KF3QR517</v>
      </c>
      <c r="D67" s="2">
        <v>101067108300</v>
      </c>
      <c r="F67" s="1" t="s">
        <v>542</v>
      </c>
      <c r="G67" s="1" t="s">
        <v>39</v>
      </c>
      <c r="H67" s="1" t="s">
        <v>40</v>
      </c>
      <c r="I67" s="1" t="s">
        <v>503</v>
      </c>
      <c r="J67" s="1" t="s">
        <v>28</v>
      </c>
      <c r="K67" s="3">
        <v>45597</v>
      </c>
      <c r="L67" s="3">
        <v>44075</v>
      </c>
      <c r="M67" s="3">
        <f t="shared" si="1"/>
        <v>44105</v>
      </c>
      <c r="N67" s="1">
        <v>19606009</v>
      </c>
      <c r="O67" s="1" t="s">
        <v>221</v>
      </c>
      <c r="P67" s="1">
        <v>8192</v>
      </c>
      <c r="Q67" s="1" t="s">
        <v>44</v>
      </c>
      <c r="R67" s="1" t="s">
        <v>34</v>
      </c>
      <c r="S67" s="1">
        <v>2.5</v>
      </c>
      <c r="T67" s="1" t="s">
        <v>511</v>
      </c>
      <c r="V67" s="1" t="s">
        <v>512</v>
      </c>
    </row>
    <row r="68" spans="1:22" ht="15.75" customHeight="1" x14ac:dyDescent="0.25">
      <c r="A68" s="3">
        <v>45615</v>
      </c>
      <c r="B68" s="1" t="s">
        <v>229</v>
      </c>
      <c r="C68" s="1" t="str">
        <f t="shared" si="0"/>
        <v>5K92A66AW257</v>
      </c>
      <c r="D68" s="2">
        <v>101527305700</v>
      </c>
      <c r="F68" s="1" t="s">
        <v>230</v>
      </c>
      <c r="G68" s="1" t="s">
        <v>39</v>
      </c>
      <c r="H68" s="1" t="s">
        <v>40</v>
      </c>
      <c r="I68" s="1" t="s">
        <v>503</v>
      </c>
      <c r="J68" s="1" t="s">
        <v>28</v>
      </c>
      <c r="K68" s="3">
        <v>45597</v>
      </c>
      <c r="L68" s="3">
        <v>44927</v>
      </c>
      <c r="M68" s="3">
        <f t="shared" si="1"/>
        <v>44958</v>
      </c>
      <c r="N68" s="1">
        <v>19606009</v>
      </c>
      <c r="O68" s="1" t="s">
        <v>221</v>
      </c>
      <c r="P68" s="1">
        <v>8192</v>
      </c>
      <c r="Q68" s="1" t="s">
        <v>44</v>
      </c>
      <c r="R68" s="1" t="s">
        <v>34</v>
      </c>
      <c r="S68" s="1">
        <v>2.5</v>
      </c>
      <c r="T68" s="1" t="s">
        <v>511</v>
      </c>
      <c r="V68" s="1" t="s">
        <v>512</v>
      </c>
    </row>
    <row r="69" spans="1:22" ht="15.75" customHeight="1" x14ac:dyDescent="0.25">
      <c r="A69" s="3">
        <v>45615</v>
      </c>
      <c r="B69" s="1" t="s">
        <v>231</v>
      </c>
      <c r="C69" s="1" t="str">
        <f t="shared" si="0"/>
        <v>7UC3TP3YG057</v>
      </c>
      <c r="D69" s="2">
        <v>101462550000</v>
      </c>
      <c r="F69" s="1" t="s">
        <v>232</v>
      </c>
      <c r="G69" s="1" t="s">
        <v>39</v>
      </c>
      <c r="H69" s="1" t="s">
        <v>40</v>
      </c>
      <c r="I69" s="1" t="s">
        <v>503</v>
      </c>
      <c r="J69" s="1" t="s">
        <v>28</v>
      </c>
      <c r="K69" s="3">
        <v>45597</v>
      </c>
      <c r="L69" s="3">
        <v>44927</v>
      </c>
      <c r="M69" s="3">
        <f t="shared" si="1"/>
        <v>44958</v>
      </c>
      <c r="N69" s="1">
        <v>19606009</v>
      </c>
      <c r="O69" s="1" t="s">
        <v>221</v>
      </c>
      <c r="P69" s="1">
        <v>8192</v>
      </c>
      <c r="Q69" s="1" t="s">
        <v>44</v>
      </c>
      <c r="R69" s="1" t="s">
        <v>34</v>
      </c>
      <c r="S69" s="1">
        <v>2.5</v>
      </c>
      <c r="T69" s="1" t="s">
        <v>511</v>
      </c>
      <c r="V69" s="1" t="s">
        <v>512</v>
      </c>
    </row>
    <row r="70" spans="1:22" ht="15.75" customHeight="1" x14ac:dyDescent="0.25">
      <c r="A70" s="3">
        <v>45615</v>
      </c>
      <c r="B70" s="1" t="s">
        <v>233</v>
      </c>
      <c r="C70" s="1" t="str">
        <f t="shared" si="0"/>
        <v>1Q02R16AE017</v>
      </c>
      <c r="D70" s="2">
        <v>101521071400</v>
      </c>
      <c r="F70" s="1" t="s">
        <v>234</v>
      </c>
      <c r="G70" s="1" t="s">
        <v>39</v>
      </c>
      <c r="H70" s="1" t="s">
        <v>40</v>
      </c>
      <c r="I70" s="1" t="s">
        <v>503</v>
      </c>
      <c r="J70" s="1" t="s">
        <v>28</v>
      </c>
      <c r="K70" s="3">
        <v>45597</v>
      </c>
      <c r="L70" s="3">
        <v>44593</v>
      </c>
      <c r="M70" s="3">
        <f t="shared" si="1"/>
        <v>44621</v>
      </c>
      <c r="N70" s="1">
        <v>19606009</v>
      </c>
      <c r="O70" s="1" t="s">
        <v>221</v>
      </c>
      <c r="P70" s="1">
        <v>8192</v>
      </c>
      <c r="Q70" s="1" t="s">
        <v>44</v>
      </c>
      <c r="R70" s="1" t="s">
        <v>34</v>
      </c>
      <c r="S70" s="1">
        <v>2.5</v>
      </c>
      <c r="T70" s="1" t="s">
        <v>511</v>
      </c>
      <c r="V70" s="1" t="s">
        <v>512</v>
      </c>
    </row>
    <row r="71" spans="1:22" ht="15.75" customHeight="1" x14ac:dyDescent="0.25">
      <c r="A71" s="3">
        <v>45615</v>
      </c>
      <c r="B71" s="1" t="s">
        <v>240</v>
      </c>
      <c r="C71" s="1" t="str">
        <f t="shared" si="0"/>
        <v>6H91V21TX067</v>
      </c>
      <c r="D71" s="2">
        <v>101520146500</v>
      </c>
      <c r="F71" s="1" t="s">
        <v>241</v>
      </c>
      <c r="G71" s="1" t="s">
        <v>39</v>
      </c>
      <c r="H71" s="1" t="s">
        <v>40</v>
      </c>
      <c r="I71" s="1" t="s">
        <v>503</v>
      </c>
      <c r="J71" s="1" t="s">
        <v>28</v>
      </c>
      <c r="K71" s="3">
        <v>45597</v>
      </c>
      <c r="L71" s="3">
        <v>44652</v>
      </c>
      <c r="M71" s="3">
        <f t="shared" si="1"/>
        <v>44682</v>
      </c>
      <c r="N71" s="1">
        <v>19606009</v>
      </c>
      <c r="O71" s="1" t="s">
        <v>221</v>
      </c>
      <c r="P71" s="1">
        <v>8192</v>
      </c>
      <c r="Q71" s="1" t="s">
        <v>44</v>
      </c>
      <c r="R71" s="1" t="s">
        <v>34</v>
      </c>
      <c r="S71" s="1">
        <v>2.5</v>
      </c>
      <c r="T71" s="1" t="s">
        <v>511</v>
      </c>
      <c r="V71" s="1" t="s">
        <v>512</v>
      </c>
    </row>
    <row r="72" spans="1:22" ht="15.75" customHeight="1" x14ac:dyDescent="0.25">
      <c r="A72" s="3">
        <v>45615</v>
      </c>
      <c r="B72" s="1" t="s">
        <v>242</v>
      </c>
      <c r="C72" s="1" t="str">
        <f t="shared" si="0"/>
        <v>9EC7PU1AK577</v>
      </c>
      <c r="D72" s="2">
        <v>101517826700</v>
      </c>
      <c r="F72" s="1" t="s">
        <v>243</v>
      </c>
      <c r="G72" s="1" t="s">
        <v>39</v>
      </c>
      <c r="H72" s="1" t="s">
        <v>40</v>
      </c>
      <c r="I72" s="1" t="s">
        <v>503</v>
      </c>
      <c r="J72" s="1" t="s">
        <v>28</v>
      </c>
      <c r="K72" s="3">
        <v>45597</v>
      </c>
      <c r="L72" s="3">
        <v>44562</v>
      </c>
      <c r="M72" s="3">
        <f t="shared" si="1"/>
        <v>44593</v>
      </c>
      <c r="N72" s="1">
        <v>19606009</v>
      </c>
      <c r="O72" s="1" t="s">
        <v>221</v>
      </c>
      <c r="P72" s="1">
        <v>8192</v>
      </c>
      <c r="Q72" s="1" t="s">
        <v>44</v>
      </c>
      <c r="R72" s="1" t="s">
        <v>34</v>
      </c>
      <c r="S72" s="1">
        <v>2.5</v>
      </c>
      <c r="T72" s="1" t="s">
        <v>511</v>
      </c>
      <c r="V72" s="1" t="s">
        <v>512</v>
      </c>
    </row>
    <row r="73" spans="1:22" ht="15.75" customHeight="1" x14ac:dyDescent="0.25">
      <c r="A73" s="3">
        <v>45615</v>
      </c>
      <c r="B73" s="1" t="s">
        <v>244</v>
      </c>
      <c r="C73" s="1" t="str">
        <f t="shared" si="0"/>
        <v>3CU4YC4TU797</v>
      </c>
      <c r="D73" s="2">
        <v>101524578200</v>
      </c>
      <c r="F73" s="1" t="s">
        <v>245</v>
      </c>
      <c r="G73" s="1" t="s">
        <v>39</v>
      </c>
      <c r="H73" s="1" t="s">
        <v>40</v>
      </c>
      <c r="I73" s="1" t="s">
        <v>503</v>
      </c>
      <c r="J73" s="1" t="s">
        <v>28</v>
      </c>
      <c r="K73" s="3">
        <v>45597</v>
      </c>
      <c r="L73" s="3">
        <v>44652</v>
      </c>
      <c r="M73" s="3">
        <f t="shared" si="1"/>
        <v>44682</v>
      </c>
      <c r="N73" s="1">
        <v>19606009</v>
      </c>
      <c r="O73" s="1" t="s">
        <v>221</v>
      </c>
      <c r="P73" s="1">
        <v>8192</v>
      </c>
      <c r="Q73" s="1" t="s">
        <v>44</v>
      </c>
      <c r="R73" s="1" t="s">
        <v>34</v>
      </c>
      <c r="S73" s="1">
        <v>2.5</v>
      </c>
      <c r="T73" s="1" t="s">
        <v>511</v>
      </c>
      <c r="V73" s="1" t="s">
        <v>512</v>
      </c>
    </row>
    <row r="74" spans="1:22" ht="15.75" customHeight="1" x14ac:dyDescent="0.25">
      <c r="A74" s="3">
        <v>45615</v>
      </c>
      <c r="B74" s="1" t="s">
        <v>246</v>
      </c>
      <c r="C74" s="1" t="str">
        <f t="shared" si="0"/>
        <v>5N67NX5ER407</v>
      </c>
      <c r="D74" s="2">
        <v>101593153200</v>
      </c>
      <c r="F74" s="1" t="s">
        <v>247</v>
      </c>
      <c r="G74" s="1" t="s">
        <v>39</v>
      </c>
      <c r="H74" s="1" t="s">
        <v>40</v>
      </c>
      <c r="I74" s="1" t="s">
        <v>503</v>
      </c>
      <c r="J74" s="1" t="s">
        <v>28</v>
      </c>
      <c r="K74" s="3">
        <v>45597</v>
      </c>
      <c r="L74" s="3">
        <v>44958</v>
      </c>
      <c r="M74" s="3">
        <f t="shared" si="1"/>
        <v>44986</v>
      </c>
      <c r="N74" s="1">
        <v>19606009</v>
      </c>
      <c r="O74" s="1" t="s">
        <v>221</v>
      </c>
      <c r="P74" s="1">
        <v>8192</v>
      </c>
      <c r="Q74" s="1" t="s">
        <v>44</v>
      </c>
      <c r="R74" s="1" t="s">
        <v>34</v>
      </c>
      <c r="S74" s="1">
        <v>2.5</v>
      </c>
      <c r="T74" s="1" t="s">
        <v>511</v>
      </c>
      <c r="V74" s="1" t="s">
        <v>512</v>
      </c>
    </row>
    <row r="75" spans="1:22" ht="15.75" customHeight="1" x14ac:dyDescent="0.25">
      <c r="A75" s="3">
        <v>45615</v>
      </c>
      <c r="B75" s="1" t="s">
        <v>225</v>
      </c>
      <c r="C75" s="1" t="str">
        <f t="shared" si="0"/>
        <v>2DQ9GQ5RM297</v>
      </c>
      <c r="D75" s="2">
        <v>101067543000</v>
      </c>
      <c r="F75" s="1" t="s">
        <v>543</v>
      </c>
      <c r="G75" s="1" t="s">
        <v>39</v>
      </c>
      <c r="H75" s="1" t="s">
        <v>40</v>
      </c>
      <c r="I75" s="1" t="s">
        <v>503</v>
      </c>
      <c r="J75" s="1" t="s">
        <v>28</v>
      </c>
      <c r="K75" s="3">
        <v>45597</v>
      </c>
      <c r="L75" s="3">
        <v>44228</v>
      </c>
      <c r="M75" s="3">
        <f t="shared" si="1"/>
        <v>44256</v>
      </c>
      <c r="N75" s="1">
        <v>19606009</v>
      </c>
      <c r="O75" s="1" t="s">
        <v>221</v>
      </c>
      <c r="P75" s="1">
        <v>8192</v>
      </c>
      <c r="Q75" s="1" t="s">
        <v>33</v>
      </c>
      <c r="R75" s="1" t="s">
        <v>34</v>
      </c>
      <c r="S75" s="1">
        <v>3.75</v>
      </c>
      <c r="T75" s="1" t="s">
        <v>521</v>
      </c>
      <c r="V75" s="1" t="s">
        <v>544</v>
      </c>
    </row>
    <row r="76" spans="1:22" ht="15.75" customHeight="1" x14ac:dyDescent="0.25">
      <c r="A76" s="3">
        <v>45615</v>
      </c>
      <c r="B76" s="1" t="s">
        <v>227</v>
      </c>
      <c r="C76" s="1" t="str">
        <f t="shared" si="0"/>
        <v>4GW9W30PQ007</v>
      </c>
      <c r="D76" s="2">
        <v>101521802900</v>
      </c>
      <c r="F76" s="1" t="s">
        <v>545</v>
      </c>
      <c r="G76" s="1" t="s">
        <v>39</v>
      </c>
      <c r="H76" s="1" t="s">
        <v>40</v>
      </c>
      <c r="I76" s="1" t="s">
        <v>503</v>
      </c>
      <c r="J76" s="1" t="s">
        <v>28</v>
      </c>
      <c r="K76" s="3">
        <v>45597</v>
      </c>
      <c r="L76" s="3">
        <v>44593</v>
      </c>
      <c r="M76" s="3">
        <f t="shared" si="1"/>
        <v>44621</v>
      </c>
      <c r="N76" s="1">
        <v>19606009</v>
      </c>
      <c r="O76" s="1" t="s">
        <v>221</v>
      </c>
      <c r="P76" s="1">
        <v>8192</v>
      </c>
      <c r="Q76" s="1" t="s">
        <v>33</v>
      </c>
      <c r="R76" s="1" t="s">
        <v>34</v>
      </c>
      <c r="S76" s="1">
        <v>3.75</v>
      </c>
      <c r="T76" s="1" t="s">
        <v>521</v>
      </c>
      <c r="V76" s="1" t="s">
        <v>544</v>
      </c>
    </row>
    <row r="77" spans="1:22" ht="15.75" customHeight="1" x14ac:dyDescent="0.25">
      <c r="A77" s="3">
        <v>45615</v>
      </c>
      <c r="B77" s="1" t="s">
        <v>235</v>
      </c>
      <c r="C77" s="1" t="str">
        <f t="shared" si="0"/>
        <v>9V87W77WW447</v>
      </c>
      <c r="D77" s="2">
        <v>101456926300</v>
      </c>
      <c r="F77" s="1" t="s">
        <v>236</v>
      </c>
      <c r="G77" s="1" t="s">
        <v>39</v>
      </c>
      <c r="H77" s="1" t="s">
        <v>40</v>
      </c>
      <c r="I77" s="1" t="s">
        <v>503</v>
      </c>
      <c r="J77" s="1" t="s">
        <v>28</v>
      </c>
      <c r="K77" s="3">
        <v>45597</v>
      </c>
      <c r="L77" s="3">
        <v>44287</v>
      </c>
      <c r="M77" s="3">
        <f t="shared" si="1"/>
        <v>44317</v>
      </c>
      <c r="N77" s="1">
        <v>19606009</v>
      </c>
      <c r="O77" s="1" t="s">
        <v>221</v>
      </c>
      <c r="P77" s="1">
        <v>8192</v>
      </c>
      <c r="Q77" s="1" t="s">
        <v>33</v>
      </c>
      <c r="R77" s="1" t="s">
        <v>34</v>
      </c>
      <c r="S77" s="1">
        <v>3.75</v>
      </c>
      <c r="T77" s="1" t="s">
        <v>521</v>
      </c>
      <c r="V77" s="1" t="s">
        <v>544</v>
      </c>
    </row>
    <row r="78" spans="1:22" ht="15.75" customHeight="1" x14ac:dyDescent="0.25">
      <c r="A78" s="3">
        <v>45615</v>
      </c>
      <c r="B78" s="1" t="s">
        <v>237</v>
      </c>
      <c r="C78" s="1" t="str">
        <f t="shared" si="0"/>
        <v>9JR5QQ6CD647</v>
      </c>
      <c r="D78" s="2">
        <v>101094056700</v>
      </c>
      <c r="E78" s="1" t="s">
        <v>238</v>
      </c>
      <c r="F78" s="1" t="s">
        <v>239</v>
      </c>
      <c r="G78" s="1" t="s">
        <v>39</v>
      </c>
      <c r="H78" s="1" t="s">
        <v>40</v>
      </c>
      <c r="I78" s="1" t="s">
        <v>503</v>
      </c>
      <c r="J78" s="1" t="s">
        <v>28</v>
      </c>
      <c r="K78" s="3">
        <v>45597</v>
      </c>
      <c r="L78" s="3">
        <v>43466</v>
      </c>
      <c r="M78" s="3">
        <f t="shared" si="1"/>
        <v>43497</v>
      </c>
      <c r="N78" s="1">
        <v>19606009</v>
      </c>
      <c r="O78" s="1" t="s">
        <v>221</v>
      </c>
      <c r="P78" s="1">
        <v>8192</v>
      </c>
      <c r="Q78" s="1" t="s">
        <v>33</v>
      </c>
      <c r="R78" s="1" t="s">
        <v>34</v>
      </c>
      <c r="S78" s="1">
        <v>3.75</v>
      </c>
      <c r="T78" s="1" t="s">
        <v>521</v>
      </c>
      <c r="V78" s="1" t="s">
        <v>544</v>
      </c>
    </row>
    <row r="79" spans="1:22" ht="15.75" customHeight="1" x14ac:dyDescent="0.25">
      <c r="A79" s="3">
        <v>45615</v>
      </c>
      <c r="B79" s="1" t="s">
        <v>250</v>
      </c>
      <c r="C79" s="1" t="str">
        <f t="shared" si="0"/>
        <v>2XH9Y99CV117</v>
      </c>
      <c r="D79" s="2">
        <v>101109146700</v>
      </c>
      <c r="F79" s="1" t="s">
        <v>251</v>
      </c>
      <c r="G79" s="1" t="s">
        <v>39</v>
      </c>
      <c r="H79" s="1" t="s">
        <v>40</v>
      </c>
      <c r="I79" s="1" t="s">
        <v>503</v>
      </c>
      <c r="J79" s="1" t="s">
        <v>28</v>
      </c>
      <c r="K79" s="3">
        <v>45597</v>
      </c>
      <c r="L79" s="3">
        <v>43831</v>
      </c>
      <c r="M79" s="3">
        <f t="shared" si="1"/>
        <v>43862</v>
      </c>
      <c r="N79" s="1">
        <v>19606009</v>
      </c>
      <c r="O79" s="1" t="s">
        <v>221</v>
      </c>
      <c r="P79" s="1">
        <v>8192</v>
      </c>
      <c r="Q79" s="1" t="s">
        <v>33</v>
      </c>
      <c r="R79" s="1" t="s">
        <v>34</v>
      </c>
      <c r="S79" s="1">
        <v>3.75</v>
      </c>
      <c r="T79" s="1" t="s">
        <v>521</v>
      </c>
      <c r="V79" s="1" t="s">
        <v>544</v>
      </c>
    </row>
    <row r="80" spans="1:22" ht="15.75" customHeight="1" x14ac:dyDescent="0.25">
      <c r="A80" s="3">
        <v>45615</v>
      </c>
      <c r="B80" s="1" t="s">
        <v>277</v>
      </c>
      <c r="C80" s="1" t="str">
        <f t="shared" si="0"/>
        <v>6KJ4QN3YM657</v>
      </c>
      <c r="D80" s="2">
        <v>101054911000</v>
      </c>
      <c r="E80" s="1" t="s">
        <v>278</v>
      </c>
      <c r="F80" s="1" t="s">
        <v>546</v>
      </c>
      <c r="G80" s="1" t="s">
        <v>39</v>
      </c>
      <c r="H80" s="1" t="s">
        <v>40</v>
      </c>
      <c r="I80" s="1" t="s">
        <v>503</v>
      </c>
      <c r="J80" s="1" t="s">
        <v>28</v>
      </c>
      <c r="K80" s="3">
        <v>45597</v>
      </c>
      <c r="L80" s="3">
        <v>43678</v>
      </c>
      <c r="M80" s="3">
        <f t="shared" si="1"/>
        <v>43709</v>
      </c>
      <c r="N80" s="1">
        <v>17886092</v>
      </c>
      <c r="O80" s="1" t="s">
        <v>256</v>
      </c>
      <c r="P80" s="1">
        <v>8192</v>
      </c>
      <c r="Q80" s="1" t="s">
        <v>33</v>
      </c>
      <c r="R80" s="1" t="s">
        <v>34</v>
      </c>
      <c r="S80" s="1">
        <v>1.25</v>
      </c>
      <c r="T80" s="1" t="s">
        <v>511</v>
      </c>
      <c r="V80" s="1" t="s">
        <v>512</v>
      </c>
    </row>
    <row r="81" spans="1:22" ht="15.75" customHeight="1" x14ac:dyDescent="0.25">
      <c r="A81" s="3">
        <v>45615</v>
      </c>
      <c r="B81" s="1" t="s">
        <v>252</v>
      </c>
      <c r="C81" s="1" t="str">
        <f t="shared" si="0"/>
        <v>2JX9P33CW447</v>
      </c>
      <c r="D81" s="2">
        <v>101084611600</v>
      </c>
      <c r="E81" s="1" t="s">
        <v>253</v>
      </c>
      <c r="F81" s="1" t="s">
        <v>547</v>
      </c>
      <c r="G81" s="1" t="s">
        <v>39</v>
      </c>
      <c r="H81" s="1" t="s">
        <v>40</v>
      </c>
      <c r="I81" s="1" t="s">
        <v>503</v>
      </c>
      <c r="J81" s="1" t="s">
        <v>28</v>
      </c>
      <c r="K81" s="3">
        <v>45597</v>
      </c>
      <c r="L81" s="3">
        <v>37987</v>
      </c>
      <c r="M81" s="3">
        <f t="shared" si="1"/>
        <v>38018</v>
      </c>
      <c r="N81" s="1">
        <v>17886092</v>
      </c>
      <c r="O81" s="1" t="s">
        <v>256</v>
      </c>
      <c r="P81" s="1">
        <v>8192</v>
      </c>
      <c r="Q81" s="1" t="s">
        <v>44</v>
      </c>
      <c r="R81" s="1" t="s">
        <v>34</v>
      </c>
      <c r="S81" s="1">
        <v>2.5</v>
      </c>
      <c r="T81" s="1" t="s">
        <v>511</v>
      </c>
      <c r="V81" s="1" t="s">
        <v>512</v>
      </c>
    </row>
    <row r="82" spans="1:22" ht="15.75" customHeight="1" x14ac:dyDescent="0.25">
      <c r="A82" s="3">
        <v>45615</v>
      </c>
      <c r="B82" s="1" t="s">
        <v>257</v>
      </c>
      <c r="C82" s="1" t="str">
        <f t="shared" si="0"/>
        <v>5KE1VF1PT367</v>
      </c>
      <c r="D82" s="2">
        <v>101775104200</v>
      </c>
      <c r="F82" s="1" t="s">
        <v>548</v>
      </c>
      <c r="G82" s="1" t="s">
        <v>39</v>
      </c>
      <c r="H82" s="1" t="s">
        <v>40</v>
      </c>
      <c r="I82" s="1" t="s">
        <v>503</v>
      </c>
      <c r="J82" s="1" t="s">
        <v>28</v>
      </c>
      <c r="K82" s="3">
        <v>45597</v>
      </c>
      <c r="L82" s="3">
        <v>45200</v>
      </c>
      <c r="M82" s="3">
        <f t="shared" si="1"/>
        <v>45231</v>
      </c>
      <c r="N82" s="1">
        <v>17886092</v>
      </c>
      <c r="O82" s="1" t="s">
        <v>256</v>
      </c>
      <c r="P82" s="1">
        <v>8192</v>
      </c>
      <c r="Q82" s="1" t="s">
        <v>44</v>
      </c>
      <c r="R82" s="1" t="s">
        <v>34</v>
      </c>
      <c r="S82" s="1">
        <v>2.5</v>
      </c>
      <c r="T82" s="1" t="s">
        <v>511</v>
      </c>
      <c r="V82" s="1" t="s">
        <v>512</v>
      </c>
    </row>
    <row r="83" spans="1:22" ht="15.75" customHeight="1" x14ac:dyDescent="0.25">
      <c r="A83" s="3">
        <v>45615</v>
      </c>
      <c r="B83" s="1" t="s">
        <v>259</v>
      </c>
      <c r="C83" s="1" t="str">
        <f t="shared" si="0"/>
        <v>7MY8TU2AM277</v>
      </c>
      <c r="D83" s="2">
        <v>101778268700</v>
      </c>
      <c r="F83" s="1" t="s">
        <v>549</v>
      </c>
      <c r="G83" s="1" t="s">
        <v>39</v>
      </c>
      <c r="H83" s="1" t="s">
        <v>40</v>
      </c>
      <c r="I83" s="1" t="s">
        <v>503</v>
      </c>
      <c r="J83" s="1" t="s">
        <v>28</v>
      </c>
      <c r="K83" s="3">
        <v>45597</v>
      </c>
      <c r="L83" s="3">
        <v>45231</v>
      </c>
      <c r="M83" s="3">
        <f t="shared" si="1"/>
        <v>45261</v>
      </c>
      <c r="N83" s="1">
        <v>17886092</v>
      </c>
      <c r="O83" s="1" t="s">
        <v>256</v>
      </c>
      <c r="P83" s="1">
        <v>8192</v>
      </c>
      <c r="Q83" s="1" t="s">
        <v>44</v>
      </c>
      <c r="R83" s="1" t="s">
        <v>34</v>
      </c>
      <c r="S83" s="1">
        <v>2.5</v>
      </c>
      <c r="T83" s="1" t="s">
        <v>511</v>
      </c>
      <c r="V83" s="1" t="s">
        <v>512</v>
      </c>
    </row>
    <row r="84" spans="1:22" ht="15.75" customHeight="1" x14ac:dyDescent="0.25">
      <c r="A84" s="3">
        <v>45615</v>
      </c>
      <c r="B84" s="1" t="s">
        <v>261</v>
      </c>
      <c r="C84" s="1" t="str">
        <f t="shared" si="0"/>
        <v>4Y98ET4QH647</v>
      </c>
      <c r="D84" s="2">
        <v>101772686200</v>
      </c>
      <c r="F84" s="1" t="s">
        <v>550</v>
      </c>
      <c r="G84" s="1" t="s">
        <v>39</v>
      </c>
      <c r="H84" s="1" t="s">
        <v>40</v>
      </c>
      <c r="I84" s="1" t="s">
        <v>503</v>
      </c>
      <c r="J84" s="1" t="s">
        <v>28</v>
      </c>
      <c r="K84" s="3">
        <v>45597</v>
      </c>
      <c r="L84" s="3">
        <v>45231</v>
      </c>
      <c r="M84" s="3">
        <f t="shared" si="1"/>
        <v>45261</v>
      </c>
      <c r="N84" s="1">
        <v>17886092</v>
      </c>
      <c r="O84" s="1" t="s">
        <v>256</v>
      </c>
      <c r="P84" s="1">
        <v>8192</v>
      </c>
      <c r="Q84" s="1" t="s">
        <v>44</v>
      </c>
      <c r="R84" s="1" t="s">
        <v>34</v>
      </c>
      <c r="S84" s="1">
        <v>2.5</v>
      </c>
      <c r="T84" s="1" t="s">
        <v>511</v>
      </c>
      <c r="V84" s="1" t="s">
        <v>512</v>
      </c>
    </row>
    <row r="85" spans="1:22" ht="15.75" customHeight="1" x14ac:dyDescent="0.25">
      <c r="A85" s="3">
        <v>45615</v>
      </c>
      <c r="B85" s="1" t="s">
        <v>263</v>
      </c>
      <c r="C85" s="1" t="str">
        <f t="shared" si="0"/>
        <v>5FR6QA5TP537</v>
      </c>
      <c r="D85" s="2">
        <v>101082956400</v>
      </c>
      <c r="E85" s="1" t="s">
        <v>264</v>
      </c>
      <c r="F85" s="1" t="s">
        <v>551</v>
      </c>
      <c r="G85" s="1" t="s">
        <v>39</v>
      </c>
      <c r="H85" s="1" t="s">
        <v>40</v>
      </c>
      <c r="I85" s="1" t="s">
        <v>503</v>
      </c>
      <c r="J85" s="1" t="s">
        <v>28</v>
      </c>
      <c r="K85" s="3">
        <v>45597</v>
      </c>
      <c r="L85" s="3">
        <v>41000</v>
      </c>
      <c r="M85" s="3">
        <f t="shared" si="1"/>
        <v>41030</v>
      </c>
      <c r="N85" s="1">
        <v>17886092</v>
      </c>
      <c r="O85" s="1" t="s">
        <v>256</v>
      </c>
      <c r="P85" s="1">
        <v>8192</v>
      </c>
      <c r="Q85" s="1" t="s">
        <v>44</v>
      </c>
      <c r="R85" s="1" t="s">
        <v>34</v>
      </c>
      <c r="S85" s="1">
        <v>2.5</v>
      </c>
      <c r="T85" s="1" t="s">
        <v>511</v>
      </c>
      <c r="V85" s="1" t="s">
        <v>512</v>
      </c>
    </row>
    <row r="86" spans="1:22" ht="15.75" customHeight="1" x14ac:dyDescent="0.25">
      <c r="A86" s="3">
        <v>45615</v>
      </c>
      <c r="B86" s="1" t="s">
        <v>266</v>
      </c>
      <c r="C86" s="1" t="str">
        <f t="shared" si="0"/>
        <v>3QR6QH7QP537</v>
      </c>
      <c r="D86" s="2">
        <v>101770929100</v>
      </c>
      <c r="F86" s="1" t="s">
        <v>552</v>
      </c>
      <c r="G86" s="1" t="s">
        <v>39</v>
      </c>
      <c r="H86" s="1" t="s">
        <v>40</v>
      </c>
      <c r="I86" s="1" t="s">
        <v>503</v>
      </c>
      <c r="J86" s="1" t="s">
        <v>28</v>
      </c>
      <c r="K86" s="3">
        <v>45597</v>
      </c>
      <c r="L86" s="3">
        <v>45261</v>
      </c>
      <c r="M86" s="3">
        <f t="shared" si="1"/>
        <v>45292</v>
      </c>
      <c r="N86" s="1">
        <v>17886092</v>
      </c>
      <c r="O86" s="1" t="s">
        <v>256</v>
      </c>
      <c r="P86" s="1">
        <v>8192</v>
      </c>
      <c r="Q86" s="1" t="s">
        <v>44</v>
      </c>
      <c r="R86" s="1" t="s">
        <v>34</v>
      </c>
      <c r="S86" s="1">
        <v>2.5</v>
      </c>
      <c r="T86" s="1" t="s">
        <v>511</v>
      </c>
      <c r="V86" s="1" t="s">
        <v>512</v>
      </c>
    </row>
    <row r="87" spans="1:22" ht="15.75" customHeight="1" x14ac:dyDescent="0.25">
      <c r="A87" s="3">
        <v>45615</v>
      </c>
      <c r="B87" s="1" t="s">
        <v>268</v>
      </c>
      <c r="C87" s="1" t="str">
        <f t="shared" si="0"/>
        <v>3VC0G14MV167</v>
      </c>
      <c r="D87" s="2">
        <v>101072603200</v>
      </c>
      <c r="E87" s="1" t="s">
        <v>269</v>
      </c>
      <c r="F87" s="1" t="s">
        <v>553</v>
      </c>
      <c r="G87" s="1" t="s">
        <v>39</v>
      </c>
      <c r="H87" s="1" t="s">
        <v>40</v>
      </c>
      <c r="I87" s="1" t="s">
        <v>503</v>
      </c>
      <c r="J87" s="1" t="s">
        <v>28</v>
      </c>
      <c r="K87" s="3">
        <v>45597</v>
      </c>
      <c r="L87" s="3">
        <v>42736</v>
      </c>
      <c r="M87" s="3">
        <f t="shared" si="1"/>
        <v>42767</v>
      </c>
      <c r="N87" s="1">
        <v>17886092</v>
      </c>
      <c r="O87" s="1" t="s">
        <v>256</v>
      </c>
      <c r="P87" s="1">
        <v>8192</v>
      </c>
      <c r="Q87" s="1" t="s">
        <v>44</v>
      </c>
      <c r="R87" s="1" t="s">
        <v>34</v>
      </c>
      <c r="S87" s="1">
        <v>2.5</v>
      </c>
      <c r="T87" s="1" t="s">
        <v>511</v>
      </c>
      <c r="V87" s="1" t="s">
        <v>512</v>
      </c>
    </row>
    <row r="88" spans="1:22" ht="15.75" customHeight="1" x14ac:dyDescent="0.25">
      <c r="A88" s="3">
        <v>45615</v>
      </c>
      <c r="B88" s="1" t="s">
        <v>272</v>
      </c>
      <c r="C88" s="1" t="str">
        <f t="shared" si="0"/>
        <v>5AG6K45YT407</v>
      </c>
      <c r="D88" s="2">
        <v>101062800700</v>
      </c>
      <c r="E88" s="1" t="s">
        <v>273</v>
      </c>
      <c r="F88" s="1" t="s">
        <v>554</v>
      </c>
      <c r="G88" s="1" t="s">
        <v>39</v>
      </c>
      <c r="H88" s="1" t="s">
        <v>40</v>
      </c>
      <c r="I88" s="1" t="s">
        <v>503</v>
      </c>
      <c r="J88" s="1" t="s">
        <v>28</v>
      </c>
      <c r="K88" s="3">
        <v>45597</v>
      </c>
      <c r="L88" s="3">
        <v>42736</v>
      </c>
      <c r="M88" s="3">
        <f t="shared" si="1"/>
        <v>42767</v>
      </c>
      <c r="N88" s="1">
        <v>17886092</v>
      </c>
      <c r="O88" s="1" t="s">
        <v>256</v>
      </c>
      <c r="P88" s="1">
        <v>8192</v>
      </c>
      <c r="Q88" s="1" t="s">
        <v>44</v>
      </c>
      <c r="R88" s="1" t="s">
        <v>34</v>
      </c>
      <c r="S88" s="1">
        <v>2.5</v>
      </c>
      <c r="T88" s="1" t="s">
        <v>511</v>
      </c>
      <c r="V88" s="1" t="s">
        <v>512</v>
      </c>
    </row>
    <row r="89" spans="1:22" ht="15.75" customHeight="1" x14ac:dyDescent="0.25">
      <c r="A89" s="3">
        <v>45615</v>
      </c>
      <c r="B89" s="1" t="s">
        <v>275</v>
      </c>
      <c r="C89" s="1" t="str">
        <f t="shared" si="0"/>
        <v>4CJ4TD9KH827</v>
      </c>
      <c r="D89" s="2">
        <v>101791541400</v>
      </c>
      <c r="F89" s="1" t="s">
        <v>555</v>
      </c>
      <c r="G89" s="1" t="s">
        <v>39</v>
      </c>
      <c r="H89" s="1" t="s">
        <v>40</v>
      </c>
      <c r="I89" s="1" t="s">
        <v>503</v>
      </c>
      <c r="J89" s="1" t="s">
        <v>28</v>
      </c>
      <c r="K89" s="3">
        <v>45597</v>
      </c>
      <c r="L89" s="3">
        <v>45261</v>
      </c>
      <c r="M89" s="3">
        <f t="shared" si="1"/>
        <v>45292</v>
      </c>
      <c r="N89" s="1">
        <v>17886092</v>
      </c>
      <c r="O89" s="1" t="s">
        <v>256</v>
      </c>
      <c r="P89" s="1">
        <v>8192</v>
      </c>
      <c r="Q89" s="1" t="s">
        <v>44</v>
      </c>
      <c r="R89" s="1" t="s">
        <v>34</v>
      </c>
      <c r="S89" s="1">
        <v>2.5</v>
      </c>
      <c r="T89" s="1" t="s">
        <v>511</v>
      </c>
      <c r="V89" s="1" t="s">
        <v>512</v>
      </c>
    </row>
    <row r="90" spans="1:22" ht="15.75" customHeight="1" x14ac:dyDescent="0.25">
      <c r="A90" s="3">
        <v>45615</v>
      </c>
      <c r="B90" s="1" t="s">
        <v>280</v>
      </c>
      <c r="C90" s="1" t="str">
        <f t="shared" si="0"/>
        <v>4FV4TW7KE787</v>
      </c>
      <c r="D90" s="2">
        <v>101471419800</v>
      </c>
      <c r="F90" s="1" t="s">
        <v>556</v>
      </c>
      <c r="G90" s="1" t="s">
        <v>39</v>
      </c>
      <c r="H90" s="1" t="s">
        <v>40</v>
      </c>
      <c r="I90" s="1" t="s">
        <v>503</v>
      </c>
      <c r="J90" s="1" t="s">
        <v>28</v>
      </c>
      <c r="K90" s="3">
        <v>45597</v>
      </c>
      <c r="L90" s="3">
        <v>44927</v>
      </c>
      <c r="M90" s="3">
        <f t="shared" si="1"/>
        <v>44958</v>
      </c>
      <c r="N90" s="1">
        <v>17886092</v>
      </c>
      <c r="O90" s="1" t="s">
        <v>256</v>
      </c>
      <c r="P90" s="1">
        <v>8192</v>
      </c>
      <c r="Q90" s="1" t="s">
        <v>44</v>
      </c>
      <c r="R90" s="1" t="s">
        <v>34</v>
      </c>
      <c r="S90" s="1">
        <v>2.5</v>
      </c>
      <c r="T90" s="1" t="s">
        <v>511</v>
      </c>
      <c r="V90" s="1" t="s">
        <v>512</v>
      </c>
    </row>
    <row r="91" spans="1:22" ht="15.75" customHeight="1" x14ac:dyDescent="0.25">
      <c r="A91" s="3">
        <v>45615</v>
      </c>
      <c r="B91" s="1" t="s">
        <v>282</v>
      </c>
      <c r="C91" s="1" t="str">
        <f t="shared" si="0"/>
        <v>3AX6GM0GD597</v>
      </c>
      <c r="D91" s="2">
        <v>101061019000</v>
      </c>
      <c r="E91" s="1" t="s">
        <v>283</v>
      </c>
      <c r="F91" s="1" t="s">
        <v>557</v>
      </c>
      <c r="G91" s="1" t="s">
        <v>39</v>
      </c>
      <c r="H91" s="1" t="s">
        <v>40</v>
      </c>
      <c r="I91" s="1" t="s">
        <v>503</v>
      </c>
      <c r="J91" s="1" t="s">
        <v>28</v>
      </c>
      <c r="K91" s="3">
        <v>45597</v>
      </c>
      <c r="L91" s="3">
        <v>43466</v>
      </c>
      <c r="M91" s="3">
        <f t="shared" si="1"/>
        <v>43497</v>
      </c>
      <c r="N91" s="1">
        <v>17886092</v>
      </c>
      <c r="O91" s="1" t="s">
        <v>256</v>
      </c>
      <c r="P91" s="1">
        <v>8192</v>
      </c>
      <c r="Q91" s="1" t="s">
        <v>44</v>
      </c>
      <c r="R91" s="1" t="s">
        <v>34</v>
      </c>
      <c r="S91" s="1">
        <v>2.5</v>
      </c>
      <c r="T91" s="1" t="s">
        <v>511</v>
      </c>
      <c r="V91" s="1" t="s">
        <v>512</v>
      </c>
    </row>
    <row r="92" spans="1:22" ht="15.75" customHeight="1" x14ac:dyDescent="0.25">
      <c r="A92" s="3">
        <v>45615</v>
      </c>
      <c r="B92" s="1" t="s">
        <v>285</v>
      </c>
      <c r="C92" s="1" t="str">
        <f t="shared" si="0"/>
        <v>8HK8P00WQ297</v>
      </c>
      <c r="D92" s="2">
        <v>101093137900</v>
      </c>
      <c r="E92" s="1" t="s">
        <v>286</v>
      </c>
      <c r="F92" s="1" t="s">
        <v>558</v>
      </c>
      <c r="G92" s="1" t="s">
        <v>39</v>
      </c>
      <c r="H92" s="1" t="s">
        <v>40</v>
      </c>
      <c r="I92" s="1" t="s">
        <v>503</v>
      </c>
      <c r="J92" s="1" t="s">
        <v>28</v>
      </c>
      <c r="K92" s="3">
        <v>45597</v>
      </c>
      <c r="L92" s="3">
        <v>43466</v>
      </c>
      <c r="M92" s="3">
        <f t="shared" si="1"/>
        <v>43497</v>
      </c>
      <c r="N92" s="1">
        <v>17886092</v>
      </c>
      <c r="O92" s="1" t="s">
        <v>256</v>
      </c>
      <c r="P92" s="1">
        <v>8192</v>
      </c>
      <c r="Q92" s="1" t="s">
        <v>44</v>
      </c>
      <c r="R92" s="1" t="s">
        <v>34</v>
      </c>
      <c r="S92" s="1">
        <v>2.5</v>
      </c>
      <c r="T92" s="1" t="s">
        <v>511</v>
      </c>
      <c r="V92" s="1" t="s">
        <v>512</v>
      </c>
    </row>
    <row r="93" spans="1:22" ht="15.75" customHeight="1" x14ac:dyDescent="0.25">
      <c r="A93" s="3">
        <v>45615</v>
      </c>
      <c r="B93" s="1" t="s">
        <v>288</v>
      </c>
      <c r="C93" s="1" t="str">
        <f t="shared" si="0"/>
        <v>7H43TQ0FE767</v>
      </c>
      <c r="D93" s="2">
        <v>101836449900</v>
      </c>
      <c r="F93" s="1" t="s">
        <v>559</v>
      </c>
      <c r="G93" s="1" t="s">
        <v>39</v>
      </c>
      <c r="H93" s="1" t="s">
        <v>40</v>
      </c>
      <c r="I93" s="1" t="s">
        <v>503</v>
      </c>
      <c r="J93" s="1" t="s">
        <v>28</v>
      </c>
      <c r="K93" s="3">
        <v>45597</v>
      </c>
      <c r="L93" s="3">
        <v>45261</v>
      </c>
      <c r="M93" s="3">
        <f t="shared" si="1"/>
        <v>45292</v>
      </c>
      <c r="N93" s="1">
        <v>17886092</v>
      </c>
      <c r="O93" s="1" t="s">
        <v>256</v>
      </c>
      <c r="P93" s="1">
        <v>8192</v>
      </c>
      <c r="Q93" s="1" t="s">
        <v>44</v>
      </c>
      <c r="R93" s="1" t="s">
        <v>34</v>
      </c>
      <c r="S93" s="1">
        <v>2.5</v>
      </c>
      <c r="T93" s="1" t="s">
        <v>511</v>
      </c>
      <c r="V93" s="1" t="s">
        <v>512</v>
      </c>
    </row>
    <row r="94" spans="1:22" ht="15.75" customHeight="1" x14ac:dyDescent="0.25">
      <c r="A94" s="3">
        <v>45615</v>
      </c>
      <c r="B94" s="1" t="s">
        <v>290</v>
      </c>
      <c r="C94" s="1" t="str">
        <f t="shared" si="0"/>
        <v>9T45JT0NC647</v>
      </c>
      <c r="D94" s="2">
        <v>101095837500</v>
      </c>
      <c r="E94" s="1" t="s">
        <v>291</v>
      </c>
      <c r="F94" s="1" t="s">
        <v>560</v>
      </c>
      <c r="G94" s="1" t="s">
        <v>39</v>
      </c>
      <c r="H94" s="1" t="s">
        <v>40</v>
      </c>
      <c r="I94" s="1" t="s">
        <v>503</v>
      </c>
      <c r="J94" s="1" t="s">
        <v>28</v>
      </c>
      <c r="K94" s="3">
        <v>45597</v>
      </c>
      <c r="L94" s="3">
        <v>43466</v>
      </c>
      <c r="M94" s="3">
        <f t="shared" si="1"/>
        <v>43497</v>
      </c>
      <c r="N94" s="1">
        <v>17886092</v>
      </c>
      <c r="O94" s="1" t="s">
        <v>256</v>
      </c>
      <c r="P94" s="1">
        <v>8192</v>
      </c>
      <c r="Q94" s="1" t="s">
        <v>44</v>
      </c>
      <c r="R94" s="1" t="s">
        <v>34</v>
      </c>
      <c r="S94" s="1">
        <v>2.5</v>
      </c>
      <c r="T94" s="1" t="s">
        <v>511</v>
      </c>
      <c r="V94" s="1" t="s">
        <v>512</v>
      </c>
    </row>
    <row r="95" spans="1:22" ht="15.75" customHeight="1" x14ac:dyDescent="0.25">
      <c r="A95" s="3">
        <v>45615</v>
      </c>
      <c r="B95" s="1" t="s">
        <v>293</v>
      </c>
      <c r="C95" s="1" t="str">
        <f t="shared" si="0"/>
        <v>4FJ2EF8QV117</v>
      </c>
      <c r="D95" s="2">
        <v>101065125000</v>
      </c>
      <c r="E95" s="1" t="s">
        <v>294</v>
      </c>
      <c r="F95" s="1" t="s">
        <v>561</v>
      </c>
      <c r="G95" s="1" t="s">
        <v>39</v>
      </c>
      <c r="H95" s="1" t="s">
        <v>40</v>
      </c>
      <c r="I95" s="1" t="s">
        <v>503</v>
      </c>
      <c r="J95" s="1" t="s">
        <v>28</v>
      </c>
      <c r="K95" s="3">
        <v>45597</v>
      </c>
      <c r="L95" s="3">
        <v>43466</v>
      </c>
      <c r="M95" s="3">
        <f t="shared" si="1"/>
        <v>43497</v>
      </c>
      <c r="N95" s="1">
        <v>17886092</v>
      </c>
      <c r="O95" s="1" t="s">
        <v>256</v>
      </c>
      <c r="P95" s="1">
        <v>8192</v>
      </c>
      <c r="Q95" s="1" t="s">
        <v>44</v>
      </c>
      <c r="R95" s="1" t="s">
        <v>34</v>
      </c>
      <c r="S95" s="1">
        <v>2.5</v>
      </c>
      <c r="T95" s="1" t="s">
        <v>511</v>
      </c>
      <c r="V95" s="1" t="s">
        <v>512</v>
      </c>
    </row>
    <row r="96" spans="1:22" ht="15.75" customHeight="1" x14ac:dyDescent="0.25">
      <c r="A96" s="3">
        <v>45615</v>
      </c>
      <c r="B96" s="1" t="s">
        <v>296</v>
      </c>
      <c r="C96" s="1" t="str">
        <f t="shared" si="0"/>
        <v>8K29XN8YE147</v>
      </c>
      <c r="D96" s="2">
        <v>101086107300</v>
      </c>
      <c r="E96" s="1" t="s">
        <v>297</v>
      </c>
      <c r="F96" s="1" t="s">
        <v>562</v>
      </c>
      <c r="G96" s="1" t="s">
        <v>39</v>
      </c>
      <c r="H96" s="1" t="s">
        <v>40</v>
      </c>
      <c r="I96" s="1" t="s">
        <v>503</v>
      </c>
      <c r="J96" s="1" t="s">
        <v>28</v>
      </c>
      <c r="K96" s="3">
        <v>45597</v>
      </c>
      <c r="L96" s="3">
        <v>41640</v>
      </c>
      <c r="M96" s="3">
        <f t="shared" si="1"/>
        <v>41671</v>
      </c>
      <c r="N96" s="1">
        <v>17886092</v>
      </c>
      <c r="O96" s="1" t="s">
        <v>256</v>
      </c>
      <c r="P96" s="1">
        <v>8192</v>
      </c>
      <c r="Q96" s="1" t="s">
        <v>44</v>
      </c>
      <c r="R96" s="1" t="s">
        <v>34</v>
      </c>
      <c r="S96" s="1">
        <v>2.5</v>
      </c>
      <c r="T96" s="1" t="s">
        <v>511</v>
      </c>
      <c r="V96" s="1" t="s">
        <v>512</v>
      </c>
    </row>
    <row r="97" spans="1:22" ht="15.75" customHeight="1" x14ac:dyDescent="0.25">
      <c r="A97" s="3">
        <v>45615</v>
      </c>
      <c r="B97" s="1" t="s">
        <v>299</v>
      </c>
      <c r="C97" s="1" t="str">
        <f t="shared" si="0"/>
        <v>7GQ1TM5VV377</v>
      </c>
      <c r="D97" s="2">
        <v>101853377400</v>
      </c>
      <c r="F97" s="1" t="s">
        <v>563</v>
      </c>
      <c r="G97" s="1" t="s">
        <v>39</v>
      </c>
      <c r="H97" s="1" t="s">
        <v>40</v>
      </c>
      <c r="I97" s="1" t="s">
        <v>503</v>
      </c>
      <c r="J97" s="1" t="s">
        <v>28</v>
      </c>
      <c r="K97" s="3">
        <v>45597</v>
      </c>
      <c r="L97" s="3">
        <v>45261</v>
      </c>
      <c r="M97" s="3">
        <f t="shared" si="1"/>
        <v>45292</v>
      </c>
      <c r="N97" s="1">
        <v>17886092</v>
      </c>
      <c r="O97" s="1" t="s">
        <v>256</v>
      </c>
      <c r="P97" s="1">
        <v>8192</v>
      </c>
      <c r="Q97" s="1" t="s">
        <v>44</v>
      </c>
      <c r="R97" s="1" t="s">
        <v>34</v>
      </c>
      <c r="S97" s="1">
        <v>2.5</v>
      </c>
      <c r="T97" s="1" t="s">
        <v>511</v>
      </c>
      <c r="V97" s="1" t="s">
        <v>512</v>
      </c>
    </row>
    <row r="98" spans="1:22" ht="15.75" customHeight="1" x14ac:dyDescent="0.25">
      <c r="A98" s="3">
        <v>45615</v>
      </c>
      <c r="B98" s="1" t="s">
        <v>301</v>
      </c>
      <c r="C98" s="1" t="str">
        <f t="shared" si="0"/>
        <v>7TF4K49KN737</v>
      </c>
      <c r="D98" s="2">
        <v>101782935400</v>
      </c>
      <c r="F98" s="1" t="s">
        <v>564</v>
      </c>
      <c r="G98" s="1" t="s">
        <v>39</v>
      </c>
      <c r="H98" s="1" t="s">
        <v>40</v>
      </c>
      <c r="I98" s="1" t="s">
        <v>503</v>
      </c>
      <c r="J98" s="1" t="s">
        <v>28</v>
      </c>
      <c r="K98" s="3">
        <v>45597</v>
      </c>
      <c r="L98" s="3">
        <v>45231</v>
      </c>
      <c r="M98" s="3">
        <f t="shared" si="1"/>
        <v>45261</v>
      </c>
      <c r="N98" s="1">
        <v>17886092</v>
      </c>
      <c r="O98" s="1" t="s">
        <v>256</v>
      </c>
      <c r="P98" s="1">
        <v>8192</v>
      </c>
      <c r="Q98" s="1" t="s">
        <v>44</v>
      </c>
      <c r="R98" s="1" t="s">
        <v>34</v>
      </c>
      <c r="S98" s="1">
        <v>2.5</v>
      </c>
      <c r="T98" s="1" t="s">
        <v>511</v>
      </c>
      <c r="V98" s="1" t="s">
        <v>512</v>
      </c>
    </row>
    <row r="99" spans="1:22" ht="15.75" customHeight="1" x14ac:dyDescent="0.25">
      <c r="A99" s="3">
        <v>45615</v>
      </c>
      <c r="B99" s="1" t="s">
        <v>306</v>
      </c>
      <c r="C99" s="1" t="str">
        <f t="shared" si="0"/>
        <v>5M43G51DH097</v>
      </c>
      <c r="D99" s="2">
        <v>101800597100</v>
      </c>
      <c r="F99" s="1" t="s">
        <v>565</v>
      </c>
      <c r="G99" s="1" t="s">
        <v>39</v>
      </c>
      <c r="H99" s="1" t="s">
        <v>40</v>
      </c>
      <c r="I99" s="1" t="s">
        <v>503</v>
      </c>
      <c r="J99" s="1" t="s">
        <v>28</v>
      </c>
      <c r="K99" s="3">
        <v>45597</v>
      </c>
      <c r="L99" s="3">
        <v>45231</v>
      </c>
      <c r="M99" s="3">
        <f t="shared" si="1"/>
        <v>45261</v>
      </c>
      <c r="N99" s="1">
        <v>17886092</v>
      </c>
      <c r="O99" s="1" t="s">
        <v>256</v>
      </c>
      <c r="P99" s="1">
        <v>8192</v>
      </c>
      <c r="Q99" s="1" t="s">
        <v>44</v>
      </c>
      <c r="R99" s="1" t="s">
        <v>34</v>
      </c>
      <c r="S99" s="1">
        <v>2.5</v>
      </c>
      <c r="T99" s="1" t="s">
        <v>511</v>
      </c>
      <c r="V99" s="1" t="s">
        <v>512</v>
      </c>
    </row>
    <row r="100" spans="1:22" ht="15.75" customHeight="1" x14ac:dyDescent="0.25">
      <c r="A100" s="3">
        <v>45615</v>
      </c>
      <c r="B100" s="1" t="s">
        <v>314</v>
      </c>
      <c r="C100" s="1" t="str">
        <f t="shared" si="0"/>
        <v>9NF3JP6CV797</v>
      </c>
      <c r="D100" s="2">
        <v>101775096700</v>
      </c>
      <c r="F100" s="1" t="s">
        <v>315</v>
      </c>
      <c r="G100" s="1" t="s">
        <v>39</v>
      </c>
      <c r="H100" s="1" t="s">
        <v>40</v>
      </c>
      <c r="I100" s="1" t="s">
        <v>503</v>
      </c>
      <c r="J100" s="1" t="s">
        <v>28</v>
      </c>
      <c r="K100" s="3">
        <v>45597</v>
      </c>
      <c r="L100" s="3">
        <v>45200</v>
      </c>
      <c r="M100" s="3">
        <f t="shared" si="1"/>
        <v>45231</v>
      </c>
      <c r="N100" s="1">
        <v>17886092</v>
      </c>
      <c r="O100" s="1" t="s">
        <v>256</v>
      </c>
      <c r="P100" s="1">
        <v>8192</v>
      </c>
      <c r="Q100" s="1" t="s">
        <v>44</v>
      </c>
      <c r="R100" s="1" t="s">
        <v>34</v>
      </c>
      <c r="S100" s="1">
        <v>2.5</v>
      </c>
      <c r="T100" s="1" t="s">
        <v>511</v>
      </c>
      <c r="V100" s="1" t="s">
        <v>512</v>
      </c>
    </row>
    <row r="101" spans="1:22" ht="15.75" customHeight="1" x14ac:dyDescent="0.25">
      <c r="A101" s="3">
        <v>45615</v>
      </c>
      <c r="B101" s="1" t="s">
        <v>316</v>
      </c>
      <c r="C101" s="1" t="str">
        <f t="shared" si="0"/>
        <v>7VA5G43FR627</v>
      </c>
      <c r="D101" s="2">
        <v>101778355200</v>
      </c>
      <c r="F101" s="1" t="s">
        <v>317</v>
      </c>
      <c r="G101" s="1" t="s">
        <v>39</v>
      </c>
      <c r="H101" s="1" t="s">
        <v>40</v>
      </c>
      <c r="I101" s="1" t="s">
        <v>503</v>
      </c>
      <c r="J101" s="1" t="s">
        <v>28</v>
      </c>
      <c r="K101" s="3">
        <v>45597</v>
      </c>
      <c r="L101" s="3">
        <v>45231</v>
      </c>
      <c r="M101" s="3">
        <f t="shared" si="1"/>
        <v>45261</v>
      </c>
      <c r="N101" s="1">
        <v>17886092</v>
      </c>
      <c r="O101" s="1" t="s">
        <v>256</v>
      </c>
      <c r="P101" s="1">
        <v>8192</v>
      </c>
      <c r="Q101" s="1" t="s">
        <v>44</v>
      </c>
      <c r="R101" s="1" t="s">
        <v>34</v>
      </c>
      <c r="S101" s="1">
        <v>2.5</v>
      </c>
      <c r="T101" s="1" t="s">
        <v>511</v>
      </c>
      <c r="V101" s="1" t="s">
        <v>512</v>
      </c>
    </row>
    <row r="102" spans="1:22" ht="15.75" customHeight="1" x14ac:dyDescent="0.25">
      <c r="A102" s="3">
        <v>45615</v>
      </c>
      <c r="B102" s="1" t="s">
        <v>318</v>
      </c>
      <c r="C102" s="1" t="str">
        <f t="shared" si="0"/>
        <v>7RN9G43TX277</v>
      </c>
      <c r="D102" s="2">
        <v>101707700000</v>
      </c>
      <c r="F102" s="1" t="s">
        <v>319</v>
      </c>
      <c r="G102" s="1" t="s">
        <v>39</v>
      </c>
      <c r="H102" s="1" t="s">
        <v>40</v>
      </c>
      <c r="I102" s="1" t="s">
        <v>503</v>
      </c>
      <c r="J102" s="1" t="s">
        <v>28</v>
      </c>
      <c r="K102" s="3">
        <v>45597</v>
      </c>
      <c r="L102" s="3">
        <v>45017</v>
      </c>
      <c r="M102" s="3">
        <f t="shared" si="1"/>
        <v>45047</v>
      </c>
      <c r="N102" s="1">
        <v>17886092</v>
      </c>
      <c r="O102" s="1" t="s">
        <v>256</v>
      </c>
      <c r="P102" s="1">
        <v>8192</v>
      </c>
      <c r="Q102" s="1" t="s">
        <v>44</v>
      </c>
      <c r="R102" s="1" t="s">
        <v>34</v>
      </c>
      <c r="S102" s="1">
        <v>2.5</v>
      </c>
      <c r="T102" s="1" t="s">
        <v>511</v>
      </c>
      <c r="V102" s="1" t="s">
        <v>512</v>
      </c>
    </row>
    <row r="103" spans="1:22" ht="15.75" customHeight="1" x14ac:dyDescent="0.25">
      <c r="A103" s="3">
        <v>45615</v>
      </c>
      <c r="B103" s="1" t="s">
        <v>320</v>
      </c>
      <c r="C103" s="1" t="str">
        <f t="shared" si="0"/>
        <v>9E70XC3DR097</v>
      </c>
      <c r="D103" s="2">
        <v>101772992600</v>
      </c>
      <c r="F103" s="1" t="s">
        <v>321</v>
      </c>
      <c r="G103" s="1" t="s">
        <v>39</v>
      </c>
      <c r="H103" s="1" t="s">
        <v>40</v>
      </c>
      <c r="I103" s="1" t="s">
        <v>503</v>
      </c>
      <c r="J103" s="1" t="s">
        <v>28</v>
      </c>
      <c r="K103" s="3">
        <v>45597</v>
      </c>
      <c r="L103" s="3">
        <v>45200</v>
      </c>
      <c r="M103" s="3">
        <f t="shared" si="1"/>
        <v>45231</v>
      </c>
      <c r="N103" s="1">
        <v>17886092</v>
      </c>
      <c r="O103" s="1" t="s">
        <v>256</v>
      </c>
      <c r="P103" s="1">
        <v>8192</v>
      </c>
      <c r="Q103" s="1" t="s">
        <v>44</v>
      </c>
      <c r="R103" s="1" t="s">
        <v>34</v>
      </c>
      <c r="S103" s="1">
        <v>2.5</v>
      </c>
      <c r="T103" s="1" t="s">
        <v>511</v>
      </c>
      <c r="V103" s="1" t="s">
        <v>512</v>
      </c>
    </row>
    <row r="104" spans="1:22" ht="15.75" customHeight="1" x14ac:dyDescent="0.25">
      <c r="A104" s="3">
        <v>45615</v>
      </c>
      <c r="B104" s="1" t="s">
        <v>322</v>
      </c>
      <c r="C104" s="1" t="str">
        <f t="shared" si="0"/>
        <v>5JR6V11RU477</v>
      </c>
      <c r="D104" s="2">
        <v>101788155800</v>
      </c>
      <c r="F104" s="1" t="s">
        <v>323</v>
      </c>
      <c r="G104" s="1" t="s">
        <v>39</v>
      </c>
      <c r="H104" s="1" t="s">
        <v>40</v>
      </c>
      <c r="I104" s="1" t="s">
        <v>503</v>
      </c>
      <c r="J104" s="1" t="s">
        <v>28</v>
      </c>
      <c r="K104" s="3">
        <v>45597</v>
      </c>
      <c r="L104" s="3">
        <v>45261</v>
      </c>
      <c r="M104" s="3">
        <f t="shared" si="1"/>
        <v>45292</v>
      </c>
      <c r="N104" s="1">
        <v>17886092</v>
      </c>
      <c r="O104" s="1" t="s">
        <v>256</v>
      </c>
      <c r="P104" s="1">
        <v>8192</v>
      </c>
      <c r="Q104" s="1" t="s">
        <v>44</v>
      </c>
      <c r="R104" s="1" t="s">
        <v>34</v>
      </c>
      <c r="S104" s="1">
        <v>2.5</v>
      </c>
      <c r="T104" s="1" t="s">
        <v>511</v>
      </c>
      <c r="V104" s="1" t="s">
        <v>512</v>
      </c>
    </row>
    <row r="105" spans="1:22" ht="15.75" customHeight="1" x14ac:dyDescent="0.25">
      <c r="A105" s="3">
        <v>45615</v>
      </c>
      <c r="B105" s="1" t="s">
        <v>324</v>
      </c>
      <c r="C105" s="1" t="str">
        <f t="shared" si="0"/>
        <v>7XJ2QK8WP277</v>
      </c>
      <c r="D105" s="2">
        <v>101817569200</v>
      </c>
      <c r="F105" s="1" t="s">
        <v>325</v>
      </c>
      <c r="G105" s="1" t="s">
        <v>39</v>
      </c>
      <c r="H105" s="1" t="s">
        <v>40</v>
      </c>
      <c r="I105" s="1" t="s">
        <v>503</v>
      </c>
      <c r="J105" s="1" t="s">
        <v>28</v>
      </c>
      <c r="K105" s="3">
        <v>45597</v>
      </c>
      <c r="L105" s="3">
        <v>45261</v>
      </c>
      <c r="M105" s="3">
        <f t="shared" si="1"/>
        <v>45292</v>
      </c>
      <c r="N105" s="1">
        <v>17886092</v>
      </c>
      <c r="O105" s="1" t="s">
        <v>256</v>
      </c>
      <c r="P105" s="1">
        <v>8192</v>
      </c>
      <c r="Q105" s="1" t="s">
        <v>44</v>
      </c>
      <c r="R105" s="1" t="s">
        <v>34</v>
      </c>
      <c r="S105" s="1">
        <v>2.5</v>
      </c>
      <c r="T105" s="1" t="s">
        <v>511</v>
      </c>
      <c r="V105" s="1" t="s">
        <v>512</v>
      </c>
    </row>
    <row r="106" spans="1:22" ht="15.75" customHeight="1" x14ac:dyDescent="0.25">
      <c r="A106" s="3">
        <v>45615</v>
      </c>
      <c r="B106" s="1" t="s">
        <v>326</v>
      </c>
      <c r="C106" s="1" t="str">
        <f t="shared" si="0"/>
        <v>8CE5CW9PF767</v>
      </c>
      <c r="D106" s="2">
        <v>101777369100</v>
      </c>
      <c r="F106" s="1" t="s">
        <v>327</v>
      </c>
      <c r="G106" s="1" t="s">
        <v>39</v>
      </c>
      <c r="H106" s="1" t="s">
        <v>40</v>
      </c>
      <c r="I106" s="1" t="s">
        <v>503</v>
      </c>
      <c r="J106" s="1" t="s">
        <v>28</v>
      </c>
      <c r="K106" s="3">
        <v>45597</v>
      </c>
      <c r="L106" s="3">
        <v>45231</v>
      </c>
      <c r="M106" s="3">
        <f t="shared" si="1"/>
        <v>45261</v>
      </c>
      <c r="N106" s="1">
        <v>17886092</v>
      </c>
      <c r="O106" s="1" t="s">
        <v>256</v>
      </c>
      <c r="P106" s="1">
        <v>8192</v>
      </c>
      <c r="Q106" s="1" t="s">
        <v>44</v>
      </c>
      <c r="R106" s="1" t="s">
        <v>34</v>
      </c>
      <c r="S106" s="1">
        <v>2.5</v>
      </c>
      <c r="T106" s="1" t="s">
        <v>511</v>
      </c>
      <c r="V106" s="1" t="s">
        <v>512</v>
      </c>
    </row>
    <row r="107" spans="1:22" ht="15.75" customHeight="1" x14ac:dyDescent="0.25">
      <c r="A107" s="3">
        <v>45615</v>
      </c>
      <c r="B107" s="1" t="s">
        <v>328</v>
      </c>
      <c r="C107" s="1" t="str">
        <f t="shared" si="0"/>
        <v>4DC8AA6MU457</v>
      </c>
      <c r="D107" s="2">
        <v>101804887800</v>
      </c>
      <c r="F107" s="1" t="s">
        <v>329</v>
      </c>
      <c r="G107" s="1" t="s">
        <v>39</v>
      </c>
      <c r="H107" s="1" t="s">
        <v>40</v>
      </c>
      <c r="I107" s="1" t="s">
        <v>503</v>
      </c>
      <c r="J107" s="1" t="s">
        <v>28</v>
      </c>
      <c r="K107" s="3">
        <v>45597</v>
      </c>
      <c r="L107" s="3">
        <v>45261</v>
      </c>
      <c r="M107" s="3">
        <f t="shared" si="1"/>
        <v>45292</v>
      </c>
      <c r="N107" s="1">
        <v>17886092</v>
      </c>
      <c r="O107" s="1" t="s">
        <v>256</v>
      </c>
      <c r="P107" s="1">
        <v>8192</v>
      </c>
      <c r="Q107" s="1" t="s">
        <v>44</v>
      </c>
      <c r="R107" s="1" t="s">
        <v>34</v>
      </c>
      <c r="S107" s="1">
        <v>2.5</v>
      </c>
      <c r="T107" s="1" t="s">
        <v>511</v>
      </c>
      <c r="V107" s="1" t="s">
        <v>512</v>
      </c>
    </row>
    <row r="108" spans="1:22" ht="15.75" customHeight="1" x14ac:dyDescent="0.25">
      <c r="A108" s="3">
        <v>45615</v>
      </c>
      <c r="B108" s="1" t="s">
        <v>330</v>
      </c>
      <c r="C108" s="1" t="str">
        <f t="shared" si="0"/>
        <v>7DY7CF1WG537</v>
      </c>
      <c r="D108" s="2">
        <v>101788040300</v>
      </c>
      <c r="F108" s="1" t="s">
        <v>331</v>
      </c>
      <c r="G108" s="1" t="s">
        <v>39</v>
      </c>
      <c r="H108" s="1" t="s">
        <v>40</v>
      </c>
      <c r="I108" s="1" t="s">
        <v>503</v>
      </c>
      <c r="J108" s="1" t="s">
        <v>28</v>
      </c>
      <c r="K108" s="3">
        <v>45597</v>
      </c>
      <c r="L108" s="3">
        <v>45231</v>
      </c>
      <c r="M108" s="3">
        <f t="shared" si="1"/>
        <v>45261</v>
      </c>
      <c r="N108" s="1">
        <v>17886092</v>
      </c>
      <c r="O108" s="1" t="s">
        <v>256</v>
      </c>
      <c r="P108" s="1">
        <v>8192</v>
      </c>
      <c r="Q108" s="1" t="s">
        <v>44</v>
      </c>
      <c r="R108" s="1" t="s">
        <v>34</v>
      </c>
      <c r="S108" s="1">
        <v>2.5</v>
      </c>
      <c r="T108" s="1" t="s">
        <v>511</v>
      </c>
      <c r="V108" s="1" t="s">
        <v>512</v>
      </c>
    </row>
    <row r="109" spans="1:22" ht="15.75" customHeight="1" x14ac:dyDescent="0.25">
      <c r="A109" s="3">
        <v>45615</v>
      </c>
      <c r="B109" s="1" t="s">
        <v>335</v>
      </c>
      <c r="C109" s="1" t="str">
        <f t="shared" si="0"/>
        <v>3UV4H90AA757</v>
      </c>
      <c r="D109" s="2">
        <v>101193322800</v>
      </c>
      <c r="F109" s="1" t="s">
        <v>336</v>
      </c>
      <c r="G109" s="1" t="s">
        <v>39</v>
      </c>
      <c r="H109" s="1" t="s">
        <v>40</v>
      </c>
      <c r="I109" s="1" t="s">
        <v>503</v>
      </c>
      <c r="J109" s="1" t="s">
        <v>28</v>
      </c>
      <c r="K109" s="3">
        <v>45597</v>
      </c>
      <c r="L109" s="3">
        <v>44197</v>
      </c>
      <c r="M109" s="3">
        <f t="shared" si="1"/>
        <v>44228</v>
      </c>
      <c r="N109" s="1">
        <v>17886092</v>
      </c>
      <c r="O109" s="1" t="s">
        <v>256</v>
      </c>
      <c r="P109" s="1">
        <v>8192</v>
      </c>
      <c r="Q109" s="1" t="s">
        <v>44</v>
      </c>
      <c r="R109" s="1" t="s">
        <v>34</v>
      </c>
      <c r="S109" s="1">
        <v>2.5</v>
      </c>
      <c r="T109" s="1" t="s">
        <v>511</v>
      </c>
      <c r="V109" s="1" t="s">
        <v>512</v>
      </c>
    </row>
    <row r="110" spans="1:22" ht="15.75" customHeight="1" x14ac:dyDescent="0.25">
      <c r="A110" s="3">
        <v>45615</v>
      </c>
      <c r="B110" s="1" t="s">
        <v>339</v>
      </c>
      <c r="C110" s="1" t="str">
        <f t="shared" si="0"/>
        <v>3GF8UP3QG307</v>
      </c>
      <c r="D110" s="2">
        <v>101798892900</v>
      </c>
      <c r="F110" s="1" t="s">
        <v>340</v>
      </c>
      <c r="G110" s="1" t="s">
        <v>39</v>
      </c>
      <c r="H110" s="1" t="s">
        <v>40</v>
      </c>
      <c r="I110" s="1" t="s">
        <v>503</v>
      </c>
      <c r="J110" s="1" t="s">
        <v>28</v>
      </c>
      <c r="K110" s="3">
        <v>45597</v>
      </c>
      <c r="L110" s="3">
        <v>45231</v>
      </c>
      <c r="M110" s="3">
        <f t="shared" si="1"/>
        <v>45261</v>
      </c>
      <c r="N110" s="1">
        <v>17886092</v>
      </c>
      <c r="O110" s="1" t="s">
        <v>256</v>
      </c>
      <c r="P110" s="1">
        <v>8192</v>
      </c>
      <c r="Q110" s="1" t="s">
        <v>44</v>
      </c>
      <c r="R110" s="1" t="s">
        <v>34</v>
      </c>
      <c r="S110" s="1">
        <v>2.5</v>
      </c>
      <c r="T110" s="1" t="s">
        <v>511</v>
      </c>
      <c r="V110" s="1" t="s">
        <v>512</v>
      </c>
    </row>
    <row r="111" spans="1:22" ht="15.75" customHeight="1" x14ac:dyDescent="0.25">
      <c r="A111" s="3">
        <v>45615</v>
      </c>
      <c r="B111" s="1" t="s">
        <v>341</v>
      </c>
      <c r="C111" s="1" t="str">
        <f t="shared" si="0"/>
        <v>6FW9NY2KD187</v>
      </c>
      <c r="D111" s="2">
        <v>101769841000</v>
      </c>
      <c r="F111" s="1" t="s">
        <v>342</v>
      </c>
      <c r="G111" s="1" t="s">
        <v>39</v>
      </c>
      <c r="H111" s="1" t="s">
        <v>40</v>
      </c>
      <c r="I111" s="1" t="s">
        <v>503</v>
      </c>
      <c r="J111" s="1" t="s">
        <v>28</v>
      </c>
      <c r="K111" s="3">
        <v>45597</v>
      </c>
      <c r="L111" s="3">
        <v>45200</v>
      </c>
      <c r="M111" s="3">
        <f t="shared" si="1"/>
        <v>45231</v>
      </c>
      <c r="N111" s="1">
        <v>17886092</v>
      </c>
      <c r="O111" s="1" t="s">
        <v>256</v>
      </c>
      <c r="P111" s="1">
        <v>8192</v>
      </c>
      <c r="Q111" s="1" t="s">
        <v>44</v>
      </c>
      <c r="R111" s="1" t="s">
        <v>34</v>
      </c>
      <c r="S111" s="1">
        <v>2.5</v>
      </c>
      <c r="T111" s="1" t="s">
        <v>511</v>
      </c>
      <c r="V111" s="1" t="s">
        <v>512</v>
      </c>
    </row>
    <row r="112" spans="1:22" ht="15.75" customHeight="1" x14ac:dyDescent="0.25">
      <c r="A112" s="3">
        <v>45615</v>
      </c>
      <c r="B112" s="1" t="s">
        <v>343</v>
      </c>
      <c r="C112" s="1" t="str">
        <f t="shared" si="0"/>
        <v>4HW4F79VE797</v>
      </c>
      <c r="D112" s="2">
        <v>101784800000</v>
      </c>
      <c r="F112" s="1" t="s">
        <v>344</v>
      </c>
      <c r="G112" s="1" t="s">
        <v>39</v>
      </c>
      <c r="H112" s="1" t="s">
        <v>40</v>
      </c>
      <c r="I112" s="1" t="s">
        <v>503</v>
      </c>
      <c r="J112" s="1" t="s">
        <v>28</v>
      </c>
      <c r="K112" s="3">
        <v>45597</v>
      </c>
      <c r="L112" s="3">
        <v>45261</v>
      </c>
      <c r="M112" s="3">
        <f t="shared" si="1"/>
        <v>45292</v>
      </c>
      <c r="N112" s="1">
        <v>17886092</v>
      </c>
      <c r="O112" s="1" t="s">
        <v>256</v>
      </c>
      <c r="P112" s="1">
        <v>8192</v>
      </c>
      <c r="Q112" s="1" t="s">
        <v>44</v>
      </c>
      <c r="R112" s="1" t="s">
        <v>34</v>
      </c>
      <c r="S112" s="1">
        <v>2.5</v>
      </c>
      <c r="T112" s="1" t="s">
        <v>511</v>
      </c>
      <c r="V112" s="1" t="s">
        <v>512</v>
      </c>
    </row>
    <row r="113" spans="1:22" ht="15.75" customHeight="1" x14ac:dyDescent="0.25">
      <c r="A113" s="3">
        <v>45615</v>
      </c>
      <c r="B113" s="1" t="s">
        <v>345</v>
      </c>
      <c r="C113" s="1" t="str">
        <f t="shared" si="0"/>
        <v>9J40Y16AP047</v>
      </c>
      <c r="D113" s="2">
        <v>101778370400</v>
      </c>
      <c r="F113" s="1" t="s">
        <v>346</v>
      </c>
      <c r="G113" s="1" t="s">
        <v>39</v>
      </c>
      <c r="H113" s="1" t="s">
        <v>40</v>
      </c>
      <c r="I113" s="1" t="s">
        <v>503</v>
      </c>
      <c r="J113" s="1" t="s">
        <v>28</v>
      </c>
      <c r="K113" s="3">
        <v>45597</v>
      </c>
      <c r="L113" s="3">
        <v>45261</v>
      </c>
      <c r="M113" s="3">
        <f t="shared" si="1"/>
        <v>45292</v>
      </c>
      <c r="N113" s="1">
        <v>17886092</v>
      </c>
      <c r="O113" s="1" t="s">
        <v>256</v>
      </c>
      <c r="P113" s="1">
        <v>8192</v>
      </c>
      <c r="Q113" s="1" t="s">
        <v>44</v>
      </c>
      <c r="R113" s="1" t="s">
        <v>34</v>
      </c>
      <c r="S113" s="1">
        <v>2.5</v>
      </c>
      <c r="T113" s="1" t="s">
        <v>511</v>
      </c>
      <c r="V113" s="1" t="s">
        <v>512</v>
      </c>
    </row>
    <row r="114" spans="1:22" ht="15.75" customHeight="1" x14ac:dyDescent="0.25">
      <c r="A114" s="3">
        <v>45615</v>
      </c>
      <c r="B114" s="1" t="s">
        <v>349</v>
      </c>
      <c r="C114" s="1" t="str">
        <f t="shared" si="0"/>
        <v>5G76K59JP577</v>
      </c>
      <c r="D114" s="2">
        <v>101061320300</v>
      </c>
      <c r="E114" s="1" t="s">
        <v>350</v>
      </c>
      <c r="F114" s="1" t="s">
        <v>351</v>
      </c>
      <c r="G114" s="1" t="s">
        <v>39</v>
      </c>
      <c r="H114" s="1" t="s">
        <v>40</v>
      </c>
      <c r="I114" s="1" t="s">
        <v>503</v>
      </c>
      <c r="J114" s="1" t="s">
        <v>28</v>
      </c>
      <c r="K114" s="3">
        <v>45597</v>
      </c>
      <c r="L114" s="3">
        <v>42948</v>
      </c>
      <c r="M114" s="3">
        <f t="shared" si="1"/>
        <v>42979</v>
      </c>
      <c r="N114" s="1">
        <v>17886092</v>
      </c>
      <c r="O114" s="1" t="s">
        <v>256</v>
      </c>
      <c r="P114" s="1">
        <v>8192</v>
      </c>
      <c r="Q114" s="1" t="s">
        <v>44</v>
      </c>
      <c r="R114" s="1" t="s">
        <v>34</v>
      </c>
      <c r="S114" s="1">
        <v>2.5</v>
      </c>
      <c r="T114" s="1" t="s">
        <v>511</v>
      </c>
      <c r="V114" s="1" t="s">
        <v>512</v>
      </c>
    </row>
    <row r="115" spans="1:22" ht="15.75" customHeight="1" x14ac:dyDescent="0.25">
      <c r="A115" s="3">
        <v>45615</v>
      </c>
      <c r="B115" s="1" t="s">
        <v>352</v>
      </c>
      <c r="C115" s="1" t="str">
        <f t="shared" si="0"/>
        <v>1XF4JV0VR867</v>
      </c>
      <c r="D115" s="2">
        <v>101080884700</v>
      </c>
      <c r="E115" s="1" t="s">
        <v>353</v>
      </c>
      <c r="F115" s="1" t="s">
        <v>354</v>
      </c>
      <c r="G115" s="1" t="s">
        <v>39</v>
      </c>
      <c r="H115" s="1" t="s">
        <v>40</v>
      </c>
      <c r="I115" s="1" t="s">
        <v>503</v>
      </c>
      <c r="J115" s="1" t="s">
        <v>28</v>
      </c>
      <c r="K115" s="3">
        <v>45597</v>
      </c>
      <c r="L115" s="3">
        <v>43525</v>
      </c>
      <c r="M115" s="3">
        <f t="shared" si="1"/>
        <v>43556</v>
      </c>
      <c r="N115" s="1">
        <v>17886092</v>
      </c>
      <c r="O115" s="1" t="s">
        <v>256</v>
      </c>
      <c r="P115" s="1">
        <v>8192</v>
      </c>
      <c r="Q115" s="1" t="s">
        <v>44</v>
      </c>
      <c r="R115" s="1" t="s">
        <v>34</v>
      </c>
      <c r="S115" s="1">
        <v>2.5</v>
      </c>
      <c r="T115" s="1" t="s">
        <v>511</v>
      </c>
      <c r="V115" s="1" t="s">
        <v>512</v>
      </c>
    </row>
    <row r="116" spans="1:22" ht="15.75" customHeight="1" x14ac:dyDescent="0.25">
      <c r="A116" s="3">
        <v>45615</v>
      </c>
      <c r="B116" s="1" t="s">
        <v>355</v>
      </c>
      <c r="C116" s="1" t="str">
        <f t="shared" si="0"/>
        <v>3NP4RC1XJ977</v>
      </c>
      <c r="D116" s="2">
        <v>101066071900</v>
      </c>
      <c r="E116" s="1" t="s">
        <v>356</v>
      </c>
      <c r="F116" s="1" t="s">
        <v>357</v>
      </c>
      <c r="G116" s="1" t="s">
        <v>39</v>
      </c>
      <c r="H116" s="1" t="s">
        <v>40</v>
      </c>
      <c r="I116" s="1" t="s">
        <v>503</v>
      </c>
      <c r="J116" s="1" t="s">
        <v>28</v>
      </c>
      <c r="K116" s="3">
        <v>45597</v>
      </c>
      <c r="L116" s="3">
        <v>43466</v>
      </c>
      <c r="M116" s="3">
        <f t="shared" si="1"/>
        <v>43497</v>
      </c>
      <c r="N116" s="1">
        <v>17886092</v>
      </c>
      <c r="O116" s="1" t="s">
        <v>256</v>
      </c>
      <c r="P116" s="1">
        <v>8192</v>
      </c>
      <c r="Q116" s="1" t="s">
        <v>44</v>
      </c>
      <c r="R116" s="1" t="s">
        <v>34</v>
      </c>
      <c r="S116" s="1">
        <v>2.5</v>
      </c>
      <c r="T116" s="1" t="s">
        <v>511</v>
      </c>
      <c r="V116" s="1" t="s">
        <v>512</v>
      </c>
    </row>
    <row r="117" spans="1:22" ht="15.75" customHeight="1" x14ac:dyDescent="0.25">
      <c r="A117" s="3">
        <v>45615</v>
      </c>
      <c r="B117" s="1" t="s">
        <v>358</v>
      </c>
      <c r="C117" s="1" t="str">
        <f t="shared" si="0"/>
        <v>5N78U28JA657</v>
      </c>
      <c r="D117" s="2">
        <v>101835507900</v>
      </c>
      <c r="F117" s="1" t="s">
        <v>359</v>
      </c>
      <c r="G117" s="1" t="s">
        <v>39</v>
      </c>
      <c r="H117" s="1" t="s">
        <v>40</v>
      </c>
      <c r="I117" s="1" t="s">
        <v>503</v>
      </c>
      <c r="J117" s="1" t="s">
        <v>28</v>
      </c>
      <c r="K117" s="3">
        <v>45597</v>
      </c>
      <c r="L117" s="3">
        <v>45261</v>
      </c>
      <c r="M117" s="3">
        <f t="shared" si="1"/>
        <v>45292</v>
      </c>
      <c r="N117" s="1">
        <v>17886092</v>
      </c>
      <c r="O117" s="1" t="s">
        <v>256</v>
      </c>
      <c r="P117" s="1">
        <v>8192</v>
      </c>
      <c r="Q117" s="1" t="s">
        <v>44</v>
      </c>
      <c r="R117" s="1" t="s">
        <v>34</v>
      </c>
      <c r="S117" s="1">
        <v>2.5</v>
      </c>
      <c r="T117" s="1" t="s">
        <v>511</v>
      </c>
      <c r="V117" s="1" t="s">
        <v>512</v>
      </c>
    </row>
    <row r="118" spans="1:22" ht="15.75" customHeight="1" x14ac:dyDescent="0.25">
      <c r="A118" s="3">
        <v>45615</v>
      </c>
      <c r="B118" s="1" t="s">
        <v>360</v>
      </c>
      <c r="C118" s="1" t="str">
        <f t="shared" si="0"/>
        <v>8MU4KH5CT887</v>
      </c>
      <c r="D118" s="2">
        <v>101839903500</v>
      </c>
      <c r="F118" s="1" t="s">
        <v>361</v>
      </c>
      <c r="G118" s="1" t="s">
        <v>39</v>
      </c>
      <c r="H118" s="1" t="s">
        <v>40</v>
      </c>
      <c r="I118" s="1" t="s">
        <v>503</v>
      </c>
      <c r="J118" s="1" t="s">
        <v>28</v>
      </c>
      <c r="K118" s="3">
        <v>45597</v>
      </c>
      <c r="L118" s="3">
        <v>45261</v>
      </c>
      <c r="M118" s="3">
        <f t="shared" si="1"/>
        <v>45292</v>
      </c>
      <c r="N118" s="1">
        <v>17886092</v>
      </c>
      <c r="O118" s="1" t="s">
        <v>256</v>
      </c>
      <c r="P118" s="1">
        <v>8192</v>
      </c>
      <c r="Q118" s="1" t="s">
        <v>44</v>
      </c>
      <c r="R118" s="1" t="s">
        <v>34</v>
      </c>
      <c r="S118" s="1">
        <v>2.5</v>
      </c>
      <c r="T118" s="1" t="s">
        <v>511</v>
      </c>
      <c r="V118" s="1" t="s">
        <v>512</v>
      </c>
    </row>
    <row r="119" spans="1:22" ht="15.75" customHeight="1" x14ac:dyDescent="0.25">
      <c r="A119" s="3">
        <v>45615</v>
      </c>
      <c r="B119" s="1" t="s">
        <v>362</v>
      </c>
      <c r="C119" s="1" t="str">
        <f t="shared" si="0"/>
        <v>3FX9EV4TH137</v>
      </c>
      <c r="D119" s="2">
        <v>101784945000</v>
      </c>
      <c r="F119" s="1" t="s">
        <v>363</v>
      </c>
      <c r="G119" s="1" t="s">
        <v>39</v>
      </c>
      <c r="H119" s="1" t="s">
        <v>40</v>
      </c>
      <c r="I119" s="1" t="s">
        <v>503</v>
      </c>
      <c r="J119" s="1" t="s">
        <v>28</v>
      </c>
      <c r="K119" s="3">
        <v>45597</v>
      </c>
      <c r="L119" s="3">
        <v>45231</v>
      </c>
      <c r="M119" s="3">
        <f t="shared" si="1"/>
        <v>45261</v>
      </c>
      <c r="N119" s="1">
        <v>17886092</v>
      </c>
      <c r="O119" s="1" t="s">
        <v>256</v>
      </c>
      <c r="P119" s="1">
        <v>8192</v>
      </c>
      <c r="Q119" s="1" t="s">
        <v>44</v>
      </c>
      <c r="R119" s="1" t="s">
        <v>34</v>
      </c>
      <c r="S119" s="1">
        <v>2.5</v>
      </c>
      <c r="T119" s="1" t="s">
        <v>511</v>
      </c>
      <c r="V119" s="1" t="s">
        <v>512</v>
      </c>
    </row>
    <row r="120" spans="1:22" ht="15.75" customHeight="1" x14ac:dyDescent="0.25">
      <c r="A120" s="3">
        <v>45615</v>
      </c>
      <c r="B120" s="1" t="s">
        <v>367</v>
      </c>
      <c r="C120" s="1" t="str">
        <f t="shared" si="0"/>
        <v>4TV0AJ8KE907</v>
      </c>
      <c r="D120" s="2">
        <v>101833894700</v>
      </c>
      <c r="F120" s="1" t="s">
        <v>368</v>
      </c>
      <c r="G120" s="1" t="s">
        <v>39</v>
      </c>
      <c r="H120" s="1" t="s">
        <v>40</v>
      </c>
      <c r="I120" s="1" t="s">
        <v>503</v>
      </c>
      <c r="J120" s="1" t="s">
        <v>28</v>
      </c>
      <c r="K120" s="3">
        <v>45597</v>
      </c>
      <c r="L120" s="3">
        <v>45261</v>
      </c>
      <c r="M120" s="3">
        <f t="shared" si="1"/>
        <v>45292</v>
      </c>
      <c r="N120" s="1">
        <v>17886092</v>
      </c>
      <c r="O120" s="1" t="s">
        <v>256</v>
      </c>
      <c r="P120" s="1">
        <v>8192</v>
      </c>
      <c r="Q120" s="1" t="s">
        <v>44</v>
      </c>
      <c r="R120" s="1" t="s">
        <v>34</v>
      </c>
      <c r="S120" s="1">
        <v>2.5</v>
      </c>
      <c r="T120" s="1" t="s">
        <v>511</v>
      </c>
      <c r="V120" s="1" t="s">
        <v>512</v>
      </c>
    </row>
    <row r="121" spans="1:22" ht="15.75" customHeight="1" x14ac:dyDescent="0.25">
      <c r="A121" s="3">
        <v>45615</v>
      </c>
      <c r="B121" s="1" t="s">
        <v>369</v>
      </c>
      <c r="C121" s="1" t="str">
        <f t="shared" si="0"/>
        <v>3PA6VN1GH557</v>
      </c>
      <c r="D121" s="2">
        <v>101794788300</v>
      </c>
      <c r="F121" s="1" t="s">
        <v>370</v>
      </c>
      <c r="G121" s="1" t="s">
        <v>39</v>
      </c>
      <c r="H121" s="1" t="s">
        <v>40</v>
      </c>
      <c r="I121" s="1" t="s">
        <v>503</v>
      </c>
      <c r="J121" s="1" t="s">
        <v>28</v>
      </c>
      <c r="K121" s="3">
        <v>45597</v>
      </c>
      <c r="L121" s="3">
        <v>45261</v>
      </c>
      <c r="M121" s="3">
        <f t="shared" si="1"/>
        <v>45292</v>
      </c>
      <c r="N121" s="1">
        <v>17886092</v>
      </c>
      <c r="O121" s="1" t="s">
        <v>256</v>
      </c>
      <c r="P121" s="1">
        <v>8192</v>
      </c>
      <c r="Q121" s="1" t="s">
        <v>44</v>
      </c>
      <c r="R121" s="1" t="s">
        <v>34</v>
      </c>
      <c r="S121" s="1">
        <v>2.5</v>
      </c>
      <c r="T121" s="1" t="s">
        <v>511</v>
      </c>
      <c r="V121" s="1" t="s">
        <v>512</v>
      </c>
    </row>
    <row r="122" spans="1:22" ht="15.75" customHeight="1" x14ac:dyDescent="0.25">
      <c r="A122" s="3">
        <v>45615</v>
      </c>
      <c r="B122" s="1" t="s">
        <v>371</v>
      </c>
      <c r="C122" s="1" t="str">
        <f t="shared" si="0"/>
        <v>5PM1MA6MD297</v>
      </c>
      <c r="D122" s="2">
        <v>101794748100</v>
      </c>
      <c r="F122" s="1" t="s">
        <v>372</v>
      </c>
      <c r="G122" s="1" t="s">
        <v>39</v>
      </c>
      <c r="H122" s="1" t="s">
        <v>40</v>
      </c>
      <c r="I122" s="1" t="s">
        <v>503</v>
      </c>
      <c r="J122" s="1" t="s">
        <v>28</v>
      </c>
      <c r="K122" s="3">
        <v>45597</v>
      </c>
      <c r="L122" s="3">
        <v>45231</v>
      </c>
      <c r="M122" s="3">
        <f t="shared" si="1"/>
        <v>45261</v>
      </c>
      <c r="N122" s="1">
        <v>17886092</v>
      </c>
      <c r="O122" s="1" t="s">
        <v>256</v>
      </c>
      <c r="P122" s="1">
        <v>8192</v>
      </c>
      <c r="Q122" s="1" t="s">
        <v>44</v>
      </c>
      <c r="R122" s="1" t="s">
        <v>34</v>
      </c>
      <c r="S122" s="1">
        <v>2.5</v>
      </c>
      <c r="T122" s="1" t="s">
        <v>511</v>
      </c>
      <c r="V122" s="1" t="s">
        <v>512</v>
      </c>
    </row>
    <row r="123" spans="1:22" ht="15.75" customHeight="1" x14ac:dyDescent="0.25">
      <c r="A123" s="3">
        <v>45615</v>
      </c>
      <c r="B123" s="1" t="s">
        <v>373</v>
      </c>
      <c r="C123" s="1" t="str">
        <f t="shared" si="0"/>
        <v>5JK4WR7CX657</v>
      </c>
      <c r="D123" s="2">
        <v>101853302100</v>
      </c>
      <c r="F123" s="1" t="s">
        <v>374</v>
      </c>
      <c r="G123" s="1" t="s">
        <v>39</v>
      </c>
      <c r="H123" s="1" t="s">
        <v>40</v>
      </c>
      <c r="I123" s="1" t="s">
        <v>503</v>
      </c>
      <c r="J123" s="1" t="s">
        <v>28</v>
      </c>
      <c r="K123" s="3">
        <v>45597</v>
      </c>
      <c r="L123" s="3">
        <v>45261</v>
      </c>
      <c r="M123" s="3">
        <f t="shared" si="1"/>
        <v>45292</v>
      </c>
      <c r="N123" s="1">
        <v>17886092</v>
      </c>
      <c r="O123" s="1" t="s">
        <v>256</v>
      </c>
      <c r="P123" s="1">
        <v>8192</v>
      </c>
      <c r="Q123" s="1" t="s">
        <v>44</v>
      </c>
      <c r="R123" s="1" t="s">
        <v>34</v>
      </c>
      <c r="S123" s="1">
        <v>2.5</v>
      </c>
      <c r="T123" s="1" t="s">
        <v>511</v>
      </c>
      <c r="V123" s="1" t="s">
        <v>512</v>
      </c>
    </row>
    <row r="124" spans="1:22" ht="15.75" customHeight="1" x14ac:dyDescent="0.25">
      <c r="A124" s="3">
        <v>45615</v>
      </c>
      <c r="B124" s="1" t="s">
        <v>337</v>
      </c>
      <c r="C124" s="1" t="str">
        <f t="shared" si="0"/>
        <v>4WM7PW3MA487</v>
      </c>
      <c r="D124" s="2">
        <v>102081559700</v>
      </c>
      <c r="F124" s="1" t="s">
        <v>338</v>
      </c>
      <c r="G124" s="1" t="s">
        <v>39</v>
      </c>
      <c r="H124" s="1" t="s">
        <v>27</v>
      </c>
      <c r="I124" s="1" t="s">
        <v>500</v>
      </c>
      <c r="J124" s="1" t="s">
        <v>28</v>
      </c>
      <c r="K124" s="3">
        <v>45627</v>
      </c>
      <c r="L124" s="3">
        <v>45627</v>
      </c>
      <c r="M124" s="3">
        <f t="shared" si="1"/>
        <v>45658</v>
      </c>
      <c r="N124" s="1">
        <v>17886092</v>
      </c>
      <c r="O124" s="1" t="s">
        <v>256</v>
      </c>
      <c r="P124" s="1">
        <v>8192</v>
      </c>
      <c r="Q124" s="1" t="s">
        <v>33</v>
      </c>
      <c r="R124" s="1" t="s">
        <v>34</v>
      </c>
      <c r="S124" s="1">
        <v>3.34</v>
      </c>
      <c r="T124" s="1" t="s">
        <v>521</v>
      </c>
      <c r="V124" s="1" t="s">
        <v>544</v>
      </c>
    </row>
    <row r="125" spans="1:22" ht="15.75" customHeight="1" x14ac:dyDescent="0.25">
      <c r="A125" s="3">
        <v>45615</v>
      </c>
      <c r="B125" s="1" t="s">
        <v>303</v>
      </c>
      <c r="C125" s="1" t="str">
        <f t="shared" si="0"/>
        <v>9XP1E86RF947</v>
      </c>
      <c r="D125" s="2">
        <v>101097095200</v>
      </c>
      <c r="E125" s="1" t="s">
        <v>304</v>
      </c>
      <c r="F125" s="1" t="s">
        <v>566</v>
      </c>
      <c r="G125" s="1" t="s">
        <v>39</v>
      </c>
      <c r="H125" s="1" t="s">
        <v>40</v>
      </c>
      <c r="I125" s="1" t="s">
        <v>503</v>
      </c>
      <c r="J125" s="1" t="s">
        <v>28</v>
      </c>
      <c r="K125" s="3">
        <v>45597</v>
      </c>
      <c r="L125" s="3">
        <v>43101</v>
      </c>
      <c r="M125" s="3">
        <f t="shared" si="1"/>
        <v>43132</v>
      </c>
      <c r="N125" s="1">
        <v>17886092</v>
      </c>
      <c r="O125" s="1" t="s">
        <v>256</v>
      </c>
      <c r="P125" s="1">
        <v>8192</v>
      </c>
      <c r="Q125" s="1" t="s">
        <v>33</v>
      </c>
      <c r="R125" s="1" t="s">
        <v>34</v>
      </c>
      <c r="S125" s="1">
        <v>3.75</v>
      </c>
      <c r="T125" s="1" t="s">
        <v>521</v>
      </c>
      <c r="V125" s="1" t="s">
        <v>544</v>
      </c>
    </row>
    <row r="126" spans="1:22" ht="15.75" customHeight="1" x14ac:dyDescent="0.25">
      <c r="A126" s="3">
        <v>45615</v>
      </c>
      <c r="B126" s="1" t="s">
        <v>308</v>
      </c>
      <c r="C126" s="1" t="str">
        <f t="shared" si="0"/>
        <v>1D22HJ0CH077</v>
      </c>
      <c r="D126" s="2">
        <v>101063039500</v>
      </c>
      <c r="E126" s="1" t="s">
        <v>309</v>
      </c>
      <c r="F126" s="1" t="s">
        <v>567</v>
      </c>
      <c r="G126" s="1" t="s">
        <v>39</v>
      </c>
      <c r="H126" s="1" t="s">
        <v>40</v>
      </c>
      <c r="I126" s="1" t="s">
        <v>503</v>
      </c>
      <c r="J126" s="1" t="s">
        <v>28</v>
      </c>
      <c r="K126" s="3">
        <v>45597</v>
      </c>
      <c r="L126" s="3">
        <v>42736</v>
      </c>
      <c r="M126" s="3">
        <f t="shared" si="1"/>
        <v>42767</v>
      </c>
      <c r="N126" s="1">
        <v>17886092</v>
      </c>
      <c r="O126" s="1" t="s">
        <v>256</v>
      </c>
      <c r="P126" s="1">
        <v>8192</v>
      </c>
      <c r="Q126" s="1" t="s">
        <v>33</v>
      </c>
      <c r="R126" s="1" t="s">
        <v>34</v>
      </c>
      <c r="S126" s="1">
        <v>3.75</v>
      </c>
      <c r="T126" s="1" t="s">
        <v>521</v>
      </c>
      <c r="V126" s="1" t="s">
        <v>544</v>
      </c>
    </row>
    <row r="127" spans="1:22" ht="15.75" customHeight="1" x14ac:dyDescent="0.25">
      <c r="A127" s="3">
        <v>45615</v>
      </c>
      <c r="B127" s="1" t="s">
        <v>311</v>
      </c>
      <c r="C127" s="1" t="str">
        <f t="shared" si="0"/>
        <v>5MP7WQ3AW377</v>
      </c>
      <c r="D127" s="2">
        <v>101060073300</v>
      </c>
      <c r="E127" s="1" t="s">
        <v>312</v>
      </c>
      <c r="F127" s="1" t="s">
        <v>568</v>
      </c>
      <c r="G127" s="1" t="s">
        <v>39</v>
      </c>
      <c r="H127" s="1" t="s">
        <v>40</v>
      </c>
      <c r="I127" s="1" t="s">
        <v>503</v>
      </c>
      <c r="J127" s="1" t="s">
        <v>28</v>
      </c>
      <c r="K127" s="3">
        <v>45597</v>
      </c>
      <c r="L127" s="3">
        <v>43678</v>
      </c>
      <c r="M127" s="3">
        <f t="shared" si="1"/>
        <v>43709</v>
      </c>
      <c r="N127" s="1">
        <v>17886092</v>
      </c>
      <c r="O127" s="1" t="s">
        <v>256</v>
      </c>
      <c r="P127" s="1">
        <v>8192</v>
      </c>
      <c r="Q127" s="1" t="s">
        <v>33</v>
      </c>
      <c r="R127" s="1" t="s">
        <v>34</v>
      </c>
      <c r="S127" s="1">
        <v>3.75</v>
      </c>
      <c r="T127" s="1" t="s">
        <v>521</v>
      </c>
      <c r="V127" s="1" t="s">
        <v>544</v>
      </c>
    </row>
    <row r="128" spans="1:22" ht="15.75" customHeight="1" x14ac:dyDescent="0.25">
      <c r="A128" s="3">
        <v>45615</v>
      </c>
      <c r="B128" s="1" t="s">
        <v>332</v>
      </c>
      <c r="C128" s="1" t="str">
        <f t="shared" si="0"/>
        <v>2CF7H33XG607</v>
      </c>
      <c r="D128" s="2">
        <v>101080305300</v>
      </c>
      <c r="E128" s="1" t="s">
        <v>333</v>
      </c>
      <c r="F128" s="1" t="s">
        <v>334</v>
      </c>
      <c r="G128" s="1" t="s">
        <v>39</v>
      </c>
      <c r="H128" s="1" t="s">
        <v>40</v>
      </c>
      <c r="I128" s="1" t="s">
        <v>503</v>
      </c>
      <c r="J128" s="1" t="s">
        <v>28</v>
      </c>
      <c r="K128" s="3">
        <v>45597</v>
      </c>
      <c r="L128" s="3">
        <v>43466</v>
      </c>
      <c r="M128" s="3">
        <f t="shared" si="1"/>
        <v>43497</v>
      </c>
      <c r="N128" s="1">
        <v>17886092</v>
      </c>
      <c r="O128" s="1" t="s">
        <v>256</v>
      </c>
      <c r="P128" s="1">
        <v>8192</v>
      </c>
      <c r="Q128" s="1" t="s">
        <v>33</v>
      </c>
      <c r="R128" s="1" t="s">
        <v>34</v>
      </c>
      <c r="S128" s="1">
        <v>3.75</v>
      </c>
      <c r="T128" s="1" t="s">
        <v>521</v>
      </c>
      <c r="V128" s="1" t="s">
        <v>544</v>
      </c>
    </row>
    <row r="129" spans="1:22" ht="15.75" customHeight="1" x14ac:dyDescent="0.25">
      <c r="A129" s="3">
        <v>45615</v>
      </c>
      <c r="B129" s="1" t="s">
        <v>347</v>
      </c>
      <c r="C129" s="1" t="str">
        <f t="shared" si="0"/>
        <v>4X42HK8WF977</v>
      </c>
      <c r="D129" s="2">
        <v>101200748700</v>
      </c>
      <c r="F129" s="1" t="s">
        <v>348</v>
      </c>
      <c r="G129" s="1" t="s">
        <v>39</v>
      </c>
      <c r="H129" s="1" t="s">
        <v>40</v>
      </c>
      <c r="I129" s="1" t="s">
        <v>503</v>
      </c>
      <c r="J129" s="1" t="s">
        <v>28</v>
      </c>
      <c r="K129" s="3">
        <v>45597</v>
      </c>
      <c r="L129" s="3">
        <v>44562</v>
      </c>
      <c r="M129" s="3">
        <f t="shared" si="1"/>
        <v>44593</v>
      </c>
      <c r="N129" s="1">
        <v>17886092</v>
      </c>
      <c r="O129" s="1" t="s">
        <v>256</v>
      </c>
      <c r="P129" s="1">
        <v>8192</v>
      </c>
      <c r="Q129" s="1" t="s">
        <v>33</v>
      </c>
      <c r="R129" s="1" t="s">
        <v>34</v>
      </c>
      <c r="S129" s="1">
        <v>3.75</v>
      </c>
      <c r="T129" s="1" t="s">
        <v>521</v>
      </c>
      <c r="V129" s="1" t="s">
        <v>544</v>
      </c>
    </row>
    <row r="130" spans="1:22" ht="15.75" customHeight="1" x14ac:dyDescent="0.25">
      <c r="A130" s="3">
        <v>45615</v>
      </c>
      <c r="B130" s="1" t="s">
        <v>364</v>
      </c>
      <c r="C130" s="1" t="str">
        <f t="shared" si="0"/>
        <v>6N04CM4GF637</v>
      </c>
      <c r="D130" s="2">
        <v>101054430800</v>
      </c>
      <c r="E130" s="1" t="s">
        <v>365</v>
      </c>
      <c r="F130" s="1" t="s">
        <v>366</v>
      </c>
      <c r="G130" s="1" t="s">
        <v>39</v>
      </c>
      <c r="H130" s="1" t="s">
        <v>40</v>
      </c>
      <c r="I130" s="1" t="s">
        <v>503</v>
      </c>
      <c r="J130" s="1" t="s">
        <v>28</v>
      </c>
      <c r="K130" s="3">
        <v>45597</v>
      </c>
      <c r="L130" s="3">
        <v>42736</v>
      </c>
      <c r="M130" s="3">
        <f t="shared" si="1"/>
        <v>42767</v>
      </c>
      <c r="N130" s="1">
        <v>17886092</v>
      </c>
      <c r="O130" s="1" t="s">
        <v>256</v>
      </c>
      <c r="P130" s="1">
        <v>8192</v>
      </c>
      <c r="Q130" s="1" t="s">
        <v>33</v>
      </c>
      <c r="R130" s="1" t="s">
        <v>34</v>
      </c>
      <c r="S130" s="1">
        <v>3.75</v>
      </c>
      <c r="T130" s="1" t="s">
        <v>521</v>
      </c>
      <c r="V130" s="1" t="s">
        <v>544</v>
      </c>
    </row>
    <row r="131" spans="1:22" ht="15.75" customHeight="1" x14ac:dyDescent="0.25">
      <c r="A131" s="3">
        <v>45615</v>
      </c>
      <c r="B131" s="1" t="s">
        <v>379</v>
      </c>
      <c r="C131" s="1" t="str">
        <f t="shared" si="0"/>
        <v>4J14DA0FW877</v>
      </c>
      <c r="D131" s="2">
        <v>101557843300</v>
      </c>
      <c r="F131" s="1" t="s">
        <v>380</v>
      </c>
      <c r="G131" s="1" t="s">
        <v>182</v>
      </c>
      <c r="H131" s="1" t="s">
        <v>40</v>
      </c>
      <c r="I131" s="1" t="s">
        <v>503</v>
      </c>
      <c r="J131" s="1" t="s">
        <v>28</v>
      </c>
      <c r="K131" s="3">
        <v>45597</v>
      </c>
      <c r="L131" s="3">
        <v>45170</v>
      </c>
      <c r="M131" s="3">
        <f t="shared" si="1"/>
        <v>45200</v>
      </c>
      <c r="N131" s="1">
        <v>16509456</v>
      </c>
      <c r="O131" s="1" t="s">
        <v>378</v>
      </c>
      <c r="P131" s="1">
        <v>8192</v>
      </c>
      <c r="Q131" s="1" t="s">
        <v>44</v>
      </c>
      <c r="R131" s="1" t="s">
        <v>34</v>
      </c>
      <c r="S131" s="1">
        <v>28</v>
      </c>
      <c r="T131" s="1" t="s">
        <v>509</v>
      </c>
      <c r="V131" s="1" t="s">
        <v>510</v>
      </c>
    </row>
    <row r="132" spans="1:22" ht="15.75" customHeight="1" x14ac:dyDescent="0.25">
      <c r="A132" s="3">
        <v>45615</v>
      </c>
      <c r="B132" s="1" t="s">
        <v>375</v>
      </c>
      <c r="C132" s="1" t="str">
        <f t="shared" si="0"/>
        <v>4CK4WW3TD997</v>
      </c>
      <c r="D132" s="2">
        <v>101721693400</v>
      </c>
      <c r="F132" s="1" t="s">
        <v>569</v>
      </c>
      <c r="G132" s="1" t="s">
        <v>39</v>
      </c>
      <c r="H132" s="1" t="s">
        <v>40</v>
      </c>
      <c r="I132" s="1" t="s">
        <v>503</v>
      </c>
      <c r="J132" s="1" t="s">
        <v>28</v>
      </c>
      <c r="K132" s="3">
        <v>45597</v>
      </c>
      <c r="L132" s="3">
        <v>45047</v>
      </c>
      <c r="M132" s="3">
        <f t="shared" si="1"/>
        <v>45078</v>
      </c>
      <c r="N132" s="1">
        <v>16509456</v>
      </c>
      <c r="O132" s="1" t="s">
        <v>378</v>
      </c>
      <c r="P132" s="1">
        <v>8192</v>
      </c>
      <c r="Q132" s="1" t="s">
        <v>44</v>
      </c>
      <c r="R132" s="1" t="s">
        <v>34</v>
      </c>
      <c r="S132" s="1">
        <v>31.25</v>
      </c>
      <c r="T132" s="1" t="s">
        <v>507</v>
      </c>
      <c r="V132" s="1" t="s">
        <v>508</v>
      </c>
    </row>
    <row r="133" spans="1:22" ht="15.75" customHeight="1" x14ac:dyDescent="0.25">
      <c r="A133" s="3">
        <v>45615</v>
      </c>
      <c r="B133" s="1" t="s">
        <v>382</v>
      </c>
      <c r="C133" s="1" t="str">
        <f t="shared" si="0"/>
        <v>4U52XD4HG007</v>
      </c>
      <c r="D133" s="2" t="s">
        <v>383</v>
      </c>
      <c r="F133" s="1" t="s">
        <v>384</v>
      </c>
      <c r="G133" s="1" t="s">
        <v>80</v>
      </c>
      <c r="H133" s="1" t="s">
        <v>40</v>
      </c>
      <c r="I133" s="1" t="s">
        <v>503</v>
      </c>
      <c r="J133" s="1" t="s">
        <v>41</v>
      </c>
      <c r="K133" s="3">
        <v>45597</v>
      </c>
      <c r="L133" s="3">
        <v>45261</v>
      </c>
      <c r="M133" s="3">
        <f t="shared" si="1"/>
        <v>45292</v>
      </c>
      <c r="N133" s="1">
        <v>9079571</v>
      </c>
      <c r="O133" s="1" t="s">
        <v>385</v>
      </c>
      <c r="P133" s="1">
        <v>8192</v>
      </c>
      <c r="Q133" s="1" t="s">
        <v>44</v>
      </c>
      <c r="R133" s="1" t="s">
        <v>34</v>
      </c>
      <c r="S133" s="1">
        <v>4</v>
      </c>
      <c r="T133" s="1" t="s">
        <v>504</v>
      </c>
      <c r="V133" s="1" t="s">
        <v>505</v>
      </c>
    </row>
    <row r="134" spans="1:22" ht="15.75" customHeight="1" x14ac:dyDescent="0.25">
      <c r="A134" s="3">
        <v>45615</v>
      </c>
      <c r="B134" s="1" t="s">
        <v>386</v>
      </c>
      <c r="C134" s="1" t="str">
        <f t="shared" si="0"/>
        <v>6YM5MG8QV547</v>
      </c>
      <c r="D134" s="2" t="s">
        <v>387</v>
      </c>
      <c r="F134" s="1" t="s">
        <v>388</v>
      </c>
      <c r="G134" s="1" t="s">
        <v>80</v>
      </c>
      <c r="H134" s="1" t="s">
        <v>40</v>
      </c>
      <c r="I134" s="1" t="s">
        <v>503</v>
      </c>
      <c r="J134" s="1" t="s">
        <v>41</v>
      </c>
      <c r="K134" s="3">
        <v>45597</v>
      </c>
      <c r="L134" s="3">
        <v>45017</v>
      </c>
      <c r="M134" s="3">
        <f t="shared" si="1"/>
        <v>45047</v>
      </c>
      <c r="N134" s="1">
        <v>9079571</v>
      </c>
      <c r="O134" s="1" t="s">
        <v>385</v>
      </c>
      <c r="P134" s="1">
        <v>8192</v>
      </c>
      <c r="Q134" s="1" t="s">
        <v>44</v>
      </c>
      <c r="R134" s="1" t="s">
        <v>34</v>
      </c>
      <c r="S134" s="1">
        <v>4</v>
      </c>
      <c r="T134" s="1" t="s">
        <v>504</v>
      </c>
      <c r="V134" s="1" t="s">
        <v>505</v>
      </c>
    </row>
    <row r="135" spans="1:22" ht="15.75" customHeight="1" x14ac:dyDescent="0.25">
      <c r="A135" s="3">
        <v>45615</v>
      </c>
      <c r="B135" s="1" t="s">
        <v>389</v>
      </c>
      <c r="C135" s="1" t="str">
        <f t="shared" si="0"/>
        <v>9VG6PU7MR767</v>
      </c>
      <c r="D135" s="2" t="s">
        <v>390</v>
      </c>
      <c r="F135" s="1" t="s">
        <v>391</v>
      </c>
      <c r="G135" s="1" t="s">
        <v>80</v>
      </c>
      <c r="H135" s="1" t="s">
        <v>40</v>
      </c>
      <c r="I135" s="1" t="s">
        <v>503</v>
      </c>
      <c r="J135" s="1" t="s">
        <v>41</v>
      </c>
      <c r="K135" s="3">
        <v>45597</v>
      </c>
      <c r="L135" s="3">
        <v>45078</v>
      </c>
      <c r="M135" s="3">
        <f t="shared" si="1"/>
        <v>45108</v>
      </c>
      <c r="N135" s="1">
        <v>9079571</v>
      </c>
      <c r="O135" s="1" t="s">
        <v>385</v>
      </c>
      <c r="P135" s="1">
        <v>8192</v>
      </c>
      <c r="Q135" s="1" t="s">
        <v>44</v>
      </c>
      <c r="R135" s="1" t="s">
        <v>34</v>
      </c>
      <c r="S135" s="1">
        <v>4</v>
      </c>
      <c r="T135" s="1" t="s">
        <v>504</v>
      </c>
      <c r="V135" s="1" t="s">
        <v>505</v>
      </c>
    </row>
    <row r="136" spans="1:22" ht="15.75" customHeight="1" x14ac:dyDescent="0.25">
      <c r="A136" s="3">
        <v>45615</v>
      </c>
      <c r="B136" s="1" t="s">
        <v>392</v>
      </c>
      <c r="C136" s="1" t="str">
        <f t="shared" si="0"/>
        <v>6A67YH1GE587</v>
      </c>
      <c r="D136" s="2" t="s">
        <v>393</v>
      </c>
      <c r="F136" s="1" t="s">
        <v>394</v>
      </c>
      <c r="G136" s="1" t="s">
        <v>39</v>
      </c>
      <c r="H136" s="1" t="s">
        <v>40</v>
      </c>
      <c r="I136" s="1" t="s">
        <v>503</v>
      </c>
      <c r="J136" s="1" t="s">
        <v>41</v>
      </c>
      <c r="K136" s="3">
        <v>45597</v>
      </c>
      <c r="L136" s="3">
        <v>45108</v>
      </c>
      <c r="M136" s="3">
        <f t="shared" si="1"/>
        <v>45139</v>
      </c>
      <c r="N136" s="1">
        <v>18943687</v>
      </c>
      <c r="O136" s="1" t="s">
        <v>395</v>
      </c>
      <c r="P136" s="1">
        <v>8192</v>
      </c>
      <c r="Q136" s="1" t="s">
        <v>44</v>
      </c>
      <c r="R136" s="1" t="s">
        <v>34</v>
      </c>
      <c r="S136" s="1">
        <v>4</v>
      </c>
      <c r="T136" s="1" t="s">
        <v>504</v>
      </c>
      <c r="V136" s="1" t="s">
        <v>505</v>
      </c>
    </row>
    <row r="137" spans="1:22" ht="15.75" customHeight="1" x14ac:dyDescent="0.25">
      <c r="A137" s="3">
        <v>45615</v>
      </c>
      <c r="B137" s="1" t="s">
        <v>400</v>
      </c>
      <c r="C137" s="1" t="str">
        <f t="shared" si="0"/>
        <v>7WH1HW4KD277</v>
      </c>
      <c r="D137" s="2">
        <v>101813111300</v>
      </c>
      <c r="F137" s="1" t="s">
        <v>570</v>
      </c>
      <c r="G137" s="1" t="s">
        <v>402</v>
      </c>
      <c r="H137" s="1" t="s">
        <v>40</v>
      </c>
      <c r="I137" s="1" t="s">
        <v>503</v>
      </c>
      <c r="J137" s="1" t="s">
        <v>28</v>
      </c>
      <c r="K137" s="3">
        <v>45597</v>
      </c>
      <c r="L137" s="3">
        <v>45261</v>
      </c>
      <c r="M137" s="3">
        <f t="shared" si="1"/>
        <v>45292</v>
      </c>
      <c r="N137" s="1">
        <v>8307933</v>
      </c>
      <c r="O137" s="1" t="s">
        <v>399</v>
      </c>
      <c r="P137" s="1">
        <v>8192</v>
      </c>
      <c r="Q137" s="1" t="s">
        <v>44</v>
      </c>
      <c r="R137" s="1" t="s">
        <v>34</v>
      </c>
      <c r="S137" s="1">
        <v>28</v>
      </c>
      <c r="T137" s="1" t="s">
        <v>509</v>
      </c>
      <c r="V137" s="1" t="s">
        <v>510</v>
      </c>
    </row>
    <row r="138" spans="1:22" ht="15.75" customHeight="1" x14ac:dyDescent="0.25">
      <c r="A138" s="3">
        <v>45615</v>
      </c>
      <c r="B138" s="1" t="s">
        <v>405</v>
      </c>
      <c r="C138" s="1" t="str">
        <f t="shared" si="0"/>
        <v>2CJ2CU8JH217</v>
      </c>
      <c r="D138" s="2">
        <v>101806263100</v>
      </c>
      <c r="F138" s="1" t="s">
        <v>571</v>
      </c>
      <c r="G138" s="1" t="s">
        <v>102</v>
      </c>
      <c r="H138" s="1" t="s">
        <v>40</v>
      </c>
      <c r="I138" s="1" t="s">
        <v>503</v>
      </c>
      <c r="J138" s="1" t="s">
        <v>28</v>
      </c>
      <c r="K138" s="3">
        <v>45597</v>
      </c>
      <c r="L138" s="3">
        <v>45261</v>
      </c>
      <c r="M138" s="3">
        <f t="shared" si="1"/>
        <v>45292</v>
      </c>
      <c r="N138" s="1">
        <v>8307933</v>
      </c>
      <c r="O138" s="1" t="s">
        <v>399</v>
      </c>
      <c r="P138" s="1">
        <v>8192</v>
      </c>
      <c r="Q138" s="1" t="s">
        <v>44</v>
      </c>
      <c r="R138" s="1" t="s">
        <v>34</v>
      </c>
      <c r="S138" s="1">
        <v>28</v>
      </c>
      <c r="T138" s="1" t="s">
        <v>509</v>
      </c>
      <c r="V138" s="1" t="s">
        <v>510</v>
      </c>
    </row>
    <row r="139" spans="1:22" ht="15.75" customHeight="1" x14ac:dyDescent="0.25">
      <c r="A139" s="3">
        <v>45615</v>
      </c>
      <c r="B139" s="1" t="s">
        <v>408</v>
      </c>
      <c r="C139" s="1" t="str">
        <f t="shared" si="0"/>
        <v>2PK0QX0DF417</v>
      </c>
      <c r="D139" s="2">
        <v>101758173300</v>
      </c>
      <c r="F139" s="1" t="s">
        <v>572</v>
      </c>
      <c r="G139" s="1" t="s">
        <v>410</v>
      </c>
      <c r="H139" s="1" t="s">
        <v>40</v>
      </c>
      <c r="I139" s="1" t="s">
        <v>503</v>
      </c>
      <c r="J139" s="1" t="s">
        <v>28</v>
      </c>
      <c r="K139" s="3">
        <v>45597</v>
      </c>
      <c r="L139" s="3">
        <v>45231</v>
      </c>
      <c r="M139" s="3">
        <f t="shared" si="1"/>
        <v>45261</v>
      </c>
      <c r="N139" s="1">
        <v>8307933</v>
      </c>
      <c r="O139" s="1" t="s">
        <v>399</v>
      </c>
      <c r="P139" s="1">
        <v>8192</v>
      </c>
      <c r="Q139" s="1" t="s">
        <v>44</v>
      </c>
      <c r="R139" s="1" t="s">
        <v>34</v>
      </c>
      <c r="S139" s="1">
        <v>28</v>
      </c>
      <c r="T139" s="1" t="s">
        <v>509</v>
      </c>
      <c r="V139" s="1" t="s">
        <v>510</v>
      </c>
    </row>
    <row r="140" spans="1:22" ht="15.75" customHeight="1" x14ac:dyDescent="0.25">
      <c r="A140" s="3">
        <v>45615</v>
      </c>
      <c r="B140" s="1" t="s">
        <v>413</v>
      </c>
      <c r="C140" s="1" t="str">
        <f t="shared" si="0"/>
        <v>7PN7GC6FF637</v>
      </c>
      <c r="D140" s="2">
        <v>101706065400</v>
      </c>
      <c r="F140" s="1" t="s">
        <v>573</v>
      </c>
      <c r="G140" s="1" t="s">
        <v>415</v>
      </c>
      <c r="H140" s="1" t="s">
        <v>40</v>
      </c>
      <c r="I140" s="1" t="s">
        <v>503</v>
      </c>
      <c r="J140" s="1" t="s">
        <v>28</v>
      </c>
      <c r="K140" s="3">
        <v>45597</v>
      </c>
      <c r="L140" s="3">
        <v>45047</v>
      </c>
      <c r="M140" s="3">
        <f t="shared" si="1"/>
        <v>45078</v>
      </c>
      <c r="N140" s="1">
        <v>8307933</v>
      </c>
      <c r="O140" s="1" t="s">
        <v>399</v>
      </c>
      <c r="P140" s="1">
        <v>8192</v>
      </c>
      <c r="Q140" s="1" t="s">
        <v>44</v>
      </c>
      <c r="R140" s="1" t="s">
        <v>34</v>
      </c>
      <c r="S140" s="1">
        <v>28</v>
      </c>
      <c r="T140" s="1" t="s">
        <v>509</v>
      </c>
      <c r="V140" s="1" t="s">
        <v>510</v>
      </c>
    </row>
    <row r="141" spans="1:22" ht="15.75" customHeight="1" x14ac:dyDescent="0.25">
      <c r="A141" s="3">
        <v>45615</v>
      </c>
      <c r="B141" s="1" t="s">
        <v>418</v>
      </c>
      <c r="C141" s="1" t="str">
        <f t="shared" si="0"/>
        <v>9QH9X75CR007</v>
      </c>
      <c r="D141" s="2">
        <v>101734308700</v>
      </c>
      <c r="F141" s="1" t="s">
        <v>574</v>
      </c>
      <c r="G141" s="1" t="s">
        <v>415</v>
      </c>
      <c r="H141" s="1" t="s">
        <v>40</v>
      </c>
      <c r="I141" s="1" t="s">
        <v>503</v>
      </c>
      <c r="J141" s="1" t="s">
        <v>28</v>
      </c>
      <c r="K141" s="3">
        <v>45597</v>
      </c>
      <c r="L141" s="3">
        <v>45170</v>
      </c>
      <c r="M141" s="3">
        <f t="shared" si="1"/>
        <v>45200</v>
      </c>
      <c r="N141" s="1">
        <v>8307933</v>
      </c>
      <c r="O141" s="1" t="s">
        <v>399</v>
      </c>
      <c r="P141" s="1">
        <v>8192</v>
      </c>
      <c r="Q141" s="1" t="s">
        <v>44</v>
      </c>
      <c r="R141" s="1" t="s">
        <v>34</v>
      </c>
      <c r="S141" s="1">
        <v>28</v>
      </c>
      <c r="T141" s="1" t="s">
        <v>509</v>
      </c>
      <c r="V141" s="1" t="s">
        <v>510</v>
      </c>
    </row>
    <row r="142" spans="1:22" ht="15.75" customHeight="1" x14ac:dyDescent="0.25">
      <c r="A142" s="3">
        <v>45615</v>
      </c>
      <c r="B142" s="1" t="s">
        <v>421</v>
      </c>
      <c r="C142" s="1" t="str">
        <f t="shared" si="0"/>
        <v>9U61E22HJ027</v>
      </c>
      <c r="D142" s="2">
        <v>101733633000</v>
      </c>
      <c r="F142" s="1" t="s">
        <v>575</v>
      </c>
      <c r="G142" s="1" t="s">
        <v>402</v>
      </c>
      <c r="H142" s="1" t="s">
        <v>40</v>
      </c>
      <c r="I142" s="1" t="s">
        <v>503</v>
      </c>
      <c r="J142" s="1" t="s">
        <v>28</v>
      </c>
      <c r="K142" s="3">
        <v>45597</v>
      </c>
      <c r="L142" s="3">
        <v>45108</v>
      </c>
      <c r="M142" s="3">
        <f t="shared" si="1"/>
        <v>45139</v>
      </c>
      <c r="N142" s="1">
        <v>8307933</v>
      </c>
      <c r="O142" s="1" t="s">
        <v>399</v>
      </c>
      <c r="P142" s="1">
        <v>8192</v>
      </c>
      <c r="Q142" s="1" t="s">
        <v>44</v>
      </c>
      <c r="R142" s="1" t="s">
        <v>34</v>
      </c>
      <c r="S142" s="1">
        <v>28</v>
      </c>
      <c r="T142" s="1" t="s">
        <v>509</v>
      </c>
      <c r="V142" s="1" t="s">
        <v>510</v>
      </c>
    </row>
    <row r="143" spans="1:22" ht="15.75" customHeight="1" x14ac:dyDescent="0.25">
      <c r="A143" s="3">
        <v>45615</v>
      </c>
      <c r="B143" s="1" t="s">
        <v>425</v>
      </c>
      <c r="C143" s="1" t="str">
        <f t="shared" si="0"/>
        <v>8RV6CD8RQ867</v>
      </c>
      <c r="D143" s="2">
        <v>101700110400</v>
      </c>
      <c r="F143" s="1" t="s">
        <v>576</v>
      </c>
      <c r="G143" s="1" t="s">
        <v>182</v>
      </c>
      <c r="H143" s="1" t="s">
        <v>40</v>
      </c>
      <c r="I143" s="1" t="s">
        <v>503</v>
      </c>
      <c r="J143" s="1" t="s">
        <v>28</v>
      </c>
      <c r="K143" s="3">
        <v>45597</v>
      </c>
      <c r="L143" s="3">
        <v>44986</v>
      </c>
      <c r="M143" s="3">
        <f t="shared" si="1"/>
        <v>45017</v>
      </c>
      <c r="N143" s="1">
        <v>8307933</v>
      </c>
      <c r="O143" s="1" t="s">
        <v>399</v>
      </c>
      <c r="P143" s="1">
        <v>8192</v>
      </c>
      <c r="Q143" s="1" t="s">
        <v>44</v>
      </c>
      <c r="R143" s="1" t="s">
        <v>34</v>
      </c>
      <c r="S143" s="1">
        <v>28</v>
      </c>
      <c r="T143" s="1" t="s">
        <v>509</v>
      </c>
      <c r="V143" s="1" t="s">
        <v>510</v>
      </c>
    </row>
    <row r="144" spans="1:22" ht="15.75" customHeight="1" x14ac:dyDescent="0.25">
      <c r="A144" s="3">
        <v>45615</v>
      </c>
      <c r="B144" s="1" t="s">
        <v>428</v>
      </c>
      <c r="C144" s="1" t="str">
        <f t="shared" si="0"/>
        <v>3C06FW9JR727</v>
      </c>
      <c r="D144" s="2">
        <v>101741462600</v>
      </c>
      <c r="F144" s="1" t="s">
        <v>577</v>
      </c>
      <c r="G144" s="1" t="s">
        <v>402</v>
      </c>
      <c r="H144" s="1" t="s">
        <v>40</v>
      </c>
      <c r="I144" s="1" t="s">
        <v>503</v>
      </c>
      <c r="J144" s="1" t="s">
        <v>28</v>
      </c>
      <c r="K144" s="3">
        <v>45597</v>
      </c>
      <c r="L144" s="3">
        <v>45170</v>
      </c>
      <c r="M144" s="3">
        <f t="shared" si="1"/>
        <v>45200</v>
      </c>
      <c r="N144" s="1">
        <v>8307933</v>
      </c>
      <c r="O144" s="1" t="s">
        <v>399</v>
      </c>
      <c r="P144" s="1">
        <v>8192</v>
      </c>
      <c r="Q144" s="1" t="s">
        <v>44</v>
      </c>
      <c r="R144" s="1" t="s">
        <v>34</v>
      </c>
      <c r="S144" s="1">
        <v>28</v>
      </c>
      <c r="T144" s="1" t="s">
        <v>509</v>
      </c>
      <c r="V144" s="1" t="s">
        <v>510</v>
      </c>
    </row>
    <row r="145" spans="1:22" ht="15.75" customHeight="1" x14ac:dyDescent="0.25">
      <c r="A145" s="3">
        <v>45615</v>
      </c>
      <c r="B145" s="1" t="s">
        <v>431</v>
      </c>
      <c r="C145" s="1" t="str">
        <f t="shared" si="0"/>
        <v>4C12GP5FM097</v>
      </c>
      <c r="D145" s="2">
        <v>101504343800</v>
      </c>
      <c r="F145" s="1" t="s">
        <v>578</v>
      </c>
      <c r="G145" s="1" t="s">
        <v>26</v>
      </c>
      <c r="H145" s="1" t="s">
        <v>40</v>
      </c>
      <c r="I145" s="1" t="s">
        <v>503</v>
      </c>
      <c r="J145" s="1" t="s">
        <v>28</v>
      </c>
      <c r="K145" s="3">
        <v>45597</v>
      </c>
      <c r="L145" s="3">
        <v>45231</v>
      </c>
      <c r="M145" s="3">
        <f t="shared" si="1"/>
        <v>45261</v>
      </c>
      <c r="N145" s="1">
        <v>8307933</v>
      </c>
      <c r="O145" s="1" t="s">
        <v>399</v>
      </c>
      <c r="P145" s="1">
        <v>8192</v>
      </c>
      <c r="Q145" s="1" t="s">
        <v>44</v>
      </c>
      <c r="R145" s="1" t="s">
        <v>34</v>
      </c>
      <c r="S145" s="1">
        <v>28</v>
      </c>
      <c r="T145" s="1" t="s">
        <v>509</v>
      </c>
      <c r="V145" s="1" t="s">
        <v>510</v>
      </c>
    </row>
    <row r="146" spans="1:22" ht="15.75" customHeight="1" x14ac:dyDescent="0.25">
      <c r="A146" s="3">
        <v>45615</v>
      </c>
      <c r="B146" s="1" t="s">
        <v>434</v>
      </c>
      <c r="C146" s="1" t="str">
        <f t="shared" si="0"/>
        <v>6Y65FT8JF797</v>
      </c>
      <c r="D146" s="2">
        <v>101504555900</v>
      </c>
      <c r="F146" s="1" t="s">
        <v>579</v>
      </c>
      <c r="G146" s="1" t="s">
        <v>26</v>
      </c>
      <c r="H146" s="1" t="s">
        <v>40</v>
      </c>
      <c r="I146" s="1" t="s">
        <v>503</v>
      </c>
      <c r="J146" s="1" t="s">
        <v>28</v>
      </c>
      <c r="K146" s="3">
        <v>45597</v>
      </c>
      <c r="L146" s="3">
        <v>45231</v>
      </c>
      <c r="M146" s="3">
        <f t="shared" si="1"/>
        <v>45261</v>
      </c>
      <c r="N146" s="1">
        <v>8307933</v>
      </c>
      <c r="O146" s="1" t="s">
        <v>399</v>
      </c>
      <c r="P146" s="1">
        <v>8192</v>
      </c>
      <c r="Q146" s="1" t="s">
        <v>44</v>
      </c>
      <c r="R146" s="1" t="s">
        <v>34</v>
      </c>
      <c r="S146" s="1">
        <v>28</v>
      </c>
      <c r="T146" s="1" t="s">
        <v>509</v>
      </c>
      <c r="V146" s="1" t="s">
        <v>510</v>
      </c>
    </row>
    <row r="147" spans="1:22" ht="15.75" customHeight="1" x14ac:dyDescent="0.25">
      <c r="A147" s="3">
        <v>45615</v>
      </c>
      <c r="B147" s="1" t="s">
        <v>436</v>
      </c>
      <c r="C147" s="1" t="str">
        <f t="shared" si="0"/>
        <v>6WG0NV5YF187</v>
      </c>
      <c r="D147" s="2">
        <v>101706129600</v>
      </c>
      <c r="F147" s="1" t="s">
        <v>580</v>
      </c>
      <c r="G147" s="1" t="s">
        <v>415</v>
      </c>
      <c r="H147" s="1" t="s">
        <v>40</v>
      </c>
      <c r="I147" s="1" t="s">
        <v>503</v>
      </c>
      <c r="J147" s="1" t="s">
        <v>28</v>
      </c>
      <c r="K147" s="3">
        <v>45597</v>
      </c>
      <c r="L147" s="3">
        <v>45017</v>
      </c>
      <c r="M147" s="3">
        <f t="shared" si="1"/>
        <v>45047</v>
      </c>
      <c r="N147" s="1">
        <v>8307933</v>
      </c>
      <c r="O147" s="1" t="s">
        <v>399</v>
      </c>
      <c r="P147" s="1">
        <v>8192</v>
      </c>
      <c r="Q147" s="1" t="s">
        <v>44</v>
      </c>
      <c r="R147" s="1" t="s">
        <v>34</v>
      </c>
      <c r="S147" s="1">
        <v>28</v>
      </c>
      <c r="T147" s="1" t="s">
        <v>509</v>
      </c>
      <c r="V147" s="1" t="s">
        <v>510</v>
      </c>
    </row>
    <row r="148" spans="1:22" ht="15.75" customHeight="1" x14ac:dyDescent="0.25">
      <c r="A148" s="3">
        <v>45615</v>
      </c>
      <c r="B148" s="1" t="s">
        <v>439</v>
      </c>
      <c r="C148" s="1" t="str">
        <f t="shared" si="0"/>
        <v>3RE5VX1FG777</v>
      </c>
      <c r="D148" s="2">
        <v>101760374600</v>
      </c>
      <c r="F148" s="1" t="s">
        <v>581</v>
      </c>
      <c r="G148" s="1" t="s">
        <v>182</v>
      </c>
      <c r="H148" s="1" t="s">
        <v>40</v>
      </c>
      <c r="I148" s="1" t="s">
        <v>503</v>
      </c>
      <c r="J148" s="1" t="s">
        <v>28</v>
      </c>
      <c r="K148" s="3">
        <v>45597</v>
      </c>
      <c r="L148" s="3">
        <v>45170</v>
      </c>
      <c r="M148" s="3">
        <f t="shared" si="1"/>
        <v>45200</v>
      </c>
      <c r="N148" s="1">
        <v>8307933</v>
      </c>
      <c r="O148" s="1" t="s">
        <v>399</v>
      </c>
      <c r="P148" s="1">
        <v>8192</v>
      </c>
      <c r="Q148" s="1" t="s">
        <v>44</v>
      </c>
      <c r="R148" s="1" t="s">
        <v>34</v>
      </c>
      <c r="S148" s="1">
        <v>28</v>
      </c>
      <c r="T148" s="1" t="s">
        <v>509</v>
      </c>
      <c r="V148" s="1" t="s">
        <v>510</v>
      </c>
    </row>
    <row r="149" spans="1:22" ht="15.75" customHeight="1" x14ac:dyDescent="0.25">
      <c r="A149" s="3">
        <v>45615</v>
      </c>
      <c r="B149" s="1" t="s">
        <v>442</v>
      </c>
      <c r="C149" s="1" t="str">
        <f t="shared" si="0"/>
        <v>1VT7UP9JP647</v>
      </c>
      <c r="D149" s="2">
        <v>101709465900</v>
      </c>
      <c r="F149" s="1" t="s">
        <v>443</v>
      </c>
      <c r="G149" s="1" t="s">
        <v>26</v>
      </c>
      <c r="H149" s="1" t="s">
        <v>40</v>
      </c>
      <c r="I149" s="1" t="s">
        <v>503</v>
      </c>
      <c r="J149" s="1" t="s">
        <v>28</v>
      </c>
      <c r="K149" s="3">
        <v>45597</v>
      </c>
      <c r="L149" s="3">
        <v>45017</v>
      </c>
      <c r="M149" s="3">
        <f t="shared" si="1"/>
        <v>45047</v>
      </c>
      <c r="N149" s="1">
        <v>8307933</v>
      </c>
      <c r="O149" s="1" t="s">
        <v>399</v>
      </c>
      <c r="P149" s="1">
        <v>8192</v>
      </c>
      <c r="Q149" s="1" t="s">
        <v>44</v>
      </c>
      <c r="R149" s="1" t="s">
        <v>34</v>
      </c>
      <c r="S149" s="1">
        <v>28</v>
      </c>
      <c r="T149" s="1" t="s">
        <v>509</v>
      </c>
      <c r="V149" s="1" t="s">
        <v>510</v>
      </c>
    </row>
    <row r="150" spans="1:22" ht="15.75" customHeight="1" x14ac:dyDescent="0.25">
      <c r="A150" s="3">
        <v>45615</v>
      </c>
      <c r="B150" s="1" t="s">
        <v>444</v>
      </c>
      <c r="C150" s="1" t="str">
        <f t="shared" si="0"/>
        <v>4E74U55PQ887</v>
      </c>
      <c r="D150" s="2">
        <v>101755840900</v>
      </c>
      <c r="F150" s="1" t="s">
        <v>445</v>
      </c>
      <c r="G150" s="1" t="s">
        <v>446</v>
      </c>
      <c r="H150" s="1" t="s">
        <v>40</v>
      </c>
      <c r="I150" s="1" t="s">
        <v>503</v>
      </c>
      <c r="J150" s="1" t="s">
        <v>28</v>
      </c>
      <c r="K150" s="3">
        <v>45597</v>
      </c>
      <c r="L150" s="3">
        <v>45170</v>
      </c>
      <c r="M150" s="3">
        <f t="shared" si="1"/>
        <v>45200</v>
      </c>
      <c r="N150" s="1">
        <v>8307933</v>
      </c>
      <c r="O150" s="1" t="s">
        <v>399</v>
      </c>
      <c r="P150" s="1">
        <v>8192</v>
      </c>
      <c r="Q150" s="1" t="s">
        <v>44</v>
      </c>
      <c r="R150" s="1" t="s">
        <v>34</v>
      </c>
      <c r="S150" s="1">
        <v>28</v>
      </c>
      <c r="T150" s="1" t="s">
        <v>509</v>
      </c>
      <c r="V150" s="1" t="s">
        <v>510</v>
      </c>
    </row>
    <row r="151" spans="1:22" ht="15.75" customHeight="1" x14ac:dyDescent="0.25">
      <c r="A151" s="3">
        <v>45615</v>
      </c>
      <c r="B151" s="1" t="s">
        <v>449</v>
      </c>
      <c r="C151" s="1" t="str">
        <f t="shared" si="0"/>
        <v>5G97EH3NE617</v>
      </c>
      <c r="D151" s="2">
        <v>101706106900</v>
      </c>
      <c r="F151" s="1" t="s">
        <v>450</v>
      </c>
      <c r="G151" s="1" t="s">
        <v>446</v>
      </c>
      <c r="H151" s="1" t="s">
        <v>40</v>
      </c>
      <c r="I151" s="1" t="s">
        <v>503</v>
      </c>
      <c r="J151" s="1" t="s">
        <v>28</v>
      </c>
      <c r="K151" s="3">
        <v>45597</v>
      </c>
      <c r="L151" s="3">
        <v>45017</v>
      </c>
      <c r="M151" s="3">
        <f t="shared" si="1"/>
        <v>45047</v>
      </c>
      <c r="N151" s="1">
        <v>8307933</v>
      </c>
      <c r="O151" s="1" t="s">
        <v>399</v>
      </c>
      <c r="P151" s="1">
        <v>8192</v>
      </c>
      <c r="Q151" s="1" t="s">
        <v>44</v>
      </c>
      <c r="R151" s="1" t="s">
        <v>34</v>
      </c>
      <c r="S151" s="1">
        <v>28</v>
      </c>
      <c r="T151" s="1" t="s">
        <v>509</v>
      </c>
      <c r="V151" s="1" t="s">
        <v>510</v>
      </c>
    </row>
    <row r="152" spans="1:22" ht="15.75" customHeight="1" x14ac:dyDescent="0.25">
      <c r="A152" s="3">
        <v>45615</v>
      </c>
      <c r="B152" s="1" t="s">
        <v>451</v>
      </c>
      <c r="C152" s="1" t="str">
        <f t="shared" si="0"/>
        <v>7QN6PF7HK677</v>
      </c>
      <c r="D152" s="2">
        <v>101762874900</v>
      </c>
      <c r="F152" s="1" t="s">
        <v>452</v>
      </c>
      <c r="G152" s="1" t="s">
        <v>453</v>
      </c>
      <c r="H152" s="1" t="s">
        <v>40</v>
      </c>
      <c r="I152" s="1" t="s">
        <v>503</v>
      </c>
      <c r="J152" s="1" t="s">
        <v>28</v>
      </c>
      <c r="K152" s="3">
        <v>45597</v>
      </c>
      <c r="L152" s="3">
        <v>45170</v>
      </c>
      <c r="M152" s="3">
        <f t="shared" si="1"/>
        <v>45200</v>
      </c>
      <c r="N152" s="1">
        <v>8307933</v>
      </c>
      <c r="O152" s="1" t="s">
        <v>399</v>
      </c>
      <c r="P152" s="1">
        <v>8192</v>
      </c>
      <c r="Q152" s="1" t="s">
        <v>44</v>
      </c>
      <c r="R152" s="1" t="s">
        <v>34</v>
      </c>
      <c r="S152" s="1">
        <v>28</v>
      </c>
      <c r="T152" s="1" t="s">
        <v>509</v>
      </c>
      <c r="V152" s="1" t="s">
        <v>510</v>
      </c>
    </row>
    <row r="153" spans="1:22" ht="15.75" customHeight="1" x14ac:dyDescent="0.25">
      <c r="A153" s="3">
        <v>45615</v>
      </c>
      <c r="B153" s="1" t="s">
        <v>455</v>
      </c>
      <c r="C153" s="1" t="str">
        <f t="shared" si="0"/>
        <v>8A84CW2KU827</v>
      </c>
      <c r="D153" s="2">
        <v>101698710100</v>
      </c>
      <c r="F153" s="1" t="s">
        <v>456</v>
      </c>
      <c r="G153" s="1" t="s">
        <v>457</v>
      </c>
      <c r="H153" s="1" t="s">
        <v>40</v>
      </c>
      <c r="I153" s="1" t="s">
        <v>503</v>
      </c>
      <c r="J153" s="1" t="s">
        <v>28</v>
      </c>
      <c r="K153" s="3">
        <v>45597</v>
      </c>
      <c r="L153" s="3">
        <v>44986</v>
      </c>
      <c r="M153" s="3">
        <f t="shared" si="1"/>
        <v>45017</v>
      </c>
      <c r="N153" s="1">
        <v>8307933</v>
      </c>
      <c r="O153" s="1" t="s">
        <v>399</v>
      </c>
      <c r="P153" s="1">
        <v>8192</v>
      </c>
      <c r="Q153" s="1" t="s">
        <v>44</v>
      </c>
      <c r="R153" s="1" t="s">
        <v>34</v>
      </c>
      <c r="S153" s="1">
        <v>28</v>
      </c>
      <c r="T153" s="1" t="s">
        <v>509</v>
      </c>
      <c r="V153" s="1" t="s">
        <v>510</v>
      </c>
    </row>
    <row r="154" spans="1:22" ht="15.75" customHeight="1" x14ac:dyDescent="0.25">
      <c r="A154" s="3">
        <v>45615</v>
      </c>
      <c r="B154" s="1" t="s">
        <v>459</v>
      </c>
      <c r="C154" s="1" t="str">
        <f t="shared" si="0"/>
        <v>7T14MP5EX987</v>
      </c>
      <c r="D154" s="2">
        <v>101754974700</v>
      </c>
      <c r="F154" s="1" t="s">
        <v>460</v>
      </c>
      <c r="G154" s="1" t="s">
        <v>457</v>
      </c>
      <c r="H154" s="1" t="s">
        <v>40</v>
      </c>
      <c r="I154" s="1" t="s">
        <v>503</v>
      </c>
      <c r="J154" s="1" t="s">
        <v>28</v>
      </c>
      <c r="K154" s="3">
        <v>45597</v>
      </c>
      <c r="L154" s="3">
        <v>45170</v>
      </c>
      <c r="M154" s="3">
        <f t="shared" si="1"/>
        <v>45200</v>
      </c>
      <c r="N154" s="1">
        <v>8307933</v>
      </c>
      <c r="O154" s="1" t="s">
        <v>399</v>
      </c>
      <c r="P154" s="1">
        <v>8192</v>
      </c>
      <c r="Q154" s="1" t="s">
        <v>44</v>
      </c>
      <c r="R154" s="1" t="s">
        <v>34</v>
      </c>
      <c r="S154" s="1">
        <v>28</v>
      </c>
      <c r="T154" s="1" t="s">
        <v>509</v>
      </c>
      <c r="V154" s="1" t="s">
        <v>510</v>
      </c>
    </row>
    <row r="155" spans="1:22" ht="15.75" customHeight="1" x14ac:dyDescent="0.25">
      <c r="A155" s="3">
        <v>45615</v>
      </c>
      <c r="B155" s="1" t="s">
        <v>461</v>
      </c>
      <c r="C155" s="1" t="str">
        <f t="shared" si="0"/>
        <v>4JE2M19GH187</v>
      </c>
      <c r="D155" s="2">
        <v>101720248500</v>
      </c>
      <c r="F155" s="1" t="s">
        <v>462</v>
      </c>
      <c r="G155" s="1" t="s">
        <v>102</v>
      </c>
      <c r="H155" s="1" t="s">
        <v>40</v>
      </c>
      <c r="I155" s="1" t="s">
        <v>503</v>
      </c>
      <c r="J155" s="1" t="s">
        <v>28</v>
      </c>
      <c r="K155" s="3">
        <v>45597</v>
      </c>
      <c r="L155" s="3">
        <v>45047</v>
      </c>
      <c r="M155" s="3">
        <f t="shared" si="1"/>
        <v>45078</v>
      </c>
      <c r="N155" s="1">
        <v>8307933</v>
      </c>
      <c r="O155" s="1" t="s">
        <v>399</v>
      </c>
      <c r="P155" s="1">
        <v>8192</v>
      </c>
      <c r="Q155" s="1" t="s">
        <v>44</v>
      </c>
      <c r="R155" s="1" t="s">
        <v>34</v>
      </c>
      <c r="S155" s="1">
        <v>28</v>
      </c>
      <c r="T155" s="1" t="s">
        <v>509</v>
      </c>
      <c r="V155" s="1" t="s">
        <v>510</v>
      </c>
    </row>
    <row r="156" spans="1:22" ht="15.75" customHeight="1" x14ac:dyDescent="0.25">
      <c r="A156" s="3">
        <v>45615</v>
      </c>
      <c r="B156" s="1" t="s">
        <v>463</v>
      </c>
      <c r="C156" s="1" t="str">
        <f t="shared" si="0"/>
        <v>9X06AC0XA897</v>
      </c>
      <c r="D156" s="2">
        <v>101767163600</v>
      </c>
      <c r="F156" s="1" t="s">
        <v>464</v>
      </c>
      <c r="G156" s="1" t="s">
        <v>465</v>
      </c>
      <c r="H156" s="1" t="s">
        <v>40</v>
      </c>
      <c r="I156" s="1" t="s">
        <v>503</v>
      </c>
      <c r="J156" s="1" t="s">
        <v>28</v>
      </c>
      <c r="K156" s="3">
        <v>45597</v>
      </c>
      <c r="L156" s="3">
        <v>45200</v>
      </c>
      <c r="M156" s="3">
        <f t="shared" si="1"/>
        <v>45231</v>
      </c>
      <c r="N156" s="1">
        <v>8307933</v>
      </c>
      <c r="O156" s="1" t="s">
        <v>399</v>
      </c>
      <c r="P156" s="1">
        <v>8192</v>
      </c>
      <c r="Q156" s="1" t="s">
        <v>44</v>
      </c>
      <c r="R156" s="1" t="s">
        <v>34</v>
      </c>
      <c r="S156" s="1">
        <v>28</v>
      </c>
      <c r="T156" s="1" t="s">
        <v>509</v>
      </c>
      <c r="V156" s="1" t="s">
        <v>510</v>
      </c>
    </row>
    <row r="157" spans="1:22" ht="15.75" customHeight="1" x14ac:dyDescent="0.25">
      <c r="A157" s="3">
        <v>45615</v>
      </c>
      <c r="B157" s="1" t="s">
        <v>470</v>
      </c>
      <c r="C157" s="1" t="str">
        <f t="shared" si="0"/>
        <v>5N74YU2JY057</v>
      </c>
      <c r="D157" s="2">
        <v>101697944000</v>
      </c>
      <c r="F157" s="1" t="s">
        <v>471</v>
      </c>
      <c r="G157" s="1" t="s">
        <v>26</v>
      </c>
      <c r="H157" s="1" t="s">
        <v>40</v>
      </c>
      <c r="I157" s="1" t="s">
        <v>503</v>
      </c>
      <c r="J157" s="1" t="s">
        <v>28</v>
      </c>
      <c r="K157" s="3">
        <v>45597</v>
      </c>
      <c r="L157" s="3">
        <v>45017</v>
      </c>
      <c r="M157" s="3">
        <f t="shared" si="1"/>
        <v>45047</v>
      </c>
      <c r="N157" s="1">
        <v>8307933</v>
      </c>
      <c r="O157" s="1" t="s">
        <v>399</v>
      </c>
      <c r="P157" s="1">
        <v>8192</v>
      </c>
      <c r="Q157" s="1" t="s">
        <v>44</v>
      </c>
      <c r="R157" s="1" t="s">
        <v>34</v>
      </c>
      <c r="S157" s="1">
        <v>28</v>
      </c>
      <c r="T157" s="1" t="s">
        <v>509</v>
      </c>
      <c r="V157" s="1" t="s">
        <v>510</v>
      </c>
    </row>
    <row r="158" spans="1:22" ht="15.75" customHeight="1" x14ac:dyDescent="0.25">
      <c r="A158" s="3">
        <v>45615</v>
      </c>
      <c r="B158" s="1" t="s">
        <v>472</v>
      </c>
      <c r="C158" s="1" t="str">
        <f t="shared" si="0"/>
        <v>8DG3VD2WN047</v>
      </c>
      <c r="D158" s="2">
        <v>101740447400</v>
      </c>
      <c r="F158" s="1" t="s">
        <v>473</v>
      </c>
      <c r="G158" s="1" t="s">
        <v>474</v>
      </c>
      <c r="H158" s="1" t="s">
        <v>40</v>
      </c>
      <c r="I158" s="1" t="s">
        <v>503</v>
      </c>
      <c r="J158" s="1" t="s">
        <v>28</v>
      </c>
      <c r="K158" s="3">
        <v>45597</v>
      </c>
      <c r="L158" s="3">
        <v>45139</v>
      </c>
      <c r="M158" s="3">
        <f t="shared" si="1"/>
        <v>45170</v>
      </c>
      <c r="N158" s="1">
        <v>8307933</v>
      </c>
      <c r="O158" s="1" t="s">
        <v>399</v>
      </c>
      <c r="P158" s="1">
        <v>8192</v>
      </c>
      <c r="Q158" s="1" t="s">
        <v>44</v>
      </c>
      <c r="R158" s="1" t="s">
        <v>34</v>
      </c>
      <c r="S158" s="1">
        <v>28</v>
      </c>
      <c r="T158" s="1" t="s">
        <v>509</v>
      </c>
      <c r="V158" s="1" t="s">
        <v>510</v>
      </c>
    </row>
    <row r="159" spans="1:22" ht="15.75" customHeight="1" x14ac:dyDescent="0.25">
      <c r="A159" s="3">
        <v>45615</v>
      </c>
      <c r="B159" s="1" t="s">
        <v>478</v>
      </c>
      <c r="C159" s="1" t="str">
        <f t="shared" si="0"/>
        <v>9D25MN1WD537</v>
      </c>
      <c r="D159" s="2">
        <v>101734123900</v>
      </c>
      <c r="F159" s="1" t="s">
        <v>479</v>
      </c>
      <c r="G159" s="1" t="s">
        <v>480</v>
      </c>
      <c r="H159" s="1" t="s">
        <v>40</v>
      </c>
      <c r="I159" s="1" t="s">
        <v>503</v>
      </c>
      <c r="J159" s="1" t="s">
        <v>28</v>
      </c>
      <c r="K159" s="3">
        <v>45597</v>
      </c>
      <c r="L159" s="3">
        <v>45108</v>
      </c>
      <c r="M159" s="3">
        <f t="shared" si="1"/>
        <v>45139</v>
      </c>
      <c r="N159" s="1">
        <v>8307933</v>
      </c>
      <c r="O159" s="1" t="s">
        <v>399</v>
      </c>
      <c r="P159" s="1">
        <v>8192</v>
      </c>
      <c r="Q159" s="1" t="s">
        <v>44</v>
      </c>
      <c r="R159" s="1" t="s">
        <v>34</v>
      </c>
      <c r="S159" s="1">
        <v>28</v>
      </c>
      <c r="T159" s="1" t="s">
        <v>509</v>
      </c>
      <c r="V159" s="1" t="s">
        <v>510</v>
      </c>
    </row>
    <row r="160" spans="1:22" ht="15.75" customHeight="1" x14ac:dyDescent="0.25">
      <c r="A160" s="3">
        <v>45615</v>
      </c>
      <c r="B160" s="1" t="s">
        <v>483</v>
      </c>
      <c r="C160" s="1" t="str">
        <f t="shared" si="0"/>
        <v>3NA0RW3FY907</v>
      </c>
      <c r="D160" s="2">
        <v>101707201600</v>
      </c>
      <c r="F160" s="1" t="s">
        <v>484</v>
      </c>
      <c r="G160" s="1" t="s">
        <v>26</v>
      </c>
      <c r="H160" s="1" t="s">
        <v>40</v>
      </c>
      <c r="I160" s="1" t="s">
        <v>503</v>
      </c>
      <c r="J160" s="1" t="s">
        <v>28</v>
      </c>
      <c r="K160" s="3">
        <v>45597</v>
      </c>
      <c r="L160" s="3">
        <v>45017</v>
      </c>
      <c r="M160" s="3">
        <f t="shared" si="1"/>
        <v>45047</v>
      </c>
      <c r="N160" s="1">
        <v>8307933</v>
      </c>
      <c r="O160" s="1" t="s">
        <v>399</v>
      </c>
      <c r="P160" s="1">
        <v>8192</v>
      </c>
      <c r="Q160" s="1" t="s">
        <v>44</v>
      </c>
      <c r="R160" s="1" t="s">
        <v>34</v>
      </c>
      <c r="S160" s="1">
        <v>28</v>
      </c>
      <c r="T160" s="1" t="s">
        <v>509</v>
      </c>
      <c r="V160" s="1" t="s">
        <v>510</v>
      </c>
    </row>
    <row r="161" spans="1:26" ht="15.75" customHeight="1" x14ac:dyDescent="0.25">
      <c r="A161" s="3">
        <v>45615</v>
      </c>
      <c r="B161" s="1" t="s">
        <v>485</v>
      </c>
      <c r="C161" s="1" t="str">
        <f t="shared" si="0"/>
        <v>2H26V84UH677</v>
      </c>
      <c r="D161" s="2">
        <v>101697130900</v>
      </c>
      <c r="F161" s="1" t="s">
        <v>486</v>
      </c>
      <c r="G161" s="1" t="s">
        <v>93</v>
      </c>
      <c r="H161" s="1" t="s">
        <v>40</v>
      </c>
      <c r="I161" s="1" t="s">
        <v>503</v>
      </c>
      <c r="J161" s="1" t="s">
        <v>28</v>
      </c>
      <c r="K161" s="3">
        <v>45597</v>
      </c>
      <c r="L161" s="3">
        <v>44986</v>
      </c>
      <c r="M161" s="3">
        <f t="shared" si="1"/>
        <v>45017</v>
      </c>
      <c r="N161" s="1">
        <v>8307933</v>
      </c>
      <c r="O161" s="1" t="s">
        <v>399</v>
      </c>
      <c r="P161" s="1">
        <v>8192</v>
      </c>
      <c r="Q161" s="1" t="s">
        <v>44</v>
      </c>
      <c r="R161" s="1" t="s">
        <v>34</v>
      </c>
      <c r="S161" s="1">
        <v>28</v>
      </c>
      <c r="T161" s="1" t="s">
        <v>509</v>
      </c>
      <c r="V161" s="1" t="s">
        <v>510</v>
      </c>
    </row>
    <row r="162" spans="1:26" ht="15.75" customHeight="1" x14ac:dyDescent="0.25">
      <c r="A162" s="3">
        <v>45615</v>
      </c>
      <c r="B162" s="1" t="s">
        <v>487</v>
      </c>
      <c r="C162" s="1" t="str">
        <f t="shared" si="0"/>
        <v>9F31JM2QW107</v>
      </c>
      <c r="D162" s="2">
        <v>101763748700</v>
      </c>
      <c r="F162" s="1" t="s">
        <v>488</v>
      </c>
      <c r="G162" s="1" t="s">
        <v>453</v>
      </c>
      <c r="H162" s="1" t="s">
        <v>40</v>
      </c>
      <c r="I162" s="1" t="s">
        <v>503</v>
      </c>
      <c r="J162" s="1" t="s">
        <v>28</v>
      </c>
      <c r="K162" s="3">
        <v>45597</v>
      </c>
      <c r="L162" s="3">
        <v>45200</v>
      </c>
      <c r="M162" s="3">
        <f t="shared" si="1"/>
        <v>45231</v>
      </c>
      <c r="N162" s="1">
        <v>8307933</v>
      </c>
      <c r="O162" s="1" t="s">
        <v>399</v>
      </c>
      <c r="P162" s="1">
        <v>8192</v>
      </c>
      <c r="Q162" s="1" t="s">
        <v>44</v>
      </c>
      <c r="R162" s="1" t="s">
        <v>34</v>
      </c>
      <c r="S162" s="1">
        <v>28</v>
      </c>
      <c r="T162" s="1" t="s">
        <v>509</v>
      </c>
      <c r="V162" s="1" t="s">
        <v>510</v>
      </c>
    </row>
    <row r="163" spans="1:26" ht="15.75" customHeight="1" x14ac:dyDescent="0.25">
      <c r="A163" s="3">
        <v>45615</v>
      </c>
      <c r="B163" s="1" t="s">
        <v>492</v>
      </c>
      <c r="C163" s="1" t="str">
        <f t="shared" si="0"/>
        <v>4KE5FG0HN627</v>
      </c>
      <c r="D163" s="2">
        <v>101705087000</v>
      </c>
      <c r="F163" s="1" t="s">
        <v>493</v>
      </c>
      <c r="G163" s="1" t="s">
        <v>494</v>
      </c>
      <c r="H163" s="1" t="s">
        <v>40</v>
      </c>
      <c r="I163" s="1" t="s">
        <v>503</v>
      </c>
      <c r="J163" s="1" t="s">
        <v>28</v>
      </c>
      <c r="K163" s="3">
        <v>45597</v>
      </c>
      <c r="L163" s="3">
        <v>45047</v>
      </c>
      <c r="M163" s="3">
        <f t="shared" si="1"/>
        <v>45078</v>
      </c>
      <c r="N163" s="1">
        <v>8307933</v>
      </c>
      <c r="O163" s="1" t="s">
        <v>399</v>
      </c>
      <c r="P163" s="1">
        <v>8192</v>
      </c>
      <c r="Q163" s="1" t="s">
        <v>44</v>
      </c>
      <c r="R163" s="1" t="s">
        <v>34</v>
      </c>
      <c r="S163" s="1">
        <v>28</v>
      </c>
      <c r="T163" s="1" t="s">
        <v>509</v>
      </c>
      <c r="V163" s="1" t="s">
        <v>510</v>
      </c>
    </row>
    <row r="164" spans="1:26" ht="16.5" customHeight="1" x14ac:dyDescent="0.25">
      <c r="A164" s="3">
        <v>45615</v>
      </c>
      <c r="B164" s="1" t="s">
        <v>396</v>
      </c>
      <c r="C164" s="1" t="str">
        <f t="shared" si="0"/>
        <v>2F16C21QX407</v>
      </c>
      <c r="D164" s="2">
        <v>101700534500</v>
      </c>
      <c r="F164" s="1" t="s">
        <v>582</v>
      </c>
      <c r="G164" s="1" t="s">
        <v>39</v>
      </c>
      <c r="H164" s="1" t="s">
        <v>40</v>
      </c>
      <c r="I164" s="1" t="s">
        <v>503</v>
      </c>
      <c r="J164" s="1" t="s">
        <v>28</v>
      </c>
      <c r="K164" s="3">
        <v>45597</v>
      </c>
      <c r="L164" s="3">
        <v>44986</v>
      </c>
      <c r="M164" s="3">
        <f t="shared" si="1"/>
        <v>45017</v>
      </c>
      <c r="N164" s="1">
        <v>8307933</v>
      </c>
      <c r="O164" s="1" t="s">
        <v>399</v>
      </c>
      <c r="P164" s="1">
        <v>8192</v>
      </c>
      <c r="Q164" s="1" t="s">
        <v>44</v>
      </c>
      <c r="R164" s="1" t="s">
        <v>34</v>
      </c>
      <c r="S164" s="1">
        <v>31.25</v>
      </c>
      <c r="T164" s="1" t="s">
        <v>507</v>
      </c>
      <c r="V164" s="1" t="s">
        <v>508</v>
      </c>
    </row>
    <row r="165" spans="1:26" ht="15.75" customHeight="1" x14ac:dyDescent="0.25">
      <c r="A165" s="3">
        <v>45615</v>
      </c>
      <c r="B165" s="1" t="s">
        <v>468</v>
      </c>
      <c r="C165" s="1" t="str">
        <f t="shared" si="0"/>
        <v>1K31HV6KC337</v>
      </c>
      <c r="D165" s="2">
        <v>101761973000</v>
      </c>
      <c r="F165" s="1" t="s">
        <v>469</v>
      </c>
      <c r="G165" s="1" t="s">
        <v>39</v>
      </c>
      <c r="H165" s="1" t="s">
        <v>40</v>
      </c>
      <c r="I165" s="1" t="s">
        <v>503</v>
      </c>
      <c r="J165" s="1" t="s">
        <v>28</v>
      </c>
      <c r="K165" s="3">
        <v>45597</v>
      </c>
      <c r="L165" s="3">
        <v>45200</v>
      </c>
      <c r="M165" s="3">
        <f t="shared" si="1"/>
        <v>45231</v>
      </c>
      <c r="N165" s="1">
        <v>8307933</v>
      </c>
      <c r="O165" s="1" t="s">
        <v>399</v>
      </c>
      <c r="P165" s="1">
        <v>8192</v>
      </c>
      <c r="Q165" s="1" t="s">
        <v>44</v>
      </c>
      <c r="R165" s="1" t="s">
        <v>34</v>
      </c>
      <c r="S165" s="1">
        <v>31.25</v>
      </c>
      <c r="T165" s="1" t="s">
        <v>507</v>
      </c>
      <c r="V165" s="1" t="s">
        <v>508</v>
      </c>
      <c r="W165" s="5"/>
      <c r="X165" s="5"/>
      <c r="Y165" s="5"/>
      <c r="Z165" s="5"/>
    </row>
    <row r="166" spans="1:26" ht="15.75" customHeight="1" x14ac:dyDescent="0.25">
      <c r="A166" s="3">
        <v>45615</v>
      </c>
      <c r="B166" s="1" t="s">
        <v>476</v>
      </c>
      <c r="C166" s="1" t="str">
        <f t="shared" si="0"/>
        <v>4WW4W91JY957</v>
      </c>
      <c r="D166" s="2">
        <v>101704569600</v>
      </c>
      <c r="F166" s="1" t="s">
        <v>477</v>
      </c>
      <c r="G166" s="1" t="s">
        <v>39</v>
      </c>
      <c r="H166" s="1" t="s">
        <v>40</v>
      </c>
      <c r="I166" s="1" t="s">
        <v>503</v>
      </c>
      <c r="J166" s="1" t="s">
        <v>28</v>
      </c>
      <c r="K166" s="3">
        <v>45597</v>
      </c>
      <c r="L166" s="3">
        <v>45047</v>
      </c>
      <c r="M166" s="3">
        <f t="shared" si="1"/>
        <v>45078</v>
      </c>
      <c r="N166" s="1">
        <v>8307933</v>
      </c>
      <c r="O166" s="1" t="s">
        <v>399</v>
      </c>
      <c r="P166" s="1">
        <v>8192</v>
      </c>
      <c r="Q166" s="1" t="s">
        <v>44</v>
      </c>
      <c r="R166" s="1" t="s">
        <v>34</v>
      </c>
      <c r="S166" s="1">
        <v>31.25</v>
      </c>
      <c r="T166" s="1" t="s">
        <v>507</v>
      </c>
      <c r="V166" s="1" t="s">
        <v>508</v>
      </c>
    </row>
    <row r="167" spans="1:26" ht="15.75" customHeight="1" x14ac:dyDescent="0.25">
      <c r="A167" s="3">
        <v>45615</v>
      </c>
      <c r="B167" s="1" t="s">
        <v>490</v>
      </c>
      <c r="C167" s="1" t="str">
        <f t="shared" si="0"/>
        <v>2WV9E99WQ567</v>
      </c>
      <c r="D167" s="2">
        <v>102082370200</v>
      </c>
      <c r="F167" s="1" t="s">
        <v>491</v>
      </c>
      <c r="G167" s="1" t="s">
        <v>26</v>
      </c>
      <c r="H167" s="1" t="s">
        <v>27</v>
      </c>
      <c r="I167" s="1" t="s">
        <v>500</v>
      </c>
      <c r="J167" s="1" t="s">
        <v>28</v>
      </c>
      <c r="K167" s="3">
        <v>45597</v>
      </c>
      <c r="L167" s="3">
        <v>45597</v>
      </c>
      <c r="M167" s="3">
        <f t="shared" si="1"/>
        <v>45627</v>
      </c>
      <c r="N167" s="1">
        <v>8307933</v>
      </c>
      <c r="O167" s="1" t="s">
        <v>399</v>
      </c>
      <c r="P167" s="1">
        <v>8192</v>
      </c>
      <c r="Q167" s="1" t="s">
        <v>33</v>
      </c>
      <c r="R167" s="1" t="s">
        <v>34</v>
      </c>
      <c r="S167" s="1">
        <v>71.83</v>
      </c>
      <c r="T167" s="1" t="s">
        <v>501</v>
      </c>
      <c r="V167" s="1" t="s">
        <v>583</v>
      </c>
    </row>
    <row r="168" spans="1:26" ht="15.75" customHeight="1" x14ac:dyDescent="0.25">
      <c r="A168" s="3"/>
      <c r="D168" s="2"/>
      <c r="K168" s="3"/>
      <c r="L168" s="3"/>
      <c r="M168" s="3"/>
    </row>
    <row r="169" spans="1:26" ht="15.75" customHeight="1" x14ac:dyDescent="0.25">
      <c r="A169" s="3"/>
      <c r="D169" s="2"/>
      <c r="K169" s="3"/>
      <c r="L169" s="3"/>
      <c r="M169" s="3"/>
    </row>
    <row r="170" spans="1:26" ht="15.75" customHeight="1" x14ac:dyDescent="0.25">
      <c r="A170" s="3"/>
      <c r="D170" s="2"/>
      <c r="K170" s="3"/>
      <c r="L170" s="3"/>
      <c r="M170" s="3"/>
    </row>
    <row r="171" spans="1:26" ht="15.75" customHeight="1" x14ac:dyDescent="0.25">
      <c r="A171" s="3"/>
      <c r="D171" s="2"/>
      <c r="K171" s="3"/>
      <c r="L171" s="3"/>
      <c r="M171" s="3"/>
    </row>
    <row r="172" spans="1:26" ht="15.75" customHeight="1" x14ac:dyDescent="0.25">
      <c r="A172" s="3"/>
      <c r="D172" s="2"/>
      <c r="K172" s="3"/>
      <c r="L172" s="3"/>
      <c r="M172" s="3"/>
    </row>
    <row r="173" spans="1:26" ht="15.75" customHeight="1" x14ac:dyDescent="0.25">
      <c r="A173" s="3"/>
      <c r="D173" s="2"/>
      <c r="K173" s="3"/>
      <c r="L173" s="3"/>
      <c r="M173" s="3"/>
    </row>
    <row r="174" spans="1:26" ht="15.75" customHeight="1" x14ac:dyDescent="0.25">
      <c r="A174" s="3"/>
      <c r="D174" s="2"/>
      <c r="K174" s="3"/>
      <c r="L174" s="3"/>
      <c r="M174" s="3"/>
    </row>
    <row r="175" spans="1:26" ht="15.75" customHeight="1" x14ac:dyDescent="0.25">
      <c r="A175" s="3"/>
      <c r="D175" s="2"/>
      <c r="K175" s="3"/>
      <c r="L175" s="3"/>
      <c r="M175" s="3"/>
    </row>
    <row r="176" spans="1:26" ht="15.75" customHeight="1" x14ac:dyDescent="0.25">
      <c r="A176" s="3"/>
      <c r="D176" s="2"/>
      <c r="K176" s="3"/>
      <c r="L176" s="3"/>
      <c r="M176" s="3"/>
    </row>
    <row r="177" spans="1:13" ht="15.75" customHeight="1" x14ac:dyDescent="0.25">
      <c r="A177" s="3"/>
      <c r="D177" s="2"/>
      <c r="K177" s="3"/>
      <c r="L177" s="3"/>
      <c r="M177" s="3"/>
    </row>
    <row r="178" spans="1:13" ht="15.75" customHeight="1" x14ac:dyDescent="0.25">
      <c r="A178" s="3"/>
      <c r="D178" s="2"/>
      <c r="K178" s="3"/>
      <c r="L178" s="3"/>
      <c r="M178" s="3"/>
    </row>
    <row r="179" spans="1:13" ht="15.75" customHeight="1" x14ac:dyDescent="0.25">
      <c r="A179" s="3"/>
      <c r="D179" s="2"/>
      <c r="K179" s="3"/>
      <c r="L179" s="3"/>
      <c r="M179" s="3"/>
    </row>
    <row r="180" spans="1:13" ht="15.75" customHeight="1" x14ac:dyDescent="0.25">
      <c r="A180" s="3"/>
      <c r="D180" s="2"/>
      <c r="K180" s="3"/>
      <c r="L180" s="3"/>
      <c r="M180" s="3"/>
    </row>
    <row r="181" spans="1:13" ht="15.75" customHeight="1" x14ac:dyDescent="0.25">
      <c r="A181" s="3"/>
      <c r="D181" s="2"/>
      <c r="K181" s="3"/>
      <c r="L181" s="3"/>
      <c r="M181" s="3"/>
    </row>
    <row r="182" spans="1:13" ht="15.75" customHeight="1" x14ac:dyDescent="0.25">
      <c r="A182" s="3"/>
      <c r="D182" s="2"/>
      <c r="K182" s="3"/>
      <c r="L182" s="3"/>
      <c r="M182" s="3"/>
    </row>
    <row r="183" spans="1:13" ht="15.75" customHeight="1" x14ac:dyDescent="0.25">
      <c r="A183" s="3"/>
      <c r="D183" s="2"/>
      <c r="K183" s="3"/>
      <c r="L183" s="3"/>
      <c r="M183" s="3"/>
    </row>
    <row r="184" spans="1:13" ht="15.75" customHeight="1" x14ac:dyDescent="0.25">
      <c r="A184" s="3"/>
      <c r="D184" s="2"/>
      <c r="K184" s="3"/>
      <c r="L184" s="3"/>
      <c r="M184" s="3"/>
    </row>
    <row r="185" spans="1:13" ht="15.75" customHeight="1" x14ac:dyDescent="0.25">
      <c r="A185" s="3"/>
      <c r="D185" s="2"/>
      <c r="K185" s="3"/>
      <c r="L185" s="3"/>
      <c r="M185" s="3"/>
    </row>
    <row r="186" spans="1:13" ht="15.75" customHeight="1" x14ac:dyDescent="0.25">
      <c r="A186" s="3"/>
      <c r="D186" s="2"/>
      <c r="K186" s="3"/>
      <c r="L186" s="3"/>
      <c r="M186" s="3"/>
    </row>
    <row r="187" spans="1:13" ht="15.75" customHeight="1" x14ac:dyDescent="0.25">
      <c r="A187" s="3"/>
      <c r="D187" s="2"/>
      <c r="K187" s="3"/>
      <c r="L187" s="3"/>
      <c r="M187" s="3"/>
    </row>
    <row r="188" spans="1:13" ht="15.75" customHeight="1" x14ac:dyDescent="0.25">
      <c r="A188" s="3"/>
      <c r="D188" s="2"/>
      <c r="K188" s="3"/>
      <c r="L188" s="3"/>
      <c r="M188" s="3"/>
    </row>
    <row r="189" spans="1:13" ht="15.75" customHeight="1" x14ac:dyDescent="0.25">
      <c r="A189" s="3"/>
      <c r="D189" s="2"/>
      <c r="K189" s="3"/>
      <c r="L189" s="3"/>
      <c r="M189" s="3"/>
    </row>
    <row r="190" spans="1:13" ht="15.75" customHeight="1" x14ac:dyDescent="0.25">
      <c r="A190" s="3"/>
      <c r="D190" s="2"/>
      <c r="K190" s="3"/>
      <c r="L190" s="3"/>
      <c r="M190" s="3"/>
    </row>
    <row r="191" spans="1:13" ht="15.75" customHeight="1" x14ac:dyDescent="0.25">
      <c r="A191" s="3"/>
      <c r="D191" s="2"/>
      <c r="K191" s="3"/>
      <c r="L191" s="3"/>
      <c r="M191" s="3"/>
    </row>
    <row r="192" spans="1:13" ht="15.75" customHeight="1" x14ac:dyDescent="0.25">
      <c r="A192" s="3"/>
      <c r="D192" s="2"/>
      <c r="K192" s="3"/>
      <c r="L192" s="3"/>
      <c r="M192" s="3"/>
    </row>
    <row r="193" spans="1:13" ht="15.75" customHeight="1" x14ac:dyDescent="0.25">
      <c r="A193" s="3"/>
      <c r="D193" s="2"/>
      <c r="K193" s="3"/>
      <c r="L193" s="3"/>
      <c r="M193" s="3"/>
    </row>
    <row r="194" spans="1:13" ht="15.75" customHeight="1" x14ac:dyDescent="0.25">
      <c r="A194" s="3"/>
      <c r="D194" s="2"/>
      <c r="K194" s="3"/>
      <c r="L194" s="3"/>
      <c r="M194" s="3"/>
    </row>
    <row r="195" spans="1:13" ht="15.75" customHeight="1" x14ac:dyDescent="0.25">
      <c r="D195" s="2"/>
    </row>
    <row r="196" spans="1:13" ht="15.75" customHeight="1" x14ac:dyDescent="0.25">
      <c r="D196" s="2"/>
    </row>
    <row r="197" spans="1:13" ht="15.75" customHeight="1" x14ac:dyDescent="0.25">
      <c r="A197" s="1" t="s">
        <v>496</v>
      </c>
      <c r="D197" s="2"/>
    </row>
    <row r="198" spans="1:13" ht="15.75" customHeight="1" x14ac:dyDescent="0.25">
      <c r="D198" s="2"/>
    </row>
    <row r="199" spans="1:13" ht="15.75" customHeight="1" x14ac:dyDescent="0.25">
      <c r="D199" s="2"/>
    </row>
    <row r="200" spans="1:13" ht="15.75" customHeight="1" x14ac:dyDescent="0.25">
      <c r="D200" s="2"/>
    </row>
    <row r="201" spans="1:13" ht="15.75" customHeight="1" x14ac:dyDescent="0.25">
      <c r="D201" s="2"/>
    </row>
    <row r="202" spans="1:13" ht="15.75" customHeight="1" x14ac:dyDescent="0.25">
      <c r="D202" s="2"/>
    </row>
    <row r="203" spans="1:13" ht="15.75" customHeight="1" x14ac:dyDescent="0.25">
      <c r="D203" s="2"/>
    </row>
    <row r="204" spans="1:13" ht="15.75" customHeight="1" x14ac:dyDescent="0.25">
      <c r="D204" s="2"/>
    </row>
    <row r="205" spans="1:13" ht="15.75" customHeight="1" x14ac:dyDescent="0.25">
      <c r="D205" s="2"/>
    </row>
    <row r="206" spans="1:13" ht="15.75" customHeight="1" x14ac:dyDescent="0.25">
      <c r="D206" s="2"/>
    </row>
    <row r="207" spans="1:13" ht="15.75" customHeight="1" x14ac:dyDescent="0.25">
      <c r="D207" s="2"/>
    </row>
    <row r="208" spans="1:13" ht="15.75" customHeight="1" x14ac:dyDescent="0.25">
      <c r="D208" s="2"/>
    </row>
    <row r="209" spans="4:4" ht="15.75" customHeight="1" x14ac:dyDescent="0.25">
      <c r="D209" s="2"/>
    </row>
    <row r="210" spans="4:4" ht="15.75" customHeight="1" x14ac:dyDescent="0.25">
      <c r="D210" s="2"/>
    </row>
    <row r="211" spans="4:4" ht="15.75" customHeight="1" x14ac:dyDescent="0.25">
      <c r="D211" s="2"/>
    </row>
    <row r="212" spans="4:4" ht="15.75" customHeight="1" x14ac:dyDescent="0.25">
      <c r="D212" s="2"/>
    </row>
    <row r="213" spans="4:4" ht="15.75" customHeight="1" x14ac:dyDescent="0.25">
      <c r="D213" s="2"/>
    </row>
    <row r="214" spans="4:4" ht="15.75" customHeight="1" x14ac:dyDescent="0.25">
      <c r="D214" s="2"/>
    </row>
    <row r="215" spans="4:4" ht="15.75" customHeight="1" x14ac:dyDescent="0.25">
      <c r="D215" s="2"/>
    </row>
    <row r="216" spans="4:4" ht="15.75" customHeight="1" x14ac:dyDescent="0.25">
      <c r="D216" s="2"/>
    </row>
    <row r="217" spans="4:4" ht="15.75" customHeight="1" x14ac:dyDescent="0.25">
      <c r="D217" s="2"/>
    </row>
    <row r="218" spans="4:4" ht="15.75" customHeight="1" x14ac:dyDescent="0.25">
      <c r="D218" s="2"/>
    </row>
    <row r="219" spans="4:4" ht="15.75" customHeight="1" x14ac:dyDescent="0.25">
      <c r="D219" s="2"/>
    </row>
    <row r="220" spans="4:4" ht="15.75" customHeight="1" x14ac:dyDescent="0.25">
      <c r="D220" s="2"/>
    </row>
    <row r="221" spans="4:4" ht="15.75" customHeight="1" x14ac:dyDescent="0.25">
      <c r="D221" s="2"/>
    </row>
    <row r="222" spans="4:4" ht="15.75" customHeight="1" x14ac:dyDescent="0.25">
      <c r="D222" s="2"/>
    </row>
    <row r="223" spans="4:4" ht="15.75" customHeight="1" x14ac:dyDescent="0.25">
      <c r="D223" s="2"/>
    </row>
    <row r="224" spans="4:4" ht="15.75" customHeight="1" x14ac:dyDescent="0.25">
      <c r="D224" s="2"/>
    </row>
    <row r="225" spans="4:4" ht="15.75" customHeight="1" x14ac:dyDescent="0.25">
      <c r="D225" s="2"/>
    </row>
    <row r="226" spans="4:4" ht="15.75" customHeight="1" x14ac:dyDescent="0.25">
      <c r="D226" s="2"/>
    </row>
    <row r="227" spans="4:4" ht="15.75" customHeight="1" x14ac:dyDescent="0.25">
      <c r="D227" s="2"/>
    </row>
    <row r="228" spans="4:4" ht="15.75" customHeight="1" x14ac:dyDescent="0.25">
      <c r="D228" s="2"/>
    </row>
    <row r="229" spans="4:4" ht="15.75" customHeight="1" x14ac:dyDescent="0.25">
      <c r="D229" s="2"/>
    </row>
    <row r="230" spans="4:4" ht="15.75" customHeight="1" x14ac:dyDescent="0.25">
      <c r="D230" s="2"/>
    </row>
    <row r="231" spans="4:4" ht="15.75" customHeight="1" x14ac:dyDescent="0.25">
      <c r="D231" s="2"/>
    </row>
    <row r="232" spans="4:4" ht="15.75" customHeight="1" x14ac:dyDescent="0.25">
      <c r="D232" s="2"/>
    </row>
    <row r="233" spans="4:4" ht="15.75" customHeight="1" x14ac:dyDescent="0.25">
      <c r="D233" s="2"/>
    </row>
    <row r="234" spans="4:4" ht="15.75" customHeight="1" x14ac:dyDescent="0.25">
      <c r="D234" s="2"/>
    </row>
    <row r="235" spans="4:4" ht="15.75" customHeight="1" x14ac:dyDescent="0.25">
      <c r="D235" s="2"/>
    </row>
    <row r="236" spans="4:4" ht="15.75" customHeight="1" x14ac:dyDescent="0.25">
      <c r="D236" s="2"/>
    </row>
    <row r="237" spans="4:4" ht="15.75" customHeight="1" x14ac:dyDescent="0.25">
      <c r="D237" s="2"/>
    </row>
    <row r="238" spans="4:4" ht="15.75" customHeight="1" x14ac:dyDescent="0.25">
      <c r="D238" s="2"/>
    </row>
    <row r="239" spans="4:4" ht="15.75" customHeight="1" x14ac:dyDescent="0.25">
      <c r="D239" s="2"/>
    </row>
    <row r="240" spans="4:4" ht="15.75" customHeight="1" x14ac:dyDescent="0.25">
      <c r="D240" s="2"/>
    </row>
    <row r="241" spans="4:4" ht="15.75" customHeight="1" x14ac:dyDescent="0.25">
      <c r="D241" s="2"/>
    </row>
    <row r="242" spans="4:4" ht="15.75" customHeight="1" x14ac:dyDescent="0.25">
      <c r="D242" s="2"/>
    </row>
    <row r="243" spans="4:4" ht="15.75" customHeight="1" x14ac:dyDescent="0.25">
      <c r="D243" s="2"/>
    </row>
    <row r="244" spans="4:4" ht="15.75" customHeight="1" x14ac:dyDescent="0.25">
      <c r="D244" s="2"/>
    </row>
    <row r="245" spans="4:4" ht="15.75" customHeight="1" x14ac:dyDescent="0.25">
      <c r="D245" s="2"/>
    </row>
    <row r="246" spans="4:4" ht="15.75" customHeight="1" x14ac:dyDescent="0.25">
      <c r="D246" s="2"/>
    </row>
    <row r="247" spans="4:4" ht="15.75" customHeight="1" x14ac:dyDescent="0.25">
      <c r="D247" s="2"/>
    </row>
    <row r="248" spans="4:4" ht="15.75" customHeight="1" x14ac:dyDescent="0.25">
      <c r="D248" s="2"/>
    </row>
    <row r="249" spans="4:4" ht="15.75" customHeight="1" x14ac:dyDescent="0.25">
      <c r="D249" s="2"/>
    </row>
    <row r="250" spans="4:4" ht="15.75" customHeight="1" x14ac:dyDescent="0.25">
      <c r="D250" s="2"/>
    </row>
    <row r="251" spans="4:4" ht="15.75" customHeight="1" x14ac:dyDescent="0.25">
      <c r="D251" s="2"/>
    </row>
    <row r="252" spans="4:4" ht="15.75" customHeight="1" x14ac:dyDescent="0.25">
      <c r="D252" s="2"/>
    </row>
    <row r="253" spans="4:4" ht="15.75" customHeight="1" x14ac:dyDescent="0.25">
      <c r="D253" s="2"/>
    </row>
    <row r="254" spans="4:4" ht="15.75" customHeight="1" x14ac:dyDescent="0.25">
      <c r="D254" s="2"/>
    </row>
    <row r="255" spans="4:4" ht="15.75" customHeight="1" x14ac:dyDescent="0.25">
      <c r="D255" s="2"/>
    </row>
    <row r="256" spans="4:4" ht="15.75" customHeight="1" x14ac:dyDescent="0.25">
      <c r="D256" s="2"/>
    </row>
    <row r="257" spans="4:4" ht="15.75" customHeight="1" x14ac:dyDescent="0.25">
      <c r="D257" s="2"/>
    </row>
    <row r="258" spans="4:4" ht="15.75" customHeight="1" x14ac:dyDescent="0.25">
      <c r="D258" s="2"/>
    </row>
    <row r="259" spans="4:4" ht="15.75" customHeight="1" x14ac:dyDescent="0.25">
      <c r="D259" s="2"/>
    </row>
    <row r="260" spans="4:4" ht="15.75" customHeight="1" x14ac:dyDescent="0.25">
      <c r="D260" s="2"/>
    </row>
    <row r="261" spans="4:4" ht="15.75" customHeight="1" x14ac:dyDescent="0.25">
      <c r="D261" s="2"/>
    </row>
    <row r="262" spans="4:4" ht="15.75" customHeight="1" x14ac:dyDescent="0.25">
      <c r="D262" s="2"/>
    </row>
    <row r="263" spans="4:4" ht="15.75" customHeight="1" x14ac:dyDescent="0.25">
      <c r="D263" s="2"/>
    </row>
    <row r="264" spans="4:4" ht="15.75" customHeight="1" x14ac:dyDescent="0.25">
      <c r="D264" s="2"/>
    </row>
    <row r="265" spans="4:4" ht="15.75" customHeight="1" x14ac:dyDescent="0.25">
      <c r="D265" s="2"/>
    </row>
    <row r="266" spans="4:4" ht="15.75" customHeight="1" x14ac:dyDescent="0.25">
      <c r="D266" s="2"/>
    </row>
    <row r="267" spans="4:4" ht="15.75" customHeight="1" x14ac:dyDescent="0.25">
      <c r="D267" s="2"/>
    </row>
    <row r="268" spans="4:4" ht="15.75" customHeight="1" x14ac:dyDescent="0.25">
      <c r="D268" s="2"/>
    </row>
    <row r="269" spans="4:4" ht="15.75" customHeight="1" x14ac:dyDescent="0.25">
      <c r="D269" s="2"/>
    </row>
    <row r="270" spans="4:4" ht="15.75" customHeight="1" x14ac:dyDescent="0.25">
      <c r="D270" s="2"/>
    </row>
    <row r="271" spans="4:4" ht="15.75" customHeight="1" x14ac:dyDescent="0.25">
      <c r="D271" s="2"/>
    </row>
    <row r="272" spans="4:4" ht="15.75" customHeight="1" x14ac:dyDescent="0.25">
      <c r="D272" s="2"/>
    </row>
    <row r="273" spans="4:4" ht="15.75" customHeight="1" x14ac:dyDescent="0.25">
      <c r="D273" s="2"/>
    </row>
    <row r="274" spans="4:4" ht="15.75" customHeight="1" x14ac:dyDescent="0.25">
      <c r="D274" s="2"/>
    </row>
    <row r="275" spans="4:4" ht="15.75" customHeight="1" x14ac:dyDescent="0.25">
      <c r="D275" s="2"/>
    </row>
    <row r="276" spans="4:4" ht="15.75" customHeight="1" x14ac:dyDescent="0.25">
      <c r="D276" s="2"/>
    </row>
    <row r="277" spans="4:4" ht="15.75" customHeight="1" x14ac:dyDescent="0.25">
      <c r="D277" s="2"/>
    </row>
    <row r="278" spans="4:4" ht="15.75" customHeight="1" x14ac:dyDescent="0.25">
      <c r="D278" s="2"/>
    </row>
    <row r="279" spans="4:4" ht="15.75" customHeight="1" x14ac:dyDescent="0.25">
      <c r="D279" s="2"/>
    </row>
    <row r="280" spans="4:4" ht="15.75" customHeight="1" x14ac:dyDescent="0.25">
      <c r="D280" s="2"/>
    </row>
    <row r="281" spans="4:4" ht="15.75" customHeight="1" x14ac:dyDescent="0.25">
      <c r="D281" s="2"/>
    </row>
    <row r="282" spans="4:4" ht="15.75" customHeight="1" x14ac:dyDescent="0.25">
      <c r="D282" s="2"/>
    </row>
    <row r="283" spans="4:4" ht="15.75" customHeight="1" x14ac:dyDescent="0.25">
      <c r="D283" s="2"/>
    </row>
    <row r="284" spans="4:4" ht="15.75" customHeight="1" x14ac:dyDescent="0.25">
      <c r="D284" s="2"/>
    </row>
    <row r="285" spans="4:4" ht="15.75" customHeight="1" x14ac:dyDescent="0.25">
      <c r="D285" s="2"/>
    </row>
    <row r="286" spans="4:4" ht="15.75" customHeight="1" x14ac:dyDescent="0.25">
      <c r="D286" s="2"/>
    </row>
    <row r="287" spans="4:4" ht="15.75" customHeight="1" x14ac:dyDescent="0.25">
      <c r="D287" s="2"/>
    </row>
    <row r="288" spans="4:4" ht="15.75" customHeight="1" x14ac:dyDescent="0.25">
      <c r="D288" s="2"/>
    </row>
    <row r="289" spans="4:4" ht="15.75" customHeight="1" x14ac:dyDescent="0.25">
      <c r="D289" s="2"/>
    </row>
    <row r="290" spans="4:4" ht="15.75" customHeight="1" x14ac:dyDescent="0.25">
      <c r="D290" s="2"/>
    </row>
    <row r="291" spans="4:4" ht="15.75" customHeight="1" x14ac:dyDescent="0.25">
      <c r="D291" s="2"/>
    </row>
    <row r="292" spans="4:4" ht="15.75" customHeight="1" x14ac:dyDescent="0.25">
      <c r="D292" s="2"/>
    </row>
    <row r="293" spans="4:4" ht="15.75" customHeight="1" x14ac:dyDescent="0.25">
      <c r="D293" s="2"/>
    </row>
    <row r="294" spans="4:4" ht="15.75" customHeight="1" x14ac:dyDescent="0.25">
      <c r="D294" s="2"/>
    </row>
    <row r="295" spans="4:4" ht="15.75" customHeight="1" x14ac:dyDescent="0.25">
      <c r="D295" s="2"/>
    </row>
    <row r="296" spans="4:4" ht="15.75" customHeight="1" x14ac:dyDescent="0.25">
      <c r="D296" s="2"/>
    </row>
    <row r="297" spans="4:4" ht="15.75" customHeight="1" x14ac:dyDescent="0.25">
      <c r="D297" s="2"/>
    </row>
    <row r="298" spans="4:4" ht="15.75" customHeight="1" x14ac:dyDescent="0.25">
      <c r="D298" s="2"/>
    </row>
    <row r="299" spans="4:4" ht="15.75" customHeight="1" x14ac:dyDescent="0.25">
      <c r="D299" s="2"/>
    </row>
    <row r="300" spans="4:4" ht="15.75" customHeight="1" x14ac:dyDescent="0.25">
      <c r="D300" s="2"/>
    </row>
    <row r="301" spans="4:4" ht="15.75" customHeight="1" x14ac:dyDescent="0.25">
      <c r="D301" s="2"/>
    </row>
    <row r="302" spans="4:4" ht="15.75" customHeight="1" x14ac:dyDescent="0.25">
      <c r="D302" s="2"/>
    </row>
    <row r="303" spans="4:4" ht="15.75" customHeight="1" x14ac:dyDescent="0.25">
      <c r="D303" s="2"/>
    </row>
    <row r="304" spans="4:4" ht="15.75" customHeight="1" x14ac:dyDescent="0.25">
      <c r="D304" s="2"/>
    </row>
    <row r="305" spans="4:4" ht="15.75" customHeight="1" x14ac:dyDescent="0.25">
      <c r="D305" s="2"/>
    </row>
    <row r="306" spans="4:4" ht="15.75" customHeight="1" x14ac:dyDescent="0.25">
      <c r="D306" s="2"/>
    </row>
    <row r="307" spans="4:4" ht="15.75" customHeight="1" x14ac:dyDescent="0.25">
      <c r="D307" s="2"/>
    </row>
    <row r="308" spans="4:4" ht="15.75" customHeight="1" x14ac:dyDescent="0.25">
      <c r="D308" s="2"/>
    </row>
    <row r="309" spans="4:4" ht="15.75" customHeight="1" x14ac:dyDescent="0.25">
      <c r="D309" s="2"/>
    </row>
    <row r="310" spans="4:4" ht="15.75" customHeight="1" x14ac:dyDescent="0.25">
      <c r="D310" s="2"/>
    </row>
    <row r="311" spans="4:4" ht="15.75" customHeight="1" x14ac:dyDescent="0.25">
      <c r="D311" s="2"/>
    </row>
    <row r="312" spans="4:4" ht="15.75" customHeight="1" x14ac:dyDescent="0.25">
      <c r="D312" s="2"/>
    </row>
    <row r="313" spans="4:4" ht="15.75" customHeight="1" x14ac:dyDescent="0.25">
      <c r="D313" s="2"/>
    </row>
    <row r="314" spans="4:4" ht="15.75" customHeight="1" x14ac:dyDescent="0.25">
      <c r="D314" s="2"/>
    </row>
    <row r="315" spans="4:4" ht="15.75" customHeight="1" x14ac:dyDescent="0.25">
      <c r="D315" s="2"/>
    </row>
    <row r="316" spans="4:4" ht="15.75" customHeight="1" x14ac:dyDescent="0.25">
      <c r="D316" s="2"/>
    </row>
    <row r="317" spans="4:4" ht="15.75" customHeight="1" x14ac:dyDescent="0.25">
      <c r="D317" s="2"/>
    </row>
    <row r="318" spans="4:4" ht="15.75" customHeight="1" x14ac:dyDescent="0.25">
      <c r="D318" s="2"/>
    </row>
    <row r="319" spans="4:4" ht="15.75" customHeight="1" x14ac:dyDescent="0.25">
      <c r="D319" s="2"/>
    </row>
    <row r="320" spans="4:4" ht="15.75" customHeight="1" x14ac:dyDescent="0.25">
      <c r="D320" s="2"/>
    </row>
    <row r="321" spans="4:4" ht="15.75" customHeight="1" x14ac:dyDescent="0.25">
      <c r="D321" s="2"/>
    </row>
    <row r="322" spans="4:4" ht="15.75" customHeight="1" x14ac:dyDescent="0.25">
      <c r="D322" s="2"/>
    </row>
    <row r="323" spans="4:4" ht="15.75" customHeight="1" x14ac:dyDescent="0.25">
      <c r="D323" s="2"/>
    </row>
    <row r="324" spans="4:4" ht="15.75" customHeight="1" x14ac:dyDescent="0.25">
      <c r="D324" s="2"/>
    </row>
    <row r="325" spans="4:4" ht="15.75" customHeight="1" x14ac:dyDescent="0.25">
      <c r="D325" s="2"/>
    </row>
    <row r="326" spans="4:4" ht="15.75" customHeight="1" x14ac:dyDescent="0.25">
      <c r="D326" s="2"/>
    </row>
    <row r="327" spans="4:4" ht="15.75" customHeight="1" x14ac:dyDescent="0.25">
      <c r="D327" s="2"/>
    </row>
    <row r="328" spans="4:4" ht="15.75" customHeight="1" x14ac:dyDescent="0.25">
      <c r="D328" s="2"/>
    </row>
    <row r="329" spans="4:4" ht="15.75" customHeight="1" x14ac:dyDescent="0.25">
      <c r="D329" s="2"/>
    </row>
    <row r="330" spans="4:4" ht="15.75" customHeight="1" x14ac:dyDescent="0.25">
      <c r="D330" s="2"/>
    </row>
    <row r="331" spans="4:4" ht="15.75" customHeight="1" x14ac:dyDescent="0.25">
      <c r="D331" s="2"/>
    </row>
    <row r="332" spans="4:4" ht="15.75" customHeight="1" x14ac:dyDescent="0.25">
      <c r="D332" s="2"/>
    </row>
    <row r="333" spans="4:4" ht="15.75" customHeight="1" x14ac:dyDescent="0.25">
      <c r="D333" s="2"/>
    </row>
    <row r="334" spans="4:4" ht="15.75" customHeight="1" x14ac:dyDescent="0.25">
      <c r="D334" s="2"/>
    </row>
    <row r="335" spans="4:4" ht="15.75" customHeight="1" x14ac:dyDescent="0.25">
      <c r="D335" s="2"/>
    </row>
    <row r="336" spans="4:4" ht="15.75" customHeight="1" x14ac:dyDescent="0.25">
      <c r="D336" s="2"/>
    </row>
    <row r="337" spans="4:4" ht="15.75" customHeight="1" x14ac:dyDescent="0.25">
      <c r="D337" s="2"/>
    </row>
    <row r="338" spans="4:4" ht="15.75" customHeight="1" x14ac:dyDescent="0.25">
      <c r="D338" s="2"/>
    </row>
    <row r="339" spans="4:4" ht="15.75" customHeight="1" x14ac:dyDescent="0.25">
      <c r="D339" s="2"/>
    </row>
    <row r="340" spans="4:4" ht="15.75" customHeight="1" x14ac:dyDescent="0.25">
      <c r="D340" s="2"/>
    </row>
    <row r="341" spans="4:4" ht="15.75" customHeight="1" x14ac:dyDescent="0.25">
      <c r="D341" s="2"/>
    </row>
    <row r="342" spans="4:4" ht="15.75" customHeight="1" x14ac:dyDescent="0.25">
      <c r="D342" s="2"/>
    </row>
    <row r="343" spans="4:4" ht="15.75" customHeight="1" x14ac:dyDescent="0.25">
      <c r="D343" s="2"/>
    </row>
    <row r="344" spans="4:4" ht="15.75" customHeight="1" x14ac:dyDescent="0.25">
      <c r="D344" s="2"/>
    </row>
    <row r="345" spans="4:4" ht="15.75" customHeight="1" x14ac:dyDescent="0.25">
      <c r="D345" s="2"/>
    </row>
    <row r="346" spans="4:4" ht="15.75" customHeight="1" x14ac:dyDescent="0.25">
      <c r="D346" s="2"/>
    </row>
    <row r="347" spans="4:4" ht="15.75" customHeight="1" x14ac:dyDescent="0.25">
      <c r="D347" s="2"/>
    </row>
    <row r="348" spans="4:4" ht="15.75" customHeight="1" x14ac:dyDescent="0.25">
      <c r="D348" s="2"/>
    </row>
    <row r="349" spans="4:4" ht="15.75" customHeight="1" x14ac:dyDescent="0.25">
      <c r="D349" s="2"/>
    </row>
    <row r="350" spans="4:4" ht="15.75" customHeight="1" x14ac:dyDescent="0.25">
      <c r="D350" s="2"/>
    </row>
    <row r="351" spans="4:4" ht="15.75" customHeight="1" x14ac:dyDescent="0.25">
      <c r="D351" s="2"/>
    </row>
    <row r="352" spans="4:4" ht="15.75" customHeight="1" x14ac:dyDescent="0.25">
      <c r="D352" s="2"/>
    </row>
    <row r="353" spans="4:4" ht="15.75" customHeight="1" x14ac:dyDescent="0.25">
      <c r="D353" s="2"/>
    </row>
    <row r="354" spans="4:4" ht="15.75" customHeight="1" x14ac:dyDescent="0.25">
      <c r="D354" s="2"/>
    </row>
    <row r="355" spans="4:4" ht="15.75" customHeight="1" x14ac:dyDescent="0.25">
      <c r="D355" s="2"/>
    </row>
    <row r="356" spans="4:4" ht="15.75" customHeight="1" x14ac:dyDescent="0.25">
      <c r="D356" s="2"/>
    </row>
    <row r="357" spans="4:4" ht="15.75" customHeight="1" x14ac:dyDescent="0.25">
      <c r="D357" s="2"/>
    </row>
    <row r="358" spans="4:4" ht="15.75" customHeight="1" x14ac:dyDescent="0.25">
      <c r="D358" s="2"/>
    </row>
    <row r="359" spans="4:4" ht="15.75" customHeight="1" x14ac:dyDescent="0.25">
      <c r="D359" s="2"/>
    </row>
    <row r="360" spans="4:4" ht="15.75" customHeight="1" x14ac:dyDescent="0.25">
      <c r="D360" s="2"/>
    </row>
    <row r="361" spans="4:4" ht="15.75" customHeight="1" x14ac:dyDescent="0.25">
      <c r="D361" s="2"/>
    </row>
    <row r="362" spans="4:4" ht="15.75" customHeight="1" x14ac:dyDescent="0.25">
      <c r="D362" s="2"/>
    </row>
    <row r="363" spans="4:4" ht="15.75" customHeight="1" x14ac:dyDescent="0.25">
      <c r="D363" s="2"/>
    </row>
    <row r="364" spans="4:4" ht="15.75" customHeight="1" x14ac:dyDescent="0.25">
      <c r="D364" s="2"/>
    </row>
    <row r="365" spans="4:4" ht="15.75" customHeight="1" x14ac:dyDescent="0.25">
      <c r="D365" s="2"/>
    </row>
    <row r="366" spans="4:4" ht="15.75" customHeight="1" x14ac:dyDescent="0.25">
      <c r="D366" s="2"/>
    </row>
    <row r="367" spans="4:4" ht="15.75" customHeight="1" x14ac:dyDescent="0.25">
      <c r="D367" s="2"/>
    </row>
    <row r="368" spans="4:4" ht="15.75" customHeight="1" x14ac:dyDescent="0.25">
      <c r="D368" s="2"/>
    </row>
    <row r="369" spans="4:4" ht="15.75" customHeight="1" x14ac:dyDescent="0.25">
      <c r="D369" s="2"/>
    </row>
    <row r="370" spans="4:4" ht="15.75" customHeight="1" x14ac:dyDescent="0.25">
      <c r="D370" s="2"/>
    </row>
    <row r="371" spans="4:4" ht="15.75" customHeight="1" x14ac:dyDescent="0.25">
      <c r="D371" s="2"/>
    </row>
    <row r="372" spans="4:4" ht="15.75" customHeight="1" x14ac:dyDescent="0.25">
      <c r="D372" s="2"/>
    </row>
    <row r="373" spans="4:4" ht="15.75" customHeight="1" x14ac:dyDescent="0.25">
      <c r="D373" s="2"/>
    </row>
    <row r="374" spans="4:4" ht="15.75" customHeight="1" x14ac:dyDescent="0.25">
      <c r="D374" s="2"/>
    </row>
    <row r="375" spans="4:4" ht="15.75" customHeight="1" x14ac:dyDescent="0.25">
      <c r="D375" s="2"/>
    </row>
    <row r="376" spans="4:4" ht="15.75" customHeight="1" x14ac:dyDescent="0.25">
      <c r="D376" s="2"/>
    </row>
    <row r="377" spans="4:4" ht="15.75" customHeight="1" x14ac:dyDescent="0.25">
      <c r="D377" s="2"/>
    </row>
    <row r="378" spans="4:4" ht="15.75" customHeight="1" x14ac:dyDescent="0.25">
      <c r="D378" s="2"/>
    </row>
    <row r="379" spans="4:4" ht="15.75" customHeight="1" x14ac:dyDescent="0.25">
      <c r="D379" s="2"/>
    </row>
    <row r="380" spans="4:4" ht="15.75" customHeight="1" x14ac:dyDescent="0.25">
      <c r="D380" s="2"/>
    </row>
    <row r="381" spans="4:4" ht="15.75" customHeight="1" x14ac:dyDescent="0.25">
      <c r="D381" s="2"/>
    </row>
    <row r="382" spans="4:4" ht="15.75" customHeight="1" x14ac:dyDescent="0.25">
      <c r="D382" s="2"/>
    </row>
    <row r="383" spans="4:4" ht="15.75" customHeight="1" x14ac:dyDescent="0.25">
      <c r="D383" s="2"/>
    </row>
    <row r="384" spans="4:4" ht="15.75" customHeight="1" x14ac:dyDescent="0.25">
      <c r="D384" s="2"/>
    </row>
    <row r="385" spans="4:4" ht="15.75" customHeight="1" x14ac:dyDescent="0.25">
      <c r="D385" s="2"/>
    </row>
    <row r="386" spans="4:4" ht="15.75" customHeight="1" x14ac:dyDescent="0.25">
      <c r="D386" s="2"/>
    </row>
    <row r="387" spans="4:4" ht="15.75" customHeight="1" x14ac:dyDescent="0.25">
      <c r="D387" s="2"/>
    </row>
    <row r="388" spans="4:4" ht="15.75" customHeight="1" x14ac:dyDescent="0.25">
      <c r="D388" s="2"/>
    </row>
    <row r="389" spans="4:4" ht="15.75" customHeight="1" x14ac:dyDescent="0.25">
      <c r="D389" s="2"/>
    </row>
    <row r="390" spans="4:4" ht="15.75" customHeight="1" x14ac:dyDescent="0.25">
      <c r="D390" s="2"/>
    </row>
    <row r="391" spans="4:4" ht="15.75" customHeight="1" x14ac:dyDescent="0.25">
      <c r="D391" s="2"/>
    </row>
    <row r="392" spans="4:4" ht="15.75" customHeight="1" x14ac:dyDescent="0.25">
      <c r="D392" s="2"/>
    </row>
    <row r="393" spans="4:4" ht="15.75" customHeight="1" x14ac:dyDescent="0.25">
      <c r="D393" s="2"/>
    </row>
    <row r="394" spans="4:4" ht="15.75" customHeight="1" x14ac:dyDescent="0.25">
      <c r="D394" s="2"/>
    </row>
    <row r="395" spans="4:4" ht="15.75" customHeight="1" x14ac:dyDescent="0.25">
      <c r="D395" s="2"/>
    </row>
    <row r="396" spans="4:4" ht="15.75" customHeight="1" x14ac:dyDescent="0.25">
      <c r="D396" s="2"/>
    </row>
    <row r="397" spans="4:4" ht="15.75" customHeight="1" x14ac:dyDescent="0.25">
      <c r="D397" s="2"/>
    </row>
    <row r="398" spans="4:4" ht="15.75" customHeight="1" x14ac:dyDescent="0.25">
      <c r="D398" s="2"/>
    </row>
    <row r="399" spans="4:4" ht="15.75" customHeight="1" x14ac:dyDescent="0.25">
      <c r="D399" s="2"/>
    </row>
    <row r="400" spans="4:4" ht="15.75" customHeight="1" x14ac:dyDescent="0.25">
      <c r="D400" s="2"/>
    </row>
    <row r="401" spans="4:4" ht="15.75" customHeight="1" x14ac:dyDescent="0.25">
      <c r="D401" s="2"/>
    </row>
    <row r="402" spans="4:4" ht="15.75" customHeight="1" x14ac:dyDescent="0.25">
      <c r="D402" s="2"/>
    </row>
    <row r="403" spans="4:4" ht="15.75" customHeight="1" x14ac:dyDescent="0.25">
      <c r="D403" s="2"/>
    </row>
    <row r="404" spans="4:4" ht="15.75" customHeight="1" x14ac:dyDescent="0.25">
      <c r="D404" s="2"/>
    </row>
    <row r="405" spans="4:4" ht="15.75" customHeight="1" x14ac:dyDescent="0.25">
      <c r="D405" s="2"/>
    </row>
    <row r="406" spans="4:4" ht="15.75" customHeight="1" x14ac:dyDescent="0.25">
      <c r="D406" s="2"/>
    </row>
    <row r="407" spans="4:4" ht="15.75" customHeight="1" x14ac:dyDescent="0.25">
      <c r="D407" s="2"/>
    </row>
    <row r="408" spans="4:4" ht="15.75" customHeight="1" x14ac:dyDescent="0.25">
      <c r="D408" s="2"/>
    </row>
    <row r="409" spans="4:4" ht="15.75" customHeight="1" x14ac:dyDescent="0.25">
      <c r="D409" s="2"/>
    </row>
    <row r="410" spans="4:4" ht="15.75" customHeight="1" x14ac:dyDescent="0.25">
      <c r="D410" s="2"/>
    </row>
    <row r="411" spans="4:4" ht="15.75" customHeight="1" x14ac:dyDescent="0.25">
      <c r="D411" s="2"/>
    </row>
    <row r="412" spans="4:4" ht="15.75" customHeight="1" x14ac:dyDescent="0.25">
      <c r="D412" s="2"/>
    </row>
    <row r="413" spans="4:4" ht="15.75" customHeight="1" x14ac:dyDescent="0.25">
      <c r="D413" s="2"/>
    </row>
    <row r="414" spans="4:4" ht="15.75" customHeight="1" x14ac:dyDescent="0.25">
      <c r="D414" s="2"/>
    </row>
    <row r="415" spans="4:4" ht="15.75" customHeight="1" x14ac:dyDescent="0.25">
      <c r="D415" s="2"/>
    </row>
    <row r="416" spans="4:4" ht="15.75" customHeight="1" x14ac:dyDescent="0.25">
      <c r="D416" s="2"/>
    </row>
    <row r="417" spans="4:4" ht="15.75" customHeight="1" x14ac:dyDescent="0.25">
      <c r="D417" s="2"/>
    </row>
    <row r="418" spans="4:4" ht="15.75" customHeight="1" x14ac:dyDescent="0.25">
      <c r="D418" s="2"/>
    </row>
    <row r="419" spans="4:4" ht="15.75" customHeight="1" x14ac:dyDescent="0.25">
      <c r="D419" s="2"/>
    </row>
    <row r="420" spans="4:4" ht="15.75" customHeight="1" x14ac:dyDescent="0.25">
      <c r="D420" s="2"/>
    </row>
    <row r="421" spans="4:4" ht="15.75" customHeight="1" x14ac:dyDescent="0.25">
      <c r="D421" s="2"/>
    </row>
    <row r="422" spans="4:4" ht="15.75" customHeight="1" x14ac:dyDescent="0.25">
      <c r="D422" s="2"/>
    </row>
    <row r="423" spans="4:4" ht="15.75" customHeight="1" x14ac:dyDescent="0.25">
      <c r="D423" s="2"/>
    </row>
    <row r="424" spans="4:4" ht="15.75" customHeight="1" x14ac:dyDescent="0.25">
      <c r="D424" s="2"/>
    </row>
    <row r="425" spans="4:4" ht="15.75" customHeight="1" x14ac:dyDescent="0.25">
      <c r="D425" s="2"/>
    </row>
    <row r="426" spans="4:4" ht="15.75" customHeight="1" x14ac:dyDescent="0.25">
      <c r="D426" s="2"/>
    </row>
    <row r="427" spans="4:4" ht="15.75" customHeight="1" x14ac:dyDescent="0.25">
      <c r="D427" s="2"/>
    </row>
    <row r="428" spans="4:4" ht="15.75" customHeight="1" x14ac:dyDescent="0.25">
      <c r="D428" s="2"/>
    </row>
    <row r="429" spans="4:4" ht="15.75" customHeight="1" x14ac:dyDescent="0.25">
      <c r="D429" s="2"/>
    </row>
    <row r="430" spans="4:4" ht="15.75" customHeight="1" x14ac:dyDescent="0.25">
      <c r="D430" s="2"/>
    </row>
    <row r="431" spans="4:4" ht="15.75" customHeight="1" x14ac:dyDescent="0.25">
      <c r="D431" s="2"/>
    </row>
    <row r="432" spans="4:4" ht="15.75" customHeight="1" x14ac:dyDescent="0.25">
      <c r="D432" s="2"/>
    </row>
    <row r="433" spans="4:4" ht="15.75" customHeight="1" x14ac:dyDescent="0.25">
      <c r="D433" s="2"/>
    </row>
    <row r="434" spans="4:4" ht="15.75" customHeight="1" x14ac:dyDescent="0.25">
      <c r="D434" s="2"/>
    </row>
    <row r="435" spans="4:4" ht="15.75" customHeight="1" x14ac:dyDescent="0.25">
      <c r="D435" s="2"/>
    </row>
    <row r="436" spans="4:4" ht="15.75" customHeight="1" x14ac:dyDescent="0.25">
      <c r="D436" s="2"/>
    </row>
    <row r="437" spans="4:4" ht="15.75" customHeight="1" x14ac:dyDescent="0.25">
      <c r="D437" s="2"/>
    </row>
    <row r="438" spans="4:4" ht="15.75" customHeight="1" x14ac:dyDescent="0.25">
      <c r="D438" s="2"/>
    </row>
    <row r="439" spans="4:4" ht="15.75" customHeight="1" x14ac:dyDescent="0.25">
      <c r="D439" s="2"/>
    </row>
    <row r="440" spans="4:4" ht="15.75" customHeight="1" x14ac:dyDescent="0.25">
      <c r="D440" s="2"/>
    </row>
    <row r="441" spans="4:4" ht="15.75" customHeight="1" x14ac:dyDescent="0.25">
      <c r="D441" s="2"/>
    </row>
    <row r="442" spans="4:4" ht="15.75" customHeight="1" x14ac:dyDescent="0.25">
      <c r="D442" s="2"/>
    </row>
    <row r="443" spans="4:4" ht="15.75" customHeight="1" x14ac:dyDescent="0.25">
      <c r="D443" s="2"/>
    </row>
    <row r="444" spans="4:4" ht="15.75" customHeight="1" x14ac:dyDescent="0.25">
      <c r="D444" s="2"/>
    </row>
    <row r="445" spans="4:4" ht="15.75" customHeight="1" x14ac:dyDescent="0.25">
      <c r="D445" s="2"/>
    </row>
    <row r="446" spans="4:4" ht="15.75" customHeight="1" x14ac:dyDescent="0.25">
      <c r="D446" s="2"/>
    </row>
    <row r="447" spans="4:4" ht="15.75" customHeight="1" x14ac:dyDescent="0.25">
      <c r="D447" s="2"/>
    </row>
    <row r="448" spans="4:4" ht="15.75" customHeight="1" x14ac:dyDescent="0.25">
      <c r="D448" s="2"/>
    </row>
    <row r="449" spans="4:4" ht="15.75" customHeight="1" x14ac:dyDescent="0.25">
      <c r="D449" s="2"/>
    </row>
    <row r="450" spans="4:4" ht="15.75" customHeight="1" x14ac:dyDescent="0.25">
      <c r="D450" s="2"/>
    </row>
    <row r="451" spans="4:4" ht="15.75" customHeight="1" x14ac:dyDescent="0.25">
      <c r="D451" s="2"/>
    </row>
    <row r="452" spans="4:4" ht="15.75" customHeight="1" x14ac:dyDescent="0.25">
      <c r="D452" s="2"/>
    </row>
    <row r="453" spans="4:4" ht="15.75" customHeight="1" x14ac:dyDescent="0.25">
      <c r="D453" s="2"/>
    </row>
    <row r="454" spans="4:4" ht="15.75" customHeight="1" x14ac:dyDescent="0.25">
      <c r="D454" s="2"/>
    </row>
    <row r="455" spans="4:4" ht="15.75" customHeight="1" x14ac:dyDescent="0.25">
      <c r="D455" s="2"/>
    </row>
    <row r="456" spans="4:4" ht="15.75" customHeight="1" x14ac:dyDescent="0.25">
      <c r="D456" s="2"/>
    </row>
    <row r="457" spans="4:4" ht="15.75" customHeight="1" x14ac:dyDescent="0.25">
      <c r="D457" s="2"/>
    </row>
    <row r="458" spans="4:4" ht="15.75" customHeight="1" x14ac:dyDescent="0.25">
      <c r="D458" s="2"/>
    </row>
    <row r="459" spans="4:4" ht="15.75" customHeight="1" x14ac:dyDescent="0.25">
      <c r="D459" s="2"/>
    </row>
    <row r="460" spans="4:4" ht="15.75" customHeight="1" x14ac:dyDescent="0.25">
      <c r="D460" s="2"/>
    </row>
    <row r="461" spans="4:4" ht="15.75" customHeight="1" x14ac:dyDescent="0.25">
      <c r="D461" s="2"/>
    </row>
    <row r="462" spans="4:4" ht="15.75" customHeight="1" x14ac:dyDescent="0.25">
      <c r="D462" s="2"/>
    </row>
    <row r="463" spans="4:4" ht="15.75" customHeight="1" x14ac:dyDescent="0.25">
      <c r="D463" s="2"/>
    </row>
    <row r="464" spans="4:4" ht="15.75" customHeight="1" x14ac:dyDescent="0.25">
      <c r="D464" s="2"/>
    </row>
    <row r="465" spans="4:4" ht="15.75" customHeight="1" x14ac:dyDescent="0.25">
      <c r="D465" s="2"/>
    </row>
    <row r="466" spans="4:4" ht="15.75" customHeight="1" x14ac:dyDescent="0.25">
      <c r="D466" s="2"/>
    </row>
    <row r="467" spans="4:4" ht="15.75" customHeight="1" x14ac:dyDescent="0.25">
      <c r="D467" s="2"/>
    </row>
    <row r="468" spans="4:4" ht="15.75" customHeight="1" x14ac:dyDescent="0.25">
      <c r="D468" s="2"/>
    </row>
    <row r="469" spans="4:4" ht="15.75" customHeight="1" x14ac:dyDescent="0.25">
      <c r="D469" s="2"/>
    </row>
    <row r="470" spans="4:4" ht="15.75" customHeight="1" x14ac:dyDescent="0.25">
      <c r="D470" s="2"/>
    </row>
    <row r="471" spans="4:4" ht="15.75" customHeight="1" x14ac:dyDescent="0.25">
      <c r="D471" s="2"/>
    </row>
    <row r="472" spans="4:4" ht="15.75" customHeight="1" x14ac:dyDescent="0.25">
      <c r="D472" s="2"/>
    </row>
    <row r="473" spans="4:4" ht="15.75" customHeight="1" x14ac:dyDescent="0.25">
      <c r="D473" s="2"/>
    </row>
    <row r="474" spans="4:4" ht="15.75" customHeight="1" x14ac:dyDescent="0.25">
      <c r="D474" s="2"/>
    </row>
    <row r="475" spans="4:4" ht="15.75" customHeight="1" x14ac:dyDescent="0.25">
      <c r="D475" s="2"/>
    </row>
    <row r="476" spans="4:4" ht="15.75" customHeight="1" x14ac:dyDescent="0.25">
      <c r="D476" s="2"/>
    </row>
    <row r="477" spans="4:4" ht="15.75" customHeight="1" x14ac:dyDescent="0.25">
      <c r="D477" s="2"/>
    </row>
    <row r="478" spans="4:4" ht="15.75" customHeight="1" x14ac:dyDescent="0.25">
      <c r="D478" s="2"/>
    </row>
    <row r="479" spans="4:4" ht="15.75" customHeight="1" x14ac:dyDescent="0.25">
      <c r="D479" s="2"/>
    </row>
    <row r="480" spans="4:4" ht="15.75" customHeight="1" x14ac:dyDescent="0.25">
      <c r="D480" s="2"/>
    </row>
    <row r="481" spans="4:4" ht="15.75" customHeight="1" x14ac:dyDescent="0.25">
      <c r="D481" s="2"/>
    </row>
    <row r="482" spans="4:4" ht="15.75" customHeight="1" x14ac:dyDescent="0.25">
      <c r="D482" s="2"/>
    </row>
    <row r="483" spans="4:4" ht="15.75" customHeight="1" x14ac:dyDescent="0.25">
      <c r="D483" s="2"/>
    </row>
    <row r="484" spans="4:4" ht="15.75" customHeight="1" x14ac:dyDescent="0.25">
      <c r="D484" s="2"/>
    </row>
    <row r="485" spans="4:4" ht="15.75" customHeight="1" x14ac:dyDescent="0.25">
      <c r="D485" s="2"/>
    </row>
    <row r="486" spans="4:4" ht="15.75" customHeight="1" x14ac:dyDescent="0.25">
      <c r="D486" s="2"/>
    </row>
    <row r="487" spans="4:4" ht="15.75" customHeight="1" x14ac:dyDescent="0.25">
      <c r="D487" s="2"/>
    </row>
    <row r="488" spans="4:4" ht="15.75" customHeight="1" x14ac:dyDescent="0.25">
      <c r="D488" s="2"/>
    </row>
    <row r="489" spans="4:4" ht="15.75" customHeight="1" x14ac:dyDescent="0.25">
      <c r="D489" s="2"/>
    </row>
    <row r="490" spans="4:4" ht="15.75" customHeight="1" x14ac:dyDescent="0.25">
      <c r="D490" s="2"/>
    </row>
    <row r="491" spans="4:4" ht="15.75" customHeight="1" x14ac:dyDescent="0.25">
      <c r="D491" s="2"/>
    </row>
    <row r="492" spans="4:4" ht="15.75" customHeight="1" x14ac:dyDescent="0.25">
      <c r="D492" s="2"/>
    </row>
    <row r="493" spans="4:4" ht="15.75" customHeight="1" x14ac:dyDescent="0.25">
      <c r="D493" s="2"/>
    </row>
    <row r="494" spans="4:4" ht="15.75" customHeight="1" x14ac:dyDescent="0.25">
      <c r="D494" s="2"/>
    </row>
    <row r="495" spans="4:4" ht="15.75" customHeight="1" x14ac:dyDescent="0.25">
      <c r="D495" s="2"/>
    </row>
    <row r="496" spans="4:4" ht="15.75" customHeight="1" x14ac:dyDescent="0.25">
      <c r="D496" s="2"/>
    </row>
    <row r="497" spans="4:4" ht="15.75" customHeight="1" x14ac:dyDescent="0.25">
      <c r="D497" s="2"/>
    </row>
    <row r="498" spans="4:4" ht="15.75" customHeight="1" x14ac:dyDescent="0.25">
      <c r="D498" s="2"/>
    </row>
    <row r="499" spans="4:4" ht="15.75" customHeight="1" x14ac:dyDescent="0.25">
      <c r="D499" s="2"/>
    </row>
    <row r="500" spans="4:4" ht="15.75" customHeight="1" x14ac:dyDescent="0.25">
      <c r="D500" s="2"/>
    </row>
    <row r="501" spans="4:4" ht="15.75" customHeight="1" x14ac:dyDescent="0.25">
      <c r="D501" s="2"/>
    </row>
    <row r="502" spans="4:4" ht="15.75" customHeight="1" x14ac:dyDescent="0.25">
      <c r="D502" s="2"/>
    </row>
    <row r="503" spans="4:4" ht="15.75" customHeight="1" x14ac:dyDescent="0.25">
      <c r="D503" s="2"/>
    </row>
    <row r="504" spans="4:4" ht="15.75" customHeight="1" x14ac:dyDescent="0.25">
      <c r="D504" s="2"/>
    </row>
    <row r="505" spans="4:4" ht="15.75" customHeight="1" x14ac:dyDescent="0.25">
      <c r="D505" s="2"/>
    </row>
    <row r="506" spans="4:4" ht="15.75" customHeight="1" x14ac:dyDescent="0.25">
      <c r="D506" s="2"/>
    </row>
    <row r="507" spans="4:4" ht="15.75" customHeight="1" x14ac:dyDescent="0.25">
      <c r="D507" s="2"/>
    </row>
    <row r="508" spans="4:4" ht="15.75" customHeight="1" x14ac:dyDescent="0.25">
      <c r="D508" s="2"/>
    </row>
    <row r="509" spans="4:4" ht="15.75" customHeight="1" x14ac:dyDescent="0.25">
      <c r="D509" s="2"/>
    </row>
    <row r="510" spans="4:4" ht="15.75" customHeight="1" x14ac:dyDescent="0.25">
      <c r="D510" s="2"/>
    </row>
    <row r="511" spans="4:4" ht="15.75" customHeight="1" x14ac:dyDescent="0.25">
      <c r="D511" s="2"/>
    </row>
    <row r="512" spans="4:4" ht="15.75" customHeight="1" x14ac:dyDescent="0.25">
      <c r="D512" s="2"/>
    </row>
    <row r="513" spans="4:4" ht="15.75" customHeight="1" x14ac:dyDescent="0.25">
      <c r="D513" s="2"/>
    </row>
    <row r="514" spans="4:4" ht="15.75" customHeight="1" x14ac:dyDescent="0.25">
      <c r="D514" s="2"/>
    </row>
    <row r="515" spans="4:4" ht="15.75" customHeight="1" x14ac:dyDescent="0.25">
      <c r="D515" s="2"/>
    </row>
    <row r="516" spans="4:4" ht="15.75" customHeight="1" x14ac:dyDescent="0.25">
      <c r="D516" s="2"/>
    </row>
    <row r="517" spans="4:4" ht="15.75" customHeight="1" x14ac:dyDescent="0.25">
      <c r="D517" s="2"/>
    </row>
    <row r="518" spans="4:4" ht="15.75" customHeight="1" x14ac:dyDescent="0.25">
      <c r="D518" s="2"/>
    </row>
    <row r="519" spans="4:4" ht="15.75" customHeight="1" x14ac:dyDescent="0.25">
      <c r="D519" s="2"/>
    </row>
    <row r="520" spans="4:4" ht="15.75" customHeight="1" x14ac:dyDescent="0.25">
      <c r="D520" s="2"/>
    </row>
    <row r="521" spans="4:4" ht="15.75" customHeight="1" x14ac:dyDescent="0.25">
      <c r="D521" s="2"/>
    </row>
    <row r="522" spans="4:4" ht="15.75" customHeight="1" x14ac:dyDescent="0.25">
      <c r="D522" s="2"/>
    </row>
    <row r="523" spans="4:4" ht="15.75" customHeight="1" x14ac:dyDescent="0.25">
      <c r="D523" s="2"/>
    </row>
    <row r="524" spans="4:4" ht="15.75" customHeight="1" x14ac:dyDescent="0.25">
      <c r="D524" s="2"/>
    </row>
    <row r="525" spans="4:4" ht="15.75" customHeight="1" x14ac:dyDescent="0.25">
      <c r="D525" s="2"/>
    </row>
    <row r="526" spans="4:4" ht="15.75" customHeight="1" x14ac:dyDescent="0.25">
      <c r="D526" s="2"/>
    </row>
    <row r="527" spans="4:4" ht="15.75" customHeight="1" x14ac:dyDescent="0.25">
      <c r="D527" s="2"/>
    </row>
    <row r="528" spans="4:4" ht="15.75" customHeight="1" x14ac:dyDescent="0.25">
      <c r="D528" s="2"/>
    </row>
    <row r="529" spans="4:4" ht="15.75" customHeight="1" x14ac:dyDescent="0.25">
      <c r="D529" s="2"/>
    </row>
    <row r="530" spans="4:4" ht="15.75" customHeight="1" x14ac:dyDescent="0.25">
      <c r="D530" s="2"/>
    </row>
    <row r="531" spans="4:4" ht="15.75" customHeight="1" x14ac:dyDescent="0.25">
      <c r="D531" s="2"/>
    </row>
    <row r="532" spans="4:4" ht="15.75" customHeight="1" x14ac:dyDescent="0.25">
      <c r="D532" s="2"/>
    </row>
    <row r="533" spans="4:4" ht="15.75" customHeight="1" x14ac:dyDescent="0.25">
      <c r="D533" s="2"/>
    </row>
    <row r="534" spans="4:4" ht="15.75" customHeight="1" x14ac:dyDescent="0.25">
      <c r="D534" s="2"/>
    </row>
    <row r="535" spans="4:4" ht="15.75" customHeight="1" x14ac:dyDescent="0.25">
      <c r="D535" s="2"/>
    </row>
    <row r="536" spans="4:4" ht="15.75" customHeight="1" x14ac:dyDescent="0.25">
      <c r="D536" s="2"/>
    </row>
    <row r="537" spans="4:4" ht="15.75" customHeight="1" x14ac:dyDescent="0.25">
      <c r="D537" s="2"/>
    </row>
    <row r="538" spans="4:4" ht="15.75" customHeight="1" x14ac:dyDescent="0.25">
      <c r="D538" s="2"/>
    </row>
    <row r="539" spans="4:4" ht="15.75" customHeight="1" x14ac:dyDescent="0.25">
      <c r="D539" s="2"/>
    </row>
    <row r="540" spans="4:4" ht="15.75" customHeight="1" x14ac:dyDescent="0.25">
      <c r="D540" s="2"/>
    </row>
    <row r="541" spans="4:4" ht="15.75" customHeight="1" x14ac:dyDescent="0.25">
      <c r="D541" s="2"/>
    </row>
    <row r="542" spans="4:4" ht="15.75" customHeight="1" x14ac:dyDescent="0.25">
      <c r="D542" s="2"/>
    </row>
    <row r="543" spans="4:4" ht="15.75" customHeight="1" x14ac:dyDescent="0.25">
      <c r="D543" s="2"/>
    </row>
    <row r="544" spans="4:4" ht="15.75" customHeight="1" x14ac:dyDescent="0.25">
      <c r="D544" s="2"/>
    </row>
    <row r="545" spans="4:4" ht="15.75" customHeight="1" x14ac:dyDescent="0.25">
      <c r="D545" s="2"/>
    </row>
    <row r="546" spans="4:4" ht="15.75" customHeight="1" x14ac:dyDescent="0.25">
      <c r="D546" s="2"/>
    </row>
    <row r="547" spans="4:4" ht="15.75" customHeight="1" x14ac:dyDescent="0.25">
      <c r="D547" s="2"/>
    </row>
    <row r="548" spans="4:4" ht="15.75" customHeight="1" x14ac:dyDescent="0.25">
      <c r="D548" s="2"/>
    </row>
    <row r="549" spans="4:4" ht="15.75" customHeight="1" x14ac:dyDescent="0.25">
      <c r="D549" s="2"/>
    </row>
    <row r="550" spans="4:4" ht="15.75" customHeight="1" x14ac:dyDescent="0.25">
      <c r="D550" s="2"/>
    </row>
    <row r="551" spans="4:4" ht="15.75" customHeight="1" x14ac:dyDescent="0.25">
      <c r="D551" s="2"/>
    </row>
    <row r="552" spans="4:4" ht="15.75" customHeight="1" x14ac:dyDescent="0.25">
      <c r="D552" s="2"/>
    </row>
    <row r="553" spans="4:4" ht="15.75" customHeight="1" x14ac:dyDescent="0.25">
      <c r="D553" s="2"/>
    </row>
    <row r="554" spans="4:4" ht="15.75" customHeight="1" x14ac:dyDescent="0.25">
      <c r="D554" s="2"/>
    </row>
    <row r="555" spans="4:4" ht="15.75" customHeight="1" x14ac:dyDescent="0.25">
      <c r="D555" s="2"/>
    </row>
    <row r="556" spans="4:4" ht="15.75" customHeight="1" x14ac:dyDescent="0.25">
      <c r="D556" s="2"/>
    </row>
    <row r="557" spans="4:4" ht="15.75" customHeight="1" x14ac:dyDescent="0.25">
      <c r="D557" s="2"/>
    </row>
    <row r="558" spans="4:4" ht="15.75" customHeight="1" x14ac:dyDescent="0.25">
      <c r="D558" s="2"/>
    </row>
    <row r="559" spans="4:4" ht="15.75" customHeight="1" x14ac:dyDescent="0.25">
      <c r="D559" s="2"/>
    </row>
    <row r="560" spans="4:4" ht="15.75" customHeight="1" x14ac:dyDescent="0.25">
      <c r="D560" s="2"/>
    </row>
    <row r="561" spans="4:4" ht="15.75" customHeight="1" x14ac:dyDescent="0.25">
      <c r="D561" s="2"/>
    </row>
    <row r="562" spans="4:4" ht="15.75" customHeight="1" x14ac:dyDescent="0.25">
      <c r="D562" s="2"/>
    </row>
    <row r="563" spans="4:4" ht="15.75" customHeight="1" x14ac:dyDescent="0.25">
      <c r="D563" s="2"/>
    </row>
    <row r="564" spans="4:4" ht="15.75" customHeight="1" x14ac:dyDescent="0.25">
      <c r="D564" s="2"/>
    </row>
    <row r="565" spans="4:4" ht="15.75" customHeight="1" x14ac:dyDescent="0.25">
      <c r="D565" s="2"/>
    </row>
    <row r="566" spans="4:4" ht="15.75" customHeight="1" x14ac:dyDescent="0.25">
      <c r="D566" s="2"/>
    </row>
    <row r="567" spans="4:4" ht="15.75" customHeight="1" x14ac:dyDescent="0.25">
      <c r="D567" s="2"/>
    </row>
    <row r="568" spans="4:4" ht="15.75" customHeight="1" x14ac:dyDescent="0.25">
      <c r="D568" s="2"/>
    </row>
    <row r="569" spans="4:4" ht="15.75" customHeight="1" x14ac:dyDescent="0.25">
      <c r="D569" s="2"/>
    </row>
    <row r="570" spans="4:4" ht="15.75" customHeight="1" x14ac:dyDescent="0.25">
      <c r="D570" s="2"/>
    </row>
    <row r="571" spans="4:4" ht="15.75" customHeight="1" x14ac:dyDescent="0.25">
      <c r="D571" s="2"/>
    </row>
    <row r="572" spans="4:4" ht="15.75" customHeight="1" x14ac:dyDescent="0.25">
      <c r="D572" s="2"/>
    </row>
    <row r="573" spans="4:4" ht="15.75" customHeight="1" x14ac:dyDescent="0.25">
      <c r="D573" s="2"/>
    </row>
    <row r="574" spans="4:4" ht="15.75" customHeight="1" x14ac:dyDescent="0.25">
      <c r="D574" s="2"/>
    </row>
    <row r="575" spans="4:4" ht="15.75" customHeight="1" x14ac:dyDescent="0.25">
      <c r="D575" s="2"/>
    </row>
    <row r="576" spans="4:4" ht="15.75" customHeight="1" x14ac:dyDescent="0.25">
      <c r="D576" s="2"/>
    </row>
    <row r="577" spans="4:4" ht="15.75" customHeight="1" x14ac:dyDescent="0.25">
      <c r="D577" s="2"/>
    </row>
    <row r="578" spans="4:4" ht="15.75" customHeight="1" x14ac:dyDescent="0.25">
      <c r="D578" s="2"/>
    </row>
    <row r="579" spans="4:4" ht="15.75" customHeight="1" x14ac:dyDescent="0.25">
      <c r="D579" s="2"/>
    </row>
    <row r="580" spans="4:4" ht="15.75" customHeight="1" x14ac:dyDescent="0.25">
      <c r="D580" s="2"/>
    </row>
    <row r="581" spans="4:4" ht="15.75" customHeight="1" x14ac:dyDescent="0.25">
      <c r="D581" s="2"/>
    </row>
    <row r="582" spans="4:4" ht="15.75" customHeight="1" x14ac:dyDescent="0.25">
      <c r="D582" s="2"/>
    </row>
    <row r="583" spans="4:4" ht="15.75" customHeight="1" x14ac:dyDescent="0.25">
      <c r="D583" s="2"/>
    </row>
    <row r="584" spans="4:4" ht="15.75" customHeight="1" x14ac:dyDescent="0.25">
      <c r="D584" s="2"/>
    </row>
    <row r="585" spans="4:4" ht="15.75" customHeight="1" x14ac:dyDescent="0.25">
      <c r="D585" s="2"/>
    </row>
    <row r="586" spans="4:4" ht="15.75" customHeight="1" x14ac:dyDescent="0.25">
      <c r="D586" s="2"/>
    </row>
    <row r="587" spans="4:4" ht="15.75" customHeight="1" x14ac:dyDescent="0.25">
      <c r="D587" s="2"/>
    </row>
    <row r="588" spans="4:4" ht="15.75" customHeight="1" x14ac:dyDescent="0.25">
      <c r="D588" s="2"/>
    </row>
    <row r="589" spans="4:4" ht="15.75" customHeight="1" x14ac:dyDescent="0.25">
      <c r="D589" s="2"/>
    </row>
    <row r="590" spans="4:4" ht="15.75" customHeight="1" x14ac:dyDescent="0.25">
      <c r="D590" s="2"/>
    </row>
    <row r="591" spans="4:4" ht="15.75" customHeight="1" x14ac:dyDescent="0.25">
      <c r="D591" s="2"/>
    </row>
    <row r="592" spans="4:4" ht="15.75" customHeight="1" x14ac:dyDescent="0.25">
      <c r="D592" s="2"/>
    </row>
    <row r="593" spans="4:4" ht="15.75" customHeight="1" x14ac:dyDescent="0.25">
      <c r="D593" s="2"/>
    </row>
    <row r="594" spans="4:4" ht="15.75" customHeight="1" x14ac:dyDescent="0.25">
      <c r="D594" s="2"/>
    </row>
    <row r="595" spans="4:4" ht="15.75" customHeight="1" x14ac:dyDescent="0.25">
      <c r="D595" s="2"/>
    </row>
    <row r="596" spans="4:4" ht="15.75" customHeight="1" x14ac:dyDescent="0.25">
      <c r="D596" s="2"/>
    </row>
    <row r="597" spans="4:4" ht="15.75" customHeight="1" x14ac:dyDescent="0.25">
      <c r="D597" s="2"/>
    </row>
    <row r="598" spans="4:4" ht="15.75" customHeight="1" x14ac:dyDescent="0.25">
      <c r="D598" s="2"/>
    </row>
    <row r="599" spans="4:4" ht="15.75" customHeight="1" x14ac:dyDescent="0.25">
      <c r="D599" s="2"/>
    </row>
    <row r="600" spans="4:4" ht="15.75" customHeight="1" x14ac:dyDescent="0.25">
      <c r="D600" s="2"/>
    </row>
    <row r="601" spans="4:4" ht="15.75" customHeight="1" x14ac:dyDescent="0.25">
      <c r="D601" s="2"/>
    </row>
    <row r="602" spans="4:4" ht="15.75" customHeight="1" x14ac:dyDescent="0.25">
      <c r="D602" s="2"/>
    </row>
    <row r="603" spans="4:4" ht="15.75" customHeight="1" x14ac:dyDescent="0.25">
      <c r="D603" s="2"/>
    </row>
    <row r="604" spans="4:4" ht="15.75" customHeight="1" x14ac:dyDescent="0.25">
      <c r="D604" s="2"/>
    </row>
    <row r="605" spans="4:4" ht="15.75" customHeight="1" x14ac:dyDescent="0.25">
      <c r="D605" s="2"/>
    </row>
    <row r="606" spans="4:4" ht="15.75" customHeight="1" x14ac:dyDescent="0.25">
      <c r="D606" s="2"/>
    </row>
    <row r="607" spans="4:4" ht="15.75" customHeight="1" x14ac:dyDescent="0.25">
      <c r="D607" s="2"/>
    </row>
    <row r="608" spans="4:4" ht="15.75" customHeight="1" x14ac:dyDescent="0.25">
      <c r="D608" s="2"/>
    </row>
    <row r="609" spans="4:4" ht="15.75" customHeight="1" x14ac:dyDescent="0.25">
      <c r="D609" s="2"/>
    </row>
    <row r="610" spans="4:4" ht="15.75" customHeight="1" x14ac:dyDescent="0.25">
      <c r="D610" s="2"/>
    </row>
    <row r="611" spans="4:4" ht="15.75" customHeight="1" x14ac:dyDescent="0.25">
      <c r="D611" s="2"/>
    </row>
    <row r="612" spans="4:4" ht="15.75" customHeight="1" x14ac:dyDescent="0.25">
      <c r="D612" s="2"/>
    </row>
    <row r="613" spans="4:4" ht="15.75" customHeight="1" x14ac:dyDescent="0.25">
      <c r="D613" s="2"/>
    </row>
    <row r="614" spans="4:4" ht="15.75" customHeight="1" x14ac:dyDescent="0.25">
      <c r="D614" s="2"/>
    </row>
    <row r="615" spans="4:4" ht="15.75" customHeight="1" x14ac:dyDescent="0.25">
      <c r="D615" s="2"/>
    </row>
    <row r="616" spans="4:4" ht="15.75" customHeight="1" x14ac:dyDescent="0.25">
      <c r="D616" s="2"/>
    </row>
    <row r="617" spans="4:4" ht="15.75" customHeight="1" x14ac:dyDescent="0.25">
      <c r="D617" s="2"/>
    </row>
    <row r="618" spans="4:4" ht="15.75" customHeight="1" x14ac:dyDescent="0.25">
      <c r="D618" s="2"/>
    </row>
    <row r="619" spans="4:4" ht="15.75" customHeight="1" x14ac:dyDescent="0.25">
      <c r="D619" s="2"/>
    </row>
    <row r="620" spans="4:4" ht="15.75" customHeight="1" x14ac:dyDescent="0.25">
      <c r="D620" s="2"/>
    </row>
    <row r="621" spans="4:4" ht="15.75" customHeight="1" x14ac:dyDescent="0.25">
      <c r="D621" s="2"/>
    </row>
    <row r="622" spans="4:4" ht="15.75" customHeight="1" x14ac:dyDescent="0.25">
      <c r="D622" s="2"/>
    </row>
    <row r="623" spans="4:4" ht="15.75" customHeight="1" x14ac:dyDescent="0.25">
      <c r="D623" s="2"/>
    </row>
    <row r="624" spans="4:4" ht="15.75" customHeight="1" x14ac:dyDescent="0.25">
      <c r="D624" s="2"/>
    </row>
    <row r="625" spans="4:4" ht="15.75" customHeight="1" x14ac:dyDescent="0.25">
      <c r="D625" s="2"/>
    </row>
    <row r="626" spans="4:4" ht="15.75" customHeight="1" x14ac:dyDescent="0.25">
      <c r="D626" s="2"/>
    </row>
    <row r="627" spans="4:4" ht="15.75" customHeight="1" x14ac:dyDescent="0.25">
      <c r="D627" s="2"/>
    </row>
    <row r="628" spans="4:4" ht="15.75" customHeight="1" x14ac:dyDescent="0.25">
      <c r="D628" s="2"/>
    </row>
    <row r="629" spans="4:4" ht="15.75" customHeight="1" x14ac:dyDescent="0.25">
      <c r="D629" s="2"/>
    </row>
    <row r="630" spans="4:4" ht="15.75" customHeight="1" x14ac:dyDescent="0.25">
      <c r="D630" s="2"/>
    </row>
    <row r="631" spans="4:4" ht="15.75" customHeight="1" x14ac:dyDescent="0.25">
      <c r="D631" s="2"/>
    </row>
    <row r="632" spans="4:4" ht="15.75" customHeight="1" x14ac:dyDescent="0.25">
      <c r="D632" s="2"/>
    </row>
    <row r="633" spans="4:4" ht="15.75" customHeight="1" x14ac:dyDescent="0.25">
      <c r="D633" s="2"/>
    </row>
    <row r="634" spans="4:4" ht="15.75" customHeight="1" x14ac:dyDescent="0.25">
      <c r="D634" s="2"/>
    </row>
    <row r="635" spans="4:4" ht="15.75" customHeight="1" x14ac:dyDescent="0.25">
      <c r="D635" s="2"/>
    </row>
    <row r="636" spans="4:4" ht="15.75" customHeight="1" x14ac:dyDescent="0.25">
      <c r="D636" s="2"/>
    </row>
    <row r="637" spans="4:4" ht="15.75" customHeight="1" x14ac:dyDescent="0.25">
      <c r="D637" s="2"/>
    </row>
    <row r="638" spans="4:4" ht="15.75" customHeight="1" x14ac:dyDescent="0.25">
      <c r="D638" s="2"/>
    </row>
    <row r="639" spans="4:4" ht="15.75" customHeight="1" x14ac:dyDescent="0.25">
      <c r="D639" s="2"/>
    </row>
    <row r="640" spans="4:4" ht="15.75" customHeight="1" x14ac:dyDescent="0.25">
      <c r="D640" s="2"/>
    </row>
    <row r="641" spans="4:4" ht="15.75" customHeight="1" x14ac:dyDescent="0.25">
      <c r="D641" s="2"/>
    </row>
    <row r="642" spans="4:4" ht="15.75" customHeight="1" x14ac:dyDescent="0.25">
      <c r="D642" s="2"/>
    </row>
    <row r="643" spans="4:4" ht="15.75" customHeight="1" x14ac:dyDescent="0.25">
      <c r="D643" s="2"/>
    </row>
    <row r="644" spans="4:4" ht="15.75" customHeight="1" x14ac:dyDescent="0.25">
      <c r="D644" s="2"/>
    </row>
    <row r="645" spans="4:4" ht="15.75" customHeight="1" x14ac:dyDescent="0.25">
      <c r="D645" s="2"/>
    </row>
    <row r="646" spans="4:4" ht="15.75" customHeight="1" x14ac:dyDescent="0.25">
      <c r="D646" s="2"/>
    </row>
    <row r="647" spans="4:4" ht="15.75" customHeight="1" x14ac:dyDescent="0.25">
      <c r="D647" s="2"/>
    </row>
    <row r="648" spans="4:4" ht="15.75" customHeight="1" x14ac:dyDescent="0.25">
      <c r="D648" s="2"/>
    </row>
    <row r="649" spans="4:4" ht="15.75" customHeight="1" x14ac:dyDescent="0.25">
      <c r="D649" s="2"/>
    </row>
    <row r="650" spans="4:4" ht="15.75" customHeight="1" x14ac:dyDescent="0.25">
      <c r="D650" s="2"/>
    </row>
    <row r="651" spans="4:4" ht="15.75" customHeight="1" x14ac:dyDescent="0.25">
      <c r="D651" s="2"/>
    </row>
    <row r="652" spans="4:4" ht="15.75" customHeight="1" x14ac:dyDescent="0.25">
      <c r="D652" s="2"/>
    </row>
    <row r="653" spans="4:4" ht="15.75" customHeight="1" x14ac:dyDescent="0.25">
      <c r="D653" s="2"/>
    </row>
    <row r="654" spans="4:4" ht="15.75" customHeight="1" x14ac:dyDescent="0.25">
      <c r="D654" s="2"/>
    </row>
    <row r="655" spans="4:4" ht="15.75" customHeight="1" x14ac:dyDescent="0.25">
      <c r="D655" s="2"/>
    </row>
    <row r="656" spans="4:4" ht="15.75" customHeight="1" x14ac:dyDescent="0.25">
      <c r="D656" s="2"/>
    </row>
    <row r="657" spans="4:4" ht="15.75" customHeight="1" x14ac:dyDescent="0.25">
      <c r="D657" s="2"/>
    </row>
    <row r="658" spans="4:4" ht="15.75" customHeight="1" x14ac:dyDescent="0.25">
      <c r="D658" s="2"/>
    </row>
    <row r="659" spans="4:4" ht="15.75" customHeight="1" x14ac:dyDescent="0.25">
      <c r="D659" s="2"/>
    </row>
    <row r="660" spans="4:4" ht="15.75" customHeight="1" x14ac:dyDescent="0.25">
      <c r="D660" s="2"/>
    </row>
    <row r="661" spans="4:4" ht="15.75" customHeight="1" x14ac:dyDescent="0.25">
      <c r="D661" s="2"/>
    </row>
    <row r="662" spans="4:4" ht="15.75" customHeight="1" x14ac:dyDescent="0.25">
      <c r="D662" s="2"/>
    </row>
    <row r="663" spans="4:4" ht="15.75" customHeight="1" x14ac:dyDescent="0.25">
      <c r="D663" s="2"/>
    </row>
    <row r="664" spans="4:4" ht="15.75" customHeight="1" x14ac:dyDescent="0.25">
      <c r="D664" s="2"/>
    </row>
    <row r="665" spans="4:4" ht="15.75" customHeight="1" x14ac:dyDescent="0.25">
      <c r="D665" s="2"/>
    </row>
    <row r="666" spans="4:4" ht="15.75" customHeight="1" x14ac:dyDescent="0.25">
      <c r="D666" s="2"/>
    </row>
    <row r="667" spans="4:4" ht="15.75" customHeight="1" x14ac:dyDescent="0.25">
      <c r="D667" s="2"/>
    </row>
    <row r="668" spans="4:4" ht="15.75" customHeight="1" x14ac:dyDescent="0.25">
      <c r="D668" s="2"/>
    </row>
    <row r="669" spans="4:4" ht="15.75" customHeight="1" x14ac:dyDescent="0.25">
      <c r="D669" s="2"/>
    </row>
    <row r="670" spans="4:4" ht="15.75" customHeight="1" x14ac:dyDescent="0.25">
      <c r="D670" s="2"/>
    </row>
    <row r="671" spans="4:4" ht="15.75" customHeight="1" x14ac:dyDescent="0.25">
      <c r="D671" s="2"/>
    </row>
    <row r="672" spans="4:4" ht="15.75" customHeight="1" x14ac:dyDescent="0.25">
      <c r="D672" s="2"/>
    </row>
    <row r="673" spans="4:4" ht="15.75" customHeight="1" x14ac:dyDescent="0.25">
      <c r="D673" s="2"/>
    </row>
    <row r="674" spans="4:4" ht="15.75" customHeight="1" x14ac:dyDescent="0.25">
      <c r="D674" s="2"/>
    </row>
    <row r="675" spans="4:4" ht="15.75" customHeight="1" x14ac:dyDescent="0.25">
      <c r="D675" s="2"/>
    </row>
    <row r="676" spans="4:4" ht="15.75" customHeight="1" x14ac:dyDescent="0.25">
      <c r="D676" s="2"/>
    </row>
    <row r="677" spans="4:4" ht="15.75" customHeight="1" x14ac:dyDescent="0.25">
      <c r="D677" s="2"/>
    </row>
    <row r="678" spans="4:4" ht="15.75" customHeight="1" x14ac:dyDescent="0.25">
      <c r="D678" s="2"/>
    </row>
    <row r="679" spans="4:4" ht="15.75" customHeight="1" x14ac:dyDescent="0.25">
      <c r="D679" s="2"/>
    </row>
    <row r="680" spans="4:4" ht="15.75" customHeight="1" x14ac:dyDescent="0.25">
      <c r="D680" s="2"/>
    </row>
    <row r="681" spans="4:4" ht="15.75" customHeight="1" x14ac:dyDescent="0.25">
      <c r="D681" s="2"/>
    </row>
    <row r="682" spans="4:4" ht="15.75" customHeight="1" x14ac:dyDescent="0.25">
      <c r="D682" s="2"/>
    </row>
    <row r="683" spans="4:4" ht="15.75" customHeight="1" x14ac:dyDescent="0.25">
      <c r="D683" s="2"/>
    </row>
    <row r="684" spans="4:4" ht="15.75" customHeight="1" x14ac:dyDescent="0.25">
      <c r="D684" s="2"/>
    </row>
    <row r="685" spans="4:4" ht="15.75" customHeight="1" x14ac:dyDescent="0.25">
      <c r="D685" s="2"/>
    </row>
    <row r="686" spans="4:4" ht="15.75" customHeight="1" x14ac:dyDescent="0.25">
      <c r="D686" s="2"/>
    </row>
    <row r="687" spans="4:4" ht="15.75" customHeight="1" x14ac:dyDescent="0.25">
      <c r="D687" s="2"/>
    </row>
    <row r="688" spans="4:4" ht="15.75" customHeight="1" x14ac:dyDescent="0.25">
      <c r="D688" s="2"/>
    </row>
    <row r="689" spans="4:4" ht="15.75" customHeight="1" x14ac:dyDescent="0.25">
      <c r="D689" s="2"/>
    </row>
    <row r="690" spans="4:4" ht="15.75" customHeight="1" x14ac:dyDescent="0.25">
      <c r="D690" s="2"/>
    </row>
    <row r="691" spans="4:4" ht="15.75" customHeight="1" x14ac:dyDescent="0.25">
      <c r="D691" s="2"/>
    </row>
    <row r="692" spans="4:4" ht="15.75" customHeight="1" x14ac:dyDescent="0.25">
      <c r="D692" s="2"/>
    </row>
    <row r="693" spans="4:4" ht="15.75" customHeight="1" x14ac:dyDescent="0.25">
      <c r="D693" s="2"/>
    </row>
    <row r="694" spans="4:4" ht="15.75" customHeight="1" x14ac:dyDescent="0.25">
      <c r="D694" s="2"/>
    </row>
    <row r="695" spans="4:4" ht="15.75" customHeight="1" x14ac:dyDescent="0.25">
      <c r="D695" s="2"/>
    </row>
    <row r="696" spans="4:4" ht="15.75" customHeight="1" x14ac:dyDescent="0.25">
      <c r="D696" s="2"/>
    </row>
    <row r="697" spans="4:4" ht="15.75" customHeight="1" x14ac:dyDescent="0.25">
      <c r="D697" s="2"/>
    </row>
    <row r="698" spans="4:4" ht="15.75" customHeight="1" x14ac:dyDescent="0.25">
      <c r="D698" s="2"/>
    </row>
    <row r="699" spans="4:4" ht="15.75" customHeight="1" x14ac:dyDescent="0.25">
      <c r="D699" s="2"/>
    </row>
    <row r="700" spans="4:4" ht="15.75" customHeight="1" x14ac:dyDescent="0.25">
      <c r="D700" s="2"/>
    </row>
    <row r="701" spans="4:4" ht="15.75" customHeight="1" x14ac:dyDescent="0.25">
      <c r="D701" s="2"/>
    </row>
    <row r="702" spans="4:4" ht="15.75" customHeight="1" x14ac:dyDescent="0.25">
      <c r="D702" s="2"/>
    </row>
    <row r="703" spans="4:4" ht="15.75" customHeight="1" x14ac:dyDescent="0.25">
      <c r="D703" s="2"/>
    </row>
    <row r="704" spans="4:4" ht="15.75" customHeight="1" x14ac:dyDescent="0.25">
      <c r="D704" s="2"/>
    </row>
    <row r="705" spans="4:4" ht="15.75" customHeight="1" x14ac:dyDescent="0.25">
      <c r="D705" s="2"/>
    </row>
    <row r="706" spans="4:4" ht="15.75" customHeight="1" x14ac:dyDescent="0.25">
      <c r="D706" s="2"/>
    </row>
    <row r="707" spans="4:4" ht="15.75" customHeight="1" x14ac:dyDescent="0.25">
      <c r="D707" s="2"/>
    </row>
    <row r="708" spans="4:4" ht="15.75" customHeight="1" x14ac:dyDescent="0.25">
      <c r="D708" s="2"/>
    </row>
    <row r="709" spans="4:4" ht="15.75" customHeight="1" x14ac:dyDescent="0.25">
      <c r="D709" s="2"/>
    </row>
    <row r="710" spans="4:4" ht="15.75" customHeight="1" x14ac:dyDescent="0.25">
      <c r="D710" s="2"/>
    </row>
    <row r="711" spans="4:4" ht="15.75" customHeight="1" x14ac:dyDescent="0.25">
      <c r="D711" s="2"/>
    </row>
    <row r="712" spans="4:4" ht="15.75" customHeight="1" x14ac:dyDescent="0.25">
      <c r="D712" s="2"/>
    </row>
    <row r="713" spans="4:4" ht="15.75" customHeight="1" x14ac:dyDescent="0.25">
      <c r="D713" s="2"/>
    </row>
    <row r="714" spans="4:4" ht="15.75" customHeight="1" x14ac:dyDescent="0.25">
      <c r="D714" s="2"/>
    </row>
    <row r="715" spans="4:4" ht="15.75" customHeight="1" x14ac:dyDescent="0.25">
      <c r="D715" s="2"/>
    </row>
    <row r="716" spans="4:4" ht="15.75" customHeight="1" x14ac:dyDescent="0.25">
      <c r="D716" s="2"/>
    </row>
    <row r="717" spans="4:4" ht="15.75" customHeight="1" x14ac:dyDescent="0.25">
      <c r="D717" s="2"/>
    </row>
    <row r="718" spans="4:4" ht="15.75" customHeight="1" x14ac:dyDescent="0.25">
      <c r="D718" s="2"/>
    </row>
    <row r="719" spans="4:4" ht="15.75" customHeight="1" x14ac:dyDescent="0.25">
      <c r="D719" s="2"/>
    </row>
    <row r="720" spans="4:4" ht="15.75" customHeight="1" x14ac:dyDescent="0.25">
      <c r="D720" s="2"/>
    </row>
    <row r="721" spans="4:4" ht="15.75" customHeight="1" x14ac:dyDescent="0.25">
      <c r="D721" s="2"/>
    </row>
    <row r="722" spans="4:4" ht="15.75" customHeight="1" x14ac:dyDescent="0.25">
      <c r="D722" s="2"/>
    </row>
    <row r="723" spans="4:4" ht="15.75" customHeight="1" x14ac:dyDescent="0.25">
      <c r="D723" s="2"/>
    </row>
    <row r="724" spans="4:4" ht="15.75" customHeight="1" x14ac:dyDescent="0.25">
      <c r="D724" s="2"/>
    </row>
    <row r="725" spans="4:4" ht="15.75" customHeight="1" x14ac:dyDescent="0.25">
      <c r="D725" s="2"/>
    </row>
    <row r="726" spans="4:4" ht="15.75" customHeight="1" x14ac:dyDescent="0.25">
      <c r="D726" s="2"/>
    </row>
    <row r="727" spans="4:4" ht="15.75" customHeight="1" x14ac:dyDescent="0.25">
      <c r="D727" s="2"/>
    </row>
    <row r="728" spans="4:4" ht="15.75" customHeight="1" x14ac:dyDescent="0.25">
      <c r="D728" s="2"/>
    </row>
    <row r="729" spans="4:4" ht="15.75" customHeight="1" x14ac:dyDescent="0.25">
      <c r="D729" s="2"/>
    </row>
    <row r="730" spans="4:4" ht="15.75" customHeight="1" x14ac:dyDescent="0.25">
      <c r="D730" s="2"/>
    </row>
    <row r="731" spans="4:4" ht="15.75" customHeight="1" x14ac:dyDescent="0.25">
      <c r="D731" s="2"/>
    </row>
    <row r="732" spans="4:4" ht="15.75" customHeight="1" x14ac:dyDescent="0.25">
      <c r="D732" s="2"/>
    </row>
    <row r="733" spans="4:4" ht="15.75" customHeight="1" x14ac:dyDescent="0.25">
      <c r="D733" s="2"/>
    </row>
    <row r="734" spans="4:4" ht="15.75" customHeight="1" x14ac:dyDescent="0.25">
      <c r="D734" s="2"/>
    </row>
    <row r="735" spans="4:4" ht="15.75" customHeight="1" x14ac:dyDescent="0.25">
      <c r="D735" s="2"/>
    </row>
    <row r="736" spans="4:4" ht="15.75" customHeight="1" x14ac:dyDescent="0.25">
      <c r="D736" s="2"/>
    </row>
    <row r="737" spans="4:4" ht="15.75" customHeight="1" x14ac:dyDescent="0.25">
      <c r="D737" s="2"/>
    </row>
    <row r="738" spans="4:4" ht="15.75" customHeight="1" x14ac:dyDescent="0.25">
      <c r="D738" s="2"/>
    </row>
    <row r="739" spans="4:4" ht="15.75" customHeight="1" x14ac:dyDescent="0.25">
      <c r="D739" s="2"/>
    </row>
    <row r="740" spans="4:4" ht="15.75" customHeight="1" x14ac:dyDescent="0.25">
      <c r="D740" s="2"/>
    </row>
    <row r="741" spans="4:4" ht="15.75" customHeight="1" x14ac:dyDescent="0.25">
      <c r="D741" s="2"/>
    </row>
    <row r="742" spans="4:4" ht="15.75" customHeight="1" x14ac:dyDescent="0.25">
      <c r="D742" s="2"/>
    </row>
    <row r="743" spans="4:4" ht="15.75" customHeight="1" x14ac:dyDescent="0.25">
      <c r="D743" s="2"/>
    </row>
    <row r="744" spans="4:4" ht="15.75" customHeight="1" x14ac:dyDescent="0.25">
      <c r="D744" s="2"/>
    </row>
    <row r="745" spans="4:4" ht="15.75" customHeight="1" x14ac:dyDescent="0.25">
      <c r="D745" s="2"/>
    </row>
    <row r="746" spans="4:4" ht="15.75" customHeight="1" x14ac:dyDescent="0.25">
      <c r="D746" s="2"/>
    </row>
    <row r="747" spans="4:4" ht="15.75" customHeight="1" x14ac:dyDescent="0.25">
      <c r="D747" s="2"/>
    </row>
    <row r="748" spans="4:4" ht="15.75" customHeight="1" x14ac:dyDescent="0.25">
      <c r="D748" s="2"/>
    </row>
    <row r="749" spans="4:4" ht="15.75" customHeight="1" x14ac:dyDescent="0.25">
      <c r="D749" s="2"/>
    </row>
    <row r="750" spans="4:4" ht="15.75" customHeight="1" x14ac:dyDescent="0.25">
      <c r="D750" s="2"/>
    </row>
    <row r="751" spans="4:4" ht="15.75" customHeight="1" x14ac:dyDescent="0.25">
      <c r="D751" s="2"/>
    </row>
    <row r="752" spans="4:4" ht="15.75" customHeight="1" x14ac:dyDescent="0.25">
      <c r="D752" s="2"/>
    </row>
    <row r="753" spans="4:4" ht="15.75" customHeight="1" x14ac:dyDescent="0.25">
      <c r="D753" s="2"/>
    </row>
    <row r="754" spans="4:4" ht="15.75" customHeight="1" x14ac:dyDescent="0.25">
      <c r="D754" s="2"/>
    </row>
    <row r="755" spans="4:4" ht="15.75" customHeight="1" x14ac:dyDescent="0.25">
      <c r="D755" s="2"/>
    </row>
    <row r="756" spans="4:4" ht="15.75" customHeight="1" x14ac:dyDescent="0.25">
      <c r="D756" s="2"/>
    </row>
    <row r="757" spans="4:4" ht="15.75" customHeight="1" x14ac:dyDescent="0.25">
      <c r="D757" s="2"/>
    </row>
    <row r="758" spans="4:4" ht="15.75" customHeight="1" x14ac:dyDescent="0.25">
      <c r="D758" s="2"/>
    </row>
    <row r="759" spans="4:4" ht="15.75" customHeight="1" x14ac:dyDescent="0.25">
      <c r="D759" s="2"/>
    </row>
    <row r="760" spans="4:4" ht="15.75" customHeight="1" x14ac:dyDescent="0.25">
      <c r="D760" s="2"/>
    </row>
    <row r="761" spans="4:4" ht="15.75" customHeight="1" x14ac:dyDescent="0.25">
      <c r="D761" s="2"/>
    </row>
    <row r="762" spans="4:4" ht="15.75" customHeight="1" x14ac:dyDescent="0.25">
      <c r="D762" s="2"/>
    </row>
    <row r="763" spans="4:4" ht="15.75" customHeight="1" x14ac:dyDescent="0.25">
      <c r="D763" s="2"/>
    </row>
    <row r="764" spans="4:4" ht="15.75" customHeight="1" x14ac:dyDescent="0.25">
      <c r="D764" s="2"/>
    </row>
    <row r="765" spans="4:4" ht="15.75" customHeight="1" x14ac:dyDescent="0.25">
      <c r="D765" s="2"/>
    </row>
    <row r="766" spans="4:4" ht="15.75" customHeight="1" x14ac:dyDescent="0.25">
      <c r="D766" s="2"/>
    </row>
    <row r="767" spans="4:4" ht="15.75" customHeight="1" x14ac:dyDescent="0.25">
      <c r="D767" s="2"/>
    </row>
    <row r="768" spans="4:4" ht="15.75" customHeight="1" x14ac:dyDescent="0.25">
      <c r="D768" s="2"/>
    </row>
    <row r="769" spans="4:4" ht="15.75" customHeight="1" x14ac:dyDescent="0.25">
      <c r="D769" s="2"/>
    </row>
    <row r="770" spans="4:4" ht="15.75" customHeight="1" x14ac:dyDescent="0.25">
      <c r="D770" s="2"/>
    </row>
    <row r="771" spans="4:4" ht="15.75" customHeight="1" x14ac:dyDescent="0.25">
      <c r="D771" s="2"/>
    </row>
    <row r="772" spans="4:4" ht="15.75" customHeight="1" x14ac:dyDescent="0.25">
      <c r="D772" s="2"/>
    </row>
    <row r="773" spans="4:4" ht="15.75" customHeight="1" x14ac:dyDescent="0.25">
      <c r="D773" s="2"/>
    </row>
    <row r="774" spans="4:4" ht="15.75" customHeight="1" x14ac:dyDescent="0.25">
      <c r="D774" s="2"/>
    </row>
    <row r="775" spans="4:4" ht="15.75" customHeight="1" x14ac:dyDescent="0.25">
      <c r="D775" s="2"/>
    </row>
    <row r="776" spans="4:4" ht="15.75" customHeight="1" x14ac:dyDescent="0.25">
      <c r="D776" s="2"/>
    </row>
    <row r="777" spans="4:4" ht="15.75" customHeight="1" x14ac:dyDescent="0.25">
      <c r="D777" s="2"/>
    </row>
    <row r="778" spans="4:4" ht="15.75" customHeight="1" x14ac:dyDescent="0.25">
      <c r="D778" s="2"/>
    </row>
    <row r="779" spans="4:4" ht="15.75" customHeight="1" x14ac:dyDescent="0.25">
      <c r="D779" s="2"/>
    </row>
    <row r="780" spans="4:4" ht="15.75" customHeight="1" x14ac:dyDescent="0.25">
      <c r="D780" s="2"/>
    </row>
    <row r="781" spans="4:4" ht="15.75" customHeight="1" x14ac:dyDescent="0.25">
      <c r="D781" s="2"/>
    </row>
    <row r="782" spans="4:4" ht="15.75" customHeight="1" x14ac:dyDescent="0.25">
      <c r="D782" s="2"/>
    </row>
    <row r="783" spans="4:4" ht="15.75" customHeight="1" x14ac:dyDescent="0.25">
      <c r="D783" s="2"/>
    </row>
    <row r="784" spans="4:4" ht="15.75" customHeight="1" x14ac:dyDescent="0.25">
      <c r="D784" s="2"/>
    </row>
    <row r="785" spans="4:4" ht="15.75" customHeight="1" x14ac:dyDescent="0.25">
      <c r="D785" s="2"/>
    </row>
    <row r="786" spans="4:4" ht="15.75" customHeight="1" x14ac:dyDescent="0.25">
      <c r="D786" s="2"/>
    </row>
    <row r="787" spans="4:4" ht="15.75" customHeight="1" x14ac:dyDescent="0.25">
      <c r="D787" s="2"/>
    </row>
    <row r="788" spans="4:4" ht="15.75" customHeight="1" x14ac:dyDescent="0.25">
      <c r="D788" s="2"/>
    </row>
    <row r="789" spans="4:4" ht="15.75" customHeight="1" x14ac:dyDescent="0.25">
      <c r="D789" s="2"/>
    </row>
    <row r="790" spans="4:4" ht="15.75" customHeight="1" x14ac:dyDescent="0.25">
      <c r="D790" s="2"/>
    </row>
    <row r="791" spans="4:4" ht="15.75" customHeight="1" x14ac:dyDescent="0.25">
      <c r="D791" s="2"/>
    </row>
    <row r="792" spans="4:4" ht="15.75" customHeight="1" x14ac:dyDescent="0.25">
      <c r="D792" s="2"/>
    </row>
    <row r="793" spans="4:4" ht="15.75" customHeight="1" x14ac:dyDescent="0.25">
      <c r="D793" s="2"/>
    </row>
    <row r="794" spans="4:4" ht="15.75" customHeight="1" x14ac:dyDescent="0.25">
      <c r="D794" s="2"/>
    </row>
    <row r="795" spans="4:4" ht="15.75" customHeight="1" x14ac:dyDescent="0.25">
      <c r="D795" s="2"/>
    </row>
    <row r="796" spans="4:4" ht="15.75" customHeight="1" x14ac:dyDescent="0.25">
      <c r="D796" s="2"/>
    </row>
    <row r="797" spans="4:4" ht="15.75" customHeight="1" x14ac:dyDescent="0.25">
      <c r="D797" s="2"/>
    </row>
    <row r="798" spans="4:4" ht="15.75" customHeight="1" x14ac:dyDescent="0.25">
      <c r="D798" s="2"/>
    </row>
    <row r="799" spans="4:4" ht="15.75" customHeight="1" x14ac:dyDescent="0.25">
      <c r="D799" s="2"/>
    </row>
    <row r="800" spans="4:4" ht="15.75" customHeight="1" x14ac:dyDescent="0.25">
      <c r="D800" s="2"/>
    </row>
    <row r="801" spans="4:4" ht="15.75" customHeight="1" x14ac:dyDescent="0.25">
      <c r="D801" s="2"/>
    </row>
    <row r="802" spans="4:4" ht="15.75" customHeight="1" x14ac:dyDescent="0.25">
      <c r="D802" s="2"/>
    </row>
    <row r="803" spans="4:4" ht="15.75" customHeight="1" x14ac:dyDescent="0.25">
      <c r="D803" s="2"/>
    </row>
    <row r="804" spans="4:4" ht="15.75" customHeight="1" x14ac:dyDescent="0.25">
      <c r="D804" s="2"/>
    </row>
    <row r="805" spans="4:4" ht="15.75" customHeight="1" x14ac:dyDescent="0.25">
      <c r="D805" s="2"/>
    </row>
    <row r="806" spans="4:4" ht="15.75" customHeight="1" x14ac:dyDescent="0.25">
      <c r="D806" s="2"/>
    </row>
    <row r="807" spans="4:4" ht="15.75" customHeight="1" x14ac:dyDescent="0.25">
      <c r="D807" s="2"/>
    </row>
    <row r="808" spans="4:4" ht="15.75" customHeight="1" x14ac:dyDescent="0.25">
      <c r="D808" s="2"/>
    </row>
    <row r="809" spans="4:4" ht="15.75" customHeight="1" x14ac:dyDescent="0.25">
      <c r="D809" s="2"/>
    </row>
    <row r="810" spans="4:4" ht="15.75" customHeight="1" x14ac:dyDescent="0.25">
      <c r="D810" s="2"/>
    </row>
    <row r="811" spans="4:4" ht="15.75" customHeight="1" x14ac:dyDescent="0.25">
      <c r="D811" s="2"/>
    </row>
    <row r="812" spans="4:4" ht="15.75" customHeight="1" x14ac:dyDescent="0.25">
      <c r="D812" s="2"/>
    </row>
    <row r="813" spans="4:4" ht="15.75" customHeight="1" x14ac:dyDescent="0.25">
      <c r="D813" s="2"/>
    </row>
    <row r="814" spans="4:4" ht="15.75" customHeight="1" x14ac:dyDescent="0.25">
      <c r="D814" s="2"/>
    </row>
    <row r="815" spans="4:4" ht="15.75" customHeight="1" x14ac:dyDescent="0.25">
      <c r="D815" s="2"/>
    </row>
    <row r="816" spans="4:4" ht="15.75" customHeight="1" x14ac:dyDescent="0.25">
      <c r="D816" s="2"/>
    </row>
    <row r="817" spans="4:4" ht="15.75" customHeight="1" x14ac:dyDescent="0.25">
      <c r="D817" s="2"/>
    </row>
    <row r="818" spans="4:4" ht="15.75" customHeight="1" x14ac:dyDescent="0.25">
      <c r="D818" s="2"/>
    </row>
    <row r="819" spans="4:4" ht="15.75" customHeight="1" x14ac:dyDescent="0.25">
      <c r="D819" s="2"/>
    </row>
    <row r="820" spans="4:4" ht="15.75" customHeight="1" x14ac:dyDescent="0.25">
      <c r="D820" s="2"/>
    </row>
    <row r="821" spans="4:4" ht="15.75" customHeight="1" x14ac:dyDescent="0.25">
      <c r="D821" s="2"/>
    </row>
    <row r="822" spans="4:4" ht="15.75" customHeight="1" x14ac:dyDescent="0.25">
      <c r="D822" s="2"/>
    </row>
    <row r="823" spans="4:4" ht="15.75" customHeight="1" x14ac:dyDescent="0.25">
      <c r="D823" s="2"/>
    </row>
    <row r="824" spans="4:4" ht="15.75" customHeight="1" x14ac:dyDescent="0.25">
      <c r="D824" s="2"/>
    </row>
    <row r="825" spans="4:4" ht="15.75" customHeight="1" x14ac:dyDescent="0.25">
      <c r="D825" s="2"/>
    </row>
    <row r="826" spans="4:4" ht="15.75" customHeight="1" x14ac:dyDescent="0.25">
      <c r="D826" s="2"/>
    </row>
    <row r="827" spans="4:4" ht="15.75" customHeight="1" x14ac:dyDescent="0.25">
      <c r="D827" s="2"/>
    </row>
    <row r="828" spans="4:4" ht="15.75" customHeight="1" x14ac:dyDescent="0.25">
      <c r="D828" s="2"/>
    </row>
    <row r="829" spans="4:4" ht="15.75" customHeight="1" x14ac:dyDescent="0.25">
      <c r="D829" s="2"/>
    </row>
    <row r="830" spans="4:4" ht="15.75" customHeight="1" x14ac:dyDescent="0.25">
      <c r="D830" s="2"/>
    </row>
    <row r="831" spans="4:4" ht="15.75" customHeight="1" x14ac:dyDescent="0.25">
      <c r="D831" s="2"/>
    </row>
    <row r="832" spans="4:4" ht="15.75" customHeight="1" x14ac:dyDescent="0.25">
      <c r="D832" s="2"/>
    </row>
    <row r="833" spans="4:4" ht="15.75" customHeight="1" x14ac:dyDescent="0.25">
      <c r="D833" s="2"/>
    </row>
    <row r="834" spans="4:4" ht="15.75" customHeight="1" x14ac:dyDescent="0.25">
      <c r="D834" s="2"/>
    </row>
    <row r="835" spans="4:4" ht="15.75" customHeight="1" x14ac:dyDescent="0.25">
      <c r="D835" s="2"/>
    </row>
    <row r="836" spans="4:4" ht="15.75" customHeight="1" x14ac:dyDescent="0.25">
      <c r="D836" s="2"/>
    </row>
    <row r="837" spans="4:4" ht="15.75" customHeight="1" x14ac:dyDescent="0.25">
      <c r="D837" s="2"/>
    </row>
    <row r="838" spans="4:4" ht="15.75" customHeight="1" x14ac:dyDescent="0.25">
      <c r="D838" s="2"/>
    </row>
    <row r="839" spans="4:4" ht="15.75" customHeight="1" x14ac:dyDescent="0.25">
      <c r="D839" s="2"/>
    </row>
    <row r="840" spans="4:4" ht="15.75" customHeight="1" x14ac:dyDescent="0.25">
      <c r="D840" s="2"/>
    </row>
    <row r="841" spans="4:4" ht="15.75" customHeight="1" x14ac:dyDescent="0.25">
      <c r="D841" s="2"/>
    </row>
    <row r="842" spans="4:4" ht="15.75" customHeight="1" x14ac:dyDescent="0.25">
      <c r="D842" s="2"/>
    </row>
    <row r="843" spans="4:4" ht="15.75" customHeight="1" x14ac:dyDescent="0.25">
      <c r="D843" s="2"/>
    </row>
    <row r="844" spans="4:4" ht="15.75" customHeight="1" x14ac:dyDescent="0.25">
      <c r="D844" s="2"/>
    </row>
    <row r="845" spans="4:4" ht="15.75" customHeight="1" x14ac:dyDescent="0.25">
      <c r="D845" s="2"/>
    </row>
    <row r="846" spans="4:4" ht="15.75" customHeight="1" x14ac:dyDescent="0.25">
      <c r="D846" s="2"/>
    </row>
    <row r="847" spans="4:4" ht="15.75" customHeight="1" x14ac:dyDescent="0.25">
      <c r="D847" s="2"/>
    </row>
    <row r="848" spans="4:4" ht="15.75" customHeight="1" x14ac:dyDescent="0.25">
      <c r="D848" s="2"/>
    </row>
    <row r="849" spans="4:4" ht="15.75" customHeight="1" x14ac:dyDescent="0.25">
      <c r="D849" s="2"/>
    </row>
    <row r="850" spans="4:4" ht="15.75" customHeight="1" x14ac:dyDescent="0.25">
      <c r="D850" s="2"/>
    </row>
    <row r="851" spans="4:4" ht="15.75" customHeight="1" x14ac:dyDescent="0.25">
      <c r="D851" s="2"/>
    </row>
    <row r="852" spans="4:4" ht="15.75" customHeight="1" x14ac:dyDescent="0.25">
      <c r="D852" s="2"/>
    </row>
    <row r="853" spans="4:4" ht="15.75" customHeight="1" x14ac:dyDescent="0.25">
      <c r="D853" s="2"/>
    </row>
    <row r="854" spans="4:4" ht="15.75" customHeight="1" x14ac:dyDescent="0.25">
      <c r="D854" s="2"/>
    </row>
    <row r="855" spans="4:4" ht="15.75" customHeight="1" x14ac:dyDescent="0.25">
      <c r="D855" s="2"/>
    </row>
    <row r="856" spans="4:4" ht="15.75" customHeight="1" x14ac:dyDescent="0.25">
      <c r="D856" s="2"/>
    </row>
    <row r="857" spans="4:4" ht="15.75" customHeight="1" x14ac:dyDescent="0.25">
      <c r="D857" s="2"/>
    </row>
    <row r="858" spans="4:4" ht="15.75" customHeight="1" x14ac:dyDescent="0.25">
      <c r="D858" s="2"/>
    </row>
    <row r="859" spans="4:4" ht="15.75" customHeight="1" x14ac:dyDescent="0.25">
      <c r="D859" s="2"/>
    </row>
    <row r="860" spans="4:4" ht="15.75" customHeight="1" x14ac:dyDescent="0.25">
      <c r="D860" s="2"/>
    </row>
    <row r="861" spans="4:4" ht="15.75" customHeight="1" x14ac:dyDescent="0.25">
      <c r="D861" s="2"/>
    </row>
    <row r="862" spans="4:4" ht="15.75" customHeight="1" x14ac:dyDescent="0.25">
      <c r="D862" s="2"/>
    </row>
    <row r="863" spans="4:4" ht="15.75" customHeight="1" x14ac:dyDescent="0.25">
      <c r="D863" s="2"/>
    </row>
    <row r="864" spans="4:4" ht="15.75" customHeight="1" x14ac:dyDescent="0.25">
      <c r="D864" s="2"/>
    </row>
    <row r="865" spans="4:4" ht="15.75" customHeight="1" x14ac:dyDescent="0.25">
      <c r="D865" s="2"/>
    </row>
    <row r="866" spans="4:4" ht="15.75" customHeight="1" x14ac:dyDescent="0.25">
      <c r="D866" s="2"/>
    </row>
    <row r="867" spans="4:4" ht="15.75" customHeight="1" x14ac:dyDescent="0.25">
      <c r="D867" s="2"/>
    </row>
    <row r="868" spans="4:4" ht="15.75" customHeight="1" x14ac:dyDescent="0.25">
      <c r="D868" s="2"/>
    </row>
    <row r="869" spans="4:4" ht="15.75" customHeight="1" x14ac:dyDescent="0.25">
      <c r="D869" s="2"/>
    </row>
    <row r="870" spans="4:4" ht="15.75" customHeight="1" x14ac:dyDescent="0.25">
      <c r="D870" s="2"/>
    </row>
    <row r="871" spans="4:4" ht="15.75" customHeight="1" x14ac:dyDescent="0.25">
      <c r="D871" s="2"/>
    </row>
    <row r="872" spans="4:4" ht="15.75" customHeight="1" x14ac:dyDescent="0.25">
      <c r="D872" s="2"/>
    </row>
    <row r="873" spans="4:4" ht="15.75" customHeight="1" x14ac:dyDescent="0.25">
      <c r="D873" s="2"/>
    </row>
    <row r="874" spans="4:4" ht="15.75" customHeight="1" x14ac:dyDescent="0.25">
      <c r="D874" s="2"/>
    </row>
    <row r="875" spans="4:4" ht="15.75" customHeight="1" x14ac:dyDescent="0.25">
      <c r="D875" s="2"/>
    </row>
    <row r="876" spans="4:4" ht="15.75" customHeight="1" x14ac:dyDescent="0.25">
      <c r="D876" s="2"/>
    </row>
    <row r="877" spans="4:4" ht="15.75" customHeight="1" x14ac:dyDescent="0.25">
      <c r="D877" s="2"/>
    </row>
    <row r="878" spans="4:4" ht="15.75" customHeight="1" x14ac:dyDescent="0.25">
      <c r="D878" s="2"/>
    </row>
    <row r="879" spans="4:4" ht="15.75" customHeight="1" x14ac:dyDescent="0.25">
      <c r="D879" s="2"/>
    </row>
    <row r="880" spans="4:4" ht="15.75" customHeight="1" x14ac:dyDescent="0.25">
      <c r="D880" s="2"/>
    </row>
    <row r="881" spans="4:4" ht="15.75" customHeight="1" x14ac:dyDescent="0.25">
      <c r="D881" s="2"/>
    </row>
    <row r="882" spans="4:4" ht="15.75" customHeight="1" x14ac:dyDescent="0.25">
      <c r="D882" s="2"/>
    </row>
    <row r="883" spans="4:4" ht="15.75" customHeight="1" x14ac:dyDescent="0.25">
      <c r="D883" s="2"/>
    </row>
    <row r="884" spans="4:4" ht="15.75" customHeight="1" x14ac:dyDescent="0.25">
      <c r="D884" s="2"/>
    </row>
    <row r="885" spans="4:4" ht="15.75" customHeight="1" x14ac:dyDescent="0.25">
      <c r="D885" s="2"/>
    </row>
    <row r="886" spans="4:4" ht="15.75" customHeight="1" x14ac:dyDescent="0.25">
      <c r="D886" s="2"/>
    </row>
    <row r="887" spans="4:4" ht="15.75" customHeight="1" x14ac:dyDescent="0.25">
      <c r="D887" s="2"/>
    </row>
    <row r="888" spans="4:4" ht="15.75" customHeight="1" x14ac:dyDescent="0.25">
      <c r="D888" s="2"/>
    </row>
    <row r="889" spans="4:4" ht="15.75" customHeight="1" x14ac:dyDescent="0.25">
      <c r="D889" s="2"/>
    </row>
    <row r="890" spans="4:4" ht="15.75" customHeight="1" x14ac:dyDescent="0.25">
      <c r="D890" s="2"/>
    </row>
    <row r="891" spans="4:4" ht="15.75" customHeight="1" x14ac:dyDescent="0.25">
      <c r="D891" s="2"/>
    </row>
    <row r="892" spans="4:4" ht="15.75" customHeight="1" x14ac:dyDescent="0.25">
      <c r="D892" s="2"/>
    </row>
    <row r="893" spans="4:4" ht="15.75" customHeight="1" x14ac:dyDescent="0.25">
      <c r="D893" s="2"/>
    </row>
    <row r="894" spans="4:4" ht="15.75" customHeight="1" x14ac:dyDescent="0.25">
      <c r="D894" s="2"/>
    </row>
    <row r="895" spans="4:4" ht="15.75" customHeight="1" x14ac:dyDescent="0.25">
      <c r="D895" s="2"/>
    </row>
    <row r="896" spans="4:4" ht="15.75" customHeight="1" x14ac:dyDescent="0.25">
      <c r="D896" s="2"/>
    </row>
    <row r="897" spans="4:4" ht="15.75" customHeight="1" x14ac:dyDescent="0.25">
      <c r="D897" s="2"/>
    </row>
    <row r="898" spans="4:4" ht="15.75" customHeight="1" x14ac:dyDescent="0.25">
      <c r="D898" s="2"/>
    </row>
    <row r="899" spans="4:4" ht="15.75" customHeight="1" x14ac:dyDescent="0.25">
      <c r="D899" s="2"/>
    </row>
    <row r="900" spans="4:4" ht="15.75" customHeight="1" x14ac:dyDescent="0.25">
      <c r="D900" s="2"/>
    </row>
    <row r="901" spans="4:4" ht="15.75" customHeight="1" x14ac:dyDescent="0.25">
      <c r="D901" s="2"/>
    </row>
    <row r="902" spans="4:4" ht="15.75" customHeight="1" x14ac:dyDescent="0.25">
      <c r="D902" s="2"/>
    </row>
    <row r="903" spans="4:4" ht="15.75" customHeight="1" x14ac:dyDescent="0.25">
      <c r="D903" s="2"/>
    </row>
    <row r="904" spans="4:4" ht="15.75" customHeight="1" x14ac:dyDescent="0.25">
      <c r="D904" s="2"/>
    </row>
    <row r="905" spans="4:4" ht="15.75" customHeight="1" x14ac:dyDescent="0.25">
      <c r="D905" s="2"/>
    </row>
    <row r="906" spans="4:4" ht="15.75" customHeight="1" x14ac:dyDescent="0.25">
      <c r="D906" s="2"/>
    </row>
    <row r="907" spans="4:4" ht="15.75" customHeight="1" x14ac:dyDescent="0.25">
      <c r="D907" s="2"/>
    </row>
    <row r="908" spans="4:4" ht="15.75" customHeight="1" x14ac:dyDescent="0.25">
      <c r="D908" s="2"/>
    </row>
    <row r="909" spans="4:4" ht="15.75" customHeight="1" x14ac:dyDescent="0.25">
      <c r="D909" s="2"/>
    </row>
    <row r="910" spans="4:4" ht="15.75" customHeight="1" x14ac:dyDescent="0.25">
      <c r="D910" s="2"/>
    </row>
    <row r="911" spans="4:4" ht="15.75" customHeight="1" x14ac:dyDescent="0.25">
      <c r="D911" s="2"/>
    </row>
    <row r="912" spans="4:4" ht="15.75" customHeight="1" x14ac:dyDescent="0.25">
      <c r="D912" s="2"/>
    </row>
    <row r="913" spans="4:4" ht="15.75" customHeight="1" x14ac:dyDescent="0.25">
      <c r="D913" s="2"/>
    </row>
    <row r="914" spans="4:4" ht="15.75" customHeight="1" x14ac:dyDescent="0.25">
      <c r="D914" s="2"/>
    </row>
    <row r="915" spans="4:4" ht="15.75" customHeight="1" x14ac:dyDescent="0.25">
      <c r="D915" s="2"/>
    </row>
    <row r="916" spans="4:4" ht="15.75" customHeight="1" x14ac:dyDescent="0.25">
      <c r="D916" s="2"/>
    </row>
    <row r="917" spans="4:4" ht="15.75" customHeight="1" x14ac:dyDescent="0.25">
      <c r="D917" s="2"/>
    </row>
    <row r="918" spans="4:4" ht="15.75" customHeight="1" x14ac:dyDescent="0.25">
      <c r="D918" s="2"/>
    </row>
    <row r="919" spans="4:4" ht="15.75" customHeight="1" x14ac:dyDescent="0.25">
      <c r="D919" s="2"/>
    </row>
    <row r="920" spans="4:4" ht="15.75" customHeight="1" x14ac:dyDescent="0.25">
      <c r="D920" s="2"/>
    </row>
    <row r="921" spans="4:4" ht="15.75" customHeight="1" x14ac:dyDescent="0.25">
      <c r="D921" s="2"/>
    </row>
    <row r="922" spans="4:4" ht="15.75" customHeight="1" x14ac:dyDescent="0.25">
      <c r="D922" s="2"/>
    </row>
    <row r="923" spans="4:4" ht="15.75" customHeight="1" x14ac:dyDescent="0.25">
      <c r="D923" s="2"/>
    </row>
    <row r="924" spans="4:4" ht="15.75" customHeight="1" x14ac:dyDescent="0.25">
      <c r="D924" s="2"/>
    </row>
    <row r="925" spans="4:4" ht="15.75" customHeight="1" x14ac:dyDescent="0.25">
      <c r="D925" s="2"/>
    </row>
    <row r="926" spans="4:4" ht="15.75" customHeight="1" x14ac:dyDescent="0.25">
      <c r="D926" s="2"/>
    </row>
    <row r="927" spans="4:4" ht="15.75" customHeight="1" x14ac:dyDescent="0.25">
      <c r="D927" s="2"/>
    </row>
    <row r="928" spans="4:4" ht="15.75" customHeight="1" x14ac:dyDescent="0.25">
      <c r="D928" s="2"/>
    </row>
    <row r="929" spans="4:4" ht="15.75" customHeight="1" x14ac:dyDescent="0.25">
      <c r="D929" s="2"/>
    </row>
    <row r="930" spans="4:4" ht="15.75" customHeight="1" x14ac:dyDescent="0.25">
      <c r="D930" s="2"/>
    </row>
    <row r="931" spans="4:4" ht="15.75" customHeight="1" x14ac:dyDescent="0.25">
      <c r="D931" s="2"/>
    </row>
    <row r="932" spans="4:4" ht="15.75" customHeight="1" x14ac:dyDescent="0.25">
      <c r="D932" s="2"/>
    </row>
    <row r="933" spans="4:4" ht="15.75" customHeight="1" x14ac:dyDescent="0.25">
      <c r="D933" s="2"/>
    </row>
    <row r="934" spans="4:4" ht="15.75" customHeight="1" x14ac:dyDescent="0.25">
      <c r="D934" s="2"/>
    </row>
    <row r="935" spans="4:4" ht="15.75" customHeight="1" x14ac:dyDescent="0.25">
      <c r="D935" s="2"/>
    </row>
    <row r="936" spans="4:4" ht="15.75" customHeight="1" x14ac:dyDescent="0.25">
      <c r="D936" s="2"/>
    </row>
    <row r="937" spans="4:4" ht="15.75" customHeight="1" x14ac:dyDescent="0.25">
      <c r="D937" s="2"/>
    </row>
    <row r="938" spans="4:4" ht="15.75" customHeight="1" x14ac:dyDescent="0.25">
      <c r="D938" s="2"/>
    </row>
    <row r="939" spans="4:4" ht="15.75" customHeight="1" x14ac:dyDescent="0.25">
      <c r="D939" s="2"/>
    </row>
    <row r="940" spans="4:4" ht="15.75" customHeight="1" x14ac:dyDescent="0.25">
      <c r="D940" s="2"/>
    </row>
    <row r="941" spans="4:4" ht="15.75" customHeight="1" x14ac:dyDescent="0.25">
      <c r="D941" s="2"/>
    </row>
    <row r="942" spans="4:4" ht="15.75" customHeight="1" x14ac:dyDescent="0.25">
      <c r="D942" s="2"/>
    </row>
    <row r="943" spans="4:4" ht="15.75" customHeight="1" x14ac:dyDescent="0.25">
      <c r="D943" s="2"/>
    </row>
    <row r="944" spans="4:4" ht="15.75" customHeight="1" x14ac:dyDescent="0.25">
      <c r="D944" s="2"/>
    </row>
    <row r="945" spans="4:4" ht="15.75" customHeight="1" x14ac:dyDescent="0.25">
      <c r="D945" s="2"/>
    </row>
    <row r="946" spans="4:4" ht="15.75" customHeight="1" x14ac:dyDescent="0.25">
      <c r="D946" s="2"/>
    </row>
    <row r="947" spans="4:4" ht="15.75" customHeight="1" x14ac:dyDescent="0.25">
      <c r="D947" s="2"/>
    </row>
    <row r="948" spans="4:4" ht="15.75" customHeight="1" x14ac:dyDescent="0.25">
      <c r="D948" s="2"/>
    </row>
    <row r="949" spans="4:4" ht="15.75" customHeight="1" x14ac:dyDescent="0.25">
      <c r="D949" s="2"/>
    </row>
    <row r="950" spans="4:4" ht="15.75" customHeight="1" x14ac:dyDescent="0.25">
      <c r="D950" s="2"/>
    </row>
    <row r="951" spans="4:4" ht="15.75" customHeight="1" x14ac:dyDescent="0.25">
      <c r="D951" s="2"/>
    </row>
    <row r="952" spans="4:4" ht="15.75" customHeight="1" x14ac:dyDescent="0.25">
      <c r="D952" s="2"/>
    </row>
    <row r="953" spans="4:4" ht="15.75" customHeight="1" x14ac:dyDescent="0.25">
      <c r="D953" s="2"/>
    </row>
    <row r="954" spans="4:4" ht="15.75" customHeight="1" x14ac:dyDescent="0.25">
      <c r="D954" s="2"/>
    </row>
    <row r="955" spans="4:4" ht="15.75" customHeight="1" x14ac:dyDescent="0.25">
      <c r="D955" s="2"/>
    </row>
    <row r="956" spans="4:4" ht="15.75" customHeight="1" x14ac:dyDescent="0.25">
      <c r="D956" s="2"/>
    </row>
    <row r="957" spans="4:4" ht="15.75" customHeight="1" x14ac:dyDescent="0.25">
      <c r="D957" s="2"/>
    </row>
    <row r="958" spans="4:4" ht="15.75" customHeight="1" x14ac:dyDescent="0.25">
      <c r="D958" s="2"/>
    </row>
    <row r="959" spans="4:4" ht="15.75" customHeight="1" x14ac:dyDescent="0.25">
      <c r="D959" s="2"/>
    </row>
    <row r="960" spans="4:4" ht="15.75" customHeight="1" x14ac:dyDescent="0.25">
      <c r="D960" s="2"/>
    </row>
    <row r="961" spans="4:4" ht="15.75" customHeight="1" x14ac:dyDescent="0.25">
      <c r="D961" s="2"/>
    </row>
    <row r="962" spans="4:4" ht="15.75" customHeight="1" x14ac:dyDescent="0.25">
      <c r="D962" s="2"/>
    </row>
    <row r="963" spans="4:4" ht="15.75" customHeight="1" x14ac:dyDescent="0.25">
      <c r="D963" s="2"/>
    </row>
    <row r="964" spans="4:4" ht="15.75" customHeight="1" x14ac:dyDescent="0.25">
      <c r="D964" s="2"/>
    </row>
    <row r="965" spans="4:4" ht="15.75" customHeight="1" x14ac:dyDescent="0.25">
      <c r="D965" s="2"/>
    </row>
    <row r="966" spans="4:4" ht="15.75" customHeight="1" x14ac:dyDescent="0.25">
      <c r="D966" s="2"/>
    </row>
    <row r="967" spans="4:4" ht="15.75" customHeight="1" x14ac:dyDescent="0.25">
      <c r="D967" s="2"/>
    </row>
    <row r="968" spans="4:4" ht="15.75" customHeight="1" x14ac:dyDescent="0.25">
      <c r="D968" s="2"/>
    </row>
    <row r="969" spans="4:4" ht="15.75" customHeight="1" x14ac:dyDescent="0.25">
      <c r="D969" s="2"/>
    </row>
    <row r="970" spans="4:4" ht="15.75" customHeight="1" x14ac:dyDescent="0.25">
      <c r="D970" s="2"/>
    </row>
    <row r="971" spans="4:4" ht="15.75" customHeight="1" x14ac:dyDescent="0.25">
      <c r="D971" s="2"/>
    </row>
    <row r="972" spans="4:4" ht="15.75" customHeight="1" x14ac:dyDescent="0.25">
      <c r="D972" s="2"/>
    </row>
    <row r="973" spans="4:4" ht="15.75" customHeight="1" x14ac:dyDescent="0.25">
      <c r="D973" s="2"/>
    </row>
    <row r="974" spans="4:4" ht="15.75" customHeight="1" x14ac:dyDescent="0.25">
      <c r="D974" s="2"/>
    </row>
    <row r="975" spans="4:4" ht="15.75" customHeight="1" x14ac:dyDescent="0.25">
      <c r="D975" s="2"/>
    </row>
    <row r="976" spans="4:4" ht="15.75" customHeight="1" x14ac:dyDescent="0.25">
      <c r="D976" s="2"/>
    </row>
    <row r="977" spans="4:4" ht="15.75" customHeight="1" x14ac:dyDescent="0.25">
      <c r="D977" s="2"/>
    </row>
    <row r="978" spans="4:4" ht="15.75" customHeight="1" x14ac:dyDescent="0.25">
      <c r="D978" s="2"/>
    </row>
    <row r="979" spans="4:4" ht="15.75" customHeight="1" x14ac:dyDescent="0.25">
      <c r="D979" s="2"/>
    </row>
    <row r="980" spans="4:4" ht="15.75" customHeight="1" x14ac:dyDescent="0.25">
      <c r="D980" s="2"/>
    </row>
    <row r="981" spans="4:4" ht="15.75" customHeight="1" x14ac:dyDescent="0.25">
      <c r="D981" s="2"/>
    </row>
    <row r="982" spans="4:4" ht="15.75" customHeight="1" x14ac:dyDescent="0.25">
      <c r="D982" s="2"/>
    </row>
    <row r="983" spans="4:4" ht="15.75" customHeight="1" x14ac:dyDescent="0.25">
      <c r="D983" s="2"/>
    </row>
    <row r="984" spans="4:4" ht="15.75" customHeight="1" x14ac:dyDescent="0.25">
      <c r="D984" s="2"/>
    </row>
    <row r="985" spans="4:4" ht="15.75" customHeight="1" x14ac:dyDescent="0.25">
      <c r="D985" s="2"/>
    </row>
    <row r="986" spans="4:4" ht="15.75" customHeight="1" x14ac:dyDescent="0.25">
      <c r="D986" s="2"/>
    </row>
    <row r="987" spans="4:4" ht="15.75" customHeight="1" x14ac:dyDescent="0.25">
      <c r="D987" s="2"/>
    </row>
    <row r="988" spans="4:4" ht="15.75" customHeight="1" x14ac:dyDescent="0.25">
      <c r="D988" s="2"/>
    </row>
    <row r="989" spans="4:4" ht="15.75" customHeight="1" x14ac:dyDescent="0.25">
      <c r="D989" s="2"/>
    </row>
    <row r="990" spans="4:4" ht="15.75" customHeight="1" x14ac:dyDescent="0.25">
      <c r="D990" s="2"/>
    </row>
    <row r="991" spans="4:4" ht="15.75" customHeight="1" x14ac:dyDescent="0.25">
      <c r="D991" s="2"/>
    </row>
    <row r="992" spans="4:4" ht="15.75" customHeight="1" x14ac:dyDescent="0.25">
      <c r="D992" s="2"/>
    </row>
    <row r="993" spans="4:4" ht="15.75" customHeight="1" x14ac:dyDescent="0.25">
      <c r="D993" s="2"/>
    </row>
    <row r="994" spans="4:4" ht="15.75" customHeight="1" x14ac:dyDescent="0.25">
      <c r="D994" s="2"/>
    </row>
    <row r="995" spans="4:4" ht="15.75" customHeight="1" x14ac:dyDescent="0.25">
      <c r="D995" s="2"/>
    </row>
    <row r="996" spans="4:4" ht="15.75" customHeight="1" x14ac:dyDescent="0.25">
      <c r="D996" s="2"/>
    </row>
    <row r="997" spans="4:4" ht="15.75" customHeight="1" x14ac:dyDescent="0.25">
      <c r="D997" s="2"/>
    </row>
    <row r="998" spans="4:4" ht="15.75" customHeight="1" x14ac:dyDescent="0.25">
      <c r="D998" s="2"/>
    </row>
    <row r="999" spans="4:4" ht="15.75" customHeight="1" x14ac:dyDescent="0.25">
      <c r="D999" s="2"/>
    </row>
    <row r="1000" spans="4:4" ht="15.75" customHeight="1" x14ac:dyDescent="0.25">
      <c r="D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1.25" defaultRowHeight="15" customHeight="1" x14ac:dyDescent="0.25"/>
  <cols>
    <col min="1" max="1" width="50.25" customWidth="1"/>
    <col min="2" max="26" width="8" customWidth="1"/>
  </cols>
  <sheetData>
    <row r="1" spans="1:9" ht="15.75" customHeight="1" x14ac:dyDescent="0.25">
      <c r="A1" s="1" t="s">
        <v>584</v>
      </c>
      <c r="F1" s="7" t="s">
        <v>585</v>
      </c>
      <c r="H1" s="1" t="s">
        <v>248</v>
      </c>
      <c r="I1" s="1" t="str">
        <f t="shared" ref="I1:I66" si="0">CONCATENATE(H1,61)</f>
        <v>6NC4JK4RQ6261</v>
      </c>
    </row>
    <row r="2" spans="1:9" ht="15.75" customHeight="1" x14ac:dyDescent="0.25">
      <c r="A2" s="1" t="s">
        <v>586</v>
      </c>
      <c r="B2" s="1" t="s">
        <v>587</v>
      </c>
      <c r="C2" s="1" t="str">
        <f t="shared" ref="C2:C63" si="1">CONCATENATE(A2," ",B2)</f>
        <v>JONES BUSTER</v>
      </c>
      <c r="F2" s="7" t="s">
        <v>588</v>
      </c>
      <c r="H2" s="1" t="s">
        <v>218</v>
      </c>
      <c r="I2" s="1" t="str">
        <f t="shared" si="0"/>
        <v>2VA8CC7UT4361</v>
      </c>
    </row>
    <row r="3" spans="1:9" ht="15.75" customHeight="1" x14ac:dyDescent="0.25">
      <c r="A3" s="1" t="s">
        <v>589</v>
      </c>
      <c r="B3" s="1" t="s">
        <v>590</v>
      </c>
      <c r="C3" s="1" t="str">
        <f t="shared" si="1"/>
        <v>TONER HARRY</v>
      </c>
      <c r="F3" s="7" t="s">
        <v>591</v>
      </c>
      <c r="H3" s="1" t="s">
        <v>222</v>
      </c>
      <c r="I3" s="1" t="str">
        <f t="shared" si="0"/>
        <v>2N96KF3QR5161</v>
      </c>
    </row>
    <row r="4" spans="1:9" ht="15.75" customHeight="1" x14ac:dyDescent="0.25">
      <c r="A4" s="1" t="s">
        <v>592</v>
      </c>
      <c r="B4" s="1" t="s">
        <v>593</v>
      </c>
      <c r="C4" s="1" t="str">
        <f t="shared" si="1"/>
        <v>AMMON LOIS</v>
      </c>
      <c r="F4" s="7" t="s">
        <v>594</v>
      </c>
      <c r="H4" s="1" t="s">
        <v>229</v>
      </c>
      <c r="I4" s="1" t="str">
        <f t="shared" si="0"/>
        <v>5K92A66AW2561</v>
      </c>
    </row>
    <row r="5" spans="1:9" ht="15.75" customHeight="1" x14ac:dyDescent="0.25">
      <c r="A5" s="1" t="s">
        <v>595</v>
      </c>
      <c r="B5" s="1" t="s">
        <v>596</v>
      </c>
      <c r="C5" s="1" t="str">
        <f t="shared" si="1"/>
        <v>ANDERSON SANDRA</v>
      </c>
      <c r="F5" s="7" t="s">
        <v>597</v>
      </c>
      <c r="H5" s="1" t="s">
        <v>231</v>
      </c>
      <c r="I5" s="1" t="str">
        <f t="shared" si="0"/>
        <v>7UC3TP3YG0561</v>
      </c>
    </row>
    <row r="6" spans="1:9" ht="15.75" customHeight="1" x14ac:dyDescent="0.25">
      <c r="A6" s="1" t="s">
        <v>598</v>
      </c>
      <c r="B6" s="1" t="s">
        <v>599</v>
      </c>
      <c r="C6" s="1" t="str">
        <f t="shared" si="1"/>
        <v>BAKER TERRE</v>
      </c>
      <c r="F6" s="7" t="s">
        <v>600</v>
      </c>
      <c r="H6" s="1" t="s">
        <v>233</v>
      </c>
      <c r="I6" s="1" t="str">
        <f t="shared" si="0"/>
        <v>1Q02R16AE0161</v>
      </c>
    </row>
    <row r="7" spans="1:9" ht="15.75" customHeight="1" x14ac:dyDescent="0.25">
      <c r="A7" s="1" t="s">
        <v>601</v>
      </c>
      <c r="B7" s="1" t="s">
        <v>602</v>
      </c>
      <c r="C7" s="1" t="str">
        <f t="shared" si="1"/>
        <v>BECK CLAUDE</v>
      </c>
      <c r="F7" s="7" t="s">
        <v>603</v>
      </c>
      <c r="H7" s="1" t="s">
        <v>240</v>
      </c>
      <c r="I7" s="1" t="str">
        <f t="shared" si="0"/>
        <v>6H91V21TX0661</v>
      </c>
    </row>
    <row r="8" spans="1:9" ht="15.75" customHeight="1" x14ac:dyDescent="0.25">
      <c r="A8" s="1" t="s">
        <v>604</v>
      </c>
      <c r="B8" s="1" t="s">
        <v>605</v>
      </c>
      <c r="C8" s="1" t="str">
        <f t="shared" si="1"/>
        <v>BELCHER EDWARD</v>
      </c>
      <c r="F8" s="7" t="s">
        <v>606</v>
      </c>
      <c r="H8" s="1" t="s">
        <v>242</v>
      </c>
      <c r="I8" s="1" t="str">
        <f t="shared" si="0"/>
        <v>9EC7PU1AK5761</v>
      </c>
    </row>
    <row r="9" spans="1:9" ht="15.75" customHeight="1" x14ac:dyDescent="0.25">
      <c r="A9" s="1" t="s">
        <v>607</v>
      </c>
      <c r="B9" s="1" t="s">
        <v>608</v>
      </c>
      <c r="C9" s="1" t="str">
        <f t="shared" si="1"/>
        <v>BERENDZEN MICHAEL</v>
      </c>
      <c r="F9" s="7" t="s">
        <v>609</v>
      </c>
      <c r="H9" s="1" t="s">
        <v>244</v>
      </c>
      <c r="I9" s="1" t="str">
        <f t="shared" si="0"/>
        <v>3CU4YC4TU7961</v>
      </c>
    </row>
    <row r="10" spans="1:9" ht="15.75" customHeight="1" x14ac:dyDescent="0.25">
      <c r="A10" s="1" t="s">
        <v>610</v>
      </c>
      <c r="B10" s="1" t="s">
        <v>611</v>
      </c>
      <c r="C10" s="1" t="str">
        <f t="shared" si="1"/>
        <v>BERGER MARY</v>
      </c>
      <c r="F10" s="7" t="s">
        <v>612</v>
      </c>
      <c r="H10" s="1" t="s">
        <v>246</v>
      </c>
      <c r="I10" s="1" t="str">
        <f t="shared" si="0"/>
        <v>5N67NX5ER4061</v>
      </c>
    </row>
    <row r="11" spans="1:9" ht="15.75" customHeight="1" x14ac:dyDescent="0.25">
      <c r="A11" s="1" t="s">
        <v>613</v>
      </c>
      <c r="B11" s="1" t="s">
        <v>608</v>
      </c>
      <c r="C11" s="1" t="str">
        <f t="shared" si="1"/>
        <v>BLOSTEIN MICHAEL</v>
      </c>
      <c r="F11" s="7" t="s">
        <v>614</v>
      </c>
      <c r="H11" s="1" t="s">
        <v>225</v>
      </c>
      <c r="I11" s="1" t="str">
        <f t="shared" si="0"/>
        <v>2DQ9GQ5RM2961</v>
      </c>
    </row>
    <row r="12" spans="1:9" ht="15.75" customHeight="1" x14ac:dyDescent="0.25">
      <c r="A12" s="1" t="s">
        <v>615</v>
      </c>
      <c r="B12" s="1" t="s">
        <v>616</v>
      </c>
      <c r="C12" s="1" t="str">
        <f t="shared" si="1"/>
        <v>BOTT THOMAS</v>
      </c>
      <c r="F12" s="7" t="s">
        <v>617</v>
      </c>
      <c r="H12" s="1" t="s">
        <v>227</v>
      </c>
      <c r="I12" s="1" t="str">
        <f t="shared" si="0"/>
        <v>4GW9W30PQ0061</v>
      </c>
    </row>
    <row r="13" spans="1:9" ht="15.75" customHeight="1" x14ac:dyDescent="0.25">
      <c r="A13" s="1" t="s">
        <v>618</v>
      </c>
      <c r="B13" s="1" t="s">
        <v>619</v>
      </c>
      <c r="C13" s="1" t="str">
        <f t="shared" si="1"/>
        <v>BROWN CINDY</v>
      </c>
      <c r="F13" s="7" t="s">
        <v>620</v>
      </c>
      <c r="H13" s="1" t="s">
        <v>235</v>
      </c>
      <c r="I13" s="1" t="str">
        <f t="shared" si="0"/>
        <v>9V87W77WW4461</v>
      </c>
    </row>
    <row r="14" spans="1:9" ht="15.75" customHeight="1" x14ac:dyDescent="0.25">
      <c r="A14" s="1" t="s">
        <v>618</v>
      </c>
      <c r="B14" s="1" t="s">
        <v>621</v>
      </c>
      <c r="C14" s="1" t="str">
        <f t="shared" si="1"/>
        <v>BROWN JEFFREY</v>
      </c>
      <c r="F14" s="7" t="s">
        <v>622</v>
      </c>
      <c r="H14" s="1" t="s">
        <v>237</v>
      </c>
      <c r="I14" s="1" t="str">
        <f t="shared" si="0"/>
        <v>9JR5QQ6CD6461</v>
      </c>
    </row>
    <row r="15" spans="1:9" ht="15.75" customHeight="1" x14ac:dyDescent="0.25">
      <c r="A15" s="1" t="s">
        <v>623</v>
      </c>
      <c r="B15" s="1" t="s">
        <v>624</v>
      </c>
      <c r="C15" s="1" t="str">
        <f t="shared" si="1"/>
        <v>BURGH DONNA</v>
      </c>
      <c r="F15" s="7" t="s">
        <v>625</v>
      </c>
      <c r="H15" s="1" t="s">
        <v>250</v>
      </c>
      <c r="I15" s="1" t="str">
        <f t="shared" si="0"/>
        <v>2XH9Y99CV1161</v>
      </c>
    </row>
    <row r="16" spans="1:9" ht="15.75" customHeight="1" x14ac:dyDescent="0.25">
      <c r="A16" s="1" t="s">
        <v>626</v>
      </c>
      <c r="B16" s="1" t="s">
        <v>627</v>
      </c>
      <c r="C16" s="1" t="str">
        <f t="shared" si="1"/>
        <v>BURNS JOHN</v>
      </c>
      <c r="F16" s="7" t="s">
        <v>628</v>
      </c>
      <c r="H16" s="1" t="s">
        <v>277</v>
      </c>
      <c r="I16" s="1" t="str">
        <f t="shared" si="0"/>
        <v>6KJ4QN3YM6561</v>
      </c>
    </row>
    <row r="17" spans="1:9" ht="15.75" customHeight="1" x14ac:dyDescent="0.25">
      <c r="A17" s="1" t="s">
        <v>629</v>
      </c>
      <c r="B17" s="1" t="s">
        <v>630</v>
      </c>
      <c r="C17" s="1" t="str">
        <f t="shared" si="1"/>
        <v>BYRON DEBORA</v>
      </c>
      <c r="F17" s="7" t="s">
        <v>631</v>
      </c>
      <c r="H17" s="1" t="s">
        <v>252</v>
      </c>
      <c r="I17" s="1" t="str">
        <f t="shared" si="0"/>
        <v>2JX9P33CW4461</v>
      </c>
    </row>
    <row r="18" spans="1:9" ht="15.75" customHeight="1" x14ac:dyDescent="0.25">
      <c r="A18" s="1" t="s">
        <v>632</v>
      </c>
      <c r="B18" s="1" t="s">
        <v>627</v>
      </c>
      <c r="C18" s="1" t="str">
        <f t="shared" si="1"/>
        <v>CAPELLA JOHN</v>
      </c>
      <c r="F18" s="7" t="s">
        <v>633</v>
      </c>
      <c r="H18" s="1" t="s">
        <v>257</v>
      </c>
      <c r="I18" s="1" t="str">
        <f t="shared" si="0"/>
        <v>5KE1VF1PT3661</v>
      </c>
    </row>
    <row r="19" spans="1:9" ht="15.75" customHeight="1" x14ac:dyDescent="0.25">
      <c r="A19" s="1" t="s">
        <v>634</v>
      </c>
      <c r="B19" s="1" t="s">
        <v>635</v>
      </c>
      <c r="C19" s="1" t="str">
        <f t="shared" si="1"/>
        <v>CARRIGAN LINDA</v>
      </c>
      <c r="F19" s="7" t="s">
        <v>636</v>
      </c>
      <c r="H19" s="1" t="s">
        <v>259</v>
      </c>
      <c r="I19" s="1" t="str">
        <f t="shared" si="0"/>
        <v>7MY8TU2AM2761</v>
      </c>
    </row>
    <row r="20" spans="1:9" ht="15.75" customHeight="1" x14ac:dyDescent="0.25">
      <c r="A20" s="1" t="s">
        <v>637</v>
      </c>
      <c r="B20" s="1" t="s">
        <v>638</v>
      </c>
      <c r="C20" s="1" t="str">
        <f t="shared" si="1"/>
        <v>CHIAFFA JOSEPH</v>
      </c>
      <c r="F20" s="7" t="s">
        <v>639</v>
      </c>
      <c r="H20" s="1" t="s">
        <v>261</v>
      </c>
      <c r="I20" s="1" t="str">
        <f t="shared" si="0"/>
        <v>4Y98ET4QH6461</v>
      </c>
    </row>
    <row r="21" spans="1:9" ht="15.75" customHeight="1" x14ac:dyDescent="0.25">
      <c r="A21" s="1" t="s">
        <v>637</v>
      </c>
      <c r="B21" s="1" t="s">
        <v>616</v>
      </c>
      <c r="C21" s="1" t="str">
        <f t="shared" si="1"/>
        <v>CHIAFFA THOMAS</v>
      </c>
      <c r="F21" s="7" t="s">
        <v>640</v>
      </c>
      <c r="H21" s="1" t="s">
        <v>263</v>
      </c>
      <c r="I21" s="1" t="str">
        <f t="shared" si="0"/>
        <v>5FR6QA5TP5361</v>
      </c>
    </row>
    <row r="22" spans="1:9" ht="15.75" customHeight="1" x14ac:dyDescent="0.25">
      <c r="A22" s="1" t="s">
        <v>641</v>
      </c>
      <c r="B22" s="1" t="s">
        <v>642</v>
      </c>
      <c r="C22" s="1" t="str">
        <f t="shared" si="1"/>
        <v>CHRISTY SUE</v>
      </c>
      <c r="F22" s="7" t="s">
        <v>643</v>
      </c>
      <c r="H22" s="1" t="s">
        <v>266</v>
      </c>
      <c r="I22" s="1" t="str">
        <f t="shared" si="0"/>
        <v>3QR6QH7QP5361</v>
      </c>
    </row>
    <row r="23" spans="1:9" ht="15.75" customHeight="1" x14ac:dyDescent="0.25">
      <c r="A23" s="1" t="s">
        <v>641</v>
      </c>
      <c r="B23" s="1" t="s">
        <v>644</v>
      </c>
      <c r="C23" s="1" t="str">
        <f t="shared" si="1"/>
        <v>CHRISTY ALICE</v>
      </c>
      <c r="F23" s="7" t="s">
        <v>645</v>
      </c>
      <c r="H23" s="1" t="s">
        <v>268</v>
      </c>
      <c r="I23" s="1" t="str">
        <f t="shared" si="0"/>
        <v>3VC0G14MV1661</v>
      </c>
    </row>
    <row r="24" spans="1:9" ht="15.75" customHeight="1" x14ac:dyDescent="0.25">
      <c r="A24" s="1" t="s">
        <v>641</v>
      </c>
      <c r="B24" s="1" t="s">
        <v>646</v>
      </c>
      <c r="C24" s="1" t="str">
        <f t="shared" si="1"/>
        <v>CHRISTY ROBERT</v>
      </c>
      <c r="F24" s="7" t="s">
        <v>647</v>
      </c>
      <c r="H24" s="1" t="s">
        <v>272</v>
      </c>
      <c r="I24" s="1" t="str">
        <f t="shared" si="0"/>
        <v>5AG6K45YT4061</v>
      </c>
    </row>
    <row r="25" spans="1:9" ht="15.75" customHeight="1" x14ac:dyDescent="0.25">
      <c r="A25" s="1" t="s">
        <v>648</v>
      </c>
      <c r="B25" s="1" t="s">
        <v>649</v>
      </c>
      <c r="C25" s="1" t="str">
        <f t="shared" si="1"/>
        <v>CLAYTON ROGER</v>
      </c>
      <c r="F25" s="7" t="s">
        <v>650</v>
      </c>
      <c r="H25" s="1" t="s">
        <v>275</v>
      </c>
      <c r="I25" s="1" t="str">
        <f t="shared" si="0"/>
        <v>4CJ4TD9KH8261</v>
      </c>
    </row>
    <row r="26" spans="1:9" ht="15.75" customHeight="1" x14ac:dyDescent="0.25">
      <c r="A26" s="1" t="s">
        <v>651</v>
      </c>
      <c r="B26" s="1" t="s">
        <v>652</v>
      </c>
      <c r="C26" s="1" t="str">
        <f t="shared" si="1"/>
        <v>CLINGENSMITH ROXANNE</v>
      </c>
      <c r="F26" s="7" t="s">
        <v>653</v>
      </c>
      <c r="H26" s="1" t="s">
        <v>280</v>
      </c>
      <c r="I26" s="1" t="str">
        <f t="shared" si="0"/>
        <v>4FV4TW7KE7861</v>
      </c>
    </row>
    <row r="27" spans="1:9" ht="15.75" customHeight="1" x14ac:dyDescent="0.25">
      <c r="A27" s="1" t="s">
        <v>654</v>
      </c>
      <c r="B27" s="1" t="s">
        <v>655</v>
      </c>
      <c r="C27" s="1" t="str">
        <f t="shared" si="1"/>
        <v>CLOUSE RICHARD</v>
      </c>
      <c r="F27" s="7" t="s">
        <v>656</v>
      </c>
      <c r="H27" s="1" t="s">
        <v>282</v>
      </c>
      <c r="I27" s="1" t="str">
        <f t="shared" si="0"/>
        <v>3AX6GM0GD5961</v>
      </c>
    </row>
    <row r="28" spans="1:9" ht="15.75" customHeight="1" x14ac:dyDescent="0.25">
      <c r="A28" s="1" t="s">
        <v>657</v>
      </c>
      <c r="B28" s="1" t="s">
        <v>658</v>
      </c>
      <c r="C28" s="1" t="str">
        <f t="shared" si="1"/>
        <v>CONNERS LISA</v>
      </c>
      <c r="F28" s="7" t="s">
        <v>659</v>
      </c>
      <c r="H28" s="1" t="s">
        <v>285</v>
      </c>
      <c r="I28" s="1" t="str">
        <f t="shared" si="0"/>
        <v>8HK8P00WQ2961</v>
      </c>
    </row>
    <row r="29" spans="1:9" ht="15.75" customHeight="1" x14ac:dyDescent="0.25">
      <c r="A29" s="1" t="s">
        <v>660</v>
      </c>
      <c r="B29" s="1" t="s">
        <v>661</v>
      </c>
      <c r="C29" s="1" t="str">
        <f t="shared" si="1"/>
        <v>DASCH MARSHA</v>
      </c>
      <c r="F29" s="7" t="s">
        <v>662</v>
      </c>
      <c r="H29" s="1" t="s">
        <v>288</v>
      </c>
      <c r="I29" s="1" t="str">
        <f t="shared" si="0"/>
        <v>7H43TQ0FE7661</v>
      </c>
    </row>
    <row r="30" spans="1:9" ht="15.75" customHeight="1" x14ac:dyDescent="0.25">
      <c r="A30" s="1" t="s">
        <v>663</v>
      </c>
      <c r="B30" s="1" t="s">
        <v>664</v>
      </c>
      <c r="C30" s="1" t="str">
        <f t="shared" si="1"/>
        <v>DAUGHERTY HIAWATHA</v>
      </c>
      <c r="F30" s="7" t="s">
        <v>665</v>
      </c>
      <c r="H30" s="1" t="s">
        <v>290</v>
      </c>
      <c r="I30" s="1" t="str">
        <f t="shared" si="0"/>
        <v>9T45JT0NC6461</v>
      </c>
    </row>
    <row r="31" spans="1:9" ht="15.75" customHeight="1" x14ac:dyDescent="0.25">
      <c r="A31" s="1" t="s">
        <v>666</v>
      </c>
      <c r="B31" s="1" t="s">
        <v>667</v>
      </c>
      <c r="C31" s="1" t="str">
        <f t="shared" si="1"/>
        <v>DAVIS TAMMIE</v>
      </c>
      <c r="F31" s="7" t="s">
        <v>668</v>
      </c>
      <c r="H31" s="1" t="s">
        <v>293</v>
      </c>
      <c r="I31" s="1" t="str">
        <f t="shared" si="0"/>
        <v>4FJ2EF8QV1161</v>
      </c>
    </row>
    <row r="32" spans="1:9" ht="15.75" customHeight="1" x14ac:dyDescent="0.25">
      <c r="A32" s="1" t="s">
        <v>666</v>
      </c>
      <c r="B32" s="1" t="s">
        <v>669</v>
      </c>
      <c r="C32" s="1" t="str">
        <f t="shared" si="1"/>
        <v>DAVIS JAYE</v>
      </c>
      <c r="F32" s="7" t="s">
        <v>670</v>
      </c>
      <c r="H32" s="1" t="s">
        <v>296</v>
      </c>
      <c r="I32" s="1" t="str">
        <f t="shared" si="0"/>
        <v>8K29XN8YE1461</v>
      </c>
    </row>
    <row r="33" spans="1:9" ht="15.75" customHeight="1" x14ac:dyDescent="0.25">
      <c r="A33" s="1" t="s">
        <v>671</v>
      </c>
      <c r="B33" s="1" t="s">
        <v>672</v>
      </c>
      <c r="C33" s="1" t="str">
        <f t="shared" si="1"/>
        <v>DESMOND CAROL</v>
      </c>
      <c r="F33" s="7" t="s">
        <v>673</v>
      </c>
      <c r="H33" s="1" t="s">
        <v>299</v>
      </c>
      <c r="I33" s="1" t="str">
        <f t="shared" si="0"/>
        <v>7GQ1TM5VV3761</v>
      </c>
    </row>
    <row r="34" spans="1:9" ht="15.75" customHeight="1" x14ac:dyDescent="0.25">
      <c r="A34" s="1" t="s">
        <v>674</v>
      </c>
      <c r="B34" s="1" t="s">
        <v>675</v>
      </c>
      <c r="C34" s="1" t="str">
        <f t="shared" si="1"/>
        <v>DEWEY JAMES</v>
      </c>
      <c r="F34" s="7" t="s">
        <v>676</v>
      </c>
      <c r="H34" s="1" t="s">
        <v>301</v>
      </c>
      <c r="I34" s="1" t="str">
        <f t="shared" si="0"/>
        <v>7TF4K49KN7361</v>
      </c>
    </row>
    <row r="35" spans="1:9" ht="15.75" customHeight="1" x14ac:dyDescent="0.25">
      <c r="A35" s="1" t="s">
        <v>677</v>
      </c>
      <c r="B35" s="1" t="s">
        <v>678</v>
      </c>
      <c r="C35" s="1" t="str">
        <f t="shared" si="1"/>
        <v>DILORENZO MARIA</v>
      </c>
      <c r="F35" s="7" t="s">
        <v>679</v>
      </c>
      <c r="H35" s="1" t="s">
        <v>306</v>
      </c>
      <c r="I35" s="1" t="str">
        <f t="shared" si="0"/>
        <v>5M43G51DH0961</v>
      </c>
    </row>
    <row r="36" spans="1:9" ht="15.75" customHeight="1" x14ac:dyDescent="0.25">
      <c r="A36" s="1" t="s">
        <v>677</v>
      </c>
      <c r="B36" s="1" t="s">
        <v>680</v>
      </c>
      <c r="C36" s="1" t="str">
        <f t="shared" si="1"/>
        <v>DILORENZO NICOLA</v>
      </c>
      <c r="F36" s="7" t="s">
        <v>681</v>
      </c>
      <c r="H36" s="1" t="s">
        <v>314</v>
      </c>
      <c r="I36" s="1" t="str">
        <f t="shared" si="0"/>
        <v>9NF3JP6CV7961</v>
      </c>
    </row>
    <row r="37" spans="1:9" ht="15.75" customHeight="1" x14ac:dyDescent="0.25">
      <c r="A37" s="1" t="s">
        <v>682</v>
      </c>
      <c r="B37" s="1" t="s">
        <v>683</v>
      </c>
      <c r="C37" s="1" t="str">
        <f t="shared" si="1"/>
        <v>DIMOCK WILLIAM</v>
      </c>
      <c r="F37" s="7" t="s">
        <v>684</v>
      </c>
      <c r="H37" s="1" t="s">
        <v>316</v>
      </c>
      <c r="I37" s="1" t="str">
        <f t="shared" si="0"/>
        <v>7VA5G43FR6261</v>
      </c>
    </row>
    <row r="38" spans="1:9" ht="15.75" customHeight="1" x14ac:dyDescent="0.25">
      <c r="A38" s="1" t="s">
        <v>685</v>
      </c>
      <c r="B38" s="1" t="s">
        <v>686</v>
      </c>
      <c r="C38" s="1" t="str">
        <f t="shared" si="1"/>
        <v>DOBBS TAMMY</v>
      </c>
      <c r="F38" s="7" t="s">
        <v>687</v>
      </c>
      <c r="H38" s="1" t="s">
        <v>318</v>
      </c>
      <c r="I38" s="1" t="str">
        <f t="shared" si="0"/>
        <v>7RN9G43TX2761</v>
      </c>
    </row>
    <row r="39" spans="1:9" ht="15.75" customHeight="1" x14ac:dyDescent="0.25">
      <c r="A39" s="1" t="s">
        <v>688</v>
      </c>
      <c r="B39" s="1" t="s">
        <v>689</v>
      </c>
      <c r="C39" s="1" t="str">
        <f t="shared" si="1"/>
        <v>DOUBLE JUDITH</v>
      </c>
      <c r="F39" s="7" t="s">
        <v>690</v>
      </c>
      <c r="H39" s="1" t="s">
        <v>320</v>
      </c>
      <c r="I39" s="1" t="str">
        <f t="shared" si="0"/>
        <v>9E70XC3DR0961</v>
      </c>
    </row>
    <row r="40" spans="1:9" ht="15.75" customHeight="1" x14ac:dyDescent="0.25">
      <c r="A40" s="1" t="s">
        <v>688</v>
      </c>
      <c r="B40" s="1" t="s">
        <v>691</v>
      </c>
      <c r="C40" s="1" t="str">
        <f t="shared" si="1"/>
        <v>DOUBLE WAYNE</v>
      </c>
      <c r="F40" s="7" t="s">
        <v>692</v>
      </c>
      <c r="H40" s="1" t="s">
        <v>322</v>
      </c>
      <c r="I40" s="1" t="str">
        <f t="shared" si="0"/>
        <v>5JR6V11RU4761</v>
      </c>
    </row>
    <row r="41" spans="1:9" ht="15.75" customHeight="1" x14ac:dyDescent="0.25">
      <c r="A41" s="1" t="s">
        <v>693</v>
      </c>
      <c r="B41" s="1" t="s">
        <v>694</v>
      </c>
      <c r="C41" s="1" t="str">
        <f t="shared" si="1"/>
        <v>DOUGLAS DARLENE</v>
      </c>
      <c r="F41" s="7" t="s">
        <v>695</v>
      </c>
      <c r="H41" s="1" t="s">
        <v>324</v>
      </c>
      <c r="I41" s="1" t="str">
        <f t="shared" si="0"/>
        <v>7XJ2QK8WP2761</v>
      </c>
    </row>
    <row r="42" spans="1:9" ht="15.75" customHeight="1" x14ac:dyDescent="0.25">
      <c r="A42" s="1" t="s">
        <v>696</v>
      </c>
      <c r="B42" s="1" t="s">
        <v>697</v>
      </c>
      <c r="C42" s="1" t="str">
        <f t="shared" si="1"/>
        <v>DUESPOHL DONALD</v>
      </c>
      <c r="F42" s="7" t="s">
        <v>698</v>
      </c>
      <c r="H42" s="1" t="s">
        <v>326</v>
      </c>
      <c r="I42" s="1" t="str">
        <f t="shared" si="0"/>
        <v>8CE5CW9PF7661</v>
      </c>
    </row>
    <row r="43" spans="1:9" ht="15.75" customHeight="1" x14ac:dyDescent="0.25">
      <c r="A43" s="1" t="s">
        <v>696</v>
      </c>
      <c r="B43" s="1" t="s">
        <v>635</v>
      </c>
      <c r="C43" s="1" t="str">
        <f t="shared" si="1"/>
        <v>DUESPOHL LINDA</v>
      </c>
      <c r="F43" s="7" t="s">
        <v>699</v>
      </c>
      <c r="H43" s="1" t="s">
        <v>328</v>
      </c>
      <c r="I43" s="1" t="str">
        <f t="shared" si="0"/>
        <v>4DC8AA6MU4561</v>
      </c>
    </row>
    <row r="44" spans="1:9" ht="15.75" customHeight="1" x14ac:dyDescent="0.25">
      <c r="A44" s="1" t="s">
        <v>700</v>
      </c>
      <c r="B44" s="1" t="s">
        <v>701</v>
      </c>
      <c r="C44" s="1" t="str">
        <f t="shared" si="1"/>
        <v>DULSKI LORETTA</v>
      </c>
      <c r="F44" s="7" t="s">
        <v>702</v>
      </c>
      <c r="H44" s="1" t="s">
        <v>330</v>
      </c>
      <c r="I44" s="1" t="str">
        <f t="shared" si="0"/>
        <v>7DY7CF1WG5361</v>
      </c>
    </row>
    <row r="45" spans="1:9" ht="15.75" customHeight="1" x14ac:dyDescent="0.25">
      <c r="A45" s="1" t="s">
        <v>703</v>
      </c>
      <c r="B45" s="1" t="s">
        <v>704</v>
      </c>
      <c r="C45" s="1" t="str">
        <f t="shared" si="1"/>
        <v>EVERS LYDIA</v>
      </c>
      <c r="F45" s="7" t="s">
        <v>705</v>
      </c>
      <c r="H45" s="1" t="s">
        <v>335</v>
      </c>
      <c r="I45" s="1" t="str">
        <f t="shared" si="0"/>
        <v>3UV4H90AA7561</v>
      </c>
    </row>
    <row r="46" spans="1:9" ht="15.75" customHeight="1" x14ac:dyDescent="0.25">
      <c r="A46" s="1" t="s">
        <v>706</v>
      </c>
      <c r="B46" s="1" t="s">
        <v>707</v>
      </c>
      <c r="C46" s="1" t="str">
        <f t="shared" si="1"/>
        <v>FEND DENA</v>
      </c>
      <c r="F46" s="7" t="s">
        <v>708</v>
      </c>
      <c r="H46" s="1" t="s">
        <v>339</v>
      </c>
      <c r="I46" s="1" t="str">
        <f t="shared" si="0"/>
        <v>3GF8UP3QG3061</v>
      </c>
    </row>
    <row r="47" spans="1:9" ht="15.75" customHeight="1" x14ac:dyDescent="0.25">
      <c r="A47" s="1" t="s">
        <v>709</v>
      </c>
      <c r="B47" s="1" t="s">
        <v>608</v>
      </c>
      <c r="C47" s="1" t="str">
        <f t="shared" si="1"/>
        <v>FLOYD MICHAEL</v>
      </c>
      <c r="F47" s="7" t="s">
        <v>710</v>
      </c>
      <c r="H47" s="1" t="s">
        <v>341</v>
      </c>
      <c r="I47" s="1" t="str">
        <f t="shared" si="0"/>
        <v>6FW9NY2KD1861</v>
      </c>
    </row>
    <row r="48" spans="1:9" ht="15.75" customHeight="1" x14ac:dyDescent="0.25">
      <c r="A48" s="1" t="s">
        <v>709</v>
      </c>
      <c r="B48" s="1" t="s">
        <v>711</v>
      </c>
      <c r="C48" s="1" t="str">
        <f t="shared" si="1"/>
        <v>FLOYD BARBARA</v>
      </c>
      <c r="F48" s="7" t="s">
        <v>712</v>
      </c>
      <c r="H48" s="1" t="s">
        <v>343</v>
      </c>
      <c r="I48" s="1" t="str">
        <f t="shared" si="0"/>
        <v>4HW4F79VE7961</v>
      </c>
    </row>
    <row r="49" spans="1:9" ht="15.75" customHeight="1" x14ac:dyDescent="0.25">
      <c r="A49" s="1" t="s">
        <v>713</v>
      </c>
      <c r="B49" s="1" t="s">
        <v>714</v>
      </c>
      <c r="C49" s="1" t="str">
        <f t="shared" si="1"/>
        <v>FOLTZ KATHERINE</v>
      </c>
      <c r="F49" s="7" t="s">
        <v>715</v>
      </c>
      <c r="H49" s="1" t="s">
        <v>345</v>
      </c>
      <c r="I49" s="1" t="str">
        <f t="shared" si="0"/>
        <v>9J40Y16AP0461</v>
      </c>
    </row>
    <row r="50" spans="1:9" ht="15.75" customHeight="1" x14ac:dyDescent="0.25">
      <c r="A50" s="1" t="s">
        <v>716</v>
      </c>
      <c r="B50" s="1" t="s">
        <v>697</v>
      </c>
      <c r="C50" s="1" t="str">
        <f t="shared" si="1"/>
        <v>GAISER DONALD</v>
      </c>
      <c r="F50" s="7" t="s">
        <v>717</v>
      </c>
      <c r="H50" s="1" t="s">
        <v>349</v>
      </c>
      <c r="I50" s="1" t="str">
        <f t="shared" si="0"/>
        <v>5G76K59JP5761</v>
      </c>
    </row>
    <row r="51" spans="1:9" ht="15.75" customHeight="1" x14ac:dyDescent="0.25">
      <c r="A51" s="1" t="s">
        <v>718</v>
      </c>
      <c r="B51" s="1" t="s">
        <v>719</v>
      </c>
      <c r="C51" s="1" t="str">
        <f t="shared" si="1"/>
        <v>GALKO ANITA</v>
      </c>
      <c r="F51" s="7" t="s">
        <v>720</v>
      </c>
      <c r="H51" s="1" t="s">
        <v>352</v>
      </c>
      <c r="I51" s="1" t="str">
        <f t="shared" si="0"/>
        <v>1XF4JV0VR8661</v>
      </c>
    </row>
    <row r="52" spans="1:9" ht="15.75" customHeight="1" x14ac:dyDescent="0.25">
      <c r="A52" s="1" t="s">
        <v>721</v>
      </c>
      <c r="B52" s="1" t="s">
        <v>694</v>
      </c>
      <c r="C52" s="1" t="str">
        <f t="shared" si="1"/>
        <v>GIBSON DARLENE</v>
      </c>
      <c r="F52" s="7" t="s">
        <v>722</v>
      </c>
      <c r="H52" s="1" t="s">
        <v>355</v>
      </c>
      <c r="I52" s="1" t="str">
        <f t="shared" si="0"/>
        <v>3NP4RC1XJ9761</v>
      </c>
    </row>
    <row r="53" spans="1:9" ht="15.75" customHeight="1" x14ac:dyDescent="0.25">
      <c r="A53" s="1" t="s">
        <v>723</v>
      </c>
      <c r="B53" s="1" t="s">
        <v>724</v>
      </c>
      <c r="C53" s="1" t="str">
        <f t="shared" si="1"/>
        <v>GIESLER JOYCE</v>
      </c>
      <c r="F53" s="7" t="s">
        <v>725</v>
      </c>
      <c r="H53" s="1" t="s">
        <v>358</v>
      </c>
      <c r="I53" s="1" t="str">
        <f t="shared" si="0"/>
        <v>5N78U28JA6561</v>
      </c>
    </row>
    <row r="54" spans="1:9" ht="15.75" customHeight="1" x14ac:dyDescent="0.25">
      <c r="A54" s="1" t="s">
        <v>726</v>
      </c>
      <c r="B54" s="1" t="s">
        <v>727</v>
      </c>
      <c r="C54" s="1" t="str">
        <f t="shared" si="1"/>
        <v>GITTINGS DAVID</v>
      </c>
      <c r="F54" s="7" t="s">
        <v>728</v>
      </c>
      <c r="H54" s="1" t="s">
        <v>360</v>
      </c>
      <c r="I54" s="1" t="str">
        <f t="shared" si="0"/>
        <v>8MU4KH5CT8861</v>
      </c>
    </row>
    <row r="55" spans="1:9" ht="15.75" customHeight="1" x14ac:dyDescent="0.25">
      <c r="A55" s="1" t="s">
        <v>726</v>
      </c>
      <c r="B55" s="1" t="s">
        <v>727</v>
      </c>
      <c r="C55" s="1" t="str">
        <f t="shared" si="1"/>
        <v>GITTINGS DAVID</v>
      </c>
      <c r="F55" s="7" t="s">
        <v>729</v>
      </c>
      <c r="H55" s="1" t="s">
        <v>362</v>
      </c>
      <c r="I55" s="1" t="str">
        <f t="shared" si="0"/>
        <v>3FX9EV4TH1361</v>
      </c>
    </row>
    <row r="56" spans="1:9" ht="15.75" customHeight="1" x14ac:dyDescent="0.25">
      <c r="A56" s="1" t="s">
        <v>730</v>
      </c>
      <c r="B56" s="1" t="s">
        <v>731</v>
      </c>
      <c r="C56" s="1" t="str">
        <f t="shared" si="1"/>
        <v>GOETTLER TRACY</v>
      </c>
      <c r="F56" s="7" t="s">
        <v>732</v>
      </c>
      <c r="H56" s="1" t="s">
        <v>367</v>
      </c>
      <c r="I56" s="1" t="str">
        <f t="shared" si="0"/>
        <v>4TV0AJ8KE9061</v>
      </c>
    </row>
    <row r="57" spans="1:9" ht="15.75" customHeight="1" x14ac:dyDescent="0.25">
      <c r="A57" s="1" t="s">
        <v>733</v>
      </c>
      <c r="B57" s="1" t="s">
        <v>734</v>
      </c>
      <c r="C57" s="1" t="str">
        <f t="shared" si="1"/>
        <v>GOLDENBERG ABRAHAM</v>
      </c>
      <c r="F57" s="7" t="s">
        <v>735</v>
      </c>
      <c r="H57" s="1" t="s">
        <v>369</v>
      </c>
      <c r="I57" s="1" t="str">
        <f t="shared" si="0"/>
        <v>3PA6VN1GH5561</v>
      </c>
    </row>
    <row r="58" spans="1:9" ht="15.75" customHeight="1" x14ac:dyDescent="0.25">
      <c r="A58" s="1" t="s">
        <v>736</v>
      </c>
      <c r="B58" s="1" t="s">
        <v>737</v>
      </c>
      <c r="C58" s="1" t="str">
        <f t="shared" si="1"/>
        <v>GONZALEZ JESUS</v>
      </c>
      <c r="F58" s="7" t="s">
        <v>738</v>
      </c>
      <c r="H58" s="1" t="s">
        <v>371</v>
      </c>
      <c r="I58" s="1" t="str">
        <f t="shared" si="0"/>
        <v>5PM1MA6MD2961</v>
      </c>
    </row>
    <row r="59" spans="1:9" ht="15.75" customHeight="1" x14ac:dyDescent="0.25">
      <c r="A59" s="1" t="s">
        <v>739</v>
      </c>
      <c r="B59" s="1" t="s">
        <v>740</v>
      </c>
      <c r="C59" s="1" t="str">
        <f t="shared" si="1"/>
        <v>GREEN JAYNE</v>
      </c>
      <c r="F59" s="7" t="s">
        <v>741</v>
      </c>
      <c r="H59" s="1" t="s">
        <v>373</v>
      </c>
      <c r="I59" s="1" t="str">
        <f t="shared" si="0"/>
        <v>5JK4WR7CX6561</v>
      </c>
    </row>
    <row r="60" spans="1:9" ht="15.75" customHeight="1" x14ac:dyDescent="0.25">
      <c r="A60" s="1" t="s">
        <v>739</v>
      </c>
      <c r="B60" s="1" t="s">
        <v>742</v>
      </c>
      <c r="C60" s="1" t="str">
        <f t="shared" si="1"/>
        <v>GREEN STEPHEN</v>
      </c>
      <c r="F60" s="7" t="s">
        <v>743</v>
      </c>
      <c r="H60" s="1" t="s">
        <v>337</v>
      </c>
      <c r="I60" s="1" t="str">
        <f t="shared" si="0"/>
        <v>4WM7PW3MA4861</v>
      </c>
    </row>
    <row r="61" spans="1:9" ht="15.75" customHeight="1" x14ac:dyDescent="0.25">
      <c r="A61" s="1" t="s">
        <v>744</v>
      </c>
      <c r="B61" s="1" t="s">
        <v>745</v>
      </c>
      <c r="C61" s="1" t="str">
        <f t="shared" si="1"/>
        <v>GRIFFITH SARAH</v>
      </c>
      <c r="F61" s="7" t="s">
        <v>746</v>
      </c>
      <c r="H61" s="1" t="s">
        <v>303</v>
      </c>
      <c r="I61" s="1" t="str">
        <f t="shared" si="0"/>
        <v>9XP1E86RF9461</v>
      </c>
    </row>
    <row r="62" spans="1:9" ht="15.75" customHeight="1" x14ac:dyDescent="0.25">
      <c r="A62" s="1" t="s">
        <v>747</v>
      </c>
      <c r="B62" s="1" t="s">
        <v>748</v>
      </c>
      <c r="C62" s="1" t="str">
        <f t="shared" si="1"/>
        <v>GUZMAN ROSA</v>
      </c>
      <c r="F62" s="7" t="s">
        <v>749</v>
      </c>
      <c r="H62" s="1" t="s">
        <v>308</v>
      </c>
      <c r="I62" s="1" t="str">
        <f t="shared" si="0"/>
        <v>1D22HJ0CH0761</v>
      </c>
    </row>
    <row r="63" spans="1:9" ht="15.75" customHeight="1" x14ac:dyDescent="0.25">
      <c r="A63" s="1" t="s">
        <v>750</v>
      </c>
      <c r="B63" s="1" t="s">
        <v>751</v>
      </c>
      <c r="C63" s="1" t="str">
        <f t="shared" si="1"/>
        <v>HEARN RUSSELL</v>
      </c>
      <c r="F63" s="7" t="s">
        <v>752</v>
      </c>
      <c r="H63" s="1" t="s">
        <v>311</v>
      </c>
      <c r="I63" s="1" t="str">
        <f t="shared" si="0"/>
        <v>5MP7WQ3AW3761</v>
      </c>
    </row>
    <row r="64" spans="1:9" ht="15.75" customHeight="1" x14ac:dyDescent="0.25">
      <c r="A64" s="1" t="s">
        <v>753</v>
      </c>
      <c r="B64" s="1" t="s">
        <v>613</v>
      </c>
      <c r="C64" s="1" t="s">
        <v>754</v>
      </c>
      <c r="F64" s="7" t="s">
        <v>755</v>
      </c>
      <c r="H64" s="1" t="s">
        <v>332</v>
      </c>
      <c r="I64" s="1" t="str">
        <f t="shared" si="0"/>
        <v>2CF7H33XG6061</v>
      </c>
    </row>
    <row r="65" spans="1:9" ht="15.75" customHeight="1" x14ac:dyDescent="0.25">
      <c r="A65" s="1" t="s">
        <v>756</v>
      </c>
      <c r="B65" s="1" t="s">
        <v>638</v>
      </c>
      <c r="F65" s="7" t="s">
        <v>757</v>
      </c>
      <c r="H65" s="1" t="s">
        <v>347</v>
      </c>
      <c r="I65" s="1" t="str">
        <f t="shared" si="0"/>
        <v>4X42HK8WF9761</v>
      </c>
    </row>
    <row r="66" spans="1:9" ht="15.75" customHeight="1" x14ac:dyDescent="0.25">
      <c r="A66" s="1" t="s">
        <v>758</v>
      </c>
      <c r="B66" s="1" t="s">
        <v>635</v>
      </c>
      <c r="F66" s="7" t="s">
        <v>759</v>
      </c>
      <c r="H66" s="1" t="s">
        <v>364</v>
      </c>
      <c r="I66" s="1" t="str">
        <f t="shared" si="0"/>
        <v>6N04CM4GF6361</v>
      </c>
    </row>
    <row r="67" spans="1:9" ht="15.75" customHeight="1" x14ac:dyDescent="0.25">
      <c r="A67" s="1" t="s">
        <v>758</v>
      </c>
      <c r="B67" s="1" t="s">
        <v>760</v>
      </c>
    </row>
    <row r="68" spans="1:9" ht="15.75" customHeight="1" x14ac:dyDescent="0.25">
      <c r="A68" s="1" t="s">
        <v>761</v>
      </c>
      <c r="B68" s="1" t="s">
        <v>762</v>
      </c>
    </row>
    <row r="69" spans="1:9" ht="15.75" customHeight="1" x14ac:dyDescent="0.25">
      <c r="A69" s="1" t="s">
        <v>763</v>
      </c>
      <c r="B69" s="1" t="s">
        <v>619</v>
      </c>
    </row>
    <row r="70" spans="1:9" ht="15.75" customHeight="1" x14ac:dyDescent="0.25">
      <c r="A70" s="1" t="s">
        <v>764</v>
      </c>
      <c r="B70" s="1" t="s">
        <v>765</v>
      </c>
    </row>
    <row r="71" spans="1:9" ht="15.75" customHeight="1" x14ac:dyDescent="0.25">
      <c r="A71" s="1" t="s">
        <v>766</v>
      </c>
      <c r="B71" s="1" t="s">
        <v>767</v>
      </c>
    </row>
    <row r="72" spans="1:9" ht="15.75" customHeight="1" x14ac:dyDescent="0.25">
      <c r="A72" s="1" t="s">
        <v>768</v>
      </c>
      <c r="B72" s="1" t="s">
        <v>769</v>
      </c>
    </row>
    <row r="73" spans="1:9" ht="15.75" customHeight="1" x14ac:dyDescent="0.25">
      <c r="A73" s="1" t="s">
        <v>770</v>
      </c>
      <c r="B73" s="1" t="s">
        <v>638</v>
      </c>
    </row>
    <row r="74" spans="1:9" ht="15.75" customHeight="1" x14ac:dyDescent="0.25">
      <c r="A74" s="1" t="s">
        <v>771</v>
      </c>
      <c r="B74" s="1" t="s">
        <v>630</v>
      </c>
    </row>
    <row r="75" spans="1:9" ht="15.75" customHeight="1" x14ac:dyDescent="0.25">
      <c r="A75" s="1" t="s">
        <v>772</v>
      </c>
      <c r="B75" s="1" t="s">
        <v>683</v>
      </c>
    </row>
    <row r="76" spans="1:9" ht="15.75" customHeight="1" x14ac:dyDescent="0.25">
      <c r="A76" s="1" t="s">
        <v>773</v>
      </c>
      <c r="B76" s="1" t="s">
        <v>774</v>
      </c>
    </row>
    <row r="77" spans="1:9" ht="15.75" customHeight="1" x14ac:dyDescent="0.25">
      <c r="A77" s="1" t="s">
        <v>775</v>
      </c>
      <c r="B77" s="1" t="s">
        <v>616</v>
      </c>
    </row>
    <row r="78" spans="1:9" ht="15.75" customHeight="1" x14ac:dyDescent="0.25">
      <c r="A78" s="1" t="s">
        <v>776</v>
      </c>
      <c r="B78" s="1" t="s">
        <v>777</v>
      </c>
    </row>
    <row r="79" spans="1:9" ht="15.75" customHeight="1" x14ac:dyDescent="0.25">
      <c r="A79" s="1" t="s">
        <v>778</v>
      </c>
      <c r="B79" s="1" t="s">
        <v>649</v>
      </c>
    </row>
    <row r="80" spans="1:9" ht="15.75" customHeight="1" x14ac:dyDescent="0.25">
      <c r="A80" s="1" t="s">
        <v>779</v>
      </c>
      <c r="B80" s="1" t="s">
        <v>780</v>
      </c>
    </row>
    <row r="81" spans="1:2" ht="15.75" customHeight="1" x14ac:dyDescent="0.25">
      <c r="A81" s="1" t="s">
        <v>779</v>
      </c>
      <c r="B81" s="1" t="s">
        <v>781</v>
      </c>
    </row>
    <row r="82" spans="1:2" ht="15.75" customHeight="1" x14ac:dyDescent="0.25">
      <c r="A82" s="1" t="s">
        <v>782</v>
      </c>
      <c r="B82" s="1" t="s">
        <v>611</v>
      </c>
    </row>
    <row r="83" spans="1:2" ht="15.75" customHeight="1" x14ac:dyDescent="0.25">
      <c r="A83" s="1" t="s">
        <v>782</v>
      </c>
      <c r="B83" s="1" t="s">
        <v>638</v>
      </c>
    </row>
    <row r="84" spans="1:2" ht="15.75" customHeight="1" x14ac:dyDescent="0.25">
      <c r="A84" s="1" t="s">
        <v>783</v>
      </c>
      <c r="B84" s="1" t="s">
        <v>611</v>
      </c>
    </row>
    <row r="85" spans="1:2" ht="15.75" customHeight="1" x14ac:dyDescent="0.25">
      <c r="A85" s="1" t="s">
        <v>784</v>
      </c>
      <c r="B85" s="1" t="s">
        <v>683</v>
      </c>
    </row>
    <row r="86" spans="1:2" ht="15.75" customHeight="1" x14ac:dyDescent="0.25">
      <c r="A86" s="1" t="s">
        <v>785</v>
      </c>
      <c r="B86" s="1" t="s">
        <v>786</v>
      </c>
    </row>
    <row r="87" spans="1:2" ht="15.75" customHeight="1" x14ac:dyDescent="0.25">
      <c r="A87" s="1" t="s">
        <v>785</v>
      </c>
      <c r="B87" s="1" t="s">
        <v>787</v>
      </c>
    </row>
    <row r="88" spans="1:2" ht="15.75" customHeight="1" x14ac:dyDescent="0.25">
      <c r="A88" s="1" t="s">
        <v>788</v>
      </c>
      <c r="B88" s="1" t="s">
        <v>789</v>
      </c>
    </row>
    <row r="89" spans="1:2" ht="15.75" customHeight="1" x14ac:dyDescent="0.25">
      <c r="A89" s="1" t="s">
        <v>790</v>
      </c>
      <c r="B89" s="1" t="s">
        <v>791</v>
      </c>
    </row>
    <row r="90" spans="1:2" ht="15.75" customHeight="1" x14ac:dyDescent="0.25">
      <c r="A90" s="1" t="s">
        <v>792</v>
      </c>
      <c r="B90" s="1" t="s">
        <v>616</v>
      </c>
    </row>
    <row r="91" spans="1:2" ht="15.75" customHeight="1" x14ac:dyDescent="0.25">
      <c r="A91" s="1" t="s">
        <v>793</v>
      </c>
      <c r="B91" s="1" t="s">
        <v>794</v>
      </c>
    </row>
    <row r="92" spans="1:2" ht="15.75" customHeight="1" x14ac:dyDescent="0.25">
      <c r="A92" s="1" t="s">
        <v>795</v>
      </c>
      <c r="B92" s="1" t="s">
        <v>762</v>
      </c>
    </row>
    <row r="93" spans="1:2" ht="15.75" customHeight="1" x14ac:dyDescent="0.25">
      <c r="A93" s="1" t="s">
        <v>795</v>
      </c>
      <c r="B93" s="1" t="s">
        <v>796</v>
      </c>
    </row>
    <row r="94" spans="1:2" ht="15.75" customHeight="1" x14ac:dyDescent="0.25">
      <c r="A94" s="1" t="s">
        <v>797</v>
      </c>
      <c r="B94" s="1" t="s">
        <v>624</v>
      </c>
    </row>
    <row r="95" spans="1:2" ht="15.75" customHeight="1" x14ac:dyDescent="0.25">
      <c r="A95" s="1" t="s">
        <v>798</v>
      </c>
      <c r="B95" s="1" t="s">
        <v>799</v>
      </c>
    </row>
    <row r="96" spans="1:2" ht="15.75" customHeight="1" x14ac:dyDescent="0.25">
      <c r="A96" s="1" t="s">
        <v>800</v>
      </c>
      <c r="B96" s="1" t="s">
        <v>801</v>
      </c>
    </row>
    <row r="97" spans="1:2" ht="15.75" customHeight="1" x14ac:dyDescent="0.25">
      <c r="A97" s="1" t="s">
        <v>802</v>
      </c>
      <c r="B97" s="1" t="s">
        <v>803</v>
      </c>
    </row>
    <row r="98" spans="1:2" ht="15.75" customHeight="1" x14ac:dyDescent="0.25">
      <c r="A98" s="1" t="s">
        <v>804</v>
      </c>
      <c r="B98" s="1" t="s">
        <v>805</v>
      </c>
    </row>
    <row r="99" spans="1:2" ht="15.75" customHeight="1" x14ac:dyDescent="0.25">
      <c r="A99" s="1" t="s">
        <v>806</v>
      </c>
      <c r="B99" s="1" t="s">
        <v>611</v>
      </c>
    </row>
    <row r="100" spans="1:2" ht="15.75" customHeight="1" x14ac:dyDescent="0.25">
      <c r="A100" s="1" t="s">
        <v>807</v>
      </c>
      <c r="B100" s="1" t="s">
        <v>616</v>
      </c>
    </row>
    <row r="101" spans="1:2" ht="15.75" customHeight="1" x14ac:dyDescent="0.25">
      <c r="A101" s="1" t="s">
        <v>808</v>
      </c>
      <c r="B101" s="1" t="s">
        <v>809</v>
      </c>
    </row>
    <row r="102" spans="1:2" ht="15.75" customHeight="1" x14ac:dyDescent="0.25">
      <c r="A102" s="1" t="s">
        <v>808</v>
      </c>
      <c r="B102" s="1" t="s">
        <v>810</v>
      </c>
    </row>
    <row r="103" spans="1:2" ht="15.75" customHeight="1" x14ac:dyDescent="0.25">
      <c r="A103" s="1" t="s">
        <v>811</v>
      </c>
      <c r="B103" s="1" t="s">
        <v>624</v>
      </c>
    </row>
    <row r="104" spans="1:2" ht="15.75" customHeight="1" x14ac:dyDescent="0.25">
      <c r="A104" s="1" t="s">
        <v>811</v>
      </c>
      <c r="B104" s="1" t="s">
        <v>727</v>
      </c>
    </row>
    <row r="105" spans="1:2" ht="15.75" customHeight="1" x14ac:dyDescent="0.25">
      <c r="A105" s="1" t="s">
        <v>812</v>
      </c>
      <c r="B105" s="1" t="s">
        <v>813</v>
      </c>
    </row>
    <row r="106" spans="1:2" ht="15.75" customHeight="1" x14ac:dyDescent="0.25">
      <c r="A106" s="1" t="s">
        <v>814</v>
      </c>
      <c r="B106" s="1" t="s">
        <v>815</v>
      </c>
    </row>
    <row r="107" spans="1:2" ht="15.75" customHeight="1" x14ac:dyDescent="0.25">
      <c r="A107" s="1" t="s">
        <v>816</v>
      </c>
      <c r="B107" s="1" t="s">
        <v>686</v>
      </c>
    </row>
    <row r="108" spans="1:2" ht="15.75" customHeight="1" x14ac:dyDescent="0.25">
      <c r="A108" s="1" t="s">
        <v>817</v>
      </c>
      <c r="B108" s="1" t="s">
        <v>818</v>
      </c>
    </row>
    <row r="109" spans="1:2" ht="15.75" customHeight="1" x14ac:dyDescent="0.25">
      <c r="A109" s="1" t="s">
        <v>819</v>
      </c>
      <c r="B109" s="1" t="s">
        <v>820</v>
      </c>
    </row>
    <row r="110" spans="1:2" ht="15.75" customHeight="1" x14ac:dyDescent="0.25">
      <c r="A110" s="1" t="s">
        <v>821</v>
      </c>
      <c r="B110" s="1" t="s">
        <v>822</v>
      </c>
    </row>
    <row r="111" spans="1:2" ht="15.75" customHeight="1" x14ac:dyDescent="0.25">
      <c r="A111" s="1" t="s">
        <v>823</v>
      </c>
      <c r="B111" s="1" t="s">
        <v>824</v>
      </c>
    </row>
    <row r="112" spans="1:2" ht="15.75" customHeight="1" x14ac:dyDescent="0.25">
      <c r="A112" s="1" t="s">
        <v>825</v>
      </c>
      <c r="B112" s="1" t="s">
        <v>826</v>
      </c>
    </row>
    <row r="113" spans="1:2" ht="15.75" customHeight="1" x14ac:dyDescent="0.25">
      <c r="A113" s="1" t="s">
        <v>827</v>
      </c>
      <c r="B113" s="1" t="s">
        <v>678</v>
      </c>
    </row>
    <row r="114" spans="1:2" ht="15.75" customHeight="1" x14ac:dyDescent="0.25">
      <c r="A114" s="1" t="s">
        <v>828</v>
      </c>
      <c r="B114" s="1" t="s">
        <v>686</v>
      </c>
    </row>
    <row r="115" spans="1:2" ht="15.75" customHeight="1" x14ac:dyDescent="0.25">
      <c r="A115" s="1" t="s">
        <v>829</v>
      </c>
      <c r="B115" s="1" t="s">
        <v>830</v>
      </c>
    </row>
    <row r="116" spans="1:2" ht="15.75" customHeight="1" x14ac:dyDescent="0.25">
      <c r="A116" s="1" t="s">
        <v>831</v>
      </c>
      <c r="B116" s="1" t="s">
        <v>655</v>
      </c>
    </row>
    <row r="117" spans="1:2" ht="15.75" customHeight="1" x14ac:dyDescent="0.25">
      <c r="A117" s="1" t="s">
        <v>832</v>
      </c>
      <c r="B117" s="1" t="s">
        <v>596</v>
      </c>
    </row>
    <row r="118" spans="1:2" ht="15.75" customHeight="1" x14ac:dyDescent="0.25">
      <c r="A118" s="1" t="s">
        <v>833</v>
      </c>
      <c r="B118" s="1" t="s">
        <v>627</v>
      </c>
    </row>
    <row r="119" spans="1:2" ht="15.75" customHeight="1" x14ac:dyDescent="0.25">
      <c r="A119" s="1" t="s">
        <v>834</v>
      </c>
      <c r="B119" s="1" t="s">
        <v>835</v>
      </c>
    </row>
    <row r="120" spans="1:2" ht="15.75" customHeight="1" x14ac:dyDescent="0.25">
      <c r="A120" s="1" t="s">
        <v>836</v>
      </c>
      <c r="B120" s="1" t="s">
        <v>837</v>
      </c>
    </row>
    <row r="121" spans="1:2" ht="15.75" customHeight="1" x14ac:dyDescent="0.25">
      <c r="A121" s="1" t="s">
        <v>838</v>
      </c>
      <c r="B121" s="1" t="s">
        <v>760</v>
      </c>
    </row>
    <row r="122" spans="1:2" ht="15.75" customHeight="1" x14ac:dyDescent="0.25">
      <c r="A122" s="1" t="s">
        <v>839</v>
      </c>
      <c r="B122" s="1" t="s">
        <v>672</v>
      </c>
    </row>
    <row r="123" spans="1:2" ht="15.75" customHeight="1" x14ac:dyDescent="0.25">
      <c r="A123" s="1" t="s">
        <v>840</v>
      </c>
      <c r="B123" s="1" t="s">
        <v>841</v>
      </c>
    </row>
    <row r="124" spans="1:2" ht="15.75" customHeight="1" x14ac:dyDescent="0.25">
      <c r="A124" s="1" t="s">
        <v>842</v>
      </c>
      <c r="B124" s="1" t="s">
        <v>843</v>
      </c>
    </row>
    <row r="125" spans="1:2" ht="15.75" customHeight="1" x14ac:dyDescent="0.25">
      <c r="A125" s="1" t="s">
        <v>844</v>
      </c>
      <c r="B125" s="1" t="s">
        <v>845</v>
      </c>
    </row>
    <row r="126" spans="1:2" ht="15.75" customHeight="1" x14ac:dyDescent="0.25">
      <c r="A126" s="1" t="s">
        <v>844</v>
      </c>
      <c r="B126" s="1" t="s">
        <v>646</v>
      </c>
    </row>
    <row r="127" spans="1:2" ht="15.75" customHeight="1" x14ac:dyDescent="0.25">
      <c r="A127" s="1" t="s">
        <v>846</v>
      </c>
      <c r="B127" s="1" t="s">
        <v>847</v>
      </c>
    </row>
    <row r="128" spans="1:2" ht="15.75" customHeight="1" x14ac:dyDescent="0.25">
      <c r="A128" s="1" t="s">
        <v>848</v>
      </c>
      <c r="B128" s="1" t="s">
        <v>849</v>
      </c>
    </row>
    <row r="129" spans="1:2" ht="15.75" customHeight="1" x14ac:dyDescent="0.25">
      <c r="A129" s="1" t="s">
        <v>850</v>
      </c>
      <c r="B129" s="1" t="s">
        <v>683</v>
      </c>
    </row>
    <row r="130" spans="1:2" ht="15.75" customHeight="1" x14ac:dyDescent="0.25">
      <c r="A130" s="1" t="s">
        <v>851</v>
      </c>
      <c r="B130" s="1" t="s">
        <v>852</v>
      </c>
    </row>
    <row r="131" spans="1:2" ht="15.75" customHeight="1" x14ac:dyDescent="0.25">
      <c r="A131" s="1" t="s">
        <v>853</v>
      </c>
      <c r="B131" s="1" t="s">
        <v>787</v>
      </c>
    </row>
    <row r="132" spans="1:2" ht="15.75" customHeight="1" x14ac:dyDescent="0.25">
      <c r="A132" s="1" t="s">
        <v>854</v>
      </c>
      <c r="B132" s="1" t="s">
        <v>796</v>
      </c>
    </row>
    <row r="133" spans="1:2" ht="15.75" customHeight="1" x14ac:dyDescent="0.25">
      <c r="A133" s="1" t="s">
        <v>855</v>
      </c>
      <c r="B133" s="1" t="s">
        <v>805</v>
      </c>
    </row>
    <row r="134" spans="1:2" ht="15.75" customHeight="1" x14ac:dyDescent="0.25">
      <c r="A134" s="1" t="s">
        <v>856</v>
      </c>
      <c r="B134" s="1" t="s">
        <v>857</v>
      </c>
    </row>
    <row r="135" spans="1:2" ht="15.75" customHeight="1" x14ac:dyDescent="0.25">
      <c r="A135" s="1" t="s">
        <v>858</v>
      </c>
      <c r="B135" s="1" t="s">
        <v>859</v>
      </c>
    </row>
    <row r="136" spans="1:2" ht="15.75" customHeight="1" x14ac:dyDescent="0.25">
      <c r="A136" s="1" t="s">
        <v>858</v>
      </c>
      <c r="B136" s="1" t="s">
        <v>655</v>
      </c>
    </row>
    <row r="137" spans="1:2" ht="15.75" customHeight="1" x14ac:dyDescent="0.25">
      <c r="A137" s="1" t="s">
        <v>860</v>
      </c>
      <c r="B137" s="1" t="s">
        <v>861</v>
      </c>
    </row>
    <row r="138" spans="1:2" ht="15.75" customHeight="1" x14ac:dyDescent="0.25">
      <c r="A138" s="1" t="s">
        <v>860</v>
      </c>
      <c r="B138" s="1" t="s">
        <v>774</v>
      </c>
    </row>
    <row r="139" spans="1:2" ht="15.75" customHeight="1" x14ac:dyDescent="0.25">
      <c r="A139" s="1" t="s">
        <v>862</v>
      </c>
      <c r="B139" s="1" t="s">
        <v>861</v>
      </c>
    </row>
    <row r="140" spans="1:2" ht="15.75" customHeight="1" x14ac:dyDescent="0.25">
      <c r="A140" s="1" t="s">
        <v>863</v>
      </c>
      <c r="B140" s="1" t="s">
        <v>675</v>
      </c>
    </row>
    <row r="141" spans="1:2" ht="15.75" customHeight="1" x14ac:dyDescent="0.25">
      <c r="A141" s="1" t="s">
        <v>864</v>
      </c>
      <c r="B141" s="1" t="s">
        <v>841</v>
      </c>
    </row>
    <row r="142" spans="1:2" ht="15.75" customHeight="1" x14ac:dyDescent="0.25">
      <c r="A142" s="1" t="s">
        <v>865</v>
      </c>
      <c r="B142" s="1" t="s">
        <v>866</v>
      </c>
    </row>
    <row r="143" spans="1:2" ht="15.75" customHeight="1" x14ac:dyDescent="0.25">
      <c r="A143" s="1" t="s">
        <v>867</v>
      </c>
      <c r="B143" s="1" t="s">
        <v>868</v>
      </c>
    </row>
    <row r="144" spans="1:2" ht="15.75" customHeight="1" x14ac:dyDescent="0.25">
      <c r="A144" s="1" t="s">
        <v>869</v>
      </c>
      <c r="B144" s="1" t="s">
        <v>655</v>
      </c>
    </row>
    <row r="145" spans="1:2" ht="15.75" customHeight="1" x14ac:dyDescent="0.25">
      <c r="A145" s="1" t="s">
        <v>870</v>
      </c>
      <c r="B145" s="1" t="s">
        <v>871</v>
      </c>
    </row>
    <row r="146" spans="1:2" ht="15.75" customHeight="1" x14ac:dyDescent="0.25">
      <c r="A146" s="1" t="s">
        <v>870</v>
      </c>
      <c r="B146" s="1" t="s">
        <v>872</v>
      </c>
    </row>
    <row r="147" spans="1:2" ht="15.75" customHeight="1" x14ac:dyDescent="0.25">
      <c r="A147" s="1" t="s">
        <v>870</v>
      </c>
      <c r="B147" s="1" t="s">
        <v>849</v>
      </c>
    </row>
    <row r="148" spans="1:2" ht="15.75" customHeight="1" x14ac:dyDescent="0.25">
      <c r="A148" s="1" t="s">
        <v>873</v>
      </c>
      <c r="B148" s="1" t="s">
        <v>874</v>
      </c>
    </row>
    <row r="149" spans="1:2" ht="15.75" customHeight="1" x14ac:dyDescent="0.25">
      <c r="A149" s="1" t="s">
        <v>875</v>
      </c>
      <c r="B149" s="1" t="s">
        <v>635</v>
      </c>
    </row>
    <row r="150" spans="1:2" ht="15.75" customHeight="1" x14ac:dyDescent="0.25">
      <c r="A150" s="1" t="s">
        <v>876</v>
      </c>
      <c r="B150" s="1" t="s">
        <v>627</v>
      </c>
    </row>
    <row r="151" spans="1:2" ht="15.75" customHeight="1" x14ac:dyDescent="0.25">
      <c r="A151" s="1" t="s">
        <v>877</v>
      </c>
      <c r="B151" s="1" t="s">
        <v>878</v>
      </c>
    </row>
    <row r="152" spans="1:2" ht="15.75" customHeight="1" x14ac:dyDescent="0.25">
      <c r="A152" s="1" t="s">
        <v>879</v>
      </c>
      <c r="B152" s="1" t="s">
        <v>724</v>
      </c>
    </row>
    <row r="153" spans="1:2" ht="15.75" customHeight="1" x14ac:dyDescent="0.25">
      <c r="A153" s="1" t="s">
        <v>880</v>
      </c>
      <c r="B153" s="1" t="s">
        <v>658</v>
      </c>
    </row>
    <row r="154" spans="1:2" ht="15.75" customHeight="1" x14ac:dyDescent="0.25">
      <c r="A154" s="1" t="s">
        <v>881</v>
      </c>
      <c r="B154" s="1" t="s">
        <v>882</v>
      </c>
    </row>
    <row r="155" spans="1:2" ht="15.75" customHeight="1" x14ac:dyDescent="0.25">
      <c r="A155" s="1" t="s">
        <v>883</v>
      </c>
      <c r="B155" s="1" t="s">
        <v>762</v>
      </c>
    </row>
    <row r="156" spans="1:2" ht="15.75" customHeight="1" x14ac:dyDescent="0.25">
      <c r="A156" s="1" t="s">
        <v>884</v>
      </c>
      <c r="B156" s="1" t="s">
        <v>711</v>
      </c>
    </row>
    <row r="157" spans="1:2" ht="15.75" customHeight="1" x14ac:dyDescent="0.25">
      <c r="A157" s="1" t="s">
        <v>885</v>
      </c>
      <c r="B157" s="1" t="s">
        <v>655</v>
      </c>
    </row>
    <row r="158" spans="1:2" ht="15.75" customHeight="1" x14ac:dyDescent="0.25">
      <c r="A158" s="1" t="s">
        <v>886</v>
      </c>
      <c r="B158" s="1" t="s">
        <v>627</v>
      </c>
    </row>
    <row r="159" spans="1:2" ht="15.75" customHeight="1" x14ac:dyDescent="0.25">
      <c r="A159" s="1" t="s">
        <v>887</v>
      </c>
      <c r="B159" s="1" t="s">
        <v>638</v>
      </c>
    </row>
    <row r="160" spans="1:2" ht="15.75" customHeight="1" x14ac:dyDescent="0.25">
      <c r="A160" s="1" t="s">
        <v>888</v>
      </c>
      <c r="B160" s="1" t="s">
        <v>889</v>
      </c>
    </row>
    <row r="161" spans="1:2" ht="15.75" customHeight="1" x14ac:dyDescent="0.25">
      <c r="A161" s="1" t="s">
        <v>890</v>
      </c>
      <c r="B161" s="1" t="s">
        <v>891</v>
      </c>
    </row>
    <row r="162" spans="1:2" ht="15.75" customHeight="1" x14ac:dyDescent="0.25">
      <c r="A162" s="1" t="s">
        <v>892</v>
      </c>
      <c r="B162" s="1" t="s">
        <v>893</v>
      </c>
    </row>
    <row r="163" spans="1:2" ht="15.75" customHeight="1" x14ac:dyDescent="0.25">
      <c r="A163" s="1" t="s">
        <v>894</v>
      </c>
      <c r="B163" s="1" t="s">
        <v>801</v>
      </c>
    </row>
    <row r="164" spans="1:2" ht="15.75" customHeight="1" x14ac:dyDescent="0.25">
      <c r="A164" s="1" t="s">
        <v>895</v>
      </c>
      <c r="B164" s="1" t="s">
        <v>781</v>
      </c>
    </row>
    <row r="165" spans="1:2" ht="15.75" customHeight="1" x14ac:dyDescent="0.25">
      <c r="A165" s="1" t="s">
        <v>896</v>
      </c>
      <c r="B165" s="1" t="s">
        <v>897</v>
      </c>
    </row>
    <row r="166" spans="1:2" ht="15.75" customHeight="1" x14ac:dyDescent="0.25">
      <c r="A166" s="1" t="s">
        <v>898</v>
      </c>
      <c r="B166" s="1" t="s">
        <v>899</v>
      </c>
    </row>
    <row r="167" spans="1:2" ht="15.75" customHeight="1" x14ac:dyDescent="0.25"/>
    <row r="168" spans="1:2" ht="15.75" customHeight="1" x14ac:dyDescent="0.25"/>
    <row r="169" spans="1:2" ht="15.75" customHeight="1" x14ac:dyDescent="0.25"/>
    <row r="170" spans="1:2" ht="15.75" customHeight="1" x14ac:dyDescent="0.25"/>
    <row r="171" spans="1:2" ht="15.75" customHeight="1" x14ac:dyDescent="0.25"/>
    <row r="172" spans="1:2" ht="15.75" customHeight="1" x14ac:dyDescent="0.25"/>
    <row r="173" spans="1:2" ht="15.75" customHeight="1" x14ac:dyDescent="0.25"/>
    <row r="174" spans="1:2" ht="15.75" customHeight="1" x14ac:dyDescent="0.25"/>
    <row r="175" spans="1:2" ht="15.75" customHeight="1" x14ac:dyDescent="0.25"/>
    <row r="176" spans="1:2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2024-11-20T18:15:46Z</dcterms:created>
  <dcterms:modified xsi:type="dcterms:W3CDTF">2024-11-27T20:22:04Z</dcterms:modified>
</cp:coreProperties>
</file>