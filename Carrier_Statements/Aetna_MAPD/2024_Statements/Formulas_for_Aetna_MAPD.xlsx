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13_ncr:1_{59E8205A-D2D9-48B7-89EB-25C215F4CA28}" xr6:coauthVersionLast="47" xr6:coauthVersionMax="47" xr10:uidLastSave="{00000000-0000-0000-0000-000000000000}"/>
  <bookViews>
    <workbookView xWindow="-57720" yWindow="-120" windowWidth="29040" windowHeight="15720" tabRatio="903" activeTab="1" xr2:uid="{99B9D380-AE2A-4B8A-9FF9-3FA3B98642B1}"/>
  </bookViews>
  <sheets>
    <sheet name="Sheet1" sheetId="2" r:id="rId1"/>
    <sheet name="Formulas " sheetId="10" r:id="rId2"/>
    <sheet name="GMO initial PA,CT,DC monthly" sheetId="9" r:id="rId3"/>
    <sheet name="LMO PA,DC,CT monthly 2024" sheetId="7" r:id="rId4"/>
    <sheet name="LMO Renewal PA,CT,DC" sheetId="6" r:id="rId5"/>
    <sheet name="LMO National Renewal 2024" sheetId="5" r:id="rId6"/>
    <sheet name="GMO New to MC PA,CT,DC 2024" sheetId="8" r:id="rId7"/>
    <sheet name="GMO National new to MC 2024" sheetId="4" r:id="rId8"/>
    <sheet name="GMO National monthly 2024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2" l="1"/>
  <c r="O29" i="2"/>
  <c r="O28" i="2"/>
  <c r="F3" i="9"/>
  <c r="S20" i="9"/>
  <c r="S21" i="9"/>
  <c r="S19" i="9"/>
  <c r="S18" i="9"/>
  <c r="S17" i="9"/>
  <c r="S16" i="9"/>
  <c r="S15" i="9"/>
  <c r="S14" i="9"/>
  <c r="S13" i="9"/>
  <c r="S12" i="9"/>
  <c r="S11" i="9"/>
  <c r="S10" i="9"/>
  <c r="F49" i="9"/>
  <c r="F48" i="9"/>
  <c r="F47" i="9"/>
  <c r="F45" i="9"/>
  <c r="F44" i="9"/>
  <c r="F43" i="9"/>
  <c r="F41" i="9"/>
  <c r="F40" i="9"/>
  <c r="F39" i="9"/>
  <c r="F37" i="9"/>
  <c r="F36" i="9"/>
  <c r="F35" i="9"/>
  <c r="F33" i="9"/>
  <c r="F32" i="9"/>
  <c r="F31" i="9"/>
  <c r="F29" i="9"/>
  <c r="F28" i="9"/>
  <c r="F27" i="9"/>
  <c r="F25" i="9"/>
  <c r="F24" i="9"/>
  <c r="F23" i="9"/>
  <c r="F21" i="9"/>
  <c r="F20" i="9"/>
  <c r="F19" i="9"/>
  <c r="F17" i="9"/>
  <c r="F16" i="9"/>
  <c r="F15" i="9"/>
  <c r="F13" i="9"/>
  <c r="F12" i="9"/>
  <c r="F11" i="9"/>
  <c r="F9" i="9"/>
  <c r="F8" i="9"/>
  <c r="F7" i="9"/>
  <c r="F5" i="9"/>
  <c r="F4" i="9"/>
  <c r="S8" i="9"/>
  <c r="L21" i="9"/>
  <c r="L20" i="9"/>
  <c r="L19" i="9"/>
  <c r="I30" i="2"/>
  <c r="I29" i="2"/>
  <c r="I28" i="2"/>
  <c r="E4" i="8"/>
  <c r="E3" i="8"/>
  <c r="E2" i="8"/>
  <c r="M9" i="7"/>
  <c r="M14" i="7" s="1"/>
  <c r="M20" i="7"/>
  <c r="M19" i="7"/>
  <c r="M18" i="7"/>
  <c r="M17" i="7"/>
  <c r="M16" i="7"/>
  <c r="M15" i="7"/>
  <c r="M13" i="7"/>
  <c r="M11" i="7"/>
  <c r="M7" i="7"/>
  <c r="F43" i="7"/>
  <c r="F44" i="7"/>
  <c r="F45" i="7"/>
  <c r="L45" i="7"/>
  <c r="L44" i="7"/>
  <c r="L43" i="7"/>
  <c r="F49" i="7"/>
  <c r="F48" i="7"/>
  <c r="F47" i="7"/>
  <c r="F41" i="7"/>
  <c r="F40" i="7"/>
  <c r="F39" i="7"/>
  <c r="F37" i="7"/>
  <c r="F36" i="7"/>
  <c r="F35" i="7"/>
  <c r="F33" i="7"/>
  <c r="F32" i="7"/>
  <c r="F31" i="7"/>
  <c r="F29" i="7"/>
  <c r="F28" i="7"/>
  <c r="F27" i="7"/>
  <c r="F25" i="7"/>
  <c r="F24" i="7"/>
  <c r="F23" i="7"/>
  <c r="F21" i="7"/>
  <c r="F20" i="7"/>
  <c r="F19" i="7"/>
  <c r="F17" i="7"/>
  <c r="F16" i="7"/>
  <c r="F15" i="7"/>
  <c r="F13" i="7"/>
  <c r="F12" i="7"/>
  <c r="F11" i="7"/>
  <c r="F9" i="7"/>
  <c r="F8" i="7"/>
  <c r="F7" i="7"/>
  <c r="F5" i="7"/>
  <c r="F4" i="7"/>
  <c r="F3" i="7"/>
  <c r="E4" i="6"/>
  <c r="E3" i="6"/>
  <c r="E2" i="6"/>
  <c r="E4" i="5"/>
  <c r="E3" i="5"/>
  <c r="E2" i="5"/>
  <c r="E4" i="4"/>
  <c r="E3" i="4"/>
  <c r="E2" i="4"/>
  <c r="F7" i="3"/>
  <c r="F8" i="3"/>
  <c r="F9" i="3"/>
  <c r="F11" i="3"/>
  <c r="F12" i="3"/>
  <c r="F13" i="3"/>
  <c r="F15" i="3"/>
  <c r="F16" i="3"/>
  <c r="F17" i="3"/>
  <c r="F19" i="3"/>
  <c r="F20" i="3"/>
  <c r="F21" i="3"/>
  <c r="F23" i="3"/>
  <c r="F24" i="3"/>
  <c r="F25" i="3"/>
  <c r="F27" i="3"/>
  <c r="F28" i="3"/>
  <c r="F29" i="3"/>
  <c r="F31" i="3"/>
  <c r="F32" i="3"/>
  <c r="F33" i="3"/>
  <c r="F35" i="3"/>
  <c r="F36" i="3"/>
  <c r="F37" i="3"/>
  <c r="F39" i="3"/>
  <c r="F40" i="3"/>
  <c r="F41" i="3"/>
  <c r="F43" i="3"/>
  <c r="F44" i="3"/>
  <c r="F45" i="3"/>
  <c r="F47" i="3"/>
  <c r="F48" i="3"/>
  <c r="F49" i="3"/>
  <c r="F3" i="3"/>
  <c r="F4" i="3"/>
  <c r="F5" i="3"/>
  <c r="U18" i="2"/>
  <c r="U19" i="2"/>
  <c r="U17" i="2"/>
  <c r="U24" i="2"/>
  <c r="U25" i="2"/>
  <c r="U23" i="2"/>
  <c r="O18" i="2"/>
  <c r="O19" i="2"/>
  <c r="O17" i="2"/>
  <c r="I17" i="2"/>
  <c r="I18" i="2"/>
  <c r="I19" i="2"/>
  <c r="O24" i="2"/>
  <c r="O25" i="2"/>
  <c r="O23" i="2"/>
  <c r="I24" i="2"/>
  <c r="I25" i="2"/>
  <c r="I23" i="2"/>
  <c r="G10" i="2"/>
  <c r="G9" i="2"/>
  <c r="G8" i="2"/>
  <c r="G7" i="2"/>
  <c r="G6" i="2"/>
  <c r="G5" i="2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B1" i="2"/>
  <c r="C1" i="2" s="1"/>
  <c r="M10" i="7" l="1"/>
  <c r="M12" i="7"/>
</calcChain>
</file>

<file path=xl/sharedStrings.xml><?xml version="1.0" encoding="utf-8"?>
<sst xmlns="http://schemas.openxmlformats.org/spreadsheetml/2006/main" count="488" uniqueCount="89">
  <si>
    <t>GMO</t>
  </si>
  <si>
    <t>Renewal</t>
  </si>
  <si>
    <t>LMO</t>
  </si>
  <si>
    <t>agent</t>
  </si>
  <si>
    <t>SL</t>
  </si>
  <si>
    <t>MLB</t>
  </si>
  <si>
    <t>Agent is 63.58%</t>
  </si>
  <si>
    <t xml:space="preserve">SL gets 3.96% </t>
  </si>
  <si>
    <t>agency is 32.47%</t>
  </si>
  <si>
    <t>Eqauls to 100.01</t>
  </si>
  <si>
    <t>National</t>
  </si>
  <si>
    <t>%</t>
  </si>
  <si>
    <t>PA CT DC</t>
  </si>
  <si>
    <t>NEW</t>
  </si>
  <si>
    <t xml:space="preserve">initial </t>
  </si>
  <si>
    <t xml:space="preserve">LMO </t>
  </si>
  <si>
    <t>430/12*M</t>
  </si>
  <si>
    <t>431/12*M</t>
  </si>
  <si>
    <t>Month</t>
  </si>
  <si>
    <t>Column1</t>
  </si>
  <si>
    <t>Column2</t>
  </si>
  <si>
    <t>Column3</t>
  </si>
  <si>
    <t>Column4</t>
  </si>
  <si>
    <t>Column5</t>
  </si>
  <si>
    <t>national</t>
  </si>
  <si>
    <t xml:space="preserve">GMO </t>
  </si>
  <si>
    <t>470/12*M</t>
  </si>
  <si>
    <t xml:space="preserve">Number </t>
  </si>
  <si>
    <t xml:space="preserve">Formula </t>
  </si>
  <si>
    <t>split 30 and 2.50</t>
  </si>
  <si>
    <t>Note</t>
  </si>
  <si>
    <t>[%/$=2.5]</t>
  </si>
  <si>
    <t>[%/$=45][prorate=1/12]</t>
  </si>
  <si>
    <t>[%/$=28]</t>
  </si>
  <si>
    <t>[%/$=45][prorate=8/12]</t>
  </si>
  <si>
    <t>[%/$=31.25]</t>
  </si>
  <si>
    <t>[%/$=125][prorate=4/12]</t>
  </si>
  <si>
    <t>[%/$=85][prorate=6/12]</t>
  </si>
  <si>
    <t>[%/$=125][prorate=5/12]</t>
  </si>
  <si>
    <t>[%/$=120][prorate=6/12]</t>
  </si>
  <si>
    <t>[%/$=125][prorate=6/12]</t>
  </si>
  <si>
    <t>[%/$=431][prorate=3/12]</t>
  </si>
  <si>
    <t>[%/$=120]</t>
  </si>
  <si>
    <t>[%/$=125]</t>
  </si>
  <si>
    <t>[%/$=431][prorate=4/12]</t>
  </si>
  <si>
    <t>[%/$=470][prorate=4/12]</t>
  </si>
  <si>
    <t>[%/$=431][prorate=5/12]</t>
  </si>
  <si>
    <t>[%/$=470][prorate=5/12]</t>
  </si>
  <si>
    <t>[%/$=431][prorate=6/12]</t>
  </si>
  <si>
    <t>[%/$=470][prorate=6/12]</t>
  </si>
  <si>
    <t>[%/$=736][prorate=6/12]</t>
  </si>
  <si>
    <t>[%/$=814][prorate=6/12]</t>
  </si>
  <si>
    <t>[%/$=470]</t>
  </si>
  <si>
    <t>[%/$=736]</t>
  </si>
  <si>
    <t>[%/$=814]</t>
  </si>
  <si>
    <t>[%/$=85]</t>
  </si>
  <si>
    <t>[%/$=696][prorate=6/12]</t>
  </si>
  <si>
    <t>[%/$=736][prorate=5/12]</t>
  </si>
  <si>
    <t>[%/$=430][prorate=7/12]</t>
  </si>
  <si>
    <t>[%/$=736][prorate=4/12]</t>
  </si>
  <si>
    <t>[%/$=465][prorate=6/12]</t>
  </si>
  <si>
    <t>[%/$=470][prorate=3/12]</t>
  </si>
  <si>
    <t>[%/$=104]</t>
  </si>
  <si>
    <t>[%/$=102]</t>
  </si>
  <si>
    <t>[%/$=431][prorate=2/12]</t>
  </si>
  <si>
    <t>[%/$=52][prorate=5/12]</t>
  </si>
  <si>
    <t>[%/$=52][prorate=4/12]</t>
  </si>
  <si>
    <t>[%/$=4]</t>
  </si>
  <si>
    <t>[%/$=47][prorate=1/12]</t>
  </si>
  <si>
    <t>[%/$=351][prorate=1/12]</t>
  </si>
  <si>
    <t>[%/$=426][prorate=2/12]</t>
  </si>
  <si>
    <t>[%/$=426][prorate=3/12]</t>
  </si>
  <si>
    <t>[%/$=426][prorate=4/12]</t>
  </si>
  <si>
    <t>[%/$=814][prorate=4/12]</t>
  </si>
  <si>
    <t>[%/$=430]</t>
  </si>
  <si>
    <t>[%/$=470][prorate=2/12]</t>
  </si>
  <si>
    <t>[%/$=731][prorate=3/12]</t>
  </si>
  <si>
    <t>split in to 426 and 305</t>
  </si>
  <si>
    <t>split in to 305 and 431</t>
  </si>
  <si>
    <t>[%/$=426][prorate=12/12]</t>
  </si>
  <si>
    <t>[%/$=305]</t>
  </si>
  <si>
    <t>[%/$=431][prorate=12/12]</t>
  </si>
  <si>
    <t>split in to 465 and 344</t>
  </si>
  <si>
    <t>[%/$=465][prorate=12/12]</t>
  </si>
  <si>
    <t>split in to 470 and 344</t>
  </si>
  <si>
    <t>[%/$=470][prorate=12/12]</t>
  </si>
  <si>
    <t>[%/$=35.92]</t>
  </si>
  <si>
    <t>[%/$=39.17]</t>
  </si>
  <si>
    <t>[%/$=29.25]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</si>
</sst>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0" fontId="0" fillId="0" borderId="0" xfId="0" applyNumberFormat="1"/>
    <xf numFmtId="0" fontId="0" fillId="33" borderId="0" xfId="0" applyFill="1"/>
    <xf numFmtId="10" fontId="0" fillId="0" borderId="0" xfId="1" applyNumberFormat="1" applyFont="1"/>
    <xf numFmtId="2" fontId="0" fillId="0" borderId="0" xfId="0" applyNumberFormat="1"/>
    <xf numFmtId="8" fontId="0" fillId="0" borderId="0" xfId="0" applyNumberFormat="1"/>
    <xf numFmtId="0" fontId="0" fillId="0" borderId="1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F5D731-ACA2-4FC9-A043-B6896BE6F214}" name="Table489" displayName="Table489" ref="A1:F49" totalsRowShown="0">
  <autoFilter ref="A1:F49" xr:uid="{28F5D731-ACA2-4FC9-A043-B6896BE6F214}"/>
  <tableColumns count="6">
    <tableColumn id="1" xr3:uid="{1BC9AB5E-A1D4-4AF2-90BA-6259D61A101B}" name="Month"/>
    <tableColumn id="2" xr3:uid="{86880B4E-808F-4442-B32C-E44F562F95E9}" name="Column1"/>
    <tableColumn id="3" xr3:uid="{D878D195-7546-4C2D-8BF9-938E6632712B}" name="Column2"/>
    <tableColumn id="4" xr3:uid="{92C1E59C-5907-41F9-AC5F-20D4AFB7D374}" name="Column3"/>
    <tableColumn id="5" xr3:uid="{785FA96C-4737-4CDA-8FA0-A49DD8D7D469}" name="Column4"/>
    <tableColumn id="6" xr3:uid="{850C3791-10A7-464A-BF97-459C657EBE6F}" name="Column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544A44-E8FE-49D7-88AE-CEF0040DA08A}" name="Table48" displayName="Table48" ref="A1:F49" totalsRowShown="0">
  <autoFilter ref="A1:F49" xr:uid="{C5544A44-E8FE-49D7-88AE-CEF0040DA08A}"/>
  <tableColumns count="6">
    <tableColumn id="1" xr3:uid="{72EA5CBA-7E06-4ABC-8FF1-3411B127EC9B}" name="Month"/>
    <tableColumn id="2" xr3:uid="{4C210B3A-8AAF-4D3E-B5FB-F68A0B774DD8}" name="Column1"/>
    <tableColumn id="3" xr3:uid="{DA6F75B3-EDFB-41F9-9F5F-B5DCA1D78A72}" name="Column2"/>
    <tableColumn id="4" xr3:uid="{71E3F7FB-8C51-4122-8202-07E046DA1E04}" name="Column3"/>
    <tableColumn id="5" xr3:uid="{ECD13728-7365-4118-B13B-F199BF4FD4BC}" name="Column4"/>
    <tableColumn id="6" xr3:uid="{0564CD65-D7D8-463C-BE4B-F39DB2311C61}" name="Column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1D6B39-15FD-4DC6-AF9E-3821B1F9C0D3}" name="Table4" displayName="Table4" ref="A1:F49" totalsRowShown="0">
  <autoFilter ref="A1:F49" xr:uid="{EA1D6B39-15FD-4DC6-AF9E-3821B1F9C0D3}"/>
  <tableColumns count="6">
    <tableColumn id="1" xr3:uid="{2DF313B6-2BF2-4C2A-816C-B9713FBF9438}" name="Month"/>
    <tableColumn id="2" xr3:uid="{6740B326-E3F8-4D60-929C-F6EC65EB743F}" name="Column1"/>
    <tableColumn id="3" xr3:uid="{5132C36D-4097-461B-8B1A-F889BD0F5D82}" name="Column2"/>
    <tableColumn id="4" xr3:uid="{AA3EAC55-10AD-4FEC-AB15-7A501096A448}" name="Column3"/>
    <tableColumn id="5" xr3:uid="{99DE96B6-8E87-4CB3-8AC9-BD8B41B2D8DD}" name="Column4"/>
    <tableColumn id="6" xr3:uid="{DCBEEE61-5BF2-4FF6-9B0B-74A7EB33D9BF}" name="Column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85C3-4BE2-40AD-84D4-5C00C40DCA38}">
  <dimension ref="A1:U30"/>
  <sheetViews>
    <sheetView zoomScale="120" zoomScaleNormal="120" workbookViewId="0">
      <selection activeCell="C23" sqref="C23"/>
    </sheetView>
  </sheetViews>
  <sheetFormatPr defaultRowHeight="15" x14ac:dyDescent="0.25"/>
  <cols>
    <col min="13" max="13" width="12.28515625" customWidth="1"/>
  </cols>
  <sheetData>
    <row r="1" spans="1:21" x14ac:dyDescent="0.25">
      <c r="A1">
        <v>431</v>
      </c>
      <c r="B1">
        <f>SUM(A1/12)</f>
        <v>35.916666666666664</v>
      </c>
      <c r="C1">
        <f>SUM(B1*2)</f>
        <v>71.833333333333329</v>
      </c>
      <c r="F1" t="s">
        <v>6</v>
      </c>
    </row>
    <row r="2" spans="1:21" x14ac:dyDescent="0.25">
      <c r="A2">
        <v>431</v>
      </c>
      <c r="B2">
        <f t="shared" ref="B2:B11" si="0">SUM(A2/12)</f>
        <v>35.916666666666664</v>
      </c>
      <c r="C2">
        <f>SUM(B2*3)</f>
        <v>107.75</v>
      </c>
      <c r="F2" t="s">
        <v>7</v>
      </c>
    </row>
    <row r="3" spans="1:21" x14ac:dyDescent="0.25">
      <c r="A3">
        <v>431</v>
      </c>
      <c r="B3">
        <f t="shared" si="0"/>
        <v>35.916666666666664</v>
      </c>
      <c r="C3">
        <f>SUM(B3*4)</f>
        <v>143.66666666666666</v>
      </c>
      <c r="F3" t="s">
        <v>8</v>
      </c>
      <c r="H3" t="s">
        <v>9</v>
      </c>
    </row>
    <row r="4" spans="1:21" x14ac:dyDescent="0.25">
      <c r="A4">
        <v>431</v>
      </c>
      <c r="B4">
        <f t="shared" si="0"/>
        <v>35.916666666666664</v>
      </c>
      <c r="C4">
        <f>SUM(B4*5)</f>
        <v>179.58333333333331</v>
      </c>
    </row>
    <row r="5" spans="1:21" x14ac:dyDescent="0.25">
      <c r="A5">
        <v>431</v>
      </c>
      <c r="B5">
        <f t="shared" si="0"/>
        <v>35.916666666666664</v>
      </c>
      <c r="C5">
        <f>SUM(B5*6)</f>
        <v>215.5</v>
      </c>
      <c r="E5" t="s">
        <v>3</v>
      </c>
      <c r="F5">
        <v>215.5</v>
      </c>
      <c r="G5">
        <f>SUM(F5*63.58%)</f>
        <v>137.01490000000001</v>
      </c>
    </row>
    <row r="6" spans="1:21" x14ac:dyDescent="0.25">
      <c r="A6">
        <v>431</v>
      </c>
      <c r="B6">
        <f t="shared" si="0"/>
        <v>35.916666666666664</v>
      </c>
      <c r="C6">
        <f>SUM(B6*7)</f>
        <v>251.41666666666666</v>
      </c>
      <c r="E6" t="s">
        <v>4</v>
      </c>
      <c r="F6">
        <v>215.5</v>
      </c>
      <c r="G6">
        <f>SUM(F6*3.96%)</f>
        <v>8.5337999999999994</v>
      </c>
    </row>
    <row r="7" spans="1:21" x14ac:dyDescent="0.25">
      <c r="A7">
        <v>431</v>
      </c>
      <c r="B7">
        <f t="shared" si="0"/>
        <v>35.916666666666664</v>
      </c>
      <c r="C7">
        <f>SUM(B7*8)</f>
        <v>287.33333333333331</v>
      </c>
      <c r="E7" t="s">
        <v>5</v>
      </c>
      <c r="F7">
        <v>215.5</v>
      </c>
      <c r="G7">
        <f>SUM(F7*32.47%)</f>
        <v>69.972849999999994</v>
      </c>
    </row>
    <row r="8" spans="1:21" x14ac:dyDescent="0.25">
      <c r="A8">
        <v>431</v>
      </c>
      <c r="B8">
        <f t="shared" si="0"/>
        <v>35.916666666666664</v>
      </c>
      <c r="C8">
        <f>SUM(B8*9)</f>
        <v>323.25</v>
      </c>
      <c r="E8" t="s">
        <v>3</v>
      </c>
      <c r="F8">
        <v>179.58</v>
      </c>
      <c r="G8">
        <f>SUM(F8*63.58%)</f>
        <v>114.17696400000001</v>
      </c>
    </row>
    <row r="9" spans="1:21" x14ac:dyDescent="0.25">
      <c r="A9">
        <v>431</v>
      </c>
      <c r="B9">
        <f t="shared" si="0"/>
        <v>35.916666666666664</v>
      </c>
      <c r="C9">
        <f>SUM(B9*10)</f>
        <v>359.16666666666663</v>
      </c>
      <c r="E9" t="s">
        <v>4</v>
      </c>
      <c r="F9">
        <v>179.58</v>
      </c>
      <c r="G9">
        <f>SUM(F9*3.96%)</f>
        <v>7.1113679999999997</v>
      </c>
    </row>
    <row r="10" spans="1:21" x14ac:dyDescent="0.25">
      <c r="A10">
        <v>431</v>
      </c>
      <c r="B10">
        <f t="shared" si="0"/>
        <v>35.916666666666664</v>
      </c>
      <c r="C10">
        <f>SUM(B10*11)</f>
        <v>395.08333333333331</v>
      </c>
      <c r="E10" t="s">
        <v>5</v>
      </c>
      <c r="F10">
        <v>179.58</v>
      </c>
      <c r="G10">
        <f>SUM(F10*32.47%)</f>
        <v>58.309626000000002</v>
      </c>
    </row>
    <row r="11" spans="1:21" x14ac:dyDescent="0.25">
      <c r="A11">
        <v>431</v>
      </c>
      <c r="B11">
        <f t="shared" si="0"/>
        <v>35.916666666666664</v>
      </c>
      <c r="C11">
        <f>SUM(B11*12)</f>
        <v>431</v>
      </c>
    </row>
    <row r="12" spans="1:21" x14ac:dyDescent="0.25">
      <c r="E12" t="s">
        <v>3</v>
      </c>
      <c r="F12">
        <v>195.83</v>
      </c>
      <c r="G12">
        <v>128.72999999999999</v>
      </c>
      <c r="H12" s="2">
        <v>0.6573</v>
      </c>
    </row>
    <row r="13" spans="1:21" x14ac:dyDescent="0.25">
      <c r="E13" t="s">
        <v>4</v>
      </c>
      <c r="F13">
        <v>195.83</v>
      </c>
      <c r="G13">
        <v>8.01</v>
      </c>
      <c r="H13" s="2">
        <v>4.0899999999999999E-2</v>
      </c>
    </row>
    <row r="14" spans="1:21" x14ac:dyDescent="0.25">
      <c r="E14" t="s">
        <v>5</v>
      </c>
      <c r="F14">
        <v>195.83</v>
      </c>
      <c r="G14">
        <v>59.1</v>
      </c>
      <c r="H14" s="2">
        <v>0.3019</v>
      </c>
    </row>
    <row r="15" spans="1:21" x14ac:dyDescent="0.25">
      <c r="H15" s="2"/>
    </row>
    <row r="16" spans="1:21" x14ac:dyDescent="0.25">
      <c r="E16" s="3" t="s">
        <v>0</v>
      </c>
      <c r="F16" s="3" t="s">
        <v>13</v>
      </c>
      <c r="G16" s="3">
        <v>736</v>
      </c>
      <c r="H16" s="3" t="s">
        <v>10</v>
      </c>
      <c r="I16" s="3" t="s">
        <v>11</v>
      </c>
      <c r="K16" s="3" t="s">
        <v>0</v>
      </c>
      <c r="L16" s="3" t="s">
        <v>14</v>
      </c>
      <c r="M16" s="3" t="s">
        <v>17</v>
      </c>
      <c r="N16" s="3" t="s">
        <v>24</v>
      </c>
      <c r="O16" s="3" t="s">
        <v>11</v>
      </c>
      <c r="Q16" s="3" t="s">
        <v>0</v>
      </c>
      <c r="R16" s="3" t="s">
        <v>13</v>
      </c>
      <c r="S16" s="3">
        <v>814</v>
      </c>
      <c r="T16" s="3" t="s">
        <v>12</v>
      </c>
      <c r="U16" s="3" t="s">
        <v>11</v>
      </c>
    </row>
    <row r="17" spans="5:21" x14ac:dyDescent="0.25">
      <c r="E17" t="s">
        <v>3</v>
      </c>
      <c r="F17">
        <v>736</v>
      </c>
      <c r="G17">
        <v>100</v>
      </c>
      <c r="H17">
        <v>579.01</v>
      </c>
      <c r="I17">
        <f>SUM(H17/F17*G17)</f>
        <v>78.669836956521735</v>
      </c>
      <c r="J17" s="2"/>
      <c r="K17" t="s">
        <v>3</v>
      </c>
      <c r="L17">
        <v>215.5</v>
      </c>
      <c r="M17">
        <v>100</v>
      </c>
      <c r="N17">
        <v>137.01</v>
      </c>
      <c r="O17">
        <f>SUM(N17/L17*M17)</f>
        <v>63.577726218097439</v>
      </c>
      <c r="Q17" t="s">
        <v>3</v>
      </c>
      <c r="R17">
        <v>814</v>
      </c>
      <c r="S17">
        <v>100</v>
      </c>
      <c r="T17">
        <v>652.92999999999995</v>
      </c>
      <c r="U17">
        <f>SUM(T17/R17*S17)</f>
        <v>80.212530712530707</v>
      </c>
    </row>
    <row r="18" spans="5:21" x14ac:dyDescent="0.25">
      <c r="E18" t="s">
        <v>4</v>
      </c>
      <c r="F18">
        <v>736</v>
      </c>
      <c r="G18">
        <v>100</v>
      </c>
      <c r="H18">
        <v>45.83</v>
      </c>
      <c r="I18">
        <f>SUM(H18/F18*G18)</f>
        <v>6.226902173913043</v>
      </c>
      <c r="J18" s="2"/>
      <c r="K18" t="s">
        <v>4</v>
      </c>
      <c r="L18">
        <v>215.5</v>
      </c>
      <c r="M18">
        <v>100</v>
      </c>
      <c r="N18">
        <v>8.5299999999999994</v>
      </c>
      <c r="O18">
        <f>SUM(N18/L18*M18)</f>
        <v>3.9582366589327145</v>
      </c>
      <c r="Q18" t="s">
        <v>4</v>
      </c>
      <c r="R18">
        <v>814</v>
      </c>
      <c r="S18">
        <v>100</v>
      </c>
      <c r="T18">
        <v>51.68</v>
      </c>
      <c r="U18">
        <f>SUM(T18/R18*S18)</f>
        <v>6.3488943488943486</v>
      </c>
    </row>
    <row r="19" spans="5:21" x14ac:dyDescent="0.25">
      <c r="E19" t="s">
        <v>5</v>
      </c>
      <c r="F19">
        <v>736</v>
      </c>
      <c r="G19">
        <v>100</v>
      </c>
      <c r="H19">
        <v>111.16</v>
      </c>
      <c r="I19">
        <f>SUM(H19/F19*G19)</f>
        <v>15.103260869565215</v>
      </c>
      <c r="J19" s="2"/>
      <c r="K19" t="s">
        <v>5</v>
      </c>
      <c r="L19">
        <v>215.5</v>
      </c>
      <c r="M19">
        <v>100</v>
      </c>
      <c r="N19">
        <v>69.97</v>
      </c>
      <c r="O19">
        <f>SUM(N19/L19*M19)</f>
        <v>32.46867749419954</v>
      </c>
      <c r="Q19" t="s">
        <v>5</v>
      </c>
      <c r="R19">
        <v>814</v>
      </c>
      <c r="S19">
        <v>100</v>
      </c>
      <c r="T19">
        <v>109.39</v>
      </c>
      <c r="U19">
        <f>SUM(T19/R19*S19)</f>
        <v>13.438574938574938</v>
      </c>
    </row>
    <row r="22" spans="5:21" x14ac:dyDescent="0.25">
      <c r="E22" s="3" t="s">
        <v>2</v>
      </c>
      <c r="F22" s="3" t="s">
        <v>1</v>
      </c>
      <c r="G22" s="3">
        <v>336</v>
      </c>
      <c r="H22" s="3" t="s">
        <v>10</v>
      </c>
      <c r="I22" s="3" t="s">
        <v>11</v>
      </c>
      <c r="K22" s="3" t="s">
        <v>2</v>
      </c>
      <c r="L22" s="3" t="s">
        <v>1</v>
      </c>
      <c r="M22" s="3">
        <v>375</v>
      </c>
      <c r="N22" s="3" t="s">
        <v>12</v>
      </c>
      <c r="O22" s="3" t="s">
        <v>11</v>
      </c>
      <c r="Q22" s="3" t="s">
        <v>15</v>
      </c>
      <c r="R22" s="3" t="s">
        <v>14</v>
      </c>
      <c r="S22" s="3" t="s">
        <v>16</v>
      </c>
      <c r="T22" s="3" t="s">
        <v>12</v>
      </c>
      <c r="U22" s="3" t="s">
        <v>11</v>
      </c>
    </row>
    <row r="23" spans="5:21" x14ac:dyDescent="0.25">
      <c r="E23" t="s">
        <v>3</v>
      </c>
      <c r="F23">
        <v>28</v>
      </c>
      <c r="G23">
        <v>100</v>
      </c>
      <c r="H23">
        <v>22.83</v>
      </c>
      <c r="I23">
        <f>SUM(H23/F23*G23)</f>
        <v>81.535714285714278</v>
      </c>
      <c r="K23" t="s">
        <v>3</v>
      </c>
      <c r="L23">
        <v>31.25</v>
      </c>
      <c r="M23">
        <v>100</v>
      </c>
      <c r="N23">
        <v>25.75</v>
      </c>
      <c r="O23">
        <f>SUM(N23/L23*M23)</f>
        <v>82.399999999999991</v>
      </c>
      <c r="Q23" t="s">
        <v>3</v>
      </c>
      <c r="R23">
        <v>394.17</v>
      </c>
      <c r="S23">
        <v>100</v>
      </c>
      <c r="T23">
        <v>283.2</v>
      </c>
      <c r="U23">
        <f>SUM(T23/R23*S23)</f>
        <v>71.847172539767101</v>
      </c>
    </row>
    <row r="24" spans="5:21" x14ac:dyDescent="0.25">
      <c r="E24" t="s">
        <v>4</v>
      </c>
      <c r="F24">
        <v>28</v>
      </c>
      <c r="G24">
        <v>100</v>
      </c>
      <c r="H24">
        <v>1.42</v>
      </c>
      <c r="I24">
        <f>SUM(H24/F24*G24)</f>
        <v>5.0714285714285712</v>
      </c>
      <c r="K24" t="s">
        <v>4</v>
      </c>
      <c r="L24">
        <v>31.25</v>
      </c>
      <c r="M24">
        <v>100</v>
      </c>
      <c r="N24">
        <v>1.6</v>
      </c>
      <c r="O24">
        <f>SUM(N24/L24*M24)</f>
        <v>5.12</v>
      </c>
      <c r="Q24" t="s">
        <v>4</v>
      </c>
      <c r="R24">
        <v>394.17</v>
      </c>
      <c r="S24">
        <v>100</v>
      </c>
      <c r="T24">
        <v>60.62</v>
      </c>
      <c r="U24">
        <f>SUM(T24/R24*S24)</f>
        <v>15.379151127686022</v>
      </c>
    </row>
    <row r="25" spans="5:21" x14ac:dyDescent="0.25">
      <c r="E25" t="s">
        <v>5</v>
      </c>
      <c r="F25">
        <v>28</v>
      </c>
      <c r="G25">
        <v>100</v>
      </c>
      <c r="H25">
        <v>3.75</v>
      </c>
      <c r="I25">
        <f>SUM(H25/F25*G25)</f>
        <v>13.392857142857142</v>
      </c>
      <c r="K25" t="s">
        <v>5</v>
      </c>
      <c r="L25">
        <v>31.25</v>
      </c>
      <c r="M25">
        <v>100</v>
      </c>
      <c r="N25">
        <v>3.9</v>
      </c>
      <c r="O25">
        <f>SUM(N25/L25*M25)</f>
        <v>12.479999999999999</v>
      </c>
      <c r="Q25" t="s">
        <v>5</v>
      </c>
      <c r="R25">
        <v>394.17</v>
      </c>
      <c r="S25">
        <v>100</v>
      </c>
      <c r="T25">
        <v>50.35</v>
      </c>
      <c r="U25">
        <f>SUM(T25/R25*S25)</f>
        <v>12.773676332546872</v>
      </c>
    </row>
    <row r="27" spans="5:21" x14ac:dyDescent="0.25">
      <c r="E27" s="3" t="s">
        <v>25</v>
      </c>
      <c r="F27" s="3" t="s">
        <v>14</v>
      </c>
      <c r="G27" s="3" t="s">
        <v>26</v>
      </c>
      <c r="H27" s="3" t="s">
        <v>12</v>
      </c>
      <c r="I27" s="3" t="s">
        <v>11</v>
      </c>
      <c r="K27" s="3" t="s">
        <v>0</v>
      </c>
      <c r="L27" s="3" t="s">
        <v>1</v>
      </c>
      <c r="M27" s="3">
        <v>390</v>
      </c>
      <c r="N27" s="3" t="s">
        <v>12</v>
      </c>
      <c r="O27" s="3" t="s">
        <v>11</v>
      </c>
    </row>
    <row r="28" spans="5:21" x14ac:dyDescent="0.25">
      <c r="E28" t="s">
        <v>3</v>
      </c>
      <c r="F28">
        <v>195.83</v>
      </c>
      <c r="G28">
        <v>100</v>
      </c>
      <c r="H28">
        <v>128.72999999999999</v>
      </c>
      <c r="I28">
        <f>SUM(H28/F28*G28)</f>
        <v>65.735586988714687</v>
      </c>
      <c r="K28" t="s">
        <v>3</v>
      </c>
      <c r="L28">
        <v>32.5</v>
      </c>
      <c r="M28">
        <v>100</v>
      </c>
      <c r="N28">
        <v>25.75</v>
      </c>
      <c r="O28">
        <f>SUM(N28/L28*M28)</f>
        <v>79.230769230769226</v>
      </c>
    </row>
    <row r="29" spans="5:21" x14ac:dyDescent="0.25">
      <c r="E29" t="s">
        <v>4</v>
      </c>
      <c r="F29">
        <v>195.83</v>
      </c>
      <c r="G29">
        <v>100</v>
      </c>
      <c r="H29">
        <v>8.01</v>
      </c>
      <c r="I29">
        <f>SUM(H29/F29*G29)</f>
        <v>4.090282387785324</v>
      </c>
      <c r="K29" t="s">
        <v>4</v>
      </c>
      <c r="L29">
        <v>32.5</v>
      </c>
      <c r="M29">
        <v>100</v>
      </c>
      <c r="N29">
        <v>1.6</v>
      </c>
      <c r="O29">
        <f>SUM(N29/L29*M29)</f>
        <v>4.9230769230769234</v>
      </c>
    </row>
    <row r="30" spans="5:21" x14ac:dyDescent="0.25">
      <c r="E30" t="s">
        <v>5</v>
      </c>
      <c r="F30">
        <v>195.83</v>
      </c>
      <c r="G30">
        <v>100</v>
      </c>
      <c r="H30">
        <v>59.1</v>
      </c>
      <c r="I30">
        <f>SUM(H30/F30*G30)</f>
        <v>30.179237093397333</v>
      </c>
      <c r="K30" t="s">
        <v>5</v>
      </c>
      <c r="L30">
        <v>32.5</v>
      </c>
      <c r="M30">
        <v>100</v>
      </c>
      <c r="N30">
        <v>3.9</v>
      </c>
      <c r="O30">
        <f>SUM(N30/L30*M30)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C4D0-706C-41C3-90C9-305E38341A84}">
  <dimension ref="A1:E64"/>
  <sheetViews>
    <sheetView tabSelected="1" topLeftCell="A35" workbookViewId="0">
      <selection activeCell="O55" sqref="O55"/>
    </sheetView>
  </sheetViews>
  <sheetFormatPr defaultRowHeight="15" x14ac:dyDescent="0.25"/>
  <cols>
    <col min="1" max="1" width="9.140625" customWidth="1"/>
    <col min="2" max="2" width="17.42578125" customWidth="1"/>
    <col min="5" max="5" width="20.7109375" customWidth="1"/>
  </cols>
  <sheetData>
    <row r="1" spans="1:5" s="7" customFormat="1" x14ac:dyDescent="0.25">
      <c r="A1" s="7" t="s">
        <v>27</v>
      </c>
      <c r="B1" s="7" t="s">
        <v>30</v>
      </c>
      <c r="E1" s="7" t="s">
        <v>28</v>
      </c>
    </row>
    <row r="2" spans="1:5" x14ac:dyDescent="0.25">
      <c r="A2">
        <v>2.5</v>
      </c>
      <c r="E2" t="s">
        <v>31</v>
      </c>
    </row>
    <row r="3" spans="1:5" x14ac:dyDescent="0.25">
      <c r="A3">
        <v>3.75</v>
      </c>
      <c r="E3" t="s">
        <v>32</v>
      </c>
    </row>
    <row r="4" spans="1:5" x14ac:dyDescent="0.25">
      <c r="A4">
        <v>3.92</v>
      </c>
      <c r="E4" t="s">
        <v>68</v>
      </c>
    </row>
    <row r="5" spans="1:5" x14ac:dyDescent="0.25">
      <c r="A5">
        <v>4</v>
      </c>
      <c r="E5" t="s">
        <v>67</v>
      </c>
    </row>
    <row r="6" spans="1:5" x14ac:dyDescent="0.25">
      <c r="A6">
        <v>17.329999999999998</v>
      </c>
      <c r="E6" t="s">
        <v>66</v>
      </c>
    </row>
    <row r="7" spans="1:5" x14ac:dyDescent="0.25">
      <c r="A7">
        <v>21.67</v>
      </c>
      <c r="E7" t="s">
        <v>65</v>
      </c>
    </row>
    <row r="8" spans="1:5" x14ac:dyDescent="0.25">
      <c r="A8">
        <v>28</v>
      </c>
      <c r="E8" t="s">
        <v>33</v>
      </c>
    </row>
    <row r="9" spans="1:5" x14ac:dyDescent="0.25">
      <c r="A9">
        <v>30</v>
      </c>
      <c r="E9" t="s">
        <v>34</v>
      </c>
    </row>
    <row r="10" spans="1:5" x14ac:dyDescent="0.25">
      <c r="A10">
        <v>31.25</v>
      </c>
      <c r="E10" t="s">
        <v>35</v>
      </c>
    </row>
    <row r="11" spans="1:5" x14ac:dyDescent="0.25">
      <c r="A11">
        <v>32.5</v>
      </c>
      <c r="B11" t="s">
        <v>29</v>
      </c>
    </row>
    <row r="12" spans="1:5" x14ac:dyDescent="0.25">
      <c r="A12">
        <v>41.67</v>
      </c>
      <c r="E12" t="s">
        <v>36</v>
      </c>
    </row>
    <row r="13" spans="1:5" x14ac:dyDescent="0.25">
      <c r="A13">
        <v>42.5</v>
      </c>
      <c r="E13" t="s">
        <v>37</v>
      </c>
    </row>
    <row r="14" spans="1:5" x14ac:dyDescent="0.25">
      <c r="A14">
        <v>52.08</v>
      </c>
      <c r="E14" t="s">
        <v>38</v>
      </c>
    </row>
    <row r="15" spans="1:5" x14ac:dyDescent="0.25">
      <c r="A15">
        <v>60</v>
      </c>
      <c r="E15" t="s">
        <v>39</v>
      </c>
    </row>
    <row r="16" spans="1:5" x14ac:dyDescent="0.25">
      <c r="A16">
        <v>62.5</v>
      </c>
      <c r="E16" t="s">
        <v>40</v>
      </c>
    </row>
    <row r="17" spans="1:5" x14ac:dyDescent="0.25">
      <c r="A17">
        <v>71.83</v>
      </c>
      <c r="E17" t="s">
        <v>64</v>
      </c>
    </row>
    <row r="18" spans="1:5" x14ac:dyDescent="0.25">
      <c r="A18">
        <v>85</v>
      </c>
      <c r="E18" t="s">
        <v>55</v>
      </c>
    </row>
    <row r="19" spans="1:5" x14ac:dyDescent="0.25">
      <c r="A19">
        <v>102</v>
      </c>
      <c r="E19" t="s">
        <v>63</v>
      </c>
    </row>
    <row r="20" spans="1:5" x14ac:dyDescent="0.25">
      <c r="A20">
        <v>104</v>
      </c>
      <c r="E20" t="s">
        <v>62</v>
      </c>
    </row>
    <row r="21" spans="1:5" x14ac:dyDescent="0.25">
      <c r="A21">
        <v>107.75</v>
      </c>
      <c r="E21" t="s">
        <v>41</v>
      </c>
    </row>
    <row r="22" spans="1:5" x14ac:dyDescent="0.25">
      <c r="A22">
        <v>117.75</v>
      </c>
      <c r="E22" t="s">
        <v>61</v>
      </c>
    </row>
    <row r="23" spans="1:5" x14ac:dyDescent="0.25">
      <c r="A23">
        <v>120</v>
      </c>
      <c r="E23" t="s">
        <v>42</v>
      </c>
    </row>
    <row r="24" spans="1:5" x14ac:dyDescent="0.25">
      <c r="A24">
        <v>125</v>
      </c>
      <c r="E24" t="s">
        <v>43</v>
      </c>
    </row>
    <row r="25" spans="1:5" x14ac:dyDescent="0.25">
      <c r="A25">
        <v>143.66999999999999</v>
      </c>
      <c r="E25" t="s">
        <v>44</v>
      </c>
    </row>
    <row r="26" spans="1:5" x14ac:dyDescent="0.25">
      <c r="A26">
        <v>156.66999999999999</v>
      </c>
      <c r="E26" t="s">
        <v>45</v>
      </c>
    </row>
    <row r="27" spans="1:5" x14ac:dyDescent="0.25">
      <c r="A27">
        <v>179.58</v>
      </c>
      <c r="E27" t="s">
        <v>46</v>
      </c>
    </row>
    <row r="28" spans="1:5" x14ac:dyDescent="0.25">
      <c r="A28">
        <v>195.83</v>
      </c>
      <c r="E28" t="s">
        <v>47</v>
      </c>
    </row>
    <row r="29" spans="1:5" x14ac:dyDescent="0.25">
      <c r="A29">
        <v>215.5</v>
      </c>
      <c r="E29" t="s">
        <v>48</v>
      </c>
    </row>
    <row r="30" spans="1:5" x14ac:dyDescent="0.25">
      <c r="A30">
        <v>232.5</v>
      </c>
      <c r="E30" t="s">
        <v>60</v>
      </c>
    </row>
    <row r="31" spans="1:5" x14ac:dyDescent="0.25">
      <c r="A31">
        <v>235</v>
      </c>
      <c r="E31" t="s">
        <v>49</v>
      </c>
    </row>
    <row r="32" spans="1:5" x14ac:dyDescent="0.25">
      <c r="A32">
        <v>245.33</v>
      </c>
      <c r="E32" t="s">
        <v>59</v>
      </c>
    </row>
    <row r="33" spans="1:5" x14ac:dyDescent="0.25">
      <c r="A33">
        <v>250.83</v>
      </c>
      <c r="E33" t="s">
        <v>58</v>
      </c>
    </row>
    <row r="34" spans="1:5" x14ac:dyDescent="0.25">
      <c r="A34">
        <v>306.67</v>
      </c>
      <c r="E34" t="s">
        <v>57</v>
      </c>
    </row>
    <row r="35" spans="1:5" x14ac:dyDescent="0.25">
      <c r="A35">
        <v>339.17</v>
      </c>
      <c r="E35" t="s">
        <v>56</v>
      </c>
    </row>
    <row r="36" spans="1:5" x14ac:dyDescent="0.25">
      <c r="A36">
        <v>348</v>
      </c>
      <c r="E36" t="s">
        <v>56</v>
      </c>
    </row>
    <row r="37" spans="1:5" x14ac:dyDescent="0.25">
      <c r="A37">
        <v>354.58</v>
      </c>
    </row>
    <row r="38" spans="1:5" x14ac:dyDescent="0.25">
      <c r="A38">
        <v>368</v>
      </c>
      <c r="E38" t="s">
        <v>50</v>
      </c>
    </row>
    <row r="39" spans="1:5" x14ac:dyDescent="0.25">
      <c r="A39">
        <v>407</v>
      </c>
      <c r="E39" t="s">
        <v>51</v>
      </c>
    </row>
    <row r="40" spans="1:5" x14ac:dyDescent="0.25">
      <c r="A40">
        <v>470</v>
      </c>
      <c r="E40" t="s">
        <v>52</v>
      </c>
    </row>
    <row r="41" spans="1:5" x14ac:dyDescent="0.25">
      <c r="A41">
        <v>736</v>
      </c>
      <c r="E41" t="s">
        <v>53</v>
      </c>
    </row>
    <row r="42" spans="1:5" x14ac:dyDescent="0.25">
      <c r="A42">
        <v>814</v>
      </c>
      <c r="E42" t="s">
        <v>54</v>
      </c>
    </row>
    <row r="43" spans="1:5" x14ac:dyDescent="0.25">
      <c r="A43">
        <v>29.25</v>
      </c>
      <c r="E43" t="s">
        <v>69</v>
      </c>
    </row>
    <row r="44" spans="1:5" x14ac:dyDescent="0.25">
      <c r="A44">
        <v>71</v>
      </c>
      <c r="E44" t="s">
        <v>70</v>
      </c>
    </row>
    <row r="45" spans="1:5" x14ac:dyDescent="0.25">
      <c r="A45">
        <v>106.5</v>
      </c>
      <c r="E45" t="s">
        <v>71</v>
      </c>
    </row>
    <row r="46" spans="1:5" x14ac:dyDescent="0.25">
      <c r="A46">
        <v>142</v>
      </c>
      <c r="E46" t="s">
        <v>72</v>
      </c>
    </row>
    <row r="47" spans="1:5" x14ac:dyDescent="0.25">
      <c r="A47">
        <v>245.33</v>
      </c>
      <c r="E47" t="s">
        <v>59</v>
      </c>
    </row>
    <row r="48" spans="1:5" x14ac:dyDescent="0.25">
      <c r="A48">
        <v>306.67</v>
      </c>
      <c r="E48" t="s">
        <v>57</v>
      </c>
    </row>
    <row r="49" spans="1:5" x14ac:dyDescent="0.25">
      <c r="A49">
        <v>271.33</v>
      </c>
      <c r="E49" t="s">
        <v>73</v>
      </c>
    </row>
    <row r="50" spans="1:5" x14ac:dyDescent="0.25">
      <c r="A50">
        <v>430</v>
      </c>
      <c r="E50" t="s">
        <v>74</v>
      </c>
    </row>
    <row r="51" spans="1:5" x14ac:dyDescent="0.25">
      <c r="A51">
        <v>117.5</v>
      </c>
      <c r="E51" t="s">
        <v>61</v>
      </c>
    </row>
    <row r="52" spans="1:5" x14ac:dyDescent="0.25">
      <c r="A52">
        <v>35.92</v>
      </c>
      <c r="E52" t="s">
        <v>86</v>
      </c>
    </row>
    <row r="53" spans="1:5" x14ac:dyDescent="0.25">
      <c r="A53">
        <v>39.17</v>
      </c>
      <c r="E53" t="s">
        <v>87</v>
      </c>
    </row>
    <row r="54" spans="1:5" x14ac:dyDescent="0.25">
      <c r="A54">
        <v>78.33</v>
      </c>
      <c r="E54" t="s">
        <v>75</v>
      </c>
    </row>
    <row r="55" spans="1:5" x14ac:dyDescent="0.25">
      <c r="A55">
        <v>182.75</v>
      </c>
      <c r="E55" t="s">
        <v>76</v>
      </c>
    </row>
    <row r="56" spans="1:5" x14ac:dyDescent="0.25">
      <c r="A56">
        <v>731</v>
      </c>
      <c r="B56" t="s">
        <v>77</v>
      </c>
      <c r="D56">
        <v>426</v>
      </c>
      <c r="E56" t="s">
        <v>79</v>
      </c>
    </row>
    <row r="57" spans="1:5" x14ac:dyDescent="0.25">
      <c r="A57">
        <v>736</v>
      </c>
      <c r="B57" t="s">
        <v>78</v>
      </c>
      <c r="D57">
        <v>305</v>
      </c>
      <c r="E57" t="s">
        <v>80</v>
      </c>
    </row>
    <row r="58" spans="1:5" x14ac:dyDescent="0.25">
      <c r="D58">
        <v>431</v>
      </c>
      <c r="E58" t="s">
        <v>81</v>
      </c>
    </row>
    <row r="59" spans="1:5" x14ac:dyDescent="0.25">
      <c r="A59">
        <v>29.25</v>
      </c>
      <c r="E59" t="s">
        <v>88</v>
      </c>
    </row>
    <row r="60" spans="1:5" x14ac:dyDescent="0.25">
      <c r="A60">
        <v>809</v>
      </c>
      <c r="B60" t="s">
        <v>82</v>
      </c>
    </row>
    <row r="61" spans="1:5" x14ac:dyDescent="0.25">
      <c r="A61">
        <v>465</v>
      </c>
      <c r="E61" t="s">
        <v>83</v>
      </c>
    </row>
    <row r="62" spans="1:5" x14ac:dyDescent="0.25">
      <c r="A62">
        <v>814</v>
      </c>
      <c r="B62" t="s">
        <v>84</v>
      </c>
    </row>
    <row r="63" spans="1:5" x14ac:dyDescent="0.25">
      <c r="A63">
        <v>470</v>
      </c>
      <c r="E63" t="s">
        <v>85</v>
      </c>
    </row>
    <row r="64" spans="1:5" x14ac:dyDescent="0.25">
      <c r="A64">
        <v>344</v>
      </c>
    </row>
  </sheetData>
  <sortState xmlns:xlrd2="http://schemas.microsoft.com/office/spreadsheetml/2017/richdata2" ref="A2:E42">
    <sortCondition ref="A2:A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1731-DC38-4C6A-BF21-4490E8E2C161}">
  <dimension ref="A1:U49"/>
  <sheetViews>
    <sheetView workbookViewId="0">
      <selection activeCell="K28" sqref="K28"/>
    </sheetView>
  </sheetViews>
  <sheetFormatPr defaultRowHeight="15" x14ac:dyDescent="0.25"/>
  <cols>
    <col min="1" max="1" width="9" bestFit="1" customWidth="1"/>
    <col min="2" max="6" width="11.42578125" bestFit="1" customWidth="1"/>
  </cols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21" x14ac:dyDescent="0.25">
      <c r="A2">
        <v>1</v>
      </c>
      <c r="B2" s="3" t="s">
        <v>0</v>
      </c>
      <c r="C2" s="3" t="s">
        <v>14</v>
      </c>
      <c r="D2" s="3" t="s">
        <v>17</v>
      </c>
      <c r="E2" s="3" t="s">
        <v>11</v>
      </c>
      <c r="F2" s="3" t="s">
        <v>12</v>
      </c>
    </row>
    <row r="3" spans="1:21" x14ac:dyDescent="0.25">
      <c r="B3" t="s">
        <v>3</v>
      </c>
      <c r="C3">
        <v>39.17</v>
      </c>
      <c r="D3">
        <v>100</v>
      </c>
      <c r="E3" s="4">
        <v>0.657355869887147</v>
      </c>
      <c r="F3" s="5">
        <f>C3*E3</f>
        <v>25.748629423479549</v>
      </c>
    </row>
    <row r="4" spans="1:21" x14ac:dyDescent="0.25">
      <c r="B4" t="s">
        <v>4</v>
      </c>
      <c r="C4">
        <v>39.17</v>
      </c>
      <c r="D4">
        <v>100</v>
      </c>
      <c r="E4" s="4">
        <v>4.0902823877853198E-2</v>
      </c>
      <c r="F4" s="5">
        <f t="shared" ref="F4:F49" si="0">C4*E4</f>
        <v>1.6021636112955098</v>
      </c>
    </row>
    <row r="5" spans="1:21" x14ac:dyDescent="0.25">
      <c r="B5" t="s">
        <v>5</v>
      </c>
      <c r="C5">
        <v>39.17</v>
      </c>
      <c r="D5">
        <v>100</v>
      </c>
      <c r="E5" s="4">
        <v>0.30179237093397299</v>
      </c>
      <c r="F5" s="5">
        <f t="shared" si="0"/>
        <v>11.821207169483722</v>
      </c>
    </row>
    <row r="6" spans="1:21" x14ac:dyDescent="0.25">
      <c r="A6">
        <v>2</v>
      </c>
      <c r="B6" s="3" t="s">
        <v>0</v>
      </c>
      <c r="C6" s="3" t="s">
        <v>14</v>
      </c>
      <c r="D6" s="3" t="s">
        <v>17</v>
      </c>
      <c r="E6" s="3" t="s">
        <v>11</v>
      </c>
      <c r="F6" s="3" t="s">
        <v>12</v>
      </c>
    </row>
    <row r="7" spans="1:21" x14ac:dyDescent="0.25">
      <c r="B7" t="s">
        <v>3</v>
      </c>
      <c r="C7">
        <v>78.33</v>
      </c>
      <c r="D7">
        <v>100</v>
      </c>
      <c r="E7" s="4">
        <v>0.657355869887147</v>
      </c>
      <c r="F7" s="5">
        <f t="shared" si="0"/>
        <v>51.490685288260224</v>
      </c>
    </row>
    <row r="8" spans="1:21" x14ac:dyDescent="0.25">
      <c r="B8" t="s">
        <v>4</v>
      </c>
      <c r="C8">
        <v>78.33</v>
      </c>
      <c r="D8">
        <v>100</v>
      </c>
      <c r="E8" s="4">
        <v>4.0902823877853198E-2</v>
      </c>
      <c r="F8" s="5">
        <f t="shared" si="0"/>
        <v>3.2039181943522408</v>
      </c>
      <c r="Q8">
        <v>470</v>
      </c>
      <c r="R8">
        <v>12</v>
      </c>
      <c r="S8">
        <f>SUM(Q8/R8)</f>
        <v>39.166666666666664</v>
      </c>
      <c r="U8" s="2">
        <v>0.657355869887147</v>
      </c>
    </row>
    <row r="9" spans="1:21" x14ac:dyDescent="0.25">
      <c r="B9" t="s">
        <v>5</v>
      </c>
      <c r="C9">
        <v>78.33</v>
      </c>
      <c r="D9">
        <v>100</v>
      </c>
      <c r="E9" s="4">
        <v>0.30179237093397299</v>
      </c>
      <c r="F9" s="5">
        <f t="shared" si="0"/>
        <v>23.639396415258105</v>
      </c>
      <c r="S9">
        <v>39.166600000000003</v>
      </c>
      <c r="U9" s="2">
        <v>4.0902823877853198E-2</v>
      </c>
    </row>
    <row r="10" spans="1:21" x14ac:dyDescent="0.25">
      <c r="A10">
        <v>3</v>
      </c>
      <c r="B10" s="3" t="s">
        <v>0</v>
      </c>
      <c r="C10" s="3" t="s">
        <v>14</v>
      </c>
      <c r="D10" s="3" t="s">
        <v>17</v>
      </c>
      <c r="E10" s="3" t="s">
        <v>11</v>
      </c>
      <c r="F10" s="3" t="s">
        <v>12</v>
      </c>
      <c r="R10" s="1">
        <v>1</v>
      </c>
      <c r="S10" s="5">
        <f>SUM(S9*R10)</f>
        <v>39.166600000000003</v>
      </c>
      <c r="U10" s="2">
        <v>0.30179237093397299</v>
      </c>
    </row>
    <row r="11" spans="1:21" x14ac:dyDescent="0.25">
      <c r="B11" t="s">
        <v>3</v>
      </c>
      <c r="C11">
        <v>117.5</v>
      </c>
      <c r="D11">
        <v>100</v>
      </c>
      <c r="E11" s="4">
        <v>0.657355869887147</v>
      </c>
      <c r="F11" s="5">
        <f t="shared" si="0"/>
        <v>77.239314711739766</v>
      </c>
      <c r="R11" s="1">
        <v>2</v>
      </c>
      <c r="S11" s="5">
        <f>SUM(S9*2)</f>
        <v>78.333200000000005</v>
      </c>
    </row>
    <row r="12" spans="1:21" x14ac:dyDescent="0.25">
      <c r="B12" t="s">
        <v>4</v>
      </c>
      <c r="C12">
        <v>117.5</v>
      </c>
      <c r="D12">
        <v>100</v>
      </c>
      <c r="E12" s="4">
        <v>4.0902823877853198E-2</v>
      </c>
      <c r="F12" s="5">
        <f t="shared" si="0"/>
        <v>4.806081805647751</v>
      </c>
      <c r="R12" s="1">
        <v>3</v>
      </c>
      <c r="S12" s="5">
        <f>SUM(S9*3)</f>
        <v>117.49980000000001</v>
      </c>
    </row>
    <row r="13" spans="1:21" x14ac:dyDescent="0.25">
      <c r="B13" t="s">
        <v>5</v>
      </c>
      <c r="C13">
        <v>117.5</v>
      </c>
      <c r="D13">
        <v>100</v>
      </c>
      <c r="E13" s="4">
        <v>0.30179237093397299</v>
      </c>
      <c r="F13" s="5">
        <f t="shared" si="0"/>
        <v>35.460603584741826</v>
      </c>
      <c r="R13" s="1">
        <v>4</v>
      </c>
      <c r="S13" s="5">
        <f>SUM(S9*4)</f>
        <v>156.66640000000001</v>
      </c>
    </row>
    <row r="14" spans="1:21" x14ac:dyDescent="0.25">
      <c r="A14">
        <v>4</v>
      </c>
      <c r="B14" s="3" t="s">
        <v>0</v>
      </c>
      <c r="C14" s="3" t="s">
        <v>14</v>
      </c>
      <c r="D14" s="3" t="s">
        <v>17</v>
      </c>
      <c r="E14" s="3" t="s">
        <v>11</v>
      </c>
      <c r="F14" s="3" t="s">
        <v>12</v>
      </c>
      <c r="R14" s="1">
        <v>5</v>
      </c>
      <c r="S14" s="5">
        <f>SUM(S9*5)</f>
        <v>195.83300000000003</v>
      </c>
    </row>
    <row r="15" spans="1:21" x14ac:dyDescent="0.25">
      <c r="B15" t="s">
        <v>3</v>
      </c>
      <c r="C15">
        <v>156.66999999999999</v>
      </c>
      <c r="D15">
        <v>100</v>
      </c>
      <c r="E15" s="4">
        <v>0.657355869887147</v>
      </c>
      <c r="F15" s="5">
        <f t="shared" si="0"/>
        <v>102.98794413521931</v>
      </c>
      <c r="R15" s="1">
        <v>6</v>
      </c>
      <c r="S15" s="5">
        <f>SUM(S9*6)</f>
        <v>234.99960000000002</v>
      </c>
    </row>
    <row r="16" spans="1:21" x14ac:dyDescent="0.25">
      <c r="B16" t="s">
        <v>4</v>
      </c>
      <c r="C16">
        <v>156.66999999999999</v>
      </c>
      <c r="D16">
        <v>100</v>
      </c>
      <c r="E16" s="4">
        <v>4.0902823877853198E-2</v>
      </c>
      <c r="F16" s="5">
        <f t="shared" si="0"/>
        <v>6.4082454169432603</v>
      </c>
      <c r="R16" s="1">
        <v>7</v>
      </c>
      <c r="S16" s="5">
        <f>SUM(S9*7)</f>
        <v>274.1662</v>
      </c>
    </row>
    <row r="17" spans="1:19" x14ac:dyDescent="0.25">
      <c r="B17" t="s">
        <v>5</v>
      </c>
      <c r="C17">
        <v>156.66999999999999</v>
      </c>
      <c r="D17">
        <v>100</v>
      </c>
      <c r="E17" s="4">
        <v>0.30179237093397299</v>
      </c>
      <c r="F17" s="5">
        <f t="shared" si="0"/>
        <v>47.281810754225546</v>
      </c>
      <c r="R17" s="1">
        <v>8</v>
      </c>
      <c r="S17" s="5">
        <f>SUM(S9*8)</f>
        <v>313.33280000000002</v>
      </c>
    </row>
    <row r="18" spans="1:19" x14ac:dyDescent="0.25">
      <c r="A18">
        <v>5</v>
      </c>
      <c r="B18" s="3" t="s">
        <v>0</v>
      </c>
      <c r="C18" s="3" t="s">
        <v>14</v>
      </c>
      <c r="D18" s="3" t="s">
        <v>17</v>
      </c>
      <c r="E18" s="3" t="s">
        <v>11</v>
      </c>
      <c r="F18" s="3" t="s">
        <v>12</v>
      </c>
      <c r="H18" s="3" t="s">
        <v>25</v>
      </c>
      <c r="I18" s="3" t="s">
        <v>14</v>
      </c>
      <c r="J18" s="3" t="s">
        <v>26</v>
      </c>
      <c r="K18" s="3" t="s">
        <v>12</v>
      </c>
      <c r="L18" s="3" t="s">
        <v>11</v>
      </c>
      <c r="R18" s="1">
        <v>9</v>
      </c>
      <c r="S18" s="5">
        <f>SUM(S9*9)</f>
        <v>352.49940000000004</v>
      </c>
    </row>
    <row r="19" spans="1:19" x14ac:dyDescent="0.25">
      <c r="B19" t="s">
        <v>3</v>
      </c>
      <c r="C19">
        <v>195.83</v>
      </c>
      <c r="D19">
        <v>100</v>
      </c>
      <c r="E19" s="4">
        <v>0.657355869887147</v>
      </c>
      <c r="F19" s="5">
        <f t="shared" si="0"/>
        <v>128.73000000000002</v>
      </c>
      <c r="H19" t="s">
        <v>3</v>
      </c>
      <c r="I19">
        <v>195.83</v>
      </c>
      <c r="J19">
        <v>100</v>
      </c>
      <c r="K19">
        <v>128.72999999999999</v>
      </c>
      <c r="L19">
        <f>SUM(K19/I19*J19)</f>
        <v>65.735586988714687</v>
      </c>
      <c r="R19" s="1">
        <v>10</v>
      </c>
      <c r="S19" s="5">
        <f>SUM(S9*10)</f>
        <v>391.66600000000005</v>
      </c>
    </row>
    <row r="20" spans="1:19" x14ac:dyDescent="0.25">
      <c r="B20" t="s">
        <v>4</v>
      </c>
      <c r="C20">
        <v>195.83</v>
      </c>
      <c r="D20">
        <v>100</v>
      </c>
      <c r="E20" s="4">
        <v>4.0902823877853198E-2</v>
      </c>
      <c r="F20" s="5">
        <f t="shared" si="0"/>
        <v>8.0099999999999927</v>
      </c>
      <c r="H20" t="s">
        <v>4</v>
      </c>
      <c r="I20">
        <v>195.83</v>
      </c>
      <c r="J20">
        <v>100</v>
      </c>
      <c r="K20">
        <v>8.01</v>
      </c>
      <c r="L20">
        <f>SUM(K20/I20*J20)</f>
        <v>4.090282387785324</v>
      </c>
      <c r="R20" s="1">
        <v>11</v>
      </c>
      <c r="S20" s="5">
        <f>SUM(S9*11)</f>
        <v>430.83260000000001</v>
      </c>
    </row>
    <row r="21" spans="1:19" x14ac:dyDescent="0.25">
      <c r="B21" t="s">
        <v>5</v>
      </c>
      <c r="C21">
        <v>195.83</v>
      </c>
      <c r="D21">
        <v>100</v>
      </c>
      <c r="E21" s="4">
        <v>0.30179237093397299</v>
      </c>
      <c r="F21" s="5">
        <f t="shared" si="0"/>
        <v>59.09999999999993</v>
      </c>
      <c r="H21" t="s">
        <v>5</v>
      </c>
      <c r="I21">
        <v>195.83</v>
      </c>
      <c r="J21">
        <v>100</v>
      </c>
      <c r="K21">
        <v>59.1</v>
      </c>
      <c r="L21">
        <f>SUM(K21/I21*J21)</f>
        <v>30.179237093397333</v>
      </c>
      <c r="R21" s="1">
        <v>12</v>
      </c>
      <c r="S21" s="5">
        <f>SUM(S9*12)</f>
        <v>469.99920000000003</v>
      </c>
    </row>
    <row r="22" spans="1:19" x14ac:dyDescent="0.25">
      <c r="A22">
        <v>6</v>
      </c>
      <c r="B22" s="3" t="s">
        <v>0</v>
      </c>
      <c r="C22" s="3" t="s">
        <v>14</v>
      </c>
      <c r="D22" s="3" t="s">
        <v>17</v>
      </c>
      <c r="E22" s="3" t="s">
        <v>11</v>
      </c>
      <c r="F22" s="3" t="s">
        <v>12</v>
      </c>
    </row>
    <row r="23" spans="1:19" x14ac:dyDescent="0.25">
      <c r="B23" t="s">
        <v>3</v>
      </c>
      <c r="C23">
        <v>235</v>
      </c>
      <c r="D23">
        <v>100</v>
      </c>
      <c r="E23" s="4">
        <v>0.657355869887147</v>
      </c>
      <c r="F23" s="5">
        <f t="shared" si="0"/>
        <v>154.47862942347953</v>
      </c>
    </row>
    <row r="24" spans="1:19" x14ac:dyDescent="0.25">
      <c r="B24" t="s">
        <v>4</v>
      </c>
      <c r="C24">
        <v>235</v>
      </c>
      <c r="D24">
        <v>100</v>
      </c>
      <c r="E24" s="4">
        <v>4.0902823877853198E-2</v>
      </c>
      <c r="F24" s="5">
        <f t="shared" si="0"/>
        <v>9.612163611295502</v>
      </c>
    </row>
    <row r="25" spans="1:19" x14ac:dyDescent="0.25">
      <c r="B25" t="s">
        <v>5</v>
      </c>
      <c r="C25">
        <v>235</v>
      </c>
      <c r="D25">
        <v>100</v>
      </c>
      <c r="E25" s="4">
        <v>0.30179237093397299</v>
      </c>
      <c r="F25" s="5">
        <f t="shared" si="0"/>
        <v>70.921207169483651</v>
      </c>
    </row>
    <row r="26" spans="1:19" x14ac:dyDescent="0.25">
      <c r="A26">
        <v>7</v>
      </c>
      <c r="B26" s="3" t="s">
        <v>0</v>
      </c>
      <c r="C26" s="3" t="s">
        <v>14</v>
      </c>
      <c r="D26" s="3" t="s">
        <v>17</v>
      </c>
      <c r="E26" s="3" t="s">
        <v>11</v>
      </c>
      <c r="F26" s="3" t="s">
        <v>12</v>
      </c>
    </row>
    <row r="27" spans="1:19" x14ac:dyDescent="0.25">
      <c r="B27" t="s">
        <v>3</v>
      </c>
      <c r="C27">
        <v>274.17</v>
      </c>
      <c r="D27">
        <v>100</v>
      </c>
      <c r="E27" s="4">
        <v>0.657355869887147</v>
      </c>
      <c r="F27" s="5">
        <f t="shared" si="0"/>
        <v>180.2272588469591</v>
      </c>
    </row>
    <row r="28" spans="1:19" x14ac:dyDescent="0.25">
      <c r="B28" t="s">
        <v>4</v>
      </c>
      <c r="C28">
        <v>274.17</v>
      </c>
      <c r="D28">
        <v>100</v>
      </c>
      <c r="E28" s="4">
        <v>4.0902823877853198E-2</v>
      </c>
      <c r="F28" s="5">
        <f t="shared" si="0"/>
        <v>11.214327222591011</v>
      </c>
    </row>
    <row r="29" spans="1:19" x14ac:dyDescent="0.25">
      <c r="B29" t="s">
        <v>5</v>
      </c>
      <c r="C29">
        <v>274.17</v>
      </c>
      <c r="D29">
        <v>100</v>
      </c>
      <c r="E29" s="4">
        <v>0.30179237093397299</v>
      </c>
      <c r="F29" s="5">
        <f t="shared" si="0"/>
        <v>82.742414338967379</v>
      </c>
    </row>
    <row r="30" spans="1:19" x14ac:dyDescent="0.25">
      <c r="A30">
        <v>8</v>
      </c>
      <c r="B30" s="3" t="s">
        <v>0</v>
      </c>
      <c r="C30" s="3" t="s">
        <v>14</v>
      </c>
      <c r="D30" s="3" t="s">
        <v>17</v>
      </c>
      <c r="E30" s="3" t="s">
        <v>11</v>
      </c>
      <c r="F30" s="3" t="s">
        <v>12</v>
      </c>
    </row>
    <row r="31" spans="1:19" x14ac:dyDescent="0.25">
      <c r="B31" t="s">
        <v>3</v>
      </c>
      <c r="C31">
        <v>313.33</v>
      </c>
      <c r="D31">
        <v>100</v>
      </c>
      <c r="E31" s="4">
        <v>0.657355869887147</v>
      </c>
      <c r="F31" s="5">
        <f t="shared" si="0"/>
        <v>205.96931471173977</v>
      </c>
    </row>
    <row r="32" spans="1:19" x14ac:dyDescent="0.25">
      <c r="B32" t="s">
        <v>4</v>
      </c>
      <c r="C32">
        <v>313.33</v>
      </c>
      <c r="D32">
        <v>100</v>
      </c>
      <c r="E32" s="4">
        <v>4.0902823877853198E-2</v>
      </c>
      <c r="F32" s="5">
        <f t="shared" si="0"/>
        <v>12.816081805647741</v>
      </c>
    </row>
    <row r="33" spans="1:6" x14ac:dyDescent="0.25">
      <c r="B33" t="s">
        <v>5</v>
      </c>
      <c r="C33">
        <v>313.33</v>
      </c>
      <c r="D33">
        <v>100</v>
      </c>
      <c r="E33" s="4">
        <v>0.30179237093397299</v>
      </c>
      <c r="F33" s="5">
        <f t="shared" si="0"/>
        <v>94.560603584741756</v>
      </c>
    </row>
    <row r="34" spans="1:6" x14ac:dyDescent="0.25">
      <c r="A34">
        <v>9</v>
      </c>
      <c r="B34" s="3" t="s">
        <v>0</v>
      </c>
      <c r="C34" s="3" t="s">
        <v>14</v>
      </c>
      <c r="D34" s="3" t="s">
        <v>17</v>
      </c>
      <c r="E34" s="3" t="s">
        <v>11</v>
      </c>
      <c r="F34" s="3" t="s">
        <v>12</v>
      </c>
    </row>
    <row r="35" spans="1:6" x14ac:dyDescent="0.25">
      <c r="B35" t="s">
        <v>3</v>
      </c>
      <c r="C35">
        <v>352.5</v>
      </c>
      <c r="D35">
        <v>100</v>
      </c>
      <c r="E35" s="4">
        <v>0.657355869887147</v>
      </c>
      <c r="F35" s="5">
        <f t="shared" si="0"/>
        <v>231.71794413521931</v>
      </c>
    </row>
    <row r="36" spans="1:6" x14ac:dyDescent="0.25">
      <c r="B36" t="s">
        <v>4</v>
      </c>
      <c r="C36">
        <v>352.5</v>
      </c>
      <c r="D36">
        <v>100</v>
      </c>
      <c r="E36" s="4">
        <v>4.0902823877853198E-2</v>
      </c>
      <c r="F36" s="5">
        <f t="shared" si="0"/>
        <v>14.418245416943252</v>
      </c>
    </row>
    <row r="37" spans="1:6" x14ac:dyDescent="0.25">
      <c r="B37" t="s">
        <v>5</v>
      </c>
      <c r="C37">
        <v>352.5</v>
      </c>
      <c r="D37">
        <v>100</v>
      </c>
      <c r="E37" s="4">
        <v>0.30179237093397299</v>
      </c>
      <c r="F37" s="5">
        <f t="shared" si="0"/>
        <v>106.38181075422548</v>
      </c>
    </row>
    <row r="38" spans="1:6" x14ac:dyDescent="0.25">
      <c r="A38">
        <v>10</v>
      </c>
      <c r="B38" s="3" t="s">
        <v>0</v>
      </c>
      <c r="C38" s="3" t="s">
        <v>14</v>
      </c>
      <c r="D38" s="3" t="s">
        <v>17</v>
      </c>
      <c r="E38" s="3" t="s">
        <v>11</v>
      </c>
      <c r="F38" s="3" t="s">
        <v>12</v>
      </c>
    </row>
    <row r="39" spans="1:6" x14ac:dyDescent="0.25">
      <c r="B39" t="s">
        <v>3</v>
      </c>
      <c r="C39">
        <v>391.67</v>
      </c>
      <c r="D39">
        <v>100</v>
      </c>
      <c r="E39" s="4">
        <v>0.657355869887147</v>
      </c>
      <c r="F39" s="5">
        <f t="shared" si="0"/>
        <v>257.46657355869888</v>
      </c>
    </row>
    <row r="40" spans="1:6" x14ac:dyDescent="0.25">
      <c r="B40" t="s">
        <v>4</v>
      </c>
      <c r="C40">
        <v>391.67</v>
      </c>
      <c r="D40">
        <v>100</v>
      </c>
      <c r="E40" s="4">
        <v>4.0902823877853198E-2</v>
      </c>
      <c r="F40" s="5">
        <f t="shared" si="0"/>
        <v>16.020409028238763</v>
      </c>
    </row>
    <row r="41" spans="1:6" x14ac:dyDescent="0.25">
      <c r="B41" t="s">
        <v>5</v>
      </c>
      <c r="C41">
        <v>391.67</v>
      </c>
      <c r="D41">
        <v>100</v>
      </c>
      <c r="E41" s="4">
        <v>0.30179237093397299</v>
      </c>
      <c r="F41" s="5">
        <f t="shared" si="0"/>
        <v>118.20301792370921</v>
      </c>
    </row>
    <row r="42" spans="1:6" x14ac:dyDescent="0.25">
      <c r="A42">
        <v>11</v>
      </c>
      <c r="B42" s="3" t="s">
        <v>0</v>
      </c>
      <c r="C42" s="3" t="s">
        <v>14</v>
      </c>
      <c r="D42" s="3" t="s">
        <v>17</v>
      </c>
      <c r="E42" s="3" t="s">
        <v>11</v>
      </c>
      <c r="F42" s="3" t="s">
        <v>12</v>
      </c>
    </row>
    <row r="43" spans="1:6" x14ac:dyDescent="0.25">
      <c r="B43" t="s">
        <v>3</v>
      </c>
      <c r="C43">
        <v>430.83</v>
      </c>
      <c r="D43">
        <v>100</v>
      </c>
      <c r="E43" s="4">
        <v>0.657355869887147</v>
      </c>
      <c r="F43" s="5">
        <f t="shared" si="0"/>
        <v>283.20862942347952</v>
      </c>
    </row>
    <row r="44" spans="1:6" x14ac:dyDescent="0.25">
      <c r="B44" t="s">
        <v>4</v>
      </c>
      <c r="C44">
        <v>430.83</v>
      </c>
      <c r="D44">
        <v>100</v>
      </c>
      <c r="E44" s="4">
        <v>4.0902823877853198E-2</v>
      </c>
      <c r="F44" s="5">
        <f t="shared" si="0"/>
        <v>17.622163611295491</v>
      </c>
    </row>
    <row r="45" spans="1:6" x14ac:dyDescent="0.25">
      <c r="B45" t="s">
        <v>5</v>
      </c>
      <c r="C45">
        <v>430.83</v>
      </c>
      <c r="D45">
        <v>100</v>
      </c>
      <c r="E45" s="4">
        <v>0.30179237093397299</v>
      </c>
      <c r="F45" s="5">
        <f t="shared" si="0"/>
        <v>130.02120716948357</v>
      </c>
    </row>
    <row r="46" spans="1:6" x14ac:dyDescent="0.25">
      <c r="A46">
        <v>12</v>
      </c>
      <c r="B46" s="3" t="s">
        <v>0</v>
      </c>
      <c r="C46" s="3" t="s">
        <v>14</v>
      </c>
      <c r="D46" s="3" t="s">
        <v>17</v>
      </c>
      <c r="E46" s="3" t="s">
        <v>11</v>
      </c>
      <c r="F46" s="3" t="s">
        <v>12</v>
      </c>
    </row>
    <row r="47" spans="1:6" x14ac:dyDescent="0.25">
      <c r="B47" t="s">
        <v>3</v>
      </c>
      <c r="C47">
        <v>470</v>
      </c>
      <c r="D47">
        <v>100</v>
      </c>
      <c r="E47" s="4">
        <v>0.657355869887147</v>
      </c>
      <c r="F47" s="5">
        <f t="shared" si="0"/>
        <v>308.95725884695906</v>
      </c>
    </row>
    <row r="48" spans="1:6" x14ac:dyDescent="0.25">
      <c r="B48" t="s">
        <v>4</v>
      </c>
      <c r="C48">
        <v>470</v>
      </c>
      <c r="D48">
        <v>100</v>
      </c>
      <c r="E48" s="4">
        <v>4.0902823877853198E-2</v>
      </c>
      <c r="F48" s="5">
        <f t="shared" si="0"/>
        <v>19.224327222591004</v>
      </c>
    </row>
    <row r="49" spans="2:6" x14ac:dyDescent="0.25">
      <c r="B49" t="s">
        <v>5</v>
      </c>
      <c r="C49">
        <v>470</v>
      </c>
      <c r="D49">
        <v>100</v>
      </c>
      <c r="E49" s="4">
        <v>0.30179237093397299</v>
      </c>
      <c r="F49" s="5">
        <f t="shared" si="0"/>
        <v>141.8424143389673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A3C1-61B0-42B6-A805-34AE19D8159B}">
  <dimension ref="A1:M49"/>
  <sheetViews>
    <sheetView workbookViewId="0">
      <selection sqref="A1:F1048576"/>
    </sheetView>
  </sheetViews>
  <sheetFormatPr defaultRowHeight="15" x14ac:dyDescent="0.25"/>
  <cols>
    <col min="1" max="1" width="9" bestFit="1" customWidth="1"/>
    <col min="2" max="6" width="11.42578125" bestFit="1" customWidth="1"/>
    <col min="9" max="9" width="7.140625" bestFit="1" customWidth="1"/>
    <col min="13" max="13" width="14.7109375" bestFit="1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13" x14ac:dyDescent="0.25">
      <c r="A2">
        <v>1</v>
      </c>
      <c r="B2" s="3" t="s">
        <v>0</v>
      </c>
      <c r="C2" s="3" t="s">
        <v>14</v>
      </c>
      <c r="D2" s="3" t="s">
        <v>17</v>
      </c>
      <c r="E2" s="3" t="s">
        <v>11</v>
      </c>
      <c r="F2" s="3" t="s">
        <v>12</v>
      </c>
    </row>
    <row r="3" spans="1:13" x14ac:dyDescent="0.25">
      <c r="B3" t="s">
        <v>3</v>
      </c>
      <c r="C3">
        <v>35.83</v>
      </c>
      <c r="D3">
        <v>100</v>
      </c>
      <c r="E3" s="4">
        <v>0.71847170000000005</v>
      </c>
      <c r="F3" s="5">
        <f>C3*E3</f>
        <v>25.742841010999999</v>
      </c>
    </row>
    <row r="4" spans="1:13" x14ac:dyDescent="0.25">
      <c r="B4" t="s">
        <v>4</v>
      </c>
      <c r="C4">
        <v>35.83</v>
      </c>
      <c r="D4">
        <v>100</v>
      </c>
      <c r="E4" s="4">
        <v>0.1537915</v>
      </c>
      <c r="F4" s="5">
        <f t="shared" ref="F4:F49" si="0">C4*E4</f>
        <v>5.5103494449999992</v>
      </c>
    </row>
    <row r="5" spans="1:13" x14ac:dyDescent="0.25">
      <c r="B5" t="s">
        <v>5</v>
      </c>
      <c r="C5">
        <v>35.83</v>
      </c>
      <c r="D5">
        <v>100</v>
      </c>
      <c r="E5" s="4">
        <v>0.12773680000000001</v>
      </c>
      <c r="F5" s="5">
        <f t="shared" si="0"/>
        <v>4.5768095440000005</v>
      </c>
    </row>
    <row r="6" spans="1:13" x14ac:dyDescent="0.25">
      <c r="A6">
        <v>2</v>
      </c>
      <c r="B6" s="3" t="s">
        <v>0</v>
      </c>
      <c r="C6" s="3" t="s">
        <v>14</v>
      </c>
      <c r="D6" s="3" t="s">
        <v>17</v>
      </c>
      <c r="E6" s="3" t="s">
        <v>11</v>
      </c>
      <c r="F6" s="3" t="s">
        <v>12</v>
      </c>
    </row>
    <row r="7" spans="1:13" x14ac:dyDescent="0.25">
      <c r="B7" t="s">
        <v>3</v>
      </c>
      <c r="C7">
        <v>71.67</v>
      </c>
      <c r="D7">
        <v>100</v>
      </c>
      <c r="E7" s="4">
        <v>0.71847170000000005</v>
      </c>
      <c r="F7" s="5">
        <f t="shared" si="0"/>
        <v>51.492866739000007</v>
      </c>
      <c r="I7" s="2"/>
      <c r="K7">
        <v>430</v>
      </c>
      <c r="L7">
        <v>12</v>
      </c>
      <c r="M7">
        <f>SUM(K7/L7)</f>
        <v>35.833333333333336</v>
      </c>
    </row>
    <row r="8" spans="1:13" x14ac:dyDescent="0.25">
      <c r="B8" t="s">
        <v>4</v>
      </c>
      <c r="C8">
        <v>71.67</v>
      </c>
      <c r="D8">
        <v>100</v>
      </c>
      <c r="E8" s="4">
        <v>0.1537915</v>
      </c>
      <c r="F8" s="5">
        <f t="shared" si="0"/>
        <v>11.022236805</v>
      </c>
      <c r="I8" s="2"/>
      <c r="M8">
        <v>35.833300000000001</v>
      </c>
    </row>
    <row r="9" spans="1:13" x14ac:dyDescent="0.25">
      <c r="B9" t="s">
        <v>5</v>
      </c>
      <c r="C9">
        <v>71.67</v>
      </c>
      <c r="D9">
        <v>100</v>
      </c>
      <c r="E9" s="4">
        <v>0.12773680000000001</v>
      </c>
      <c r="F9" s="5">
        <f t="shared" si="0"/>
        <v>9.1548964560000012</v>
      </c>
      <c r="I9" s="2"/>
      <c r="L9" s="1">
        <v>1</v>
      </c>
      <c r="M9" s="5">
        <f>SUM(M8*L9)</f>
        <v>35.833300000000001</v>
      </c>
    </row>
    <row r="10" spans="1:13" x14ac:dyDescent="0.25">
      <c r="A10">
        <v>3</v>
      </c>
      <c r="B10" s="3" t="s">
        <v>0</v>
      </c>
      <c r="C10" s="3" t="s">
        <v>14</v>
      </c>
      <c r="D10" s="3" t="s">
        <v>17</v>
      </c>
      <c r="E10" s="3" t="s">
        <v>11</v>
      </c>
      <c r="F10" s="3" t="s">
        <v>12</v>
      </c>
      <c r="L10" s="1">
        <v>2</v>
      </c>
      <c r="M10" s="5">
        <f>SUM(M9*L10)</f>
        <v>71.666600000000003</v>
      </c>
    </row>
    <row r="11" spans="1:13" x14ac:dyDescent="0.25">
      <c r="B11" t="s">
        <v>3</v>
      </c>
      <c r="C11">
        <v>107.5</v>
      </c>
      <c r="D11">
        <v>100</v>
      </c>
      <c r="E11" s="4">
        <v>0.71847170000000005</v>
      </c>
      <c r="F11" s="5">
        <f t="shared" si="0"/>
        <v>77.235707750000003</v>
      </c>
      <c r="L11" s="1">
        <v>3</v>
      </c>
      <c r="M11" s="5">
        <f>SUM(M8*L11)</f>
        <v>107.4999</v>
      </c>
    </row>
    <row r="12" spans="1:13" x14ac:dyDescent="0.25">
      <c r="B12" t="s">
        <v>4</v>
      </c>
      <c r="C12">
        <v>107.5</v>
      </c>
      <c r="D12">
        <v>100</v>
      </c>
      <c r="E12" s="4">
        <v>0.1537915</v>
      </c>
      <c r="F12" s="5">
        <f t="shared" si="0"/>
        <v>16.532586250000001</v>
      </c>
      <c r="L12" s="1">
        <v>4</v>
      </c>
      <c r="M12" s="5">
        <f>SUM(M9*L12)</f>
        <v>143.33320000000001</v>
      </c>
    </row>
    <row r="13" spans="1:13" x14ac:dyDescent="0.25">
      <c r="B13" t="s">
        <v>5</v>
      </c>
      <c r="C13">
        <v>107.5</v>
      </c>
      <c r="D13">
        <v>100</v>
      </c>
      <c r="E13" s="4">
        <v>0.12773680000000001</v>
      </c>
      <c r="F13" s="5">
        <f t="shared" si="0"/>
        <v>13.731706000000001</v>
      </c>
      <c r="L13" s="1">
        <v>5</v>
      </c>
      <c r="M13" s="5">
        <f>SUM(M8*L13)</f>
        <v>179.16650000000001</v>
      </c>
    </row>
    <row r="14" spans="1:13" x14ac:dyDescent="0.25">
      <c r="A14">
        <v>4</v>
      </c>
      <c r="B14" s="3" t="s">
        <v>0</v>
      </c>
      <c r="C14" s="3" t="s">
        <v>14</v>
      </c>
      <c r="D14" s="3" t="s">
        <v>17</v>
      </c>
      <c r="E14" s="3" t="s">
        <v>11</v>
      </c>
      <c r="F14" s="3" t="s">
        <v>12</v>
      </c>
      <c r="L14" s="1">
        <v>6</v>
      </c>
      <c r="M14" s="5">
        <f>SUM(M9*L14)</f>
        <v>214.99979999999999</v>
      </c>
    </row>
    <row r="15" spans="1:13" x14ac:dyDescent="0.25">
      <c r="B15" t="s">
        <v>3</v>
      </c>
      <c r="C15">
        <v>143.33000000000001</v>
      </c>
      <c r="D15">
        <v>100</v>
      </c>
      <c r="E15" s="4">
        <v>0.71847170000000005</v>
      </c>
      <c r="F15" s="5">
        <f t="shared" si="0"/>
        <v>102.97854876100001</v>
      </c>
      <c r="L15" s="1">
        <v>7</v>
      </c>
      <c r="M15" s="5">
        <f>SUM(M8*7)</f>
        <v>250.8331</v>
      </c>
    </row>
    <row r="16" spans="1:13" x14ac:dyDescent="0.25">
      <c r="B16" t="s">
        <v>4</v>
      </c>
      <c r="C16">
        <v>143.33000000000001</v>
      </c>
      <c r="D16">
        <v>100</v>
      </c>
      <c r="E16" s="4">
        <v>0.1537915</v>
      </c>
      <c r="F16" s="5">
        <f t="shared" si="0"/>
        <v>22.042935695000001</v>
      </c>
      <c r="L16" s="1">
        <v>8</v>
      </c>
      <c r="M16" s="5">
        <f>SUM(M8*L16)</f>
        <v>286.66640000000001</v>
      </c>
    </row>
    <row r="17" spans="1:13" x14ac:dyDescent="0.25">
      <c r="B17" t="s">
        <v>5</v>
      </c>
      <c r="C17">
        <v>143.33000000000001</v>
      </c>
      <c r="D17">
        <v>100</v>
      </c>
      <c r="E17" s="4">
        <v>0.12773680000000001</v>
      </c>
      <c r="F17" s="5">
        <f t="shared" si="0"/>
        <v>18.308515544000002</v>
      </c>
      <c r="L17" s="1">
        <v>9</v>
      </c>
      <c r="M17" s="5">
        <f>SUM(M8*L17)</f>
        <v>322.49970000000002</v>
      </c>
    </row>
    <row r="18" spans="1:13" x14ac:dyDescent="0.25">
      <c r="A18">
        <v>5</v>
      </c>
      <c r="B18" s="3" t="s">
        <v>0</v>
      </c>
      <c r="C18" s="3" t="s">
        <v>14</v>
      </c>
      <c r="D18" s="3" t="s">
        <v>17</v>
      </c>
      <c r="E18" s="3" t="s">
        <v>11</v>
      </c>
      <c r="F18" s="3" t="s">
        <v>12</v>
      </c>
      <c r="L18" s="1">
        <v>10</v>
      </c>
      <c r="M18" s="5">
        <f>SUM(M8*L18)</f>
        <v>358.33300000000003</v>
      </c>
    </row>
    <row r="19" spans="1:13" x14ac:dyDescent="0.25">
      <c r="B19" t="s">
        <v>3</v>
      </c>
      <c r="C19">
        <v>179.17</v>
      </c>
      <c r="D19">
        <v>100</v>
      </c>
      <c r="E19" s="4">
        <v>0.71847170000000005</v>
      </c>
      <c r="F19" s="5">
        <f t="shared" si="0"/>
        <v>128.72857448900001</v>
      </c>
      <c r="L19" s="1">
        <v>11</v>
      </c>
      <c r="M19" s="5">
        <f>SUM(M8*L19)</f>
        <v>394.16630000000004</v>
      </c>
    </row>
    <row r="20" spans="1:13" x14ac:dyDescent="0.25">
      <c r="B20" t="s">
        <v>4</v>
      </c>
      <c r="C20">
        <v>179.17</v>
      </c>
      <c r="D20">
        <v>100</v>
      </c>
      <c r="E20" s="4">
        <v>0.1537915</v>
      </c>
      <c r="F20" s="5">
        <f t="shared" si="0"/>
        <v>27.554823054999996</v>
      </c>
      <c r="L20" s="1">
        <v>12</v>
      </c>
      <c r="M20" s="5">
        <f>SUM(M8*L20)</f>
        <v>429.99959999999999</v>
      </c>
    </row>
    <row r="21" spans="1:13" x14ac:dyDescent="0.25">
      <c r="B21" t="s">
        <v>5</v>
      </c>
      <c r="C21">
        <v>179.17</v>
      </c>
      <c r="D21">
        <v>100</v>
      </c>
      <c r="E21" s="4">
        <v>0.12773680000000001</v>
      </c>
      <c r="F21" s="5">
        <f t="shared" si="0"/>
        <v>22.886602456000002</v>
      </c>
    </row>
    <row r="22" spans="1:13" x14ac:dyDescent="0.25">
      <c r="A22">
        <v>6</v>
      </c>
      <c r="B22" s="3" t="s">
        <v>0</v>
      </c>
      <c r="C22" s="3" t="s">
        <v>14</v>
      </c>
      <c r="D22" s="3" t="s">
        <v>17</v>
      </c>
      <c r="E22" s="3" t="s">
        <v>11</v>
      </c>
      <c r="F22" s="3" t="s">
        <v>12</v>
      </c>
    </row>
    <row r="23" spans="1:13" x14ac:dyDescent="0.25">
      <c r="B23" t="s">
        <v>3</v>
      </c>
      <c r="C23">
        <v>215</v>
      </c>
      <c r="D23">
        <v>100</v>
      </c>
      <c r="E23" s="4">
        <v>0.71847170000000005</v>
      </c>
      <c r="F23" s="5">
        <f t="shared" si="0"/>
        <v>154.47141550000001</v>
      </c>
    </row>
    <row r="24" spans="1:13" x14ac:dyDescent="0.25">
      <c r="B24" t="s">
        <v>4</v>
      </c>
      <c r="C24">
        <v>215</v>
      </c>
      <c r="D24">
        <v>100</v>
      </c>
      <c r="E24" s="4">
        <v>0.1537915</v>
      </c>
      <c r="F24" s="5">
        <f t="shared" si="0"/>
        <v>33.065172500000003</v>
      </c>
    </row>
    <row r="25" spans="1:13" x14ac:dyDescent="0.25">
      <c r="B25" t="s">
        <v>5</v>
      </c>
      <c r="C25">
        <v>215</v>
      </c>
      <c r="D25">
        <v>100</v>
      </c>
      <c r="E25" s="4">
        <v>0.12773680000000001</v>
      </c>
      <c r="F25" s="5">
        <f t="shared" si="0"/>
        <v>27.463412000000002</v>
      </c>
    </row>
    <row r="26" spans="1:13" x14ac:dyDescent="0.25">
      <c r="A26">
        <v>7</v>
      </c>
      <c r="B26" s="3" t="s">
        <v>0</v>
      </c>
      <c r="C26" s="3" t="s">
        <v>14</v>
      </c>
      <c r="D26" s="3" t="s">
        <v>17</v>
      </c>
      <c r="E26" s="3" t="s">
        <v>11</v>
      </c>
      <c r="F26" s="3" t="s">
        <v>12</v>
      </c>
    </row>
    <row r="27" spans="1:13" x14ac:dyDescent="0.25">
      <c r="B27" t="s">
        <v>3</v>
      </c>
      <c r="C27">
        <v>250.83</v>
      </c>
      <c r="D27">
        <v>100</v>
      </c>
      <c r="E27" s="4">
        <v>0.71847170000000005</v>
      </c>
      <c r="F27" s="5">
        <f t="shared" si="0"/>
        <v>180.21425651100003</v>
      </c>
    </row>
    <row r="28" spans="1:13" x14ac:dyDescent="0.25">
      <c r="B28" t="s">
        <v>4</v>
      </c>
      <c r="C28">
        <v>250.83</v>
      </c>
      <c r="D28">
        <v>100</v>
      </c>
      <c r="E28" s="4">
        <v>0.1537915</v>
      </c>
      <c r="F28" s="5">
        <f t="shared" si="0"/>
        <v>38.575521944999998</v>
      </c>
    </row>
    <row r="29" spans="1:13" x14ac:dyDescent="0.25">
      <c r="B29" t="s">
        <v>5</v>
      </c>
      <c r="C29">
        <v>250.83</v>
      </c>
      <c r="D29">
        <v>100</v>
      </c>
      <c r="E29" s="4">
        <v>0.12773680000000001</v>
      </c>
      <c r="F29" s="5">
        <f t="shared" si="0"/>
        <v>32.040221544000005</v>
      </c>
    </row>
    <row r="30" spans="1:13" x14ac:dyDescent="0.25">
      <c r="A30">
        <v>8</v>
      </c>
      <c r="B30" s="3" t="s">
        <v>0</v>
      </c>
      <c r="C30" s="3" t="s">
        <v>14</v>
      </c>
      <c r="D30" s="3" t="s">
        <v>17</v>
      </c>
      <c r="E30" s="3" t="s">
        <v>11</v>
      </c>
      <c r="F30" s="3" t="s">
        <v>12</v>
      </c>
    </row>
    <row r="31" spans="1:13" x14ac:dyDescent="0.25">
      <c r="B31" t="s">
        <v>3</v>
      </c>
      <c r="C31">
        <v>286.67</v>
      </c>
      <c r="D31">
        <v>100</v>
      </c>
      <c r="E31" s="4">
        <v>0.71847170000000005</v>
      </c>
      <c r="F31" s="5">
        <f t="shared" si="0"/>
        <v>205.96428223900003</v>
      </c>
    </row>
    <row r="32" spans="1:13" x14ac:dyDescent="0.25">
      <c r="B32" t="s">
        <v>4</v>
      </c>
      <c r="C32">
        <v>286.67</v>
      </c>
      <c r="D32">
        <v>100</v>
      </c>
      <c r="E32" s="4">
        <v>0.1537915</v>
      </c>
      <c r="F32" s="5">
        <f t="shared" si="0"/>
        <v>44.087409305000001</v>
      </c>
    </row>
    <row r="33" spans="1:13" x14ac:dyDescent="0.25">
      <c r="B33" t="s">
        <v>5</v>
      </c>
      <c r="C33">
        <v>286.67</v>
      </c>
      <c r="D33">
        <v>100</v>
      </c>
      <c r="E33" s="4">
        <v>0.12773680000000001</v>
      </c>
      <c r="F33" s="5">
        <f t="shared" si="0"/>
        <v>36.618308456000008</v>
      </c>
    </row>
    <row r="34" spans="1:13" x14ac:dyDescent="0.25">
      <c r="A34">
        <v>9</v>
      </c>
      <c r="B34" s="3" t="s">
        <v>0</v>
      </c>
      <c r="C34" s="3" t="s">
        <v>14</v>
      </c>
      <c r="D34" s="3" t="s">
        <v>17</v>
      </c>
      <c r="E34" s="3" t="s">
        <v>11</v>
      </c>
      <c r="F34" s="3" t="s">
        <v>12</v>
      </c>
    </row>
    <row r="35" spans="1:13" x14ac:dyDescent="0.25">
      <c r="B35" t="s">
        <v>3</v>
      </c>
      <c r="C35">
        <v>322.5</v>
      </c>
      <c r="D35">
        <v>100</v>
      </c>
      <c r="E35" s="4">
        <v>0.71847170000000005</v>
      </c>
      <c r="F35" s="5">
        <f t="shared" si="0"/>
        <v>231.70712325000002</v>
      </c>
    </row>
    <row r="36" spans="1:13" x14ac:dyDescent="0.25">
      <c r="B36" t="s">
        <v>4</v>
      </c>
      <c r="C36">
        <v>322.5</v>
      </c>
      <c r="D36">
        <v>100</v>
      </c>
      <c r="E36" s="4">
        <v>0.1537915</v>
      </c>
      <c r="F36" s="5">
        <f t="shared" si="0"/>
        <v>49.597758749999997</v>
      </c>
    </row>
    <row r="37" spans="1:13" x14ac:dyDescent="0.25">
      <c r="B37" t="s">
        <v>5</v>
      </c>
      <c r="C37">
        <v>322.5</v>
      </c>
      <c r="D37">
        <v>100</v>
      </c>
      <c r="E37" s="4">
        <v>0.12773680000000001</v>
      </c>
      <c r="F37" s="5">
        <f t="shared" si="0"/>
        <v>41.195118000000001</v>
      </c>
    </row>
    <row r="38" spans="1:13" x14ac:dyDescent="0.25">
      <c r="A38">
        <v>10</v>
      </c>
      <c r="B38" s="3" t="s">
        <v>0</v>
      </c>
      <c r="C38" s="3" t="s">
        <v>14</v>
      </c>
      <c r="D38" s="3" t="s">
        <v>17</v>
      </c>
      <c r="E38" s="3" t="s">
        <v>11</v>
      </c>
      <c r="F38" s="3" t="s">
        <v>12</v>
      </c>
    </row>
    <row r="39" spans="1:13" x14ac:dyDescent="0.25">
      <c r="B39" t="s">
        <v>3</v>
      </c>
      <c r="C39">
        <v>358.33</v>
      </c>
      <c r="D39">
        <v>100</v>
      </c>
      <c r="E39" s="4">
        <v>0.71847170000000005</v>
      </c>
      <c r="F39" s="5">
        <f t="shared" si="0"/>
        <v>257.44996426099999</v>
      </c>
    </row>
    <row r="40" spans="1:13" x14ac:dyDescent="0.25">
      <c r="B40" t="s">
        <v>4</v>
      </c>
      <c r="C40">
        <v>358.33</v>
      </c>
      <c r="D40">
        <v>100</v>
      </c>
      <c r="E40" s="4">
        <v>0.1537915</v>
      </c>
      <c r="F40" s="5">
        <f t="shared" si="0"/>
        <v>55.108108195</v>
      </c>
    </row>
    <row r="41" spans="1:13" x14ac:dyDescent="0.25">
      <c r="B41" t="s">
        <v>5</v>
      </c>
      <c r="C41">
        <v>358.33</v>
      </c>
      <c r="D41">
        <v>100</v>
      </c>
      <c r="E41" s="4">
        <v>0.12773680000000001</v>
      </c>
      <c r="F41" s="5">
        <f t="shared" si="0"/>
        <v>45.771927544</v>
      </c>
    </row>
    <row r="42" spans="1:13" x14ac:dyDescent="0.25">
      <c r="A42">
        <v>11</v>
      </c>
      <c r="B42" s="3" t="s">
        <v>0</v>
      </c>
      <c r="C42" s="3" t="s">
        <v>14</v>
      </c>
      <c r="D42" s="3" t="s">
        <v>17</v>
      </c>
      <c r="E42" s="3" t="s">
        <v>11</v>
      </c>
      <c r="F42" s="3" t="s">
        <v>12</v>
      </c>
      <c r="H42" s="3" t="s">
        <v>15</v>
      </c>
      <c r="I42" s="3" t="s">
        <v>14</v>
      </c>
      <c r="J42" s="3" t="s">
        <v>16</v>
      </c>
      <c r="K42" s="3" t="s">
        <v>12</v>
      </c>
      <c r="L42" s="3" t="s">
        <v>11</v>
      </c>
    </row>
    <row r="43" spans="1:13" x14ac:dyDescent="0.25">
      <c r="B43" t="s">
        <v>3</v>
      </c>
      <c r="C43" s="6">
        <v>394.17</v>
      </c>
      <c r="D43">
        <v>100</v>
      </c>
      <c r="E43" s="4">
        <v>0.71847170000000005</v>
      </c>
      <c r="F43" s="5">
        <f t="shared" si="0"/>
        <v>283.19998998900002</v>
      </c>
      <c r="H43" t="s">
        <v>3</v>
      </c>
      <c r="I43">
        <v>394.17</v>
      </c>
      <c r="J43">
        <v>100</v>
      </c>
      <c r="K43">
        <v>283.2</v>
      </c>
      <c r="L43">
        <f>SUM(K43/I43*J43)</f>
        <v>71.847172539767101</v>
      </c>
      <c r="M43" s="4">
        <v>0.71847170000000005</v>
      </c>
    </row>
    <row r="44" spans="1:13" x14ac:dyDescent="0.25">
      <c r="B44" t="s">
        <v>4</v>
      </c>
      <c r="C44" s="6">
        <v>394.17</v>
      </c>
      <c r="D44">
        <v>100</v>
      </c>
      <c r="E44" s="4">
        <v>0.1537915</v>
      </c>
      <c r="F44" s="5">
        <f t="shared" si="0"/>
        <v>60.619995555000003</v>
      </c>
      <c r="H44" t="s">
        <v>4</v>
      </c>
      <c r="I44">
        <v>394.17</v>
      </c>
      <c r="J44">
        <v>100</v>
      </c>
      <c r="K44">
        <v>60.62</v>
      </c>
      <c r="L44">
        <f>SUM(K44/I44*J44)</f>
        <v>15.379151127686022</v>
      </c>
      <c r="M44" s="4">
        <v>0.1537915</v>
      </c>
    </row>
    <row r="45" spans="1:13" x14ac:dyDescent="0.25">
      <c r="B45" t="s">
        <v>5</v>
      </c>
      <c r="C45" s="6">
        <v>394.17</v>
      </c>
      <c r="D45">
        <v>100</v>
      </c>
      <c r="E45" s="4">
        <v>0.12773680000000001</v>
      </c>
      <c r="F45" s="5">
        <f t="shared" si="0"/>
        <v>50.350014456000004</v>
      </c>
      <c r="H45" t="s">
        <v>5</v>
      </c>
      <c r="I45">
        <v>394.17</v>
      </c>
      <c r="J45">
        <v>100</v>
      </c>
      <c r="K45">
        <v>50.35</v>
      </c>
      <c r="L45">
        <f>SUM(K45/I45*J45)</f>
        <v>12.773676332546872</v>
      </c>
      <c r="M45" s="4">
        <v>0.12773680000000001</v>
      </c>
    </row>
    <row r="46" spans="1:13" x14ac:dyDescent="0.25">
      <c r="A46">
        <v>12</v>
      </c>
      <c r="B46" s="3" t="s">
        <v>0</v>
      </c>
      <c r="C46" s="3" t="s">
        <v>14</v>
      </c>
      <c r="D46" s="3" t="s">
        <v>17</v>
      </c>
      <c r="E46" s="3" t="s">
        <v>11</v>
      </c>
      <c r="F46" s="3" t="s">
        <v>12</v>
      </c>
    </row>
    <row r="47" spans="1:13" x14ac:dyDescent="0.25">
      <c r="B47" t="s">
        <v>3</v>
      </c>
      <c r="C47">
        <v>430</v>
      </c>
      <c r="D47">
        <v>100</v>
      </c>
      <c r="E47" s="4">
        <v>0.71847170000000005</v>
      </c>
      <c r="F47" s="5">
        <f t="shared" si="0"/>
        <v>308.94283100000001</v>
      </c>
    </row>
    <row r="48" spans="1:13" x14ac:dyDescent="0.25">
      <c r="B48" t="s">
        <v>4</v>
      </c>
      <c r="C48">
        <v>430</v>
      </c>
      <c r="D48">
        <v>100</v>
      </c>
      <c r="E48" s="4">
        <v>0.1537915</v>
      </c>
      <c r="F48" s="5">
        <f t="shared" si="0"/>
        <v>66.130345000000005</v>
      </c>
    </row>
    <row r="49" spans="2:6" x14ac:dyDescent="0.25">
      <c r="B49" t="s">
        <v>5</v>
      </c>
      <c r="C49">
        <v>430</v>
      </c>
      <c r="D49">
        <v>100</v>
      </c>
      <c r="E49" s="4">
        <v>0.12773680000000001</v>
      </c>
      <c r="F49" s="5">
        <f t="shared" si="0"/>
        <v>54.926824000000003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B052-7CBA-4477-BA0D-2FD9F5224E6B}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 s="3" t="s">
        <v>2</v>
      </c>
      <c r="B1" s="3" t="s">
        <v>1</v>
      </c>
      <c r="C1" s="3">
        <v>375</v>
      </c>
      <c r="D1" s="3" t="s">
        <v>12</v>
      </c>
      <c r="E1" s="3" t="s">
        <v>11</v>
      </c>
    </row>
    <row r="2" spans="1:5" x14ac:dyDescent="0.25">
      <c r="A2" t="s">
        <v>3</v>
      </c>
      <c r="B2">
        <v>31.25</v>
      </c>
      <c r="C2">
        <v>100</v>
      </c>
      <c r="D2">
        <v>25.75</v>
      </c>
      <c r="E2">
        <f>SUM(D2/B2*C2)</f>
        <v>82.399999999999991</v>
      </c>
    </row>
    <row r="3" spans="1:5" x14ac:dyDescent="0.25">
      <c r="A3" t="s">
        <v>4</v>
      </c>
      <c r="B3">
        <v>31.25</v>
      </c>
      <c r="C3">
        <v>100</v>
      </c>
      <c r="D3">
        <v>1.6</v>
      </c>
      <c r="E3">
        <f>SUM(D3/B3*C3)</f>
        <v>5.12</v>
      </c>
    </row>
    <row r="4" spans="1:5" x14ac:dyDescent="0.25">
      <c r="A4" t="s">
        <v>5</v>
      </c>
      <c r="B4">
        <v>31.25</v>
      </c>
      <c r="C4">
        <v>100</v>
      </c>
      <c r="D4">
        <v>3.9</v>
      </c>
      <c r="E4">
        <f>SUM(D4/B4*C4)</f>
        <v>12.479999999999999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F4D0-5F4F-4AAC-B38E-560D5A1A0755}">
  <dimension ref="A1:E4"/>
  <sheetViews>
    <sheetView workbookViewId="0">
      <selection activeCell="E12" sqref="E12"/>
    </sheetView>
  </sheetViews>
  <sheetFormatPr defaultRowHeight="15" x14ac:dyDescent="0.25"/>
  <cols>
    <col min="1" max="1" width="5.85546875" bestFit="1" customWidth="1"/>
    <col min="2" max="2" width="8.42578125" bestFit="1" customWidth="1"/>
    <col min="3" max="3" width="4" bestFit="1" customWidth="1"/>
    <col min="4" max="4" width="8.7109375" bestFit="1" customWidth="1"/>
    <col min="5" max="5" width="12" bestFit="1" customWidth="1"/>
  </cols>
  <sheetData>
    <row r="1" spans="1:5" x14ac:dyDescent="0.25">
      <c r="A1" s="3" t="s">
        <v>2</v>
      </c>
      <c r="B1" s="3" t="s">
        <v>1</v>
      </c>
      <c r="C1" s="3">
        <v>336</v>
      </c>
      <c r="D1" s="3" t="s">
        <v>10</v>
      </c>
      <c r="E1" s="3" t="s">
        <v>11</v>
      </c>
    </row>
    <row r="2" spans="1:5" x14ac:dyDescent="0.25">
      <c r="A2" t="s">
        <v>3</v>
      </c>
      <c r="B2">
        <v>28</v>
      </c>
      <c r="C2">
        <v>100</v>
      </c>
      <c r="D2">
        <v>22.83</v>
      </c>
      <c r="E2">
        <f>SUM(D2/B2*C2)</f>
        <v>81.535714285714278</v>
      </c>
    </row>
    <row r="3" spans="1:5" x14ac:dyDescent="0.25">
      <c r="A3" t="s">
        <v>4</v>
      </c>
      <c r="B3">
        <v>28</v>
      </c>
      <c r="C3">
        <v>100</v>
      </c>
      <c r="D3">
        <v>1.42</v>
      </c>
      <c r="E3">
        <f>SUM(D3/B3*C3)</f>
        <v>5.0714285714285712</v>
      </c>
    </row>
    <row r="4" spans="1:5" x14ac:dyDescent="0.25">
      <c r="A4" t="s">
        <v>5</v>
      </c>
      <c r="B4">
        <v>28</v>
      </c>
      <c r="C4">
        <v>100</v>
      </c>
      <c r="D4">
        <v>3.75</v>
      </c>
      <c r="E4">
        <f>SUM(D4/B4*C4)</f>
        <v>13.392857142857142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11E1-8B6B-4737-A64F-8582BF6639E5}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 s="3" t="s">
        <v>0</v>
      </c>
      <c r="B1" s="3" t="s">
        <v>13</v>
      </c>
      <c r="C1" s="3">
        <v>814</v>
      </c>
      <c r="D1" s="3" t="s">
        <v>12</v>
      </c>
      <c r="E1" s="3" t="s">
        <v>11</v>
      </c>
    </row>
    <row r="2" spans="1:5" x14ac:dyDescent="0.25">
      <c r="A2" t="s">
        <v>3</v>
      </c>
      <c r="B2">
        <v>814</v>
      </c>
      <c r="C2">
        <v>100</v>
      </c>
      <c r="D2">
        <v>652.92999999999995</v>
      </c>
      <c r="E2">
        <f>SUM(D2/B2*C2)</f>
        <v>80.212530712530707</v>
      </c>
    </row>
    <row r="3" spans="1:5" x14ac:dyDescent="0.25">
      <c r="A3" t="s">
        <v>4</v>
      </c>
      <c r="B3">
        <v>814</v>
      </c>
      <c r="C3">
        <v>100</v>
      </c>
      <c r="D3">
        <v>51.68</v>
      </c>
      <c r="E3">
        <f>SUM(D3/B3*C3)</f>
        <v>6.3488943488943486</v>
      </c>
    </row>
    <row r="4" spans="1:5" x14ac:dyDescent="0.25">
      <c r="A4" t="s">
        <v>5</v>
      </c>
      <c r="B4">
        <v>814</v>
      </c>
      <c r="C4">
        <v>100</v>
      </c>
      <c r="D4">
        <v>109.39</v>
      </c>
      <c r="E4">
        <f>SUM(D4/B4*C4)</f>
        <v>13.438574938574938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1434-5A7A-4AF2-9021-AB1B51CE6066}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 s="3" t="s">
        <v>0</v>
      </c>
      <c r="B1" s="3" t="s">
        <v>13</v>
      </c>
      <c r="C1" s="3">
        <v>736</v>
      </c>
      <c r="D1" s="3" t="s">
        <v>10</v>
      </c>
      <c r="E1" s="3" t="s">
        <v>11</v>
      </c>
    </row>
    <row r="2" spans="1:5" x14ac:dyDescent="0.25">
      <c r="A2" t="s">
        <v>3</v>
      </c>
      <c r="B2">
        <v>736</v>
      </c>
      <c r="C2">
        <v>100</v>
      </c>
      <c r="D2">
        <v>579.01</v>
      </c>
      <c r="E2">
        <f>SUM(D2/B2*C2)</f>
        <v>78.669836956521735</v>
      </c>
    </row>
    <row r="3" spans="1:5" x14ac:dyDescent="0.25">
      <c r="A3" t="s">
        <v>4</v>
      </c>
      <c r="B3">
        <v>736</v>
      </c>
      <c r="C3">
        <v>100</v>
      </c>
      <c r="D3">
        <v>45.83</v>
      </c>
      <c r="E3">
        <f>SUM(D3/B3*C3)</f>
        <v>6.226902173913043</v>
      </c>
    </row>
    <row r="4" spans="1:5" x14ac:dyDescent="0.25">
      <c r="A4" t="s">
        <v>5</v>
      </c>
      <c r="B4">
        <v>736</v>
      </c>
      <c r="C4">
        <v>100</v>
      </c>
      <c r="D4">
        <v>111.16</v>
      </c>
      <c r="E4">
        <f>SUM(D4/B4*C4)</f>
        <v>15.103260869565215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25E4-859B-47D2-A671-FA79E0298A1F}">
  <dimension ref="A1:I49"/>
  <sheetViews>
    <sheetView workbookViewId="0">
      <selection activeCell="G15" sqref="G15"/>
    </sheetView>
  </sheetViews>
  <sheetFormatPr defaultRowHeight="15" x14ac:dyDescent="0.25"/>
  <cols>
    <col min="1" max="1" width="9" bestFit="1" customWidth="1"/>
    <col min="2" max="6" width="11.42578125" bestFit="1" customWidth="1"/>
    <col min="9" max="9" width="7.140625" bestFit="1" customWidth="1"/>
  </cols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9" x14ac:dyDescent="0.25">
      <c r="A2">
        <v>1</v>
      </c>
      <c r="B2" s="3" t="s">
        <v>0</v>
      </c>
      <c r="C2" s="3" t="s">
        <v>14</v>
      </c>
      <c r="D2" s="3" t="s">
        <v>17</v>
      </c>
      <c r="E2" s="3" t="s">
        <v>11</v>
      </c>
      <c r="F2" s="3" t="s">
        <v>12</v>
      </c>
    </row>
    <row r="3" spans="1:9" x14ac:dyDescent="0.25">
      <c r="B3" t="s">
        <v>3</v>
      </c>
      <c r="C3">
        <v>35.909999999999997</v>
      </c>
      <c r="D3">
        <v>100</v>
      </c>
      <c r="E3" s="2">
        <v>0.63577726218097397</v>
      </c>
      <c r="F3" s="5">
        <f>C3*E3</f>
        <v>22.830761484918774</v>
      </c>
    </row>
    <row r="4" spans="1:9" x14ac:dyDescent="0.25">
      <c r="B4" t="s">
        <v>4</v>
      </c>
      <c r="C4">
        <v>35.909999999999997</v>
      </c>
      <c r="D4">
        <v>100</v>
      </c>
      <c r="E4" s="2">
        <v>3.9582366589327102E-2</v>
      </c>
      <c r="F4" s="5">
        <f t="shared" ref="F4:F49" si="0">C4*E4</f>
        <v>1.4214027842227361</v>
      </c>
    </row>
    <row r="5" spans="1:9" x14ac:dyDescent="0.25">
      <c r="B5" t="s">
        <v>5</v>
      </c>
      <c r="C5">
        <v>35.909999999999997</v>
      </c>
      <c r="D5">
        <v>100</v>
      </c>
      <c r="E5" s="2">
        <v>0.32468677494199499</v>
      </c>
      <c r="F5" s="5">
        <f t="shared" si="0"/>
        <v>11.65950208816704</v>
      </c>
    </row>
    <row r="6" spans="1:9" x14ac:dyDescent="0.25">
      <c r="A6">
        <v>2</v>
      </c>
      <c r="B6" s="3" t="s">
        <v>0</v>
      </c>
      <c r="C6" s="3" t="s">
        <v>14</v>
      </c>
      <c r="D6" s="3" t="s">
        <v>17</v>
      </c>
      <c r="E6" s="3" t="s">
        <v>11</v>
      </c>
      <c r="F6" s="3" t="s">
        <v>12</v>
      </c>
    </row>
    <row r="7" spans="1:9" x14ac:dyDescent="0.25">
      <c r="B7" t="s">
        <v>3</v>
      </c>
      <c r="C7">
        <v>71.83</v>
      </c>
      <c r="D7">
        <v>100</v>
      </c>
      <c r="E7" s="2">
        <v>0.63577726218097397</v>
      </c>
      <c r="F7" s="5">
        <f t="shared" si="0"/>
        <v>45.66788074245936</v>
      </c>
      <c r="I7" s="2"/>
    </row>
    <row r="8" spans="1:9" x14ac:dyDescent="0.25">
      <c r="B8" t="s">
        <v>4</v>
      </c>
      <c r="C8">
        <v>71.83</v>
      </c>
      <c r="D8">
        <v>100</v>
      </c>
      <c r="E8" s="2">
        <v>3.9582366589327102E-2</v>
      </c>
      <c r="F8" s="5">
        <f t="shared" si="0"/>
        <v>2.8432013921113657</v>
      </c>
      <c r="I8" s="2"/>
    </row>
    <row r="9" spans="1:9" x14ac:dyDescent="0.25">
      <c r="B9" t="s">
        <v>5</v>
      </c>
      <c r="C9">
        <v>71.83</v>
      </c>
      <c r="D9">
        <v>100</v>
      </c>
      <c r="E9" s="2">
        <v>0.32468677494199499</v>
      </c>
      <c r="F9" s="5">
        <f t="shared" si="0"/>
        <v>23.322251044083501</v>
      </c>
      <c r="I9" s="2"/>
    </row>
    <row r="10" spans="1:9" x14ac:dyDescent="0.25">
      <c r="A10">
        <v>3</v>
      </c>
      <c r="B10" s="3" t="s">
        <v>0</v>
      </c>
      <c r="C10" s="3" t="s">
        <v>14</v>
      </c>
      <c r="D10" s="3" t="s">
        <v>17</v>
      </c>
      <c r="E10" s="3" t="s">
        <v>11</v>
      </c>
      <c r="F10" s="3" t="s">
        <v>12</v>
      </c>
    </row>
    <row r="11" spans="1:9" x14ac:dyDescent="0.25">
      <c r="B11" t="s">
        <v>3</v>
      </c>
      <c r="C11">
        <v>107.75</v>
      </c>
      <c r="D11">
        <v>100</v>
      </c>
      <c r="E11" s="2">
        <v>0.63577726218097397</v>
      </c>
      <c r="F11" s="5">
        <f t="shared" si="0"/>
        <v>68.504999999999939</v>
      </c>
    </row>
    <row r="12" spans="1:9" x14ac:dyDescent="0.25">
      <c r="B12" t="s">
        <v>4</v>
      </c>
      <c r="C12">
        <v>107.75</v>
      </c>
      <c r="D12">
        <v>100</v>
      </c>
      <c r="E12" s="2">
        <v>3.9582366589327102E-2</v>
      </c>
      <c r="F12" s="5">
        <f t="shared" si="0"/>
        <v>4.2649999999999952</v>
      </c>
    </row>
    <row r="13" spans="1:9" x14ac:dyDescent="0.25">
      <c r="B13" t="s">
        <v>5</v>
      </c>
      <c r="C13">
        <v>107.75</v>
      </c>
      <c r="D13">
        <v>100</v>
      </c>
      <c r="E13" s="2">
        <v>0.32468677494199499</v>
      </c>
      <c r="F13" s="5">
        <f t="shared" si="0"/>
        <v>34.984999999999964</v>
      </c>
    </row>
    <row r="14" spans="1:9" x14ac:dyDescent="0.25">
      <c r="A14">
        <v>4</v>
      </c>
      <c r="B14" s="3" t="s">
        <v>0</v>
      </c>
      <c r="C14" s="3" t="s">
        <v>14</v>
      </c>
      <c r="D14" s="3" t="s">
        <v>17</v>
      </c>
      <c r="E14" s="3" t="s">
        <v>11</v>
      </c>
      <c r="F14" s="3" t="s">
        <v>12</v>
      </c>
    </row>
    <row r="15" spans="1:9" x14ac:dyDescent="0.25">
      <c r="B15" t="s">
        <v>3</v>
      </c>
      <c r="C15">
        <v>143.66</v>
      </c>
      <c r="D15">
        <v>100</v>
      </c>
      <c r="E15" s="2">
        <v>0.63577726218097397</v>
      </c>
      <c r="F15" s="5">
        <f t="shared" si="0"/>
        <v>91.33576148491872</v>
      </c>
    </row>
    <row r="16" spans="1:9" x14ac:dyDescent="0.25">
      <c r="B16" t="s">
        <v>4</v>
      </c>
      <c r="C16">
        <v>143.66</v>
      </c>
      <c r="D16">
        <v>100</v>
      </c>
      <c r="E16" s="2">
        <v>3.9582366589327102E-2</v>
      </c>
      <c r="F16" s="5">
        <f t="shared" si="0"/>
        <v>5.6864027842227314</v>
      </c>
    </row>
    <row r="17" spans="1:6" x14ac:dyDescent="0.25">
      <c r="B17" t="s">
        <v>5</v>
      </c>
      <c r="C17">
        <v>143.66</v>
      </c>
      <c r="D17">
        <v>100</v>
      </c>
      <c r="E17" s="2">
        <v>0.32468677494199499</v>
      </c>
      <c r="F17" s="5">
        <f t="shared" si="0"/>
        <v>46.644502088167002</v>
      </c>
    </row>
    <row r="18" spans="1:6" x14ac:dyDescent="0.25">
      <c r="A18">
        <v>5</v>
      </c>
      <c r="B18" s="3" t="s">
        <v>0</v>
      </c>
      <c r="C18" s="3" t="s">
        <v>14</v>
      </c>
      <c r="D18" s="3" t="s">
        <v>17</v>
      </c>
      <c r="E18" s="3" t="s">
        <v>11</v>
      </c>
      <c r="F18" s="3" t="s">
        <v>12</v>
      </c>
    </row>
    <row r="19" spans="1:6" x14ac:dyDescent="0.25">
      <c r="B19" t="s">
        <v>3</v>
      </c>
      <c r="C19">
        <v>179.58</v>
      </c>
      <c r="D19">
        <v>100</v>
      </c>
      <c r="E19" s="2">
        <v>0.63577726218097397</v>
      </c>
      <c r="F19" s="5">
        <f t="shared" si="0"/>
        <v>114.17288074245931</v>
      </c>
    </row>
    <row r="20" spans="1:6" x14ac:dyDescent="0.25">
      <c r="B20" t="s">
        <v>4</v>
      </c>
      <c r="C20">
        <v>179.58</v>
      </c>
      <c r="D20">
        <v>100</v>
      </c>
      <c r="E20" s="2">
        <v>3.9582366589327102E-2</v>
      </c>
      <c r="F20" s="5">
        <f t="shared" si="0"/>
        <v>7.1082013921113614</v>
      </c>
    </row>
    <row r="21" spans="1:6" x14ac:dyDescent="0.25">
      <c r="B21" t="s">
        <v>5</v>
      </c>
      <c r="C21">
        <v>179.58</v>
      </c>
      <c r="D21">
        <v>100</v>
      </c>
      <c r="E21" s="2">
        <v>0.32468677494199499</v>
      </c>
      <c r="F21" s="5">
        <f t="shared" si="0"/>
        <v>58.307251044083465</v>
      </c>
    </row>
    <row r="22" spans="1:6" x14ac:dyDescent="0.25">
      <c r="A22">
        <v>6</v>
      </c>
      <c r="B22" s="3" t="s">
        <v>0</v>
      </c>
      <c r="C22" s="3" t="s">
        <v>14</v>
      </c>
      <c r="D22" s="3" t="s">
        <v>17</v>
      </c>
      <c r="E22" s="3" t="s">
        <v>11</v>
      </c>
      <c r="F22" s="3" t="s">
        <v>12</v>
      </c>
    </row>
    <row r="23" spans="1:6" x14ac:dyDescent="0.25">
      <c r="B23" t="s">
        <v>3</v>
      </c>
      <c r="C23">
        <v>215.5</v>
      </c>
      <c r="D23">
        <v>100</v>
      </c>
      <c r="E23" s="2">
        <v>0.63577726218097397</v>
      </c>
      <c r="F23" s="5">
        <f t="shared" si="0"/>
        <v>137.00999999999988</v>
      </c>
    </row>
    <row r="24" spans="1:6" x14ac:dyDescent="0.25">
      <c r="B24" t="s">
        <v>4</v>
      </c>
      <c r="C24">
        <v>215.5</v>
      </c>
      <c r="D24">
        <v>100</v>
      </c>
      <c r="E24" s="2">
        <v>3.9582366589327102E-2</v>
      </c>
      <c r="F24" s="5">
        <f t="shared" si="0"/>
        <v>8.5299999999999905</v>
      </c>
    </row>
    <row r="25" spans="1:6" x14ac:dyDescent="0.25">
      <c r="B25" t="s">
        <v>5</v>
      </c>
      <c r="C25">
        <v>215.5</v>
      </c>
      <c r="D25">
        <v>100</v>
      </c>
      <c r="E25" s="2">
        <v>0.32468677494199499</v>
      </c>
      <c r="F25" s="5">
        <f t="shared" si="0"/>
        <v>69.969999999999928</v>
      </c>
    </row>
    <row r="26" spans="1:6" x14ac:dyDescent="0.25">
      <c r="A26">
        <v>7</v>
      </c>
      <c r="B26" s="3" t="s">
        <v>0</v>
      </c>
      <c r="C26" s="3" t="s">
        <v>14</v>
      </c>
      <c r="D26" s="3" t="s">
        <v>17</v>
      </c>
      <c r="E26" s="3" t="s">
        <v>11</v>
      </c>
      <c r="F26" s="3" t="s">
        <v>12</v>
      </c>
    </row>
    <row r="27" spans="1:6" x14ac:dyDescent="0.25">
      <c r="B27" t="s">
        <v>3</v>
      </c>
      <c r="C27">
        <v>251.41</v>
      </c>
      <c r="D27">
        <v>100</v>
      </c>
      <c r="E27" s="2">
        <v>0.63577726218097397</v>
      </c>
      <c r="F27" s="5">
        <f t="shared" si="0"/>
        <v>159.84076148491866</v>
      </c>
    </row>
    <row r="28" spans="1:6" x14ac:dyDescent="0.25">
      <c r="B28" t="s">
        <v>4</v>
      </c>
      <c r="C28">
        <v>251.41</v>
      </c>
      <c r="D28">
        <v>100</v>
      </c>
      <c r="E28" s="2">
        <v>3.9582366589327102E-2</v>
      </c>
      <c r="F28" s="5">
        <f t="shared" si="0"/>
        <v>9.9514027842227257</v>
      </c>
    </row>
    <row r="29" spans="1:6" x14ac:dyDescent="0.25">
      <c r="B29" t="s">
        <v>5</v>
      </c>
      <c r="C29">
        <v>251.41</v>
      </c>
      <c r="D29">
        <v>100</v>
      </c>
      <c r="E29" s="2">
        <v>0.32468677494199499</v>
      </c>
      <c r="F29" s="5">
        <f t="shared" si="0"/>
        <v>81.629502088166959</v>
      </c>
    </row>
    <row r="30" spans="1:6" x14ac:dyDescent="0.25">
      <c r="A30">
        <v>8</v>
      </c>
      <c r="B30" s="3" t="s">
        <v>0</v>
      </c>
      <c r="C30" s="3" t="s">
        <v>14</v>
      </c>
      <c r="D30" s="3" t="s">
        <v>17</v>
      </c>
      <c r="E30" s="3" t="s">
        <v>11</v>
      </c>
      <c r="F30" s="3" t="s">
        <v>12</v>
      </c>
    </row>
    <row r="31" spans="1:6" x14ac:dyDescent="0.25">
      <c r="B31" t="s">
        <v>3</v>
      </c>
      <c r="C31">
        <v>287.33</v>
      </c>
      <c r="D31">
        <v>100</v>
      </c>
      <c r="E31" s="2">
        <v>0.63577726218097397</v>
      </c>
      <c r="F31" s="5">
        <f t="shared" si="0"/>
        <v>182.67788074245925</v>
      </c>
    </row>
    <row r="32" spans="1:6" x14ac:dyDescent="0.25">
      <c r="B32" t="s">
        <v>4</v>
      </c>
      <c r="C32">
        <v>287.33</v>
      </c>
      <c r="D32">
        <v>100</v>
      </c>
      <c r="E32" s="2">
        <v>3.9582366589327102E-2</v>
      </c>
      <c r="F32" s="5">
        <f t="shared" si="0"/>
        <v>11.373201392111355</v>
      </c>
    </row>
    <row r="33" spans="1:6" x14ac:dyDescent="0.25">
      <c r="B33" t="s">
        <v>5</v>
      </c>
      <c r="C33">
        <v>287.33</v>
      </c>
      <c r="D33">
        <v>100</v>
      </c>
      <c r="E33" s="2">
        <v>0.32468677494199499</v>
      </c>
      <c r="F33" s="5">
        <f t="shared" si="0"/>
        <v>93.292251044083415</v>
      </c>
    </row>
    <row r="34" spans="1:6" x14ac:dyDescent="0.25">
      <c r="A34">
        <v>9</v>
      </c>
      <c r="B34" s="3" t="s">
        <v>0</v>
      </c>
      <c r="C34" s="3" t="s">
        <v>14</v>
      </c>
      <c r="D34" s="3" t="s">
        <v>17</v>
      </c>
      <c r="E34" s="3" t="s">
        <v>11</v>
      </c>
      <c r="F34" s="3" t="s">
        <v>12</v>
      </c>
    </row>
    <row r="35" spans="1:6" x14ac:dyDescent="0.25">
      <c r="B35" t="s">
        <v>3</v>
      </c>
      <c r="C35">
        <v>323.25</v>
      </c>
      <c r="D35">
        <v>100</v>
      </c>
      <c r="E35" s="2">
        <v>0.63577726218097397</v>
      </c>
      <c r="F35" s="5">
        <f t="shared" si="0"/>
        <v>205.51499999999984</v>
      </c>
    </row>
    <row r="36" spans="1:6" x14ac:dyDescent="0.25">
      <c r="B36" t="s">
        <v>4</v>
      </c>
      <c r="C36">
        <v>323.25</v>
      </c>
      <c r="D36">
        <v>100</v>
      </c>
      <c r="E36" s="2">
        <v>3.9582366589327102E-2</v>
      </c>
      <c r="F36" s="5">
        <f t="shared" si="0"/>
        <v>12.794999999999986</v>
      </c>
    </row>
    <row r="37" spans="1:6" x14ac:dyDescent="0.25">
      <c r="B37" t="s">
        <v>5</v>
      </c>
      <c r="C37">
        <v>323.25</v>
      </c>
      <c r="D37">
        <v>100</v>
      </c>
      <c r="E37" s="2">
        <v>0.32468677494199499</v>
      </c>
      <c r="F37" s="5">
        <f t="shared" si="0"/>
        <v>104.95499999999988</v>
      </c>
    </row>
    <row r="38" spans="1:6" x14ac:dyDescent="0.25">
      <c r="A38">
        <v>10</v>
      </c>
      <c r="B38" s="3" t="s">
        <v>0</v>
      </c>
      <c r="C38" s="3" t="s">
        <v>14</v>
      </c>
      <c r="D38" s="3" t="s">
        <v>17</v>
      </c>
      <c r="E38" s="3" t="s">
        <v>11</v>
      </c>
      <c r="F38" s="3" t="s">
        <v>12</v>
      </c>
    </row>
    <row r="39" spans="1:6" x14ac:dyDescent="0.25">
      <c r="B39" t="s">
        <v>3</v>
      </c>
      <c r="C39">
        <v>359.16</v>
      </c>
      <c r="D39">
        <v>100</v>
      </c>
      <c r="E39" s="2">
        <v>0.63577726218097397</v>
      </c>
      <c r="F39" s="5">
        <f t="shared" si="0"/>
        <v>228.34576148491863</v>
      </c>
    </row>
    <row r="40" spans="1:6" x14ac:dyDescent="0.25">
      <c r="B40" t="s">
        <v>4</v>
      </c>
      <c r="C40">
        <v>359.16</v>
      </c>
      <c r="D40">
        <v>100</v>
      </c>
      <c r="E40" s="2">
        <v>3.9582366589327102E-2</v>
      </c>
      <c r="F40" s="5">
        <f t="shared" si="0"/>
        <v>14.216402784222723</v>
      </c>
    </row>
    <row r="41" spans="1:6" x14ac:dyDescent="0.25">
      <c r="B41" t="s">
        <v>5</v>
      </c>
      <c r="C41">
        <v>359.16</v>
      </c>
      <c r="D41">
        <v>100</v>
      </c>
      <c r="E41" s="2">
        <v>0.32468677494199499</v>
      </c>
      <c r="F41" s="5">
        <f t="shared" si="0"/>
        <v>116.61450208816693</v>
      </c>
    </row>
    <row r="42" spans="1:6" x14ac:dyDescent="0.25">
      <c r="A42">
        <v>11</v>
      </c>
      <c r="B42" s="3" t="s">
        <v>0</v>
      </c>
      <c r="C42" s="3" t="s">
        <v>14</v>
      </c>
      <c r="D42" s="3" t="s">
        <v>17</v>
      </c>
      <c r="E42" s="3" t="s">
        <v>11</v>
      </c>
      <c r="F42" s="3" t="s">
        <v>12</v>
      </c>
    </row>
    <row r="43" spans="1:6" x14ac:dyDescent="0.25">
      <c r="B43" t="s">
        <v>3</v>
      </c>
      <c r="C43" s="6">
        <v>395.08</v>
      </c>
      <c r="D43">
        <v>100</v>
      </c>
      <c r="E43" s="2">
        <v>0.63577726218097397</v>
      </c>
      <c r="F43" s="5">
        <f t="shared" si="0"/>
        <v>251.18288074245919</v>
      </c>
    </row>
    <row r="44" spans="1:6" x14ac:dyDescent="0.25">
      <c r="B44" t="s">
        <v>4</v>
      </c>
      <c r="C44" s="6">
        <v>395.08</v>
      </c>
      <c r="D44">
        <v>100</v>
      </c>
      <c r="E44" s="2">
        <v>3.9582366589327102E-2</v>
      </c>
      <c r="F44" s="5">
        <f t="shared" si="0"/>
        <v>15.63820139211135</v>
      </c>
    </row>
    <row r="45" spans="1:6" x14ac:dyDescent="0.25">
      <c r="B45" t="s">
        <v>5</v>
      </c>
      <c r="C45" s="6">
        <v>395.08</v>
      </c>
      <c r="D45">
        <v>100</v>
      </c>
      <c r="E45" s="2">
        <v>0.32468677494199499</v>
      </c>
      <c r="F45" s="5">
        <f t="shared" si="0"/>
        <v>128.27725104408339</v>
      </c>
    </row>
    <row r="46" spans="1:6" x14ac:dyDescent="0.25">
      <c r="A46">
        <v>12</v>
      </c>
      <c r="B46" s="3" t="s">
        <v>0</v>
      </c>
      <c r="C46" s="3" t="s">
        <v>14</v>
      </c>
      <c r="D46" s="3" t="s">
        <v>17</v>
      </c>
      <c r="E46" s="3" t="s">
        <v>11</v>
      </c>
      <c r="F46" s="3" t="s">
        <v>12</v>
      </c>
    </row>
    <row r="47" spans="1:6" x14ac:dyDescent="0.25">
      <c r="B47" t="s">
        <v>3</v>
      </c>
      <c r="C47">
        <v>431</v>
      </c>
      <c r="D47">
        <v>100</v>
      </c>
      <c r="E47" s="2">
        <v>0.63577726218097397</v>
      </c>
      <c r="F47" s="5">
        <f t="shared" si="0"/>
        <v>274.01999999999975</v>
      </c>
    </row>
    <row r="48" spans="1:6" x14ac:dyDescent="0.25">
      <c r="B48" t="s">
        <v>4</v>
      </c>
      <c r="C48">
        <v>431</v>
      </c>
      <c r="D48">
        <v>100</v>
      </c>
      <c r="E48" s="2">
        <v>3.9582366589327102E-2</v>
      </c>
      <c r="F48" s="5">
        <f t="shared" si="0"/>
        <v>17.059999999999981</v>
      </c>
    </row>
    <row r="49" spans="2:6" x14ac:dyDescent="0.25">
      <c r="B49" t="s">
        <v>5</v>
      </c>
      <c r="C49">
        <v>431</v>
      </c>
      <c r="D49">
        <v>100</v>
      </c>
      <c r="E49" s="2">
        <v>0.32468677494199499</v>
      </c>
      <c r="F49" s="5">
        <f t="shared" si="0"/>
        <v>139.93999999999986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Formulas </vt:lpstr>
      <vt:lpstr>GMO initial PA,CT,DC monthly</vt:lpstr>
      <vt:lpstr>LMO PA,DC,CT monthly 2024</vt:lpstr>
      <vt:lpstr>LMO Renewal PA,CT,DC</vt:lpstr>
      <vt:lpstr>LMO National Renewal 2024</vt:lpstr>
      <vt:lpstr>GMO New to MC PA,CT,DC 2024</vt:lpstr>
      <vt:lpstr>GMO National new to MC 2024</vt:lpstr>
      <vt:lpstr>GMO National monthly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2024-08-05T16:48:29Z</dcterms:created>
  <dcterms:modified xsi:type="dcterms:W3CDTF">2024-12-31T13:55:48Z</dcterms:modified>
</cp:coreProperties>
</file>