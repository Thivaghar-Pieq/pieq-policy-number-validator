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10-22-24 to 10-29-24\"/>
    </mc:Choice>
  </mc:AlternateContent>
  <xr:revisionPtr revIDLastSave="0" documentId="13_ncr:1_{C08ED42D-29DA-48BF-9B9E-0DFFB5BC1943}" xr6:coauthVersionLast="47" xr6:coauthVersionMax="47" xr10:uidLastSave="{00000000-0000-0000-0000-000000000000}"/>
  <bookViews>
    <workbookView xWindow="-57720" yWindow="-120" windowWidth="29040" windowHeight="15720" xr2:uid="{DF452661-84E4-40E6-B499-022EA815B6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L21" i="1"/>
  <c r="L19" i="1"/>
  <c r="L18" i="1"/>
  <c r="L14" i="1"/>
  <c r="L13" i="1"/>
  <c r="L11" i="1"/>
  <c r="L10" i="1"/>
  <c r="L3" i="1"/>
  <c r="L2" i="1"/>
</calcChain>
</file>

<file path=xl/sharedStrings.xml><?xml version="1.0" encoding="utf-8"?>
<sst xmlns="http://schemas.openxmlformats.org/spreadsheetml/2006/main" count="286" uniqueCount="105">
  <si>
    <t>Payment Date</t>
  </si>
  <si>
    <t>Medicare Number</t>
  </si>
  <si>
    <t>Member ID</t>
  </si>
  <si>
    <t>Member Name</t>
  </si>
  <si>
    <t>Member State</t>
  </si>
  <si>
    <t>Sales Event</t>
  </si>
  <si>
    <t>Product</t>
  </si>
  <si>
    <t>Market</t>
  </si>
  <si>
    <t>Plan ID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</si>
  <si>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</si>
  <si>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</si>
  <si>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</si>
  <si>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</si>
  <si>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</si>
  <si>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</si>
  <si>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</si>
  <si>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</si>
  <si>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</si>
  <si>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</si>
  <si>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</si>
  <si>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</si>
  <si>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</si>
  <si>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8X12H60EE036</t>
  </si>
  <si>
    <t>BARTLETT E,JEANNIE</t>
  </si>
  <si>
    <t>MD</t>
  </si>
  <si>
    <t>CMS Trueup reversal</t>
  </si>
  <si>
    <t>MAPD</t>
  </si>
  <si>
    <t>IMM603</t>
  </si>
  <si>
    <t>H3931-161</t>
  </si>
  <si>
    <t>LOA</t>
  </si>
  <si>
    <t>Kucan, Thomas</t>
  </si>
  <si>
    <t>GMO</t>
  </si>
  <si>
    <t>Main Line Benefits LLC</t>
  </si>
  <si>
    <t xml:space="preserve">N  </t>
  </si>
  <si>
    <t>CMS Trueup</t>
  </si>
  <si>
    <t xml:space="preserve">Y  </t>
  </si>
  <si>
    <t>5KP5J75JQ826</t>
  </si>
  <si>
    <t>MORRISON O,WILLIS</t>
  </si>
  <si>
    <t>PA</t>
  </si>
  <si>
    <t>Exception</t>
  </si>
  <si>
    <t>IMM608</t>
  </si>
  <si>
    <t>H3959-036</t>
  </si>
  <si>
    <t>Aguglia, Scott</t>
  </si>
  <si>
    <t>LMO</t>
  </si>
  <si>
    <t>2RM0ED3AF026</t>
  </si>
  <si>
    <t>NIPPES,JANIS</t>
  </si>
  <si>
    <t>H5522-028</t>
  </si>
  <si>
    <t>Richter Peter</t>
  </si>
  <si>
    <t>8YX6KA1JQ596</t>
  </si>
  <si>
    <t>ROPPO,PAULA</t>
  </si>
  <si>
    <t>IL</t>
  </si>
  <si>
    <t>IMM606</t>
  </si>
  <si>
    <t>H7301-013</t>
  </si>
  <si>
    <t>ABDUL, SAADIA</t>
  </si>
  <si>
    <t>PRONEW</t>
  </si>
  <si>
    <t>7KK8TF8JU526</t>
  </si>
  <si>
    <t>VOELZKE C,FREDERICK</t>
  </si>
  <si>
    <t>IMM619</t>
  </si>
  <si>
    <t>H7301-007</t>
  </si>
  <si>
    <t>DUNAVANT, MICHAEL</t>
  </si>
  <si>
    <t>8D78GU1GQ406</t>
  </si>
  <si>
    <t>6HJ0NP2PK146</t>
  </si>
  <si>
    <t>2JN9K33XD516</t>
  </si>
  <si>
    <t>3DG7N96DT786</t>
  </si>
  <si>
    <t>5PD0GC8NK196</t>
  </si>
  <si>
    <t>7XW0DA4MF396</t>
  </si>
  <si>
    <t>2XN7V29RG446</t>
  </si>
  <si>
    <t>3FG1AU1JQ066</t>
  </si>
  <si>
    <t>6QF4X41CP936</t>
  </si>
  <si>
    <t>2UC0M56WE336</t>
  </si>
  <si>
    <t>4HQ7G09JK796</t>
  </si>
  <si>
    <t>FAHRNEY G,WILFRED</t>
  </si>
  <si>
    <t>New Business</t>
  </si>
  <si>
    <t>H3959-002</t>
  </si>
  <si>
    <t>GROESBECK H,JAMES</t>
  </si>
  <si>
    <t>H3959-035</t>
  </si>
  <si>
    <t>HOMISON D,STEVEN</t>
  </si>
  <si>
    <t>MA</t>
  </si>
  <si>
    <t>H3959-041</t>
  </si>
  <si>
    <t>JEDRZEJCZAK,MARGARET</t>
  </si>
  <si>
    <t>MCGALLIS K,SHARYN</t>
  </si>
  <si>
    <t>Involuntarily Rapid Disenroll</t>
  </si>
  <si>
    <t>NEISER K,POLLY</t>
  </si>
  <si>
    <t>H3959-001</t>
  </si>
  <si>
    <t>ORTIZ E,KILEY</t>
  </si>
  <si>
    <t>CO</t>
  </si>
  <si>
    <t>IMM610</t>
  </si>
  <si>
    <t>H5521-443</t>
  </si>
  <si>
    <t>PHELPS A,ROGER</t>
  </si>
  <si>
    <t>AL</t>
  </si>
  <si>
    <t>IMM605</t>
  </si>
  <si>
    <t>H5521-222</t>
  </si>
  <si>
    <t>RIDDLEBERGER A,JUDITH</t>
  </si>
  <si>
    <t>FL</t>
  </si>
  <si>
    <t>IMM604</t>
  </si>
  <si>
    <t>H5521-434</t>
  </si>
  <si>
    <t>SZYJKO K,LINDA</t>
  </si>
  <si>
    <t>WALKER,DONALD</t>
  </si>
  <si>
    <t>Powers, Timothy</t>
  </si>
  <si>
    <t>Foley, Carol</t>
  </si>
  <si>
    <t>Portugal, Gary</t>
  </si>
  <si>
    <t>Inskipt, Deborah</t>
  </si>
  <si>
    <t>Teipel, Gregory</t>
  </si>
  <si>
    <t>Richter, Adam</t>
  </si>
  <si>
    <t>McCorkle, Michelle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</si>
</sst>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0" fillId="0" borderId="0" xfId="0" applyFill="1"/>
    <xf numFmtId="1" fontId="0" fillId="0" borderId="0" xfId="0" applyNumberForma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8D23-7707-4BE5-9DFF-D62854570E98}">
  <dimension ref="A1:W23"/>
  <sheetViews>
    <sheetView tabSelected="1" topLeftCell="D1" workbookViewId="0">
      <selection activeCell="K28" sqref="K28"/>
    </sheetView>
  </sheetViews>
  <sheetFormatPr defaultRowHeight="15" x14ac:dyDescent="0.25"/>
  <cols>
    <col min="1" max="1" width="13.140625" style="2" bestFit="1" customWidth="1"/>
    <col min="2" max="2" width="16.85546875" style="2" bestFit="1" customWidth="1"/>
    <col min="3" max="3" width="13.140625" style="2" bestFit="1" customWidth="1"/>
    <col min="4" max="4" width="20.42578125" style="2" bestFit="1" customWidth="1"/>
    <col min="5" max="5" width="12.85546875" style="2" bestFit="1" customWidth="1"/>
    <col min="6" max="6" width="19" style="2" bestFit="1" customWidth="1"/>
    <col min="7" max="7" width="7.85546875" style="2" bestFit="1" customWidth="1"/>
    <col min="8" max="8" width="7.7109375" style="2" bestFit="1" customWidth="1"/>
    <col min="9" max="9" width="10" style="2" bestFit="1" customWidth="1"/>
    <col min="10" max="10" width="15.28515625" style="2" bestFit="1" customWidth="1"/>
    <col min="11" max="11" width="12.5703125" style="2" bestFit="1" customWidth="1"/>
    <col min="12" max="12" width="9.42578125" style="2" bestFit="1" customWidth="1"/>
    <col min="13" max="13" width="10.42578125" style="2" bestFit="1" customWidth="1"/>
    <col min="14" max="14" width="17.28515625" style="2" bestFit="1" customWidth="1"/>
    <col min="15" max="15" width="17.5703125" style="2" bestFit="1" customWidth="1"/>
    <col min="16" max="16" width="19.7109375" style="2" bestFit="1" customWidth="1"/>
    <col min="17" max="17" width="8.42578125" style="2" bestFit="1" customWidth="1"/>
    <col min="18" max="18" width="10.85546875" style="2" bestFit="1" customWidth="1"/>
    <col min="19" max="19" width="22.28515625" style="2" bestFit="1" customWidth="1"/>
    <col min="20" max="20" width="13.5703125" style="2" bestFit="1" customWidth="1"/>
    <col min="21" max="21" width="9" style="2" bestFit="1" customWidth="1"/>
    <col min="22" max="22" width="13.5703125" style="2" bestFit="1" customWidth="1"/>
    <col min="23" max="23" width="9.28515625" style="2" bestFit="1" customWidth="1"/>
    <col min="24" max="16384" width="9.140625" style="2"/>
  </cols>
  <sheetData>
    <row r="1" spans="1:23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</row>
    <row r="2" spans="1:23" customFormat="1" x14ac:dyDescent="0.25">
      <c r="A2" s="4">
        <v>45587</v>
      </c>
      <c r="B2" t="s">
        <v>22</v>
      </c>
      <c r="C2" s="1">
        <v>102055000000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s="4">
        <v>45536</v>
      </c>
      <c r="K2" s="4">
        <v>45536</v>
      </c>
      <c r="L2" s="4">
        <f>DATE(YEAR(K2), MONTH(K2) +1, DAY(K2))</f>
        <v>45566</v>
      </c>
      <c r="N2">
        <v>16202925</v>
      </c>
      <c r="O2" t="s">
        <v>29</v>
      </c>
      <c r="P2" t="s">
        <v>30</v>
      </c>
      <c r="Q2">
        <v>8192</v>
      </c>
      <c r="R2" t="s">
        <v>31</v>
      </c>
      <c r="S2" t="s">
        <v>32</v>
      </c>
      <c r="T2">
        <v>-142</v>
      </c>
      <c r="U2" t="s">
        <v>33</v>
      </c>
      <c r="V2" s="4">
        <v>45534</v>
      </c>
      <c r="W2">
        <v>2024</v>
      </c>
    </row>
    <row r="3" spans="1:23" customFormat="1" x14ac:dyDescent="0.25">
      <c r="A3" s="4">
        <v>45587</v>
      </c>
      <c r="B3" t="s">
        <v>22</v>
      </c>
      <c r="C3" s="1">
        <v>102055000000</v>
      </c>
      <c r="D3" t="s">
        <v>23</v>
      </c>
      <c r="E3" t="s">
        <v>24</v>
      </c>
      <c r="F3" t="s">
        <v>34</v>
      </c>
      <c r="G3" t="s">
        <v>26</v>
      </c>
      <c r="H3" t="s">
        <v>27</v>
      </c>
      <c r="I3" t="s">
        <v>28</v>
      </c>
      <c r="J3" s="4">
        <v>45536</v>
      </c>
      <c r="K3" s="4">
        <v>45536</v>
      </c>
      <c r="L3" s="4">
        <f>DATE(YEAR(K3), MONTH(K3) +1, DAY(K3))</f>
        <v>45566</v>
      </c>
      <c r="N3">
        <v>16202925</v>
      </c>
      <c r="O3" t="s">
        <v>29</v>
      </c>
      <c r="P3" t="s">
        <v>30</v>
      </c>
      <c r="Q3">
        <v>8192</v>
      </c>
      <c r="R3" t="s">
        <v>31</v>
      </c>
      <c r="S3" t="s">
        <v>32</v>
      </c>
      <c r="T3">
        <v>731</v>
      </c>
      <c r="U3" t="s">
        <v>35</v>
      </c>
      <c r="V3" s="4">
        <v>45534</v>
      </c>
      <c r="W3">
        <v>2024</v>
      </c>
    </row>
    <row r="4" spans="1:23" customFormat="1" x14ac:dyDescent="0.25">
      <c r="A4" s="4">
        <v>45601</v>
      </c>
      <c r="B4" t="s">
        <v>70</v>
      </c>
      <c r="C4" s="1">
        <v>102068000000</v>
      </c>
      <c r="D4" t="s">
        <v>71</v>
      </c>
      <c r="E4" t="s">
        <v>38</v>
      </c>
      <c r="F4" t="s">
        <v>72</v>
      </c>
      <c r="G4" t="s">
        <v>26</v>
      </c>
      <c r="H4" t="s">
        <v>40</v>
      </c>
      <c r="I4" t="s">
        <v>73</v>
      </c>
      <c r="J4" s="4">
        <v>45597</v>
      </c>
      <c r="K4" s="4">
        <v>45597</v>
      </c>
      <c r="L4" s="2"/>
      <c r="N4">
        <v>17886092</v>
      </c>
      <c r="O4" t="s">
        <v>29</v>
      </c>
      <c r="P4" t="s">
        <v>98</v>
      </c>
      <c r="Q4">
        <v>8192</v>
      </c>
      <c r="R4" t="s">
        <v>31</v>
      </c>
      <c r="S4" t="s">
        <v>32</v>
      </c>
      <c r="T4">
        <v>6.66</v>
      </c>
      <c r="U4" t="s">
        <v>33</v>
      </c>
      <c r="V4" s="4">
        <v>45580</v>
      </c>
      <c r="W4">
        <v>2024</v>
      </c>
    </row>
    <row r="5" spans="1:23" customFormat="1" x14ac:dyDescent="0.25">
      <c r="A5" s="4">
        <v>45601</v>
      </c>
      <c r="B5" t="s">
        <v>69</v>
      </c>
      <c r="C5" s="1">
        <v>101484000000</v>
      </c>
      <c r="D5" t="s">
        <v>74</v>
      </c>
      <c r="E5" t="s">
        <v>38</v>
      </c>
      <c r="F5" t="s">
        <v>39</v>
      </c>
      <c r="G5" t="s">
        <v>26</v>
      </c>
      <c r="H5" t="s">
        <v>40</v>
      </c>
      <c r="I5" t="s">
        <v>75</v>
      </c>
      <c r="J5" s="4">
        <v>45323</v>
      </c>
      <c r="K5" s="4">
        <v>45323</v>
      </c>
      <c r="L5" s="2"/>
      <c r="M5" s="4">
        <v>45596</v>
      </c>
      <c r="N5">
        <v>17425766</v>
      </c>
      <c r="O5" t="s">
        <v>29</v>
      </c>
      <c r="P5" t="s">
        <v>99</v>
      </c>
      <c r="Q5">
        <v>8192</v>
      </c>
      <c r="R5" t="s">
        <v>43</v>
      </c>
      <c r="S5" t="s">
        <v>32</v>
      </c>
      <c r="T5">
        <v>580.5</v>
      </c>
      <c r="U5" t="s">
        <v>35</v>
      </c>
      <c r="V5" s="4">
        <v>45316</v>
      </c>
      <c r="W5">
        <v>2024</v>
      </c>
    </row>
    <row r="6" spans="1:23" customFormat="1" x14ac:dyDescent="0.25">
      <c r="A6" s="4">
        <v>45601</v>
      </c>
      <c r="B6" t="s">
        <v>69</v>
      </c>
      <c r="C6" s="1">
        <v>101484000000</v>
      </c>
      <c r="D6" t="s">
        <v>74</v>
      </c>
      <c r="E6" t="s">
        <v>38</v>
      </c>
      <c r="F6" t="s">
        <v>39</v>
      </c>
      <c r="G6" t="s">
        <v>26</v>
      </c>
      <c r="H6" t="s">
        <v>40</v>
      </c>
      <c r="I6" t="s">
        <v>75</v>
      </c>
      <c r="J6" s="4">
        <v>45323</v>
      </c>
      <c r="K6" s="4">
        <v>45323</v>
      </c>
      <c r="L6" s="2"/>
      <c r="M6" s="4">
        <v>45596</v>
      </c>
      <c r="N6">
        <v>17425766</v>
      </c>
      <c r="O6" t="s">
        <v>29</v>
      </c>
      <c r="P6" t="s">
        <v>99</v>
      </c>
      <c r="Q6">
        <v>8192</v>
      </c>
      <c r="R6" t="s">
        <v>43</v>
      </c>
      <c r="S6" t="s">
        <v>32</v>
      </c>
      <c r="T6">
        <v>-774</v>
      </c>
      <c r="U6" t="s">
        <v>35</v>
      </c>
      <c r="V6" s="4">
        <v>45316</v>
      </c>
      <c r="W6">
        <v>2024</v>
      </c>
    </row>
    <row r="7" spans="1:23" customFormat="1" x14ac:dyDescent="0.25">
      <c r="A7" s="4">
        <v>45601</v>
      </c>
      <c r="B7" t="s">
        <v>68</v>
      </c>
      <c r="C7" s="1">
        <v>102071000000</v>
      </c>
      <c r="D7" t="s">
        <v>76</v>
      </c>
      <c r="E7" t="s">
        <v>38</v>
      </c>
      <c r="F7" t="s">
        <v>72</v>
      </c>
      <c r="G7" t="s">
        <v>77</v>
      </c>
      <c r="H7" t="s">
        <v>40</v>
      </c>
      <c r="I7" t="s">
        <v>78</v>
      </c>
      <c r="J7" s="4">
        <v>45597</v>
      </c>
      <c r="K7" s="4">
        <v>45597</v>
      </c>
      <c r="L7" s="2"/>
      <c r="N7">
        <v>17886092</v>
      </c>
      <c r="O7" t="s">
        <v>29</v>
      </c>
      <c r="P7" t="s">
        <v>98</v>
      </c>
      <c r="Q7">
        <v>8192</v>
      </c>
      <c r="R7" t="s">
        <v>31</v>
      </c>
      <c r="S7" t="s">
        <v>32</v>
      </c>
      <c r="T7">
        <v>6.66</v>
      </c>
      <c r="U7" t="s">
        <v>33</v>
      </c>
      <c r="V7" s="4">
        <v>45583</v>
      </c>
      <c r="W7">
        <v>2024</v>
      </c>
    </row>
    <row r="8" spans="1:23" customFormat="1" x14ac:dyDescent="0.25">
      <c r="A8" s="4">
        <v>45601</v>
      </c>
      <c r="B8" t="s">
        <v>67</v>
      </c>
      <c r="C8" s="1">
        <v>102068000000</v>
      </c>
      <c r="D8" t="s">
        <v>79</v>
      </c>
      <c r="E8" t="s">
        <v>50</v>
      </c>
      <c r="F8" t="s">
        <v>72</v>
      </c>
      <c r="G8" t="s">
        <v>26</v>
      </c>
      <c r="H8" t="s">
        <v>51</v>
      </c>
      <c r="I8" t="s">
        <v>52</v>
      </c>
      <c r="J8" s="4">
        <v>45597</v>
      </c>
      <c r="K8" s="4">
        <v>45597</v>
      </c>
      <c r="L8" s="2"/>
      <c r="N8">
        <v>9213293</v>
      </c>
      <c r="O8" t="s">
        <v>29</v>
      </c>
      <c r="P8" t="s">
        <v>100</v>
      </c>
      <c r="Q8">
        <v>8192</v>
      </c>
      <c r="R8" t="s">
        <v>31</v>
      </c>
      <c r="S8" t="s">
        <v>32</v>
      </c>
      <c r="T8">
        <v>71.83</v>
      </c>
      <c r="U8" t="s">
        <v>33</v>
      </c>
      <c r="V8" s="4">
        <v>45580</v>
      </c>
      <c r="W8">
        <v>2024</v>
      </c>
    </row>
    <row r="9" spans="1:23" customFormat="1" x14ac:dyDescent="0.25">
      <c r="A9" s="4">
        <v>45601</v>
      </c>
      <c r="B9" t="s">
        <v>66</v>
      </c>
      <c r="C9" s="1">
        <v>102046000000</v>
      </c>
      <c r="D9" t="s">
        <v>80</v>
      </c>
      <c r="E9" t="s">
        <v>38</v>
      </c>
      <c r="F9" t="s">
        <v>81</v>
      </c>
      <c r="G9" t="s">
        <v>77</v>
      </c>
      <c r="H9" t="s">
        <v>40</v>
      </c>
      <c r="I9" t="s">
        <v>78</v>
      </c>
      <c r="J9" s="4">
        <v>45597</v>
      </c>
      <c r="K9" s="4">
        <v>45597</v>
      </c>
      <c r="L9" s="2"/>
      <c r="M9" s="4">
        <v>45597</v>
      </c>
      <c r="N9">
        <v>17886092</v>
      </c>
      <c r="O9" t="s">
        <v>29</v>
      </c>
      <c r="P9" t="s">
        <v>98</v>
      </c>
      <c r="Q9">
        <v>8192</v>
      </c>
      <c r="R9" t="s">
        <v>31</v>
      </c>
      <c r="S9" t="s">
        <v>32</v>
      </c>
      <c r="T9">
        <v>-125</v>
      </c>
      <c r="U9" t="s">
        <v>35</v>
      </c>
      <c r="V9" s="4">
        <v>45516</v>
      </c>
      <c r="W9">
        <v>2024</v>
      </c>
    </row>
    <row r="10" spans="1:23" customFormat="1" x14ac:dyDescent="0.25">
      <c r="A10" s="4">
        <v>45594</v>
      </c>
      <c r="B10" t="s">
        <v>36</v>
      </c>
      <c r="C10" s="1">
        <v>101125000000</v>
      </c>
      <c r="D10" t="s">
        <v>37</v>
      </c>
      <c r="E10" t="s">
        <v>38</v>
      </c>
      <c r="F10" t="s">
        <v>39</v>
      </c>
      <c r="G10" t="s">
        <v>26</v>
      </c>
      <c r="H10" t="s">
        <v>40</v>
      </c>
      <c r="I10" t="s">
        <v>41</v>
      </c>
      <c r="J10" s="4">
        <v>45323</v>
      </c>
      <c r="K10" s="4">
        <v>45323</v>
      </c>
      <c r="L10" s="4">
        <f>DATE(YEAR(K10), MONTH(K10) +1, DAY(K10))</f>
        <v>45352</v>
      </c>
      <c r="M10" s="4">
        <v>45596</v>
      </c>
      <c r="N10">
        <v>8971826</v>
      </c>
      <c r="O10" t="s">
        <v>29</v>
      </c>
      <c r="P10" t="s">
        <v>42</v>
      </c>
      <c r="Q10">
        <v>8192</v>
      </c>
      <c r="R10" t="s">
        <v>43</v>
      </c>
      <c r="S10" t="s">
        <v>32</v>
      </c>
      <c r="T10">
        <v>-430</v>
      </c>
      <c r="U10" t="s">
        <v>33</v>
      </c>
      <c r="V10" s="4">
        <v>45296</v>
      </c>
      <c r="W10">
        <v>2024</v>
      </c>
    </row>
    <row r="11" spans="1:23" customFormat="1" x14ac:dyDescent="0.25">
      <c r="A11" s="4">
        <v>45594</v>
      </c>
      <c r="B11" t="s">
        <v>36</v>
      </c>
      <c r="C11" s="1">
        <v>101125000000</v>
      </c>
      <c r="D11" t="s">
        <v>37</v>
      </c>
      <c r="E11" t="s">
        <v>38</v>
      </c>
      <c r="F11" t="s">
        <v>39</v>
      </c>
      <c r="G11" t="s">
        <v>26</v>
      </c>
      <c r="H11" t="s">
        <v>40</v>
      </c>
      <c r="I11" t="s">
        <v>41</v>
      </c>
      <c r="J11" s="4">
        <v>45323</v>
      </c>
      <c r="K11" s="4">
        <v>45323</v>
      </c>
      <c r="L11" s="4">
        <f>DATE(YEAR(K11), MONTH(K11) +1, DAY(K11))</f>
        <v>45352</v>
      </c>
      <c r="M11" s="4">
        <v>45596</v>
      </c>
      <c r="N11">
        <v>8971826</v>
      </c>
      <c r="O11" t="s">
        <v>29</v>
      </c>
      <c r="P11" t="s">
        <v>42</v>
      </c>
      <c r="Q11">
        <v>8192</v>
      </c>
      <c r="R11" t="s">
        <v>43</v>
      </c>
      <c r="S11" t="s">
        <v>32</v>
      </c>
      <c r="T11">
        <v>322.5</v>
      </c>
      <c r="U11" t="s">
        <v>33</v>
      </c>
      <c r="V11" s="4">
        <v>45296</v>
      </c>
      <c r="W11">
        <v>2024</v>
      </c>
    </row>
    <row r="12" spans="1:23" x14ac:dyDescent="0.25">
      <c r="A12" s="4">
        <v>45601</v>
      </c>
      <c r="B12" t="s">
        <v>65</v>
      </c>
      <c r="C12" s="1">
        <v>102069000000</v>
      </c>
      <c r="D12" t="s">
        <v>82</v>
      </c>
      <c r="E12" t="s">
        <v>38</v>
      </c>
      <c r="F12" t="s">
        <v>72</v>
      </c>
      <c r="G12" t="s">
        <v>26</v>
      </c>
      <c r="H12" t="s">
        <v>40</v>
      </c>
      <c r="I12" t="s">
        <v>83</v>
      </c>
      <c r="J12" s="4">
        <v>45627</v>
      </c>
      <c r="K12" s="4">
        <v>45627</v>
      </c>
      <c r="M12"/>
      <c r="N12">
        <v>17528908</v>
      </c>
      <c r="O12" t="s">
        <v>29</v>
      </c>
      <c r="P12" t="s">
        <v>101</v>
      </c>
      <c r="Q12">
        <v>8192</v>
      </c>
      <c r="R12" t="s">
        <v>31</v>
      </c>
      <c r="S12" t="s">
        <v>32</v>
      </c>
      <c r="T12">
        <v>39.17</v>
      </c>
      <c r="U12" t="s">
        <v>33</v>
      </c>
      <c r="V12" s="4">
        <v>45581</v>
      </c>
      <c r="W12">
        <v>2024</v>
      </c>
    </row>
    <row r="13" spans="1:23" x14ac:dyDescent="0.25">
      <c r="A13" s="4">
        <v>45594</v>
      </c>
      <c r="B13" t="s">
        <v>44</v>
      </c>
      <c r="C13" s="1">
        <v>101180000000</v>
      </c>
      <c r="D13" t="s">
        <v>45</v>
      </c>
      <c r="E13" t="s">
        <v>38</v>
      </c>
      <c r="F13" t="s">
        <v>39</v>
      </c>
      <c r="G13" t="s">
        <v>26</v>
      </c>
      <c r="H13" t="s">
        <v>40</v>
      </c>
      <c r="I13" t="s">
        <v>46</v>
      </c>
      <c r="J13" s="4">
        <v>45292</v>
      </c>
      <c r="K13" s="4">
        <v>45292</v>
      </c>
      <c r="L13" s="4">
        <f>DATE(YEAR(K13), MONTH(K13) +1, DAY(K13))</f>
        <v>45323</v>
      </c>
      <c r="M13" s="4">
        <v>45596</v>
      </c>
      <c r="N13">
        <v>16509456</v>
      </c>
      <c r="O13" t="s">
        <v>29</v>
      </c>
      <c r="P13" t="s">
        <v>47</v>
      </c>
      <c r="Q13">
        <v>8192</v>
      </c>
      <c r="R13" t="s">
        <v>43</v>
      </c>
      <c r="S13" t="s">
        <v>32</v>
      </c>
      <c r="T13">
        <v>-430</v>
      </c>
      <c r="U13" t="s">
        <v>33</v>
      </c>
      <c r="V13" s="4">
        <v>45267</v>
      </c>
      <c r="W13">
        <v>2024</v>
      </c>
    </row>
    <row r="14" spans="1:23" x14ac:dyDescent="0.25">
      <c r="A14" s="4">
        <v>45594</v>
      </c>
      <c r="B14" t="s">
        <v>44</v>
      </c>
      <c r="C14" s="1">
        <v>101180000000</v>
      </c>
      <c r="D14" t="s">
        <v>45</v>
      </c>
      <c r="E14" t="s">
        <v>38</v>
      </c>
      <c r="F14" t="s">
        <v>39</v>
      </c>
      <c r="G14" t="s">
        <v>26</v>
      </c>
      <c r="H14" t="s">
        <v>40</v>
      </c>
      <c r="I14" t="s">
        <v>46</v>
      </c>
      <c r="J14" s="4">
        <v>45292</v>
      </c>
      <c r="K14" s="4">
        <v>45292</v>
      </c>
      <c r="L14" s="4">
        <f>DATE(YEAR(K14), MONTH(K14) +1, DAY(K14))</f>
        <v>45323</v>
      </c>
      <c r="M14" s="4">
        <v>45596</v>
      </c>
      <c r="N14">
        <v>16509456</v>
      </c>
      <c r="O14" t="s">
        <v>29</v>
      </c>
      <c r="P14" t="s">
        <v>47</v>
      </c>
      <c r="Q14">
        <v>8192</v>
      </c>
      <c r="R14" t="s">
        <v>43</v>
      </c>
      <c r="S14" t="s">
        <v>32</v>
      </c>
      <c r="T14">
        <v>358.33</v>
      </c>
      <c r="U14" t="s">
        <v>33</v>
      </c>
      <c r="V14" s="4">
        <v>45267</v>
      </c>
      <c r="W14">
        <v>2024</v>
      </c>
    </row>
    <row r="15" spans="1:23" x14ac:dyDescent="0.25">
      <c r="A15" s="4">
        <v>45601</v>
      </c>
      <c r="B15" t="s">
        <v>64</v>
      </c>
      <c r="C15" s="1">
        <v>102070000000</v>
      </c>
      <c r="D15" t="s">
        <v>84</v>
      </c>
      <c r="E15" t="s">
        <v>85</v>
      </c>
      <c r="F15" t="s">
        <v>72</v>
      </c>
      <c r="G15" t="s">
        <v>26</v>
      </c>
      <c r="H15" t="s">
        <v>86</v>
      </c>
      <c r="I15" t="s">
        <v>87</v>
      </c>
      <c r="J15" s="4">
        <v>45597</v>
      </c>
      <c r="K15" s="4">
        <v>45597</v>
      </c>
      <c r="M15"/>
      <c r="N15">
        <v>19396223</v>
      </c>
      <c r="O15" t="s">
        <v>29</v>
      </c>
      <c r="P15" t="s">
        <v>53</v>
      </c>
      <c r="Q15">
        <v>8192</v>
      </c>
      <c r="R15" t="s">
        <v>31</v>
      </c>
      <c r="S15" t="s">
        <v>32</v>
      </c>
      <c r="T15">
        <v>71</v>
      </c>
      <c r="U15" t="s">
        <v>33</v>
      </c>
      <c r="V15" s="4">
        <v>45582</v>
      </c>
      <c r="W15">
        <v>2024</v>
      </c>
    </row>
    <row r="16" spans="1:23" x14ac:dyDescent="0.25">
      <c r="A16" s="4">
        <v>45601</v>
      </c>
      <c r="B16" t="s">
        <v>63</v>
      </c>
      <c r="C16" s="1">
        <v>102069000000</v>
      </c>
      <c r="D16" t="s">
        <v>88</v>
      </c>
      <c r="E16" t="s">
        <v>89</v>
      </c>
      <c r="F16" t="s">
        <v>72</v>
      </c>
      <c r="G16" t="s">
        <v>26</v>
      </c>
      <c r="H16" t="s">
        <v>90</v>
      </c>
      <c r="I16" t="s">
        <v>91</v>
      </c>
      <c r="J16" s="4">
        <v>45597</v>
      </c>
      <c r="K16" s="4">
        <v>45597</v>
      </c>
      <c r="M16"/>
      <c r="N16">
        <v>8307933</v>
      </c>
      <c r="O16" t="s">
        <v>29</v>
      </c>
      <c r="P16" t="s">
        <v>102</v>
      </c>
      <c r="Q16">
        <v>8192</v>
      </c>
      <c r="R16" t="s">
        <v>31</v>
      </c>
      <c r="S16" t="s">
        <v>32</v>
      </c>
      <c r="T16">
        <v>71.83</v>
      </c>
      <c r="U16" t="s">
        <v>33</v>
      </c>
      <c r="V16" s="4">
        <v>45581</v>
      </c>
      <c r="W16">
        <v>2024</v>
      </c>
    </row>
    <row r="17" spans="1:23" x14ac:dyDescent="0.25">
      <c r="A17" s="4">
        <v>45601</v>
      </c>
      <c r="B17" t="s">
        <v>62</v>
      </c>
      <c r="C17" s="1">
        <v>102069000000</v>
      </c>
      <c r="D17" t="s">
        <v>92</v>
      </c>
      <c r="E17" t="s">
        <v>93</v>
      </c>
      <c r="F17" t="s">
        <v>72</v>
      </c>
      <c r="G17" t="s">
        <v>26</v>
      </c>
      <c r="H17" t="s">
        <v>94</v>
      </c>
      <c r="I17" t="s">
        <v>95</v>
      </c>
      <c r="J17" s="4">
        <v>45627</v>
      </c>
      <c r="K17" s="4">
        <v>45627</v>
      </c>
      <c r="M17"/>
      <c r="N17">
        <v>9079571</v>
      </c>
      <c r="O17" t="s">
        <v>29</v>
      </c>
      <c r="P17" t="s">
        <v>103</v>
      </c>
      <c r="Q17">
        <v>8192</v>
      </c>
      <c r="R17" t="s">
        <v>31</v>
      </c>
      <c r="S17" t="s">
        <v>32</v>
      </c>
      <c r="T17">
        <v>35.92</v>
      </c>
      <c r="U17" t="s">
        <v>33</v>
      </c>
      <c r="V17" s="4">
        <v>45581</v>
      </c>
      <c r="W17">
        <v>2024</v>
      </c>
    </row>
    <row r="18" spans="1:23" x14ac:dyDescent="0.25">
      <c r="A18" s="4">
        <v>45587</v>
      </c>
      <c r="B18" t="s">
        <v>48</v>
      </c>
      <c r="C18" s="1">
        <v>102053000000</v>
      </c>
      <c r="D18" t="s">
        <v>49</v>
      </c>
      <c r="E18" t="s">
        <v>50</v>
      </c>
      <c r="F18" t="s">
        <v>25</v>
      </c>
      <c r="G18" t="s">
        <v>26</v>
      </c>
      <c r="H18" t="s">
        <v>51</v>
      </c>
      <c r="I18" t="s">
        <v>52</v>
      </c>
      <c r="J18" s="4">
        <v>45536</v>
      </c>
      <c r="K18" s="4">
        <v>45536</v>
      </c>
      <c r="L18" s="4">
        <f>DATE(YEAR(K18), MONTH(K18) +1, DAY(K18))</f>
        <v>45566</v>
      </c>
      <c r="M18"/>
      <c r="N18">
        <v>19396223</v>
      </c>
      <c r="O18" t="s">
        <v>29</v>
      </c>
      <c r="P18" t="s">
        <v>53</v>
      </c>
      <c r="Q18">
        <v>8192</v>
      </c>
      <c r="R18" t="s">
        <v>31</v>
      </c>
      <c r="S18" t="s">
        <v>32</v>
      </c>
      <c r="T18">
        <v>-143.66999999999999</v>
      </c>
      <c r="U18" t="s">
        <v>33</v>
      </c>
      <c r="V18" s="4">
        <v>45533</v>
      </c>
      <c r="W18">
        <v>2024</v>
      </c>
    </row>
    <row r="19" spans="1:23" x14ac:dyDescent="0.25">
      <c r="A19" s="4">
        <v>45587</v>
      </c>
      <c r="B19" t="s">
        <v>48</v>
      </c>
      <c r="C19" s="1">
        <v>102053000000</v>
      </c>
      <c r="D19" t="s">
        <v>49</v>
      </c>
      <c r="E19" t="s">
        <v>50</v>
      </c>
      <c r="F19" t="s">
        <v>54</v>
      </c>
      <c r="G19" t="s">
        <v>26</v>
      </c>
      <c r="H19" t="s">
        <v>51</v>
      </c>
      <c r="I19" t="s">
        <v>52</v>
      </c>
      <c r="J19" s="4">
        <v>45536</v>
      </c>
      <c r="K19" s="4">
        <v>45536</v>
      </c>
      <c r="L19" s="4">
        <f>DATE(YEAR(K19), MONTH(K19) +1, DAY(K19))</f>
        <v>45566</v>
      </c>
      <c r="M19"/>
      <c r="N19">
        <v>19396223</v>
      </c>
      <c r="O19" t="s">
        <v>29</v>
      </c>
      <c r="P19" t="s">
        <v>53</v>
      </c>
      <c r="Q19">
        <v>8192</v>
      </c>
      <c r="R19" t="s">
        <v>31</v>
      </c>
      <c r="S19" t="s">
        <v>32</v>
      </c>
      <c r="T19">
        <v>245.33</v>
      </c>
      <c r="U19" t="s">
        <v>35</v>
      </c>
      <c r="V19" s="4">
        <v>45533</v>
      </c>
      <c r="W19">
        <v>2024</v>
      </c>
    </row>
    <row r="20" spans="1:23" x14ac:dyDescent="0.25">
      <c r="A20" s="4">
        <v>45601</v>
      </c>
      <c r="B20" t="s">
        <v>61</v>
      </c>
      <c r="C20" s="1">
        <v>102073000000</v>
      </c>
      <c r="D20" t="s">
        <v>96</v>
      </c>
      <c r="E20" t="s">
        <v>38</v>
      </c>
      <c r="F20" t="s">
        <v>72</v>
      </c>
      <c r="G20" t="s">
        <v>26</v>
      </c>
      <c r="H20" t="s">
        <v>40</v>
      </c>
      <c r="I20" t="s">
        <v>73</v>
      </c>
      <c r="J20" s="4">
        <v>45627</v>
      </c>
      <c r="K20" s="4">
        <v>45627</v>
      </c>
      <c r="M20"/>
      <c r="N20">
        <v>17528908</v>
      </c>
      <c r="O20" t="s">
        <v>29</v>
      </c>
      <c r="P20" t="s">
        <v>101</v>
      </c>
      <c r="Q20">
        <v>8192</v>
      </c>
      <c r="R20" t="s">
        <v>31</v>
      </c>
      <c r="S20" t="s">
        <v>32</v>
      </c>
      <c r="T20">
        <v>39.17</v>
      </c>
      <c r="U20" t="s">
        <v>33</v>
      </c>
      <c r="V20" s="4">
        <v>45586</v>
      </c>
      <c r="W20">
        <v>2024</v>
      </c>
    </row>
    <row r="21" spans="1:23" x14ac:dyDescent="0.25">
      <c r="A21" s="4">
        <v>45587</v>
      </c>
      <c r="B21" t="s">
        <v>55</v>
      </c>
      <c r="C21" s="1">
        <v>102060000000</v>
      </c>
      <c r="D21" t="s">
        <v>56</v>
      </c>
      <c r="E21" t="s">
        <v>50</v>
      </c>
      <c r="F21" t="s">
        <v>25</v>
      </c>
      <c r="G21" t="s">
        <v>26</v>
      </c>
      <c r="H21" t="s">
        <v>57</v>
      </c>
      <c r="I21" t="s">
        <v>58</v>
      </c>
      <c r="J21" s="4">
        <v>45597</v>
      </c>
      <c r="K21" s="4">
        <v>45597</v>
      </c>
      <c r="L21" s="4">
        <f>DATE(YEAR(K21), MONTH(K21) +1, DAY(K21))</f>
        <v>45627</v>
      </c>
      <c r="M21"/>
      <c r="N21">
        <v>18828278</v>
      </c>
      <c r="O21" t="s">
        <v>29</v>
      </c>
      <c r="P21" t="s">
        <v>59</v>
      </c>
      <c r="Q21">
        <v>8192</v>
      </c>
      <c r="R21" t="s">
        <v>31</v>
      </c>
      <c r="S21" t="s">
        <v>32</v>
      </c>
      <c r="T21">
        <v>-71.83</v>
      </c>
      <c r="U21" t="s">
        <v>33</v>
      </c>
      <c r="V21" s="4">
        <v>45553</v>
      </c>
      <c r="W21">
        <v>2024</v>
      </c>
    </row>
    <row r="22" spans="1:23" x14ac:dyDescent="0.25">
      <c r="A22" s="4">
        <v>45587</v>
      </c>
      <c r="B22" t="s">
        <v>55</v>
      </c>
      <c r="C22" s="1">
        <v>102060000000</v>
      </c>
      <c r="D22" t="s">
        <v>56</v>
      </c>
      <c r="E22" t="s">
        <v>50</v>
      </c>
      <c r="F22" t="s">
        <v>34</v>
      </c>
      <c r="G22" t="s">
        <v>26</v>
      </c>
      <c r="H22" t="s">
        <v>57</v>
      </c>
      <c r="I22" t="s">
        <v>58</v>
      </c>
      <c r="J22" s="4">
        <v>45597</v>
      </c>
      <c r="K22" s="4">
        <v>45597</v>
      </c>
      <c r="L22" s="4">
        <f>DATE(YEAR(K22), MONTH(K22) +1, DAY(K22))</f>
        <v>45627</v>
      </c>
      <c r="M22"/>
      <c r="N22">
        <v>18828278</v>
      </c>
      <c r="O22" t="s">
        <v>29</v>
      </c>
      <c r="P22" t="s">
        <v>59</v>
      </c>
      <c r="Q22">
        <v>8192</v>
      </c>
      <c r="R22" t="s">
        <v>31</v>
      </c>
      <c r="S22" t="s">
        <v>32</v>
      </c>
      <c r="T22">
        <v>736</v>
      </c>
      <c r="U22" t="s">
        <v>35</v>
      </c>
      <c r="V22" s="4">
        <v>45553</v>
      </c>
      <c r="W22">
        <v>2024</v>
      </c>
    </row>
    <row r="23" spans="1:23" x14ac:dyDescent="0.25">
      <c r="A23" s="4">
        <v>45601</v>
      </c>
      <c r="B23" t="s">
        <v>60</v>
      </c>
      <c r="C23" s="1">
        <v>102070000000</v>
      </c>
      <c r="D23" t="s">
        <v>97</v>
      </c>
      <c r="E23" t="s">
        <v>38</v>
      </c>
      <c r="F23" t="s">
        <v>72</v>
      </c>
      <c r="G23" t="s">
        <v>26</v>
      </c>
      <c r="H23" t="s">
        <v>40</v>
      </c>
      <c r="I23" t="s">
        <v>83</v>
      </c>
      <c r="J23" s="4">
        <v>45597</v>
      </c>
      <c r="K23" s="4">
        <v>45597</v>
      </c>
      <c r="M23"/>
      <c r="N23">
        <v>18710070</v>
      </c>
      <c r="O23" t="s">
        <v>29</v>
      </c>
      <c r="P23" t="s">
        <v>104</v>
      </c>
      <c r="Q23">
        <v>8192</v>
      </c>
      <c r="R23" t="s">
        <v>31</v>
      </c>
      <c r="S23" t="s">
        <v>32</v>
      </c>
      <c r="T23">
        <v>77.5</v>
      </c>
      <c r="U23" t="s">
        <v>33</v>
      </c>
      <c r="V23" s="4">
        <v>45582</v>
      </c>
      <c r="W23">
        <v>2024</v>
      </c>
    </row>
  </sheetData>
  <sortState xmlns:xlrd2="http://schemas.microsoft.com/office/spreadsheetml/2017/richdata2" ref="A2:W23">
    <sortCondition ref="D2:D2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2024-11-06T21:23:59Z</dcterms:created>
  <dcterms:modified xsi:type="dcterms:W3CDTF">2024-11-08T19:44:06Z</dcterms:modified>
</cp:coreProperties>
</file>