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12-10-24\"/>
    </mc:Choice>
  </mc:AlternateContent>
  <xr:revisionPtr revIDLastSave="0" documentId="13_ncr:1_{E5C314B8-5879-433B-AF54-915F20D915EB}" xr6:coauthVersionLast="47" xr6:coauthVersionMax="47" xr10:uidLastSave="{00000000-0000-0000-0000-000000000000}"/>
  <bookViews>
    <workbookView xWindow="-57720" yWindow="-120" windowWidth="29040" windowHeight="15720" activeTab="1" xr2:uid="{00BEDDD8-C213-43F3-B02F-992A393DA092}"/>
  </bookViews>
  <sheets>
    <sheet name="Main Line Benefits LLC_med_comm" sheetId="1" r:id="rId1"/>
    <sheet name="Sheet1" sheetId="2" r:id="rId2"/>
    <sheet name="Sheet3" sheetId="4" r:id="rId3"/>
    <sheet name="Sheet2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" i="3"/>
  <c r="B5" i="2" l="1"/>
  <c r="B6" i="2"/>
  <c r="B7" i="2"/>
  <c r="B8" i="2"/>
  <c r="B9" i="2"/>
  <c r="B3" i="2"/>
  <c r="B10" i="2"/>
  <c r="B11" i="2"/>
  <c r="B12" i="2"/>
  <c r="B13" i="2"/>
  <c r="B14" i="2"/>
  <c r="B4" i="2"/>
  <c r="B15" i="2"/>
  <c r="B16" i="2"/>
  <c r="B17" i="2"/>
  <c r="B18" i="2"/>
  <c r="B19" i="2"/>
  <c r="B2" i="2"/>
  <c r="B42" i="2"/>
  <c r="B101" i="2"/>
  <c r="B105" i="2"/>
  <c r="B108" i="2"/>
  <c r="B106" i="2"/>
  <c r="B37" i="2"/>
  <c r="B38" i="2"/>
  <c r="B45" i="2"/>
  <c r="B70" i="2"/>
  <c r="B48" i="2"/>
  <c r="B49" i="2"/>
  <c r="B95" i="2"/>
  <c r="B71" i="2"/>
  <c r="B96" i="2"/>
  <c r="B97" i="2"/>
  <c r="B46" i="2"/>
  <c r="B50" i="2"/>
  <c r="B61" i="2"/>
  <c r="B98" i="2"/>
  <c r="B86" i="2"/>
  <c r="B72" i="2"/>
  <c r="B73" i="2"/>
  <c r="B87" i="2"/>
  <c r="B29" i="2"/>
  <c r="B109" i="2"/>
  <c r="B88" i="2"/>
  <c r="B25" i="2"/>
  <c r="B110" i="2"/>
  <c r="B74" i="2"/>
  <c r="B51" i="2"/>
  <c r="B52" i="2"/>
  <c r="B75" i="2"/>
  <c r="B104" i="2"/>
  <c r="B62" i="2"/>
  <c r="B20" i="2"/>
  <c r="B34" i="2"/>
  <c r="B111" i="2"/>
  <c r="B53" i="2"/>
  <c r="B89" i="2"/>
  <c r="B90" i="2"/>
  <c r="B100" i="2"/>
  <c r="B63" i="2"/>
  <c r="B35" i="2"/>
  <c r="B36" i="2"/>
  <c r="B30" i="2"/>
  <c r="B47" i="2"/>
  <c r="B107" i="2"/>
  <c r="B68" i="2"/>
  <c r="B69" i="2"/>
  <c r="B31" i="2"/>
  <c r="B32" i="2"/>
  <c r="B54" i="2"/>
  <c r="B55" i="2"/>
  <c r="B56" i="2"/>
  <c r="B28" i="2"/>
  <c r="B85" i="2"/>
  <c r="B43" i="2"/>
  <c r="B64" i="2"/>
  <c r="B112" i="2"/>
  <c r="B57" i="2"/>
  <c r="B33" i="2"/>
  <c r="B76" i="2"/>
  <c r="B77" i="2"/>
  <c r="B113" i="2"/>
  <c r="B22" i="2"/>
  <c r="B78" i="2"/>
  <c r="B79" i="2"/>
  <c r="B99" i="2"/>
  <c r="B80" i="2"/>
  <c r="B114" i="2"/>
  <c r="B91" i="2"/>
  <c r="B67" i="2"/>
  <c r="B58" i="2"/>
  <c r="B23" i="2"/>
  <c r="B59" i="2"/>
  <c r="B81" i="2"/>
  <c r="B82" i="2"/>
  <c r="B44" i="2"/>
  <c r="B83" i="2"/>
  <c r="B41" i="2"/>
  <c r="B24" i="2"/>
  <c r="B84" i="2"/>
  <c r="B39" i="2"/>
  <c r="B65" i="2"/>
  <c r="B103" i="2"/>
  <c r="B60" i="2"/>
  <c r="B40" i="2"/>
  <c r="B92" i="2"/>
  <c r="B93" i="2"/>
  <c r="B66" i="2"/>
  <c r="B102" i="2"/>
  <c r="B21" i="2"/>
  <c r="B26" i="2"/>
  <c r="B27" i="2"/>
  <c r="B94" i="2"/>
</calcChain>
</file>

<file path=xl/sharedStrings.xml><?xml version="1.0" encoding="utf-8"?>
<sst xmlns="http://schemas.openxmlformats.org/spreadsheetml/2006/main" count="2302" uniqueCount="658">
  <si>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</si>
  <si>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</si>
  <si>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</si>
  <si>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</si>
  <si>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</si>
  <si>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</si>
  <si>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</si>
  <si>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</si>
  <si>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</si>
  <si>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</si>
  <si>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</si>
  <si>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</si>
  <si>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</si>
  <si>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</si>
  <si>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</si>
  <si>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</si>
  <si>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</si>
  <si>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</si>
  <si>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</si>
  <si>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</si>
  <si>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</si>
  <si>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</si>
  <si>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</si>
  <si>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</si>
  <si>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1RC0YM9DG25</t>
  </si>
  <si>
    <t>ANDERSON,DEBRA</t>
  </si>
  <si>
    <t>MI</t>
  </si>
  <si>
    <t>New Business</t>
  </si>
  <si>
    <t>MAPD</t>
  </si>
  <si>
    <t>IMM606</t>
  </si>
  <si>
    <t>H5521-404</t>
  </si>
  <si>
    <t>LOA</t>
  </si>
  <si>
    <t>SCHUMANN, BARRY</t>
  </si>
  <si>
    <t>GMO</t>
  </si>
  <si>
    <t>Main Line Benefits LLC</t>
  </si>
  <si>
    <t xml:space="preserve">N  </t>
  </si>
  <si>
    <t>3K55U73XY63</t>
  </si>
  <si>
    <t>ARMAND L,SCOTT</t>
  </si>
  <si>
    <t>WI</t>
  </si>
  <si>
    <t>H5521-195</t>
  </si>
  <si>
    <t>Hodgman, Timothy</t>
  </si>
  <si>
    <t>5EM7EU7AA68</t>
  </si>
  <si>
    <t>BAERTSCHI A,VICKI</t>
  </si>
  <si>
    <t>IL</t>
  </si>
  <si>
    <t>H7301-006</t>
  </si>
  <si>
    <t>Serio, Tom</t>
  </si>
  <si>
    <t>8HD8T15MP22</t>
  </si>
  <si>
    <t>BALICKI E,SHELLEY</t>
  </si>
  <si>
    <t>H7301-013</t>
  </si>
  <si>
    <t>Walenga, Dale</t>
  </si>
  <si>
    <t>1YM5YD1EX85</t>
  </si>
  <si>
    <t>BAUMGARTEN O,RICHARD</t>
  </si>
  <si>
    <t>Yale, Jacob</t>
  </si>
  <si>
    <t>4UW2P58VW22</t>
  </si>
  <si>
    <t>BERNARD M,RAYLENE</t>
  </si>
  <si>
    <t>H7301-015</t>
  </si>
  <si>
    <t>5JR0A21QT26</t>
  </si>
  <si>
    <t>BOLGER P,BRIAN</t>
  </si>
  <si>
    <t>Drapac, Stephanie</t>
  </si>
  <si>
    <t>8C09U98WR42</t>
  </si>
  <si>
    <t>BOLGER S,MARGARET</t>
  </si>
  <si>
    <t>4N85GH7HW54</t>
  </si>
  <si>
    <t>BRUCE,KATIE</t>
  </si>
  <si>
    <t>Holyn, Dennis</t>
  </si>
  <si>
    <t>4HW9UK8FC17</t>
  </si>
  <si>
    <t>CARLSON J,ROBERTA</t>
  </si>
  <si>
    <t>PA</t>
  </si>
  <si>
    <t>IMM608</t>
  </si>
  <si>
    <t>H3959-002</t>
  </si>
  <si>
    <t>Powers, Timothy</t>
  </si>
  <si>
    <t>9C26KT9EJ68</t>
  </si>
  <si>
    <t>CASALES,CLAUDIO</t>
  </si>
  <si>
    <t>Portugal, Gary</t>
  </si>
  <si>
    <t>4YA3J91PF73</t>
  </si>
  <si>
    <t>CHERRY A,RANDY</t>
  </si>
  <si>
    <t>Hunsberger, Anthony</t>
  </si>
  <si>
    <t>4PV3YH2UY84</t>
  </si>
  <si>
    <t>COLAIANNI A,SHIRLEY</t>
  </si>
  <si>
    <t>8R76NM6DN75</t>
  </si>
  <si>
    <t>COLLINS A,BRADLEY</t>
  </si>
  <si>
    <t>2YE2VA0QD94</t>
  </si>
  <si>
    <t>DETERS R,JAMES</t>
  </si>
  <si>
    <t>5AH4C67YM93</t>
  </si>
  <si>
    <t>DOLAN A,ELIZABETH</t>
  </si>
  <si>
    <t>H5521-086</t>
  </si>
  <si>
    <t>6VJ8PW6PR48</t>
  </si>
  <si>
    <t>DOLAN H,EDWARD</t>
  </si>
  <si>
    <t>8J95F37QK76</t>
  </si>
  <si>
    <t>DOUGAL A,MARILYN</t>
  </si>
  <si>
    <t>7EY1XX9JV14</t>
  </si>
  <si>
    <t>DREDGE M,ALLISON</t>
  </si>
  <si>
    <t>7W82AF8MN17</t>
  </si>
  <si>
    <t>FODSE L,DOUGLAS</t>
  </si>
  <si>
    <t>H5522-001</t>
  </si>
  <si>
    <t>Inskipt, Deborah</t>
  </si>
  <si>
    <t>5DF7YE5JP44</t>
  </si>
  <si>
    <t>GAIMARI,ALFONSO</t>
  </si>
  <si>
    <t>5AC7MP7XQ32</t>
  </si>
  <si>
    <t>GARCIA J,ENELITA</t>
  </si>
  <si>
    <t>SANTOS, RICARDO</t>
  </si>
  <si>
    <t>1TT4QP5UH79</t>
  </si>
  <si>
    <t>GOLDWATER I,JOEL</t>
  </si>
  <si>
    <t>5G38MW2CN52</t>
  </si>
  <si>
    <t>GORHAM M,DENISE</t>
  </si>
  <si>
    <t>FL</t>
  </si>
  <si>
    <t>IMM604</t>
  </si>
  <si>
    <t>H5521-438</t>
  </si>
  <si>
    <t>4GW9W30PQ00</t>
  </si>
  <si>
    <t>GRIFFITH B,SARAH</t>
  </si>
  <si>
    <t>Channel Change</t>
  </si>
  <si>
    <t>Powers, Deborah</t>
  </si>
  <si>
    <t>7YW8NX5WR59</t>
  </si>
  <si>
    <t>GRIFFITHS O,EVELYN</t>
  </si>
  <si>
    <t>Involuntarily Rapid Disenroll</t>
  </si>
  <si>
    <t>3XK7FR1TK55</t>
  </si>
  <si>
    <t>GROSS R,WILLIAM</t>
  </si>
  <si>
    <t>Choi, Andrew</t>
  </si>
  <si>
    <t>2X48MP7UD35</t>
  </si>
  <si>
    <t>HAINES S,DIANNE</t>
  </si>
  <si>
    <t>6MV5QG6GW52</t>
  </si>
  <si>
    <t>HARDY E,NATALIE</t>
  </si>
  <si>
    <t>IMM619</t>
  </si>
  <si>
    <t>H7301-009</t>
  </si>
  <si>
    <t>6HU6ET0NF40</t>
  </si>
  <si>
    <t>HOAGLUND R,DANIEL</t>
  </si>
  <si>
    <t>Yale, Richard</t>
  </si>
  <si>
    <t>5QY5YF7GY87</t>
  </si>
  <si>
    <t>HOFFMAN L,ROGER</t>
  </si>
  <si>
    <t>1FA9ND8KY47</t>
  </si>
  <si>
    <t>HOTWAGNER E,PHYLLIS</t>
  </si>
  <si>
    <t>1RC0Y65HM38</t>
  </si>
  <si>
    <t>JACOBSON A,MARGARET</t>
  </si>
  <si>
    <t>9P60JE0MR28</t>
  </si>
  <si>
    <t>JUSTIS A,JOEL</t>
  </si>
  <si>
    <t>1UC1QW2AH26</t>
  </si>
  <si>
    <t>KAISER C,HERBERT</t>
  </si>
  <si>
    <t>7W94VD1EA60</t>
  </si>
  <si>
    <t>KAPLAN,HERMAN</t>
  </si>
  <si>
    <t>1RG8XE0RD36</t>
  </si>
  <si>
    <t>KENNEDY E,RICHARD</t>
  </si>
  <si>
    <t>AZ</t>
  </si>
  <si>
    <t>IMM601</t>
  </si>
  <si>
    <t>H3931-129</t>
  </si>
  <si>
    <t>Teipel, Gregory</t>
  </si>
  <si>
    <t>3AC8HK6YX50</t>
  </si>
  <si>
    <t>KOLESAR M,THOMAS</t>
  </si>
  <si>
    <t>7VG9GR2DV29</t>
  </si>
  <si>
    <t>KREUTZ HEISTER D,KASSY</t>
  </si>
  <si>
    <t>H3959-036</t>
  </si>
  <si>
    <t>6M95TC8MK86</t>
  </si>
  <si>
    <t>LABRIE A,GORDON</t>
  </si>
  <si>
    <t>TN</t>
  </si>
  <si>
    <t>IMM609</t>
  </si>
  <si>
    <t>H5521-254</t>
  </si>
  <si>
    <t>Deaton, Pamela</t>
  </si>
  <si>
    <t>5MT7GD4UU50</t>
  </si>
  <si>
    <t>LEARNAHAN S,JEFFERY</t>
  </si>
  <si>
    <t>9HW6P45EN65</t>
  </si>
  <si>
    <t>LIBERATORE L,KATHY</t>
  </si>
  <si>
    <t>2AN6FK2XQ81</t>
  </si>
  <si>
    <t>LONG L,LINDA</t>
  </si>
  <si>
    <t>5GH2G68DX03</t>
  </si>
  <si>
    <t>LOPICCOLO E,BARBARA</t>
  </si>
  <si>
    <t>3DY5RV8KJ84</t>
  </si>
  <si>
    <t>MALONE B,RICHARD</t>
  </si>
  <si>
    <t>7NR2TV2HQ04</t>
  </si>
  <si>
    <t>MALONE H,MARLENE</t>
  </si>
  <si>
    <t>2GX2QN9NT91</t>
  </si>
  <si>
    <t>MANNING R,WILLIAM</t>
  </si>
  <si>
    <t>Voluntarily Rapid Disenroll</t>
  </si>
  <si>
    <t>Semprevivo, Michael</t>
  </si>
  <si>
    <t>4YR0DC5VV18</t>
  </si>
  <si>
    <t>MCDOWELL R,TAMMY</t>
  </si>
  <si>
    <t>2XN7V29RG44</t>
  </si>
  <si>
    <t>MCGALLIS K,SHARYN</t>
  </si>
  <si>
    <t>MA</t>
  </si>
  <si>
    <t>H3959-041</t>
  </si>
  <si>
    <t xml:space="preserve">Y  </t>
  </si>
  <si>
    <t>9FA0NJ5PQ21</t>
  </si>
  <si>
    <t>MCILVOY A,BRUCE</t>
  </si>
  <si>
    <t>H7301-007</t>
  </si>
  <si>
    <t>5RF6XD2EF86</t>
  </si>
  <si>
    <t>MCILVOY C,ROSEMARY</t>
  </si>
  <si>
    <t>8RQ7YW5YW40</t>
  </si>
  <si>
    <t>MELANSON E,WILLIAM</t>
  </si>
  <si>
    <t>9R15G50GW67</t>
  </si>
  <si>
    <t>MENDEZ M,CYNTHIA</t>
  </si>
  <si>
    <t>H2663-017</t>
  </si>
  <si>
    <t>HORN, JEFFREY</t>
  </si>
  <si>
    <t>7HM2XG5PH14</t>
  </si>
  <si>
    <t>MEYERS J,ALAN</t>
  </si>
  <si>
    <t>WERNER, STEVEN</t>
  </si>
  <si>
    <t>7P43AH8YU78</t>
  </si>
  <si>
    <t>MOSES J,WILLIAM</t>
  </si>
  <si>
    <t>McCorkle, Michelle</t>
  </si>
  <si>
    <t>5WE5PN0TH50</t>
  </si>
  <si>
    <t>MOSES M,DENISE</t>
  </si>
  <si>
    <t>1G41QT5RP14</t>
  </si>
  <si>
    <t>MURPHY A,KEITH</t>
  </si>
  <si>
    <t>4T58AG7RE37</t>
  </si>
  <si>
    <t>MURPHY A,WENDY</t>
  </si>
  <si>
    <t>7C39N06HM41</t>
  </si>
  <si>
    <t>NEUMANN M,PHYLLIS</t>
  </si>
  <si>
    <t>8D66E27ND66</t>
  </si>
  <si>
    <t>NICHOLAOU E,GEORGE</t>
  </si>
  <si>
    <t>8UT4JX0DU88</t>
  </si>
  <si>
    <t>NICHOLAOU L,GERRY</t>
  </si>
  <si>
    <t>9N18JC8FD22</t>
  </si>
  <si>
    <t>NOVAK V,KATHLEEN</t>
  </si>
  <si>
    <t>Aloff, Arnold</t>
  </si>
  <si>
    <t>3CU5JK6AC84</t>
  </si>
  <si>
    <t>ODELL,MICHELLE</t>
  </si>
  <si>
    <t>Robinson, Paul</t>
  </si>
  <si>
    <t>5EV5A28NR88</t>
  </si>
  <si>
    <t>PALAZZO,MICHAEL</t>
  </si>
  <si>
    <t>H5521-386</t>
  </si>
  <si>
    <t>2C86VP4TP88</t>
  </si>
  <si>
    <t>PEAVORNICK J,PATRICK</t>
  </si>
  <si>
    <t>1F31D83XV08</t>
  </si>
  <si>
    <t>PEER P,JAMES</t>
  </si>
  <si>
    <t>H1609-027</t>
  </si>
  <si>
    <t>2JU3XM4DQ76</t>
  </si>
  <si>
    <t>PENROD L,TERRY</t>
  </si>
  <si>
    <t>8W30VA0JR45</t>
  </si>
  <si>
    <t>PIERI L,NOEMI</t>
  </si>
  <si>
    <t>8QN0TW4PR22</t>
  </si>
  <si>
    <t>PINCKNEY M,SAMUEL</t>
  </si>
  <si>
    <t>H3959-001</t>
  </si>
  <si>
    <t>Cousar, Alan</t>
  </si>
  <si>
    <t>5RQ9QH7VX19</t>
  </si>
  <si>
    <t>PIPER T,STEPHEN</t>
  </si>
  <si>
    <t>3QT5EX9PG60</t>
  </si>
  <si>
    <t>PLOPA A,JUDITH</t>
  </si>
  <si>
    <t>1HG1P89VT28</t>
  </si>
  <si>
    <t>PLOPA J,LESZEK</t>
  </si>
  <si>
    <t>5R25XJ7GV87</t>
  </si>
  <si>
    <t>PRCHAL J,PAUL</t>
  </si>
  <si>
    <t>H7301-021</t>
  </si>
  <si>
    <t>9Y24VP8AP72</t>
  </si>
  <si>
    <t>PRICE E,TIM</t>
  </si>
  <si>
    <t>5RW2WG0PW23</t>
  </si>
  <si>
    <t>REMELSKI C,LYNN</t>
  </si>
  <si>
    <t>H5521-329</t>
  </si>
  <si>
    <t>1E75WG0TD70</t>
  </si>
  <si>
    <t>REMELSKI E,RENIE</t>
  </si>
  <si>
    <t>H5521-554</t>
  </si>
  <si>
    <t>8MP3AM7PX78</t>
  </si>
  <si>
    <t>RILEY M,TIMOTHY</t>
  </si>
  <si>
    <t>8D42Q04YD15</t>
  </si>
  <si>
    <t>RIPPER D,DARIA</t>
  </si>
  <si>
    <t>8N07MP1RY60</t>
  </si>
  <si>
    <t>RIPPER F,ROBERT</t>
  </si>
  <si>
    <t>1RC2AJ8PF84</t>
  </si>
  <si>
    <t>ROACH W,JUDITH</t>
  </si>
  <si>
    <t>TX</t>
  </si>
  <si>
    <t>IMM618</t>
  </si>
  <si>
    <t>H3288-008</t>
  </si>
  <si>
    <t>8A22KJ0RG96</t>
  </si>
  <si>
    <t>RUMBAUGH J,HELEN</t>
  </si>
  <si>
    <t>2GC1QD3MM99</t>
  </si>
  <si>
    <t>MECHGA7461866</t>
  </si>
  <si>
    <t>RYAN,PETER</t>
  </si>
  <si>
    <t>PDP</t>
  </si>
  <si>
    <t>S5601-012</t>
  </si>
  <si>
    <t>Richter Peter</t>
  </si>
  <si>
    <t>7UT8CJ1UX41</t>
  </si>
  <si>
    <t>SANTOS J,MERLINDA</t>
  </si>
  <si>
    <t>2HD6KJ7NQ43</t>
  </si>
  <si>
    <t>SAUTARIELLO,CARMINE</t>
  </si>
  <si>
    <t>Liskovec, Frank</t>
  </si>
  <si>
    <t>2N15V01UE73</t>
  </si>
  <si>
    <t>SCHAEDEL J,ROBERT</t>
  </si>
  <si>
    <t>9NE2RY0AV08</t>
  </si>
  <si>
    <t>SCHAEFER M,EDWARD</t>
  </si>
  <si>
    <t>8DQ2RH5GN91</t>
  </si>
  <si>
    <t>SCHNITZ J,RANDY</t>
  </si>
  <si>
    <t>4R52UU4YG10</t>
  </si>
  <si>
    <t>SEMINERIO L,DANIEL</t>
  </si>
  <si>
    <t>7AT7Y37DF76</t>
  </si>
  <si>
    <t>SICILIANO W,FREDERICK</t>
  </si>
  <si>
    <t>H3959-010</t>
  </si>
  <si>
    <t>8RY1JU7YP10</t>
  </si>
  <si>
    <t>SINGH T,NAYAN</t>
  </si>
  <si>
    <t>8AR8YG5MH30</t>
  </si>
  <si>
    <t>SINOPLE L,CAROL</t>
  </si>
  <si>
    <t>5PV0AN4DW02</t>
  </si>
  <si>
    <t>SMYTH A,SUSAN</t>
  </si>
  <si>
    <t>5NF7E65FN73</t>
  </si>
  <si>
    <t>SOLIS S,DANIEL</t>
  </si>
  <si>
    <t>Herrera-Larsen, Esther</t>
  </si>
  <si>
    <t>2WG2CX0PG19</t>
  </si>
  <si>
    <t>SPARKS L,ALISON</t>
  </si>
  <si>
    <t>CO</t>
  </si>
  <si>
    <t>IMM610</t>
  </si>
  <si>
    <t>H3931-153</t>
  </si>
  <si>
    <t>Lee, Joel</t>
  </si>
  <si>
    <t>2UA3QP9WG93</t>
  </si>
  <si>
    <t>STEARNS S,WILLIAM</t>
  </si>
  <si>
    <t>H7301-027</t>
  </si>
  <si>
    <t>1WX8VD5HW24</t>
  </si>
  <si>
    <t>STOJANOVIC,STOJANKA</t>
  </si>
  <si>
    <t>FINE, SCOTT</t>
  </si>
  <si>
    <t>3EQ3UF6WT05</t>
  </si>
  <si>
    <t>SUTTER P,JAMES</t>
  </si>
  <si>
    <t>9E57VC7EJ51</t>
  </si>
  <si>
    <t>SWIDERSKI C,DANIEL</t>
  </si>
  <si>
    <t>H5521-403</t>
  </si>
  <si>
    <t>TAUGNER, CHRISTIAN</t>
  </si>
  <si>
    <t>6G96WQ5FK85</t>
  </si>
  <si>
    <t>TALLENT S,JOHN</t>
  </si>
  <si>
    <t>8A19XQ5XX40</t>
  </si>
  <si>
    <t>THORPE E,ISABELLA</t>
  </si>
  <si>
    <t>H3959-052</t>
  </si>
  <si>
    <t>AG4</t>
  </si>
  <si>
    <t>GBASSANA, FREDERICK</t>
  </si>
  <si>
    <t>7Q48Y45RC34</t>
  </si>
  <si>
    <t>UMALI L,AMADO</t>
  </si>
  <si>
    <t>3XF6CE0CM82</t>
  </si>
  <si>
    <t>UMALI O,AIDA</t>
  </si>
  <si>
    <t>2GE8QX6ED54</t>
  </si>
  <si>
    <t>WALLACE A,MICHAEL</t>
  </si>
  <si>
    <t>H3931-185</t>
  </si>
  <si>
    <t>5QE7RA7UU56</t>
  </si>
  <si>
    <t>WARTELL M,SHEILA</t>
  </si>
  <si>
    <t>Strohman, Brian</t>
  </si>
  <si>
    <t>9PT5J39UR95</t>
  </si>
  <si>
    <t>WEATHERSTONE B,MARY</t>
  </si>
  <si>
    <t>H2293-016</t>
  </si>
  <si>
    <t>DAUGHERTY, MATTHEW</t>
  </si>
  <si>
    <t>5TH6X34KW52</t>
  </si>
  <si>
    <t>WINTERS L,APRIL</t>
  </si>
  <si>
    <t>1J51EH8NN04</t>
  </si>
  <si>
    <t>WITEK,STANISLAWA</t>
  </si>
  <si>
    <t>CA</t>
  </si>
  <si>
    <t>IMM602</t>
  </si>
  <si>
    <t>H5521-419</t>
  </si>
  <si>
    <t>ABDUL, SAADIA</t>
  </si>
  <si>
    <t>5PM1MA6MD29</t>
  </si>
  <si>
    <t>WOOD A,LISA</t>
  </si>
  <si>
    <t>4PX6V02YQ89</t>
  </si>
  <si>
    <t>WOOD E,CLIFTON</t>
  </si>
  <si>
    <t>4NF2JW7JQ15</t>
  </si>
  <si>
    <t>YOUNG C,YVONNE</t>
  </si>
  <si>
    <t>7X68Y95PR10</t>
  </si>
  <si>
    <t>YOUNG J,DENNIS</t>
  </si>
  <si>
    <t>3HE6TC9GU57</t>
  </si>
  <si>
    <t>YUKHVID,GALINA</t>
  </si>
  <si>
    <t>Total Payee Amount: $18613.29</t>
  </si>
  <si>
    <t>Aetna 1st year and renewal override</t>
  </si>
  <si>
    <t>MainLine Benefits</t>
  </si>
  <si>
    <t>Aetna MAPD OVR 2025</t>
  </si>
  <si>
    <t>[%/$=431][prorate=1/12]</t>
  </si>
  <si>
    <t>[%/$=470][prorate=1/12]</t>
  </si>
  <si>
    <t>Aetna GMO MAPD NATIONAL 2024!</t>
  </si>
  <si>
    <t>Aetna PDP 2024! Choice</t>
  </si>
  <si>
    <t>Aetna GMO MAPD CT, PA, DC 2024!</t>
  </si>
  <si>
    <t>GRIFFITH</t>
  </si>
  <si>
    <t>SARAH</t>
  </si>
  <si>
    <t>MCGALLIS</t>
  </si>
  <si>
    <t>SHARYN</t>
  </si>
  <si>
    <t>SICILIANO</t>
  </si>
  <si>
    <t>FREDERICK</t>
  </si>
  <si>
    <t>CARLSON</t>
  </si>
  <si>
    <t>ROBERTA</t>
  </si>
  <si>
    <t>HOFFMAN</t>
  </si>
  <si>
    <t>ROGER</t>
  </si>
  <si>
    <t>LIBERATORE</t>
  </si>
  <si>
    <t>KATHY</t>
  </si>
  <si>
    <t>LONG</t>
  </si>
  <si>
    <t>LINDA</t>
  </si>
  <si>
    <t>PENROD</t>
  </si>
  <si>
    <t>TERRY</t>
  </si>
  <si>
    <t>PIPER</t>
  </si>
  <si>
    <t>STEPHEN</t>
  </si>
  <si>
    <t>RIPPER</t>
  </si>
  <si>
    <t>DARIA</t>
  </si>
  <si>
    <t>ROBERT</t>
  </si>
  <si>
    <t>RUMBAUGH</t>
  </si>
  <si>
    <t>HELEN</t>
  </si>
  <si>
    <t>WINTERS</t>
  </si>
  <si>
    <t>APRIL</t>
  </si>
  <si>
    <t>WOOD</t>
  </si>
  <si>
    <t>LISA</t>
  </si>
  <si>
    <t>CLIFTON</t>
  </si>
  <si>
    <t>YOUNG</t>
  </si>
  <si>
    <t>YVONNE</t>
  </si>
  <si>
    <t>DENNIS</t>
  </si>
  <si>
    <t>KREUTZ</t>
  </si>
  <si>
    <t>KASSY</t>
  </si>
  <si>
    <t>WEATHERSTONE</t>
  </si>
  <si>
    <t>MARY</t>
  </si>
  <si>
    <t>PRICE</t>
  </si>
  <si>
    <t>TIM</t>
  </si>
  <si>
    <t>SCHAEFER</t>
  </si>
  <si>
    <t>EDWARD</t>
  </si>
  <si>
    <t>SPARKS</t>
  </si>
  <si>
    <t>ALISON</t>
  </si>
  <si>
    <t>HOAGLUND</t>
  </si>
  <si>
    <t>DANIEL</t>
  </si>
  <si>
    <t>WITEK</t>
  </si>
  <si>
    <t>STANISLAWA</t>
  </si>
  <si>
    <t>YUKHVID</t>
  </si>
  <si>
    <t>GALINA</t>
  </si>
  <si>
    <t>NOVAK</t>
  </si>
  <si>
    <t>KATHLEEN</t>
  </si>
  <si>
    <t>GROSS</t>
  </si>
  <si>
    <t>WILLIAM</t>
  </si>
  <si>
    <t>MELANSON</t>
  </si>
  <si>
    <t>MURPHY</t>
  </si>
  <si>
    <t>KEITH</t>
  </si>
  <si>
    <t>WENDY</t>
  </si>
  <si>
    <t>PINCKNEY</t>
  </si>
  <si>
    <t>SAMUEL</t>
  </si>
  <si>
    <t>LABRIE</t>
  </si>
  <si>
    <t>GORDON</t>
  </si>
  <si>
    <t>MCILVOY</t>
  </si>
  <si>
    <t>BRUCE</t>
  </si>
  <si>
    <t>ROSEMARY</t>
  </si>
  <si>
    <t>BOLGER</t>
  </si>
  <si>
    <t>BRIAN</t>
  </si>
  <si>
    <t>MARGARET</t>
  </si>
  <si>
    <t>STOJANOVIC</t>
  </si>
  <si>
    <t>STOJANKA</t>
  </si>
  <si>
    <t>THORPE</t>
  </si>
  <si>
    <t>ISABELLA</t>
  </si>
  <si>
    <t>SOLIS</t>
  </si>
  <si>
    <t>ARMAND</t>
  </si>
  <si>
    <t>SCOTT</t>
  </si>
  <si>
    <t>PALAZZO</t>
  </si>
  <si>
    <t>MICHAEL</t>
  </si>
  <si>
    <t>SINOPLE</t>
  </si>
  <si>
    <t>CAROL</t>
  </si>
  <si>
    <t>KATIE</t>
  </si>
  <si>
    <t>DOUGAL</t>
  </si>
  <si>
    <t>MARILYN</t>
  </si>
  <si>
    <t>MENDEZ</t>
  </si>
  <si>
    <t>CYNTHIA</t>
  </si>
  <si>
    <t>CHERRY</t>
  </si>
  <si>
    <t>RANDY</t>
  </si>
  <si>
    <t>COLAIANNI</t>
  </si>
  <si>
    <t>SHIRLEY</t>
  </si>
  <si>
    <t>DREDGE</t>
  </si>
  <si>
    <t>ALLISON</t>
  </si>
  <si>
    <t>JUSTIS</t>
  </si>
  <si>
    <t>JOEL</t>
  </si>
  <si>
    <t>KAISER</t>
  </si>
  <si>
    <t>HERBERT</t>
  </si>
  <si>
    <t>LOPICCOLO</t>
  </si>
  <si>
    <t>BARBARA</t>
  </si>
  <si>
    <t>NEUMANN</t>
  </si>
  <si>
    <t>PHYLLIS</t>
  </si>
  <si>
    <t>NICHOLAOU</t>
  </si>
  <si>
    <t>GEORGE</t>
  </si>
  <si>
    <t>GERRY</t>
  </si>
  <si>
    <t>PIERI</t>
  </si>
  <si>
    <t>NOEMI</t>
  </si>
  <si>
    <t>SCHAEDEL</t>
  </si>
  <si>
    <t>SCHNITZ</t>
  </si>
  <si>
    <t>TALLENT</t>
  </si>
  <si>
    <t>JOHN</t>
  </si>
  <si>
    <t>FODSE</t>
  </si>
  <si>
    <t>DOUGLAS</t>
  </si>
  <si>
    <t>KOLESAR</t>
  </si>
  <si>
    <t>THOMAS</t>
  </si>
  <si>
    <t>MCDOWELL</t>
  </si>
  <si>
    <t>TAMMY</t>
  </si>
  <si>
    <t>PEAVORNICK</t>
  </si>
  <si>
    <t>PATRICK</t>
  </si>
  <si>
    <t>SUTTER</t>
  </si>
  <si>
    <t>JAMES</t>
  </si>
  <si>
    <t>WALLACE</t>
  </si>
  <si>
    <t>SAUTARIELLO</t>
  </si>
  <si>
    <t>CARMINE</t>
  </si>
  <si>
    <t>MOSES</t>
  </si>
  <si>
    <t>DENISE</t>
  </si>
  <si>
    <t>CASALES</t>
  </si>
  <si>
    <t>CLAUDIO</t>
  </si>
  <si>
    <t>DETERS</t>
  </si>
  <si>
    <t>GOLDWATER</t>
  </si>
  <si>
    <t>GORHAM</t>
  </si>
  <si>
    <t>JACOBSON</t>
  </si>
  <si>
    <t>KAPLAN</t>
  </si>
  <si>
    <t>HERMAN</t>
  </si>
  <si>
    <t>PLOPA</t>
  </si>
  <si>
    <t>JUDITH</t>
  </si>
  <si>
    <t>LESZEK</t>
  </si>
  <si>
    <t>REMELSKI</t>
  </si>
  <si>
    <t>LYNN</t>
  </si>
  <si>
    <t>RENIE</t>
  </si>
  <si>
    <t>ROACH</t>
  </si>
  <si>
    <t>SEMINERIO</t>
  </si>
  <si>
    <t>SINGH</t>
  </si>
  <si>
    <t>NAYAN</t>
  </si>
  <si>
    <t>SMYTH</t>
  </si>
  <si>
    <t>SUSAN</t>
  </si>
  <si>
    <t>STEARNS</t>
  </si>
  <si>
    <t>ODELL</t>
  </si>
  <si>
    <t>MICHELLE</t>
  </si>
  <si>
    <t>GARCIA</t>
  </si>
  <si>
    <t>ENELITA</t>
  </si>
  <si>
    <t>GRIFFITHS</t>
  </si>
  <si>
    <t>EVELYN</t>
  </si>
  <si>
    <t>HARDY</t>
  </si>
  <si>
    <t>NATALIE</t>
  </si>
  <si>
    <t>MALONE</t>
  </si>
  <si>
    <t>RICHARD</t>
  </si>
  <si>
    <t>MARLENE</t>
  </si>
  <si>
    <t>SANTOS</t>
  </si>
  <si>
    <t>MERLINDA</t>
  </si>
  <si>
    <t>UMALI</t>
  </si>
  <si>
    <t>AMADO</t>
  </si>
  <si>
    <t>AIDA</t>
  </si>
  <si>
    <t>ANDERSON</t>
  </si>
  <si>
    <t>DEBRA</t>
  </si>
  <si>
    <t>COLLINS</t>
  </si>
  <si>
    <t>BRADLEY</t>
  </si>
  <si>
    <t>DOLAN</t>
  </si>
  <si>
    <t>ELIZABETH</t>
  </si>
  <si>
    <t>GAIMARI</t>
  </si>
  <si>
    <t>ALFONSO</t>
  </si>
  <si>
    <t>RILEY</t>
  </si>
  <si>
    <t>TIMOTHY</t>
  </si>
  <si>
    <t>MANNING</t>
  </si>
  <si>
    <t>BAERTSCHI</t>
  </si>
  <si>
    <t>VICKI</t>
  </si>
  <si>
    <t>WARTELL</t>
  </si>
  <si>
    <t>SHEILA</t>
  </si>
  <si>
    <t>SWIDERSKI</t>
  </si>
  <si>
    <t>KENNEDY</t>
  </si>
  <si>
    <t>BALICKI</t>
  </si>
  <si>
    <t>SHELLEY</t>
  </si>
  <si>
    <t>BERNARD</t>
  </si>
  <si>
    <t>RAYLENE</t>
  </si>
  <si>
    <t>MEYERS</t>
  </si>
  <si>
    <t>ALAN</t>
  </si>
  <si>
    <t>BAUMGARTEN</t>
  </si>
  <si>
    <t>HAINES</t>
  </si>
  <si>
    <t>DIANNE</t>
  </si>
  <si>
    <t>HOTWAGNER</t>
  </si>
  <si>
    <t>LEARNAHAN</t>
  </si>
  <si>
    <t>JEFFERY</t>
  </si>
  <si>
    <t>PEER</t>
  </si>
  <si>
    <t>PRCHAL</t>
  </si>
  <si>
    <t>PAUL</t>
  </si>
  <si>
    <t>RYAN</t>
  </si>
  <si>
    <t>PETER</t>
  </si>
  <si>
    <t>SARAH GRIFFITH</t>
  </si>
  <si>
    <t>SHARYN MCGALLIS</t>
  </si>
  <si>
    <t>FREDERICK SICILIANO</t>
  </si>
  <si>
    <t>ROBERTA CARLSON</t>
  </si>
  <si>
    <t>ROGER HOFFMAN</t>
  </si>
  <si>
    <t>KATHY LIBERATORE</t>
  </si>
  <si>
    <t>LINDA LONG</t>
  </si>
  <si>
    <t>TERRY PENROD</t>
  </si>
  <si>
    <t>STEPHEN PIPER</t>
  </si>
  <si>
    <t>DARIA RIPPER</t>
  </si>
  <si>
    <t>ROBERT RIPPER</t>
  </si>
  <si>
    <t>HELEN RUMBAUGH</t>
  </si>
  <si>
    <t>APRIL WINTERS</t>
  </si>
  <si>
    <t>LISA WOOD</t>
  </si>
  <si>
    <t>CLIFTON WOOD</t>
  </si>
  <si>
    <t>YVONNE YOUNG</t>
  </si>
  <si>
    <t>DENNIS YOUNG</t>
  </si>
  <si>
    <t>KASSY KREUTZ</t>
  </si>
  <si>
    <t>MARY WEATHERSTONE</t>
  </si>
  <si>
    <t>TIM PRICE</t>
  </si>
  <si>
    <t>EDWARD SCHAEFER</t>
  </si>
  <si>
    <t>ALISON SPARKS</t>
  </si>
  <si>
    <t>DANIEL HOAGLUND</t>
  </si>
  <si>
    <t>STANISLAWA WITEK</t>
  </si>
  <si>
    <t>GALINA YUKHVID</t>
  </si>
  <si>
    <t>KATHLEEN NOVAK</t>
  </si>
  <si>
    <t>WILLIAM GROSS</t>
  </si>
  <si>
    <t>WILLIAM MELANSON</t>
  </si>
  <si>
    <t>KEITH MURPHY</t>
  </si>
  <si>
    <t>WENDY MURPHY</t>
  </si>
  <si>
    <t>SAMUEL PINCKNEY</t>
  </si>
  <si>
    <t>GORDON LABRIE</t>
  </si>
  <si>
    <t>BRUCE MCILVOY</t>
  </si>
  <si>
    <t>ROSEMARY MCILVOY</t>
  </si>
  <si>
    <t>BRIAN BOLGER</t>
  </si>
  <si>
    <t>MARGARET BOLGER</t>
  </si>
  <si>
    <t>STOJANKA STOJANOVIC</t>
  </si>
  <si>
    <t>ISABELLA THORPE</t>
  </si>
  <si>
    <t>DANIEL SOLIS</t>
  </si>
  <si>
    <t>SCOTT ARMAND</t>
  </si>
  <si>
    <t>MICHAEL PALAZZO</t>
  </si>
  <si>
    <t>CAROL SINOPLE</t>
  </si>
  <si>
    <t>KATIE BRUCE</t>
  </si>
  <si>
    <t>MARILYN DOUGAL</t>
  </si>
  <si>
    <t>CYNTHIA MENDEZ</t>
  </si>
  <si>
    <t>RANDY CHERRY</t>
  </si>
  <si>
    <t>SHIRLEY COLAIANNI</t>
  </si>
  <si>
    <t>ALLISON DREDGE</t>
  </si>
  <si>
    <t>JOEL JUSTIS</t>
  </si>
  <si>
    <t>HERBERT KAISER</t>
  </si>
  <si>
    <t>BARBARA LOPICCOLO</t>
  </si>
  <si>
    <t>PHYLLIS NEUMANN</t>
  </si>
  <si>
    <t>GEORGE NICHOLAOU</t>
  </si>
  <si>
    <t>GERRY NICHOLAOU</t>
  </si>
  <si>
    <t>NOEMI PIERI</t>
  </si>
  <si>
    <t>ROBERT SCHAEDEL</t>
  </si>
  <si>
    <t>RANDY SCHNITZ</t>
  </si>
  <si>
    <t>JOHN TALLENT</t>
  </si>
  <si>
    <t>DOUGLAS FODSE</t>
  </si>
  <si>
    <t>THOMAS KOLESAR</t>
  </si>
  <si>
    <t>TAMMY MCDOWELL</t>
  </si>
  <si>
    <t>PATRICK PEAVORNICK</t>
  </si>
  <si>
    <t>JAMES SUTTER</t>
  </si>
  <si>
    <t>MICHAEL WALLACE</t>
  </si>
  <si>
    <t>CARMINE SAUTARIELLO</t>
  </si>
  <si>
    <t>WILLIAM MOSES</t>
  </si>
  <si>
    <t>DENISE MOSES</t>
  </si>
  <si>
    <t>CLAUDIO CASALES</t>
  </si>
  <si>
    <t>JAMES DETERS</t>
  </si>
  <si>
    <t>JOEL GOLDWATER</t>
  </si>
  <si>
    <t>DENISE GORHAM</t>
  </si>
  <si>
    <t>MARGARET JACOBSON</t>
  </si>
  <si>
    <t>HERMAN KAPLAN</t>
  </si>
  <si>
    <t>JUDITH PLOPA</t>
  </si>
  <si>
    <t>LESZEK PLOPA</t>
  </si>
  <si>
    <t>LYNN REMELSKI</t>
  </si>
  <si>
    <t>RENIE REMELSKI</t>
  </si>
  <si>
    <t>JUDITH ROACH</t>
  </si>
  <si>
    <t>DANIEL SEMINERIO</t>
  </si>
  <si>
    <t>NAYAN SINGH</t>
  </si>
  <si>
    <t>SUSAN SMYTH</t>
  </si>
  <si>
    <t>WILLIAM STEARNS</t>
  </si>
  <si>
    <t>MICHELLE ODELL</t>
  </si>
  <si>
    <t>ENELITA GARCIA</t>
  </si>
  <si>
    <t>EVELYN GRIFFITHS</t>
  </si>
  <si>
    <t>NATALIE HARDY</t>
  </si>
  <si>
    <t>RICHARD MALONE</t>
  </si>
  <si>
    <t>MARLENE MALONE</t>
  </si>
  <si>
    <t>MERLINDA SANTOS</t>
  </si>
  <si>
    <t>AMADO UMALI</t>
  </si>
  <si>
    <t>AIDA UMALI</t>
  </si>
  <si>
    <t>DEBRA ANDERSON</t>
  </si>
  <si>
    <t>BRADLEY COLLINS</t>
  </si>
  <si>
    <t>ELIZABETH DOLAN</t>
  </si>
  <si>
    <t>EDWARD DOLAN</t>
  </si>
  <si>
    <t>ALFONSO GAIMARI</t>
  </si>
  <si>
    <t>TIMOTHY RILEY</t>
  </si>
  <si>
    <t>WILLIAM MANNING</t>
  </si>
  <si>
    <t>VICKI BAERTSCHI</t>
  </si>
  <si>
    <t>SHEILA WARTELL</t>
  </si>
  <si>
    <t>DANIEL SWIDERSKI</t>
  </si>
  <si>
    <t>RICHARD KENNEDY</t>
  </si>
  <si>
    <t>SHELLEY BALICKI</t>
  </si>
  <si>
    <t>RAYLENE BERNARD</t>
  </si>
  <si>
    <t>ALAN MEYERS</t>
  </si>
  <si>
    <t>RICHARD BAUMGARTEN</t>
  </si>
  <si>
    <t>DIANNE HAINES</t>
  </si>
  <si>
    <t>PHYLLIS HOTWAGNER</t>
  </si>
  <si>
    <t>JEFFERY LEARNAHAN</t>
  </si>
  <si>
    <t>JAMES PEER</t>
  </si>
  <si>
    <t>PAUL PRCHAL</t>
  </si>
  <si>
    <t>PETER RYAN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</si>
</sst>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16" fillId="0" borderId="0" xfId="0" applyFont="1"/>
    <xf numFmtId="0" fontId="0" fillId="0" borderId="0" xfId="0" applyFill="1"/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9AEE-ADDE-4A69-972F-CC5871CCF1E4}">
  <dimension ref="A1:X363"/>
  <sheetViews>
    <sheetView topLeftCell="F1" workbookViewId="0">
      <selection activeCell="F1" sqref="A1:XFD1048576"/>
    </sheetView>
  </sheetViews>
  <sheetFormatPr defaultRowHeight="15" x14ac:dyDescent="0.25"/>
  <cols>
    <col min="1" max="1" width="28.42578125" bestFit="1" customWidth="1"/>
    <col min="2" max="2" width="16.85546875" bestFit="1" customWidth="1"/>
    <col min="3" max="3" width="15.5703125" style="2" bestFit="1" customWidth="1"/>
    <col min="4" max="4" width="16.85546875" bestFit="1" customWidth="1"/>
    <col min="5" max="5" width="23.7109375" bestFit="1" customWidth="1"/>
    <col min="6" max="6" width="12.85546875" bestFit="1" customWidth="1"/>
    <col min="7" max="7" width="26.5703125" bestFit="1" customWidth="1"/>
    <col min="8" max="8" width="7.85546875" bestFit="1" customWidth="1"/>
    <col min="9" max="9" width="7.7109375" bestFit="1" customWidth="1"/>
    <col min="10" max="10" width="10" bestFit="1" customWidth="1"/>
    <col min="11" max="11" width="24.140625" bestFit="1" customWidth="1"/>
    <col min="12" max="12" width="15.28515625" bestFit="1" customWidth="1"/>
    <col min="13" max="13" width="12.5703125" bestFit="1" customWidth="1"/>
    <col min="14" max="14" width="10.42578125" bestFit="1" customWidth="1"/>
    <col min="15" max="15" width="17.28515625" bestFit="1" customWidth="1"/>
    <col min="16" max="16" width="17.5703125" bestFit="1" customWidth="1"/>
    <col min="17" max="17" width="21.5703125" bestFit="1" customWidth="1"/>
    <col min="18" max="18" width="8.42578125" bestFit="1" customWidth="1"/>
    <col min="19" max="19" width="10.85546875" bestFit="1" customWidth="1"/>
    <col min="20" max="20" width="20.42578125" bestFit="1" customWidth="1"/>
    <col min="21" max="21" width="13.5703125" bestFit="1" customWidth="1"/>
    <col min="22" max="22" width="9" bestFit="1" customWidth="1"/>
    <col min="23" max="23" width="13.57031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45636</v>
      </c>
      <c r="B2" t="s">
        <v>24</v>
      </c>
      <c r="C2" s="2">
        <v>102097443400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L2" s="1">
        <v>45658</v>
      </c>
      <c r="M2" s="1">
        <v>45658</v>
      </c>
      <c r="O2">
        <v>19586992</v>
      </c>
      <c r="P2" t="s">
        <v>31</v>
      </c>
      <c r="Q2" t="s">
        <v>32</v>
      </c>
      <c r="R2">
        <v>8192</v>
      </c>
      <c r="S2" t="s">
        <v>33</v>
      </c>
      <c r="T2" t="s">
        <v>34</v>
      </c>
      <c r="U2">
        <v>125</v>
      </c>
      <c r="V2" t="s">
        <v>35</v>
      </c>
      <c r="W2" s="1">
        <v>45614</v>
      </c>
      <c r="X2">
        <v>2024</v>
      </c>
    </row>
    <row r="3" spans="1:24" x14ac:dyDescent="0.25">
      <c r="A3" s="1">
        <v>45636</v>
      </c>
      <c r="B3" t="s">
        <v>36</v>
      </c>
      <c r="C3" s="2">
        <v>102100957900</v>
      </c>
      <c r="E3" t="s">
        <v>37</v>
      </c>
      <c r="F3" t="s">
        <v>38</v>
      </c>
      <c r="G3" t="s">
        <v>27</v>
      </c>
      <c r="H3" t="s">
        <v>28</v>
      </c>
      <c r="I3" t="s">
        <v>29</v>
      </c>
      <c r="J3" t="s">
        <v>39</v>
      </c>
      <c r="L3" s="1">
        <v>45658</v>
      </c>
      <c r="M3" s="1">
        <v>45658</v>
      </c>
      <c r="O3">
        <v>18581063</v>
      </c>
      <c r="P3" t="s">
        <v>31</v>
      </c>
      <c r="Q3" t="s">
        <v>40</v>
      </c>
      <c r="R3">
        <v>8192</v>
      </c>
      <c r="S3" t="s">
        <v>33</v>
      </c>
      <c r="T3" t="s">
        <v>34</v>
      </c>
      <c r="U3">
        <v>125</v>
      </c>
      <c r="V3" t="s">
        <v>35</v>
      </c>
      <c r="W3" s="1">
        <v>45617</v>
      </c>
      <c r="X3">
        <v>2024</v>
      </c>
    </row>
    <row r="4" spans="1:24" x14ac:dyDescent="0.25">
      <c r="A4" s="1">
        <v>45636</v>
      </c>
      <c r="B4" t="s">
        <v>41</v>
      </c>
      <c r="C4" s="2">
        <v>102099868300</v>
      </c>
      <c r="E4" t="s">
        <v>42</v>
      </c>
      <c r="F4" t="s">
        <v>43</v>
      </c>
      <c r="G4" t="s">
        <v>27</v>
      </c>
      <c r="H4" t="s">
        <v>28</v>
      </c>
      <c r="I4" t="s">
        <v>29</v>
      </c>
      <c r="J4" t="s">
        <v>44</v>
      </c>
      <c r="L4" s="1">
        <v>45658</v>
      </c>
      <c r="M4" s="1">
        <v>45658</v>
      </c>
      <c r="O4">
        <v>20490188</v>
      </c>
      <c r="P4" t="s">
        <v>31</v>
      </c>
      <c r="Q4" t="s">
        <v>45</v>
      </c>
      <c r="R4">
        <v>8192</v>
      </c>
      <c r="S4" t="s">
        <v>33</v>
      </c>
      <c r="T4" t="s">
        <v>34</v>
      </c>
      <c r="U4">
        <v>125</v>
      </c>
      <c r="V4" t="s">
        <v>35</v>
      </c>
      <c r="W4" s="1">
        <v>45616</v>
      </c>
      <c r="X4">
        <v>2024</v>
      </c>
    </row>
    <row r="5" spans="1:24" x14ac:dyDescent="0.25">
      <c r="A5" s="1">
        <v>45636</v>
      </c>
      <c r="B5" t="s">
        <v>46</v>
      </c>
      <c r="C5" s="2">
        <v>102097730700</v>
      </c>
      <c r="E5" t="s">
        <v>47</v>
      </c>
      <c r="F5" t="s">
        <v>43</v>
      </c>
      <c r="G5" t="s">
        <v>27</v>
      </c>
      <c r="H5" t="s">
        <v>28</v>
      </c>
      <c r="I5" t="s">
        <v>29</v>
      </c>
      <c r="J5" t="s">
        <v>48</v>
      </c>
      <c r="L5" s="1">
        <v>45658</v>
      </c>
      <c r="M5" s="1">
        <v>45658</v>
      </c>
      <c r="O5">
        <v>8325282</v>
      </c>
      <c r="P5" t="s">
        <v>31</v>
      </c>
      <c r="Q5" t="s">
        <v>49</v>
      </c>
      <c r="R5">
        <v>8192</v>
      </c>
      <c r="S5" t="s">
        <v>33</v>
      </c>
      <c r="T5" t="s">
        <v>34</v>
      </c>
      <c r="U5">
        <v>125</v>
      </c>
      <c r="V5" t="s">
        <v>35</v>
      </c>
      <c r="W5" s="1">
        <v>45614</v>
      </c>
      <c r="X5">
        <v>2024</v>
      </c>
    </row>
    <row r="6" spans="1:24" x14ac:dyDescent="0.25">
      <c r="A6" s="1">
        <v>45636</v>
      </c>
      <c r="B6" t="s">
        <v>50</v>
      </c>
      <c r="C6" s="2">
        <v>102100042900</v>
      </c>
      <c r="E6" t="s">
        <v>51</v>
      </c>
      <c r="F6" t="s">
        <v>38</v>
      </c>
      <c r="G6" t="s">
        <v>27</v>
      </c>
      <c r="H6" t="s">
        <v>28</v>
      </c>
      <c r="I6" t="s">
        <v>29</v>
      </c>
      <c r="J6" t="s">
        <v>39</v>
      </c>
      <c r="L6" s="1">
        <v>45658</v>
      </c>
      <c r="M6" s="1">
        <v>45658</v>
      </c>
      <c r="O6">
        <v>18754354</v>
      </c>
      <c r="P6" t="s">
        <v>31</v>
      </c>
      <c r="Q6" t="s">
        <v>52</v>
      </c>
      <c r="R6">
        <v>8192</v>
      </c>
      <c r="S6" t="s">
        <v>33</v>
      </c>
      <c r="T6" t="s">
        <v>34</v>
      </c>
      <c r="U6">
        <v>125</v>
      </c>
      <c r="V6" t="s">
        <v>35</v>
      </c>
      <c r="W6" s="1">
        <v>45616</v>
      </c>
      <c r="X6">
        <v>2024</v>
      </c>
    </row>
    <row r="7" spans="1:24" x14ac:dyDescent="0.25">
      <c r="A7" s="1">
        <v>45636</v>
      </c>
      <c r="B7" t="s">
        <v>53</v>
      </c>
      <c r="C7" s="2">
        <v>102103568700</v>
      </c>
      <c r="E7" t="s">
        <v>54</v>
      </c>
      <c r="F7" t="s">
        <v>43</v>
      </c>
      <c r="G7" t="s">
        <v>27</v>
      </c>
      <c r="H7" t="s">
        <v>28</v>
      </c>
      <c r="I7" t="s">
        <v>29</v>
      </c>
      <c r="J7" t="s">
        <v>55</v>
      </c>
      <c r="L7" s="1">
        <v>45658</v>
      </c>
      <c r="M7" s="1">
        <v>45658</v>
      </c>
      <c r="O7">
        <v>8325282</v>
      </c>
      <c r="P7" t="s">
        <v>31</v>
      </c>
      <c r="Q7" t="s">
        <v>49</v>
      </c>
      <c r="R7">
        <v>8192</v>
      </c>
      <c r="S7" t="s">
        <v>33</v>
      </c>
      <c r="T7" t="s">
        <v>34</v>
      </c>
      <c r="U7">
        <v>125</v>
      </c>
      <c r="V7" t="s">
        <v>35</v>
      </c>
      <c r="W7" s="1">
        <v>45620</v>
      </c>
      <c r="X7">
        <v>2024</v>
      </c>
    </row>
    <row r="8" spans="1:24" x14ac:dyDescent="0.25">
      <c r="A8" s="1">
        <v>45636</v>
      </c>
      <c r="B8" t="s">
        <v>56</v>
      </c>
      <c r="C8" s="2">
        <v>102097814100</v>
      </c>
      <c r="E8" t="s">
        <v>57</v>
      </c>
      <c r="F8" t="s">
        <v>43</v>
      </c>
      <c r="G8" t="s">
        <v>27</v>
      </c>
      <c r="H8" t="s">
        <v>28</v>
      </c>
      <c r="I8" t="s">
        <v>29</v>
      </c>
      <c r="J8" t="s">
        <v>48</v>
      </c>
      <c r="L8" s="1">
        <v>45658</v>
      </c>
      <c r="M8" s="1">
        <v>45658</v>
      </c>
      <c r="O8">
        <v>17126004</v>
      </c>
      <c r="P8" t="s">
        <v>31</v>
      </c>
      <c r="Q8" t="s">
        <v>58</v>
      </c>
      <c r="R8">
        <v>8192</v>
      </c>
      <c r="S8" t="s">
        <v>33</v>
      </c>
      <c r="T8" t="s">
        <v>34</v>
      </c>
      <c r="U8">
        <v>125</v>
      </c>
      <c r="V8" t="s">
        <v>35</v>
      </c>
      <c r="W8" s="1">
        <v>45614</v>
      </c>
      <c r="X8">
        <v>2024</v>
      </c>
    </row>
    <row r="9" spans="1:24" x14ac:dyDescent="0.25">
      <c r="A9" s="1">
        <v>45636</v>
      </c>
      <c r="B9" t="s">
        <v>59</v>
      </c>
      <c r="C9" s="2">
        <v>102097788300</v>
      </c>
      <c r="E9" t="s">
        <v>60</v>
      </c>
      <c r="F9" t="s">
        <v>43</v>
      </c>
      <c r="G9" t="s">
        <v>27</v>
      </c>
      <c r="H9" t="s">
        <v>28</v>
      </c>
      <c r="I9" t="s">
        <v>29</v>
      </c>
      <c r="J9" t="s">
        <v>48</v>
      </c>
      <c r="L9" s="1">
        <v>45658</v>
      </c>
      <c r="M9" s="1">
        <v>45658</v>
      </c>
      <c r="O9">
        <v>17126004</v>
      </c>
      <c r="P9" t="s">
        <v>31</v>
      </c>
      <c r="Q9" t="s">
        <v>58</v>
      </c>
      <c r="R9">
        <v>8192</v>
      </c>
      <c r="S9" t="s">
        <v>33</v>
      </c>
      <c r="T9" t="s">
        <v>34</v>
      </c>
      <c r="U9">
        <v>125</v>
      </c>
      <c r="V9" t="s">
        <v>35</v>
      </c>
      <c r="W9" s="1">
        <v>45614</v>
      </c>
      <c r="X9">
        <v>2024</v>
      </c>
    </row>
    <row r="10" spans="1:24" x14ac:dyDescent="0.25">
      <c r="A10" s="1">
        <v>45636</v>
      </c>
      <c r="B10" t="s">
        <v>61</v>
      </c>
      <c r="C10" s="2">
        <v>102097734400</v>
      </c>
      <c r="E10" t="s">
        <v>62</v>
      </c>
      <c r="F10" t="s">
        <v>43</v>
      </c>
      <c r="G10" t="s">
        <v>27</v>
      </c>
      <c r="H10" t="s">
        <v>28</v>
      </c>
      <c r="I10" t="s">
        <v>29</v>
      </c>
      <c r="J10" t="s">
        <v>48</v>
      </c>
      <c r="L10" s="1">
        <v>45658</v>
      </c>
      <c r="M10" s="1">
        <v>45658</v>
      </c>
      <c r="O10">
        <v>7152559</v>
      </c>
      <c r="P10" t="s">
        <v>31</v>
      </c>
      <c r="Q10" t="s">
        <v>63</v>
      </c>
      <c r="R10">
        <v>8192</v>
      </c>
      <c r="S10" t="s">
        <v>33</v>
      </c>
      <c r="T10" t="s">
        <v>34</v>
      </c>
      <c r="U10">
        <v>125</v>
      </c>
      <c r="V10" t="s">
        <v>35</v>
      </c>
      <c r="W10" s="1">
        <v>45614</v>
      </c>
      <c r="X10">
        <v>2024</v>
      </c>
    </row>
    <row r="11" spans="1:24" x14ac:dyDescent="0.25">
      <c r="A11" s="1">
        <v>45636</v>
      </c>
      <c r="B11" t="s">
        <v>64</v>
      </c>
      <c r="C11" s="2">
        <v>102010223500</v>
      </c>
      <c r="E11" t="s">
        <v>65</v>
      </c>
      <c r="F11" t="s">
        <v>66</v>
      </c>
      <c r="G11" t="s">
        <v>27</v>
      </c>
      <c r="H11" t="s">
        <v>28</v>
      </c>
      <c r="I11" t="s">
        <v>67</v>
      </c>
      <c r="J11" t="s">
        <v>68</v>
      </c>
      <c r="L11" s="1">
        <v>45658</v>
      </c>
      <c r="M11" s="1">
        <v>45658</v>
      </c>
      <c r="O11">
        <v>17886092</v>
      </c>
      <c r="P11" t="s">
        <v>31</v>
      </c>
      <c r="Q11" t="s">
        <v>69</v>
      </c>
      <c r="R11">
        <v>8192</v>
      </c>
      <c r="S11" t="s">
        <v>33</v>
      </c>
      <c r="T11" t="s">
        <v>34</v>
      </c>
      <c r="U11">
        <v>40</v>
      </c>
      <c r="V11" t="s">
        <v>35</v>
      </c>
      <c r="W11" s="1">
        <v>45623</v>
      </c>
      <c r="X11">
        <v>2024</v>
      </c>
    </row>
    <row r="12" spans="1:24" x14ac:dyDescent="0.25">
      <c r="A12" s="1">
        <v>45636</v>
      </c>
      <c r="B12" t="s">
        <v>70</v>
      </c>
      <c r="C12" s="2">
        <v>102101485300</v>
      </c>
      <c r="E12" t="s">
        <v>71</v>
      </c>
      <c r="F12" t="s">
        <v>43</v>
      </c>
      <c r="G12" t="s">
        <v>27</v>
      </c>
      <c r="H12" t="s">
        <v>28</v>
      </c>
      <c r="I12" t="s">
        <v>29</v>
      </c>
      <c r="J12" t="s">
        <v>48</v>
      </c>
      <c r="L12" s="1">
        <v>45658</v>
      </c>
      <c r="M12" s="1">
        <v>45658</v>
      </c>
      <c r="O12">
        <v>9213293</v>
      </c>
      <c r="P12" t="s">
        <v>31</v>
      </c>
      <c r="Q12" t="s">
        <v>72</v>
      </c>
      <c r="R12">
        <v>8192</v>
      </c>
      <c r="S12" t="s">
        <v>33</v>
      </c>
      <c r="T12" t="s">
        <v>34</v>
      </c>
      <c r="U12">
        <v>125</v>
      </c>
      <c r="V12" t="s">
        <v>35</v>
      </c>
      <c r="W12" s="1">
        <v>45617</v>
      </c>
      <c r="X12">
        <v>2024</v>
      </c>
    </row>
    <row r="13" spans="1:24" x14ac:dyDescent="0.25">
      <c r="A13" s="1">
        <v>45636</v>
      </c>
      <c r="B13" t="s">
        <v>73</v>
      </c>
      <c r="C13" s="2">
        <v>102102267400</v>
      </c>
      <c r="E13" t="s">
        <v>74</v>
      </c>
      <c r="F13" t="s">
        <v>43</v>
      </c>
      <c r="G13" t="s">
        <v>27</v>
      </c>
      <c r="H13" t="s">
        <v>28</v>
      </c>
      <c r="I13" t="s">
        <v>29</v>
      </c>
      <c r="J13" t="s">
        <v>44</v>
      </c>
      <c r="L13" s="1">
        <v>45658</v>
      </c>
      <c r="M13" s="1">
        <v>45658</v>
      </c>
      <c r="O13">
        <v>7146581</v>
      </c>
      <c r="P13" t="s">
        <v>31</v>
      </c>
      <c r="Q13" t="s">
        <v>75</v>
      </c>
      <c r="R13">
        <v>8192</v>
      </c>
      <c r="S13" t="s">
        <v>33</v>
      </c>
      <c r="T13" t="s">
        <v>34</v>
      </c>
      <c r="U13">
        <v>125</v>
      </c>
      <c r="V13" t="s">
        <v>35</v>
      </c>
      <c r="W13" s="1">
        <v>45618</v>
      </c>
      <c r="X13">
        <v>2024</v>
      </c>
    </row>
    <row r="14" spans="1:24" x14ac:dyDescent="0.25">
      <c r="A14" s="1">
        <v>45636</v>
      </c>
      <c r="B14" t="s">
        <v>76</v>
      </c>
      <c r="C14" s="2">
        <v>102103748500</v>
      </c>
      <c r="E14" t="s">
        <v>77</v>
      </c>
      <c r="F14" t="s">
        <v>43</v>
      </c>
      <c r="G14" t="s">
        <v>27</v>
      </c>
      <c r="H14" t="s">
        <v>28</v>
      </c>
      <c r="I14" t="s">
        <v>29</v>
      </c>
      <c r="J14" t="s">
        <v>55</v>
      </c>
      <c r="L14" s="1">
        <v>45658</v>
      </c>
      <c r="M14" s="1">
        <v>45658</v>
      </c>
      <c r="O14">
        <v>7146581</v>
      </c>
      <c r="P14" t="s">
        <v>31</v>
      </c>
      <c r="Q14" t="s">
        <v>75</v>
      </c>
      <c r="R14">
        <v>8192</v>
      </c>
      <c r="S14" t="s">
        <v>33</v>
      </c>
      <c r="T14" t="s">
        <v>34</v>
      </c>
      <c r="U14">
        <v>125</v>
      </c>
      <c r="V14" t="s">
        <v>35</v>
      </c>
      <c r="W14" s="1">
        <v>45620</v>
      </c>
      <c r="X14">
        <v>2024</v>
      </c>
    </row>
    <row r="15" spans="1:24" x14ac:dyDescent="0.25">
      <c r="A15" s="1">
        <v>45636</v>
      </c>
      <c r="B15" t="s">
        <v>78</v>
      </c>
      <c r="C15" s="2">
        <v>102102332900</v>
      </c>
      <c r="E15" t="s">
        <v>79</v>
      </c>
      <c r="F15" t="s">
        <v>43</v>
      </c>
      <c r="G15" t="s">
        <v>27</v>
      </c>
      <c r="H15" t="s">
        <v>28</v>
      </c>
      <c r="I15" t="s">
        <v>29</v>
      </c>
      <c r="J15" t="s">
        <v>48</v>
      </c>
      <c r="L15" s="1">
        <v>45658</v>
      </c>
      <c r="M15" s="1">
        <v>45658</v>
      </c>
      <c r="O15">
        <v>19586992</v>
      </c>
      <c r="P15" t="s">
        <v>31</v>
      </c>
      <c r="Q15" t="s">
        <v>32</v>
      </c>
      <c r="R15">
        <v>8192</v>
      </c>
      <c r="S15" t="s">
        <v>33</v>
      </c>
      <c r="T15" t="s">
        <v>34</v>
      </c>
      <c r="U15">
        <v>125</v>
      </c>
      <c r="V15" t="s">
        <v>35</v>
      </c>
      <c r="W15" s="1">
        <v>45618</v>
      </c>
      <c r="X15">
        <v>2024</v>
      </c>
    </row>
    <row r="16" spans="1:24" x14ac:dyDescent="0.25">
      <c r="A16" s="1">
        <v>45636</v>
      </c>
      <c r="B16" t="s">
        <v>80</v>
      </c>
      <c r="C16" s="2">
        <v>102089593600</v>
      </c>
      <c r="E16" t="s">
        <v>81</v>
      </c>
      <c r="F16" t="s">
        <v>43</v>
      </c>
      <c r="G16" t="s">
        <v>27</v>
      </c>
      <c r="H16" t="s">
        <v>28</v>
      </c>
      <c r="I16" t="s">
        <v>29</v>
      </c>
      <c r="J16" t="s">
        <v>55</v>
      </c>
      <c r="L16" s="1">
        <v>45658</v>
      </c>
      <c r="M16" s="1">
        <v>45658</v>
      </c>
      <c r="O16">
        <v>9213293</v>
      </c>
      <c r="P16" t="s">
        <v>31</v>
      </c>
      <c r="Q16" t="s">
        <v>72</v>
      </c>
      <c r="R16">
        <v>8192</v>
      </c>
      <c r="S16" t="s">
        <v>33</v>
      </c>
      <c r="T16" t="s">
        <v>34</v>
      </c>
      <c r="U16">
        <v>125</v>
      </c>
      <c r="V16" t="s">
        <v>35</v>
      </c>
      <c r="W16" s="1">
        <v>45604</v>
      </c>
      <c r="X16">
        <v>2024</v>
      </c>
    </row>
    <row r="17" spans="1:24" x14ac:dyDescent="0.25">
      <c r="A17" s="1">
        <v>45636</v>
      </c>
      <c r="B17" t="s">
        <v>82</v>
      </c>
      <c r="C17" s="2">
        <v>101292891200</v>
      </c>
      <c r="E17" t="s">
        <v>83</v>
      </c>
      <c r="F17" t="s">
        <v>43</v>
      </c>
      <c r="G17" t="s">
        <v>27</v>
      </c>
      <c r="H17" t="s">
        <v>28</v>
      </c>
      <c r="I17" t="s">
        <v>29</v>
      </c>
      <c r="J17" t="s">
        <v>84</v>
      </c>
      <c r="L17" s="1">
        <v>45658</v>
      </c>
      <c r="M17" s="1">
        <v>45658</v>
      </c>
      <c r="O17">
        <v>19586992</v>
      </c>
      <c r="P17" t="s">
        <v>31</v>
      </c>
      <c r="Q17" t="s">
        <v>32</v>
      </c>
      <c r="R17">
        <v>8192</v>
      </c>
      <c r="S17" t="s">
        <v>33</v>
      </c>
      <c r="T17" t="s">
        <v>34</v>
      </c>
      <c r="U17">
        <v>125</v>
      </c>
      <c r="V17" t="s">
        <v>35</v>
      </c>
      <c r="W17" s="1">
        <v>45616</v>
      </c>
      <c r="X17">
        <v>2024</v>
      </c>
    </row>
    <row r="18" spans="1:24" x14ac:dyDescent="0.25">
      <c r="A18" s="1">
        <v>45636</v>
      </c>
      <c r="B18" t="s">
        <v>85</v>
      </c>
      <c r="C18" s="2">
        <v>101328644100</v>
      </c>
      <c r="E18" t="s">
        <v>86</v>
      </c>
      <c r="F18" t="s">
        <v>43</v>
      </c>
      <c r="G18" t="s">
        <v>27</v>
      </c>
      <c r="H18" t="s">
        <v>28</v>
      </c>
      <c r="I18" t="s">
        <v>29</v>
      </c>
      <c r="J18" t="s">
        <v>84</v>
      </c>
      <c r="L18" s="1">
        <v>45658</v>
      </c>
      <c r="M18" s="1">
        <v>45658</v>
      </c>
      <c r="O18">
        <v>19586992</v>
      </c>
      <c r="P18" t="s">
        <v>31</v>
      </c>
      <c r="Q18" t="s">
        <v>32</v>
      </c>
      <c r="R18">
        <v>8192</v>
      </c>
      <c r="S18" t="s">
        <v>33</v>
      </c>
      <c r="T18" t="s">
        <v>34</v>
      </c>
      <c r="U18">
        <v>125</v>
      </c>
      <c r="V18" t="s">
        <v>35</v>
      </c>
      <c r="W18" s="1">
        <v>45616</v>
      </c>
      <c r="X18">
        <v>2024</v>
      </c>
    </row>
    <row r="19" spans="1:24" x14ac:dyDescent="0.25">
      <c r="A19" s="1">
        <v>45636</v>
      </c>
      <c r="B19" t="s">
        <v>87</v>
      </c>
      <c r="C19" s="2">
        <v>102103683100</v>
      </c>
      <c r="E19" t="s">
        <v>88</v>
      </c>
      <c r="F19" t="s">
        <v>43</v>
      </c>
      <c r="G19" t="s">
        <v>27</v>
      </c>
      <c r="H19" t="s">
        <v>28</v>
      </c>
      <c r="I19" t="s">
        <v>29</v>
      </c>
      <c r="J19" t="s">
        <v>55</v>
      </c>
      <c r="L19" s="1">
        <v>45658</v>
      </c>
      <c r="M19" s="1">
        <v>45658</v>
      </c>
      <c r="O19">
        <v>7152559</v>
      </c>
      <c r="P19" t="s">
        <v>31</v>
      </c>
      <c r="Q19" t="s">
        <v>63</v>
      </c>
      <c r="R19">
        <v>8192</v>
      </c>
      <c r="S19" t="s">
        <v>33</v>
      </c>
      <c r="T19" t="s">
        <v>34</v>
      </c>
      <c r="U19">
        <v>125</v>
      </c>
      <c r="V19" t="s">
        <v>35</v>
      </c>
      <c r="W19" s="1">
        <v>45618</v>
      </c>
      <c r="X19">
        <v>2024</v>
      </c>
    </row>
    <row r="20" spans="1:24" x14ac:dyDescent="0.25">
      <c r="A20" s="1">
        <v>45636</v>
      </c>
      <c r="B20" t="s">
        <v>89</v>
      </c>
      <c r="C20" s="2">
        <v>102100946000</v>
      </c>
      <c r="E20" t="s">
        <v>90</v>
      </c>
      <c r="F20" t="s">
        <v>43</v>
      </c>
      <c r="G20" t="s">
        <v>27</v>
      </c>
      <c r="H20" t="s">
        <v>28</v>
      </c>
      <c r="I20" t="s">
        <v>29</v>
      </c>
      <c r="J20" t="s">
        <v>48</v>
      </c>
      <c r="L20" s="1">
        <v>45658</v>
      </c>
      <c r="M20" s="1">
        <v>45658</v>
      </c>
      <c r="O20">
        <v>7146581</v>
      </c>
      <c r="P20" t="s">
        <v>31</v>
      </c>
      <c r="Q20" t="s">
        <v>75</v>
      </c>
      <c r="R20">
        <v>8192</v>
      </c>
      <c r="S20" t="s">
        <v>33</v>
      </c>
      <c r="T20" t="s">
        <v>34</v>
      </c>
      <c r="U20">
        <v>125</v>
      </c>
      <c r="V20" t="s">
        <v>35</v>
      </c>
      <c r="W20" s="1">
        <v>45617</v>
      </c>
      <c r="X20">
        <v>2024</v>
      </c>
    </row>
    <row r="21" spans="1:24" x14ac:dyDescent="0.25">
      <c r="A21" s="1">
        <v>45636</v>
      </c>
      <c r="B21" t="s">
        <v>91</v>
      </c>
      <c r="C21" s="2">
        <v>101085558500</v>
      </c>
      <c r="E21" t="s">
        <v>92</v>
      </c>
      <c r="F21" t="s">
        <v>66</v>
      </c>
      <c r="G21" t="s">
        <v>27</v>
      </c>
      <c r="H21" t="s">
        <v>28</v>
      </c>
      <c r="I21" t="s">
        <v>67</v>
      </c>
      <c r="J21" t="s">
        <v>93</v>
      </c>
      <c r="L21" s="1">
        <v>45658</v>
      </c>
      <c r="M21" s="1">
        <v>45658</v>
      </c>
      <c r="O21">
        <v>17528908</v>
      </c>
      <c r="P21" t="s">
        <v>31</v>
      </c>
      <c r="Q21" t="s">
        <v>94</v>
      </c>
      <c r="R21">
        <v>8192</v>
      </c>
      <c r="S21" t="s">
        <v>33</v>
      </c>
      <c r="T21" t="s">
        <v>34</v>
      </c>
      <c r="U21">
        <v>125</v>
      </c>
      <c r="V21" t="s">
        <v>35</v>
      </c>
      <c r="W21" s="1">
        <v>45622</v>
      </c>
      <c r="X21">
        <v>2024</v>
      </c>
    </row>
    <row r="22" spans="1:24" x14ac:dyDescent="0.25">
      <c r="A22" s="1">
        <v>45636</v>
      </c>
      <c r="B22" t="s">
        <v>95</v>
      </c>
      <c r="C22" s="2">
        <v>102089568200</v>
      </c>
      <c r="E22" t="s">
        <v>96</v>
      </c>
      <c r="F22" t="s">
        <v>43</v>
      </c>
      <c r="G22" t="s">
        <v>27</v>
      </c>
      <c r="H22" t="s">
        <v>28</v>
      </c>
      <c r="I22" t="s">
        <v>29</v>
      </c>
      <c r="J22" t="s">
        <v>84</v>
      </c>
      <c r="L22" s="1">
        <v>45658</v>
      </c>
      <c r="M22" s="1">
        <v>45658</v>
      </c>
      <c r="O22">
        <v>19586992</v>
      </c>
      <c r="P22" t="s">
        <v>31</v>
      </c>
      <c r="Q22" t="s">
        <v>32</v>
      </c>
      <c r="R22">
        <v>8192</v>
      </c>
      <c r="S22" t="s">
        <v>33</v>
      </c>
      <c r="T22" t="s">
        <v>34</v>
      </c>
      <c r="U22">
        <v>125</v>
      </c>
      <c r="V22" t="s">
        <v>35</v>
      </c>
      <c r="W22" s="1">
        <v>45604</v>
      </c>
      <c r="X22">
        <v>2024</v>
      </c>
    </row>
    <row r="23" spans="1:24" x14ac:dyDescent="0.25">
      <c r="A23" s="1">
        <v>45636</v>
      </c>
      <c r="B23" t="s">
        <v>97</v>
      </c>
      <c r="C23" s="2">
        <v>102103337400</v>
      </c>
      <c r="E23" t="s">
        <v>98</v>
      </c>
      <c r="F23" t="s">
        <v>43</v>
      </c>
      <c r="G23" t="s">
        <v>27</v>
      </c>
      <c r="H23" t="s">
        <v>28</v>
      </c>
      <c r="I23" t="s">
        <v>29</v>
      </c>
      <c r="J23" t="s">
        <v>55</v>
      </c>
      <c r="L23" s="1">
        <v>45658</v>
      </c>
      <c r="M23" s="1">
        <v>45658</v>
      </c>
      <c r="O23">
        <v>19200754</v>
      </c>
      <c r="P23" t="s">
        <v>31</v>
      </c>
      <c r="Q23" t="s">
        <v>99</v>
      </c>
      <c r="R23">
        <v>8192</v>
      </c>
      <c r="S23" t="s">
        <v>33</v>
      </c>
      <c r="T23" t="s">
        <v>34</v>
      </c>
      <c r="U23">
        <v>125</v>
      </c>
      <c r="V23" t="s">
        <v>35</v>
      </c>
      <c r="W23" s="1">
        <v>45619</v>
      </c>
      <c r="X23">
        <v>2024</v>
      </c>
    </row>
    <row r="24" spans="1:24" x14ac:dyDescent="0.25">
      <c r="A24" s="1">
        <v>45636</v>
      </c>
      <c r="B24" t="s">
        <v>100</v>
      </c>
      <c r="C24" s="2">
        <v>102098702600</v>
      </c>
      <c r="E24" t="s">
        <v>101</v>
      </c>
      <c r="F24" t="s">
        <v>43</v>
      </c>
      <c r="G24" t="s">
        <v>27</v>
      </c>
      <c r="H24" t="s">
        <v>28</v>
      </c>
      <c r="I24" t="s">
        <v>29</v>
      </c>
      <c r="J24" t="s">
        <v>55</v>
      </c>
      <c r="L24" s="1">
        <v>45658</v>
      </c>
      <c r="M24" s="1">
        <v>45658</v>
      </c>
      <c r="O24">
        <v>9213293</v>
      </c>
      <c r="P24" t="s">
        <v>31</v>
      </c>
      <c r="Q24" t="s">
        <v>72</v>
      </c>
      <c r="R24">
        <v>8192</v>
      </c>
      <c r="S24" t="s">
        <v>33</v>
      </c>
      <c r="T24" t="s">
        <v>34</v>
      </c>
      <c r="U24">
        <v>125</v>
      </c>
      <c r="V24" t="s">
        <v>35</v>
      </c>
      <c r="W24" s="1">
        <v>45615</v>
      </c>
      <c r="X24">
        <v>2024</v>
      </c>
    </row>
    <row r="25" spans="1:24" x14ac:dyDescent="0.25">
      <c r="A25" s="1">
        <v>45636</v>
      </c>
      <c r="B25" t="s">
        <v>102</v>
      </c>
      <c r="C25" s="2">
        <v>102057277900</v>
      </c>
      <c r="E25" t="s">
        <v>103</v>
      </c>
      <c r="F25" t="s">
        <v>104</v>
      </c>
      <c r="G25" t="s">
        <v>27</v>
      </c>
      <c r="H25" t="s">
        <v>28</v>
      </c>
      <c r="I25" t="s">
        <v>105</v>
      </c>
      <c r="J25" t="s">
        <v>106</v>
      </c>
      <c r="L25" s="1">
        <v>45658</v>
      </c>
      <c r="M25" s="1">
        <v>45658</v>
      </c>
      <c r="O25">
        <v>9213293</v>
      </c>
      <c r="P25" t="s">
        <v>31</v>
      </c>
      <c r="Q25" t="s">
        <v>72</v>
      </c>
      <c r="R25">
        <v>8192</v>
      </c>
      <c r="S25" t="s">
        <v>33</v>
      </c>
      <c r="T25" t="s">
        <v>34</v>
      </c>
      <c r="U25">
        <v>125</v>
      </c>
      <c r="V25" t="s">
        <v>35</v>
      </c>
      <c r="W25" s="1">
        <v>45620</v>
      </c>
      <c r="X25">
        <v>2024</v>
      </c>
    </row>
    <row r="26" spans="1:24" x14ac:dyDescent="0.25">
      <c r="A26" s="1">
        <v>45636</v>
      </c>
      <c r="B26" t="s">
        <v>107</v>
      </c>
      <c r="C26" s="2">
        <v>101521802900</v>
      </c>
      <c r="E26" t="s">
        <v>108</v>
      </c>
      <c r="F26" t="s">
        <v>66</v>
      </c>
      <c r="G26" t="s">
        <v>109</v>
      </c>
      <c r="H26" t="s">
        <v>28</v>
      </c>
      <c r="I26" t="s">
        <v>67</v>
      </c>
      <c r="J26" t="s">
        <v>68</v>
      </c>
      <c r="L26" s="1">
        <v>45658</v>
      </c>
      <c r="M26" s="1">
        <v>45658</v>
      </c>
      <c r="O26">
        <v>19606009</v>
      </c>
      <c r="P26" t="s">
        <v>31</v>
      </c>
      <c r="Q26" t="s">
        <v>110</v>
      </c>
      <c r="R26">
        <v>8192</v>
      </c>
      <c r="S26" t="s">
        <v>33</v>
      </c>
      <c r="T26" t="s">
        <v>34</v>
      </c>
      <c r="U26">
        <v>-40</v>
      </c>
      <c r="V26" t="s">
        <v>35</v>
      </c>
      <c r="W26" s="1">
        <v>45612</v>
      </c>
      <c r="X26">
        <v>2024</v>
      </c>
    </row>
    <row r="27" spans="1:24" x14ac:dyDescent="0.25">
      <c r="A27" s="1">
        <v>45636</v>
      </c>
      <c r="B27" t="s">
        <v>107</v>
      </c>
      <c r="C27" s="2">
        <v>101521802900</v>
      </c>
      <c r="E27" t="s">
        <v>108</v>
      </c>
      <c r="F27" t="s">
        <v>66</v>
      </c>
      <c r="G27" t="s">
        <v>27</v>
      </c>
      <c r="H27" t="s">
        <v>28</v>
      </c>
      <c r="I27" t="s">
        <v>67</v>
      </c>
      <c r="J27" t="s">
        <v>68</v>
      </c>
      <c r="L27" s="1">
        <v>45658</v>
      </c>
      <c r="M27" s="1">
        <v>45658</v>
      </c>
      <c r="O27">
        <v>17886092</v>
      </c>
      <c r="P27" t="s">
        <v>31</v>
      </c>
      <c r="Q27" t="s">
        <v>69</v>
      </c>
      <c r="R27">
        <v>8192</v>
      </c>
      <c r="S27" t="s">
        <v>33</v>
      </c>
      <c r="T27" t="s">
        <v>34</v>
      </c>
      <c r="U27">
        <v>40</v>
      </c>
      <c r="V27" t="s">
        <v>35</v>
      </c>
      <c r="W27" s="1">
        <v>45612</v>
      </c>
      <c r="X27">
        <v>2024</v>
      </c>
    </row>
    <row r="28" spans="1:24" x14ac:dyDescent="0.25">
      <c r="A28" s="1">
        <v>45636</v>
      </c>
      <c r="B28" t="s">
        <v>111</v>
      </c>
      <c r="C28" s="2">
        <v>101351768100</v>
      </c>
      <c r="E28" t="s">
        <v>112</v>
      </c>
      <c r="F28" t="s">
        <v>43</v>
      </c>
      <c r="G28" t="s">
        <v>113</v>
      </c>
      <c r="H28" t="s">
        <v>28</v>
      </c>
      <c r="I28" t="s">
        <v>29</v>
      </c>
      <c r="J28" t="s">
        <v>48</v>
      </c>
      <c r="L28" s="1">
        <v>45658</v>
      </c>
      <c r="M28" s="1">
        <v>45658</v>
      </c>
      <c r="N28" s="1">
        <v>45658</v>
      </c>
      <c r="O28">
        <v>19200754</v>
      </c>
      <c r="P28" t="s">
        <v>31</v>
      </c>
      <c r="Q28" t="s">
        <v>99</v>
      </c>
      <c r="R28">
        <v>8192</v>
      </c>
      <c r="S28" t="s">
        <v>33</v>
      </c>
      <c r="T28" t="s">
        <v>34</v>
      </c>
      <c r="U28">
        <v>-125</v>
      </c>
      <c r="V28" t="s">
        <v>35</v>
      </c>
      <c r="W28" s="1">
        <v>45601</v>
      </c>
      <c r="X28">
        <v>2024</v>
      </c>
    </row>
    <row r="29" spans="1:24" x14ac:dyDescent="0.25">
      <c r="A29" s="1">
        <v>45636</v>
      </c>
      <c r="B29" t="s">
        <v>114</v>
      </c>
      <c r="C29" s="2">
        <v>101490185400</v>
      </c>
      <c r="E29" t="s">
        <v>115</v>
      </c>
      <c r="F29" t="s">
        <v>43</v>
      </c>
      <c r="G29" t="s">
        <v>27</v>
      </c>
      <c r="H29" t="s">
        <v>28</v>
      </c>
      <c r="I29" t="s">
        <v>29</v>
      </c>
      <c r="J29" t="s">
        <v>84</v>
      </c>
      <c r="L29" s="1">
        <v>45658</v>
      </c>
      <c r="M29" s="1">
        <v>45658</v>
      </c>
      <c r="O29">
        <v>7470776</v>
      </c>
      <c r="P29" t="s">
        <v>31</v>
      </c>
      <c r="Q29" t="s">
        <v>116</v>
      </c>
      <c r="R29">
        <v>8192</v>
      </c>
      <c r="S29" t="s">
        <v>33</v>
      </c>
      <c r="T29" t="s">
        <v>34</v>
      </c>
      <c r="U29">
        <v>125</v>
      </c>
      <c r="V29" t="s">
        <v>35</v>
      </c>
      <c r="W29" s="1">
        <v>45604</v>
      </c>
      <c r="X29">
        <v>2024</v>
      </c>
    </row>
    <row r="30" spans="1:24" x14ac:dyDescent="0.25">
      <c r="A30" s="1">
        <v>45636</v>
      </c>
      <c r="B30" t="s">
        <v>117</v>
      </c>
      <c r="C30" s="2">
        <v>102090258500</v>
      </c>
      <c r="E30" t="s">
        <v>118</v>
      </c>
      <c r="F30" t="s">
        <v>43</v>
      </c>
      <c r="G30" t="s">
        <v>27</v>
      </c>
      <c r="H30" t="s">
        <v>28</v>
      </c>
      <c r="I30" t="s">
        <v>29</v>
      </c>
      <c r="J30" t="s">
        <v>55</v>
      </c>
      <c r="L30" s="1">
        <v>45658</v>
      </c>
      <c r="M30" s="1">
        <v>45658</v>
      </c>
      <c r="O30">
        <v>18754354</v>
      </c>
      <c r="P30" t="s">
        <v>31</v>
      </c>
      <c r="Q30" t="s">
        <v>52</v>
      </c>
      <c r="R30">
        <v>8192</v>
      </c>
      <c r="S30" t="s">
        <v>33</v>
      </c>
      <c r="T30" t="s">
        <v>34</v>
      </c>
      <c r="U30">
        <v>125</v>
      </c>
      <c r="V30" t="s">
        <v>35</v>
      </c>
      <c r="W30" s="1">
        <v>45605</v>
      </c>
      <c r="X30">
        <v>2024</v>
      </c>
    </row>
    <row r="31" spans="1:24" x14ac:dyDescent="0.25">
      <c r="A31" s="1">
        <v>45636</v>
      </c>
      <c r="B31" t="s">
        <v>119</v>
      </c>
      <c r="C31" s="2">
        <v>101044114200</v>
      </c>
      <c r="E31" t="s">
        <v>120</v>
      </c>
      <c r="F31" t="s">
        <v>43</v>
      </c>
      <c r="G31" t="s">
        <v>27</v>
      </c>
      <c r="H31" t="s">
        <v>28</v>
      </c>
      <c r="I31" t="s">
        <v>121</v>
      </c>
      <c r="J31" t="s">
        <v>122</v>
      </c>
      <c r="L31" s="1">
        <v>45658</v>
      </c>
      <c r="M31" s="1">
        <v>45658</v>
      </c>
      <c r="O31">
        <v>19200754</v>
      </c>
      <c r="P31" t="s">
        <v>31</v>
      </c>
      <c r="Q31" t="s">
        <v>99</v>
      </c>
      <c r="R31">
        <v>8192</v>
      </c>
      <c r="S31" t="s">
        <v>33</v>
      </c>
      <c r="T31" t="s">
        <v>34</v>
      </c>
      <c r="U31">
        <v>125</v>
      </c>
      <c r="V31" t="s">
        <v>35</v>
      </c>
      <c r="W31" s="1">
        <v>45618</v>
      </c>
      <c r="X31">
        <v>2024</v>
      </c>
    </row>
    <row r="32" spans="1:24" x14ac:dyDescent="0.25">
      <c r="A32" s="1">
        <v>45636</v>
      </c>
      <c r="B32" t="s">
        <v>123</v>
      </c>
      <c r="C32" s="2">
        <v>102089297400</v>
      </c>
      <c r="E32" t="s">
        <v>124</v>
      </c>
      <c r="F32" t="s">
        <v>43</v>
      </c>
      <c r="G32" t="s">
        <v>27</v>
      </c>
      <c r="H32" t="s">
        <v>28</v>
      </c>
      <c r="I32" t="s">
        <v>29</v>
      </c>
      <c r="J32" t="s">
        <v>48</v>
      </c>
      <c r="L32" s="1">
        <v>45627</v>
      </c>
      <c r="M32" s="1">
        <v>45627</v>
      </c>
      <c r="N32" s="1">
        <v>45657</v>
      </c>
      <c r="O32">
        <v>16633294</v>
      </c>
      <c r="P32" t="s">
        <v>31</v>
      </c>
      <c r="Q32" t="s">
        <v>125</v>
      </c>
      <c r="R32">
        <v>8192</v>
      </c>
      <c r="S32" t="s">
        <v>33</v>
      </c>
      <c r="T32" t="s">
        <v>34</v>
      </c>
      <c r="U32">
        <v>35.92</v>
      </c>
      <c r="V32" t="s">
        <v>35</v>
      </c>
      <c r="W32" s="1">
        <v>45604</v>
      </c>
      <c r="X32">
        <v>2024</v>
      </c>
    </row>
    <row r="33" spans="1:24" x14ac:dyDescent="0.25">
      <c r="A33" s="1">
        <v>45636</v>
      </c>
      <c r="B33" t="s">
        <v>126</v>
      </c>
      <c r="C33" s="2">
        <v>102104634900</v>
      </c>
      <c r="E33" t="s">
        <v>127</v>
      </c>
      <c r="F33" t="s">
        <v>66</v>
      </c>
      <c r="G33" t="s">
        <v>27</v>
      </c>
      <c r="H33" t="s">
        <v>28</v>
      </c>
      <c r="I33" t="s">
        <v>67</v>
      </c>
      <c r="J33" t="s">
        <v>68</v>
      </c>
      <c r="L33" s="1">
        <v>45658</v>
      </c>
      <c r="M33" s="1">
        <v>45658</v>
      </c>
      <c r="O33">
        <v>17886092</v>
      </c>
      <c r="P33" t="s">
        <v>31</v>
      </c>
      <c r="Q33" t="s">
        <v>69</v>
      </c>
      <c r="R33">
        <v>8192</v>
      </c>
      <c r="S33" t="s">
        <v>33</v>
      </c>
      <c r="T33" t="s">
        <v>34</v>
      </c>
      <c r="U33">
        <v>40</v>
      </c>
      <c r="V33" t="s">
        <v>35</v>
      </c>
      <c r="W33" s="1">
        <v>45621</v>
      </c>
      <c r="X33">
        <v>2024</v>
      </c>
    </row>
    <row r="34" spans="1:24" x14ac:dyDescent="0.25">
      <c r="A34" s="1">
        <v>45636</v>
      </c>
      <c r="B34" t="s">
        <v>128</v>
      </c>
      <c r="C34" s="2">
        <v>102099942000</v>
      </c>
      <c r="E34" t="s">
        <v>129</v>
      </c>
      <c r="F34" t="s">
        <v>43</v>
      </c>
      <c r="G34" t="s">
        <v>27</v>
      </c>
      <c r="H34" t="s">
        <v>28</v>
      </c>
      <c r="I34" t="s">
        <v>29</v>
      </c>
      <c r="J34" t="s">
        <v>55</v>
      </c>
      <c r="L34" s="1">
        <v>45658</v>
      </c>
      <c r="M34" s="1">
        <v>45658</v>
      </c>
      <c r="O34">
        <v>18754354</v>
      </c>
      <c r="P34" t="s">
        <v>31</v>
      </c>
      <c r="Q34" t="s">
        <v>52</v>
      </c>
      <c r="R34">
        <v>8192</v>
      </c>
      <c r="S34" t="s">
        <v>33</v>
      </c>
      <c r="T34" t="s">
        <v>34</v>
      </c>
      <c r="U34">
        <v>125</v>
      </c>
      <c r="V34" t="s">
        <v>35</v>
      </c>
      <c r="W34" s="1">
        <v>45616</v>
      </c>
      <c r="X34">
        <v>2024</v>
      </c>
    </row>
    <row r="35" spans="1:24" x14ac:dyDescent="0.25">
      <c r="A35" s="1">
        <v>45636</v>
      </c>
      <c r="B35" t="s">
        <v>130</v>
      </c>
      <c r="C35" s="2">
        <v>102103728900</v>
      </c>
      <c r="E35" t="s">
        <v>131</v>
      </c>
      <c r="F35" t="s">
        <v>38</v>
      </c>
      <c r="G35" t="s">
        <v>27</v>
      </c>
      <c r="H35" t="s">
        <v>28</v>
      </c>
      <c r="I35" t="s">
        <v>29</v>
      </c>
      <c r="J35" t="s">
        <v>39</v>
      </c>
      <c r="L35" s="1">
        <v>45658</v>
      </c>
      <c r="M35" s="1">
        <v>45658</v>
      </c>
      <c r="O35">
        <v>9213293</v>
      </c>
      <c r="P35" t="s">
        <v>31</v>
      </c>
      <c r="Q35" t="s">
        <v>72</v>
      </c>
      <c r="R35">
        <v>8192</v>
      </c>
      <c r="S35" t="s">
        <v>33</v>
      </c>
      <c r="T35" t="s">
        <v>34</v>
      </c>
      <c r="U35">
        <v>125</v>
      </c>
      <c r="V35" t="s">
        <v>35</v>
      </c>
      <c r="W35" s="1">
        <v>45620</v>
      </c>
      <c r="X35">
        <v>2024</v>
      </c>
    </row>
    <row r="36" spans="1:24" x14ac:dyDescent="0.25">
      <c r="A36" s="1">
        <v>45636</v>
      </c>
      <c r="B36" t="s">
        <v>132</v>
      </c>
      <c r="C36" s="2">
        <v>102089672100</v>
      </c>
      <c r="E36" t="s">
        <v>133</v>
      </c>
      <c r="F36" t="s">
        <v>43</v>
      </c>
      <c r="G36" t="s">
        <v>27</v>
      </c>
      <c r="H36" t="s">
        <v>28</v>
      </c>
      <c r="I36" t="s">
        <v>29</v>
      </c>
      <c r="J36" t="s">
        <v>55</v>
      </c>
      <c r="L36" s="1">
        <v>45658</v>
      </c>
      <c r="M36" s="1">
        <v>45658</v>
      </c>
      <c r="O36">
        <v>7146581</v>
      </c>
      <c r="P36" t="s">
        <v>31</v>
      </c>
      <c r="Q36" t="s">
        <v>75</v>
      </c>
      <c r="R36">
        <v>8192</v>
      </c>
      <c r="S36" t="s">
        <v>33</v>
      </c>
      <c r="T36" t="s">
        <v>34</v>
      </c>
      <c r="U36">
        <v>125</v>
      </c>
      <c r="V36" t="s">
        <v>35</v>
      </c>
      <c r="W36" s="1">
        <v>45604</v>
      </c>
      <c r="X36">
        <v>2024</v>
      </c>
    </row>
    <row r="37" spans="1:24" x14ac:dyDescent="0.25">
      <c r="A37" s="1">
        <v>45636</v>
      </c>
      <c r="B37" t="s">
        <v>134</v>
      </c>
      <c r="C37" s="2">
        <v>102098511800</v>
      </c>
      <c r="E37" t="s">
        <v>135</v>
      </c>
      <c r="F37" t="s">
        <v>43</v>
      </c>
      <c r="G37" t="s">
        <v>27</v>
      </c>
      <c r="H37" t="s">
        <v>28</v>
      </c>
      <c r="I37" t="s">
        <v>29</v>
      </c>
      <c r="J37" t="s">
        <v>48</v>
      </c>
      <c r="L37" s="1">
        <v>45658</v>
      </c>
      <c r="M37" s="1">
        <v>45658</v>
      </c>
      <c r="O37">
        <v>7146581</v>
      </c>
      <c r="P37" t="s">
        <v>31</v>
      </c>
      <c r="Q37" t="s">
        <v>75</v>
      </c>
      <c r="R37">
        <v>8192</v>
      </c>
      <c r="S37" t="s">
        <v>33</v>
      </c>
      <c r="T37" t="s">
        <v>34</v>
      </c>
      <c r="U37">
        <v>125</v>
      </c>
      <c r="V37" t="s">
        <v>35</v>
      </c>
      <c r="W37" s="1">
        <v>45615</v>
      </c>
      <c r="X37">
        <v>2024</v>
      </c>
    </row>
    <row r="38" spans="1:24" x14ac:dyDescent="0.25">
      <c r="A38" s="1">
        <v>45636</v>
      </c>
      <c r="B38" t="s">
        <v>136</v>
      </c>
      <c r="C38" s="2">
        <v>102097831900</v>
      </c>
      <c r="E38" t="s">
        <v>137</v>
      </c>
      <c r="F38" t="s">
        <v>43</v>
      </c>
      <c r="G38" t="s">
        <v>27</v>
      </c>
      <c r="H38" t="s">
        <v>28</v>
      </c>
      <c r="I38" t="s">
        <v>29</v>
      </c>
      <c r="J38" t="s">
        <v>55</v>
      </c>
      <c r="L38" s="1">
        <v>45658</v>
      </c>
      <c r="M38" s="1">
        <v>45658</v>
      </c>
      <c r="O38">
        <v>9213293</v>
      </c>
      <c r="P38" t="s">
        <v>31</v>
      </c>
      <c r="Q38" t="s">
        <v>72</v>
      </c>
      <c r="R38">
        <v>8192</v>
      </c>
      <c r="S38" t="s">
        <v>33</v>
      </c>
      <c r="T38" t="s">
        <v>34</v>
      </c>
      <c r="U38">
        <v>125</v>
      </c>
      <c r="V38" t="s">
        <v>35</v>
      </c>
      <c r="W38" s="1">
        <v>45614</v>
      </c>
      <c r="X38">
        <v>2024</v>
      </c>
    </row>
    <row r="39" spans="1:24" x14ac:dyDescent="0.25">
      <c r="A39" s="1">
        <v>45636</v>
      </c>
      <c r="B39" t="s">
        <v>138</v>
      </c>
      <c r="C39" s="2">
        <v>102089604200</v>
      </c>
      <c r="E39" t="s">
        <v>139</v>
      </c>
      <c r="F39" t="s">
        <v>140</v>
      </c>
      <c r="G39" t="s">
        <v>27</v>
      </c>
      <c r="H39" t="s">
        <v>28</v>
      </c>
      <c r="I39" t="s">
        <v>141</v>
      </c>
      <c r="J39" t="s">
        <v>142</v>
      </c>
      <c r="L39" s="1">
        <v>45658</v>
      </c>
      <c r="M39" s="1">
        <v>45658</v>
      </c>
      <c r="O39">
        <v>8307933</v>
      </c>
      <c r="P39" t="s">
        <v>31</v>
      </c>
      <c r="Q39" t="s">
        <v>143</v>
      </c>
      <c r="R39">
        <v>8192</v>
      </c>
      <c r="S39" t="s">
        <v>33</v>
      </c>
      <c r="T39" t="s">
        <v>34</v>
      </c>
      <c r="U39">
        <v>125</v>
      </c>
      <c r="V39" t="s">
        <v>35</v>
      </c>
      <c r="W39" s="1">
        <v>45604</v>
      </c>
      <c r="X39">
        <v>2024</v>
      </c>
    </row>
    <row r="40" spans="1:24" x14ac:dyDescent="0.25">
      <c r="A40" s="1">
        <v>45636</v>
      </c>
      <c r="B40" t="s">
        <v>144</v>
      </c>
      <c r="C40" s="2">
        <v>102102298600</v>
      </c>
      <c r="E40" t="s">
        <v>145</v>
      </c>
      <c r="F40" t="s">
        <v>66</v>
      </c>
      <c r="G40" t="s">
        <v>27</v>
      </c>
      <c r="H40" t="s">
        <v>28</v>
      </c>
      <c r="I40" t="s">
        <v>67</v>
      </c>
      <c r="J40" t="s">
        <v>93</v>
      </c>
      <c r="L40" s="1">
        <v>45658</v>
      </c>
      <c r="M40" s="1">
        <v>45658</v>
      </c>
      <c r="O40">
        <v>17528908</v>
      </c>
      <c r="P40" t="s">
        <v>31</v>
      </c>
      <c r="Q40" t="s">
        <v>94</v>
      </c>
      <c r="R40">
        <v>8192</v>
      </c>
      <c r="S40" t="s">
        <v>33</v>
      </c>
      <c r="T40" t="s">
        <v>34</v>
      </c>
      <c r="U40">
        <v>125</v>
      </c>
      <c r="V40" t="s">
        <v>35</v>
      </c>
      <c r="W40" s="1">
        <v>45618</v>
      </c>
      <c r="X40">
        <v>2024</v>
      </c>
    </row>
    <row r="41" spans="1:24" x14ac:dyDescent="0.25">
      <c r="A41" s="1">
        <v>45636</v>
      </c>
      <c r="B41" t="s">
        <v>146</v>
      </c>
      <c r="C41" s="2">
        <v>102099156000</v>
      </c>
      <c r="E41" t="s">
        <v>147</v>
      </c>
      <c r="F41" t="s">
        <v>66</v>
      </c>
      <c r="G41" t="s">
        <v>27</v>
      </c>
      <c r="H41" t="s">
        <v>28</v>
      </c>
      <c r="I41" t="s">
        <v>67</v>
      </c>
      <c r="J41" t="s">
        <v>148</v>
      </c>
      <c r="L41" s="1">
        <v>45627</v>
      </c>
      <c r="M41" s="1">
        <v>45627</v>
      </c>
      <c r="O41">
        <v>17528908</v>
      </c>
      <c r="P41" t="s">
        <v>31</v>
      </c>
      <c r="Q41" t="s">
        <v>94</v>
      </c>
      <c r="R41">
        <v>8192</v>
      </c>
      <c r="S41" t="s">
        <v>33</v>
      </c>
      <c r="T41" t="s">
        <v>34</v>
      </c>
      <c r="U41">
        <v>39.17</v>
      </c>
      <c r="V41" t="s">
        <v>35</v>
      </c>
      <c r="W41" s="1">
        <v>45615</v>
      </c>
      <c r="X41">
        <v>2024</v>
      </c>
    </row>
    <row r="42" spans="1:24" x14ac:dyDescent="0.25">
      <c r="A42" s="1">
        <v>45636</v>
      </c>
      <c r="B42" t="s">
        <v>149</v>
      </c>
      <c r="C42" s="2">
        <v>101054627000</v>
      </c>
      <c r="E42" t="s">
        <v>150</v>
      </c>
      <c r="F42" t="s">
        <v>151</v>
      </c>
      <c r="G42" t="s">
        <v>27</v>
      </c>
      <c r="H42" t="s">
        <v>28</v>
      </c>
      <c r="I42" t="s">
        <v>152</v>
      </c>
      <c r="J42" t="s">
        <v>153</v>
      </c>
      <c r="L42" s="1">
        <v>45658</v>
      </c>
      <c r="M42" s="1">
        <v>45658</v>
      </c>
      <c r="O42">
        <v>8244481</v>
      </c>
      <c r="P42" t="s">
        <v>31</v>
      </c>
      <c r="Q42" t="s">
        <v>154</v>
      </c>
      <c r="R42">
        <v>8192</v>
      </c>
      <c r="S42" t="s">
        <v>33</v>
      </c>
      <c r="T42" t="s">
        <v>34</v>
      </c>
      <c r="U42">
        <v>125</v>
      </c>
      <c r="V42" t="s">
        <v>35</v>
      </c>
      <c r="W42" s="1">
        <v>45621</v>
      </c>
      <c r="X42">
        <v>2024</v>
      </c>
    </row>
    <row r="43" spans="1:24" x14ac:dyDescent="0.25">
      <c r="A43" s="1">
        <v>45636</v>
      </c>
      <c r="B43" t="s">
        <v>155</v>
      </c>
      <c r="C43" s="2">
        <v>102098689600</v>
      </c>
      <c r="E43" t="s">
        <v>156</v>
      </c>
      <c r="F43" t="s">
        <v>43</v>
      </c>
      <c r="G43" t="s">
        <v>27</v>
      </c>
      <c r="H43" t="s">
        <v>28</v>
      </c>
      <c r="I43" t="s">
        <v>29</v>
      </c>
      <c r="J43" t="s">
        <v>48</v>
      </c>
      <c r="L43" s="1">
        <v>45658</v>
      </c>
      <c r="M43" s="1">
        <v>45658</v>
      </c>
      <c r="O43">
        <v>18754354</v>
      </c>
      <c r="P43" t="s">
        <v>31</v>
      </c>
      <c r="Q43" t="s">
        <v>52</v>
      </c>
      <c r="R43">
        <v>8192</v>
      </c>
      <c r="S43" t="s">
        <v>33</v>
      </c>
      <c r="T43" t="s">
        <v>34</v>
      </c>
      <c r="U43">
        <v>125</v>
      </c>
      <c r="V43" t="s">
        <v>35</v>
      </c>
      <c r="W43" s="1">
        <v>45615</v>
      </c>
      <c r="X43">
        <v>2024</v>
      </c>
    </row>
    <row r="44" spans="1:24" x14ac:dyDescent="0.25">
      <c r="A44" s="1">
        <v>45636</v>
      </c>
      <c r="B44" t="s">
        <v>157</v>
      </c>
      <c r="C44" s="2">
        <v>101737030600</v>
      </c>
      <c r="E44" t="s">
        <v>158</v>
      </c>
      <c r="F44" t="s">
        <v>66</v>
      </c>
      <c r="G44" t="s">
        <v>27</v>
      </c>
      <c r="H44" t="s">
        <v>28</v>
      </c>
      <c r="I44" t="s">
        <v>67</v>
      </c>
      <c r="J44" t="s">
        <v>68</v>
      </c>
      <c r="L44" s="1">
        <v>45658</v>
      </c>
      <c r="M44" s="1">
        <v>45658</v>
      </c>
      <c r="O44">
        <v>17886092</v>
      </c>
      <c r="P44" t="s">
        <v>31</v>
      </c>
      <c r="Q44" t="s">
        <v>69</v>
      </c>
      <c r="R44">
        <v>8192</v>
      </c>
      <c r="S44" t="s">
        <v>33</v>
      </c>
      <c r="T44" t="s">
        <v>34</v>
      </c>
      <c r="U44">
        <v>40</v>
      </c>
      <c r="V44" t="s">
        <v>35</v>
      </c>
      <c r="W44" s="1">
        <v>45618</v>
      </c>
      <c r="X44">
        <v>2024</v>
      </c>
    </row>
    <row r="45" spans="1:24" x14ac:dyDescent="0.25">
      <c r="A45" s="1">
        <v>45636</v>
      </c>
      <c r="B45" t="s">
        <v>159</v>
      </c>
      <c r="C45" s="2">
        <v>101080437800</v>
      </c>
      <c r="E45" t="s">
        <v>160</v>
      </c>
      <c r="F45" t="s">
        <v>66</v>
      </c>
      <c r="G45" t="s">
        <v>27</v>
      </c>
      <c r="H45" t="s">
        <v>28</v>
      </c>
      <c r="I45" t="s">
        <v>67</v>
      </c>
      <c r="J45" t="s">
        <v>68</v>
      </c>
      <c r="L45" s="1">
        <v>45658</v>
      </c>
      <c r="M45" s="1">
        <v>45658</v>
      </c>
      <c r="O45">
        <v>17886092</v>
      </c>
      <c r="P45" t="s">
        <v>31</v>
      </c>
      <c r="Q45" t="s">
        <v>69</v>
      </c>
      <c r="R45">
        <v>8192</v>
      </c>
      <c r="S45" t="s">
        <v>33</v>
      </c>
      <c r="T45" t="s">
        <v>34</v>
      </c>
      <c r="U45">
        <v>40</v>
      </c>
      <c r="V45" t="s">
        <v>35</v>
      </c>
      <c r="W45" s="1">
        <v>45621</v>
      </c>
      <c r="X45">
        <v>2024</v>
      </c>
    </row>
    <row r="46" spans="1:24" x14ac:dyDescent="0.25">
      <c r="A46" s="1">
        <v>45636</v>
      </c>
      <c r="B46" t="s">
        <v>161</v>
      </c>
      <c r="C46" s="2">
        <v>102103725800</v>
      </c>
      <c r="E46" t="s">
        <v>162</v>
      </c>
      <c r="F46" t="s">
        <v>43</v>
      </c>
      <c r="G46" t="s">
        <v>27</v>
      </c>
      <c r="H46" t="s">
        <v>28</v>
      </c>
      <c r="I46" t="s">
        <v>29</v>
      </c>
      <c r="J46" t="s">
        <v>48</v>
      </c>
      <c r="L46" s="1">
        <v>45658</v>
      </c>
      <c r="M46" s="1">
        <v>45658</v>
      </c>
      <c r="O46">
        <v>7146581</v>
      </c>
      <c r="P46" t="s">
        <v>31</v>
      </c>
      <c r="Q46" t="s">
        <v>75</v>
      </c>
      <c r="R46">
        <v>8192</v>
      </c>
      <c r="S46" t="s">
        <v>33</v>
      </c>
      <c r="T46" t="s">
        <v>34</v>
      </c>
      <c r="U46">
        <v>125</v>
      </c>
      <c r="V46" t="s">
        <v>35</v>
      </c>
      <c r="W46" s="1">
        <v>45620</v>
      </c>
      <c r="X46">
        <v>2024</v>
      </c>
    </row>
    <row r="47" spans="1:24" x14ac:dyDescent="0.25">
      <c r="A47" s="1">
        <v>45636</v>
      </c>
      <c r="B47" t="s">
        <v>163</v>
      </c>
      <c r="C47" s="2">
        <v>102104526300</v>
      </c>
      <c r="E47" t="s">
        <v>164</v>
      </c>
      <c r="F47" t="s">
        <v>43</v>
      </c>
      <c r="G47" t="s">
        <v>27</v>
      </c>
      <c r="H47" t="s">
        <v>28</v>
      </c>
      <c r="I47" t="s">
        <v>29</v>
      </c>
      <c r="J47" t="s">
        <v>55</v>
      </c>
      <c r="L47" s="1">
        <v>45658</v>
      </c>
      <c r="M47" s="1">
        <v>45658</v>
      </c>
      <c r="O47">
        <v>19200754</v>
      </c>
      <c r="P47" t="s">
        <v>31</v>
      </c>
      <c r="Q47" t="s">
        <v>99</v>
      </c>
      <c r="R47">
        <v>8192</v>
      </c>
      <c r="S47" t="s">
        <v>33</v>
      </c>
      <c r="T47" t="s">
        <v>34</v>
      </c>
      <c r="U47">
        <v>125</v>
      </c>
      <c r="V47" t="s">
        <v>35</v>
      </c>
      <c r="W47" s="1">
        <v>45621</v>
      </c>
      <c r="X47">
        <v>2024</v>
      </c>
    </row>
    <row r="48" spans="1:24" x14ac:dyDescent="0.25">
      <c r="A48" s="1">
        <v>45636</v>
      </c>
      <c r="B48" t="s">
        <v>165</v>
      </c>
      <c r="C48" s="2">
        <v>102104538700</v>
      </c>
      <c r="E48" t="s">
        <v>166</v>
      </c>
      <c r="F48" t="s">
        <v>43</v>
      </c>
      <c r="G48" t="s">
        <v>27</v>
      </c>
      <c r="H48" t="s">
        <v>28</v>
      </c>
      <c r="I48" t="s">
        <v>29</v>
      </c>
      <c r="J48" t="s">
        <v>55</v>
      </c>
      <c r="L48" s="1">
        <v>45658</v>
      </c>
      <c r="M48" s="1">
        <v>45658</v>
      </c>
      <c r="O48">
        <v>19200754</v>
      </c>
      <c r="P48" t="s">
        <v>31</v>
      </c>
      <c r="Q48" t="s">
        <v>99</v>
      </c>
      <c r="R48">
        <v>8192</v>
      </c>
      <c r="S48" t="s">
        <v>33</v>
      </c>
      <c r="T48" t="s">
        <v>34</v>
      </c>
      <c r="U48">
        <v>125</v>
      </c>
      <c r="V48" t="s">
        <v>35</v>
      </c>
      <c r="W48" s="1">
        <v>45621</v>
      </c>
      <c r="X48">
        <v>2024</v>
      </c>
    </row>
    <row r="49" spans="1:24" x14ac:dyDescent="0.25">
      <c r="A49" s="1">
        <v>45636</v>
      </c>
      <c r="B49" t="s">
        <v>167</v>
      </c>
      <c r="C49" s="2">
        <v>102086499600</v>
      </c>
      <c r="E49" t="s">
        <v>168</v>
      </c>
      <c r="F49" t="s">
        <v>43</v>
      </c>
      <c r="G49" t="s">
        <v>169</v>
      </c>
      <c r="H49" t="s">
        <v>28</v>
      </c>
      <c r="I49" t="s">
        <v>29</v>
      </c>
      <c r="J49" t="s">
        <v>48</v>
      </c>
      <c r="L49" s="1">
        <v>45658</v>
      </c>
      <c r="M49" s="1">
        <v>45658</v>
      </c>
      <c r="N49" s="1">
        <v>45658</v>
      </c>
      <c r="O49">
        <v>6375605</v>
      </c>
      <c r="P49" t="s">
        <v>31</v>
      </c>
      <c r="Q49" t="s">
        <v>170</v>
      </c>
      <c r="R49">
        <v>8192</v>
      </c>
      <c r="S49" t="s">
        <v>33</v>
      </c>
      <c r="T49" t="s">
        <v>34</v>
      </c>
      <c r="U49">
        <v>-125</v>
      </c>
      <c r="V49" t="s">
        <v>35</v>
      </c>
      <c r="W49" s="1">
        <v>45601</v>
      </c>
      <c r="X49">
        <v>2024</v>
      </c>
    </row>
    <row r="50" spans="1:24" x14ac:dyDescent="0.25">
      <c r="A50" s="1">
        <v>45636</v>
      </c>
      <c r="B50" t="s">
        <v>171</v>
      </c>
      <c r="C50" s="2">
        <v>101744311000</v>
      </c>
      <c r="E50" t="s">
        <v>172</v>
      </c>
      <c r="F50" t="s">
        <v>66</v>
      </c>
      <c r="G50" t="s">
        <v>27</v>
      </c>
      <c r="H50" t="s">
        <v>28</v>
      </c>
      <c r="I50" t="s">
        <v>67</v>
      </c>
      <c r="J50" t="s">
        <v>93</v>
      </c>
      <c r="L50" s="1">
        <v>45658</v>
      </c>
      <c r="M50" s="1">
        <v>45658</v>
      </c>
      <c r="O50">
        <v>17528908</v>
      </c>
      <c r="P50" t="s">
        <v>31</v>
      </c>
      <c r="Q50" t="s">
        <v>94</v>
      </c>
      <c r="R50">
        <v>8192</v>
      </c>
      <c r="S50" t="s">
        <v>33</v>
      </c>
      <c r="T50" t="s">
        <v>34</v>
      </c>
      <c r="U50">
        <v>125</v>
      </c>
      <c r="V50" t="s">
        <v>35</v>
      </c>
      <c r="W50" s="1">
        <v>45618</v>
      </c>
      <c r="X50">
        <v>2024</v>
      </c>
    </row>
    <row r="51" spans="1:24" x14ac:dyDescent="0.25">
      <c r="A51" s="1">
        <v>45636</v>
      </c>
      <c r="B51" t="s">
        <v>173</v>
      </c>
      <c r="C51" s="2">
        <v>102046259200</v>
      </c>
      <c r="E51" t="s">
        <v>174</v>
      </c>
      <c r="F51" t="s">
        <v>66</v>
      </c>
      <c r="G51" t="s">
        <v>27</v>
      </c>
      <c r="H51" t="s">
        <v>175</v>
      </c>
      <c r="I51" t="s">
        <v>67</v>
      </c>
      <c r="J51" t="s">
        <v>176</v>
      </c>
      <c r="L51" s="1">
        <v>45597</v>
      </c>
      <c r="M51" s="1">
        <v>45597</v>
      </c>
      <c r="O51">
        <v>17886092</v>
      </c>
      <c r="P51" t="s">
        <v>31</v>
      </c>
      <c r="Q51" t="s">
        <v>69</v>
      </c>
      <c r="R51">
        <v>8192</v>
      </c>
      <c r="S51" t="s">
        <v>33</v>
      </c>
      <c r="T51" t="s">
        <v>34</v>
      </c>
      <c r="U51">
        <v>125</v>
      </c>
      <c r="V51" t="s">
        <v>177</v>
      </c>
      <c r="W51" s="1">
        <v>45516</v>
      </c>
      <c r="X51">
        <v>2024</v>
      </c>
    </row>
    <row r="52" spans="1:24" x14ac:dyDescent="0.25">
      <c r="A52" s="1">
        <v>45636</v>
      </c>
      <c r="B52" t="s">
        <v>178</v>
      </c>
      <c r="C52" s="2">
        <v>102102797400</v>
      </c>
      <c r="E52" t="s">
        <v>179</v>
      </c>
      <c r="F52" t="s">
        <v>43</v>
      </c>
      <c r="G52" t="s">
        <v>27</v>
      </c>
      <c r="H52" t="s">
        <v>28</v>
      </c>
      <c r="I52" t="s">
        <v>121</v>
      </c>
      <c r="J52" t="s">
        <v>180</v>
      </c>
      <c r="L52" s="1">
        <v>45658</v>
      </c>
      <c r="M52" s="1">
        <v>45658</v>
      </c>
      <c r="O52">
        <v>8244481</v>
      </c>
      <c r="P52" t="s">
        <v>31</v>
      </c>
      <c r="Q52" t="s">
        <v>154</v>
      </c>
      <c r="R52">
        <v>8192</v>
      </c>
      <c r="S52" t="s">
        <v>33</v>
      </c>
      <c r="T52" t="s">
        <v>34</v>
      </c>
      <c r="U52">
        <v>125</v>
      </c>
      <c r="V52" t="s">
        <v>35</v>
      </c>
      <c r="W52" s="1">
        <v>45619</v>
      </c>
      <c r="X52">
        <v>2024</v>
      </c>
    </row>
    <row r="53" spans="1:24" x14ac:dyDescent="0.25">
      <c r="A53" s="1">
        <v>45636</v>
      </c>
      <c r="B53" t="s">
        <v>181</v>
      </c>
      <c r="C53" s="2">
        <v>102102830300</v>
      </c>
      <c r="E53" t="s">
        <v>182</v>
      </c>
      <c r="F53" t="s">
        <v>43</v>
      </c>
      <c r="G53" t="s">
        <v>27</v>
      </c>
      <c r="H53" t="s">
        <v>28</v>
      </c>
      <c r="I53" t="s">
        <v>121</v>
      </c>
      <c r="J53" t="s">
        <v>180</v>
      </c>
      <c r="L53" s="1">
        <v>45658</v>
      </c>
      <c r="M53" s="1">
        <v>45658</v>
      </c>
      <c r="O53">
        <v>8244481</v>
      </c>
      <c r="P53" t="s">
        <v>31</v>
      </c>
      <c r="Q53" t="s">
        <v>154</v>
      </c>
      <c r="R53">
        <v>8192</v>
      </c>
      <c r="S53" t="s">
        <v>33</v>
      </c>
      <c r="T53" t="s">
        <v>34</v>
      </c>
      <c r="U53">
        <v>125</v>
      </c>
      <c r="V53" t="s">
        <v>35</v>
      </c>
      <c r="W53" s="1">
        <v>45619</v>
      </c>
      <c r="X53">
        <v>2024</v>
      </c>
    </row>
    <row r="54" spans="1:24" x14ac:dyDescent="0.25">
      <c r="A54" s="1">
        <v>45636</v>
      </c>
      <c r="B54" t="s">
        <v>183</v>
      </c>
      <c r="C54" s="2">
        <v>101974872600</v>
      </c>
      <c r="E54" t="s">
        <v>184</v>
      </c>
      <c r="F54" t="s">
        <v>43</v>
      </c>
      <c r="G54" t="s">
        <v>27</v>
      </c>
      <c r="H54" t="s">
        <v>28</v>
      </c>
      <c r="I54" t="s">
        <v>29</v>
      </c>
      <c r="J54" t="s">
        <v>55</v>
      </c>
      <c r="L54" s="1">
        <v>45658</v>
      </c>
      <c r="M54" s="1">
        <v>45658</v>
      </c>
      <c r="O54">
        <v>7470776</v>
      </c>
      <c r="P54" t="s">
        <v>31</v>
      </c>
      <c r="Q54" t="s">
        <v>116</v>
      </c>
      <c r="R54">
        <v>8192</v>
      </c>
      <c r="S54" t="s">
        <v>33</v>
      </c>
      <c r="T54" t="s">
        <v>34</v>
      </c>
      <c r="U54">
        <v>125</v>
      </c>
      <c r="V54" t="s">
        <v>35</v>
      </c>
      <c r="W54" s="1">
        <v>45606</v>
      </c>
      <c r="X54">
        <v>2024</v>
      </c>
    </row>
    <row r="55" spans="1:24" x14ac:dyDescent="0.25">
      <c r="A55" s="1">
        <v>45636</v>
      </c>
      <c r="B55" t="s">
        <v>185</v>
      </c>
      <c r="C55" s="2">
        <v>101490841500</v>
      </c>
      <c r="E55" t="s">
        <v>186</v>
      </c>
      <c r="F55" t="s">
        <v>43</v>
      </c>
      <c r="G55" t="s">
        <v>27</v>
      </c>
      <c r="H55" t="s">
        <v>28</v>
      </c>
      <c r="I55" t="s">
        <v>121</v>
      </c>
      <c r="J55" t="s">
        <v>187</v>
      </c>
      <c r="L55" s="1">
        <v>45658</v>
      </c>
      <c r="M55" s="1">
        <v>45658</v>
      </c>
      <c r="O55">
        <v>2158366</v>
      </c>
      <c r="P55" t="s">
        <v>31</v>
      </c>
      <c r="Q55" t="s">
        <v>188</v>
      </c>
      <c r="R55">
        <v>8192</v>
      </c>
      <c r="S55" t="s">
        <v>33</v>
      </c>
      <c r="T55" t="s">
        <v>34</v>
      </c>
      <c r="U55">
        <v>125</v>
      </c>
      <c r="V55" t="s">
        <v>35</v>
      </c>
      <c r="W55" s="1">
        <v>45615</v>
      </c>
      <c r="X55">
        <v>2024</v>
      </c>
    </row>
    <row r="56" spans="1:24" x14ac:dyDescent="0.25">
      <c r="A56" s="1">
        <v>45636</v>
      </c>
      <c r="B56" t="s">
        <v>189</v>
      </c>
      <c r="C56" s="2">
        <v>102097828900</v>
      </c>
      <c r="E56" t="s">
        <v>190</v>
      </c>
      <c r="F56" t="s">
        <v>43</v>
      </c>
      <c r="G56" t="s">
        <v>27</v>
      </c>
      <c r="H56" t="s">
        <v>28</v>
      </c>
      <c r="I56" t="s">
        <v>29</v>
      </c>
      <c r="J56" t="s">
        <v>48</v>
      </c>
      <c r="L56" s="1">
        <v>45658</v>
      </c>
      <c r="M56" s="1">
        <v>45658</v>
      </c>
      <c r="O56">
        <v>19481808</v>
      </c>
      <c r="P56" t="s">
        <v>31</v>
      </c>
      <c r="Q56" t="s">
        <v>191</v>
      </c>
      <c r="R56">
        <v>8192</v>
      </c>
      <c r="S56" t="s">
        <v>33</v>
      </c>
      <c r="T56" t="s">
        <v>34</v>
      </c>
      <c r="U56">
        <v>125</v>
      </c>
      <c r="V56" t="s">
        <v>35</v>
      </c>
      <c r="W56" s="1">
        <v>45614</v>
      </c>
      <c r="X56">
        <v>2024</v>
      </c>
    </row>
    <row r="57" spans="1:24" x14ac:dyDescent="0.25">
      <c r="A57" s="1">
        <v>45636</v>
      </c>
      <c r="B57" t="s">
        <v>192</v>
      </c>
      <c r="C57" s="2">
        <v>101343056600</v>
      </c>
      <c r="E57" t="s">
        <v>193</v>
      </c>
      <c r="F57" t="s">
        <v>66</v>
      </c>
      <c r="G57" t="s">
        <v>27</v>
      </c>
      <c r="H57" t="s">
        <v>28</v>
      </c>
      <c r="I57" t="s">
        <v>67</v>
      </c>
      <c r="J57" t="s">
        <v>93</v>
      </c>
      <c r="L57" s="1">
        <v>45658</v>
      </c>
      <c r="M57" s="1">
        <v>45658</v>
      </c>
      <c r="O57">
        <v>18710070</v>
      </c>
      <c r="P57" t="s">
        <v>31</v>
      </c>
      <c r="Q57" t="s">
        <v>194</v>
      </c>
      <c r="R57">
        <v>8192</v>
      </c>
      <c r="S57" t="s">
        <v>33</v>
      </c>
      <c r="T57" t="s">
        <v>34</v>
      </c>
      <c r="U57">
        <v>125</v>
      </c>
      <c r="V57" t="s">
        <v>35</v>
      </c>
      <c r="W57" s="1">
        <v>45616</v>
      </c>
      <c r="X57">
        <v>2024</v>
      </c>
    </row>
    <row r="58" spans="1:24" x14ac:dyDescent="0.25">
      <c r="A58" s="1">
        <v>45636</v>
      </c>
      <c r="B58" t="s">
        <v>195</v>
      </c>
      <c r="C58" s="2">
        <v>101709065700</v>
      </c>
      <c r="E58" t="s">
        <v>196</v>
      </c>
      <c r="F58" t="s">
        <v>66</v>
      </c>
      <c r="G58" t="s">
        <v>27</v>
      </c>
      <c r="H58" t="s">
        <v>28</v>
      </c>
      <c r="I58" t="s">
        <v>67</v>
      </c>
      <c r="J58" t="s">
        <v>93</v>
      </c>
      <c r="L58" s="1">
        <v>45658</v>
      </c>
      <c r="M58" s="1">
        <v>45658</v>
      </c>
      <c r="O58">
        <v>18710070</v>
      </c>
      <c r="P58" t="s">
        <v>31</v>
      </c>
      <c r="Q58" t="s">
        <v>194</v>
      </c>
      <c r="R58">
        <v>8192</v>
      </c>
      <c r="S58" t="s">
        <v>33</v>
      </c>
      <c r="T58" t="s">
        <v>34</v>
      </c>
      <c r="U58">
        <v>125</v>
      </c>
      <c r="V58" t="s">
        <v>35</v>
      </c>
      <c r="W58" s="1">
        <v>45616</v>
      </c>
      <c r="X58">
        <v>2024</v>
      </c>
    </row>
    <row r="59" spans="1:24" x14ac:dyDescent="0.25">
      <c r="A59" s="1">
        <v>45636</v>
      </c>
      <c r="B59" t="s">
        <v>197</v>
      </c>
      <c r="C59" s="2">
        <v>101677547500</v>
      </c>
      <c r="E59" t="s">
        <v>198</v>
      </c>
      <c r="F59" t="s">
        <v>43</v>
      </c>
      <c r="G59" t="s">
        <v>27</v>
      </c>
      <c r="H59" t="s">
        <v>28</v>
      </c>
      <c r="I59" t="s">
        <v>29</v>
      </c>
      <c r="J59" t="s">
        <v>84</v>
      </c>
      <c r="L59" s="1">
        <v>45658</v>
      </c>
      <c r="M59" s="1">
        <v>45658</v>
      </c>
      <c r="O59">
        <v>7470776</v>
      </c>
      <c r="P59" t="s">
        <v>31</v>
      </c>
      <c r="Q59" t="s">
        <v>116</v>
      </c>
      <c r="R59">
        <v>8192</v>
      </c>
      <c r="S59" t="s">
        <v>33</v>
      </c>
      <c r="T59" t="s">
        <v>34</v>
      </c>
      <c r="U59">
        <v>125</v>
      </c>
      <c r="V59" t="s">
        <v>35</v>
      </c>
      <c r="W59" s="1">
        <v>45606</v>
      </c>
      <c r="X59">
        <v>2024</v>
      </c>
    </row>
    <row r="60" spans="1:24" x14ac:dyDescent="0.25">
      <c r="A60" s="1">
        <v>45636</v>
      </c>
      <c r="B60" t="s">
        <v>199</v>
      </c>
      <c r="C60" s="2">
        <v>101677547000</v>
      </c>
      <c r="E60" t="s">
        <v>200</v>
      </c>
      <c r="F60" t="s">
        <v>43</v>
      </c>
      <c r="G60" t="s">
        <v>27</v>
      </c>
      <c r="H60" t="s">
        <v>28</v>
      </c>
      <c r="I60" t="s">
        <v>29</v>
      </c>
      <c r="J60" t="s">
        <v>84</v>
      </c>
      <c r="L60" s="1">
        <v>45658</v>
      </c>
      <c r="M60" s="1">
        <v>45658</v>
      </c>
      <c r="O60">
        <v>7470776</v>
      </c>
      <c r="P60" t="s">
        <v>31</v>
      </c>
      <c r="Q60" t="s">
        <v>116</v>
      </c>
      <c r="R60">
        <v>8192</v>
      </c>
      <c r="S60" t="s">
        <v>33</v>
      </c>
      <c r="T60" t="s">
        <v>34</v>
      </c>
      <c r="U60">
        <v>125</v>
      </c>
      <c r="V60" t="s">
        <v>35</v>
      </c>
      <c r="W60" s="1">
        <v>45606</v>
      </c>
      <c r="X60">
        <v>2024</v>
      </c>
    </row>
    <row r="61" spans="1:24" x14ac:dyDescent="0.25">
      <c r="A61" s="1">
        <v>45636</v>
      </c>
      <c r="B61" t="s">
        <v>201</v>
      </c>
      <c r="C61" s="2">
        <v>102103697500</v>
      </c>
      <c r="E61" t="s">
        <v>202</v>
      </c>
      <c r="F61" t="s">
        <v>43</v>
      </c>
      <c r="G61" t="s">
        <v>27</v>
      </c>
      <c r="H61" t="s">
        <v>28</v>
      </c>
      <c r="I61" t="s">
        <v>29</v>
      </c>
      <c r="J61" t="s">
        <v>55</v>
      </c>
      <c r="L61" s="1">
        <v>45658</v>
      </c>
      <c r="M61" s="1">
        <v>45658</v>
      </c>
      <c r="O61">
        <v>7146581</v>
      </c>
      <c r="P61" t="s">
        <v>31</v>
      </c>
      <c r="Q61" t="s">
        <v>75</v>
      </c>
      <c r="R61">
        <v>8192</v>
      </c>
      <c r="S61" t="s">
        <v>33</v>
      </c>
      <c r="T61" t="s">
        <v>34</v>
      </c>
      <c r="U61">
        <v>125</v>
      </c>
      <c r="V61" t="s">
        <v>35</v>
      </c>
      <c r="W61" s="1">
        <v>45620</v>
      </c>
      <c r="X61">
        <v>2024</v>
      </c>
    </row>
    <row r="62" spans="1:24" x14ac:dyDescent="0.25">
      <c r="A62" s="1">
        <v>45636</v>
      </c>
      <c r="B62" t="s">
        <v>203</v>
      </c>
      <c r="C62" s="2">
        <v>102105727600</v>
      </c>
      <c r="E62" t="s">
        <v>204</v>
      </c>
      <c r="F62" t="s">
        <v>43</v>
      </c>
      <c r="G62" t="s">
        <v>27</v>
      </c>
      <c r="H62" t="s">
        <v>28</v>
      </c>
      <c r="I62" t="s">
        <v>29</v>
      </c>
      <c r="J62" t="s">
        <v>55</v>
      </c>
      <c r="L62" s="1">
        <v>45658</v>
      </c>
      <c r="M62" s="1">
        <v>45658</v>
      </c>
      <c r="O62">
        <v>7146581</v>
      </c>
      <c r="P62" t="s">
        <v>31</v>
      </c>
      <c r="Q62" t="s">
        <v>75</v>
      </c>
      <c r="R62">
        <v>8192</v>
      </c>
      <c r="S62" t="s">
        <v>33</v>
      </c>
      <c r="T62" t="s">
        <v>34</v>
      </c>
      <c r="U62">
        <v>125</v>
      </c>
      <c r="V62" t="s">
        <v>35</v>
      </c>
      <c r="W62" s="1">
        <v>45622</v>
      </c>
      <c r="X62">
        <v>2024</v>
      </c>
    </row>
    <row r="63" spans="1:24" x14ac:dyDescent="0.25">
      <c r="A63" s="1">
        <v>45636</v>
      </c>
      <c r="B63" t="s">
        <v>205</v>
      </c>
      <c r="C63" s="2">
        <v>102105792200</v>
      </c>
      <c r="E63" t="s">
        <v>206</v>
      </c>
      <c r="F63" t="s">
        <v>43</v>
      </c>
      <c r="G63" t="s">
        <v>27</v>
      </c>
      <c r="H63" t="s">
        <v>28</v>
      </c>
      <c r="I63" t="s">
        <v>29</v>
      </c>
      <c r="J63" t="s">
        <v>55</v>
      </c>
      <c r="L63" s="1">
        <v>45658</v>
      </c>
      <c r="M63" s="1">
        <v>45658</v>
      </c>
      <c r="O63">
        <v>7146581</v>
      </c>
      <c r="P63" t="s">
        <v>31</v>
      </c>
      <c r="Q63" t="s">
        <v>75</v>
      </c>
      <c r="R63">
        <v>8192</v>
      </c>
      <c r="S63" t="s">
        <v>33</v>
      </c>
      <c r="T63" t="s">
        <v>34</v>
      </c>
      <c r="U63">
        <v>125</v>
      </c>
      <c r="V63" t="s">
        <v>35</v>
      </c>
      <c r="W63" s="1">
        <v>45622</v>
      </c>
      <c r="X63">
        <v>2024</v>
      </c>
    </row>
    <row r="64" spans="1:24" x14ac:dyDescent="0.25">
      <c r="A64" s="1">
        <v>45636</v>
      </c>
      <c r="B64" t="s">
        <v>207</v>
      </c>
      <c r="C64" s="2">
        <v>102102242900</v>
      </c>
      <c r="E64" t="s">
        <v>208</v>
      </c>
      <c r="F64" t="s">
        <v>43</v>
      </c>
      <c r="G64" t="s">
        <v>27</v>
      </c>
      <c r="H64" t="s">
        <v>28</v>
      </c>
      <c r="I64" t="s">
        <v>29</v>
      </c>
      <c r="J64" t="s">
        <v>48</v>
      </c>
      <c r="L64" s="1">
        <v>45658</v>
      </c>
      <c r="M64" s="1">
        <v>45658</v>
      </c>
      <c r="O64">
        <v>3475518</v>
      </c>
      <c r="P64" t="s">
        <v>31</v>
      </c>
      <c r="Q64" t="s">
        <v>209</v>
      </c>
      <c r="R64">
        <v>8192</v>
      </c>
      <c r="S64" t="s">
        <v>33</v>
      </c>
      <c r="T64" t="s">
        <v>34</v>
      </c>
      <c r="U64">
        <v>125</v>
      </c>
      <c r="V64" t="s">
        <v>35</v>
      </c>
      <c r="W64" s="1">
        <v>45618</v>
      </c>
      <c r="X64">
        <v>2024</v>
      </c>
    </row>
    <row r="65" spans="1:24" x14ac:dyDescent="0.25">
      <c r="A65" s="1">
        <v>45636</v>
      </c>
      <c r="B65" t="s">
        <v>210</v>
      </c>
      <c r="C65" s="2">
        <v>101801790900</v>
      </c>
      <c r="E65" t="s">
        <v>211</v>
      </c>
      <c r="F65" t="s">
        <v>43</v>
      </c>
      <c r="G65" t="s">
        <v>27</v>
      </c>
      <c r="H65" t="s">
        <v>28</v>
      </c>
      <c r="I65" t="s">
        <v>29</v>
      </c>
      <c r="J65" t="s">
        <v>48</v>
      </c>
      <c r="L65" s="1">
        <v>45658</v>
      </c>
      <c r="M65" s="1">
        <v>45658</v>
      </c>
      <c r="O65">
        <v>16983460</v>
      </c>
      <c r="P65" t="s">
        <v>31</v>
      </c>
      <c r="Q65" t="s">
        <v>212</v>
      </c>
      <c r="R65">
        <v>8192</v>
      </c>
      <c r="S65" t="s">
        <v>33</v>
      </c>
      <c r="T65" t="s">
        <v>34</v>
      </c>
      <c r="U65">
        <v>125</v>
      </c>
      <c r="V65" t="s">
        <v>35</v>
      </c>
      <c r="W65" s="1">
        <v>45618</v>
      </c>
      <c r="X65">
        <v>2024</v>
      </c>
    </row>
    <row r="66" spans="1:24" x14ac:dyDescent="0.25">
      <c r="A66" s="1">
        <v>45636</v>
      </c>
      <c r="B66" t="s">
        <v>213</v>
      </c>
      <c r="C66" s="2">
        <v>102103030500</v>
      </c>
      <c r="E66" t="s">
        <v>214</v>
      </c>
      <c r="F66" t="s">
        <v>38</v>
      </c>
      <c r="G66" t="s">
        <v>27</v>
      </c>
      <c r="H66" t="s">
        <v>28</v>
      </c>
      <c r="I66" t="s">
        <v>29</v>
      </c>
      <c r="J66" t="s">
        <v>215</v>
      </c>
      <c r="L66" s="1">
        <v>45658</v>
      </c>
      <c r="M66" s="1">
        <v>45658</v>
      </c>
      <c r="O66">
        <v>18581063</v>
      </c>
      <c r="P66" t="s">
        <v>31</v>
      </c>
      <c r="Q66" t="s">
        <v>40</v>
      </c>
      <c r="R66">
        <v>8192</v>
      </c>
      <c r="S66" t="s">
        <v>33</v>
      </c>
      <c r="T66" t="s">
        <v>34</v>
      </c>
      <c r="U66">
        <v>125</v>
      </c>
      <c r="V66" t="s">
        <v>35</v>
      </c>
      <c r="W66" s="1">
        <v>45619</v>
      </c>
      <c r="X66">
        <v>2024</v>
      </c>
    </row>
    <row r="67" spans="1:24" x14ac:dyDescent="0.25">
      <c r="A67" s="1">
        <v>45636</v>
      </c>
      <c r="B67" t="s">
        <v>216</v>
      </c>
      <c r="C67" s="2">
        <v>101080291700</v>
      </c>
      <c r="E67" t="s">
        <v>217</v>
      </c>
      <c r="F67" t="s">
        <v>66</v>
      </c>
      <c r="G67" t="s">
        <v>27</v>
      </c>
      <c r="H67" t="s">
        <v>175</v>
      </c>
      <c r="I67" t="s">
        <v>67</v>
      </c>
      <c r="J67" t="s">
        <v>176</v>
      </c>
      <c r="L67" s="1">
        <v>45658</v>
      </c>
      <c r="M67" s="1">
        <v>45658</v>
      </c>
      <c r="O67">
        <v>17528908</v>
      </c>
      <c r="P67" t="s">
        <v>31</v>
      </c>
      <c r="Q67" t="s">
        <v>94</v>
      </c>
      <c r="R67">
        <v>8192</v>
      </c>
      <c r="S67" t="s">
        <v>33</v>
      </c>
      <c r="T67" t="s">
        <v>34</v>
      </c>
      <c r="U67">
        <v>125</v>
      </c>
      <c r="V67" t="s">
        <v>35</v>
      </c>
      <c r="W67" s="1">
        <v>45623</v>
      </c>
      <c r="X67">
        <v>2024</v>
      </c>
    </row>
    <row r="68" spans="1:24" x14ac:dyDescent="0.25">
      <c r="A68" s="1">
        <v>45636</v>
      </c>
      <c r="B68" t="s">
        <v>218</v>
      </c>
      <c r="C68" s="2">
        <v>102097718500</v>
      </c>
      <c r="E68" t="s">
        <v>219</v>
      </c>
      <c r="F68" t="s">
        <v>104</v>
      </c>
      <c r="G68" t="s">
        <v>27</v>
      </c>
      <c r="H68" t="s">
        <v>28</v>
      </c>
      <c r="I68" t="s">
        <v>105</v>
      </c>
      <c r="J68" t="s">
        <v>220</v>
      </c>
      <c r="L68" s="1">
        <v>45658</v>
      </c>
      <c r="M68" s="1">
        <v>45658</v>
      </c>
      <c r="O68">
        <v>16633294</v>
      </c>
      <c r="P68" t="s">
        <v>31</v>
      </c>
      <c r="Q68" t="s">
        <v>125</v>
      </c>
      <c r="R68">
        <v>8192</v>
      </c>
      <c r="S68" t="s">
        <v>33</v>
      </c>
      <c r="T68" t="s">
        <v>34</v>
      </c>
      <c r="U68">
        <v>240</v>
      </c>
      <c r="V68" t="s">
        <v>35</v>
      </c>
      <c r="W68" s="1">
        <v>45614</v>
      </c>
      <c r="X68">
        <v>2024</v>
      </c>
    </row>
    <row r="69" spans="1:24" x14ac:dyDescent="0.25">
      <c r="A69" s="1">
        <v>45636</v>
      </c>
      <c r="B69" t="s">
        <v>221</v>
      </c>
      <c r="C69" s="2">
        <v>101078732500</v>
      </c>
      <c r="E69" t="s">
        <v>222</v>
      </c>
      <c r="F69" t="s">
        <v>66</v>
      </c>
      <c r="G69" t="s">
        <v>27</v>
      </c>
      <c r="H69" t="s">
        <v>28</v>
      </c>
      <c r="I69" t="s">
        <v>67</v>
      </c>
      <c r="J69" t="s">
        <v>68</v>
      </c>
      <c r="L69" s="1">
        <v>45658</v>
      </c>
      <c r="M69" s="1">
        <v>45658</v>
      </c>
      <c r="O69">
        <v>17886092</v>
      </c>
      <c r="P69" t="s">
        <v>31</v>
      </c>
      <c r="Q69" t="s">
        <v>69</v>
      </c>
      <c r="R69">
        <v>8192</v>
      </c>
      <c r="S69" t="s">
        <v>33</v>
      </c>
      <c r="T69" t="s">
        <v>34</v>
      </c>
      <c r="U69">
        <v>40</v>
      </c>
      <c r="V69" t="s">
        <v>35</v>
      </c>
      <c r="W69" s="1">
        <v>45621</v>
      </c>
      <c r="X69">
        <v>2024</v>
      </c>
    </row>
    <row r="70" spans="1:24" x14ac:dyDescent="0.25">
      <c r="A70" s="1">
        <v>45636</v>
      </c>
      <c r="B70" t="s">
        <v>223</v>
      </c>
      <c r="C70" s="2">
        <v>102103731400</v>
      </c>
      <c r="E70" t="s">
        <v>224</v>
      </c>
      <c r="F70" t="s">
        <v>43</v>
      </c>
      <c r="G70" t="s">
        <v>27</v>
      </c>
      <c r="H70" t="s">
        <v>28</v>
      </c>
      <c r="I70" t="s">
        <v>29</v>
      </c>
      <c r="J70" t="s">
        <v>55</v>
      </c>
      <c r="L70" s="1">
        <v>45658</v>
      </c>
      <c r="M70" s="1">
        <v>45658</v>
      </c>
      <c r="O70">
        <v>7146581</v>
      </c>
      <c r="P70" t="s">
        <v>31</v>
      </c>
      <c r="Q70" t="s">
        <v>75</v>
      </c>
      <c r="R70">
        <v>8192</v>
      </c>
      <c r="S70" t="s">
        <v>33</v>
      </c>
      <c r="T70" t="s">
        <v>34</v>
      </c>
      <c r="U70">
        <v>125</v>
      </c>
      <c r="V70" t="s">
        <v>35</v>
      </c>
      <c r="W70" s="1">
        <v>45620</v>
      </c>
      <c r="X70">
        <v>2024</v>
      </c>
    </row>
    <row r="71" spans="1:24" x14ac:dyDescent="0.25">
      <c r="A71" s="1">
        <v>45636</v>
      </c>
      <c r="B71" t="s">
        <v>225</v>
      </c>
      <c r="C71" s="2">
        <v>101157409400</v>
      </c>
      <c r="E71" t="s">
        <v>226</v>
      </c>
      <c r="F71" t="s">
        <v>66</v>
      </c>
      <c r="G71" t="s">
        <v>27</v>
      </c>
      <c r="H71" t="s">
        <v>28</v>
      </c>
      <c r="I71" t="s">
        <v>67</v>
      </c>
      <c r="J71" t="s">
        <v>227</v>
      </c>
      <c r="L71" s="1">
        <v>45658</v>
      </c>
      <c r="M71" s="1">
        <v>45658</v>
      </c>
      <c r="O71">
        <v>9544903</v>
      </c>
      <c r="P71" t="s">
        <v>31</v>
      </c>
      <c r="Q71" t="s">
        <v>228</v>
      </c>
      <c r="R71">
        <v>8192</v>
      </c>
      <c r="S71" t="s">
        <v>33</v>
      </c>
      <c r="T71" t="s">
        <v>34</v>
      </c>
      <c r="U71">
        <v>125</v>
      </c>
      <c r="V71" t="s">
        <v>35</v>
      </c>
      <c r="W71" s="1">
        <v>45620</v>
      </c>
      <c r="X71">
        <v>2024</v>
      </c>
    </row>
    <row r="72" spans="1:24" x14ac:dyDescent="0.25">
      <c r="A72" s="1">
        <v>45636</v>
      </c>
      <c r="B72" t="s">
        <v>229</v>
      </c>
      <c r="C72" s="2">
        <v>102102607400</v>
      </c>
      <c r="E72" t="s">
        <v>230</v>
      </c>
      <c r="F72" t="s">
        <v>66</v>
      </c>
      <c r="G72" t="s">
        <v>27</v>
      </c>
      <c r="H72" t="s">
        <v>28</v>
      </c>
      <c r="I72" t="s">
        <v>67</v>
      </c>
      <c r="J72" t="s">
        <v>148</v>
      </c>
      <c r="L72" s="1">
        <v>45658</v>
      </c>
      <c r="M72" s="1">
        <v>45658</v>
      </c>
      <c r="O72">
        <v>17886092</v>
      </c>
      <c r="P72" t="s">
        <v>31</v>
      </c>
      <c r="Q72" t="s">
        <v>69</v>
      </c>
      <c r="R72">
        <v>8192</v>
      </c>
      <c r="S72" t="s">
        <v>33</v>
      </c>
      <c r="T72" t="s">
        <v>34</v>
      </c>
      <c r="U72">
        <v>40</v>
      </c>
      <c r="V72" t="s">
        <v>35</v>
      </c>
      <c r="W72" s="1">
        <v>45618</v>
      </c>
      <c r="X72">
        <v>2024</v>
      </c>
    </row>
    <row r="73" spans="1:24" x14ac:dyDescent="0.25">
      <c r="A73" s="1">
        <v>45636</v>
      </c>
      <c r="B73" t="s">
        <v>231</v>
      </c>
      <c r="C73" s="2">
        <v>102090202200</v>
      </c>
      <c r="E73" t="s">
        <v>232</v>
      </c>
      <c r="F73" t="s">
        <v>43</v>
      </c>
      <c r="G73" t="s">
        <v>27</v>
      </c>
      <c r="H73" t="s">
        <v>28</v>
      </c>
      <c r="I73" t="s">
        <v>29</v>
      </c>
      <c r="J73" t="s">
        <v>48</v>
      </c>
      <c r="L73" s="1">
        <v>45658</v>
      </c>
      <c r="M73" s="1">
        <v>45658</v>
      </c>
      <c r="O73">
        <v>9213293</v>
      </c>
      <c r="P73" t="s">
        <v>31</v>
      </c>
      <c r="Q73" t="s">
        <v>72</v>
      </c>
      <c r="R73">
        <v>8192</v>
      </c>
      <c r="S73" t="s">
        <v>33</v>
      </c>
      <c r="T73" t="s">
        <v>34</v>
      </c>
      <c r="U73">
        <v>125</v>
      </c>
      <c r="V73" t="s">
        <v>35</v>
      </c>
      <c r="W73" s="1">
        <v>45605</v>
      </c>
      <c r="X73">
        <v>2024</v>
      </c>
    </row>
    <row r="74" spans="1:24" x14ac:dyDescent="0.25">
      <c r="A74" s="1">
        <v>45636</v>
      </c>
      <c r="B74" t="s">
        <v>233</v>
      </c>
      <c r="C74" s="2">
        <v>102090233000</v>
      </c>
      <c r="E74" t="s">
        <v>234</v>
      </c>
      <c r="F74" t="s">
        <v>43</v>
      </c>
      <c r="G74" t="s">
        <v>27</v>
      </c>
      <c r="H74" t="s">
        <v>28</v>
      </c>
      <c r="I74" t="s">
        <v>29</v>
      </c>
      <c r="J74" t="s">
        <v>55</v>
      </c>
      <c r="L74" s="1">
        <v>45658</v>
      </c>
      <c r="M74" s="1">
        <v>45658</v>
      </c>
      <c r="O74">
        <v>9213293</v>
      </c>
      <c r="P74" t="s">
        <v>31</v>
      </c>
      <c r="Q74" t="s">
        <v>72</v>
      </c>
      <c r="R74">
        <v>8192</v>
      </c>
      <c r="S74" t="s">
        <v>33</v>
      </c>
      <c r="T74" t="s">
        <v>34</v>
      </c>
      <c r="U74">
        <v>125</v>
      </c>
      <c r="V74" t="s">
        <v>35</v>
      </c>
      <c r="W74" s="1">
        <v>45605</v>
      </c>
      <c r="X74">
        <v>2024</v>
      </c>
    </row>
    <row r="75" spans="1:24" x14ac:dyDescent="0.25">
      <c r="A75" s="1">
        <v>45636</v>
      </c>
      <c r="B75" t="s">
        <v>235</v>
      </c>
      <c r="C75" s="2">
        <v>101849714900</v>
      </c>
      <c r="E75" t="s">
        <v>236</v>
      </c>
      <c r="F75" t="s">
        <v>43</v>
      </c>
      <c r="G75" t="s">
        <v>169</v>
      </c>
      <c r="H75" t="s">
        <v>28</v>
      </c>
      <c r="I75" t="s">
        <v>29</v>
      </c>
      <c r="J75" t="s">
        <v>237</v>
      </c>
      <c r="L75" s="1">
        <v>45658</v>
      </c>
      <c r="M75" s="1">
        <v>45658</v>
      </c>
      <c r="N75" s="1">
        <v>45658</v>
      </c>
      <c r="O75">
        <v>16633294</v>
      </c>
      <c r="P75" t="s">
        <v>31</v>
      </c>
      <c r="Q75" t="s">
        <v>125</v>
      </c>
      <c r="R75">
        <v>8192</v>
      </c>
      <c r="S75" t="s">
        <v>33</v>
      </c>
      <c r="T75" t="s">
        <v>34</v>
      </c>
      <c r="U75">
        <v>-125</v>
      </c>
      <c r="V75" t="s">
        <v>35</v>
      </c>
      <c r="W75" s="1">
        <v>45608</v>
      </c>
      <c r="X75">
        <v>2024</v>
      </c>
    </row>
    <row r="76" spans="1:24" x14ac:dyDescent="0.25">
      <c r="A76" s="1">
        <v>45636</v>
      </c>
      <c r="B76" t="s">
        <v>238</v>
      </c>
      <c r="C76" s="2">
        <v>102105930700</v>
      </c>
      <c r="E76" t="s">
        <v>239</v>
      </c>
      <c r="F76" t="s">
        <v>43</v>
      </c>
      <c r="G76" t="s">
        <v>27</v>
      </c>
      <c r="H76" t="s">
        <v>28</v>
      </c>
      <c r="I76" t="s">
        <v>29</v>
      </c>
      <c r="J76" t="s">
        <v>48</v>
      </c>
      <c r="L76" s="1">
        <v>45627</v>
      </c>
      <c r="M76" s="1">
        <v>45627</v>
      </c>
      <c r="O76">
        <v>2158366</v>
      </c>
      <c r="P76" t="s">
        <v>31</v>
      </c>
      <c r="Q76" t="s">
        <v>188</v>
      </c>
      <c r="R76">
        <v>8192</v>
      </c>
      <c r="S76" t="s">
        <v>33</v>
      </c>
      <c r="T76" t="s">
        <v>34</v>
      </c>
      <c r="U76">
        <v>35.92</v>
      </c>
      <c r="V76" t="s">
        <v>35</v>
      </c>
      <c r="W76" s="1">
        <v>45622</v>
      </c>
      <c r="X76">
        <v>2024</v>
      </c>
    </row>
    <row r="77" spans="1:24" x14ac:dyDescent="0.25">
      <c r="A77" s="1">
        <v>45636</v>
      </c>
      <c r="B77" t="s">
        <v>240</v>
      </c>
      <c r="C77" s="2">
        <v>102100947400</v>
      </c>
      <c r="E77" t="s">
        <v>241</v>
      </c>
      <c r="F77" t="s">
        <v>140</v>
      </c>
      <c r="G77" t="s">
        <v>27</v>
      </c>
      <c r="H77" t="s">
        <v>175</v>
      </c>
      <c r="I77" t="s">
        <v>141</v>
      </c>
      <c r="J77" t="s">
        <v>242</v>
      </c>
      <c r="L77" s="1">
        <v>45658</v>
      </c>
      <c r="M77" s="1">
        <v>45658</v>
      </c>
      <c r="O77">
        <v>9213293</v>
      </c>
      <c r="P77" t="s">
        <v>31</v>
      </c>
      <c r="Q77" t="s">
        <v>72</v>
      </c>
      <c r="R77">
        <v>8192</v>
      </c>
      <c r="S77" t="s">
        <v>33</v>
      </c>
      <c r="T77" t="s">
        <v>34</v>
      </c>
      <c r="U77">
        <v>125</v>
      </c>
      <c r="V77" t="s">
        <v>35</v>
      </c>
      <c r="W77" s="1">
        <v>45617</v>
      </c>
      <c r="X77">
        <v>2024</v>
      </c>
    </row>
    <row r="78" spans="1:24" x14ac:dyDescent="0.25">
      <c r="A78" s="1">
        <v>45636</v>
      </c>
      <c r="B78" t="s">
        <v>243</v>
      </c>
      <c r="C78" s="2">
        <v>102101186600</v>
      </c>
      <c r="E78" t="s">
        <v>244</v>
      </c>
      <c r="F78" t="s">
        <v>140</v>
      </c>
      <c r="G78" t="s">
        <v>27</v>
      </c>
      <c r="H78" t="s">
        <v>28</v>
      </c>
      <c r="I78" t="s">
        <v>141</v>
      </c>
      <c r="J78" t="s">
        <v>245</v>
      </c>
      <c r="L78" s="1">
        <v>45658</v>
      </c>
      <c r="M78" s="1">
        <v>45658</v>
      </c>
      <c r="O78">
        <v>9213293</v>
      </c>
      <c r="P78" t="s">
        <v>31</v>
      </c>
      <c r="Q78" t="s">
        <v>72</v>
      </c>
      <c r="R78">
        <v>8192</v>
      </c>
      <c r="S78" t="s">
        <v>33</v>
      </c>
      <c r="T78" t="s">
        <v>34</v>
      </c>
      <c r="U78">
        <v>125</v>
      </c>
      <c r="V78" t="s">
        <v>35</v>
      </c>
      <c r="W78" s="1">
        <v>45617</v>
      </c>
      <c r="X78">
        <v>2024</v>
      </c>
    </row>
    <row r="79" spans="1:24" x14ac:dyDescent="0.25">
      <c r="A79" s="1">
        <v>45636</v>
      </c>
      <c r="B79" t="s">
        <v>246</v>
      </c>
      <c r="C79" s="2">
        <v>102103059200</v>
      </c>
      <c r="E79" t="s">
        <v>247</v>
      </c>
      <c r="F79" t="s">
        <v>43</v>
      </c>
      <c r="G79" t="s">
        <v>27</v>
      </c>
      <c r="H79" t="s">
        <v>28</v>
      </c>
      <c r="I79" t="s">
        <v>29</v>
      </c>
      <c r="J79" t="s">
        <v>84</v>
      </c>
      <c r="L79" s="1">
        <v>45658</v>
      </c>
      <c r="M79" s="1">
        <v>45658</v>
      </c>
      <c r="O79">
        <v>19586992</v>
      </c>
      <c r="P79" t="s">
        <v>31</v>
      </c>
      <c r="Q79" t="s">
        <v>32</v>
      </c>
      <c r="R79">
        <v>8192</v>
      </c>
      <c r="S79" t="s">
        <v>33</v>
      </c>
      <c r="T79" t="s">
        <v>34</v>
      </c>
      <c r="U79">
        <v>125</v>
      </c>
      <c r="V79" t="s">
        <v>35</v>
      </c>
      <c r="W79" s="1">
        <v>45619</v>
      </c>
      <c r="X79">
        <v>2024</v>
      </c>
    </row>
    <row r="80" spans="1:24" x14ac:dyDescent="0.25">
      <c r="A80" s="1">
        <v>45636</v>
      </c>
      <c r="B80" t="s">
        <v>248</v>
      </c>
      <c r="C80" s="2">
        <v>102099900100</v>
      </c>
      <c r="E80" t="s">
        <v>249</v>
      </c>
      <c r="F80" t="s">
        <v>66</v>
      </c>
      <c r="G80" t="s">
        <v>27</v>
      </c>
      <c r="H80" t="s">
        <v>175</v>
      </c>
      <c r="I80" t="s">
        <v>67</v>
      </c>
      <c r="J80" t="s">
        <v>176</v>
      </c>
      <c r="L80" s="1">
        <v>45658</v>
      </c>
      <c r="M80" s="1">
        <v>45658</v>
      </c>
      <c r="O80">
        <v>17886092</v>
      </c>
      <c r="P80" t="s">
        <v>31</v>
      </c>
      <c r="Q80" t="s">
        <v>69</v>
      </c>
      <c r="R80">
        <v>8192</v>
      </c>
      <c r="S80" t="s">
        <v>33</v>
      </c>
      <c r="T80" t="s">
        <v>34</v>
      </c>
      <c r="U80">
        <v>40</v>
      </c>
      <c r="V80" t="s">
        <v>35</v>
      </c>
      <c r="W80" s="1">
        <v>45616</v>
      </c>
      <c r="X80">
        <v>2024</v>
      </c>
    </row>
    <row r="81" spans="1:24" x14ac:dyDescent="0.25">
      <c r="A81" s="1">
        <v>45636</v>
      </c>
      <c r="B81" t="s">
        <v>250</v>
      </c>
      <c r="C81" s="2">
        <v>102100140800</v>
      </c>
      <c r="E81" t="s">
        <v>251</v>
      </c>
      <c r="F81" t="s">
        <v>66</v>
      </c>
      <c r="G81" t="s">
        <v>27</v>
      </c>
      <c r="H81" t="s">
        <v>28</v>
      </c>
      <c r="I81" t="s">
        <v>67</v>
      </c>
      <c r="J81" t="s">
        <v>68</v>
      </c>
      <c r="L81" s="1">
        <v>45658</v>
      </c>
      <c r="M81" s="1">
        <v>45658</v>
      </c>
      <c r="O81">
        <v>17886092</v>
      </c>
      <c r="P81" t="s">
        <v>31</v>
      </c>
      <c r="Q81" t="s">
        <v>69</v>
      </c>
      <c r="R81">
        <v>8192</v>
      </c>
      <c r="S81" t="s">
        <v>33</v>
      </c>
      <c r="T81" t="s">
        <v>34</v>
      </c>
      <c r="U81">
        <v>40</v>
      </c>
      <c r="V81" t="s">
        <v>35</v>
      </c>
      <c r="W81" s="1">
        <v>45616</v>
      </c>
      <c r="X81">
        <v>2024</v>
      </c>
    </row>
    <row r="82" spans="1:24" x14ac:dyDescent="0.25">
      <c r="A82" s="1">
        <v>45636</v>
      </c>
      <c r="B82" t="s">
        <v>252</v>
      </c>
      <c r="C82" s="2">
        <v>102089541100</v>
      </c>
      <c r="E82" t="s">
        <v>253</v>
      </c>
      <c r="F82" t="s">
        <v>254</v>
      </c>
      <c r="G82" t="s">
        <v>27</v>
      </c>
      <c r="H82" t="s">
        <v>28</v>
      </c>
      <c r="I82" t="s">
        <v>255</v>
      </c>
      <c r="J82" t="s">
        <v>256</v>
      </c>
      <c r="L82" s="1">
        <v>45658</v>
      </c>
      <c r="M82" s="1">
        <v>45658</v>
      </c>
      <c r="O82">
        <v>9213293</v>
      </c>
      <c r="P82" t="s">
        <v>31</v>
      </c>
      <c r="Q82" t="s">
        <v>72</v>
      </c>
      <c r="R82">
        <v>8192</v>
      </c>
      <c r="S82" t="s">
        <v>33</v>
      </c>
      <c r="T82" t="s">
        <v>34</v>
      </c>
      <c r="U82">
        <v>125</v>
      </c>
      <c r="V82" t="s">
        <v>35</v>
      </c>
      <c r="W82" s="1">
        <v>45604</v>
      </c>
      <c r="X82">
        <v>2024</v>
      </c>
    </row>
    <row r="83" spans="1:24" x14ac:dyDescent="0.25">
      <c r="A83" s="1">
        <v>45636</v>
      </c>
      <c r="B83" t="s">
        <v>257</v>
      </c>
      <c r="C83" s="2">
        <v>102080377300</v>
      </c>
      <c r="E83" t="s">
        <v>258</v>
      </c>
      <c r="F83" t="s">
        <v>66</v>
      </c>
      <c r="G83" t="s">
        <v>169</v>
      </c>
      <c r="H83" t="s">
        <v>28</v>
      </c>
      <c r="I83" t="s">
        <v>67</v>
      </c>
      <c r="J83" t="s">
        <v>68</v>
      </c>
      <c r="L83" s="1">
        <v>45658</v>
      </c>
      <c r="M83" s="1">
        <v>45658</v>
      </c>
      <c r="N83" s="1">
        <v>45658</v>
      </c>
      <c r="O83">
        <v>17886092</v>
      </c>
      <c r="P83" t="s">
        <v>31</v>
      </c>
      <c r="Q83" t="s">
        <v>69</v>
      </c>
      <c r="R83">
        <v>8192</v>
      </c>
      <c r="S83" t="s">
        <v>33</v>
      </c>
      <c r="T83" t="s">
        <v>34</v>
      </c>
      <c r="U83">
        <v>-40</v>
      </c>
      <c r="V83" t="s">
        <v>35</v>
      </c>
      <c r="W83" s="1">
        <v>45594</v>
      </c>
      <c r="X83">
        <v>2024</v>
      </c>
    </row>
    <row r="84" spans="1:24" x14ac:dyDescent="0.25">
      <c r="A84" s="1">
        <v>45636</v>
      </c>
      <c r="B84" t="s">
        <v>259</v>
      </c>
      <c r="C84" s="2" t="s">
        <v>260</v>
      </c>
      <c r="E84" t="s">
        <v>261</v>
      </c>
      <c r="F84" t="s">
        <v>66</v>
      </c>
      <c r="G84" t="s">
        <v>27</v>
      </c>
      <c r="H84" t="s">
        <v>262</v>
      </c>
      <c r="J84" t="s">
        <v>263</v>
      </c>
      <c r="L84" s="1">
        <v>45627</v>
      </c>
      <c r="M84" s="1">
        <v>45627</v>
      </c>
      <c r="O84">
        <v>16509456</v>
      </c>
      <c r="P84" t="s">
        <v>31</v>
      </c>
      <c r="Q84" t="s">
        <v>264</v>
      </c>
      <c r="R84">
        <v>8192</v>
      </c>
      <c r="S84" t="s">
        <v>33</v>
      </c>
      <c r="T84" t="s">
        <v>34</v>
      </c>
      <c r="U84">
        <v>4.33</v>
      </c>
      <c r="V84" t="s">
        <v>35</v>
      </c>
      <c r="W84" s="1">
        <v>45610</v>
      </c>
      <c r="X84">
        <v>2024</v>
      </c>
    </row>
    <row r="85" spans="1:24" x14ac:dyDescent="0.25">
      <c r="A85" s="1">
        <v>45636</v>
      </c>
      <c r="B85" t="s">
        <v>265</v>
      </c>
      <c r="C85" s="2">
        <v>102089765200</v>
      </c>
      <c r="E85" t="s">
        <v>266</v>
      </c>
      <c r="F85" t="s">
        <v>43</v>
      </c>
      <c r="G85" t="s">
        <v>27</v>
      </c>
      <c r="H85" t="s">
        <v>28</v>
      </c>
      <c r="I85" t="s">
        <v>29</v>
      </c>
      <c r="J85" t="s">
        <v>55</v>
      </c>
      <c r="L85" s="1">
        <v>45658</v>
      </c>
      <c r="M85" s="1">
        <v>45658</v>
      </c>
      <c r="O85">
        <v>19200754</v>
      </c>
      <c r="P85" t="s">
        <v>31</v>
      </c>
      <c r="Q85" t="s">
        <v>99</v>
      </c>
      <c r="R85">
        <v>8192</v>
      </c>
      <c r="S85" t="s">
        <v>33</v>
      </c>
      <c r="T85" t="s">
        <v>34</v>
      </c>
      <c r="U85">
        <v>125</v>
      </c>
      <c r="V85" t="s">
        <v>35</v>
      </c>
      <c r="W85" s="1">
        <v>45604</v>
      </c>
      <c r="X85">
        <v>2024</v>
      </c>
    </row>
    <row r="86" spans="1:24" x14ac:dyDescent="0.25">
      <c r="A86" s="1">
        <v>45636</v>
      </c>
      <c r="B86" t="s">
        <v>267</v>
      </c>
      <c r="C86" s="2">
        <v>102072481900</v>
      </c>
      <c r="E86" t="s">
        <v>268</v>
      </c>
      <c r="F86" t="s">
        <v>43</v>
      </c>
      <c r="G86" t="s">
        <v>169</v>
      </c>
      <c r="H86" t="s">
        <v>28</v>
      </c>
      <c r="I86" t="s">
        <v>29</v>
      </c>
      <c r="J86" t="s">
        <v>55</v>
      </c>
      <c r="L86" s="1">
        <v>45658</v>
      </c>
      <c r="M86" s="1">
        <v>45658</v>
      </c>
      <c r="N86" s="1">
        <v>45658</v>
      </c>
      <c r="O86">
        <v>8814784</v>
      </c>
      <c r="P86" t="s">
        <v>31</v>
      </c>
      <c r="Q86" t="s">
        <v>269</v>
      </c>
      <c r="R86">
        <v>8192</v>
      </c>
      <c r="S86" t="s">
        <v>33</v>
      </c>
      <c r="T86" t="s">
        <v>34</v>
      </c>
      <c r="U86">
        <v>-125</v>
      </c>
      <c r="V86" t="s">
        <v>35</v>
      </c>
      <c r="W86" s="1">
        <v>45583</v>
      </c>
      <c r="X86">
        <v>2024</v>
      </c>
    </row>
    <row r="87" spans="1:24" x14ac:dyDescent="0.25">
      <c r="A87" s="1">
        <v>45636</v>
      </c>
      <c r="B87" t="s">
        <v>270</v>
      </c>
      <c r="C87" s="2">
        <v>101242971900</v>
      </c>
      <c r="E87" t="s">
        <v>271</v>
      </c>
      <c r="F87" t="s">
        <v>43</v>
      </c>
      <c r="G87" t="s">
        <v>27</v>
      </c>
      <c r="H87" t="s">
        <v>28</v>
      </c>
      <c r="I87" t="s">
        <v>29</v>
      </c>
      <c r="J87" t="s">
        <v>48</v>
      </c>
      <c r="L87" s="1">
        <v>45658</v>
      </c>
      <c r="M87" s="1">
        <v>45658</v>
      </c>
      <c r="O87">
        <v>7146581</v>
      </c>
      <c r="P87" t="s">
        <v>31</v>
      </c>
      <c r="Q87" t="s">
        <v>75</v>
      </c>
      <c r="R87">
        <v>8192</v>
      </c>
      <c r="S87" t="s">
        <v>33</v>
      </c>
      <c r="T87" t="s">
        <v>34</v>
      </c>
      <c r="U87">
        <v>125</v>
      </c>
      <c r="V87" t="s">
        <v>35</v>
      </c>
      <c r="W87" s="1">
        <v>45620</v>
      </c>
      <c r="X87">
        <v>2024</v>
      </c>
    </row>
    <row r="88" spans="1:24" x14ac:dyDescent="0.25">
      <c r="A88" s="1">
        <v>45636</v>
      </c>
      <c r="B88" t="s">
        <v>272</v>
      </c>
      <c r="C88" s="2">
        <v>102105540600</v>
      </c>
      <c r="E88" t="s">
        <v>273</v>
      </c>
      <c r="F88" t="s">
        <v>43</v>
      </c>
      <c r="G88" t="s">
        <v>27</v>
      </c>
      <c r="H88" t="s">
        <v>28</v>
      </c>
      <c r="I88" t="s">
        <v>29</v>
      </c>
      <c r="J88" t="s">
        <v>48</v>
      </c>
      <c r="L88" s="1">
        <v>45627</v>
      </c>
      <c r="M88" s="1">
        <v>45627</v>
      </c>
      <c r="O88">
        <v>7146581</v>
      </c>
      <c r="P88" t="s">
        <v>31</v>
      </c>
      <c r="Q88" t="s">
        <v>75</v>
      </c>
      <c r="R88">
        <v>8192</v>
      </c>
      <c r="S88" t="s">
        <v>33</v>
      </c>
      <c r="T88" t="s">
        <v>34</v>
      </c>
      <c r="U88">
        <v>35.92</v>
      </c>
      <c r="V88" t="s">
        <v>35</v>
      </c>
      <c r="W88" s="1">
        <v>45622</v>
      </c>
      <c r="X88">
        <v>2024</v>
      </c>
    </row>
    <row r="89" spans="1:24" x14ac:dyDescent="0.25">
      <c r="A89" s="1">
        <v>45636</v>
      </c>
      <c r="B89" t="s">
        <v>274</v>
      </c>
      <c r="C89" s="2">
        <v>102097747200</v>
      </c>
      <c r="E89" t="s">
        <v>275</v>
      </c>
      <c r="F89" t="s">
        <v>43</v>
      </c>
      <c r="G89" t="s">
        <v>27</v>
      </c>
      <c r="H89" t="s">
        <v>28</v>
      </c>
      <c r="I89" t="s">
        <v>29</v>
      </c>
      <c r="J89" t="s">
        <v>44</v>
      </c>
      <c r="L89" s="1">
        <v>45658</v>
      </c>
      <c r="M89" s="1">
        <v>45658</v>
      </c>
      <c r="O89">
        <v>7146581</v>
      </c>
      <c r="P89" t="s">
        <v>31</v>
      </c>
      <c r="Q89" t="s">
        <v>75</v>
      </c>
      <c r="R89">
        <v>8192</v>
      </c>
      <c r="S89" t="s">
        <v>33</v>
      </c>
      <c r="T89" t="s">
        <v>34</v>
      </c>
      <c r="U89">
        <v>125</v>
      </c>
      <c r="V89" t="s">
        <v>35</v>
      </c>
      <c r="W89" s="1">
        <v>45614</v>
      </c>
      <c r="X89">
        <v>2024</v>
      </c>
    </row>
    <row r="90" spans="1:24" x14ac:dyDescent="0.25">
      <c r="A90" s="1">
        <v>45636</v>
      </c>
      <c r="B90" t="s">
        <v>276</v>
      </c>
      <c r="C90" s="2">
        <v>102098712000</v>
      </c>
      <c r="E90" t="s">
        <v>277</v>
      </c>
      <c r="F90" t="s">
        <v>43</v>
      </c>
      <c r="G90" t="s">
        <v>27</v>
      </c>
      <c r="H90" t="s">
        <v>28</v>
      </c>
      <c r="I90" t="s">
        <v>29</v>
      </c>
      <c r="J90" t="s">
        <v>48</v>
      </c>
      <c r="L90" s="1">
        <v>45658</v>
      </c>
      <c r="M90" s="1">
        <v>45658</v>
      </c>
      <c r="O90">
        <v>9213293</v>
      </c>
      <c r="P90" t="s">
        <v>31</v>
      </c>
      <c r="Q90" t="s">
        <v>72</v>
      </c>
      <c r="R90">
        <v>8192</v>
      </c>
      <c r="S90" t="s">
        <v>33</v>
      </c>
      <c r="T90" t="s">
        <v>34</v>
      </c>
      <c r="U90">
        <v>125</v>
      </c>
      <c r="V90" t="s">
        <v>35</v>
      </c>
      <c r="W90" s="1">
        <v>45615</v>
      </c>
      <c r="X90">
        <v>2024</v>
      </c>
    </row>
    <row r="91" spans="1:24" x14ac:dyDescent="0.25">
      <c r="A91" s="1">
        <v>45636</v>
      </c>
      <c r="B91" t="s">
        <v>278</v>
      </c>
      <c r="C91" s="2">
        <v>102098890500</v>
      </c>
      <c r="E91" t="s">
        <v>279</v>
      </c>
      <c r="F91" t="s">
        <v>66</v>
      </c>
      <c r="G91" t="s">
        <v>27</v>
      </c>
      <c r="H91" t="s">
        <v>28</v>
      </c>
      <c r="I91" t="s">
        <v>67</v>
      </c>
      <c r="J91" t="s">
        <v>280</v>
      </c>
      <c r="L91" s="1">
        <v>45627</v>
      </c>
      <c r="M91" s="1">
        <v>45627</v>
      </c>
      <c r="O91">
        <v>17886092</v>
      </c>
      <c r="P91" t="s">
        <v>31</v>
      </c>
      <c r="Q91" t="s">
        <v>69</v>
      </c>
      <c r="R91">
        <v>8192</v>
      </c>
      <c r="S91" t="s">
        <v>33</v>
      </c>
      <c r="T91" t="s">
        <v>34</v>
      </c>
      <c r="U91">
        <v>3.34</v>
      </c>
      <c r="V91" t="s">
        <v>35</v>
      </c>
      <c r="W91" s="1">
        <v>45615</v>
      </c>
      <c r="X91">
        <v>2024</v>
      </c>
    </row>
    <row r="92" spans="1:24" x14ac:dyDescent="0.25">
      <c r="A92" s="1">
        <v>45636</v>
      </c>
      <c r="B92" t="s">
        <v>281</v>
      </c>
      <c r="C92" s="2">
        <v>102090618000</v>
      </c>
      <c r="E92" t="s">
        <v>282</v>
      </c>
      <c r="F92" t="s">
        <v>43</v>
      </c>
      <c r="G92" t="s">
        <v>27</v>
      </c>
      <c r="H92" t="s">
        <v>28</v>
      </c>
      <c r="I92" t="s">
        <v>29</v>
      </c>
      <c r="J92" t="s">
        <v>55</v>
      </c>
      <c r="L92" s="1">
        <v>45658</v>
      </c>
      <c r="M92" s="1">
        <v>45658</v>
      </c>
      <c r="O92">
        <v>9213293</v>
      </c>
      <c r="P92" t="s">
        <v>31</v>
      </c>
      <c r="Q92" t="s">
        <v>72</v>
      </c>
      <c r="R92">
        <v>8192</v>
      </c>
      <c r="S92" t="s">
        <v>33</v>
      </c>
      <c r="T92" t="s">
        <v>34</v>
      </c>
      <c r="U92">
        <v>125</v>
      </c>
      <c r="V92" t="s">
        <v>35</v>
      </c>
      <c r="W92" s="1">
        <v>45606</v>
      </c>
      <c r="X92">
        <v>2024</v>
      </c>
    </row>
    <row r="93" spans="1:24" x14ac:dyDescent="0.25">
      <c r="A93" s="1">
        <v>45636</v>
      </c>
      <c r="B93" t="s">
        <v>283</v>
      </c>
      <c r="C93" s="2">
        <v>102102394400</v>
      </c>
      <c r="E93" t="s">
        <v>284</v>
      </c>
      <c r="F93" t="s">
        <v>43</v>
      </c>
      <c r="G93" t="s">
        <v>27</v>
      </c>
      <c r="H93" t="s">
        <v>28</v>
      </c>
      <c r="I93" t="s">
        <v>29</v>
      </c>
      <c r="J93" t="s">
        <v>55</v>
      </c>
      <c r="L93" s="1">
        <v>45658</v>
      </c>
      <c r="M93" s="1">
        <v>45658</v>
      </c>
      <c r="O93">
        <v>18581063</v>
      </c>
      <c r="P93" t="s">
        <v>31</v>
      </c>
      <c r="Q93" t="s">
        <v>40</v>
      </c>
      <c r="R93">
        <v>8192</v>
      </c>
      <c r="S93" t="s">
        <v>33</v>
      </c>
      <c r="T93" t="s">
        <v>34</v>
      </c>
      <c r="U93">
        <v>125</v>
      </c>
      <c r="V93" t="s">
        <v>35</v>
      </c>
      <c r="W93" s="1">
        <v>45618</v>
      </c>
      <c r="X93">
        <v>2024</v>
      </c>
    </row>
    <row r="94" spans="1:24" x14ac:dyDescent="0.25">
      <c r="A94" s="1">
        <v>45636</v>
      </c>
      <c r="B94" t="s">
        <v>285</v>
      </c>
      <c r="C94" s="2">
        <v>101516509000</v>
      </c>
      <c r="E94" t="s">
        <v>286</v>
      </c>
      <c r="F94" t="s">
        <v>43</v>
      </c>
      <c r="G94" t="s">
        <v>27</v>
      </c>
      <c r="H94" t="s">
        <v>28</v>
      </c>
      <c r="I94" t="s">
        <v>29</v>
      </c>
      <c r="J94" t="s">
        <v>48</v>
      </c>
      <c r="L94" s="1">
        <v>45658</v>
      </c>
      <c r="M94" s="1">
        <v>45658</v>
      </c>
      <c r="O94">
        <v>9213293</v>
      </c>
      <c r="P94" t="s">
        <v>31</v>
      </c>
      <c r="Q94" t="s">
        <v>72</v>
      </c>
      <c r="R94">
        <v>8192</v>
      </c>
      <c r="S94" t="s">
        <v>33</v>
      </c>
      <c r="T94" t="s">
        <v>34</v>
      </c>
      <c r="U94">
        <v>125</v>
      </c>
      <c r="V94" t="s">
        <v>35</v>
      </c>
      <c r="W94" s="1">
        <v>45616</v>
      </c>
      <c r="X94">
        <v>2024</v>
      </c>
    </row>
    <row r="95" spans="1:24" x14ac:dyDescent="0.25">
      <c r="A95" s="1">
        <v>45636</v>
      </c>
      <c r="B95" t="s">
        <v>287</v>
      </c>
      <c r="C95" s="2">
        <v>102098694600</v>
      </c>
      <c r="E95" t="s">
        <v>288</v>
      </c>
      <c r="F95" t="s">
        <v>43</v>
      </c>
      <c r="G95" t="s">
        <v>27</v>
      </c>
      <c r="H95" t="s">
        <v>28</v>
      </c>
      <c r="I95" t="s">
        <v>29</v>
      </c>
      <c r="J95" t="s">
        <v>48</v>
      </c>
      <c r="L95" s="1">
        <v>45658</v>
      </c>
      <c r="M95" s="1">
        <v>45658</v>
      </c>
      <c r="O95">
        <v>17301495</v>
      </c>
      <c r="P95" t="s">
        <v>31</v>
      </c>
      <c r="Q95" t="s">
        <v>289</v>
      </c>
      <c r="R95">
        <v>8192</v>
      </c>
      <c r="S95" t="s">
        <v>33</v>
      </c>
      <c r="T95" t="s">
        <v>34</v>
      </c>
      <c r="U95">
        <v>125</v>
      </c>
      <c r="V95" t="s">
        <v>35</v>
      </c>
      <c r="W95" s="1">
        <v>45615</v>
      </c>
      <c r="X95">
        <v>2024</v>
      </c>
    </row>
    <row r="96" spans="1:24" x14ac:dyDescent="0.25">
      <c r="A96" s="1">
        <v>45636</v>
      </c>
      <c r="B96" t="s">
        <v>290</v>
      </c>
      <c r="C96" s="2">
        <v>102104604100</v>
      </c>
      <c r="E96" t="s">
        <v>291</v>
      </c>
      <c r="F96" t="s">
        <v>292</v>
      </c>
      <c r="G96" t="s">
        <v>27</v>
      </c>
      <c r="H96" t="s">
        <v>28</v>
      </c>
      <c r="I96" t="s">
        <v>293</v>
      </c>
      <c r="J96" t="s">
        <v>294</v>
      </c>
      <c r="L96" s="1">
        <v>45627</v>
      </c>
      <c r="M96" s="1">
        <v>45627</v>
      </c>
      <c r="O96">
        <v>6634327</v>
      </c>
      <c r="P96" t="s">
        <v>31</v>
      </c>
      <c r="Q96" t="s">
        <v>295</v>
      </c>
      <c r="R96">
        <v>8192</v>
      </c>
      <c r="S96" t="s">
        <v>33</v>
      </c>
      <c r="T96" t="s">
        <v>34</v>
      </c>
      <c r="U96">
        <v>35.92</v>
      </c>
      <c r="V96" t="s">
        <v>35</v>
      </c>
      <c r="W96" s="1">
        <v>45621</v>
      </c>
      <c r="X96">
        <v>2024</v>
      </c>
    </row>
    <row r="97" spans="1:24" x14ac:dyDescent="0.25">
      <c r="A97" s="1">
        <v>45636</v>
      </c>
      <c r="B97" t="s">
        <v>296</v>
      </c>
      <c r="C97" s="2">
        <v>101748338700</v>
      </c>
      <c r="E97" t="s">
        <v>297</v>
      </c>
      <c r="F97" t="s">
        <v>43</v>
      </c>
      <c r="G97" t="s">
        <v>169</v>
      </c>
      <c r="H97" t="s">
        <v>28</v>
      </c>
      <c r="I97" t="s">
        <v>121</v>
      </c>
      <c r="J97" t="s">
        <v>298</v>
      </c>
      <c r="L97" s="1">
        <v>45658</v>
      </c>
      <c r="M97" s="1">
        <v>45658</v>
      </c>
      <c r="N97" s="1">
        <v>45658</v>
      </c>
      <c r="O97">
        <v>9213293</v>
      </c>
      <c r="P97" t="s">
        <v>31</v>
      </c>
      <c r="Q97" t="s">
        <v>72</v>
      </c>
      <c r="R97">
        <v>8192</v>
      </c>
      <c r="S97" t="s">
        <v>33</v>
      </c>
      <c r="T97" t="s">
        <v>34</v>
      </c>
      <c r="U97">
        <v>-125</v>
      </c>
      <c r="V97" t="s">
        <v>35</v>
      </c>
      <c r="W97" s="1">
        <v>45592</v>
      </c>
      <c r="X97">
        <v>2024</v>
      </c>
    </row>
    <row r="98" spans="1:24" x14ac:dyDescent="0.25">
      <c r="A98" s="1">
        <v>45636</v>
      </c>
      <c r="B98" t="s">
        <v>299</v>
      </c>
      <c r="C98" s="2">
        <v>102099947600</v>
      </c>
      <c r="E98" t="s">
        <v>300</v>
      </c>
      <c r="F98" t="s">
        <v>104</v>
      </c>
      <c r="G98" t="s">
        <v>27</v>
      </c>
      <c r="H98" t="s">
        <v>28</v>
      </c>
      <c r="I98" t="s">
        <v>105</v>
      </c>
      <c r="J98" t="s">
        <v>220</v>
      </c>
      <c r="L98" s="1">
        <v>45658</v>
      </c>
      <c r="M98" s="1">
        <v>45658</v>
      </c>
      <c r="O98">
        <v>19106640</v>
      </c>
      <c r="P98" t="s">
        <v>31</v>
      </c>
      <c r="Q98" t="s">
        <v>301</v>
      </c>
      <c r="R98">
        <v>8192</v>
      </c>
      <c r="S98" t="s">
        <v>33</v>
      </c>
      <c r="T98" t="s">
        <v>34</v>
      </c>
      <c r="U98">
        <v>240</v>
      </c>
      <c r="V98" t="s">
        <v>35</v>
      </c>
      <c r="W98" s="1">
        <v>45616</v>
      </c>
      <c r="X98">
        <v>2024</v>
      </c>
    </row>
    <row r="99" spans="1:24" x14ac:dyDescent="0.25">
      <c r="A99" s="1">
        <v>45636</v>
      </c>
      <c r="B99" t="s">
        <v>302</v>
      </c>
      <c r="C99" s="2">
        <v>102090668100</v>
      </c>
      <c r="E99" t="s">
        <v>303</v>
      </c>
      <c r="F99" t="s">
        <v>66</v>
      </c>
      <c r="G99" t="s">
        <v>27</v>
      </c>
      <c r="H99" t="s">
        <v>28</v>
      </c>
      <c r="I99" t="s">
        <v>67</v>
      </c>
      <c r="J99" t="s">
        <v>93</v>
      </c>
      <c r="L99" s="1">
        <v>45658</v>
      </c>
      <c r="M99" s="1">
        <v>45658</v>
      </c>
      <c r="O99">
        <v>17528908</v>
      </c>
      <c r="P99" t="s">
        <v>31</v>
      </c>
      <c r="Q99" t="s">
        <v>94</v>
      </c>
      <c r="R99">
        <v>8192</v>
      </c>
      <c r="S99" t="s">
        <v>33</v>
      </c>
      <c r="T99" t="s">
        <v>34</v>
      </c>
      <c r="U99">
        <v>125</v>
      </c>
      <c r="V99" t="s">
        <v>35</v>
      </c>
      <c r="W99" s="1">
        <v>45606</v>
      </c>
      <c r="X99">
        <v>2024</v>
      </c>
    </row>
    <row r="100" spans="1:24" x14ac:dyDescent="0.25">
      <c r="A100" s="1">
        <v>45636</v>
      </c>
      <c r="B100" t="s">
        <v>304</v>
      </c>
      <c r="C100" s="2">
        <v>102090675900</v>
      </c>
      <c r="E100" t="s">
        <v>305</v>
      </c>
      <c r="F100" t="s">
        <v>38</v>
      </c>
      <c r="G100" t="s">
        <v>27</v>
      </c>
      <c r="H100" t="s">
        <v>28</v>
      </c>
      <c r="I100" t="s">
        <v>29</v>
      </c>
      <c r="J100" t="s">
        <v>306</v>
      </c>
      <c r="L100" s="1">
        <v>45658</v>
      </c>
      <c r="M100" s="1">
        <v>45658</v>
      </c>
      <c r="O100">
        <v>19681796</v>
      </c>
      <c r="P100" t="s">
        <v>31</v>
      </c>
      <c r="Q100" t="s">
        <v>307</v>
      </c>
      <c r="R100">
        <v>8192</v>
      </c>
      <c r="S100" t="s">
        <v>33</v>
      </c>
      <c r="T100" t="s">
        <v>34</v>
      </c>
      <c r="U100">
        <v>125</v>
      </c>
      <c r="V100" t="s">
        <v>35</v>
      </c>
      <c r="W100" s="1">
        <v>45606</v>
      </c>
      <c r="X100">
        <v>2024</v>
      </c>
    </row>
    <row r="101" spans="1:24" x14ac:dyDescent="0.25">
      <c r="A101" s="1">
        <v>45636</v>
      </c>
      <c r="B101" t="s">
        <v>308</v>
      </c>
      <c r="C101" s="2">
        <v>101124811200</v>
      </c>
      <c r="E101" t="s">
        <v>309</v>
      </c>
      <c r="F101" t="s">
        <v>43</v>
      </c>
      <c r="G101" t="s">
        <v>27</v>
      </c>
      <c r="H101" t="s">
        <v>28</v>
      </c>
      <c r="I101" t="s">
        <v>29</v>
      </c>
      <c r="J101" t="s">
        <v>55</v>
      </c>
      <c r="L101" s="1">
        <v>45658</v>
      </c>
      <c r="M101" s="1">
        <v>45658</v>
      </c>
      <c r="O101">
        <v>7146581</v>
      </c>
      <c r="P101" t="s">
        <v>31</v>
      </c>
      <c r="Q101" t="s">
        <v>75</v>
      </c>
      <c r="R101">
        <v>8192</v>
      </c>
      <c r="S101" t="s">
        <v>33</v>
      </c>
      <c r="T101" t="s">
        <v>34</v>
      </c>
      <c r="U101">
        <v>125</v>
      </c>
      <c r="V101" t="s">
        <v>35</v>
      </c>
      <c r="W101" s="1">
        <v>45616</v>
      </c>
      <c r="X101">
        <v>2024</v>
      </c>
    </row>
    <row r="102" spans="1:24" x14ac:dyDescent="0.25">
      <c r="A102" s="1">
        <v>45636</v>
      </c>
      <c r="B102" t="s">
        <v>310</v>
      </c>
      <c r="C102" s="2">
        <v>102100142600</v>
      </c>
      <c r="E102" t="s">
        <v>311</v>
      </c>
      <c r="F102" t="s">
        <v>66</v>
      </c>
      <c r="G102" t="s">
        <v>27</v>
      </c>
      <c r="H102" t="s">
        <v>28</v>
      </c>
      <c r="I102" t="s">
        <v>67</v>
      </c>
      <c r="J102" t="s">
        <v>312</v>
      </c>
      <c r="L102" s="1">
        <v>45658</v>
      </c>
      <c r="M102" s="1">
        <v>45658</v>
      </c>
      <c r="O102">
        <v>18657307</v>
      </c>
      <c r="P102" t="s">
        <v>313</v>
      </c>
      <c r="Q102" t="s">
        <v>314</v>
      </c>
      <c r="R102">
        <v>8192</v>
      </c>
      <c r="S102" t="s">
        <v>33</v>
      </c>
      <c r="T102" t="s">
        <v>34</v>
      </c>
      <c r="U102">
        <v>125</v>
      </c>
      <c r="V102" t="s">
        <v>35</v>
      </c>
      <c r="W102" s="1">
        <v>45616</v>
      </c>
      <c r="X102">
        <v>2024</v>
      </c>
    </row>
    <row r="103" spans="1:24" x14ac:dyDescent="0.25">
      <c r="A103" s="1">
        <v>45636</v>
      </c>
      <c r="B103" t="s">
        <v>315</v>
      </c>
      <c r="C103" s="2">
        <v>102090392300</v>
      </c>
      <c r="E103" t="s">
        <v>316</v>
      </c>
      <c r="F103" t="s">
        <v>43</v>
      </c>
      <c r="G103" t="s">
        <v>27</v>
      </c>
      <c r="H103" t="s">
        <v>28</v>
      </c>
      <c r="I103" t="s">
        <v>29</v>
      </c>
      <c r="J103" t="s">
        <v>55</v>
      </c>
      <c r="L103" s="1">
        <v>45658</v>
      </c>
      <c r="M103" s="1">
        <v>45658</v>
      </c>
      <c r="O103">
        <v>19200754</v>
      </c>
      <c r="P103" t="s">
        <v>31</v>
      </c>
      <c r="Q103" t="s">
        <v>99</v>
      </c>
      <c r="R103">
        <v>8192</v>
      </c>
      <c r="S103" t="s">
        <v>33</v>
      </c>
      <c r="T103" t="s">
        <v>34</v>
      </c>
      <c r="U103">
        <v>125</v>
      </c>
      <c r="V103" t="s">
        <v>35</v>
      </c>
      <c r="W103" s="1">
        <v>45605</v>
      </c>
      <c r="X103">
        <v>2024</v>
      </c>
    </row>
    <row r="104" spans="1:24" x14ac:dyDescent="0.25">
      <c r="A104" s="1">
        <v>45636</v>
      </c>
      <c r="B104" t="s">
        <v>317</v>
      </c>
      <c r="C104" s="2">
        <v>102090393700</v>
      </c>
      <c r="E104" t="s">
        <v>318</v>
      </c>
      <c r="F104" t="s">
        <v>43</v>
      </c>
      <c r="G104" t="s">
        <v>27</v>
      </c>
      <c r="H104" t="s">
        <v>28</v>
      </c>
      <c r="I104" t="s">
        <v>29</v>
      </c>
      <c r="J104" t="s">
        <v>55</v>
      </c>
      <c r="L104" s="1">
        <v>45658</v>
      </c>
      <c r="M104" s="1">
        <v>45658</v>
      </c>
      <c r="O104">
        <v>19200754</v>
      </c>
      <c r="P104" t="s">
        <v>31</v>
      </c>
      <c r="Q104" t="s">
        <v>99</v>
      </c>
      <c r="R104">
        <v>8192</v>
      </c>
      <c r="S104" t="s">
        <v>33</v>
      </c>
      <c r="T104" t="s">
        <v>34</v>
      </c>
      <c r="U104">
        <v>125</v>
      </c>
      <c r="V104" t="s">
        <v>35</v>
      </c>
      <c r="W104" s="1">
        <v>45605</v>
      </c>
      <c r="X104">
        <v>2024</v>
      </c>
    </row>
    <row r="105" spans="1:24" x14ac:dyDescent="0.25">
      <c r="A105" s="1">
        <v>45636</v>
      </c>
      <c r="B105" t="s">
        <v>319</v>
      </c>
      <c r="C105" s="2">
        <v>101238392400</v>
      </c>
      <c r="E105" t="s">
        <v>320</v>
      </c>
      <c r="F105" t="s">
        <v>292</v>
      </c>
      <c r="G105" t="s">
        <v>27</v>
      </c>
      <c r="H105" t="s">
        <v>28</v>
      </c>
      <c r="I105" t="s">
        <v>293</v>
      </c>
      <c r="J105" t="s">
        <v>321</v>
      </c>
      <c r="L105" s="1">
        <v>45658</v>
      </c>
      <c r="M105" s="1">
        <v>45658</v>
      </c>
      <c r="O105">
        <v>6634327</v>
      </c>
      <c r="P105" t="s">
        <v>31</v>
      </c>
      <c r="Q105" t="s">
        <v>295</v>
      </c>
      <c r="R105">
        <v>8192</v>
      </c>
      <c r="S105" t="s">
        <v>33</v>
      </c>
      <c r="T105" t="s">
        <v>34</v>
      </c>
      <c r="U105">
        <v>125</v>
      </c>
      <c r="V105" t="s">
        <v>35</v>
      </c>
      <c r="W105" s="1">
        <v>45615</v>
      </c>
      <c r="X105">
        <v>2024</v>
      </c>
    </row>
    <row r="106" spans="1:24" x14ac:dyDescent="0.25">
      <c r="A106" s="1">
        <v>45636</v>
      </c>
      <c r="B106" t="s">
        <v>322</v>
      </c>
      <c r="C106" s="2">
        <v>102103193700</v>
      </c>
      <c r="E106" t="s">
        <v>323</v>
      </c>
      <c r="F106" t="s">
        <v>43</v>
      </c>
      <c r="G106" t="s">
        <v>27</v>
      </c>
      <c r="H106" t="s">
        <v>28</v>
      </c>
      <c r="I106" t="s">
        <v>29</v>
      </c>
      <c r="J106" t="s">
        <v>44</v>
      </c>
      <c r="L106" s="1">
        <v>45658</v>
      </c>
      <c r="M106" s="1">
        <v>45658</v>
      </c>
      <c r="O106">
        <v>21104854</v>
      </c>
      <c r="P106" t="s">
        <v>31</v>
      </c>
      <c r="Q106" t="s">
        <v>324</v>
      </c>
      <c r="R106">
        <v>8192</v>
      </c>
      <c r="S106" t="s">
        <v>33</v>
      </c>
      <c r="T106" t="s">
        <v>34</v>
      </c>
      <c r="U106">
        <v>125</v>
      </c>
      <c r="V106" t="s">
        <v>35</v>
      </c>
      <c r="W106" s="1">
        <v>45619</v>
      </c>
      <c r="X106">
        <v>2024</v>
      </c>
    </row>
    <row r="107" spans="1:24" x14ac:dyDescent="0.25">
      <c r="A107" s="1">
        <v>45636</v>
      </c>
      <c r="B107" t="s">
        <v>325</v>
      </c>
      <c r="C107" s="2">
        <v>102097467700</v>
      </c>
      <c r="E107" t="s">
        <v>326</v>
      </c>
      <c r="F107" t="s">
        <v>254</v>
      </c>
      <c r="G107" t="s">
        <v>27</v>
      </c>
      <c r="H107" t="s">
        <v>28</v>
      </c>
      <c r="I107" t="s">
        <v>255</v>
      </c>
      <c r="J107" t="s">
        <v>327</v>
      </c>
      <c r="L107" s="1">
        <v>45627</v>
      </c>
      <c r="M107" s="1">
        <v>45627</v>
      </c>
      <c r="O107">
        <v>16378851</v>
      </c>
      <c r="P107" t="s">
        <v>31</v>
      </c>
      <c r="Q107" t="s">
        <v>328</v>
      </c>
      <c r="R107">
        <v>8192</v>
      </c>
      <c r="S107" t="s">
        <v>33</v>
      </c>
      <c r="T107" t="s">
        <v>34</v>
      </c>
      <c r="U107">
        <v>35.92</v>
      </c>
      <c r="V107" t="s">
        <v>35</v>
      </c>
      <c r="W107" s="1">
        <v>45614</v>
      </c>
      <c r="X107">
        <v>2024</v>
      </c>
    </row>
    <row r="108" spans="1:24" x14ac:dyDescent="0.25">
      <c r="A108" s="1">
        <v>45636</v>
      </c>
      <c r="B108" t="s">
        <v>329</v>
      </c>
      <c r="C108" s="2">
        <v>102100140400</v>
      </c>
      <c r="E108" t="s">
        <v>330</v>
      </c>
      <c r="F108" t="s">
        <v>66</v>
      </c>
      <c r="G108" t="s">
        <v>27</v>
      </c>
      <c r="H108" t="s">
        <v>28</v>
      </c>
      <c r="I108" t="s">
        <v>67</v>
      </c>
      <c r="J108" t="s">
        <v>68</v>
      </c>
      <c r="L108" s="1">
        <v>45658</v>
      </c>
      <c r="M108" s="1">
        <v>45658</v>
      </c>
      <c r="O108">
        <v>17886092</v>
      </c>
      <c r="P108" t="s">
        <v>31</v>
      </c>
      <c r="Q108" t="s">
        <v>69</v>
      </c>
      <c r="R108">
        <v>8192</v>
      </c>
      <c r="S108" t="s">
        <v>33</v>
      </c>
      <c r="T108" t="s">
        <v>34</v>
      </c>
      <c r="U108">
        <v>40</v>
      </c>
      <c r="V108" t="s">
        <v>35</v>
      </c>
      <c r="W108" s="1">
        <v>45616</v>
      </c>
      <c r="X108">
        <v>2024</v>
      </c>
    </row>
    <row r="109" spans="1:24" x14ac:dyDescent="0.25">
      <c r="A109" s="1">
        <v>45636</v>
      </c>
      <c r="B109" t="s">
        <v>331</v>
      </c>
      <c r="C109" s="2">
        <v>101220201300</v>
      </c>
      <c r="E109" t="s">
        <v>332</v>
      </c>
      <c r="F109" t="s">
        <v>333</v>
      </c>
      <c r="G109" t="s">
        <v>27</v>
      </c>
      <c r="H109" t="s">
        <v>28</v>
      </c>
      <c r="I109" t="s">
        <v>334</v>
      </c>
      <c r="J109" t="s">
        <v>335</v>
      </c>
      <c r="L109" s="1">
        <v>45658</v>
      </c>
      <c r="M109" s="1">
        <v>45658</v>
      </c>
      <c r="O109">
        <v>19396223</v>
      </c>
      <c r="P109" t="s">
        <v>31</v>
      </c>
      <c r="Q109" t="s">
        <v>336</v>
      </c>
      <c r="R109">
        <v>8192</v>
      </c>
      <c r="S109" t="s">
        <v>33</v>
      </c>
      <c r="T109" t="s">
        <v>34</v>
      </c>
      <c r="U109">
        <v>135</v>
      </c>
      <c r="V109" t="s">
        <v>35</v>
      </c>
      <c r="W109" s="1">
        <v>45620</v>
      </c>
      <c r="X109">
        <v>2024</v>
      </c>
    </row>
    <row r="110" spans="1:24" x14ac:dyDescent="0.25">
      <c r="A110" s="1">
        <v>45636</v>
      </c>
      <c r="B110" t="s">
        <v>337</v>
      </c>
      <c r="C110" s="2">
        <v>101794748100</v>
      </c>
      <c r="E110" t="s">
        <v>338</v>
      </c>
      <c r="F110" t="s">
        <v>66</v>
      </c>
      <c r="G110" t="s">
        <v>27</v>
      </c>
      <c r="H110" t="s">
        <v>28</v>
      </c>
      <c r="I110" t="s">
        <v>67</v>
      </c>
      <c r="J110" t="s">
        <v>68</v>
      </c>
      <c r="L110" s="1">
        <v>45658</v>
      </c>
      <c r="M110" s="1">
        <v>45658</v>
      </c>
      <c r="O110">
        <v>17886092</v>
      </c>
      <c r="P110" t="s">
        <v>31</v>
      </c>
      <c r="Q110" t="s">
        <v>69</v>
      </c>
      <c r="R110">
        <v>8192</v>
      </c>
      <c r="S110" t="s">
        <v>33</v>
      </c>
      <c r="T110" t="s">
        <v>34</v>
      </c>
      <c r="U110">
        <v>40</v>
      </c>
      <c r="V110" t="s">
        <v>35</v>
      </c>
      <c r="W110" s="1">
        <v>45618</v>
      </c>
      <c r="X110">
        <v>2024</v>
      </c>
    </row>
    <row r="111" spans="1:24" x14ac:dyDescent="0.25">
      <c r="A111" s="1">
        <v>45636</v>
      </c>
      <c r="B111" t="s">
        <v>339</v>
      </c>
      <c r="C111" s="2">
        <v>101665943900</v>
      </c>
      <c r="E111" t="s">
        <v>340</v>
      </c>
      <c r="F111" t="s">
        <v>66</v>
      </c>
      <c r="G111" t="s">
        <v>27</v>
      </c>
      <c r="H111" t="s">
        <v>28</v>
      </c>
      <c r="I111" t="s">
        <v>67</v>
      </c>
      <c r="J111" t="s">
        <v>68</v>
      </c>
      <c r="L111" s="1">
        <v>45658</v>
      </c>
      <c r="M111" s="1">
        <v>45658</v>
      </c>
      <c r="O111">
        <v>17886092</v>
      </c>
      <c r="P111" t="s">
        <v>31</v>
      </c>
      <c r="Q111" t="s">
        <v>69</v>
      </c>
      <c r="R111">
        <v>8192</v>
      </c>
      <c r="S111" t="s">
        <v>33</v>
      </c>
      <c r="T111" t="s">
        <v>34</v>
      </c>
      <c r="U111">
        <v>40</v>
      </c>
      <c r="V111" t="s">
        <v>35</v>
      </c>
      <c r="W111" s="1">
        <v>45618</v>
      </c>
      <c r="X111">
        <v>2024</v>
      </c>
    </row>
    <row r="112" spans="1:24" x14ac:dyDescent="0.25">
      <c r="A112" s="1">
        <v>45636</v>
      </c>
      <c r="B112" t="s">
        <v>341</v>
      </c>
      <c r="C112" s="2">
        <v>101201201800</v>
      </c>
      <c r="E112" t="s">
        <v>342</v>
      </c>
      <c r="F112" t="s">
        <v>66</v>
      </c>
      <c r="G112" t="s">
        <v>27</v>
      </c>
      <c r="H112" t="s">
        <v>28</v>
      </c>
      <c r="I112" t="s">
        <v>67</v>
      </c>
      <c r="J112" t="s">
        <v>68</v>
      </c>
      <c r="L112" s="1">
        <v>45658</v>
      </c>
      <c r="M112" s="1">
        <v>45658</v>
      </c>
      <c r="O112">
        <v>17886092</v>
      </c>
      <c r="P112" t="s">
        <v>31</v>
      </c>
      <c r="Q112" t="s">
        <v>69</v>
      </c>
      <c r="R112">
        <v>8192</v>
      </c>
      <c r="S112" t="s">
        <v>33</v>
      </c>
      <c r="T112" t="s">
        <v>34</v>
      </c>
      <c r="U112">
        <v>40</v>
      </c>
      <c r="V112" t="s">
        <v>35</v>
      </c>
      <c r="W112" s="1">
        <v>45611</v>
      </c>
      <c r="X112">
        <v>2024</v>
      </c>
    </row>
    <row r="113" spans="1:24" x14ac:dyDescent="0.25">
      <c r="A113" s="1">
        <v>45636</v>
      </c>
      <c r="B113" t="s">
        <v>343</v>
      </c>
      <c r="C113" s="2">
        <v>101085830200</v>
      </c>
      <c r="E113" t="s">
        <v>344</v>
      </c>
      <c r="F113" t="s">
        <v>66</v>
      </c>
      <c r="G113" t="s">
        <v>27</v>
      </c>
      <c r="H113" t="s">
        <v>28</v>
      </c>
      <c r="I113" t="s">
        <v>67</v>
      </c>
      <c r="J113" t="s">
        <v>68</v>
      </c>
      <c r="L113" s="1">
        <v>45658</v>
      </c>
      <c r="M113" s="1">
        <v>45658</v>
      </c>
      <c r="O113">
        <v>17886092</v>
      </c>
      <c r="P113" t="s">
        <v>31</v>
      </c>
      <c r="Q113" t="s">
        <v>69</v>
      </c>
      <c r="R113">
        <v>8192</v>
      </c>
      <c r="S113" t="s">
        <v>33</v>
      </c>
      <c r="T113" t="s">
        <v>34</v>
      </c>
      <c r="U113">
        <v>40</v>
      </c>
      <c r="V113" t="s">
        <v>35</v>
      </c>
      <c r="W113" s="1">
        <v>45611</v>
      </c>
      <c r="X113">
        <v>2024</v>
      </c>
    </row>
    <row r="114" spans="1:24" x14ac:dyDescent="0.25">
      <c r="A114" s="1">
        <v>45636</v>
      </c>
      <c r="B114" t="s">
        <v>345</v>
      </c>
      <c r="C114" s="2">
        <v>102098632800</v>
      </c>
      <c r="E114" t="s">
        <v>346</v>
      </c>
      <c r="F114" t="s">
        <v>43</v>
      </c>
      <c r="G114" t="s">
        <v>27</v>
      </c>
      <c r="H114" t="s">
        <v>28</v>
      </c>
      <c r="I114" t="s">
        <v>29</v>
      </c>
      <c r="J114" t="s">
        <v>48</v>
      </c>
      <c r="L114" s="1">
        <v>45658</v>
      </c>
      <c r="M114" s="1">
        <v>45658</v>
      </c>
      <c r="O114">
        <v>19396223</v>
      </c>
      <c r="P114" t="s">
        <v>31</v>
      </c>
      <c r="Q114" t="s">
        <v>336</v>
      </c>
      <c r="R114">
        <v>8192</v>
      </c>
      <c r="S114" t="s">
        <v>33</v>
      </c>
      <c r="T114" t="s">
        <v>34</v>
      </c>
      <c r="U114">
        <v>125</v>
      </c>
      <c r="V114" t="s">
        <v>35</v>
      </c>
      <c r="W114" s="1">
        <v>45615</v>
      </c>
      <c r="X114">
        <v>2024</v>
      </c>
    </row>
    <row r="115" spans="1:24" x14ac:dyDescent="0.25">
      <c r="A115" s="1"/>
      <c r="L115" s="1"/>
      <c r="M115" s="1"/>
      <c r="N115" s="1"/>
      <c r="W115" s="1"/>
    </row>
    <row r="116" spans="1:24" x14ac:dyDescent="0.25">
      <c r="A116" s="1"/>
      <c r="L116" s="1"/>
      <c r="M116" s="1"/>
      <c r="W116" s="1"/>
    </row>
    <row r="117" spans="1:24" x14ac:dyDescent="0.25">
      <c r="A117" s="1"/>
      <c r="L117" s="1"/>
      <c r="M117" s="1"/>
      <c r="W117" s="1"/>
    </row>
    <row r="118" spans="1:24" x14ac:dyDescent="0.25">
      <c r="A118" s="1"/>
      <c r="L118" s="1"/>
      <c r="M118" s="1"/>
      <c r="W118" s="1"/>
    </row>
    <row r="119" spans="1:24" x14ac:dyDescent="0.25">
      <c r="A119" s="1"/>
      <c r="L119" s="1"/>
      <c r="M119" s="1"/>
      <c r="W119" s="1"/>
    </row>
    <row r="120" spans="1:24" x14ac:dyDescent="0.25">
      <c r="A120" s="1"/>
      <c r="L120" s="1"/>
      <c r="M120" s="1"/>
      <c r="W120" s="1"/>
    </row>
    <row r="121" spans="1:24" x14ac:dyDescent="0.25">
      <c r="A121" s="1"/>
      <c r="L121" s="1"/>
      <c r="M121" s="1"/>
      <c r="W121" s="1"/>
    </row>
    <row r="122" spans="1:24" x14ac:dyDescent="0.25">
      <c r="A122" s="1"/>
      <c r="L122" s="1"/>
      <c r="M122" s="1"/>
      <c r="W122" s="1"/>
    </row>
    <row r="123" spans="1:24" x14ac:dyDescent="0.25">
      <c r="A123" s="1"/>
      <c r="L123" s="1"/>
      <c r="M123" s="1"/>
      <c r="W123" s="1"/>
    </row>
    <row r="124" spans="1:24" x14ac:dyDescent="0.25">
      <c r="A124" s="1"/>
      <c r="L124" s="1"/>
      <c r="M124" s="1"/>
      <c r="W124" s="1"/>
    </row>
    <row r="125" spans="1:24" x14ac:dyDescent="0.25">
      <c r="A125" s="1"/>
      <c r="L125" s="1"/>
      <c r="M125" s="1"/>
      <c r="W125" s="1"/>
    </row>
    <row r="126" spans="1:24" x14ac:dyDescent="0.25">
      <c r="A126" s="1"/>
      <c r="L126" s="1"/>
      <c r="M126" s="1"/>
      <c r="W126" s="1"/>
    </row>
    <row r="127" spans="1:24" x14ac:dyDescent="0.25">
      <c r="A127" s="1"/>
      <c r="L127" s="1"/>
      <c r="M127" s="1"/>
      <c r="W127" s="1"/>
    </row>
    <row r="128" spans="1:24" x14ac:dyDescent="0.25">
      <c r="A128" s="1"/>
      <c r="L128" s="1"/>
      <c r="M128" s="1"/>
      <c r="W128" s="1"/>
    </row>
    <row r="129" spans="1:23" x14ac:dyDescent="0.25">
      <c r="A129" s="1"/>
      <c r="L129" s="1"/>
      <c r="M129" s="1"/>
      <c r="W129" s="1"/>
    </row>
    <row r="130" spans="1:23" x14ac:dyDescent="0.25">
      <c r="A130" s="1"/>
      <c r="L130" s="1"/>
      <c r="M130" s="1"/>
      <c r="N130" s="1"/>
      <c r="W130" s="1"/>
    </row>
    <row r="131" spans="1:23" x14ac:dyDescent="0.25">
      <c r="A131" s="1"/>
      <c r="L131" s="1"/>
      <c r="M131" s="1"/>
      <c r="W131" s="1"/>
    </row>
    <row r="132" spans="1:23" x14ac:dyDescent="0.25">
      <c r="A132" s="1"/>
      <c r="L132" s="1"/>
      <c r="M132" s="1"/>
      <c r="W132" s="1"/>
    </row>
    <row r="133" spans="1:23" x14ac:dyDescent="0.25">
      <c r="A133" s="1"/>
      <c r="L133" s="1"/>
      <c r="M133" s="1"/>
      <c r="W133" s="1"/>
    </row>
    <row r="134" spans="1:23" x14ac:dyDescent="0.25">
      <c r="A134" s="1"/>
      <c r="L134" s="1"/>
      <c r="M134" s="1"/>
      <c r="W134" s="1"/>
    </row>
    <row r="135" spans="1:23" x14ac:dyDescent="0.25">
      <c r="A135" s="1"/>
      <c r="L135" s="1"/>
      <c r="M135" s="1"/>
      <c r="W135" s="1"/>
    </row>
    <row r="136" spans="1:23" x14ac:dyDescent="0.25">
      <c r="A136" s="1"/>
      <c r="L136" s="1"/>
      <c r="M136" s="1"/>
      <c r="W136" s="1"/>
    </row>
    <row r="137" spans="1:23" x14ac:dyDescent="0.25">
      <c r="A137" s="1"/>
      <c r="L137" s="1"/>
      <c r="M137" s="1"/>
      <c r="W137" s="1"/>
    </row>
    <row r="138" spans="1:23" x14ac:dyDescent="0.25">
      <c r="A138" s="1"/>
      <c r="L138" s="1"/>
      <c r="M138" s="1"/>
      <c r="W138" s="1"/>
    </row>
    <row r="139" spans="1:23" x14ac:dyDescent="0.25">
      <c r="A139" s="1"/>
      <c r="L139" s="1"/>
      <c r="M139" s="1"/>
      <c r="W139" s="1"/>
    </row>
    <row r="140" spans="1:23" x14ac:dyDescent="0.25">
      <c r="A140" s="1"/>
      <c r="L140" s="1"/>
      <c r="M140" s="1"/>
      <c r="W140" s="1"/>
    </row>
    <row r="141" spans="1:23" x14ac:dyDescent="0.25">
      <c r="A141" s="1"/>
      <c r="L141" s="1"/>
      <c r="M141" s="1"/>
      <c r="W141" s="1"/>
    </row>
    <row r="142" spans="1:23" x14ac:dyDescent="0.25">
      <c r="A142" s="1"/>
      <c r="L142" s="1"/>
      <c r="M142" s="1"/>
      <c r="W142" s="1"/>
    </row>
    <row r="143" spans="1:23" x14ac:dyDescent="0.25">
      <c r="A143" s="1"/>
      <c r="L143" s="1"/>
      <c r="M143" s="1"/>
      <c r="W143" s="1"/>
    </row>
    <row r="144" spans="1:23" x14ac:dyDescent="0.25">
      <c r="A144" s="1"/>
      <c r="L144" s="1"/>
      <c r="M144" s="1"/>
      <c r="W144" s="1"/>
    </row>
    <row r="145" spans="1:23" x14ac:dyDescent="0.25">
      <c r="A145" s="1"/>
      <c r="L145" s="1"/>
      <c r="M145" s="1"/>
      <c r="W145" s="1"/>
    </row>
    <row r="146" spans="1:23" x14ac:dyDescent="0.25">
      <c r="A146" s="1"/>
      <c r="L146" s="1"/>
      <c r="M146" s="1"/>
      <c r="W146" s="1"/>
    </row>
    <row r="147" spans="1:23" x14ac:dyDescent="0.25">
      <c r="A147" s="1"/>
      <c r="L147" s="1"/>
      <c r="M147" s="1"/>
      <c r="W147" s="1"/>
    </row>
    <row r="148" spans="1:23" x14ac:dyDescent="0.25">
      <c r="A148" s="1"/>
      <c r="L148" s="1"/>
      <c r="M148" s="1"/>
      <c r="W148" s="1"/>
    </row>
    <row r="149" spans="1:23" x14ac:dyDescent="0.25">
      <c r="A149" s="1"/>
      <c r="L149" s="1"/>
      <c r="M149" s="1"/>
      <c r="W149" s="1"/>
    </row>
    <row r="150" spans="1:23" x14ac:dyDescent="0.25">
      <c r="A150" s="1"/>
      <c r="L150" s="1"/>
      <c r="M150" s="1"/>
      <c r="W150" s="1"/>
    </row>
    <row r="151" spans="1:23" x14ac:dyDescent="0.25">
      <c r="A151" s="1"/>
      <c r="L151" s="1"/>
      <c r="M151" s="1"/>
      <c r="W151" s="1"/>
    </row>
    <row r="152" spans="1:23" x14ac:dyDescent="0.25">
      <c r="A152" s="1"/>
      <c r="L152" s="1"/>
      <c r="M152" s="1"/>
      <c r="W152" s="1"/>
    </row>
    <row r="153" spans="1:23" x14ac:dyDescent="0.25">
      <c r="A153" s="1"/>
      <c r="L153" s="1"/>
      <c r="M153" s="1"/>
      <c r="W153" s="1"/>
    </row>
    <row r="154" spans="1:23" x14ac:dyDescent="0.25">
      <c r="A154" s="1"/>
      <c r="L154" s="1"/>
      <c r="M154" s="1"/>
      <c r="W154" s="1"/>
    </row>
    <row r="155" spans="1:23" x14ac:dyDescent="0.25">
      <c r="A155" s="1"/>
      <c r="L155" s="1"/>
      <c r="M155" s="1"/>
      <c r="W155" s="1"/>
    </row>
    <row r="156" spans="1:23" x14ac:dyDescent="0.25">
      <c r="A156" s="1"/>
      <c r="L156" s="1"/>
      <c r="M156" s="1"/>
      <c r="W156" s="1"/>
    </row>
    <row r="157" spans="1:23" x14ac:dyDescent="0.25">
      <c r="A157" s="1"/>
      <c r="L157" s="1"/>
      <c r="M157" s="1"/>
      <c r="W157" s="1"/>
    </row>
    <row r="158" spans="1:23" x14ac:dyDescent="0.25">
      <c r="A158" s="1"/>
      <c r="L158" s="1"/>
      <c r="M158" s="1"/>
      <c r="W158" s="1"/>
    </row>
    <row r="159" spans="1:23" x14ac:dyDescent="0.25">
      <c r="A159" s="1"/>
      <c r="L159" s="1"/>
      <c r="M159" s="1"/>
      <c r="W159" s="1"/>
    </row>
    <row r="160" spans="1:23" x14ac:dyDescent="0.25">
      <c r="A160" s="1"/>
      <c r="L160" s="1"/>
      <c r="M160" s="1"/>
      <c r="W160" s="1"/>
    </row>
    <row r="161" spans="1:23" x14ac:dyDescent="0.25">
      <c r="A161" s="1"/>
      <c r="L161" s="1"/>
      <c r="M161" s="1"/>
      <c r="W161" s="1"/>
    </row>
    <row r="162" spans="1:23" x14ac:dyDescent="0.25">
      <c r="A162" s="1"/>
      <c r="L162" s="1"/>
      <c r="M162" s="1"/>
      <c r="W162" s="1"/>
    </row>
    <row r="163" spans="1:23" x14ac:dyDescent="0.25">
      <c r="A163" s="1"/>
      <c r="L163" s="1"/>
      <c r="M163" s="1"/>
      <c r="W163" s="1"/>
    </row>
    <row r="164" spans="1:23" x14ac:dyDescent="0.25">
      <c r="A164" s="1"/>
      <c r="L164" s="1"/>
      <c r="M164" s="1"/>
      <c r="W164" s="1"/>
    </row>
    <row r="165" spans="1:23" x14ac:dyDescent="0.25">
      <c r="A165" s="1"/>
      <c r="L165" s="1"/>
      <c r="M165" s="1"/>
      <c r="W165" s="1"/>
    </row>
    <row r="166" spans="1:23" x14ac:dyDescent="0.25">
      <c r="A166" s="1"/>
      <c r="L166" s="1"/>
      <c r="M166" s="1"/>
      <c r="W166" s="1"/>
    </row>
    <row r="167" spans="1:23" x14ac:dyDescent="0.25">
      <c r="A167" s="1"/>
      <c r="L167" s="1"/>
      <c r="M167" s="1"/>
      <c r="W167" s="1"/>
    </row>
    <row r="168" spans="1:23" x14ac:dyDescent="0.25">
      <c r="A168" s="1"/>
      <c r="L168" s="1"/>
      <c r="M168" s="1"/>
      <c r="W168" s="1"/>
    </row>
    <row r="169" spans="1:23" x14ac:dyDescent="0.25">
      <c r="A169" s="1"/>
      <c r="L169" s="1"/>
      <c r="M169" s="1"/>
      <c r="W169" s="1"/>
    </row>
    <row r="170" spans="1:23" x14ac:dyDescent="0.25">
      <c r="A170" s="1"/>
      <c r="L170" s="1"/>
      <c r="M170" s="1"/>
      <c r="W170" s="1"/>
    </row>
    <row r="171" spans="1:23" x14ac:dyDescent="0.25">
      <c r="A171" s="1"/>
      <c r="L171" s="1"/>
      <c r="M171" s="1"/>
      <c r="W171" s="1"/>
    </row>
    <row r="172" spans="1:23" x14ac:dyDescent="0.25">
      <c r="A172" s="1"/>
      <c r="L172" s="1"/>
      <c r="M172" s="1"/>
      <c r="W172" s="1"/>
    </row>
    <row r="173" spans="1:23" x14ac:dyDescent="0.25">
      <c r="A173" s="1"/>
      <c r="L173" s="1"/>
      <c r="M173" s="1"/>
      <c r="W173" s="1"/>
    </row>
    <row r="174" spans="1:23" x14ac:dyDescent="0.25">
      <c r="A174" s="1"/>
      <c r="L174" s="1"/>
      <c r="M174" s="1"/>
      <c r="W174" s="1"/>
    </row>
    <row r="175" spans="1:23" x14ac:dyDescent="0.25">
      <c r="A175" s="1"/>
      <c r="L175" s="1"/>
      <c r="M175" s="1"/>
      <c r="W175" s="1"/>
    </row>
    <row r="176" spans="1:23" x14ac:dyDescent="0.25">
      <c r="A176" s="1"/>
      <c r="L176" s="1"/>
      <c r="M176" s="1"/>
      <c r="W176" s="1"/>
    </row>
    <row r="177" spans="1:23" x14ac:dyDescent="0.25">
      <c r="A177" s="1"/>
      <c r="L177" s="1"/>
      <c r="M177" s="1"/>
      <c r="W177" s="1"/>
    </row>
    <row r="178" spans="1:23" x14ac:dyDescent="0.25">
      <c r="A178" s="1"/>
      <c r="L178" s="1"/>
      <c r="M178" s="1"/>
      <c r="W178" s="1"/>
    </row>
    <row r="179" spans="1:23" x14ac:dyDescent="0.25">
      <c r="A179" s="1"/>
      <c r="L179" s="1"/>
      <c r="M179" s="1"/>
      <c r="W179" s="1"/>
    </row>
    <row r="180" spans="1:23" x14ac:dyDescent="0.25">
      <c r="A180" s="1"/>
      <c r="L180" s="1"/>
      <c r="M180" s="1"/>
      <c r="W180" s="1"/>
    </row>
    <row r="181" spans="1:23" x14ac:dyDescent="0.25">
      <c r="A181" s="1"/>
      <c r="L181" s="1"/>
      <c r="M181" s="1"/>
      <c r="W181" s="1"/>
    </row>
    <row r="182" spans="1:23" x14ac:dyDescent="0.25">
      <c r="A182" s="1"/>
      <c r="L182" s="1"/>
      <c r="M182" s="1"/>
      <c r="W182" s="1"/>
    </row>
    <row r="183" spans="1:23" x14ac:dyDescent="0.25">
      <c r="A183" s="1"/>
      <c r="L183" s="1"/>
      <c r="M183" s="1"/>
      <c r="W183" s="1"/>
    </row>
    <row r="184" spans="1:23" x14ac:dyDescent="0.25">
      <c r="A184" s="1"/>
      <c r="L184" s="1"/>
      <c r="M184" s="1"/>
      <c r="W184" s="1"/>
    </row>
    <row r="185" spans="1:23" x14ac:dyDescent="0.25">
      <c r="A185" s="1"/>
      <c r="L185" s="1"/>
      <c r="M185" s="1"/>
      <c r="W185" s="1"/>
    </row>
    <row r="186" spans="1:23" x14ac:dyDescent="0.25">
      <c r="A186" s="1"/>
      <c r="L186" s="1"/>
      <c r="M186" s="1"/>
      <c r="W186" s="1"/>
    </row>
    <row r="187" spans="1:23" x14ac:dyDescent="0.25">
      <c r="A187" s="1"/>
      <c r="L187" s="1"/>
      <c r="M187" s="1"/>
      <c r="W187" s="1"/>
    </row>
    <row r="188" spans="1:23" x14ac:dyDescent="0.25">
      <c r="A188" s="1"/>
      <c r="L188" s="1"/>
      <c r="M188" s="1"/>
      <c r="W188" s="1"/>
    </row>
    <row r="189" spans="1:23" x14ac:dyDescent="0.25">
      <c r="A189" s="1"/>
      <c r="L189" s="1"/>
      <c r="M189" s="1"/>
      <c r="W189" s="1"/>
    </row>
    <row r="190" spans="1:23" x14ac:dyDescent="0.25">
      <c r="A190" s="1"/>
      <c r="L190" s="1"/>
      <c r="M190" s="1"/>
      <c r="W190" s="1"/>
    </row>
    <row r="191" spans="1:23" x14ac:dyDescent="0.25">
      <c r="A191" s="1"/>
      <c r="L191" s="1"/>
      <c r="M191" s="1"/>
      <c r="N191" s="1"/>
      <c r="W191" s="1"/>
    </row>
    <row r="192" spans="1:23" x14ac:dyDescent="0.25">
      <c r="A192" s="1"/>
      <c r="L192" s="1"/>
      <c r="M192" s="1"/>
      <c r="W192" s="1"/>
    </row>
    <row r="193" spans="1:23" x14ac:dyDescent="0.25">
      <c r="A193" s="1"/>
      <c r="L193" s="1"/>
      <c r="M193" s="1"/>
      <c r="W193" s="1"/>
    </row>
    <row r="194" spans="1:23" x14ac:dyDescent="0.25">
      <c r="A194" s="1"/>
      <c r="L194" s="1"/>
      <c r="M194" s="1"/>
      <c r="W194" s="1"/>
    </row>
    <row r="195" spans="1:23" x14ac:dyDescent="0.25">
      <c r="A195" s="1"/>
      <c r="L195" s="1"/>
      <c r="M195" s="1"/>
      <c r="W195" s="1"/>
    </row>
    <row r="196" spans="1:23" x14ac:dyDescent="0.25">
      <c r="A196" s="1"/>
      <c r="L196" s="1"/>
      <c r="M196" s="1"/>
      <c r="W196" s="1"/>
    </row>
    <row r="197" spans="1:23" x14ac:dyDescent="0.25">
      <c r="A197" s="1"/>
      <c r="L197" s="1"/>
      <c r="M197" s="1"/>
      <c r="W197" s="1"/>
    </row>
    <row r="198" spans="1:23" x14ac:dyDescent="0.25">
      <c r="A198" s="1"/>
      <c r="L198" s="1"/>
      <c r="M198" s="1"/>
      <c r="W198" s="1"/>
    </row>
    <row r="199" spans="1:23" x14ac:dyDescent="0.25">
      <c r="A199" s="1"/>
      <c r="L199" s="1"/>
      <c r="M199" s="1"/>
      <c r="W199" s="1"/>
    </row>
    <row r="200" spans="1:23" x14ac:dyDescent="0.25">
      <c r="A200" s="1"/>
      <c r="L200" s="1"/>
      <c r="M200" s="1"/>
      <c r="W200" s="1"/>
    </row>
    <row r="201" spans="1:23" x14ac:dyDescent="0.25">
      <c r="A201" s="1"/>
      <c r="L201" s="1"/>
      <c r="M201" s="1"/>
      <c r="W201" s="1"/>
    </row>
    <row r="202" spans="1:23" x14ac:dyDescent="0.25">
      <c r="A202" s="1"/>
      <c r="L202" s="1"/>
      <c r="M202" s="1"/>
      <c r="W202" s="1"/>
    </row>
    <row r="203" spans="1:23" x14ac:dyDescent="0.25">
      <c r="A203" s="1"/>
      <c r="L203" s="1"/>
      <c r="M203" s="1"/>
      <c r="W203" s="1"/>
    </row>
    <row r="204" spans="1:23" x14ac:dyDescent="0.25">
      <c r="A204" s="1"/>
      <c r="L204" s="1"/>
      <c r="M204" s="1"/>
      <c r="W204" s="1"/>
    </row>
    <row r="205" spans="1:23" x14ac:dyDescent="0.25">
      <c r="A205" s="1"/>
      <c r="L205" s="1"/>
      <c r="M205" s="1"/>
      <c r="W205" s="1"/>
    </row>
    <row r="206" spans="1:23" x14ac:dyDescent="0.25">
      <c r="A206" s="1"/>
      <c r="L206" s="1"/>
      <c r="M206" s="1"/>
      <c r="W206" s="1"/>
    </row>
    <row r="207" spans="1:23" x14ac:dyDescent="0.25">
      <c r="A207" s="1"/>
      <c r="L207" s="1"/>
      <c r="M207" s="1"/>
      <c r="W207" s="1"/>
    </row>
    <row r="208" spans="1:23" x14ac:dyDescent="0.25">
      <c r="A208" s="1"/>
      <c r="L208" s="1"/>
      <c r="M208" s="1"/>
      <c r="W208" s="1"/>
    </row>
    <row r="209" spans="1:23" x14ac:dyDescent="0.25">
      <c r="A209" s="1"/>
      <c r="L209" s="1"/>
      <c r="M209" s="1"/>
      <c r="W209" s="1"/>
    </row>
    <row r="210" spans="1:23" x14ac:dyDescent="0.25">
      <c r="A210" s="1"/>
      <c r="L210" s="1"/>
      <c r="M210" s="1"/>
      <c r="W210" s="1"/>
    </row>
    <row r="211" spans="1:23" x14ac:dyDescent="0.25">
      <c r="A211" s="1"/>
      <c r="L211" s="1"/>
      <c r="M211" s="1"/>
      <c r="W211" s="1"/>
    </row>
    <row r="212" spans="1:23" x14ac:dyDescent="0.25">
      <c r="A212" s="1"/>
      <c r="L212" s="1"/>
      <c r="M212" s="1"/>
      <c r="W212" s="1"/>
    </row>
    <row r="213" spans="1:23" x14ac:dyDescent="0.25">
      <c r="A213" s="1"/>
      <c r="L213" s="1"/>
      <c r="M213" s="1"/>
      <c r="W213" s="1"/>
    </row>
    <row r="214" spans="1:23" x14ac:dyDescent="0.25">
      <c r="A214" s="1"/>
      <c r="L214" s="1"/>
      <c r="M214" s="1"/>
      <c r="W214" s="1"/>
    </row>
    <row r="215" spans="1:23" x14ac:dyDescent="0.25">
      <c r="A215" s="1"/>
      <c r="L215" s="1"/>
      <c r="M215" s="1"/>
      <c r="W215" s="1"/>
    </row>
    <row r="216" spans="1:23" x14ac:dyDescent="0.25">
      <c r="A216" s="1"/>
      <c r="L216" s="1"/>
      <c r="M216" s="1"/>
      <c r="W216" s="1"/>
    </row>
    <row r="217" spans="1:23" x14ac:dyDescent="0.25">
      <c r="A217" s="1"/>
      <c r="L217" s="1"/>
      <c r="M217" s="1"/>
      <c r="W217" s="1"/>
    </row>
    <row r="218" spans="1:23" x14ac:dyDescent="0.25">
      <c r="A218" s="1"/>
      <c r="L218" s="1"/>
      <c r="M218" s="1"/>
      <c r="W218" s="1"/>
    </row>
    <row r="219" spans="1:23" x14ac:dyDescent="0.25">
      <c r="A219" s="1"/>
      <c r="L219" s="1"/>
      <c r="M219" s="1"/>
      <c r="W219" s="1"/>
    </row>
    <row r="220" spans="1:23" x14ac:dyDescent="0.25">
      <c r="A220" s="1"/>
      <c r="L220" s="1"/>
      <c r="M220" s="1"/>
      <c r="W220" s="1"/>
    </row>
    <row r="221" spans="1:23" x14ac:dyDescent="0.25">
      <c r="A221" s="1"/>
      <c r="L221" s="1"/>
      <c r="M221" s="1"/>
      <c r="W221" s="1"/>
    </row>
    <row r="222" spans="1:23" x14ac:dyDescent="0.25">
      <c r="A222" s="1"/>
      <c r="L222" s="1"/>
      <c r="M222" s="1"/>
      <c r="W222" s="1"/>
    </row>
    <row r="223" spans="1:23" x14ac:dyDescent="0.25">
      <c r="A223" s="1"/>
      <c r="L223" s="1"/>
      <c r="M223" s="1"/>
      <c r="W223" s="1"/>
    </row>
    <row r="224" spans="1:23" x14ac:dyDescent="0.25">
      <c r="A224" s="1"/>
      <c r="L224" s="1"/>
      <c r="M224" s="1"/>
      <c r="W224" s="1"/>
    </row>
    <row r="225" spans="1:23" x14ac:dyDescent="0.25">
      <c r="A225" s="1"/>
      <c r="L225" s="1"/>
      <c r="M225" s="1"/>
      <c r="W225" s="1"/>
    </row>
    <row r="226" spans="1:23" x14ac:dyDescent="0.25">
      <c r="A226" s="1"/>
      <c r="L226" s="1"/>
      <c r="M226" s="1"/>
      <c r="W226" s="1"/>
    </row>
    <row r="227" spans="1:23" x14ac:dyDescent="0.25">
      <c r="A227" s="1"/>
      <c r="L227" s="1"/>
      <c r="M227" s="1"/>
      <c r="W227" s="1"/>
    </row>
    <row r="228" spans="1:23" x14ac:dyDescent="0.25">
      <c r="A228" s="1"/>
      <c r="L228" s="1"/>
      <c r="M228" s="1"/>
      <c r="W228" s="1"/>
    </row>
    <row r="229" spans="1:23" x14ac:dyDescent="0.25">
      <c r="A229" s="1"/>
      <c r="L229" s="1"/>
      <c r="M229" s="1"/>
      <c r="W229" s="1"/>
    </row>
    <row r="230" spans="1:23" x14ac:dyDescent="0.25">
      <c r="A230" s="1"/>
      <c r="L230" s="1"/>
      <c r="M230" s="1"/>
      <c r="W230" s="1"/>
    </row>
    <row r="231" spans="1:23" x14ac:dyDescent="0.25">
      <c r="A231" s="1"/>
      <c r="L231" s="1"/>
      <c r="M231" s="1"/>
      <c r="W231" s="1"/>
    </row>
    <row r="232" spans="1:23" x14ac:dyDescent="0.25">
      <c r="A232" s="1"/>
      <c r="L232" s="1"/>
      <c r="M232" s="1"/>
      <c r="W232" s="1"/>
    </row>
    <row r="233" spans="1:23" x14ac:dyDescent="0.25">
      <c r="A233" s="1"/>
      <c r="L233" s="1"/>
      <c r="M233" s="1"/>
      <c r="W233" s="1"/>
    </row>
    <row r="234" spans="1:23" x14ac:dyDescent="0.25">
      <c r="A234" s="1"/>
      <c r="L234" s="1"/>
      <c r="M234" s="1"/>
      <c r="W234" s="1"/>
    </row>
    <row r="235" spans="1:23" x14ac:dyDescent="0.25">
      <c r="A235" s="1"/>
      <c r="L235" s="1"/>
      <c r="M235" s="1"/>
      <c r="W235" s="1"/>
    </row>
    <row r="236" spans="1:23" x14ac:dyDescent="0.25">
      <c r="A236" s="1"/>
      <c r="L236" s="1"/>
      <c r="M236" s="1"/>
      <c r="W236" s="1"/>
    </row>
    <row r="237" spans="1:23" x14ac:dyDescent="0.25">
      <c r="A237" s="1"/>
      <c r="L237" s="1"/>
      <c r="M237" s="1"/>
      <c r="W237" s="1"/>
    </row>
    <row r="238" spans="1:23" x14ac:dyDescent="0.25">
      <c r="A238" s="1"/>
      <c r="L238" s="1"/>
      <c r="M238" s="1"/>
      <c r="W238" s="1"/>
    </row>
    <row r="239" spans="1:23" x14ac:dyDescent="0.25">
      <c r="A239" s="1"/>
      <c r="L239" s="1"/>
      <c r="M239" s="1"/>
      <c r="W239" s="1"/>
    </row>
    <row r="240" spans="1:23" x14ac:dyDescent="0.25">
      <c r="A240" s="1"/>
      <c r="L240" s="1"/>
      <c r="M240" s="1"/>
      <c r="W240" s="1"/>
    </row>
    <row r="241" spans="1:23" x14ac:dyDescent="0.25">
      <c r="A241" s="1"/>
      <c r="L241" s="1"/>
      <c r="M241" s="1"/>
      <c r="W241" s="1"/>
    </row>
    <row r="242" spans="1:23" x14ac:dyDescent="0.25">
      <c r="A242" s="1"/>
      <c r="L242" s="1"/>
      <c r="M242" s="1"/>
      <c r="W242" s="1"/>
    </row>
    <row r="243" spans="1:23" x14ac:dyDescent="0.25">
      <c r="A243" s="1"/>
      <c r="L243" s="1"/>
      <c r="M243" s="1"/>
      <c r="W243" s="1"/>
    </row>
    <row r="244" spans="1:23" x14ac:dyDescent="0.25">
      <c r="A244" s="1"/>
      <c r="L244" s="1"/>
      <c r="M244" s="1"/>
      <c r="W244" s="1"/>
    </row>
    <row r="245" spans="1:23" x14ac:dyDescent="0.25">
      <c r="A245" s="1"/>
      <c r="L245" s="1"/>
      <c r="M245" s="1"/>
      <c r="W245" s="1"/>
    </row>
    <row r="246" spans="1:23" x14ac:dyDescent="0.25">
      <c r="A246" s="1"/>
      <c r="L246" s="1"/>
      <c r="M246" s="1"/>
      <c r="W246" s="1"/>
    </row>
    <row r="247" spans="1:23" x14ac:dyDescent="0.25">
      <c r="A247" s="1"/>
      <c r="L247" s="1"/>
      <c r="M247" s="1"/>
      <c r="W247" s="1"/>
    </row>
    <row r="248" spans="1:23" x14ac:dyDescent="0.25">
      <c r="A248" s="1"/>
      <c r="L248" s="1"/>
      <c r="M248" s="1"/>
      <c r="W248" s="1"/>
    </row>
    <row r="249" spans="1:23" x14ac:dyDescent="0.25">
      <c r="A249" s="1"/>
      <c r="L249" s="1"/>
      <c r="M249" s="1"/>
      <c r="W249" s="1"/>
    </row>
    <row r="250" spans="1:23" x14ac:dyDescent="0.25">
      <c r="A250" s="1"/>
      <c r="L250" s="1"/>
      <c r="M250" s="1"/>
      <c r="W250" s="1"/>
    </row>
    <row r="251" spans="1:23" x14ac:dyDescent="0.25">
      <c r="A251" s="1"/>
      <c r="L251" s="1"/>
      <c r="M251" s="1"/>
      <c r="W251" s="1"/>
    </row>
    <row r="252" spans="1:23" x14ac:dyDescent="0.25">
      <c r="A252" s="1"/>
      <c r="L252" s="1"/>
      <c r="M252" s="1"/>
      <c r="W252" s="1"/>
    </row>
    <row r="253" spans="1:23" x14ac:dyDescent="0.25">
      <c r="A253" s="1"/>
      <c r="L253" s="1"/>
      <c r="M253" s="1"/>
      <c r="W253" s="1"/>
    </row>
    <row r="254" spans="1:23" x14ac:dyDescent="0.25">
      <c r="A254" s="1"/>
      <c r="L254" s="1"/>
      <c r="M254" s="1"/>
      <c r="W254" s="1"/>
    </row>
    <row r="255" spans="1:23" x14ac:dyDescent="0.25">
      <c r="A255" s="1"/>
      <c r="L255" s="1"/>
      <c r="M255" s="1"/>
      <c r="W255" s="1"/>
    </row>
    <row r="256" spans="1:23" x14ac:dyDescent="0.25">
      <c r="A256" s="1"/>
      <c r="L256" s="1"/>
      <c r="M256" s="1"/>
      <c r="W256" s="1"/>
    </row>
    <row r="257" spans="1:23" x14ac:dyDescent="0.25">
      <c r="A257" s="1"/>
      <c r="L257" s="1"/>
      <c r="M257" s="1"/>
      <c r="W257" s="1"/>
    </row>
    <row r="258" spans="1:23" x14ac:dyDescent="0.25">
      <c r="A258" s="1"/>
      <c r="L258" s="1"/>
      <c r="M258" s="1"/>
      <c r="W258" s="1"/>
    </row>
    <row r="259" spans="1:23" x14ac:dyDescent="0.25">
      <c r="A259" s="1"/>
      <c r="L259" s="1"/>
      <c r="M259" s="1"/>
      <c r="W259" s="1"/>
    </row>
    <row r="260" spans="1:23" x14ac:dyDescent="0.25">
      <c r="A260" s="1"/>
      <c r="L260" s="1"/>
      <c r="M260" s="1"/>
      <c r="W260" s="1"/>
    </row>
    <row r="261" spans="1:23" x14ac:dyDescent="0.25">
      <c r="A261" s="1"/>
      <c r="L261" s="1"/>
      <c r="M261" s="1"/>
      <c r="W261" s="1"/>
    </row>
    <row r="262" spans="1:23" x14ac:dyDescent="0.25">
      <c r="A262" s="1"/>
      <c r="L262" s="1"/>
      <c r="M262" s="1"/>
      <c r="W262" s="1"/>
    </row>
    <row r="263" spans="1:23" x14ac:dyDescent="0.25">
      <c r="A263" s="1"/>
      <c r="L263" s="1"/>
      <c r="M263" s="1"/>
      <c r="W263" s="1"/>
    </row>
    <row r="264" spans="1:23" x14ac:dyDescent="0.25">
      <c r="A264" s="1"/>
      <c r="L264" s="1"/>
      <c r="M264" s="1"/>
      <c r="W264" s="1"/>
    </row>
    <row r="265" spans="1:23" x14ac:dyDescent="0.25">
      <c r="A265" s="1"/>
      <c r="L265" s="1"/>
      <c r="M265" s="1"/>
      <c r="W265" s="1"/>
    </row>
    <row r="266" spans="1:23" x14ac:dyDescent="0.25">
      <c r="A266" s="1"/>
      <c r="L266" s="1"/>
      <c r="M266" s="1"/>
      <c r="W266" s="1"/>
    </row>
    <row r="267" spans="1:23" x14ac:dyDescent="0.25">
      <c r="A267" s="1"/>
      <c r="L267" s="1"/>
      <c r="M267" s="1"/>
      <c r="W267" s="1"/>
    </row>
    <row r="268" spans="1:23" x14ac:dyDescent="0.25">
      <c r="A268" s="1"/>
      <c r="L268" s="1"/>
      <c r="M268" s="1"/>
      <c r="W268" s="1"/>
    </row>
    <row r="269" spans="1:23" x14ac:dyDescent="0.25">
      <c r="A269" s="1"/>
      <c r="L269" s="1"/>
      <c r="M269" s="1"/>
      <c r="W269" s="1"/>
    </row>
    <row r="270" spans="1:23" x14ac:dyDescent="0.25">
      <c r="A270" s="1"/>
      <c r="L270" s="1"/>
      <c r="M270" s="1"/>
      <c r="W270" s="1"/>
    </row>
    <row r="271" spans="1:23" x14ac:dyDescent="0.25">
      <c r="A271" s="1"/>
      <c r="L271" s="1"/>
      <c r="M271" s="1"/>
      <c r="W271" s="1"/>
    </row>
    <row r="272" spans="1:23" x14ac:dyDescent="0.25">
      <c r="A272" s="1"/>
      <c r="L272" s="1"/>
      <c r="M272" s="1"/>
      <c r="W272" s="1"/>
    </row>
    <row r="273" spans="1:23" x14ac:dyDescent="0.25">
      <c r="A273" s="1"/>
      <c r="L273" s="1"/>
      <c r="M273" s="1"/>
      <c r="W273" s="1"/>
    </row>
    <row r="274" spans="1:23" x14ac:dyDescent="0.25">
      <c r="A274" s="1"/>
      <c r="L274" s="1"/>
      <c r="M274" s="1"/>
      <c r="W274" s="1"/>
    </row>
    <row r="275" spans="1:23" x14ac:dyDescent="0.25">
      <c r="A275" s="1"/>
      <c r="L275" s="1"/>
      <c r="M275" s="1"/>
      <c r="W275" s="1"/>
    </row>
    <row r="276" spans="1:23" x14ac:dyDescent="0.25">
      <c r="A276" s="1"/>
      <c r="L276" s="1"/>
      <c r="M276" s="1"/>
      <c r="W276" s="1"/>
    </row>
    <row r="277" spans="1:23" x14ac:dyDescent="0.25">
      <c r="A277" s="1"/>
      <c r="L277" s="1"/>
      <c r="M277" s="1"/>
      <c r="W277" s="1"/>
    </row>
    <row r="278" spans="1:23" x14ac:dyDescent="0.25">
      <c r="A278" s="1"/>
      <c r="L278" s="1"/>
      <c r="M278" s="1"/>
      <c r="W278" s="1"/>
    </row>
    <row r="279" spans="1:23" x14ac:dyDescent="0.25">
      <c r="A279" s="1"/>
      <c r="L279" s="1"/>
      <c r="M279" s="1"/>
      <c r="W279" s="1"/>
    </row>
    <row r="280" spans="1:23" x14ac:dyDescent="0.25">
      <c r="A280" s="1"/>
      <c r="L280" s="1"/>
      <c r="M280" s="1"/>
      <c r="W280" s="1"/>
    </row>
    <row r="281" spans="1:23" x14ac:dyDescent="0.25">
      <c r="A281" s="1"/>
      <c r="L281" s="1"/>
      <c r="M281" s="1"/>
      <c r="W281" s="1"/>
    </row>
    <row r="282" spans="1:23" x14ac:dyDescent="0.25">
      <c r="A282" s="1"/>
      <c r="L282" s="1"/>
      <c r="M282" s="1"/>
      <c r="W282" s="1"/>
    </row>
    <row r="283" spans="1:23" x14ac:dyDescent="0.25">
      <c r="A283" s="1"/>
      <c r="L283" s="1"/>
      <c r="M283" s="1"/>
      <c r="W283" s="1"/>
    </row>
    <row r="284" spans="1:23" x14ac:dyDescent="0.25">
      <c r="A284" s="1"/>
      <c r="L284" s="1"/>
      <c r="M284" s="1"/>
      <c r="W284" s="1"/>
    </row>
    <row r="285" spans="1:23" x14ac:dyDescent="0.25">
      <c r="A285" s="1"/>
      <c r="L285" s="1"/>
      <c r="M285" s="1"/>
      <c r="W285" s="1"/>
    </row>
    <row r="286" spans="1:23" x14ac:dyDescent="0.25">
      <c r="A286" s="1"/>
      <c r="L286" s="1"/>
      <c r="M286" s="1"/>
      <c r="W286" s="1"/>
    </row>
    <row r="287" spans="1:23" x14ac:dyDescent="0.25">
      <c r="A287" s="1"/>
      <c r="L287" s="1"/>
      <c r="M287" s="1"/>
      <c r="W287" s="1"/>
    </row>
    <row r="288" spans="1:23" x14ac:dyDescent="0.25">
      <c r="A288" s="1"/>
      <c r="L288" s="1"/>
      <c r="M288" s="1"/>
      <c r="W288" s="1"/>
    </row>
    <row r="289" spans="1:23" x14ac:dyDescent="0.25">
      <c r="A289" s="1"/>
      <c r="L289" s="1"/>
      <c r="M289" s="1"/>
      <c r="W289" s="1"/>
    </row>
    <row r="290" spans="1:23" x14ac:dyDescent="0.25">
      <c r="A290" s="1"/>
      <c r="L290" s="1"/>
      <c r="M290" s="1"/>
      <c r="N290" s="1"/>
      <c r="W290" s="1"/>
    </row>
    <row r="291" spans="1:23" x14ac:dyDescent="0.25">
      <c r="A291" s="1"/>
      <c r="L291" s="1"/>
      <c r="M291" s="1"/>
      <c r="N291" s="1"/>
      <c r="W291" s="1"/>
    </row>
    <row r="292" spans="1:23" x14ac:dyDescent="0.25">
      <c r="A292" s="1"/>
      <c r="L292" s="1"/>
      <c r="M292" s="1"/>
      <c r="W292" s="1"/>
    </row>
    <row r="293" spans="1:23" x14ac:dyDescent="0.25">
      <c r="A293" s="1"/>
      <c r="L293" s="1"/>
      <c r="M293" s="1"/>
      <c r="W293" s="1"/>
    </row>
    <row r="294" spans="1:23" x14ac:dyDescent="0.25">
      <c r="A294" s="1"/>
      <c r="L294" s="1"/>
      <c r="M294" s="1"/>
      <c r="W294" s="1"/>
    </row>
    <row r="295" spans="1:23" x14ac:dyDescent="0.25">
      <c r="A295" s="1"/>
      <c r="L295" s="1"/>
      <c r="M295" s="1"/>
      <c r="W295" s="1"/>
    </row>
    <row r="296" spans="1:23" x14ac:dyDescent="0.25">
      <c r="A296" s="1"/>
      <c r="L296" s="1"/>
      <c r="M296" s="1"/>
      <c r="W296" s="1"/>
    </row>
    <row r="297" spans="1:23" x14ac:dyDescent="0.25">
      <c r="A297" s="1"/>
      <c r="L297" s="1"/>
      <c r="M297" s="1"/>
      <c r="W297" s="1"/>
    </row>
    <row r="298" spans="1:23" x14ac:dyDescent="0.25">
      <c r="A298" s="1"/>
      <c r="L298" s="1"/>
      <c r="M298" s="1"/>
      <c r="W298" s="1"/>
    </row>
    <row r="299" spans="1:23" x14ac:dyDescent="0.25">
      <c r="A299" s="1"/>
      <c r="L299" s="1"/>
      <c r="M299" s="1"/>
      <c r="W299" s="1"/>
    </row>
    <row r="300" spans="1:23" x14ac:dyDescent="0.25">
      <c r="A300" s="1"/>
      <c r="L300" s="1"/>
      <c r="M300" s="1"/>
      <c r="W300" s="1"/>
    </row>
    <row r="301" spans="1:23" x14ac:dyDescent="0.25">
      <c r="A301" s="1"/>
      <c r="L301" s="1"/>
      <c r="M301" s="1"/>
      <c r="W301" s="1"/>
    </row>
    <row r="302" spans="1:23" x14ac:dyDescent="0.25">
      <c r="A302" s="1"/>
      <c r="L302" s="1"/>
      <c r="M302" s="1"/>
      <c r="W302" s="1"/>
    </row>
    <row r="303" spans="1:23" x14ac:dyDescent="0.25">
      <c r="A303" s="1"/>
      <c r="L303" s="1"/>
      <c r="M303" s="1"/>
      <c r="W303" s="1"/>
    </row>
    <row r="304" spans="1:23" x14ac:dyDescent="0.25">
      <c r="A304" s="1"/>
      <c r="L304" s="1"/>
      <c r="M304" s="1"/>
      <c r="W304" s="1"/>
    </row>
    <row r="305" spans="1:23" x14ac:dyDescent="0.25">
      <c r="A305" s="1"/>
      <c r="L305" s="1"/>
      <c r="M305" s="1"/>
      <c r="W305" s="1"/>
    </row>
    <row r="306" spans="1:23" x14ac:dyDescent="0.25">
      <c r="A306" s="1"/>
      <c r="L306" s="1"/>
      <c r="M306" s="1"/>
      <c r="W306" s="1"/>
    </row>
    <row r="307" spans="1:23" x14ac:dyDescent="0.25">
      <c r="A307" s="1"/>
      <c r="L307" s="1"/>
      <c r="M307" s="1"/>
      <c r="W307" s="1"/>
    </row>
    <row r="308" spans="1:23" x14ac:dyDescent="0.25">
      <c r="A308" s="1"/>
      <c r="L308" s="1"/>
      <c r="M308" s="1"/>
      <c r="W308" s="1"/>
    </row>
    <row r="309" spans="1:23" x14ac:dyDescent="0.25">
      <c r="A309" s="1"/>
      <c r="L309" s="1"/>
      <c r="M309" s="1"/>
      <c r="W309" s="1"/>
    </row>
    <row r="310" spans="1:23" x14ac:dyDescent="0.25">
      <c r="A310" s="1"/>
      <c r="L310" s="1"/>
      <c r="M310" s="1"/>
      <c r="W310" s="1"/>
    </row>
    <row r="311" spans="1:23" x14ac:dyDescent="0.25">
      <c r="A311" s="1"/>
      <c r="L311" s="1"/>
      <c r="M311" s="1"/>
      <c r="W311" s="1"/>
    </row>
    <row r="312" spans="1:23" x14ac:dyDescent="0.25">
      <c r="A312" s="1"/>
      <c r="L312" s="1"/>
      <c r="M312" s="1"/>
      <c r="W312" s="1"/>
    </row>
    <row r="313" spans="1:23" x14ac:dyDescent="0.25">
      <c r="A313" s="1"/>
      <c r="L313" s="1"/>
      <c r="M313" s="1"/>
      <c r="W313" s="1"/>
    </row>
    <row r="314" spans="1:23" x14ac:dyDescent="0.25">
      <c r="A314" s="1"/>
      <c r="L314" s="1"/>
      <c r="M314" s="1"/>
      <c r="W314" s="1"/>
    </row>
    <row r="315" spans="1:23" x14ac:dyDescent="0.25">
      <c r="A315" s="1"/>
      <c r="L315" s="1"/>
      <c r="M315" s="1"/>
      <c r="W315" s="1"/>
    </row>
    <row r="316" spans="1:23" x14ac:dyDescent="0.25">
      <c r="A316" s="1"/>
      <c r="L316" s="1"/>
      <c r="M316" s="1"/>
      <c r="W316" s="1"/>
    </row>
    <row r="317" spans="1:23" x14ac:dyDescent="0.25">
      <c r="A317" s="1"/>
      <c r="L317" s="1"/>
      <c r="M317" s="1"/>
      <c r="W317" s="1"/>
    </row>
    <row r="318" spans="1:23" x14ac:dyDescent="0.25">
      <c r="A318" s="1"/>
      <c r="L318" s="1"/>
      <c r="M318" s="1"/>
      <c r="W318" s="1"/>
    </row>
    <row r="319" spans="1:23" x14ac:dyDescent="0.25">
      <c r="A319" s="1"/>
      <c r="L319" s="1"/>
      <c r="M319" s="1"/>
      <c r="W319" s="1"/>
    </row>
    <row r="320" spans="1:23" x14ac:dyDescent="0.25">
      <c r="A320" s="1"/>
      <c r="L320" s="1"/>
      <c r="M320" s="1"/>
      <c r="W320" s="1"/>
    </row>
    <row r="321" spans="1:23" x14ac:dyDescent="0.25">
      <c r="A321" s="1"/>
      <c r="L321" s="1"/>
      <c r="M321" s="1"/>
      <c r="W321" s="1"/>
    </row>
    <row r="322" spans="1:23" x14ac:dyDescent="0.25">
      <c r="A322" s="1"/>
      <c r="L322" s="1"/>
      <c r="M322" s="1"/>
      <c r="W322" s="1"/>
    </row>
    <row r="323" spans="1:23" x14ac:dyDescent="0.25">
      <c r="A323" s="1"/>
      <c r="L323" s="1"/>
      <c r="M323" s="1"/>
      <c r="W323" s="1"/>
    </row>
    <row r="324" spans="1:23" x14ac:dyDescent="0.25">
      <c r="A324" s="1"/>
      <c r="L324" s="1"/>
      <c r="M324" s="1"/>
      <c r="W324" s="1"/>
    </row>
    <row r="325" spans="1:23" x14ac:dyDescent="0.25">
      <c r="A325" s="1"/>
      <c r="L325" s="1"/>
      <c r="M325" s="1"/>
      <c r="W325" s="1"/>
    </row>
    <row r="326" spans="1:23" x14ac:dyDescent="0.25">
      <c r="A326" s="1"/>
      <c r="L326" s="1"/>
      <c r="M326" s="1"/>
      <c r="W326" s="1"/>
    </row>
    <row r="327" spans="1:23" x14ac:dyDescent="0.25">
      <c r="A327" s="1"/>
      <c r="L327" s="1"/>
      <c r="M327" s="1"/>
      <c r="W327" s="1"/>
    </row>
    <row r="328" spans="1:23" x14ac:dyDescent="0.25">
      <c r="A328" s="1"/>
      <c r="L328" s="1"/>
      <c r="M328" s="1"/>
      <c r="W328" s="1"/>
    </row>
    <row r="329" spans="1:23" x14ac:dyDescent="0.25">
      <c r="A329" s="1"/>
      <c r="L329" s="1"/>
      <c r="M329" s="1"/>
      <c r="W329" s="1"/>
    </row>
    <row r="330" spans="1:23" x14ac:dyDescent="0.25">
      <c r="A330" s="1"/>
      <c r="L330" s="1"/>
      <c r="M330" s="1"/>
      <c r="W330" s="1"/>
    </row>
    <row r="331" spans="1:23" x14ac:dyDescent="0.25">
      <c r="A331" s="1"/>
      <c r="L331" s="1"/>
      <c r="M331" s="1"/>
      <c r="W331" s="1"/>
    </row>
    <row r="332" spans="1:23" x14ac:dyDescent="0.25">
      <c r="A332" s="1"/>
      <c r="L332" s="1"/>
      <c r="M332" s="1"/>
      <c r="W332" s="1"/>
    </row>
    <row r="333" spans="1:23" x14ac:dyDescent="0.25">
      <c r="A333" s="1"/>
      <c r="L333" s="1"/>
      <c r="M333" s="1"/>
      <c r="W333" s="1"/>
    </row>
    <row r="334" spans="1:23" x14ac:dyDescent="0.25">
      <c r="A334" s="1"/>
      <c r="L334" s="1"/>
      <c r="M334" s="1"/>
      <c r="W334" s="1"/>
    </row>
    <row r="335" spans="1:23" x14ac:dyDescent="0.25">
      <c r="A335" s="1"/>
      <c r="L335" s="1"/>
      <c r="M335" s="1"/>
      <c r="W335" s="1"/>
    </row>
    <row r="336" spans="1:23" x14ac:dyDescent="0.25">
      <c r="A336" s="1"/>
      <c r="L336" s="1"/>
      <c r="M336" s="1"/>
      <c r="W336" s="1"/>
    </row>
    <row r="337" spans="1:23" x14ac:dyDescent="0.25">
      <c r="A337" s="1"/>
      <c r="L337" s="1"/>
      <c r="M337" s="1"/>
      <c r="W337" s="1"/>
    </row>
    <row r="338" spans="1:23" x14ac:dyDescent="0.25">
      <c r="A338" s="1"/>
      <c r="L338" s="1"/>
      <c r="M338" s="1"/>
      <c r="W338" s="1"/>
    </row>
    <row r="339" spans="1:23" x14ac:dyDescent="0.25">
      <c r="A339" s="1"/>
      <c r="L339" s="1"/>
      <c r="M339" s="1"/>
      <c r="W339" s="1"/>
    </row>
    <row r="340" spans="1:23" x14ac:dyDescent="0.25">
      <c r="A340" s="1"/>
      <c r="L340" s="1"/>
      <c r="M340" s="1"/>
      <c r="W340" s="1"/>
    </row>
    <row r="341" spans="1:23" x14ac:dyDescent="0.25">
      <c r="A341" s="1"/>
      <c r="L341" s="1"/>
      <c r="M341" s="1"/>
      <c r="W341" s="1"/>
    </row>
    <row r="342" spans="1:23" x14ac:dyDescent="0.25">
      <c r="A342" s="1"/>
      <c r="L342" s="1"/>
      <c r="M342" s="1"/>
      <c r="W342" s="1"/>
    </row>
    <row r="343" spans="1:23" x14ac:dyDescent="0.25">
      <c r="A343" s="1"/>
      <c r="L343" s="1"/>
      <c r="M343" s="1"/>
      <c r="W343" s="1"/>
    </row>
    <row r="344" spans="1:23" x14ac:dyDescent="0.25">
      <c r="A344" s="1"/>
      <c r="L344" s="1"/>
      <c r="M344" s="1"/>
      <c r="W344" s="1"/>
    </row>
    <row r="345" spans="1:23" x14ac:dyDescent="0.25">
      <c r="A345" s="1"/>
      <c r="L345" s="1"/>
      <c r="M345" s="1"/>
      <c r="W345" s="1"/>
    </row>
    <row r="346" spans="1:23" x14ac:dyDescent="0.25">
      <c r="A346" s="1"/>
      <c r="L346" s="1"/>
      <c r="M346" s="1"/>
      <c r="W346" s="1"/>
    </row>
    <row r="347" spans="1:23" x14ac:dyDescent="0.25">
      <c r="A347" s="1"/>
      <c r="L347" s="1"/>
      <c r="M347" s="1"/>
      <c r="W347" s="1"/>
    </row>
    <row r="348" spans="1:23" x14ac:dyDescent="0.25">
      <c r="A348" s="1"/>
      <c r="L348" s="1"/>
      <c r="M348" s="1"/>
      <c r="W348" s="1"/>
    </row>
    <row r="349" spans="1:23" x14ac:dyDescent="0.25">
      <c r="A349" s="1"/>
      <c r="L349" s="1"/>
      <c r="M349" s="1"/>
      <c r="W349" s="1"/>
    </row>
    <row r="350" spans="1:23" x14ac:dyDescent="0.25">
      <c r="A350" s="1"/>
      <c r="L350" s="1"/>
      <c r="M350" s="1"/>
      <c r="W350" s="1"/>
    </row>
    <row r="351" spans="1:23" x14ac:dyDescent="0.25">
      <c r="A351" s="1"/>
      <c r="L351" s="1"/>
      <c r="M351" s="1"/>
      <c r="W351" s="1"/>
    </row>
    <row r="352" spans="1:23" x14ac:dyDescent="0.25">
      <c r="A352" s="1"/>
      <c r="L352" s="1"/>
      <c r="M352" s="1"/>
      <c r="W352" s="1"/>
    </row>
    <row r="353" spans="1:23" x14ac:dyDescent="0.25">
      <c r="A353" s="1"/>
      <c r="L353" s="1"/>
      <c r="M353" s="1"/>
      <c r="W353" s="1"/>
    </row>
    <row r="354" spans="1:23" x14ac:dyDescent="0.25">
      <c r="A354" s="1"/>
      <c r="L354" s="1"/>
      <c r="M354" s="1"/>
      <c r="W354" s="1"/>
    </row>
    <row r="355" spans="1:23" x14ac:dyDescent="0.25">
      <c r="A355" s="1"/>
      <c r="L355" s="1"/>
      <c r="M355" s="1"/>
      <c r="W355" s="1"/>
    </row>
    <row r="356" spans="1:23" x14ac:dyDescent="0.25">
      <c r="A356" s="1"/>
      <c r="L356" s="1"/>
      <c r="M356" s="1"/>
      <c r="W356" s="1"/>
    </row>
    <row r="357" spans="1:23" x14ac:dyDescent="0.25">
      <c r="A357" s="1"/>
      <c r="L357" s="1"/>
      <c r="M357" s="1"/>
      <c r="W357" s="1"/>
    </row>
    <row r="358" spans="1:23" x14ac:dyDescent="0.25">
      <c r="A358" s="1"/>
      <c r="L358" s="1"/>
      <c r="M358" s="1"/>
      <c r="W358" s="1"/>
    </row>
    <row r="359" spans="1:23" x14ac:dyDescent="0.25">
      <c r="A359" s="1"/>
      <c r="L359" s="1"/>
      <c r="M359" s="1"/>
      <c r="W359" s="1"/>
    </row>
    <row r="360" spans="1:23" x14ac:dyDescent="0.25">
      <c r="A360" s="1"/>
      <c r="L360" s="1"/>
      <c r="M360" s="1"/>
      <c r="W360" s="1"/>
    </row>
    <row r="363" spans="1:23" x14ac:dyDescent="0.25">
      <c r="A363" t="s">
        <v>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8EBE6-7E01-4AE8-94CC-B0FE5F4D9C5A}">
  <dimension ref="A1:L360"/>
  <sheetViews>
    <sheetView tabSelected="1" workbookViewId="0">
      <selection activeCell="B7" sqref="B7"/>
    </sheetView>
  </sheetViews>
  <sheetFormatPr defaultRowHeight="15" x14ac:dyDescent="0.25"/>
  <cols>
    <col min="1" max="2" width="16.85546875" bestFit="1" customWidth="1"/>
    <col min="3" max="3" width="23.7109375" bestFit="1" customWidth="1"/>
    <col min="4" max="4" width="12.85546875" bestFit="1" customWidth="1"/>
    <col min="5" max="5" width="26.5703125" bestFit="1" customWidth="1"/>
    <col min="6" max="6" width="17.140625" customWidth="1"/>
    <col min="7" max="7" width="12.5703125" bestFit="1" customWidth="1"/>
    <col min="8" max="8" width="10.42578125" bestFit="1" customWidth="1"/>
    <col min="9" max="9" width="17.28515625" bestFit="1" customWidth="1"/>
    <col min="10" max="10" width="21.5703125" bestFit="1" customWidth="1"/>
    <col min="11" max="11" width="13.5703125" bestFit="1" customWidth="1"/>
  </cols>
  <sheetData>
    <row r="1" spans="1:11" s="3" customFormat="1" x14ac:dyDescent="0.25">
      <c r="A1" s="3" t="s">
        <v>1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12</v>
      </c>
      <c r="H1" s="3" t="s">
        <v>13</v>
      </c>
      <c r="I1" s="3" t="s">
        <v>14</v>
      </c>
      <c r="J1" s="3" t="s">
        <v>16</v>
      </c>
      <c r="K1" s="3" t="s">
        <v>20</v>
      </c>
    </row>
    <row r="2" spans="1:11" s="4" customFormat="1" x14ac:dyDescent="0.25">
      <c r="A2" s="4" t="s">
        <v>107</v>
      </c>
      <c r="B2" s="4" t="str">
        <f>CONCATENATE(A2,61)</f>
        <v>4GW9W30PQ0061</v>
      </c>
      <c r="C2" s="4" t="s">
        <v>546</v>
      </c>
      <c r="D2" s="4" t="s">
        <v>66</v>
      </c>
      <c r="E2" s="4" t="s">
        <v>109</v>
      </c>
      <c r="F2" s="4" t="s">
        <v>348</v>
      </c>
      <c r="G2" s="5">
        <v>45658</v>
      </c>
      <c r="I2" s="4">
        <v>19606009</v>
      </c>
      <c r="J2" s="4" t="s">
        <v>110</v>
      </c>
      <c r="K2" s="4">
        <v>-40</v>
      </c>
    </row>
    <row r="3" spans="1:11" s="4" customFormat="1" x14ac:dyDescent="0.25">
      <c r="A3" s="4" t="s">
        <v>173</v>
      </c>
      <c r="B3" s="4" t="str">
        <f>CONCATENATE(A3,61)</f>
        <v>2XN7V29RG4461</v>
      </c>
      <c r="C3" s="4" t="s">
        <v>547</v>
      </c>
      <c r="D3" s="4" t="s">
        <v>66</v>
      </c>
      <c r="E3" s="4" t="s">
        <v>27</v>
      </c>
      <c r="F3" s="4" t="s">
        <v>348</v>
      </c>
      <c r="G3" s="5">
        <v>45597</v>
      </c>
      <c r="I3" s="4">
        <v>17886092</v>
      </c>
      <c r="J3" s="4" t="s">
        <v>69</v>
      </c>
      <c r="K3" s="4">
        <v>125</v>
      </c>
    </row>
    <row r="4" spans="1:11" s="4" customFormat="1" x14ac:dyDescent="0.25">
      <c r="A4" s="4" t="s">
        <v>278</v>
      </c>
      <c r="B4" s="4" t="str">
        <f>CONCATENATE(A4,61)</f>
        <v>7AT7Y37DF7661</v>
      </c>
      <c r="C4" s="4" t="s">
        <v>548</v>
      </c>
      <c r="D4" s="4" t="s">
        <v>66</v>
      </c>
      <c r="E4" s="4" t="s">
        <v>27</v>
      </c>
      <c r="F4" s="4" t="s">
        <v>348</v>
      </c>
      <c r="G4" s="5">
        <v>45627</v>
      </c>
      <c r="I4" s="4">
        <v>17886092</v>
      </c>
      <c r="J4" s="4" t="s">
        <v>69</v>
      </c>
      <c r="K4" s="4">
        <v>3.34</v>
      </c>
    </row>
    <row r="5" spans="1:11" s="4" customFormat="1" x14ac:dyDescent="0.25">
      <c r="A5" s="4" t="s">
        <v>64</v>
      </c>
      <c r="B5" s="4" t="str">
        <f>CONCATENATE(A5,61)</f>
        <v>4HW9UK8FC1761</v>
      </c>
      <c r="C5" s="4" t="s">
        <v>549</v>
      </c>
      <c r="D5" s="4" t="s">
        <v>66</v>
      </c>
      <c r="E5" s="4" t="s">
        <v>27</v>
      </c>
      <c r="F5" s="4" t="s">
        <v>348</v>
      </c>
      <c r="G5" s="5">
        <v>45658</v>
      </c>
      <c r="I5" s="4">
        <v>17886092</v>
      </c>
      <c r="J5" s="4" t="s">
        <v>69</v>
      </c>
      <c r="K5" s="4">
        <v>40</v>
      </c>
    </row>
    <row r="6" spans="1:11" s="4" customFormat="1" x14ac:dyDescent="0.25">
      <c r="A6" s="4" t="s">
        <v>107</v>
      </c>
      <c r="B6" s="4" t="str">
        <f>CONCATENATE(A6,61)</f>
        <v>4GW9W30PQ0061</v>
      </c>
      <c r="C6" s="4" t="s">
        <v>546</v>
      </c>
      <c r="D6" s="4" t="s">
        <v>66</v>
      </c>
      <c r="E6" s="4" t="s">
        <v>27</v>
      </c>
      <c r="F6" s="4" t="s">
        <v>348</v>
      </c>
      <c r="G6" s="5">
        <v>45658</v>
      </c>
      <c r="I6" s="4">
        <v>17886092</v>
      </c>
      <c r="J6" s="4" t="s">
        <v>69</v>
      </c>
      <c r="K6" s="4">
        <v>40</v>
      </c>
    </row>
    <row r="7" spans="1:11" s="4" customFormat="1" x14ac:dyDescent="0.25">
      <c r="A7" s="4" t="s">
        <v>126</v>
      </c>
      <c r="B7" s="4" t="str">
        <f>CONCATENATE(A7,61)</f>
        <v>5QY5YF7GY8761</v>
      </c>
      <c r="C7" s="4" t="s">
        <v>550</v>
      </c>
      <c r="D7" s="4" t="s">
        <v>66</v>
      </c>
      <c r="E7" s="4" t="s">
        <v>27</v>
      </c>
      <c r="F7" s="4" t="s">
        <v>348</v>
      </c>
      <c r="G7" s="5">
        <v>45658</v>
      </c>
      <c r="I7" s="4">
        <v>17886092</v>
      </c>
      <c r="J7" s="4" t="s">
        <v>69</v>
      </c>
      <c r="K7" s="4">
        <v>40</v>
      </c>
    </row>
    <row r="8" spans="1:11" s="4" customFormat="1" x14ac:dyDescent="0.25">
      <c r="A8" s="4" t="s">
        <v>157</v>
      </c>
      <c r="B8" s="4" t="str">
        <f>CONCATENATE(A8,61)</f>
        <v>9HW6P45EN6561</v>
      </c>
      <c r="C8" s="4" t="s">
        <v>551</v>
      </c>
      <c r="D8" s="4" t="s">
        <v>66</v>
      </c>
      <c r="E8" s="4" t="s">
        <v>27</v>
      </c>
      <c r="F8" s="4" t="s">
        <v>348</v>
      </c>
      <c r="G8" s="5">
        <v>45658</v>
      </c>
      <c r="I8" s="4">
        <v>17886092</v>
      </c>
      <c r="J8" s="4" t="s">
        <v>69</v>
      </c>
      <c r="K8" s="4">
        <v>40</v>
      </c>
    </row>
    <row r="9" spans="1:11" s="4" customFormat="1" x14ac:dyDescent="0.25">
      <c r="A9" s="4" t="s">
        <v>159</v>
      </c>
      <c r="B9" s="4" t="str">
        <f>CONCATENATE(A9,61)</f>
        <v>2AN6FK2XQ8161</v>
      </c>
      <c r="C9" s="4" t="s">
        <v>552</v>
      </c>
      <c r="D9" s="4" t="s">
        <v>66</v>
      </c>
      <c r="E9" s="4" t="s">
        <v>27</v>
      </c>
      <c r="F9" s="4" t="s">
        <v>348</v>
      </c>
      <c r="G9" s="5">
        <v>45658</v>
      </c>
      <c r="I9" s="4">
        <v>17886092</v>
      </c>
      <c r="J9" s="4" t="s">
        <v>69</v>
      </c>
      <c r="K9" s="4">
        <v>40</v>
      </c>
    </row>
    <row r="10" spans="1:11" s="4" customFormat="1" x14ac:dyDescent="0.25">
      <c r="A10" s="4" t="s">
        <v>221</v>
      </c>
      <c r="B10" s="4" t="str">
        <f>CONCATENATE(A10,61)</f>
        <v>2JU3XM4DQ7661</v>
      </c>
      <c r="C10" s="4" t="s">
        <v>553</v>
      </c>
      <c r="D10" s="4" t="s">
        <v>66</v>
      </c>
      <c r="E10" s="4" t="s">
        <v>27</v>
      </c>
      <c r="F10" s="4" t="s">
        <v>348</v>
      </c>
      <c r="G10" s="5">
        <v>45658</v>
      </c>
      <c r="I10" s="4">
        <v>17886092</v>
      </c>
      <c r="J10" s="4" t="s">
        <v>69</v>
      </c>
      <c r="K10" s="4">
        <v>40</v>
      </c>
    </row>
    <row r="11" spans="1:11" s="4" customFormat="1" x14ac:dyDescent="0.25">
      <c r="A11" s="4" t="s">
        <v>229</v>
      </c>
      <c r="B11" s="4" t="str">
        <f>CONCATENATE(A11,61)</f>
        <v>5RQ9QH7VX1961</v>
      </c>
      <c r="C11" s="4" t="s">
        <v>554</v>
      </c>
      <c r="D11" s="4" t="s">
        <v>66</v>
      </c>
      <c r="E11" s="4" t="s">
        <v>27</v>
      </c>
      <c r="F11" s="4" t="s">
        <v>348</v>
      </c>
      <c r="G11" s="5">
        <v>45658</v>
      </c>
      <c r="I11" s="4">
        <v>17886092</v>
      </c>
      <c r="J11" s="4" t="s">
        <v>69</v>
      </c>
      <c r="K11" s="4">
        <v>40</v>
      </c>
    </row>
    <row r="12" spans="1:11" s="4" customFormat="1" x14ac:dyDescent="0.25">
      <c r="A12" s="4" t="s">
        <v>248</v>
      </c>
      <c r="B12" s="4" t="str">
        <f>CONCATENATE(A12,61)</f>
        <v>8D42Q04YD1561</v>
      </c>
      <c r="C12" s="4" t="s">
        <v>555</v>
      </c>
      <c r="D12" s="4" t="s">
        <v>66</v>
      </c>
      <c r="E12" s="4" t="s">
        <v>27</v>
      </c>
      <c r="F12" s="4" t="s">
        <v>348</v>
      </c>
      <c r="G12" s="5">
        <v>45658</v>
      </c>
      <c r="I12" s="4">
        <v>17886092</v>
      </c>
      <c r="J12" s="4" t="s">
        <v>69</v>
      </c>
      <c r="K12" s="4">
        <v>40</v>
      </c>
    </row>
    <row r="13" spans="1:11" s="4" customFormat="1" x14ac:dyDescent="0.25">
      <c r="A13" s="4" t="s">
        <v>250</v>
      </c>
      <c r="B13" s="4" t="str">
        <f>CONCATENATE(A13,61)</f>
        <v>8N07MP1RY6061</v>
      </c>
      <c r="C13" s="4" t="s">
        <v>556</v>
      </c>
      <c r="D13" s="4" t="s">
        <v>66</v>
      </c>
      <c r="E13" s="4" t="s">
        <v>27</v>
      </c>
      <c r="F13" s="4" t="s">
        <v>348</v>
      </c>
      <c r="G13" s="5">
        <v>45658</v>
      </c>
      <c r="I13" s="4">
        <v>17886092</v>
      </c>
      <c r="J13" s="4" t="s">
        <v>69</v>
      </c>
      <c r="K13" s="4">
        <v>40</v>
      </c>
    </row>
    <row r="14" spans="1:11" s="4" customFormat="1" x14ac:dyDescent="0.25">
      <c r="A14" s="4" t="s">
        <v>257</v>
      </c>
      <c r="B14" s="4" t="str">
        <f>CONCATENATE(A14,61)</f>
        <v>8A22KJ0RG9661</v>
      </c>
      <c r="C14" s="4" t="s">
        <v>557</v>
      </c>
      <c r="D14" s="4" t="s">
        <v>66</v>
      </c>
      <c r="E14" s="4" t="s">
        <v>169</v>
      </c>
      <c r="F14" s="4" t="s">
        <v>348</v>
      </c>
      <c r="G14" s="5">
        <v>45658</v>
      </c>
      <c r="H14" s="5">
        <v>45658</v>
      </c>
      <c r="I14" s="4">
        <v>17886092</v>
      </c>
      <c r="J14" s="4" t="s">
        <v>69</v>
      </c>
      <c r="K14" s="4">
        <v>-40</v>
      </c>
    </row>
    <row r="15" spans="1:11" s="4" customFormat="1" x14ac:dyDescent="0.25">
      <c r="A15" s="4" t="s">
        <v>329</v>
      </c>
      <c r="B15" s="4" t="str">
        <f>CONCATENATE(A15,61)</f>
        <v>5TH6X34KW5261</v>
      </c>
      <c r="C15" s="4" t="s">
        <v>558</v>
      </c>
      <c r="D15" s="4" t="s">
        <v>66</v>
      </c>
      <c r="E15" s="4" t="s">
        <v>27</v>
      </c>
      <c r="F15" s="4" t="s">
        <v>348</v>
      </c>
      <c r="G15" s="5">
        <v>45658</v>
      </c>
      <c r="I15" s="4">
        <v>17886092</v>
      </c>
      <c r="J15" s="4" t="s">
        <v>69</v>
      </c>
      <c r="K15" s="4">
        <v>40</v>
      </c>
    </row>
    <row r="16" spans="1:11" s="4" customFormat="1" x14ac:dyDescent="0.25">
      <c r="A16" s="4" t="s">
        <v>337</v>
      </c>
      <c r="B16" s="4" t="str">
        <f>CONCATENATE(A16,61)</f>
        <v>5PM1MA6MD2961</v>
      </c>
      <c r="C16" s="4" t="s">
        <v>559</v>
      </c>
      <c r="D16" s="4" t="s">
        <v>66</v>
      </c>
      <c r="E16" s="4" t="s">
        <v>27</v>
      </c>
      <c r="F16" s="4" t="s">
        <v>348</v>
      </c>
      <c r="G16" s="5">
        <v>45658</v>
      </c>
      <c r="I16" s="4">
        <v>17886092</v>
      </c>
      <c r="J16" s="4" t="s">
        <v>69</v>
      </c>
      <c r="K16" s="4">
        <v>40</v>
      </c>
    </row>
    <row r="17" spans="1:12" s="4" customFormat="1" x14ac:dyDescent="0.25">
      <c r="A17" s="4" t="s">
        <v>339</v>
      </c>
      <c r="B17" s="4" t="str">
        <f>CONCATENATE(A17,61)</f>
        <v>4PX6V02YQ8961</v>
      </c>
      <c r="C17" s="4" t="s">
        <v>560</v>
      </c>
      <c r="D17" s="4" t="s">
        <v>66</v>
      </c>
      <c r="E17" s="4" t="s">
        <v>27</v>
      </c>
      <c r="F17" s="4" t="s">
        <v>348</v>
      </c>
      <c r="G17" s="5">
        <v>45658</v>
      </c>
      <c r="I17" s="4">
        <v>17886092</v>
      </c>
      <c r="J17" s="4" t="s">
        <v>69</v>
      </c>
      <c r="K17" s="4">
        <v>40</v>
      </c>
    </row>
    <row r="18" spans="1:12" s="4" customFormat="1" x14ac:dyDescent="0.25">
      <c r="A18" s="4" t="s">
        <v>341</v>
      </c>
      <c r="B18" s="4" t="str">
        <f>CONCATENATE(A18,61)</f>
        <v>4NF2JW7JQ1561</v>
      </c>
      <c r="C18" s="4" t="s">
        <v>561</v>
      </c>
      <c r="D18" s="4" t="s">
        <v>66</v>
      </c>
      <c r="E18" s="4" t="s">
        <v>27</v>
      </c>
      <c r="F18" s="4" t="s">
        <v>348</v>
      </c>
      <c r="G18" s="5">
        <v>45658</v>
      </c>
      <c r="I18" s="4">
        <v>17886092</v>
      </c>
      <c r="J18" s="4" t="s">
        <v>69</v>
      </c>
      <c r="K18" s="4">
        <v>40</v>
      </c>
    </row>
    <row r="19" spans="1:12" s="4" customFormat="1" x14ac:dyDescent="0.25">
      <c r="A19" s="4" t="s">
        <v>343</v>
      </c>
      <c r="B19" s="4" t="str">
        <f>CONCATENATE(A19,61)</f>
        <v>7X68Y95PR1061</v>
      </c>
      <c r="C19" s="4" t="s">
        <v>562</v>
      </c>
      <c r="D19" s="4" t="s">
        <v>66</v>
      </c>
      <c r="E19" s="4" t="s">
        <v>27</v>
      </c>
      <c r="F19" s="4" t="s">
        <v>348</v>
      </c>
      <c r="G19" s="5">
        <v>45658</v>
      </c>
      <c r="I19" s="4">
        <v>17886092</v>
      </c>
      <c r="J19" s="4" t="s">
        <v>69</v>
      </c>
      <c r="K19" s="4">
        <v>40</v>
      </c>
    </row>
    <row r="20" spans="1:12" s="4" customFormat="1" x14ac:dyDescent="0.25">
      <c r="A20" s="4" t="s">
        <v>146</v>
      </c>
      <c r="B20" s="4" t="str">
        <f>CONCATENATE(A20,7)</f>
        <v>7VG9GR2DV297</v>
      </c>
      <c r="C20" s="4" t="s">
        <v>563</v>
      </c>
      <c r="D20" s="4" t="s">
        <v>66</v>
      </c>
      <c r="E20" s="4" t="s">
        <v>27</v>
      </c>
      <c r="F20" s="4" t="s">
        <v>355</v>
      </c>
      <c r="G20" s="5">
        <v>45627</v>
      </c>
      <c r="I20" s="4">
        <v>17528908</v>
      </c>
      <c r="J20" s="4" t="s">
        <v>94</v>
      </c>
      <c r="K20" s="4">
        <v>39.17</v>
      </c>
      <c r="L20" s="4" t="s">
        <v>352</v>
      </c>
    </row>
    <row r="21" spans="1:12" s="4" customFormat="1" x14ac:dyDescent="0.25">
      <c r="A21" s="4" t="s">
        <v>325</v>
      </c>
      <c r="B21" s="4" t="str">
        <f>CONCATENATE(A21,7)</f>
        <v>9PT5J39UR957</v>
      </c>
      <c r="C21" s="4" t="s">
        <v>564</v>
      </c>
      <c r="D21" s="4" t="s">
        <v>254</v>
      </c>
      <c r="E21" s="4" t="s">
        <v>27</v>
      </c>
      <c r="F21" s="4" t="s">
        <v>353</v>
      </c>
      <c r="G21" s="5">
        <v>45627</v>
      </c>
      <c r="I21" s="4">
        <v>16378851</v>
      </c>
      <c r="J21" s="4" t="s">
        <v>328</v>
      </c>
      <c r="K21" s="4">
        <v>35.92</v>
      </c>
      <c r="L21" s="4" t="s">
        <v>351</v>
      </c>
    </row>
    <row r="22" spans="1:12" s="4" customFormat="1" x14ac:dyDescent="0.25">
      <c r="A22" s="4" t="s">
        <v>238</v>
      </c>
      <c r="B22" s="4" t="str">
        <f>CONCATENATE(A22,7)</f>
        <v>9Y24VP8AP727</v>
      </c>
      <c r="C22" s="4" t="s">
        <v>565</v>
      </c>
      <c r="D22" s="4" t="s">
        <v>43</v>
      </c>
      <c r="E22" s="4" t="s">
        <v>27</v>
      </c>
      <c r="F22" s="4" t="s">
        <v>353</v>
      </c>
      <c r="G22" s="5">
        <v>45627</v>
      </c>
      <c r="I22" s="4">
        <v>2158366</v>
      </c>
      <c r="J22" s="4" t="s">
        <v>188</v>
      </c>
      <c r="K22" s="4">
        <v>35.92</v>
      </c>
      <c r="L22" s="4" t="s">
        <v>351</v>
      </c>
    </row>
    <row r="23" spans="1:12" s="4" customFormat="1" x14ac:dyDescent="0.25">
      <c r="A23" s="4" t="s">
        <v>272</v>
      </c>
      <c r="B23" s="4" t="str">
        <f>CONCATENATE(A23,7)</f>
        <v>9NE2RY0AV087</v>
      </c>
      <c r="C23" s="4" t="s">
        <v>566</v>
      </c>
      <c r="D23" s="4" t="s">
        <v>43</v>
      </c>
      <c r="E23" s="4" t="s">
        <v>27</v>
      </c>
      <c r="F23" s="4" t="s">
        <v>353</v>
      </c>
      <c r="G23" s="5">
        <v>45627</v>
      </c>
      <c r="I23" s="4">
        <v>7146581</v>
      </c>
      <c r="J23" s="4" t="s">
        <v>75</v>
      </c>
      <c r="K23" s="4">
        <v>35.92</v>
      </c>
      <c r="L23" s="4" t="s">
        <v>351</v>
      </c>
    </row>
    <row r="24" spans="1:12" s="4" customFormat="1" x14ac:dyDescent="0.25">
      <c r="A24" s="4" t="s">
        <v>290</v>
      </c>
      <c r="B24" s="4" t="str">
        <f>CONCATENATE(A24,7)</f>
        <v>2WG2CX0PG197</v>
      </c>
      <c r="C24" s="4" t="s">
        <v>567</v>
      </c>
      <c r="D24" s="4" t="s">
        <v>292</v>
      </c>
      <c r="E24" s="4" t="s">
        <v>27</v>
      </c>
      <c r="F24" s="4" t="s">
        <v>353</v>
      </c>
      <c r="G24" s="5">
        <v>45627</v>
      </c>
      <c r="I24" s="4">
        <v>6634327</v>
      </c>
      <c r="J24" s="4" t="s">
        <v>295</v>
      </c>
      <c r="K24" s="4">
        <v>35.92</v>
      </c>
      <c r="L24" s="4" t="s">
        <v>351</v>
      </c>
    </row>
    <row r="25" spans="1:12" s="4" customFormat="1" x14ac:dyDescent="0.25">
      <c r="A25" s="4" t="s">
        <v>123</v>
      </c>
      <c r="B25" s="4" t="str">
        <f>CONCATENATE(A25,7)</f>
        <v>6HU6ET0NF407</v>
      </c>
      <c r="C25" s="4" t="s">
        <v>568</v>
      </c>
      <c r="D25" s="4" t="s">
        <v>43</v>
      </c>
      <c r="E25" s="4" t="s">
        <v>27</v>
      </c>
      <c r="F25" s="4" t="s">
        <v>353</v>
      </c>
      <c r="G25" s="5">
        <v>45627</v>
      </c>
      <c r="H25" s="5">
        <v>45657</v>
      </c>
      <c r="I25" s="4">
        <v>16633294</v>
      </c>
      <c r="J25" s="4" t="s">
        <v>125</v>
      </c>
      <c r="K25" s="4">
        <v>35.92</v>
      </c>
      <c r="L25" s="4" t="s">
        <v>351</v>
      </c>
    </row>
    <row r="26" spans="1:12" s="4" customFormat="1" x14ac:dyDescent="0.25">
      <c r="A26" s="4" t="s">
        <v>331</v>
      </c>
      <c r="B26" s="4" t="str">
        <f>CONCATENATE(A26,7)</f>
        <v>1J51EH8NN047</v>
      </c>
      <c r="C26" s="4" t="s">
        <v>569</v>
      </c>
      <c r="D26" s="4" t="s">
        <v>333</v>
      </c>
      <c r="E26" s="4" t="s">
        <v>27</v>
      </c>
      <c r="F26" s="4" t="s">
        <v>350</v>
      </c>
      <c r="G26" s="5">
        <v>45658</v>
      </c>
      <c r="I26" s="4">
        <v>20411454</v>
      </c>
      <c r="J26" s="4" t="s">
        <v>349</v>
      </c>
      <c r="K26" s="4">
        <v>135</v>
      </c>
    </row>
    <row r="27" spans="1:12" s="4" customFormat="1" x14ac:dyDescent="0.25">
      <c r="A27" s="4" t="s">
        <v>345</v>
      </c>
      <c r="B27" s="4" t="str">
        <f>CONCATENATE(A27,7)</f>
        <v>3HE6TC9GU577</v>
      </c>
      <c r="C27" s="4" t="s">
        <v>570</v>
      </c>
      <c r="D27" s="4" t="s">
        <v>43</v>
      </c>
      <c r="E27" s="4" t="s">
        <v>27</v>
      </c>
      <c r="F27" s="4" t="s">
        <v>350</v>
      </c>
      <c r="G27" s="5">
        <v>45658</v>
      </c>
      <c r="I27" s="4">
        <v>20411454</v>
      </c>
      <c r="J27" s="4" t="s">
        <v>349</v>
      </c>
      <c r="K27" s="4">
        <v>125</v>
      </c>
    </row>
    <row r="28" spans="1:12" s="4" customFormat="1" x14ac:dyDescent="0.25">
      <c r="A28" s="4" t="s">
        <v>207</v>
      </c>
      <c r="B28" s="4" t="str">
        <f>CONCATENATE(A28,7)</f>
        <v>9N18JC8FD227</v>
      </c>
      <c r="C28" s="4" t="s">
        <v>571</v>
      </c>
      <c r="D28" s="4" t="s">
        <v>43</v>
      </c>
      <c r="E28" s="4" t="s">
        <v>27</v>
      </c>
      <c r="F28" s="4" t="s">
        <v>350</v>
      </c>
      <c r="G28" s="5">
        <v>45658</v>
      </c>
      <c r="I28" s="4">
        <v>20411454</v>
      </c>
      <c r="J28" s="4" t="s">
        <v>349</v>
      </c>
      <c r="K28" s="4">
        <v>125</v>
      </c>
    </row>
    <row r="29" spans="1:12" s="4" customFormat="1" x14ac:dyDescent="0.25">
      <c r="A29" s="4" t="s">
        <v>114</v>
      </c>
      <c r="B29" s="4" t="str">
        <f>CONCATENATE(A29,7)</f>
        <v>3XK7FR1TK557</v>
      </c>
      <c r="C29" s="4" t="s">
        <v>572</v>
      </c>
      <c r="D29" s="4" t="s">
        <v>43</v>
      </c>
      <c r="E29" s="4" t="s">
        <v>27</v>
      </c>
      <c r="F29" s="4" t="s">
        <v>350</v>
      </c>
      <c r="G29" s="5">
        <v>45658</v>
      </c>
      <c r="I29" s="4">
        <v>20411454</v>
      </c>
      <c r="J29" s="4" t="s">
        <v>349</v>
      </c>
      <c r="K29" s="4">
        <v>125</v>
      </c>
    </row>
    <row r="30" spans="1:12" s="4" customFormat="1" x14ac:dyDescent="0.25">
      <c r="A30" s="4" t="s">
        <v>183</v>
      </c>
      <c r="B30" s="4" t="str">
        <f>CONCATENATE(A30,7)</f>
        <v>8RQ7YW5YW407</v>
      </c>
      <c r="C30" s="4" t="s">
        <v>573</v>
      </c>
      <c r="D30" s="4" t="s">
        <v>43</v>
      </c>
      <c r="E30" s="4" t="s">
        <v>27</v>
      </c>
      <c r="F30" s="4" t="s">
        <v>350</v>
      </c>
      <c r="G30" s="5">
        <v>45658</v>
      </c>
      <c r="I30" s="4">
        <v>20411454</v>
      </c>
      <c r="J30" s="4" t="s">
        <v>349</v>
      </c>
      <c r="K30" s="4">
        <v>125</v>
      </c>
    </row>
    <row r="31" spans="1:12" s="4" customFormat="1" x14ac:dyDescent="0.25">
      <c r="A31" s="4" t="s">
        <v>197</v>
      </c>
      <c r="B31" s="4" t="str">
        <f>CONCATENATE(A31,7)</f>
        <v>1G41QT5RP147</v>
      </c>
      <c r="C31" s="4" t="s">
        <v>574</v>
      </c>
      <c r="D31" s="4" t="s">
        <v>43</v>
      </c>
      <c r="E31" s="4" t="s">
        <v>27</v>
      </c>
      <c r="F31" s="4" t="s">
        <v>350</v>
      </c>
      <c r="G31" s="5">
        <v>45658</v>
      </c>
      <c r="I31" s="4">
        <v>20411454</v>
      </c>
      <c r="J31" s="4" t="s">
        <v>349</v>
      </c>
      <c r="K31" s="4">
        <v>125</v>
      </c>
    </row>
    <row r="32" spans="1:12" s="4" customFormat="1" x14ac:dyDescent="0.25">
      <c r="A32" s="4" t="s">
        <v>199</v>
      </c>
      <c r="B32" s="4" t="str">
        <f>CONCATENATE(A32,7)</f>
        <v>4T58AG7RE377</v>
      </c>
      <c r="C32" s="4" t="s">
        <v>575</v>
      </c>
      <c r="D32" s="4" t="s">
        <v>43</v>
      </c>
      <c r="E32" s="4" t="s">
        <v>27</v>
      </c>
      <c r="F32" s="4" t="s">
        <v>350</v>
      </c>
      <c r="G32" s="5">
        <v>45658</v>
      </c>
      <c r="I32" s="4">
        <v>20411454</v>
      </c>
      <c r="J32" s="4" t="s">
        <v>349</v>
      </c>
      <c r="K32" s="4">
        <v>125</v>
      </c>
    </row>
    <row r="33" spans="1:11" s="4" customFormat="1" x14ac:dyDescent="0.25">
      <c r="A33" s="4" t="s">
        <v>225</v>
      </c>
      <c r="B33" s="4" t="str">
        <f>CONCATENATE(A33,7)</f>
        <v>8QN0TW4PR227</v>
      </c>
      <c r="C33" s="4" t="s">
        <v>576</v>
      </c>
      <c r="D33" s="4" t="s">
        <v>66</v>
      </c>
      <c r="E33" s="4" t="s">
        <v>27</v>
      </c>
      <c r="F33" s="4" t="s">
        <v>350</v>
      </c>
      <c r="G33" s="5">
        <v>45658</v>
      </c>
      <c r="I33" s="4">
        <v>20411454</v>
      </c>
      <c r="J33" s="4" t="s">
        <v>349</v>
      </c>
      <c r="K33" s="4">
        <v>125</v>
      </c>
    </row>
    <row r="34" spans="1:11" s="4" customFormat="1" x14ac:dyDescent="0.25">
      <c r="A34" s="4" t="s">
        <v>149</v>
      </c>
      <c r="B34" s="4" t="str">
        <f>CONCATENATE(A34,7)</f>
        <v>6M95TC8MK867</v>
      </c>
      <c r="C34" s="4" t="s">
        <v>577</v>
      </c>
      <c r="D34" s="4" t="s">
        <v>151</v>
      </c>
      <c r="E34" s="4" t="s">
        <v>27</v>
      </c>
      <c r="F34" s="4" t="s">
        <v>350</v>
      </c>
      <c r="G34" s="5">
        <v>45658</v>
      </c>
      <c r="I34" s="4">
        <v>20411454</v>
      </c>
      <c r="J34" s="4" t="s">
        <v>349</v>
      </c>
      <c r="K34" s="4">
        <v>125</v>
      </c>
    </row>
    <row r="35" spans="1:11" s="4" customFormat="1" x14ac:dyDescent="0.25">
      <c r="A35" s="4" t="s">
        <v>178</v>
      </c>
      <c r="B35" s="4" t="str">
        <f>CONCATENATE(A35,7)</f>
        <v>9FA0NJ5PQ217</v>
      </c>
      <c r="C35" s="4" t="s">
        <v>578</v>
      </c>
      <c r="D35" s="4" t="s">
        <v>43</v>
      </c>
      <c r="E35" s="4" t="s">
        <v>27</v>
      </c>
      <c r="F35" s="4" t="s">
        <v>350</v>
      </c>
      <c r="G35" s="5">
        <v>45658</v>
      </c>
      <c r="I35" s="4">
        <v>20411454</v>
      </c>
      <c r="J35" s="4" t="s">
        <v>349</v>
      </c>
      <c r="K35" s="4">
        <v>125</v>
      </c>
    </row>
    <row r="36" spans="1:11" s="4" customFormat="1" x14ac:dyDescent="0.25">
      <c r="A36" s="4" t="s">
        <v>181</v>
      </c>
      <c r="B36" s="4" t="str">
        <f>CONCATENATE(A36,7)</f>
        <v>5RF6XD2EF867</v>
      </c>
      <c r="C36" s="4" t="s">
        <v>579</v>
      </c>
      <c r="D36" s="4" t="s">
        <v>43</v>
      </c>
      <c r="E36" s="4" t="s">
        <v>27</v>
      </c>
      <c r="F36" s="4" t="s">
        <v>350</v>
      </c>
      <c r="G36" s="5">
        <v>45658</v>
      </c>
      <c r="I36" s="4">
        <v>20411454</v>
      </c>
      <c r="J36" s="4" t="s">
        <v>349</v>
      </c>
      <c r="K36" s="4">
        <v>125</v>
      </c>
    </row>
    <row r="37" spans="1:11" s="4" customFormat="1" x14ac:dyDescent="0.25">
      <c r="A37" s="4" t="s">
        <v>56</v>
      </c>
      <c r="B37" s="4" t="str">
        <f>CONCATENATE(A37,7)</f>
        <v>5JR0A21QT267</v>
      </c>
      <c r="C37" s="4" t="s">
        <v>580</v>
      </c>
      <c r="D37" s="4" t="s">
        <v>43</v>
      </c>
      <c r="E37" s="4" t="s">
        <v>27</v>
      </c>
      <c r="F37" s="4" t="s">
        <v>350</v>
      </c>
      <c r="G37" s="5">
        <v>45658</v>
      </c>
      <c r="I37" s="4">
        <v>20411454</v>
      </c>
      <c r="J37" s="4" t="s">
        <v>349</v>
      </c>
      <c r="K37" s="4">
        <v>125</v>
      </c>
    </row>
    <row r="38" spans="1:11" s="4" customFormat="1" x14ac:dyDescent="0.25">
      <c r="A38" s="4" t="s">
        <v>59</v>
      </c>
      <c r="B38" s="4" t="str">
        <f>CONCATENATE(A38,7)</f>
        <v>8C09U98WR427</v>
      </c>
      <c r="C38" s="4" t="s">
        <v>581</v>
      </c>
      <c r="D38" s="4" t="s">
        <v>43</v>
      </c>
      <c r="E38" s="4" t="s">
        <v>27</v>
      </c>
      <c r="F38" s="4" t="s">
        <v>350</v>
      </c>
      <c r="G38" s="5">
        <v>45658</v>
      </c>
      <c r="I38" s="4">
        <v>20411454</v>
      </c>
      <c r="J38" s="4" t="s">
        <v>349</v>
      </c>
      <c r="K38" s="4">
        <v>125</v>
      </c>
    </row>
    <row r="39" spans="1:11" s="4" customFormat="1" x14ac:dyDescent="0.25">
      <c r="A39" s="4" t="s">
        <v>299</v>
      </c>
      <c r="B39" s="4" t="str">
        <f>CONCATENATE(A39,7)</f>
        <v>1WX8VD5HW247</v>
      </c>
      <c r="C39" s="4" t="s">
        <v>582</v>
      </c>
      <c r="D39" s="4" t="s">
        <v>104</v>
      </c>
      <c r="E39" s="4" t="s">
        <v>27</v>
      </c>
      <c r="F39" s="4" t="s">
        <v>350</v>
      </c>
      <c r="G39" s="5">
        <v>45658</v>
      </c>
      <c r="I39" s="4">
        <v>20411454</v>
      </c>
      <c r="J39" s="4" t="s">
        <v>349</v>
      </c>
      <c r="K39" s="4">
        <v>240</v>
      </c>
    </row>
    <row r="40" spans="1:11" s="4" customFormat="1" x14ac:dyDescent="0.25">
      <c r="A40" s="4" t="s">
        <v>310</v>
      </c>
      <c r="B40" s="4" t="str">
        <f>CONCATENATE(A40,7)</f>
        <v>8A19XQ5XX407</v>
      </c>
      <c r="C40" s="4" t="s">
        <v>583</v>
      </c>
      <c r="D40" s="4" t="s">
        <v>66</v>
      </c>
      <c r="E40" s="4" t="s">
        <v>27</v>
      </c>
      <c r="F40" s="4" t="s">
        <v>350</v>
      </c>
      <c r="G40" s="5">
        <v>45658</v>
      </c>
      <c r="I40" s="4">
        <v>20411454</v>
      </c>
      <c r="J40" s="4" t="s">
        <v>349</v>
      </c>
      <c r="K40" s="4">
        <v>125</v>
      </c>
    </row>
    <row r="41" spans="1:11" s="4" customFormat="1" x14ac:dyDescent="0.25">
      <c r="A41" s="4" t="s">
        <v>287</v>
      </c>
      <c r="B41" s="4" t="str">
        <f>CONCATENATE(A41,7)</f>
        <v>5NF7E65FN737</v>
      </c>
      <c r="C41" s="4" t="s">
        <v>584</v>
      </c>
      <c r="D41" s="4" t="s">
        <v>43</v>
      </c>
      <c r="E41" s="4" t="s">
        <v>27</v>
      </c>
      <c r="F41" s="4" t="s">
        <v>350</v>
      </c>
      <c r="G41" s="5">
        <v>45658</v>
      </c>
      <c r="I41" s="4">
        <v>20411454</v>
      </c>
      <c r="J41" s="4" t="s">
        <v>349</v>
      </c>
      <c r="K41" s="4">
        <v>125</v>
      </c>
    </row>
    <row r="42" spans="1:11" s="4" customFormat="1" x14ac:dyDescent="0.25">
      <c r="A42" s="4" t="s">
        <v>36</v>
      </c>
      <c r="B42" s="4" t="str">
        <f>CONCATENATE(A42,7)</f>
        <v>3K55U73XY637</v>
      </c>
      <c r="C42" s="4" t="s">
        <v>585</v>
      </c>
      <c r="D42" s="4" t="s">
        <v>38</v>
      </c>
      <c r="E42" s="4" t="s">
        <v>27</v>
      </c>
      <c r="F42" s="4" t="s">
        <v>350</v>
      </c>
      <c r="G42" s="5">
        <v>45658</v>
      </c>
      <c r="I42" s="4">
        <v>20411454</v>
      </c>
      <c r="J42" s="4" t="s">
        <v>349</v>
      </c>
      <c r="K42" s="4">
        <v>125</v>
      </c>
    </row>
    <row r="43" spans="1:11" s="4" customFormat="1" x14ac:dyDescent="0.25">
      <c r="A43" s="4" t="s">
        <v>213</v>
      </c>
      <c r="B43" s="4" t="str">
        <f>CONCATENATE(A43,7)</f>
        <v>5EV5A28NR887</v>
      </c>
      <c r="C43" s="4" t="s">
        <v>586</v>
      </c>
      <c r="D43" s="4" t="s">
        <v>38</v>
      </c>
      <c r="E43" s="4" t="s">
        <v>27</v>
      </c>
      <c r="F43" s="4" t="s">
        <v>350</v>
      </c>
      <c r="G43" s="5">
        <v>45658</v>
      </c>
      <c r="I43" s="4">
        <v>20411454</v>
      </c>
      <c r="J43" s="4" t="s">
        <v>349</v>
      </c>
      <c r="K43" s="4">
        <v>125</v>
      </c>
    </row>
    <row r="44" spans="1:11" s="4" customFormat="1" x14ac:dyDescent="0.25">
      <c r="A44" s="4" t="s">
        <v>283</v>
      </c>
      <c r="B44" s="4" t="str">
        <f>CONCATENATE(A44,7)</f>
        <v>8AR8YG5MH307</v>
      </c>
      <c r="C44" s="4" t="s">
        <v>587</v>
      </c>
      <c r="D44" s="4" t="s">
        <v>43</v>
      </c>
      <c r="E44" s="4" t="s">
        <v>27</v>
      </c>
      <c r="F44" s="4" t="s">
        <v>350</v>
      </c>
      <c r="G44" s="5">
        <v>45658</v>
      </c>
      <c r="I44" s="4">
        <v>20411454</v>
      </c>
      <c r="J44" s="4" t="s">
        <v>349</v>
      </c>
      <c r="K44" s="4">
        <v>125</v>
      </c>
    </row>
    <row r="45" spans="1:11" s="4" customFormat="1" x14ac:dyDescent="0.25">
      <c r="A45" s="4" t="s">
        <v>61</v>
      </c>
      <c r="B45" s="4" t="str">
        <f>CONCATENATE(A45,7)</f>
        <v>4N85GH7HW547</v>
      </c>
      <c r="C45" s="4" t="s">
        <v>588</v>
      </c>
      <c r="D45" s="4" t="s">
        <v>43</v>
      </c>
      <c r="E45" s="4" t="s">
        <v>27</v>
      </c>
      <c r="F45" s="4" t="s">
        <v>350</v>
      </c>
      <c r="G45" s="5">
        <v>45658</v>
      </c>
      <c r="I45" s="4">
        <v>20411454</v>
      </c>
      <c r="J45" s="4" t="s">
        <v>349</v>
      </c>
      <c r="K45" s="4">
        <v>125</v>
      </c>
    </row>
    <row r="46" spans="1:11" s="4" customFormat="1" x14ac:dyDescent="0.25">
      <c r="A46" s="4" t="s">
        <v>87</v>
      </c>
      <c r="B46" s="4" t="str">
        <f>CONCATENATE(A46,7)</f>
        <v>8J95F37QK767</v>
      </c>
      <c r="C46" s="4" t="s">
        <v>589</v>
      </c>
      <c r="D46" s="4" t="s">
        <v>43</v>
      </c>
      <c r="E46" s="4" t="s">
        <v>27</v>
      </c>
      <c r="F46" s="4" t="s">
        <v>350</v>
      </c>
      <c r="G46" s="5">
        <v>45658</v>
      </c>
      <c r="I46" s="4">
        <v>20411454</v>
      </c>
      <c r="J46" s="4" t="s">
        <v>349</v>
      </c>
      <c r="K46" s="4">
        <v>125</v>
      </c>
    </row>
    <row r="47" spans="1:11" s="4" customFormat="1" x14ac:dyDescent="0.25">
      <c r="A47" s="4" t="s">
        <v>185</v>
      </c>
      <c r="B47" s="4" t="str">
        <f>CONCATENATE(A47,7)</f>
        <v>9R15G50GW677</v>
      </c>
      <c r="C47" s="4" t="s">
        <v>590</v>
      </c>
      <c r="D47" s="4" t="s">
        <v>43</v>
      </c>
      <c r="E47" s="4" t="s">
        <v>27</v>
      </c>
      <c r="F47" s="4" t="s">
        <v>350</v>
      </c>
      <c r="G47" s="5">
        <v>45658</v>
      </c>
      <c r="I47" s="4">
        <v>20411454</v>
      </c>
      <c r="J47" s="4" t="s">
        <v>349</v>
      </c>
      <c r="K47" s="4">
        <v>125</v>
      </c>
    </row>
    <row r="48" spans="1:11" s="4" customFormat="1" x14ac:dyDescent="0.25">
      <c r="A48" s="4" t="s">
        <v>73</v>
      </c>
      <c r="B48" s="4" t="str">
        <f>CONCATENATE(A48,7)</f>
        <v>4YA3J91PF737</v>
      </c>
      <c r="C48" s="4" t="s">
        <v>591</v>
      </c>
      <c r="D48" s="4" t="s">
        <v>43</v>
      </c>
      <c r="E48" s="4" t="s">
        <v>27</v>
      </c>
      <c r="F48" s="4" t="s">
        <v>350</v>
      </c>
      <c r="G48" s="5">
        <v>45658</v>
      </c>
      <c r="I48" s="4">
        <v>20411454</v>
      </c>
      <c r="J48" s="4" t="s">
        <v>349</v>
      </c>
      <c r="K48" s="4">
        <v>125</v>
      </c>
    </row>
    <row r="49" spans="1:11" s="4" customFormat="1" x14ac:dyDescent="0.25">
      <c r="A49" s="4" t="s">
        <v>76</v>
      </c>
      <c r="B49" s="4" t="str">
        <f>CONCATENATE(A49,7)</f>
        <v>4PV3YH2UY847</v>
      </c>
      <c r="C49" s="4" t="s">
        <v>592</v>
      </c>
      <c r="D49" s="4" t="s">
        <v>43</v>
      </c>
      <c r="E49" s="4" t="s">
        <v>27</v>
      </c>
      <c r="F49" s="4" t="s">
        <v>350</v>
      </c>
      <c r="G49" s="5">
        <v>45658</v>
      </c>
      <c r="I49" s="4">
        <v>20411454</v>
      </c>
      <c r="J49" s="4" t="s">
        <v>349</v>
      </c>
      <c r="K49" s="4">
        <v>125</v>
      </c>
    </row>
    <row r="50" spans="1:11" s="4" customFormat="1" x14ac:dyDescent="0.25">
      <c r="A50" s="4" t="s">
        <v>89</v>
      </c>
      <c r="B50" s="4" t="str">
        <f>CONCATENATE(A50,7)</f>
        <v>7EY1XX9JV147</v>
      </c>
      <c r="C50" s="4" t="s">
        <v>593</v>
      </c>
      <c r="D50" s="4" t="s">
        <v>43</v>
      </c>
      <c r="E50" s="4" t="s">
        <v>27</v>
      </c>
      <c r="F50" s="4" t="s">
        <v>350</v>
      </c>
      <c r="G50" s="5">
        <v>45658</v>
      </c>
      <c r="I50" s="4">
        <v>20411454</v>
      </c>
      <c r="J50" s="4" t="s">
        <v>349</v>
      </c>
      <c r="K50" s="4">
        <v>125</v>
      </c>
    </row>
    <row r="51" spans="1:11" s="4" customFormat="1" x14ac:dyDescent="0.25">
      <c r="A51" s="4" t="s">
        <v>132</v>
      </c>
      <c r="B51" s="4" t="str">
        <f>CONCATENATE(A51,7)</f>
        <v>9P60JE0MR287</v>
      </c>
      <c r="C51" s="4" t="s">
        <v>594</v>
      </c>
      <c r="D51" s="4" t="s">
        <v>43</v>
      </c>
      <c r="E51" s="4" t="s">
        <v>27</v>
      </c>
      <c r="F51" s="4" t="s">
        <v>350</v>
      </c>
      <c r="G51" s="5">
        <v>45658</v>
      </c>
      <c r="I51" s="4">
        <v>20411454</v>
      </c>
      <c r="J51" s="4" t="s">
        <v>349</v>
      </c>
      <c r="K51" s="4">
        <v>125</v>
      </c>
    </row>
    <row r="52" spans="1:11" s="4" customFormat="1" x14ac:dyDescent="0.25">
      <c r="A52" s="4" t="s">
        <v>134</v>
      </c>
      <c r="B52" s="4" t="str">
        <f>CONCATENATE(A52,7)</f>
        <v>1UC1QW2AH267</v>
      </c>
      <c r="C52" s="4" t="s">
        <v>595</v>
      </c>
      <c r="D52" s="4" t="s">
        <v>43</v>
      </c>
      <c r="E52" s="4" t="s">
        <v>27</v>
      </c>
      <c r="F52" s="4" t="s">
        <v>350</v>
      </c>
      <c r="G52" s="5">
        <v>45658</v>
      </c>
      <c r="I52" s="4">
        <v>20411454</v>
      </c>
      <c r="J52" s="4" t="s">
        <v>349</v>
      </c>
      <c r="K52" s="4">
        <v>125</v>
      </c>
    </row>
    <row r="53" spans="1:11" s="4" customFormat="1" x14ac:dyDescent="0.25">
      <c r="A53" s="4" t="s">
        <v>161</v>
      </c>
      <c r="B53" s="4" t="str">
        <f>CONCATENATE(A53,7)</f>
        <v>5GH2G68DX037</v>
      </c>
      <c r="C53" s="4" t="s">
        <v>596</v>
      </c>
      <c r="D53" s="4" t="s">
        <v>43</v>
      </c>
      <c r="E53" s="4" t="s">
        <v>27</v>
      </c>
      <c r="F53" s="4" t="s">
        <v>350</v>
      </c>
      <c r="G53" s="5">
        <v>45658</v>
      </c>
      <c r="I53" s="4">
        <v>20411454</v>
      </c>
      <c r="J53" s="4" t="s">
        <v>349</v>
      </c>
      <c r="K53" s="4">
        <v>125</v>
      </c>
    </row>
    <row r="54" spans="1:11" s="4" customFormat="1" x14ac:dyDescent="0.25">
      <c r="A54" s="4" t="s">
        <v>201</v>
      </c>
      <c r="B54" s="4" t="str">
        <f>CONCATENATE(A54,7)</f>
        <v>7C39N06HM417</v>
      </c>
      <c r="C54" s="4" t="s">
        <v>597</v>
      </c>
      <c r="D54" s="4" t="s">
        <v>43</v>
      </c>
      <c r="E54" s="4" t="s">
        <v>27</v>
      </c>
      <c r="F54" s="4" t="s">
        <v>350</v>
      </c>
      <c r="G54" s="5">
        <v>45658</v>
      </c>
      <c r="I54" s="4">
        <v>20411454</v>
      </c>
      <c r="J54" s="4" t="s">
        <v>349</v>
      </c>
      <c r="K54" s="4">
        <v>125</v>
      </c>
    </row>
    <row r="55" spans="1:11" s="4" customFormat="1" x14ac:dyDescent="0.25">
      <c r="A55" s="4" t="s">
        <v>203</v>
      </c>
      <c r="B55" s="4" t="str">
        <f>CONCATENATE(A55,7)</f>
        <v>8D66E27ND667</v>
      </c>
      <c r="C55" s="4" t="s">
        <v>598</v>
      </c>
      <c r="D55" s="4" t="s">
        <v>43</v>
      </c>
      <c r="E55" s="4" t="s">
        <v>27</v>
      </c>
      <c r="F55" s="4" t="s">
        <v>350</v>
      </c>
      <c r="G55" s="5">
        <v>45658</v>
      </c>
      <c r="I55" s="4">
        <v>20411454</v>
      </c>
      <c r="J55" s="4" t="s">
        <v>349</v>
      </c>
      <c r="K55" s="4">
        <v>125</v>
      </c>
    </row>
    <row r="56" spans="1:11" s="4" customFormat="1" x14ac:dyDescent="0.25">
      <c r="A56" s="4" t="s">
        <v>205</v>
      </c>
      <c r="B56" s="4" t="str">
        <f>CONCATENATE(A56,7)</f>
        <v>8UT4JX0DU887</v>
      </c>
      <c r="C56" s="4" t="s">
        <v>599</v>
      </c>
      <c r="D56" s="4" t="s">
        <v>43</v>
      </c>
      <c r="E56" s="4" t="s">
        <v>27</v>
      </c>
      <c r="F56" s="4" t="s">
        <v>350</v>
      </c>
      <c r="G56" s="5">
        <v>45658</v>
      </c>
      <c r="I56" s="4">
        <v>20411454</v>
      </c>
      <c r="J56" s="4" t="s">
        <v>349</v>
      </c>
      <c r="K56" s="4">
        <v>125</v>
      </c>
    </row>
    <row r="57" spans="1:11" s="4" customFormat="1" x14ac:dyDescent="0.25">
      <c r="A57" s="4" t="s">
        <v>223</v>
      </c>
      <c r="B57" s="4" t="str">
        <f>CONCATENATE(A57,7)</f>
        <v>8W30VA0JR457</v>
      </c>
      <c r="C57" s="4" t="s">
        <v>600</v>
      </c>
      <c r="D57" s="4" t="s">
        <v>43</v>
      </c>
      <c r="E57" s="4" t="s">
        <v>27</v>
      </c>
      <c r="F57" s="4" t="s">
        <v>350</v>
      </c>
      <c r="G57" s="5">
        <v>45658</v>
      </c>
      <c r="I57" s="4">
        <v>20411454</v>
      </c>
      <c r="J57" s="4" t="s">
        <v>349</v>
      </c>
      <c r="K57" s="4">
        <v>125</v>
      </c>
    </row>
    <row r="58" spans="1:11" s="4" customFormat="1" x14ac:dyDescent="0.25">
      <c r="A58" s="4" t="s">
        <v>270</v>
      </c>
      <c r="B58" s="4" t="str">
        <f>CONCATENATE(A58,7)</f>
        <v>2N15V01UE737</v>
      </c>
      <c r="C58" s="4" t="s">
        <v>601</v>
      </c>
      <c r="D58" s="4" t="s">
        <v>43</v>
      </c>
      <c r="E58" s="4" t="s">
        <v>27</v>
      </c>
      <c r="F58" s="4" t="s">
        <v>350</v>
      </c>
      <c r="G58" s="5">
        <v>45658</v>
      </c>
      <c r="I58" s="4">
        <v>20411454</v>
      </c>
      <c r="J58" s="4" t="s">
        <v>349</v>
      </c>
      <c r="K58" s="4">
        <v>125</v>
      </c>
    </row>
    <row r="59" spans="1:11" s="4" customFormat="1" x14ac:dyDescent="0.25">
      <c r="A59" s="4" t="s">
        <v>274</v>
      </c>
      <c r="B59" s="4" t="str">
        <f>CONCATENATE(A59,7)</f>
        <v>8DQ2RH5GN917</v>
      </c>
      <c r="C59" s="4" t="s">
        <v>602</v>
      </c>
      <c r="D59" s="4" t="s">
        <v>43</v>
      </c>
      <c r="E59" s="4" t="s">
        <v>27</v>
      </c>
      <c r="F59" s="4" t="s">
        <v>350</v>
      </c>
      <c r="G59" s="5">
        <v>45658</v>
      </c>
      <c r="I59" s="4">
        <v>20411454</v>
      </c>
      <c r="J59" s="4" t="s">
        <v>349</v>
      </c>
      <c r="K59" s="4">
        <v>125</v>
      </c>
    </row>
    <row r="60" spans="1:11" s="4" customFormat="1" x14ac:dyDescent="0.25">
      <c r="A60" s="4" t="s">
        <v>308</v>
      </c>
      <c r="B60" s="4" t="str">
        <f>CONCATENATE(A60,7)</f>
        <v>6G96WQ5FK857</v>
      </c>
      <c r="C60" s="4" t="s">
        <v>603</v>
      </c>
      <c r="D60" s="4" t="s">
        <v>43</v>
      </c>
      <c r="E60" s="4" t="s">
        <v>27</v>
      </c>
      <c r="F60" s="4" t="s">
        <v>350</v>
      </c>
      <c r="G60" s="5">
        <v>45658</v>
      </c>
      <c r="I60" s="4">
        <v>20411454</v>
      </c>
      <c r="J60" s="4" t="s">
        <v>349</v>
      </c>
      <c r="K60" s="4">
        <v>125</v>
      </c>
    </row>
    <row r="61" spans="1:11" s="4" customFormat="1" x14ac:dyDescent="0.25">
      <c r="A61" s="4" t="s">
        <v>91</v>
      </c>
      <c r="B61" s="4" t="str">
        <f>CONCATENATE(A61,7)</f>
        <v>7W82AF8MN177</v>
      </c>
      <c r="C61" s="4" t="s">
        <v>604</v>
      </c>
      <c r="D61" s="4" t="s">
        <v>66</v>
      </c>
      <c r="E61" s="4" t="s">
        <v>27</v>
      </c>
      <c r="F61" s="4" t="s">
        <v>350</v>
      </c>
      <c r="G61" s="5">
        <v>45658</v>
      </c>
      <c r="I61" s="4">
        <v>20411454</v>
      </c>
      <c r="J61" s="4" t="s">
        <v>349</v>
      </c>
      <c r="K61" s="4">
        <v>125</v>
      </c>
    </row>
    <row r="62" spans="1:11" s="4" customFormat="1" x14ac:dyDescent="0.25">
      <c r="A62" s="4" t="s">
        <v>144</v>
      </c>
      <c r="B62" s="4" t="str">
        <f>CONCATENATE(A62,7)</f>
        <v>3AC8HK6YX507</v>
      </c>
      <c r="C62" s="4" t="s">
        <v>605</v>
      </c>
      <c r="D62" s="4" t="s">
        <v>66</v>
      </c>
      <c r="E62" s="4" t="s">
        <v>27</v>
      </c>
      <c r="F62" s="4" t="s">
        <v>350</v>
      </c>
      <c r="G62" s="5">
        <v>45658</v>
      </c>
      <c r="I62" s="4">
        <v>20411454</v>
      </c>
      <c r="J62" s="4" t="s">
        <v>349</v>
      </c>
      <c r="K62" s="4">
        <v>125</v>
      </c>
    </row>
    <row r="63" spans="1:11" s="4" customFormat="1" x14ac:dyDescent="0.25">
      <c r="A63" s="4" t="s">
        <v>171</v>
      </c>
      <c r="B63" s="4" t="str">
        <f>CONCATENATE(A63,7)</f>
        <v>4YR0DC5VV187</v>
      </c>
      <c r="C63" s="4" t="s">
        <v>606</v>
      </c>
      <c r="D63" s="4" t="s">
        <v>66</v>
      </c>
      <c r="E63" s="4" t="s">
        <v>27</v>
      </c>
      <c r="F63" s="4" t="s">
        <v>350</v>
      </c>
      <c r="G63" s="5">
        <v>45658</v>
      </c>
      <c r="I63" s="4">
        <v>20411454</v>
      </c>
      <c r="J63" s="4" t="s">
        <v>349</v>
      </c>
      <c r="K63" s="4">
        <v>125</v>
      </c>
    </row>
    <row r="64" spans="1:11" s="4" customFormat="1" x14ac:dyDescent="0.25">
      <c r="A64" s="4" t="s">
        <v>216</v>
      </c>
      <c r="B64" s="4" t="str">
        <f>CONCATENATE(A64,7)</f>
        <v>2C86VP4TP887</v>
      </c>
      <c r="C64" s="4" t="s">
        <v>607</v>
      </c>
      <c r="D64" s="4" t="s">
        <v>66</v>
      </c>
      <c r="E64" s="4" t="s">
        <v>27</v>
      </c>
      <c r="F64" s="4" t="s">
        <v>350</v>
      </c>
      <c r="G64" s="5">
        <v>45658</v>
      </c>
      <c r="I64" s="4">
        <v>20411454</v>
      </c>
      <c r="J64" s="4" t="s">
        <v>349</v>
      </c>
      <c r="K64" s="4">
        <v>125</v>
      </c>
    </row>
    <row r="65" spans="1:11" s="4" customFormat="1" x14ac:dyDescent="0.25">
      <c r="A65" s="4" t="s">
        <v>302</v>
      </c>
      <c r="B65" s="4" t="str">
        <f>CONCATENATE(A65,7)</f>
        <v>3EQ3UF6WT057</v>
      </c>
      <c r="C65" s="4" t="s">
        <v>608</v>
      </c>
      <c r="D65" s="4" t="s">
        <v>66</v>
      </c>
      <c r="E65" s="4" t="s">
        <v>27</v>
      </c>
      <c r="F65" s="4" t="s">
        <v>350</v>
      </c>
      <c r="G65" s="5">
        <v>45658</v>
      </c>
      <c r="I65" s="4">
        <v>20411454</v>
      </c>
      <c r="J65" s="4" t="s">
        <v>349</v>
      </c>
      <c r="K65" s="4">
        <v>125</v>
      </c>
    </row>
    <row r="66" spans="1:11" s="4" customFormat="1" x14ac:dyDescent="0.25">
      <c r="A66" s="4" t="s">
        <v>319</v>
      </c>
      <c r="B66" s="4" t="str">
        <f>CONCATENATE(A66,7)</f>
        <v>2GE8QX6ED547</v>
      </c>
      <c r="C66" s="4" t="s">
        <v>609</v>
      </c>
      <c r="D66" s="4" t="s">
        <v>292</v>
      </c>
      <c r="E66" s="4" t="s">
        <v>27</v>
      </c>
      <c r="F66" s="4" t="s">
        <v>350</v>
      </c>
      <c r="G66" s="5">
        <v>45658</v>
      </c>
      <c r="I66" s="4">
        <v>20411454</v>
      </c>
      <c r="J66" s="4" t="s">
        <v>349</v>
      </c>
      <c r="K66" s="4">
        <v>125</v>
      </c>
    </row>
    <row r="67" spans="1:11" s="4" customFormat="1" x14ac:dyDescent="0.25">
      <c r="A67" s="4" t="s">
        <v>267</v>
      </c>
      <c r="B67" s="4" t="str">
        <f>CONCATENATE(A67,7)</f>
        <v>2HD6KJ7NQ437</v>
      </c>
      <c r="C67" s="4" t="s">
        <v>610</v>
      </c>
      <c r="D67" s="4" t="s">
        <v>43</v>
      </c>
      <c r="E67" s="4" t="s">
        <v>169</v>
      </c>
      <c r="F67" s="4" t="s">
        <v>350</v>
      </c>
      <c r="G67" s="5">
        <v>45658</v>
      </c>
      <c r="H67" s="5">
        <v>45658</v>
      </c>
      <c r="I67" s="4">
        <v>20411454</v>
      </c>
      <c r="J67" s="4" t="s">
        <v>349</v>
      </c>
      <c r="K67" s="4">
        <v>-125</v>
      </c>
    </row>
    <row r="68" spans="1:11" s="4" customFormat="1" x14ac:dyDescent="0.25">
      <c r="A68" s="4" t="s">
        <v>192</v>
      </c>
      <c r="B68" s="4" t="str">
        <f>CONCATENATE(A68,7)</f>
        <v>7P43AH8YU787</v>
      </c>
      <c r="C68" s="4" t="s">
        <v>611</v>
      </c>
      <c r="D68" s="4" t="s">
        <v>66</v>
      </c>
      <c r="E68" s="4" t="s">
        <v>27</v>
      </c>
      <c r="F68" s="4" t="s">
        <v>350</v>
      </c>
      <c r="G68" s="5">
        <v>45658</v>
      </c>
      <c r="I68" s="4">
        <v>20411454</v>
      </c>
      <c r="J68" s="4" t="s">
        <v>349</v>
      </c>
      <c r="K68" s="4">
        <v>125</v>
      </c>
    </row>
    <row r="69" spans="1:11" s="4" customFormat="1" x14ac:dyDescent="0.25">
      <c r="A69" s="4" t="s">
        <v>195</v>
      </c>
      <c r="B69" s="4" t="str">
        <f>CONCATENATE(A69,7)</f>
        <v>5WE5PN0TH507</v>
      </c>
      <c r="C69" s="4" t="s">
        <v>612</v>
      </c>
      <c r="D69" s="4" t="s">
        <v>66</v>
      </c>
      <c r="E69" s="4" t="s">
        <v>27</v>
      </c>
      <c r="F69" s="4" t="s">
        <v>350</v>
      </c>
      <c r="G69" s="5">
        <v>45658</v>
      </c>
      <c r="I69" s="4">
        <v>20411454</v>
      </c>
      <c r="J69" s="4" t="s">
        <v>349</v>
      </c>
      <c r="K69" s="4">
        <v>125</v>
      </c>
    </row>
    <row r="70" spans="1:11" s="4" customFormat="1" x14ac:dyDescent="0.25">
      <c r="A70" s="4" t="s">
        <v>70</v>
      </c>
      <c r="B70" s="4" t="str">
        <f>CONCATENATE(A70,7)</f>
        <v>9C26KT9EJ687</v>
      </c>
      <c r="C70" s="4" t="s">
        <v>613</v>
      </c>
      <c r="D70" s="4" t="s">
        <v>43</v>
      </c>
      <c r="E70" s="4" t="s">
        <v>27</v>
      </c>
      <c r="F70" s="4" t="s">
        <v>350</v>
      </c>
      <c r="G70" s="5">
        <v>45658</v>
      </c>
      <c r="I70" s="4">
        <v>20411454</v>
      </c>
      <c r="J70" s="4" t="s">
        <v>349</v>
      </c>
      <c r="K70" s="4">
        <v>125</v>
      </c>
    </row>
    <row r="71" spans="1:11" s="4" customFormat="1" x14ac:dyDescent="0.25">
      <c r="A71" s="4" t="s">
        <v>80</v>
      </c>
      <c r="B71" s="4" t="str">
        <f>CONCATENATE(A71,7)</f>
        <v>2YE2VA0QD947</v>
      </c>
      <c r="C71" s="4" t="s">
        <v>614</v>
      </c>
      <c r="D71" s="4" t="s">
        <v>43</v>
      </c>
      <c r="E71" s="4" t="s">
        <v>27</v>
      </c>
      <c r="F71" s="4" t="s">
        <v>350</v>
      </c>
      <c r="G71" s="5">
        <v>45658</v>
      </c>
      <c r="I71" s="4">
        <v>20411454</v>
      </c>
      <c r="J71" s="4" t="s">
        <v>349</v>
      </c>
      <c r="K71" s="4">
        <v>125</v>
      </c>
    </row>
    <row r="72" spans="1:11" s="4" customFormat="1" x14ac:dyDescent="0.25">
      <c r="A72" s="4" t="s">
        <v>100</v>
      </c>
      <c r="B72" s="4" t="str">
        <f>CONCATENATE(A72,7)</f>
        <v>1TT4QP5UH797</v>
      </c>
      <c r="C72" s="4" t="s">
        <v>615</v>
      </c>
      <c r="D72" s="4" t="s">
        <v>43</v>
      </c>
      <c r="E72" s="4" t="s">
        <v>27</v>
      </c>
      <c r="F72" s="4" t="s">
        <v>350</v>
      </c>
      <c r="G72" s="5">
        <v>45658</v>
      </c>
      <c r="I72" s="4">
        <v>20411454</v>
      </c>
      <c r="J72" s="4" t="s">
        <v>349</v>
      </c>
      <c r="K72" s="4">
        <v>125</v>
      </c>
    </row>
    <row r="73" spans="1:11" s="4" customFormat="1" x14ac:dyDescent="0.25">
      <c r="A73" s="4" t="s">
        <v>102</v>
      </c>
      <c r="B73" s="4" t="str">
        <f>CONCATENATE(A73,7)</f>
        <v>5G38MW2CN527</v>
      </c>
      <c r="C73" s="4" t="s">
        <v>616</v>
      </c>
      <c r="D73" s="4" t="s">
        <v>104</v>
      </c>
      <c r="E73" s="4" t="s">
        <v>27</v>
      </c>
      <c r="F73" s="4" t="s">
        <v>350</v>
      </c>
      <c r="G73" s="5">
        <v>45658</v>
      </c>
      <c r="I73" s="4">
        <v>20411454</v>
      </c>
      <c r="J73" s="4" t="s">
        <v>349</v>
      </c>
      <c r="K73" s="4">
        <v>125</v>
      </c>
    </row>
    <row r="74" spans="1:11" s="4" customFormat="1" x14ac:dyDescent="0.25">
      <c r="A74" s="4" t="s">
        <v>130</v>
      </c>
      <c r="B74" s="4" t="str">
        <f>CONCATENATE(A74,7)</f>
        <v>1RC0Y65HM387</v>
      </c>
      <c r="C74" s="4" t="s">
        <v>617</v>
      </c>
      <c r="D74" s="4" t="s">
        <v>38</v>
      </c>
      <c r="E74" s="4" t="s">
        <v>27</v>
      </c>
      <c r="F74" s="4" t="s">
        <v>350</v>
      </c>
      <c r="G74" s="5">
        <v>45658</v>
      </c>
      <c r="I74" s="4">
        <v>20411454</v>
      </c>
      <c r="J74" s="4" t="s">
        <v>349</v>
      </c>
      <c r="K74" s="4">
        <v>125</v>
      </c>
    </row>
    <row r="75" spans="1:11" s="4" customFormat="1" x14ac:dyDescent="0.25">
      <c r="A75" s="4" t="s">
        <v>136</v>
      </c>
      <c r="B75" s="4" t="str">
        <f>CONCATENATE(A75,7)</f>
        <v>7W94VD1EA607</v>
      </c>
      <c r="C75" s="4" t="s">
        <v>618</v>
      </c>
      <c r="D75" s="4" t="s">
        <v>43</v>
      </c>
      <c r="E75" s="4" t="s">
        <v>27</v>
      </c>
      <c r="F75" s="4" t="s">
        <v>350</v>
      </c>
      <c r="G75" s="5">
        <v>45658</v>
      </c>
      <c r="I75" s="4">
        <v>20411454</v>
      </c>
      <c r="J75" s="4" t="s">
        <v>349</v>
      </c>
      <c r="K75" s="4">
        <v>125</v>
      </c>
    </row>
    <row r="76" spans="1:11" s="4" customFormat="1" x14ac:dyDescent="0.25">
      <c r="A76" s="4" t="s">
        <v>231</v>
      </c>
      <c r="B76" s="4" t="str">
        <f>CONCATENATE(A76,7)</f>
        <v>3QT5EX9PG607</v>
      </c>
      <c r="C76" s="4" t="s">
        <v>619</v>
      </c>
      <c r="D76" s="4" t="s">
        <v>43</v>
      </c>
      <c r="E76" s="4" t="s">
        <v>27</v>
      </c>
      <c r="F76" s="4" t="s">
        <v>350</v>
      </c>
      <c r="G76" s="5">
        <v>45658</v>
      </c>
      <c r="I76" s="4">
        <v>20411454</v>
      </c>
      <c r="J76" s="4" t="s">
        <v>349</v>
      </c>
      <c r="K76" s="4">
        <v>125</v>
      </c>
    </row>
    <row r="77" spans="1:11" s="4" customFormat="1" x14ac:dyDescent="0.25">
      <c r="A77" s="4" t="s">
        <v>233</v>
      </c>
      <c r="B77" s="4" t="str">
        <f>CONCATENATE(A77,7)</f>
        <v>1HG1P89VT287</v>
      </c>
      <c r="C77" s="4" t="s">
        <v>620</v>
      </c>
      <c r="D77" s="4" t="s">
        <v>43</v>
      </c>
      <c r="E77" s="4" t="s">
        <v>27</v>
      </c>
      <c r="F77" s="4" t="s">
        <v>350</v>
      </c>
      <c r="G77" s="5">
        <v>45658</v>
      </c>
      <c r="I77" s="4">
        <v>20411454</v>
      </c>
      <c r="J77" s="4" t="s">
        <v>349</v>
      </c>
      <c r="K77" s="4">
        <v>125</v>
      </c>
    </row>
    <row r="78" spans="1:11" s="4" customFormat="1" x14ac:dyDescent="0.25">
      <c r="A78" s="4" t="s">
        <v>240</v>
      </c>
      <c r="B78" s="4" t="str">
        <f>CONCATENATE(A78,7)</f>
        <v>5RW2WG0PW237</v>
      </c>
      <c r="C78" s="4" t="s">
        <v>621</v>
      </c>
      <c r="D78" s="4" t="s">
        <v>140</v>
      </c>
      <c r="E78" s="4" t="s">
        <v>27</v>
      </c>
      <c r="F78" s="4" t="s">
        <v>350</v>
      </c>
      <c r="G78" s="5">
        <v>45658</v>
      </c>
      <c r="I78" s="4">
        <v>20411454</v>
      </c>
      <c r="J78" s="4" t="s">
        <v>349</v>
      </c>
      <c r="K78" s="4">
        <v>125</v>
      </c>
    </row>
    <row r="79" spans="1:11" s="4" customFormat="1" x14ac:dyDescent="0.25">
      <c r="A79" s="4" t="s">
        <v>243</v>
      </c>
      <c r="B79" s="4" t="str">
        <f>CONCATENATE(A79,7)</f>
        <v>1E75WG0TD707</v>
      </c>
      <c r="C79" s="4" t="s">
        <v>622</v>
      </c>
      <c r="D79" s="4" t="s">
        <v>140</v>
      </c>
      <c r="E79" s="4" t="s">
        <v>27</v>
      </c>
      <c r="F79" s="4" t="s">
        <v>350</v>
      </c>
      <c r="G79" s="5">
        <v>45658</v>
      </c>
      <c r="I79" s="4">
        <v>20411454</v>
      </c>
      <c r="J79" s="4" t="s">
        <v>349</v>
      </c>
      <c r="K79" s="4">
        <v>125</v>
      </c>
    </row>
    <row r="80" spans="1:11" s="4" customFormat="1" x14ac:dyDescent="0.25">
      <c r="A80" s="4" t="s">
        <v>252</v>
      </c>
      <c r="B80" s="4" t="str">
        <f>CONCATENATE(A80,7)</f>
        <v>1RC2AJ8PF847</v>
      </c>
      <c r="C80" s="4" t="s">
        <v>623</v>
      </c>
      <c r="D80" s="4" t="s">
        <v>254</v>
      </c>
      <c r="E80" s="4" t="s">
        <v>27</v>
      </c>
      <c r="F80" s="4" t="s">
        <v>350</v>
      </c>
      <c r="G80" s="5">
        <v>45658</v>
      </c>
      <c r="I80" s="4">
        <v>20411454</v>
      </c>
      <c r="J80" s="4" t="s">
        <v>349</v>
      </c>
      <c r="K80" s="4">
        <v>125</v>
      </c>
    </row>
    <row r="81" spans="1:11" s="4" customFormat="1" x14ac:dyDescent="0.25">
      <c r="A81" s="4" t="s">
        <v>276</v>
      </c>
      <c r="B81" s="4" t="str">
        <f>CONCATENATE(A81,7)</f>
        <v>4R52UU4YG107</v>
      </c>
      <c r="C81" s="4" t="s">
        <v>624</v>
      </c>
      <c r="D81" s="4" t="s">
        <v>43</v>
      </c>
      <c r="E81" s="4" t="s">
        <v>27</v>
      </c>
      <c r="F81" s="4" t="s">
        <v>350</v>
      </c>
      <c r="G81" s="5">
        <v>45658</v>
      </c>
      <c r="I81" s="4">
        <v>20411454</v>
      </c>
      <c r="J81" s="4" t="s">
        <v>349</v>
      </c>
      <c r="K81" s="4">
        <v>125</v>
      </c>
    </row>
    <row r="82" spans="1:11" s="4" customFormat="1" x14ac:dyDescent="0.25">
      <c r="A82" s="4" t="s">
        <v>281</v>
      </c>
      <c r="B82" s="4" t="str">
        <f>CONCATENATE(A82,7)</f>
        <v>8RY1JU7YP107</v>
      </c>
      <c r="C82" s="4" t="s">
        <v>625</v>
      </c>
      <c r="D82" s="4" t="s">
        <v>43</v>
      </c>
      <c r="E82" s="4" t="s">
        <v>27</v>
      </c>
      <c r="F82" s="4" t="s">
        <v>350</v>
      </c>
      <c r="G82" s="5">
        <v>45658</v>
      </c>
      <c r="I82" s="4">
        <v>20411454</v>
      </c>
      <c r="J82" s="4" t="s">
        <v>349</v>
      </c>
      <c r="K82" s="4">
        <v>125</v>
      </c>
    </row>
    <row r="83" spans="1:11" s="4" customFormat="1" x14ac:dyDescent="0.25">
      <c r="A83" s="4" t="s">
        <v>285</v>
      </c>
      <c r="B83" s="4" t="str">
        <f>CONCATENATE(A83,7)</f>
        <v>5PV0AN4DW027</v>
      </c>
      <c r="C83" s="4" t="s">
        <v>626</v>
      </c>
      <c r="D83" s="4" t="s">
        <v>43</v>
      </c>
      <c r="E83" s="4" t="s">
        <v>27</v>
      </c>
      <c r="F83" s="4" t="s">
        <v>350</v>
      </c>
      <c r="G83" s="5">
        <v>45658</v>
      </c>
      <c r="I83" s="4">
        <v>20411454</v>
      </c>
      <c r="J83" s="4" t="s">
        <v>349</v>
      </c>
      <c r="K83" s="4">
        <v>125</v>
      </c>
    </row>
    <row r="84" spans="1:11" s="4" customFormat="1" x14ac:dyDescent="0.25">
      <c r="A84" s="4" t="s">
        <v>296</v>
      </c>
      <c r="B84" s="4" t="str">
        <f>CONCATENATE(A84,7)</f>
        <v>2UA3QP9WG937</v>
      </c>
      <c r="C84" s="4" t="s">
        <v>627</v>
      </c>
      <c r="D84" s="4" t="s">
        <v>43</v>
      </c>
      <c r="E84" s="4" t="s">
        <v>169</v>
      </c>
      <c r="F84" s="4" t="s">
        <v>350</v>
      </c>
      <c r="G84" s="5">
        <v>45658</v>
      </c>
      <c r="H84" s="5">
        <v>45658</v>
      </c>
      <c r="I84" s="4">
        <v>20411454</v>
      </c>
      <c r="J84" s="4" t="s">
        <v>349</v>
      </c>
      <c r="K84" s="4">
        <v>-125</v>
      </c>
    </row>
    <row r="85" spans="1:11" s="4" customFormat="1" x14ac:dyDescent="0.25">
      <c r="A85" s="4" t="s">
        <v>210</v>
      </c>
      <c r="B85" s="4" t="str">
        <f>CONCATENATE(A85,7)</f>
        <v>3CU5JK6AC847</v>
      </c>
      <c r="C85" s="4" t="s">
        <v>628</v>
      </c>
      <c r="D85" s="4" t="s">
        <v>43</v>
      </c>
      <c r="E85" s="4" t="s">
        <v>27</v>
      </c>
      <c r="F85" s="4" t="s">
        <v>350</v>
      </c>
      <c r="G85" s="5">
        <v>45658</v>
      </c>
      <c r="I85" s="4">
        <v>20411454</v>
      </c>
      <c r="J85" s="4" t="s">
        <v>349</v>
      </c>
      <c r="K85" s="4">
        <v>125</v>
      </c>
    </row>
    <row r="86" spans="1:11" s="4" customFormat="1" x14ac:dyDescent="0.25">
      <c r="A86" s="4" t="s">
        <v>97</v>
      </c>
      <c r="B86" s="4" t="str">
        <f>CONCATENATE(A86,7)</f>
        <v>5AC7MP7XQ327</v>
      </c>
      <c r="C86" s="4" t="s">
        <v>629</v>
      </c>
      <c r="D86" s="4" t="s">
        <v>43</v>
      </c>
      <c r="E86" s="4" t="s">
        <v>27</v>
      </c>
      <c r="F86" s="4" t="s">
        <v>350</v>
      </c>
      <c r="G86" s="5">
        <v>45658</v>
      </c>
      <c r="I86" s="4">
        <v>20411454</v>
      </c>
      <c r="J86" s="4" t="s">
        <v>349</v>
      </c>
      <c r="K86" s="4">
        <v>125</v>
      </c>
    </row>
    <row r="87" spans="1:11" s="4" customFormat="1" x14ac:dyDescent="0.25">
      <c r="A87" s="4" t="s">
        <v>111</v>
      </c>
      <c r="B87" s="4" t="str">
        <f>CONCATENATE(A87,7)</f>
        <v>7YW8NX5WR597</v>
      </c>
      <c r="C87" s="4" t="s">
        <v>630</v>
      </c>
      <c r="D87" s="4" t="s">
        <v>43</v>
      </c>
      <c r="E87" s="4" t="s">
        <v>113</v>
      </c>
      <c r="F87" s="4" t="s">
        <v>350</v>
      </c>
      <c r="G87" s="5">
        <v>45658</v>
      </c>
      <c r="H87" s="5">
        <v>45658</v>
      </c>
      <c r="I87" s="4">
        <v>20411454</v>
      </c>
      <c r="J87" s="4" t="s">
        <v>349</v>
      </c>
      <c r="K87" s="4">
        <v>-125</v>
      </c>
    </row>
    <row r="88" spans="1:11" s="4" customFormat="1" x14ac:dyDescent="0.25">
      <c r="A88" s="4" t="s">
        <v>119</v>
      </c>
      <c r="B88" s="4" t="str">
        <f>CONCATENATE(A88,7)</f>
        <v>6MV5QG6GW527</v>
      </c>
      <c r="C88" s="4" t="s">
        <v>631</v>
      </c>
      <c r="D88" s="4" t="s">
        <v>43</v>
      </c>
      <c r="E88" s="4" t="s">
        <v>27</v>
      </c>
      <c r="F88" s="4" t="s">
        <v>350</v>
      </c>
      <c r="G88" s="5">
        <v>45658</v>
      </c>
      <c r="I88" s="4">
        <v>20411454</v>
      </c>
      <c r="J88" s="4" t="s">
        <v>349</v>
      </c>
      <c r="K88" s="4">
        <v>125</v>
      </c>
    </row>
    <row r="89" spans="1:11" s="4" customFormat="1" x14ac:dyDescent="0.25">
      <c r="A89" s="4" t="s">
        <v>163</v>
      </c>
      <c r="B89" s="4" t="str">
        <f>CONCATENATE(A89,7)</f>
        <v>3DY5RV8KJ847</v>
      </c>
      <c r="C89" s="4" t="s">
        <v>632</v>
      </c>
      <c r="D89" s="4" t="s">
        <v>43</v>
      </c>
      <c r="E89" s="4" t="s">
        <v>27</v>
      </c>
      <c r="F89" s="4" t="s">
        <v>350</v>
      </c>
      <c r="G89" s="5">
        <v>45658</v>
      </c>
      <c r="I89" s="4">
        <v>20411454</v>
      </c>
      <c r="J89" s="4" t="s">
        <v>349</v>
      </c>
      <c r="K89" s="4">
        <v>125</v>
      </c>
    </row>
    <row r="90" spans="1:11" s="4" customFormat="1" x14ac:dyDescent="0.25">
      <c r="A90" s="4" t="s">
        <v>165</v>
      </c>
      <c r="B90" s="4" t="str">
        <f>CONCATENATE(A90,7)</f>
        <v>7NR2TV2HQ047</v>
      </c>
      <c r="C90" s="4" t="s">
        <v>633</v>
      </c>
      <c r="D90" s="4" t="s">
        <v>43</v>
      </c>
      <c r="E90" s="4" t="s">
        <v>27</v>
      </c>
      <c r="F90" s="4" t="s">
        <v>350</v>
      </c>
      <c r="G90" s="5">
        <v>45658</v>
      </c>
      <c r="I90" s="4">
        <v>20411454</v>
      </c>
      <c r="J90" s="4" t="s">
        <v>349</v>
      </c>
      <c r="K90" s="4">
        <v>125</v>
      </c>
    </row>
    <row r="91" spans="1:11" s="4" customFormat="1" x14ac:dyDescent="0.25">
      <c r="A91" s="4" t="s">
        <v>265</v>
      </c>
      <c r="B91" s="4" t="str">
        <f>CONCATENATE(A91,7)</f>
        <v>7UT8CJ1UX417</v>
      </c>
      <c r="C91" s="4" t="s">
        <v>634</v>
      </c>
      <c r="D91" s="4" t="s">
        <v>43</v>
      </c>
      <c r="E91" s="4" t="s">
        <v>27</v>
      </c>
      <c r="F91" s="4" t="s">
        <v>350</v>
      </c>
      <c r="G91" s="5">
        <v>45658</v>
      </c>
      <c r="I91" s="4">
        <v>20411454</v>
      </c>
      <c r="J91" s="4" t="s">
        <v>349</v>
      </c>
      <c r="K91" s="4">
        <v>125</v>
      </c>
    </row>
    <row r="92" spans="1:11" s="4" customFormat="1" x14ac:dyDescent="0.25">
      <c r="A92" s="4" t="s">
        <v>315</v>
      </c>
      <c r="B92" s="4" t="str">
        <f>CONCATENATE(A92,7)</f>
        <v>7Q48Y45RC347</v>
      </c>
      <c r="C92" s="4" t="s">
        <v>635</v>
      </c>
      <c r="D92" s="4" t="s">
        <v>43</v>
      </c>
      <c r="E92" s="4" t="s">
        <v>27</v>
      </c>
      <c r="F92" s="4" t="s">
        <v>350</v>
      </c>
      <c r="G92" s="5">
        <v>45658</v>
      </c>
      <c r="I92" s="4">
        <v>20411454</v>
      </c>
      <c r="J92" s="4" t="s">
        <v>349</v>
      </c>
      <c r="K92" s="4">
        <v>125</v>
      </c>
    </row>
    <row r="93" spans="1:11" s="4" customFormat="1" x14ac:dyDescent="0.25">
      <c r="A93" s="4" t="s">
        <v>317</v>
      </c>
      <c r="B93" s="4" t="str">
        <f>CONCATENATE(A93,7)</f>
        <v>3XF6CE0CM827</v>
      </c>
      <c r="C93" s="4" t="s">
        <v>636</v>
      </c>
      <c r="D93" s="4" t="s">
        <v>43</v>
      </c>
      <c r="E93" s="4" t="s">
        <v>27</v>
      </c>
      <c r="F93" s="4" t="s">
        <v>350</v>
      </c>
      <c r="G93" s="5">
        <v>45658</v>
      </c>
      <c r="I93" s="4">
        <v>20411454</v>
      </c>
      <c r="J93" s="4" t="s">
        <v>349</v>
      </c>
      <c r="K93" s="4">
        <v>125</v>
      </c>
    </row>
    <row r="94" spans="1:11" s="4" customFormat="1" x14ac:dyDescent="0.25">
      <c r="A94" s="4" t="s">
        <v>24</v>
      </c>
      <c r="B94" s="4" t="str">
        <f>CONCATENATE(A94,7)</f>
        <v>1RC0YM9DG257</v>
      </c>
      <c r="C94" s="4" t="s">
        <v>637</v>
      </c>
      <c r="D94" s="4" t="s">
        <v>26</v>
      </c>
      <c r="E94" s="4" t="s">
        <v>27</v>
      </c>
      <c r="F94" s="4" t="s">
        <v>350</v>
      </c>
      <c r="G94" s="5">
        <v>45658</v>
      </c>
      <c r="I94" s="4">
        <v>20411454</v>
      </c>
      <c r="J94" s="4" t="s">
        <v>349</v>
      </c>
      <c r="K94" s="4">
        <v>125</v>
      </c>
    </row>
    <row r="95" spans="1:11" s="4" customFormat="1" x14ac:dyDescent="0.25">
      <c r="A95" s="4" t="s">
        <v>78</v>
      </c>
      <c r="B95" s="4" t="str">
        <f>CONCATENATE(A95,7)</f>
        <v>8R76NM6DN757</v>
      </c>
      <c r="C95" s="4" t="s">
        <v>638</v>
      </c>
      <c r="D95" s="4" t="s">
        <v>43</v>
      </c>
      <c r="E95" s="4" t="s">
        <v>27</v>
      </c>
      <c r="F95" s="4" t="s">
        <v>350</v>
      </c>
      <c r="G95" s="5">
        <v>45658</v>
      </c>
      <c r="I95" s="4">
        <v>20411454</v>
      </c>
      <c r="J95" s="4" t="s">
        <v>349</v>
      </c>
      <c r="K95" s="4">
        <v>125</v>
      </c>
    </row>
    <row r="96" spans="1:11" s="4" customFormat="1" x14ac:dyDescent="0.25">
      <c r="A96" s="4" t="s">
        <v>82</v>
      </c>
      <c r="B96" s="4" t="str">
        <f>CONCATENATE(A96,7)</f>
        <v>5AH4C67YM937</v>
      </c>
      <c r="C96" s="4" t="s">
        <v>639</v>
      </c>
      <c r="D96" s="4" t="s">
        <v>43</v>
      </c>
      <c r="E96" s="4" t="s">
        <v>27</v>
      </c>
      <c r="F96" s="4" t="s">
        <v>350</v>
      </c>
      <c r="G96" s="5">
        <v>45658</v>
      </c>
      <c r="I96" s="4">
        <v>20411454</v>
      </c>
      <c r="J96" s="4" t="s">
        <v>349</v>
      </c>
      <c r="K96" s="4">
        <v>125</v>
      </c>
    </row>
    <row r="97" spans="1:11" s="4" customFormat="1" x14ac:dyDescent="0.25">
      <c r="A97" s="4" t="s">
        <v>85</v>
      </c>
      <c r="B97" s="4" t="str">
        <f>CONCATENATE(A97,7)</f>
        <v>6VJ8PW6PR487</v>
      </c>
      <c r="C97" s="4" t="s">
        <v>640</v>
      </c>
      <c r="D97" s="4" t="s">
        <v>43</v>
      </c>
      <c r="E97" s="4" t="s">
        <v>27</v>
      </c>
      <c r="F97" s="4" t="s">
        <v>350</v>
      </c>
      <c r="G97" s="5">
        <v>45658</v>
      </c>
      <c r="I97" s="4">
        <v>20411454</v>
      </c>
      <c r="J97" s="4" t="s">
        <v>349</v>
      </c>
      <c r="K97" s="4">
        <v>125</v>
      </c>
    </row>
    <row r="98" spans="1:11" s="4" customFormat="1" x14ac:dyDescent="0.25">
      <c r="A98" s="4" t="s">
        <v>95</v>
      </c>
      <c r="B98" s="4" t="str">
        <f>CONCATENATE(A98,7)</f>
        <v>5DF7YE5JP447</v>
      </c>
      <c r="C98" s="4" t="s">
        <v>641</v>
      </c>
      <c r="D98" s="4" t="s">
        <v>43</v>
      </c>
      <c r="E98" s="4" t="s">
        <v>27</v>
      </c>
      <c r="F98" s="4" t="s">
        <v>350</v>
      </c>
      <c r="G98" s="5">
        <v>45658</v>
      </c>
      <c r="I98" s="4">
        <v>20411454</v>
      </c>
      <c r="J98" s="4" t="s">
        <v>349</v>
      </c>
      <c r="K98" s="4">
        <v>125</v>
      </c>
    </row>
    <row r="99" spans="1:11" s="4" customFormat="1" x14ac:dyDescent="0.25">
      <c r="A99" s="4" t="s">
        <v>246</v>
      </c>
      <c r="B99" s="4" t="str">
        <f>CONCATENATE(A99,7)</f>
        <v>8MP3AM7PX787</v>
      </c>
      <c r="C99" s="4" t="s">
        <v>642</v>
      </c>
      <c r="D99" s="4" t="s">
        <v>43</v>
      </c>
      <c r="E99" s="4" t="s">
        <v>27</v>
      </c>
      <c r="F99" s="4" t="s">
        <v>350</v>
      </c>
      <c r="G99" s="5">
        <v>45658</v>
      </c>
      <c r="I99" s="4">
        <v>20411454</v>
      </c>
      <c r="J99" s="4" t="s">
        <v>349</v>
      </c>
      <c r="K99" s="4">
        <v>125</v>
      </c>
    </row>
    <row r="100" spans="1:11" s="4" customFormat="1" x14ac:dyDescent="0.25">
      <c r="A100" s="4" t="s">
        <v>167</v>
      </c>
      <c r="B100" s="4" t="str">
        <f>CONCATENATE(A100,7)</f>
        <v>2GX2QN9NT917</v>
      </c>
      <c r="C100" s="4" t="s">
        <v>643</v>
      </c>
      <c r="D100" s="4" t="s">
        <v>43</v>
      </c>
      <c r="E100" s="4" t="s">
        <v>169</v>
      </c>
      <c r="F100" s="4" t="s">
        <v>350</v>
      </c>
      <c r="G100" s="5">
        <v>45658</v>
      </c>
      <c r="H100" s="5">
        <v>45658</v>
      </c>
      <c r="I100" s="4">
        <v>20411454</v>
      </c>
      <c r="J100" s="4" t="s">
        <v>349</v>
      </c>
      <c r="K100" s="4">
        <v>-125</v>
      </c>
    </row>
    <row r="101" spans="1:11" s="4" customFormat="1" x14ac:dyDescent="0.25">
      <c r="A101" s="4" t="s">
        <v>41</v>
      </c>
      <c r="B101" s="4" t="str">
        <f>CONCATENATE(A101,7)</f>
        <v>5EM7EU7AA687</v>
      </c>
      <c r="C101" s="4" t="s">
        <v>644</v>
      </c>
      <c r="D101" s="4" t="s">
        <v>43</v>
      </c>
      <c r="E101" s="4" t="s">
        <v>27</v>
      </c>
      <c r="F101" s="4" t="s">
        <v>350</v>
      </c>
      <c r="G101" s="5">
        <v>45658</v>
      </c>
      <c r="I101" s="4">
        <v>20411454</v>
      </c>
      <c r="J101" s="4" t="s">
        <v>349</v>
      </c>
      <c r="K101" s="4">
        <v>125</v>
      </c>
    </row>
    <row r="102" spans="1:11" s="4" customFormat="1" x14ac:dyDescent="0.25">
      <c r="A102" s="4" t="s">
        <v>322</v>
      </c>
      <c r="B102" s="4" t="str">
        <f>CONCATENATE(A102,7)</f>
        <v>5QE7RA7UU567</v>
      </c>
      <c r="C102" s="4" t="s">
        <v>645</v>
      </c>
      <c r="D102" s="4" t="s">
        <v>43</v>
      </c>
      <c r="E102" s="4" t="s">
        <v>27</v>
      </c>
      <c r="F102" s="4" t="s">
        <v>350</v>
      </c>
      <c r="G102" s="5">
        <v>45658</v>
      </c>
      <c r="I102" s="4">
        <v>20411454</v>
      </c>
      <c r="J102" s="4" t="s">
        <v>349</v>
      </c>
      <c r="K102" s="4">
        <v>125</v>
      </c>
    </row>
    <row r="103" spans="1:11" s="4" customFormat="1" x14ac:dyDescent="0.25">
      <c r="A103" s="4" t="s">
        <v>304</v>
      </c>
      <c r="B103" s="4" t="str">
        <f>CONCATENATE(A103,7)</f>
        <v>9E57VC7EJ517</v>
      </c>
      <c r="C103" s="4" t="s">
        <v>646</v>
      </c>
      <c r="D103" s="4" t="s">
        <v>38</v>
      </c>
      <c r="E103" s="4" t="s">
        <v>27</v>
      </c>
      <c r="F103" s="4" t="s">
        <v>350</v>
      </c>
      <c r="G103" s="5">
        <v>45658</v>
      </c>
      <c r="I103" s="4">
        <v>20411454</v>
      </c>
      <c r="J103" s="4" t="s">
        <v>349</v>
      </c>
      <c r="K103" s="4">
        <v>125</v>
      </c>
    </row>
    <row r="104" spans="1:11" s="4" customFormat="1" x14ac:dyDescent="0.25">
      <c r="A104" s="4" t="s">
        <v>138</v>
      </c>
      <c r="B104" s="4" t="str">
        <f>CONCATENATE(A104,7)</f>
        <v>1RG8XE0RD367</v>
      </c>
      <c r="C104" s="4" t="s">
        <v>647</v>
      </c>
      <c r="D104" s="4" t="s">
        <v>140</v>
      </c>
      <c r="E104" s="4" t="s">
        <v>27</v>
      </c>
      <c r="F104" s="4" t="s">
        <v>350</v>
      </c>
      <c r="G104" s="5">
        <v>45658</v>
      </c>
      <c r="I104" s="4">
        <v>20411454</v>
      </c>
      <c r="J104" s="4" t="s">
        <v>349</v>
      </c>
      <c r="K104" s="4">
        <v>125</v>
      </c>
    </row>
    <row r="105" spans="1:11" s="4" customFormat="1" x14ac:dyDescent="0.25">
      <c r="A105" s="4" t="s">
        <v>46</v>
      </c>
      <c r="B105" s="4" t="str">
        <f>CONCATENATE(A105,7)</f>
        <v>8HD8T15MP227</v>
      </c>
      <c r="C105" s="4" t="s">
        <v>648</v>
      </c>
      <c r="D105" s="4" t="s">
        <v>43</v>
      </c>
      <c r="E105" s="4" t="s">
        <v>27</v>
      </c>
      <c r="F105" s="4" t="s">
        <v>350</v>
      </c>
      <c r="G105" s="5">
        <v>45658</v>
      </c>
      <c r="I105" s="4">
        <v>20411454</v>
      </c>
      <c r="J105" s="4" t="s">
        <v>349</v>
      </c>
      <c r="K105" s="4">
        <v>125</v>
      </c>
    </row>
    <row r="106" spans="1:11" s="4" customFormat="1" x14ac:dyDescent="0.25">
      <c r="A106" s="4" t="s">
        <v>53</v>
      </c>
      <c r="B106" s="4" t="str">
        <f>CONCATENATE(A106,7)</f>
        <v>4UW2P58VW227</v>
      </c>
      <c r="C106" s="4" t="s">
        <v>649</v>
      </c>
      <c r="D106" s="4" t="s">
        <v>43</v>
      </c>
      <c r="E106" s="4" t="s">
        <v>27</v>
      </c>
      <c r="F106" s="4" t="s">
        <v>350</v>
      </c>
      <c r="G106" s="5">
        <v>45658</v>
      </c>
      <c r="I106" s="4">
        <v>20411454</v>
      </c>
      <c r="J106" s="4" t="s">
        <v>349</v>
      </c>
      <c r="K106" s="4">
        <v>125</v>
      </c>
    </row>
    <row r="107" spans="1:11" s="4" customFormat="1" x14ac:dyDescent="0.25">
      <c r="A107" s="4" t="s">
        <v>189</v>
      </c>
      <c r="B107" s="4" t="str">
        <f>CONCATENATE(A107,7)</f>
        <v>7HM2XG5PH147</v>
      </c>
      <c r="C107" s="4" t="s">
        <v>650</v>
      </c>
      <c r="D107" s="4" t="s">
        <v>43</v>
      </c>
      <c r="E107" s="4" t="s">
        <v>27</v>
      </c>
      <c r="F107" s="4" t="s">
        <v>350</v>
      </c>
      <c r="G107" s="5">
        <v>45658</v>
      </c>
      <c r="I107" s="4">
        <v>20411454</v>
      </c>
      <c r="J107" s="4" t="s">
        <v>349</v>
      </c>
      <c r="K107" s="4">
        <v>125</v>
      </c>
    </row>
    <row r="108" spans="1:11" s="4" customFormat="1" x14ac:dyDescent="0.25">
      <c r="A108" s="4" t="s">
        <v>50</v>
      </c>
      <c r="B108" s="4" t="str">
        <f>CONCATENATE(A108,7)</f>
        <v>1YM5YD1EX857</v>
      </c>
      <c r="C108" s="4" t="s">
        <v>651</v>
      </c>
      <c r="D108" s="4" t="s">
        <v>38</v>
      </c>
      <c r="E108" s="4" t="s">
        <v>27</v>
      </c>
      <c r="F108" s="4" t="s">
        <v>350</v>
      </c>
      <c r="G108" s="5">
        <v>45658</v>
      </c>
      <c r="I108" s="4">
        <v>20411454</v>
      </c>
      <c r="J108" s="4" t="s">
        <v>349</v>
      </c>
      <c r="K108" s="4">
        <v>125</v>
      </c>
    </row>
    <row r="109" spans="1:11" s="4" customFormat="1" x14ac:dyDescent="0.25">
      <c r="A109" s="4" t="s">
        <v>117</v>
      </c>
      <c r="B109" s="4" t="str">
        <f>CONCATENATE(A109,7)</f>
        <v>2X48MP7UD357</v>
      </c>
      <c r="C109" s="4" t="s">
        <v>652</v>
      </c>
      <c r="D109" s="4" t="s">
        <v>43</v>
      </c>
      <c r="E109" s="4" t="s">
        <v>27</v>
      </c>
      <c r="F109" s="4" t="s">
        <v>350</v>
      </c>
      <c r="G109" s="5">
        <v>45658</v>
      </c>
      <c r="I109" s="4">
        <v>20411454</v>
      </c>
      <c r="J109" s="4" t="s">
        <v>349</v>
      </c>
      <c r="K109" s="4">
        <v>125</v>
      </c>
    </row>
    <row r="110" spans="1:11" s="4" customFormat="1" x14ac:dyDescent="0.25">
      <c r="A110" s="4" t="s">
        <v>128</v>
      </c>
      <c r="B110" s="4" t="str">
        <f>CONCATENATE(A110,7)</f>
        <v>1FA9ND8KY477</v>
      </c>
      <c r="C110" s="4" t="s">
        <v>653</v>
      </c>
      <c r="D110" s="4" t="s">
        <v>43</v>
      </c>
      <c r="E110" s="4" t="s">
        <v>27</v>
      </c>
      <c r="F110" s="4" t="s">
        <v>350</v>
      </c>
      <c r="G110" s="5">
        <v>45658</v>
      </c>
      <c r="I110" s="4">
        <v>20411454</v>
      </c>
      <c r="J110" s="4" t="s">
        <v>349</v>
      </c>
      <c r="K110" s="4">
        <v>125</v>
      </c>
    </row>
    <row r="111" spans="1:11" s="4" customFormat="1" x14ac:dyDescent="0.25">
      <c r="A111" s="4" t="s">
        <v>155</v>
      </c>
      <c r="B111" s="4" t="str">
        <f>CONCATENATE(A111,7)</f>
        <v>5MT7GD4UU507</v>
      </c>
      <c r="C111" s="4" t="s">
        <v>654</v>
      </c>
      <c r="D111" s="4" t="s">
        <v>43</v>
      </c>
      <c r="E111" s="4" t="s">
        <v>27</v>
      </c>
      <c r="F111" s="4" t="s">
        <v>350</v>
      </c>
      <c r="G111" s="5">
        <v>45658</v>
      </c>
      <c r="I111" s="4">
        <v>20411454</v>
      </c>
      <c r="J111" s="4" t="s">
        <v>349</v>
      </c>
      <c r="K111" s="4">
        <v>125</v>
      </c>
    </row>
    <row r="112" spans="1:11" s="4" customFormat="1" x14ac:dyDescent="0.25">
      <c r="A112" s="4" t="s">
        <v>218</v>
      </c>
      <c r="B112" s="4" t="str">
        <f>CONCATENATE(A112,7)</f>
        <v>1F31D83XV087</v>
      </c>
      <c r="C112" s="4" t="s">
        <v>655</v>
      </c>
      <c r="D112" s="4" t="s">
        <v>104</v>
      </c>
      <c r="E112" s="4" t="s">
        <v>27</v>
      </c>
      <c r="F112" s="4" t="s">
        <v>350</v>
      </c>
      <c r="G112" s="5">
        <v>45658</v>
      </c>
      <c r="I112" s="4">
        <v>20411454</v>
      </c>
      <c r="J112" s="4" t="s">
        <v>349</v>
      </c>
      <c r="K112" s="4">
        <v>240</v>
      </c>
    </row>
    <row r="113" spans="1:11" s="4" customFormat="1" x14ac:dyDescent="0.25">
      <c r="A113" s="4" t="s">
        <v>235</v>
      </c>
      <c r="B113" s="4" t="str">
        <f>CONCATENATE(A113,7)</f>
        <v>5R25XJ7GV877</v>
      </c>
      <c r="C113" s="4" t="s">
        <v>656</v>
      </c>
      <c r="D113" s="4" t="s">
        <v>43</v>
      </c>
      <c r="E113" s="4" t="s">
        <v>169</v>
      </c>
      <c r="F113" s="4" t="s">
        <v>350</v>
      </c>
      <c r="G113" s="5">
        <v>45658</v>
      </c>
      <c r="H113" s="5">
        <v>45658</v>
      </c>
      <c r="I113" s="4">
        <v>20411454</v>
      </c>
      <c r="J113" s="4" t="s">
        <v>349</v>
      </c>
      <c r="K113" s="4">
        <v>-125</v>
      </c>
    </row>
    <row r="114" spans="1:11" s="4" customFormat="1" x14ac:dyDescent="0.25">
      <c r="A114" s="4" t="s">
        <v>259</v>
      </c>
      <c r="B114" s="4" t="str">
        <f>CONCATENATE(A114,7)</f>
        <v>2GC1QD3MM997</v>
      </c>
      <c r="C114" s="4" t="s">
        <v>657</v>
      </c>
      <c r="D114" s="4" t="s">
        <v>66</v>
      </c>
      <c r="E114" s="4" t="s">
        <v>27</v>
      </c>
      <c r="F114" s="4" t="s">
        <v>354</v>
      </c>
      <c r="G114" s="5">
        <v>45627</v>
      </c>
      <c r="I114" s="4">
        <v>16509456</v>
      </c>
      <c r="J114" s="4" t="s">
        <v>264</v>
      </c>
      <c r="K114" s="4">
        <v>4.33</v>
      </c>
    </row>
    <row r="115" spans="1:11" x14ac:dyDescent="0.25">
      <c r="G115" s="1"/>
      <c r="H115" s="1"/>
    </row>
    <row r="116" spans="1:11" x14ac:dyDescent="0.25">
      <c r="G116" s="1"/>
    </row>
    <row r="117" spans="1:11" x14ac:dyDescent="0.25">
      <c r="G117" s="1"/>
    </row>
    <row r="118" spans="1:11" x14ac:dyDescent="0.25">
      <c r="G118" s="1"/>
    </row>
    <row r="119" spans="1:11" x14ac:dyDescent="0.25">
      <c r="G119" s="1"/>
    </row>
    <row r="120" spans="1:11" x14ac:dyDescent="0.25">
      <c r="G120" s="1"/>
    </row>
    <row r="121" spans="1:11" x14ac:dyDescent="0.25">
      <c r="G121" s="1"/>
    </row>
    <row r="122" spans="1:11" x14ac:dyDescent="0.25">
      <c r="G122" s="1"/>
    </row>
    <row r="123" spans="1:11" x14ac:dyDescent="0.25">
      <c r="G123" s="1"/>
    </row>
    <row r="124" spans="1:11" x14ac:dyDescent="0.25">
      <c r="G124" s="1"/>
    </row>
    <row r="125" spans="1:11" x14ac:dyDescent="0.25">
      <c r="G125" s="1"/>
    </row>
    <row r="126" spans="1:11" x14ac:dyDescent="0.25">
      <c r="G126" s="1"/>
    </row>
    <row r="127" spans="1:11" x14ac:dyDescent="0.25">
      <c r="G127" s="1"/>
    </row>
    <row r="128" spans="1:11" x14ac:dyDescent="0.25">
      <c r="G128" s="1"/>
    </row>
    <row r="129" spans="7:8" x14ac:dyDescent="0.25">
      <c r="G129" s="1"/>
    </row>
    <row r="130" spans="7:8" x14ac:dyDescent="0.25">
      <c r="G130" s="1"/>
      <c r="H130" s="1"/>
    </row>
    <row r="131" spans="7:8" x14ac:dyDescent="0.25">
      <c r="G131" s="1"/>
    </row>
    <row r="132" spans="7:8" x14ac:dyDescent="0.25">
      <c r="G132" s="1"/>
    </row>
    <row r="133" spans="7:8" x14ac:dyDescent="0.25">
      <c r="G133" s="1"/>
    </row>
    <row r="134" spans="7:8" x14ac:dyDescent="0.25">
      <c r="G134" s="1"/>
    </row>
    <row r="135" spans="7:8" x14ac:dyDescent="0.25">
      <c r="G135" s="1"/>
    </row>
    <row r="136" spans="7:8" x14ac:dyDescent="0.25">
      <c r="G136" s="1"/>
    </row>
    <row r="137" spans="7:8" x14ac:dyDescent="0.25">
      <c r="G137" s="1"/>
    </row>
    <row r="138" spans="7:8" x14ac:dyDescent="0.25">
      <c r="G138" s="1"/>
    </row>
    <row r="139" spans="7:8" x14ac:dyDescent="0.25">
      <c r="G139" s="1"/>
    </row>
    <row r="140" spans="7:8" x14ac:dyDescent="0.25">
      <c r="G140" s="1"/>
    </row>
    <row r="141" spans="7:8" x14ac:dyDescent="0.25">
      <c r="G141" s="1"/>
    </row>
    <row r="142" spans="7:8" x14ac:dyDescent="0.25">
      <c r="G142" s="1"/>
    </row>
    <row r="143" spans="7:8" x14ac:dyDescent="0.25">
      <c r="G143" s="1"/>
    </row>
    <row r="144" spans="7:8" x14ac:dyDescent="0.25">
      <c r="G144" s="1"/>
    </row>
    <row r="145" spans="7:7" x14ac:dyDescent="0.25">
      <c r="G145" s="1"/>
    </row>
    <row r="146" spans="7:7" x14ac:dyDescent="0.25">
      <c r="G146" s="1"/>
    </row>
    <row r="147" spans="7:7" x14ac:dyDescent="0.25">
      <c r="G147" s="1"/>
    </row>
    <row r="148" spans="7:7" x14ac:dyDescent="0.25">
      <c r="G148" s="1"/>
    </row>
    <row r="149" spans="7:7" x14ac:dyDescent="0.25">
      <c r="G149" s="1"/>
    </row>
    <row r="150" spans="7:7" x14ac:dyDescent="0.25">
      <c r="G150" s="1"/>
    </row>
    <row r="151" spans="7:7" x14ac:dyDescent="0.25">
      <c r="G151" s="1"/>
    </row>
    <row r="152" spans="7:7" x14ac:dyDescent="0.25">
      <c r="G152" s="1"/>
    </row>
    <row r="153" spans="7:7" x14ac:dyDescent="0.25">
      <c r="G153" s="1"/>
    </row>
    <row r="154" spans="7:7" x14ac:dyDescent="0.25">
      <c r="G154" s="1"/>
    </row>
    <row r="155" spans="7:7" x14ac:dyDescent="0.25">
      <c r="G155" s="1"/>
    </row>
    <row r="156" spans="7:7" x14ac:dyDescent="0.25">
      <c r="G156" s="1"/>
    </row>
    <row r="157" spans="7:7" x14ac:dyDescent="0.25">
      <c r="G157" s="1"/>
    </row>
    <row r="158" spans="7:7" x14ac:dyDescent="0.25">
      <c r="G158" s="1"/>
    </row>
    <row r="159" spans="7:7" x14ac:dyDescent="0.25">
      <c r="G159" s="1"/>
    </row>
    <row r="160" spans="7:7" x14ac:dyDescent="0.25">
      <c r="G160" s="1"/>
    </row>
    <row r="161" spans="7:7" x14ac:dyDescent="0.25">
      <c r="G161" s="1"/>
    </row>
    <row r="162" spans="7:7" x14ac:dyDescent="0.25">
      <c r="G162" s="1"/>
    </row>
    <row r="163" spans="7:7" x14ac:dyDescent="0.25">
      <c r="G163" s="1"/>
    </row>
    <row r="164" spans="7:7" x14ac:dyDescent="0.25">
      <c r="G164" s="1"/>
    </row>
    <row r="165" spans="7:7" x14ac:dyDescent="0.25">
      <c r="G165" s="1"/>
    </row>
    <row r="166" spans="7:7" x14ac:dyDescent="0.25">
      <c r="G166" s="1"/>
    </row>
    <row r="167" spans="7:7" x14ac:dyDescent="0.25">
      <c r="G167" s="1"/>
    </row>
    <row r="168" spans="7:7" x14ac:dyDescent="0.25">
      <c r="G168" s="1"/>
    </row>
    <row r="169" spans="7:7" x14ac:dyDescent="0.25">
      <c r="G169" s="1"/>
    </row>
    <row r="170" spans="7:7" x14ac:dyDescent="0.25">
      <c r="G170" s="1"/>
    </row>
    <row r="171" spans="7:7" x14ac:dyDescent="0.25">
      <c r="G171" s="1"/>
    </row>
    <row r="172" spans="7:7" x14ac:dyDescent="0.25">
      <c r="G172" s="1"/>
    </row>
    <row r="173" spans="7:7" x14ac:dyDescent="0.25">
      <c r="G173" s="1"/>
    </row>
    <row r="174" spans="7:7" x14ac:dyDescent="0.25">
      <c r="G174" s="1"/>
    </row>
    <row r="175" spans="7:7" x14ac:dyDescent="0.25">
      <c r="G175" s="1"/>
    </row>
    <row r="176" spans="7:7" x14ac:dyDescent="0.25">
      <c r="G176" s="1"/>
    </row>
    <row r="177" spans="7:8" x14ac:dyDescent="0.25">
      <c r="G177" s="1"/>
    </row>
    <row r="178" spans="7:8" x14ac:dyDescent="0.25">
      <c r="G178" s="1"/>
    </row>
    <row r="179" spans="7:8" x14ac:dyDescent="0.25">
      <c r="G179" s="1"/>
    </row>
    <row r="180" spans="7:8" x14ac:dyDescent="0.25">
      <c r="G180" s="1"/>
    </row>
    <row r="181" spans="7:8" x14ac:dyDescent="0.25">
      <c r="G181" s="1"/>
    </row>
    <row r="182" spans="7:8" x14ac:dyDescent="0.25">
      <c r="G182" s="1"/>
    </row>
    <row r="183" spans="7:8" x14ac:dyDescent="0.25">
      <c r="G183" s="1"/>
    </row>
    <row r="184" spans="7:8" x14ac:dyDescent="0.25">
      <c r="G184" s="1"/>
    </row>
    <row r="185" spans="7:8" x14ac:dyDescent="0.25">
      <c r="G185" s="1"/>
    </row>
    <row r="186" spans="7:8" x14ac:dyDescent="0.25">
      <c r="G186" s="1"/>
    </row>
    <row r="187" spans="7:8" x14ac:dyDescent="0.25">
      <c r="G187" s="1"/>
    </row>
    <row r="188" spans="7:8" x14ac:dyDescent="0.25">
      <c r="G188" s="1"/>
    </row>
    <row r="189" spans="7:8" x14ac:dyDescent="0.25">
      <c r="G189" s="1"/>
    </row>
    <row r="190" spans="7:8" x14ac:dyDescent="0.25">
      <c r="G190" s="1"/>
    </row>
    <row r="191" spans="7:8" x14ac:dyDescent="0.25">
      <c r="G191" s="1"/>
      <c r="H191" s="1"/>
    </row>
    <row r="192" spans="7:8" x14ac:dyDescent="0.25">
      <c r="G192" s="1"/>
    </row>
    <row r="193" spans="7:7" x14ac:dyDescent="0.25">
      <c r="G193" s="1"/>
    </row>
    <row r="194" spans="7:7" x14ac:dyDescent="0.25">
      <c r="G194" s="1"/>
    </row>
    <row r="195" spans="7:7" x14ac:dyDescent="0.25">
      <c r="G195" s="1"/>
    </row>
    <row r="196" spans="7:7" x14ac:dyDescent="0.25">
      <c r="G196" s="1"/>
    </row>
    <row r="197" spans="7:7" x14ac:dyDescent="0.25">
      <c r="G197" s="1"/>
    </row>
    <row r="198" spans="7:7" x14ac:dyDescent="0.25">
      <c r="G198" s="1"/>
    </row>
    <row r="199" spans="7:7" x14ac:dyDescent="0.25">
      <c r="G199" s="1"/>
    </row>
    <row r="200" spans="7:7" x14ac:dyDescent="0.25">
      <c r="G200" s="1"/>
    </row>
    <row r="201" spans="7:7" x14ac:dyDescent="0.25">
      <c r="G201" s="1"/>
    </row>
    <row r="202" spans="7:7" x14ac:dyDescent="0.25">
      <c r="G202" s="1"/>
    </row>
    <row r="203" spans="7:7" x14ac:dyDescent="0.25">
      <c r="G203" s="1"/>
    </row>
    <row r="204" spans="7:7" x14ac:dyDescent="0.25">
      <c r="G204" s="1"/>
    </row>
    <row r="205" spans="7:7" x14ac:dyDescent="0.25">
      <c r="G205" s="1"/>
    </row>
    <row r="206" spans="7:7" x14ac:dyDescent="0.25">
      <c r="G206" s="1"/>
    </row>
    <row r="207" spans="7:7" x14ac:dyDescent="0.25">
      <c r="G207" s="1"/>
    </row>
    <row r="208" spans="7:7" x14ac:dyDescent="0.25">
      <c r="G208" s="1"/>
    </row>
    <row r="209" spans="7:7" x14ac:dyDescent="0.25">
      <c r="G209" s="1"/>
    </row>
    <row r="210" spans="7:7" x14ac:dyDescent="0.25">
      <c r="G210" s="1"/>
    </row>
    <row r="211" spans="7:7" x14ac:dyDescent="0.25">
      <c r="G211" s="1"/>
    </row>
    <row r="212" spans="7:7" x14ac:dyDescent="0.25">
      <c r="G212" s="1"/>
    </row>
    <row r="213" spans="7:7" x14ac:dyDescent="0.25">
      <c r="G213" s="1"/>
    </row>
    <row r="214" spans="7:7" x14ac:dyDescent="0.25">
      <c r="G214" s="1"/>
    </row>
    <row r="215" spans="7:7" x14ac:dyDescent="0.25">
      <c r="G215" s="1"/>
    </row>
    <row r="216" spans="7:7" x14ac:dyDescent="0.25">
      <c r="G216" s="1"/>
    </row>
    <row r="217" spans="7:7" x14ac:dyDescent="0.25">
      <c r="G217" s="1"/>
    </row>
    <row r="218" spans="7:7" x14ac:dyDescent="0.25">
      <c r="G218" s="1"/>
    </row>
    <row r="219" spans="7:7" x14ac:dyDescent="0.25">
      <c r="G219" s="1"/>
    </row>
    <row r="220" spans="7:7" x14ac:dyDescent="0.25">
      <c r="G220" s="1"/>
    </row>
    <row r="221" spans="7:7" x14ac:dyDescent="0.25">
      <c r="G221" s="1"/>
    </row>
    <row r="222" spans="7:7" x14ac:dyDescent="0.25">
      <c r="G222" s="1"/>
    </row>
    <row r="223" spans="7:7" x14ac:dyDescent="0.25">
      <c r="G223" s="1"/>
    </row>
    <row r="224" spans="7:7" x14ac:dyDescent="0.25">
      <c r="G224" s="1"/>
    </row>
    <row r="225" spans="7:7" x14ac:dyDescent="0.25">
      <c r="G225" s="1"/>
    </row>
    <row r="226" spans="7:7" x14ac:dyDescent="0.25">
      <c r="G226" s="1"/>
    </row>
    <row r="227" spans="7:7" x14ac:dyDescent="0.25">
      <c r="G227" s="1"/>
    </row>
    <row r="228" spans="7:7" x14ac:dyDescent="0.25">
      <c r="G228" s="1"/>
    </row>
    <row r="229" spans="7:7" x14ac:dyDescent="0.25">
      <c r="G229" s="1"/>
    </row>
    <row r="230" spans="7:7" x14ac:dyDescent="0.25">
      <c r="G230" s="1"/>
    </row>
    <row r="231" spans="7:7" x14ac:dyDescent="0.25">
      <c r="G231" s="1"/>
    </row>
    <row r="232" spans="7:7" x14ac:dyDescent="0.25">
      <c r="G232" s="1"/>
    </row>
    <row r="233" spans="7:7" x14ac:dyDescent="0.25">
      <c r="G233" s="1"/>
    </row>
    <row r="234" spans="7:7" x14ac:dyDescent="0.25">
      <c r="G234" s="1"/>
    </row>
    <row r="235" spans="7:7" x14ac:dyDescent="0.25">
      <c r="G235" s="1"/>
    </row>
    <row r="236" spans="7:7" x14ac:dyDescent="0.25">
      <c r="G236" s="1"/>
    </row>
    <row r="237" spans="7:7" x14ac:dyDescent="0.25">
      <c r="G237" s="1"/>
    </row>
    <row r="238" spans="7:7" x14ac:dyDescent="0.25">
      <c r="G238" s="1"/>
    </row>
    <row r="239" spans="7:7" x14ac:dyDescent="0.25">
      <c r="G239" s="1"/>
    </row>
    <row r="240" spans="7:7" x14ac:dyDescent="0.25">
      <c r="G240" s="1"/>
    </row>
    <row r="241" spans="7:7" x14ac:dyDescent="0.25">
      <c r="G241" s="1"/>
    </row>
    <row r="242" spans="7:7" x14ac:dyDescent="0.25">
      <c r="G242" s="1"/>
    </row>
    <row r="243" spans="7:7" x14ac:dyDescent="0.25">
      <c r="G243" s="1"/>
    </row>
    <row r="244" spans="7:7" x14ac:dyDescent="0.25">
      <c r="G244" s="1"/>
    </row>
    <row r="245" spans="7:7" x14ac:dyDescent="0.25">
      <c r="G245" s="1"/>
    </row>
    <row r="246" spans="7:7" x14ac:dyDescent="0.25">
      <c r="G246" s="1"/>
    </row>
    <row r="247" spans="7:7" x14ac:dyDescent="0.25">
      <c r="G247" s="1"/>
    </row>
    <row r="248" spans="7:7" x14ac:dyDescent="0.25">
      <c r="G248" s="1"/>
    </row>
    <row r="249" spans="7:7" x14ac:dyDescent="0.25">
      <c r="G249" s="1"/>
    </row>
    <row r="250" spans="7:7" x14ac:dyDescent="0.25">
      <c r="G250" s="1"/>
    </row>
    <row r="251" spans="7:7" x14ac:dyDescent="0.25">
      <c r="G251" s="1"/>
    </row>
    <row r="252" spans="7:7" x14ac:dyDescent="0.25">
      <c r="G252" s="1"/>
    </row>
    <row r="253" spans="7:7" x14ac:dyDescent="0.25">
      <c r="G253" s="1"/>
    </row>
    <row r="254" spans="7:7" x14ac:dyDescent="0.25">
      <c r="G254" s="1"/>
    </row>
    <row r="255" spans="7:7" x14ac:dyDescent="0.25">
      <c r="G255" s="1"/>
    </row>
    <row r="256" spans="7:7" x14ac:dyDescent="0.25">
      <c r="G256" s="1"/>
    </row>
    <row r="257" spans="7:7" x14ac:dyDescent="0.25">
      <c r="G257" s="1"/>
    </row>
    <row r="258" spans="7:7" x14ac:dyDescent="0.25">
      <c r="G258" s="1"/>
    </row>
    <row r="259" spans="7:7" x14ac:dyDescent="0.25">
      <c r="G259" s="1"/>
    </row>
    <row r="260" spans="7:7" x14ac:dyDescent="0.25">
      <c r="G260" s="1"/>
    </row>
    <row r="261" spans="7:7" x14ac:dyDescent="0.25">
      <c r="G261" s="1"/>
    </row>
    <row r="262" spans="7:7" x14ac:dyDescent="0.25">
      <c r="G262" s="1"/>
    </row>
    <row r="263" spans="7:7" x14ac:dyDescent="0.25">
      <c r="G263" s="1"/>
    </row>
    <row r="264" spans="7:7" x14ac:dyDescent="0.25">
      <c r="G264" s="1"/>
    </row>
    <row r="265" spans="7:7" x14ac:dyDescent="0.25">
      <c r="G265" s="1"/>
    </row>
    <row r="266" spans="7:7" x14ac:dyDescent="0.25">
      <c r="G266" s="1"/>
    </row>
    <row r="267" spans="7:7" x14ac:dyDescent="0.25">
      <c r="G267" s="1"/>
    </row>
    <row r="268" spans="7:7" x14ac:dyDescent="0.25">
      <c r="G268" s="1"/>
    </row>
    <row r="269" spans="7:7" x14ac:dyDescent="0.25">
      <c r="G269" s="1"/>
    </row>
    <row r="270" spans="7:7" x14ac:dyDescent="0.25">
      <c r="G270" s="1"/>
    </row>
    <row r="271" spans="7:7" x14ac:dyDescent="0.25">
      <c r="G271" s="1"/>
    </row>
    <row r="272" spans="7:7" x14ac:dyDescent="0.25">
      <c r="G272" s="1"/>
    </row>
    <row r="273" spans="7:7" x14ac:dyDescent="0.25">
      <c r="G273" s="1"/>
    </row>
    <row r="274" spans="7:7" x14ac:dyDescent="0.25">
      <c r="G274" s="1"/>
    </row>
    <row r="275" spans="7:7" x14ac:dyDescent="0.25">
      <c r="G275" s="1"/>
    </row>
    <row r="276" spans="7:7" x14ac:dyDescent="0.25">
      <c r="G276" s="1"/>
    </row>
    <row r="277" spans="7:7" x14ac:dyDescent="0.25">
      <c r="G277" s="1"/>
    </row>
    <row r="278" spans="7:7" x14ac:dyDescent="0.25">
      <c r="G278" s="1"/>
    </row>
    <row r="279" spans="7:7" x14ac:dyDescent="0.25">
      <c r="G279" s="1"/>
    </row>
    <row r="280" spans="7:7" x14ac:dyDescent="0.25">
      <c r="G280" s="1"/>
    </row>
    <row r="281" spans="7:7" x14ac:dyDescent="0.25">
      <c r="G281" s="1"/>
    </row>
    <row r="282" spans="7:7" x14ac:dyDescent="0.25">
      <c r="G282" s="1"/>
    </row>
    <row r="283" spans="7:7" x14ac:dyDescent="0.25">
      <c r="G283" s="1"/>
    </row>
    <row r="284" spans="7:7" x14ac:dyDescent="0.25">
      <c r="G284" s="1"/>
    </row>
    <row r="285" spans="7:7" x14ac:dyDescent="0.25">
      <c r="G285" s="1"/>
    </row>
    <row r="286" spans="7:7" x14ac:dyDescent="0.25">
      <c r="G286" s="1"/>
    </row>
    <row r="287" spans="7:7" x14ac:dyDescent="0.25">
      <c r="G287" s="1"/>
    </row>
    <row r="288" spans="7:7" x14ac:dyDescent="0.25">
      <c r="G288" s="1"/>
    </row>
    <row r="289" spans="7:8" x14ac:dyDescent="0.25">
      <c r="G289" s="1"/>
    </row>
    <row r="290" spans="7:8" x14ac:dyDescent="0.25">
      <c r="G290" s="1"/>
      <c r="H290" s="1"/>
    </row>
    <row r="291" spans="7:8" x14ac:dyDescent="0.25">
      <c r="G291" s="1"/>
      <c r="H291" s="1"/>
    </row>
    <row r="292" spans="7:8" x14ac:dyDescent="0.25">
      <c r="G292" s="1"/>
    </row>
    <row r="293" spans="7:8" x14ac:dyDescent="0.25">
      <c r="G293" s="1"/>
    </row>
    <row r="294" spans="7:8" x14ac:dyDescent="0.25">
      <c r="G294" s="1"/>
    </row>
    <row r="295" spans="7:8" x14ac:dyDescent="0.25">
      <c r="G295" s="1"/>
    </row>
    <row r="296" spans="7:8" x14ac:dyDescent="0.25">
      <c r="G296" s="1"/>
    </row>
    <row r="297" spans="7:8" x14ac:dyDescent="0.25">
      <c r="G297" s="1"/>
    </row>
    <row r="298" spans="7:8" x14ac:dyDescent="0.25">
      <c r="G298" s="1"/>
    </row>
    <row r="299" spans="7:8" x14ac:dyDescent="0.25">
      <c r="G299" s="1"/>
    </row>
    <row r="300" spans="7:8" x14ac:dyDescent="0.25">
      <c r="G300" s="1"/>
    </row>
    <row r="301" spans="7:8" x14ac:dyDescent="0.25">
      <c r="G301" s="1"/>
    </row>
    <row r="302" spans="7:8" x14ac:dyDescent="0.25">
      <c r="G302" s="1"/>
    </row>
    <row r="303" spans="7:8" x14ac:dyDescent="0.25">
      <c r="G303" s="1"/>
    </row>
    <row r="304" spans="7:8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  <row r="356" spans="7:7" x14ac:dyDescent="0.25">
      <c r="G356" s="1"/>
    </row>
    <row r="357" spans="7:7" x14ac:dyDescent="0.25">
      <c r="G357" s="1"/>
    </row>
    <row r="358" spans="7:7" x14ac:dyDescent="0.25">
      <c r="G358" s="1"/>
    </row>
    <row r="359" spans="7:7" x14ac:dyDescent="0.25">
      <c r="G359" s="1"/>
    </row>
    <row r="360" spans="7:7" x14ac:dyDescent="0.25">
      <c r="G360" s="1"/>
    </row>
  </sheetData>
  <sortState xmlns:xlrd2="http://schemas.microsoft.com/office/spreadsheetml/2017/richdata2" ref="A2:X114">
    <sortCondition ref="F2:F1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700B1-2857-4F03-B41F-33B42788C80F}">
  <dimension ref="A1:B113"/>
  <sheetViews>
    <sheetView workbookViewId="0">
      <selection activeCell="B1" sqref="B1:B113"/>
    </sheetView>
  </sheetViews>
  <sheetFormatPr defaultRowHeight="15" x14ac:dyDescent="0.25"/>
  <sheetData>
    <row r="1" spans="1:2" x14ac:dyDescent="0.25">
      <c r="A1" s="1">
        <v>45658</v>
      </c>
      <c r="B1" s="1">
        <f>DATE(YEAR(A1), MONTH(A1) +1, DAY(A1))</f>
        <v>45689</v>
      </c>
    </row>
    <row r="2" spans="1:2" x14ac:dyDescent="0.25">
      <c r="A2" s="1">
        <v>45597</v>
      </c>
      <c r="B2" s="1">
        <f t="shared" ref="B2:B65" si="0">DATE(YEAR(A2), MONTH(A2) +1, DAY(A2))</f>
        <v>45627</v>
      </c>
    </row>
    <row r="3" spans="1:2" x14ac:dyDescent="0.25">
      <c r="A3" s="1">
        <v>45627</v>
      </c>
      <c r="B3" s="1">
        <f t="shared" si="0"/>
        <v>45658</v>
      </c>
    </row>
    <row r="4" spans="1:2" x14ac:dyDescent="0.25">
      <c r="A4" s="1">
        <v>45658</v>
      </c>
      <c r="B4" s="1">
        <f t="shared" si="0"/>
        <v>45689</v>
      </c>
    </row>
    <row r="5" spans="1:2" x14ac:dyDescent="0.25">
      <c r="A5" s="1">
        <v>45658</v>
      </c>
      <c r="B5" s="1">
        <f t="shared" si="0"/>
        <v>45689</v>
      </c>
    </row>
    <row r="6" spans="1:2" x14ac:dyDescent="0.25">
      <c r="A6" s="1">
        <v>45658</v>
      </c>
      <c r="B6" s="1">
        <f t="shared" si="0"/>
        <v>45689</v>
      </c>
    </row>
    <row r="7" spans="1:2" x14ac:dyDescent="0.25">
      <c r="A7" s="1">
        <v>45658</v>
      </c>
      <c r="B7" s="1">
        <f t="shared" si="0"/>
        <v>45689</v>
      </c>
    </row>
    <row r="8" spans="1:2" x14ac:dyDescent="0.25">
      <c r="A8" s="1">
        <v>45658</v>
      </c>
      <c r="B8" s="1">
        <f t="shared" si="0"/>
        <v>45689</v>
      </c>
    </row>
    <row r="9" spans="1:2" x14ac:dyDescent="0.25">
      <c r="A9" s="1">
        <v>45658</v>
      </c>
      <c r="B9" s="1">
        <f t="shared" si="0"/>
        <v>45689</v>
      </c>
    </row>
    <row r="10" spans="1:2" x14ac:dyDescent="0.25">
      <c r="A10" s="1">
        <v>45658</v>
      </c>
      <c r="B10" s="1">
        <f t="shared" si="0"/>
        <v>45689</v>
      </c>
    </row>
    <row r="11" spans="1:2" x14ac:dyDescent="0.25">
      <c r="A11" s="1">
        <v>45658</v>
      </c>
      <c r="B11" s="1">
        <f t="shared" si="0"/>
        <v>45689</v>
      </c>
    </row>
    <row r="12" spans="1:2" x14ac:dyDescent="0.25">
      <c r="A12" s="1">
        <v>45658</v>
      </c>
      <c r="B12" s="1">
        <f t="shared" si="0"/>
        <v>45689</v>
      </c>
    </row>
    <row r="13" spans="1:2" x14ac:dyDescent="0.25">
      <c r="A13" s="1">
        <v>45658</v>
      </c>
      <c r="B13" s="1">
        <f t="shared" si="0"/>
        <v>45689</v>
      </c>
    </row>
    <row r="14" spans="1:2" x14ac:dyDescent="0.25">
      <c r="A14" s="1">
        <v>45658</v>
      </c>
      <c r="B14" s="1">
        <f t="shared" si="0"/>
        <v>45689</v>
      </c>
    </row>
    <row r="15" spans="1:2" x14ac:dyDescent="0.25">
      <c r="A15" s="1">
        <v>45658</v>
      </c>
      <c r="B15" s="1">
        <f t="shared" si="0"/>
        <v>45689</v>
      </c>
    </row>
    <row r="16" spans="1:2" x14ac:dyDescent="0.25">
      <c r="A16" s="1">
        <v>45658</v>
      </c>
      <c r="B16" s="1">
        <f t="shared" si="0"/>
        <v>45689</v>
      </c>
    </row>
    <row r="17" spans="1:2" x14ac:dyDescent="0.25">
      <c r="A17" s="1">
        <v>45658</v>
      </c>
      <c r="B17" s="1">
        <f t="shared" si="0"/>
        <v>45689</v>
      </c>
    </row>
    <row r="18" spans="1:2" x14ac:dyDescent="0.25">
      <c r="A18" s="1">
        <v>45658</v>
      </c>
      <c r="B18" s="1">
        <f t="shared" si="0"/>
        <v>45689</v>
      </c>
    </row>
    <row r="19" spans="1:2" x14ac:dyDescent="0.25">
      <c r="A19" s="1">
        <v>45627</v>
      </c>
      <c r="B19" s="1">
        <f t="shared" si="0"/>
        <v>45658</v>
      </c>
    </row>
    <row r="20" spans="1:2" x14ac:dyDescent="0.25">
      <c r="A20" s="1">
        <v>45627</v>
      </c>
      <c r="B20" s="1">
        <f t="shared" si="0"/>
        <v>45658</v>
      </c>
    </row>
    <row r="21" spans="1:2" x14ac:dyDescent="0.25">
      <c r="A21" s="1">
        <v>45627</v>
      </c>
      <c r="B21" s="1">
        <f t="shared" si="0"/>
        <v>45658</v>
      </c>
    </row>
    <row r="22" spans="1:2" x14ac:dyDescent="0.25">
      <c r="A22" s="1">
        <v>45627</v>
      </c>
      <c r="B22" s="1">
        <f t="shared" si="0"/>
        <v>45658</v>
      </c>
    </row>
    <row r="23" spans="1:2" x14ac:dyDescent="0.25">
      <c r="A23" s="1">
        <v>45627</v>
      </c>
      <c r="B23" s="1">
        <f t="shared" si="0"/>
        <v>45658</v>
      </c>
    </row>
    <row r="24" spans="1:2" x14ac:dyDescent="0.25">
      <c r="A24" s="1">
        <v>45627</v>
      </c>
      <c r="B24" s="1">
        <f t="shared" si="0"/>
        <v>45658</v>
      </c>
    </row>
    <row r="25" spans="1:2" x14ac:dyDescent="0.25">
      <c r="A25" s="1">
        <v>45658</v>
      </c>
      <c r="B25" s="1">
        <f t="shared" si="0"/>
        <v>45689</v>
      </c>
    </row>
    <row r="26" spans="1:2" x14ac:dyDescent="0.25">
      <c r="A26" s="1">
        <v>45658</v>
      </c>
      <c r="B26" s="1">
        <f t="shared" si="0"/>
        <v>45689</v>
      </c>
    </row>
    <row r="27" spans="1:2" x14ac:dyDescent="0.25">
      <c r="A27" s="1">
        <v>45658</v>
      </c>
      <c r="B27" s="1">
        <f t="shared" si="0"/>
        <v>45689</v>
      </c>
    </row>
    <row r="28" spans="1:2" x14ac:dyDescent="0.25">
      <c r="A28" s="1">
        <v>45658</v>
      </c>
      <c r="B28" s="1">
        <f t="shared" si="0"/>
        <v>45689</v>
      </c>
    </row>
    <row r="29" spans="1:2" x14ac:dyDescent="0.25">
      <c r="A29" s="1">
        <v>45658</v>
      </c>
      <c r="B29" s="1">
        <f t="shared" si="0"/>
        <v>45689</v>
      </c>
    </row>
    <row r="30" spans="1:2" x14ac:dyDescent="0.25">
      <c r="A30" s="1">
        <v>45658</v>
      </c>
      <c r="B30" s="1">
        <f t="shared" si="0"/>
        <v>45689</v>
      </c>
    </row>
    <row r="31" spans="1:2" x14ac:dyDescent="0.25">
      <c r="A31" s="1">
        <v>45658</v>
      </c>
      <c r="B31" s="1">
        <f t="shared" si="0"/>
        <v>45689</v>
      </c>
    </row>
    <row r="32" spans="1:2" x14ac:dyDescent="0.25">
      <c r="A32" s="1">
        <v>45658</v>
      </c>
      <c r="B32" s="1">
        <f t="shared" si="0"/>
        <v>45689</v>
      </c>
    </row>
    <row r="33" spans="1:2" x14ac:dyDescent="0.25">
      <c r="A33" s="1">
        <v>45658</v>
      </c>
      <c r="B33" s="1">
        <f t="shared" si="0"/>
        <v>45689</v>
      </c>
    </row>
    <row r="34" spans="1:2" x14ac:dyDescent="0.25">
      <c r="A34" s="1">
        <v>45658</v>
      </c>
      <c r="B34" s="1">
        <f t="shared" si="0"/>
        <v>45689</v>
      </c>
    </row>
    <row r="35" spans="1:2" x14ac:dyDescent="0.25">
      <c r="A35" s="1">
        <v>45658</v>
      </c>
      <c r="B35" s="1">
        <f t="shared" si="0"/>
        <v>45689</v>
      </c>
    </row>
    <row r="36" spans="1:2" x14ac:dyDescent="0.25">
      <c r="A36" s="1">
        <v>45658</v>
      </c>
      <c r="B36" s="1">
        <f t="shared" si="0"/>
        <v>45689</v>
      </c>
    </row>
    <row r="37" spans="1:2" x14ac:dyDescent="0.25">
      <c r="A37" s="1">
        <v>45658</v>
      </c>
      <c r="B37" s="1">
        <f t="shared" si="0"/>
        <v>45689</v>
      </c>
    </row>
    <row r="38" spans="1:2" x14ac:dyDescent="0.25">
      <c r="A38" s="1">
        <v>45658</v>
      </c>
      <c r="B38" s="1">
        <f t="shared" si="0"/>
        <v>45689</v>
      </c>
    </row>
    <row r="39" spans="1:2" x14ac:dyDescent="0.25">
      <c r="A39" s="1">
        <v>45658</v>
      </c>
      <c r="B39" s="1">
        <f t="shared" si="0"/>
        <v>45689</v>
      </c>
    </row>
    <row r="40" spans="1:2" x14ac:dyDescent="0.25">
      <c r="A40" s="1">
        <v>45658</v>
      </c>
      <c r="B40" s="1">
        <f t="shared" si="0"/>
        <v>45689</v>
      </c>
    </row>
    <row r="41" spans="1:2" x14ac:dyDescent="0.25">
      <c r="A41" s="1">
        <v>45658</v>
      </c>
      <c r="B41" s="1">
        <f t="shared" si="0"/>
        <v>45689</v>
      </c>
    </row>
    <row r="42" spans="1:2" x14ac:dyDescent="0.25">
      <c r="A42" s="1">
        <v>45658</v>
      </c>
      <c r="B42" s="1">
        <f t="shared" si="0"/>
        <v>45689</v>
      </c>
    </row>
    <row r="43" spans="1:2" x14ac:dyDescent="0.25">
      <c r="A43" s="1">
        <v>45658</v>
      </c>
      <c r="B43" s="1">
        <f t="shared" si="0"/>
        <v>45689</v>
      </c>
    </row>
    <row r="44" spans="1:2" x14ac:dyDescent="0.25">
      <c r="A44" s="1">
        <v>45658</v>
      </c>
      <c r="B44" s="1">
        <f t="shared" si="0"/>
        <v>45689</v>
      </c>
    </row>
    <row r="45" spans="1:2" x14ac:dyDescent="0.25">
      <c r="A45" s="1">
        <v>45658</v>
      </c>
      <c r="B45" s="1">
        <f t="shared" si="0"/>
        <v>45689</v>
      </c>
    </row>
    <row r="46" spans="1:2" x14ac:dyDescent="0.25">
      <c r="A46" s="1">
        <v>45658</v>
      </c>
      <c r="B46" s="1">
        <f t="shared" si="0"/>
        <v>45689</v>
      </c>
    </row>
    <row r="47" spans="1:2" x14ac:dyDescent="0.25">
      <c r="A47" s="1">
        <v>45658</v>
      </c>
      <c r="B47" s="1">
        <f t="shared" si="0"/>
        <v>45689</v>
      </c>
    </row>
    <row r="48" spans="1:2" x14ac:dyDescent="0.25">
      <c r="A48" s="1">
        <v>45658</v>
      </c>
      <c r="B48" s="1">
        <f t="shared" si="0"/>
        <v>45689</v>
      </c>
    </row>
    <row r="49" spans="1:2" x14ac:dyDescent="0.25">
      <c r="A49" s="1">
        <v>45658</v>
      </c>
      <c r="B49" s="1">
        <f t="shared" si="0"/>
        <v>45689</v>
      </c>
    </row>
    <row r="50" spans="1:2" x14ac:dyDescent="0.25">
      <c r="A50" s="1">
        <v>45658</v>
      </c>
      <c r="B50" s="1">
        <f t="shared" si="0"/>
        <v>45689</v>
      </c>
    </row>
    <row r="51" spans="1:2" x14ac:dyDescent="0.25">
      <c r="A51" s="1">
        <v>45658</v>
      </c>
      <c r="B51" s="1">
        <f t="shared" si="0"/>
        <v>45689</v>
      </c>
    </row>
    <row r="52" spans="1:2" x14ac:dyDescent="0.25">
      <c r="A52" s="1">
        <v>45658</v>
      </c>
      <c r="B52" s="1">
        <f t="shared" si="0"/>
        <v>45689</v>
      </c>
    </row>
    <row r="53" spans="1:2" x14ac:dyDescent="0.25">
      <c r="A53" s="1">
        <v>45658</v>
      </c>
      <c r="B53" s="1">
        <f t="shared" si="0"/>
        <v>45689</v>
      </c>
    </row>
    <row r="54" spans="1:2" x14ac:dyDescent="0.25">
      <c r="A54" s="1">
        <v>45658</v>
      </c>
      <c r="B54" s="1">
        <f t="shared" si="0"/>
        <v>45689</v>
      </c>
    </row>
    <row r="55" spans="1:2" x14ac:dyDescent="0.25">
      <c r="A55" s="1">
        <v>45658</v>
      </c>
      <c r="B55" s="1">
        <f t="shared" si="0"/>
        <v>45689</v>
      </c>
    </row>
    <row r="56" spans="1:2" x14ac:dyDescent="0.25">
      <c r="A56" s="1">
        <v>45658</v>
      </c>
      <c r="B56" s="1">
        <f t="shared" si="0"/>
        <v>45689</v>
      </c>
    </row>
    <row r="57" spans="1:2" x14ac:dyDescent="0.25">
      <c r="A57" s="1">
        <v>45658</v>
      </c>
      <c r="B57" s="1">
        <f t="shared" si="0"/>
        <v>45689</v>
      </c>
    </row>
    <row r="58" spans="1:2" x14ac:dyDescent="0.25">
      <c r="A58" s="1">
        <v>45658</v>
      </c>
      <c r="B58" s="1">
        <f t="shared" si="0"/>
        <v>45689</v>
      </c>
    </row>
    <row r="59" spans="1:2" x14ac:dyDescent="0.25">
      <c r="A59" s="1">
        <v>45658</v>
      </c>
      <c r="B59" s="1">
        <f t="shared" si="0"/>
        <v>45689</v>
      </c>
    </row>
    <row r="60" spans="1:2" x14ac:dyDescent="0.25">
      <c r="A60" s="1">
        <v>45658</v>
      </c>
      <c r="B60" s="1">
        <f t="shared" si="0"/>
        <v>45689</v>
      </c>
    </row>
    <row r="61" spans="1:2" x14ac:dyDescent="0.25">
      <c r="A61" s="1">
        <v>45658</v>
      </c>
      <c r="B61" s="1">
        <f t="shared" si="0"/>
        <v>45689</v>
      </c>
    </row>
    <row r="62" spans="1:2" x14ac:dyDescent="0.25">
      <c r="A62" s="1">
        <v>45658</v>
      </c>
      <c r="B62" s="1">
        <f t="shared" si="0"/>
        <v>45689</v>
      </c>
    </row>
    <row r="63" spans="1:2" x14ac:dyDescent="0.25">
      <c r="A63" s="1">
        <v>45658</v>
      </c>
      <c r="B63" s="1">
        <f t="shared" si="0"/>
        <v>45689</v>
      </c>
    </row>
    <row r="64" spans="1:2" x14ac:dyDescent="0.25">
      <c r="A64" s="1">
        <v>45658</v>
      </c>
      <c r="B64" s="1">
        <f t="shared" si="0"/>
        <v>45689</v>
      </c>
    </row>
    <row r="65" spans="1:2" x14ac:dyDescent="0.25">
      <c r="A65" s="1">
        <v>45658</v>
      </c>
      <c r="B65" s="1">
        <f t="shared" si="0"/>
        <v>45689</v>
      </c>
    </row>
    <row r="66" spans="1:2" x14ac:dyDescent="0.25">
      <c r="A66" s="1">
        <v>45658</v>
      </c>
      <c r="B66" s="1">
        <f t="shared" ref="B66:B113" si="1">DATE(YEAR(A66), MONTH(A66) +1, DAY(A66))</f>
        <v>45689</v>
      </c>
    </row>
    <row r="67" spans="1:2" x14ac:dyDescent="0.25">
      <c r="A67" s="1">
        <v>45658</v>
      </c>
      <c r="B67" s="1">
        <f t="shared" si="1"/>
        <v>45689</v>
      </c>
    </row>
    <row r="68" spans="1:2" x14ac:dyDescent="0.25">
      <c r="A68" s="1">
        <v>45658</v>
      </c>
      <c r="B68" s="1">
        <f t="shared" si="1"/>
        <v>45689</v>
      </c>
    </row>
    <row r="69" spans="1:2" x14ac:dyDescent="0.25">
      <c r="A69" s="1">
        <v>45658</v>
      </c>
      <c r="B69" s="1">
        <f t="shared" si="1"/>
        <v>45689</v>
      </c>
    </row>
    <row r="70" spans="1:2" x14ac:dyDescent="0.25">
      <c r="A70" s="1">
        <v>45658</v>
      </c>
      <c r="B70" s="1">
        <f t="shared" si="1"/>
        <v>45689</v>
      </c>
    </row>
    <row r="71" spans="1:2" x14ac:dyDescent="0.25">
      <c r="A71" s="1">
        <v>45658</v>
      </c>
      <c r="B71" s="1">
        <f t="shared" si="1"/>
        <v>45689</v>
      </c>
    </row>
    <row r="72" spans="1:2" x14ac:dyDescent="0.25">
      <c r="A72" s="1">
        <v>45658</v>
      </c>
      <c r="B72" s="1">
        <f t="shared" si="1"/>
        <v>45689</v>
      </c>
    </row>
    <row r="73" spans="1:2" x14ac:dyDescent="0.25">
      <c r="A73" s="1">
        <v>45658</v>
      </c>
      <c r="B73" s="1">
        <f t="shared" si="1"/>
        <v>45689</v>
      </c>
    </row>
    <row r="74" spans="1:2" x14ac:dyDescent="0.25">
      <c r="A74" s="1">
        <v>45658</v>
      </c>
      <c r="B74" s="1">
        <f t="shared" si="1"/>
        <v>45689</v>
      </c>
    </row>
    <row r="75" spans="1:2" x14ac:dyDescent="0.25">
      <c r="A75" s="1">
        <v>45658</v>
      </c>
      <c r="B75" s="1">
        <f t="shared" si="1"/>
        <v>45689</v>
      </c>
    </row>
    <row r="76" spans="1:2" x14ac:dyDescent="0.25">
      <c r="A76" s="1">
        <v>45658</v>
      </c>
      <c r="B76" s="1">
        <f t="shared" si="1"/>
        <v>45689</v>
      </c>
    </row>
    <row r="77" spans="1:2" x14ac:dyDescent="0.25">
      <c r="A77" s="1">
        <v>45658</v>
      </c>
      <c r="B77" s="1">
        <f t="shared" si="1"/>
        <v>45689</v>
      </c>
    </row>
    <row r="78" spans="1:2" x14ac:dyDescent="0.25">
      <c r="A78" s="1">
        <v>45658</v>
      </c>
      <c r="B78" s="1">
        <f t="shared" si="1"/>
        <v>45689</v>
      </c>
    </row>
    <row r="79" spans="1:2" x14ac:dyDescent="0.25">
      <c r="A79" s="1">
        <v>45658</v>
      </c>
      <c r="B79" s="1">
        <f t="shared" si="1"/>
        <v>45689</v>
      </c>
    </row>
    <row r="80" spans="1:2" x14ac:dyDescent="0.25">
      <c r="A80" s="1">
        <v>45658</v>
      </c>
      <c r="B80" s="1">
        <f t="shared" si="1"/>
        <v>45689</v>
      </c>
    </row>
    <row r="81" spans="1:2" x14ac:dyDescent="0.25">
      <c r="A81" s="1">
        <v>45658</v>
      </c>
      <c r="B81" s="1">
        <f t="shared" si="1"/>
        <v>45689</v>
      </c>
    </row>
    <row r="82" spans="1:2" x14ac:dyDescent="0.25">
      <c r="A82" s="1">
        <v>45658</v>
      </c>
      <c r="B82" s="1">
        <f t="shared" si="1"/>
        <v>45689</v>
      </c>
    </row>
    <row r="83" spans="1:2" x14ac:dyDescent="0.25">
      <c r="A83" s="1">
        <v>45658</v>
      </c>
      <c r="B83" s="1">
        <f t="shared" si="1"/>
        <v>45689</v>
      </c>
    </row>
    <row r="84" spans="1:2" x14ac:dyDescent="0.25">
      <c r="A84" s="1">
        <v>45658</v>
      </c>
      <c r="B84" s="1">
        <f t="shared" si="1"/>
        <v>45689</v>
      </c>
    </row>
    <row r="85" spans="1:2" x14ac:dyDescent="0.25">
      <c r="A85" s="1">
        <v>45658</v>
      </c>
      <c r="B85" s="1">
        <f t="shared" si="1"/>
        <v>45689</v>
      </c>
    </row>
    <row r="86" spans="1:2" x14ac:dyDescent="0.25">
      <c r="A86" s="1">
        <v>45658</v>
      </c>
      <c r="B86" s="1">
        <f t="shared" si="1"/>
        <v>45689</v>
      </c>
    </row>
    <row r="87" spans="1:2" x14ac:dyDescent="0.25">
      <c r="A87" s="1">
        <v>45658</v>
      </c>
      <c r="B87" s="1">
        <f t="shared" si="1"/>
        <v>45689</v>
      </c>
    </row>
    <row r="88" spans="1:2" x14ac:dyDescent="0.25">
      <c r="A88" s="1">
        <v>45658</v>
      </c>
      <c r="B88" s="1">
        <f t="shared" si="1"/>
        <v>45689</v>
      </c>
    </row>
    <row r="89" spans="1:2" x14ac:dyDescent="0.25">
      <c r="A89" s="1">
        <v>45658</v>
      </c>
      <c r="B89" s="1">
        <f t="shared" si="1"/>
        <v>45689</v>
      </c>
    </row>
    <row r="90" spans="1:2" x14ac:dyDescent="0.25">
      <c r="A90" s="1">
        <v>45658</v>
      </c>
      <c r="B90" s="1">
        <f t="shared" si="1"/>
        <v>45689</v>
      </c>
    </row>
    <row r="91" spans="1:2" x14ac:dyDescent="0.25">
      <c r="A91" s="1">
        <v>45658</v>
      </c>
      <c r="B91" s="1">
        <f t="shared" si="1"/>
        <v>45689</v>
      </c>
    </row>
    <row r="92" spans="1:2" x14ac:dyDescent="0.25">
      <c r="A92" s="1">
        <v>45658</v>
      </c>
      <c r="B92" s="1">
        <f t="shared" si="1"/>
        <v>45689</v>
      </c>
    </row>
    <row r="93" spans="1:2" x14ac:dyDescent="0.25">
      <c r="A93" s="1">
        <v>45658</v>
      </c>
      <c r="B93" s="1">
        <f t="shared" si="1"/>
        <v>45689</v>
      </c>
    </row>
    <row r="94" spans="1:2" x14ac:dyDescent="0.25">
      <c r="A94" s="1">
        <v>45658</v>
      </c>
      <c r="B94" s="1">
        <f t="shared" si="1"/>
        <v>45689</v>
      </c>
    </row>
    <row r="95" spans="1:2" x14ac:dyDescent="0.25">
      <c r="A95" s="1">
        <v>45658</v>
      </c>
      <c r="B95" s="1">
        <f t="shared" si="1"/>
        <v>45689</v>
      </c>
    </row>
    <row r="96" spans="1:2" x14ac:dyDescent="0.25">
      <c r="A96" s="1">
        <v>45658</v>
      </c>
      <c r="B96" s="1">
        <f t="shared" si="1"/>
        <v>45689</v>
      </c>
    </row>
    <row r="97" spans="1:2" x14ac:dyDescent="0.25">
      <c r="A97" s="1">
        <v>45658</v>
      </c>
      <c r="B97" s="1">
        <f t="shared" si="1"/>
        <v>45689</v>
      </c>
    </row>
    <row r="98" spans="1:2" x14ac:dyDescent="0.25">
      <c r="A98" s="1">
        <v>45658</v>
      </c>
      <c r="B98" s="1">
        <f t="shared" si="1"/>
        <v>45689</v>
      </c>
    </row>
    <row r="99" spans="1:2" x14ac:dyDescent="0.25">
      <c r="A99" s="1">
        <v>45658</v>
      </c>
      <c r="B99" s="1">
        <f t="shared" si="1"/>
        <v>45689</v>
      </c>
    </row>
    <row r="100" spans="1:2" x14ac:dyDescent="0.25">
      <c r="A100" s="1">
        <v>45658</v>
      </c>
      <c r="B100" s="1">
        <f t="shared" si="1"/>
        <v>45689</v>
      </c>
    </row>
    <row r="101" spans="1:2" x14ac:dyDescent="0.25">
      <c r="A101" s="1">
        <v>45658</v>
      </c>
      <c r="B101" s="1">
        <f t="shared" si="1"/>
        <v>45689</v>
      </c>
    </row>
    <row r="102" spans="1:2" x14ac:dyDescent="0.25">
      <c r="A102" s="1">
        <v>45658</v>
      </c>
      <c r="B102" s="1">
        <f t="shared" si="1"/>
        <v>45689</v>
      </c>
    </row>
    <row r="103" spans="1:2" x14ac:dyDescent="0.25">
      <c r="A103" s="1">
        <v>45658</v>
      </c>
      <c r="B103" s="1">
        <f t="shared" si="1"/>
        <v>45689</v>
      </c>
    </row>
    <row r="104" spans="1:2" x14ac:dyDescent="0.25">
      <c r="A104" s="1">
        <v>45658</v>
      </c>
      <c r="B104" s="1">
        <f t="shared" si="1"/>
        <v>45689</v>
      </c>
    </row>
    <row r="105" spans="1:2" x14ac:dyDescent="0.25">
      <c r="A105" s="1">
        <v>45658</v>
      </c>
      <c r="B105" s="1">
        <f t="shared" si="1"/>
        <v>45689</v>
      </c>
    </row>
    <row r="106" spans="1:2" x14ac:dyDescent="0.25">
      <c r="A106" s="1">
        <v>45658</v>
      </c>
      <c r="B106" s="1">
        <f t="shared" si="1"/>
        <v>45689</v>
      </c>
    </row>
    <row r="107" spans="1:2" x14ac:dyDescent="0.25">
      <c r="A107" s="1">
        <v>45658</v>
      </c>
      <c r="B107" s="1">
        <f t="shared" si="1"/>
        <v>45689</v>
      </c>
    </row>
    <row r="108" spans="1:2" x14ac:dyDescent="0.25">
      <c r="A108" s="1">
        <v>45658</v>
      </c>
      <c r="B108" s="1">
        <f t="shared" si="1"/>
        <v>45689</v>
      </c>
    </row>
    <row r="109" spans="1:2" x14ac:dyDescent="0.25">
      <c r="A109" s="1">
        <v>45658</v>
      </c>
      <c r="B109" s="1">
        <f t="shared" si="1"/>
        <v>45689</v>
      </c>
    </row>
    <row r="110" spans="1:2" x14ac:dyDescent="0.25">
      <c r="A110" s="1">
        <v>45658</v>
      </c>
      <c r="B110" s="1">
        <f t="shared" si="1"/>
        <v>45689</v>
      </c>
    </row>
    <row r="111" spans="1:2" x14ac:dyDescent="0.25">
      <c r="A111" s="1">
        <v>45658</v>
      </c>
      <c r="B111" s="1">
        <f t="shared" si="1"/>
        <v>45689</v>
      </c>
    </row>
    <row r="112" spans="1:2" x14ac:dyDescent="0.25">
      <c r="A112" s="1">
        <v>45658</v>
      </c>
      <c r="B112" s="1">
        <f t="shared" si="1"/>
        <v>45689</v>
      </c>
    </row>
    <row r="113" spans="1:2" x14ac:dyDescent="0.25">
      <c r="A113" s="1">
        <v>45627</v>
      </c>
      <c r="B113" s="1">
        <f t="shared" si="1"/>
        <v>45658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D226-947C-4164-8060-56D64EBABD75}">
  <dimension ref="A1:C113"/>
  <sheetViews>
    <sheetView workbookViewId="0">
      <selection activeCell="C1" sqref="C1:C113"/>
    </sheetView>
  </sheetViews>
  <sheetFormatPr defaultRowHeight="15" x14ac:dyDescent="0.25"/>
  <sheetData>
    <row r="1" spans="1:3" x14ac:dyDescent="0.25">
      <c r="A1" s="4" t="s">
        <v>356</v>
      </c>
      <c r="B1" t="s">
        <v>357</v>
      </c>
      <c r="C1" t="str">
        <f>CONCATENATE(B1, " ",A1)</f>
        <v>SARAH GRIFFITH</v>
      </c>
    </row>
    <row r="2" spans="1:3" x14ac:dyDescent="0.25">
      <c r="A2" s="4" t="s">
        <v>358</v>
      </c>
      <c r="B2" t="s">
        <v>359</v>
      </c>
      <c r="C2" t="str">
        <f t="shared" ref="C2:C65" si="0">CONCATENATE(B2, " ",A2)</f>
        <v>SHARYN MCGALLIS</v>
      </c>
    </row>
    <row r="3" spans="1:3" x14ac:dyDescent="0.25">
      <c r="A3" s="4" t="s">
        <v>360</v>
      </c>
      <c r="B3" t="s">
        <v>361</v>
      </c>
      <c r="C3" t="str">
        <f t="shared" si="0"/>
        <v>FREDERICK SICILIANO</v>
      </c>
    </row>
    <row r="4" spans="1:3" x14ac:dyDescent="0.25">
      <c r="A4" s="4" t="s">
        <v>362</v>
      </c>
      <c r="B4" t="s">
        <v>363</v>
      </c>
      <c r="C4" t="str">
        <f t="shared" si="0"/>
        <v>ROBERTA CARLSON</v>
      </c>
    </row>
    <row r="5" spans="1:3" x14ac:dyDescent="0.25">
      <c r="A5" s="4" t="s">
        <v>356</v>
      </c>
      <c r="B5" t="s">
        <v>357</v>
      </c>
      <c r="C5" t="str">
        <f t="shared" si="0"/>
        <v>SARAH GRIFFITH</v>
      </c>
    </row>
    <row r="6" spans="1:3" x14ac:dyDescent="0.25">
      <c r="A6" s="4" t="s">
        <v>364</v>
      </c>
      <c r="B6" t="s">
        <v>365</v>
      </c>
      <c r="C6" t="str">
        <f t="shared" si="0"/>
        <v>ROGER HOFFMAN</v>
      </c>
    </row>
    <row r="7" spans="1:3" x14ac:dyDescent="0.25">
      <c r="A7" s="4" t="s">
        <v>366</v>
      </c>
      <c r="B7" t="s">
        <v>367</v>
      </c>
      <c r="C7" t="str">
        <f t="shared" si="0"/>
        <v>KATHY LIBERATORE</v>
      </c>
    </row>
    <row r="8" spans="1:3" x14ac:dyDescent="0.25">
      <c r="A8" s="4" t="s">
        <v>368</v>
      </c>
      <c r="B8" t="s">
        <v>369</v>
      </c>
      <c r="C8" t="str">
        <f t="shared" si="0"/>
        <v>LINDA LONG</v>
      </c>
    </row>
    <row r="9" spans="1:3" x14ac:dyDescent="0.25">
      <c r="A9" s="4" t="s">
        <v>370</v>
      </c>
      <c r="B9" t="s">
        <v>371</v>
      </c>
      <c r="C9" t="str">
        <f t="shared" si="0"/>
        <v>TERRY PENROD</v>
      </c>
    </row>
    <row r="10" spans="1:3" x14ac:dyDescent="0.25">
      <c r="A10" s="4" t="s">
        <v>372</v>
      </c>
      <c r="B10" t="s">
        <v>373</v>
      </c>
      <c r="C10" t="str">
        <f t="shared" si="0"/>
        <v>STEPHEN PIPER</v>
      </c>
    </row>
    <row r="11" spans="1:3" x14ac:dyDescent="0.25">
      <c r="A11" s="4" t="s">
        <v>374</v>
      </c>
      <c r="B11" t="s">
        <v>375</v>
      </c>
      <c r="C11" t="str">
        <f t="shared" si="0"/>
        <v>DARIA RIPPER</v>
      </c>
    </row>
    <row r="12" spans="1:3" x14ac:dyDescent="0.25">
      <c r="A12" s="4" t="s">
        <v>374</v>
      </c>
      <c r="B12" t="s">
        <v>376</v>
      </c>
      <c r="C12" t="str">
        <f t="shared" si="0"/>
        <v>ROBERT RIPPER</v>
      </c>
    </row>
    <row r="13" spans="1:3" x14ac:dyDescent="0.25">
      <c r="A13" s="4" t="s">
        <v>377</v>
      </c>
      <c r="B13" t="s">
        <v>378</v>
      </c>
      <c r="C13" t="str">
        <f t="shared" si="0"/>
        <v>HELEN RUMBAUGH</v>
      </c>
    </row>
    <row r="14" spans="1:3" x14ac:dyDescent="0.25">
      <c r="A14" s="4" t="s">
        <v>379</v>
      </c>
      <c r="B14" t="s">
        <v>380</v>
      </c>
      <c r="C14" t="str">
        <f t="shared" si="0"/>
        <v>APRIL WINTERS</v>
      </c>
    </row>
    <row r="15" spans="1:3" x14ac:dyDescent="0.25">
      <c r="A15" s="4" t="s">
        <v>381</v>
      </c>
      <c r="B15" t="s">
        <v>382</v>
      </c>
      <c r="C15" t="str">
        <f t="shared" si="0"/>
        <v>LISA WOOD</v>
      </c>
    </row>
    <row r="16" spans="1:3" x14ac:dyDescent="0.25">
      <c r="A16" s="4" t="s">
        <v>381</v>
      </c>
      <c r="B16" t="s">
        <v>383</v>
      </c>
      <c r="C16" t="str">
        <f t="shared" si="0"/>
        <v>CLIFTON WOOD</v>
      </c>
    </row>
    <row r="17" spans="1:3" x14ac:dyDescent="0.25">
      <c r="A17" s="4" t="s">
        <v>384</v>
      </c>
      <c r="B17" t="s">
        <v>385</v>
      </c>
      <c r="C17" t="str">
        <f t="shared" si="0"/>
        <v>YVONNE YOUNG</v>
      </c>
    </row>
    <row r="18" spans="1:3" x14ac:dyDescent="0.25">
      <c r="A18" s="4" t="s">
        <v>384</v>
      </c>
      <c r="B18" t="s">
        <v>386</v>
      </c>
      <c r="C18" t="str">
        <f t="shared" si="0"/>
        <v>DENNIS YOUNG</v>
      </c>
    </row>
    <row r="19" spans="1:3" x14ac:dyDescent="0.25">
      <c r="A19" s="4" t="s">
        <v>387</v>
      </c>
      <c r="B19" t="s">
        <v>388</v>
      </c>
      <c r="C19" t="str">
        <f t="shared" si="0"/>
        <v>KASSY KREUTZ</v>
      </c>
    </row>
    <row r="20" spans="1:3" x14ac:dyDescent="0.25">
      <c r="A20" s="4" t="s">
        <v>389</v>
      </c>
      <c r="B20" t="s">
        <v>390</v>
      </c>
      <c r="C20" t="str">
        <f t="shared" si="0"/>
        <v>MARY WEATHERSTONE</v>
      </c>
    </row>
    <row r="21" spans="1:3" x14ac:dyDescent="0.25">
      <c r="A21" s="4" t="s">
        <v>391</v>
      </c>
      <c r="B21" t="s">
        <v>392</v>
      </c>
      <c r="C21" t="str">
        <f t="shared" si="0"/>
        <v>TIM PRICE</v>
      </c>
    </row>
    <row r="22" spans="1:3" x14ac:dyDescent="0.25">
      <c r="A22" s="4" t="s">
        <v>393</v>
      </c>
      <c r="B22" t="s">
        <v>394</v>
      </c>
      <c r="C22" t="str">
        <f t="shared" si="0"/>
        <v>EDWARD SCHAEFER</v>
      </c>
    </row>
    <row r="23" spans="1:3" x14ac:dyDescent="0.25">
      <c r="A23" s="4" t="s">
        <v>395</v>
      </c>
      <c r="B23" t="s">
        <v>396</v>
      </c>
      <c r="C23" t="str">
        <f t="shared" si="0"/>
        <v>ALISON SPARKS</v>
      </c>
    </row>
    <row r="24" spans="1:3" x14ac:dyDescent="0.25">
      <c r="A24" s="4" t="s">
        <v>397</v>
      </c>
      <c r="B24" t="s">
        <v>398</v>
      </c>
      <c r="C24" t="str">
        <f t="shared" si="0"/>
        <v>DANIEL HOAGLUND</v>
      </c>
    </row>
    <row r="25" spans="1:3" x14ac:dyDescent="0.25">
      <c r="A25" s="4" t="s">
        <v>399</v>
      </c>
      <c r="B25" t="s">
        <v>400</v>
      </c>
      <c r="C25" t="str">
        <f t="shared" si="0"/>
        <v>STANISLAWA WITEK</v>
      </c>
    </row>
    <row r="26" spans="1:3" x14ac:dyDescent="0.25">
      <c r="A26" s="4" t="s">
        <v>401</v>
      </c>
      <c r="B26" t="s">
        <v>402</v>
      </c>
      <c r="C26" t="str">
        <f t="shared" si="0"/>
        <v>GALINA YUKHVID</v>
      </c>
    </row>
    <row r="27" spans="1:3" x14ac:dyDescent="0.25">
      <c r="A27" s="4" t="s">
        <v>403</v>
      </c>
      <c r="B27" t="s">
        <v>404</v>
      </c>
      <c r="C27" t="str">
        <f t="shared" si="0"/>
        <v>KATHLEEN NOVAK</v>
      </c>
    </row>
    <row r="28" spans="1:3" x14ac:dyDescent="0.25">
      <c r="A28" s="4" t="s">
        <v>405</v>
      </c>
      <c r="B28" t="s">
        <v>406</v>
      </c>
      <c r="C28" t="str">
        <f t="shared" si="0"/>
        <v>WILLIAM GROSS</v>
      </c>
    </row>
    <row r="29" spans="1:3" x14ac:dyDescent="0.25">
      <c r="A29" s="4" t="s">
        <v>407</v>
      </c>
      <c r="B29" t="s">
        <v>406</v>
      </c>
      <c r="C29" t="str">
        <f t="shared" si="0"/>
        <v>WILLIAM MELANSON</v>
      </c>
    </row>
    <row r="30" spans="1:3" x14ac:dyDescent="0.25">
      <c r="A30" s="4" t="s">
        <v>408</v>
      </c>
      <c r="B30" t="s">
        <v>409</v>
      </c>
      <c r="C30" t="str">
        <f t="shared" si="0"/>
        <v>KEITH MURPHY</v>
      </c>
    </row>
    <row r="31" spans="1:3" x14ac:dyDescent="0.25">
      <c r="A31" s="4" t="s">
        <v>408</v>
      </c>
      <c r="B31" t="s">
        <v>410</v>
      </c>
      <c r="C31" t="str">
        <f t="shared" si="0"/>
        <v>WENDY MURPHY</v>
      </c>
    </row>
    <row r="32" spans="1:3" x14ac:dyDescent="0.25">
      <c r="A32" s="4" t="s">
        <v>411</v>
      </c>
      <c r="B32" t="s">
        <v>412</v>
      </c>
      <c r="C32" t="str">
        <f t="shared" si="0"/>
        <v>SAMUEL PINCKNEY</v>
      </c>
    </row>
    <row r="33" spans="1:3" x14ac:dyDescent="0.25">
      <c r="A33" s="4" t="s">
        <v>413</v>
      </c>
      <c r="B33" t="s">
        <v>414</v>
      </c>
      <c r="C33" t="str">
        <f t="shared" si="0"/>
        <v>GORDON LABRIE</v>
      </c>
    </row>
    <row r="34" spans="1:3" x14ac:dyDescent="0.25">
      <c r="A34" s="4" t="s">
        <v>415</v>
      </c>
      <c r="B34" t="s">
        <v>416</v>
      </c>
      <c r="C34" t="str">
        <f t="shared" si="0"/>
        <v>BRUCE MCILVOY</v>
      </c>
    </row>
    <row r="35" spans="1:3" x14ac:dyDescent="0.25">
      <c r="A35" s="4" t="s">
        <v>415</v>
      </c>
      <c r="B35" t="s">
        <v>417</v>
      </c>
      <c r="C35" t="str">
        <f t="shared" si="0"/>
        <v>ROSEMARY MCILVOY</v>
      </c>
    </row>
    <row r="36" spans="1:3" x14ac:dyDescent="0.25">
      <c r="A36" s="4" t="s">
        <v>418</v>
      </c>
      <c r="B36" t="s">
        <v>419</v>
      </c>
      <c r="C36" t="str">
        <f t="shared" si="0"/>
        <v>BRIAN BOLGER</v>
      </c>
    </row>
    <row r="37" spans="1:3" x14ac:dyDescent="0.25">
      <c r="A37" s="4" t="s">
        <v>418</v>
      </c>
      <c r="B37" t="s">
        <v>420</v>
      </c>
      <c r="C37" t="str">
        <f t="shared" si="0"/>
        <v>MARGARET BOLGER</v>
      </c>
    </row>
    <row r="38" spans="1:3" x14ac:dyDescent="0.25">
      <c r="A38" s="4" t="s">
        <v>421</v>
      </c>
      <c r="B38" t="s">
        <v>422</v>
      </c>
      <c r="C38" t="str">
        <f t="shared" si="0"/>
        <v>STOJANKA STOJANOVIC</v>
      </c>
    </row>
    <row r="39" spans="1:3" x14ac:dyDescent="0.25">
      <c r="A39" s="4" t="s">
        <v>423</v>
      </c>
      <c r="B39" t="s">
        <v>424</v>
      </c>
      <c r="C39" t="str">
        <f t="shared" si="0"/>
        <v>ISABELLA THORPE</v>
      </c>
    </row>
    <row r="40" spans="1:3" x14ac:dyDescent="0.25">
      <c r="A40" s="4" t="s">
        <v>425</v>
      </c>
      <c r="B40" t="s">
        <v>398</v>
      </c>
      <c r="C40" t="str">
        <f t="shared" si="0"/>
        <v>DANIEL SOLIS</v>
      </c>
    </row>
    <row r="41" spans="1:3" x14ac:dyDescent="0.25">
      <c r="A41" s="4" t="s">
        <v>426</v>
      </c>
      <c r="B41" t="s">
        <v>427</v>
      </c>
      <c r="C41" t="str">
        <f t="shared" si="0"/>
        <v>SCOTT ARMAND</v>
      </c>
    </row>
    <row r="42" spans="1:3" x14ac:dyDescent="0.25">
      <c r="A42" s="4" t="s">
        <v>428</v>
      </c>
      <c r="B42" t="s">
        <v>429</v>
      </c>
      <c r="C42" t="str">
        <f t="shared" si="0"/>
        <v>MICHAEL PALAZZO</v>
      </c>
    </row>
    <row r="43" spans="1:3" x14ac:dyDescent="0.25">
      <c r="A43" s="4" t="s">
        <v>430</v>
      </c>
      <c r="B43" t="s">
        <v>431</v>
      </c>
      <c r="C43" t="str">
        <f t="shared" si="0"/>
        <v>CAROL SINOPLE</v>
      </c>
    </row>
    <row r="44" spans="1:3" x14ac:dyDescent="0.25">
      <c r="A44" s="4" t="s">
        <v>416</v>
      </c>
      <c r="B44" t="s">
        <v>432</v>
      </c>
      <c r="C44" t="str">
        <f t="shared" si="0"/>
        <v>KATIE BRUCE</v>
      </c>
    </row>
    <row r="45" spans="1:3" x14ac:dyDescent="0.25">
      <c r="A45" s="4" t="s">
        <v>433</v>
      </c>
      <c r="B45" t="s">
        <v>434</v>
      </c>
      <c r="C45" t="str">
        <f t="shared" si="0"/>
        <v>MARILYN DOUGAL</v>
      </c>
    </row>
    <row r="46" spans="1:3" x14ac:dyDescent="0.25">
      <c r="A46" s="4" t="s">
        <v>435</v>
      </c>
      <c r="B46" t="s">
        <v>436</v>
      </c>
      <c r="C46" t="str">
        <f t="shared" si="0"/>
        <v>CYNTHIA MENDEZ</v>
      </c>
    </row>
    <row r="47" spans="1:3" x14ac:dyDescent="0.25">
      <c r="A47" s="4" t="s">
        <v>437</v>
      </c>
      <c r="B47" t="s">
        <v>438</v>
      </c>
      <c r="C47" t="str">
        <f t="shared" si="0"/>
        <v>RANDY CHERRY</v>
      </c>
    </row>
    <row r="48" spans="1:3" x14ac:dyDescent="0.25">
      <c r="A48" s="4" t="s">
        <v>439</v>
      </c>
      <c r="B48" t="s">
        <v>440</v>
      </c>
      <c r="C48" t="str">
        <f t="shared" si="0"/>
        <v>SHIRLEY COLAIANNI</v>
      </c>
    </row>
    <row r="49" spans="1:3" x14ac:dyDescent="0.25">
      <c r="A49" s="4" t="s">
        <v>441</v>
      </c>
      <c r="B49" t="s">
        <v>442</v>
      </c>
      <c r="C49" t="str">
        <f t="shared" si="0"/>
        <v>ALLISON DREDGE</v>
      </c>
    </row>
    <row r="50" spans="1:3" x14ac:dyDescent="0.25">
      <c r="A50" s="4" t="s">
        <v>443</v>
      </c>
      <c r="B50" t="s">
        <v>444</v>
      </c>
      <c r="C50" t="str">
        <f t="shared" si="0"/>
        <v>JOEL JUSTIS</v>
      </c>
    </row>
    <row r="51" spans="1:3" x14ac:dyDescent="0.25">
      <c r="A51" s="4" t="s">
        <v>445</v>
      </c>
      <c r="B51" t="s">
        <v>446</v>
      </c>
      <c r="C51" t="str">
        <f t="shared" si="0"/>
        <v>HERBERT KAISER</v>
      </c>
    </row>
    <row r="52" spans="1:3" x14ac:dyDescent="0.25">
      <c r="A52" s="4" t="s">
        <v>447</v>
      </c>
      <c r="B52" t="s">
        <v>448</v>
      </c>
      <c r="C52" t="str">
        <f t="shared" si="0"/>
        <v>BARBARA LOPICCOLO</v>
      </c>
    </row>
    <row r="53" spans="1:3" x14ac:dyDescent="0.25">
      <c r="A53" s="4" t="s">
        <v>449</v>
      </c>
      <c r="B53" t="s">
        <v>450</v>
      </c>
      <c r="C53" t="str">
        <f t="shared" si="0"/>
        <v>PHYLLIS NEUMANN</v>
      </c>
    </row>
    <row r="54" spans="1:3" x14ac:dyDescent="0.25">
      <c r="A54" s="4" t="s">
        <v>451</v>
      </c>
      <c r="B54" t="s">
        <v>452</v>
      </c>
      <c r="C54" t="str">
        <f t="shared" si="0"/>
        <v>GEORGE NICHOLAOU</v>
      </c>
    </row>
    <row r="55" spans="1:3" x14ac:dyDescent="0.25">
      <c r="A55" s="4" t="s">
        <v>451</v>
      </c>
      <c r="B55" t="s">
        <v>453</v>
      </c>
      <c r="C55" t="str">
        <f t="shared" si="0"/>
        <v>GERRY NICHOLAOU</v>
      </c>
    </row>
    <row r="56" spans="1:3" x14ac:dyDescent="0.25">
      <c r="A56" s="4" t="s">
        <v>454</v>
      </c>
      <c r="B56" t="s">
        <v>455</v>
      </c>
      <c r="C56" t="str">
        <f t="shared" si="0"/>
        <v>NOEMI PIERI</v>
      </c>
    </row>
    <row r="57" spans="1:3" x14ac:dyDescent="0.25">
      <c r="A57" s="4" t="s">
        <v>456</v>
      </c>
      <c r="B57" t="s">
        <v>376</v>
      </c>
      <c r="C57" t="str">
        <f t="shared" si="0"/>
        <v>ROBERT SCHAEDEL</v>
      </c>
    </row>
    <row r="58" spans="1:3" x14ac:dyDescent="0.25">
      <c r="A58" s="4" t="s">
        <v>457</v>
      </c>
      <c r="B58" t="s">
        <v>438</v>
      </c>
      <c r="C58" t="str">
        <f t="shared" si="0"/>
        <v>RANDY SCHNITZ</v>
      </c>
    </row>
    <row r="59" spans="1:3" x14ac:dyDescent="0.25">
      <c r="A59" s="4" t="s">
        <v>458</v>
      </c>
      <c r="B59" t="s">
        <v>459</v>
      </c>
      <c r="C59" t="str">
        <f t="shared" si="0"/>
        <v>JOHN TALLENT</v>
      </c>
    </row>
    <row r="60" spans="1:3" x14ac:dyDescent="0.25">
      <c r="A60" s="4" t="s">
        <v>460</v>
      </c>
      <c r="B60" t="s">
        <v>461</v>
      </c>
      <c r="C60" t="str">
        <f t="shared" si="0"/>
        <v>DOUGLAS FODSE</v>
      </c>
    </row>
    <row r="61" spans="1:3" x14ac:dyDescent="0.25">
      <c r="A61" s="4" t="s">
        <v>462</v>
      </c>
      <c r="B61" t="s">
        <v>463</v>
      </c>
      <c r="C61" t="str">
        <f t="shared" si="0"/>
        <v>THOMAS KOLESAR</v>
      </c>
    </row>
    <row r="62" spans="1:3" x14ac:dyDescent="0.25">
      <c r="A62" s="4" t="s">
        <v>464</v>
      </c>
      <c r="B62" t="s">
        <v>465</v>
      </c>
      <c r="C62" t="str">
        <f t="shared" si="0"/>
        <v>TAMMY MCDOWELL</v>
      </c>
    </row>
    <row r="63" spans="1:3" x14ac:dyDescent="0.25">
      <c r="A63" s="4" t="s">
        <v>466</v>
      </c>
      <c r="B63" t="s">
        <v>467</v>
      </c>
      <c r="C63" t="str">
        <f t="shared" si="0"/>
        <v>PATRICK PEAVORNICK</v>
      </c>
    </row>
    <row r="64" spans="1:3" x14ac:dyDescent="0.25">
      <c r="A64" s="4" t="s">
        <v>468</v>
      </c>
      <c r="B64" t="s">
        <v>469</v>
      </c>
      <c r="C64" t="str">
        <f t="shared" si="0"/>
        <v>JAMES SUTTER</v>
      </c>
    </row>
    <row r="65" spans="1:3" x14ac:dyDescent="0.25">
      <c r="A65" s="4" t="s">
        <v>470</v>
      </c>
      <c r="B65" t="s">
        <v>429</v>
      </c>
      <c r="C65" t="str">
        <f t="shared" si="0"/>
        <v>MICHAEL WALLACE</v>
      </c>
    </row>
    <row r="66" spans="1:3" x14ac:dyDescent="0.25">
      <c r="A66" s="4" t="s">
        <v>471</v>
      </c>
      <c r="B66" t="s">
        <v>472</v>
      </c>
      <c r="C66" t="str">
        <f t="shared" ref="C66:C113" si="1">CONCATENATE(B66, " ",A66)</f>
        <v>CARMINE SAUTARIELLO</v>
      </c>
    </row>
    <row r="67" spans="1:3" x14ac:dyDescent="0.25">
      <c r="A67" s="4" t="s">
        <v>473</v>
      </c>
      <c r="B67" t="s">
        <v>406</v>
      </c>
      <c r="C67" t="str">
        <f t="shared" si="1"/>
        <v>WILLIAM MOSES</v>
      </c>
    </row>
    <row r="68" spans="1:3" x14ac:dyDescent="0.25">
      <c r="A68" s="4" t="s">
        <v>473</v>
      </c>
      <c r="B68" t="s">
        <v>474</v>
      </c>
      <c r="C68" t="str">
        <f t="shared" si="1"/>
        <v>DENISE MOSES</v>
      </c>
    </row>
    <row r="69" spans="1:3" x14ac:dyDescent="0.25">
      <c r="A69" s="4" t="s">
        <v>475</v>
      </c>
      <c r="B69" t="s">
        <v>476</v>
      </c>
      <c r="C69" t="str">
        <f t="shared" si="1"/>
        <v>CLAUDIO CASALES</v>
      </c>
    </row>
    <row r="70" spans="1:3" x14ac:dyDescent="0.25">
      <c r="A70" s="4" t="s">
        <v>477</v>
      </c>
      <c r="B70" t="s">
        <v>469</v>
      </c>
      <c r="C70" t="str">
        <f t="shared" si="1"/>
        <v>JAMES DETERS</v>
      </c>
    </row>
    <row r="71" spans="1:3" x14ac:dyDescent="0.25">
      <c r="A71" s="4" t="s">
        <v>478</v>
      </c>
      <c r="B71" t="s">
        <v>444</v>
      </c>
      <c r="C71" t="str">
        <f t="shared" si="1"/>
        <v>JOEL GOLDWATER</v>
      </c>
    </row>
    <row r="72" spans="1:3" x14ac:dyDescent="0.25">
      <c r="A72" s="4" t="s">
        <v>479</v>
      </c>
      <c r="B72" t="s">
        <v>474</v>
      </c>
      <c r="C72" t="str">
        <f t="shared" si="1"/>
        <v>DENISE GORHAM</v>
      </c>
    </row>
    <row r="73" spans="1:3" x14ac:dyDescent="0.25">
      <c r="A73" s="4" t="s">
        <v>480</v>
      </c>
      <c r="B73" t="s">
        <v>420</v>
      </c>
      <c r="C73" t="str">
        <f t="shared" si="1"/>
        <v>MARGARET JACOBSON</v>
      </c>
    </row>
    <row r="74" spans="1:3" x14ac:dyDescent="0.25">
      <c r="A74" s="4" t="s">
        <v>481</v>
      </c>
      <c r="B74" t="s">
        <v>482</v>
      </c>
      <c r="C74" t="str">
        <f t="shared" si="1"/>
        <v>HERMAN KAPLAN</v>
      </c>
    </row>
    <row r="75" spans="1:3" x14ac:dyDescent="0.25">
      <c r="A75" s="4" t="s">
        <v>483</v>
      </c>
      <c r="B75" t="s">
        <v>484</v>
      </c>
      <c r="C75" t="str">
        <f t="shared" si="1"/>
        <v>JUDITH PLOPA</v>
      </c>
    </row>
    <row r="76" spans="1:3" x14ac:dyDescent="0.25">
      <c r="A76" s="4" t="s">
        <v>483</v>
      </c>
      <c r="B76" t="s">
        <v>485</v>
      </c>
      <c r="C76" t="str">
        <f t="shared" si="1"/>
        <v>LESZEK PLOPA</v>
      </c>
    </row>
    <row r="77" spans="1:3" x14ac:dyDescent="0.25">
      <c r="A77" s="4" t="s">
        <v>486</v>
      </c>
      <c r="B77" t="s">
        <v>487</v>
      </c>
      <c r="C77" t="str">
        <f t="shared" si="1"/>
        <v>LYNN REMELSKI</v>
      </c>
    </row>
    <row r="78" spans="1:3" x14ac:dyDescent="0.25">
      <c r="A78" s="4" t="s">
        <v>486</v>
      </c>
      <c r="B78" t="s">
        <v>488</v>
      </c>
      <c r="C78" t="str">
        <f t="shared" si="1"/>
        <v>RENIE REMELSKI</v>
      </c>
    </row>
    <row r="79" spans="1:3" x14ac:dyDescent="0.25">
      <c r="A79" s="4" t="s">
        <v>489</v>
      </c>
      <c r="B79" t="s">
        <v>484</v>
      </c>
      <c r="C79" t="str">
        <f t="shared" si="1"/>
        <v>JUDITH ROACH</v>
      </c>
    </row>
    <row r="80" spans="1:3" x14ac:dyDescent="0.25">
      <c r="A80" s="4" t="s">
        <v>490</v>
      </c>
      <c r="B80" t="s">
        <v>398</v>
      </c>
      <c r="C80" t="str">
        <f t="shared" si="1"/>
        <v>DANIEL SEMINERIO</v>
      </c>
    </row>
    <row r="81" spans="1:3" x14ac:dyDescent="0.25">
      <c r="A81" s="4" t="s">
        <v>491</v>
      </c>
      <c r="B81" t="s">
        <v>492</v>
      </c>
      <c r="C81" t="str">
        <f t="shared" si="1"/>
        <v>NAYAN SINGH</v>
      </c>
    </row>
    <row r="82" spans="1:3" x14ac:dyDescent="0.25">
      <c r="A82" s="4" t="s">
        <v>493</v>
      </c>
      <c r="B82" t="s">
        <v>494</v>
      </c>
      <c r="C82" t="str">
        <f t="shared" si="1"/>
        <v>SUSAN SMYTH</v>
      </c>
    </row>
    <row r="83" spans="1:3" x14ac:dyDescent="0.25">
      <c r="A83" s="4" t="s">
        <v>495</v>
      </c>
      <c r="B83" t="s">
        <v>406</v>
      </c>
      <c r="C83" t="str">
        <f t="shared" si="1"/>
        <v>WILLIAM STEARNS</v>
      </c>
    </row>
    <row r="84" spans="1:3" x14ac:dyDescent="0.25">
      <c r="A84" s="4" t="s">
        <v>496</v>
      </c>
      <c r="B84" t="s">
        <v>497</v>
      </c>
      <c r="C84" t="str">
        <f t="shared" si="1"/>
        <v>MICHELLE ODELL</v>
      </c>
    </row>
    <row r="85" spans="1:3" x14ac:dyDescent="0.25">
      <c r="A85" s="4" t="s">
        <v>498</v>
      </c>
      <c r="B85" t="s">
        <v>499</v>
      </c>
      <c r="C85" t="str">
        <f t="shared" si="1"/>
        <v>ENELITA GARCIA</v>
      </c>
    </row>
    <row r="86" spans="1:3" x14ac:dyDescent="0.25">
      <c r="A86" s="4" t="s">
        <v>500</v>
      </c>
      <c r="B86" t="s">
        <v>501</v>
      </c>
      <c r="C86" t="str">
        <f t="shared" si="1"/>
        <v>EVELYN GRIFFITHS</v>
      </c>
    </row>
    <row r="87" spans="1:3" x14ac:dyDescent="0.25">
      <c r="A87" s="4" t="s">
        <v>502</v>
      </c>
      <c r="B87" t="s">
        <v>503</v>
      </c>
      <c r="C87" t="str">
        <f t="shared" si="1"/>
        <v>NATALIE HARDY</v>
      </c>
    </row>
    <row r="88" spans="1:3" x14ac:dyDescent="0.25">
      <c r="A88" s="4" t="s">
        <v>504</v>
      </c>
      <c r="B88" t="s">
        <v>505</v>
      </c>
      <c r="C88" t="str">
        <f t="shared" si="1"/>
        <v>RICHARD MALONE</v>
      </c>
    </row>
    <row r="89" spans="1:3" x14ac:dyDescent="0.25">
      <c r="A89" s="4" t="s">
        <v>504</v>
      </c>
      <c r="B89" t="s">
        <v>506</v>
      </c>
      <c r="C89" t="str">
        <f t="shared" si="1"/>
        <v>MARLENE MALONE</v>
      </c>
    </row>
    <row r="90" spans="1:3" x14ac:dyDescent="0.25">
      <c r="A90" s="4" t="s">
        <v>507</v>
      </c>
      <c r="B90" t="s">
        <v>508</v>
      </c>
      <c r="C90" t="str">
        <f t="shared" si="1"/>
        <v>MERLINDA SANTOS</v>
      </c>
    </row>
    <row r="91" spans="1:3" x14ac:dyDescent="0.25">
      <c r="A91" s="4" t="s">
        <v>509</v>
      </c>
      <c r="B91" t="s">
        <v>510</v>
      </c>
      <c r="C91" t="str">
        <f t="shared" si="1"/>
        <v>AMADO UMALI</v>
      </c>
    </row>
    <row r="92" spans="1:3" x14ac:dyDescent="0.25">
      <c r="A92" s="4" t="s">
        <v>509</v>
      </c>
      <c r="B92" t="s">
        <v>511</v>
      </c>
      <c r="C92" t="str">
        <f t="shared" si="1"/>
        <v>AIDA UMALI</v>
      </c>
    </row>
    <row r="93" spans="1:3" x14ac:dyDescent="0.25">
      <c r="A93" s="4" t="s">
        <v>512</v>
      </c>
      <c r="B93" t="s">
        <v>513</v>
      </c>
      <c r="C93" t="str">
        <f t="shared" si="1"/>
        <v>DEBRA ANDERSON</v>
      </c>
    </row>
    <row r="94" spans="1:3" x14ac:dyDescent="0.25">
      <c r="A94" s="4" t="s">
        <v>514</v>
      </c>
      <c r="B94" t="s">
        <v>515</v>
      </c>
      <c r="C94" t="str">
        <f t="shared" si="1"/>
        <v>BRADLEY COLLINS</v>
      </c>
    </row>
    <row r="95" spans="1:3" x14ac:dyDescent="0.25">
      <c r="A95" s="4" t="s">
        <v>516</v>
      </c>
      <c r="B95" t="s">
        <v>517</v>
      </c>
      <c r="C95" t="str">
        <f t="shared" si="1"/>
        <v>ELIZABETH DOLAN</v>
      </c>
    </row>
    <row r="96" spans="1:3" x14ac:dyDescent="0.25">
      <c r="A96" s="4" t="s">
        <v>516</v>
      </c>
      <c r="B96" t="s">
        <v>394</v>
      </c>
      <c r="C96" t="str">
        <f t="shared" si="1"/>
        <v>EDWARD DOLAN</v>
      </c>
    </row>
    <row r="97" spans="1:3" x14ac:dyDescent="0.25">
      <c r="A97" s="4" t="s">
        <v>518</v>
      </c>
      <c r="B97" t="s">
        <v>519</v>
      </c>
      <c r="C97" t="str">
        <f t="shared" si="1"/>
        <v>ALFONSO GAIMARI</v>
      </c>
    </row>
    <row r="98" spans="1:3" x14ac:dyDescent="0.25">
      <c r="A98" s="4" t="s">
        <v>520</v>
      </c>
      <c r="B98" t="s">
        <v>521</v>
      </c>
      <c r="C98" t="str">
        <f t="shared" si="1"/>
        <v>TIMOTHY RILEY</v>
      </c>
    </row>
    <row r="99" spans="1:3" x14ac:dyDescent="0.25">
      <c r="A99" s="4" t="s">
        <v>522</v>
      </c>
      <c r="B99" t="s">
        <v>406</v>
      </c>
      <c r="C99" t="str">
        <f t="shared" si="1"/>
        <v>WILLIAM MANNING</v>
      </c>
    </row>
    <row r="100" spans="1:3" x14ac:dyDescent="0.25">
      <c r="A100" s="4" t="s">
        <v>523</v>
      </c>
      <c r="B100" t="s">
        <v>524</v>
      </c>
      <c r="C100" t="str">
        <f t="shared" si="1"/>
        <v>VICKI BAERTSCHI</v>
      </c>
    </row>
    <row r="101" spans="1:3" x14ac:dyDescent="0.25">
      <c r="A101" s="4" t="s">
        <v>525</v>
      </c>
      <c r="B101" t="s">
        <v>526</v>
      </c>
      <c r="C101" t="str">
        <f t="shared" si="1"/>
        <v>SHEILA WARTELL</v>
      </c>
    </row>
    <row r="102" spans="1:3" x14ac:dyDescent="0.25">
      <c r="A102" s="4" t="s">
        <v>527</v>
      </c>
      <c r="B102" t="s">
        <v>398</v>
      </c>
      <c r="C102" t="str">
        <f t="shared" si="1"/>
        <v>DANIEL SWIDERSKI</v>
      </c>
    </row>
    <row r="103" spans="1:3" x14ac:dyDescent="0.25">
      <c r="A103" s="4" t="s">
        <v>528</v>
      </c>
      <c r="B103" t="s">
        <v>505</v>
      </c>
      <c r="C103" t="str">
        <f t="shared" si="1"/>
        <v>RICHARD KENNEDY</v>
      </c>
    </row>
    <row r="104" spans="1:3" x14ac:dyDescent="0.25">
      <c r="A104" s="4" t="s">
        <v>529</v>
      </c>
      <c r="B104" t="s">
        <v>530</v>
      </c>
      <c r="C104" t="str">
        <f t="shared" si="1"/>
        <v>SHELLEY BALICKI</v>
      </c>
    </row>
    <row r="105" spans="1:3" x14ac:dyDescent="0.25">
      <c r="A105" s="4" t="s">
        <v>531</v>
      </c>
      <c r="B105" t="s">
        <v>532</v>
      </c>
      <c r="C105" t="str">
        <f t="shared" si="1"/>
        <v>RAYLENE BERNARD</v>
      </c>
    </row>
    <row r="106" spans="1:3" x14ac:dyDescent="0.25">
      <c r="A106" s="4" t="s">
        <v>533</v>
      </c>
      <c r="B106" t="s">
        <v>534</v>
      </c>
      <c r="C106" t="str">
        <f t="shared" si="1"/>
        <v>ALAN MEYERS</v>
      </c>
    </row>
    <row r="107" spans="1:3" x14ac:dyDescent="0.25">
      <c r="A107" s="4" t="s">
        <v>535</v>
      </c>
      <c r="B107" t="s">
        <v>505</v>
      </c>
      <c r="C107" t="str">
        <f t="shared" si="1"/>
        <v>RICHARD BAUMGARTEN</v>
      </c>
    </row>
    <row r="108" spans="1:3" x14ac:dyDescent="0.25">
      <c r="A108" s="4" t="s">
        <v>536</v>
      </c>
      <c r="B108" t="s">
        <v>537</v>
      </c>
      <c r="C108" t="str">
        <f t="shared" si="1"/>
        <v>DIANNE HAINES</v>
      </c>
    </row>
    <row r="109" spans="1:3" x14ac:dyDescent="0.25">
      <c r="A109" s="4" t="s">
        <v>538</v>
      </c>
      <c r="B109" t="s">
        <v>450</v>
      </c>
      <c r="C109" t="str">
        <f t="shared" si="1"/>
        <v>PHYLLIS HOTWAGNER</v>
      </c>
    </row>
    <row r="110" spans="1:3" x14ac:dyDescent="0.25">
      <c r="A110" s="4" t="s">
        <v>539</v>
      </c>
      <c r="B110" t="s">
        <v>540</v>
      </c>
      <c r="C110" t="str">
        <f t="shared" si="1"/>
        <v>JEFFERY LEARNAHAN</v>
      </c>
    </row>
    <row r="111" spans="1:3" x14ac:dyDescent="0.25">
      <c r="A111" s="4" t="s">
        <v>541</v>
      </c>
      <c r="B111" t="s">
        <v>469</v>
      </c>
      <c r="C111" t="str">
        <f t="shared" si="1"/>
        <v>JAMES PEER</v>
      </c>
    </row>
    <row r="112" spans="1:3" x14ac:dyDescent="0.25">
      <c r="A112" s="4" t="s">
        <v>542</v>
      </c>
      <c r="B112" t="s">
        <v>543</v>
      </c>
      <c r="C112" t="str">
        <f t="shared" si="1"/>
        <v>PAUL PRCHAL</v>
      </c>
    </row>
    <row r="113" spans="1:3" x14ac:dyDescent="0.25">
      <c r="A113" s="4" t="s">
        <v>544</v>
      </c>
      <c r="B113" t="s">
        <v>545</v>
      </c>
      <c r="C113" t="str">
        <f t="shared" si="1"/>
        <v>PETER RYAN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Line Benefits LLC_med_comm</vt:lpstr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2024-12-12T14:56:15Z</dcterms:created>
  <dcterms:modified xsi:type="dcterms:W3CDTF">2024-12-13T21:03:27Z</dcterms:modified>
</cp:coreProperties>
</file>