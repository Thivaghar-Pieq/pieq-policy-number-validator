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6-24-25\"/>
    </mc:Choice>
  </mc:AlternateContent>
  <xr:revisionPtr revIDLastSave="0" documentId="13_ncr:9_{33FA1671-2198-48BF-AAE6-AC806B081110}" xr6:coauthVersionLast="47" xr6:coauthVersionMax="47" xr10:uidLastSave="{00000000-0000-0000-0000-000000000000}"/>
  <bookViews>
    <workbookView xWindow="28680" yWindow="-120" windowWidth="29040" windowHeight="16440" activeTab="1" xr2:uid="{3F3EDE16-0342-43E7-A631-9D768A9A8A8A}"/>
  </bookViews>
  <sheets>
    <sheet name="Main Line Benefits LLC_med_comm" sheetId="1" r:id="rId1"/>
    <sheet name="Sheet1" sheetId="2" r:id="rId2"/>
    <sheet name="Sheet2" sheetId="3" r:id="rId3"/>
  </sheets>
  <calcPr calcId="0"/>
</workbook>
</file>

<file path=xl/calcChain.xml><?xml version="1.0" encoding="utf-8"?>
<calcChain xmlns="http://schemas.openxmlformats.org/spreadsheetml/2006/main">
  <c r="E89" i="3" l="1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" i="3"/>
  <c r="B22" i="2"/>
  <c r="B21" i="2"/>
  <c r="B72" i="2"/>
  <c r="B71" i="2"/>
  <c r="B70" i="2"/>
  <c r="B69" i="2"/>
  <c r="B88" i="2"/>
  <c r="B81" i="2"/>
  <c r="B6" i="2"/>
  <c r="B15" i="2"/>
  <c r="B10" i="2"/>
  <c r="B87" i="2"/>
  <c r="B2" i="2"/>
  <c r="B80" i="2"/>
  <c r="B14" i="2"/>
  <c r="B9" i="2"/>
  <c r="B68" i="2"/>
  <c r="B67" i="2"/>
  <c r="B66" i="2"/>
  <c r="B65" i="2"/>
  <c r="B64" i="2"/>
  <c r="B63" i="2"/>
  <c r="B62" i="2"/>
  <c r="B61" i="2"/>
  <c r="B60" i="2"/>
  <c r="B59" i="2"/>
  <c r="B58" i="2"/>
  <c r="B57" i="2"/>
  <c r="B86" i="2"/>
  <c r="B85" i="2"/>
  <c r="B56" i="2"/>
  <c r="B55" i="2"/>
  <c r="B54" i="2"/>
  <c r="B53" i="2"/>
  <c r="B26" i="2"/>
  <c r="B25" i="2"/>
  <c r="B5" i="2"/>
  <c r="B4" i="2"/>
  <c r="B78" i="2"/>
  <c r="B20" i="2"/>
  <c r="B79" i="2"/>
  <c r="B19" i="2"/>
  <c r="B52" i="2"/>
  <c r="B51" i="2"/>
  <c r="B50" i="2"/>
  <c r="B49" i="2"/>
  <c r="B48" i="2"/>
  <c r="B75" i="2"/>
  <c r="B77" i="2"/>
  <c r="B47" i="2"/>
  <c r="B46" i="2"/>
  <c r="B45" i="2"/>
  <c r="B44" i="2"/>
  <c r="B76" i="2"/>
  <c r="B84" i="2"/>
  <c r="B13" i="2"/>
  <c r="B43" i="2"/>
  <c r="B42" i="2"/>
  <c r="B8" i="2"/>
  <c r="B24" i="2"/>
  <c r="B73" i="2"/>
  <c r="B41" i="2"/>
  <c r="B40" i="2"/>
  <c r="B39" i="2"/>
  <c r="B38" i="2"/>
  <c r="B18" i="2"/>
  <c r="B3" i="2"/>
  <c r="B23" i="2"/>
  <c r="B37" i="2"/>
  <c r="B36" i="2"/>
  <c r="B35" i="2"/>
  <c r="B34" i="2"/>
  <c r="B33" i="2"/>
  <c r="B32" i="2"/>
  <c r="B31" i="2"/>
  <c r="B30" i="2"/>
  <c r="B90" i="2"/>
  <c r="B83" i="2"/>
  <c r="B7" i="2"/>
  <c r="B89" i="2"/>
  <c r="B82" i="2"/>
  <c r="B17" i="2"/>
  <c r="B12" i="2"/>
  <c r="B29" i="2"/>
  <c r="B11" i="2"/>
  <c r="B28" i="2"/>
  <c r="B16" i="2"/>
  <c r="B27" i="2"/>
  <c r="B74" i="2"/>
</calcChain>
</file>

<file path=xl/sharedStrings.xml><?xml version="1.0" encoding="utf-8"?>
<sst xmlns="http://schemas.openxmlformats.org/spreadsheetml/2006/main" count="1699" uniqueCount="272">
  <si>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</si>
  <si>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</si>
  <si>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</si>
  <si>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</si>
  <si>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</si>
  <si>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</si>
  <si>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</si>
  <si>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</si>
  <si>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</si>
  <si>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</si>
  <si>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</si>
  <si>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</si>
  <si>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</si>
  <si>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</si>
  <si>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</si>
  <si>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</si>
  <si>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</si>
  <si>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</si>
  <si>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</si>
  <si>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</si>
  <si>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</si>
  <si>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</si>
  <si>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</si>
  <si>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</si>
  <si>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9Q61E49JT99</t>
  </si>
  <si>
    <t>BREIDE M,DENISE</t>
  </si>
  <si>
    <t>PA</t>
  </si>
  <si>
    <t>New Business</t>
  </si>
  <si>
    <t>MAPD</t>
  </si>
  <si>
    <t>IMM608</t>
  </si>
  <si>
    <t>H5522-005</t>
  </si>
  <si>
    <t>LOA</t>
  </si>
  <si>
    <t>Aguglia, Scott</t>
  </si>
  <si>
    <t>GMO</t>
  </si>
  <si>
    <t>Main Line Benefits LLC</t>
  </si>
  <si>
    <t xml:space="preserve">N  </t>
  </si>
  <si>
    <t>8RD6HM7CE64</t>
  </si>
  <si>
    <t>CALLOZZO J,KEVIN</t>
  </si>
  <si>
    <t>WI</t>
  </si>
  <si>
    <t>CMS Trueup reversal</t>
  </si>
  <si>
    <t>IMM606</t>
  </si>
  <si>
    <t>H5521-386</t>
  </si>
  <si>
    <t>Hodgman, Timothy</t>
  </si>
  <si>
    <t>CMS Trueup</t>
  </si>
  <si>
    <t xml:space="preserve">Y  </t>
  </si>
  <si>
    <t>7G65G68TP85</t>
  </si>
  <si>
    <t>CAMPBELL A,CHARLES</t>
  </si>
  <si>
    <t>H5522-017</t>
  </si>
  <si>
    <t>Foley, Carol</t>
  </si>
  <si>
    <t>6U60JQ5VJ22</t>
  </si>
  <si>
    <t>CERNY A,WILLIAM</t>
  </si>
  <si>
    <t>IL</t>
  </si>
  <si>
    <t>H7301-013</t>
  </si>
  <si>
    <t>Hunsberger, Anthony</t>
  </si>
  <si>
    <t>3G99FX4CF12</t>
  </si>
  <si>
    <t>CRANK J,ROBBY</t>
  </si>
  <si>
    <t>KS</t>
  </si>
  <si>
    <t>IMM607</t>
  </si>
  <si>
    <t>H2663-028</t>
  </si>
  <si>
    <t>Teipel, Gregory</t>
  </si>
  <si>
    <t>7F11WC1KX98</t>
  </si>
  <si>
    <t>GAVIN P,JOAN</t>
  </si>
  <si>
    <t>Pro-Rata Disenroll</t>
  </si>
  <si>
    <t>H7301-015</t>
  </si>
  <si>
    <t>Pro-Rata Payment</t>
  </si>
  <si>
    <t>3WR7RN5VD54</t>
  </si>
  <si>
    <t>GUILLEN E,MARIA</t>
  </si>
  <si>
    <t>Renewal Termination</t>
  </si>
  <si>
    <t>H5521-086</t>
  </si>
  <si>
    <t>Herrera-Larsen, Esther</t>
  </si>
  <si>
    <t>9JU5H84MX72</t>
  </si>
  <si>
    <t>HINCHSLIFF E,MEGAN</t>
  </si>
  <si>
    <t>MI</t>
  </si>
  <si>
    <t>H5521-219</t>
  </si>
  <si>
    <t>ABDUL, SAADIA</t>
  </si>
  <si>
    <t>1CD2UG0XD03</t>
  </si>
  <si>
    <t>HOCHSPRUNG M,CHRISTINE</t>
  </si>
  <si>
    <t>Yale, Jacob</t>
  </si>
  <si>
    <t>1Q73KG5JD78</t>
  </si>
  <si>
    <t>LOSHBOUGH L,JOANNE</t>
  </si>
  <si>
    <t>1KH4E07DQ77</t>
  </si>
  <si>
    <t>MANGANELLO K,LISA</t>
  </si>
  <si>
    <t>H3959-001</t>
  </si>
  <si>
    <t>Inskipt, Deborah</t>
  </si>
  <si>
    <t>8QR4UV1CH50</t>
  </si>
  <si>
    <t>MCABEE J,COLLEEN</t>
  </si>
  <si>
    <t>CA</t>
  </si>
  <si>
    <t>IMM602</t>
  </si>
  <si>
    <t>H4982-026</t>
  </si>
  <si>
    <t>Miller, Heather</t>
  </si>
  <si>
    <t>4Y45CG3MK51</t>
  </si>
  <si>
    <t>MCMATH E,RENEE</t>
  </si>
  <si>
    <t>H1206-003</t>
  </si>
  <si>
    <t>Portugal, Gary</t>
  </si>
  <si>
    <t>8DC4GA0YU95</t>
  </si>
  <si>
    <t>MCROBERTS R,LOIS</t>
  </si>
  <si>
    <t>FL</t>
  </si>
  <si>
    <t>IMM604</t>
  </si>
  <si>
    <t>H5521-438</t>
  </si>
  <si>
    <t>Richter Peter</t>
  </si>
  <si>
    <t>4NP1YC5PN29</t>
  </si>
  <si>
    <t>MIHALKA A,JEFFREY</t>
  </si>
  <si>
    <t>H7301-006</t>
  </si>
  <si>
    <t>5GF1KY2TD35</t>
  </si>
  <si>
    <t>MITCHELL M,KATHY</t>
  </si>
  <si>
    <t>IMM619</t>
  </si>
  <si>
    <t>H7301-009</t>
  </si>
  <si>
    <t>FRITZ, CAROL</t>
  </si>
  <si>
    <t>5RM7QX4ME51</t>
  </si>
  <si>
    <t>MORRISON B,MICHAEL</t>
  </si>
  <si>
    <t>8EY1RU4FP00</t>
  </si>
  <si>
    <t>OLAH J,LOUIE</t>
  </si>
  <si>
    <t>HORN, JEFFREY</t>
  </si>
  <si>
    <t>8QE7V25PV40</t>
  </si>
  <si>
    <t>PUCKETT A,GERALD</t>
  </si>
  <si>
    <t>H7301-002</t>
  </si>
  <si>
    <t>2CE0P67CF36</t>
  </si>
  <si>
    <t>QUESADA,DIANA</t>
  </si>
  <si>
    <t>8XE2PP6YW09</t>
  </si>
  <si>
    <t>RIZZO A,MICHAEL</t>
  </si>
  <si>
    <t>KOZACHECK, ANNE MARIE</t>
  </si>
  <si>
    <t>3Y30G39YM11</t>
  </si>
  <si>
    <t>ROSA SERRANO R,MAGDALENA</t>
  </si>
  <si>
    <t>OH</t>
  </si>
  <si>
    <t>IMM617</t>
  </si>
  <si>
    <t>H5521-088</t>
  </si>
  <si>
    <t>7VH1U61JN15</t>
  </si>
  <si>
    <t>SCHLOBOHM A,KELLY</t>
  </si>
  <si>
    <t>H3959-002</t>
  </si>
  <si>
    <t>Smith, Margaret</t>
  </si>
  <si>
    <t>8GG6CP6VE77</t>
  </si>
  <si>
    <t>SCHMITZ J,LUANNA</t>
  </si>
  <si>
    <t>MO</t>
  </si>
  <si>
    <t>H1608-016</t>
  </si>
  <si>
    <t>4DR8UG8NG27</t>
  </si>
  <si>
    <t>SCIAME J,CAROL</t>
  </si>
  <si>
    <t>2M47AX1PU77</t>
  </si>
  <si>
    <t>SHELLY J,DAVID</t>
  </si>
  <si>
    <t>H3959-036</t>
  </si>
  <si>
    <t>McCorkle, Michelle</t>
  </si>
  <si>
    <t>2GC2CN7FG95</t>
  </si>
  <si>
    <t>SIEGEL B,PAMELA</t>
  </si>
  <si>
    <t>H5521-261</t>
  </si>
  <si>
    <t>1G92KF3RH94</t>
  </si>
  <si>
    <t>STARKE E,ANKA</t>
  </si>
  <si>
    <t>3VX4JF7TF61</t>
  </si>
  <si>
    <t>STEPHENS A,CAROL</t>
  </si>
  <si>
    <t>H3959-010</t>
  </si>
  <si>
    <t>4X70YJ1XD18</t>
  </si>
  <si>
    <t>WYLLIE R,DEBRA</t>
  </si>
  <si>
    <t>CO</t>
  </si>
  <si>
    <t>IMM610</t>
  </si>
  <si>
    <t>H3931-153</t>
  </si>
  <si>
    <t>Aetna 2025 CA, NJ*</t>
  </si>
  <si>
    <t>[%/$=390][prorate=12/12]</t>
  </si>
  <si>
    <t>Aetna MAPD OVR 2025</t>
  </si>
  <si>
    <t>Aetna MAPD 2025*</t>
  </si>
  <si>
    <t>[%/$=313][prorate=12/12]</t>
  </si>
  <si>
    <t>[%/$=313][prorate=8/12]</t>
  </si>
  <si>
    <t>[%/$=313][prorate=9/12]</t>
  </si>
  <si>
    <t>Aetna 2025 CT, PA, DC*</t>
  </si>
  <si>
    <t>[%/$=353][prorate=6/12]</t>
  </si>
  <si>
    <t>[%/$=313][prorate=6/12]</t>
  </si>
  <si>
    <t>[%/$=353][prorate=5/12]</t>
  </si>
  <si>
    <t>[%/$=358][prorate=1/12]</t>
  </si>
  <si>
    <t>[%/$=313][prorate=4/12]</t>
  </si>
  <si>
    <t>[%/$=313][prorate=5/12]</t>
  </si>
  <si>
    <t>[%/$=390][prorate=5/12]</t>
  </si>
  <si>
    <t>[%/$=313][prorate=7/12]</t>
  </si>
  <si>
    <t>Aetna MAPD 2025</t>
  </si>
  <si>
    <t>[%/$=626]</t>
  </si>
  <si>
    <t>Aetna 2025 CT, PA, DC</t>
  </si>
  <si>
    <t>Main Line Benefits</t>
  </si>
  <si>
    <t>17528908N</t>
  </si>
  <si>
    <t>HINCHSLIFF</t>
  </si>
  <si>
    <t>E</t>
  </si>
  <si>
    <t>MEGAN</t>
  </si>
  <si>
    <t>BREIDE</t>
  </si>
  <si>
    <t>M</t>
  </si>
  <si>
    <t>DENISE</t>
  </si>
  <si>
    <t>CAMPBELL</t>
  </si>
  <si>
    <t>A</t>
  </si>
  <si>
    <t>CHARLES</t>
  </si>
  <si>
    <t>MITCHELL</t>
  </si>
  <si>
    <t>KATHY</t>
  </si>
  <si>
    <t>GUILLEN</t>
  </si>
  <si>
    <t>MARIA</t>
  </si>
  <si>
    <t>CALLOZZO</t>
  </si>
  <si>
    <t>J</t>
  </si>
  <si>
    <t>KEVIN</t>
  </si>
  <si>
    <t>LOSHBOUGH</t>
  </si>
  <si>
    <t>L</t>
  </si>
  <si>
    <t>JOANNE</t>
  </si>
  <si>
    <t>OLAH</t>
  </si>
  <si>
    <t>LOUIE</t>
  </si>
  <si>
    <t>CERNY</t>
  </si>
  <si>
    <t>WILLIAM</t>
  </si>
  <si>
    <t>MIHALKA</t>
  </si>
  <si>
    <t>JEFFREY</t>
  </si>
  <si>
    <t>GAVIN</t>
  </si>
  <si>
    <t>P</t>
  </si>
  <si>
    <t>JOAN</t>
  </si>
  <si>
    <t>MORRISON</t>
  </si>
  <si>
    <t>B</t>
  </si>
  <si>
    <t>MICHAEL</t>
  </si>
  <si>
    <t>SIEGEL</t>
  </si>
  <si>
    <t>PAMELA</t>
  </si>
  <si>
    <t>STEPHENS</t>
  </si>
  <si>
    <t>CAROL</t>
  </si>
  <si>
    <t>MANGANELLO</t>
  </si>
  <si>
    <t>K</t>
  </si>
  <si>
    <t>LISA</t>
  </si>
  <si>
    <t>RIZZO</t>
  </si>
  <si>
    <t>MCABEE</t>
  </si>
  <si>
    <t>COLLEEN</t>
  </si>
  <si>
    <t>CRANK</t>
  </si>
  <si>
    <t>ROBBY</t>
  </si>
  <si>
    <t>HOCHSPRUNG</t>
  </si>
  <si>
    <t>CHRISTINE</t>
  </si>
  <si>
    <t>ROSA</t>
  </si>
  <si>
    <t>SERRANO</t>
  </si>
  <si>
    <t>R</t>
  </si>
  <si>
    <t>MAGDALENA</t>
  </si>
  <si>
    <t>STARKE</t>
  </si>
  <si>
    <t>ANKA</t>
  </si>
  <si>
    <t>SHELLY</t>
  </si>
  <si>
    <t>DAVID</t>
  </si>
  <si>
    <t>SCHLOBOHM</t>
  </si>
  <si>
    <t>KELLY</t>
  </si>
  <si>
    <t>SCHMITZ</t>
  </si>
  <si>
    <t>LUANNA</t>
  </si>
  <si>
    <t>WYLLIE</t>
  </si>
  <si>
    <t>DEBRA</t>
  </si>
  <si>
    <t>MCMATH</t>
  </si>
  <si>
    <t>RENEE</t>
  </si>
  <si>
    <t>MCROBERTS</t>
  </si>
  <si>
    <t>LOIS</t>
  </si>
  <si>
    <t>SCIAME</t>
  </si>
  <si>
    <t>PUCKETT</t>
  </si>
  <si>
    <t>GERALD</t>
  </si>
  <si>
    <t>QUESADA</t>
  </si>
  <si>
    <t>DIANA</t>
  </si>
  <si>
    <t>MEGAN HINCHSLIFF</t>
  </si>
  <si>
    <t>DENISE BREIDE</t>
  </si>
  <si>
    <t>CHARLES CAMPBELL</t>
  </si>
  <si>
    <t>KATHY MITCHELL</t>
  </si>
  <si>
    <t>MARIA GUILLEN</t>
  </si>
  <si>
    <t>KEVIN CALLOZZO</t>
  </si>
  <si>
    <t>JOANNE LOSHBOUGH</t>
  </si>
  <si>
    <t>LOUIE OLAH</t>
  </si>
  <si>
    <t>WILLIAM CERNY</t>
  </si>
  <si>
    <t>JEFFREY MIHALKA</t>
  </si>
  <si>
    <t>JOAN GAVIN</t>
  </si>
  <si>
    <t>MICHAEL MORRISON</t>
  </si>
  <si>
    <t>PAMELA SIEGEL</t>
  </si>
  <si>
    <t>CAROL STEPHENS</t>
  </si>
  <si>
    <t>LISA MANGANELLO</t>
  </si>
  <si>
    <t>MICHAEL RIZZO</t>
  </si>
  <si>
    <t>COLLEEN MCABEE</t>
  </si>
  <si>
    <t>ROBBY CRANK</t>
  </si>
  <si>
    <t>CHRISTINE HOCHSPRUNG</t>
  </si>
  <si>
    <t>MAGDALENA ROSA</t>
  </si>
  <si>
    <t>ANKA STARKE</t>
  </si>
  <si>
    <t>DAVID SHELLY</t>
  </si>
  <si>
    <t>KELLY SCHLOBOHM</t>
  </si>
  <si>
    <t>LUANNA SCHMITZ</t>
  </si>
  <si>
    <t>DEBRA WYLLIE</t>
  </si>
  <si>
    <t>RENEE MCMATH</t>
  </si>
  <si>
    <t>LOIS MCROBERTS</t>
  </si>
  <si>
    <t>CAROL SCIAME</t>
  </si>
  <si>
    <t>GERALD PUCKETT</t>
  </si>
  <si>
    <t>DIANA QUESADA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</si>
</sst>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 applyFill="1"/>
    <xf numFmtId="14" fontId="18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6268C-EE4D-4A89-A3AD-4B33C71AAB11}">
  <dimension ref="A1:X47"/>
  <sheetViews>
    <sheetView workbookViewId="0">
      <selection sqref="A1:XFD1048576"/>
    </sheetView>
  </sheetViews>
  <sheetFormatPr defaultRowHeight="15" x14ac:dyDescent="0.25"/>
  <cols>
    <col min="1" max="1" width="29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45832</v>
      </c>
      <c r="B2" t="s">
        <v>24</v>
      </c>
      <c r="C2">
        <v>101931808600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L2" s="1">
        <v>45839</v>
      </c>
      <c r="M2" s="1">
        <v>45839</v>
      </c>
      <c r="O2">
        <v>8971826</v>
      </c>
      <c r="P2" t="s">
        <v>31</v>
      </c>
      <c r="Q2" t="s">
        <v>32</v>
      </c>
      <c r="R2">
        <v>8192</v>
      </c>
      <c r="S2" t="s">
        <v>33</v>
      </c>
      <c r="T2" t="s">
        <v>34</v>
      </c>
      <c r="U2">
        <v>239</v>
      </c>
      <c r="V2" t="s">
        <v>35</v>
      </c>
      <c r="W2" s="1">
        <v>45814</v>
      </c>
      <c r="X2">
        <v>2025</v>
      </c>
    </row>
    <row r="3" spans="1:24" x14ac:dyDescent="0.25">
      <c r="A3" s="1">
        <v>45832</v>
      </c>
      <c r="B3" t="s">
        <v>36</v>
      </c>
      <c r="C3">
        <v>102170865500</v>
      </c>
      <c r="E3" t="s">
        <v>37</v>
      </c>
      <c r="F3" t="s">
        <v>38</v>
      </c>
      <c r="G3" t="s">
        <v>39</v>
      </c>
      <c r="H3" t="s">
        <v>28</v>
      </c>
      <c r="I3" t="s">
        <v>40</v>
      </c>
      <c r="J3" t="s">
        <v>41</v>
      </c>
      <c r="L3" s="1">
        <v>45809</v>
      </c>
      <c r="M3" s="1">
        <v>45809</v>
      </c>
      <c r="O3">
        <v>18581063</v>
      </c>
      <c r="P3" t="s">
        <v>31</v>
      </c>
      <c r="Q3" t="s">
        <v>42</v>
      </c>
      <c r="R3">
        <v>8192</v>
      </c>
      <c r="S3" t="s">
        <v>33</v>
      </c>
      <c r="T3" t="s">
        <v>34</v>
      </c>
      <c r="U3">
        <v>-255.5</v>
      </c>
      <c r="V3" t="s">
        <v>35</v>
      </c>
      <c r="W3" s="1">
        <v>45782</v>
      </c>
      <c r="X3">
        <v>2025</v>
      </c>
    </row>
    <row r="4" spans="1:24" x14ac:dyDescent="0.25">
      <c r="A4" s="1">
        <v>45832</v>
      </c>
      <c r="B4" t="s">
        <v>36</v>
      </c>
      <c r="C4">
        <v>102170865500</v>
      </c>
      <c r="E4" t="s">
        <v>37</v>
      </c>
      <c r="F4" t="s">
        <v>38</v>
      </c>
      <c r="G4" t="s">
        <v>43</v>
      </c>
      <c r="H4" t="s">
        <v>28</v>
      </c>
      <c r="I4" t="s">
        <v>40</v>
      </c>
      <c r="J4" t="s">
        <v>41</v>
      </c>
      <c r="L4" s="1">
        <v>45809</v>
      </c>
      <c r="M4" s="1">
        <v>45809</v>
      </c>
      <c r="O4">
        <v>18581063</v>
      </c>
      <c r="P4" t="s">
        <v>31</v>
      </c>
      <c r="Q4" t="s">
        <v>42</v>
      </c>
      <c r="R4">
        <v>8192</v>
      </c>
      <c r="S4" t="s">
        <v>33</v>
      </c>
      <c r="T4" t="s">
        <v>34</v>
      </c>
      <c r="U4">
        <v>751</v>
      </c>
      <c r="V4" t="s">
        <v>44</v>
      </c>
      <c r="W4" s="1">
        <v>45782</v>
      </c>
      <c r="X4">
        <v>2025</v>
      </c>
    </row>
    <row r="5" spans="1:24" x14ac:dyDescent="0.25">
      <c r="A5" s="1">
        <v>45832</v>
      </c>
      <c r="B5" t="s">
        <v>45</v>
      </c>
      <c r="C5">
        <v>102177425000</v>
      </c>
      <c r="E5" t="s">
        <v>46</v>
      </c>
      <c r="F5" t="s">
        <v>26</v>
      </c>
      <c r="G5" t="s">
        <v>27</v>
      </c>
      <c r="H5" t="s">
        <v>28</v>
      </c>
      <c r="I5" t="s">
        <v>29</v>
      </c>
      <c r="J5" t="s">
        <v>47</v>
      </c>
      <c r="L5" s="1">
        <v>45839</v>
      </c>
      <c r="M5" s="1">
        <v>45839</v>
      </c>
      <c r="O5">
        <v>17425766</v>
      </c>
      <c r="P5" t="s">
        <v>31</v>
      </c>
      <c r="Q5" t="s">
        <v>48</v>
      </c>
      <c r="R5">
        <v>8192</v>
      </c>
      <c r="S5" t="s">
        <v>33</v>
      </c>
      <c r="T5" t="s">
        <v>34</v>
      </c>
      <c r="U5">
        <v>239</v>
      </c>
      <c r="V5" t="s">
        <v>35</v>
      </c>
      <c r="W5" s="1">
        <v>45817</v>
      </c>
      <c r="X5">
        <v>2025</v>
      </c>
    </row>
    <row r="6" spans="1:24" x14ac:dyDescent="0.25">
      <c r="A6" s="1">
        <v>45832</v>
      </c>
      <c r="B6" t="s">
        <v>49</v>
      </c>
      <c r="C6">
        <v>102172358300</v>
      </c>
      <c r="E6" t="s">
        <v>50</v>
      </c>
      <c r="F6" t="s">
        <v>51</v>
      </c>
      <c r="G6" t="s">
        <v>43</v>
      </c>
      <c r="H6" t="s">
        <v>28</v>
      </c>
      <c r="I6" t="s">
        <v>40</v>
      </c>
      <c r="J6" t="s">
        <v>52</v>
      </c>
      <c r="L6" s="1">
        <v>45809</v>
      </c>
      <c r="M6" s="1">
        <v>45809</v>
      </c>
      <c r="O6">
        <v>7146581</v>
      </c>
      <c r="P6" t="s">
        <v>31</v>
      </c>
      <c r="Q6" t="s">
        <v>53</v>
      </c>
      <c r="R6">
        <v>8192</v>
      </c>
      <c r="S6" t="s">
        <v>33</v>
      </c>
      <c r="T6" t="s">
        <v>34</v>
      </c>
      <c r="U6">
        <v>751</v>
      </c>
      <c r="V6" t="s">
        <v>44</v>
      </c>
      <c r="W6" s="1">
        <v>45790</v>
      </c>
      <c r="X6">
        <v>2025</v>
      </c>
    </row>
    <row r="7" spans="1:24" x14ac:dyDescent="0.25">
      <c r="A7" s="1">
        <v>45832</v>
      </c>
      <c r="B7" t="s">
        <v>49</v>
      </c>
      <c r="C7">
        <v>102172358300</v>
      </c>
      <c r="E7" t="s">
        <v>50</v>
      </c>
      <c r="F7" t="s">
        <v>51</v>
      </c>
      <c r="G7" t="s">
        <v>39</v>
      </c>
      <c r="H7" t="s">
        <v>28</v>
      </c>
      <c r="I7" t="s">
        <v>40</v>
      </c>
      <c r="J7" t="s">
        <v>52</v>
      </c>
      <c r="L7" s="1">
        <v>45809</v>
      </c>
      <c r="M7" s="1">
        <v>45809</v>
      </c>
      <c r="O7">
        <v>7146581</v>
      </c>
      <c r="P7" t="s">
        <v>31</v>
      </c>
      <c r="Q7" t="s">
        <v>53</v>
      </c>
      <c r="R7">
        <v>8192</v>
      </c>
      <c r="S7" t="s">
        <v>33</v>
      </c>
      <c r="T7" t="s">
        <v>34</v>
      </c>
      <c r="U7">
        <v>-255.5</v>
      </c>
      <c r="V7" t="s">
        <v>35</v>
      </c>
      <c r="W7" s="1">
        <v>45790</v>
      </c>
      <c r="X7">
        <v>2025</v>
      </c>
    </row>
    <row r="8" spans="1:24" x14ac:dyDescent="0.25">
      <c r="A8" s="1">
        <v>45832</v>
      </c>
      <c r="B8" t="s">
        <v>54</v>
      </c>
      <c r="C8">
        <v>102173389000</v>
      </c>
      <c r="E8" t="s">
        <v>55</v>
      </c>
      <c r="F8" t="s">
        <v>56</v>
      </c>
      <c r="G8" t="s">
        <v>43</v>
      </c>
      <c r="H8" t="s">
        <v>28</v>
      </c>
      <c r="I8" t="s">
        <v>57</v>
      </c>
      <c r="J8" t="s">
        <v>58</v>
      </c>
      <c r="L8" s="1">
        <v>45809</v>
      </c>
      <c r="M8" s="1">
        <v>45809</v>
      </c>
      <c r="O8">
        <v>8307933</v>
      </c>
      <c r="P8" t="s">
        <v>31</v>
      </c>
      <c r="Q8" t="s">
        <v>59</v>
      </c>
      <c r="R8">
        <v>8192</v>
      </c>
      <c r="S8" t="s">
        <v>33</v>
      </c>
      <c r="T8" t="s">
        <v>34</v>
      </c>
      <c r="U8">
        <v>751</v>
      </c>
      <c r="V8" t="s">
        <v>44</v>
      </c>
      <c r="W8" s="1">
        <v>45796</v>
      </c>
      <c r="X8">
        <v>2025</v>
      </c>
    </row>
    <row r="9" spans="1:24" x14ac:dyDescent="0.25">
      <c r="A9" s="1">
        <v>45832</v>
      </c>
      <c r="B9" t="s">
        <v>54</v>
      </c>
      <c r="C9">
        <v>102173389000</v>
      </c>
      <c r="E9" t="s">
        <v>55</v>
      </c>
      <c r="F9" t="s">
        <v>56</v>
      </c>
      <c r="G9" t="s">
        <v>39</v>
      </c>
      <c r="H9" t="s">
        <v>28</v>
      </c>
      <c r="I9" t="s">
        <v>57</v>
      </c>
      <c r="J9" t="s">
        <v>58</v>
      </c>
      <c r="L9" s="1">
        <v>45809</v>
      </c>
      <c r="M9" s="1">
        <v>45809</v>
      </c>
      <c r="O9">
        <v>8307933</v>
      </c>
      <c r="P9" t="s">
        <v>31</v>
      </c>
      <c r="Q9" t="s">
        <v>59</v>
      </c>
      <c r="R9">
        <v>8192</v>
      </c>
      <c r="S9" t="s">
        <v>33</v>
      </c>
      <c r="T9" t="s">
        <v>34</v>
      </c>
      <c r="U9">
        <v>-255.5</v>
      </c>
      <c r="V9" t="s">
        <v>35</v>
      </c>
      <c r="W9" s="1">
        <v>45796</v>
      </c>
      <c r="X9">
        <v>2025</v>
      </c>
    </row>
    <row r="10" spans="1:24" x14ac:dyDescent="0.25">
      <c r="A10" s="1">
        <v>45832</v>
      </c>
      <c r="B10" t="s">
        <v>60</v>
      </c>
      <c r="C10">
        <v>102131714400</v>
      </c>
      <c r="E10" t="s">
        <v>61</v>
      </c>
      <c r="F10" t="s">
        <v>51</v>
      </c>
      <c r="G10" t="s">
        <v>62</v>
      </c>
      <c r="H10" t="s">
        <v>28</v>
      </c>
      <c r="I10" t="s">
        <v>40</v>
      </c>
      <c r="J10" t="s">
        <v>63</v>
      </c>
      <c r="L10" s="1">
        <v>45658</v>
      </c>
      <c r="M10" s="1">
        <v>45658</v>
      </c>
      <c r="N10" s="1">
        <v>45838</v>
      </c>
      <c r="O10">
        <v>7146581</v>
      </c>
      <c r="P10" t="s">
        <v>31</v>
      </c>
      <c r="Q10" t="s">
        <v>53</v>
      </c>
      <c r="R10">
        <v>8192</v>
      </c>
      <c r="S10" t="s">
        <v>33</v>
      </c>
      <c r="T10" t="s">
        <v>34</v>
      </c>
      <c r="U10">
        <v>-438</v>
      </c>
      <c r="V10" t="s">
        <v>35</v>
      </c>
      <c r="W10" s="1">
        <v>45652</v>
      </c>
      <c r="X10">
        <v>2025</v>
      </c>
    </row>
    <row r="11" spans="1:24" x14ac:dyDescent="0.25">
      <c r="A11" s="1">
        <v>45832</v>
      </c>
      <c r="B11" t="s">
        <v>60</v>
      </c>
      <c r="C11">
        <v>102131714400</v>
      </c>
      <c r="E11" t="s">
        <v>61</v>
      </c>
      <c r="F11" t="s">
        <v>51</v>
      </c>
      <c r="G11" t="s">
        <v>64</v>
      </c>
      <c r="H11" t="s">
        <v>28</v>
      </c>
      <c r="I11" t="s">
        <v>40</v>
      </c>
      <c r="J11" t="s">
        <v>63</v>
      </c>
      <c r="L11" s="1">
        <v>45658</v>
      </c>
      <c r="M11" s="1">
        <v>45658</v>
      </c>
      <c r="N11" s="1">
        <v>45838</v>
      </c>
      <c r="O11">
        <v>7146581</v>
      </c>
      <c r="P11" t="s">
        <v>31</v>
      </c>
      <c r="Q11" t="s">
        <v>53</v>
      </c>
      <c r="R11">
        <v>8192</v>
      </c>
      <c r="S11" t="s">
        <v>33</v>
      </c>
      <c r="T11" t="s">
        <v>34</v>
      </c>
      <c r="U11">
        <v>219</v>
      </c>
      <c r="V11" t="s">
        <v>35</v>
      </c>
      <c r="W11" s="1">
        <v>45652</v>
      </c>
      <c r="X11">
        <v>2025</v>
      </c>
    </row>
    <row r="12" spans="1:24" x14ac:dyDescent="0.25">
      <c r="A12" s="1">
        <v>45832</v>
      </c>
      <c r="B12" t="s">
        <v>65</v>
      </c>
      <c r="C12">
        <v>102055388900</v>
      </c>
      <c r="E12" t="s">
        <v>66</v>
      </c>
      <c r="F12" t="s">
        <v>51</v>
      </c>
      <c r="G12" t="s">
        <v>67</v>
      </c>
      <c r="H12" t="s">
        <v>28</v>
      </c>
      <c r="I12" t="s">
        <v>40</v>
      </c>
      <c r="J12" t="s">
        <v>68</v>
      </c>
      <c r="L12" s="1">
        <v>45809</v>
      </c>
      <c r="M12" s="1">
        <v>45566</v>
      </c>
      <c r="N12" s="1">
        <v>45808</v>
      </c>
      <c r="O12">
        <v>17301495</v>
      </c>
      <c r="P12" t="s">
        <v>31</v>
      </c>
      <c r="Q12" t="s">
        <v>69</v>
      </c>
      <c r="R12">
        <v>8192</v>
      </c>
      <c r="S12" t="s">
        <v>33</v>
      </c>
      <c r="T12" t="s">
        <v>34</v>
      </c>
      <c r="U12">
        <v>-29.83</v>
      </c>
      <c r="V12" t="s">
        <v>35</v>
      </c>
      <c r="W12" s="1">
        <v>45539</v>
      </c>
      <c r="X12">
        <v>2025</v>
      </c>
    </row>
    <row r="13" spans="1:24" x14ac:dyDescent="0.25">
      <c r="A13" s="1">
        <v>45832</v>
      </c>
      <c r="B13" t="s">
        <v>70</v>
      </c>
      <c r="C13">
        <v>102170848000</v>
      </c>
      <c r="E13" t="s">
        <v>71</v>
      </c>
      <c r="F13" t="s">
        <v>72</v>
      </c>
      <c r="G13" t="s">
        <v>43</v>
      </c>
      <c r="H13" t="s">
        <v>28</v>
      </c>
      <c r="I13" t="s">
        <v>40</v>
      </c>
      <c r="J13" t="s">
        <v>73</v>
      </c>
      <c r="L13" s="1">
        <v>45839</v>
      </c>
      <c r="M13" s="1">
        <v>45839</v>
      </c>
      <c r="O13">
        <v>19396223</v>
      </c>
      <c r="P13" t="s">
        <v>31</v>
      </c>
      <c r="Q13" t="s">
        <v>74</v>
      </c>
      <c r="R13">
        <v>8192</v>
      </c>
      <c r="S13" t="s">
        <v>33</v>
      </c>
      <c r="T13" t="s">
        <v>34</v>
      </c>
      <c r="U13">
        <v>751</v>
      </c>
      <c r="V13" t="s">
        <v>44</v>
      </c>
      <c r="W13" s="1">
        <v>45782</v>
      </c>
      <c r="X13">
        <v>2025</v>
      </c>
    </row>
    <row r="14" spans="1:24" x14ac:dyDescent="0.25">
      <c r="A14" s="1">
        <v>45832</v>
      </c>
      <c r="B14" t="s">
        <v>70</v>
      </c>
      <c r="C14">
        <v>102170848000</v>
      </c>
      <c r="E14" t="s">
        <v>71</v>
      </c>
      <c r="F14" t="s">
        <v>72</v>
      </c>
      <c r="G14" t="s">
        <v>39</v>
      </c>
      <c r="H14" t="s">
        <v>28</v>
      </c>
      <c r="I14" t="s">
        <v>40</v>
      </c>
      <c r="J14" t="s">
        <v>73</v>
      </c>
      <c r="L14" s="1">
        <v>45839</v>
      </c>
      <c r="M14" s="1">
        <v>45839</v>
      </c>
      <c r="O14">
        <v>19396223</v>
      </c>
      <c r="P14" t="s">
        <v>31</v>
      </c>
      <c r="Q14" t="s">
        <v>74</v>
      </c>
      <c r="R14">
        <v>8192</v>
      </c>
      <c r="S14" t="s">
        <v>33</v>
      </c>
      <c r="T14" t="s">
        <v>34</v>
      </c>
      <c r="U14">
        <v>-219</v>
      </c>
      <c r="V14" t="s">
        <v>35</v>
      </c>
      <c r="W14" s="1">
        <v>45782</v>
      </c>
      <c r="X14">
        <v>2025</v>
      </c>
    </row>
    <row r="15" spans="1:24" x14ac:dyDescent="0.25">
      <c r="A15" s="1">
        <v>45832</v>
      </c>
      <c r="B15" t="s">
        <v>75</v>
      </c>
      <c r="C15">
        <v>102172138300</v>
      </c>
      <c r="E15" t="s">
        <v>76</v>
      </c>
      <c r="F15" t="s">
        <v>51</v>
      </c>
      <c r="G15" t="s">
        <v>39</v>
      </c>
      <c r="H15" t="s">
        <v>28</v>
      </c>
      <c r="I15" t="s">
        <v>40</v>
      </c>
      <c r="J15" t="s">
        <v>52</v>
      </c>
      <c r="L15" s="1">
        <v>45809</v>
      </c>
      <c r="M15" s="1">
        <v>45809</v>
      </c>
      <c r="O15">
        <v>18754354</v>
      </c>
      <c r="P15" t="s">
        <v>31</v>
      </c>
      <c r="Q15" t="s">
        <v>77</v>
      </c>
      <c r="R15">
        <v>8192</v>
      </c>
      <c r="S15" t="s">
        <v>33</v>
      </c>
      <c r="T15" t="s">
        <v>34</v>
      </c>
      <c r="U15">
        <v>-255.5</v>
      </c>
      <c r="V15" t="s">
        <v>35</v>
      </c>
      <c r="W15" s="1">
        <v>45789</v>
      </c>
      <c r="X15">
        <v>2025</v>
      </c>
    </row>
    <row r="16" spans="1:24" x14ac:dyDescent="0.25">
      <c r="A16" s="1">
        <v>45832</v>
      </c>
      <c r="B16" t="s">
        <v>75</v>
      </c>
      <c r="C16">
        <v>102172138300</v>
      </c>
      <c r="E16" t="s">
        <v>76</v>
      </c>
      <c r="F16" t="s">
        <v>51</v>
      </c>
      <c r="G16" t="s">
        <v>43</v>
      </c>
      <c r="H16" t="s">
        <v>28</v>
      </c>
      <c r="I16" t="s">
        <v>40</v>
      </c>
      <c r="J16" t="s">
        <v>52</v>
      </c>
      <c r="L16" s="1">
        <v>45809</v>
      </c>
      <c r="M16" s="1">
        <v>45809</v>
      </c>
      <c r="O16">
        <v>18754354</v>
      </c>
      <c r="P16" t="s">
        <v>31</v>
      </c>
      <c r="Q16" t="s">
        <v>77</v>
      </c>
      <c r="R16">
        <v>8192</v>
      </c>
      <c r="S16" t="s">
        <v>33</v>
      </c>
      <c r="T16" t="s">
        <v>34</v>
      </c>
      <c r="U16">
        <v>751</v>
      </c>
      <c r="V16" t="s">
        <v>44</v>
      </c>
      <c r="W16" s="1">
        <v>45789</v>
      </c>
      <c r="X16">
        <v>2025</v>
      </c>
    </row>
    <row r="17" spans="1:24" x14ac:dyDescent="0.25">
      <c r="A17" s="1">
        <v>45832</v>
      </c>
      <c r="B17" t="s">
        <v>78</v>
      </c>
      <c r="C17">
        <v>102081378500</v>
      </c>
      <c r="E17" t="s">
        <v>79</v>
      </c>
      <c r="F17" t="s">
        <v>38</v>
      </c>
      <c r="G17" t="s">
        <v>43</v>
      </c>
      <c r="H17" t="s">
        <v>28</v>
      </c>
      <c r="I17" t="s">
        <v>40</v>
      </c>
      <c r="J17" t="s">
        <v>41</v>
      </c>
      <c r="L17" s="1">
        <v>45778</v>
      </c>
      <c r="M17" s="1">
        <v>45778</v>
      </c>
      <c r="O17">
        <v>18581063</v>
      </c>
      <c r="P17" t="s">
        <v>31</v>
      </c>
      <c r="Q17" t="s">
        <v>42</v>
      </c>
      <c r="R17">
        <v>8192</v>
      </c>
      <c r="S17" t="s">
        <v>33</v>
      </c>
      <c r="T17" t="s">
        <v>34</v>
      </c>
      <c r="U17">
        <v>751</v>
      </c>
      <c r="V17" t="s">
        <v>44</v>
      </c>
      <c r="W17" s="1">
        <v>45777</v>
      </c>
      <c r="X17">
        <v>2025</v>
      </c>
    </row>
    <row r="18" spans="1:24" x14ac:dyDescent="0.25">
      <c r="A18" s="1">
        <v>45832</v>
      </c>
      <c r="B18" t="s">
        <v>78</v>
      </c>
      <c r="C18">
        <v>102081378500</v>
      </c>
      <c r="E18" t="s">
        <v>79</v>
      </c>
      <c r="F18" t="s">
        <v>38</v>
      </c>
      <c r="G18" t="s">
        <v>39</v>
      </c>
      <c r="H18" t="s">
        <v>28</v>
      </c>
      <c r="I18" t="s">
        <v>40</v>
      </c>
      <c r="J18" t="s">
        <v>41</v>
      </c>
      <c r="L18" s="1">
        <v>45778</v>
      </c>
      <c r="M18" s="1">
        <v>45778</v>
      </c>
      <c r="O18">
        <v>18581063</v>
      </c>
      <c r="P18" t="s">
        <v>31</v>
      </c>
      <c r="Q18" t="s">
        <v>42</v>
      </c>
      <c r="R18">
        <v>8192</v>
      </c>
      <c r="S18" t="s">
        <v>33</v>
      </c>
      <c r="T18" t="s">
        <v>34</v>
      </c>
      <c r="U18">
        <v>-292</v>
      </c>
      <c r="V18" t="s">
        <v>35</v>
      </c>
      <c r="W18" s="1">
        <v>45777</v>
      </c>
      <c r="X18">
        <v>2025</v>
      </c>
    </row>
    <row r="19" spans="1:24" x14ac:dyDescent="0.25">
      <c r="A19" s="1">
        <v>45832</v>
      </c>
      <c r="B19" t="s">
        <v>80</v>
      </c>
      <c r="C19">
        <v>102176759200</v>
      </c>
      <c r="E19" t="s">
        <v>81</v>
      </c>
      <c r="F19" t="s">
        <v>26</v>
      </c>
      <c r="G19" t="s">
        <v>27</v>
      </c>
      <c r="H19" t="s">
        <v>28</v>
      </c>
      <c r="I19" t="s">
        <v>29</v>
      </c>
      <c r="J19" t="s">
        <v>82</v>
      </c>
      <c r="L19" s="1">
        <v>45839</v>
      </c>
      <c r="M19" s="1">
        <v>45839</v>
      </c>
      <c r="O19">
        <v>17528908</v>
      </c>
      <c r="P19" t="s">
        <v>31</v>
      </c>
      <c r="Q19" t="s">
        <v>83</v>
      </c>
      <c r="R19">
        <v>8192</v>
      </c>
      <c r="S19" t="s">
        <v>33</v>
      </c>
      <c r="T19" t="s">
        <v>34</v>
      </c>
      <c r="U19">
        <v>239</v>
      </c>
      <c r="V19" t="s">
        <v>35</v>
      </c>
      <c r="W19" s="1">
        <v>45812</v>
      </c>
      <c r="X19">
        <v>2025</v>
      </c>
    </row>
    <row r="20" spans="1:24" x14ac:dyDescent="0.25">
      <c r="A20" s="1">
        <v>45832</v>
      </c>
      <c r="B20" t="s">
        <v>84</v>
      </c>
      <c r="C20">
        <v>102082153100</v>
      </c>
      <c r="E20" t="s">
        <v>85</v>
      </c>
      <c r="F20" t="s">
        <v>86</v>
      </c>
      <c r="G20" t="s">
        <v>62</v>
      </c>
      <c r="H20" t="s">
        <v>28</v>
      </c>
      <c r="I20" t="s">
        <v>87</v>
      </c>
      <c r="J20" t="s">
        <v>88</v>
      </c>
      <c r="L20" s="1">
        <v>45689</v>
      </c>
      <c r="M20" s="1">
        <v>45689</v>
      </c>
      <c r="N20" s="1">
        <v>45838</v>
      </c>
      <c r="O20">
        <v>16865615</v>
      </c>
      <c r="P20" t="s">
        <v>31</v>
      </c>
      <c r="Q20" t="s">
        <v>89</v>
      </c>
      <c r="R20">
        <v>8192</v>
      </c>
      <c r="S20" t="s">
        <v>33</v>
      </c>
      <c r="T20" t="s">
        <v>34</v>
      </c>
      <c r="U20">
        <v>-481.25</v>
      </c>
      <c r="V20" t="s">
        <v>35</v>
      </c>
      <c r="W20" s="1">
        <v>45672</v>
      </c>
      <c r="X20">
        <v>2025</v>
      </c>
    </row>
    <row r="21" spans="1:24" x14ac:dyDescent="0.25">
      <c r="A21" s="1">
        <v>45832</v>
      </c>
      <c r="B21" t="s">
        <v>84</v>
      </c>
      <c r="C21">
        <v>102082153100</v>
      </c>
      <c r="E21" t="s">
        <v>85</v>
      </c>
      <c r="F21" t="s">
        <v>86</v>
      </c>
      <c r="G21" t="s">
        <v>64</v>
      </c>
      <c r="H21" t="s">
        <v>28</v>
      </c>
      <c r="I21" t="s">
        <v>87</v>
      </c>
      <c r="J21" t="s">
        <v>88</v>
      </c>
      <c r="L21" s="1">
        <v>45689</v>
      </c>
      <c r="M21" s="1">
        <v>45689</v>
      </c>
      <c r="N21" s="1">
        <v>45838</v>
      </c>
      <c r="O21">
        <v>16865615</v>
      </c>
      <c r="P21" t="s">
        <v>31</v>
      </c>
      <c r="Q21" t="s">
        <v>89</v>
      </c>
      <c r="R21">
        <v>8192</v>
      </c>
      <c r="S21" t="s">
        <v>33</v>
      </c>
      <c r="T21" t="s">
        <v>34</v>
      </c>
      <c r="U21">
        <v>218.75</v>
      </c>
      <c r="V21" t="s">
        <v>35</v>
      </c>
      <c r="W21" s="1">
        <v>45672</v>
      </c>
      <c r="X21">
        <v>2025</v>
      </c>
    </row>
    <row r="22" spans="1:24" x14ac:dyDescent="0.25">
      <c r="A22" s="1">
        <v>45832</v>
      </c>
      <c r="B22" t="s">
        <v>90</v>
      </c>
      <c r="C22">
        <v>102177233000</v>
      </c>
      <c r="E22" t="s">
        <v>91</v>
      </c>
      <c r="F22" t="s">
        <v>51</v>
      </c>
      <c r="G22" t="s">
        <v>27</v>
      </c>
      <c r="H22" t="s">
        <v>28</v>
      </c>
      <c r="I22" t="s">
        <v>40</v>
      </c>
      <c r="J22" t="s">
        <v>92</v>
      </c>
      <c r="L22" s="1">
        <v>45870</v>
      </c>
      <c r="M22" s="1">
        <v>45870</v>
      </c>
      <c r="O22">
        <v>9213293</v>
      </c>
      <c r="P22" t="s">
        <v>31</v>
      </c>
      <c r="Q22" t="s">
        <v>93</v>
      </c>
      <c r="R22">
        <v>8192</v>
      </c>
      <c r="S22" t="s">
        <v>33</v>
      </c>
      <c r="T22" t="s">
        <v>34</v>
      </c>
      <c r="U22">
        <v>182.5</v>
      </c>
      <c r="V22" t="s">
        <v>35</v>
      </c>
      <c r="W22" s="1">
        <v>45814</v>
      </c>
      <c r="X22">
        <v>2025</v>
      </c>
    </row>
    <row r="23" spans="1:24" x14ac:dyDescent="0.25">
      <c r="A23" s="1">
        <v>45832</v>
      </c>
      <c r="B23" t="s">
        <v>94</v>
      </c>
      <c r="C23">
        <v>102177116200</v>
      </c>
      <c r="E23" t="s">
        <v>95</v>
      </c>
      <c r="F23" t="s">
        <v>96</v>
      </c>
      <c r="G23" t="s">
        <v>27</v>
      </c>
      <c r="H23" t="s">
        <v>28</v>
      </c>
      <c r="I23" t="s">
        <v>97</v>
      </c>
      <c r="J23" t="s">
        <v>98</v>
      </c>
      <c r="L23" s="1">
        <v>45839</v>
      </c>
      <c r="M23" s="1">
        <v>45839</v>
      </c>
      <c r="O23">
        <v>16509456</v>
      </c>
      <c r="P23" t="s">
        <v>31</v>
      </c>
      <c r="Q23" t="s">
        <v>99</v>
      </c>
      <c r="R23">
        <v>8192</v>
      </c>
      <c r="S23" t="s">
        <v>33</v>
      </c>
      <c r="T23" t="s">
        <v>34</v>
      </c>
      <c r="U23">
        <v>219</v>
      </c>
      <c r="V23" t="s">
        <v>35</v>
      </c>
      <c r="W23" s="1">
        <v>45813</v>
      </c>
      <c r="X23">
        <v>2025</v>
      </c>
    </row>
    <row r="24" spans="1:24" x14ac:dyDescent="0.25">
      <c r="A24" s="1">
        <v>45832</v>
      </c>
      <c r="B24" t="s">
        <v>100</v>
      </c>
      <c r="C24">
        <v>102174805300</v>
      </c>
      <c r="E24" t="s">
        <v>101</v>
      </c>
      <c r="F24" t="s">
        <v>51</v>
      </c>
      <c r="G24" t="s">
        <v>43</v>
      </c>
      <c r="H24" t="s">
        <v>28</v>
      </c>
      <c r="I24" t="s">
        <v>40</v>
      </c>
      <c r="J24" t="s">
        <v>102</v>
      </c>
      <c r="L24" s="1">
        <v>45839</v>
      </c>
      <c r="M24" s="1">
        <v>45839</v>
      </c>
      <c r="O24">
        <v>7146581</v>
      </c>
      <c r="P24" t="s">
        <v>31</v>
      </c>
      <c r="Q24" t="s">
        <v>53</v>
      </c>
      <c r="R24">
        <v>8192</v>
      </c>
      <c r="S24" t="s">
        <v>33</v>
      </c>
      <c r="T24" t="s">
        <v>34</v>
      </c>
      <c r="U24">
        <v>751</v>
      </c>
      <c r="V24" t="s">
        <v>44</v>
      </c>
      <c r="W24" s="1">
        <v>45804</v>
      </c>
      <c r="X24">
        <v>2025</v>
      </c>
    </row>
    <row r="25" spans="1:24" x14ac:dyDescent="0.25">
      <c r="A25" s="1">
        <v>45832</v>
      </c>
      <c r="B25" t="s">
        <v>100</v>
      </c>
      <c r="C25">
        <v>102174805300</v>
      </c>
      <c r="E25" t="s">
        <v>101</v>
      </c>
      <c r="F25" t="s">
        <v>51</v>
      </c>
      <c r="G25" t="s">
        <v>39</v>
      </c>
      <c r="H25" t="s">
        <v>28</v>
      </c>
      <c r="I25" t="s">
        <v>40</v>
      </c>
      <c r="J25" t="s">
        <v>102</v>
      </c>
      <c r="L25" s="1">
        <v>45839</v>
      </c>
      <c r="M25" s="1">
        <v>45839</v>
      </c>
      <c r="O25">
        <v>7146581</v>
      </c>
      <c r="P25" t="s">
        <v>31</v>
      </c>
      <c r="Q25" t="s">
        <v>53</v>
      </c>
      <c r="R25">
        <v>8192</v>
      </c>
      <c r="S25" t="s">
        <v>33</v>
      </c>
      <c r="T25" t="s">
        <v>34</v>
      </c>
      <c r="U25">
        <v>-219</v>
      </c>
      <c r="V25" t="s">
        <v>35</v>
      </c>
      <c r="W25" s="1">
        <v>45804</v>
      </c>
      <c r="X25">
        <v>2025</v>
      </c>
    </row>
    <row r="26" spans="1:24" x14ac:dyDescent="0.25">
      <c r="A26" s="1">
        <v>45832</v>
      </c>
      <c r="B26" t="s">
        <v>103</v>
      </c>
      <c r="C26">
        <v>102170749100</v>
      </c>
      <c r="E26" t="s">
        <v>104</v>
      </c>
      <c r="F26" t="s">
        <v>51</v>
      </c>
      <c r="G26" t="s">
        <v>43</v>
      </c>
      <c r="H26" t="s">
        <v>28</v>
      </c>
      <c r="I26" t="s">
        <v>105</v>
      </c>
      <c r="J26" t="s">
        <v>106</v>
      </c>
      <c r="L26" s="1">
        <v>45809</v>
      </c>
      <c r="M26" s="1">
        <v>45809</v>
      </c>
      <c r="O26">
        <v>19268643</v>
      </c>
      <c r="P26" t="s">
        <v>31</v>
      </c>
      <c r="Q26" t="s">
        <v>107</v>
      </c>
      <c r="R26">
        <v>8192</v>
      </c>
      <c r="S26" t="s">
        <v>33</v>
      </c>
      <c r="T26" t="s">
        <v>34</v>
      </c>
      <c r="U26">
        <v>751</v>
      </c>
      <c r="V26" t="s">
        <v>44</v>
      </c>
      <c r="W26" s="1">
        <v>45781</v>
      </c>
      <c r="X26">
        <v>2025</v>
      </c>
    </row>
    <row r="27" spans="1:24" x14ac:dyDescent="0.25">
      <c r="A27" s="1">
        <v>45832</v>
      </c>
      <c r="B27" t="s">
        <v>103</v>
      </c>
      <c r="C27">
        <v>102170749100</v>
      </c>
      <c r="E27" t="s">
        <v>104</v>
      </c>
      <c r="F27" t="s">
        <v>51</v>
      </c>
      <c r="G27" t="s">
        <v>39</v>
      </c>
      <c r="H27" t="s">
        <v>28</v>
      </c>
      <c r="I27" t="s">
        <v>105</v>
      </c>
      <c r="J27" t="s">
        <v>106</v>
      </c>
      <c r="L27" s="1">
        <v>45809</v>
      </c>
      <c r="M27" s="1">
        <v>45809</v>
      </c>
      <c r="O27">
        <v>19268643</v>
      </c>
      <c r="P27" t="s">
        <v>31</v>
      </c>
      <c r="Q27" t="s">
        <v>107</v>
      </c>
      <c r="R27">
        <v>8192</v>
      </c>
      <c r="S27" t="s">
        <v>33</v>
      </c>
      <c r="T27" t="s">
        <v>34</v>
      </c>
      <c r="U27">
        <v>-255.5</v>
      </c>
      <c r="V27" t="s">
        <v>35</v>
      </c>
      <c r="W27" s="1">
        <v>45781</v>
      </c>
      <c r="X27">
        <v>2025</v>
      </c>
    </row>
    <row r="28" spans="1:24" x14ac:dyDescent="0.25">
      <c r="A28" s="1">
        <v>45832</v>
      </c>
      <c r="B28" t="s">
        <v>108</v>
      </c>
      <c r="C28">
        <v>102177466000</v>
      </c>
      <c r="E28" t="s">
        <v>109</v>
      </c>
      <c r="F28" t="s">
        <v>51</v>
      </c>
      <c r="G28" t="s">
        <v>27</v>
      </c>
      <c r="H28" t="s">
        <v>28</v>
      </c>
      <c r="I28" t="s">
        <v>40</v>
      </c>
      <c r="J28" t="s">
        <v>102</v>
      </c>
      <c r="L28" s="1">
        <v>45839</v>
      </c>
      <c r="M28" s="1">
        <v>45839</v>
      </c>
      <c r="O28">
        <v>7146581</v>
      </c>
      <c r="P28" t="s">
        <v>31</v>
      </c>
      <c r="Q28" t="s">
        <v>53</v>
      </c>
      <c r="R28">
        <v>8192</v>
      </c>
      <c r="S28" t="s">
        <v>33</v>
      </c>
      <c r="T28" t="s">
        <v>34</v>
      </c>
      <c r="U28">
        <v>219</v>
      </c>
      <c r="V28" t="s">
        <v>35</v>
      </c>
      <c r="W28" s="1">
        <v>45817</v>
      </c>
      <c r="X28">
        <v>2025</v>
      </c>
    </row>
    <row r="29" spans="1:24" x14ac:dyDescent="0.25">
      <c r="A29" s="1">
        <v>45832</v>
      </c>
      <c r="B29" t="s">
        <v>110</v>
      </c>
      <c r="C29">
        <v>102177007300</v>
      </c>
      <c r="E29" t="s">
        <v>111</v>
      </c>
      <c r="F29" t="s">
        <v>51</v>
      </c>
      <c r="G29" t="s">
        <v>27</v>
      </c>
      <c r="H29" t="s">
        <v>28</v>
      </c>
      <c r="I29" t="s">
        <v>40</v>
      </c>
      <c r="J29" t="s">
        <v>52</v>
      </c>
      <c r="L29" s="1">
        <v>45901</v>
      </c>
      <c r="M29" s="1">
        <v>45901</v>
      </c>
      <c r="O29">
        <v>2158366</v>
      </c>
      <c r="P29" t="s">
        <v>31</v>
      </c>
      <c r="Q29" t="s">
        <v>112</v>
      </c>
      <c r="R29">
        <v>8192</v>
      </c>
      <c r="S29" t="s">
        <v>33</v>
      </c>
      <c r="T29" t="s">
        <v>34</v>
      </c>
      <c r="U29">
        <v>146</v>
      </c>
      <c r="V29" t="s">
        <v>35</v>
      </c>
      <c r="W29" s="1">
        <v>45813</v>
      </c>
      <c r="X29">
        <v>2025</v>
      </c>
    </row>
    <row r="30" spans="1:24" x14ac:dyDescent="0.25">
      <c r="A30" s="1">
        <v>45832</v>
      </c>
      <c r="B30" t="s">
        <v>113</v>
      </c>
      <c r="C30">
        <v>102172618800</v>
      </c>
      <c r="E30" t="s">
        <v>114</v>
      </c>
      <c r="F30" t="s">
        <v>51</v>
      </c>
      <c r="G30" t="s">
        <v>27</v>
      </c>
      <c r="H30" t="s">
        <v>28</v>
      </c>
      <c r="I30" t="s">
        <v>40</v>
      </c>
      <c r="J30" t="s">
        <v>115</v>
      </c>
      <c r="L30" s="1">
        <v>45809</v>
      </c>
      <c r="M30" s="1">
        <v>45809</v>
      </c>
      <c r="O30">
        <v>8307933</v>
      </c>
      <c r="P30" t="s">
        <v>31</v>
      </c>
      <c r="Q30" t="s">
        <v>59</v>
      </c>
      <c r="R30">
        <v>8192</v>
      </c>
      <c r="S30" t="s">
        <v>33</v>
      </c>
      <c r="T30" t="s">
        <v>34</v>
      </c>
      <c r="U30">
        <v>255.5</v>
      </c>
      <c r="V30" t="s">
        <v>35</v>
      </c>
      <c r="W30" s="1">
        <v>45791</v>
      </c>
      <c r="X30">
        <v>2025</v>
      </c>
    </row>
    <row r="31" spans="1:24" x14ac:dyDescent="0.25">
      <c r="A31" s="1">
        <v>45832</v>
      </c>
      <c r="B31" t="s">
        <v>116</v>
      </c>
      <c r="C31">
        <v>102172611900</v>
      </c>
      <c r="E31" t="s">
        <v>117</v>
      </c>
      <c r="F31" t="s">
        <v>51</v>
      </c>
      <c r="G31" t="s">
        <v>27</v>
      </c>
      <c r="H31" t="s">
        <v>28</v>
      </c>
      <c r="I31" t="s">
        <v>40</v>
      </c>
      <c r="J31" t="s">
        <v>115</v>
      </c>
      <c r="L31" s="1">
        <v>45809</v>
      </c>
      <c r="M31" s="1">
        <v>45809</v>
      </c>
      <c r="O31">
        <v>8307933</v>
      </c>
      <c r="P31" t="s">
        <v>31</v>
      </c>
      <c r="Q31" t="s">
        <v>59</v>
      </c>
      <c r="R31">
        <v>8192</v>
      </c>
      <c r="S31" t="s">
        <v>33</v>
      </c>
      <c r="T31" t="s">
        <v>34</v>
      </c>
      <c r="U31">
        <v>255.5</v>
      </c>
      <c r="V31" t="s">
        <v>35</v>
      </c>
      <c r="W31" s="1">
        <v>45791</v>
      </c>
      <c r="X31">
        <v>2025</v>
      </c>
    </row>
    <row r="32" spans="1:24" x14ac:dyDescent="0.25">
      <c r="A32" s="1">
        <v>45832</v>
      </c>
      <c r="B32" t="s">
        <v>118</v>
      </c>
      <c r="C32">
        <v>102177242000</v>
      </c>
      <c r="E32" t="s">
        <v>119</v>
      </c>
      <c r="F32" t="s">
        <v>26</v>
      </c>
      <c r="G32" t="s">
        <v>27</v>
      </c>
      <c r="H32" t="s">
        <v>28</v>
      </c>
      <c r="I32" t="s">
        <v>29</v>
      </c>
      <c r="J32" t="s">
        <v>47</v>
      </c>
      <c r="L32" s="1">
        <v>45839</v>
      </c>
      <c r="M32" s="1">
        <v>45839</v>
      </c>
      <c r="O32">
        <v>19278370</v>
      </c>
      <c r="P32" t="s">
        <v>31</v>
      </c>
      <c r="Q32" t="s">
        <v>120</v>
      </c>
      <c r="R32">
        <v>8192</v>
      </c>
      <c r="S32" t="s">
        <v>33</v>
      </c>
      <c r="T32" t="s">
        <v>34</v>
      </c>
      <c r="U32">
        <v>239</v>
      </c>
      <c r="V32" t="s">
        <v>35</v>
      </c>
      <c r="W32" s="1">
        <v>45814</v>
      </c>
      <c r="X32">
        <v>2025</v>
      </c>
    </row>
    <row r="33" spans="1:24" x14ac:dyDescent="0.25">
      <c r="A33" s="1">
        <v>45832</v>
      </c>
      <c r="B33" t="s">
        <v>121</v>
      </c>
      <c r="C33">
        <v>102171601900</v>
      </c>
      <c r="E33" t="s">
        <v>122</v>
      </c>
      <c r="F33" t="s">
        <v>123</v>
      </c>
      <c r="G33" t="s">
        <v>43</v>
      </c>
      <c r="H33" t="s">
        <v>28</v>
      </c>
      <c r="I33" t="s">
        <v>124</v>
      </c>
      <c r="J33" t="s">
        <v>125</v>
      </c>
      <c r="L33" s="1">
        <v>45809</v>
      </c>
      <c r="M33" s="1">
        <v>45809</v>
      </c>
      <c r="O33">
        <v>8307933</v>
      </c>
      <c r="P33" t="s">
        <v>31</v>
      </c>
      <c r="Q33" t="s">
        <v>59</v>
      </c>
      <c r="R33">
        <v>8192</v>
      </c>
      <c r="S33" t="s">
        <v>33</v>
      </c>
      <c r="T33" t="s">
        <v>34</v>
      </c>
      <c r="U33">
        <v>751</v>
      </c>
      <c r="V33" t="s">
        <v>44</v>
      </c>
      <c r="W33" s="1">
        <v>45785</v>
      </c>
      <c r="X33">
        <v>2025</v>
      </c>
    </row>
    <row r="34" spans="1:24" x14ac:dyDescent="0.25">
      <c r="A34" s="1">
        <v>45832</v>
      </c>
      <c r="B34" t="s">
        <v>121</v>
      </c>
      <c r="C34">
        <v>102171601900</v>
      </c>
      <c r="E34" t="s">
        <v>122</v>
      </c>
      <c r="F34" t="s">
        <v>123</v>
      </c>
      <c r="G34" t="s">
        <v>39</v>
      </c>
      <c r="H34" t="s">
        <v>28</v>
      </c>
      <c r="I34" t="s">
        <v>124</v>
      </c>
      <c r="J34" t="s">
        <v>125</v>
      </c>
      <c r="L34" s="1">
        <v>45809</v>
      </c>
      <c r="M34" s="1">
        <v>45809</v>
      </c>
      <c r="O34">
        <v>8307933</v>
      </c>
      <c r="P34" t="s">
        <v>31</v>
      </c>
      <c r="Q34" t="s">
        <v>59</v>
      </c>
      <c r="R34">
        <v>8192</v>
      </c>
      <c r="S34" t="s">
        <v>33</v>
      </c>
      <c r="T34" t="s">
        <v>34</v>
      </c>
      <c r="U34">
        <v>-255.5</v>
      </c>
      <c r="V34" t="s">
        <v>35</v>
      </c>
      <c r="W34" s="1">
        <v>45785</v>
      </c>
      <c r="X34">
        <v>2025</v>
      </c>
    </row>
    <row r="35" spans="1:24" x14ac:dyDescent="0.25">
      <c r="A35" s="1">
        <v>45832</v>
      </c>
      <c r="B35" t="s">
        <v>126</v>
      </c>
      <c r="C35">
        <v>102170274000</v>
      </c>
      <c r="E35" t="s">
        <v>127</v>
      </c>
      <c r="F35" t="s">
        <v>26</v>
      </c>
      <c r="G35" t="s">
        <v>43</v>
      </c>
      <c r="H35" t="s">
        <v>28</v>
      </c>
      <c r="I35" t="s">
        <v>29</v>
      </c>
      <c r="J35" t="s">
        <v>128</v>
      </c>
      <c r="L35" s="1">
        <v>45870</v>
      </c>
      <c r="M35" s="1">
        <v>45870</v>
      </c>
      <c r="O35">
        <v>20253958</v>
      </c>
      <c r="P35" t="s">
        <v>31</v>
      </c>
      <c r="Q35" t="s">
        <v>129</v>
      </c>
      <c r="R35">
        <v>8192</v>
      </c>
      <c r="S35" t="s">
        <v>33</v>
      </c>
      <c r="T35" t="s">
        <v>34</v>
      </c>
      <c r="U35">
        <v>40</v>
      </c>
      <c r="V35" t="s">
        <v>44</v>
      </c>
      <c r="W35" s="1">
        <v>45778</v>
      </c>
      <c r="X35">
        <v>2025</v>
      </c>
    </row>
    <row r="36" spans="1:24" x14ac:dyDescent="0.25">
      <c r="A36" s="1">
        <v>45832</v>
      </c>
      <c r="B36" t="s">
        <v>126</v>
      </c>
      <c r="C36">
        <v>102170274000</v>
      </c>
      <c r="E36" t="s">
        <v>127</v>
      </c>
      <c r="F36" t="s">
        <v>26</v>
      </c>
      <c r="G36" t="s">
        <v>39</v>
      </c>
      <c r="H36" t="s">
        <v>28</v>
      </c>
      <c r="I36" t="s">
        <v>29</v>
      </c>
      <c r="J36" t="s">
        <v>128</v>
      </c>
      <c r="L36" s="1">
        <v>45870</v>
      </c>
      <c r="M36" s="1">
        <v>45870</v>
      </c>
      <c r="O36">
        <v>20253958</v>
      </c>
      <c r="P36" t="s">
        <v>31</v>
      </c>
      <c r="Q36" t="s">
        <v>129</v>
      </c>
      <c r="R36">
        <v>8192</v>
      </c>
      <c r="S36" t="s">
        <v>33</v>
      </c>
      <c r="T36" t="s">
        <v>34</v>
      </c>
      <c r="U36">
        <v>-16.670000000000002</v>
      </c>
      <c r="V36" t="s">
        <v>35</v>
      </c>
      <c r="W36" s="1">
        <v>45778</v>
      </c>
      <c r="X36">
        <v>2025</v>
      </c>
    </row>
    <row r="37" spans="1:24" x14ac:dyDescent="0.25">
      <c r="A37" s="1">
        <v>45832</v>
      </c>
      <c r="B37" t="s">
        <v>130</v>
      </c>
      <c r="C37">
        <v>102177215600</v>
      </c>
      <c r="E37" t="s">
        <v>131</v>
      </c>
      <c r="F37" t="s">
        <v>132</v>
      </c>
      <c r="G37" t="s">
        <v>27</v>
      </c>
      <c r="H37" t="s">
        <v>28</v>
      </c>
      <c r="I37" t="s">
        <v>57</v>
      </c>
      <c r="J37" t="s">
        <v>133</v>
      </c>
      <c r="L37" s="1">
        <v>45901</v>
      </c>
      <c r="M37" s="1">
        <v>45901</v>
      </c>
      <c r="O37">
        <v>8307933</v>
      </c>
      <c r="P37" t="s">
        <v>31</v>
      </c>
      <c r="Q37" t="s">
        <v>59</v>
      </c>
      <c r="R37">
        <v>8192</v>
      </c>
      <c r="S37" t="s">
        <v>33</v>
      </c>
      <c r="T37" t="s">
        <v>34</v>
      </c>
      <c r="U37">
        <v>146</v>
      </c>
      <c r="V37" t="s">
        <v>35</v>
      </c>
      <c r="W37" s="1">
        <v>45814</v>
      </c>
      <c r="X37">
        <v>2025</v>
      </c>
    </row>
    <row r="38" spans="1:24" x14ac:dyDescent="0.25">
      <c r="A38" s="1">
        <v>45832</v>
      </c>
      <c r="B38" t="s">
        <v>134</v>
      </c>
      <c r="C38">
        <v>101815601400</v>
      </c>
      <c r="E38" t="s">
        <v>135</v>
      </c>
      <c r="F38" t="s">
        <v>51</v>
      </c>
      <c r="G38" t="s">
        <v>27</v>
      </c>
      <c r="H38" t="s">
        <v>28</v>
      </c>
      <c r="I38" t="s">
        <v>40</v>
      </c>
      <c r="J38" t="s">
        <v>102</v>
      </c>
      <c r="L38" s="1">
        <v>45839</v>
      </c>
      <c r="M38" s="1">
        <v>45839</v>
      </c>
      <c r="O38">
        <v>9213293</v>
      </c>
      <c r="P38" t="s">
        <v>31</v>
      </c>
      <c r="Q38" t="s">
        <v>93</v>
      </c>
      <c r="R38">
        <v>8192</v>
      </c>
      <c r="S38" t="s">
        <v>33</v>
      </c>
      <c r="T38" t="s">
        <v>34</v>
      </c>
      <c r="U38">
        <v>219</v>
      </c>
      <c r="V38" t="s">
        <v>35</v>
      </c>
      <c r="W38" s="1">
        <v>45810</v>
      </c>
      <c r="X38">
        <v>2025</v>
      </c>
    </row>
    <row r="39" spans="1:24" x14ac:dyDescent="0.25">
      <c r="A39" s="1">
        <v>45832</v>
      </c>
      <c r="B39" t="s">
        <v>136</v>
      </c>
      <c r="C39">
        <v>102172052300</v>
      </c>
      <c r="E39" t="s">
        <v>137</v>
      </c>
      <c r="F39" t="s">
        <v>26</v>
      </c>
      <c r="G39" t="s">
        <v>43</v>
      </c>
      <c r="H39" t="s">
        <v>28</v>
      </c>
      <c r="I39" t="s">
        <v>29</v>
      </c>
      <c r="J39" t="s">
        <v>138</v>
      </c>
      <c r="L39" s="1">
        <v>45870</v>
      </c>
      <c r="M39" s="1">
        <v>45870</v>
      </c>
      <c r="O39">
        <v>18710070</v>
      </c>
      <c r="P39" t="s">
        <v>31</v>
      </c>
      <c r="Q39" t="s">
        <v>139</v>
      </c>
      <c r="R39">
        <v>8192</v>
      </c>
      <c r="S39" t="s">
        <v>33</v>
      </c>
      <c r="T39" t="s">
        <v>34</v>
      </c>
      <c r="U39">
        <v>830</v>
      </c>
      <c r="V39" t="s">
        <v>44</v>
      </c>
      <c r="W39" s="1">
        <v>45786</v>
      </c>
      <c r="X39">
        <v>2025</v>
      </c>
    </row>
    <row r="40" spans="1:24" x14ac:dyDescent="0.25">
      <c r="A40" s="1">
        <v>45832</v>
      </c>
      <c r="B40" t="s">
        <v>136</v>
      </c>
      <c r="C40">
        <v>102172052300</v>
      </c>
      <c r="E40" t="s">
        <v>137</v>
      </c>
      <c r="F40" t="s">
        <v>26</v>
      </c>
      <c r="G40" t="s">
        <v>39</v>
      </c>
      <c r="H40" t="s">
        <v>28</v>
      </c>
      <c r="I40" t="s">
        <v>29</v>
      </c>
      <c r="J40" t="s">
        <v>138</v>
      </c>
      <c r="L40" s="1">
        <v>45870</v>
      </c>
      <c r="M40" s="1">
        <v>45870</v>
      </c>
      <c r="O40">
        <v>18710070</v>
      </c>
      <c r="P40" t="s">
        <v>31</v>
      </c>
      <c r="Q40" t="s">
        <v>139</v>
      </c>
      <c r="R40">
        <v>8192</v>
      </c>
      <c r="S40" t="s">
        <v>33</v>
      </c>
      <c r="T40" t="s">
        <v>34</v>
      </c>
      <c r="U40">
        <v>-199.17</v>
      </c>
      <c r="V40" t="s">
        <v>35</v>
      </c>
      <c r="W40" s="1">
        <v>45786</v>
      </c>
      <c r="X40">
        <v>2025</v>
      </c>
    </row>
    <row r="41" spans="1:24" x14ac:dyDescent="0.25">
      <c r="A41" s="1">
        <v>45832</v>
      </c>
      <c r="B41" t="s">
        <v>140</v>
      </c>
      <c r="C41">
        <v>102173406800</v>
      </c>
      <c r="E41" t="s">
        <v>141</v>
      </c>
      <c r="F41" t="s">
        <v>26</v>
      </c>
      <c r="G41" t="s">
        <v>39</v>
      </c>
      <c r="H41" t="s">
        <v>28</v>
      </c>
      <c r="I41" t="s">
        <v>29</v>
      </c>
      <c r="J41" t="s">
        <v>142</v>
      </c>
      <c r="L41" s="1">
        <v>45839</v>
      </c>
      <c r="M41" s="1">
        <v>45839</v>
      </c>
      <c r="O41">
        <v>17528908</v>
      </c>
      <c r="P41" t="s">
        <v>31</v>
      </c>
      <c r="Q41" t="s">
        <v>83</v>
      </c>
      <c r="R41">
        <v>8192</v>
      </c>
      <c r="S41" t="s">
        <v>33</v>
      </c>
      <c r="T41" t="s">
        <v>34</v>
      </c>
      <c r="U41">
        <v>-239</v>
      </c>
      <c r="V41" t="s">
        <v>35</v>
      </c>
      <c r="W41" s="1">
        <v>45796</v>
      </c>
      <c r="X41">
        <v>2025</v>
      </c>
    </row>
    <row r="42" spans="1:24" x14ac:dyDescent="0.25">
      <c r="A42" s="1">
        <v>45832</v>
      </c>
      <c r="B42" t="s">
        <v>140</v>
      </c>
      <c r="C42">
        <v>102173406800</v>
      </c>
      <c r="E42" t="s">
        <v>141</v>
      </c>
      <c r="F42" t="s">
        <v>26</v>
      </c>
      <c r="G42" t="s">
        <v>43</v>
      </c>
      <c r="H42" t="s">
        <v>28</v>
      </c>
      <c r="I42" t="s">
        <v>29</v>
      </c>
      <c r="J42" t="s">
        <v>142</v>
      </c>
      <c r="L42" s="1">
        <v>45839</v>
      </c>
      <c r="M42" s="1">
        <v>45839</v>
      </c>
      <c r="O42">
        <v>17528908</v>
      </c>
      <c r="P42" t="s">
        <v>31</v>
      </c>
      <c r="Q42" t="s">
        <v>83</v>
      </c>
      <c r="R42">
        <v>8192</v>
      </c>
      <c r="S42" t="s">
        <v>33</v>
      </c>
      <c r="T42" t="s">
        <v>34</v>
      </c>
      <c r="U42">
        <v>830</v>
      </c>
      <c r="V42" t="s">
        <v>44</v>
      </c>
      <c r="W42" s="1">
        <v>45796</v>
      </c>
      <c r="X42">
        <v>2025</v>
      </c>
    </row>
    <row r="43" spans="1:24" x14ac:dyDescent="0.25">
      <c r="A43" s="1">
        <v>45832</v>
      </c>
      <c r="B43" t="s">
        <v>143</v>
      </c>
      <c r="C43">
        <v>102170861900</v>
      </c>
      <c r="E43" t="s">
        <v>144</v>
      </c>
      <c r="F43" t="s">
        <v>51</v>
      </c>
      <c r="G43" t="s">
        <v>39</v>
      </c>
      <c r="H43" t="s">
        <v>28</v>
      </c>
      <c r="I43" t="s">
        <v>40</v>
      </c>
      <c r="J43" t="s">
        <v>52</v>
      </c>
      <c r="L43" s="1">
        <v>45809</v>
      </c>
      <c r="M43" s="1">
        <v>45809</v>
      </c>
      <c r="O43">
        <v>18754354</v>
      </c>
      <c r="P43" t="s">
        <v>31</v>
      </c>
      <c r="Q43" t="s">
        <v>77</v>
      </c>
      <c r="R43">
        <v>8192</v>
      </c>
      <c r="S43" t="s">
        <v>33</v>
      </c>
      <c r="T43" t="s">
        <v>34</v>
      </c>
      <c r="U43">
        <v>-255.5</v>
      </c>
      <c r="V43" t="s">
        <v>35</v>
      </c>
      <c r="W43" s="1">
        <v>45782</v>
      </c>
      <c r="X43">
        <v>2025</v>
      </c>
    </row>
    <row r="44" spans="1:24" x14ac:dyDescent="0.25">
      <c r="A44" s="1">
        <v>45832</v>
      </c>
      <c r="B44" t="s">
        <v>143</v>
      </c>
      <c r="C44">
        <v>102170861900</v>
      </c>
      <c r="E44" t="s">
        <v>144</v>
      </c>
      <c r="F44" t="s">
        <v>51</v>
      </c>
      <c r="G44" t="s">
        <v>43</v>
      </c>
      <c r="H44" t="s">
        <v>28</v>
      </c>
      <c r="I44" t="s">
        <v>40</v>
      </c>
      <c r="J44" t="s">
        <v>52</v>
      </c>
      <c r="L44" s="1">
        <v>45809</v>
      </c>
      <c r="M44" s="1">
        <v>45809</v>
      </c>
      <c r="O44">
        <v>18754354</v>
      </c>
      <c r="P44" t="s">
        <v>31</v>
      </c>
      <c r="Q44" t="s">
        <v>77</v>
      </c>
      <c r="R44">
        <v>8192</v>
      </c>
      <c r="S44" t="s">
        <v>33</v>
      </c>
      <c r="T44" t="s">
        <v>34</v>
      </c>
      <c r="U44">
        <v>751</v>
      </c>
      <c r="V44" t="s">
        <v>44</v>
      </c>
      <c r="W44" s="1">
        <v>45782</v>
      </c>
      <c r="X44">
        <v>2025</v>
      </c>
    </row>
    <row r="45" spans="1:24" x14ac:dyDescent="0.25">
      <c r="A45" s="1">
        <v>45832</v>
      </c>
      <c r="B45" t="s">
        <v>145</v>
      </c>
      <c r="C45">
        <v>102170912900</v>
      </c>
      <c r="E45" t="s">
        <v>146</v>
      </c>
      <c r="F45" t="s">
        <v>26</v>
      </c>
      <c r="G45" t="s">
        <v>39</v>
      </c>
      <c r="H45" t="s">
        <v>28</v>
      </c>
      <c r="I45" t="s">
        <v>29</v>
      </c>
      <c r="J45" t="s">
        <v>147</v>
      </c>
      <c r="L45" s="1">
        <v>45870</v>
      </c>
      <c r="M45" s="1">
        <v>45870</v>
      </c>
      <c r="O45">
        <v>17528908</v>
      </c>
      <c r="P45" t="s">
        <v>31</v>
      </c>
      <c r="Q45" t="s">
        <v>83</v>
      </c>
      <c r="R45">
        <v>8192</v>
      </c>
      <c r="S45" t="s">
        <v>33</v>
      </c>
      <c r="T45" t="s">
        <v>34</v>
      </c>
      <c r="U45">
        <v>-199.17</v>
      </c>
      <c r="V45" t="s">
        <v>35</v>
      </c>
      <c r="W45" s="1">
        <v>45782</v>
      </c>
      <c r="X45">
        <v>2025</v>
      </c>
    </row>
    <row r="46" spans="1:24" x14ac:dyDescent="0.25">
      <c r="A46" s="1">
        <v>45832</v>
      </c>
      <c r="B46" t="s">
        <v>145</v>
      </c>
      <c r="C46">
        <v>102170912900</v>
      </c>
      <c r="E46" t="s">
        <v>146</v>
      </c>
      <c r="F46" t="s">
        <v>26</v>
      </c>
      <c r="G46" t="s">
        <v>43</v>
      </c>
      <c r="H46" t="s">
        <v>28</v>
      </c>
      <c r="I46" t="s">
        <v>29</v>
      </c>
      <c r="J46" t="s">
        <v>147</v>
      </c>
      <c r="L46" s="1">
        <v>45870</v>
      </c>
      <c r="M46" s="1">
        <v>45870</v>
      </c>
      <c r="O46">
        <v>17528908</v>
      </c>
      <c r="P46" t="s">
        <v>31</v>
      </c>
      <c r="Q46" t="s">
        <v>83</v>
      </c>
      <c r="R46">
        <v>8192</v>
      </c>
      <c r="S46" t="s">
        <v>33</v>
      </c>
      <c r="T46" t="s">
        <v>34</v>
      </c>
      <c r="U46">
        <v>830</v>
      </c>
      <c r="V46" t="s">
        <v>44</v>
      </c>
      <c r="W46" s="1">
        <v>45782</v>
      </c>
      <c r="X46">
        <v>2025</v>
      </c>
    </row>
    <row r="47" spans="1:24" x14ac:dyDescent="0.25">
      <c r="A47" s="1">
        <v>45832</v>
      </c>
      <c r="B47" t="s">
        <v>148</v>
      </c>
      <c r="C47">
        <v>102176926900</v>
      </c>
      <c r="E47" t="s">
        <v>149</v>
      </c>
      <c r="F47" t="s">
        <v>150</v>
      </c>
      <c r="G47" t="s">
        <v>27</v>
      </c>
      <c r="H47" t="s">
        <v>28</v>
      </c>
      <c r="I47" t="s">
        <v>151</v>
      </c>
      <c r="J47" t="s">
        <v>152</v>
      </c>
      <c r="L47" s="1">
        <v>45901</v>
      </c>
      <c r="M47" s="1">
        <v>45901</v>
      </c>
      <c r="O47">
        <v>16865615</v>
      </c>
      <c r="P47" t="s">
        <v>31</v>
      </c>
      <c r="Q47" t="s">
        <v>89</v>
      </c>
      <c r="R47">
        <v>8192</v>
      </c>
      <c r="S47" t="s">
        <v>33</v>
      </c>
      <c r="T47" t="s">
        <v>34</v>
      </c>
      <c r="U47">
        <v>146</v>
      </c>
      <c r="V47" t="s">
        <v>35</v>
      </c>
      <c r="W47" s="1">
        <v>45811</v>
      </c>
      <c r="X47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C484C-A677-4744-A5AE-BDD1227D7112}">
  <dimension ref="A1:P90"/>
  <sheetViews>
    <sheetView tabSelected="1" topLeftCell="A90" workbookViewId="0">
      <selection activeCell="P2" sqref="P2:P90"/>
    </sheetView>
  </sheetViews>
  <sheetFormatPr defaultRowHeight="15" x14ac:dyDescent="0.25"/>
  <cols>
    <col min="1" max="1" width="17.28515625" style="2" bestFit="1" customWidth="1"/>
    <col min="2" max="2" width="17.28515625" style="2" customWidth="1"/>
    <col min="3" max="4" width="22.5703125" style="2" customWidth="1"/>
    <col min="5" max="5" width="9.140625" style="2"/>
    <col min="6" max="6" width="20.28515625" style="2" bestFit="1" customWidth="1"/>
    <col min="7" max="8" width="9.140625" style="2"/>
    <col min="9" max="9" width="13.5703125" style="2" bestFit="1" customWidth="1"/>
    <col min="10" max="11" width="9.140625" style="2"/>
    <col min="12" max="12" width="24.28515625" style="2" bestFit="1" customWidth="1"/>
    <col min="13" max="14" width="9.140625" style="2"/>
    <col min="15" max="15" width="18" style="2" bestFit="1" customWidth="1"/>
    <col min="16" max="16384" width="9.140625" style="2"/>
  </cols>
  <sheetData>
    <row r="1" spans="1:16" x14ac:dyDescent="0.25">
      <c r="A1" s="2" t="s">
        <v>1</v>
      </c>
      <c r="C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2" t="s">
        <v>12</v>
      </c>
      <c r="J1" s="2" t="s">
        <v>14</v>
      </c>
      <c r="K1" s="2" t="s">
        <v>15</v>
      </c>
      <c r="L1" s="2" t="s">
        <v>16</v>
      </c>
      <c r="M1" s="2" t="s">
        <v>20</v>
      </c>
    </row>
    <row r="2" spans="1:16" x14ac:dyDescent="0.25">
      <c r="A2" s="2" t="s">
        <v>70</v>
      </c>
      <c r="B2" s="2" t="str">
        <f>CONCATENATE(A2,7)</f>
        <v>9JU5H84MX727</v>
      </c>
      <c r="C2" s="2" t="s">
        <v>71</v>
      </c>
      <c r="D2" s="2" t="s">
        <v>242</v>
      </c>
      <c r="E2" s="2" t="s">
        <v>72</v>
      </c>
      <c r="F2" s="2" t="s">
        <v>43</v>
      </c>
      <c r="G2" s="2" t="s">
        <v>28</v>
      </c>
      <c r="H2" s="3">
        <v>45839</v>
      </c>
      <c r="I2" s="3">
        <v>45839</v>
      </c>
      <c r="J2" s="2">
        <v>19396223</v>
      </c>
      <c r="K2" s="2" t="s">
        <v>31</v>
      </c>
      <c r="L2" s="2" t="s">
        <v>74</v>
      </c>
      <c r="M2" s="2">
        <v>751</v>
      </c>
      <c r="N2" s="2">
        <v>626</v>
      </c>
      <c r="O2" s="2" t="s">
        <v>169</v>
      </c>
      <c r="P2" s="2" t="s">
        <v>170</v>
      </c>
    </row>
    <row r="3" spans="1:16" x14ac:dyDescent="0.25">
      <c r="A3" s="2" t="s">
        <v>70</v>
      </c>
      <c r="B3" s="2" t="str">
        <f>CONCATENATE(A3,8)</f>
        <v>9JU5H84MX728</v>
      </c>
      <c r="C3" s="2" t="s">
        <v>71</v>
      </c>
      <c r="D3" s="2" t="s">
        <v>242</v>
      </c>
      <c r="E3" s="2" t="s">
        <v>72</v>
      </c>
      <c r="F3" s="2" t="s">
        <v>39</v>
      </c>
      <c r="G3" s="2" t="s">
        <v>28</v>
      </c>
      <c r="H3" s="3">
        <v>45839</v>
      </c>
      <c r="I3" s="3">
        <v>45839</v>
      </c>
      <c r="J3" s="2">
        <v>19396223</v>
      </c>
      <c r="K3" s="2" t="s">
        <v>31</v>
      </c>
      <c r="L3" s="2" t="s">
        <v>74</v>
      </c>
      <c r="M3" s="2">
        <v>-219</v>
      </c>
      <c r="N3" s="2">
        <v>-156.5</v>
      </c>
      <c r="O3" s="2" t="s">
        <v>156</v>
      </c>
      <c r="P3" s="2" t="s">
        <v>162</v>
      </c>
    </row>
    <row r="4" spans="1:16" x14ac:dyDescent="0.25">
      <c r="A4" s="2" t="s">
        <v>24</v>
      </c>
      <c r="B4" s="2" t="str">
        <f>CONCATENATE(A4,8)</f>
        <v>9Q61E49JT998</v>
      </c>
      <c r="C4" s="2" t="s">
        <v>25</v>
      </c>
      <c r="D4" s="2" t="s">
        <v>243</v>
      </c>
      <c r="E4" s="2" t="s">
        <v>26</v>
      </c>
      <c r="F4" s="2" t="s">
        <v>27</v>
      </c>
      <c r="G4" s="2" t="s">
        <v>28</v>
      </c>
      <c r="H4" s="3">
        <v>45839</v>
      </c>
      <c r="I4" s="3">
        <v>45839</v>
      </c>
      <c r="J4" s="2">
        <v>8971826</v>
      </c>
      <c r="K4" s="2" t="s">
        <v>31</v>
      </c>
      <c r="L4" s="2" t="s">
        <v>32</v>
      </c>
      <c r="M4" s="2">
        <v>239</v>
      </c>
      <c r="N4" s="2">
        <v>176.5</v>
      </c>
      <c r="O4" s="2" t="s">
        <v>160</v>
      </c>
      <c r="P4" s="2" t="s">
        <v>161</v>
      </c>
    </row>
    <row r="5" spans="1:16" x14ac:dyDescent="0.25">
      <c r="A5" s="2" t="s">
        <v>45</v>
      </c>
      <c r="B5" s="2" t="str">
        <f>CONCATENATE(A5,8)</f>
        <v>7G65G68TP858</v>
      </c>
      <c r="C5" s="2" t="s">
        <v>46</v>
      </c>
      <c r="D5" s="2" t="s">
        <v>244</v>
      </c>
      <c r="E5" s="2" t="s">
        <v>26</v>
      </c>
      <c r="F5" s="2" t="s">
        <v>27</v>
      </c>
      <c r="G5" s="2" t="s">
        <v>28</v>
      </c>
      <c r="H5" s="3">
        <v>45839</v>
      </c>
      <c r="I5" s="3">
        <v>45839</v>
      </c>
      <c r="J5" s="2">
        <v>17425766</v>
      </c>
      <c r="K5" s="2" t="s">
        <v>31</v>
      </c>
      <c r="L5" s="2" t="s">
        <v>48</v>
      </c>
      <c r="M5" s="2">
        <v>239</v>
      </c>
      <c r="N5" s="2">
        <v>176.5</v>
      </c>
      <c r="O5" s="2" t="s">
        <v>160</v>
      </c>
      <c r="P5" s="2" t="s">
        <v>161</v>
      </c>
    </row>
    <row r="6" spans="1:16" x14ac:dyDescent="0.25">
      <c r="A6" s="2" t="s">
        <v>103</v>
      </c>
      <c r="B6" s="2" t="str">
        <f>CONCATENATE(A6,7)</f>
        <v>5GF1KY2TD357</v>
      </c>
      <c r="C6" s="2" t="s">
        <v>104</v>
      </c>
      <c r="D6" s="2" t="s">
        <v>245</v>
      </c>
      <c r="E6" s="2" t="s">
        <v>51</v>
      </c>
      <c r="F6" s="2" t="s">
        <v>43</v>
      </c>
      <c r="G6" s="2" t="s">
        <v>28</v>
      </c>
      <c r="H6" s="3">
        <v>45809</v>
      </c>
      <c r="I6" s="3">
        <v>45809</v>
      </c>
      <c r="J6" s="2">
        <v>19268643</v>
      </c>
      <c r="K6" s="2" t="s">
        <v>31</v>
      </c>
      <c r="L6" s="2" t="s">
        <v>107</v>
      </c>
      <c r="M6" s="2">
        <v>751</v>
      </c>
      <c r="N6" s="2">
        <v>626</v>
      </c>
      <c r="O6" s="2" t="s">
        <v>169</v>
      </c>
      <c r="P6" s="2" t="s">
        <v>170</v>
      </c>
    </row>
    <row r="7" spans="1:16" x14ac:dyDescent="0.25">
      <c r="A7" s="2" t="s">
        <v>103</v>
      </c>
      <c r="B7" s="2" t="str">
        <f>CONCATENATE(A7,8)</f>
        <v>5GF1KY2TD358</v>
      </c>
      <c r="C7" s="2" t="s">
        <v>104</v>
      </c>
      <c r="D7" s="2" t="s">
        <v>245</v>
      </c>
      <c r="E7" s="2" t="s">
        <v>51</v>
      </c>
      <c r="F7" s="2" t="s">
        <v>39</v>
      </c>
      <c r="G7" s="2" t="s">
        <v>28</v>
      </c>
      <c r="H7" s="3">
        <v>45809</v>
      </c>
      <c r="I7" s="3">
        <v>45809</v>
      </c>
      <c r="J7" s="2">
        <v>19268643</v>
      </c>
      <c r="K7" s="2" t="s">
        <v>31</v>
      </c>
      <c r="L7" s="2" t="s">
        <v>107</v>
      </c>
      <c r="M7" s="2">
        <v>-255.5</v>
      </c>
      <c r="N7" s="2">
        <v>-234.75</v>
      </c>
      <c r="O7" s="2" t="s">
        <v>156</v>
      </c>
      <c r="P7" s="2" t="s">
        <v>159</v>
      </c>
    </row>
    <row r="8" spans="1:16" x14ac:dyDescent="0.25">
      <c r="A8" s="2" t="s">
        <v>65</v>
      </c>
      <c r="B8" s="2" t="str">
        <f>CONCATENATE(A8,8)</f>
        <v>3WR7RN5VD548</v>
      </c>
      <c r="C8" s="2" t="s">
        <v>66</v>
      </c>
      <c r="D8" s="2" t="s">
        <v>246</v>
      </c>
      <c r="E8" s="2" t="s">
        <v>51</v>
      </c>
      <c r="F8" s="2" t="s">
        <v>67</v>
      </c>
      <c r="G8" s="2" t="s">
        <v>28</v>
      </c>
      <c r="H8" s="3">
        <v>45809</v>
      </c>
      <c r="I8" s="3">
        <v>45566</v>
      </c>
      <c r="J8" s="2">
        <v>17301495</v>
      </c>
      <c r="K8" s="2" t="s">
        <v>31</v>
      </c>
      <c r="L8" s="2" t="s">
        <v>69</v>
      </c>
      <c r="M8" s="2">
        <v>-29.83</v>
      </c>
      <c r="N8" s="2">
        <v>-29.83</v>
      </c>
      <c r="O8" s="2" t="s">
        <v>156</v>
      </c>
      <c r="P8" s="2" t="s">
        <v>164</v>
      </c>
    </row>
    <row r="9" spans="1:16" x14ac:dyDescent="0.25">
      <c r="A9" s="2" t="s">
        <v>36</v>
      </c>
      <c r="B9" s="2" t="str">
        <f>CONCATENATE(A9,7)</f>
        <v>8RD6HM7CE647</v>
      </c>
      <c r="C9" s="2" t="s">
        <v>37</v>
      </c>
      <c r="D9" s="2" t="s">
        <v>247</v>
      </c>
      <c r="E9" s="2" t="s">
        <v>38</v>
      </c>
      <c r="F9" s="2" t="s">
        <v>43</v>
      </c>
      <c r="G9" s="2" t="s">
        <v>28</v>
      </c>
      <c r="H9" s="3">
        <v>45809</v>
      </c>
      <c r="I9" s="3">
        <v>45809</v>
      </c>
      <c r="J9" s="2">
        <v>18581063</v>
      </c>
      <c r="K9" s="2" t="s">
        <v>31</v>
      </c>
      <c r="L9" s="2" t="s">
        <v>42</v>
      </c>
      <c r="M9" s="2">
        <v>751</v>
      </c>
      <c r="N9" s="2">
        <v>626</v>
      </c>
      <c r="O9" s="2" t="s">
        <v>169</v>
      </c>
      <c r="P9" s="2" t="s">
        <v>170</v>
      </c>
    </row>
    <row r="10" spans="1:16" x14ac:dyDescent="0.25">
      <c r="A10" s="2" t="s">
        <v>78</v>
      </c>
      <c r="B10" s="2" t="str">
        <f>CONCATENATE(A10,7)</f>
        <v>1Q73KG5JD787</v>
      </c>
      <c r="C10" s="2" t="s">
        <v>79</v>
      </c>
      <c r="D10" s="2" t="s">
        <v>248</v>
      </c>
      <c r="E10" s="2" t="s">
        <v>38</v>
      </c>
      <c r="F10" s="2" t="s">
        <v>43</v>
      </c>
      <c r="G10" s="2" t="s">
        <v>28</v>
      </c>
      <c r="H10" s="3">
        <v>45778</v>
      </c>
      <c r="I10" s="3">
        <v>45778</v>
      </c>
      <c r="J10" s="2">
        <v>18581063</v>
      </c>
      <c r="K10" s="2" t="s">
        <v>31</v>
      </c>
      <c r="L10" s="2" t="s">
        <v>42</v>
      </c>
      <c r="M10" s="2">
        <v>751</v>
      </c>
      <c r="N10" s="2">
        <v>626</v>
      </c>
      <c r="O10" s="2" t="s">
        <v>169</v>
      </c>
      <c r="P10" s="2" t="s">
        <v>170</v>
      </c>
    </row>
    <row r="11" spans="1:16" x14ac:dyDescent="0.25">
      <c r="A11" s="2" t="s">
        <v>78</v>
      </c>
      <c r="B11" s="2" t="str">
        <f>CONCATENATE(A11,8)</f>
        <v>1Q73KG5JD788</v>
      </c>
      <c r="C11" s="2" t="s">
        <v>79</v>
      </c>
      <c r="D11" s="2" t="s">
        <v>248</v>
      </c>
      <c r="E11" s="2" t="s">
        <v>38</v>
      </c>
      <c r="F11" s="2" t="s">
        <v>39</v>
      </c>
      <c r="G11" s="2" t="s">
        <v>28</v>
      </c>
      <c r="H11" s="3">
        <v>45778</v>
      </c>
      <c r="I11" s="3">
        <v>45778</v>
      </c>
      <c r="J11" s="2">
        <v>18581063</v>
      </c>
      <c r="K11" s="2" t="s">
        <v>31</v>
      </c>
      <c r="L11" s="2" t="s">
        <v>42</v>
      </c>
      <c r="M11" s="2">
        <v>-292</v>
      </c>
      <c r="N11" s="2">
        <v>-208.67</v>
      </c>
      <c r="O11" s="2" t="s">
        <v>156</v>
      </c>
      <c r="P11" s="2" t="s">
        <v>158</v>
      </c>
    </row>
    <row r="12" spans="1:16" x14ac:dyDescent="0.25">
      <c r="A12" s="2" t="s">
        <v>36</v>
      </c>
      <c r="B12" s="2" t="str">
        <f>CONCATENATE(A12,8)</f>
        <v>8RD6HM7CE648</v>
      </c>
      <c r="C12" s="2" t="s">
        <v>37</v>
      </c>
      <c r="D12" s="2" t="s">
        <v>247</v>
      </c>
      <c r="E12" s="2" t="s">
        <v>38</v>
      </c>
      <c r="F12" s="2" t="s">
        <v>39</v>
      </c>
      <c r="G12" s="2" t="s">
        <v>28</v>
      </c>
      <c r="H12" s="3">
        <v>45809</v>
      </c>
      <c r="I12" s="3">
        <v>45809</v>
      </c>
      <c r="J12" s="2">
        <v>18581063</v>
      </c>
      <c r="K12" s="2" t="s">
        <v>31</v>
      </c>
      <c r="L12" s="2" t="s">
        <v>42</v>
      </c>
      <c r="M12" s="2">
        <v>-255.5</v>
      </c>
      <c r="N12" s="2">
        <v>-234.75</v>
      </c>
      <c r="O12" s="2" t="s">
        <v>156</v>
      </c>
      <c r="P12" s="2" t="s">
        <v>159</v>
      </c>
    </row>
    <row r="13" spans="1:16" x14ac:dyDescent="0.25">
      <c r="A13" s="2" t="s">
        <v>110</v>
      </c>
      <c r="B13" s="2" t="str">
        <f>CONCATENATE(A13,8)</f>
        <v>8EY1RU4FP008</v>
      </c>
      <c r="C13" s="2" t="s">
        <v>111</v>
      </c>
      <c r="D13" s="2" t="s">
        <v>249</v>
      </c>
      <c r="E13" s="2" t="s">
        <v>51</v>
      </c>
      <c r="F13" s="2" t="s">
        <v>27</v>
      </c>
      <c r="G13" s="2" t="s">
        <v>28</v>
      </c>
      <c r="H13" s="3">
        <v>45901</v>
      </c>
      <c r="I13" s="3">
        <v>45901</v>
      </c>
      <c r="J13" s="2">
        <v>2158366</v>
      </c>
      <c r="K13" s="2" t="s">
        <v>31</v>
      </c>
      <c r="L13" s="2" t="s">
        <v>112</v>
      </c>
      <c r="M13" s="2">
        <v>146</v>
      </c>
      <c r="N13" s="2">
        <v>104.33</v>
      </c>
      <c r="O13" s="2" t="s">
        <v>156</v>
      </c>
      <c r="P13" s="2" t="s">
        <v>165</v>
      </c>
    </row>
    <row r="14" spans="1:16" x14ac:dyDescent="0.25">
      <c r="A14" s="2" t="s">
        <v>49</v>
      </c>
      <c r="B14" s="2" t="str">
        <f>CONCATENATE(A14,7)</f>
        <v>6U60JQ5VJ227</v>
      </c>
      <c r="C14" s="2" t="s">
        <v>50</v>
      </c>
      <c r="D14" s="2" t="s">
        <v>250</v>
      </c>
      <c r="E14" s="2" t="s">
        <v>51</v>
      </c>
      <c r="F14" s="2" t="s">
        <v>43</v>
      </c>
      <c r="G14" s="2" t="s">
        <v>28</v>
      </c>
      <c r="H14" s="3">
        <v>45809</v>
      </c>
      <c r="I14" s="3">
        <v>45809</v>
      </c>
      <c r="J14" s="2">
        <v>7146581</v>
      </c>
      <c r="K14" s="2" t="s">
        <v>31</v>
      </c>
      <c r="L14" s="2" t="s">
        <v>53</v>
      </c>
      <c r="M14" s="2">
        <v>751</v>
      </c>
      <c r="N14" s="2">
        <v>626</v>
      </c>
      <c r="O14" s="2" t="s">
        <v>169</v>
      </c>
      <c r="P14" s="2" t="s">
        <v>170</v>
      </c>
    </row>
    <row r="15" spans="1:16" x14ac:dyDescent="0.25">
      <c r="A15" s="2" t="s">
        <v>100</v>
      </c>
      <c r="B15" s="2" t="str">
        <f>CONCATENATE(A15,7)</f>
        <v>4NP1YC5PN297</v>
      </c>
      <c r="C15" s="2" t="s">
        <v>101</v>
      </c>
      <c r="D15" s="2" t="s">
        <v>251</v>
      </c>
      <c r="E15" s="2" t="s">
        <v>51</v>
      </c>
      <c r="F15" s="2" t="s">
        <v>43</v>
      </c>
      <c r="G15" s="2" t="s">
        <v>28</v>
      </c>
      <c r="H15" s="3">
        <v>45839</v>
      </c>
      <c r="I15" s="3">
        <v>45839</v>
      </c>
      <c r="J15" s="2">
        <v>7146581</v>
      </c>
      <c r="K15" s="2" t="s">
        <v>31</v>
      </c>
      <c r="L15" s="2" t="s">
        <v>53</v>
      </c>
      <c r="M15" s="2">
        <v>751</v>
      </c>
      <c r="N15" s="2">
        <v>626</v>
      </c>
      <c r="O15" s="2" t="s">
        <v>169</v>
      </c>
      <c r="P15" s="2" t="s">
        <v>170</v>
      </c>
    </row>
    <row r="16" spans="1:16" x14ac:dyDescent="0.25">
      <c r="A16" s="2" t="s">
        <v>60</v>
      </c>
      <c r="B16" s="2" t="str">
        <f>CONCATENATE(A16,8)</f>
        <v>7F11WC1KX988</v>
      </c>
      <c r="C16" s="2" t="s">
        <v>61</v>
      </c>
      <c r="D16" s="2" t="s">
        <v>252</v>
      </c>
      <c r="E16" s="2" t="s">
        <v>51</v>
      </c>
      <c r="F16" s="2" t="s">
        <v>62</v>
      </c>
      <c r="G16" s="2" t="s">
        <v>28</v>
      </c>
      <c r="H16" s="3">
        <v>45658</v>
      </c>
      <c r="I16" s="3">
        <v>45658</v>
      </c>
      <c r="J16" s="2">
        <v>7146581</v>
      </c>
      <c r="K16" s="2" t="s">
        <v>31</v>
      </c>
      <c r="L16" s="2" t="s">
        <v>53</v>
      </c>
      <c r="M16" s="2">
        <v>-438</v>
      </c>
      <c r="N16" s="2">
        <v>-313</v>
      </c>
      <c r="O16" s="2" t="s">
        <v>156</v>
      </c>
      <c r="P16" s="2" t="s">
        <v>157</v>
      </c>
    </row>
    <row r="17" spans="1:16" x14ac:dyDescent="0.25">
      <c r="A17" s="2" t="s">
        <v>49</v>
      </c>
      <c r="B17" s="2" t="str">
        <f>CONCATENATE(A17,8)</f>
        <v>6U60JQ5VJ228</v>
      </c>
      <c r="C17" s="2" t="s">
        <v>50</v>
      </c>
      <c r="D17" s="2" t="s">
        <v>250</v>
      </c>
      <c r="E17" s="2" t="s">
        <v>51</v>
      </c>
      <c r="F17" s="2" t="s">
        <v>39</v>
      </c>
      <c r="G17" s="2" t="s">
        <v>28</v>
      </c>
      <c r="H17" s="3">
        <v>45809</v>
      </c>
      <c r="I17" s="3">
        <v>45809</v>
      </c>
      <c r="J17" s="2">
        <v>7146581</v>
      </c>
      <c r="K17" s="2" t="s">
        <v>31</v>
      </c>
      <c r="L17" s="2" t="s">
        <v>53</v>
      </c>
      <c r="M17" s="2">
        <v>-255.5</v>
      </c>
      <c r="N17" s="2">
        <v>-234.75</v>
      </c>
      <c r="O17" s="2" t="s">
        <v>156</v>
      </c>
      <c r="P17" s="2" t="s">
        <v>159</v>
      </c>
    </row>
    <row r="18" spans="1:16" x14ac:dyDescent="0.25">
      <c r="A18" s="2" t="s">
        <v>100</v>
      </c>
      <c r="B18" s="2" t="str">
        <f>CONCATENATE(A18,8)</f>
        <v>4NP1YC5PN298</v>
      </c>
      <c r="C18" s="2" t="s">
        <v>101</v>
      </c>
      <c r="D18" s="2" t="s">
        <v>251</v>
      </c>
      <c r="E18" s="2" t="s">
        <v>51</v>
      </c>
      <c r="F18" s="2" t="s">
        <v>39</v>
      </c>
      <c r="G18" s="2" t="s">
        <v>28</v>
      </c>
      <c r="H18" s="3">
        <v>45839</v>
      </c>
      <c r="I18" s="3">
        <v>45839</v>
      </c>
      <c r="J18" s="2">
        <v>7146581</v>
      </c>
      <c r="K18" s="2" t="s">
        <v>31</v>
      </c>
      <c r="L18" s="2" t="s">
        <v>53</v>
      </c>
      <c r="M18" s="2">
        <v>-219</v>
      </c>
      <c r="N18" s="2">
        <v>-156.5</v>
      </c>
      <c r="O18" s="2" t="s">
        <v>156</v>
      </c>
      <c r="P18" s="2" t="s">
        <v>162</v>
      </c>
    </row>
    <row r="19" spans="1:16" x14ac:dyDescent="0.25">
      <c r="A19" s="2" t="s">
        <v>60</v>
      </c>
      <c r="B19" s="2" t="str">
        <f>CONCATENATE(A19,8)</f>
        <v>7F11WC1KX988</v>
      </c>
      <c r="C19" s="2" t="s">
        <v>61</v>
      </c>
      <c r="D19" s="2" t="s">
        <v>252</v>
      </c>
      <c r="E19" s="2" t="s">
        <v>51</v>
      </c>
      <c r="F19" s="2" t="s">
        <v>64</v>
      </c>
      <c r="G19" s="2" t="s">
        <v>28</v>
      </c>
      <c r="H19" s="3">
        <v>45658</v>
      </c>
      <c r="I19" s="3">
        <v>45658</v>
      </c>
      <c r="J19" s="2">
        <v>7146581</v>
      </c>
      <c r="K19" s="2" t="s">
        <v>31</v>
      </c>
      <c r="L19" s="2" t="s">
        <v>53</v>
      </c>
      <c r="M19" s="2">
        <v>219</v>
      </c>
      <c r="N19" s="2">
        <v>156.5</v>
      </c>
      <c r="O19" s="2" t="s">
        <v>156</v>
      </c>
      <c r="P19" s="2" t="s">
        <v>162</v>
      </c>
    </row>
    <row r="20" spans="1:16" x14ac:dyDescent="0.25">
      <c r="A20" s="2" t="s">
        <v>108</v>
      </c>
      <c r="B20" s="2" t="str">
        <f>CONCATENATE(A20,8)</f>
        <v>5RM7QX4ME518</v>
      </c>
      <c r="C20" s="2" t="s">
        <v>109</v>
      </c>
      <c r="D20" s="2" t="s">
        <v>253</v>
      </c>
      <c r="E20" s="2" t="s">
        <v>51</v>
      </c>
      <c r="F20" s="2" t="s">
        <v>27</v>
      </c>
      <c r="G20" s="2" t="s">
        <v>28</v>
      </c>
      <c r="H20" s="3">
        <v>45839</v>
      </c>
      <c r="I20" s="3">
        <v>45839</v>
      </c>
      <c r="J20" s="2">
        <v>7146581</v>
      </c>
      <c r="K20" s="2" t="s">
        <v>31</v>
      </c>
      <c r="L20" s="2" t="s">
        <v>53</v>
      </c>
      <c r="M20" s="2">
        <v>219</v>
      </c>
      <c r="N20" s="2">
        <v>156.5</v>
      </c>
      <c r="O20" s="2" t="s">
        <v>156</v>
      </c>
      <c r="P20" s="2" t="s">
        <v>162</v>
      </c>
    </row>
    <row r="21" spans="1:16" x14ac:dyDescent="0.25">
      <c r="A21" s="2" t="s">
        <v>140</v>
      </c>
      <c r="B21" s="2" t="str">
        <f>CONCATENATE(A21,7)</f>
        <v>2GC2CN7FG957</v>
      </c>
      <c r="C21" s="2" t="s">
        <v>141</v>
      </c>
      <c r="D21" s="2" t="s">
        <v>254</v>
      </c>
      <c r="E21" s="2" t="s">
        <v>26</v>
      </c>
      <c r="F21" s="2" t="s">
        <v>43</v>
      </c>
      <c r="G21" s="2" t="s">
        <v>28</v>
      </c>
      <c r="H21" s="3">
        <v>45839</v>
      </c>
      <c r="I21" s="3">
        <v>45839</v>
      </c>
      <c r="J21" s="2" t="s">
        <v>173</v>
      </c>
      <c r="K21" s="2" t="s">
        <v>31</v>
      </c>
      <c r="L21" s="2" t="s">
        <v>83</v>
      </c>
      <c r="M21" s="2">
        <v>830</v>
      </c>
      <c r="N21" s="2">
        <v>705</v>
      </c>
      <c r="O21" s="2" t="s">
        <v>171</v>
      </c>
    </row>
    <row r="22" spans="1:16" x14ac:dyDescent="0.25">
      <c r="A22" s="2" t="s">
        <v>145</v>
      </c>
      <c r="B22" s="2" t="str">
        <f>CONCATENATE(A22,7)</f>
        <v>3VX4JF7TF617</v>
      </c>
      <c r="C22" s="2" t="s">
        <v>146</v>
      </c>
      <c r="D22" s="2" t="s">
        <v>255</v>
      </c>
      <c r="E22" s="2" t="s">
        <v>26</v>
      </c>
      <c r="F22" s="2" t="s">
        <v>43</v>
      </c>
      <c r="G22" s="2" t="s">
        <v>28</v>
      </c>
      <c r="H22" s="3">
        <v>45870</v>
      </c>
      <c r="I22" s="3">
        <v>45870</v>
      </c>
      <c r="J22" s="2" t="s">
        <v>173</v>
      </c>
      <c r="K22" s="2" t="s">
        <v>31</v>
      </c>
      <c r="L22" s="2" t="s">
        <v>83</v>
      </c>
      <c r="M22" s="2">
        <v>830</v>
      </c>
      <c r="N22" s="2">
        <v>705</v>
      </c>
      <c r="O22" s="2" t="s">
        <v>171</v>
      </c>
    </row>
    <row r="23" spans="1:16" x14ac:dyDescent="0.25">
      <c r="A23" s="2" t="s">
        <v>140</v>
      </c>
      <c r="B23" s="2" t="str">
        <f>CONCATENATE(A23,8)</f>
        <v>2GC2CN7FG958</v>
      </c>
      <c r="C23" s="2" t="s">
        <v>141</v>
      </c>
      <c r="D23" s="2" t="s">
        <v>254</v>
      </c>
      <c r="E23" s="2" t="s">
        <v>26</v>
      </c>
      <c r="F23" s="2" t="s">
        <v>39</v>
      </c>
      <c r="G23" s="2" t="s">
        <v>28</v>
      </c>
      <c r="H23" s="3">
        <v>45839</v>
      </c>
      <c r="I23" s="3">
        <v>45839</v>
      </c>
      <c r="J23" s="2" t="s">
        <v>173</v>
      </c>
      <c r="K23" s="2" t="s">
        <v>31</v>
      </c>
      <c r="L23" s="2" t="s">
        <v>83</v>
      </c>
      <c r="M23" s="2">
        <v>-239</v>
      </c>
      <c r="N23" s="2">
        <v>-176.5</v>
      </c>
      <c r="O23" s="2" t="s">
        <v>160</v>
      </c>
      <c r="P23" s="2" t="s">
        <v>161</v>
      </c>
    </row>
    <row r="24" spans="1:16" x14ac:dyDescent="0.25">
      <c r="A24" s="2" t="s">
        <v>145</v>
      </c>
      <c r="B24" s="2" t="str">
        <f>CONCATENATE(A24,8)</f>
        <v>3VX4JF7TF618</v>
      </c>
      <c r="C24" s="2" t="s">
        <v>146</v>
      </c>
      <c r="D24" s="2" t="s">
        <v>255</v>
      </c>
      <c r="E24" s="2" t="s">
        <v>26</v>
      </c>
      <c r="F24" s="2" t="s">
        <v>39</v>
      </c>
      <c r="G24" s="2" t="s">
        <v>28</v>
      </c>
      <c r="H24" s="3">
        <v>45870</v>
      </c>
      <c r="I24" s="3">
        <v>45870</v>
      </c>
      <c r="J24" s="2" t="s">
        <v>173</v>
      </c>
      <c r="K24" s="2" t="s">
        <v>31</v>
      </c>
      <c r="L24" s="2" t="s">
        <v>83</v>
      </c>
      <c r="M24" s="2">
        <v>-199.17</v>
      </c>
      <c r="N24" s="2">
        <v>-147.08000000000001</v>
      </c>
      <c r="O24" s="2" t="s">
        <v>160</v>
      </c>
      <c r="P24" s="2" t="s">
        <v>163</v>
      </c>
    </row>
    <row r="25" spans="1:16" x14ac:dyDescent="0.25">
      <c r="A25" s="2" t="s">
        <v>80</v>
      </c>
      <c r="B25" s="2" t="str">
        <f>CONCATENATE(A25,8)</f>
        <v>1KH4E07DQ778</v>
      </c>
      <c r="C25" s="2" t="s">
        <v>81</v>
      </c>
      <c r="D25" s="2" t="s">
        <v>256</v>
      </c>
      <c r="E25" s="2" t="s">
        <v>26</v>
      </c>
      <c r="F25" s="2" t="s">
        <v>27</v>
      </c>
      <c r="G25" s="2" t="s">
        <v>28</v>
      </c>
      <c r="H25" s="3">
        <v>45839</v>
      </c>
      <c r="I25" s="3">
        <v>45839</v>
      </c>
      <c r="J25" s="2" t="s">
        <v>173</v>
      </c>
      <c r="K25" s="2" t="s">
        <v>31</v>
      </c>
      <c r="L25" s="2" t="s">
        <v>83</v>
      </c>
      <c r="M25" s="2">
        <v>239</v>
      </c>
      <c r="N25" s="2">
        <v>176.5</v>
      </c>
      <c r="O25" s="2" t="s">
        <v>160</v>
      </c>
      <c r="P25" s="2" t="s">
        <v>161</v>
      </c>
    </row>
    <row r="26" spans="1:16" x14ac:dyDescent="0.25">
      <c r="A26" s="2" t="s">
        <v>118</v>
      </c>
      <c r="B26" s="2" t="str">
        <f>CONCATENATE(A26,8)</f>
        <v>8XE2PP6YW098</v>
      </c>
      <c r="C26" s="2" t="s">
        <v>119</v>
      </c>
      <c r="D26" s="2" t="s">
        <v>257</v>
      </c>
      <c r="E26" s="2" t="s">
        <v>26</v>
      </c>
      <c r="F26" s="2" t="s">
        <v>27</v>
      </c>
      <c r="G26" s="2" t="s">
        <v>28</v>
      </c>
      <c r="H26" s="3">
        <v>45839</v>
      </c>
      <c r="I26" s="3">
        <v>45839</v>
      </c>
      <c r="J26" s="2">
        <v>19278370</v>
      </c>
      <c r="K26" s="2" t="s">
        <v>31</v>
      </c>
      <c r="L26" s="2" t="s">
        <v>120</v>
      </c>
      <c r="M26" s="2">
        <v>239</v>
      </c>
      <c r="N26" s="2">
        <v>176.5</v>
      </c>
      <c r="O26" s="2" t="s">
        <v>160</v>
      </c>
      <c r="P26" s="2" t="s">
        <v>161</v>
      </c>
    </row>
    <row r="27" spans="1:16" x14ac:dyDescent="0.25">
      <c r="A27" s="2" t="s">
        <v>84</v>
      </c>
      <c r="B27" s="2" t="str">
        <f>CONCATENATE(A27,88)</f>
        <v>8QR4UV1CH5088</v>
      </c>
      <c r="C27" s="2" t="s">
        <v>85</v>
      </c>
      <c r="D27" s="2" t="s">
        <v>258</v>
      </c>
      <c r="E27" s="2" t="s">
        <v>86</v>
      </c>
      <c r="F27" s="2" t="s">
        <v>62</v>
      </c>
      <c r="G27" s="2" t="s">
        <v>28</v>
      </c>
      <c r="H27" s="3">
        <v>45689</v>
      </c>
      <c r="I27" s="3">
        <v>45689</v>
      </c>
      <c r="J27" s="2">
        <v>20411454</v>
      </c>
      <c r="K27" s="2" t="s">
        <v>31</v>
      </c>
      <c r="L27" s="2" t="s">
        <v>172</v>
      </c>
      <c r="M27" s="2">
        <v>-481.25</v>
      </c>
      <c r="N27" s="2">
        <v>-91.25</v>
      </c>
      <c r="O27" s="2" t="s">
        <v>155</v>
      </c>
    </row>
    <row r="28" spans="1:16" x14ac:dyDescent="0.25">
      <c r="A28" s="2" t="s">
        <v>60</v>
      </c>
      <c r="B28" s="2" t="str">
        <f>CONCATENATE(A28,88)</f>
        <v>7F11WC1KX9888</v>
      </c>
      <c r="C28" s="2" t="s">
        <v>61</v>
      </c>
      <c r="D28" s="2" t="s">
        <v>252</v>
      </c>
      <c r="E28" s="2" t="s">
        <v>51</v>
      </c>
      <c r="F28" s="2" t="s">
        <v>62</v>
      </c>
      <c r="G28" s="2" t="s">
        <v>28</v>
      </c>
      <c r="H28" s="3">
        <v>45658</v>
      </c>
      <c r="I28" s="3">
        <v>45658</v>
      </c>
      <c r="J28" s="2">
        <v>20411454</v>
      </c>
      <c r="K28" s="2" t="s">
        <v>31</v>
      </c>
      <c r="L28" s="2" t="s">
        <v>172</v>
      </c>
      <c r="M28" s="2">
        <v>-438</v>
      </c>
      <c r="N28" s="2">
        <v>-125</v>
      </c>
      <c r="O28" s="2" t="s">
        <v>155</v>
      </c>
    </row>
    <row r="29" spans="1:16" x14ac:dyDescent="0.25">
      <c r="A29" s="2" t="s">
        <v>78</v>
      </c>
      <c r="B29" s="2" t="str">
        <f>CONCATENATE(A29,88)</f>
        <v>1Q73KG5JD7888</v>
      </c>
      <c r="C29" s="2" t="s">
        <v>79</v>
      </c>
      <c r="D29" s="2" t="s">
        <v>248</v>
      </c>
      <c r="E29" s="2" t="s">
        <v>38</v>
      </c>
      <c r="F29" s="2" t="s">
        <v>39</v>
      </c>
      <c r="G29" s="2" t="s">
        <v>28</v>
      </c>
      <c r="H29" s="3">
        <v>45778</v>
      </c>
      <c r="I29" s="3">
        <v>45778</v>
      </c>
      <c r="J29" s="2">
        <v>20411454</v>
      </c>
      <c r="K29" s="2" t="s">
        <v>31</v>
      </c>
      <c r="L29" s="2" t="s">
        <v>172</v>
      </c>
      <c r="M29" s="2">
        <v>-292</v>
      </c>
      <c r="N29" s="2">
        <v>-83.33</v>
      </c>
      <c r="O29" s="2" t="s">
        <v>155</v>
      </c>
    </row>
    <row r="30" spans="1:16" x14ac:dyDescent="0.25">
      <c r="A30" s="2" t="s">
        <v>36</v>
      </c>
      <c r="B30" s="2" t="str">
        <f>CONCATENATE(A30,88)</f>
        <v>8RD6HM7CE6488</v>
      </c>
      <c r="C30" s="2" t="s">
        <v>37</v>
      </c>
      <c r="D30" s="2" t="s">
        <v>247</v>
      </c>
      <c r="E30" s="2" t="s">
        <v>38</v>
      </c>
      <c r="F30" s="2" t="s">
        <v>39</v>
      </c>
      <c r="G30" s="2" t="s">
        <v>28</v>
      </c>
      <c r="H30" s="3">
        <v>45809</v>
      </c>
      <c r="I30" s="3">
        <v>45809</v>
      </c>
      <c r="J30" s="2">
        <v>20411454</v>
      </c>
      <c r="K30" s="2" t="s">
        <v>31</v>
      </c>
      <c r="L30" s="2" t="s">
        <v>172</v>
      </c>
      <c r="M30" s="2">
        <v>-255.5</v>
      </c>
      <c r="N30" s="2">
        <v>-20.75</v>
      </c>
      <c r="O30" s="2" t="s">
        <v>155</v>
      </c>
    </row>
    <row r="31" spans="1:16" x14ac:dyDescent="0.25">
      <c r="A31" s="2" t="s">
        <v>49</v>
      </c>
      <c r="B31" s="2" t="str">
        <f>CONCATENATE(A31,88)</f>
        <v>6U60JQ5VJ2288</v>
      </c>
      <c r="C31" s="2" t="s">
        <v>50</v>
      </c>
      <c r="D31" s="2" t="s">
        <v>250</v>
      </c>
      <c r="E31" s="2" t="s">
        <v>51</v>
      </c>
      <c r="F31" s="2" t="s">
        <v>39</v>
      </c>
      <c r="G31" s="2" t="s">
        <v>28</v>
      </c>
      <c r="H31" s="3">
        <v>45809</v>
      </c>
      <c r="I31" s="3">
        <v>45809</v>
      </c>
      <c r="J31" s="2">
        <v>20411454</v>
      </c>
      <c r="K31" s="2" t="s">
        <v>31</v>
      </c>
      <c r="L31" s="2" t="s">
        <v>172</v>
      </c>
      <c r="M31" s="2">
        <v>-255.5</v>
      </c>
      <c r="N31" s="2">
        <v>-20.75</v>
      </c>
      <c r="O31" s="2" t="s">
        <v>155</v>
      </c>
    </row>
    <row r="32" spans="1:16" x14ac:dyDescent="0.25">
      <c r="A32" s="2" t="s">
        <v>54</v>
      </c>
      <c r="B32" s="2" t="str">
        <f>CONCATENATE(A32,88)</f>
        <v>3G99FX4CF1288</v>
      </c>
      <c r="C32" s="2" t="s">
        <v>55</v>
      </c>
      <c r="D32" s="2" t="s">
        <v>259</v>
      </c>
      <c r="E32" s="2" t="s">
        <v>56</v>
      </c>
      <c r="F32" s="2" t="s">
        <v>39</v>
      </c>
      <c r="G32" s="2" t="s">
        <v>28</v>
      </c>
      <c r="H32" s="3">
        <v>45809</v>
      </c>
      <c r="I32" s="3">
        <v>45809</v>
      </c>
      <c r="J32" s="2">
        <v>20411454</v>
      </c>
      <c r="K32" s="2" t="s">
        <v>31</v>
      </c>
      <c r="L32" s="2" t="s">
        <v>172</v>
      </c>
      <c r="M32" s="2">
        <v>-255.5</v>
      </c>
      <c r="N32" s="2">
        <v>-20.75</v>
      </c>
      <c r="O32" s="2" t="s">
        <v>155</v>
      </c>
    </row>
    <row r="33" spans="1:15" x14ac:dyDescent="0.25">
      <c r="A33" s="2" t="s">
        <v>75</v>
      </c>
      <c r="B33" s="2" t="str">
        <f>CONCATENATE(A33,88)</f>
        <v>1CD2UG0XD0388</v>
      </c>
      <c r="C33" s="2" t="s">
        <v>76</v>
      </c>
      <c r="D33" s="2" t="s">
        <v>260</v>
      </c>
      <c r="E33" s="2" t="s">
        <v>51</v>
      </c>
      <c r="F33" s="2" t="s">
        <v>39</v>
      </c>
      <c r="G33" s="2" t="s">
        <v>28</v>
      </c>
      <c r="H33" s="3">
        <v>45809</v>
      </c>
      <c r="I33" s="3">
        <v>45809</v>
      </c>
      <c r="J33" s="2">
        <v>20411454</v>
      </c>
      <c r="K33" s="2" t="s">
        <v>31</v>
      </c>
      <c r="L33" s="2" t="s">
        <v>172</v>
      </c>
      <c r="M33" s="2">
        <v>-255.5</v>
      </c>
      <c r="N33" s="2">
        <v>-20.75</v>
      </c>
      <c r="O33" s="2" t="s">
        <v>155</v>
      </c>
    </row>
    <row r="34" spans="1:15" x14ac:dyDescent="0.25">
      <c r="A34" s="2" t="s">
        <v>103</v>
      </c>
      <c r="B34" s="2" t="str">
        <f>CONCATENATE(A34,88)</f>
        <v>5GF1KY2TD3588</v>
      </c>
      <c r="C34" s="2" t="s">
        <v>104</v>
      </c>
      <c r="D34" s="2" t="s">
        <v>245</v>
      </c>
      <c r="E34" s="2" t="s">
        <v>51</v>
      </c>
      <c r="F34" s="2" t="s">
        <v>39</v>
      </c>
      <c r="G34" s="2" t="s">
        <v>28</v>
      </c>
      <c r="H34" s="3">
        <v>45809</v>
      </c>
      <c r="I34" s="3">
        <v>45809</v>
      </c>
      <c r="J34" s="2">
        <v>20411454</v>
      </c>
      <c r="K34" s="2" t="s">
        <v>31</v>
      </c>
      <c r="L34" s="2" t="s">
        <v>172</v>
      </c>
      <c r="M34" s="2">
        <v>-255.5</v>
      </c>
      <c r="N34" s="2">
        <v>-20.75</v>
      </c>
      <c r="O34" s="2" t="s">
        <v>155</v>
      </c>
    </row>
    <row r="35" spans="1:15" x14ac:dyDescent="0.25">
      <c r="A35" s="2" t="s">
        <v>121</v>
      </c>
      <c r="B35" s="2" t="str">
        <f>CONCATENATE(A35,88)</f>
        <v>3Y30G39YM1188</v>
      </c>
      <c r="C35" s="2" t="s">
        <v>122</v>
      </c>
      <c r="D35" s="2" t="s">
        <v>261</v>
      </c>
      <c r="E35" s="2" t="s">
        <v>123</v>
      </c>
      <c r="F35" s="2" t="s">
        <v>39</v>
      </c>
      <c r="G35" s="2" t="s">
        <v>28</v>
      </c>
      <c r="H35" s="3">
        <v>45809</v>
      </c>
      <c r="I35" s="3">
        <v>45809</v>
      </c>
      <c r="J35" s="2">
        <v>20411454</v>
      </c>
      <c r="K35" s="2" t="s">
        <v>31</v>
      </c>
      <c r="L35" s="2" t="s">
        <v>172</v>
      </c>
      <c r="M35" s="2">
        <v>-255.5</v>
      </c>
      <c r="N35" s="2">
        <v>-20.75</v>
      </c>
      <c r="O35" s="2" t="s">
        <v>155</v>
      </c>
    </row>
    <row r="36" spans="1:15" x14ac:dyDescent="0.25">
      <c r="A36" s="2" t="s">
        <v>143</v>
      </c>
      <c r="B36" s="2" t="str">
        <f>CONCATENATE(A36,88)</f>
        <v>1G92KF3RH9488</v>
      </c>
      <c r="C36" s="2" t="s">
        <v>144</v>
      </c>
      <c r="D36" s="2" t="s">
        <v>262</v>
      </c>
      <c r="E36" s="2" t="s">
        <v>51</v>
      </c>
      <c r="F36" s="2" t="s">
        <v>39</v>
      </c>
      <c r="G36" s="2" t="s">
        <v>28</v>
      </c>
      <c r="H36" s="3">
        <v>45809</v>
      </c>
      <c r="I36" s="3">
        <v>45809</v>
      </c>
      <c r="J36" s="2">
        <v>20411454</v>
      </c>
      <c r="K36" s="2" t="s">
        <v>31</v>
      </c>
      <c r="L36" s="2" t="s">
        <v>172</v>
      </c>
      <c r="M36" s="2">
        <v>-255.5</v>
      </c>
      <c r="N36" s="2">
        <v>-20.75</v>
      </c>
      <c r="O36" s="2" t="s">
        <v>155</v>
      </c>
    </row>
    <row r="37" spans="1:15" x14ac:dyDescent="0.25">
      <c r="A37" s="2" t="s">
        <v>140</v>
      </c>
      <c r="B37" s="2" t="str">
        <f>CONCATENATE(A37,88)</f>
        <v>2GC2CN7FG9588</v>
      </c>
      <c r="C37" s="2" t="s">
        <v>141</v>
      </c>
      <c r="D37" s="2" t="s">
        <v>254</v>
      </c>
      <c r="E37" s="2" t="s">
        <v>26</v>
      </c>
      <c r="F37" s="2" t="s">
        <v>39</v>
      </c>
      <c r="G37" s="2" t="s">
        <v>28</v>
      </c>
      <c r="H37" s="3">
        <v>45839</v>
      </c>
      <c r="I37" s="3">
        <v>45839</v>
      </c>
      <c r="J37" s="2">
        <v>20411454</v>
      </c>
      <c r="K37" s="2" t="s">
        <v>31</v>
      </c>
      <c r="L37" s="2" t="s">
        <v>172</v>
      </c>
      <c r="M37" s="2">
        <v>-239</v>
      </c>
      <c r="N37" s="2">
        <v>-62.5</v>
      </c>
      <c r="O37" s="2" t="s">
        <v>155</v>
      </c>
    </row>
    <row r="38" spans="1:15" x14ac:dyDescent="0.25">
      <c r="A38" s="2" t="s">
        <v>70</v>
      </c>
      <c r="B38" s="2" t="str">
        <f>CONCATENATE(A38,88)</f>
        <v>9JU5H84MX7288</v>
      </c>
      <c r="C38" s="2" t="s">
        <v>71</v>
      </c>
      <c r="D38" s="2" t="s">
        <v>242</v>
      </c>
      <c r="E38" s="2" t="s">
        <v>72</v>
      </c>
      <c r="F38" s="2" t="s">
        <v>39</v>
      </c>
      <c r="G38" s="2" t="s">
        <v>28</v>
      </c>
      <c r="H38" s="3">
        <v>45839</v>
      </c>
      <c r="I38" s="3">
        <v>45839</v>
      </c>
      <c r="J38" s="2">
        <v>20411454</v>
      </c>
      <c r="K38" s="2" t="s">
        <v>31</v>
      </c>
      <c r="L38" s="2" t="s">
        <v>172</v>
      </c>
      <c r="M38" s="2">
        <v>-219</v>
      </c>
      <c r="N38" s="2">
        <v>-62.5</v>
      </c>
      <c r="O38" s="2" t="s">
        <v>155</v>
      </c>
    </row>
    <row r="39" spans="1:15" x14ac:dyDescent="0.25">
      <c r="A39" s="2" t="s">
        <v>100</v>
      </c>
      <c r="B39" s="2" t="str">
        <f>CONCATENATE(A39,88)</f>
        <v>4NP1YC5PN2988</v>
      </c>
      <c r="C39" s="2" t="s">
        <v>101</v>
      </c>
      <c r="D39" s="2" t="s">
        <v>251</v>
      </c>
      <c r="E39" s="2" t="s">
        <v>51</v>
      </c>
      <c r="F39" s="2" t="s">
        <v>39</v>
      </c>
      <c r="G39" s="2" t="s">
        <v>28</v>
      </c>
      <c r="H39" s="3">
        <v>45839</v>
      </c>
      <c r="I39" s="3">
        <v>45839</v>
      </c>
      <c r="J39" s="2">
        <v>20411454</v>
      </c>
      <c r="K39" s="2" t="s">
        <v>31</v>
      </c>
      <c r="L39" s="2" t="s">
        <v>172</v>
      </c>
      <c r="M39" s="2">
        <v>-219</v>
      </c>
      <c r="N39" s="2">
        <v>-62.5</v>
      </c>
      <c r="O39" s="2" t="s">
        <v>155</v>
      </c>
    </row>
    <row r="40" spans="1:15" x14ac:dyDescent="0.25">
      <c r="A40" s="2" t="s">
        <v>136</v>
      </c>
      <c r="B40" s="2" t="str">
        <f>CONCATENATE(A40,88)</f>
        <v>2M47AX1PU7788</v>
      </c>
      <c r="C40" s="2" t="s">
        <v>137</v>
      </c>
      <c r="D40" s="2" t="s">
        <v>263</v>
      </c>
      <c r="E40" s="2" t="s">
        <v>26</v>
      </c>
      <c r="F40" s="2" t="s">
        <v>39</v>
      </c>
      <c r="G40" s="2" t="s">
        <v>28</v>
      </c>
      <c r="H40" s="3">
        <v>45870</v>
      </c>
      <c r="I40" s="3">
        <v>45870</v>
      </c>
      <c r="J40" s="2">
        <v>20411454</v>
      </c>
      <c r="K40" s="2" t="s">
        <v>31</v>
      </c>
      <c r="L40" s="2" t="s">
        <v>172</v>
      </c>
      <c r="M40" s="2">
        <v>-199.17</v>
      </c>
      <c r="N40" s="2">
        <v>-52.08</v>
      </c>
      <c r="O40" s="2" t="s">
        <v>155</v>
      </c>
    </row>
    <row r="41" spans="1:15" x14ac:dyDescent="0.25">
      <c r="A41" s="2" t="s">
        <v>145</v>
      </c>
      <c r="B41" s="2" t="str">
        <f>CONCATENATE(A41,88)</f>
        <v>3VX4JF7TF6188</v>
      </c>
      <c r="C41" s="2" t="s">
        <v>146</v>
      </c>
      <c r="D41" s="2" t="s">
        <v>255</v>
      </c>
      <c r="E41" s="2" t="s">
        <v>26</v>
      </c>
      <c r="F41" s="2" t="s">
        <v>39</v>
      </c>
      <c r="G41" s="2" t="s">
        <v>28</v>
      </c>
      <c r="H41" s="3">
        <v>45870</v>
      </c>
      <c r="I41" s="3">
        <v>45870</v>
      </c>
      <c r="J41" s="2">
        <v>20411454</v>
      </c>
      <c r="K41" s="2" t="s">
        <v>31</v>
      </c>
      <c r="L41" s="2" t="s">
        <v>172</v>
      </c>
      <c r="M41" s="2">
        <v>-199.17</v>
      </c>
      <c r="N41" s="2">
        <v>-52.08</v>
      </c>
      <c r="O41" s="2" t="s">
        <v>155</v>
      </c>
    </row>
    <row r="42" spans="1:15" x14ac:dyDescent="0.25">
      <c r="A42" s="2" t="s">
        <v>126</v>
      </c>
      <c r="B42" s="2" t="str">
        <f>CONCATENATE(A42,88)</f>
        <v>7VH1U61JN1588</v>
      </c>
      <c r="C42" s="2" t="s">
        <v>127</v>
      </c>
      <c r="D42" s="2" t="s">
        <v>264</v>
      </c>
      <c r="E42" s="2" t="s">
        <v>26</v>
      </c>
      <c r="F42" s="2" t="s">
        <v>39</v>
      </c>
      <c r="G42" s="2" t="s">
        <v>28</v>
      </c>
      <c r="H42" s="3">
        <v>45870</v>
      </c>
      <c r="I42" s="3">
        <v>45870</v>
      </c>
      <c r="J42" s="2">
        <v>20411454</v>
      </c>
      <c r="K42" s="2" t="s">
        <v>31</v>
      </c>
      <c r="L42" s="2" t="s">
        <v>172</v>
      </c>
      <c r="M42" s="2">
        <v>-16.670000000000002</v>
      </c>
      <c r="N42" s="2">
        <v>-16.670000000000002</v>
      </c>
      <c r="O42" s="2" t="s">
        <v>155</v>
      </c>
    </row>
    <row r="43" spans="1:15" x14ac:dyDescent="0.25">
      <c r="A43" s="2" t="s">
        <v>126</v>
      </c>
      <c r="B43" s="2" t="str">
        <f>CONCATENATE(A43,88)</f>
        <v>7VH1U61JN1588</v>
      </c>
      <c r="C43" s="2" t="s">
        <v>127</v>
      </c>
      <c r="D43" s="2" t="s">
        <v>264</v>
      </c>
      <c r="E43" s="2" t="s">
        <v>26</v>
      </c>
      <c r="F43" s="2" t="s">
        <v>43</v>
      </c>
      <c r="G43" s="2" t="s">
        <v>28</v>
      </c>
      <c r="H43" s="3">
        <v>45870</v>
      </c>
      <c r="I43" s="3">
        <v>45870</v>
      </c>
      <c r="J43" s="2">
        <v>20411454</v>
      </c>
      <c r="K43" s="2" t="s">
        <v>31</v>
      </c>
      <c r="L43" s="2" t="s">
        <v>172</v>
      </c>
      <c r="M43" s="2">
        <v>40</v>
      </c>
      <c r="N43" s="2">
        <v>40</v>
      </c>
      <c r="O43" s="2" t="s">
        <v>155</v>
      </c>
    </row>
    <row r="44" spans="1:15" x14ac:dyDescent="0.25">
      <c r="A44" s="2" t="s">
        <v>110</v>
      </c>
      <c r="B44" s="2" t="str">
        <f>CONCATENATE(A44,88)</f>
        <v>8EY1RU4FP0088</v>
      </c>
      <c r="C44" s="2" t="s">
        <v>111</v>
      </c>
      <c r="D44" s="2" t="s">
        <v>249</v>
      </c>
      <c r="E44" s="2" t="s">
        <v>51</v>
      </c>
      <c r="F44" s="2" t="s">
        <v>27</v>
      </c>
      <c r="G44" s="2" t="s">
        <v>28</v>
      </c>
      <c r="H44" s="3">
        <v>45901</v>
      </c>
      <c r="I44" s="3">
        <v>45901</v>
      </c>
      <c r="J44" s="2">
        <v>20411454</v>
      </c>
      <c r="K44" s="2" t="s">
        <v>31</v>
      </c>
      <c r="L44" s="2" t="s">
        <v>172</v>
      </c>
      <c r="M44" s="2">
        <v>146</v>
      </c>
      <c r="N44" s="2">
        <v>41.67</v>
      </c>
      <c r="O44" s="2" t="s">
        <v>155</v>
      </c>
    </row>
    <row r="45" spans="1:15" x14ac:dyDescent="0.25">
      <c r="A45" s="2" t="s">
        <v>130</v>
      </c>
      <c r="B45" s="2" t="str">
        <f>CONCATENATE(A45,88)</f>
        <v>8GG6CP6VE7788</v>
      </c>
      <c r="C45" s="2" t="s">
        <v>131</v>
      </c>
      <c r="D45" s="2" t="s">
        <v>265</v>
      </c>
      <c r="E45" s="2" t="s">
        <v>132</v>
      </c>
      <c r="F45" s="2" t="s">
        <v>27</v>
      </c>
      <c r="G45" s="2" t="s">
        <v>28</v>
      </c>
      <c r="H45" s="3">
        <v>45901</v>
      </c>
      <c r="I45" s="3">
        <v>45901</v>
      </c>
      <c r="J45" s="2">
        <v>20411454</v>
      </c>
      <c r="K45" s="2" t="s">
        <v>31</v>
      </c>
      <c r="L45" s="2" t="s">
        <v>172</v>
      </c>
      <c r="M45" s="2">
        <v>146</v>
      </c>
      <c r="N45" s="2">
        <v>41.67</v>
      </c>
      <c r="O45" s="2" t="s">
        <v>155</v>
      </c>
    </row>
    <row r="46" spans="1:15" x14ac:dyDescent="0.25">
      <c r="A46" s="2" t="s">
        <v>148</v>
      </c>
      <c r="B46" s="2" t="str">
        <f>CONCATENATE(A46,88)</f>
        <v>4X70YJ1XD1888</v>
      </c>
      <c r="C46" s="2" t="s">
        <v>149</v>
      </c>
      <c r="D46" s="2" t="s">
        <v>266</v>
      </c>
      <c r="E46" s="2" t="s">
        <v>150</v>
      </c>
      <c r="F46" s="2" t="s">
        <v>27</v>
      </c>
      <c r="G46" s="2" t="s">
        <v>28</v>
      </c>
      <c r="H46" s="3">
        <v>45901</v>
      </c>
      <c r="I46" s="3">
        <v>45901</v>
      </c>
      <c r="J46" s="2">
        <v>20411454</v>
      </c>
      <c r="K46" s="2" t="s">
        <v>31</v>
      </c>
      <c r="L46" s="2" t="s">
        <v>172</v>
      </c>
      <c r="M46" s="2">
        <v>146</v>
      </c>
      <c r="N46" s="2">
        <v>41.67</v>
      </c>
      <c r="O46" s="2" t="s">
        <v>155</v>
      </c>
    </row>
    <row r="47" spans="1:15" x14ac:dyDescent="0.25">
      <c r="A47" s="2" t="s">
        <v>90</v>
      </c>
      <c r="B47" s="2" t="str">
        <f>CONCATENATE(A47,88)</f>
        <v>4Y45CG3MK5188</v>
      </c>
      <c r="C47" s="2" t="s">
        <v>91</v>
      </c>
      <c r="D47" s="2" t="s">
        <v>267</v>
      </c>
      <c r="E47" s="2" t="s">
        <v>51</v>
      </c>
      <c r="F47" s="2" t="s">
        <v>27</v>
      </c>
      <c r="G47" s="2" t="s">
        <v>28</v>
      </c>
      <c r="H47" s="3">
        <v>45870</v>
      </c>
      <c r="I47" s="3">
        <v>45870</v>
      </c>
      <c r="J47" s="2">
        <v>20411454</v>
      </c>
      <c r="K47" s="2" t="s">
        <v>31</v>
      </c>
      <c r="L47" s="2" t="s">
        <v>172</v>
      </c>
      <c r="M47" s="2">
        <v>182.5</v>
      </c>
      <c r="N47" s="2">
        <v>52.08</v>
      </c>
      <c r="O47" s="2" t="s">
        <v>155</v>
      </c>
    </row>
    <row r="48" spans="1:15" x14ac:dyDescent="0.25">
      <c r="A48" s="2" t="s">
        <v>84</v>
      </c>
      <c r="B48" s="2" t="str">
        <f>CONCATENATE(A48,88)</f>
        <v>8QR4UV1CH5088</v>
      </c>
      <c r="C48" s="2" t="s">
        <v>85</v>
      </c>
      <c r="D48" s="2" t="s">
        <v>258</v>
      </c>
      <c r="E48" s="2" t="s">
        <v>86</v>
      </c>
      <c r="F48" s="2" t="s">
        <v>64</v>
      </c>
      <c r="G48" s="2" t="s">
        <v>28</v>
      </c>
      <c r="H48" s="3">
        <v>45689</v>
      </c>
      <c r="I48" s="3">
        <v>45689</v>
      </c>
      <c r="J48" s="2">
        <v>20411454</v>
      </c>
      <c r="K48" s="2" t="s">
        <v>31</v>
      </c>
      <c r="L48" s="2" t="s">
        <v>172</v>
      </c>
      <c r="M48" s="2">
        <v>218.75</v>
      </c>
      <c r="N48" s="2">
        <v>56.25</v>
      </c>
      <c r="O48" s="2" t="s">
        <v>155</v>
      </c>
    </row>
    <row r="49" spans="1:15" x14ac:dyDescent="0.25">
      <c r="A49" s="2" t="s">
        <v>60</v>
      </c>
      <c r="B49" s="2" t="str">
        <f>CONCATENATE(A49,88)</f>
        <v>7F11WC1KX9888</v>
      </c>
      <c r="C49" s="2" t="s">
        <v>61</v>
      </c>
      <c r="D49" s="2" t="s">
        <v>252</v>
      </c>
      <c r="E49" s="2" t="s">
        <v>51</v>
      </c>
      <c r="F49" s="2" t="s">
        <v>64</v>
      </c>
      <c r="G49" s="2" t="s">
        <v>28</v>
      </c>
      <c r="H49" s="3">
        <v>45658</v>
      </c>
      <c r="I49" s="3">
        <v>45658</v>
      </c>
      <c r="J49" s="2">
        <v>20411454</v>
      </c>
      <c r="K49" s="2" t="s">
        <v>31</v>
      </c>
      <c r="L49" s="2" t="s">
        <v>172</v>
      </c>
      <c r="M49" s="2">
        <v>219</v>
      </c>
      <c r="N49" s="2">
        <v>62.5</v>
      </c>
      <c r="O49" s="2" t="s">
        <v>155</v>
      </c>
    </row>
    <row r="50" spans="1:15" x14ac:dyDescent="0.25">
      <c r="A50" s="2" t="s">
        <v>94</v>
      </c>
      <c r="B50" s="2" t="str">
        <f>CONCATENATE(A50,88)</f>
        <v>8DC4GA0YU9588</v>
      </c>
      <c r="C50" s="2" t="s">
        <v>95</v>
      </c>
      <c r="D50" s="2" t="s">
        <v>268</v>
      </c>
      <c r="E50" s="2" t="s">
        <v>96</v>
      </c>
      <c r="F50" s="2" t="s">
        <v>27</v>
      </c>
      <c r="G50" s="2" t="s">
        <v>28</v>
      </c>
      <c r="H50" s="3">
        <v>45839</v>
      </c>
      <c r="I50" s="3">
        <v>45839</v>
      </c>
      <c r="J50" s="2">
        <v>20411454</v>
      </c>
      <c r="K50" s="2" t="s">
        <v>31</v>
      </c>
      <c r="L50" s="2" t="s">
        <v>172</v>
      </c>
      <c r="M50" s="2">
        <v>219</v>
      </c>
      <c r="N50" s="2">
        <v>62.5</v>
      </c>
      <c r="O50" s="2" t="s">
        <v>155</v>
      </c>
    </row>
    <row r="51" spans="1:15" x14ac:dyDescent="0.25">
      <c r="A51" s="2" t="s">
        <v>108</v>
      </c>
      <c r="B51" s="2" t="str">
        <f>CONCATENATE(A51,88)</f>
        <v>5RM7QX4ME5188</v>
      </c>
      <c r="C51" s="2" t="s">
        <v>109</v>
      </c>
      <c r="D51" s="2" t="s">
        <v>253</v>
      </c>
      <c r="E51" s="2" t="s">
        <v>51</v>
      </c>
      <c r="F51" s="2" t="s">
        <v>27</v>
      </c>
      <c r="G51" s="2" t="s">
        <v>28</v>
      </c>
      <c r="H51" s="3">
        <v>45839</v>
      </c>
      <c r="I51" s="3">
        <v>45839</v>
      </c>
      <c r="J51" s="2">
        <v>20411454</v>
      </c>
      <c r="K51" s="2" t="s">
        <v>31</v>
      </c>
      <c r="L51" s="2" t="s">
        <v>172</v>
      </c>
      <c r="M51" s="2">
        <v>219</v>
      </c>
      <c r="N51" s="2">
        <v>62.5</v>
      </c>
      <c r="O51" s="2" t="s">
        <v>155</v>
      </c>
    </row>
    <row r="52" spans="1:15" x14ac:dyDescent="0.25">
      <c r="A52" s="2" t="s">
        <v>134</v>
      </c>
      <c r="B52" s="2" t="str">
        <f>CONCATENATE(A52,88)</f>
        <v>4DR8UG8NG2788</v>
      </c>
      <c r="C52" s="2" t="s">
        <v>135</v>
      </c>
      <c r="D52" s="2" t="s">
        <v>269</v>
      </c>
      <c r="E52" s="2" t="s">
        <v>51</v>
      </c>
      <c r="F52" s="2" t="s">
        <v>27</v>
      </c>
      <c r="G52" s="2" t="s">
        <v>28</v>
      </c>
      <c r="H52" s="3">
        <v>45839</v>
      </c>
      <c r="I52" s="3">
        <v>45839</v>
      </c>
      <c r="J52" s="2">
        <v>20411454</v>
      </c>
      <c r="K52" s="2" t="s">
        <v>31</v>
      </c>
      <c r="L52" s="2" t="s">
        <v>172</v>
      </c>
      <c r="M52" s="2">
        <v>219</v>
      </c>
      <c r="N52" s="2">
        <v>62.5</v>
      </c>
      <c r="O52" s="2" t="s">
        <v>155</v>
      </c>
    </row>
    <row r="53" spans="1:15" x14ac:dyDescent="0.25">
      <c r="A53" s="2" t="s">
        <v>24</v>
      </c>
      <c r="B53" s="2" t="str">
        <f>CONCATENATE(A53,88)</f>
        <v>9Q61E49JT9988</v>
      </c>
      <c r="C53" s="2" t="s">
        <v>25</v>
      </c>
      <c r="D53" s="2" t="s">
        <v>243</v>
      </c>
      <c r="E53" s="2" t="s">
        <v>26</v>
      </c>
      <c r="F53" s="2" t="s">
        <v>27</v>
      </c>
      <c r="G53" s="2" t="s">
        <v>28</v>
      </c>
      <c r="H53" s="3">
        <v>45839</v>
      </c>
      <c r="I53" s="3">
        <v>45839</v>
      </c>
      <c r="J53" s="2">
        <v>20411454</v>
      </c>
      <c r="K53" s="2" t="s">
        <v>31</v>
      </c>
      <c r="L53" s="2" t="s">
        <v>172</v>
      </c>
      <c r="M53" s="2">
        <v>239</v>
      </c>
      <c r="N53" s="2">
        <v>62.5</v>
      </c>
      <c r="O53" s="2" t="s">
        <v>155</v>
      </c>
    </row>
    <row r="54" spans="1:15" x14ac:dyDescent="0.25">
      <c r="A54" s="2" t="s">
        <v>45</v>
      </c>
      <c r="B54" s="2" t="str">
        <f>CONCATENATE(A54,88)</f>
        <v>7G65G68TP8588</v>
      </c>
      <c r="C54" s="2" t="s">
        <v>46</v>
      </c>
      <c r="D54" s="2" t="s">
        <v>244</v>
      </c>
      <c r="E54" s="2" t="s">
        <v>26</v>
      </c>
      <c r="F54" s="2" t="s">
        <v>27</v>
      </c>
      <c r="G54" s="2" t="s">
        <v>28</v>
      </c>
      <c r="H54" s="3">
        <v>45839</v>
      </c>
      <c r="I54" s="3">
        <v>45839</v>
      </c>
      <c r="J54" s="2">
        <v>20411454</v>
      </c>
      <c r="K54" s="2" t="s">
        <v>31</v>
      </c>
      <c r="L54" s="2" t="s">
        <v>172</v>
      </c>
      <c r="M54" s="2">
        <v>239</v>
      </c>
      <c r="N54" s="2">
        <v>62.5</v>
      </c>
      <c r="O54" s="2" t="s">
        <v>155</v>
      </c>
    </row>
    <row r="55" spans="1:15" x14ac:dyDescent="0.25">
      <c r="A55" s="2" t="s">
        <v>80</v>
      </c>
      <c r="B55" s="2" t="str">
        <f>CONCATENATE(A55,88)</f>
        <v>1KH4E07DQ7788</v>
      </c>
      <c r="C55" s="2" t="s">
        <v>81</v>
      </c>
      <c r="D55" s="2" t="s">
        <v>256</v>
      </c>
      <c r="E55" s="2" t="s">
        <v>26</v>
      </c>
      <c r="F55" s="2" t="s">
        <v>27</v>
      </c>
      <c r="G55" s="2" t="s">
        <v>28</v>
      </c>
      <c r="H55" s="3">
        <v>45839</v>
      </c>
      <c r="I55" s="3">
        <v>45839</v>
      </c>
      <c r="J55" s="2">
        <v>20411454</v>
      </c>
      <c r="K55" s="2" t="s">
        <v>31</v>
      </c>
      <c r="L55" s="2" t="s">
        <v>172</v>
      </c>
      <c r="M55" s="2">
        <v>239</v>
      </c>
      <c r="N55" s="2">
        <v>62.5</v>
      </c>
      <c r="O55" s="2" t="s">
        <v>155</v>
      </c>
    </row>
    <row r="56" spans="1:15" x14ac:dyDescent="0.25">
      <c r="A56" s="2" t="s">
        <v>118</v>
      </c>
      <c r="B56" s="2" t="str">
        <f>CONCATENATE(A56,88)</f>
        <v>8XE2PP6YW0988</v>
      </c>
      <c r="C56" s="2" t="s">
        <v>119</v>
      </c>
      <c r="D56" s="2" t="s">
        <v>257</v>
      </c>
      <c r="E56" s="2" t="s">
        <v>26</v>
      </c>
      <c r="F56" s="2" t="s">
        <v>27</v>
      </c>
      <c r="G56" s="2" t="s">
        <v>28</v>
      </c>
      <c r="H56" s="3">
        <v>45839</v>
      </c>
      <c r="I56" s="3">
        <v>45839</v>
      </c>
      <c r="J56" s="2">
        <v>20411454</v>
      </c>
      <c r="K56" s="2" t="s">
        <v>31</v>
      </c>
      <c r="L56" s="2" t="s">
        <v>172</v>
      </c>
      <c r="M56" s="2">
        <v>239</v>
      </c>
      <c r="N56" s="2">
        <v>62.5</v>
      </c>
      <c r="O56" s="2" t="s">
        <v>155</v>
      </c>
    </row>
    <row r="57" spans="1:15" x14ac:dyDescent="0.25">
      <c r="A57" s="2" t="s">
        <v>113</v>
      </c>
      <c r="B57" s="2" t="str">
        <f>CONCATENATE(A57,88)</f>
        <v>8QE7V25PV4088</v>
      </c>
      <c r="C57" s="2" t="s">
        <v>114</v>
      </c>
      <c r="D57" s="2" t="s">
        <v>270</v>
      </c>
      <c r="E57" s="2" t="s">
        <v>51</v>
      </c>
      <c r="F57" s="2" t="s">
        <v>27</v>
      </c>
      <c r="G57" s="2" t="s">
        <v>28</v>
      </c>
      <c r="H57" s="3">
        <v>45809</v>
      </c>
      <c r="I57" s="3">
        <v>45809</v>
      </c>
      <c r="J57" s="2">
        <v>20411454</v>
      </c>
      <c r="K57" s="2" t="s">
        <v>31</v>
      </c>
      <c r="L57" s="2" t="s">
        <v>172</v>
      </c>
      <c r="M57" s="2">
        <v>255.5</v>
      </c>
      <c r="N57" s="2">
        <v>72.92</v>
      </c>
      <c r="O57" s="2" t="s">
        <v>155</v>
      </c>
    </row>
    <row r="58" spans="1:15" x14ac:dyDescent="0.25">
      <c r="A58" s="2" t="s">
        <v>116</v>
      </c>
      <c r="B58" s="2" t="str">
        <f>CONCATENATE(A58,88)</f>
        <v>2CE0P67CF3688</v>
      </c>
      <c r="C58" s="2" t="s">
        <v>117</v>
      </c>
      <c r="D58" s="2" t="s">
        <v>271</v>
      </c>
      <c r="E58" s="2" t="s">
        <v>51</v>
      </c>
      <c r="F58" s="2" t="s">
        <v>27</v>
      </c>
      <c r="G58" s="2" t="s">
        <v>28</v>
      </c>
      <c r="H58" s="3">
        <v>45809</v>
      </c>
      <c r="I58" s="3">
        <v>45809</v>
      </c>
      <c r="J58" s="2">
        <v>20411454</v>
      </c>
      <c r="K58" s="2" t="s">
        <v>31</v>
      </c>
      <c r="L58" s="2" t="s">
        <v>172</v>
      </c>
      <c r="M58" s="2">
        <v>255.5</v>
      </c>
      <c r="N58" s="2">
        <v>72.92</v>
      </c>
      <c r="O58" s="2" t="s">
        <v>155</v>
      </c>
    </row>
    <row r="59" spans="1:15" x14ac:dyDescent="0.25">
      <c r="A59" s="2" t="s">
        <v>36</v>
      </c>
      <c r="B59" s="2" t="str">
        <f>CONCATENATE(A59,88)</f>
        <v>8RD6HM7CE6488</v>
      </c>
      <c r="C59" s="2" t="s">
        <v>37</v>
      </c>
      <c r="D59" s="2" t="s">
        <v>247</v>
      </c>
      <c r="E59" s="2" t="s">
        <v>38</v>
      </c>
      <c r="F59" s="2" t="s">
        <v>43</v>
      </c>
      <c r="G59" s="2" t="s">
        <v>28</v>
      </c>
      <c r="H59" s="3">
        <v>45809</v>
      </c>
      <c r="I59" s="3">
        <v>45809</v>
      </c>
      <c r="J59" s="2">
        <v>20411454</v>
      </c>
      <c r="K59" s="2" t="s">
        <v>31</v>
      </c>
      <c r="L59" s="2" t="s">
        <v>172</v>
      </c>
      <c r="M59" s="2">
        <v>751</v>
      </c>
      <c r="N59" s="2">
        <v>125</v>
      </c>
      <c r="O59" s="2" t="s">
        <v>155</v>
      </c>
    </row>
    <row r="60" spans="1:15" x14ac:dyDescent="0.25">
      <c r="A60" s="2" t="s">
        <v>49</v>
      </c>
      <c r="B60" s="2" t="str">
        <f>CONCATENATE(A60,88)</f>
        <v>6U60JQ5VJ2288</v>
      </c>
      <c r="C60" s="2" t="s">
        <v>50</v>
      </c>
      <c r="D60" s="2" t="s">
        <v>250</v>
      </c>
      <c r="E60" s="2" t="s">
        <v>51</v>
      </c>
      <c r="F60" s="2" t="s">
        <v>43</v>
      </c>
      <c r="G60" s="2" t="s">
        <v>28</v>
      </c>
      <c r="H60" s="3">
        <v>45809</v>
      </c>
      <c r="I60" s="3">
        <v>45809</v>
      </c>
      <c r="J60" s="2">
        <v>20411454</v>
      </c>
      <c r="K60" s="2" t="s">
        <v>31</v>
      </c>
      <c r="L60" s="2" t="s">
        <v>172</v>
      </c>
      <c r="M60" s="2">
        <v>751</v>
      </c>
      <c r="N60" s="2">
        <v>125</v>
      </c>
      <c r="O60" s="2" t="s">
        <v>155</v>
      </c>
    </row>
    <row r="61" spans="1:15" x14ac:dyDescent="0.25">
      <c r="A61" s="2" t="s">
        <v>54</v>
      </c>
      <c r="B61" s="2" t="str">
        <f>CONCATENATE(A61,88)</f>
        <v>3G99FX4CF1288</v>
      </c>
      <c r="C61" s="2" t="s">
        <v>55</v>
      </c>
      <c r="D61" s="2" t="s">
        <v>259</v>
      </c>
      <c r="E61" s="2" t="s">
        <v>56</v>
      </c>
      <c r="F61" s="2" t="s">
        <v>43</v>
      </c>
      <c r="G61" s="2" t="s">
        <v>28</v>
      </c>
      <c r="H61" s="3">
        <v>45809</v>
      </c>
      <c r="I61" s="3">
        <v>45809</v>
      </c>
      <c r="J61" s="2">
        <v>20411454</v>
      </c>
      <c r="K61" s="2" t="s">
        <v>31</v>
      </c>
      <c r="L61" s="2" t="s">
        <v>172</v>
      </c>
      <c r="M61" s="2">
        <v>751</v>
      </c>
      <c r="N61" s="2">
        <v>125</v>
      </c>
      <c r="O61" s="2" t="s">
        <v>155</v>
      </c>
    </row>
    <row r="62" spans="1:15" x14ac:dyDescent="0.25">
      <c r="A62" s="2" t="s">
        <v>70</v>
      </c>
      <c r="B62" s="2" t="str">
        <f>CONCATENATE(A62,88)</f>
        <v>9JU5H84MX7288</v>
      </c>
      <c r="C62" s="2" t="s">
        <v>71</v>
      </c>
      <c r="D62" s="2" t="s">
        <v>242</v>
      </c>
      <c r="E62" s="2" t="s">
        <v>72</v>
      </c>
      <c r="F62" s="2" t="s">
        <v>43</v>
      </c>
      <c r="G62" s="2" t="s">
        <v>28</v>
      </c>
      <c r="H62" s="3">
        <v>45839</v>
      </c>
      <c r="I62" s="3">
        <v>45839</v>
      </c>
      <c r="J62" s="2">
        <v>20411454</v>
      </c>
      <c r="K62" s="2" t="s">
        <v>31</v>
      </c>
      <c r="L62" s="2" t="s">
        <v>172</v>
      </c>
      <c r="M62" s="2">
        <v>751</v>
      </c>
      <c r="N62" s="2">
        <v>125</v>
      </c>
      <c r="O62" s="2" t="s">
        <v>155</v>
      </c>
    </row>
    <row r="63" spans="1:15" x14ac:dyDescent="0.25">
      <c r="A63" s="2" t="s">
        <v>75</v>
      </c>
      <c r="B63" s="2" t="str">
        <f>CONCATENATE(A63,88)</f>
        <v>1CD2UG0XD0388</v>
      </c>
      <c r="C63" s="2" t="s">
        <v>76</v>
      </c>
      <c r="D63" s="2" t="s">
        <v>260</v>
      </c>
      <c r="E63" s="2" t="s">
        <v>51</v>
      </c>
      <c r="F63" s="2" t="s">
        <v>43</v>
      </c>
      <c r="G63" s="2" t="s">
        <v>28</v>
      </c>
      <c r="H63" s="3">
        <v>45809</v>
      </c>
      <c r="I63" s="3">
        <v>45809</v>
      </c>
      <c r="J63" s="2">
        <v>20411454</v>
      </c>
      <c r="K63" s="2" t="s">
        <v>31</v>
      </c>
      <c r="L63" s="2" t="s">
        <v>172</v>
      </c>
      <c r="M63" s="2">
        <v>751</v>
      </c>
      <c r="N63" s="2">
        <v>125</v>
      </c>
      <c r="O63" s="2" t="s">
        <v>155</v>
      </c>
    </row>
    <row r="64" spans="1:15" x14ac:dyDescent="0.25">
      <c r="A64" s="2" t="s">
        <v>78</v>
      </c>
      <c r="B64" s="2" t="str">
        <f>CONCATENATE(A64,88)</f>
        <v>1Q73KG5JD7888</v>
      </c>
      <c r="C64" s="2" t="s">
        <v>79</v>
      </c>
      <c r="D64" s="2" t="s">
        <v>248</v>
      </c>
      <c r="E64" s="2" t="s">
        <v>38</v>
      </c>
      <c r="F64" s="2" t="s">
        <v>43</v>
      </c>
      <c r="G64" s="2" t="s">
        <v>28</v>
      </c>
      <c r="H64" s="3">
        <v>45778</v>
      </c>
      <c r="I64" s="3">
        <v>45778</v>
      </c>
      <c r="J64" s="2">
        <v>20411454</v>
      </c>
      <c r="K64" s="2" t="s">
        <v>31</v>
      </c>
      <c r="L64" s="2" t="s">
        <v>172</v>
      </c>
      <c r="M64" s="2">
        <v>751</v>
      </c>
      <c r="N64" s="2">
        <v>125</v>
      </c>
      <c r="O64" s="2" t="s">
        <v>155</v>
      </c>
    </row>
    <row r="65" spans="1:16" x14ac:dyDescent="0.25">
      <c r="A65" s="2" t="s">
        <v>100</v>
      </c>
      <c r="B65" s="2" t="str">
        <f>CONCATENATE(A65,88)</f>
        <v>4NP1YC5PN2988</v>
      </c>
      <c r="C65" s="2" t="s">
        <v>101</v>
      </c>
      <c r="D65" s="2" t="s">
        <v>251</v>
      </c>
      <c r="E65" s="2" t="s">
        <v>51</v>
      </c>
      <c r="F65" s="2" t="s">
        <v>43</v>
      </c>
      <c r="G65" s="2" t="s">
        <v>28</v>
      </c>
      <c r="H65" s="3">
        <v>45839</v>
      </c>
      <c r="I65" s="3">
        <v>45839</v>
      </c>
      <c r="J65" s="2">
        <v>20411454</v>
      </c>
      <c r="K65" s="2" t="s">
        <v>31</v>
      </c>
      <c r="L65" s="2" t="s">
        <v>172</v>
      </c>
      <c r="M65" s="2">
        <v>751</v>
      </c>
      <c r="N65" s="2">
        <v>125</v>
      </c>
      <c r="O65" s="2" t="s">
        <v>155</v>
      </c>
    </row>
    <row r="66" spans="1:16" x14ac:dyDescent="0.25">
      <c r="A66" s="2" t="s">
        <v>103</v>
      </c>
      <c r="B66" s="2" t="str">
        <f>CONCATENATE(A66,88)</f>
        <v>5GF1KY2TD3588</v>
      </c>
      <c r="C66" s="2" t="s">
        <v>104</v>
      </c>
      <c r="D66" s="2" t="s">
        <v>245</v>
      </c>
      <c r="E66" s="2" t="s">
        <v>51</v>
      </c>
      <c r="F66" s="2" t="s">
        <v>43</v>
      </c>
      <c r="G66" s="2" t="s">
        <v>28</v>
      </c>
      <c r="H66" s="3">
        <v>45809</v>
      </c>
      <c r="I66" s="3">
        <v>45809</v>
      </c>
      <c r="J66" s="2">
        <v>20411454</v>
      </c>
      <c r="K66" s="2" t="s">
        <v>31</v>
      </c>
      <c r="L66" s="2" t="s">
        <v>172</v>
      </c>
      <c r="M66" s="2">
        <v>751</v>
      </c>
      <c r="N66" s="2">
        <v>125</v>
      </c>
      <c r="O66" s="2" t="s">
        <v>155</v>
      </c>
    </row>
    <row r="67" spans="1:16" x14ac:dyDescent="0.25">
      <c r="A67" s="2" t="s">
        <v>121</v>
      </c>
      <c r="B67" s="2" t="str">
        <f>CONCATENATE(A67,88)</f>
        <v>3Y30G39YM1188</v>
      </c>
      <c r="C67" s="2" t="s">
        <v>122</v>
      </c>
      <c r="D67" s="2" t="s">
        <v>261</v>
      </c>
      <c r="E67" s="2" t="s">
        <v>123</v>
      </c>
      <c r="F67" s="2" t="s">
        <v>43</v>
      </c>
      <c r="G67" s="2" t="s">
        <v>28</v>
      </c>
      <c r="H67" s="3">
        <v>45809</v>
      </c>
      <c r="I67" s="3">
        <v>45809</v>
      </c>
      <c r="J67" s="2">
        <v>20411454</v>
      </c>
      <c r="K67" s="2" t="s">
        <v>31</v>
      </c>
      <c r="L67" s="2" t="s">
        <v>172</v>
      </c>
      <c r="M67" s="2">
        <v>751</v>
      </c>
      <c r="N67" s="2">
        <v>125</v>
      </c>
      <c r="O67" s="2" t="s">
        <v>155</v>
      </c>
    </row>
    <row r="68" spans="1:16" x14ac:dyDescent="0.25">
      <c r="A68" s="2" t="s">
        <v>143</v>
      </c>
      <c r="B68" s="2" t="str">
        <f>CONCATENATE(A68,88)</f>
        <v>1G92KF3RH9488</v>
      </c>
      <c r="C68" s="2" t="s">
        <v>144</v>
      </c>
      <c r="D68" s="2" t="s">
        <v>262</v>
      </c>
      <c r="E68" s="2" t="s">
        <v>51</v>
      </c>
      <c r="F68" s="2" t="s">
        <v>43</v>
      </c>
      <c r="G68" s="2" t="s">
        <v>28</v>
      </c>
      <c r="H68" s="3">
        <v>45809</v>
      </c>
      <c r="I68" s="3">
        <v>45809</v>
      </c>
      <c r="J68" s="2">
        <v>20411454</v>
      </c>
      <c r="K68" s="2" t="s">
        <v>31</v>
      </c>
      <c r="L68" s="2" t="s">
        <v>172</v>
      </c>
      <c r="M68" s="2">
        <v>751</v>
      </c>
      <c r="N68" s="2">
        <v>125</v>
      </c>
      <c r="O68" s="2" t="s">
        <v>155</v>
      </c>
    </row>
    <row r="69" spans="1:16" x14ac:dyDescent="0.25">
      <c r="A69" s="2" t="s">
        <v>136</v>
      </c>
      <c r="B69" s="2" t="str">
        <f>CONCATENATE(A69,88)</f>
        <v>2M47AX1PU7788</v>
      </c>
      <c r="C69" s="2" t="s">
        <v>137</v>
      </c>
      <c r="D69" s="2" t="s">
        <v>263</v>
      </c>
      <c r="E69" s="2" t="s">
        <v>26</v>
      </c>
      <c r="F69" s="2" t="s">
        <v>43</v>
      </c>
      <c r="G69" s="2" t="s">
        <v>28</v>
      </c>
      <c r="H69" s="3">
        <v>45870</v>
      </c>
      <c r="I69" s="3">
        <v>45870</v>
      </c>
      <c r="J69" s="2">
        <v>20411454</v>
      </c>
      <c r="K69" s="2" t="s">
        <v>31</v>
      </c>
      <c r="L69" s="2" t="s">
        <v>172</v>
      </c>
      <c r="M69" s="2">
        <v>830</v>
      </c>
      <c r="N69" s="2">
        <v>125</v>
      </c>
      <c r="O69" s="2" t="s">
        <v>155</v>
      </c>
    </row>
    <row r="70" spans="1:16" x14ac:dyDescent="0.25">
      <c r="A70" s="2" t="s">
        <v>140</v>
      </c>
      <c r="B70" s="2" t="str">
        <f>CONCATENATE(A70,88)</f>
        <v>2GC2CN7FG9588</v>
      </c>
      <c r="C70" s="2" t="s">
        <v>141</v>
      </c>
      <c r="D70" s="2" t="s">
        <v>254</v>
      </c>
      <c r="E70" s="2" t="s">
        <v>26</v>
      </c>
      <c r="F70" s="2" t="s">
        <v>43</v>
      </c>
      <c r="G70" s="2" t="s">
        <v>28</v>
      </c>
      <c r="H70" s="3">
        <v>45839</v>
      </c>
      <c r="I70" s="3">
        <v>45839</v>
      </c>
      <c r="J70" s="2">
        <v>20411454</v>
      </c>
      <c r="K70" s="2" t="s">
        <v>31</v>
      </c>
      <c r="L70" s="2" t="s">
        <v>172</v>
      </c>
      <c r="M70" s="2">
        <v>830</v>
      </c>
      <c r="N70" s="2">
        <v>125</v>
      </c>
      <c r="O70" s="2" t="s">
        <v>155</v>
      </c>
    </row>
    <row r="71" spans="1:16" x14ac:dyDescent="0.25">
      <c r="A71" s="2" t="s">
        <v>145</v>
      </c>
      <c r="B71" s="2" t="str">
        <f>CONCATENATE(A71,88)</f>
        <v>3VX4JF7TF6188</v>
      </c>
      <c r="C71" s="2" t="s">
        <v>146</v>
      </c>
      <c r="D71" s="2" t="s">
        <v>255</v>
      </c>
      <c r="E71" s="2" t="s">
        <v>26</v>
      </c>
      <c r="F71" s="2" t="s">
        <v>43</v>
      </c>
      <c r="G71" s="2" t="s">
        <v>28</v>
      </c>
      <c r="H71" s="3">
        <v>45870</v>
      </c>
      <c r="I71" s="3">
        <v>45870</v>
      </c>
      <c r="J71" s="2">
        <v>20411454</v>
      </c>
      <c r="K71" s="2" t="s">
        <v>31</v>
      </c>
      <c r="L71" s="2" t="s">
        <v>172</v>
      </c>
      <c r="M71" s="2">
        <v>830</v>
      </c>
      <c r="N71" s="2">
        <v>125</v>
      </c>
      <c r="O71" s="2" t="s">
        <v>155</v>
      </c>
    </row>
    <row r="72" spans="1:16" x14ac:dyDescent="0.25">
      <c r="A72" s="2" t="s">
        <v>136</v>
      </c>
      <c r="B72" s="2" t="str">
        <f>CONCATENATE(A72,7)</f>
        <v>2M47AX1PU777</v>
      </c>
      <c r="C72" s="2" t="s">
        <v>137</v>
      </c>
      <c r="D72" s="2" t="s">
        <v>263</v>
      </c>
      <c r="E72" s="2" t="s">
        <v>26</v>
      </c>
      <c r="F72" s="2" t="s">
        <v>43</v>
      </c>
      <c r="G72" s="2" t="s">
        <v>28</v>
      </c>
      <c r="H72" s="3">
        <v>45870</v>
      </c>
      <c r="I72" s="3">
        <v>45870</v>
      </c>
      <c r="J72" s="2">
        <v>18710070</v>
      </c>
      <c r="K72" s="2" t="s">
        <v>31</v>
      </c>
      <c r="L72" s="2" t="s">
        <v>139</v>
      </c>
      <c r="M72" s="2">
        <v>830</v>
      </c>
      <c r="N72" s="2">
        <v>705</v>
      </c>
      <c r="O72" s="2" t="s">
        <v>171</v>
      </c>
    </row>
    <row r="73" spans="1:16" x14ac:dyDescent="0.25">
      <c r="A73" s="2" t="s">
        <v>136</v>
      </c>
      <c r="B73" s="2" t="str">
        <f>CONCATENATE(A73,8)</f>
        <v>2M47AX1PU778</v>
      </c>
      <c r="C73" s="2" t="s">
        <v>137</v>
      </c>
      <c r="D73" s="2" t="s">
        <v>263</v>
      </c>
      <c r="E73" s="2" t="s">
        <v>26</v>
      </c>
      <c r="F73" s="2" t="s">
        <v>39</v>
      </c>
      <c r="G73" s="2" t="s">
        <v>28</v>
      </c>
      <c r="H73" s="3">
        <v>45870</v>
      </c>
      <c r="I73" s="3">
        <v>45870</v>
      </c>
      <c r="J73" s="2">
        <v>18710070</v>
      </c>
      <c r="K73" s="2" t="s">
        <v>31</v>
      </c>
      <c r="L73" s="2" t="s">
        <v>139</v>
      </c>
      <c r="M73" s="2">
        <v>-199.17</v>
      </c>
      <c r="N73" s="2">
        <v>-147.08000000000001</v>
      </c>
      <c r="O73" s="2" t="s">
        <v>160</v>
      </c>
      <c r="P73" s="2" t="s">
        <v>163</v>
      </c>
    </row>
    <row r="74" spans="1:16" x14ac:dyDescent="0.25">
      <c r="A74" s="2" t="s">
        <v>84</v>
      </c>
      <c r="B74" s="2" t="str">
        <f>CONCATENATE(A74,8)</f>
        <v>8QR4UV1CH508</v>
      </c>
      <c r="C74" s="2" t="s">
        <v>85</v>
      </c>
      <c r="D74" s="2" t="s">
        <v>258</v>
      </c>
      <c r="E74" s="2" t="s">
        <v>86</v>
      </c>
      <c r="F74" s="2" t="s">
        <v>62</v>
      </c>
      <c r="G74" s="2" t="s">
        <v>28</v>
      </c>
      <c r="H74" s="3">
        <v>45689</v>
      </c>
      <c r="I74" s="3">
        <v>45689</v>
      </c>
      <c r="J74" s="2">
        <v>16865615</v>
      </c>
      <c r="K74" s="2" t="s">
        <v>31</v>
      </c>
      <c r="L74" s="2" t="s">
        <v>89</v>
      </c>
      <c r="M74" s="2">
        <v>-481.25</v>
      </c>
      <c r="N74" s="2">
        <v>-390</v>
      </c>
      <c r="O74" s="2" t="s">
        <v>153</v>
      </c>
      <c r="P74" s="2" t="s">
        <v>154</v>
      </c>
    </row>
    <row r="75" spans="1:16" x14ac:dyDescent="0.25">
      <c r="A75" s="2" t="s">
        <v>84</v>
      </c>
      <c r="B75" s="2" t="str">
        <f>CONCATENATE(A75,8)</f>
        <v>8QR4UV1CH508</v>
      </c>
      <c r="C75" s="2" t="s">
        <v>85</v>
      </c>
      <c r="D75" s="2" t="s">
        <v>258</v>
      </c>
      <c r="E75" s="2" t="s">
        <v>86</v>
      </c>
      <c r="F75" s="2" t="s">
        <v>64</v>
      </c>
      <c r="G75" s="2" t="s">
        <v>28</v>
      </c>
      <c r="H75" s="3">
        <v>45689</v>
      </c>
      <c r="I75" s="3">
        <v>45689</v>
      </c>
      <c r="J75" s="2">
        <v>16865615</v>
      </c>
      <c r="K75" s="2" t="s">
        <v>31</v>
      </c>
      <c r="L75" s="2" t="s">
        <v>89</v>
      </c>
      <c r="M75" s="2">
        <v>218.75</v>
      </c>
      <c r="N75" s="2">
        <v>162.5</v>
      </c>
      <c r="O75" s="2" t="s">
        <v>153</v>
      </c>
      <c r="P75" s="2" t="s">
        <v>167</v>
      </c>
    </row>
    <row r="76" spans="1:16" x14ac:dyDescent="0.25">
      <c r="A76" s="2" t="s">
        <v>148</v>
      </c>
      <c r="B76" s="2" t="str">
        <f>CONCATENATE(A76,8)</f>
        <v>4X70YJ1XD188</v>
      </c>
      <c r="C76" s="2" t="s">
        <v>149</v>
      </c>
      <c r="D76" s="2" t="s">
        <v>266</v>
      </c>
      <c r="E76" s="2" t="s">
        <v>150</v>
      </c>
      <c r="F76" s="2" t="s">
        <v>27</v>
      </c>
      <c r="G76" s="2" t="s">
        <v>28</v>
      </c>
      <c r="H76" s="3">
        <v>45901</v>
      </c>
      <c r="I76" s="3">
        <v>45901</v>
      </c>
      <c r="J76" s="2">
        <v>16865615</v>
      </c>
      <c r="K76" s="2" t="s">
        <v>31</v>
      </c>
      <c r="L76" s="2" t="s">
        <v>89</v>
      </c>
      <c r="M76" s="2">
        <v>146</v>
      </c>
      <c r="N76" s="2">
        <v>104.33</v>
      </c>
      <c r="O76" s="2" t="s">
        <v>156</v>
      </c>
      <c r="P76" s="2" t="s">
        <v>165</v>
      </c>
    </row>
    <row r="77" spans="1:16" x14ac:dyDescent="0.25">
      <c r="A77" s="2" t="s">
        <v>90</v>
      </c>
      <c r="B77" s="2" t="str">
        <f>CONCATENATE(A77,8)</f>
        <v>4Y45CG3MK518</v>
      </c>
      <c r="C77" s="2" t="s">
        <v>91</v>
      </c>
      <c r="D77" s="2" t="s">
        <v>267</v>
      </c>
      <c r="E77" s="2" t="s">
        <v>51</v>
      </c>
      <c r="F77" s="2" t="s">
        <v>27</v>
      </c>
      <c r="G77" s="2" t="s">
        <v>28</v>
      </c>
      <c r="H77" s="3">
        <v>45870</v>
      </c>
      <c r="I77" s="3">
        <v>45870</v>
      </c>
      <c r="J77" s="2">
        <v>9213293</v>
      </c>
      <c r="K77" s="2" t="s">
        <v>31</v>
      </c>
      <c r="L77" s="2" t="s">
        <v>93</v>
      </c>
      <c r="M77" s="2">
        <v>182.5</v>
      </c>
      <c r="N77" s="2">
        <v>130.41999999999999</v>
      </c>
      <c r="O77" s="2" t="s">
        <v>156</v>
      </c>
      <c r="P77" s="2" t="s">
        <v>166</v>
      </c>
    </row>
    <row r="78" spans="1:16" x14ac:dyDescent="0.25">
      <c r="A78" s="2" t="s">
        <v>134</v>
      </c>
      <c r="B78" s="2" t="str">
        <f>CONCATENATE(A78,8)</f>
        <v>4DR8UG8NG278</v>
      </c>
      <c r="C78" s="2" t="s">
        <v>135</v>
      </c>
      <c r="D78" s="2" t="s">
        <v>269</v>
      </c>
      <c r="E78" s="2" t="s">
        <v>51</v>
      </c>
      <c r="F78" s="2" t="s">
        <v>27</v>
      </c>
      <c r="G78" s="2" t="s">
        <v>28</v>
      </c>
      <c r="H78" s="3">
        <v>45839</v>
      </c>
      <c r="I78" s="3">
        <v>45839</v>
      </c>
      <c r="J78" s="2">
        <v>9213293</v>
      </c>
      <c r="K78" s="2" t="s">
        <v>31</v>
      </c>
      <c r="L78" s="2" t="s">
        <v>93</v>
      </c>
      <c r="M78" s="2">
        <v>219</v>
      </c>
      <c r="N78" s="2">
        <v>156.5</v>
      </c>
      <c r="O78" s="2" t="s">
        <v>156</v>
      </c>
      <c r="P78" s="2" t="s">
        <v>162</v>
      </c>
    </row>
    <row r="79" spans="1:16" x14ac:dyDescent="0.25">
      <c r="A79" s="2" t="s">
        <v>94</v>
      </c>
      <c r="B79" s="2" t="str">
        <f>CONCATENATE(A79,8)</f>
        <v>8DC4GA0YU958</v>
      </c>
      <c r="C79" s="2" t="s">
        <v>95</v>
      </c>
      <c r="D79" s="2" t="s">
        <v>268</v>
      </c>
      <c r="E79" s="2" t="s">
        <v>96</v>
      </c>
      <c r="F79" s="2" t="s">
        <v>27</v>
      </c>
      <c r="G79" s="2" t="s">
        <v>28</v>
      </c>
      <c r="H79" s="3">
        <v>45839</v>
      </c>
      <c r="I79" s="3">
        <v>45839</v>
      </c>
      <c r="J79" s="2">
        <v>16509456</v>
      </c>
      <c r="K79" s="2" t="s">
        <v>31</v>
      </c>
      <c r="L79" s="2" t="s">
        <v>99</v>
      </c>
      <c r="M79" s="2">
        <v>219</v>
      </c>
      <c r="N79" s="2">
        <v>156.5</v>
      </c>
      <c r="O79" s="2" t="s">
        <v>156</v>
      </c>
      <c r="P79" s="2" t="s">
        <v>162</v>
      </c>
    </row>
    <row r="80" spans="1:16" x14ac:dyDescent="0.25">
      <c r="A80" s="2" t="s">
        <v>54</v>
      </c>
      <c r="B80" s="2" t="str">
        <f>CONCATENATE(A80,7)</f>
        <v>3G99FX4CF127</v>
      </c>
      <c r="C80" s="2" t="s">
        <v>55</v>
      </c>
      <c r="D80" s="2" t="s">
        <v>259</v>
      </c>
      <c r="E80" s="2" t="s">
        <v>56</v>
      </c>
      <c r="F80" s="2" t="s">
        <v>43</v>
      </c>
      <c r="G80" s="2" t="s">
        <v>28</v>
      </c>
      <c r="H80" s="3">
        <v>45809</v>
      </c>
      <c r="I80" s="3">
        <v>45809</v>
      </c>
      <c r="J80" s="2">
        <v>8307933</v>
      </c>
      <c r="K80" s="2" t="s">
        <v>31</v>
      </c>
      <c r="L80" s="2" t="s">
        <v>59</v>
      </c>
      <c r="M80" s="2">
        <v>751</v>
      </c>
      <c r="N80" s="2">
        <v>626</v>
      </c>
      <c r="O80" s="2" t="s">
        <v>169</v>
      </c>
      <c r="P80" s="2" t="s">
        <v>170</v>
      </c>
    </row>
    <row r="81" spans="1:16" x14ac:dyDescent="0.25">
      <c r="A81" s="2" t="s">
        <v>121</v>
      </c>
      <c r="B81" s="2" t="str">
        <f>CONCATENATE(A81,7)</f>
        <v>3Y30G39YM117</v>
      </c>
      <c r="C81" s="2" t="s">
        <v>122</v>
      </c>
      <c r="D81" s="2" t="s">
        <v>261</v>
      </c>
      <c r="E81" s="2" t="s">
        <v>123</v>
      </c>
      <c r="F81" s="2" t="s">
        <v>43</v>
      </c>
      <c r="G81" s="2" t="s">
        <v>28</v>
      </c>
      <c r="H81" s="3">
        <v>45809</v>
      </c>
      <c r="I81" s="3">
        <v>45809</v>
      </c>
      <c r="J81" s="2">
        <v>8307933</v>
      </c>
      <c r="K81" s="2" t="s">
        <v>31</v>
      </c>
      <c r="L81" s="2" t="s">
        <v>59</v>
      </c>
      <c r="M81" s="2">
        <v>751</v>
      </c>
      <c r="N81" s="2">
        <v>626</v>
      </c>
      <c r="O81" s="2" t="s">
        <v>169</v>
      </c>
      <c r="P81" s="2" t="s">
        <v>170</v>
      </c>
    </row>
    <row r="82" spans="1:16" x14ac:dyDescent="0.25">
      <c r="A82" s="2" t="s">
        <v>54</v>
      </c>
      <c r="B82" s="2" t="str">
        <f>CONCATENATE(A82,8)</f>
        <v>3G99FX4CF128</v>
      </c>
      <c r="C82" s="2" t="s">
        <v>55</v>
      </c>
      <c r="D82" s="2" t="s">
        <v>259</v>
      </c>
      <c r="E82" s="2" t="s">
        <v>56</v>
      </c>
      <c r="F82" s="2" t="s">
        <v>39</v>
      </c>
      <c r="G82" s="2" t="s">
        <v>28</v>
      </c>
      <c r="H82" s="3">
        <v>45809</v>
      </c>
      <c r="I82" s="3">
        <v>45809</v>
      </c>
      <c r="J82" s="2">
        <v>8307933</v>
      </c>
      <c r="K82" s="2" t="s">
        <v>31</v>
      </c>
      <c r="L82" s="2" t="s">
        <v>59</v>
      </c>
      <c r="M82" s="2">
        <v>-255.5</v>
      </c>
      <c r="N82" s="2">
        <v>-234.75</v>
      </c>
      <c r="O82" s="2" t="s">
        <v>156</v>
      </c>
      <c r="P82" s="2" t="s">
        <v>159</v>
      </c>
    </row>
    <row r="83" spans="1:16" x14ac:dyDescent="0.25">
      <c r="A83" s="2" t="s">
        <v>121</v>
      </c>
      <c r="B83" s="2" t="str">
        <f>CONCATENATE(A83,8)</f>
        <v>3Y30G39YM118</v>
      </c>
      <c r="C83" s="2" t="s">
        <v>122</v>
      </c>
      <c r="D83" s="2" t="s">
        <v>261</v>
      </c>
      <c r="E83" s="2" t="s">
        <v>123</v>
      </c>
      <c r="F83" s="2" t="s">
        <v>39</v>
      </c>
      <c r="G83" s="2" t="s">
        <v>28</v>
      </c>
      <c r="H83" s="3">
        <v>45809</v>
      </c>
      <c r="I83" s="3">
        <v>45809</v>
      </c>
      <c r="J83" s="2">
        <v>8307933</v>
      </c>
      <c r="K83" s="2" t="s">
        <v>31</v>
      </c>
      <c r="L83" s="2" t="s">
        <v>59</v>
      </c>
      <c r="M83" s="2">
        <v>-255.5</v>
      </c>
      <c r="N83" s="2">
        <v>-234.75</v>
      </c>
      <c r="O83" s="2" t="s">
        <v>156</v>
      </c>
      <c r="P83" s="2" t="s">
        <v>159</v>
      </c>
    </row>
    <row r="84" spans="1:16" x14ac:dyDescent="0.25">
      <c r="A84" s="2" t="s">
        <v>130</v>
      </c>
      <c r="B84" s="2" t="str">
        <f>CONCATENATE(A84,8)</f>
        <v>8GG6CP6VE778</v>
      </c>
      <c r="C84" s="2" t="s">
        <v>131</v>
      </c>
      <c r="D84" s="2" t="s">
        <v>265</v>
      </c>
      <c r="E84" s="2" t="s">
        <v>132</v>
      </c>
      <c r="F84" s="2" t="s">
        <v>27</v>
      </c>
      <c r="G84" s="2" t="s">
        <v>28</v>
      </c>
      <c r="H84" s="3">
        <v>45901</v>
      </c>
      <c r="I84" s="3">
        <v>45901</v>
      </c>
      <c r="J84" s="2">
        <v>8307933</v>
      </c>
      <c r="K84" s="2" t="s">
        <v>31</v>
      </c>
      <c r="L84" s="2" t="s">
        <v>59</v>
      </c>
      <c r="M84" s="2">
        <v>146</v>
      </c>
      <c r="N84" s="2">
        <v>104.33</v>
      </c>
      <c r="O84" s="2" t="s">
        <v>156</v>
      </c>
      <c r="P84" s="2" t="s">
        <v>165</v>
      </c>
    </row>
    <row r="85" spans="1:16" x14ac:dyDescent="0.25">
      <c r="A85" s="2" t="s">
        <v>113</v>
      </c>
      <c r="B85" s="2" t="str">
        <f>CONCATENATE(A85,8)</f>
        <v>8QE7V25PV408</v>
      </c>
      <c r="C85" s="2" t="s">
        <v>114</v>
      </c>
      <c r="D85" s="2" t="s">
        <v>270</v>
      </c>
      <c r="E85" s="2" t="s">
        <v>51</v>
      </c>
      <c r="F85" s="2" t="s">
        <v>27</v>
      </c>
      <c r="G85" s="2" t="s">
        <v>28</v>
      </c>
      <c r="H85" s="3">
        <v>45809</v>
      </c>
      <c r="I85" s="3">
        <v>45809</v>
      </c>
      <c r="J85" s="2">
        <v>8307933</v>
      </c>
      <c r="K85" s="2" t="s">
        <v>31</v>
      </c>
      <c r="L85" s="2" t="s">
        <v>59</v>
      </c>
      <c r="M85" s="2">
        <v>255.5</v>
      </c>
      <c r="N85" s="2">
        <v>182.58</v>
      </c>
      <c r="O85" s="2" t="s">
        <v>156</v>
      </c>
      <c r="P85" s="2" t="s">
        <v>168</v>
      </c>
    </row>
    <row r="86" spans="1:16" x14ac:dyDescent="0.25">
      <c r="A86" s="2" t="s">
        <v>116</v>
      </c>
      <c r="B86" s="2" t="str">
        <f>CONCATENATE(A86,8)</f>
        <v>2CE0P67CF368</v>
      </c>
      <c r="C86" s="2" t="s">
        <v>117</v>
      </c>
      <c r="D86" s="2" t="s">
        <v>271</v>
      </c>
      <c r="E86" s="2" t="s">
        <v>51</v>
      </c>
      <c r="F86" s="2" t="s">
        <v>27</v>
      </c>
      <c r="G86" s="2" t="s">
        <v>28</v>
      </c>
      <c r="H86" s="3">
        <v>45809</v>
      </c>
      <c r="I86" s="3">
        <v>45809</v>
      </c>
      <c r="J86" s="2">
        <v>8307933</v>
      </c>
      <c r="K86" s="2" t="s">
        <v>31</v>
      </c>
      <c r="L86" s="2" t="s">
        <v>59</v>
      </c>
      <c r="M86" s="2">
        <v>255.5</v>
      </c>
      <c r="N86" s="2">
        <v>182.58</v>
      </c>
      <c r="O86" s="2" t="s">
        <v>156</v>
      </c>
      <c r="P86" s="2" t="s">
        <v>168</v>
      </c>
    </row>
    <row r="87" spans="1:16" x14ac:dyDescent="0.25">
      <c r="A87" s="2" t="s">
        <v>75</v>
      </c>
      <c r="B87" s="2" t="str">
        <f>CONCATENATE(A87,7)</f>
        <v>1CD2UG0XD037</v>
      </c>
      <c r="C87" s="2" t="s">
        <v>76</v>
      </c>
      <c r="D87" s="2" t="s">
        <v>260</v>
      </c>
      <c r="E87" s="2" t="s">
        <v>51</v>
      </c>
      <c r="F87" s="2" t="s">
        <v>43</v>
      </c>
      <c r="G87" s="2" t="s">
        <v>28</v>
      </c>
      <c r="H87" s="3">
        <v>45809</v>
      </c>
      <c r="I87" s="3">
        <v>45809</v>
      </c>
      <c r="J87" s="2">
        <v>18754354</v>
      </c>
      <c r="K87" s="2" t="s">
        <v>31</v>
      </c>
      <c r="L87" s="2" t="s">
        <v>77</v>
      </c>
      <c r="M87" s="2">
        <v>751</v>
      </c>
      <c r="N87" s="2">
        <v>626</v>
      </c>
      <c r="O87" s="2" t="s">
        <v>169</v>
      </c>
      <c r="P87" s="2" t="s">
        <v>170</v>
      </c>
    </row>
    <row r="88" spans="1:16" x14ac:dyDescent="0.25">
      <c r="A88" s="2" t="s">
        <v>143</v>
      </c>
      <c r="B88" s="2" t="str">
        <f>CONCATENATE(A88,7)</f>
        <v>1G92KF3RH947</v>
      </c>
      <c r="C88" s="2" t="s">
        <v>144</v>
      </c>
      <c r="D88" s="2" t="s">
        <v>262</v>
      </c>
      <c r="E88" s="2" t="s">
        <v>51</v>
      </c>
      <c r="F88" s="2" t="s">
        <v>43</v>
      </c>
      <c r="G88" s="2" t="s">
        <v>28</v>
      </c>
      <c r="H88" s="3">
        <v>45809</v>
      </c>
      <c r="I88" s="3">
        <v>45809</v>
      </c>
      <c r="J88" s="2">
        <v>18754354</v>
      </c>
      <c r="K88" s="2" t="s">
        <v>31</v>
      </c>
      <c r="L88" s="2" t="s">
        <v>77</v>
      </c>
      <c r="M88" s="2">
        <v>751</v>
      </c>
      <c r="N88" s="2">
        <v>626</v>
      </c>
      <c r="O88" s="2" t="s">
        <v>169</v>
      </c>
      <c r="P88" s="2" t="s">
        <v>170</v>
      </c>
    </row>
    <row r="89" spans="1:16" x14ac:dyDescent="0.25">
      <c r="A89" s="2" t="s">
        <v>75</v>
      </c>
      <c r="B89" s="2" t="str">
        <f>CONCATENATE(A89,8)</f>
        <v>1CD2UG0XD038</v>
      </c>
      <c r="C89" s="2" t="s">
        <v>76</v>
      </c>
      <c r="D89" s="2" t="s">
        <v>260</v>
      </c>
      <c r="E89" s="2" t="s">
        <v>51</v>
      </c>
      <c r="F89" s="2" t="s">
        <v>39</v>
      </c>
      <c r="G89" s="2" t="s">
        <v>28</v>
      </c>
      <c r="H89" s="3">
        <v>45809</v>
      </c>
      <c r="I89" s="3">
        <v>45809</v>
      </c>
      <c r="J89" s="2">
        <v>18754354</v>
      </c>
      <c r="K89" s="2" t="s">
        <v>31</v>
      </c>
      <c r="L89" s="2" t="s">
        <v>77</v>
      </c>
      <c r="M89" s="2">
        <v>-255.5</v>
      </c>
      <c r="N89" s="2">
        <v>-234.75</v>
      </c>
      <c r="O89" s="2" t="s">
        <v>156</v>
      </c>
      <c r="P89" s="2" t="s">
        <v>159</v>
      </c>
    </row>
    <row r="90" spans="1:16" x14ac:dyDescent="0.25">
      <c r="A90" s="2" t="s">
        <v>143</v>
      </c>
      <c r="B90" s="2" t="str">
        <f>CONCATENATE(A90,8)</f>
        <v>1G92KF3RH948</v>
      </c>
      <c r="C90" s="2" t="s">
        <v>144</v>
      </c>
      <c r="D90" s="2" t="s">
        <v>262</v>
      </c>
      <c r="E90" s="2" t="s">
        <v>51</v>
      </c>
      <c r="F90" s="2" t="s">
        <v>39</v>
      </c>
      <c r="G90" s="2" t="s">
        <v>28</v>
      </c>
      <c r="H90" s="3">
        <v>45809</v>
      </c>
      <c r="I90" s="3">
        <v>45809</v>
      </c>
      <c r="J90" s="2">
        <v>18754354</v>
      </c>
      <c r="K90" s="2" t="s">
        <v>31</v>
      </c>
      <c r="L90" s="2" t="s">
        <v>77</v>
      </c>
      <c r="M90" s="2">
        <v>-255.5</v>
      </c>
      <c r="N90" s="2">
        <v>-234.75</v>
      </c>
      <c r="O90" s="2" t="s">
        <v>156</v>
      </c>
      <c r="P90" s="2" t="s">
        <v>159</v>
      </c>
    </row>
  </sheetData>
  <sortState xmlns:xlrd2="http://schemas.microsoft.com/office/spreadsheetml/2017/richdata2" ref="A2:Z90">
    <sortCondition ref="L2:L9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78F2-FB93-4639-AF9A-189F3E038494}">
  <dimension ref="A1:E89"/>
  <sheetViews>
    <sheetView topLeftCell="A50" workbookViewId="0">
      <selection activeCell="E1" sqref="E1:E89"/>
    </sheetView>
  </sheetViews>
  <sheetFormatPr defaultRowHeight="15" x14ac:dyDescent="0.25"/>
  <cols>
    <col min="1" max="1" width="28.85546875" bestFit="1" customWidth="1"/>
    <col min="5" max="5" width="18.5703125" bestFit="1" customWidth="1"/>
  </cols>
  <sheetData>
    <row r="1" spans="1:5" x14ac:dyDescent="0.25">
      <c r="A1" s="2" t="s">
        <v>174</v>
      </c>
      <c r="B1" t="s">
        <v>175</v>
      </c>
      <c r="C1" t="s">
        <v>176</v>
      </c>
      <c r="E1" t="str">
        <f>CONCATENATE(C1, " ",A1)</f>
        <v>MEGAN HINCHSLIFF</v>
      </c>
    </row>
    <row r="2" spans="1:5" x14ac:dyDescent="0.25">
      <c r="A2" s="2" t="s">
        <v>174</v>
      </c>
      <c r="B2" t="s">
        <v>175</v>
      </c>
      <c r="C2" t="s">
        <v>176</v>
      </c>
      <c r="E2" t="str">
        <f t="shared" ref="E2:E65" si="0">CONCATENATE(C2, " ",A2)</f>
        <v>MEGAN HINCHSLIFF</v>
      </c>
    </row>
    <row r="3" spans="1:5" x14ac:dyDescent="0.25">
      <c r="A3" s="2" t="s">
        <v>177</v>
      </c>
      <c r="B3" t="s">
        <v>178</v>
      </c>
      <c r="C3" t="s">
        <v>179</v>
      </c>
      <c r="E3" t="str">
        <f t="shared" si="0"/>
        <v>DENISE BREIDE</v>
      </c>
    </row>
    <row r="4" spans="1:5" x14ac:dyDescent="0.25">
      <c r="A4" s="2" t="s">
        <v>180</v>
      </c>
      <c r="B4" t="s">
        <v>181</v>
      </c>
      <c r="C4" t="s">
        <v>182</v>
      </c>
      <c r="E4" t="str">
        <f t="shared" si="0"/>
        <v>CHARLES CAMPBELL</v>
      </c>
    </row>
    <row r="5" spans="1:5" x14ac:dyDescent="0.25">
      <c r="A5" s="2" t="s">
        <v>183</v>
      </c>
      <c r="B5" t="s">
        <v>178</v>
      </c>
      <c r="C5" t="s">
        <v>184</v>
      </c>
      <c r="E5" t="str">
        <f t="shared" si="0"/>
        <v>KATHY MITCHELL</v>
      </c>
    </row>
    <row r="6" spans="1:5" x14ac:dyDescent="0.25">
      <c r="A6" s="2" t="s">
        <v>183</v>
      </c>
      <c r="B6" t="s">
        <v>178</v>
      </c>
      <c r="C6" t="s">
        <v>184</v>
      </c>
      <c r="E6" t="str">
        <f t="shared" si="0"/>
        <v>KATHY MITCHELL</v>
      </c>
    </row>
    <row r="7" spans="1:5" x14ac:dyDescent="0.25">
      <c r="A7" s="2" t="s">
        <v>185</v>
      </c>
      <c r="B7" t="s">
        <v>175</v>
      </c>
      <c r="C7" t="s">
        <v>186</v>
      </c>
      <c r="E7" t="str">
        <f t="shared" si="0"/>
        <v>MARIA GUILLEN</v>
      </c>
    </row>
    <row r="8" spans="1:5" x14ac:dyDescent="0.25">
      <c r="A8" s="2" t="s">
        <v>187</v>
      </c>
      <c r="B8" t="s">
        <v>188</v>
      </c>
      <c r="C8" t="s">
        <v>189</v>
      </c>
      <c r="E8" t="str">
        <f t="shared" si="0"/>
        <v>KEVIN CALLOZZO</v>
      </c>
    </row>
    <row r="9" spans="1:5" x14ac:dyDescent="0.25">
      <c r="A9" s="2" t="s">
        <v>190</v>
      </c>
      <c r="B9" t="s">
        <v>191</v>
      </c>
      <c r="C9" t="s">
        <v>192</v>
      </c>
      <c r="E9" t="str">
        <f t="shared" si="0"/>
        <v>JOANNE LOSHBOUGH</v>
      </c>
    </row>
    <row r="10" spans="1:5" x14ac:dyDescent="0.25">
      <c r="A10" s="2" t="s">
        <v>190</v>
      </c>
      <c r="B10" t="s">
        <v>191</v>
      </c>
      <c r="C10" t="s">
        <v>192</v>
      </c>
      <c r="E10" t="str">
        <f t="shared" si="0"/>
        <v>JOANNE LOSHBOUGH</v>
      </c>
    </row>
    <row r="11" spans="1:5" x14ac:dyDescent="0.25">
      <c r="A11" s="2" t="s">
        <v>187</v>
      </c>
      <c r="B11" t="s">
        <v>188</v>
      </c>
      <c r="C11" t="s">
        <v>189</v>
      </c>
      <c r="E11" t="str">
        <f t="shared" si="0"/>
        <v>KEVIN CALLOZZO</v>
      </c>
    </row>
    <row r="12" spans="1:5" x14ac:dyDescent="0.25">
      <c r="A12" s="2" t="s">
        <v>193</v>
      </c>
      <c r="B12" t="s">
        <v>188</v>
      </c>
      <c r="C12" t="s">
        <v>194</v>
      </c>
      <c r="E12" t="str">
        <f t="shared" si="0"/>
        <v>LOUIE OLAH</v>
      </c>
    </row>
    <row r="13" spans="1:5" x14ac:dyDescent="0.25">
      <c r="A13" s="2" t="s">
        <v>195</v>
      </c>
      <c r="B13" t="s">
        <v>181</v>
      </c>
      <c r="C13" t="s">
        <v>196</v>
      </c>
      <c r="E13" t="str">
        <f t="shared" si="0"/>
        <v>WILLIAM CERNY</v>
      </c>
    </row>
    <row r="14" spans="1:5" x14ac:dyDescent="0.25">
      <c r="A14" s="2" t="s">
        <v>197</v>
      </c>
      <c r="B14" t="s">
        <v>181</v>
      </c>
      <c r="C14" t="s">
        <v>198</v>
      </c>
      <c r="E14" t="str">
        <f t="shared" si="0"/>
        <v>JEFFREY MIHALKA</v>
      </c>
    </row>
    <row r="15" spans="1:5" x14ac:dyDescent="0.25">
      <c r="A15" s="2" t="s">
        <v>199</v>
      </c>
      <c r="B15" t="s">
        <v>200</v>
      </c>
      <c r="C15" t="s">
        <v>201</v>
      </c>
      <c r="E15" t="str">
        <f t="shared" si="0"/>
        <v>JOAN GAVIN</v>
      </c>
    </row>
    <row r="16" spans="1:5" x14ac:dyDescent="0.25">
      <c r="A16" s="2" t="s">
        <v>195</v>
      </c>
      <c r="B16" t="s">
        <v>181</v>
      </c>
      <c r="C16" t="s">
        <v>196</v>
      </c>
      <c r="E16" t="str">
        <f t="shared" si="0"/>
        <v>WILLIAM CERNY</v>
      </c>
    </row>
    <row r="17" spans="1:5" x14ac:dyDescent="0.25">
      <c r="A17" s="2" t="s">
        <v>197</v>
      </c>
      <c r="B17" t="s">
        <v>181</v>
      </c>
      <c r="C17" t="s">
        <v>198</v>
      </c>
      <c r="E17" t="str">
        <f t="shared" si="0"/>
        <v>JEFFREY MIHALKA</v>
      </c>
    </row>
    <row r="18" spans="1:5" x14ac:dyDescent="0.25">
      <c r="A18" s="2" t="s">
        <v>199</v>
      </c>
      <c r="B18" t="s">
        <v>200</v>
      </c>
      <c r="C18" t="s">
        <v>201</v>
      </c>
      <c r="E18" t="str">
        <f t="shared" si="0"/>
        <v>JOAN GAVIN</v>
      </c>
    </row>
    <row r="19" spans="1:5" x14ac:dyDescent="0.25">
      <c r="A19" s="2" t="s">
        <v>202</v>
      </c>
      <c r="B19" t="s">
        <v>203</v>
      </c>
      <c r="C19" t="s">
        <v>204</v>
      </c>
      <c r="E19" t="str">
        <f t="shared" si="0"/>
        <v>MICHAEL MORRISON</v>
      </c>
    </row>
    <row r="20" spans="1:5" x14ac:dyDescent="0.25">
      <c r="A20" s="2" t="s">
        <v>205</v>
      </c>
      <c r="B20" t="s">
        <v>203</v>
      </c>
      <c r="C20" t="s">
        <v>206</v>
      </c>
      <c r="E20" t="str">
        <f t="shared" si="0"/>
        <v>PAMELA SIEGEL</v>
      </c>
    </row>
    <row r="21" spans="1:5" x14ac:dyDescent="0.25">
      <c r="A21" s="2" t="s">
        <v>207</v>
      </c>
      <c r="B21" t="s">
        <v>181</v>
      </c>
      <c r="C21" t="s">
        <v>208</v>
      </c>
      <c r="E21" t="str">
        <f t="shared" si="0"/>
        <v>CAROL STEPHENS</v>
      </c>
    </row>
    <row r="22" spans="1:5" x14ac:dyDescent="0.25">
      <c r="A22" s="2" t="s">
        <v>205</v>
      </c>
      <c r="B22" t="s">
        <v>203</v>
      </c>
      <c r="C22" t="s">
        <v>206</v>
      </c>
      <c r="E22" t="str">
        <f t="shared" si="0"/>
        <v>PAMELA SIEGEL</v>
      </c>
    </row>
    <row r="23" spans="1:5" x14ac:dyDescent="0.25">
      <c r="A23" s="2" t="s">
        <v>207</v>
      </c>
      <c r="B23" t="s">
        <v>181</v>
      </c>
      <c r="C23" t="s">
        <v>208</v>
      </c>
      <c r="E23" t="str">
        <f t="shared" si="0"/>
        <v>CAROL STEPHENS</v>
      </c>
    </row>
    <row r="24" spans="1:5" x14ac:dyDescent="0.25">
      <c r="A24" s="2" t="s">
        <v>209</v>
      </c>
      <c r="B24" t="s">
        <v>210</v>
      </c>
      <c r="C24" t="s">
        <v>211</v>
      </c>
      <c r="E24" t="str">
        <f t="shared" si="0"/>
        <v>LISA MANGANELLO</v>
      </c>
    </row>
    <row r="25" spans="1:5" x14ac:dyDescent="0.25">
      <c r="A25" s="2" t="s">
        <v>212</v>
      </c>
      <c r="B25" t="s">
        <v>181</v>
      </c>
      <c r="C25" t="s">
        <v>204</v>
      </c>
      <c r="E25" t="str">
        <f t="shared" si="0"/>
        <v>MICHAEL RIZZO</v>
      </c>
    </row>
    <row r="26" spans="1:5" x14ac:dyDescent="0.25">
      <c r="A26" s="2" t="s">
        <v>213</v>
      </c>
      <c r="B26" t="s">
        <v>188</v>
      </c>
      <c r="C26" t="s">
        <v>214</v>
      </c>
      <c r="E26" t="str">
        <f t="shared" si="0"/>
        <v>COLLEEN MCABEE</v>
      </c>
    </row>
    <row r="27" spans="1:5" x14ac:dyDescent="0.25">
      <c r="A27" s="2" t="s">
        <v>199</v>
      </c>
      <c r="B27" t="s">
        <v>200</v>
      </c>
      <c r="C27" t="s">
        <v>201</v>
      </c>
      <c r="E27" t="str">
        <f t="shared" si="0"/>
        <v>JOAN GAVIN</v>
      </c>
    </row>
    <row r="28" spans="1:5" x14ac:dyDescent="0.25">
      <c r="A28" s="2" t="s">
        <v>190</v>
      </c>
      <c r="B28" t="s">
        <v>191</v>
      </c>
      <c r="C28" t="s">
        <v>192</v>
      </c>
      <c r="E28" t="str">
        <f t="shared" si="0"/>
        <v>JOANNE LOSHBOUGH</v>
      </c>
    </row>
    <row r="29" spans="1:5" x14ac:dyDescent="0.25">
      <c r="A29" s="2" t="s">
        <v>187</v>
      </c>
      <c r="B29" t="s">
        <v>188</v>
      </c>
      <c r="C29" t="s">
        <v>189</v>
      </c>
      <c r="E29" t="str">
        <f t="shared" si="0"/>
        <v>KEVIN CALLOZZO</v>
      </c>
    </row>
    <row r="30" spans="1:5" x14ac:dyDescent="0.25">
      <c r="A30" s="2" t="s">
        <v>195</v>
      </c>
      <c r="B30" t="s">
        <v>181</v>
      </c>
      <c r="C30" t="s">
        <v>196</v>
      </c>
      <c r="E30" t="str">
        <f t="shared" si="0"/>
        <v>WILLIAM CERNY</v>
      </c>
    </row>
    <row r="31" spans="1:5" x14ac:dyDescent="0.25">
      <c r="A31" s="2" t="s">
        <v>215</v>
      </c>
      <c r="B31" t="s">
        <v>188</v>
      </c>
      <c r="C31" t="s">
        <v>216</v>
      </c>
      <c r="E31" t="str">
        <f t="shared" si="0"/>
        <v>ROBBY CRANK</v>
      </c>
    </row>
    <row r="32" spans="1:5" x14ac:dyDescent="0.25">
      <c r="A32" s="2" t="s">
        <v>217</v>
      </c>
      <c r="B32" t="s">
        <v>178</v>
      </c>
      <c r="C32" t="s">
        <v>218</v>
      </c>
      <c r="E32" t="str">
        <f t="shared" si="0"/>
        <v>CHRISTINE HOCHSPRUNG</v>
      </c>
    </row>
    <row r="33" spans="1:5" x14ac:dyDescent="0.25">
      <c r="A33" s="2" t="s">
        <v>183</v>
      </c>
      <c r="B33" t="s">
        <v>178</v>
      </c>
      <c r="C33" t="s">
        <v>184</v>
      </c>
      <c r="E33" t="str">
        <f t="shared" si="0"/>
        <v>KATHY MITCHELL</v>
      </c>
    </row>
    <row r="34" spans="1:5" x14ac:dyDescent="0.25">
      <c r="A34" s="2" t="s">
        <v>219</v>
      </c>
      <c r="B34" t="s">
        <v>220</v>
      </c>
      <c r="C34" t="s">
        <v>222</v>
      </c>
      <c r="E34" t="str">
        <f t="shared" si="0"/>
        <v>MAGDALENA ROSA</v>
      </c>
    </row>
    <row r="35" spans="1:5" x14ac:dyDescent="0.25">
      <c r="A35" s="2" t="s">
        <v>223</v>
      </c>
      <c r="B35" t="s">
        <v>175</v>
      </c>
      <c r="C35" t="s">
        <v>224</v>
      </c>
      <c r="E35" t="str">
        <f t="shared" si="0"/>
        <v>ANKA STARKE</v>
      </c>
    </row>
    <row r="36" spans="1:5" x14ac:dyDescent="0.25">
      <c r="A36" s="2" t="s">
        <v>205</v>
      </c>
      <c r="B36" t="s">
        <v>203</v>
      </c>
      <c r="C36" t="s">
        <v>206</v>
      </c>
      <c r="E36" t="str">
        <f t="shared" si="0"/>
        <v>PAMELA SIEGEL</v>
      </c>
    </row>
    <row r="37" spans="1:5" x14ac:dyDescent="0.25">
      <c r="A37" s="2" t="s">
        <v>174</v>
      </c>
      <c r="B37" t="s">
        <v>175</v>
      </c>
      <c r="C37" t="s">
        <v>176</v>
      </c>
      <c r="E37" t="str">
        <f t="shared" si="0"/>
        <v>MEGAN HINCHSLIFF</v>
      </c>
    </row>
    <row r="38" spans="1:5" x14ac:dyDescent="0.25">
      <c r="A38" s="2" t="s">
        <v>197</v>
      </c>
      <c r="B38" t="s">
        <v>181</v>
      </c>
      <c r="C38" t="s">
        <v>198</v>
      </c>
      <c r="E38" t="str">
        <f t="shared" si="0"/>
        <v>JEFFREY MIHALKA</v>
      </c>
    </row>
    <row r="39" spans="1:5" x14ac:dyDescent="0.25">
      <c r="A39" s="2" t="s">
        <v>225</v>
      </c>
      <c r="B39" t="s">
        <v>188</v>
      </c>
      <c r="C39" t="s">
        <v>226</v>
      </c>
      <c r="E39" t="str">
        <f t="shared" si="0"/>
        <v>DAVID SHELLY</v>
      </c>
    </row>
    <row r="40" spans="1:5" x14ac:dyDescent="0.25">
      <c r="A40" s="2" t="s">
        <v>207</v>
      </c>
      <c r="B40" t="s">
        <v>181</v>
      </c>
      <c r="C40" t="s">
        <v>208</v>
      </c>
      <c r="E40" t="str">
        <f t="shared" si="0"/>
        <v>CAROL STEPHENS</v>
      </c>
    </row>
    <row r="41" spans="1:5" x14ac:dyDescent="0.25">
      <c r="A41" s="2" t="s">
        <v>227</v>
      </c>
      <c r="B41" t="s">
        <v>181</v>
      </c>
      <c r="C41" t="s">
        <v>228</v>
      </c>
      <c r="E41" t="str">
        <f t="shared" si="0"/>
        <v>KELLY SCHLOBOHM</v>
      </c>
    </row>
    <row r="42" spans="1:5" x14ac:dyDescent="0.25">
      <c r="A42" s="2" t="s">
        <v>227</v>
      </c>
      <c r="B42" t="s">
        <v>181</v>
      </c>
      <c r="C42" t="s">
        <v>228</v>
      </c>
      <c r="E42" t="str">
        <f t="shared" si="0"/>
        <v>KELLY SCHLOBOHM</v>
      </c>
    </row>
    <row r="43" spans="1:5" x14ac:dyDescent="0.25">
      <c r="A43" s="2" t="s">
        <v>193</v>
      </c>
      <c r="B43" t="s">
        <v>188</v>
      </c>
      <c r="C43" t="s">
        <v>194</v>
      </c>
      <c r="E43" t="str">
        <f t="shared" si="0"/>
        <v>LOUIE OLAH</v>
      </c>
    </row>
    <row r="44" spans="1:5" x14ac:dyDescent="0.25">
      <c r="A44" s="2" t="s">
        <v>229</v>
      </c>
      <c r="B44" t="s">
        <v>188</v>
      </c>
      <c r="C44" t="s">
        <v>230</v>
      </c>
      <c r="E44" t="str">
        <f t="shared" si="0"/>
        <v>LUANNA SCHMITZ</v>
      </c>
    </row>
    <row r="45" spans="1:5" x14ac:dyDescent="0.25">
      <c r="A45" s="2" t="s">
        <v>231</v>
      </c>
      <c r="B45" t="s">
        <v>221</v>
      </c>
      <c r="C45" t="s">
        <v>232</v>
      </c>
      <c r="E45" t="str">
        <f t="shared" si="0"/>
        <v>DEBRA WYLLIE</v>
      </c>
    </row>
    <row r="46" spans="1:5" x14ac:dyDescent="0.25">
      <c r="A46" s="2" t="s">
        <v>233</v>
      </c>
      <c r="B46" t="s">
        <v>175</v>
      </c>
      <c r="C46" t="s">
        <v>234</v>
      </c>
      <c r="E46" t="str">
        <f t="shared" si="0"/>
        <v>RENEE MCMATH</v>
      </c>
    </row>
    <row r="47" spans="1:5" x14ac:dyDescent="0.25">
      <c r="A47" s="2" t="s">
        <v>213</v>
      </c>
      <c r="B47" t="s">
        <v>188</v>
      </c>
      <c r="C47" t="s">
        <v>214</v>
      </c>
      <c r="E47" t="str">
        <f t="shared" si="0"/>
        <v>COLLEEN MCABEE</v>
      </c>
    </row>
    <row r="48" spans="1:5" x14ac:dyDescent="0.25">
      <c r="A48" s="2" t="s">
        <v>199</v>
      </c>
      <c r="B48" t="s">
        <v>200</v>
      </c>
      <c r="C48" t="s">
        <v>201</v>
      </c>
      <c r="E48" t="str">
        <f t="shared" si="0"/>
        <v>JOAN GAVIN</v>
      </c>
    </row>
    <row r="49" spans="1:5" x14ac:dyDescent="0.25">
      <c r="A49" s="2" t="s">
        <v>235</v>
      </c>
      <c r="B49" t="s">
        <v>221</v>
      </c>
      <c r="C49" t="s">
        <v>236</v>
      </c>
      <c r="E49" t="str">
        <f t="shared" si="0"/>
        <v>LOIS MCROBERTS</v>
      </c>
    </row>
    <row r="50" spans="1:5" x14ac:dyDescent="0.25">
      <c r="A50" s="2" t="s">
        <v>202</v>
      </c>
      <c r="B50" t="s">
        <v>203</v>
      </c>
      <c r="C50" t="s">
        <v>204</v>
      </c>
      <c r="E50" t="str">
        <f t="shared" si="0"/>
        <v>MICHAEL MORRISON</v>
      </c>
    </row>
    <row r="51" spans="1:5" x14ac:dyDescent="0.25">
      <c r="A51" s="2" t="s">
        <v>237</v>
      </c>
      <c r="B51" t="s">
        <v>188</v>
      </c>
      <c r="C51" t="s">
        <v>208</v>
      </c>
      <c r="E51" t="str">
        <f t="shared" si="0"/>
        <v>CAROL SCIAME</v>
      </c>
    </row>
    <row r="52" spans="1:5" x14ac:dyDescent="0.25">
      <c r="A52" s="2" t="s">
        <v>177</v>
      </c>
      <c r="B52" t="s">
        <v>178</v>
      </c>
      <c r="C52" t="s">
        <v>179</v>
      </c>
      <c r="E52" t="str">
        <f t="shared" si="0"/>
        <v>DENISE BREIDE</v>
      </c>
    </row>
    <row r="53" spans="1:5" x14ac:dyDescent="0.25">
      <c r="A53" s="2" t="s">
        <v>180</v>
      </c>
      <c r="B53" t="s">
        <v>181</v>
      </c>
      <c r="C53" t="s">
        <v>182</v>
      </c>
      <c r="E53" t="str">
        <f t="shared" si="0"/>
        <v>CHARLES CAMPBELL</v>
      </c>
    </row>
    <row r="54" spans="1:5" x14ac:dyDescent="0.25">
      <c r="A54" s="2" t="s">
        <v>209</v>
      </c>
      <c r="B54" t="s">
        <v>210</v>
      </c>
      <c r="C54" t="s">
        <v>211</v>
      </c>
      <c r="E54" t="str">
        <f t="shared" si="0"/>
        <v>LISA MANGANELLO</v>
      </c>
    </row>
    <row r="55" spans="1:5" x14ac:dyDescent="0.25">
      <c r="A55" s="2" t="s">
        <v>212</v>
      </c>
      <c r="B55" t="s">
        <v>181</v>
      </c>
      <c r="C55" t="s">
        <v>204</v>
      </c>
      <c r="E55" t="str">
        <f t="shared" si="0"/>
        <v>MICHAEL RIZZO</v>
      </c>
    </row>
    <row r="56" spans="1:5" x14ac:dyDescent="0.25">
      <c r="A56" s="2" t="s">
        <v>238</v>
      </c>
      <c r="B56" t="s">
        <v>181</v>
      </c>
      <c r="C56" t="s">
        <v>239</v>
      </c>
      <c r="E56" t="str">
        <f t="shared" si="0"/>
        <v>GERALD PUCKETT</v>
      </c>
    </row>
    <row r="57" spans="1:5" x14ac:dyDescent="0.25">
      <c r="A57" s="2" t="s">
        <v>240</v>
      </c>
      <c r="C57" t="s">
        <v>241</v>
      </c>
      <c r="E57" t="str">
        <f t="shared" si="0"/>
        <v>DIANA QUESADA</v>
      </c>
    </row>
    <row r="58" spans="1:5" x14ac:dyDescent="0.25">
      <c r="A58" s="2" t="s">
        <v>187</v>
      </c>
      <c r="B58" t="s">
        <v>188</v>
      </c>
      <c r="C58" t="s">
        <v>189</v>
      </c>
      <c r="E58" t="str">
        <f t="shared" si="0"/>
        <v>KEVIN CALLOZZO</v>
      </c>
    </row>
    <row r="59" spans="1:5" x14ac:dyDescent="0.25">
      <c r="A59" s="2" t="s">
        <v>195</v>
      </c>
      <c r="B59" t="s">
        <v>181</v>
      </c>
      <c r="C59" t="s">
        <v>196</v>
      </c>
      <c r="E59" t="str">
        <f t="shared" si="0"/>
        <v>WILLIAM CERNY</v>
      </c>
    </row>
    <row r="60" spans="1:5" x14ac:dyDescent="0.25">
      <c r="A60" s="2" t="s">
        <v>215</v>
      </c>
      <c r="B60" t="s">
        <v>188</v>
      </c>
      <c r="C60" t="s">
        <v>216</v>
      </c>
      <c r="E60" t="str">
        <f t="shared" si="0"/>
        <v>ROBBY CRANK</v>
      </c>
    </row>
    <row r="61" spans="1:5" x14ac:dyDescent="0.25">
      <c r="A61" s="2" t="s">
        <v>174</v>
      </c>
      <c r="B61" t="s">
        <v>175</v>
      </c>
      <c r="C61" t="s">
        <v>176</v>
      </c>
      <c r="E61" t="str">
        <f t="shared" si="0"/>
        <v>MEGAN HINCHSLIFF</v>
      </c>
    </row>
    <row r="62" spans="1:5" x14ac:dyDescent="0.25">
      <c r="A62" s="2" t="s">
        <v>217</v>
      </c>
      <c r="B62" t="s">
        <v>178</v>
      </c>
      <c r="C62" t="s">
        <v>218</v>
      </c>
      <c r="E62" t="str">
        <f t="shared" si="0"/>
        <v>CHRISTINE HOCHSPRUNG</v>
      </c>
    </row>
    <row r="63" spans="1:5" x14ac:dyDescent="0.25">
      <c r="A63" s="2" t="s">
        <v>190</v>
      </c>
      <c r="B63" t="s">
        <v>191</v>
      </c>
      <c r="C63" t="s">
        <v>192</v>
      </c>
      <c r="E63" t="str">
        <f t="shared" si="0"/>
        <v>JOANNE LOSHBOUGH</v>
      </c>
    </row>
    <row r="64" spans="1:5" x14ac:dyDescent="0.25">
      <c r="A64" s="2" t="s">
        <v>197</v>
      </c>
      <c r="B64" t="s">
        <v>181</v>
      </c>
      <c r="C64" t="s">
        <v>198</v>
      </c>
      <c r="E64" t="str">
        <f t="shared" si="0"/>
        <v>JEFFREY MIHALKA</v>
      </c>
    </row>
    <row r="65" spans="1:5" x14ac:dyDescent="0.25">
      <c r="A65" s="2" t="s">
        <v>183</v>
      </c>
      <c r="B65" t="s">
        <v>178</v>
      </c>
      <c r="C65" t="s">
        <v>184</v>
      </c>
      <c r="E65" t="str">
        <f t="shared" si="0"/>
        <v>KATHY MITCHELL</v>
      </c>
    </row>
    <row r="66" spans="1:5" x14ac:dyDescent="0.25">
      <c r="A66" s="2" t="s">
        <v>219</v>
      </c>
      <c r="B66" t="s">
        <v>220</v>
      </c>
      <c r="C66" t="s">
        <v>222</v>
      </c>
      <c r="E66" t="str">
        <f t="shared" ref="E66:E89" si="1">CONCATENATE(C66, " ",A66)</f>
        <v>MAGDALENA ROSA</v>
      </c>
    </row>
    <row r="67" spans="1:5" x14ac:dyDescent="0.25">
      <c r="A67" s="2" t="s">
        <v>223</v>
      </c>
      <c r="B67" t="s">
        <v>175</v>
      </c>
      <c r="C67" t="s">
        <v>224</v>
      </c>
      <c r="E67" t="str">
        <f t="shared" si="1"/>
        <v>ANKA STARKE</v>
      </c>
    </row>
    <row r="68" spans="1:5" x14ac:dyDescent="0.25">
      <c r="A68" s="2" t="s">
        <v>225</v>
      </c>
      <c r="B68" t="s">
        <v>188</v>
      </c>
      <c r="C68" t="s">
        <v>226</v>
      </c>
      <c r="E68" t="str">
        <f t="shared" si="1"/>
        <v>DAVID SHELLY</v>
      </c>
    </row>
    <row r="69" spans="1:5" x14ac:dyDescent="0.25">
      <c r="A69" s="2" t="s">
        <v>205</v>
      </c>
      <c r="B69" t="s">
        <v>203</v>
      </c>
      <c r="C69" t="s">
        <v>206</v>
      </c>
      <c r="E69" t="str">
        <f t="shared" si="1"/>
        <v>PAMELA SIEGEL</v>
      </c>
    </row>
    <row r="70" spans="1:5" x14ac:dyDescent="0.25">
      <c r="A70" s="2" t="s">
        <v>207</v>
      </c>
      <c r="B70" t="s">
        <v>181</v>
      </c>
      <c r="C70" t="s">
        <v>208</v>
      </c>
      <c r="E70" t="str">
        <f t="shared" si="1"/>
        <v>CAROL STEPHENS</v>
      </c>
    </row>
    <row r="71" spans="1:5" x14ac:dyDescent="0.25">
      <c r="A71" s="2" t="s">
        <v>225</v>
      </c>
      <c r="B71" t="s">
        <v>188</v>
      </c>
      <c r="C71" t="s">
        <v>226</v>
      </c>
      <c r="E71" t="str">
        <f t="shared" si="1"/>
        <v>DAVID SHELLY</v>
      </c>
    </row>
    <row r="72" spans="1:5" x14ac:dyDescent="0.25">
      <c r="A72" s="2" t="s">
        <v>225</v>
      </c>
      <c r="B72" t="s">
        <v>188</v>
      </c>
      <c r="C72" t="s">
        <v>226</v>
      </c>
      <c r="E72" t="str">
        <f t="shared" si="1"/>
        <v>DAVID SHELLY</v>
      </c>
    </row>
    <row r="73" spans="1:5" x14ac:dyDescent="0.25">
      <c r="A73" s="2" t="s">
        <v>213</v>
      </c>
      <c r="B73" t="s">
        <v>188</v>
      </c>
      <c r="C73" t="s">
        <v>214</v>
      </c>
      <c r="E73" t="str">
        <f t="shared" si="1"/>
        <v>COLLEEN MCABEE</v>
      </c>
    </row>
    <row r="74" spans="1:5" x14ac:dyDescent="0.25">
      <c r="A74" s="2" t="s">
        <v>213</v>
      </c>
      <c r="B74" t="s">
        <v>188</v>
      </c>
      <c r="C74" t="s">
        <v>214</v>
      </c>
      <c r="E74" t="str">
        <f t="shared" si="1"/>
        <v>COLLEEN MCABEE</v>
      </c>
    </row>
    <row r="75" spans="1:5" x14ac:dyDescent="0.25">
      <c r="A75" s="2" t="s">
        <v>231</v>
      </c>
      <c r="B75" t="s">
        <v>221</v>
      </c>
      <c r="C75" t="s">
        <v>232</v>
      </c>
      <c r="E75" t="str">
        <f t="shared" si="1"/>
        <v>DEBRA WYLLIE</v>
      </c>
    </row>
    <row r="76" spans="1:5" x14ac:dyDescent="0.25">
      <c r="A76" s="2" t="s">
        <v>233</v>
      </c>
      <c r="B76" t="s">
        <v>175</v>
      </c>
      <c r="C76" t="s">
        <v>234</v>
      </c>
      <c r="E76" t="str">
        <f t="shared" si="1"/>
        <v>RENEE MCMATH</v>
      </c>
    </row>
    <row r="77" spans="1:5" x14ac:dyDescent="0.25">
      <c r="A77" s="2" t="s">
        <v>237</v>
      </c>
      <c r="B77" t="s">
        <v>188</v>
      </c>
      <c r="C77" t="s">
        <v>208</v>
      </c>
      <c r="E77" t="str">
        <f t="shared" si="1"/>
        <v>CAROL SCIAME</v>
      </c>
    </row>
    <row r="78" spans="1:5" x14ac:dyDescent="0.25">
      <c r="A78" s="2" t="s">
        <v>235</v>
      </c>
      <c r="B78" t="s">
        <v>221</v>
      </c>
      <c r="C78" t="s">
        <v>236</v>
      </c>
      <c r="E78" t="str">
        <f t="shared" si="1"/>
        <v>LOIS MCROBERTS</v>
      </c>
    </row>
    <row r="79" spans="1:5" x14ac:dyDescent="0.25">
      <c r="A79" s="2" t="s">
        <v>215</v>
      </c>
      <c r="B79" t="s">
        <v>188</v>
      </c>
      <c r="C79" t="s">
        <v>216</v>
      </c>
      <c r="E79" t="str">
        <f t="shared" si="1"/>
        <v>ROBBY CRANK</v>
      </c>
    </row>
    <row r="80" spans="1:5" x14ac:dyDescent="0.25">
      <c r="A80" s="2" t="s">
        <v>219</v>
      </c>
      <c r="B80" t="s">
        <v>220</v>
      </c>
      <c r="C80" t="s">
        <v>222</v>
      </c>
      <c r="E80" t="str">
        <f t="shared" si="1"/>
        <v>MAGDALENA ROSA</v>
      </c>
    </row>
    <row r="81" spans="1:5" x14ac:dyDescent="0.25">
      <c r="A81" s="2" t="s">
        <v>215</v>
      </c>
      <c r="B81" t="s">
        <v>188</v>
      </c>
      <c r="C81" t="s">
        <v>216</v>
      </c>
      <c r="E81" t="str">
        <f t="shared" si="1"/>
        <v>ROBBY CRANK</v>
      </c>
    </row>
    <row r="82" spans="1:5" x14ac:dyDescent="0.25">
      <c r="A82" s="2" t="s">
        <v>219</v>
      </c>
      <c r="B82" t="s">
        <v>220</v>
      </c>
      <c r="C82" t="s">
        <v>222</v>
      </c>
      <c r="E82" t="str">
        <f t="shared" si="1"/>
        <v>MAGDALENA ROSA</v>
      </c>
    </row>
    <row r="83" spans="1:5" x14ac:dyDescent="0.25">
      <c r="A83" s="2" t="s">
        <v>229</v>
      </c>
      <c r="B83" t="s">
        <v>188</v>
      </c>
      <c r="C83" t="s">
        <v>230</v>
      </c>
      <c r="E83" t="str">
        <f t="shared" si="1"/>
        <v>LUANNA SCHMITZ</v>
      </c>
    </row>
    <row r="84" spans="1:5" x14ac:dyDescent="0.25">
      <c r="A84" s="2" t="s">
        <v>238</v>
      </c>
      <c r="B84" t="s">
        <v>181</v>
      </c>
      <c r="C84" t="s">
        <v>239</v>
      </c>
      <c r="E84" t="str">
        <f t="shared" si="1"/>
        <v>GERALD PUCKETT</v>
      </c>
    </row>
    <row r="85" spans="1:5" x14ac:dyDescent="0.25">
      <c r="A85" s="2" t="s">
        <v>240</v>
      </c>
      <c r="C85" t="s">
        <v>241</v>
      </c>
      <c r="E85" t="str">
        <f t="shared" si="1"/>
        <v>DIANA QUESADA</v>
      </c>
    </row>
    <row r="86" spans="1:5" x14ac:dyDescent="0.25">
      <c r="A86" s="2" t="s">
        <v>217</v>
      </c>
      <c r="B86" t="s">
        <v>178</v>
      </c>
      <c r="C86" t="s">
        <v>218</v>
      </c>
      <c r="E86" t="str">
        <f t="shared" si="1"/>
        <v>CHRISTINE HOCHSPRUNG</v>
      </c>
    </row>
    <row r="87" spans="1:5" x14ac:dyDescent="0.25">
      <c r="A87" s="2" t="s">
        <v>223</v>
      </c>
      <c r="B87" t="s">
        <v>175</v>
      </c>
      <c r="C87" t="s">
        <v>224</v>
      </c>
      <c r="E87" t="str">
        <f t="shared" si="1"/>
        <v>ANKA STARKE</v>
      </c>
    </row>
    <row r="88" spans="1:5" x14ac:dyDescent="0.25">
      <c r="A88" s="2" t="s">
        <v>217</v>
      </c>
      <c r="B88" t="s">
        <v>178</v>
      </c>
      <c r="C88" t="s">
        <v>218</v>
      </c>
      <c r="E88" t="str">
        <f t="shared" si="1"/>
        <v>CHRISTINE HOCHSPRUNG</v>
      </c>
    </row>
    <row r="89" spans="1:5" x14ac:dyDescent="0.25">
      <c r="A89" s="2" t="s">
        <v>223</v>
      </c>
      <c r="B89" t="s">
        <v>175</v>
      </c>
      <c r="C89" t="s">
        <v>224</v>
      </c>
      <c r="E89" t="str">
        <f t="shared" si="1"/>
        <v>ANKA STARKE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LLC_med_comm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2025-06-25T17:29:37Z</dcterms:created>
  <dcterms:modified xsi:type="dcterms:W3CDTF">2025-06-25T20:24:59Z</dcterms:modified>
</cp:coreProperties>
</file>