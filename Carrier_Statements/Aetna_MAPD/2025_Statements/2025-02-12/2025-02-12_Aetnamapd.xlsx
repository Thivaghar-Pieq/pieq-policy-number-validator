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2-12-25\"/>
    </mc:Choice>
  </mc:AlternateContent>
  <xr:revisionPtr revIDLastSave="0" documentId="13_ncr:1_{BFA8C7C6-3371-4889-B00C-B916160FB1A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in Line Benefits LLC_med_comm" sheetId="1" r:id="rId1"/>
    <sheet name="Sheet1" sheetId="2" r:id="rId2"/>
    <sheet name="Sheet2" sheetId="3" r:id="rId3"/>
  </sheets>
  <calcPr calcId="181029"/>
  <extLst>
    <ext uri="GoogleSheetsCustomDataVersion2">
      <go:sheetsCustomData xmlns:go="http://customooxmlschemas.google.com/" r:id="rId7" roundtripDataChecksum="a9ewKaGAP3CswRq6YjNp+uPpmWffkEPk1ciU6oStvjk="/>
    </ext>
  </extLst>
</workbook>
</file>

<file path=xl/calcChain.xml><?xml version="1.0" encoding="utf-8"?>
<calcChain xmlns="http://schemas.openxmlformats.org/spreadsheetml/2006/main">
  <c r="C39" i="3" l="1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B40" i="2"/>
  <c r="K39" i="2"/>
  <c r="B39" i="2"/>
  <c r="B38" i="2"/>
  <c r="K37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<sst xmlns="http://schemas.openxmlformats.org/spreadsheetml/2006/main" count="650" uniqueCount="190">
  <si>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</si>
  <si>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</si>
  <si>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</si>
  <si>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</si>
  <si>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</si>
  <si>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</si>
  <si>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</si>
  <si>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</si>
  <si>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</si>
  <si>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</si>
  <si>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</si>
  <si>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</si>
  <si>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</si>
  <si>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</si>
  <si>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</si>
  <si>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</si>
  <si>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</si>
  <si>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</si>
  <si>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</si>
  <si>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</si>
  <si>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</si>
  <si>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</si>
  <si>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</si>
  <si>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</si>
  <si>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8CV1UA1JW92</t>
  </si>
  <si>
    <t>BUSSE P,SUSAN</t>
  </si>
  <si>
    <t>IL</t>
  </si>
  <si>
    <t>New Business</t>
  </si>
  <si>
    <t>MAPD</t>
  </si>
  <si>
    <t>IMM606</t>
  </si>
  <si>
    <t>H7301-013</t>
  </si>
  <si>
    <t>LOA</t>
  </si>
  <si>
    <t>Liskovec, Frank</t>
  </si>
  <si>
    <t>GMO</t>
  </si>
  <si>
    <t>Main Line Benefits LLC</t>
  </si>
  <si>
    <t xml:space="preserve">N  </t>
  </si>
  <si>
    <t>2NQ4AY9WG86</t>
  </si>
  <si>
    <t>MEQNPDZM00016457948</t>
  </si>
  <si>
    <t>CABELLO,LUIS</t>
  </si>
  <si>
    <t>NJ</t>
  </si>
  <si>
    <t>IMM614</t>
  </si>
  <si>
    <t>H6399-001</t>
  </si>
  <si>
    <t>RAUGHTER, BRIAN</t>
  </si>
  <si>
    <t>1H28WE4GH27</t>
  </si>
  <si>
    <t>COZZI,NICKI</t>
  </si>
  <si>
    <t>WI</t>
  </si>
  <si>
    <t>H5521-195</t>
  </si>
  <si>
    <t>9M92P01UA70</t>
  </si>
  <si>
    <t>DICKERSON J,CINDY</t>
  </si>
  <si>
    <t>SD</t>
  </si>
  <si>
    <t>IMM610</t>
  </si>
  <si>
    <t>H1608-001</t>
  </si>
  <si>
    <t>Teipel, Gregory</t>
  </si>
  <si>
    <t>4KT6K59XP83</t>
  </si>
  <si>
    <t>DOE B,SOLOMON</t>
  </si>
  <si>
    <t>PA</t>
  </si>
  <si>
    <t>IMM608</t>
  </si>
  <si>
    <t>H3959-052</t>
  </si>
  <si>
    <t>AG4</t>
  </si>
  <si>
    <t>GBASSANA, FREDERICK</t>
  </si>
  <si>
    <t>5FG7X93RM53</t>
  </si>
  <si>
    <t>DUKULY M,THOMAS</t>
  </si>
  <si>
    <t>MD</t>
  </si>
  <si>
    <t>IMM603</t>
  </si>
  <si>
    <t>H5521-482</t>
  </si>
  <si>
    <t>WILSON-SMITH, CAROLYN</t>
  </si>
  <si>
    <t>9R87E66YG62</t>
  </si>
  <si>
    <t>GRAHAM C,STEPHEN</t>
  </si>
  <si>
    <t>Hunsberger, Anthony</t>
  </si>
  <si>
    <t>6JX0WU1PW24</t>
  </si>
  <si>
    <t>GROOMES D,JAMES</t>
  </si>
  <si>
    <t>Hoffmann Jason</t>
  </si>
  <si>
    <t>6VV7RE8JM34</t>
  </si>
  <si>
    <t>HEY L,SUZANNE</t>
  </si>
  <si>
    <t>HORN, JEFFREY</t>
  </si>
  <si>
    <t>6EE3DK8CH98</t>
  </si>
  <si>
    <t>HOFFMAN MAIRE J,TERRI</t>
  </si>
  <si>
    <t>IMM619</t>
  </si>
  <si>
    <t>H1608-067</t>
  </si>
  <si>
    <t>SANTOS, RICARDO</t>
  </si>
  <si>
    <t>8XW2XQ1JD98</t>
  </si>
  <si>
    <t>HUETT K,GRACE</t>
  </si>
  <si>
    <t>H3959-002</t>
  </si>
  <si>
    <t>Powers, Timothy</t>
  </si>
  <si>
    <t>9PG8D44UC55</t>
  </si>
  <si>
    <t>MECHGA4875380</t>
  </si>
  <si>
    <t>KENWORTHY,GERARD</t>
  </si>
  <si>
    <t>Renewal Termination</t>
  </si>
  <si>
    <t>PDP</t>
  </si>
  <si>
    <t>S5601-012</t>
  </si>
  <si>
    <t>LMO</t>
  </si>
  <si>
    <t>1UP1HK0WD32</t>
  </si>
  <si>
    <t>KLOK,IRENE</t>
  </si>
  <si>
    <t>2A44VQ4MY82</t>
  </si>
  <si>
    <t>MABIE E,ROBERT</t>
  </si>
  <si>
    <t>H7301-009</t>
  </si>
  <si>
    <t>7FJ7DU1JN46</t>
  </si>
  <si>
    <t>MARKIN A,JULIE</t>
  </si>
  <si>
    <t>Walenga, Dale</t>
  </si>
  <si>
    <t>6CR9WR6FX59</t>
  </si>
  <si>
    <t>PAPADOPOULOS,TOM</t>
  </si>
  <si>
    <t>PETRUNGARO, ANDREA</t>
  </si>
  <si>
    <t xml:space="preserve">Y  </t>
  </si>
  <si>
    <t>8P83WY0UK05</t>
  </si>
  <si>
    <t>PRIGG W,THOMAS</t>
  </si>
  <si>
    <t>Voluntarily Rapid Disenroll</t>
  </si>
  <si>
    <t>MA</t>
  </si>
  <si>
    <t>H3959-041</t>
  </si>
  <si>
    <t>Inskipt, Deborah</t>
  </si>
  <si>
    <t>7FY7Q80WA67</t>
  </si>
  <si>
    <t>ROSE T,WILLIAM</t>
  </si>
  <si>
    <t>3K16E37YF54</t>
  </si>
  <si>
    <t>SPELICH J,WILLIAM</t>
  </si>
  <si>
    <t>1WX8VD5HW24</t>
  </si>
  <si>
    <t>STOJANOVIC,STOJANKA</t>
  </si>
  <si>
    <t>FL</t>
  </si>
  <si>
    <t>IMM604</t>
  </si>
  <si>
    <t>H1609-027</t>
  </si>
  <si>
    <t>FINE, SCOTT</t>
  </si>
  <si>
    <t>4E54QU9YQ86</t>
  </si>
  <si>
    <t>WASYLIK E,SUSAN</t>
  </si>
  <si>
    <t>STOJANKA STOJANOVIC</t>
  </si>
  <si>
    <t>[%/$=390][prorate=12/12]</t>
  </si>
  <si>
    <t>Aetna 2025 CA, NJ*</t>
  </si>
  <si>
    <t>JAMES GROOMES</t>
  </si>
  <si>
    <t>[%/$=313][prorate=12/12]</t>
  </si>
  <si>
    <t>Aetna MAPD 2025*</t>
  </si>
  <si>
    <t>WILLIAM ROSE</t>
  </si>
  <si>
    <t>SUZANNE HEY</t>
  </si>
  <si>
    <t>STEPHEN GRAHAM</t>
  </si>
  <si>
    <t>WILLIAM SPELICH</t>
  </si>
  <si>
    <t>SUSAN WASYLIK</t>
  </si>
  <si>
    <t>THOMAS PRIGG</t>
  </si>
  <si>
    <t>Aetna 2025 CT, PA, DC</t>
  </si>
  <si>
    <t>SUSAN BUSSE</t>
  </si>
  <si>
    <t>NICKI COZZI</t>
  </si>
  <si>
    <t>IRENE KLOK</t>
  </si>
  <si>
    <t>ROBERT MABIE</t>
  </si>
  <si>
    <t>TOM PAPADOPOULOS</t>
  </si>
  <si>
    <t>Aetna MAPD 2025</t>
  </si>
  <si>
    <t>LUIS CABELLO</t>
  </si>
  <si>
    <t>MAIRE HOFFMAN</t>
  </si>
  <si>
    <t>CINDY DICKERSON</t>
  </si>
  <si>
    <t>JULIE MARKIN</t>
  </si>
  <si>
    <t>THOMAS DUKULY</t>
  </si>
  <si>
    <t>Main Line Benefits</t>
  </si>
  <si>
    <t>Aetna MAPD OVR 2025</t>
  </si>
  <si>
    <t>GRACE HUETT</t>
  </si>
  <si>
    <t>SOLOMON DOE</t>
  </si>
  <si>
    <t>GERARD KENWORTHY</t>
  </si>
  <si>
    <t>Aetna PDP 2025</t>
  </si>
  <si>
    <t>STOJANOVIC</t>
  </si>
  <si>
    <t>STOJANKA</t>
  </si>
  <si>
    <t>GROOMES</t>
  </si>
  <si>
    <t>JAMES</t>
  </si>
  <si>
    <t>ROSE</t>
  </si>
  <si>
    <t>WILLIAM</t>
  </si>
  <si>
    <t>HEY</t>
  </si>
  <si>
    <t>SUZANNE</t>
  </si>
  <si>
    <t>GRAHAM</t>
  </si>
  <si>
    <t>STEPHEN</t>
  </si>
  <si>
    <t>SPELICH</t>
  </si>
  <si>
    <t>WASYLIK</t>
  </si>
  <si>
    <t>SUSAN</t>
  </si>
  <si>
    <t>PRIGG</t>
  </si>
  <si>
    <t>THOMAS</t>
  </si>
  <si>
    <t>BUSSE</t>
  </si>
  <si>
    <t>COZZI</t>
  </si>
  <si>
    <t>NICKI</t>
  </si>
  <si>
    <t>KLOK</t>
  </si>
  <si>
    <t>IRENE</t>
  </si>
  <si>
    <t>MABIE</t>
  </si>
  <si>
    <t>ROBERT</t>
  </si>
  <si>
    <t>PAPADOPOULOS</t>
  </si>
  <si>
    <t>TOM</t>
  </si>
  <si>
    <t>CABELLO</t>
  </si>
  <si>
    <t>LUIS</t>
  </si>
  <si>
    <t>HOFFMAN</t>
  </si>
  <si>
    <t>MAIRE</t>
  </si>
  <si>
    <t>DICKERSON</t>
  </si>
  <si>
    <t>CINDY</t>
  </si>
  <si>
    <t>MARKIN</t>
  </si>
  <si>
    <t>JULIE</t>
  </si>
  <si>
    <t>DUKULY</t>
  </si>
  <si>
    <t>HUETT</t>
  </si>
  <si>
    <t>GRACE</t>
  </si>
  <si>
    <t>DOE</t>
  </si>
  <si>
    <t>SOLOMON</t>
  </si>
  <si>
    <t>KENWORTHY</t>
  </si>
  <si>
    <t>GERARD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</si>
</sst>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212529"/>
      <name val="Ebri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3" fillId="0" borderId="0" xfId="0" applyFont="1"/>
    <xf numFmtId="1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F1" workbookViewId="0"/>
  </sheetViews>
  <sheetFormatPr defaultColWidth="11.25" defaultRowHeight="15" customHeight="1" x14ac:dyDescent="0.25"/>
  <cols>
    <col min="1" max="4" width="11" customWidth="1"/>
    <col min="5" max="5" width="18" customWidth="1"/>
    <col min="6" max="16" width="11" customWidth="1"/>
    <col min="17" max="17" width="22.5" bestFit="1" customWidth="1"/>
    <col min="18" max="26" width="11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25">
      <c r="A2" s="2">
        <v>45699</v>
      </c>
      <c r="B2" s="1" t="s">
        <v>24</v>
      </c>
      <c r="C2" s="1">
        <v>102144511800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L2" s="2">
        <v>45748</v>
      </c>
      <c r="M2" s="2">
        <v>45748</v>
      </c>
      <c r="O2" s="1">
        <v>8814784</v>
      </c>
      <c r="P2" s="1" t="s">
        <v>31</v>
      </c>
      <c r="Q2" s="1" t="s">
        <v>32</v>
      </c>
      <c r="R2" s="1">
        <v>8192</v>
      </c>
      <c r="S2" s="1" t="s">
        <v>33</v>
      </c>
      <c r="T2" s="1" t="s">
        <v>34</v>
      </c>
      <c r="U2" s="1">
        <v>328.5</v>
      </c>
      <c r="V2" s="1" t="s">
        <v>35</v>
      </c>
      <c r="W2" s="2">
        <v>45684</v>
      </c>
      <c r="X2" s="1">
        <v>2025</v>
      </c>
    </row>
    <row r="3" spans="1:24" ht="15.75" customHeight="1" x14ac:dyDescent="0.25">
      <c r="A3" s="2">
        <v>45699</v>
      </c>
      <c r="B3" s="1" t="s">
        <v>36</v>
      </c>
      <c r="C3" s="1" t="s">
        <v>37</v>
      </c>
      <c r="E3" s="1" t="s">
        <v>38</v>
      </c>
      <c r="F3" s="1" t="s">
        <v>39</v>
      </c>
      <c r="G3" s="1" t="s">
        <v>27</v>
      </c>
      <c r="H3" s="1" t="s">
        <v>28</v>
      </c>
      <c r="I3" s="1" t="s">
        <v>40</v>
      </c>
      <c r="J3" s="1" t="s">
        <v>41</v>
      </c>
      <c r="L3" s="2">
        <v>45689</v>
      </c>
      <c r="M3" s="2">
        <v>45689</v>
      </c>
      <c r="O3" s="1">
        <v>18406006</v>
      </c>
      <c r="P3" s="1" t="s">
        <v>31</v>
      </c>
      <c r="Q3" s="1" t="s">
        <v>42</v>
      </c>
      <c r="R3" s="1">
        <v>8192</v>
      </c>
      <c r="S3" s="1" t="s">
        <v>33</v>
      </c>
      <c r="T3" s="1" t="s">
        <v>34</v>
      </c>
      <c r="U3" s="1">
        <v>481.25</v>
      </c>
      <c r="V3" s="1" t="s">
        <v>35</v>
      </c>
      <c r="W3" s="2">
        <v>45685</v>
      </c>
      <c r="X3" s="1">
        <v>2025</v>
      </c>
    </row>
    <row r="4" spans="1:24" ht="15.75" customHeight="1" x14ac:dyDescent="0.25">
      <c r="A4" s="2">
        <v>45699</v>
      </c>
      <c r="B4" s="1" t="s">
        <v>43</v>
      </c>
      <c r="C4" s="1">
        <v>102144486900</v>
      </c>
      <c r="E4" s="1" t="s">
        <v>44</v>
      </c>
      <c r="F4" s="1" t="s">
        <v>45</v>
      </c>
      <c r="G4" s="1" t="s">
        <v>27</v>
      </c>
      <c r="H4" s="1" t="s">
        <v>28</v>
      </c>
      <c r="I4" s="1" t="s">
        <v>29</v>
      </c>
      <c r="J4" s="1" t="s">
        <v>46</v>
      </c>
      <c r="L4" s="2">
        <v>45689</v>
      </c>
      <c r="M4" s="2">
        <v>45689</v>
      </c>
      <c r="O4" s="1">
        <v>8814784</v>
      </c>
      <c r="P4" s="1" t="s">
        <v>31</v>
      </c>
      <c r="Q4" s="1" t="s">
        <v>32</v>
      </c>
      <c r="R4" s="1">
        <v>8192</v>
      </c>
      <c r="S4" s="1" t="s">
        <v>33</v>
      </c>
      <c r="T4" s="1" t="s">
        <v>34</v>
      </c>
      <c r="U4" s="1">
        <v>401.5</v>
      </c>
      <c r="V4" s="1" t="s">
        <v>35</v>
      </c>
      <c r="W4" s="2">
        <v>45684</v>
      </c>
      <c r="X4" s="1">
        <v>2025</v>
      </c>
    </row>
    <row r="5" spans="1:24" ht="15.75" customHeight="1" x14ac:dyDescent="0.25">
      <c r="A5" s="2">
        <v>45699</v>
      </c>
      <c r="B5" s="1" t="s">
        <v>47</v>
      </c>
      <c r="C5" s="1">
        <v>102142845300</v>
      </c>
      <c r="E5" s="1" t="s">
        <v>48</v>
      </c>
      <c r="F5" s="1" t="s">
        <v>49</v>
      </c>
      <c r="G5" s="1" t="s">
        <v>27</v>
      </c>
      <c r="H5" s="1" t="s">
        <v>28</v>
      </c>
      <c r="I5" s="1" t="s">
        <v>50</v>
      </c>
      <c r="J5" s="1" t="s">
        <v>51</v>
      </c>
      <c r="L5" s="2">
        <v>45689</v>
      </c>
      <c r="M5" s="2">
        <v>45689</v>
      </c>
      <c r="O5" s="1">
        <v>8307933</v>
      </c>
      <c r="P5" s="1" t="s">
        <v>31</v>
      </c>
      <c r="Q5" s="1" t="s">
        <v>52</v>
      </c>
      <c r="R5" s="1">
        <v>8192</v>
      </c>
      <c r="S5" s="1" t="s">
        <v>33</v>
      </c>
      <c r="T5" s="1" t="s">
        <v>34</v>
      </c>
      <c r="U5" s="1">
        <v>401.5</v>
      </c>
      <c r="V5" s="1" t="s">
        <v>35</v>
      </c>
      <c r="W5" s="2">
        <v>45679</v>
      </c>
      <c r="X5" s="1">
        <v>2025</v>
      </c>
    </row>
    <row r="6" spans="1:24" ht="15.75" customHeight="1" x14ac:dyDescent="0.25">
      <c r="A6" s="2">
        <v>45699</v>
      </c>
      <c r="B6" s="1" t="s">
        <v>53</v>
      </c>
      <c r="C6" s="1">
        <v>102144960200</v>
      </c>
      <c r="E6" s="1" t="s">
        <v>54</v>
      </c>
      <c r="F6" s="1" t="s">
        <v>55</v>
      </c>
      <c r="G6" s="1" t="s">
        <v>27</v>
      </c>
      <c r="H6" s="1" t="s">
        <v>28</v>
      </c>
      <c r="I6" s="1" t="s">
        <v>56</v>
      </c>
      <c r="J6" s="1" t="s">
        <v>57</v>
      </c>
      <c r="L6" s="2">
        <v>45689</v>
      </c>
      <c r="M6" s="2">
        <v>45689</v>
      </c>
      <c r="O6" s="1">
        <v>18657307</v>
      </c>
      <c r="P6" s="1" t="s">
        <v>58</v>
      </c>
      <c r="Q6" s="1" t="s">
        <v>59</v>
      </c>
      <c r="R6" s="1">
        <v>8192</v>
      </c>
      <c r="S6" s="1" t="s">
        <v>33</v>
      </c>
      <c r="T6" s="1" t="s">
        <v>34</v>
      </c>
      <c r="U6" s="1">
        <v>114.59</v>
      </c>
      <c r="V6" s="1" t="s">
        <v>35</v>
      </c>
      <c r="W6" s="2">
        <v>45685</v>
      </c>
      <c r="X6" s="1">
        <v>2025</v>
      </c>
    </row>
    <row r="7" spans="1:24" ht="15.75" customHeight="1" x14ac:dyDescent="0.25">
      <c r="A7" s="2">
        <v>45699</v>
      </c>
      <c r="B7" s="1" t="s">
        <v>60</v>
      </c>
      <c r="C7" s="1">
        <v>101838101000</v>
      </c>
      <c r="E7" s="1" t="s">
        <v>61</v>
      </c>
      <c r="F7" s="1" t="s">
        <v>62</v>
      </c>
      <c r="G7" s="1" t="s">
        <v>27</v>
      </c>
      <c r="H7" s="1" t="s">
        <v>28</v>
      </c>
      <c r="I7" s="1" t="s">
        <v>63</v>
      </c>
      <c r="J7" s="1" t="s">
        <v>64</v>
      </c>
      <c r="L7" s="2">
        <v>45658</v>
      </c>
      <c r="M7" s="2">
        <v>45658</v>
      </c>
      <c r="O7" s="1">
        <v>7387433</v>
      </c>
      <c r="P7" s="1" t="s">
        <v>31</v>
      </c>
      <c r="Q7" s="1" t="s">
        <v>65</v>
      </c>
      <c r="R7" s="1">
        <v>8192</v>
      </c>
      <c r="S7" s="1" t="s">
        <v>33</v>
      </c>
      <c r="T7" s="1" t="s">
        <v>34</v>
      </c>
      <c r="U7" s="1">
        <v>313</v>
      </c>
      <c r="V7" s="1" t="s">
        <v>35</v>
      </c>
      <c r="W7" s="2">
        <v>45606</v>
      </c>
      <c r="X7" s="1">
        <v>2025</v>
      </c>
    </row>
    <row r="8" spans="1:24" ht="15.75" customHeight="1" x14ac:dyDescent="0.25">
      <c r="A8" s="2">
        <v>45699</v>
      </c>
      <c r="B8" s="1" t="s">
        <v>60</v>
      </c>
      <c r="C8" s="1">
        <v>101838101000</v>
      </c>
      <c r="E8" s="1" t="s">
        <v>61</v>
      </c>
      <c r="F8" s="1" t="s">
        <v>62</v>
      </c>
      <c r="G8" s="1" t="s">
        <v>27</v>
      </c>
      <c r="H8" s="1" t="s">
        <v>28</v>
      </c>
      <c r="I8" s="1" t="s">
        <v>63</v>
      </c>
      <c r="J8" s="1" t="s">
        <v>64</v>
      </c>
      <c r="L8" s="2">
        <v>45658</v>
      </c>
      <c r="M8" s="2">
        <v>45658</v>
      </c>
      <c r="O8" s="1">
        <v>7387433</v>
      </c>
      <c r="P8" s="1" t="s">
        <v>31</v>
      </c>
      <c r="Q8" s="1" t="s">
        <v>65</v>
      </c>
      <c r="R8" s="1">
        <v>8192</v>
      </c>
      <c r="S8" s="1" t="s">
        <v>33</v>
      </c>
      <c r="T8" s="1" t="s">
        <v>34</v>
      </c>
      <c r="U8" s="1">
        <v>125</v>
      </c>
      <c r="V8" s="1" t="s">
        <v>35</v>
      </c>
      <c r="W8" s="2">
        <v>45606</v>
      </c>
      <c r="X8" s="1">
        <v>2025</v>
      </c>
    </row>
    <row r="9" spans="1:24" ht="15.75" customHeight="1" x14ac:dyDescent="0.25">
      <c r="A9" s="2">
        <v>45699</v>
      </c>
      <c r="B9" s="1" t="s">
        <v>66</v>
      </c>
      <c r="C9" s="1">
        <v>101384842900</v>
      </c>
      <c r="E9" s="1" t="s">
        <v>67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30</v>
      </c>
      <c r="L9" s="2">
        <v>45689</v>
      </c>
      <c r="M9" s="2">
        <v>45689</v>
      </c>
      <c r="O9" s="1">
        <v>7146581</v>
      </c>
      <c r="P9" s="1" t="s">
        <v>31</v>
      </c>
      <c r="Q9" s="1" t="s">
        <v>68</v>
      </c>
      <c r="R9" s="1">
        <v>8192</v>
      </c>
      <c r="S9" s="1" t="s">
        <v>33</v>
      </c>
      <c r="T9" s="1" t="s">
        <v>34</v>
      </c>
      <c r="U9" s="1">
        <v>401.5</v>
      </c>
      <c r="V9" s="1" t="s">
        <v>35</v>
      </c>
      <c r="W9" s="2">
        <v>45685</v>
      </c>
      <c r="X9" s="1">
        <v>2025</v>
      </c>
    </row>
    <row r="10" spans="1:24" ht="15.75" customHeight="1" x14ac:dyDescent="0.25">
      <c r="A10" s="2">
        <v>45699</v>
      </c>
      <c r="B10" s="1" t="s">
        <v>69</v>
      </c>
      <c r="C10" s="1">
        <v>101847840100</v>
      </c>
      <c r="E10" s="1" t="s">
        <v>70</v>
      </c>
      <c r="F10" s="1" t="s">
        <v>62</v>
      </c>
      <c r="G10" s="1" t="s">
        <v>27</v>
      </c>
      <c r="H10" s="1" t="s">
        <v>28</v>
      </c>
      <c r="I10" s="1" t="s">
        <v>63</v>
      </c>
      <c r="J10" s="1" t="s">
        <v>64</v>
      </c>
      <c r="L10" s="2">
        <v>45658</v>
      </c>
      <c r="M10" s="2">
        <v>45658</v>
      </c>
      <c r="O10" s="1">
        <v>15278437</v>
      </c>
      <c r="P10" s="1" t="s">
        <v>31</v>
      </c>
      <c r="Q10" s="1" t="s">
        <v>71</v>
      </c>
      <c r="R10" s="1">
        <v>8192</v>
      </c>
      <c r="S10" s="1" t="s">
        <v>33</v>
      </c>
      <c r="T10" s="1" t="s">
        <v>34</v>
      </c>
      <c r="U10" s="1">
        <v>125</v>
      </c>
      <c r="V10" s="1" t="s">
        <v>35</v>
      </c>
      <c r="W10" s="2">
        <v>45617</v>
      </c>
      <c r="X10" s="1">
        <v>2025</v>
      </c>
    </row>
    <row r="11" spans="1:24" ht="15.75" customHeight="1" x14ac:dyDescent="0.25">
      <c r="A11" s="2">
        <v>45699</v>
      </c>
      <c r="B11" s="1" t="s">
        <v>69</v>
      </c>
      <c r="C11" s="1">
        <v>101847840100</v>
      </c>
      <c r="E11" s="1" t="s">
        <v>70</v>
      </c>
      <c r="F11" s="1" t="s">
        <v>62</v>
      </c>
      <c r="G11" s="1" t="s">
        <v>27</v>
      </c>
      <c r="H11" s="1" t="s">
        <v>28</v>
      </c>
      <c r="I11" s="1" t="s">
        <v>63</v>
      </c>
      <c r="J11" s="1" t="s">
        <v>64</v>
      </c>
      <c r="L11" s="2">
        <v>45658</v>
      </c>
      <c r="M11" s="2">
        <v>45658</v>
      </c>
      <c r="O11" s="1">
        <v>15278437</v>
      </c>
      <c r="P11" s="1" t="s">
        <v>31</v>
      </c>
      <c r="Q11" s="1" t="s">
        <v>71</v>
      </c>
      <c r="R11" s="1">
        <v>8192</v>
      </c>
      <c r="S11" s="1" t="s">
        <v>33</v>
      </c>
      <c r="T11" s="1" t="s">
        <v>34</v>
      </c>
      <c r="U11" s="1">
        <v>313</v>
      </c>
      <c r="V11" s="1" t="s">
        <v>35</v>
      </c>
      <c r="W11" s="2">
        <v>45617</v>
      </c>
      <c r="X11" s="1">
        <v>2025</v>
      </c>
    </row>
    <row r="12" spans="1:24" ht="15.75" customHeight="1" x14ac:dyDescent="0.25">
      <c r="A12" s="2">
        <v>45699</v>
      </c>
      <c r="B12" s="1" t="s">
        <v>72</v>
      </c>
      <c r="C12" s="1">
        <v>101472681300</v>
      </c>
      <c r="E12" s="1" t="s">
        <v>73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30</v>
      </c>
      <c r="L12" s="2">
        <v>45689</v>
      </c>
      <c r="M12" s="2">
        <v>45689</v>
      </c>
      <c r="O12" s="1">
        <v>2158366</v>
      </c>
      <c r="P12" s="1" t="s">
        <v>31</v>
      </c>
      <c r="Q12" s="1" t="s">
        <v>74</v>
      </c>
      <c r="R12" s="1">
        <v>8192</v>
      </c>
      <c r="S12" s="1" t="s">
        <v>33</v>
      </c>
      <c r="T12" s="1" t="s">
        <v>34</v>
      </c>
      <c r="U12" s="1">
        <v>401.5</v>
      </c>
      <c r="V12" s="1" t="s">
        <v>35</v>
      </c>
      <c r="W12" s="2">
        <v>45679</v>
      </c>
      <c r="X12" s="1">
        <v>2025</v>
      </c>
    </row>
    <row r="13" spans="1:24" ht="15.75" customHeight="1" x14ac:dyDescent="0.25">
      <c r="A13" s="2">
        <v>45699</v>
      </c>
      <c r="B13" s="1" t="s">
        <v>75</v>
      </c>
      <c r="C13" s="1">
        <v>101197955700</v>
      </c>
      <c r="E13" s="1" t="s">
        <v>76</v>
      </c>
      <c r="F13" s="1" t="s">
        <v>26</v>
      </c>
      <c r="G13" s="1" t="s">
        <v>27</v>
      </c>
      <c r="H13" s="1" t="s">
        <v>28</v>
      </c>
      <c r="I13" s="1" t="s">
        <v>77</v>
      </c>
      <c r="J13" s="1" t="s">
        <v>78</v>
      </c>
      <c r="L13" s="2">
        <v>45689</v>
      </c>
      <c r="M13" s="2">
        <v>45689</v>
      </c>
      <c r="O13" s="1">
        <v>19200754</v>
      </c>
      <c r="P13" s="1" t="s">
        <v>31</v>
      </c>
      <c r="Q13" s="1" t="s">
        <v>79</v>
      </c>
      <c r="R13" s="1">
        <v>8192</v>
      </c>
      <c r="S13" s="1" t="s">
        <v>33</v>
      </c>
      <c r="T13" s="1" t="s">
        <v>34</v>
      </c>
      <c r="U13" s="1">
        <v>401.5</v>
      </c>
      <c r="V13" s="1" t="s">
        <v>35</v>
      </c>
      <c r="W13" s="2">
        <v>45687</v>
      </c>
      <c r="X13" s="1">
        <v>2025</v>
      </c>
    </row>
    <row r="14" spans="1:24" ht="15.75" customHeight="1" x14ac:dyDescent="0.25">
      <c r="A14" s="2">
        <v>45699</v>
      </c>
      <c r="B14" s="1" t="s">
        <v>80</v>
      </c>
      <c r="C14" s="1">
        <v>102143800500</v>
      </c>
      <c r="E14" s="1" t="s">
        <v>81</v>
      </c>
      <c r="F14" s="1" t="s">
        <v>55</v>
      </c>
      <c r="G14" s="1" t="s">
        <v>27</v>
      </c>
      <c r="H14" s="1" t="s">
        <v>28</v>
      </c>
      <c r="I14" s="1" t="s">
        <v>56</v>
      </c>
      <c r="J14" s="1" t="s">
        <v>82</v>
      </c>
      <c r="L14" s="2">
        <v>45689</v>
      </c>
      <c r="M14" s="2">
        <v>45689</v>
      </c>
      <c r="O14" s="1">
        <v>17886092</v>
      </c>
      <c r="P14" s="1" t="s">
        <v>31</v>
      </c>
      <c r="Q14" s="1" t="s">
        <v>83</v>
      </c>
      <c r="R14" s="1">
        <v>8192</v>
      </c>
      <c r="S14" s="1" t="s">
        <v>33</v>
      </c>
      <c r="T14" s="1" t="s">
        <v>34</v>
      </c>
      <c r="U14" s="1">
        <v>36.67</v>
      </c>
      <c r="V14" s="1" t="s">
        <v>35</v>
      </c>
      <c r="W14" s="2">
        <v>45681</v>
      </c>
      <c r="X14" s="1">
        <v>2025</v>
      </c>
    </row>
    <row r="15" spans="1:24" ht="15.75" customHeight="1" x14ac:dyDescent="0.25">
      <c r="A15" s="2">
        <v>45699</v>
      </c>
      <c r="B15" s="1" t="s">
        <v>84</v>
      </c>
      <c r="C15" s="1" t="s">
        <v>85</v>
      </c>
      <c r="E15" s="1" t="s">
        <v>86</v>
      </c>
      <c r="F15" s="1" t="s">
        <v>55</v>
      </c>
      <c r="G15" s="1" t="s">
        <v>87</v>
      </c>
      <c r="H15" s="1" t="s">
        <v>88</v>
      </c>
      <c r="J15" s="1" t="s">
        <v>89</v>
      </c>
      <c r="L15" s="2">
        <v>45658</v>
      </c>
      <c r="M15" s="2">
        <v>45658</v>
      </c>
      <c r="N15" s="2">
        <v>45658</v>
      </c>
      <c r="O15" s="1">
        <v>15278437</v>
      </c>
      <c r="P15" s="1" t="s">
        <v>31</v>
      </c>
      <c r="Q15" s="1" t="s">
        <v>71</v>
      </c>
      <c r="R15" s="1">
        <v>8192</v>
      </c>
      <c r="S15" s="1" t="s">
        <v>90</v>
      </c>
      <c r="T15" s="1" t="s">
        <v>34</v>
      </c>
      <c r="U15" s="1">
        <v>-3.92</v>
      </c>
      <c r="V15" s="1" t="s">
        <v>35</v>
      </c>
      <c r="W15" s="2">
        <v>45089</v>
      </c>
      <c r="X15" s="1">
        <v>2025</v>
      </c>
    </row>
    <row r="16" spans="1:24" ht="15.75" customHeight="1" x14ac:dyDescent="0.25">
      <c r="A16" s="2">
        <v>45699</v>
      </c>
      <c r="B16" s="1" t="s">
        <v>91</v>
      </c>
      <c r="C16" s="1">
        <v>101228663400</v>
      </c>
      <c r="E16" s="1" t="s">
        <v>92</v>
      </c>
      <c r="F16" s="1" t="s">
        <v>26</v>
      </c>
      <c r="G16" s="1" t="s">
        <v>27</v>
      </c>
      <c r="H16" s="1" t="s">
        <v>28</v>
      </c>
      <c r="I16" s="1" t="s">
        <v>29</v>
      </c>
      <c r="J16" s="1" t="s">
        <v>30</v>
      </c>
      <c r="L16" s="2">
        <v>45689</v>
      </c>
      <c r="M16" s="2">
        <v>45689</v>
      </c>
      <c r="O16" s="1">
        <v>8814784</v>
      </c>
      <c r="P16" s="1" t="s">
        <v>31</v>
      </c>
      <c r="Q16" s="1" t="s">
        <v>32</v>
      </c>
      <c r="R16" s="1">
        <v>8192</v>
      </c>
      <c r="S16" s="1" t="s">
        <v>33</v>
      </c>
      <c r="T16" s="1" t="s">
        <v>34</v>
      </c>
      <c r="U16" s="1">
        <v>401.5</v>
      </c>
      <c r="V16" s="1" t="s">
        <v>35</v>
      </c>
      <c r="W16" s="2">
        <v>45679</v>
      </c>
      <c r="X16" s="1">
        <v>2025</v>
      </c>
    </row>
    <row r="17" spans="1:24" ht="15.75" customHeight="1" x14ac:dyDescent="0.25">
      <c r="A17" s="2">
        <v>45699</v>
      </c>
      <c r="B17" s="1" t="s">
        <v>93</v>
      </c>
      <c r="C17" s="1">
        <v>101518663400</v>
      </c>
      <c r="E17" s="1" t="s">
        <v>94</v>
      </c>
      <c r="F17" s="1" t="s">
        <v>26</v>
      </c>
      <c r="G17" s="1" t="s">
        <v>27</v>
      </c>
      <c r="H17" s="1" t="s">
        <v>28</v>
      </c>
      <c r="I17" s="1" t="s">
        <v>77</v>
      </c>
      <c r="J17" s="1" t="s">
        <v>95</v>
      </c>
      <c r="L17" s="2">
        <v>45689</v>
      </c>
      <c r="M17" s="2">
        <v>45689</v>
      </c>
      <c r="O17" s="1">
        <v>8814784</v>
      </c>
      <c r="P17" s="1" t="s">
        <v>31</v>
      </c>
      <c r="Q17" s="1" t="s">
        <v>32</v>
      </c>
      <c r="R17" s="1">
        <v>8192</v>
      </c>
      <c r="S17" s="1" t="s">
        <v>33</v>
      </c>
      <c r="T17" s="1" t="s">
        <v>34</v>
      </c>
      <c r="U17" s="1">
        <v>401.5</v>
      </c>
      <c r="V17" s="1" t="s">
        <v>35</v>
      </c>
      <c r="W17" s="2">
        <v>45680</v>
      </c>
      <c r="X17" s="1">
        <v>2025</v>
      </c>
    </row>
    <row r="18" spans="1:24" ht="15.75" customHeight="1" x14ac:dyDescent="0.25">
      <c r="A18" s="2">
        <v>45699</v>
      </c>
      <c r="B18" s="1" t="s">
        <v>96</v>
      </c>
      <c r="C18" s="1">
        <v>102092317600</v>
      </c>
      <c r="E18" s="1" t="s">
        <v>97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30</v>
      </c>
      <c r="L18" s="2">
        <v>45689</v>
      </c>
      <c r="M18" s="2">
        <v>45689</v>
      </c>
      <c r="O18" s="1">
        <v>8325282</v>
      </c>
      <c r="P18" s="1" t="s">
        <v>31</v>
      </c>
      <c r="Q18" s="1" t="s">
        <v>98</v>
      </c>
      <c r="R18" s="1">
        <v>8192</v>
      </c>
      <c r="S18" s="1" t="s">
        <v>33</v>
      </c>
      <c r="T18" s="1" t="s">
        <v>34</v>
      </c>
      <c r="U18" s="1">
        <v>401.5</v>
      </c>
      <c r="V18" s="1" t="s">
        <v>35</v>
      </c>
      <c r="W18" s="2">
        <v>45680</v>
      </c>
      <c r="X18" s="1">
        <v>2025</v>
      </c>
    </row>
    <row r="19" spans="1:24" ht="15.75" customHeight="1" x14ac:dyDescent="0.25">
      <c r="A19" s="2">
        <v>45699</v>
      </c>
      <c r="B19" s="1" t="s">
        <v>99</v>
      </c>
      <c r="C19" s="1">
        <v>102095792600</v>
      </c>
      <c r="E19" s="1" t="s">
        <v>100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30</v>
      </c>
      <c r="L19" s="2">
        <v>45658</v>
      </c>
      <c r="M19" s="2">
        <v>45658</v>
      </c>
      <c r="O19" s="1">
        <v>16912722</v>
      </c>
      <c r="P19" s="1" t="s">
        <v>31</v>
      </c>
      <c r="Q19" s="1" t="s">
        <v>101</v>
      </c>
      <c r="R19" s="1">
        <v>8192</v>
      </c>
      <c r="S19" s="1" t="s">
        <v>33</v>
      </c>
      <c r="T19" s="1" t="s">
        <v>34</v>
      </c>
      <c r="U19" s="1">
        <v>751</v>
      </c>
      <c r="V19" s="1" t="s">
        <v>102</v>
      </c>
      <c r="W19" s="2">
        <v>45611</v>
      </c>
      <c r="X19" s="1">
        <v>2025</v>
      </c>
    </row>
    <row r="20" spans="1:24" ht="15.75" customHeight="1" x14ac:dyDescent="0.25">
      <c r="A20" s="2">
        <v>45699</v>
      </c>
      <c r="B20" s="1" t="s">
        <v>103</v>
      </c>
      <c r="C20" s="1">
        <v>102068004500</v>
      </c>
      <c r="E20" s="1" t="s">
        <v>104</v>
      </c>
      <c r="F20" s="1" t="s">
        <v>55</v>
      </c>
      <c r="G20" s="1" t="s">
        <v>105</v>
      </c>
      <c r="H20" s="1" t="s">
        <v>106</v>
      </c>
      <c r="I20" s="1" t="s">
        <v>56</v>
      </c>
      <c r="J20" s="1" t="s">
        <v>107</v>
      </c>
      <c r="L20" s="2">
        <v>45658</v>
      </c>
      <c r="M20" s="2">
        <v>45658</v>
      </c>
      <c r="N20" s="2">
        <v>45688</v>
      </c>
      <c r="O20" s="1">
        <v>17528908</v>
      </c>
      <c r="P20" s="1" t="s">
        <v>31</v>
      </c>
      <c r="Q20" s="1" t="s">
        <v>108</v>
      </c>
      <c r="R20" s="1">
        <v>8192</v>
      </c>
      <c r="S20" s="1" t="s">
        <v>33</v>
      </c>
      <c r="T20" s="1" t="s">
        <v>34</v>
      </c>
      <c r="U20" s="1">
        <v>-830</v>
      </c>
      <c r="V20" s="1" t="s">
        <v>102</v>
      </c>
      <c r="W20" s="2">
        <v>45580</v>
      </c>
      <c r="X20" s="1">
        <v>2025</v>
      </c>
    </row>
    <row r="21" spans="1:24" ht="15.75" customHeight="1" x14ac:dyDescent="0.25">
      <c r="A21" s="2">
        <v>45699</v>
      </c>
      <c r="B21" s="1" t="s">
        <v>109</v>
      </c>
      <c r="C21" s="1">
        <v>101954370400</v>
      </c>
      <c r="E21" s="1" t="s">
        <v>110</v>
      </c>
      <c r="F21" s="1" t="s">
        <v>62</v>
      </c>
      <c r="G21" s="1" t="s">
        <v>27</v>
      </c>
      <c r="H21" s="1" t="s">
        <v>28</v>
      </c>
      <c r="I21" s="1" t="s">
        <v>63</v>
      </c>
      <c r="J21" s="1" t="s">
        <v>64</v>
      </c>
      <c r="L21" s="2">
        <v>45658</v>
      </c>
      <c r="M21" s="2">
        <v>45658</v>
      </c>
      <c r="O21" s="1">
        <v>15278437</v>
      </c>
      <c r="P21" s="1" t="s">
        <v>31</v>
      </c>
      <c r="Q21" s="1" t="s">
        <v>71</v>
      </c>
      <c r="R21" s="1">
        <v>8192</v>
      </c>
      <c r="S21" s="1" t="s">
        <v>33</v>
      </c>
      <c r="T21" s="1" t="s">
        <v>34</v>
      </c>
      <c r="U21" s="1">
        <v>125</v>
      </c>
      <c r="V21" s="1" t="s">
        <v>35</v>
      </c>
      <c r="W21" s="2">
        <v>45609</v>
      </c>
      <c r="X21" s="1">
        <v>2025</v>
      </c>
    </row>
    <row r="22" spans="1:24" ht="15.75" customHeight="1" x14ac:dyDescent="0.25">
      <c r="A22" s="2">
        <v>45699</v>
      </c>
      <c r="B22" s="1" t="s">
        <v>109</v>
      </c>
      <c r="C22" s="1">
        <v>101954370400</v>
      </c>
      <c r="E22" s="1" t="s">
        <v>110</v>
      </c>
      <c r="F22" s="1" t="s">
        <v>62</v>
      </c>
      <c r="G22" s="1" t="s">
        <v>27</v>
      </c>
      <c r="H22" s="1" t="s">
        <v>28</v>
      </c>
      <c r="I22" s="1" t="s">
        <v>63</v>
      </c>
      <c r="J22" s="1" t="s">
        <v>64</v>
      </c>
      <c r="L22" s="2">
        <v>45658</v>
      </c>
      <c r="M22" s="2">
        <v>45658</v>
      </c>
      <c r="O22" s="1">
        <v>15278437</v>
      </c>
      <c r="P22" s="1" t="s">
        <v>31</v>
      </c>
      <c r="Q22" s="1" t="s">
        <v>71</v>
      </c>
      <c r="R22" s="1">
        <v>8192</v>
      </c>
      <c r="S22" s="1" t="s">
        <v>33</v>
      </c>
      <c r="T22" s="1" t="s">
        <v>34</v>
      </c>
      <c r="U22" s="1">
        <v>313</v>
      </c>
      <c r="V22" s="1" t="s">
        <v>35</v>
      </c>
      <c r="W22" s="2">
        <v>45609</v>
      </c>
      <c r="X22" s="1">
        <v>2025</v>
      </c>
    </row>
    <row r="23" spans="1:24" ht="15.75" customHeight="1" x14ac:dyDescent="0.25">
      <c r="A23" s="2">
        <v>45699</v>
      </c>
      <c r="B23" s="1" t="s">
        <v>111</v>
      </c>
      <c r="C23" s="1">
        <v>102142808400</v>
      </c>
      <c r="E23" s="1" t="s">
        <v>112</v>
      </c>
      <c r="F23" s="1" t="s">
        <v>26</v>
      </c>
      <c r="G23" s="1" t="s">
        <v>27</v>
      </c>
      <c r="H23" s="1" t="s">
        <v>28</v>
      </c>
      <c r="I23" s="1" t="s">
        <v>29</v>
      </c>
      <c r="J23" s="1" t="s">
        <v>30</v>
      </c>
      <c r="L23" s="2">
        <v>45689</v>
      </c>
      <c r="M23" s="2">
        <v>45689</v>
      </c>
      <c r="O23" s="1">
        <v>7146581</v>
      </c>
      <c r="P23" s="1" t="s">
        <v>31</v>
      </c>
      <c r="Q23" s="1" t="s">
        <v>68</v>
      </c>
      <c r="R23" s="1">
        <v>8192</v>
      </c>
      <c r="S23" s="1" t="s">
        <v>33</v>
      </c>
      <c r="T23" s="1" t="s">
        <v>34</v>
      </c>
      <c r="U23" s="1">
        <v>401.5</v>
      </c>
      <c r="V23" s="1" t="s">
        <v>35</v>
      </c>
      <c r="W23" s="2">
        <v>45679</v>
      </c>
      <c r="X23" s="1">
        <v>2025</v>
      </c>
    </row>
    <row r="24" spans="1:24" ht="15.75" customHeight="1" x14ac:dyDescent="0.25">
      <c r="A24" s="2">
        <v>45699</v>
      </c>
      <c r="B24" s="1" t="s">
        <v>113</v>
      </c>
      <c r="C24" s="1">
        <v>102099947600</v>
      </c>
      <c r="E24" s="1" t="s">
        <v>114</v>
      </c>
      <c r="F24" s="1" t="s">
        <v>115</v>
      </c>
      <c r="G24" s="1" t="s">
        <v>27</v>
      </c>
      <c r="H24" s="1" t="s">
        <v>28</v>
      </c>
      <c r="I24" s="1" t="s">
        <v>116</v>
      </c>
      <c r="J24" s="1" t="s">
        <v>117</v>
      </c>
      <c r="L24" s="2">
        <v>45689</v>
      </c>
      <c r="M24" s="2">
        <v>45689</v>
      </c>
      <c r="O24" s="1">
        <v>19106640</v>
      </c>
      <c r="P24" s="1" t="s">
        <v>31</v>
      </c>
      <c r="Q24" s="1" t="s">
        <v>118</v>
      </c>
      <c r="R24" s="1">
        <v>8192</v>
      </c>
      <c r="S24" s="1" t="s">
        <v>33</v>
      </c>
      <c r="T24" s="1" t="s">
        <v>34</v>
      </c>
      <c r="U24" s="1">
        <v>506.92</v>
      </c>
      <c r="V24" s="1" t="s">
        <v>35</v>
      </c>
      <c r="W24" s="2">
        <v>45685</v>
      </c>
      <c r="X24" s="1">
        <v>2025</v>
      </c>
    </row>
    <row r="25" spans="1:24" ht="15.75" customHeight="1" x14ac:dyDescent="0.25">
      <c r="A25" s="2">
        <v>45699</v>
      </c>
      <c r="B25" s="1" t="s">
        <v>119</v>
      </c>
      <c r="C25" s="1">
        <v>101275730400</v>
      </c>
      <c r="E25" s="1" t="s">
        <v>120</v>
      </c>
      <c r="F25" s="1" t="s">
        <v>26</v>
      </c>
      <c r="G25" s="1" t="s">
        <v>27</v>
      </c>
      <c r="H25" s="1" t="s">
        <v>28</v>
      </c>
      <c r="I25" s="1" t="s">
        <v>29</v>
      </c>
      <c r="J25" s="1" t="s">
        <v>30</v>
      </c>
      <c r="L25" s="2">
        <v>45689</v>
      </c>
      <c r="M25" s="2">
        <v>45689</v>
      </c>
      <c r="O25" s="1">
        <v>7146581</v>
      </c>
      <c r="P25" s="1" t="s">
        <v>31</v>
      </c>
      <c r="Q25" s="1" t="s">
        <v>68</v>
      </c>
      <c r="R25" s="1">
        <v>8192</v>
      </c>
      <c r="S25" s="1" t="s">
        <v>33</v>
      </c>
      <c r="T25" s="1" t="s">
        <v>34</v>
      </c>
      <c r="U25" s="1">
        <v>401.5</v>
      </c>
      <c r="V25" s="1" t="s">
        <v>35</v>
      </c>
      <c r="W25" s="2">
        <v>45682</v>
      </c>
      <c r="X25" s="1">
        <v>2025</v>
      </c>
    </row>
    <row r="26" spans="1:24" ht="15.75" customHeight="1" x14ac:dyDescent="0.25">
      <c r="A26" s="2"/>
      <c r="L26" s="2"/>
      <c r="M26" s="2"/>
      <c r="W26" s="2"/>
    </row>
    <row r="27" spans="1:24" ht="15.75" customHeight="1" x14ac:dyDescent="0.25">
      <c r="A27" s="2"/>
      <c r="L27" s="2"/>
      <c r="M27" s="2"/>
      <c r="W27" s="2"/>
    </row>
    <row r="28" spans="1:24" ht="15.75" customHeight="1" x14ac:dyDescent="0.25">
      <c r="A28" s="2"/>
      <c r="L28" s="2"/>
      <c r="M28" s="2"/>
      <c r="W28" s="2"/>
    </row>
    <row r="29" spans="1:24" ht="15.75" customHeight="1" x14ac:dyDescent="0.25">
      <c r="A29" s="2"/>
      <c r="L29" s="2"/>
      <c r="M29" s="2"/>
      <c r="W29" s="2"/>
    </row>
    <row r="30" spans="1:24" ht="15.75" customHeight="1" x14ac:dyDescent="0.25">
      <c r="A30" s="2"/>
      <c r="L30" s="2"/>
      <c r="M30" s="2"/>
      <c r="W30" s="2"/>
    </row>
    <row r="31" spans="1:24" ht="15.75" customHeight="1" x14ac:dyDescent="0.25">
      <c r="A31" s="2"/>
      <c r="L31" s="2"/>
      <c r="M31" s="2"/>
      <c r="W31" s="2"/>
    </row>
    <row r="32" spans="1:24" ht="15.75" customHeight="1" x14ac:dyDescent="0.25">
      <c r="A32" s="2"/>
      <c r="L32" s="2"/>
      <c r="M32" s="2"/>
      <c r="W32" s="2"/>
    </row>
    <row r="33" spans="1:23" ht="15.75" customHeight="1" x14ac:dyDescent="0.25">
      <c r="A33" s="2"/>
      <c r="L33" s="2"/>
      <c r="M33" s="2"/>
      <c r="W33" s="2"/>
    </row>
    <row r="34" spans="1:23" ht="15.75" customHeight="1" x14ac:dyDescent="0.25">
      <c r="A34" s="2"/>
      <c r="L34" s="2"/>
      <c r="M34" s="2"/>
      <c r="W34" s="2"/>
    </row>
    <row r="35" spans="1:23" ht="15.75" customHeight="1" x14ac:dyDescent="0.25">
      <c r="A35" s="2"/>
      <c r="L35" s="2"/>
      <c r="M35" s="2"/>
      <c r="W35" s="2"/>
    </row>
    <row r="36" spans="1:23" ht="15.75" customHeight="1" x14ac:dyDescent="0.25">
      <c r="A36" s="2"/>
      <c r="L36" s="2"/>
      <c r="M36" s="2"/>
      <c r="W36" s="2"/>
    </row>
    <row r="37" spans="1:23" ht="15.75" customHeight="1" x14ac:dyDescent="0.25">
      <c r="A37" s="2"/>
      <c r="L37" s="2"/>
      <c r="M37" s="2"/>
      <c r="W37" s="2"/>
    </row>
    <row r="38" spans="1:23" ht="15.75" customHeight="1" x14ac:dyDescent="0.25">
      <c r="A38" s="2"/>
      <c r="L38" s="2"/>
      <c r="M38" s="2"/>
      <c r="W38" s="2"/>
    </row>
    <row r="39" spans="1:23" ht="15.75" customHeight="1" x14ac:dyDescent="0.25">
      <c r="A39" s="2"/>
      <c r="L39" s="2"/>
      <c r="M39" s="2"/>
      <c r="W39" s="2"/>
    </row>
    <row r="40" spans="1:23" ht="15.75" customHeight="1" x14ac:dyDescent="0.25">
      <c r="A40" s="2"/>
      <c r="L40" s="2"/>
      <c r="M40" s="2"/>
      <c r="N40" s="2"/>
      <c r="W40" s="2"/>
    </row>
    <row r="41" spans="1:23" ht="15.75" customHeight="1" x14ac:dyDescent="0.25">
      <c r="A41" s="2"/>
      <c r="L41" s="2"/>
      <c r="M41" s="2"/>
      <c r="N41" s="2"/>
      <c r="W41" s="2"/>
    </row>
    <row r="42" spans="1:23" ht="15.75" customHeight="1" x14ac:dyDescent="0.25">
      <c r="A42" s="2"/>
      <c r="L42" s="2"/>
      <c r="M42" s="2"/>
      <c r="W42" s="2"/>
    </row>
    <row r="43" spans="1:23" ht="15.75" customHeight="1" x14ac:dyDescent="0.25">
      <c r="A43" s="2"/>
      <c r="L43" s="2"/>
      <c r="M43" s="2"/>
      <c r="N43" s="2"/>
      <c r="W43" s="2"/>
    </row>
    <row r="44" spans="1:23" ht="15.75" customHeight="1" x14ac:dyDescent="0.25">
      <c r="A44" s="2"/>
      <c r="L44" s="2"/>
      <c r="M44" s="2"/>
      <c r="N44" s="2"/>
      <c r="W44" s="2"/>
    </row>
    <row r="45" spans="1:23" ht="15.75" customHeight="1" x14ac:dyDescent="0.25">
      <c r="A45" s="2"/>
      <c r="L45" s="2"/>
      <c r="M45" s="2"/>
      <c r="W45" s="2"/>
    </row>
    <row r="46" spans="1:23" ht="15.75" customHeight="1" x14ac:dyDescent="0.25">
      <c r="A46" s="2"/>
      <c r="L46" s="2"/>
      <c r="M46" s="2"/>
      <c r="N46" s="2"/>
      <c r="W46" s="2"/>
    </row>
    <row r="47" spans="1:23" ht="15.75" customHeight="1" x14ac:dyDescent="0.25">
      <c r="A47" s="2"/>
      <c r="L47" s="2"/>
      <c r="M47" s="2"/>
      <c r="N47" s="2"/>
      <c r="W47" s="2"/>
    </row>
    <row r="48" spans="1:23" ht="15.75" customHeight="1" x14ac:dyDescent="0.25">
      <c r="A48" s="2"/>
      <c r="L48" s="2"/>
      <c r="M48" s="2"/>
      <c r="N48" s="2"/>
      <c r="W48" s="2"/>
    </row>
    <row r="49" spans="1:23" ht="15.75" customHeight="1" x14ac:dyDescent="0.25">
      <c r="A49" s="2"/>
      <c r="L49" s="2"/>
      <c r="M49" s="2"/>
      <c r="N49" s="2"/>
      <c r="W49" s="2"/>
    </row>
    <row r="50" spans="1:23" ht="15.75" customHeight="1" x14ac:dyDescent="0.25">
      <c r="A50" s="2"/>
      <c r="L50" s="2"/>
      <c r="M50" s="2"/>
      <c r="N50" s="2"/>
      <c r="W50" s="2"/>
    </row>
    <row r="51" spans="1:23" ht="15.75" customHeight="1" x14ac:dyDescent="0.25"/>
    <row r="52" spans="1:23" ht="15.75" customHeight="1" x14ac:dyDescent="0.25"/>
    <row r="53" spans="1:23" ht="15.75" customHeight="1" x14ac:dyDescent="0.25"/>
    <row r="54" spans="1:23" ht="15.75" customHeight="1" x14ac:dyDescent="0.25"/>
    <row r="55" spans="1:23" ht="15.75" customHeight="1" x14ac:dyDescent="0.25"/>
    <row r="56" spans="1:23" ht="15.75" customHeight="1" x14ac:dyDescent="0.25"/>
    <row r="57" spans="1:23" ht="15.75" customHeight="1" x14ac:dyDescent="0.25"/>
    <row r="58" spans="1:23" ht="15.75" customHeight="1" x14ac:dyDescent="0.25"/>
    <row r="59" spans="1:23" ht="15.75" customHeight="1" x14ac:dyDescent="0.25"/>
    <row r="60" spans="1:23" ht="15.75" customHeight="1" x14ac:dyDescent="0.25"/>
    <row r="61" spans="1:23" ht="15.75" customHeight="1" x14ac:dyDescent="0.25"/>
    <row r="62" spans="1:23" ht="15.75" customHeight="1" x14ac:dyDescent="0.25"/>
    <row r="63" spans="1:23" ht="15.75" customHeight="1" x14ac:dyDescent="0.25"/>
    <row r="64" spans="1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25" defaultRowHeight="15" customHeight="1" x14ac:dyDescent="0.25"/>
  <cols>
    <col min="1" max="2" width="15.5" customWidth="1"/>
    <col min="3" max="3" width="21.5" customWidth="1"/>
    <col min="4" max="4" width="11" customWidth="1"/>
    <col min="5" max="5" width="14.125" customWidth="1"/>
    <col min="6" max="6" width="12.125" customWidth="1"/>
    <col min="7" max="7" width="15.625" customWidth="1"/>
    <col min="8" max="8" width="22.5" customWidth="1"/>
    <col min="9" max="26" width="11" customWidth="1"/>
  </cols>
  <sheetData>
    <row r="1" spans="1:26" ht="15.75" customHeight="1" x14ac:dyDescent="0.25">
      <c r="A1" s="3" t="s">
        <v>1</v>
      </c>
      <c r="B1" s="3"/>
      <c r="C1" s="3" t="s">
        <v>4</v>
      </c>
      <c r="D1" s="3" t="s">
        <v>7</v>
      </c>
      <c r="E1" s="3" t="s">
        <v>11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3" t="s">
        <v>113</v>
      </c>
      <c r="B2" s="4" t="str">
        <f t="shared" ref="B2:B8" si="0">CONCATENATE(A2,8)</f>
        <v>1WX8VD5HW248</v>
      </c>
      <c r="C2" s="3" t="s">
        <v>121</v>
      </c>
      <c r="D2" s="3" t="s">
        <v>28</v>
      </c>
      <c r="E2" s="2">
        <v>45689</v>
      </c>
      <c r="F2" s="2">
        <v>45689</v>
      </c>
      <c r="G2" s="3">
        <v>19106640</v>
      </c>
      <c r="H2" s="3" t="s">
        <v>118</v>
      </c>
      <c r="I2" s="3" t="s">
        <v>33</v>
      </c>
      <c r="J2" s="3">
        <v>506.92</v>
      </c>
      <c r="K2" s="3">
        <v>390</v>
      </c>
      <c r="L2" s="3" t="s">
        <v>122</v>
      </c>
      <c r="M2" s="3" t="s">
        <v>123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3" t="s">
        <v>69</v>
      </c>
      <c r="B3" s="4" t="str">
        <f t="shared" si="0"/>
        <v>6JX0WU1PW248</v>
      </c>
      <c r="C3" s="3" t="s">
        <v>124</v>
      </c>
      <c r="D3" s="3" t="s">
        <v>28</v>
      </c>
      <c r="E3" s="2">
        <v>45658</v>
      </c>
      <c r="F3" s="2">
        <v>45658</v>
      </c>
      <c r="G3" s="3">
        <v>15278437</v>
      </c>
      <c r="H3" s="3" t="s">
        <v>71</v>
      </c>
      <c r="I3" s="3" t="s">
        <v>33</v>
      </c>
      <c r="J3" s="3">
        <v>313</v>
      </c>
      <c r="K3" s="3">
        <v>313</v>
      </c>
      <c r="L3" s="3" t="s">
        <v>125</v>
      </c>
      <c r="M3" s="3" t="s">
        <v>126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3" t="s">
        <v>109</v>
      </c>
      <c r="B4" s="4" t="str">
        <f t="shared" si="0"/>
        <v>7FY7Q80WA678</v>
      </c>
      <c r="C4" s="3" t="s">
        <v>127</v>
      </c>
      <c r="D4" s="3" t="s">
        <v>28</v>
      </c>
      <c r="E4" s="2">
        <v>45658</v>
      </c>
      <c r="F4" s="2">
        <v>45658</v>
      </c>
      <c r="G4" s="3">
        <v>15278437</v>
      </c>
      <c r="H4" s="3" t="s">
        <v>71</v>
      </c>
      <c r="I4" s="3" t="s">
        <v>33</v>
      </c>
      <c r="J4" s="3">
        <v>313</v>
      </c>
      <c r="K4" s="3">
        <v>313</v>
      </c>
      <c r="L4" s="3" t="s">
        <v>125</v>
      </c>
      <c r="M4" s="3" t="s">
        <v>126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3" t="s">
        <v>72</v>
      </c>
      <c r="B5" s="4" t="str">
        <f t="shared" si="0"/>
        <v>6VV7RE8JM348</v>
      </c>
      <c r="C5" s="3" t="s">
        <v>128</v>
      </c>
      <c r="D5" s="3" t="s">
        <v>28</v>
      </c>
      <c r="E5" s="2">
        <v>45689</v>
      </c>
      <c r="F5" s="2">
        <v>45689</v>
      </c>
      <c r="G5" s="3">
        <v>2158366</v>
      </c>
      <c r="H5" s="3" t="s">
        <v>74</v>
      </c>
      <c r="I5" s="3" t="s">
        <v>33</v>
      </c>
      <c r="J5" s="3">
        <v>401.5</v>
      </c>
      <c r="K5" s="3">
        <v>313</v>
      </c>
      <c r="L5" s="3" t="s">
        <v>125</v>
      </c>
      <c r="M5" s="3" t="s">
        <v>126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3" t="s">
        <v>66</v>
      </c>
      <c r="B6" s="4" t="str">
        <f t="shared" si="0"/>
        <v>9R87E66YG628</v>
      </c>
      <c r="C6" s="3" t="s">
        <v>129</v>
      </c>
      <c r="D6" s="3" t="s">
        <v>28</v>
      </c>
      <c r="E6" s="2">
        <v>45689</v>
      </c>
      <c r="F6" s="2">
        <v>45689</v>
      </c>
      <c r="G6" s="3">
        <v>7146581</v>
      </c>
      <c r="H6" s="3" t="s">
        <v>68</v>
      </c>
      <c r="I6" s="3" t="s">
        <v>33</v>
      </c>
      <c r="J6" s="3">
        <v>401.5</v>
      </c>
      <c r="K6" s="3">
        <v>313</v>
      </c>
      <c r="L6" s="3" t="s">
        <v>125</v>
      </c>
      <c r="M6" s="3" t="s">
        <v>126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3" t="s">
        <v>111</v>
      </c>
      <c r="B7" s="4" t="str">
        <f t="shared" si="0"/>
        <v>3K16E37YF548</v>
      </c>
      <c r="C7" s="3" t="s">
        <v>130</v>
      </c>
      <c r="D7" s="3" t="s">
        <v>28</v>
      </c>
      <c r="E7" s="2">
        <v>45689</v>
      </c>
      <c r="F7" s="2">
        <v>45689</v>
      </c>
      <c r="G7" s="3">
        <v>7146581</v>
      </c>
      <c r="H7" s="3" t="s">
        <v>68</v>
      </c>
      <c r="I7" s="3" t="s">
        <v>33</v>
      </c>
      <c r="J7" s="3">
        <v>401.5</v>
      </c>
      <c r="K7" s="3">
        <v>313</v>
      </c>
      <c r="L7" s="3" t="s">
        <v>125</v>
      </c>
      <c r="M7" s="3" t="s">
        <v>126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3" t="s">
        <v>119</v>
      </c>
      <c r="B8" s="4" t="str">
        <f t="shared" si="0"/>
        <v>4E54QU9YQ868</v>
      </c>
      <c r="C8" s="3" t="s">
        <v>131</v>
      </c>
      <c r="D8" s="3" t="s">
        <v>28</v>
      </c>
      <c r="E8" s="2">
        <v>45689</v>
      </c>
      <c r="F8" s="2">
        <v>45689</v>
      </c>
      <c r="G8" s="3">
        <v>7146581</v>
      </c>
      <c r="H8" s="3" t="s">
        <v>68</v>
      </c>
      <c r="I8" s="3" t="s">
        <v>33</v>
      </c>
      <c r="J8" s="3">
        <v>401.5</v>
      </c>
      <c r="K8" s="3">
        <v>313</v>
      </c>
      <c r="L8" s="3" t="s">
        <v>125</v>
      </c>
      <c r="M8" s="3" t="s">
        <v>126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3" t="s">
        <v>103</v>
      </c>
      <c r="B9" s="4" t="str">
        <f>CONCATENATE(A9,7)</f>
        <v>8P83WY0UK057</v>
      </c>
      <c r="C9" s="3" t="s">
        <v>132</v>
      </c>
      <c r="D9" s="3" t="s">
        <v>106</v>
      </c>
      <c r="E9" s="2">
        <v>45658</v>
      </c>
      <c r="F9" s="2">
        <v>45658</v>
      </c>
      <c r="G9" s="3">
        <v>17528908</v>
      </c>
      <c r="H9" s="3" t="s">
        <v>108</v>
      </c>
      <c r="I9" s="3" t="s">
        <v>33</v>
      </c>
      <c r="J9" s="3">
        <v>-830</v>
      </c>
      <c r="K9" s="3">
        <v>-705</v>
      </c>
      <c r="L9" s="3"/>
      <c r="M9" s="3" t="s">
        <v>133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3" t="s">
        <v>24</v>
      </c>
      <c r="B10" s="4" t="str">
        <f t="shared" ref="B10:B13" si="1">CONCATENATE(A10,8)</f>
        <v>8CV1UA1JW928</v>
      </c>
      <c r="C10" s="3" t="s">
        <v>134</v>
      </c>
      <c r="D10" s="3" t="s">
        <v>28</v>
      </c>
      <c r="E10" s="2">
        <v>45748</v>
      </c>
      <c r="F10" s="2">
        <v>45748</v>
      </c>
      <c r="G10" s="3">
        <v>8814784</v>
      </c>
      <c r="H10" s="3" t="s">
        <v>32</v>
      </c>
      <c r="I10" s="3" t="s">
        <v>33</v>
      </c>
      <c r="J10" s="3">
        <v>328.5</v>
      </c>
      <c r="K10" s="3">
        <v>313</v>
      </c>
      <c r="L10" s="3" t="s">
        <v>125</v>
      </c>
      <c r="M10" s="3" t="s">
        <v>126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 t="s">
        <v>43</v>
      </c>
      <c r="B11" s="4" t="str">
        <f t="shared" si="1"/>
        <v>1H28WE4GH278</v>
      </c>
      <c r="C11" s="3" t="s">
        <v>135</v>
      </c>
      <c r="D11" s="3" t="s">
        <v>28</v>
      </c>
      <c r="E11" s="2">
        <v>45689</v>
      </c>
      <c r="F11" s="2">
        <v>45689</v>
      </c>
      <c r="G11" s="3">
        <v>8814784</v>
      </c>
      <c r="H11" s="3" t="s">
        <v>32</v>
      </c>
      <c r="I11" s="3" t="s">
        <v>33</v>
      </c>
      <c r="J11" s="3">
        <v>401.5</v>
      </c>
      <c r="K11" s="3">
        <v>313</v>
      </c>
      <c r="L11" s="3" t="s">
        <v>125</v>
      </c>
      <c r="M11" s="3" t="s">
        <v>126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 t="s">
        <v>91</v>
      </c>
      <c r="B12" s="4" t="str">
        <f t="shared" si="1"/>
        <v>1UP1HK0WD328</v>
      </c>
      <c r="C12" s="3" t="s">
        <v>136</v>
      </c>
      <c r="D12" s="3" t="s">
        <v>28</v>
      </c>
      <c r="E12" s="2">
        <v>45689</v>
      </c>
      <c r="F12" s="2">
        <v>45689</v>
      </c>
      <c r="G12" s="3">
        <v>8814784</v>
      </c>
      <c r="H12" s="3" t="s">
        <v>32</v>
      </c>
      <c r="I12" s="3" t="s">
        <v>33</v>
      </c>
      <c r="J12" s="3">
        <v>401.5</v>
      </c>
      <c r="K12" s="3">
        <v>313</v>
      </c>
      <c r="L12" s="3" t="s">
        <v>125</v>
      </c>
      <c r="M12" s="3" t="s">
        <v>126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 t="s">
        <v>93</v>
      </c>
      <c r="B13" s="4" t="str">
        <f t="shared" si="1"/>
        <v>2A44VQ4MY828</v>
      </c>
      <c r="C13" s="3" t="s">
        <v>137</v>
      </c>
      <c r="D13" s="3" t="s">
        <v>28</v>
      </c>
      <c r="E13" s="2">
        <v>45689</v>
      </c>
      <c r="F13" s="2">
        <v>45689</v>
      </c>
      <c r="G13" s="3">
        <v>8814784</v>
      </c>
      <c r="H13" s="3" t="s">
        <v>32</v>
      </c>
      <c r="I13" s="3" t="s">
        <v>33</v>
      </c>
      <c r="J13" s="3">
        <v>401.5</v>
      </c>
      <c r="K13" s="3">
        <v>313</v>
      </c>
      <c r="L13" s="3" t="s">
        <v>125</v>
      </c>
      <c r="M13" s="3" t="s">
        <v>126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3" t="s">
        <v>99</v>
      </c>
      <c r="B14" s="4" t="str">
        <f>CONCATENATE(A14,7)</f>
        <v>6CR9WR6FX597</v>
      </c>
      <c r="C14" s="3" t="s">
        <v>138</v>
      </c>
      <c r="D14" s="3" t="s">
        <v>28</v>
      </c>
      <c r="E14" s="2">
        <v>45658</v>
      </c>
      <c r="F14" s="2">
        <v>45658</v>
      </c>
      <c r="G14" s="3">
        <v>16912722</v>
      </c>
      <c r="H14" s="3" t="s">
        <v>101</v>
      </c>
      <c r="I14" s="3" t="s">
        <v>33</v>
      </c>
      <c r="J14" s="3">
        <v>751</v>
      </c>
      <c r="K14" s="3">
        <v>626</v>
      </c>
      <c r="L14" s="3"/>
      <c r="M14" s="5" t="s">
        <v>139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 t="s">
        <v>36</v>
      </c>
      <c r="B15" s="4" t="str">
        <f t="shared" ref="B15:B19" si="2">CONCATENATE(A15,8)</f>
        <v>2NQ4AY9WG868</v>
      </c>
      <c r="C15" s="3" t="s">
        <v>140</v>
      </c>
      <c r="D15" s="3" t="s">
        <v>28</v>
      </c>
      <c r="E15" s="2">
        <v>45689</v>
      </c>
      <c r="F15" s="2">
        <v>45689</v>
      </c>
      <c r="G15" s="3">
        <v>18406006</v>
      </c>
      <c r="H15" s="3" t="s">
        <v>42</v>
      </c>
      <c r="I15" s="3" t="s">
        <v>33</v>
      </c>
      <c r="J15" s="3">
        <v>481.25</v>
      </c>
      <c r="K15" s="3">
        <v>390</v>
      </c>
      <c r="L15" s="3" t="s">
        <v>122</v>
      </c>
      <c r="M15" s="3" t="s">
        <v>123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 t="s">
        <v>75</v>
      </c>
      <c r="B16" s="4" t="str">
        <f t="shared" si="2"/>
        <v>6EE3DK8CH988</v>
      </c>
      <c r="C16" s="3" t="s">
        <v>141</v>
      </c>
      <c r="D16" s="3" t="s">
        <v>28</v>
      </c>
      <c r="E16" s="2">
        <v>45689</v>
      </c>
      <c r="F16" s="2">
        <v>45689</v>
      </c>
      <c r="G16" s="3">
        <v>19200754</v>
      </c>
      <c r="H16" s="3" t="s">
        <v>79</v>
      </c>
      <c r="I16" s="3" t="s">
        <v>33</v>
      </c>
      <c r="J16" s="3">
        <v>401.5</v>
      </c>
      <c r="K16" s="3">
        <v>313</v>
      </c>
      <c r="L16" s="3" t="s">
        <v>125</v>
      </c>
      <c r="M16" s="3" t="s">
        <v>126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 t="s">
        <v>47</v>
      </c>
      <c r="B17" s="4" t="str">
        <f t="shared" si="2"/>
        <v>9M92P01UA708</v>
      </c>
      <c r="C17" s="3" t="s">
        <v>142</v>
      </c>
      <c r="D17" s="3" t="s">
        <v>28</v>
      </c>
      <c r="E17" s="2">
        <v>45689</v>
      </c>
      <c r="F17" s="2">
        <v>45689</v>
      </c>
      <c r="G17" s="3">
        <v>8307933</v>
      </c>
      <c r="H17" s="3" t="s">
        <v>52</v>
      </c>
      <c r="I17" s="3" t="s">
        <v>33</v>
      </c>
      <c r="J17" s="3">
        <v>401.5</v>
      </c>
      <c r="K17" s="3">
        <v>313</v>
      </c>
      <c r="L17" s="3" t="s">
        <v>125</v>
      </c>
      <c r="M17" s="3" t="s">
        <v>126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 t="s">
        <v>96</v>
      </c>
      <c r="B18" s="4" t="str">
        <f t="shared" si="2"/>
        <v>7FJ7DU1JN468</v>
      </c>
      <c r="C18" s="3" t="s">
        <v>143</v>
      </c>
      <c r="D18" s="3" t="s">
        <v>28</v>
      </c>
      <c r="E18" s="2">
        <v>45689</v>
      </c>
      <c r="F18" s="2">
        <v>45689</v>
      </c>
      <c r="G18" s="3">
        <v>8325282</v>
      </c>
      <c r="H18" s="3" t="s">
        <v>98</v>
      </c>
      <c r="I18" s="3" t="s">
        <v>33</v>
      </c>
      <c r="J18" s="3">
        <v>401.5</v>
      </c>
      <c r="K18" s="3">
        <v>313</v>
      </c>
      <c r="L18" s="3" t="s">
        <v>125</v>
      </c>
      <c r="M18" s="3" t="s">
        <v>126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 t="s">
        <v>60</v>
      </c>
      <c r="B19" s="4" t="str">
        <f t="shared" si="2"/>
        <v>5FG7X93RM538</v>
      </c>
      <c r="C19" s="3" t="s">
        <v>144</v>
      </c>
      <c r="D19" s="3" t="s">
        <v>28</v>
      </c>
      <c r="E19" s="2">
        <v>45658</v>
      </c>
      <c r="F19" s="2">
        <v>45658</v>
      </c>
      <c r="G19" s="3">
        <v>7387433</v>
      </c>
      <c r="H19" s="3" t="s">
        <v>65</v>
      </c>
      <c r="I19" s="3" t="s">
        <v>33</v>
      </c>
      <c r="J19" s="3">
        <v>313</v>
      </c>
      <c r="K19" s="3">
        <v>313</v>
      </c>
      <c r="L19" s="3" t="s">
        <v>125</v>
      </c>
      <c r="M19" s="3" t="s">
        <v>126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" t="s">
        <v>103</v>
      </c>
      <c r="B20" s="4" t="str">
        <f t="shared" ref="B20:B39" si="3">CONCATENATE(A20,88)</f>
        <v>8P83WY0UK0588</v>
      </c>
      <c r="C20" s="4" t="s">
        <v>132</v>
      </c>
      <c r="D20" s="4" t="s">
        <v>106</v>
      </c>
      <c r="E20" s="6">
        <v>45658</v>
      </c>
      <c r="F20" s="6">
        <v>45658</v>
      </c>
      <c r="G20" s="4">
        <v>20411454</v>
      </c>
      <c r="H20" s="4" t="s">
        <v>145</v>
      </c>
      <c r="I20" s="4" t="s">
        <v>33</v>
      </c>
      <c r="J20" s="4">
        <v>-830</v>
      </c>
      <c r="K20" s="4">
        <v>-125</v>
      </c>
      <c r="L20" s="4"/>
      <c r="M20" s="4" t="s">
        <v>146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 t="s">
        <v>80</v>
      </c>
      <c r="B21" s="4" t="str">
        <f t="shared" si="3"/>
        <v>8XW2XQ1JD9888</v>
      </c>
      <c r="C21" s="4" t="s">
        <v>147</v>
      </c>
      <c r="D21" s="4" t="s">
        <v>28</v>
      </c>
      <c r="E21" s="6">
        <v>45689</v>
      </c>
      <c r="F21" s="6">
        <v>45689</v>
      </c>
      <c r="G21" s="4">
        <v>20411454</v>
      </c>
      <c r="H21" s="4" t="s">
        <v>145</v>
      </c>
      <c r="I21" s="4" t="s">
        <v>33</v>
      </c>
      <c r="J21" s="4">
        <v>36.67</v>
      </c>
      <c r="K21" s="4">
        <v>36.67</v>
      </c>
      <c r="L21" s="4"/>
      <c r="M21" s="4" t="s">
        <v>146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 t="s">
        <v>53</v>
      </c>
      <c r="B22" s="4" t="str">
        <f t="shared" si="3"/>
        <v>4KT6K59XP8388</v>
      </c>
      <c r="C22" s="4" t="s">
        <v>148</v>
      </c>
      <c r="D22" s="4" t="s">
        <v>28</v>
      </c>
      <c r="E22" s="6">
        <v>45689</v>
      </c>
      <c r="F22" s="6">
        <v>45689</v>
      </c>
      <c r="G22" s="4">
        <v>20411454</v>
      </c>
      <c r="H22" s="4" t="s">
        <v>145</v>
      </c>
      <c r="I22" s="4" t="s">
        <v>33</v>
      </c>
      <c r="J22" s="4">
        <v>114.59</v>
      </c>
      <c r="K22" s="4">
        <v>114.59</v>
      </c>
      <c r="L22" s="4"/>
      <c r="M22" s="4" t="s">
        <v>146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 t="s">
        <v>60</v>
      </c>
      <c r="B23" s="4" t="str">
        <f t="shared" si="3"/>
        <v>5FG7X93RM5388</v>
      </c>
      <c r="C23" s="4" t="s">
        <v>144</v>
      </c>
      <c r="D23" s="4" t="s">
        <v>28</v>
      </c>
      <c r="E23" s="6">
        <v>45658</v>
      </c>
      <c r="F23" s="6">
        <v>45658</v>
      </c>
      <c r="G23" s="4">
        <v>20411454</v>
      </c>
      <c r="H23" s="4" t="s">
        <v>145</v>
      </c>
      <c r="I23" s="4" t="s">
        <v>33</v>
      </c>
      <c r="J23" s="4">
        <v>125</v>
      </c>
      <c r="K23" s="4">
        <v>125</v>
      </c>
      <c r="L23" s="4"/>
      <c r="M23" s="4" t="s">
        <v>146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 t="s">
        <v>69</v>
      </c>
      <c r="B24" s="4" t="str">
        <f t="shared" si="3"/>
        <v>6JX0WU1PW2488</v>
      </c>
      <c r="C24" s="4" t="s">
        <v>124</v>
      </c>
      <c r="D24" s="4" t="s">
        <v>28</v>
      </c>
      <c r="E24" s="6">
        <v>45658</v>
      </c>
      <c r="F24" s="6">
        <v>45658</v>
      </c>
      <c r="G24" s="4">
        <v>20411454</v>
      </c>
      <c r="H24" s="4" t="s">
        <v>145</v>
      </c>
      <c r="I24" s="4" t="s">
        <v>33</v>
      </c>
      <c r="J24" s="4">
        <v>125</v>
      </c>
      <c r="K24" s="4">
        <v>125</v>
      </c>
      <c r="L24" s="4"/>
      <c r="M24" s="4" t="s">
        <v>146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 t="s">
        <v>109</v>
      </c>
      <c r="B25" s="4" t="str">
        <f t="shared" si="3"/>
        <v>7FY7Q80WA6788</v>
      </c>
      <c r="C25" s="4" t="s">
        <v>127</v>
      </c>
      <c r="D25" s="4" t="s">
        <v>28</v>
      </c>
      <c r="E25" s="6">
        <v>45658</v>
      </c>
      <c r="F25" s="6">
        <v>45658</v>
      </c>
      <c r="G25" s="4">
        <v>20411454</v>
      </c>
      <c r="H25" s="4" t="s">
        <v>145</v>
      </c>
      <c r="I25" s="4" t="s">
        <v>33</v>
      </c>
      <c r="J25" s="4">
        <v>125</v>
      </c>
      <c r="K25" s="4">
        <v>125</v>
      </c>
      <c r="L25" s="4"/>
      <c r="M25" s="4" t="s">
        <v>146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 t="s">
        <v>24</v>
      </c>
      <c r="B26" s="4" t="str">
        <f t="shared" si="3"/>
        <v>8CV1UA1JW9288</v>
      </c>
      <c r="C26" s="4" t="s">
        <v>134</v>
      </c>
      <c r="D26" s="4" t="s">
        <v>28</v>
      </c>
      <c r="E26" s="6">
        <v>45748</v>
      </c>
      <c r="F26" s="6">
        <v>45748</v>
      </c>
      <c r="G26" s="4">
        <v>20411454</v>
      </c>
      <c r="H26" s="4" t="s">
        <v>145</v>
      </c>
      <c r="I26" s="4" t="s">
        <v>33</v>
      </c>
      <c r="J26" s="4">
        <v>328.5</v>
      </c>
      <c r="K26" s="4">
        <v>15.5</v>
      </c>
      <c r="L26" s="4"/>
      <c r="M26" s="4" t="s">
        <v>146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43</v>
      </c>
      <c r="B27" s="4" t="str">
        <f t="shared" si="3"/>
        <v>1H28WE4GH2788</v>
      </c>
      <c r="C27" s="4" t="s">
        <v>135</v>
      </c>
      <c r="D27" s="4" t="s">
        <v>28</v>
      </c>
      <c r="E27" s="6">
        <v>45689</v>
      </c>
      <c r="F27" s="6">
        <v>45689</v>
      </c>
      <c r="G27" s="4">
        <v>20411454</v>
      </c>
      <c r="H27" s="4" t="s">
        <v>145</v>
      </c>
      <c r="I27" s="4" t="s">
        <v>33</v>
      </c>
      <c r="J27" s="4">
        <v>401.5</v>
      </c>
      <c r="K27" s="4">
        <v>88.5</v>
      </c>
      <c r="L27" s="4"/>
      <c r="M27" s="4" t="s">
        <v>146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 t="s">
        <v>47</v>
      </c>
      <c r="B28" s="4" t="str">
        <f t="shared" si="3"/>
        <v>9M92P01UA7088</v>
      </c>
      <c r="C28" s="4" t="s">
        <v>142</v>
      </c>
      <c r="D28" s="4" t="s">
        <v>28</v>
      </c>
      <c r="E28" s="6">
        <v>45689</v>
      </c>
      <c r="F28" s="6">
        <v>45689</v>
      </c>
      <c r="G28" s="4">
        <v>20411454</v>
      </c>
      <c r="H28" s="4" t="s">
        <v>145</v>
      </c>
      <c r="I28" s="4" t="s">
        <v>33</v>
      </c>
      <c r="J28" s="4">
        <v>401.5</v>
      </c>
      <c r="K28" s="4">
        <v>88.5</v>
      </c>
      <c r="L28" s="4"/>
      <c r="M28" s="4" t="s">
        <v>146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 t="s">
        <v>66</v>
      </c>
      <c r="B29" s="4" t="str">
        <f t="shared" si="3"/>
        <v>9R87E66YG6288</v>
      </c>
      <c r="C29" s="4" t="s">
        <v>129</v>
      </c>
      <c r="D29" s="4" t="s">
        <v>28</v>
      </c>
      <c r="E29" s="6">
        <v>45689</v>
      </c>
      <c r="F29" s="6">
        <v>45689</v>
      </c>
      <c r="G29" s="4">
        <v>20411454</v>
      </c>
      <c r="H29" s="4" t="s">
        <v>145</v>
      </c>
      <c r="I29" s="4" t="s">
        <v>33</v>
      </c>
      <c r="J29" s="4">
        <v>401.5</v>
      </c>
      <c r="K29" s="4">
        <v>88.5</v>
      </c>
      <c r="L29" s="4"/>
      <c r="M29" s="4" t="s">
        <v>146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 t="s">
        <v>72</v>
      </c>
      <c r="B30" s="4" t="str">
        <f t="shared" si="3"/>
        <v>6VV7RE8JM3488</v>
      </c>
      <c r="C30" s="4" t="s">
        <v>128</v>
      </c>
      <c r="D30" s="4" t="s">
        <v>28</v>
      </c>
      <c r="E30" s="6">
        <v>45689</v>
      </c>
      <c r="F30" s="6">
        <v>45689</v>
      </c>
      <c r="G30" s="4">
        <v>20411454</v>
      </c>
      <c r="H30" s="4" t="s">
        <v>145</v>
      </c>
      <c r="I30" s="4" t="s">
        <v>33</v>
      </c>
      <c r="J30" s="4">
        <v>401.5</v>
      </c>
      <c r="K30" s="4">
        <v>88.5</v>
      </c>
      <c r="L30" s="4"/>
      <c r="M30" s="4" t="s">
        <v>146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 t="s">
        <v>75</v>
      </c>
      <c r="B31" s="4" t="str">
        <f t="shared" si="3"/>
        <v>6EE3DK8CH9888</v>
      </c>
      <c r="C31" s="4" t="s">
        <v>141</v>
      </c>
      <c r="D31" s="4" t="s">
        <v>28</v>
      </c>
      <c r="E31" s="6">
        <v>45689</v>
      </c>
      <c r="F31" s="6">
        <v>45689</v>
      </c>
      <c r="G31" s="4">
        <v>20411454</v>
      </c>
      <c r="H31" s="4" t="s">
        <v>145</v>
      </c>
      <c r="I31" s="4" t="s">
        <v>33</v>
      </c>
      <c r="J31" s="4">
        <v>401.5</v>
      </c>
      <c r="K31" s="4">
        <v>88.5</v>
      </c>
      <c r="L31" s="4"/>
      <c r="M31" s="4" t="s">
        <v>146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 t="s">
        <v>91</v>
      </c>
      <c r="B32" s="4" t="str">
        <f t="shared" si="3"/>
        <v>1UP1HK0WD3288</v>
      </c>
      <c r="C32" s="4" t="s">
        <v>136</v>
      </c>
      <c r="D32" s="4" t="s">
        <v>28</v>
      </c>
      <c r="E32" s="6">
        <v>45689</v>
      </c>
      <c r="F32" s="6">
        <v>45689</v>
      </c>
      <c r="G32" s="4">
        <v>20411454</v>
      </c>
      <c r="H32" s="4" t="s">
        <v>145</v>
      </c>
      <c r="I32" s="4" t="s">
        <v>33</v>
      </c>
      <c r="J32" s="4">
        <v>401.5</v>
      </c>
      <c r="K32" s="4">
        <v>88.5</v>
      </c>
      <c r="L32" s="4"/>
      <c r="M32" s="4" t="s">
        <v>146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 t="s">
        <v>93</v>
      </c>
      <c r="B33" s="4" t="str">
        <f t="shared" si="3"/>
        <v>2A44VQ4MY8288</v>
      </c>
      <c r="C33" s="4" t="s">
        <v>137</v>
      </c>
      <c r="D33" s="4" t="s">
        <v>28</v>
      </c>
      <c r="E33" s="6">
        <v>45689</v>
      </c>
      <c r="F33" s="6">
        <v>45689</v>
      </c>
      <c r="G33" s="4">
        <v>20411454</v>
      </c>
      <c r="H33" s="4" t="s">
        <v>145</v>
      </c>
      <c r="I33" s="4" t="s">
        <v>33</v>
      </c>
      <c r="J33" s="4">
        <v>401.5</v>
      </c>
      <c r="K33" s="4">
        <v>88.5</v>
      </c>
      <c r="L33" s="4"/>
      <c r="M33" s="4" t="s">
        <v>146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 t="s">
        <v>96</v>
      </c>
      <c r="B34" s="4" t="str">
        <f t="shared" si="3"/>
        <v>7FJ7DU1JN4688</v>
      </c>
      <c r="C34" s="4" t="s">
        <v>143</v>
      </c>
      <c r="D34" s="4" t="s">
        <v>28</v>
      </c>
      <c r="E34" s="6">
        <v>45689</v>
      </c>
      <c r="F34" s="6">
        <v>45689</v>
      </c>
      <c r="G34" s="4">
        <v>20411454</v>
      </c>
      <c r="H34" s="4" t="s">
        <v>145</v>
      </c>
      <c r="I34" s="4" t="s">
        <v>33</v>
      </c>
      <c r="J34" s="4">
        <v>401.5</v>
      </c>
      <c r="K34" s="4">
        <v>88.5</v>
      </c>
      <c r="L34" s="4"/>
      <c r="M34" s="4" t="s">
        <v>146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 t="s">
        <v>111</v>
      </c>
      <c r="B35" s="4" t="str">
        <f t="shared" si="3"/>
        <v>3K16E37YF5488</v>
      </c>
      <c r="C35" s="4" t="s">
        <v>130</v>
      </c>
      <c r="D35" s="4" t="s">
        <v>28</v>
      </c>
      <c r="E35" s="6">
        <v>45689</v>
      </c>
      <c r="F35" s="6">
        <v>45689</v>
      </c>
      <c r="G35" s="4">
        <v>20411454</v>
      </c>
      <c r="H35" s="4" t="s">
        <v>145</v>
      </c>
      <c r="I35" s="4" t="s">
        <v>33</v>
      </c>
      <c r="J35" s="4">
        <v>401.5</v>
      </c>
      <c r="K35" s="4">
        <v>88.5</v>
      </c>
      <c r="L35" s="4"/>
      <c r="M35" s="4" t="s">
        <v>146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 t="s">
        <v>119</v>
      </c>
      <c r="B36" s="4" t="str">
        <f t="shared" si="3"/>
        <v>4E54QU9YQ8688</v>
      </c>
      <c r="C36" s="4" t="s">
        <v>131</v>
      </c>
      <c r="D36" s="4" t="s">
        <v>28</v>
      </c>
      <c r="E36" s="6">
        <v>45689</v>
      </c>
      <c r="F36" s="6">
        <v>45689</v>
      </c>
      <c r="G36" s="4">
        <v>20411454</v>
      </c>
      <c r="H36" s="4" t="s">
        <v>145</v>
      </c>
      <c r="I36" s="4" t="s">
        <v>33</v>
      </c>
      <c r="J36" s="4">
        <v>401.5</v>
      </c>
      <c r="K36" s="4">
        <v>88.5</v>
      </c>
      <c r="L36" s="4"/>
      <c r="M36" s="4" t="s">
        <v>146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 t="s">
        <v>36</v>
      </c>
      <c r="B37" s="4" t="str">
        <f t="shared" si="3"/>
        <v>2NQ4AY9WG8688</v>
      </c>
      <c r="C37" s="4" t="s">
        <v>140</v>
      </c>
      <c r="D37" s="4" t="s">
        <v>28</v>
      </c>
      <c r="E37" s="6">
        <v>45689</v>
      </c>
      <c r="F37" s="6">
        <v>45689</v>
      </c>
      <c r="G37" s="4">
        <v>20411454</v>
      </c>
      <c r="H37" s="4" t="s">
        <v>145</v>
      </c>
      <c r="I37" s="4" t="s">
        <v>33</v>
      </c>
      <c r="J37" s="4">
        <v>481.25</v>
      </c>
      <c r="K37" s="4">
        <f>481.25-390</f>
        <v>91.25</v>
      </c>
      <c r="L37" s="4"/>
      <c r="M37" s="4" t="s">
        <v>146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 t="s">
        <v>113</v>
      </c>
      <c r="B38" s="4" t="str">
        <f t="shared" si="3"/>
        <v>1WX8VD5HW2488</v>
      </c>
      <c r="C38" s="4" t="s">
        <v>121</v>
      </c>
      <c r="D38" s="4" t="s">
        <v>28</v>
      </c>
      <c r="E38" s="6">
        <v>45689</v>
      </c>
      <c r="F38" s="6">
        <v>45689</v>
      </c>
      <c r="G38" s="4">
        <v>20411454</v>
      </c>
      <c r="H38" s="4" t="s">
        <v>145</v>
      </c>
      <c r="I38" s="4" t="s">
        <v>33</v>
      </c>
      <c r="J38" s="4">
        <v>506.92</v>
      </c>
      <c r="K38" s="4">
        <v>116.92</v>
      </c>
      <c r="L38" s="4"/>
      <c r="M38" s="4" t="s">
        <v>146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 t="s">
        <v>99</v>
      </c>
      <c r="B39" s="4" t="str">
        <f t="shared" si="3"/>
        <v>6CR9WR6FX5988</v>
      </c>
      <c r="C39" s="4" t="s">
        <v>138</v>
      </c>
      <c r="D39" s="4" t="s">
        <v>28</v>
      </c>
      <c r="E39" s="6">
        <v>45658</v>
      </c>
      <c r="F39" s="6">
        <v>45658</v>
      </c>
      <c r="G39" s="4">
        <v>20411454</v>
      </c>
      <c r="H39" s="4" t="s">
        <v>145</v>
      </c>
      <c r="I39" s="4" t="s">
        <v>33</v>
      </c>
      <c r="J39" s="4">
        <v>751</v>
      </c>
      <c r="K39" s="4">
        <f>751-626</f>
        <v>125</v>
      </c>
      <c r="L39" s="4"/>
      <c r="M39" s="4" t="s">
        <v>146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3" t="s">
        <v>84</v>
      </c>
      <c r="B40" s="4" t="str">
        <f>CONCATENATE(A40,8)</f>
        <v>9PG8D44UC558</v>
      </c>
      <c r="C40" s="3" t="s">
        <v>149</v>
      </c>
      <c r="D40" s="3" t="s">
        <v>88</v>
      </c>
      <c r="E40" s="2">
        <v>45658</v>
      </c>
      <c r="F40" s="2">
        <v>45658</v>
      </c>
      <c r="G40" s="3">
        <v>15278437</v>
      </c>
      <c r="H40" s="3" t="s">
        <v>71</v>
      </c>
      <c r="I40" s="3" t="s">
        <v>90</v>
      </c>
      <c r="J40" s="3">
        <v>-3.92</v>
      </c>
      <c r="K40" s="3">
        <v>-3.92</v>
      </c>
      <c r="L40" s="3"/>
      <c r="M40" s="3" t="s">
        <v>150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2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2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2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2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2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2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2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1.25" defaultRowHeight="15" customHeight="1" x14ac:dyDescent="0.25"/>
  <cols>
    <col min="1" max="1" width="14.75" customWidth="1"/>
    <col min="2" max="2" width="8.5" customWidth="1"/>
    <col min="3" max="3" width="20.375" customWidth="1"/>
    <col min="4" max="26" width="8.5" customWidth="1"/>
  </cols>
  <sheetData>
    <row r="1" spans="1:3" ht="15.75" customHeight="1" x14ac:dyDescent="0.25">
      <c r="A1" s="3" t="s">
        <v>151</v>
      </c>
      <c r="B1" s="1" t="s">
        <v>152</v>
      </c>
      <c r="C1" s="1" t="str">
        <f t="shared" ref="C1:C39" si="0">CONCATENATE(B1, " ", A1)</f>
        <v>STOJANKA STOJANOVIC</v>
      </c>
    </row>
    <row r="2" spans="1:3" ht="15.75" customHeight="1" x14ac:dyDescent="0.25">
      <c r="A2" s="3" t="s">
        <v>153</v>
      </c>
      <c r="B2" s="1" t="s">
        <v>154</v>
      </c>
      <c r="C2" s="1" t="str">
        <f t="shared" si="0"/>
        <v>JAMES GROOMES</v>
      </c>
    </row>
    <row r="3" spans="1:3" ht="15.75" customHeight="1" x14ac:dyDescent="0.25">
      <c r="A3" s="3" t="s">
        <v>155</v>
      </c>
      <c r="B3" s="1" t="s">
        <v>156</v>
      </c>
      <c r="C3" s="1" t="str">
        <f t="shared" si="0"/>
        <v>WILLIAM ROSE</v>
      </c>
    </row>
    <row r="4" spans="1:3" ht="15.75" customHeight="1" x14ac:dyDescent="0.25">
      <c r="A4" s="3" t="s">
        <v>157</v>
      </c>
      <c r="B4" s="1" t="s">
        <v>158</v>
      </c>
      <c r="C4" s="1" t="str">
        <f t="shared" si="0"/>
        <v>SUZANNE HEY</v>
      </c>
    </row>
    <row r="5" spans="1:3" ht="15.75" customHeight="1" x14ac:dyDescent="0.25">
      <c r="A5" s="3" t="s">
        <v>159</v>
      </c>
      <c r="B5" s="1" t="s">
        <v>160</v>
      </c>
      <c r="C5" s="1" t="str">
        <f t="shared" si="0"/>
        <v>STEPHEN GRAHAM</v>
      </c>
    </row>
    <row r="6" spans="1:3" ht="15.75" customHeight="1" x14ac:dyDescent="0.25">
      <c r="A6" s="3" t="s">
        <v>161</v>
      </c>
      <c r="B6" s="1" t="s">
        <v>156</v>
      </c>
      <c r="C6" s="1" t="str">
        <f t="shared" si="0"/>
        <v>WILLIAM SPELICH</v>
      </c>
    </row>
    <row r="7" spans="1:3" ht="15.75" customHeight="1" x14ac:dyDescent="0.25">
      <c r="A7" s="3" t="s">
        <v>162</v>
      </c>
      <c r="B7" s="1" t="s">
        <v>163</v>
      </c>
      <c r="C7" s="1" t="str">
        <f t="shared" si="0"/>
        <v>SUSAN WASYLIK</v>
      </c>
    </row>
    <row r="8" spans="1:3" ht="15.75" customHeight="1" x14ac:dyDescent="0.25">
      <c r="A8" s="3" t="s">
        <v>164</v>
      </c>
      <c r="B8" s="1" t="s">
        <v>165</v>
      </c>
      <c r="C8" s="1" t="str">
        <f t="shared" si="0"/>
        <v>THOMAS PRIGG</v>
      </c>
    </row>
    <row r="9" spans="1:3" ht="15.75" customHeight="1" x14ac:dyDescent="0.25">
      <c r="A9" s="3" t="s">
        <v>166</v>
      </c>
      <c r="B9" s="1" t="s">
        <v>163</v>
      </c>
      <c r="C9" s="1" t="str">
        <f t="shared" si="0"/>
        <v>SUSAN BUSSE</v>
      </c>
    </row>
    <row r="10" spans="1:3" ht="15.75" customHeight="1" x14ac:dyDescent="0.25">
      <c r="A10" s="3" t="s">
        <v>167</v>
      </c>
      <c r="B10" s="1" t="s">
        <v>168</v>
      </c>
      <c r="C10" s="1" t="str">
        <f t="shared" si="0"/>
        <v>NICKI COZZI</v>
      </c>
    </row>
    <row r="11" spans="1:3" ht="15.75" customHeight="1" x14ac:dyDescent="0.25">
      <c r="A11" s="3" t="s">
        <v>169</v>
      </c>
      <c r="B11" s="1" t="s">
        <v>170</v>
      </c>
      <c r="C11" s="1" t="str">
        <f t="shared" si="0"/>
        <v>IRENE KLOK</v>
      </c>
    </row>
    <row r="12" spans="1:3" ht="15.75" customHeight="1" x14ac:dyDescent="0.25">
      <c r="A12" s="3" t="s">
        <v>171</v>
      </c>
      <c r="B12" s="1" t="s">
        <v>172</v>
      </c>
      <c r="C12" s="1" t="str">
        <f t="shared" si="0"/>
        <v>ROBERT MABIE</v>
      </c>
    </row>
    <row r="13" spans="1:3" ht="15.75" customHeight="1" x14ac:dyDescent="0.25">
      <c r="A13" s="3" t="s">
        <v>173</v>
      </c>
      <c r="B13" s="1" t="s">
        <v>174</v>
      </c>
      <c r="C13" s="1" t="str">
        <f t="shared" si="0"/>
        <v>TOM PAPADOPOULOS</v>
      </c>
    </row>
    <row r="14" spans="1:3" ht="15.75" customHeight="1" x14ac:dyDescent="0.25">
      <c r="A14" s="3" t="s">
        <v>175</v>
      </c>
      <c r="B14" s="1" t="s">
        <v>176</v>
      </c>
      <c r="C14" s="1" t="str">
        <f t="shared" si="0"/>
        <v>LUIS CABELLO</v>
      </c>
    </row>
    <row r="15" spans="1:3" ht="15.75" customHeight="1" x14ac:dyDescent="0.25">
      <c r="A15" s="3" t="s">
        <v>177</v>
      </c>
      <c r="B15" s="1" t="s">
        <v>178</v>
      </c>
      <c r="C15" s="1" t="str">
        <f t="shared" si="0"/>
        <v>MAIRE HOFFMAN</v>
      </c>
    </row>
    <row r="16" spans="1:3" ht="15.75" customHeight="1" x14ac:dyDescent="0.25">
      <c r="A16" s="3" t="s">
        <v>179</v>
      </c>
      <c r="B16" s="1" t="s">
        <v>180</v>
      </c>
      <c r="C16" s="1" t="str">
        <f t="shared" si="0"/>
        <v>CINDY DICKERSON</v>
      </c>
    </row>
    <row r="17" spans="1:3" ht="15.75" customHeight="1" x14ac:dyDescent="0.25">
      <c r="A17" s="3" t="s">
        <v>181</v>
      </c>
      <c r="B17" s="1" t="s">
        <v>182</v>
      </c>
      <c r="C17" s="1" t="str">
        <f t="shared" si="0"/>
        <v>JULIE MARKIN</v>
      </c>
    </row>
    <row r="18" spans="1:3" ht="15.75" customHeight="1" x14ac:dyDescent="0.25">
      <c r="A18" s="3" t="s">
        <v>183</v>
      </c>
      <c r="B18" s="1" t="s">
        <v>165</v>
      </c>
      <c r="C18" s="1" t="str">
        <f t="shared" si="0"/>
        <v>THOMAS DUKULY</v>
      </c>
    </row>
    <row r="19" spans="1:3" ht="15.75" customHeight="1" x14ac:dyDescent="0.25">
      <c r="A19" s="4" t="s">
        <v>164</v>
      </c>
      <c r="B19" s="1" t="s">
        <v>165</v>
      </c>
      <c r="C19" s="1" t="str">
        <f t="shared" si="0"/>
        <v>THOMAS PRIGG</v>
      </c>
    </row>
    <row r="20" spans="1:3" ht="15.75" customHeight="1" x14ac:dyDescent="0.25">
      <c r="A20" s="4" t="s">
        <v>184</v>
      </c>
      <c r="B20" s="1" t="s">
        <v>185</v>
      </c>
      <c r="C20" s="1" t="str">
        <f t="shared" si="0"/>
        <v>GRACE HUETT</v>
      </c>
    </row>
    <row r="21" spans="1:3" ht="15.75" customHeight="1" x14ac:dyDescent="0.25">
      <c r="A21" s="4" t="s">
        <v>186</v>
      </c>
      <c r="B21" s="1" t="s">
        <v>187</v>
      </c>
      <c r="C21" s="1" t="str">
        <f t="shared" si="0"/>
        <v>SOLOMON DOE</v>
      </c>
    </row>
    <row r="22" spans="1:3" ht="15.75" customHeight="1" x14ac:dyDescent="0.25">
      <c r="A22" s="4" t="s">
        <v>183</v>
      </c>
      <c r="B22" s="1" t="s">
        <v>165</v>
      </c>
      <c r="C22" s="1" t="str">
        <f t="shared" si="0"/>
        <v>THOMAS DUKULY</v>
      </c>
    </row>
    <row r="23" spans="1:3" ht="15.75" customHeight="1" x14ac:dyDescent="0.25">
      <c r="A23" s="4" t="s">
        <v>153</v>
      </c>
      <c r="B23" s="1" t="s">
        <v>154</v>
      </c>
      <c r="C23" s="1" t="str">
        <f t="shared" si="0"/>
        <v>JAMES GROOMES</v>
      </c>
    </row>
    <row r="24" spans="1:3" ht="15.75" customHeight="1" x14ac:dyDescent="0.25">
      <c r="A24" s="4" t="s">
        <v>155</v>
      </c>
      <c r="B24" s="1" t="s">
        <v>156</v>
      </c>
      <c r="C24" s="1" t="str">
        <f t="shared" si="0"/>
        <v>WILLIAM ROSE</v>
      </c>
    </row>
    <row r="25" spans="1:3" ht="15.75" customHeight="1" x14ac:dyDescent="0.25">
      <c r="A25" s="4" t="s">
        <v>166</v>
      </c>
      <c r="B25" s="1" t="s">
        <v>163</v>
      </c>
      <c r="C25" s="1" t="str">
        <f t="shared" si="0"/>
        <v>SUSAN BUSSE</v>
      </c>
    </row>
    <row r="26" spans="1:3" ht="15.75" customHeight="1" x14ac:dyDescent="0.25">
      <c r="A26" s="4" t="s">
        <v>167</v>
      </c>
      <c r="B26" s="1" t="s">
        <v>168</v>
      </c>
      <c r="C26" s="1" t="str">
        <f t="shared" si="0"/>
        <v>NICKI COZZI</v>
      </c>
    </row>
    <row r="27" spans="1:3" ht="15.75" customHeight="1" x14ac:dyDescent="0.25">
      <c r="A27" s="4" t="s">
        <v>179</v>
      </c>
      <c r="B27" s="1" t="s">
        <v>180</v>
      </c>
      <c r="C27" s="1" t="str">
        <f t="shared" si="0"/>
        <v>CINDY DICKERSON</v>
      </c>
    </row>
    <row r="28" spans="1:3" ht="15.75" customHeight="1" x14ac:dyDescent="0.25">
      <c r="A28" s="4" t="s">
        <v>159</v>
      </c>
      <c r="B28" s="1" t="s">
        <v>160</v>
      </c>
      <c r="C28" s="1" t="str">
        <f t="shared" si="0"/>
        <v>STEPHEN GRAHAM</v>
      </c>
    </row>
    <row r="29" spans="1:3" ht="15.75" customHeight="1" x14ac:dyDescent="0.25">
      <c r="A29" s="4" t="s">
        <v>157</v>
      </c>
      <c r="B29" s="1" t="s">
        <v>158</v>
      </c>
      <c r="C29" s="1" t="str">
        <f t="shared" si="0"/>
        <v>SUZANNE HEY</v>
      </c>
    </row>
    <row r="30" spans="1:3" ht="15.75" customHeight="1" x14ac:dyDescent="0.25">
      <c r="A30" s="4" t="s">
        <v>177</v>
      </c>
      <c r="B30" s="1" t="s">
        <v>178</v>
      </c>
      <c r="C30" s="1" t="str">
        <f t="shared" si="0"/>
        <v>MAIRE HOFFMAN</v>
      </c>
    </row>
    <row r="31" spans="1:3" ht="15.75" customHeight="1" x14ac:dyDescent="0.25">
      <c r="A31" s="4" t="s">
        <v>169</v>
      </c>
      <c r="B31" s="1" t="s">
        <v>170</v>
      </c>
      <c r="C31" s="1" t="str">
        <f t="shared" si="0"/>
        <v>IRENE KLOK</v>
      </c>
    </row>
    <row r="32" spans="1:3" ht="15.75" customHeight="1" x14ac:dyDescent="0.25">
      <c r="A32" s="4" t="s">
        <v>171</v>
      </c>
      <c r="B32" s="1" t="s">
        <v>172</v>
      </c>
      <c r="C32" s="1" t="str">
        <f t="shared" si="0"/>
        <v>ROBERT MABIE</v>
      </c>
    </row>
    <row r="33" spans="1:3" ht="15.75" customHeight="1" x14ac:dyDescent="0.25">
      <c r="A33" s="4" t="s">
        <v>181</v>
      </c>
      <c r="B33" s="1" t="s">
        <v>182</v>
      </c>
      <c r="C33" s="1" t="str">
        <f t="shared" si="0"/>
        <v>JULIE MARKIN</v>
      </c>
    </row>
    <row r="34" spans="1:3" ht="15.75" customHeight="1" x14ac:dyDescent="0.25">
      <c r="A34" s="4" t="s">
        <v>161</v>
      </c>
      <c r="B34" s="1" t="s">
        <v>156</v>
      </c>
      <c r="C34" s="1" t="str">
        <f t="shared" si="0"/>
        <v>WILLIAM SPELICH</v>
      </c>
    </row>
    <row r="35" spans="1:3" ht="15.75" customHeight="1" x14ac:dyDescent="0.25">
      <c r="A35" s="4" t="s">
        <v>162</v>
      </c>
      <c r="B35" s="1" t="s">
        <v>163</v>
      </c>
      <c r="C35" s="1" t="str">
        <f t="shared" si="0"/>
        <v>SUSAN WASYLIK</v>
      </c>
    </row>
    <row r="36" spans="1:3" ht="15.75" customHeight="1" x14ac:dyDescent="0.25">
      <c r="A36" s="4" t="s">
        <v>175</v>
      </c>
      <c r="B36" s="1" t="s">
        <v>176</v>
      </c>
      <c r="C36" s="1" t="str">
        <f t="shared" si="0"/>
        <v>LUIS CABELLO</v>
      </c>
    </row>
    <row r="37" spans="1:3" ht="15.75" customHeight="1" x14ac:dyDescent="0.25">
      <c r="A37" s="4" t="s">
        <v>151</v>
      </c>
      <c r="B37" s="1" t="s">
        <v>152</v>
      </c>
      <c r="C37" s="1" t="str">
        <f t="shared" si="0"/>
        <v>STOJANKA STOJANOVIC</v>
      </c>
    </row>
    <row r="38" spans="1:3" ht="15.75" customHeight="1" x14ac:dyDescent="0.25">
      <c r="A38" s="4" t="s">
        <v>173</v>
      </c>
      <c r="B38" s="1" t="s">
        <v>174</v>
      </c>
      <c r="C38" s="1" t="str">
        <f t="shared" si="0"/>
        <v>TOM PAPADOPOULOS</v>
      </c>
    </row>
    <row r="39" spans="1:3" ht="15.75" customHeight="1" x14ac:dyDescent="0.25">
      <c r="A39" s="3" t="s">
        <v>188</v>
      </c>
      <c r="B39" s="1" t="s">
        <v>189</v>
      </c>
      <c r="C39" s="1" t="str">
        <f t="shared" si="0"/>
        <v>GERARD KENWORTHY</v>
      </c>
    </row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2025-02-13T14:05:35Z</dcterms:created>
  <dcterms:modified xsi:type="dcterms:W3CDTF">2025-02-21T15:39:45Z</dcterms:modified>
</cp:coreProperties>
</file>