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5-20-25\"/>
    </mc:Choice>
  </mc:AlternateContent>
  <xr:revisionPtr revIDLastSave="0" documentId="13_ncr:1_{F36E5767-9EE0-4B97-A7DF-4A525CE40503}" xr6:coauthVersionLast="47" xr6:coauthVersionMax="47" xr10:uidLastSave="{00000000-0000-0000-0000-000000000000}"/>
  <bookViews>
    <workbookView xWindow="28680" yWindow="-120" windowWidth="29040" windowHeight="16440" xr2:uid="{35CAEA19-F807-4755-8A96-9A16BA29B691}"/>
  </bookViews>
  <sheets>
    <sheet name="Main Line Benefits LLC_med_comm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" i="3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16" i="2"/>
  <c r="B105" i="2"/>
  <c r="B114" i="2"/>
  <c r="B7" i="2"/>
  <c r="B15" i="2"/>
  <c r="B2" i="2"/>
  <c r="B4" i="2"/>
  <c r="B12" i="2"/>
  <c r="B18" i="2"/>
  <c r="B98" i="2"/>
  <c r="B6" i="2"/>
  <c r="B107" i="2"/>
  <c r="B96" i="2"/>
  <c r="B104" i="2"/>
  <c r="B102" i="2"/>
  <c r="B24" i="2"/>
  <c r="B23" i="2"/>
  <c r="B14" i="2"/>
  <c r="B113" i="2"/>
  <c r="B112" i="2"/>
  <c r="B22" i="2"/>
  <c r="B101" i="2"/>
  <c r="B11" i="2"/>
  <c r="B31" i="2"/>
  <c r="B95" i="2"/>
  <c r="B30" i="2"/>
  <c r="B29" i="2"/>
  <c r="B28" i="2"/>
  <c r="B109" i="2"/>
  <c r="B27" i="2"/>
  <c r="B3" i="2"/>
  <c r="B5" i="2"/>
  <c r="B106" i="2"/>
  <c r="B103" i="2"/>
  <c r="B10" i="2"/>
  <c r="B17" i="2"/>
  <c r="B97" i="2"/>
  <c r="B100" i="2"/>
  <c r="B21" i="2"/>
  <c r="B20" i="2"/>
  <c r="B13" i="2"/>
  <c r="B111" i="2"/>
  <c r="B110" i="2"/>
  <c r="B19" i="2"/>
  <c r="B99" i="2"/>
  <c r="B9" i="2"/>
  <c r="B8" i="2"/>
  <c r="B26" i="2"/>
  <c r="B25" i="2"/>
  <c r="B108" i="2"/>
  <c r="M9" i="2"/>
  <c r="M75" i="2"/>
  <c r="M8" i="2"/>
  <c r="M32" i="2"/>
  <c r="M27" i="2"/>
</calcChain>
</file>

<file path=xl/sharedStrings.xml><?xml version="1.0" encoding="utf-8"?>
<sst xmlns="http://schemas.openxmlformats.org/spreadsheetml/2006/main" count="2100" uniqueCount="323">
  <si>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</si>
  <si>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</si>
  <si>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</si>
  <si>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</si>
  <si>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</si>
  <si>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</si>
  <si>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</si>
  <si>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</si>
  <si>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</si>
  <si>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</si>
  <si>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</si>
  <si>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</si>
  <si>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</si>
  <si>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</si>
  <si>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</si>
  <si>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</si>
  <si>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</si>
  <si>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</si>
  <si>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</si>
  <si>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</si>
  <si>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</si>
  <si>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</si>
  <si>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</si>
  <si>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</si>
  <si>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7HY1A81YF11</t>
  </si>
  <si>
    <t>BROWN T,DEAN</t>
  </si>
  <si>
    <t>PA</t>
  </si>
  <si>
    <t>CMS Trueup</t>
  </si>
  <si>
    <t>MAPD</t>
  </si>
  <si>
    <t>IMM608</t>
  </si>
  <si>
    <t>H5522-004</t>
  </si>
  <si>
    <t>LOA</t>
  </si>
  <si>
    <t>Teipel, Gregory</t>
  </si>
  <si>
    <t>GMO</t>
  </si>
  <si>
    <t>Main Line Benefits LLC</t>
  </si>
  <si>
    <t xml:space="preserve">Y  </t>
  </si>
  <si>
    <t>CMS Trueup reversal</t>
  </si>
  <si>
    <t xml:space="preserve">N  </t>
  </si>
  <si>
    <t>4KN2Q67NJ86</t>
  </si>
  <si>
    <t>BUSTERNA L,BARBARA</t>
  </si>
  <si>
    <t>H3959-036</t>
  </si>
  <si>
    <t>AG4</t>
  </si>
  <si>
    <t>FINNEGAN, MARGARET</t>
  </si>
  <si>
    <t>8RD6HM7CE64</t>
  </si>
  <si>
    <t>CALLOZZO J,KEVIN</t>
  </si>
  <si>
    <t>WI</t>
  </si>
  <si>
    <t>New Business</t>
  </si>
  <si>
    <t>IMM606</t>
  </si>
  <si>
    <t>H5521-386</t>
  </si>
  <si>
    <t>Hodgman, Timothy</t>
  </si>
  <si>
    <t>4F30D37WF16</t>
  </si>
  <si>
    <t>DECOUX M,JILL</t>
  </si>
  <si>
    <t>LA</t>
  </si>
  <si>
    <t>IMM605</t>
  </si>
  <si>
    <t>H5521-469</t>
  </si>
  <si>
    <t>HANSFORD, GREGORY</t>
  </si>
  <si>
    <t>PRONEW</t>
  </si>
  <si>
    <t>8XD3KQ9NP01</t>
  </si>
  <si>
    <t>DELACRUZ,VIRGINIA</t>
  </si>
  <si>
    <t>IL</t>
  </si>
  <si>
    <t>H5521-086</t>
  </si>
  <si>
    <t>Serio, Tom</t>
  </si>
  <si>
    <t>9H59TD8GF57</t>
  </si>
  <si>
    <t>DIGBY E,DWAYNE</t>
  </si>
  <si>
    <t>H7301-013</t>
  </si>
  <si>
    <t>Portugal, Stacey</t>
  </si>
  <si>
    <t>3UR8D65XC23</t>
  </si>
  <si>
    <t>DOLPH C,ALLEN</t>
  </si>
  <si>
    <t>IMM619</t>
  </si>
  <si>
    <t>H7301-007</t>
  </si>
  <si>
    <t>Hunsberger, Anthony</t>
  </si>
  <si>
    <t>4EH5NJ3MD57</t>
  </si>
  <si>
    <t>DUGOSH J,ALAN</t>
  </si>
  <si>
    <t>H3192-013</t>
  </si>
  <si>
    <t>6RF6GV4EF66</t>
  </si>
  <si>
    <t>FABIO M,STEPHEN</t>
  </si>
  <si>
    <t>Powers, Timothy</t>
  </si>
  <si>
    <t>9JU5H84MX72</t>
  </si>
  <si>
    <t>HINCHSLIFF E,MEGAN</t>
  </si>
  <si>
    <t>MI</t>
  </si>
  <si>
    <t>H5521-219</t>
  </si>
  <si>
    <t>ABDUL, SAADIA</t>
  </si>
  <si>
    <t>4D04GP0KH84</t>
  </si>
  <si>
    <t>HOLMES A,LAURA</t>
  </si>
  <si>
    <t>IN</t>
  </si>
  <si>
    <t>H3192-020</t>
  </si>
  <si>
    <t>4HQ0UJ4NK00</t>
  </si>
  <si>
    <t>JOHNSON M,JANET</t>
  </si>
  <si>
    <t>Herrera-Larsen, Esther</t>
  </si>
  <si>
    <t>4HC3Q48EU75</t>
  </si>
  <si>
    <t>KARENBAUER L,PAMELA</t>
  </si>
  <si>
    <t>H3959-011</t>
  </si>
  <si>
    <t>5QR4WX0EQ64</t>
  </si>
  <si>
    <t>KOHNE B,MAUREEN</t>
  </si>
  <si>
    <t>H5522-001</t>
  </si>
  <si>
    <t>Inskipt, Deborah</t>
  </si>
  <si>
    <t>5AK2MD3VQ99</t>
  </si>
  <si>
    <t>KOPFER W,ROBERT</t>
  </si>
  <si>
    <t>4RK2N91NH02</t>
  </si>
  <si>
    <t>KRYST C,ROBERT</t>
  </si>
  <si>
    <t>9F01TA1EE02</t>
  </si>
  <si>
    <t>LAMBING L,DANNY</t>
  </si>
  <si>
    <t>H3959-002</t>
  </si>
  <si>
    <t>Smith, Margaret</t>
  </si>
  <si>
    <t>9T40PU2RF37</t>
  </si>
  <si>
    <t>LEE E,NIK</t>
  </si>
  <si>
    <t>1Q73KG5JD78</t>
  </si>
  <si>
    <t>LOSHBOUGH L,JOANNE</t>
  </si>
  <si>
    <t>5GF1KY2TD35</t>
  </si>
  <si>
    <t>MITCHELL M,KATHY</t>
  </si>
  <si>
    <t>H7301-009</t>
  </si>
  <si>
    <t>FRITZ, CAROL</t>
  </si>
  <si>
    <t>7RW0DY7CW33</t>
  </si>
  <si>
    <t>MITCHELL,DEBORAH</t>
  </si>
  <si>
    <t>H3959-035</t>
  </si>
  <si>
    <t>HERCHENRODER KLAUS</t>
  </si>
  <si>
    <t>1AD8MT0EU36</t>
  </si>
  <si>
    <t>MURRAY F,KIERAN</t>
  </si>
  <si>
    <t>GA</t>
  </si>
  <si>
    <t>H2293-010</t>
  </si>
  <si>
    <t>Portugal, Gary</t>
  </si>
  <si>
    <t>5T94NU9RY77</t>
  </si>
  <si>
    <t>PAUL L,DIANNA</t>
  </si>
  <si>
    <t>PA9999999</t>
  </si>
  <si>
    <t>ME0000PA</t>
  </si>
  <si>
    <t>PENNSYLVANIA, JANE</t>
  </si>
  <si>
    <t>HRA</t>
  </si>
  <si>
    <t>PPO</t>
  </si>
  <si>
    <t>HRA/Z599G5943R/18710070/SHELLY_DAVID</t>
  </si>
  <si>
    <t>MAIN LINE BENEFITS LLC</t>
  </si>
  <si>
    <t>N/A</t>
  </si>
  <si>
    <t>4N13UT6WG15</t>
  </si>
  <si>
    <t>PRICE M,SUSAN</t>
  </si>
  <si>
    <t>HORN, JEFFREY</t>
  </si>
  <si>
    <t>5GJ9J49QW33</t>
  </si>
  <si>
    <t>RATLIFF L,LISA</t>
  </si>
  <si>
    <t>KY</t>
  </si>
  <si>
    <t>IMM617</t>
  </si>
  <si>
    <t>H0628-007</t>
  </si>
  <si>
    <t>5P53RH0CK11</t>
  </si>
  <si>
    <t>RICHTER L,PETER</t>
  </si>
  <si>
    <t>FL</t>
  </si>
  <si>
    <t>IMM604</t>
  </si>
  <si>
    <t>H5521-435</t>
  </si>
  <si>
    <t>Richter Peter</t>
  </si>
  <si>
    <t>7VH1U61JN15</t>
  </si>
  <si>
    <t>SCHLOBOHM A,KELLY</t>
  </si>
  <si>
    <t>4RG8UV8NF50</t>
  </si>
  <si>
    <t>SCHUTTE R,JEFFREY</t>
  </si>
  <si>
    <t>Pro-Rata Payment</t>
  </si>
  <si>
    <t>H5522-005</t>
  </si>
  <si>
    <t>Pro-Rata Disenroll</t>
  </si>
  <si>
    <t>8JU4J58CC94</t>
  </si>
  <si>
    <t>SMITH A,JUANITA</t>
  </si>
  <si>
    <t>H3959-076</t>
  </si>
  <si>
    <t>McCorkle, Michelle</t>
  </si>
  <si>
    <t>4YD4U43EF65</t>
  </si>
  <si>
    <t>SMITH J,NANCY</t>
  </si>
  <si>
    <t>TN</t>
  </si>
  <si>
    <t>IMM609</t>
  </si>
  <si>
    <t>H5521-254</t>
  </si>
  <si>
    <t>Pardue Thomas</t>
  </si>
  <si>
    <t>8QW1HX1FA06</t>
  </si>
  <si>
    <t>SMOGUR J,JOHN</t>
  </si>
  <si>
    <t>TAUGNER, CHRISTIAN</t>
  </si>
  <si>
    <t>1G92KF3RH94</t>
  </si>
  <si>
    <t>STARKE E,ANKA</t>
  </si>
  <si>
    <t>Yale, Jacob</t>
  </si>
  <si>
    <t>3VX4JF7TF61</t>
  </si>
  <si>
    <t>STEPHENS A,CAROL</t>
  </si>
  <si>
    <t>H3959-010</t>
  </si>
  <si>
    <t>8Q10Y14DE03</t>
  </si>
  <si>
    <t>TUJO J,SANDRA</t>
  </si>
  <si>
    <t>Drapac, Stephanie</t>
  </si>
  <si>
    <t>7RV7HD5RP36</t>
  </si>
  <si>
    <t>WEATHERSTONE J,WILLIAM</t>
  </si>
  <si>
    <t>TX</t>
  </si>
  <si>
    <t>IMM618</t>
  </si>
  <si>
    <t>H2293-016</t>
  </si>
  <si>
    <t>DAUGHERTY, MATTHEW</t>
  </si>
  <si>
    <t>8P98KH6CE41</t>
  </si>
  <si>
    <t>YENGLEE S,RICHARD</t>
  </si>
  <si>
    <t>Involuntarily Rapid Disenroll</t>
  </si>
  <si>
    <t>H3959-077</t>
  </si>
  <si>
    <t>GBASSANA, FREDERICK</t>
  </si>
  <si>
    <t>Involuntary Pro-Rata Payment</t>
  </si>
  <si>
    <t>Aetna 2025 CT, PA, DC*</t>
  </si>
  <si>
    <t>Aetna MAPD OVR 2025</t>
  </si>
  <si>
    <t>[%/$=353][prorate=11/12]</t>
  </si>
  <si>
    <t>Aetna MAPD 2025*</t>
  </si>
  <si>
    <t>[%/$=313][prorate=12/12]</t>
  </si>
  <si>
    <t>[%/$=353][prorate=8/12]</t>
  </si>
  <si>
    <t>[%/$=313][prorate=8/12]</t>
  </si>
  <si>
    <t>M</t>
  </si>
  <si>
    <t>[%/$=353][prorate=7/12]</t>
  </si>
  <si>
    <t>[%/$=313][prorate=9/12]</t>
  </si>
  <si>
    <t>[%/$=313][prorate=6/12]</t>
  </si>
  <si>
    <t>[%/$=353][prorate=4/12]</t>
  </si>
  <si>
    <t>[%/$=353][prorate=5/12]</t>
  </si>
  <si>
    <t>Aetna MAPD 2025</t>
  </si>
  <si>
    <t>[%/$=626][prorate=8/12]</t>
  </si>
  <si>
    <t>[%/$=626]</t>
  </si>
  <si>
    <t>[%/$=705]</t>
  </si>
  <si>
    <t>Aetna 2025 CT, PA, DC</t>
  </si>
  <si>
    <t>Main Line Benefits</t>
  </si>
  <si>
    <t>17528908N</t>
  </si>
  <si>
    <t>18710070N</t>
  </si>
  <si>
    <t>HINCHSLIFF</t>
  </si>
  <si>
    <t>E</t>
  </si>
  <si>
    <t>MEGAN</t>
  </si>
  <si>
    <t>WEATHERSTONE</t>
  </si>
  <si>
    <t>J</t>
  </si>
  <si>
    <t>WILLIAM</t>
  </si>
  <si>
    <t>TUJO</t>
  </si>
  <si>
    <t>SANDRA</t>
  </si>
  <si>
    <t>MITCHELL</t>
  </si>
  <si>
    <t>KATHY</t>
  </si>
  <si>
    <t>DECOUX</t>
  </si>
  <si>
    <t>JILL</t>
  </si>
  <si>
    <t>RATLIFF</t>
  </si>
  <si>
    <t>L</t>
  </si>
  <si>
    <t>LISA</t>
  </si>
  <si>
    <t>JOHNSON</t>
  </si>
  <si>
    <t>JANET</t>
  </si>
  <si>
    <t>CALLOZZO</t>
  </si>
  <si>
    <t>KEVIN</t>
  </si>
  <si>
    <t>LOSHBOUGH</t>
  </si>
  <si>
    <t>JOANNE</t>
  </si>
  <si>
    <t>PRICE</t>
  </si>
  <si>
    <t>SUSAN</t>
  </si>
  <si>
    <t>DOLPH</t>
  </si>
  <si>
    <t>C</t>
  </si>
  <si>
    <t>ALLEN</t>
  </si>
  <si>
    <t>KOPFER</t>
  </si>
  <si>
    <t>W</t>
  </si>
  <si>
    <t>ROBERT</t>
  </si>
  <si>
    <t>KRYST</t>
  </si>
  <si>
    <t>KOHNE</t>
  </si>
  <si>
    <t>B</t>
  </si>
  <si>
    <t>MAUREEN</t>
  </si>
  <si>
    <t>PAUL</t>
  </si>
  <si>
    <t>DIANNA</t>
  </si>
  <si>
    <t>SCHUTTE</t>
  </si>
  <si>
    <t>R</t>
  </si>
  <si>
    <t>JEFFREY</t>
  </si>
  <si>
    <t>STEPHENS</t>
  </si>
  <si>
    <t>A</t>
  </si>
  <si>
    <t>CAROL</t>
  </si>
  <si>
    <t>BROWN</t>
  </si>
  <si>
    <t>T</t>
  </si>
  <si>
    <t>DEAN</t>
  </si>
  <si>
    <t>DIGBY</t>
  </si>
  <si>
    <t>DWAYNE</t>
  </si>
  <si>
    <t>DUGOSH</t>
  </si>
  <si>
    <t>ALAN</t>
  </si>
  <si>
    <t>HOLMES</t>
  </si>
  <si>
    <t>LAURA</t>
  </si>
  <si>
    <t>LEE</t>
  </si>
  <si>
    <t>NIK</t>
  </si>
  <si>
    <t>RICHTER</t>
  </si>
  <si>
    <t>PETER</t>
  </si>
  <si>
    <t>SMITH</t>
  </si>
  <si>
    <t>NANCY</t>
  </si>
  <si>
    <t>SMOGUR</t>
  </si>
  <si>
    <t>JOHN</t>
  </si>
  <si>
    <t>MURRAY</t>
  </si>
  <si>
    <t>F</t>
  </si>
  <si>
    <t>KIERAN</t>
  </si>
  <si>
    <t>YENGLEE</t>
  </si>
  <si>
    <t>S</t>
  </si>
  <si>
    <t>RICHARD</t>
  </si>
  <si>
    <t>BUSTERNA</t>
  </si>
  <si>
    <t>BARBARA</t>
  </si>
  <si>
    <t>DEBORAH</t>
  </si>
  <si>
    <t>FABIO</t>
  </si>
  <si>
    <t>STEPHEN</t>
  </si>
  <si>
    <t>KARENBAUER</t>
  </si>
  <si>
    <t>PAMELA</t>
  </si>
  <si>
    <t>LAMBING</t>
  </si>
  <si>
    <t>DANNY</t>
  </si>
  <si>
    <t>SCHLOBOHM</t>
  </si>
  <si>
    <t>KELLY</t>
  </si>
  <si>
    <t>STARKE</t>
  </si>
  <si>
    <t>ANKA</t>
  </si>
  <si>
    <t>DELACRUZ</t>
  </si>
  <si>
    <t>VIRGINIA</t>
  </si>
  <si>
    <t>JUANITA</t>
  </si>
  <si>
    <t>MEGAN HINCHSLIFF</t>
  </si>
  <si>
    <t>WILLIAM WEATHERSTONE</t>
  </si>
  <si>
    <t>SANDRA TUJO</t>
  </si>
  <si>
    <t>KATHY MITCHELL</t>
  </si>
  <si>
    <t>JILL DECOUX</t>
  </si>
  <si>
    <t>LISA RATLIFF</t>
  </si>
  <si>
    <t>JANET JOHNSON</t>
  </si>
  <si>
    <t>KEVIN CALLOZZO</t>
  </si>
  <si>
    <t>JOANNE LOSHBOUGH</t>
  </si>
  <si>
    <t>SUSAN PRICE</t>
  </si>
  <si>
    <t>ALLEN DOLPH</t>
  </si>
  <si>
    <t>ROBERT KOPFER</t>
  </si>
  <si>
    <t>ROBERT KRYST</t>
  </si>
  <si>
    <t>MAUREEN KOHNE</t>
  </si>
  <si>
    <t>DIANNA PAUL</t>
  </si>
  <si>
    <t>JEFFREY SCHUTTE</t>
  </si>
  <si>
    <t>CAROL STEPHENS</t>
  </si>
  <si>
    <t>DEAN BROWN</t>
  </si>
  <si>
    <t>DWAYNE DIGBY</t>
  </si>
  <si>
    <t>ALAN DUGOSH</t>
  </si>
  <si>
    <t>LAURA HOLMES</t>
  </si>
  <si>
    <t>NIK LEE</t>
  </si>
  <si>
    <t>PETER RICHTER</t>
  </si>
  <si>
    <t>NANCY SMITH</t>
  </si>
  <si>
    <t>JOHN SMOGUR</t>
  </si>
  <si>
    <t>KIERAN MURRAY</t>
  </si>
  <si>
    <t>RICHARD YENGLEE</t>
  </si>
  <si>
    <t>BARBARA BUSTERNA</t>
  </si>
  <si>
    <t>DEBORAH MITCHELL</t>
  </si>
  <si>
    <t>STEPHEN FABIO</t>
  </si>
  <si>
    <t>PAMELA KARENBAUER</t>
  </si>
  <si>
    <t>DANNY LAMBING</t>
  </si>
  <si>
    <t>KELLY SCHLOBOHM</t>
  </si>
  <si>
    <t>ANKA STARKE</t>
  </si>
  <si>
    <t>VIRGINIA DELACRUZ</t>
  </si>
  <si>
    <t>JUANITA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</si>
</sst>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4" fontId="0" fillId="33" borderId="0" xfId="0" applyNumberFormat="1" applyFill="1"/>
    <xf numFmtId="0" fontId="0" fillId="33" borderId="0" xfId="0" applyFill="1"/>
    <xf numFmtId="0" fontId="18" fillId="0" borderId="0" xfId="0" applyFont="1"/>
    <xf numFmtId="0" fontId="18" fillId="0" borderId="0" xfId="0" applyFont="1" applyAlignment="1">
      <alignment horizontal="right"/>
    </xf>
    <xf numFmtId="14" fontId="18" fillId="0" borderId="0" xfId="0" applyNumberFormat="1" applyFont="1"/>
    <xf numFmtId="1" fontId="0" fillId="0" borderId="0" xfId="0" applyNumberFormat="1"/>
    <xf numFmtId="1" fontId="0" fillId="33" borderId="0" xfId="0" applyNumberFormat="1" applyFill="1"/>
    <xf numFmtId="0" fontId="18" fillId="33" borderId="0" xfId="0" applyFont="1" applyFill="1"/>
    <xf numFmtId="14" fontId="18" fillId="33" borderId="0" xfId="0" applyNumberFormat="1" applyFont="1" applyFill="1"/>
    <xf numFmtId="0" fontId="18" fillId="33" borderId="0" xfId="0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61F5-C2E2-455A-AC35-D4C8AA3F2A79}">
  <dimension ref="A1:X713"/>
  <sheetViews>
    <sheetView tabSelected="1" topLeftCell="A25" workbookViewId="0">
      <selection activeCell="B54" sqref="B54"/>
    </sheetView>
  </sheetViews>
  <sheetFormatPr defaultRowHeight="15" x14ac:dyDescent="0.25"/>
  <cols>
    <col min="1" max="1" width="13.5703125" bestFit="1" customWidth="1"/>
    <col min="2" max="2" width="17.28515625" bestFit="1" customWidth="1"/>
    <col min="3" max="3" width="13.140625" style="7" bestFit="1" customWidth="1"/>
    <col min="4" max="4" width="17.42578125" bestFit="1" customWidth="1"/>
    <col min="5" max="5" width="25.28515625" bestFit="1" customWidth="1"/>
    <col min="6" max="6" width="13.7109375" bestFit="1" customWidth="1"/>
    <col min="7" max="7" width="28" bestFit="1" customWidth="1"/>
    <col min="8" max="8" width="7.85546875" bestFit="1" customWidth="1"/>
    <col min="9" max="9" width="8" bestFit="1" customWidth="1"/>
    <col min="10" max="10" width="10" bestFit="1" customWidth="1"/>
    <col min="11" max="11" width="39.42578125" bestFit="1" customWidth="1"/>
    <col min="12" max="12" width="15.7109375" bestFit="1" customWidth="1"/>
    <col min="13" max="13" width="13.5703125" bestFit="1" customWidth="1"/>
    <col min="14" max="14" width="10.140625" bestFit="1" customWidth="1"/>
    <col min="15" max="15" width="18" bestFit="1" customWidth="1"/>
    <col min="16" max="16" width="18.7109375" bestFit="1" customWidth="1"/>
    <col min="17" max="17" width="22.140625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s="7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45797</v>
      </c>
      <c r="B2" t="s">
        <v>24</v>
      </c>
      <c r="C2" s="7">
        <v>102166131000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45778</v>
      </c>
      <c r="M2" s="1">
        <v>45778</v>
      </c>
      <c r="O2">
        <v>8307933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830</v>
      </c>
      <c r="V2" t="s">
        <v>35</v>
      </c>
      <c r="W2" s="1">
        <v>45758</v>
      </c>
      <c r="X2">
        <v>2025</v>
      </c>
    </row>
    <row r="3" spans="1:24" x14ac:dyDescent="0.25">
      <c r="A3" s="1">
        <v>45797</v>
      </c>
      <c r="B3" t="s">
        <v>24</v>
      </c>
      <c r="C3" s="7">
        <v>102166131000</v>
      </c>
      <c r="E3" t="s">
        <v>25</v>
      </c>
      <c r="F3" t="s">
        <v>26</v>
      </c>
      <c r="G3" t="s">
        <v>36</v>
      </c>
      <c r="H3" t="s">
        <v>28</v>
      </c>
      <c r="I3" t="s">
        <v>29</v>
      </c>
      <c r="J3" t="s">
        <v>30</v>
      </c>
      <c r="L3" s="1">
        <v>45778</v>
      </c>
      <c r="M3" s="1">
        <v>45778</v>
      </c>
      <c r="O3">
        <v>8307933</v>
      </c>
      <c r="P3" t="s">
        <v>31</v>
      </c>
      <c r="Q3" t="s">
        <v>32</v>
      </c>
      <c r="R3">
        <v>8192</v>
      </c>
      <c r="S3" t="s">
        <v>33</v>
      </c>
      <c r="T3" t="s">
        <v>34</v>
      </c>
      <c r="U3">
        <v>-318.67</v>
      </c>
      <c r="V3" t="s">
        <v>37</v>
      </c>
      <c r="W3" s="1">
        <v>45758</v>
      </c>
      <c r="X3">
        <v>2025</v>
      </c>
    </row>
    <row r="4" spans="1:24" x14ac:dyDescent="0.25">
      <c r="A4" s="1">
        <v>45797</v>
      </c>
      <c r="B4" t="s">
        <v>38</v>
      </c>
      <c r="C4" s="7">
        <v>101645939000</v>
      </c>
      <c r="E4" t="s">
        <v>39</v>
      </c>
      <c r="F4" t="s">
        <v>26</v>
      </c>
      <c r="G4" t="s">
        <v>27</v>
      </c>
      <c r="H4" t="s">
        <v>28</v>
      </c>
      <c r="I4" t="s">
        <v>29</v>
      </c>
      <c r="J4" t="s">
        <v>40</v>
      </c>
      <c r="L4" s="1">
        <v>45778</v>
      </c>
      <c r="M4" s="1">
        <v>45778</v>
      </c>
      <c r="O4">
        <v>19861194</v>
      </c>
      <c r="P4" t="s">
        <v>41</v>
      </c>
      <c r="Q4" t="s">
        <v>42</v>
      </c>
      <c r="R4">
        <v>8192</v>
      </c>
      <c r="S4" t="s">
        <v>33</v>
      </c>
      <c r="T4" t="s">
        <v>34</v>
      </c>
      <c r="U4">
        <v>125</v>
      </c>
      <c r="V4" t="s">
        <v>35</v>
      </c>
      <c r="W4" s="1">
        <v>45751</v>
      </c>
      <c r="X4">
        <v>2025</v>
      </c>
    </row>
    <row r="5" spans="1:24" x14ac:dyDescent="0.25">
      <c r="A5" s="1">
        <v>45797</v>
      </c>
      <c r="B5" t="s">
        <v>38</v>
      </c>
      <c r="C5" s="7">
        <v>101645939000</v>
      </c>
      <c r="E5" t="s">
        <v>39</v>
      </c>
      <c r="F5" t="s">
        <v>26</v>
      </c>
      <c r="G5" t="s">
        <v>36</v>
      </c>
      <c r="H5" t="s">
        <v>28</v>
      </c>
      <c r="I5" t="s">
        <v>29</v>
      </c>
      <c r="J5" t="s">
        <v>40</v>
      </c>
      <c r="L5" s="1">
        <v>45778</v>
      </c>
      <c r="M5" s="1">
        <v>45778</v>
      </c>
      <c r="O5">
        <v>19861194</v>
      </c>
      <c r="P5" t="s">
        <v>41</v>
      </c>
      <c r="Q5" t="s">
        <v>42</v>
      </c>
      <c r="R5">
        <v>8192</v>
      </c>
      <c r="S5" t="s">
        <v>33</v>
      </c>
      <c r="T5" t="s">
        <v>34</v>
      </c>
      <c r="U5">
        <v>-83.34</v>
      </c>
      <c r="V5" t="s">
        <v>37</v>
      </c>
      <c r="W5" s="1">
        <v>45751</v>
      </c>
      <c r="X5">
        <v>2025</v>
      </c>
    </row>
    <row r="6" spans="1:24" x14ac:dyDescent="0.25">
      <c r="A6" s="1">
        <v>45797</v>
      </c>
      <c r="B6" t="s">
        <v>43</v>
      </c>
      <c r="C6" s="7">
        <v>102170865500</v>
      </c>
      <c r="E6" t="s">
        <v>44</v>
      </c>
      <c r="F6" t="s">
        <v>45</v>
      </c>
      <c r="G6" t="s">
        <v>46</v>
      </c>
      <c r="H6" t="s">
        <v>28</v>
      </c>
      <c r="I6" t="s">
        <v>47</v>
      </c>
      <c r="J6" t="s">
        <v>48</v>
      </c>
      <c r="L6" s="1">
        <v>45809</v>
      </c>
      <c r="M6" s="1">
        <v>45809</v>
      </c>
      <c r="O6">
        <v>18581063</v>
      </c>
      <c r="P6" t="s">
        <v>31</v>
      </c>
      <c r="Q6" t="s">
        <v>49</v>
      </c>
      <c r="R6">
        <v>8192</v>
      </c>
      <c r="S6" t="s">
        <v>33</v>
      </c>
      <c r="T6" t="s">
        <v>34</v>
      </c>
      <c r="U6">
        <v>255.5</v>
      </c>
      <c r="V6" t="s">
        <v>37</v>
      </c>
      <c r="W6" s="1">
        <v>45782</v>
      </c>
      <c r="X6">
        <v>2025</v>
      </c>
    </row>
    <row r="7" spans="1:24" x14ac:dyDescent="0.25">
      <c r="A7" s="1">
        <v>45797</v>
      </c>
      <c r="B7" t="s">
        <v>50</v>
      </c>
      <c r="C7" s="7">
        <v>102164369100</v>
      </c>
      <c r="E7" t="s">
        <v>51</v>
      </c>
      <c r="F7" t="s">
        <v>52</v>
      </c>
      <c r="G7" t="s">
        <v>36</v>
      </c>
      <c r="H7" t="s">
        <v>28</v>
      </c>
      <c r="I7" t="s">
        <v>53</v>
      </c>
      <c r="J7" t="s">
        <v>54</v>
      </c>
      <c r="L7" s="1">
        <v>45778</v>
      </c>
      <c r="M7" s="1">
        <v>45778</v>
      </c>
      <c r="O7">
        <v>17094718</v>
      </c>
      <c r="P7" t="s">
        <v>31</v>
      </c>
      <c r="Q7" t="s">
        <v>55</v>
      </c>
      <c r="R7">
        <v>8192</v>
      </c>
      <c r="S7" t="s">
        <v>33</v>
      </c>
      <c r="T7" t="s">
        <v>34</v>
      </c>
      <c r="U7">
        <v>-292</v>
      </c>
      <c r="V7" t="s">
        <v>37</v>
      </c>
      <c r="W7" s="1">
        <v>45749</v>
      </c>
      <c r="X7">
        <v>2025</v>
      </c>
    </row>
    <row r="8" spans="1:24" x14ac:dyDescent="0.25">
      <c r="A8" s="1">
        <v>45797</v>
      </c>
      <c r="B8" t="s">
        <v>50</v>
      </c>
      <c r="C8" s="7">
        <v>102164369100</v>
      </c>
      <c r="E8" t="s">
        <v>51</v>
      </c>
      <c r="F8" t="s">
        <v>52</v>
      </c>
      <c r="G8" t="s">
        <v>56</v>
      </c>
      <c r="H8" t="s">
        <v>28</v>
      </c>
      <c r="I8" t="s">
        <v>53</v>
      </c>
      <c r="J8" t="s">
        <v>54</v>
      </c>
      <c r="L8" s="1">
        <v>45778</v>
      </c>
      <c r="M8" s="1">
        <v>45778</v>
      </c>
      <c r="O8">
        <v>17094718</v>
      </c>
      <c r="P8" t="s">
        <v>31</v>
      </c>
      <c r="Q8" t="s">
        <v>55</v>
      </c>
      <c r="R8">
        <v>8192</v>
      </c>
      <c r="S8" t="s">
        <v>33</v>
      </c>
      <c r="T8" t="s">
        <v>34</v>
      </c>
      <c r="U8">
        <v>500.67</v>
      </c>
      <c r="V8" t="s">
        <v>35</v>
      </c>
      <c r="W8" s="1">
        <v>45749</v>
      </c>
      <c r="X8">
        <v>2025</v>
      </c>
    </row>
    <row r="9" spans="1:24" x14ac:dyDescent="0.25">
      <c r="A9" s="1">
        <v>45797</v>
      </c>
      <c r="B9" t="s">
        <v>57</v>
      </c>
      <c r="C9" s="7">
        <v>102169838900</v>
      </c>
      <c r="E9" t="s">
        <v>58</v>
      </c>
      <c r="F9" t="s">
        <v>59</v>
      </c>
      <c r="G9" t="s">
        <v>46</v>
      </c>
      <c r="H9" t="s">
        <v>28</v>
      </c>
      <c r="I9" t="s">
        <v>47</v>
      </c>
      <c r="J9" t="s">
        <v>60</v>
      </c>
      <c r="L9" s="1">
        <v>45778</v>
      </c>
      <c r="M9" s="1">
        <v>45778</v>
      </c>
      <c r="O9">
        <v>20490188</v>
      </c>
      <c r="P9" t="s">
        <v>31</v>
      </c>
      <c r="Q9" t="s">
        <v>61</v>
      </c>
      <c r="R9">
        <v>8192</v>
      </c>
      <c r="S9" t="s">
        <v>33</v>
      </c>
      <c r="T9" t="s">
        <v>34</v>
      </c>
      <c r="U9">
        <v>292</v>
      </c>
      <c r="V9" t="s">
        <v>37</v>
      </c>
      <c r="W9" s="1">
        <v>45777</v>
      </c>
      <c r="X9">
        <v>2025</v>
      </c>
    </row>
    <row r="10" spans="1:24" x14ac:dyDescent="0.25">
      <c r="A10" s="1">
        <v>45797</v>
      </c>
      <c r="B10" t="s">
        <v>62</v>
      </c>
      <c r="C10" s="7">
        <v>102168241300</v>
      </c>
      <c r="E10" t="s">
        <v>63</v>
      </c>
      <c r="F10" t="s">
        <v>59</v>
      </c>
      <c r="G10" t="s">
        <v>27</v>
      </c>
      <c r="H10" t="s">
        <v>28</v>
      </c>
      <c r="I10" t="s">
        <v>47</v>
      </c>
      <c r="J10" t="s">
        <v>64</v>
      </c>
      <c r="L10" s="1">
        <v>45778</v>
      </c>
      <c r="M10" s="1">
        <v>45778</v>
      </c>
      <c r="O10">
        <v>19645587</v>
      </c>
      <c r="P10" t="s">
        <v>31</v>
      </c>
      <c r="Q10" t="s">
        <v>65</v>
      </c>
      <c r="R10">
        <v>8192</v>
      </c>
      <c r="S10" t="s">
        <v>33</v>
      </c>
      <c r="T10" t="s">
        <v>34</v>
      </c>
      <c r="U10">
        <v>751</v>
      </c>
      <c r="V10" t="s">
        <v>35</v>
      </c>
      <c r="W10" s="1">
        <v>45770</v>
      </c>
      <c r="X10">
        <v>2025</v>
      </c>
    </row>
    <row r="11" spans="1:24" x14ac:dyDescent="0.25">
      <c r="A11" s="1">
        <v>45797</v>
      </c>
      <c r="B11" t="s">
        <v>62</v>
      </c>
      <c r="C11" s="7">
        <v>102168241300</v>
      </c>
      <c r="E11" t="s">
        <v>63</v>
      </c>
      <c r="F11" t="s">
        <v>59</v>
      </c>
      <c r="G11" t="s">
        <v>36</v>
      </c>
      <c r="H11" t="s">
        <v>28</v>
      </c>
      <c r="I11" t="s">
        <v>47</v>
      </c>
      <c r="J11" t="s">
        <v>64</v>
      </c>
      <c r="L11" s="1">
        <v>45778</v>
      </c>
      <c r="M11" s="1">
        <v>45778</v>
      </c>
      <c r="O11">
        <v>19645587</v>
      </c>
      <c r="P11" t="s">
        <v>31</v>
      </c>
      <c r="Q11" t="s">
        <v>65</v>
      </c>
      <c r="R11">
        <v>8192</v>
      </c>
      <c r="S11" t="s">
        <v>33</v>
      </c>
      <c r="T11" t="s">
        <v>34</v>
      </c>
      <c r="U11">
        <v>-292</v>
      </c>
      <c r="V11" t="s">
        <v>37</v>
      </c>
      <c r="W11" s="1">
        <v>45770</v>
      </c>
      <c r="X11">
        <v>2025</v>
      </c>
    </row>
    <row r="12" spans="1:24" x14ac:dyDescent="0.25">
      <c r="A12" s="1">
        <v>45797</v>
      </c>
      <c r="B12" t="s">
        <v>66</v>
      </c>
      <c r="C12" s="7">
        <v>102167666500</v>
      </c>
      <c r="E12" t="s">
        <v>67</v>
      </c>
      <c r="F12" t="s">
        <v>59</v>
      </c>
      <c r="G12" t="s">
        <v>27</v>
      </c>
      <c r="H12" t="s">
        <v>28</v>
      </c>
      <c r="I12" t="s">
        <v>68</v>
      </c>
      <c r="J12" t="s">
        <v>69</v>
      </c>
      <c r="L12" s="1">
        <v>45778</v>
      </c>
      <c r="M12" s="1">
        <v>45778</v>
      </c>
      <c r="O12">
        <v>7146581</v>
      </c>
      <c r="P12" t="s">
        <v>31</v>
      </c>
      <c r="Q12" t="s">
        <v>70</v>
      </c>
      <c r="R12">
        <v>8192</v>
      </c>
      <c r="S12" t="s">
        <v>33</v>
      </c>
      <c r="T12" t="s">
        <v>34</v>
      </c>
      <c r="U12">
        <v>751</v>
      </c>
      <c r="V12" t="s">
        <v>35</v>
      </c>
      <c r="W12" s="1">
        <v>45741</v>
      </c>
      <c r="X12">
        <v>2025</v>
      </c>
    </row>
    <row r="13" spans="1:24" x14ac:dyDescent="0.25">
      <c r="A13" s="1">
        <v>45797</v>
      </c>
      <c r="B13" t="s">
        <v>66</v>
      </c>
      <c r="C13" s="7">
        <v>102167666500</v>
      </c>
      <c r="E13" t="s">
        <v>67</v>
      </c>
      <c r="F13" t="s">
        <v>59</v>
      </c>
      <c r="G13" t="s">
        <v>36</v>
      </c>
      <c r="H13" t="s">
        <v>28</v>
      </c>
      <c r="I13" t="s">
        <v>68</v>
      </c>
      <c r="J13" t="s">
        <v>69</v>
      </c>
      <c r="L13" s="1">
        <v>45778</v>
      </c>
      <c r="M13" s="1">
        <v>45778</v>
      </c>
      <c r="O13">
        <v>7146581</v>
      </c>
      <c r="P13" t="s">
        <v>31</v>
      </c>
      <c r="Q13" t="s">
        <v>70</v>
      </c>
      <c r="R13">
        <v>8192</v>
      </c>
      <c r="S13" t="s">
        <v>33</v>
      </c>
      <c r="T13" t="s">
        <v>34</v>
      </c>
      <c r="U13">
        <v>-292</v>
      </c>
      <c r="V13" t="s">
        <v>37</v>
      </c>
      <c r="W13" s="1">
        <v>45741</v>
      </c>
      <c r="X13">
        <v>2025</v>
      </c>
    </row>
    <row r="14" spans="1:24" x14ac:dyDescent="0.25">
      <c r="A14" s="1">
        <v>45797</v>
      </c>
      <c r="B14" t="s">
        <v>71</v>
      </c>
      <c r="C14" s="7">
        <v>102169042300</v>
      </c>
      <c r="E14" t="s">
        <v>72</v>
      </c>
      <c r="F14" t="s">
        <v>59</v>
      </c>
      <c r="G14" t="s">
        <v>36</v>
      </c>
      <c r="H14" t="s">
        <v>28</v>
      </c>
      <c r="I14" t="s">
        <v>47</v>
      </c>
      <c r="J14" t="s">
        <v>73</v>
      </c>
      <c r="L14" s="1">
        <v>45778</v>
      </c>
      <c r="M14" s="1">
        <v>45778</v>
      </c>
      <c r="O14">
        <v>8307933</v>
      </c>
      <c r="P14" t="s">
        <v>31</v>
      </c>
      <c r="Q14" t="s">
        <v>32</v>
      </c>
      <c r="R14">
        <v>8192</v>
      </c>
      <c r="S14" t="s">
        <v>33</v>
      </c>
      <c r="T14" t="s">
        <v>34</v>
      </c>
      <c r="U14">
        <v>-292</v>
      </c>
      <c r="V14" t="s">
        <v>37</v>
      </c>
      <c r="W14" s="1">
        <v>45772</v>
      </c>
      <c r="X14">
        <v>2025</v>
      </c>
    </row>
    <row r="15" spans="1:24" x14ac:dyDescent="0.25">
      <c r="A15" s="1">
        <v>45797</v>
      </c>
      <c r="B15" t="s">
        <v>71</v>
      </c>
      <c r="C15" s="7">
        <v>102169042300</v>
      </c>
      <c r="E15" t="s">
        <v>72</v>
      </c>
      <c r="F15" t="s">
        <v>59</v>
      </c>
      <c r="G15" t="s">
        <v>27</v>
      </c>
      <c r="H15" t="s">
        <v>28</v>
      </c>
      <c r="I15" t="s">
        <v>47</v>
      </c>
      <c r="J15" t="s">
        <v>73</v>
      </c>
      <c r="L15" s="1">
        <v>45778</v>
      </c>
      <c r="M15" s="1">
        <v>45778</v>
      </c>
      <c r="O15">
        <v>8307933</v>
      </c>
      <c r="P15" t="s">
        <v>31</v>
      </c>
      <c r="Q15" t="s">
        <v>32</v>
      </c>
      <c r="R15">
        <v>8192</v>
      </c>
      <c r="S15" t="s">
        <v>33</v>
      </c>
      <c r="T15" t="s">
        <v>34</v>
      </c>
      <c r="U15">
        <v>751</v>
      </c>
      <c r="V15" t="s">
        <v>35</v>
      </c>
      <c r="W15" s="1">
        <v>45772</v>
      </c>
      <c r="X15">
        <v>2025</v>
      </c>
    </row>
    <row r="16" spans="1:24" x14ac:dyDescent="0.25">
      <c r="A16" s="1">
        <v>45797</v>
      </c>
      <c r="B16" t="s">
        <v>74</v>
      </c>
      <c r="C16" s="7">
        <v>102165563500</v>
      </c>
      <c r="E16" t="s">
        <v>75</v>
      </c>
      <c r="F16" t="s">
        <v>26</v>
      </c>
      <c r="G16" t="s">
        <v>27</v>
      </c>
      <c r="H16" t="s">
        <v>28</v>
      </c>
      <c r="I16" t="s">
        <v>29</v>
      </c>
      <c r="J16" t="s">
        <v>40</v>
      </c>
      <c r="L16" s="1">
        <v>45778</v>
      </c>
      <c r="M16" s="1">
        <v>45778</v>
      </c>
      <c r="O16">
        <v>17886092</v>
      </c>
      <c r="P16" t="s">
        <v>31</v>
      </c>
      <c r="Q16" t="s">
        <v>76</v>
      </c>
      <c r="R16">
        <v>8192</v>
      </c>
      <c r="S16" t="s">
        <v>33</v>
      </c>
      <c r="T16" t="s">
        <v>34</v>
      </c>
      <c r="U16">
        <v>40</v>
      </c>
      <c r="V16" t="s">
        <v>35</v>
      </c>
      <c r="W16" s="1">
        <v>45755</v>
      </c>
      <c r="X16">
        <v>2025</v>
      </c>
    </row>
    <row r="17" spans="1:24" x14ac:dyDescent="0.25">
      <c r="A17" s="1">
        <v>45797</v>
      </c>
      <c r="B17" t="s">
        <v>74</v>
      </c>
      <c r="C17" s="7">
        <v>102165563500</v>
      </c>
      <c r="E17" t="s">
        <v>75</v>
      </c>
      <c r="F17" t="s">
        <v>26</v>
      </c>
      <c r="G17" t="s">
        <v>36</v>
      </c>
      <c r="H17" t="s">
        <v>28</v>
      </c>
      <c r="I17" t="s">
        <v>29</v>
      </c>
      <c r="J17" t="s">
        <v>40</v>
      </c>
      <c r="L17" s="1">
        <v>45778</v>
      </c>
      <c r="M17" s="1">
        <v>45778</v>
      </c>
      <c r="O17">
        <v>17886092</v>
      </c>
      <c r="P17" t="s">
        <v>31</v>
      </c>
      <c r="Q17" t="s">
        <v>76</v>
      </c>
      <c r="R17">
        <v>8192</v>
      </c>
      <c r="S17" t="s">
        <v>33</v>
      </c>
      <c r="T17" t="s">
        <v>34</v>
      </c>
      <c r="U17">
        <v>-26.67</v>
      </c>
      <c r="V17" t="s">
        <v>37</v>
      </c>
      <c r="W17" s="1">
        <v>45755</v>
      </c>
      <c r="X17">
        <v>2025</v>
      </c>
    </row>
    <row r="18" spans="1:24" x14ac:dyDescent="0.25">
      <c r="A18" s="1">
        <v>45797</v>
      </c>
      <c r="B18" t="s">
        <v>77</v>
      </c>
      <c r="C18" s="7">
        <v>102170848000</v>
      </c>
      <c r="E18" t="s">
        <v>78</v>
      </c>
      <c r="F18" t="s">
        <v>79</v>
      </c>
      <c r="G18" t="s">
        <v>46</v>
      </c>
      <c r="H18" t="s">
        <v>28</v>
      </c>
      <c r="I18" t="s">
        <v>47</v>
      </c>
      <c r="J18" t="s">
        <v>80</v>
      </c>
      <c r="L18" s="1">
        <v>45839</v>
      </c>
      <c r="M18" s="1">
        <v>45839</v>
      </c>
      <c r="O18">
        <v>19396223</v>
      </c>
      <c r="P18" t="s">
        <v>31</v>
      </c>
      <c r="Q18" t="s">
        <v>81</v>
      </c>
      <c r="R18">
        <v>8192</v>
      </c>
      <c r="S18" t="s">
        <v>33</v>
      </c>
      <c r="T18" t="s">
        <v>34</v>
      </c>
      <c r="U18">
        <v>219</v>
      </c>
      <c r="V18" t="s">
        <v>37</v>
      </c>
      <c r="W18" s="1">
        <v>45782</v>
      </c>
      <c r="X18">
        <v>2025</v>
      </c>
    </row>
    <row r="19" spans="1:24" x14ac:dyDescent="0.25">
      <c r="A19" s="1">
        <v>45797</v>
      </c>
      <c r="B19" t="s">
        <v>82</v>
      </c>
      <c r="C19" s="7">
        <v>102165144500</v>
      </c>
      <c r="E19" t="s">
        <v>83</v>
      </c>
      <c r="F19" t="s">
        <v>84</v>
      </c>
      <c r="G19" t="s">
        <v>27</v>
      </c>
      <c r="H19" t="s">
        <v>28</v>
      </c>
      <c r="I19" t="s">
        <v>47</v>
      </c>
      <c r="J19" t="s">
        <v>85</v>
      </c>
      <c r="L19" s="1">
        <v>45778</v>
      </c>
      <c r="M19" s="1">
        <v>45778</v>
      </c>
      <c r="O19">
        <v>8307933</v>
      </c>
      <c r="P19" t="s">
        <v>31</v>
      </c>
      <c r="Q19" t="s">
        <v>32</v>
      </c>
      <c r="R19">
        <v>8192</v>
      </c>
      <c r="S19" t="s">
        <v>33</v>
      </c>
      <c r="T19" t="s">
        <v>34</v>
      </c>
      <c r="U19">
        <v>751</v>
      </c>
      <c r="V19" t="s">
        <v>35</v>
      </c>
      <c r="W19" s="1">
        <v>45754</v>
      </c>
      <c r="X19">
        <v>2025</v>
      </c>
    </row>
    <row r="20" spans="1:24" x14ac:dyDescent="0.25">
      <c r="A20" s="1">
        <v>45797</v>
      </c>
      <c r="B20" t="s">
        <v>82</v>
      </c>
      <c r="C20" s="7">
        <v>102165144500</v>
      </c>
      <c r="E20" t="s">
        <v>83</v>
      </c>
      <c r="F20" t="s">
        <v>84</v>
      </c>
      <c r="G20" t="s">
        <v>36</v>
      </c>
      <c r="H20" t="s">
        <v>28</v>
      </c>
      <c r="I20" t="s">
        <v>47</v>
      </c>
      <c r="J20" t="s">
        <v>85</v>
      </c>
      <c r="L20" s="1">
        <v>45778</v>
      </c>
      <c r="M20" s="1">
        <v>45778</v>
      </c>
      <c r="O20">
        <v>8307933</v>
      </c>
      <c r="P20" t="s">
        <v>31</v>
      </c>
      <c r="Q20" t="s">
        <v>32</v>
      </c>
      <c r="R20">
        <v>8192</v>
      </c>
      <c r="S20" t="s">
        <v>33</v>
      </c>
      <c r="T20" t="s">
        <v>34</v>
      </c>
      <c r="U20">
        <v>-292</v>
      </c>
      <c r="V20" t="s">
        <v>37</v>
      </c>
      <c r="W20" s="1">
        <v>45754</v>
      </c>
      <c r="X20">
        <v>2025</v>
      </c>
    </row>
    <row r="21" spans="1:24" x14ac:dyDescent="0.25">
      <c r="A21" s="1">
        <v>45797</v>
      </c>
      <c r="B21" t="s">
        <v>86</v>
      </c>
      <c r="C21" s="7">
        <v>102168084000</v>
      </c>
      <c r="E21" t="s">
        <v>87</v>
      </c>
      <c r="F21" t="s">
        <v>59</v>
      </c>
      <c r="G21" t="s">
        <v>27</v>
      </c>
      <c r="H21" t="s">
        <v>28</v>
      </c>
      <c r="I21" t="s">
        <v>47</v>
      </c>
      <c r="J21" t="s">
        <v>64</v>
      </c>
      <c r="L21" s="1">
        <v>45778</v>
      </c>
      <c r="M21" s="1">
        <v>45778</v>
      </c>
      <c r="O21">
        <v>17301495</v>
      </c>
      <c r="P21" t="s">
        <v>31</v>
      </c>
      <c r="Q21" t="s">
        <v>88</v>
      </c>
      <c r="R21">
        <v>8192</v>
      </c>
      <c r="S21" t="s">
        <v>33</v>
      </c>
      <c r="T21" t="s">
        <v>34</v>
      </c>
      <c r="U21">
        <v>751</v>
      </c>
      <c r="V21" t="s">
        <v>35</v>
      </c>
      <c r="W21" s="1">
        <v>45769</v>
      </c>
      <c r="X21">
        <v>2025</v>
      </c>
    </row>
    <row r="22" spans="1:24" x14ac:dyDescent="0.25">
      <c r="A22" s="1">
        <v>45797</v>
      </c>
      <c r="B22" t="s">
        <v>86</v>
      </c>
      <c r="C22" s="7">
        <v>102168084000</v>
      </c>
      <c r="E22" t="s">
        <v>87</v>
      </c>
      <c r="F22" t="s">
        <v>59</v>
      </c>
      <c r="G22" t="s">
        <v>36</v>
      </c>
      <c r="H22" t="s">
        <v>28</v>
      </c>
      <c r="I22" t="s">
        <v>47</v>
      </c>
      <c r="J22" t="s">
        <v>64</v>
      </c>
      <c r="L22" s="1">
        <v>45778</v>
      </c>
      <c r="M22" s="1">
        <v>45778</v>
      </c>
      <c r="O22">
        <v>17301495</v>
      </c>
      <c r="P22" t="s">
        <v>31</v>
      </c>
      <c r="Q22" t="s">
        <v>88</v>
      </c>
      <c r="R22">
        <v>8192</v>
      </c>
      <c r="S22" t="s">
        <v>33</v>
      </c>
      <c r="T22" t="s">
        <v>34</v>
      </c>
      <c r="U22">
        <v>-292</v>
      </c>
      <c r="V22" t="s">
        <v>37</v>
      </c>
      <c r="W22" s="1">
        <v>45769</v>
      </c>
      <c r="X22">
        <v>2025</v>
      </c>
    </row>
    <row r="23" spans="1:24" x14ac:dyDescent="0.25">
      <c r="A23" s="1">
        <v>45797</v>
      </c>
      <c r="B23" t="s">
        <v>89</v>
      </c>
      <c r="C23" s="7">
        <v>102169501600</v>
      </c>
      <c r="E23" t="s">
        <v>90</v>
      </c>
      <c r="F23" t="s">
        <v>26</v>
      </c>
      <c r="G23" t="s">
        <v>36</v>
      </c>
      <c r="H23" t="s">
        <v>28</v>
      </c>
      <c r="I23" t="s">
        <v>29</v>
      </c>
      <c r="J23" t="s">
        <v>91</v>
      </c>
      <c r="L23" s="1">
        <v>45778</v>
      </c>
      <c r="M23" s="1">
        <v>45778</v>
      </c>
      <c r="O23">
        <v>17886092</v>
      </c>
      <c r="P23" t="s">
        <v>31</v>
      </c>
      <c r="Q23" t="s">
        <v>76</v>
      </c>
      <c r="R23">
        <v>8192</v>
      </c>
      <c r="S23" t="s">
        <v>33</v>
      </c>
      <c r="T23" t="s">
        <v>34</v>
      </c>
      <c r="U23">
        <v>-26.67</v>
      </c>
      <c r="V23" t="s">
        <v>37</v>
      </c>
      <c r="W23" s="1">
        <v>45776</v>
      </c>
      <c r="X23">
        <v>2025</v>
      </c>
    </row>
    <row r="24" spans="1:24" x14ac:dyDescent="0.25">
      <c r="A24" s="1">
        <v>45797</v>
      </c>
      <c r="B24" t="s">
        <v>89</v>
      </c>
      <c r="C24" s="7">
        <v>102169501600</v>
      </c>
      <c r="E24" t="s">
        <v>90</v>
      </c>
      <c r="F24" t="s">
        <v>26</v>
      </c>
      <c r="G24" t="s">
        <v>27</v>
      </c>
      <c r="H24" t="s">
        <v>28</v>
      </c>
      <c r="I24" t="s">
        <v>29</v>
      </c>
      <c r="J24" t="s">
        <v>91</v>
      </c>
      <c r="L24" s="1">
        <v>45778</v>
      </c>
      <c r="M24" s="1">
        <v>45778</v>
      </c>
      <c r="O24">
        <v>17886092</v>
      </c>
      <c r="P24" t="s">
        <v>31</v>
      </c>
      <c r="Q24" t="s">
        <v>76</v>
      </c>
      <c r="R24">
        <v>8192</v>
      </c>
      <c r="S24" t="s">
        <v>33</v>
      </c>
      <c r="T24" t="s">
        <v>34</v>
      </c>
      <c r="U24">
        <v>40</v>
      </c>
      <c r="V24" t="s">
        <v>35</v>
      </c>
      <c r="W24" s="1">
        <v>45776</v>
      </c>
      <c r="X24">
        <v>2025</v>
      </c>
    </row>
    <row r="25" spans="1:24" x14ac:dyDescent="0.25">
      <c r="A25" s="1">
        <v>45797</v>
      </c>
      <c r="B25" t="s">
        <v>92</v>
      </c>
      <c r="C25" s="7">
        <v>102164482000</v>
      </c>
      <c r="E25" t="s">
        <v>93</v>
      </c>
      <c r="F25" t="s">
        <v>26</v>
      </c>
      <c r="G25" t="s">
        <v>36</v>
      </c>
      <c r="H25" t="s">
        <v>28</v>
      </c>
      <c r="I25" t="s">
        <v>29</v>
      </c>
      <c r="J25" t="s">
        <v>94</v>
      </c>
      <c r="L25" s="1">
        <v>45809</v>
      </c>
      <c r="M25" s="1">
        <v>45809</v>
      </c>
      <c r="O25">
        <v>17528908</v>
      </c>
      <c r="P25" t="s">
        <v>31</v>
      </c>
      <c r="Q25" t="s">
        <v>95</v>
      </c>
      <c r="R25">
        <v>8192</v>
      </c>
      <c r="S25" t="s">
        <v>33</v>
      </c>
      <c r="T25" t="s">
        <v>34</v>
      </c>
      <c r="U25">
        <v>-278.83</v>
      </c>
      <c r="V25" t="s">
        <v>37</v>
      </c>
      <c r="W25" s="1">
        <v>45750</v>
      </c>
      <c r="X25">
        <v>2025</v>
      </c>
    </row>
    <row r="26" spans="1:24" x14ac:dyDescent="0.25">
      <c r="A26" s="1">
        <v>45797</v>
      </c>
      <c r="B26" t="s">
        <v>92</v>
      </c>
      <c r="C26" s="7">
        <v>102164482000</v>
      </c>
      <c r="E26" t="s">
        <v>93</v>
      </c>
      <c r="F26" t="s">
        <v>26</v>
      </c>
      <c r="G26" t="s">
        <v>27</v>
      </c>
      <c r="H26" t="s">
        <v>28</v>
      </c>
      <c r="I26" t="s">
        <v>29</v>
      </c>
      <c r="J26" t="s">
        <v>94</v>
      </c>
      <c r="L26" s="1">
        <v>45809</v>
      </c>
      <c r="M26" s="1">
        <v>45809</v>
      </c>
      <c r="O26">
        <v>17528908</v>
      </c>
      <c r="P26" t="s">
        <v>31</v>
      </c>
      <c r="Q26" t="s">
        <v>95</v>
      </c>
      <c r="R26">
        <v>8192</v>
      </c>
      <c r="S26" t="s">
        <v>33</v>
      </c>
      <c r="T26" t="s">
        <v>34</v>
      </c>
      <c r="U26">
        <v>830</v>
      </c>
      <c r="V26" t="s">
        <v>35</v>
      </c>
      <c r="W26" s="1">
        <v>45750</v>
      </c>
      <c r="X26">
        <v>2025</v>
      </c>
    </row>
    <row r="27" spans="1:24" x14ac:dyDescent="0.25">
      <c r="A27" s="1">
        <v>45797</v>
      </c>
      <c r="B27" t="s">
        <v>96</v>
      </c>
      <c r="C27" s="7">
        <v>102163976800</v>
      </c>
      <c r="E27" t="s">
        <v>97</v>
      </c>
      <c r="F27" t="s">
        <v>59</v>
      </c>
      <c r="G27" t="s">
        <v>36</v>
      </c>
      <c r="H27" t="s">
        <v>28</v>
      </c>
      <c r="I27" t="s">
        <v>47</v>
      </c>
      <c r="J27" t="s">
        <v>64</v>
      </c>
      <c r="L27" s="1">
        <v>45778</v>
      </c>
      <c r="M27" s="1">
        <v>45778</v>
      </c>
      <c r="O27">
        <v>7146581</v>
      </c>
      <c r="P27" t="s">
        <v>31</v>
      </c>
      <c r="Q27" t="s">
        <v>70</v>
      </c>
      <c r="R27">
        <v>8192</v>
      </c>
      <c r="S27" t="s">
        <v>33</v>
      </c>
      <c r="T27" t="s">
        <v>34</v>
      </c>
      <c r="U27">
        <v>-292</v>
      </c>
      <c r="V27" t="s">
        <v>37</v>
      </c>
      <c r="W27" s="1">
        <v>45748</v>
      </c>
      <c r="X27">
        <v>2025</v>
      </c>
    </row>
    <row r="28" spans="1:24" x14ac:dyDescent="0.25">
      <c r="A28" s="1">
        <v>45797</v>
      </c>
      <c r="B28" t="s">
        <v>96</v>
      </c>
      <c r="C28" s="7">
        <v>102163976800</v>
      </c>
      <c r="E28" t="s">
        <v>97</v>
      </c>
      <c r="F28" t="s">
        <v>59</v>
      </c>
      <c r="G28" t="s">
        <v>27</v>
      </c>
      <c r="H28" t="s">
        <v>28</v>
      </c>
      <c r="I28" t="s">
        <v>47</v>
      </c>
      <c r="J28" t="s">
        <v>64</v>
      </c>
      <c r="L28" s="1">
        <v>45778</v>
      </c>
      <c r="M28" s="1">
        <v>45778</v>
      </c>
      <c r="O28">
        <v>7146581</v>
      </c>
      <c r="P28" t="s">
        <v>31</v>
      </c>
      <c r="Q28" t="s">
        <v>70</v>
      </c>
      <c r="R28">
        <v>8192</v>
      </c>
      <c r="S28" t="s">
        <v>33</v>
      </c>
      <c r="T28" t="s">
        <v>34</v>
      </c>
      <c r="U28">
        <v>751</v>
      </c>
      <c r="V28" t="s">
        <v>35</v>
      </c>
      <c r="W28" s="1">
        <v>45748</v>
      </c>
      <c r="X28">
        <v>2025</v>
      </c>
    </row>
    <row r="29" spans="1:24" x14ac:dyDescent="0.25">
      <c r="A29" s="1">
        <v>45797</v>
      </c>
      <c r="B29" t="s">
        <v>98</v>
      </c>
      <c r="C29" s="7">
        <v>102169514800</v>
      </c>
      <c r="E29" t="s">
        <v>99</v>
      </c>
      <c r="F29" t="s">
        <v>59</v>
      </c>
      <c r="G29" t="s">
        <v>27</v>
      </c>
      <c r="H29" t="s">
        <v>28</v>
      </c>
      <c r="I29" t="s">
        <v>47</v>
      </c>
      <c r="J29" t="s">
        <v>64</v>
      </c>
      <c r="L29" s="1">
        <v>45778</v>
      </c>
      <c r="M29" s="1">
        <v>45778</v>
      </c>
      <c r="O29">
        <v>7146581</v>
      </c>
      <c r="P29" t="s">
        <v>31</v>
      </c>
      <c r="Q29" t="s">
        <v>70</v>
      </c>
      <c r="R29">
        <v>8192</v>
      </c>
      <c r="S29" t="s">
        <v>33</v>
      </c>
      <c r="T29" t="s">
        <v>34</v>
      </c>
      <c r="U29">
        <v>751</v>
      </c>
      <c r="V29" t="s">
        <v>35</v>
      </c>
      <c r="W29" s="1">
        <v>45776</v>
      </c>
      <c r="X29">
        <v>2025</v>
      </c>
    </row>
    <row r="30" spans="1:24" x14ac:dyDescent="0.25">
      <c r="A30" s="1">
        <v>45797</v>
      </c>
      <c r="B30" t="s">
        <v>98</v>
      </c>
      <c r="C30" s="7">
        <v>102169514800</v>
      </c>
      <c r="E30" t="s">
        <v>99</v>
      </c>
      <c r="F30" t="s">
        <v>59</v>
      </c>
      <c r="G30" t="s">
        <v>36</v>
      </c>
      <c r="H30" t="s">
        <v>28</v>
      </c>
      <c r="I30" t="s">
        <v>47</v>
      </c>
      <c r="J30" t="s">
        <v>64</v>
      </c>
      <c r="L30" s="1">
        <v>45778</v>
      </c>
      <c r="M30" s="1">
        <v>45778</v>
      </c>
      <c r="O30">
        <v>7146581</v>
      </c>
      <c r="P30" t="s">
        <v>31</v>
      </c>
      <c r="Q30" t="s">
        <v>70</v>
      </c>
      <c r="R30">
        <v>8192</v>
      </c>
      <c r="S30" t="s">
        <v>33</v>
      </c>
      <c r="T30" t="s">
        <v>34</v>
      </c>
      <c r="U30">
        <v>-292</v>
      </c>
      <c r="V30" t="s">
        <v>37</v>
      </c>
      <c r="W30" s="1">
        <v>45776</v>
      </c>
      <c r="X30">
        <v>2025</v>
      </c>
    </row>
    <row r="31" spans="1:24" x14ac:dyDescent="0.25">
      <c r="A31" s="1">
        <v>45797</v>
      </c>
      <c r="B31" t="s">
        <v>100</v>
      </c>
      <c r="C31" s="7">
        <v>102167672000</v>
      </c>
      <c r="E31" t="s">
        <v>101</v>
      </c>
      <c r="F31" t="s">
        <v>26</v>
      </c>
      <c r="G31" t="s">
        <v>27</v>
      </c>
      <c r="H31" t="s">
        <v>28</v>
      </c>
      <c r="I31" t="s">
        <v>29</v>
      </c>
      <c r="J31" t="s">
        <v>102</v>
      </c>
      <c r="L31" s="1">
        <v>45809</v>
      </c>
      <c r="M31" s="1">
        <v>45809</v>
      </c>
      <c r="O31">
        <v>20253958</v>
      </c>
      <c r="P31" t="s">
        <v>31</v>
      </c>
      <c r="Q31" t="s">
        <v>103</v>
      </c>
      <c r="R31">
        <v>8192</v>
      </c>
      <c r="S31" t="s">
        <v>33</v>
      </c>
      <c r="T31" t="s">
        <v>34</v>
      </c>
      <c r="U31">
        <v>40</v>
      </c>
      <c r="V31" t="s">
        <v>35</v>
      </c>
      <c r="W31" s="1">
        <v>45764</v>
      </c>
      <c r="X31">
        <v>2025</v>
      </c>
    </row>
    <row r="32" spans="1:24" x14ac:dyDescent="0.25">
      <c r="A32" s="1">
        <v>45797</v>
      </c>
      <c r="B32" t="s">
        <v>100</v>
      </c>
      <c r="C32" s="7">
        <v>102167672000</v>
      </c>
      <c r="E32" t="s">
        <v>101</v>
      </c>
      <c r="F32" t="s">
        <v>26</v>
      </c>
      <c r="G32" t="s">
        <v>36</v>
      </c>
      <c r="H32" t="s">
        <v>28</v>
      </c>
      <c r="I32" t="s">
        <v>29</v>
      </c>
      <c r="J32" t="s">
        <v>102</v>
      </c>
      <c r="L32" s="1">
        <v>45809</v>
      </c>
      <c r="M32" s="1">
        <v>45809</v>
      </c>
      <c r="O32">
        <v>20253958</v>
      </c>
      <c r="P32" t="s">
        <v>31</v>
      </c>
      <c r="Q32" t="s">
        <v>103</v>
      </c>
      <c r="R32">
        <v>8192</v>
      </c>
      <c r="S32" t="s">
        <v>33</v>
      </c>
      <c r="T32" t="s">
        <v>34</v>
      </c>
      <c r="U32">
        <v>-23.33</v>
      </c>
      <c r="V32" t="s">
        <v>37</v>
      </c>
      <c r="W32" s="1">
        <v>45764</v>
      </c>
      <c r="X32">
        <v>2025</v>
      </c>
    </row>
    <row r="33" spans="1:24" x14ac:dyDescent="0.25">
      <c r="A33" s="1">
        <v>45797</v>
      </c>
      <c r="B33" t="s">
        <v>104</v>
      </c>
      <c r="C33" s="7">
        <v>102165383900</v>
      </c>
      <c r="E33" t="s">
        <v>105</v>
      </c>
      <c r="F33" t="s">
        <v>59</v>
      </c>
      <c r="G33" t="s">
        <v>36</v>
      </c>
      <c r="H33" t="s">
        <v>28</v>
      </c>
      <c r="I33" t="s">
        <v>47</v>
      </c>
      <c r="J33" t="s">
        <v>60</v>
      </c>
      <c r="L33" s="1">
        <v>45778</v>
      </c>
      <c r="M33" s="1">
        <v>45778</v>
      </c>
      <c r="O33">
        <v>19645587</v>
      </c>
      <c r="P33" t="s">
        <v>31</v>
      </c>
      <c r="Q33" t="s">
        <v>65</v>
      </c>
      <c r="R33">
        <v>8192</v>
      </c>
      <c r="S33" t="s">
        <v>33</v>
      </c>
      <c r="T33" t="s">
        <v>34</v>
      </c>
      <c r="U33">
        <v>-292</v>
      </c>
      <c r="V33" t="s">
        <v>37</v>
      </c>
      <c r="W33" s="1">
        <v>45755</v>
      </c>
      <c r="X33">
        <v>2025</v>
      </c>
    </row>
    <row r="34" spans="1:24" x14ac:dyDescent="0.25">
      <c r="A34" s="1">
        <v>45797</v>
      </c>
      <c r="B34" t="s">
        <v>104</v>
      </c>
      <c r="C34" s="7">
        <v>102165383900</v>
      </c>
      <c r="E34" t="s">
        <v>105</v>
      </c>
      <c r="F34" t="s">
        <v>59</v>
      </c>
      <c r="G34" t="s">
        <v>27</v>
      </c>
      <c r="H34" t="s">
        <v>28</v>
      </c>
      <c r="I34" t="s">
        <v>47</v>
      </c>
      <c r="J34" t="s">
        <v>60</v>
      </c>
      <c r="L34" s="1">
        <v>45778</v>
      </c>
      <c r="M34" s="1">
        <v>45778</v>
      </c>
      <c r="O34">
        <v>19645587</v>
      </c>
      <c r="P34" t="s">
        <v>31</v>
      </c>
      <c r="Q34" t="s">
        <v>65</v>
      </c>
      <c r="R34">
        <v>8192</v>
      </c>
      <c r="S34" t="s">
        <v>33</v>
      </c>
      <c r="T34" t="s">
        <v>34</v>
      </c>
      <c r="U34">
        <v>751</v>
      </c>
      <c r="V34" t="s">
        <v>35</v>
      </c>
      <c r="W34" s="1">
        <v>45755</v>
      </c>
      <c r="X34">
        <v>2025</v>
      </c>
    </row>
    <row r="35" spans="1:24" x14ac:dyDescent="0.25">
      <c r="A35" s="1">
        <v>45797</v>
      </c>
      <c r="B35" t="s">
        <v>106</v>
      </c>
      <c r="C35" s="7">
        <v>102081378500</v>
      </c>
      <c r="E35" t="s">
        <v>107</v>
      </c>
      <c r="F35" t="s">
        <v>45</v>
      </c>
      <c r="G35" t="s">
        <v>46</v>
      </c>
      <c r="H35" t="s">
        <v>28</v>
      </c>
      <c r="I35" t="s">
        <v>47</v>
      </c>
      <c r="J35" t="s">
        <v>48</v>
      </c>
      <c r="L35" s="1">
        <v>45778</v>
      </c>
      <c r="M35" s="1">
        <v>45778</v>
      </c>
      <c r="O35">
        <v>18581063</v>
      </c>
      <c r="P35" t="s">
        <v>31</v>
      </c>
      <c r="Q35" t="s">
        <v>49</v>
      </c>
      <c r="R35">
        <v>8192</v>
      </c>
      <c r="S35" t="s">
        <v>33</v>
      </c>
      <c r="T35" t="s">
        <v>34</v>
      </c>
      <c r="U35">
        <v>292</v>
      </c>
      <c r="V35" t="s">
        <v>37</v>
      </c>
      <c r="W35" s="1">
        <v>45777</v>
      </c>
      <c r="X35">
        <v>2025</v>
      </c>
    </row>
    <row r="36" spans="1:24" x14ac:dyDescent="0.25">
      <c r="A36" s="1">
        <v>45797</v>
      </c>
      <c r="B36" t="s">
        <v>108</v>
      </c>
      <c r="C36" s="7">
        <v>102170749100</v>
      </c>
      <c r="E36" t="s">
        <v>109</v>
      </c>
      <c r="F36" t="s">
        <v>59</v>
      </c>
      <c r="G36" t="s">
        <v>46</v>
      </c>
      <c r="H36" t="s">
        <v>28</v>
      </c>
      <c r="I36" t="s">
        <v>68</v>
      </c>
      <c r="J36" t="s">
        <v>110</v>
      </c>
      <c r="L36" s="1">
        <v>45809</v>
      </c>
      <c r="M36" s="1">
        <v>45809</v>
      </c>
      <c r="O36">
        <v>19268643</v>
      </c>
      <c r="P36" t="s">
        <v>31</v>
      </c>
      <c r="Q36" t="s">
        <v>111</v>
      </c>
      <c r="R36">
        <v>8192</v>
      </c>
      <c r="S36" t="s">
        <v>33</v>
      </c>
      <c r="T36" t="s">
        <v>34</v>
      </c>
      <c r="U36">
        <v>255.5</v>
      </c>
      <c r="V36" t="s">
        <v>37</v>
      </c>
      <c r="W36" s="1">
        <v>45781</v>
      </c>
      <c r="X36">
        <v>2025</v>
      </c>
    </row>
    <row r="37" spans="1:24" x14ac:dyDescent="0.25">
      <c r="A37" s="1">
        <v>45797</v>
      </c>
      <c r="B37" t="s">
        <v>112</v>
      </c>
      <c r="C37" s="7">
        <v>102065660900</v>
      </c>
      <c r="E37" t="s">
        <v>113</v>
      </c>
      <c r="F37" t="s">
        <v>26</v>
      </c>
      <c r="G37" t="s">
        <v>56</v>
      </c>
      <c r="H37" t="s">
        <v>28</v>
      </c>
      <c r="I37" t="s">
        <v>29</v>
      </c>
      <c r="J37" t="s">
        <v>114</v>
      </c>
      <c r="L37" s="1">
        <v>45778</v>
      </c>
      <c r="M37" s="1">
        <v>45778</v>
      </c>
      <c r="O37">
        <v>14936854</v>
      </c>
      <c r="P37" t="s">
        <v>41</v>
      </c>
      <c r="Q37" t="s">
        <v>115</v>
      </c>
      <c r="R37">
        <v>8192</v>
      </c>
      <c r="S37" t="s">
        <v>33</v>
      </c>
      <c r="T37" t="s">
        <v>34</v>
      </c>
      <c r="U37">
        <v>80</v>
      </c>
      <c r="V37" t="s">
        <v>35</v>
      </c>
      <c r="W37" s="1">
        <v>45773</v>
      </c>
      <c r="X37">
        <v>2025</v>
      </c>
    </row>
    <row r="38" spans="1:24" x14ac:dyDescent="0.25">
      <c r="A38" s="1">
        <v>45797</v>
      </c>
      <c r="B38" t="s">
        <v>112</v>
      </c>
      <c r="C38" s="7">
        <v>102065660900</v>
      </c>
      <c r="E38" t="s">
        <v>113</v>
      </c>
      <c r="F38" t="s">
        <v>26</v>
      </c>
      <c r="G38" t="s">
        <v>36</v>
      </c>
      <c r="H38" t="s">
        <v>28</v>
      </c>
      <c r="I38" t="s">
        <v>29</v>
      </c>
      <c r="J38" t="s">
        <v>114</v>
      </c>
      <c r="L38" s="1">
        <v>45778</v>
      </c>
      <c r="M38" s="1">
        <v>45778</v>
      </c>
      <c r="O38">
        <v>14936854</v>
      </c>
      <c r="P38" t="s">
        <v>41</v>
      </c>
      <c r="Q38" t="s">
        <v>115</v>
      </c>
      <c r="R38">
        <v>8192</v>
      </c>
      <c r="S38" t="s">
        <v>33</v>
      </c>
      <c r="T38" t="s">
        <v>34</v>
      </c>
      <c r="U38">
        <v>-80</v>
      </c>
      <c r="V38" t="s">
        <v>37</v>
      </c>
      <c r="W38" s="1">
        <v>45773</v>
      </c>
      <c r="X38">
        <v>2025</v>
      </c>
    </row>
    <row r="39" spans="1:24" x14ac:dyDescent="0.25">
      <c r="A39" s="1">
        <v>45797</v>
      </c>
      <c r="B39" t="s">
        <v>116</v>
      </c>
      <c r="C39" s="7">
        <v>102165156900</v>
      </c>
      <c r="E39" t="s">
        <v>117</v>
      </c>
      <c r="F39" t="s">
        <v>118</v>
      </c>
      <c r="G39" t="s">
        <v>27</v>
      </c>
      <c r="H39" t="s">
        <v>28</v>
      </c>
      <c r="I39" t="s">
        <v>53</v>
      </c>
      <c r="J39" t="s">
        <v>119</v>
      </c>
      <c r="L39" s="1">
        <v>45809</v>
      </c>
      <c r="M39" s="1">
        <v>45809</v>
      </c>
      <c r="O39">
        <v>9213293</v>
      </c>
      <c r="P39" t="s">
        <v>31</v>
      </c>
      <c r="Q39" t="s">
        <v>120</v>
      </c>
      <c r="R39">
        <v>8192</v>
      </c>
      <c r="S39" t="s">
        <v>33</v>
      </c>
      <c r="T39" t="s">
        <v>34</v>
      </c>
      <c r="U39">
        <v>751</v>
      </c>
      <c r="V39" t="s">
        <v>35</v>
      </c>
      <c r="W39" s="1">
        <v>45754</v>
      </c>
      <c r="X39">
        <v>2025</v>
      </c>
    </row>
    <row r="40" spans="1:24" x14ac:dyDescent="0.25">
      <c r="A40" s="1">
        <v>45797</v>
      </c>
      <c r="B40" t="s">
        <v>116</v>
      </c>
      <c r="C40" s="7">
        <v>102165156900</v>
      </c>
      <c r="E40" t="s">
        <v>117</v>
      </c>
      <c r="F40" t="s">
        <v>118</v>
      </c>
      <c r="G40" t="s">
        <v>36</v>
      </c>
      <c r="H40" t="s">
        <v>28</v>
      </c>
      <c r="I40" t="s">
        <v>53</v>
      </c>
      <c r="J40" t="s">
        <v>119</v>
      </c>
      <c r="L40" s="1">
        <v>45809</v>
      </c>
      <c r="M40" s="1">
        <v>45809</v>
      </c>
      <c r="O40">
        <v>9213293</v>
      </c>
      <c r="P40" t="s">
        <v>31</v>
      </c>
      <c r="Q40" t="s">
        <v>120</v>
      </c>
      <c r="R40">
        <v>8192</v>
      </c>
      <c r="S40" t="s">
        <v>33</v>
      </c>
      <c r="T40" t="s">
        <v>34</v>
      </c>
      <c r="U40">
        <v>-255.5</v>
      </c>
      <c r="V40" t="s">
        <v>37</v>
      </c>
      <c r="W40" s="1">
        <v>45754</v>
      </c>
      <c r="X40">
        <v>2025</v>
      </c>
    </row>
    <row r="41" spans="1:24" x14ac:dyDescent="0.25">
      <c r="A41" s="1">
        <v>45797</v>
      </c>
      <c r="B41" t="s">
        <v>121</v>
      </c>
      <c r="C41" s="7">
        <v>102163400200</v>
      </c>
      <c r="E41" t="s">
        <v>122</v>
      </c>
      <c r="F41" t="s">
        <v>26</v>
      </c>
      <c r="G41" t="s">
        <v>36</v>
      </c>
      <c r="H41" t="s">
        <v>28</v>
      </c>
      <c r="I41" t="s">
        <v>29</v>
      </c>
      <c r="J41" t="s">
        <v>102</v>
      </c>
      <c r="L41" s="1">
        <v>45748</v>
      </c>
      <c r="M41" s="1">
        <v>45748</v>
      </c>
      <c r="O41">
        <v>17528908</v>
      </c>
      <c r="P41" t="s">
        <v>31</v>
      </c>
      <c r="Q41" t="s">
        <v>95</v>
      </c>
      <c r="R41">
        <v>8192</v>
      </c>
      <c r="S41" t="s">
        <v>33</v>
      </c>
      <c r="T41" t="s">
        <v>34</v>
      </c>
      <c r="U41">
        <v>-358.5</v>
      </c>
      <c r="V41" t="s">
        <v>37</v>
      </c>
      <c r="W41" s="1">
        <v>45747</v>
      </c>
      <c r="X41">
        <v>2025</v>
      </c>
    </row>
    <row r="42" spans="1:24" x14ac:dyDescent="0.25">
      <c r="A42" s="1">
        <v>45797</v>
      </c>
      <c r="B42" t="s">
        <v>121</v>
      </c>
      <c r="C42" s="7">
        <v>102163400200</v>
      </c>
      <c r="E42" t="s">
        <v>122</v>
      </c>
      <c r="F42" t="s">
        <v>26</v>
      </c>
      <c r="G42" t="s">
        <v>27</v>
      </c>
      <c r="H42" t="s">
        <v>28</v>
      </c>
      <c r="I42" t="s">
        <v>29</v>
      </c>
      <c r="J42" t="s">
        <v>102</v>
      </c>
      <c r="L42" s="1">
        <v>45748</v>
      </c>
      <c r="M42" s="1">
        <v>45748</v>
      </c>
      <c r="O42">
        <v>17528908</v>
      </c>
      <c r="P42" t="s">
        <v>31</v>
      </c>
      <c r="Q42" t="s">
        <v>95</v>
      </c>
      <c r="R42">
        <v>8192</v>
      </c>
      <c r="S42" t="s">
        <v>33</v>
      </c>
      <c r="T42" t="s">
        <v>34</v>
      </c>
      <c r="U42">
        <v>830</v>
      </c>
      <c r="V42" t="s">
        <v>35</v>
      </c>
      <c r="W42" s="1">
        <v>45747</v>
      </c>
      <c r="X42">
        <v>2025</v>
      </c>
    </row>
    <row r="43" spans="1:24" s="3" customFormat="1" x14ac:dyDescent="0.25">
      <c r="A43" s="2">
        <v>45797</v>
      </c>
      <c r="B43" s="3" t="s">
        <v>123</v>
      </c>
      <c r="C43" s="8" t="s">
        <v>124</v>
      </c>
      <c r="E43" s="3" t="s">
        <v>125</v>
      </c>
      <c r="F43" s="3" t="s">
        <v>26</v>
      </c>
      <c r="G43" s="3" t="s">
        <v>126</v>
      </c>
      <c r="H43" s="3" t="s">
        <v>127</v>
      </c>
      <c r="I43" s="3" t="s">
        <v>29</v>
      </c>
      <c r="J43" s="3" t="s">
        <v>30</v>
      </c>
      <c r="K43" s="3" t="s">
        <v>128</v>
      </c>
      <c r="L43" s="2">
        <v>45778</v>
      </c>
      <c r="M43" s="2">
        <v>44562</v>
      </c>
      <c r="R43" s="3">
        <v>8192</v>
      </c>
      <c r="T43" s="3" t="s">
        <v>129</v>
      </c>
      <c r="U43" s="3">
        <v>55</v>
      </c>
      <c r="V43" s="3" t="s">
        <v>130</v>
      </c>
      <c r="W43" s="2">
        <v>44501</v>
      </c>
      <c r="X43" s="3">
        <v>2025</v>
      </c>
    </row>
    <row r="44" spans="1:24" x14ac:dyDescent="0.25">
      <c r="A44" s="1">
        <v>45797</v>
      </c>
      <c r="B44" t="s">
        <v>131</v>
      </c>
      <c r="C44" s="7">
        <v>102169457000</v>
      </c>
      <c r="E44" t="s">
        <v>132</v>
      </c>
      <c r="F44" t="s">
        <v>59</v>
      </c>
      <c r="G44" t="s">
        <v>27</v>
      </c>
      <c r="H44" t="s">
        <v>28</v>
      </c>
      <c r="I44" t="s">
        <v>47</v>
      </c>
      <c r="J44" t="s">
        <v>64</v>
      </c>
      <c r="L44" s="1">
        <v>45809</v>
      </c>
      <c r="M44" s="1">
        <v>45809</v>
      </c>
      <c r="O44">
        <v>2158366</v>
      </c>
      <c r="P44" t="s">
        <v>31</v>
      </c>
      <c r="Q44" t="s">
        <v>133</v>
      </c>
      <c r="R44">
        <v>8192</v>
      </c>
      <c r="S44" t="s">
        <v>33</v>
      </c>
      <c r="T44" t="s">
        <v>34</v>
      </c>
      <c r="U44">
        <v>751</v>
      </c>
      <c r="V44" t="s">
        <v>35</v>
      </c>
      <c r="W44" s="1">
        <v>45776</v>
      </c>
      <c r="X44">
        <v>2025</v>
      </c>
    </row>
    <row r="45" spans="1:24" x14ac:dyDescent="0.25">
      <c r="A45" s="1">
        <v>45797</v>
      </c>
      <c r="B45" t="s">
        <v>131</v>
      </c>
      <c r="C45" s="7">
        <v>102169457000</v>
      </c>
      <c r="E45" t="s">
        <v>132</v>
      </c>
      <c r="F45" t="s">
        <v>59</v>
      </c>
      <c r="G45" t="s">
        <v>36</v>
      </c>
      <c r="H45" t="s">
        <v>28</v>
      </c>
      <c r="I45" t="s">
        <v>47</v>
      </c>
      <c r="J45" t="s">
        <v>64</v>
      </c>
      <c r="L45" s="1">
        <v>45809</v>
      </c>
      <c r="M45" s="1">
        <v>45809</v>
      </c>
      <c r="O45">
        <v>2158366</v>
      </c>
      <c r="P45" t="s">
        <v>31</v>
      </c>
      <c r="Q45" t="s">
        <v>133</v>
      </c>
      <c r="R45">
        <v>8192</v>
      </c>
      <c r="S45" t="s">
        <v>33</v>
      </c>
      <c r="T45" t="s">
        <v>34</v>
      </c>
      <c r="U45">
        <v>-255.5</v>
      </c>
      <c r="V45" t="s">
        <v>37</v>
      </c>
      <c r="W45" s="1">
        <v>45776</v>
      </c>
      <c r="X45">
        <v>2025</v>
      </c>
    </row>
    <row r="46" spans="1:24" x14ac:dyDescent="0.25">
      <c r="A46" s="1">
        <v>45797</v>
      </c>
      <c r="B46" t="s">
        <v>134</v>
      </c>
      <c r="C46" s="7">
        <v>102164266800</v>
      </c>
      <c r="E46" t="s">
        <v>135</v>
      </c>
      <c r="F46" t="s">
        <v>136</v>
      </c>
      <c r="G46" t="s">
        <v>27</v>
      </c>
      <c r="H46" t="s">
        <v>28</v>
      </c>
      <c r="I46" t="s">
        <v>137</v>
      </c>
      <c r="J46" t="s">
        <v>138</v>
      </c>
      <c r="L46" s="1">
        <v>45839</v>
      </c>
      <c r="M46" s="1">
        <v>45839</v>
      </c>
      <c r="O46">
        <v>17094718</v>
      </c>
      <c r="P46" t="s">
        <v>31</v>
      </c>
      <c r="Q46" t="s">
        <v>55</v>
      </c>
      <c r="R46">
        <v>8192</v>
      </c>
      <c r="S46" t="s">
        <v>33</v>
      </c>
      <c r="T46" t="s">
        <v>34</v>
      </c>
      <c r="U46">
        <v>751</v>
      </c>
      <c r="V46" t="s">
        <v>35</v>
      </c>
      <c r="W46" s="1">
        <v>45749</v>
      </c>
      <c r="X46">
        <v>2025</v>
      </c>
    </row>
    <row r="47" spans="1:24" x14ac:dyDescent="0.25">
      <c r="A47" s="1">
        <v>45797</v>
      </c>
      <c r="B47" t="s">
        <v>134</v>
      </c>
      <c r="C47" s="7">
        <v>102164266800</v>
      </c>
      <c r="E47" t="s">
        <v>135</v>
      </c>
      <c r="F47" t="s">
        <v>136</v>
      </c>
      <c r="G47" t="s">
        <v>36</v>
      </c>
      <c r="H47" t="s">
        <v>28</v>
      </c>
      <c r="I47" t="s">
        <v>137</v>
      </c>
      <c r="J47" t="s">
        <v>138</v>
      </c>
      <c r="L47" s="1">
        <v>45839</v>
      </c>
      <c r="M47" s="1">
        <v>45839</v>
      </c>
      <c r="O47">
        <v>17094718</v>
      </c>
      <c r="P47" t="s">
        <v>31</v>
      </c>
      <c r="Q47" t="s">
        <v>55</v>
      </c>
      <c r="R47">
        <v>8192</v>
      </c>
      <c r="S47" t="s">
        <v>33</v>
      </c>
      <c r="T47" t="s">
        <v>34</v>
      </c>
      <c r="U47">
        <v>-219</v>
      </c>
      <c r="V47" t="s">
        <v>37</v>
      </c>
      <c r="W47" s="1">
        <v>45749</v>
      </c>
      <c r="X47">
        <v>2025</v>
      </c>
    </row>
    <row r="48" spans="1:24" x14ac:dyDescent="0.25">
      <c r="A48" s="1">
        <v>45797</v>
      </c>
      <c r="B48" t="s">
        <v>139</v>
      </c>
      <c r="C48" s="7">
        <v>102169513200</v>
      </c>
      <c r="E48" t="s">
        <v>140</v>
      </c>
      <c r="F48" t="s">
        <v>141</v>
      </c>
      <c r="G48" t="s">
        <v>27</v>
      </c>
      <c r="H48" t="s">
        <v>28</v>
      </c>
      <c r="I48" t="s">
        <v>142</v>
      </c>
      <c r="J48" t="s">
        <v>143</v>
      </c>
      <c r="L48" s="1">
        <v>45778</v>
      </c>
      <c r="M48" s="1">
        <v>45778</v>
      </c>
      <c r="O48">
        <v>16509456</v>
      </c>
      <c r="P48" t="s">
        <v>31</v>
      </c>
      <c r="Q48" t="s">
        <v>144</v>
      </c>
      <c r="R48">
        <v>8192</v>
      </c>
      <c r="S48" t="s">
        <v>33</v>
      </c>
      <c r="T48" t="s">
        <v>34</v>
      </c>
      <c r="U48">
        <v>751</v>
      </c>
      <c r="V48" t="s">
        <v>35</v>
      </c>
      <c r="W48" s="1">
        <v>45776</v>
      </c>
      <c r="X48">
        <v>2025</v>
      </c>
    </row>
    <row r="49" spans="1:24" x14ac:dyDescent="0.25">
      <c r="A49" s="1">
        <v>45797</v>
      </c>
      <c r="B49" t="s">
        <v>139</v>
      </c>
      <c r="C49" s="7">
        <v>102169513200</v>
      </c>
      <c r="E49" t="s">
        <v>140</v>
      </c>
      <c r="F49" t="s">
        <v>141</v>
      </c>
      <c r="G49" t="s">
        <v>36</v>
      </c>
      <c r="H49" t="s">
        <v>28</v>
      </c>
      <c r="I49" t="s">
        <v>142</v>
      </c>
      <c r="J49" t="s">
        <v>143</v>
      </c>
      <c r="L49" s="1">
        <v>45778</v>
      </c>
      <c r="M49" s="1">
        <v>45778</v>
      </c>
      <c r="O49">
        <v>16509456</v>
      </c>
      <c r="P49" t="s">
        <v>31</v>
      </c>
      <c r="Q49" t="s">
        <v>144</v>
      </c>
      <c r="R49">
        <v>8192</v>
      </c>
      <c r="S49" t="s">
        <v>33</v>
      </c>
      <c r="T49" t="s">
        <v>34</v>
      </c>
      <c r="U49">
        <v>-292</v>
      </c>
      <c r="V49" t="s">
        <v>37</v>
      </c>
      <c r="W49" s="1">
        <v>45776</v>
      </c>
      <c r="X49">
        <v>2025</v>
      </c>
    </row>
    <row r="50" spans="1:24" x14ac:dyDescent="0.25">
      <c r="A50" s="1">
        <v>45797</v>
      </c>
      <c r="B50" t="s">
        <v>145</v>
      </c>
      <c r="C50" s="7">
        <v>102170274000</v>
      </c>
      <c r="E50" t="s">
        <v>146</v>
      </c>
      <c r="F50" t="s">
        <v>26</v>
      </c>
      <c r="G50" t="s">
        <v>46</v>
      </c>
      <c r="H50" t="s">
        <v>28</v>
      </c>
      <c r="I50" t="s">
        <v>29</v>
      </c>
      <c r="J50" t="s">
        <v>102</v>
      </c>
      <c r="L50" s="1">
        <v>45870</v>
      </c>
      <c r="M50" s="1">
        <v>45870</v>
      </c>
      <c r="O50">
        <v>20253958</v>
      </c>
      <c r="P50" t="s">
        <v>31</v>
      </c>
      <c r="Q50" t="s">
        <v>103</v>
      </c>
      <c r="R50">
        <v>8192</v>
      </c>
      <c r="S50" t="s">
        <v>33</v>
      </c>
      <c r="T50" t="s">
        <v>34</v>
      </c>
      <c r="U50">
        <v>16.670000000000002</v>
      </c>
      <c r="V50" t="s">
        <v>37</v>
      </c>
      <c r="W50" s="1">
        <v>45778</v>
      </c>
      <c r="X50">
        <v>2025</v>
      </c>
    </row>
    <row r="51" spans="1:24" x14ac:dyDescent="0.25">
      <c r="A51" s="1">
        <v>45797</v>
      </c>
      <c r="B51" t="s">
        <v>147</v>
      </c>
      <c r="C51" s="7">
        <v>101068686100</v>
      </c>
      <c r="E51" t="s">
        <v>148</v>
      </c>
      <c r="F51" t="s">
        <v>26</v>
      </c>
      <c r="G51" t="s">
        <v>149</v>
      </c>
      <c r="H51" t="s">
        <v>28</v>
      </c>
      <c r="I51" t="s">
        <v>29</v>
      </c>
      <c r="J51" t="s">
        <v>150</v>
      </c>
      <c r="L51" s="1">
        <v>45689</v>
      </c>
      <c r="M51" s="1">
        <v>45689</v>
      </c>
      <c r="N51" s="1">
        <v>45808</v>
      </c>
      <c r="O51">
        <v>17528908</v>
      </c>
      <c r="P51" t="s">
        <v>31</v>
      </c>
      <c r="Q51" t="s">
        <v>95</v>
      </c>
      <c r="R51">
        <v>8192</v>
      </c>
      <c r="S51" t="s">
        <v>33</v>
      </c>
      <c r="T51" t="s">
        <v>34</v>
      </c>
      <c r="U51">
        <v>159.33000000000001</v>
      </c>
      <c r="V51" t="s">
        <v>37</v>
      </c>
      <c r="W51" s="1">
        <v>45666</v>
      </c>
      <c r="X51">
        <v>2025</v>
      </c>
    </row>
    <row r="52" spans="1:24" x14ac:dyDescent="0.25">
      <c r="A52" s="1">
        <v>45797</v>
      </c>
      <c r="B52" t="s">
        <v>147</v>
      </c>
      <c r="C52" s="7">
        <v>101068686100</v>
      </c>
      <c r="E52" t="s">
        <v>148</v>
      </c>
      <c r="F52" t="s">
        <v>26</v>
      </c>
      <c r="G52" t="s">
        <v>151</v>
      </c>
      <c r="H52" t="s">
        <v>28</v>
      </c>
      <c r="I52" t="s">
        <v>29</v>
      </c>
      <c r="J52" t="s">
        <v>150</v>
      </c>
      <c r="L52" s="1">
        <v>45689</v>
      </c>
      <c r="M52" s="1">
        <v>45689</v>
      </c>
      <c r="N52" s="1">
        <v>45808</v>
      </c>
      <c r="O52">
        <v>17528908</v>
      </c>
      <c r="P52" t="s">
        <v>31</v>
      </c>
      <c r="Q52" t="s">
        <v>95</v>
      </c>
      <c r="R52">
        <v>8192</v>
      </c>
      <c r="S52" t="s">
        <v>33</v>
      </c>
      <c r="T52" t="s">
        <v>34</v>
      </c>
      <c r="U52">
        <v>-438.17</v>
      </c>
      <c r="V52" t="s">
        <v>37</v>
      </c>
      <c r="W52" s="1">
        <v>45666</v>
      </c>
      <c r="X52">
        <v>2025</v>
      </c>
    </row>
    <row r="53" spans="1:24" x14ac:dyDescent="0.25">
      <c r="A53" s="1">
        <v>45797</v>
      </c>
      <c r="B53" t="s">
        <v>152</v>
      </c>
      <c r="C53" s="7">
        <v>101201236100</v>
      </c>
      <c r="E53" t="s">
        <v>153</v>
      </c>
      <c r="F53" t="s">
        <v>26</v>
      </c>
      <c r="G53" t="s">
        <v>46</v>
      </c>
      <c r="H53" t="s">
        <v>28</v>
      </c>
      <c r="I53" t="s">
        <v>29</v>
      </c>
      <c r="J53" t="s">
        <v>154</v>
      </c>
      <c r="L53" s="1">
        <v>45778</v>
      </c>
      <c r="M53" s="1">
        <v>45778</v>
      </c>
      <c r="O53">
        <v>18710070</v>
      </c>
      <c r="P53" t="s">
        <v>31</v>
      </c>
      <c r="Q53" t="s">
        <v>155</v>
      </c>
      <c r="R53">
        <v>8192</v>
      </c>
      <c r="S53" t="s">
        <v>33</v>
      </c>
      <c r="T53" t="s">
        <v>34</v>
      </c>
      <c r="U53">
        <v>318.67</v>
      </c>
      <c r="V53" t="s">
        <v>37</v>
      </c>
      <c r="W53" s="1">
        <v>45771</v>
      </c>
      <c r="X53">
        <v>2025</v>
      </c>
    </row>
    <row r="54" spans="1:24" s="3" customFormat="1" x14ac:dyDescent="0.25">
      <c r="A54" s="2">
        <v>45797</v>
      </c>
      <c r="B54" s="3" t="s">
        <v>156</v>
      </c>
      <c r="C54" s="8">
        <v>102165414000</v>
      </c>
      <c r="E54" s="3" t="s">
        <v>157</v>
      </c>
      <c r="F54" s="3" t="s">
        <v>158</v>
      </c>
      <c r="G54" s="3" t="s">
        <v>36</v>
      </c>
      <c r="H54" s="3" t="s">
        <v>28</v>
      </c>
      <c r="I54" s="3" t="s">
        <v>159</v>
      </c>
      <c r="J54" s="3" t="s">
        <v>160</v>
      </c>
      <c r="L54" s="2">
        <v>45778</v>
      </c>
      <c r="M54" s="2">
        <v>45778</v>
      </c>
      <c r="O54" s="3">
        <v>371819</v>
      </c>
      <c r="P54" s="3" t="s">
        <v>31</v>
      </c>
      <c r="Q54" s="3" t="s">
        <v>161</v>
      </c>
      <c r="R54" s="3">
        <v>8192</v>
      </c>
      <c r="S54" s="3" t="s">
        <v>33</v>
      </c>
      <c r="T54" s="3" t="s">
        <v>34</v>
      </c>
      <c r="U54" s="3">
        <v>-292</v>
      </c>
      <c r="V54" s="3" t="s">
        <v>37</v>
      </c>
      <c r="W54" s="2">
        <v>45755</v>
      </c>
      <c r="X54" s="3">
        <v>2025</v>
      </c>
    </row>
    <row r="55" spans="1:24" s="3" customFormat="1" x14ac:dyDescent="0.25">
      <c r="A55" s="2">
        <v>45797</v>
      </c>
      <c r="B55" s="3" t="s">
        <v>156</v>
      </c>
      <c r="C55" s="8">
        <v>102165414000</v>
      </c>
      <c r="E55" s="3" t="s">
        <v>157</v>
      </c>
      <c r="F55" s="3" t="s">
        <v>158</v>
      </c>
      <c r="G55" s="3" t="s">
        <v>56</v>
      </c>
      <c r="H55" s="3" t="s">
        <v>28</v>
      </c>
      <c r="I55" s="3" t="s">
        <v>159</v>
      </c>
      <c r="J55" s="3" t="s">
        <v>160</v>
      </c>
      <c r="L55" s="2">
        <v>45778</v>
      </c>
      <c r="M55" s="2">
        <v>45778</v>
      </c>
      <c r="O55" s="3">
        <v>371819</v>
      </c>
      <c r="P55" s="3" t="s">
        <v>31</v>
      </c>
      <c r="Q55" s="3" t="s">
        <v>161</v>
      </c>
      <c r="R55" s="3">
        <v>8192</v>
      </c>
      <c r="S55" s="3" t="s">
        <v>33</v>
      </c>
      <c r="T55" s="3" t="s">
        <v>34</v>
      </c>
      <c r="U55" s="3">
        <v>500.67</v>
      </c>
      <c r="V55" s="3" t="s">
        <v>35</v>
      </c>
      <c r="W55" s="2">
        <v>45755</v>
      </c>
      <c r="X55" s="3">
        <v>2025</v>
      </c>
    </row>
    <row r="56" spans="1:24" x14ac:dyDescent="0.25">
      <c r="A56" s="1">
        <v>45797</v>
      </c>
      <c r="B56" t="s">
        <v>162</v>
      </c>
      <c r="C56" s="7">
        <v>102164311600</v>
      </c>
      <c r="E56" t="s">
        <v>163</v>
      </c>
      <c r="F56" t="s">
        <v>59</v>
      </c>
      <c r="G56" t="s">
        <v>27</v>
      </c>
      <c r="H56" t="s">
        <v>28</v>
      </c>
      <c r="I56" t="s">
        <v>47</v>
      </c>
      <c r="J56" t="s">
        <v>64</v>
      </c>
      <c r="L56" s="1">
        <v>45778</v>
      </c>
      <c r="M56" s="1">
        <v>45778</v>
      </c>
      <c r="O56">
        <v>19681796</v>
      </c>
      <c r="P56" t="s">
        <v>31</v>
      </c>
      <c r="Q56" t="s">
        <v>164</v>
      </c>
      <c r="R56">
        <v>8192</v>
      </c>
      <c r="S56" t="s">
        <v>33</v>
      </c>
      <c r="T56" t="s">
        <v>34</v>
      </c>
      <c r="U56">
        <v>751</v>
      </c>
      <c r="V56" t="s">
        <v>35</v>
      </c>
      <c r="W56" s="1">
        <v>45749</v>
      </c>
      <c r="X56">
        <v>2025</v>
      </c>
    </row>
    <row r="57" spans="1:24" x14ac:dyDescent="0.25">
      <c r="A57" s="1">
        <v>45797</v>
      </c>
      <c r="B57" t="s">
        <v>162</v>
      </c>
      <c r="C57" s="7">
        <v>102164311600</v>
      </c>
      <c r="E57" t="s">
        <v>163</v>
      </c>
      <c r="F57" t="s">
        <v>59</v>
      </c>
      <c r="G57" t="s">
        <v>36</v>
      </c>
      <c r="H57" t="s">
        <v>28</v>
      </c>
      <c r="I57" t="s">
        <v>47</v>
      </c>
      <c r="J57" t="s">
        <v>64</v>
      </c>
      <c r="L57" s="1">
        <v>45778</v>
      </c>
      <c r="M57" s="1">
        <v>45778</v>
      </c>
      <c r="O57">
        <v>19681796</v>
      </c>
      <c r="P57" t="s">
        <v>31</v>
      </c>
      <c r="Q57" t="s">
        <v>164</v>
      </c>
      <c r="R57">
        <v>8192</v>
      </c>
      <c r="S57" t="s">
        <v>33</v>
      </c>
      <c r="T57" t="s">
        <v>34</v>
      </c>
      <c r="U57">
        <v>-292</v>
      </c>
      <c r="V57" t="s">
        <v>37</v>
      </c>
      <c r="W57" s="1">
        <v>45749</v>
      </c>
      <c r="X57">
        <v>2025</v>
      </c>
    </row>
    <row r="58" spans="1:24" x14ac:dyDescent="0.25">
      <c r="A58" s="1">
        <v>45797</v>
      </c>
      <c r="B58" t="s">
        <v>165</v>
      </c>
      <c r="C58" s="7">
        <v>102170861900</v>
      </c>
      <c r="E58" t="s">
        <v>166</v>
      </c>
      <c r="F58" t="s">
        <v>59</v>
      </c>
      <c r="G58" t="s">
        <v>46</v>
      </c>
      <c r="H58" t="s">
        <v>28</v>
      </c>
      <c r="I58" t="s">
        <v>47</v>
      </c>
      <c r="J58" t="s">
        <v>64</v>
      </c>
      <c r="L58" s="1">
        <v>45809</v>
      </c>
      <c r="M58" s="1">
        <v>45809</v>
      </c>
      <c r="O58">
        <v>18754354</v>
      </c>
      <c r="P58" t="s">
        <v>31</v>
      </c>
      <c r="Q58" t="s">
        <v>167</v>
      </c>
      <c r="R58">
        <v>8192</v>
      </c>
      <c r="S58" t="s">
        <v>33</v>
      </c>
      <c r="T58" t="s">
        <v>34</v>
      </c>
      <c r="U58">
        <v>255.5</v>
      </c>
      <c r="V58" t="s">
        <v>37</v>
      </c>
      <c r="W58" s="1">
        <v>45782</v>
      </c>
      <c r="X58">
        <v>2025</v>
      </c>
    </row>
    <row r="59" spans="1:24" x14ac:dyDescent="0.25">
      <c r="A59" s="1">
        <v>45797</v>
      </c>
      <c r="B59" t="s">
        <v>168</v>
      </c>
      <c r="C59" s="7">
        <v>102170912900</v>
      </c>
      <c r="E59" t="s">
        <v>169</v>
      </c>
      <c r="F59" t="s">
        <v>26</v>
      </c>
      <c r="G59" t="s">
        <v>46</v>
      </c>
      <c r="H59" t="s">
        <v>28</v>
      </c>
      <c r="I59" t="s">
        <v>29</v>
      </c>
      <c r="J59" t="s">
        <v>170</v>
      </c>
      <c r="L59" s="1">
        <v>45870</v>
      </c>
      <c r="M59" s="1">
        <v>45870</v>
      </c>
      <c r="O59">
        <v>17528908</v>
      </c>
      <c r="P59" t="s">
        <v>31</v>
      </c>
      <c r="Q59" t="s">
        <v>95</v>
      </c>
      <c r="R59">
        <v>8192</v>
      </c>
      <c r="S59" t="s">
        <v>33</v>
      </c>
      <c r="T59" t="s">
        <v>34</v>
      </c>
      <c r="U59">
        <v>199.17</v>
      </c>
      <c r="V59" t="s">
        <v>37</v>
      </c>
      <c r="W59" s="1">
        <v>45782</v>
      </c>
      <c r="X59">
        <v>2025</v>
      </c>
    </row>
    <row r="60" spans="1:24" x14ac:dyDescent="0.25">
      <c r="A60" s="1">
        <v>45797</v>
      </c>
      <c r="B60" t="s">
        <v>171</v>
      </c>
      <c r="C60" s="7">
        <v>101861054800</v>
      </c>
      <c r="E60" t="s">
        <v>172</v>
      </c>
      <c r="F60" t="s">
        <v>59</v>
      </c>
      <c r="G60" t="s">
        <v>27</v>
      </c>
      <c r="H60" t="s">
        <v>28</v>
      </c>
      <c r="I60" t="s">
        <v>47</v>
      </c>
      <c r="J60" t="s">
        <v>64</v>
      </c>
      <c r="L60" s="1">
        <v>45778</v>
      </c>
      <c r="M60" s="1">
        <v>45778</v>
      </c>
      <c r="O60">
        <v>17126004</v>
      </c>
      <c r="P60" t="s">
        <v>31</v>
      </c>
      <c r="Q60" t="s">
        <v>173</v>
      </c>
      <c r="R60">
        <v>8192</v>
      </c>
      <c r="S60" t="s">
        <v>33</v>
      </c>
      <c r="T60" t="s">
        <v>34</v>
      </c>
      <c r="U60">
        <v>751</v>
      </c>
      <c r="V60" t="s">
        <v>35</v>
      </c>
      <c r="W60" s="1">
        <v>45749</v>
      </c>
      <c r="X60">
        <v>2025</v>
      </c>
    </row>
    <row r="61" spans="1:24" x14ac:dyDescent="0.25">
      <c r="A61" s="1">
        <v>45797</v>
      </c>
      <c r="B61" t="s">
        <v>171</v>
      </c>
      <c r="C61" s="7">
        <v>101861054800</v>
      </c>
      <c r="E61" t="s">
        <v>172</v>
      </c>
      <c r="F61" t="s">
        <v>59</v>
      </c>
      <c r="G61" t="s">
        <v>36</v>
      </c>
      <c r="H61" t="s">
        <v>28</v>
      </c>
      <c r="I61" t="s">
        <v>47</v>
      </c>
      <c r="J61" t="s">
        <v>64</v>
      </c>
      <c r="L61" s="1">
        <v>45778</v>
      </c>
      <c r="M61" s="1">
        <v>45778</v>
      </c>
      <c r="O61">
        <v>17126004</v>
      </c>
      <c r="P61" t="s">
        <v>31</v>
      </c>
      <c r="Q61" t="s">
        <v>173</v>
      </c>
      <c r="R61">
        <v>8192</v>
      </c>
      <c r="S61" t="s">
        <v>33</v>
      </c>
      <c r="T61" t="s">
        <v>34</v>
      </c>
      <c r="U61">
        <v>-292</v>
      </c>
      <c r="V61" t="s">
        <v>37</v>
      </c>
      <c r="W61" s="1">
        <v>45749</v>
      </c>
      <c r="X61">
        <v>2025</v>
      </c>
    </row>
    <row r="62" spans="1:24" x14ac:dyDescent="0.25">
      <c r="A62" s="1">
        <v>45797</v>
      </c>
      <c r="B62" t="s">
        <v>174</v>
      </c>
      <c r="C62" s="7">
        <v>102168444600</v>
      </c>
      <c r="E62" t="s">
        <v>175</v>
      </c>
      <c r="F62" t="s">
        <v>176</v>
      </c>
      <c r="G62" t="s">
        <v>27</v>
      </c>
      <c r="H62" t="s">
        <v>28</v>
      </c>
      <c r="I62" t="s">
        <v>177</v>
      </c>
      <c r="J62" t="s">
        <v>178</v>
      </c>
      <c r="L62" s="1">
        <v>45839</v>
      </c>
      <c r="M62" s="1">
        <v>45839</v>
      </c>
      <c r="O62">
        <v>16378851</v>
      </c>
      <c r="P62" t="s">
        <v>31</v>
      </c>
      <c r="Q62" t="s">
        <v>179</v>
      </c>
      <c r="R62">
        <v>8192</v>
      </c>
      <c r="S62" t="s">
        <v>33</v>
      </c>
      <c r="T62" t="s">
        <v>34</v>
      </c>
      <c r="U62">
        <v>751</v>
      </c>
      <c r="V62" t="s">
        <v>35</v>
      </c>
      <c r="W62" s="1">
        <v>45770</v>
      </c>
      <c r="X62">
        <v>2025</v>
      </c>
    </row>
    <row r="63" spans="1:24" x14ac:dyDescent="0.25">
      <c r="A63" s="1">
        <v>45797</v>
      </c>
      <c r="B63" t="s">
        <v>174</v>
      </c>
      <c r="C63" s="7">
        <v>102168444600</v>
      </c>
      <c r="E63" t="s">
        <v>175</v>
      </c>
      <c r="F63" t="s">
        <v>176</v>
      </c>
      <c r="G63" t="s">
        <v>36</v>
      </c>
      <c r="H63" t="s">
        <v>28</v>
      </c>
      <c r="I63" t="s">
        <v>177</v>
      </c>
      <c r="J63" t="s">
        <v>178</v>
      </c>
      <c r="L63" s="1">
        <v>45839</v>
      </c>
      <c r="M63" s="1">
        <v>45839</v>
      </c>
      <c r="O63">
        <v>16378851</v>
      </c>
      <c r="P63" t="s">
        <v>31</v>
      </c>
      <c r="Q63" t="s">
        <v>179</v>
      </c>
      <c r="R63">
        <v>8192</v>
      </c>
      <c r="S63" t="s">
        <v>33</v>
      </c>
      <c r="T63" t="s">
        <v>34</v>
      </c>
      <c r="U63">
        <v>-219</v>
      </c>
      <c r="V63" t="s">
        <v>37</v>
      </c>
      <c r="W63" s="1">
        <v>45770</v>
      </c>
      <c r="X63">
        <v>2025</v>
      </c>
    </row>
    <row r="64" spans="1:24" x14ac:dyDescent="0.25">
      <c r="A64" s="1">
        <v>45797</v>
      </c>
      <c r="B64" t="s">
        <v>180</v>
      </c>
      <c r="C64" s="7">
        <v>101470103900</v>
      </c>
      <c r="E64" t="s">
        <v>181</v>
      </c>
      <c r="F64" t="s">
        <v>26</v>
      </c>
      <c r="G64" t="s">
        <v>182</v>
      </c>
      <c r="H64" t="s">
        <v>28</v>
      </c>
      <c r="I64" t="s">
        <v>29</v>
      </c>
      <c r="J64" t="s">
        <v>183</v>
      </c>
      <c r="L64" s="1">
        <v>45689</v>
      </c>
      <c r="M64" s="1">
        <v>45689</v>
      </c>
      <c r="N64" s="1">
        <v>45777</v>
      </c>
      <c r="O64">
        <v>18657307</v>
      </c>
      <c r="P64" t="s">
        <v>41</v>
      </c>
      <c r="Q64" t="s">
        <v>184</v>
      </c>
      <c r="R64">
        <v>8192</v>
      </c>
      <c r="S64" t="s">
        <v>33</v>
      </c>
      <c r="T64" t="s">
        <v>34</v>
      </c>
      <c r="U64">
        <v>-114.59</v>
      </c>
      <c r="V64" t="s">
        <v>37</v>
      </c>
      <c r="W64" s="1">
        <v>45688</v>
      </c>
      <c r="X64">
        <v>2025</v>
      </c>
    </row>
    <row r="65" spans="1:24" x14ac:dyDescent="0.25">
      <c r="A65" s="1">
        <v>45797</v>
      </c>
      <c r="B65" t="s">
        <v>180</v>
      </c>
      <c r="C65" s="7">
        <v>101470103900</v>
      </c>
      <c r="E65" t="s">
        <v>181</v>
      </c>
      <c r="F65" t="s">
        <v>26</v>
      </c>
      <c r="G65" t="s">
        <v>185</v>
      </c>
      <c r="H65" t="s">
        <v>28</v>
      </c>
      <c r="I65" t="s">
        <v>29</v>
      </c>
      <c r="J65" t="s">
        <v>183</v>
      </c>
      <c r="L65" s="1">
        <v>45689</v>
      </c>
      <c r="M65" s="1">
        <v>45689</v>
      </c>
      <c r="N65" s="1">
        <v>45777</v>
      </c>
      <c r="O65">
        <v>18657307</v>
      </c>
      <c r="P65" t="s">
        <v>41</v>
      </c>
      <c r="Q65" t="s">
        <v>184</v>
      </c>
      <c r="R65">
        <v>8192</v>
      </c>
      <c r="S65" t="s">
        <v>33</v>
      </c>
      <c r="T65" t="s">
        <v>34</v>
      </c>
      <c r="U65">
        <v>31.25</v>
      </c>
      <c r="V65" t="s">
        <v>37</v>
      </c>
      <c r="W65" s="1">
        <v>45688</v>
      </c>
      <c r="X65">
        <v>2025</v>
      </c>
    </row>
    <row r="66" spans="1:24" x14ac:dyDescent="0.25">
      <c r="A66" s="1"/>
      <c r="L66" s="1"/>
      <c r="M66" s="1"/>
      <c r="W66" s="1"/>
    </row>
    <row r="67" spans="1:24" x14ac:dyDescent="0.25">
      <c r="A67" s="1"/>
      <c r="L67" s="1"/>
      <c r="M67" s="1"/>
      <c r="W67" s="1"/>
    </row>
    <row r="68" spans="1:24" x14ac:dyDescent="0.25">
      <c r="A68" s="1"/>
      <c r="L68" s="1"/>
      <c r="M68" s="1"/>
      <c r="W68" s="1"/>
    </row>
    <row r="69" spans="1:24" x14ac:dyDescent="0.25">
      <c r="A69" s="1"/>
      <c r="L69" s="1"/>
      <c r="M69" s="1"/>
      <c r="W69" s="1"/>
    </row>
    <row r="70" spans="1:24" x14ac:dyDescent="0.25">
      <c r="A70" s="1"/>
      <c r="L70" s="1"/>
      <c r="M70" s="1"/>
      <c r="W70" s="1"/>
    </row>
    <row r="71" spans="1:24" x14ac:dyDescent="0.25">
      <c r="A71" s="1"/>
      <c r="L71" s="1"/>
      <c r="M71" s="1"/>
      <c r="W71" s="1"/>
    </row>
    <row r="72" spans="1:24" x14ac:dyDescent="0.25">
      <c r="A72" s="1"/>
      <c r="L72" s="1"/>
      <c r="M72" s="1"/>
      <c r="W72" s="1"/>
    </row>
    <row r="73" spans="1:24" x14ac:dyDescent="0.25">
      <c r="A73" s="1"/>
      <c r="L73" s="1"/>
      <c r="M73" s="1"/>
      <c r="W73" s="1"/>
    </row>
    <row r="74" spans="1:24" x14ac:dyDescent="0.25">
      <c r="A74" s="1"/>
      <c r="L74" s="1"/>
      <c r="M74" s="1"/>
      <c r="W74" s="1"/>
    </row>
    <row r="75" spans="1:24" x14ac:dyDescent="0.25">
      <c r="A75" s="1"/>
      <c r="L75" s="1"/>
      <c r="M75" s="1"/>
      <c r="W75" s="1"/>
    </row>
    <row r="76" spans="1:24" x14ac:dyDescent="0.25">
      <c r="A76" s="1"/>
      <c r="L76" s="1"/>
      <c r="M76" s="1"/>
      <c r="W76" s="1"/>
    </row>
    <row r="77" spans="1:24" x14ac:dyDescent="0.25">
      <c r="A77" s="1"/>
      <c r="L77" s="1"/>
      <c r="M77" s="1"/>
      <c r="W77" s="1"/>
    </row>
    <row r="78" spans="1:24" x14ac:dyDescent="0.25">
      <c r="A78" s="1"/>
      <c r="L78" s="1"/>
      <c r="M78" s="1"/>
      <c r="W78" s="1"/>
    </row>
    <row r="79" spans="1:24" x14ac:dyDescent="0.25">
      <c r="A79" s="1"/>
      <c r="L79" s="1"/>
      <c r="M79" s="1"/>
      <c r="W79" s="1"/>
    </row>
    <row r="80" spans="1:24" x14ac:dyDescent="0.25">
      <c r="A80" s="1"/>
      <c r="L80" s="1"/>
      <c r="M80" s="1"/>
      <c r="W80" s="1"/>
    </row>
    <row r="81" spans="1:23" x14ac:dyDescent="0.25">
      <c r="A81" s="1"/>
      <c r="L81" s="1"/>
      <c r="M81" s="1"/>
      <c r="W81" s="1"/>
    </row>
    <row r="82" spans="1:23" x14ac:dyDescent="0.25">
      <c r="A82" s="1"/>
      <c r="L82" s="1"/>
      <c r="M82" s="1"/>
      <c r="W82" s="1"/>
    </row>
    <row r="83" spans="1:23" x14ac:dyDescent="0.25">
      <c r="A83" s="1"/>
      <c r="L83" s="1"/>
      <c r="M83" s="1"/>
      <c r="W83" s="1"/>
    </row>
    <row r="84" spans="1:23" x14ac:dyDescent="0.25">
      <c r="A84" s="1"/>
      <c r="L84" s="1"/>
      <c r="M84" s="1"/>
      <c r="W84" s="1"/>
    </row>
    <row r="85" spans="1:23" x14ac:dyDescent="0.25">
      <c r="A85" s="1"/>
      <c r="L85" s="1"/>
      <c r="M85" s="1"/>
      <c r="W85" s="1"/>
    </row>
    <row r="86" spans="1:23" x14ac:dyDescent="0.25">
      <c r="A86" s="1"/>
      <c r="L86" s="1"/>
      <c r="M86" s="1"/>
      <c r="W86" s="1"/>
    </row>
    <row r="87" spans="1:23" x14ac:dyDescent="0.25">
      <c r="A87" s="1"/>
      <c r="L87" s="1"/>
      <c r="M87" s="1"/>
      <c r="W87" s="1"/>
    </row>
    <row r="88" spans="1:23" x14ac:dyDescent="0.25">
      <c r="A88" s="1"/>
      <c r="L88" s="1"/>
      <c r="M88" s="1"/>
      <c r="W88" s="1"/>
    </row>
    <row r="89" spans="1:23" x14ac:dyDescent="0.25">
      <c r="A89" s="1"/>
      <c r="L89" s="1"/>
      <c r="M89" s="1"/>
      <c r="W89" s="1"/>
    </row>
    <row r="90" spans="1:23" x14ac:dyDescent="0.25">
      <c r="A90" s="1"/>
      <c r="L90" s="1"/>
      <c r="M90" s="1"/>
      <c r="W90" s="1"/>
    </row>
    <row r="91" spans="1:23" x14ac:dyDescent="0.25">
      <c r="A91" s="1"/>
      <c r="L91" s="1"/>
      <c r="M91" s="1"/>
      <c r="W91" s="1"/>
    </row>
    <row r="92" spans="1:23" x14ac:dyDescent="0.25">
      <c r="A92" s="1"/>
      <c r="L92" s="1"/>
      <c r="M92" s="1"/>
      <c r="W92" s="1"/>
    </row>
    <row r="93" spans="1:23" x14ac:dyDescent="0.25">
      <c r="A93" s="1"/>
      <c r="L93" s="1"/>
      <c r="M93" s="1"/>
      <c r="W93" s="1"/>
    </row>
    <row r="94" spans="1:23" x14ac:dyDescent="0.25">
      <c r="A94" s="1"/>
      <c r="L94" s="1"/>
      <c r="M94" s="1"/>
      <c r="W94" s="1"/>
    </row>
    <row r="95" spans="1:23" x14ac:dyDescent="0.25">
      <c r="A95" s="1"/>
      <c r="L95" s="1"/>
      <c r="M95" s="1"/>
      <c r="W95" s="1"/>
    </row>
    <row r="96" spans="1:23" x14ac:dyDescent="0.25">
      <c r="A96" s="1"/>
      <c r="L96" s="1"/>
      <c r="M96" s="1"/>
      <c r="W96" s="1"/>
    </row>
    <row r="97" spans="1:23" x14ac:dyDescent="0.25">
      <c r="A97" s="1"/>
      <c r="L97" s="1"/>
      <c r="M97" s="1"/>
      <c r="W97" s="1"/>
    </row>
    <row r="98" spans="1:23" x14ac:dyDescent="0.25">
      <c r="A98" s="1"/>
      <c r="L98" s="1"/>
      <c r="M98" s="1"/>
      <c r="W98" s="1"/>
    </row>
    <row r="99" spans="1:23" x14ac:dyDescent="0.25">
      <c r="A99" s="1"/>
      <c r="L99" s="1"/>
      <c r="M99" s="1"/>
      <c r="W99" s="1"/>
    </row>
    <row r="100" spans="1:23" x14ac:dyDescent="0.25">
      <c r="A100" s="1"/>
      <c r="L100" s="1"/>
      <c r="M100" s="1"/>
      <c r="W100" s="1"/>
    </row>
    <row r="101" spans="1:23" x14ac:dyDescent="0.25">
      <c r="A101" s="1"/>
      <c r="L101" s="1"/>
      <c r="M101" s="1"/>
      <c r="W101" s="1"/>
    </row>
    <row r="102" spans="1:23" x14ac:dyDescent="0.25">
      <c r="A102" s="1"/>
      <c r="L102" s="1"/>
      <c r="M102" s="1"/>
      <c r="W102" s="1"/>
    </row>
    <row r="103" spans="1:23" x14ac:dyDescent="0.25">
      <c r="A103" s="1"/>
      <c r="L103" s="1"/>
      <c r="M103" s="1"/>
      <c r="W103" s="1"/>
    </row>
    <row r="104" spans="1:23" x14ac:dyDescent="0.25">
      <c r="A104" s="1"/>
      <c r="L104" s="1"/>
      <c r="M104" s="1"/>
      <c r="W104" s="1"/>
    </row>
    <row r="105" spans="1:23" x14ac:dyDescent="0.25">
      <c r="A105" s="1"/>
      <c r="L105" s="1"/>
      <c r="M105" s="1"/>
      <c r="W105" s="1"/>
    </row>
    <row r="106" spans="1:23" x14ac:dyDescent="0.25">
      <c r="A106" s="1"/>
      <c r="L106" s="1"/>
      <c r="M106" s="1"/>
      <c r="W106" s="1"/>
    </row>
    <row r="107" spans="1:23" x14ac:dyDescent="0.25">
      <c r="A107" s="1"/>
      <c r="L107" s="1"/>
      <c r="M107" s="1"/>
      <c r="W107" s="1"/>
    </row>
    <row r="108" spans="1:23" x14ac:dyDescent="0.25">
      <c r="A108" s="1"/>
      <c r="L108" s="1"/>
      <c r="M108" s="1"/>
      <c r="W108" s="1"/>
    </row>
    <row r="109" spans="1:23" x14ac:dyDescent="0.25">
      <c r="A109" s="1"/>
      <c r="L109" s="1"/>
      <c r="M109" s="1"/>
      <c r="W109" s="1"/>
    </row>
    <row r="110" spans="1:23" x14ac:dyDescent="0.25">
      <c r="A110" s="1"/>
      <c r="L110" s="1"/>
      <c r="M110" s="1"/>
      <c r="W110" s="1"/>
    </row>
    <row r="111" spans="1:23" x14ac:dyDescent="0.25">
      <c r="A111" s="1"/>
      <c r="L111" s="1"/>
      <c r="M111" s="1"/>
      <c r="W111" s="1"/>
    </row>
    <row r="112" spans="1:23" x14ac:dyDescent="0.25">
      <c r="A112" s="1"/>
      <c r="L112" s="1"/>
      <c r="M112" s="1"/>
      <c r="W112" s="1"/>
    </row>
    <row r="113" spans="1:23" x14ac:dyDescent="0.25">
      <c r="A113" s="1"/>
      <c r="L113" s="1"/>
      <c r="M113" s="1"/>
      <c r="W113" s="1"/>
    </row>
    <row r="114" spans="1:23" x14ac:dyDescent="0.25">
      <c r="A114" s="1"/>
      <c r="L114" s="1"/>
      <c r="M114" s="1"/>
      <c r="W114" s="1"/>
    </row>
    <row r="115" spans="1:23" x14ac:dyDescent="0.25">
      <c r="A115" s="1"/>
      <c r="L115" s="1"/>
      <c r="M115" s="1"/>
      <c r="W115" s="1"/>
    </row>
    <row r="116" spans="1:23" x14ac:dyDescent="0.25">
      <c r="A116" s="1"/>
      <c r="L116" s="1"/>
      <c r="M116" s="1"/>
      <c r="W116" s="1"/>
    </row>
    <row r="117" spans="1:23" x14ac:dyDescent="0.25">
      <c r="A117" s="1"/>
      <c r="L117" s="1"/>
      <c r="M117" s="1"/>
      <c r="W117" s="1"/>
    </row>
    <row r="118" spans="1:23" x14ac:dyDescent="0.25">
      <c r="A118" s="1"/>
      <c r="L118" s="1"/>
      <c r="M118" s="1"/>
      <c r="W118" s="1"/>
    </row>
    <row r="119" spans="1:23" x14ac:dyDescent="0.25">
      <c r="A119" s="1"/>
      <c r="L119" s="1"/>
      <c r="M119" s="1"/>
      <c r="W119" s="1"/>
    </row>
    <row r="120" spans="1:23" x14ac:dyDescent="0.25">
      <c r="A120" s="1"/>
      <c r="L120" s="1"/>
      <c r="M120" s="1"/>
      <c r="W120" s="1"/>
    </row>
    <row r="121" spans="1:23" x14ac:dyDescent="0.25">
      <c r="A121" s="1"/>
      <c r="L121" s="1"/>
      <c r="M121" s="1"/>
      <c r="W121" s="1"/>
    </row>
    <row r="122" spans="1:23" x14ac:dyDescent="0.25">
      <c r="A122" s="1"/>
      <c r="L122" s="1"/>
      <c r="M122" s="1"/>
      <c r="W122" s="1"/>
    </row>
    <row r="123" spans="1:23" x14ac:dyDescent="0.25">
      <c r="A123" s="1"/>
      <c r="L123" s="1"/>
      <c r="M123" s="1"/>
      <c r="W123" s="1"/>
    </row>
    <row r="124" spans="1:23" x14ac:dyDescent="0.25">
      <c r="A124" s="1"/>
      <c r="L124" s="1"/>
      <c r="M124" s="1"/>
      <c r="W124" s="1"/>
    </row>
    <row r="125" spans="1:23" x14ac:dyDescent="0.25">
      <c r="A125" s="1"/>
      <c r="L125" s="1"/>
      <c r="M125" s="1"/>
      <c r="W125" s="1"/>
    </row>
    <row r="126" spans="1:23" x14ac:dyDescent="0.25">
      <c r="A126" s="1"/>
      <c r="L126" s="1"/>
      <c r="M126" s="1"/>
      <c r="W126" s="1"/>
    </row>
    <row r="127" spans="1:23" x14ac:dyDescent="0.25">
      <c r="A127" s="1"/>
      <c r="L127" s="1"/>
      <c r="M127" s="1"/>
      <c r="W127" s="1"/>
    </row>
    <row r="128" spans="1:23" x14ac:dyDescent="0.25">
      <c r="A128" s="1"/>
      <c r="L128" s="1"/>
      <c r="M128" s="1"/>
      <c r="W128" s="1"/>
    </row>
    <row r="129" spans="1:23" x14ac:dyDescent="0.25">
      <c r="A129" s="1"/>
      <c r="L129" s="1"/>
      <c r="M129" s="1"/>
      <c r="W129" s="1"/>
    </row>
    <row r="130" spans="1:23" x14ac:dyDescent="0.25">
      <c r="A130" s="1"/>
      <c r="L130" s="1"/>
      <c r="M130" s="1"/>
      <c r="W130" s="1"/>
    </row>
    <row r="131" spans="1:23" x14ac:dyDescent="0.25">
      <c r="A131" s="1"/>
      <c r="L131" s="1"/>
      <c r="M131" s="1"/>
      <c r="W131" s="1"/>
    </row>
    <row r="132" spans="1:23" x14ac:dyDescent="0.25">
      <c r="A132" s="1"/>
      <c r="L132" s="1"/>
      <c r="M132" s="1"/>
      <c r="W132" s="1"/>
    </row>
    <row r="133" spans="1:23" x14ac:dyDescent="0.25">
      <c r="A133" s="1"/>
      <c r="L133" s="1"/>
      <c r="M133" s="1"/>
      <c r="W133" s="1"/>
    </row>
    <row r="134" spans="1:23" x14ac:dyDescent="0.25">
      <c r="A134" s="1"/>
      <c r="L134" s="1"/>
      <c r="M134" s="1"/>
      <c r="W134" s="1"/>
    </row>
    <row r="135" spans="1:23" x14ac:dyDescent="0.25">
      <c r="A135" s="1"/>
      <c r="L135" s="1"/>
      <c r="M135" s="1"/>
      <c r="W135" s="1"/>
    </row>
    <row r="136" spans="1:23" x14ac:dyDescent="0.25">
      <c r="A136" s="1"/>
      <c r="L136" s="1"/>
      <c r="M136" s="1"/>
      <c r="W136" s="1"/>
    </row>
    <row r="137" spans="1:23" x14ac:dyDescent="0.25">
      <c r="A137" s="1"/>
      <c r="L137" s="1"/>
      <c r="M137" s="1"/>
      <c r="W137" s="1"/>
    </row>
    <row r="138" spans="1:23" x14ac:dyDescent="0.25">
      <c r="A138" s="1"/>
      <c r="L138" s="1"/>
      <c r="M138" s="1"/>
      <c r="W138" s="1"/>
    </row>
    <row r="139" spans="1:23" x14ac:dyDescent="0.25">
      <c r="A139" s="1"/>
      <c r="L139" s="1"/>
      <c r="M139" s="1"/>
      <c r="W139" s="1"/>
    </row>
    <row r="140" spans="1:23" x14ac:dyDescent="0.25">
      <c r="A140" s="1"/>
      <c r="L140" s="1"/>
      <c r="M140" s="1"/>
      <c r="W140" s="1"/>
    </row>
    <row r="141" spans="1:23" x14ac:dyDescent="0.25">
      <c r="A141" s="1"/>
      <c r="L141" s="1"/>
      <c r="M141" s="1"/>
      <c r="W141" s="1"/>
    </row>
    <row r="142" spans="1:23" x14ac:dyDescent="0.25">
      <c r="A142" s="1"/>
      <c r="L142" s="1"/>
      <c r="M142" s="1"/>
      <c r="W142" s="1"/>
    </row>
    <row r="143" spans="1:23" x14ac:dyDescent="0.25">
      <c r="A143" s="1"/>
      <c r="L143" s="1"/>
      <c r="M143" s="1"/>
      <c r="W143" s="1"/>
    </row>
    <row r="144" spans="1:23" x14ac:dyDescent="0.25">
      <c r="A144" s="1"/>
      <c r="L144" s="1"/>
      <c r="M144" s="1"/>
      <c r="W144" s="1"/>
    </row>
    <row r="145" spans="1:23" x14ac:dyDescent="0.25">
      <c r="A145" s="1"/>
      <c r="L145" s="1"/>
      <c r="M145" s="1"/>
      <c r="W145" s="1"/>
    </row>
    <row r="146" spans="1:23" x14ac:dyDescent="0.25">
      <c r="A146" s="1"/>
      <c r="L146" s="1"/>
      <c r="M146" s="1"/>
      <c r="W146" s="1"/>
    </row>
    <row r="147" spans="1:23" x14ac:dyDescent="0.25">
      <c r="A147" s="1"/>
      <c r="L147" s="1"/>
      <c r="M147" s="1"/>
      <c r="W147" s="1"/>
    </row>
    <row r="148" spans="1:23" x14ac:dyDescent="0.25">
      <c r="A148" s="1"/>
      <c r="L148" s="1"/>
      <c r="M148" s="1"/>
      <c r="W148" s="1"/>
    </row>
    <row r="149" spans="1:23" x14ac:dyDescent="0.25">
      <c r="A149" s="1"/>
      <c r="L149" s="1"/>
      <c r="M149" s="1"/>
      <c r="W149" s="1"/>
    </row>
    <row r="150" spans="1:23" x14ac:dyDescent="0.25">
      <c r="A150" s="1"/>
      <c r="L150" s="1"/>
      <c r="M150" s="1"/>
      <c r="W150" s="1"/>
    </row>
    <row r="151" spans="1:23" x14ac:dyDescent="0.25">
      <c r="A151" s="1"/>
      <c r="L151" s="1"/>
      <c r="M151" s="1"/>
      <c r="W151" s="1"/>
    </row>
    <row r="152" spans="1:23" x14ac:dyDescent="0.25">
      <c r="A152" s="1"/>
      <c r="L152" s="1"/>
      <c r="M152" s="1"/>
      <c r="W152" s="1"/>
    </row>
    <row r="153" spans="1:23" x14ac:dyDescent="0.25">
      <c r="A153" s="1"/>
      <c r="L153" s="1"/>
      <c r="M153" s="1"/>
      <c r="W153" s="1"/>
    </row>
    <row r="154" spans="1:23" x14ac:dyDescent="0.25">
      <c r="A154" s="1"/>
      <c r="L154" s="1"/>
      <c r="M154" s="1"/>
      <c r="W154" s="1"/>
    </row>
    <row r="155" spans="1:23" x14ac:dyDescent="0.25">
      <c r="A155" s="1"/>
      <c r="L155" s="1"/>
      <c r="M155" s="1"/>
      <c r="W155" s="1"/>
    </row>
    <row r="156" spans="1:23" x14ac:dyDescent="0.25">
      <c r="A156" s="1"/>
      <c r="L156" s="1"/>
      <c r="M156" s="1"/>
      <c r="W156" s="1"/>
    </row>
    <row r="157" spans="1:23" x14ac:dyDescent="0.25">
      <c r="A157" s="1"/>
      <c r="L157" s="1"/>
      <c r="M157" s="1"/>
      <c r="W157" s="1"/>
    </row>
    <row r="158" spans="1:23" x14ac:dyDescent="0.25">
      <c r="A158" s="1"/>
      <c r="L158" s="1"/>
      <c r="M158" s="1"/>
      <c r="W158" s="1"/>
    </row>
    <row r="159" spans="1:23" x14ac:dyDescent="0.25">
      <c r="A159" s="1"/>
      <c r="L159" s="1"/>
      <c r="M159" s="1"/>
      <c r="W159" s="1"/>
    </row>
    <row r="160" spans="1:23" x14ac:dyDescent="0.25">
      <c r="A160" s="1"/>
      <c r="L160" s="1"/>
      <c r="M160" s="1"/>
      <c r="W160" s="1"/>
    </row>
    <row r="161" spans="1:23" x14ac:dyDescent="0.25">
      <c r="A161" s="1"/>
      <c r="L161" s="1"/>
      <c r="M161" s="1"/>
      <c r="W161" s="1"/>
    </row>
    <row r="162" spans="1:23" x14ac:dyDescent="0.25">
      <c r="A162" s="1"/>
      <c r="L162" s="1"/>
      <c r="M162" s="1"/>
      <c r="W162" s="1"/>
    </row>
    <row r="163" spans="1:23" x14ac:dyDescent="0.25">
      <c r="A163" s="1"/>
      <c r="L163" s="1"/>
      <c r="M163" s="1"/>
      <c r="W163" s="1"/>
    </row>
    <row r="164" spans="1:23" x14ac:dyDescent="0.25">
      <c r="A164" s="1"/>
      <c r="L164" s="1"/>
      <c r="M164" s="1"/>
      <c r="W164" s="1"/>
    </row>
    <row r="165" spans="1:23" x14ac:dyDescent="0.25">
      <c r="A165" s="1"/>
      <c r="L165" s="1"/>
      <c r="M165" s="1"/>
      <c r="W165" s="1"/>
    </row>
    <row r="166" spans="1:23" x14ac:dyDescent="0.25">
      <c r="A166" s="1"/>
      <c r="L166" s="1"/>
      <c r="M166" s="1"/>
      <c r="W166" s="1"/>
    </row>
    <row r="167" spans="1:23" x14ac:dyDescent="0.25">
      <c r="A167" s="1"/>
      <c r="L167" s="1"/>
      <c r="M167" s="1"/>
      <c r="W167" s="1"/>
    </row>
    <row r="168" spans="1:23" x14ac:dyDescent="0.25">
      <c r="A168" s="1"/>
      <c r="L168" s="1"/>
      <c r="M168" s="1"/>
      <c r="W168" s="1"/>
    </row>
    <row r="169" spans="1:23" x14ac:dyDescent="0.25">
      <c r="A169" s="1"/>
      <c r="L169" s="1"/>
      <c r="M169" s="1"/>
      <c r="W169" s="1"/>
    </row>
    <row r="170" spans="1:23" x14ac:dyDescent="0.25">
      <c r="A170" s="1"/>
      <c r="L170" s="1"/>
      <c r="M170" s="1"/>
      <c r="W170" s="1"/>
    </row>
    <row r="171" spans="1:23" x14ac:dyDescent="0.25">
      <c r="A171" s="1"/>
      <c r="L171" s="1"/>
      <c r="M171" s="1"/>
      <c r="W171" s="1"/>
    </row>
    <row r="172" spans="1:23" x14ac:dyDescent="0.25">
      <c r="A172" s="1"/>
      <c r="L172" s="1"/>
      <c r="M172" s="1"/>
      <c r="W172" s="1"/>
    </row>
    <row r="173" spans="1:23" x14ac:dyDescent="0.25">
      <c r="A173" s="1"/>
      <c r="L173" s="1"/>
      <c r="M173" s="1"/>
      <c r="W173" s="1"/>
    </row>
    <row r="174" spans="1:23" x14ac:dyDescent="0.25">
      <c r="A174" s="1"/>
      <c r="L174" s="1"/>
      <c r="M174" s="1"/>
      <c r="W174" s="1"/>
    </row>
    <row r="175" spans="1:23" x14ac:dyDescent="0.25">
      <c r="A175" s="1"/>
      <c r="L175" s="1"/>
      <c r="M175" s="1"/>
      <c r="W175" s="1"/>
    </row>
    <row r="176" spans="1:23" x14ac:dyDescent="0.25">
      <c r="A176" s="1"/>
      <c r="L176" s="1"/>
      <c r="M176" s="1"/>
      <c r="W176" s="1"/>
    </row>
    <row r="177" spans="1:23" x14ac:dyDescent="0.25">
      <c r="A177" s="1"/>
      <c r="L177" s="1"/>
      <c r="M177" s="1"/>
      <c r="W177" s="1"/>
    </row>
    <row r="178" spans="1:23" x14ac:dyDescent="0.25">
      <c r="A178" s="1"/>
      <c r="L178" s="1"/>
      <c r="M178" s="1"/>
      <c r="W178" s="1"/>
    </row>
    <row r="179" spans="1:23" x14ac:dyDescent="0.25">
      <c r="A179" s="1"/>
      <c r="L179" s="1"/>
      <c r="M179" s="1"/>
      <c r="W179" s="1"/>
    </row>
    <row r="180" spans="1:23" x14ac:dyDescent="0.25">
      <c r="A180" s="1"/>
      <c r="L180" s="1"/>
      <c r="M180" s="1"/>
      <c r="W180" s="1"/>
    </row>
    <row r="181" spans="1:23" x14ac:dyDescent="0.25">
      <c r="A181" s="1"/>
      <c r="L181" s="1"/>
      <c r="M181" s="1"/>
      <c r="W181" s="1"/>
    </row>
    <row r="182" spans="1:23" x14ac:dyDescent="0.25">
      <c r="A182" s="1"/>
      <c r="L182" s="1"/>
      <c r="M182" s="1"/>
      <c r="W182" s="1"/>
    </row>
    <row r="183" spans="1:23" x14ac:dyDescent="0.25">
      <c r="A183" s="1"/>
      <c r="L183" s="1"/>
      <c r="M183" s="1"/>
      <c r="W183" s="1"/>
    </row>
    <row r="184" spans="1:23" x14ac:dyDescent="0.25">
      <c r="A184" s="1"/>
      <c r="L184" s="1"/>
      <c r="M184" s="1"/>
      <c r="W184" s="1"/>
    </row>
    <row r="185" spans="1:23" x14ac:dyDescent="0.25">
      <c r="A185" s="1"/>
      <c r="L185" s="1"/>
      <c r="M185" s="1"/>
      <c r="W185" s="1"/>
    </row>
    <row r="186" spans="1:23" x14ac:dyDescent="0.25">
      <c r="A186" s="1"/>
      <c r="L186" s="1"/>
      <c r="M186" s="1"/>
      <c r="W186" s="1"/>
    </row>
    <row r="187" spans="1:23" x14ac:dyDescent="0.25">
      <c r="A187" s="1"/>
      <c r="L187" s="1"/>
      <c r="M187" s="1"/>
      <c r="W187" s="1"/>
    </row>
    <row r="188" spans="1:23" x14ac:dyDescent="0.25">
      <c r="A188" s="1"/>
      <c r="L188" s="1"/>
      <c r="M188" s="1"/>
      <c r="W188" s="1"/>
    </row>
    <row r="189" spans="1:23" x14ac:dyDescent="0.25">
      <c r="A189" s="1"/>
      <c r="L189" s="1"/>
      <c r="M189" s="1"/>
      <c r="W189" s="1"/>
    </row>
    <row r="190" spans="1:23" x14ac:dyDescent="0.25">
      <c r="A190" s="1"/>
      <c r="L190" s="1"/>
      <c r="M190" s="1"/>
      <c r="W190" s="1"/>
    </row>
    <row r="191" spans="1:23" x14ac:dyDescent="0.25">
      <c r="A191" s="1"/>
      <c r="L191" s="1"/>
      <c r="M191" s="1"/>
      <c r="W191" s="1"/>
    </row>
    <row r="192" spans="1:23" x14ac:dyDescent="0.25">
      <c r="A192" s="1"/>
      <c r="L192" s="1"/>
      <c r="M192" s="1"/>
      <c r="W192" s="1"/>
    </row>
    <row r="193" spans="1:23" x14ac:dyDescent="0.25">
      <c r="A193" s="1"/>
      <c r="L193" s="1"/>
      <c r="M193" s="1"/>
      <c r="W193" s="1"/>
    </row>
    <row r="194" spans="1:23" x14ac:dyDescent="0.25">
      <c r="A194" s="1"/>
      <c r="L194" s="1"/>
      <c r="M194" s="1"/>
      <c r="W194" s="1"/>
    </row>
    <row r="195" spans="1:23" x14ac:dyDescent="0.25">
      <c r="A195" s="1"/>
      <c r="L195" s="1"/>
      <c r="M195" s="1"/>
      <c r="W195" s="1"/>
    </row>
    <row r="196" spans="1:23" x14ac:dyDescent="0.25">
      <c r="A196" s="1"/>
      <c r="L196" s="1"/>
      <c r="M196" s="1"/>
      <c r="W196" s="1"/>
    </row>
    <row r="197" spans="1:23" x14ac:dyDescent="0.25">
      <c r="A197" s="1"/>
      <c r="L197" s="1"/>
      <c r="M197" s="1"/>
      <c r="W197" s="1"/>
    </row>
    <row r="198" spans="1:23" x14ac:dyDescent="0.25">
      <c r="A198" s="1"/>
      <c r="L198" s="1"/>
      <c r="M198" s="1"/>
      <c r="W198" s="1"/>
    </row>
    <row r="199" spans="1:23" x14ac:dyDescent="0.25">
      <c r="A199" s="1"/>
      <c r="L199" s="1"/>
      <c r="M199" s="1"/>
      <c r="W199" s="1"/>
    </row>
    <row r="200" spans="1:23" x14ac:dyDescent="0.25">
      <c r="A200" s="1"/>
      <c r="L200" s="1"/>
      <c r="M200" s="1"/>
      <c r="W200" s="1"/>
    </row>
    <row r="201" spans="1:23" x14ac:dyDescent="0.25">
      <c r="A201" s="1"/>
      <c r="L201" s="1"/>
      <c r="M201" s="1"/>
      <c r="W201" s="1"/>
    </row>
    <row r="202" spans="1:23" x14ac:dyDescent="0.25">
      <c r="A202" s="1"/>
      <c r="L202" s="1"/>
      <c r="M202" s="1"/>
      <c r="W202" s="1"/>
    </row>
    <row r="203" spans="1:23" x14ac:dyDescent="0.25">
      <c r="A203" s="1"/>
      <c r="L203" s="1"/>
      <c r="M203" s="1"/>
      <c r="W203" s="1"/>
    </row>
    <row r="204" spans="1:23" x14ac:dyDescent="0.25">
      <c r="A204" s="1"/>
      <c r="L204" s="1"/>
      <c r="M204" s="1"/>
      <c r="W204" s="1"/>
    </row>
    <row r="205" spans="1:23" x14ac:dyDescent="0.25">
      <c r="A205" s="1"/>
      <c r="L205" s="1"/>
      <c r="M205" s="1"/>
      <c r="W205" s="1"/>
    </row>
    <row r="206" spans="1:23" x14ac:dyDescent="0.25">
      <c r="A206" s="1"/>
      <c r="L206" s="1"/>
      <c r="M206" s="1"/>
      <c r="W206" s="1"/>
    </row>
    <row r="207" spans="1:23" x14ac:dyDescent="0.25">
      <c r="A207" s="1"/>
      <c r="L207" s="1"/>
      <c r="M207" s="1"/>
      <c r="W207" s="1"/>
    </row>
    <row r="208" spans="1:23" x14ac:dyDescent="0.25">
      <c r="A208" s="1"/>
      <c r="L208" s="1"/>
      <c r="M208" s="1"/>
      <c r="W208" s="1"/>
    </row>
    <row r="209" spans="1:23" x14ac:dyDescent="0.25">
      <c r="A209" s="1"/>
      <c r="L209" s="1"/>
      <c r="M209" s="1"/>
      <c r="W209" s="1"/>
    </row>
    <row r="210" spans="1:23" x14ac:dyDescent="0.25">
      <c r="A210" s="1"/>
      <c r="L210" s="1"/>
      <c r="M210" s="1"/>
      <c r="W210" s="1"/>
    </row>
    <row r="211" spans="1:23" x14ac:dyDescent="0.25">
      <c r="A211" s="1"/>
      <c r="L211" s="1"/>
      <c r="M211" s="1"/>
      <c r="W211" s="1"/>
    </row>
    <row r="212" spans="1:23" x14ac:dyDescent="0.25">
      <c r="A212" s="1"/>
      <c r="L212" s="1"/>
      <c r="M212" s="1"/>
      <c r="W212" s="1"/>
    </row>
    <row r="213" spans="1:23" x14ac:dyDescent="0.25">
      <c r="A213" s="1"/>
      <c r="L213" s="1"/>
      <c r="M213" s="1"/>
      <c r="W213" s="1"/>
    </row>
    <row r="214" spans="1:23" x14ac:dyDescent="0.25">
      <c r="A214" s="1"/>
      <c r="L214" s="1"/>
      <c r="M214" s="1"/>
      <c r="W214" s="1"/>
    </row>
    <row r="215" spans="1:23" x14ac:dyDescent="0.25">
      <c r="A215" s="1"/>
      <c r="L215" s="1"/>
      <c r="M215" s="1"/>
      <c r="W215" s="1"/>
    </row>
    <row r="216" spans="1:23" x14ac:dyDescent="0.25">
      <c r="A216" s="1"/>
      <c r="L216" s="1"/>
      <c r="M216" s="1"/>
      <c r="W216" s="1"/>
    </row>
    <row r="217" spans="1:23" x14ac:dyDescent="0.25">
      <c r="A217" s="1"/>
      <c r="L217" s="1"/>
      <c r="M217" s="1"/>
      <c r="W217" s="1"/>
    </row>
    <row r="218" spans="1:23" x14ac:dyDescent="0.25">
      <c r="A218" s="1"/>
      <c r="L218" s="1"/>
      <c r="M218" s="1"/>
      <c r="W218" s="1"/>
    </row>
    <row r="219" spans="1:23" x14ac:dyDescent="0.25">
      <c r="A219" s="1"/>
      <c r="L219" s="1"/>
      <c r="M219" s="1"/>
      <c r="W219" s="1"/>
    </row>
    <row r="220" spans="1:23" x14ac:dyDescent="0.25">
      <c r="A220" s="1"/>
      <c r="L220" s="1"/>
      <c r="M220" s="1"/>
      <c r="W220" s="1"/>
    </row>
    <row r="221" spans="1:23" x14ac:dyDescent="0.25">
      <c r="A221" s="1"/>
      <c r="L221" s="1"/>
      <c r="M221" s="1"/>
      <c r="W221" s="1"/>
    </row>
    <row r="222" spans="1:23" x14ac:dyDescent="0.25">
      <c r="A222" s="1"/>
      <c r="L222" s="1"/>
      <c r="M222" s="1"/>
      <c r="W222" s="1"/>
    </row>
    <row r="223" spans="1:23" x14ac:dyDescent="0.25">
      <c r="A223" s="1"/>
      <c r="L223" s="1"/>
      <c r="M223" s="1"/>
      <c r="W223" s="1"/>
    </row>
    <row r="224" spans="1:23" x14ac:dyDescent="0.25">
      <c r="A224" s="1"/>
      <c r="L224" s="1"/>
      <c r="M224" s="1"/>
      <c r="W224" s="1"/>
    </row>
    <row r="225" spans="1:23" x14ac:dyDescent="0.25">
      <c r="A225" s="1"/>
      <c r="L225" s="1"/>
      <c r="M225" s="1"/>
      <c r="W225" s="1"/>
    </row>
    <row r="226" spans="1:23" x14ac:dyDescent="0.25">
      <c r="A226" s="1"/>
      <c r="L226" s="1"/>
      <c r="M226" s="1"/>
      <c r="W226" s="1"/>
    </row>
    <row r="227" spans="1:23" x14ac:dyDescent="0.25">
      <c r="A227" s="1"/>
      <c r="L227" s="1"/>
      <c r="M227" s="1"/>
      <c r="W227" s="1"/>
    </row>
    <row r="228" spans="1:23" x14ac:dyDescent="0.25">
      <c r="A228" s="1"/>
      <c r="L228" s="1"/>
      <c r="M228" s="1"/>
      <c r="W228" s="1"/>
    </row>
    <row r="229" spans="1:23" x14ac:dyDescent="0.25">
      <c r="A229" s="1"/>
      <c r="L229" s="1"/>
      <c r="M229" s="1"/>
      <c r="W229" s="1"/>
    </row>
    <row r="230" spans="1:23" x14ac:dyDescent="0.25">
      <c r="A230" s="1"/>
      <c r="L230" s="1"/>
      <c r="M230" s="1"/>
      <c r="W230" s="1"/>
    </row>
    <row r="231" spans="1:23" x14ac:dyDescent="0.25">
      <c r="A231" s="1"/>
      <c r="L231" s="1"/>
      <c r="M231" s="1"/>
      <c r="W231" s="1"/>
    </row>
    <row r="232" spans="1:23" x14ac:dyDescent="0.25">
      <c r="A232" s="1"/>
      <c r="L232" s="1"/>
      <c r="M232" s="1"/>
      <c r="W232" s="1"/>
    </row>
    <row r="233" spans="1:23" x14ac:dyDescent="0.25">
      <c r="A233" s="1"/>
      <c r="L233" s="1"/>
      <c r="M233" s="1"/>
      <c r="W233" s="1"/>
    </row>
    <row r="234" spans="1:23" x14ac:dyDescent="0.25">
      <c r="A234" s="1"/>
      <c r="L234" s="1"/>
      <c r="M234" s="1"/>
      <c r="W234" s="1"/>
    </row>
    <row r="235" spans="1:23" x14ac:dyDescent="0.25">
      <c r="A235" s="1"/>
      <c r="L235" s="1"/>
      <c r="M235" s="1"/>
      <c r="W235" s="1"/>
    </row>
    <row r="236" spans="1:23" x14ac:dyDescent="0.25">
      <c r="A236" s="1"/>
      <c r="L236" s="1"/>
      <c r="M236" s="1"/>
      <c r="W236" s="1"/>
    </row>
    <row r="237" spans="1:23" x14ac:dyDescent="0.25">
      <c r="A237" s="1"/>
      <c r="L237" s="1"/>
      <c r="M237" s="1"/>
      <c r="W237" s="1"/>
    </row>
    <row r="238" spans="1:23" x14ac:dyDescent="0.25">
      <c r="A238" s="1"/>
      <c r="L238" s="1"/>
      <c r="M238" s="1"/>
      <c r="W238" s="1"/>
    </row>
    <row r="239" spans="1:23" x14ac:dyDescent="0.25">
      <c r="A239" s="1"/>
      <c r="L239" s="1"/>
      <c r="M239" s="1"/>
      <c r="W239" s="1"/>
    </row>
    <row r="240" spans="1:23" x14ac:dyDescent="0.25">
      <c r="A240" s="1"/>
      <c r="L240" s="1"/>
      <c r="M240" s="1"/>
      <c r="W240" s="1"/>
    </row>
    <row r="241" spans="1:23" x14ac:dyDescent="0.25">
      <c r="A241" s="1"/>
      <c r="L241" s="1"/>
      <c r="M241" s="1"/>
      <c r="W241" s="1"/>
    </row>
    <row r="242" spans="1:23" x14ac:dyDescent="0.25">
      <c r="A242" s="1"/>
      <c r="L242" s="1"/>
      <c r="M242" s="1"/>
      <c r="W242" s="1"/>
    </row>
    <row r="243" spans="1:23" x14ac:dyDescent="0.25">
      <c r="A243" s="1"/>
      <c r="L243" s="1"/>
      <c r="M243" s="1"/>
      <c r="W243" s="1"/>
    </row>
    <row r="244" spans="1:23" x14ac:dyDescent="0.25">
      <c r="A244" s="1"/>
      <c r="L244" s="1"/>
      <c r="M244" s="1"/>
      <c r="W244" s="1"/>
    </row>
    <row r="245" spans="1:23" x14ac:dyDescent="0.25">
      <c r="A245" s="1"/>
      <c r="L245" s="1"/>
      <c r="M245" s="1"/>
      <c r="W245" s="1"/>
    </row>
    <row r="246" spans="1:23" x14ac:dyDescent="0.25">
      <c r="A246" s="1"/>
      <c r="L246" s="1"/>
      <c r="M246" s="1"/>
      <c r="W246" s="1"/>
    </row>
    <row r="247" spans="1:23" x14ac:dyDescent="0.25">
      <c r="A247" s="1"/>
      <c r="L247" s="1"/>
      <c r="M247" s="1"/>
      <c r="W247" s="1"/>
    </row>
    <row r="248" spans="1:23" x14ac:dyDescent="0.25">
      <c r="A248" s="1"/>
      <c r="L248" s="1"/>
      <c r="M248" s="1"/>
      <c r="W248" s="1"/>
    </row>
    <row r="249" spans="1:23" x14ac:dyDescent="0.25">
      <c r="A249" s="1"/>
      <c r="L249" s="1"/>
      <c r="M249" s="1"/>
      <c r="W249" s="1"/>
    </row>
    <row r="250" spans="1:23" x14ac:dyDescent="0.25">
      <c r="A250" s="1"/>
      <c r="L250" s="1"/>
      <c r="M250" s="1"/>
      <c r="W250" s="1"/>
    </row>
    <row r="251" spans="1:23" x14ac:dyDescent="0.25">
      <c r="A251" s="1"/>
      <c r="L251" s="1"/>
      <c r="M251" s="1"/>
      <c r="W251" s="1"/>
    </row>
    <row r="252" spans="1:23" x14ac:dyDescent="0.25">
      <c r="A252" s="1"/>
      <c r="L252" s="1"/>
      <c r="M252" s="1"/>
      <c r="W252" s="1"/>
    </row>
    <row r="253" spans="1:23" x14ac:dyDescent="0.25">
      <c r="A253" s="1"/>
      <c r="L253" s="1"/>
      <c r="M253" s="1"/>
      <c r="W253" s="1"/>
    </row>
    <row r="254" spans="1:23" x14ac:dyDescent="0.25">
      <c r="A254" s="1"/>
      <c r="L254" s="1"/>
      <c r="M254" s="1"/>
      <c r="W254" s="1"/>
    </row>
    <row r="255" spans="1:23" x14ac:dyDescent="0.25">
      <c r="A255" s="1"/>
      <c r="L255" s="1"/>
      <c r="M255" s="1"/>
      <c r="W255" s="1"/>
    </row>
    <row r="256" spans="1:23" x14ac:dyDescent="0.25">
      <c r="A256" s="1"/>
      <c r="L256" s="1"/>
      <c r="M256" s="1"/>
      <c r="W256" s="1"/>
    </row>
    <row r="257" spans="1:23" x14ac:dyDescent="0.25">
      <c r="A257" s="1"/>
      <c r="L257" s="1"/>
      <c r="M257" s="1"/>
      <c r="W257" s="1"/>
    </row>
    <row r="258" spans="1:23" x14ac:dyDescent="0.25">
      <c r="A258" s="1"/>
      <c r="L258" s="1"/>
      <c r="M258" s="1"/>
      <c r="W258" s="1"/>
    </row>
    <row r="259" spans="1:23" x14ac:dyDescent="0.25">
      <c r="A259" s="1"/>
      <c r="L259" s="1"/>
      <c r="M259" s="1"/>
      <c r="W259" s="1"/>
    </row>
    <row r="260" spans="1:23" x14ac:dyDescent="0.25">
      <c r="A260" s="1"/>
      <c r="L260" s="1"/>
      <c r="M260" s="1"/>
      <c r="W260" s="1"/>
    </row>
    <row r="261" spans="1:23" x14ac:dyDescent="0.25">
      <c r="A261" s="1"/>
      <c r="L261" s="1"/>
      <c r="M261" s="1"/>
      <c r="W261" s="1"/>
    </row>
    <row r="262" spans="1:23" x14ac:dyDescent="0.25">
      <c r="A262" s="1"/>
      <c r="L262" s="1"/>
      <c r="M262" s="1"/>
      <c r="W262" s="1"/>
    </row>
    <row r="263" spans="1:23" x14ac:dyDescent="0.25">
      <c r="A263" s="1"/>
      <c r="L263" s="1"/>
      <c r="M263" s="1"/>
      <c r="W263" s="1"/>
    </row>
    <row r="264" spans="1:23" x14ac:dyDescent="0.25">
      <c r="A264" s="1"/>
      <c r="L264" s="1"/>
      <c r="M264" s="1"/>
      <c r="W264" s="1"/>
    </row>
    <row r="265" spans="1:23" x14ac:dyDescent="0.25">
      <c r="A265" s="1"/>
      <c r="L265" s="1"/>
      <c r="M265" s="1"/>
      <c r="W265" s="1"/>
    </row>
    <row r="266" spans="1:23" x14ac:dyDescent="0.25">
      <c r="A266" s="1"/>
      <c r="L266" s="1"/>
      <c r="M266" s="1"/>
      <c r="W266" s="1"/>
    </row>
    <row r="267" spans="1:23" x14ac:dyDescent="0.25">
      <c r="A267" s="1"/>
      <c r="L267" s="1"/>
      <c r="M267" s="1"/>
      <c r="W267" s="1"/>
    </row>
    <row r="268" spans="1:23" x14ac:dyDescent="0.25">
      <c r="A268" s="1"/>
      <c r="L268" s="1"/>
      <c r="M268" s="1"/>
      <c r="W268" s="1"/>
    </row>
    <row r="269" spans="1:23" x14ac:dyDescent="0.25">
      <c r="A269" s="1"/>
      <c r="L269" s="1"/>
      <c r="M269" s="1"/>
      <c r="W269" s="1"/>
    </row>
    <row r="270" spans="1:23" x14ac:dyDescent="0.25">
      <c r="A270" s="1"/>
      <c r="L270" s="1"/>
      <c r="M270" s="1"/>
      <c r="W270" s="1"/>
    </row>
    <row r="271" spans="1:23" x14ac:dyDescent="0.25">
      <c r="A271" s="1"/>
      <c r="L271" s="1"/>
      <c r="M271" s="1"/>
      <c r="W271" s="1"/>
    </row>
    <row r="272" spans="1:23" x14ac:dyDescent="0.25">
      <c r="A272" s="1"/>
      <c r="L272" s="1"/>
      <c r="M272" s="1"/>
      <c r="W272" s="1"/>
    </row>
    <row r="273" spans="1:23" x14ac:dyDescent="0.25">
      <c r="A273" s="1"/>
      <c r="L273" s="1"/>
      <c r="M273" s="1"/>
      <c r="W273" s="1"/>
    </row>
    <row r="274" spans="1:23" x14ac:dyDescent="0.25">
      <c r="A274" s="1"/>
      <c r="L274" s="1"/>
      <c r="M274" s="1"/>
      <c r="W274" s="1"/>
    </row>
    <row r="275" spans="1:23" x14ac:dyDescent="0.25">
      <c r="A275" s="1"/>
      <c r="L275" s="1"/>
      <c r="M275" s="1"/>
      <c r="W275" s="1"/>
    </row>
    <row r="276" spans="1:23" x14ac:dyDescent="0.25">
      <c r="A276" s="1"/>
      <c r="L276" s="1"/>
      <c r="M276" s="1"/>
      <c r="W276" s="1"/>
    </row>
    <row r="277" spans="1:23" x14ac:dyDescent="0.25">
      <c r="A277" s="1"/>
      <c r="L277" s="1"/>
      <c r="M277" s="1"/>
      <c r="W277" s="1"/>
    </row>
    <row r="278" spans="1:23" x14ac:dyDescent="0.25">
      <c r="A278" s="1"/>
      <c r="L278" s="1"/>
      <c r="M278" s="1"/>
      <c r="W278" s="1"/>
    </row>
    <row r="279" spans="1:23" x14ac:dyDescent="0.25">
      <c r="A279" s="1"/>
      <c r="L279" s="1"/>
      <c r="M279" s="1"/>
      <c r="W279" s="1"/>
    </row>
    <row r="280" spans="1:23" x14ac:dyDescent="0.25">
      <c r="A280" s="1"/>
      <c r="L280" s="1"/>
      <c r="M280" s="1"/>
      <c r="W280" s="1"/>
    </row>
    <row r="281" spans="1:23" x14ac:dyDescent="0.25">
      <c r="A281" s="1"/>
      <c r="L281" s="1"/>
      <c r="M281" s="1"/>
      <c r="W281" s="1"/>
    </row>
    <row r="282" spans="1:23" x14ac:dyDescent="0.25">
      <c r="A282" s="1"/>
      <c r="L282" s="1"/>
      <c r="M282" s="1"/>
      <c r="W282" s="1"/>
    </row>
    <row r="283" spans="1:23" x14ac:dyDescent="0.25">
      <c r="A283" s="1"/>
      <c r="L283" s="1"/>
      <c r="M283" s="1"/>
      <c r="W283" s="1"/>
    </row>
    <row r="284" spans="1:23" x14ac:dyDescent="0.25">
      <c r="A284" s="1"/>
      <c r="L284" s="1"/>
      <c r="M284" s="1"/>
      <c r="W284" s="1"/>
    </row>
    <row r="285" spans="1:23" x14ac:dyDescent="0.25">
      <c r="A285" s="1"/>
      <c r="L285" s="1"/>
      <c r="M285" s="1"/>
      <c r="W285" s="1"/>
    </row>
    <row r="286" spans="1:23" x14ac:dyDescent="0.25">
      <c r="A286" s="1"/>
      <c r="L286" s="1"/>
      <c r="M286" s="1"/>
      <c r="N286" s="1"/>
      <c r="W286" s="1"/>
    </row>
    <row r="287" spans="1:23" x14ac:dyDescent="0.25">
      <c r="A287" s="1"/>
      <c r="L287" s="1"/>
      <c r="M287" s="1"/>
      <c r="N287" s="1"/>
      <c r="W287" s="1"/>
    </row>
    <row r="288" spans="1:23" x14ac:dyDescent="0.25">
      <c r="A288" s="1"/>
      <c r="L288" s="1"/>
      <c r="M288" s="1"/>
      <c r="W288" s="1"/>
    </row>
    <row r="289" spans="1:23" x14ac:dyDescent="0.25">
      <c r="A289" s="1"/>
      <c r="L289" s="1"/>
      <c r="M289" s="1"/>
      <c r="W289" s="1"/>
    </row>
    <row r="290" spans="1:23" x14ac:dyDescent="0.25">
      <c r="A290" s="1"/>
      <c r="L290" s="1"/>
      <c r="M290" s="1"/>
      <c r="W290" s="1"/>
    </row>
    <row r="291" spans="1:23" x14ac:dyDescent="0.25">
      <c r="A291" s="1"/>
      <c r="L291" s="1"/>
      <c r="M291" s="1"/>
      <c r="W291" s="1"/>
    </row>
    <row r="292" spans="1:23" x14ac:dyDescent="0.25">
      <c r="A292" s="1"/>
      <c r="L292" s="1"/>
      <c r="M292" s="1"/>
      <c r="W292" s="1"/>
    </row>
    <row r="293" spans="1:23" x14ac:dyDescent="0.25">
      <c r="A293" s="1"/>
      <c r="L293" s="1"/>
      <c r="M293" s="1"/>
      <c r="W293" s="1"/>
    </row>
    <row r="294" spans="1:23" x14ac:dyDescent="0.25">
      <c r="A294" s="1"/>
      <c r="L294" s="1"/>
      <c r="M294" s="1"/>
      <c r="W294" s="1"/>
    </row>
    <row r="295" spans="1:23" x14ac:dyDescent="0.25">
      <c r="A295" s="1"/>
      <c r="L295" s="1"/>
      <c r="M295" s="1"/>
      <c r="W295" s="1"/>
    </row>
    <row r="296" spans="1:23" x14ac:dyDescent="0.25">
      <c r="A296" s="1"/>
      <c r="L296" s="1"/>
      <c r="M296" s="1"/>
      <c r="W296" s="1"/>
    </row>
    <row r="297" spans="1:23" x14ac:dyDescent="0.25">
      <c r="A297" s="1"/>
      <c r="L297" s="1"/>
      <c r="M297" s="1"/>
      <c r="W297" s="1"/>
    </row>
    <row r="298" spans="1:23" x14ac:dyDescent="0.25">
      <c r="A298" s="1"/>
      <c r="L298" s="1"/>
      <c r="M298" s="1"/>
      <c r="W298" s="1"/>
    </row>
    <row r="299" spans="1:23" x14ac:dyDescent="0.25">
      <c r="A299" s="1"/>
      <c r="L299" s="1"/>
      <c r="M299" s="1"/>
      <c r="W299" s="1"/>
    </row>
    <row r="300" spans="1:23" x14ac:dyDescent="0.25">
      <c r="A300" s="1"/>
      <c r="L300" s="1"/>
      <c r="M300" s="1"/>
      <c r="W300" s="1"/>
    </row>
    <row r="301" spans="1:23" x14ac:dyDescent="0.25">
      <c r="A301" s="1"/>
      <c r="L301" s="1"/>
      <c r="M301" s="1"/>
      <c r="W301" s="1"/>
    </row>
    <row r="302" spans="1:23" x14ac:dyDescent="0.25">
      <c r="A302" s="1"/>
      <c r="L302" s="1"/>
      <c r="M302" s="1"/>
      <c r="W302" s="1"/>
    </row>
    <row r="303" spans="1:23" x14ac:dyDescent="0.25">
      <c r="A303" s="1"/>
      <c r="L303" s="1"/>
      <c r="M303" s="1"/>
      <c r="W303" s="1"/>
    </row>
    <row r="304" spans="1:23" x14ac:dyDescent="0.25">
      <c r="A304" s="1"/>
      <c r="L304" s="1"/>
      <c r="M304" s="1"/>
      <c r="W304" s="1"/>
    </row>
    <row r="305" spans="1:23" x14ac:dyDescent="0.25">
      <c r="A305" s="1"/>
      <c r="L305" s="1"/>
      <c r="M305" s="1"/>
      <c r="W305" s="1"/>
    </row>
    <row r="306" spans="1:23" x14ac:dyDescent="0.25">
      <c r="A306" s="1"/>
      <c r="L306" s="1"/>
      <c r="M306" s="1"/>
      <c r="W306" s="1"/>
    </row>
    <row r="307" spans="1:23" x14ac:dyDescent="0.25">
      <c r="A307" s="1"/>
      <c r="L307" s="1"/>
      <c r="M307" s="1"/>
      <c r="W307" s="1"/>
    </row>
    <row r="308" spans="1:23" x14ac:dyDescent="0.25">
      <c r="A308" s="1"/>
      <c r="L308" s="1"/>
      <c r="M308" s="1"/>
      <c r="W308" s="1"/>
    </row>
    <row r="309" spans="1:23" x14ac:dyDescent="0.25">
      <c r="A309" s="1"/>
      <c r="L309" s="1"/>
      <c r="M309" s="1"/>
      <c r="W309" s="1"/>
    </row>
    <row r="310" spans="1:23" x14ac:dyDescent="0.25">
      <c r="A310" s="1"/>
      <c r="L310" s="1"/>
      <c r="M310" s="1"/>
      <c r="W310" s="1"/>
    </row>
    <row r="311" spans="1:23" x14ac:dyDescent="0.25">
      <c r="A311" s="1"/>
      <c r="L311" s="1"/>
      <c r="M311" s="1"/>
      <c r="W311" s="1"/>
    </row>
    <row r="312" spans="1:23" x14ac:dyDescent="0.25">
      <c r="A312" s="1"/>
      <c r="L312" s="1"/>
      <c r="M312" s="1"/>
      <c r="W312" s="1"/>
    </row>
    <row r="313" spans="1:23" x14ac:dyDescent="0.25">
      <c r="A313" s="1"/>
      <c r="L313" s="1"/>
      <c r="M313" s="1"/>
      <c r="W313" s="1"/>
    </row>
    <row r="314" spans="1:23" x14ac:dyDescent="0.25">
      <c r="A314" s="1"/>
      <c r="L314" s="1"/>
      <c r="M314" s="1"/>
      <c r="W314" s="1"/>
    </row>
    <row r="315" spans="1:23" x14ac:dyDescent="0.25">
      <c r="A315" s="1"/>
      <c r="L315" s="1"/>
      <c r="M315" s="1"/>
      <c r="W315" s="1"/>
    </row>
    <row r="316" spans="1:23" x14ac:dyDescent="0.25">
      <c r="A316" s="1"/>
      <c r="L316" s="1"/>
      <c r="M316" s="1"/>
      <c r="W316" s="1"/>
    </row>
    <row r="317" spans="1:23" x14ac:dyDescent="0.25">
      <c r="A317" s="1"/>
      <c r="L317" s="1"/>
      <c r="M317" s="1"/>
      <c r="W317" s="1"/>
    </row>
    <row r="318" spans="1:23" x14ac:dyDescent="0.25">
      <c r="A318" s="1"/>
      <c r="L318" s="1"/>
      <c r="M318" s="1"/>
      <c r="W318" s="1"/>
    </row>
    <row r="319" spans="1:23" x14ac:dyDescent="0.25">
      <c r="A319" s="1"/>
      <c r="L319" s="1"/>
      <c r="M319" s="1"/>
      <c r="W319" s="1"/>
    </row>
    <row r="320" spans="1:23" x14ac:dyDescent="0.25">
      <c r="A320" s="1"/>
      <c r="L320" s="1"/>
      <c r="M320" s="1"/>
      <c r="W320" s="1"/>
    </row>
    <row r="321" spans="1:23" x14ac:dyDescent="0.25">
      <c r="A321" s="1"/>
      <c r="L321" s="1"/>
      <c r="M321" s="1"/>
      <c r="W321" s="1"/>
    </row>
    <row r="322" spans="1:23" x14ac:dyDescent="0.25">
      <c r="A322" s="1"/>
      <c r="L322" s="1"/>
      <c r="M322" s="1"/>
      <c r="W322" s="1"/>
    </row>
    <row r="323" spans="1:23" x14ac:dyDescent="0.25">
      <c r="A323" s="1"/>
      <c r="L323" s="1"/>
      <c r="M323" s="1"/>
      <c r="W323" s="1"/>
    </row>
    <row r="324" spans="1:23" x14ac:dyDescent="0.25">
      <c r="A324" s="1"/>
      <c r="L324" s="1"/>
      <c r="M324" s="1"/>
      <c r="W324" s="1"/>
    </row>
    <row r="325" spans="1:23" x14ac:dyDescent="0.25">
      <c r="A325" s="1"/>
      <c r="L325" s="1"/>
      <c r="M325" s="1"/>
      <c r="W325" s="1"/>
    </row>
    <row r="326" spans="1:23" x14ac:dyDescent="0.25">
      <c r="A326" s="1"/>
      <c r="L326" s="1"/>
      <c r="M326" s="1"/>
      <c r="W326" s="1"/>
    </row>
    <row r="327" spans="1:23" x14ac:dyDescent="0.25">
      <c r="A327" s="1"/>
      <c r="L327" s="1"/>
      <c r="M327" s="1"/>
      <c r="W327" s="1"/>
    </row>
    <row r="328" spans="1:23" x14ac:dyDescent="0.25">
      <c r="A328" s="1"/>
      <c r="L328" s="1"/>
      <c r="M328" s="1"/>
      <c r="W328" s="1"/>
    </row>
    <row r="329" spans="1:23" x14ac:dyDescent="0.25">
      <c r="A329" s="1"/>
      <c r="L329" s="1"/>
      <c r="M329" s="1"/>
      <c r="W329" s="1"/>
    </row>
    <row r="330" spans="1:23" x14ac:dyDescent="0.25">
      <c r="A330" s="1"/>
      <c r="L330" s="1"/>
      <c r="M330" s="1"/>
      <c r="W330" s="1"/>
    </row>
    <row r="331" spans="1:23" x14ac:dyDescent="0.25">
      <c r="A331" s="1"/>
      <c r="L331" s="1"/>
      <c r="M331" s="1"/>
      <c r="W331" s="1"/>
    </row>
    <row r="332" spans="1:23" x14ac:dyDescent="0.25">
      <c r="A332" s="1"/>
      <c r="L332" s="1"/>
      <c r="M332" s="1"/>
      <c r="W332" s="1"/>
    </row>
    <row r="333" spans="1:23" x14ac:dyDescent="0.25">
      <c r="A333" s="1"/>
      <c r="L333" s="1"/>
      <c r="M333" s="1"/>
      <c r="W333" s="1"/>
    </row>
    <row r="334" spans="1:23" x14ac:dyDescent="0.25">
      <c r="A334" s="1"/>
      <c r="L334" s="1"/>
      <c r="M334" s="1"/>
      <c r="W334" s="1"/>
    </row>
    <row r="335" spans="1:23" x14ac:dyDescent="0.25">
      <c r="A335" s="1"/>
      <c r="L335" s="1"/>
      <c r="M335" s="1"/>
      <c r="W335" s="1"/>
    </row>
    <row r="336" spans="1:23" x14ac:dyDescent="0.25">
      <c r="A336" s="1"/>
      <c r="L336" s="1"/>
      <c r="M336" s="1"/>
      <c r="W336" s="1"/>
    </row>
    <row r="337" spans="1:23" x14ac:dyDescent="0.25">
      <c r="A337" s="1"/>
      <c r="L337" s="1"/>
      <c r="M337" s="1"/>
      <c r="W337" s="1"/>
    </row>
    <row r="338" spans="1:23" x14ac:dyDescent="0.25">
      <c r="A338" s="1"/>
      <c r="L338" s="1"/>
      <c r="M338" s="1"/>
      <c r="W338" s="1"/>
    </row>
    <row r="339" spans="1:23" x14ac:dyDescent="0.25">
      <c r="A339" s="1"/>
      <c r="L339" s="1"/>
      <c r="M339" s="1"/>
      <c r="W339" s="1"/>
    </row>
    <row r="340" spans="1:23" x14ac:dyDescent="0.25">
      <c r="A340" s="1"/>
      <c r="L340" s="1"/>
      <c r="M340" s="1"/>
      <c r="W340" s="1"/>
    </row>
    <row r="341" spans="1:23" x14ac:dyDescent="0.25">
      <c r="A341" s="1"/>
      <c r="L341" s="1"/>
      <c r="M341" s="1"/>
      <c r="W341" s="1"/>
    </row>
    <row r="342" spans="1:23" x14ac:dyDescent="0.25">
      <c r="A342" s="1"/>
      <c r="L342" s="1"/>
      <c r="M342" s="1"/>
      <c r="W342" s="1"/>
    </row>
    <row r="343" spans="1:23" x14ac:dyDescent="0.25">
      <c r="A343" s="1"/>
      <c r="L343" s="1"/>
      <c r="M343" s="1"/>
      <c r="W343" s="1"/>
    </row>
    <row r="344" spans="1:23" x14ac:dyDescent="0.25">
      <c r="A344" s="1"/>
      <c r="L344" s="1"/>
      <c r="M344" s="1"/>
      <c r="W344" s="1"/>
    </row>
    <row r="345" spans="1:23" x14ac:dyDescent="0.25">
      <c r="A345" s="1"/>
      <c r="L345" s="1"/>
      <c r="M345" s="1"/>
      <c r="W345" s="1"/>
    </row>
    <row r="346" spans="1:23" x14ac:dyDescent="0.25">
      <c r="A346" s="1"/>
      <c r="L346" s="1"/>
      <c r="M346" s="1"/>
      <c r="W346" s="1"/>
    </row>
    <row r="347" spans="1:23" x14ac:dyDescent="0.25">
      <c r="A347" s="1"/>
      <c r="L347" s="1"/>
      <c r="M347" s="1"/>
      <c r="W347" s="1"/>
    </row>
    <row r="348" spans="1:23" x14ac:dyDescent="0.25">
      <c r="A348" s="1"/>
      <c r="L348" s="1"/>
      <c r="M348" s="1"/>
      <c r="W348" s="1"/>
    </row>
    <row r="349" spans="1:23" x14ac:dyDescent="0.25">
      <c r="A349" s="1"/>
      <c r="L349" s="1"/>
      <c r="M349" s="1"/>
      <c r="W349" s="1"/>
    </row>
    <row r="350" spans="1:23" x14ac:dyDescent="0.25">
      <c r="A350" s="1"/>
      <c r="L350" s="1"/>
      <c r="M350" s="1"/>
      <c r="W350" s="1"/>
    </row>
    <row r="351" spans="1:23" x14ac:dyDescent="0.25">
      <c r="A351" s="1"/>
      <c r="L351" s="1"/>
      <c r="M351" s="1"/>
      <c r="W351" s="1"/>
    </row>
    <row r="352" spans="1:23" x14ac:dyDescent="0.25">
      <c r="A352" s="1"/>
      <c r="L352" s="1"/>
      <c r="M352" s="1"/>
      <c r="W352" s="1"/>
    </row>
    <row r="353" spans="1:23" x14ac:dyDescent="0.25">
      <c r="A353" s="1"/>
      <c r="L353" s="1"/>
      <c r="M353" s="1"/>
      <c r="W353" s="1"/>
    </row>
    <row r="354" spans="1:23" x14ac:dyDescent="0.25">
      <c r="A354" s="1"/>
      <c r="L354" s="1"/>
      <c r="M354" s="1"/>
      <c r="W354" s="1"/>
    </row>
    <row r="355" spans="1:23" x14ac:dyDescent="0.25">
      <c r="A355" s="1"/>
      <c r="L355" s="1"/>
      <c r="M355" s="1"/>
      <c r="W355" s="1"/>
    </row>
    <row r="356" spans="1:23" x14ac:dyDescent="0.25">
      <c r="A356" s="1"/>
      <c r="L356" s="1"/>
      <c r="M356" s="1"/>
      <c r="W356" s="1"/>
    </row>
    <row r="357" spans="1:23" x14ac:dyDescent="0.25">
      <c r="A357" s="1"/>
      <c r="L357" s="1"/>
      <c r="M357" s="1"/>
      <c r="W357" s="1"/>
    </row>
    <row r="358" spans="1:23" x14ac:dyDescent="0.25">
      <c r="A358" s="1"/>
      <c r="L358" s="1"/>
      <c r="M358" s="1"/>
      <c r="W358" s="1"/>
    </row>
    <row r="359" spans="1:23" x14ac:dyDescent="0.25">
      <c r="A359" s="1"/>
      <c r="L359" s="1"/>
      <c r="M359" s="1"/>
      <c r="W359" s="1"/>
    </row>
    <row r="360" spans="1:23" x14ac:dyDescent="0.25">
      <c r="A360" s="1"/>
      <c r="L360" s="1"/>
      <c r="M360" s="1"/>
      <c r="W360" s="1"/>
    </row>
    <row r="361" spans="1:23" x14ac:dyDescent="0.25">
      <c r="A361" s="1"/>
      <c r="L361" s="1"/>
      <c r="M361" s="1"/>
      <c r="W361" s="1"/>
    </row>
    <row r="362" spans="1:23" x14ac:dyDescent="0.25">
      <c r="A362" s="1"/>
      <c r="L362" s="1"/>
      <c r="M362" s="1"/>
      <c r="W362" s="1"/>
    </row>
    <row r="363" spans="1:23" x14ac:dyDescent="0.25">
      <c r="A363" s="1"/>
      <c r="L363" s="1"/>
      <c r="M363" s="1"/>
      <c r="W363" s="1"/>
    </row>
    <row r="364" spans="1:23" x14ac:dyDescent="0.25">
      <c r="A364" s="1"/>
      <c r="L364" s="1"/>
      <c r="M364" s="1"/>
      <c r="W364" s="1"/>
    </row>
    <row r="365" spans="1:23" x14ac:dyDescent="0.25">
      <c r="A365" s="1"/>
      <c r="L365" s="1"/>
      <c r="M365" s="1"/>
      <c r="W365" s="1"/>
    </row>
    <row r="366" spans="1:23" x14ac:dyDescent="0.25">
      <c r="A366" s="1"/>
      <c r="L366" s="1"/>
      <c r="M366" s="1"/>
      <c r="W366" s="1"/>
    </row>
    <row r="367" spans="1:23" x14ac:dyDescent="0.25">
      <c r="A367" s="1"/>
      <c r="L367" s="1"/>
      <c r="M367" s="1"/>
      <c r="W367" s="1"/>
    </row>
    <row r="368" spans="1:23" x14ac:dyDescent="0.25">
      <c r="A368" s="1"/>
      <c r="L368" s="1"/>
      <c r="M368" s="1"/>
      <c r="W368" s="1"/>
    </row>
    <row r="369" spans="1:23" x14ac:dyDescent="0.25">
      <c r="A369" s="1"/>
      <c r="L369" s="1"/>
      <c r="M369" s="1"/>
      <c r="W369" s="1"/>
    </row>
    <row r="370" spans="1:23" x14ac:dyDescent="0.25">
      <c r="A370" s="1"/>
      <c r="L370" s="1"/>
      <c r="M370" s="1"/>
      <c r="W370" s="1"/>
    </row>
    <row r="371" spans="1:23" x14ac:dyDescent="0.25">
      <c r="A371" s="1"/>
      <c r="L371" s="1"/>
      <c r="M371" s="1"/>
      <c r="W371" s="1"/>
    </row>
    <row r="372" spans="1:23" x14ac:dyDescent="0.25">
      <c r="A372" s="1"/>
      <c r="L372" s="1"/>
      <c r="M372" s="1"/>
      <c r="W372" s="1"/>
    </row>
    <row r="373" spans="1:23" x14ac:dyDescent="0.25">
      <c r="A373" s="1"/>
      <c r="L373" s="1"/>
      <c r="M373" s="1"/>
      <c r="W373" s="1"/>
    </row>
    <row r="374" spans="1:23" x14ac:dyDescent="0.25">
      <c r="A374" s="1"/>
      <c r="L374" s="1"/>
      <c r="M374" s="1"/>
      <c r="W374" s="1"/>
    </row>
    <row r="375" spans="1:23" x14ac:dyDescent="0.25">
      <c r="A375" s="1"/>
      <c r="L375" s="1"/>
      <c r="M375" s="1"/>
      <c r="W375" s="1"/>
    </row>
    <row r="376" spans="1:23" x14ac:dyDescent="0.25">
      <c r="A376" s="1"/>
      <c r="L376" s="1"/>
      <c r="M376" s="1"/>
      <c r="W376" s="1"/>
    </row>
    <row r="377" spans="1:23" x14ac:dyDescent="0.25">
      <c r="A377" s="1"/>
      <c r="L377" s="1"/>
      <c r="M377" s="1"/>
      <c r="W377" s="1"/>
    </row>
    <row r="378" spans="1:23" x14ac:dyDescent="0.25">
      <c r="A378" s="1"/>
      <c r="L378" s="1"/>
      <c r="M378" s="1"/>
      <c r="W378" s="1"/>
    </row>
    <row r="379" spans="1:23" x14ac:dyDescent="0.25">
      <c r="A379" s="1"/>
      <c r="L379" s="1"/>
      <c r="M379" s="1"/>
      <c r="W379" s="1"/>
    </row>
    <row r="380" spans="1:23" x14ac:dyDescent="0.25">
      <c r="A380" s="1"/>
      <c r="L380" s="1"/>
      <c r="M380" s="1"/>
      <c r="W380" s="1"/>
    </row>
    <row r="381" spans="1:23" x14ac:dyDescent="0.25">
      <c r="A381" s="1"/>
      <c r="L381" s="1"/>
      <c r="M381" s="1"/>
      <c r="W381" s="1"/>
    </row>
    <row r="382" spans="1:23" x14ac:dyDescent="0.25">
      <c r="A382" s="1"/>
      <c r="L382" s="1"/>
      <c r="M382" s="1"/>
      <c r="W382" s="1"/>
    </row>
    <row r="383" spans="1:23" x14ac:dyDescent="0.25">
      <c r="A383" s="1"/>
      <c r="L383" s="1"/>
      <c r="M383" s="1"/>
      <c r="W383" s="1"/>
    </row>
    <row r="384" spans="1:23" x14ac:dyDescent="0.25">
      <c r="A384" s="1"/>
      <c r="L384" s="1"/>
      <c r="M384" s="1"/>
      <c r="W384" s="1"/>
    </row>
    <row r="385" spans="1:23" x14ac:dyDescent="0.25">
      <c r="A385" s="1"/>
      <c r="L385" s="1"/>
      <c r="M385" s="1"/>
      <c r="W385" s="1"/>
    </row>
    <row r="386" spans="1:23" x14ac:dyDescent="0.25">
      <c r="A386" s="1"/>
      <c r="L386" s="1"/>
      <c r="M386" s="1"/>
      <c r="W386" s="1"/>
    </row>
    <row r="387" spans="1:23" x14ac:dyDescent="0.25">
      <c r="A387" s="1"/>
      <c r="L387" s="1"/>
      <c r="M387" s="1"/>
      <c r="W387" s="1"/>
    </row>
    <row r="388" spans="1:23" x14ac:dyDescent="0.25">
      <c r="A388" s="1"/>
      <c r="L388" s="1"/>
      <c r="M388" s="1"/>
      <c r="W388" s="1"/>
    </row>
    <row r="389" spans="1:23" x14ac:dyDescent="0.25">
      <c r="A389" s="1"/>
      <c r="L389" s="1"/>
      <c r="M389" s="1"/>
      <c r="W389" s="1"/>
    </row>
    <row r="390" spans="1:23" x14ac:dyDescent="0.25">
      <c r="A390" s="1"/>
      <c r="L390" s="1"/>
      <c r="M390" s="1"/>
      <c r="W390" s="1"/>
    </row>
    <row r="391" spans="1:23" x14ac:dyDescent="0.25">
      <c r="A391" s="1"/>
      <c r="L391" s="1"/>
      <c r="M391" s="1"/>
      <c r="W391" s="1"/>
    </row>
    <row r="392" spans="1:23" x14ac:dyDescent="0.25">
      <c r="A392" s="1"/>
      <c r="L392" s="1"/>
      <c r="M392" s="1"/>
      <c r="W392" s="1"/>
    </row>
    <row r="393" spans="1:23" x14ac:dyDescent="0.25">
      <c r="A393" s="1"/>
      <c r="L393" s="1"/>
      <c r="M393" s="1"/>
      <c r="W393" s="1"/>
    </row>
    <row r="394" spans="1:23" x14ac:dyDescent="0.25">
      <c r="A394" s="1"/>
      <c r="L394" s="1"/>
      <c r="M394" s="1"/>
      <c r="W394" s="1"/>
    </row>
    <row r="395" spans="1:23" x14ac:dyDescent="0.25">
      <c r="A395" s="1"/>
      <c r="L395" s="1"/>
      <c r="M395" s="1"/>
      <c r="W395" s="1"/>
    </row>
    <row r="396" spans="1:23" x14ac:dyDescent="0.25">
      <c r="A396" s="1"/>
      <c r="L396" s="1"/>
      <c r="M396" s="1"/>
      <c r="W396" s="1"/>
    </row>
    <row r="397" spans="1:23" x14ac:dyDescent="0.25">
      <c r="A397" s="1"/>
      <c r="L397" s="1"/>
      <c r="M397" s="1"/>
      <c r="W397" s="1"/>
    </row>
    <row r="398" spans="1:23" x14ac:dyDescent="0.25">
      <c r="A398" s="1"/>
      <c r="L398" s="1"/>
      <c r="M398" s="1"/>
      <c r="W398" s="1"/>
    </row>
    <row r="399" spans="1:23" x14ac:dyDescent="0.25">
      <c r="A399" s="1"/>
      <c r="L399" s="1"/>
      <c r="M399" s="1"/>
      <c r="W399" s="1"/>
    </row>
    <row r="400" spans="1:23" x14ac:dyDescent="0.25">
      <c r="A400" s="1"/>
      <c r="L400" s="1"/>
      <c r="M400" s="1"/>
      <c r="W400" s="1"/>
    </row>
    <row r="401" spans="1:23" x14ac:dyDescent="0.25">
      <c r="A401" s="1"/>
      <c r="L401" s="1"/>
      <c r="M401" s="1"/>
      <c r="W401" s="1"/>
    </row>
    <row r="402" spans="1:23" x14ac:dyDescent="0.25">
      <c r="A402" s="1"/>
      <c r="L402" s="1"/>
      <c r="M402" s="1"/>
      <c r="W402" s="1"/>
    </row>
    <row r="403" spans="1:23" x14ac:dyDescent="0.25">
      <c r="A403" s="1"/>
      <c r="L403" s="1"/>
      <c r="M403" s="1"/>
      <c r="W403" s="1"/>
    </row>
    <row r="404" spans="1:23" x14ac:dyDescent="0.25">
      <c r="A404" s="1"/>
      <c r="L404" s="1"/>
      <c r="M404" s="1"/>
      <c r="W404" s="1"/>
    </row>
    <row r="405" spans="1:23" x14ac:dyDescent="0.25">
      <c r="A405" s="1"/>
      <c r="L405" s="1"/>
      <c r="M405" s="1"/>
      <c r="W405" s="1"/>
    </row>
    <row r="406" spans="1:23" x14ac:dyDescent="0.25">
      <c r="A406" s="1"/>
      <c r="L406" s="1"/>
      <c r="M406" s="1"/>
      <c r="W406" s="1"/>
    </row>
    <row r="407" spans="1:23" x14ac:dyDescent="0.25">
      <c r="A407" s="1"/>
      <c r="L407" s="1"/>
      <c r="M407" s="1"/>
      <c r="W407" s="1"/>
    </row>
    <row r="408" spans="1:23" x14ac:dyDescent="0.25">
      <c r="A408" s="1"/>
      <c r="L408" s="1"/>
      <c r="M408" s="1"/>
      <c r="W408" s="1"/>
    </row>
    <row r="409" spans="1:23" x14ac:dyDescent="0.25">
      <c r="A409" s="1"/>
      <c r="L409" s="1"/>
      <c r="M409" s="1"/>
      <c r="W409" s="1"/>
    </row>
    <row r="410" spans="1:23" x14ac:dyDescent="0.25">
      <c r="A410" s="1"/>
      <c r="L410" s="1"/>
      <c r="M410" s="1"/>
      <c r="W410" s="1"/>
    </row>
    <row r="411" spans="1:23" x14ac:dyDescent="0.25">
      <c r="A411" s="1"/>
      <c r="L411" s="1"/>
      <c r="M411" s="1"/>
      <c r="W411" s="1"/>
    </row>
    <row r="412" spans="1:23" x14ac:dyDescent="0.25">
      <c r="A412" s="1"/>
      <c r="L412" s="1"/>
      <c r="M412" s="1"/>
      <c r="W412" s="1"/>
    </row>
    <row r="413" spans="1:23" x14ac:dyDescent="0.25">
      <c r="A413" s="1"/>
      <c r="L413" s="1"/>
      <c r="M413" s="1"/>
      <c r="W413" s="1"/>
    </row>
    <row r="414" spans="1:23" x14ac:dyDescent="0.25">
      <c r="A414" s="1"/>
      <c r="L414" s="1"/>
      <c r="M414" s="1"/>
      <c r="W414" s="1"/>
    </row>
    <row r="415" spans="1:23" x14ac:dyDescent="0.25">
      <c r="A415" s="1"/>
      <c r="L415" s="1"/>
      <c r="M415" s="1"/>
      <c r="W415" s="1"/>
    </row>
    <row r="416" spans="1:23" x14ac:dyDescent="0.25">
      <c r="A416" s="1"/>
      <c r="L416" s="1"/>
      <c r="M416" s="1"/>
      <c r="W416" s="1"/>
    </row>
    <row r="417" spans="1:23" x14ac:dyDescent="0.25">
      <c r="A417" s="1"/>
      <c r="L417" s="1"/>
      <c r="M417" s="1"/>
      <c r="W417" s="1"/>
    </row>
    <row r="418" spans="1:23" x14ac:dyDescent="0.25">
      <c r="A418" s="1"/>
      <c r="L418" s="1"/>
      <c r="M418" s="1"/>
      <c r="W418" s="1"/>
    </row>
    <row r="419" spans="1:23" x14ac:dyDescent="0.25">
      <c r="A419" s="1"/>
      <c r="L419" s="1"/>
      <c r="M419" s="1"/>
      <c r="W419" s="1"/>
    </row>
    <row r="420" spans="1:23" x14ac:dyDescent="0.25">
      <c r="A420" s="1"/>
      <c r="L420" s="1"/>
      <c r="M420" s="1"/>
      <c r="W420" s="1"/>
    </row>
    <row r="421" spans="1:23" x14ac:dyDescent="0.25">
      <c r="A421" s="1"/>
      <c r="L421" s="1"/>
      <c r="M421" s="1"/>
      <c r="W421" s="1"/>
    </row>
    <row r="422" spans="1:23" x14ac:dyDescent="0.25">
      <c r="A422" s="1"/>
      <c r="L422" s="1"/>
      <c r="M422" s="1"/>
      <c r="W422" s="1"/>
    </row>
    <row r="423" spans="1:23" x14ac:dyDescent="0.25">
      <c r="A423" s="1"/>
      <c r="L423" s="1"/>
      <c r="M423" s="1"/>
      <c r="W423" s="1"/>
    </row>
    <row r="424" spans="1:23" x14ac:dyDescent="0.25">
      <c r="A424" s="1"/>
      <c r="L424" s="1"/>
      <c r="M424" s="1"/>
      <c r="W424" s="1"/>
    </row>
    <row r="425" spans="1:23" x14ac:dyDescent="0.25">
      <c r="A425" s="1"/>
      <c r="L425" s="1"/>
      <c r="M425" s="1"/>
      <c r="W425" s="1"/>
    </row>
    <row r="426" spans="1:23" x14ac:dyDescent="0.25">
      <c r="A426" s="1"/>
      <c r="L426" s="1"/>
      <c r="M426" s="1"/>
      <c r="W426" s="1"/>
    </row>
    <row r="427" spans="1:23" x14ac:dyDescent="0.25">
      <c r="A427" s="1"/>
      <c r="L427" s="1"/>
      <c r="M427" s="1"/>
      <c r="W427" s="1"/>
    </row>
    <row r="428" spans="1:23" x14ac:dyDescent="0.25">
      <c r="A428" s="1"/>
      <c r="L428" s="1"/>
      <c r="M428" s="1"/>
      <c r="W428" s="1"/>
    </row>
    <row r="429" spans="1:23" x14ac:dyDescent="0.25">
      <c r="A429" s="1"/>
      <c r="L429" s="1"/>
      <c r="M429" s="1"/>
      <c r="W429" s="1"/>
    </row>
    <row r="430" spans="1:23" x14ac:dyDescent="0.25">
      <c r="A430" s="1"/>
      <c r="L430" s="1"/>
      <c r="M430" s="1"/>
      <c r="W430" s="1"/>
    </row>
    <row r="431" spans="1:23" x14ac:dyDescent="0.25">
      <c r="A431" s="1"/>
      <c r="L431" s="1"/>
      <c r="M431" s="1"/>
      <c r="W431" s="1"/>
    </row>
    <row r="432" spans="1:23" x14ac:dyDescent="0.25">
      <c r="A432" s="1"/>
      <c r="L432" s="1"/>
      <c r="M432" s="1"/>
      <c r="W432" s="1"/>
    </row>
    <row r="433" spans="1:23" x14ac:dyDescent="0.25">
      <c r="A433" s="1"/>
      <c r="L433" s="1"/>
      <c r="M433" s="1"/>
      <c r="W433" s="1"/>
    </row>
    <row r="434" spans="1:23" x14ac:dyDescent="0.25">
      <c r="A434" s="1"/>
      <c r="L434" s="1"/>
      <c r="M434" s="1"/>
      <c r="W434" s="1"/>
    </row>
    <row r="435" spans="1:23" x14ac:dyDescent="0.25">
      <c r="A435" s="1"/>
      <c r="L435" s="1"/>
      <c r="M435" s="1"/>
      <c r="W435" s="1"/>
    </row>
    <row r="436" spans="1:23" x14ac:dyDescent="0.25">
      <c r="A436" s="1"/>
      <c r="L436" s="1"/>
      <c r="M436" s="1"/>
      <c r="W436" s="1"/>
    </row>
    <row r="437" spans="1:23" x14ac:dyDescent="0.25">
      <c r="A437" s="1"/>
      <c r="L437" s="1"/>
      <c r="M437" s="1"/>
      <c r="W437" s="1"/>
    </row>
    <row r="438" spans="1:23" x14ac:dyDescent="0.25">
      <c r="A438" s="1"/>
      <c r="L438" s="1"/>
      <c r="M438" s="1"/>
      <c r="W438" s="1"/>
    </row>
    <row r="439" spans="1:23" x14ac:dyDescent="0.25">
      <c r="A439" s="1"/>
      <c r="L439" s="1"/>
      <c r="M439" s="1"/>
      <c r="W439" s="1"/>
    </row>
    <row r="440" spans="1:23" x14ac:dyDescent="0.25">
      <c r="A440" s="1"/>
      <c r="L440" s="1"/>
      <c r="M440" s="1"/>
      <c r="W440" s="1"/>
    </row>
    <row r="441" spans="1:23" x14ac:dyDescent="0.25">
      <c r="A441" s="1"/>
      <c r="L441" s="1"/>
      <c r="M441" s="1"/>
      <c r="W441" s="1"/>
    </row>
    <row r="442" spans="1:23" x14ac:dyDescent="0.25">
      <c r="A442" s="1"/>
      <c r="L442" s="1"/>
      <c r="M442" s="1"/>
      <c r="W442" s="1"/>
    </row>
    <row r="443" spans="1:23" x14ac:dyDescent="0.25">
      <c r="A443" s="1"/>
      <c r="L443" s="1"/>
      <c r="M443" s="1"/>
      <c r="W443" s="1"/>
    </row>
    <row r="444" spans="1:23" x14ac:dyDescent="0.25">
      <c r="A444" s="1"/>
      <c r="L444" s="1"/>
      <c r="M444" s="1"/>
      <c r="W444" s="1"/>
    </row>
    <row r="445" spans="1:23" x14ac:dyDescent="0.25">
      <c r="A445" s="1"/>
      <c r="L445" s="1"/>
      <c r="M445" s="1"/>
      <c r="W445" s="1"/>
    </row>
    <row r="446" spans="1:23" x14ac:dyDescent="0.25">
      <c r="A446" s="1"/>
      <c r="L446" s="1"/>
      <c r="M446" s="1"/>
      <c r="W446" s="1"/>
    </row>
    <row r="447" spans="1:23" x14ac:dyDescent="0.25">
      <c r="A447" s="1"/>
      <c r="L447" s="1"/>
      <c r="M447" s="1"/>
      <c r="W447" s="1"/>
    </row>
    <row r="448" spans="1:23" x14ac:dyDescent="0.25">
      <c r="A448" s="1"/>
      <c r="L448" s="1"/>
      <c r="M448" s="1"/>
      <c r="W448" s="1"/>
    </row>
    <row r="449" spans="1:23" x14ac:dyDescent="0.25">
      <c r="A449" s="1"/>
      <c r="L449" s="1"/>
      <c r="M449" s="1"/>
      <c r="W449" s="1"/>
    </row>
    <row r="450" spans="1:23" x14ac:dyDescent="0.25">
      <c r="A450" s="1"/>
      <c r="L450" s="1"/>
      <c r="M450" s="1"/>
      <c r="W450" s="1"/>
    </row>
    <row r="451" spans="1:23" x14ac:dyDescent="0.25">
      <c r="A451" s="1"/>
      <c r="L451" s="1"/>
      <c r="M451" s="1"/>
      <c r="W451" s="1"/>
    </row>
    <row r="452" spans="1:23" x14ac:dyDescent="0.25">
      <c r="A452" s="1"/>
      <c r="L452" s="1"/>
      <c r="M452" s="1"/>
      <c r="W452" s="1"/>
    </row>
    <row r="453" spans="1:23" x14ac:dyDescent="0.25">
      <c r="A453" s="1"/>
      <c r="L453" s="1"/>
      <c r="M453" s="1"/>
      <c r="W453" s="1"/>
    </row>
    <row r="454" spans="1:23" x14ac:dyDescent="0.25">
      <c r="A454" s="1"/>
      <c r="L454" s="1"/>
      <c r="M454" s="1"/>
      <c r="W454" s="1"/>
    </row>
    <row r="455" spans="1:23" x14ac:dyDescent="0.25">
      <c r="A455" s="1"/>
      <c r="L455" s="1"/>
      <c r="M455" s="1"/>
      <c r="W455" s="1"/>
    </row>
    <row r="456" spans="1:23" x14ac:dyDescent="0.25">
      <c r="A456" s="1"/>
      <c r="L456" s="1"/>
      <c r="M456" s="1"/>
      <c r="W456" s="1"/>
    </row>
    <row r="457" spans="1:23" x14ac:dyDescent="0.25">
      <c r="A457" s="1"/>
      <c r="L457" s="1"/>
      <c r="M457" s="1"/>
      <c r="W457" s="1"/>
    </row>
    <row r="458" spans="1:23" x14ac:dyDescent="0.25">
      <c r="A458" s="1"/>
      <c r="L458" s="1"/>
      <c r="M458" s="1"/>
      <c r="W458" s="1"/>
    </row>
    <row r="459" spans="1:23" x14ac:dyDescent="0.25">
      <c r="A459" s="1"/>
      <c r="L459" s="1"/>
      <c r="M459" s="1"/>
      <c r="W459" s="1"/>
    </row>
    <row r="460" spans="1:23" x14ac:dyDescent="0.25">
      <c r="A460" s="1"/>
      <c r="L460" s="1"/>
      <c r="M460" s="1"/>
      <c r="W460" s="1"/>
    </row>
    <row r="461" spans="1:23" x14ac:dyDescent="0.25">
      <c r="A461" s="1"/>
      <c r="L461" s="1"/>
      <c r="M461" s="1"/>
      <c r="W461" s="1"/>
    </row>
    <row r="462" spans="1:23" x14ac:dyDescent="0.25">
      <c r="A462" s="1"/>
      <c r="L462" s="1"/>
      <c r="M462" s="1"/>
      <c r="W462" s="1"/>
    </row>
    <row r="463" spans="1:23" x14ac:dyDescent="0.25">
      <c r="A463" s="1"/>
      <c r="L463" s="1"/>
      <c r="M463" s="1"/>
      <c r="W463" s="1"/>
    </row>
    <row r="464" spans="1:23" x14ac:dyDescent="0.25">
      <c r="A464" s="1"/>
      <c r="L464" s="1"/>
      <c r="M464" s="1"/>
      <c r="W464" s="1"/>
    </row>
    <row r="465" spans="1:23" x14ac:dyDescent="0.25">
      <c r="A465" s="1"/>
      <c r="L465" s="1"/>
      <c r="M465" s="1"/>
      <c r="W465" s="1"/>
    </row>
    <row r="466" spans="1:23" x14ac:dyDescent="0.25">
      <c r="A466" s="1"/>
      <c r="L466" s="1"/>
      <c r="M466" s="1"/>
      <c r="W466" s="1"/>
    </row>
    <row r="467" spans="1:23" x14ac:dyDescent="0.25">
      <c r="A467" s="1"/>
      <c r="L467" s="1"/>
      <c r="M467" s="1"/>
      <c r="W467" s="1"/>
    </row>
    <row r="468" spans="1:23" x14ac:dyDescent="0.25">
      <c r="A468" s="1"/>
      <c r="L468" s="1"/>
      <c r="M468" s="1"/>
      <c r="W468" s="1"/>
    </row>
    <row r="469" spans="1:23" x14ac:dyDescent="0.25">
      <c r="A469" s="1"/>
      <c r="L469" s="1"/>
      <c r="M469" s="1"/>
      <c r="W469" s="1"/>
    </row>
    <row r="470" spans="1:23" x14ac:dyDescent="0.25">
      <c r="A470" s="1"/>
      <c r="L470" s="1"/>
      <c r="M470" s="1"/>
      <c r="W470" s="1"/>
    </row>
    <row r="471" spans="1:23" x14ac:dyDescent="0.25">
      <c r="A471" s="1"/>
      <c r="L471" s="1"/>
      <c r="M471" s="1"/>
      <c r="W471" s="1"/>
    </row>
    <row r="472" spans="1:23" x14ac:dyDescent="0.25">
      <c r="A472" s="1"/>
      <c r="L472" s="1"/>
      <c r="M472" s="1"/>
      <c r="W472" s="1"/>
    </row>
    <row r="473" spans="1:23" x14ac:dyDescent="0.25">
      <c r="A473" s="1"/>
      <c r="L473" s="1"/>
      <c r="M473" s="1"/>
      <c r="W473" s="1"/>
    </row>
    <row r="474" spans="1:23" x14ac:dyDescent="0.25">
      <c r="A474" s="1"/>
      <c r="L474" s="1"/>
      <c r="M474" s="1"/>
      <c r="W474" s="1"/>
    </row>
    <row r="475" spans="1:23" x14ac:dyDescent="0.25">
      <c r="A475" s="1"/>
      <c r="L475" s="1"/>
      <c r="M475" s="1"/>
      <c r="W475" s="1"/>
    </row>
    <row r="476" spans="1:23" x14ac:dyDescent="0.25">
      <c r="A476" s="1"/>
      <c r="L476" s="1"/>
      <c r="M476" s="1"/>
      <c r="W476" s="1"/>
    </row>
    <row r="477" spans="1:23" x14ac:dyDescent="0.25">
      <c r="A477" s="1"/>
      <c r="L477" s="1"/>
      <c r="M477" s="1"/>
      <c r="W477" s="1"/>
    </row>
    <row r="478" spans="1:23" x14ac:dyDescent="0.25">
      <c r="A478" s="1"/>
      <c r="L478" s="1"/>
      <c r="M478" s="1"/>
      <c r="W478" s="1"/>
    </row>
    <row r="479" spans="1:23" x14ac:dyDescent="0.25">
      <c r="A479" s="1"/>
      <c r="L479" s="1"/>
      <c r="M479" s="1"/>
      <c r="W479" s="1"/>
    </row>
    <row r="480" spans="1:23" x14ac:dyDescent="0.25">
      <c r="A480" s="1"/>
      <c r="L480" s="1"/>
      <c r="M480" s="1"/>
      <c r="W480" s="1"/>
    </row>
    <row r="481" spans="1:23" x14ac:dyDescent="0.25">
      <c r="A481" s="1"/>
      <c r="L481" s="1"/>
      <c r="M481" s="1"/>
      <c r="W481" s="1"/>
    </row>
    <row r="482" spans="1:23" x14ac:dyDescent="0.25">
      <c r="A482" s="1"/>
      <c r="L482" s="1"/>
      <c r="M482" s="1"/>
      <c r="W482" s="1"/>
    </row>
    <row r="483" spans="1:23" x14ac:dyDescent="0.25">
      <c r="A483" s="1"/>
      <c r="L483" s="1"/>
      <c r="M483" s="1"/>
      <c r="W483" s="1"/>
    </row>
    <row r="484" spans="1:23" x14ac:dyDescent="0.25">
      <c r="A484" s="1"/>
      <c r="L484" s="1"/>
      <c r="M484" s="1"/>
      <c r="W484" s="1"/>
    </row>
    <row r="485" spans="1:23" x14ac:dyDescent="0.25">
      <c r="A485" s="1"/>
      <c r="L485" s="1"/>
      <c r="M485" s="1"/>
      <c r="W485" s="1"/>
    </row>
    <row r="486" spans="1:23" x14ac:dyDescent="0.25">
      <c r="A486" s="1"/>
      <c r="L486" s="1"/>
      <c r="M486" s="1"/>
      <c r="W486" s="1"/>
    </row>
    <row r="487" spans="1:23" x14ac:dyDescent="0.25">
      <c r="A487" s="1"/>
      <c r="L487" s="1"/>
      <c r="M487" s="1"/>
      <c r="W487" s="1"/>
    </row>
    <row r="488" spans="1:23" x14ac:dyDescent="0.25">
      <c r="A488" s="1"/>
      <c r="L488" s="1"/>
      <c r="M488" s="1"/>
      <c r="W488" s="1"/>
    </row>
    <row r="489" spans="1:23" x14ac:dyDescent="0.25">
      <c r="A489" s="1"/>
      <c r="L489" s="1"/>
      <c r="M489" s="1"/>
      <c r="W489" s="1"/>
    </row>
    <row r="490" spans="1:23" x14ac:dyDescent="0.25">
      <c r="A490" s="1"/>
      <c r="L490" s="1"/>
      <c r="M490" s="1"/>
      <c r="W490" s="1"/>
    </row>
    <row r="491" spans="1:23" x14ac:dyDescent="0.25">
      <c r="A491" s="1"/>
      <c r="L491" s="1"/>
      <c r="M491" s="1"/>
      <c r="W491" s="1"/>
    </row>
    <row r="492" spans="1:23" x14ac:dyDescent="0.25">
      <c r="A492" s="1"/>
      <c r="L492" s="1"/>
      <c r="M492" s="1"/>
      <c r="W492" s="1"/>
    </row>
    <row r="493" spans="1:23" x14ac:dyDescent="0.25">
      <c r="A493" s="1"/>
      <c r="L493" s="1"/>
      <c r="M493" s="1"/>
      <c r="W493" s="1"/>
    </row>
    <row r="494" spans="1:23" x14ac:dyDescent="0.25">
      <c r="A494" s="1"/>
      <c r="L494" s="1"/>
      <c r="M494" s="1"/>
      <c r="W494" s="1"/>
    </row>
    <row r="495" spans="1:23" x14ac:dyDescent="0.25">
      <c r="A495" s="1"/>
      <c r="L495" s="1"/>
      <c r="M495" s="1"/>
      <c r="W495" s="1"/>
    </row>
    <row r="496" spans="1:23" x14ac:dyDescent="0.25">
      <c r="A496" s="1"/>
      <c r="L496" s="1"/>
      <c r="M496" s="1"/>
      <c r="W496" s="1"/>
    </row>
    <row r="497" spans="1:23" x14ac:dyDescent="0.25">
      <c r="A497" s="1"/>
      <c r="L497" s="1"/>
      <c r="M497" s="1"/>
      <c r="W497" s="1"/>
    </row>
    <row r="498" spans="1:23" x14ac:dyDescent="0.25">
      <c r="A498" s="1"/>
      <c r="L498" s="1"/>
      <c r="M498" s="1"/>
      <c r="W498" s="1"/>
    </row>
    <row r="499" spans="1:23" x14ac:dyDescent="0.25">
      <c r="A499" s="1"/>
      <c r="L499" s="1"/>
      <c r="M499" s="1"/>
      <c r="W499" s="1"/>
    </row>
    <row r="500" spans="1:23" x14ac:dyDescent="0.25">
      <c r="A500" s="1"/>
      <c r="L500" s="1"/>
      <c r="M500" s="1"/>
      <c r="W500" s="1"/>
    </row>
    <row r="501" spans="1:23" x14ac:dyDescent="0.25">
      <c r="A501" s="1"/>
      <c r="L501" s="1"/>
      <c r="M501" s="1"/>
      <c r="W501" s="1"/>
    </row>
    <row r="502" spans="1:23" x14ac:dyDescent="0.25">
      <c r="A502" s="1"/>
      <c r="L502" s="1"/>
      <c r="M502" s="1"/>
      <c r="W502" s="1"/>
    </row>
    <row r="503" spans="1:23" x14ac:dyDescent="0.25">
      <c r="A503" s="1"/>
      <c r="L503" s="1"/>
      <c r="M503" s="1"/>
      <c r="W503" s="1"/>
    </row>
    <row r="504" spans="1:23" x14ac:dyDescent="0.25">
      <c r="A504" s="1"/>
      <c r="L504" s="1"/>
      <c r="M504" s="1"/>
      <c r="W504" s="1"/>
    </row>
    <row r="505" spans="1:23" x14ac:dyDescent="0.25">
      <c r="A505" s="1"/>
      <c r="L505" s="1"/>
      <c r="M505" s="1"/>
      <c r="W505" s="1"/>
    </row>
    <row r="506" spans="1:23" x14ac:dyDescent="0.25">
      <c r="A506" s="1"/>
      <c r="L506" s="1"/>
      <c r="M506" s="1"/>
      <c r="W506" s="1"/>
    </row>
    <row r="507" spans="1:23" x14ac:dyDescent="0.25">
      <c r="A507" s="1"/>
      <c r="L507" s="1"/>
      <c r="M507" s="1"/>
      <c r="W507" s="1"/>
    </row>
    <row r="508" spans="1:23" x14ac:dyDescent="0.25">
      <c r="A508" s="1"/>
      <c r="L508" s="1"/>
      <c r="M508" s="1"/>
      <c r="W508" s="1"/>
    </row>
    <row r="509" spans="1:23" x14ac:dyDescent="0.25">
      <c r="A509" s="1"/>
      <c r="L509" s="1"/>
      <c r="M509" s="1"/>
      <c r="W509" s="1"/>
    </row>
    <row r="510" spans="1:23" x14ac:dyDescent="0.25">
      <c r="A510" s="1"/>
      <c r="L510" s="1"/>
      <c r="M510" s="1"/>
      <c r="W510" s="1"/>
    </row>
    <row r="511" spans="1:23" x14ac:dyDescent="0.25">
      <c r="A511" s="1"/>
      <c r="L511" s="1"/>
      <c r="M511" s="1"/>
      <c r="W511" s="1"/>
    </row>
    <row r="512" spans="1:23" x14ac:dyDescent="0.25">
      <c r="A512" s="1"/>
      <c r="L512" s="1"/>
      <c r="M512" s="1"/>
      <c r="W512" s="1"/>
    </row>
    <row r="513" spans="1:23" x14ac:dyDescent="0.25">
      <c r="A513" s="1"/>
      <c r="L513" s="1"/>
      <c r="M513" s="1"/>
      <c r="W513" s="1"/>
    </row>
    <row r="514" spans="1:23" x14ac:dyDescent="0.25">
      <c r="A514" s="1"/>
      <c r="L514" s="1"/>
      <c r="M514" s="1"/>
      <c r="W514" s="1"/>
    </row>
    <row r="515" spans="1:23" x14ac:dyDescent="0.25">
      <c r="A515" s="1"/>
      <c r="L515" s="1"/>
      <c r="M515" s="1"/>
      <c r="W515" s="1"/>
    </row>
    <row r="516" spans="1:23" x14ac:dyDescent="0.25">
      <c r="A516" s="1"/>
      <c r="L516" s="1"/>
      <c r="M516" s="1"/>
      <c r="W516" s="1"/>
    </row>
    <row r="517" spans="1:23" x14ac:dyDescent="0.25">
      <c r="A517" s="1"/>
      <c r="L517" s="1"/>
      <c r="M517" s="1"/>
      <c r="W517" s="1"/>
    </row>
    <row r="518" spans="1:23" x14ac:dyDescent="0.25">
      <c r="A518" s="1"/>
      <c r="L518" s="1"/>
      <c r="M518" s="1"/>
      <c r="W518" s="1"/>
    </row>
    <row r="519" spans="1:23" x14ac:dyDescent="0.25">
      <c r="A519" s="1"/>
      <c r="L519" s="1"/>
      <c r="M519" s="1"/>
      <c r="W519" s="1"/>
    </row>
    <row r="520" spans="1:23" x14ac:dyDescent="0.25">
      <c r="A520" s="1"/>
      <c r="L520" s="1"/>
      <c r="M520" s="1"/>
      <c r="W520" s="1"/>
    </row>
    <row r="521" spans="1:23" x14ac:dyDescent="0.25">
      <c r="A521" s="1"/>
      <c r="L521" s="1"/>
      <c r="M521" s="1"/>
      <c r="W521" s="1"/>
    </row>
    <row r="522" spans="1:23" x14ac:dyDescent="0.25">
      <c r="A522" s="1"/>
      <c r="L522" s="1"/>
      <c r="M522" s="1"/>
      <c r="W522" s="1"/>
    </row>
    <row r="523" spans="1:23" x14ac:dyDescent="0.25">
      <c r="A523" s="1"/>
      <c r="L523" s="1"/>
      <c r="M523" s="1"/>
      <c r="W523" s="1"/>
    </row>
    <row r="524" spans="1:23" x14ac:dyDescent="0.25">
      <c r="A524" s="1"/>
      <c r="L524" s="1"/>
      <c r="M524" s="1"/>
      <c r="W524" s="1"/>
    </row>
    <row r="525" spans="1:23" x14ac:dyDescent="0.25">
      <c r="A525" s="1"/>
      <c r="L525" s="1"/>
      <c r="M525" s="1"/>
      <c r="W525" s="1"/>
    </row>
    <row r="526" spans="1:23" x14ac:dyDescent="0.25">
      <c r="A526" s="1"/>
      <c r="L526" s="1"/>
      <c r="M526" s="1"/>
      <c r="W526" s="1"/>
    </row>
    <row r="527" spans="1:23" x14ac:dyDescent="0.25">
      <c r="A527" s="1"/>
      <c r="L527" s="1"/>
      <c r="M527" s="1"/>
      <c r="W527" s="1"/>
    </row>
    <row r="528" spans="1:23" x14ac:dyDescent="0.25">
      <c r="A528" s="1"/>
      <c r="L528" s="1"/>
      <c r="M528" s="1"/>
      <c r="W528" s="1"/>
    </row>
    <row r="529" spans="1:23" x14ac:dyDescent="0.25">
      <c r="A529" s="1"/>
      <c r="L529" s="1"/>
      <c r="M529" s="1"/>
      <c r="W529" s="1"/>
    </row>
    <row r="530" spans="1:23" x14ac:dyDescent="0.25">
      <c r="A530" s="1"/>
      <c r="L530" s="1"/>
      <c r="M530" s="1"/>
      <c r="W530" s="1"/>
    </row>
    <row r="531" spans="1:23" x14ac:dyDescent="0.25">
      <c r="A531" s="1"/>
      <c r="L531" s="1"/>
      <c r="M531" s="1"/>
      <c r="W531" s="1"/>
    </row>
    <row r="532" spans="1:23" x14ac:dyDescent="0.25">
      <c r="A532" s="1"/>
      <c r="L532" s="1"/>
      <c r="M532" s="1"/>
      <c r="W532" s="1"/>
    </row>
    <row r="533" spans="1:23" x14ac:dyDescent="0.25">
      <c r="A533" s="1"/>
      <c r="L533" s="1"/>
      <c r="M533" s="1"/>
      <c r="W533" s="1"/>
    </row>
    <row r="534" spans="1:23" x14ac:dyDescent="0.25">
      <c r="A534" s="1"/>
      <c r="L534" s="1"/>
      <c r="M534" s="1"/>
      <c r="W534" s="1"/>
    </row>
    <row r="535" spans="1:23" x14ac:dyDescent="0.25">
      <c r="A535" s="1"/>
      <c r="L535" s="1"/>
      <c r="M535" s="1"/>
      <c r="W535" s="1"/>
    </row>
    <row r="536" spans="1:23" x14ac:dyDescent="0.25">
      <c r="A536" s="1"/>
      <c r="L536" s="1"/>
      <c r="M536" s="1"/>
      <c r="W536" s="1"/>
    </row>
    <row r="537" spans="1:23" x14ac:dyDescent="0.25">
      <c r="A537" s="1"/>
      <c r="L537" s="1"/>
      <c r="M537" s="1"/>
      <c r="W537" s="1"/>
    </row>
    <row r="538" spans="1:23" x14ac:dyDescent="0.25">
      <c r="A538" s="1"/>
      <c r="L538" s="1"/>
      <c r="M538" s="1"/>
      <c r="W538" s="1"/>
    </row>
    <row r="539" spans="1:23" x14ac:dyDescent="0.25">
      <c r="A539" s="1"/>
      <c r="L539" s="1"/>
      <c r="M539" s="1"/>
      <c r="W539" s="1"/>
    </row>
    <row r="540" spans="1:23" x14ac:dyDescent="0.25">
      <c r="A540" s="1"/>
      <c r="L540" s="1"/>
      <c r="M540" s="1"/>
      <c r="W540" s="1"/>
    </row>
    <row r="541" spans="1:23" x14ac:dyDescent="0.25">
      <c r="A541" s="1"/>
      <c r="L541" s="1"/>
      <c r="M541" s="1"/>
      <c r="W541" s="1"/>
    </row>
    <row r="542" spans="1:23" x14ac:dyDescent="0.25">
      <c r="A542" s="1"/>
      <c r="L542" s="1"/>
      <c r="M542" s="1"/>
      <c r="W542" s="1"/>
    </row>
    <row r="543" spans="1:23" x14ac:dyDescent="0.25">
      <c r="A543" s="1"/>
      <c r="L543" s="1"/>
      <c r="M543" s="1"/>
      <c r="W543" s="1"/>
    </row>
    <row r="544" spans="1:23" x14ac:dyDescent="0.25">
      <c r="A544" s="1"/>
      <c r="L544" s="1"/>
      <c r="M544" s="1"/>
      <c r="W544" s="1"/>
    </row>
    <row r="545" spans="1:23" x14ac:dyDescent="0.25">
      <c r="A545" s="1"/>
      <c r="L545" s="1"/>
      <c r="M545" s="1"/>
      <c r="W545" s="1"/>
    </row>
    <row r="546" spans="1:23" x14ac:dyDescent="0.25">
      <c r="A546" s="1"/>
      <c r="L546" s="1"/>
      <c r="M546" s="1"/>
      <c r="W546" s="1"/>
    </row>
    <row r="547" spans="1:23" x14ac:dyDescent="0.25">
      <c r="A547" s="1"/>
      <c r="L547" s="1"/>
      <c r="M547" s="1"/>
      <c r="W547" s="1"/>
    </row>
    <row r="548" spans="1:23" x14ac:dyDescent="0.25">
      <c r="A548" s="1"/>
      <c r="L548" s="1"/>
      <c r="M548" s="1"/>
      <c r="W548" s="1"/>
    </row>
    <row r="549" spans="1:23" x14ac:dyDescent="0.25">
      <c r="A549" s="1"/>
      <c r="L549" s="1"/>
      <c r="M549" s="1"/>
      <c r="W549" s="1"/>
    </row>
    <row r="550" spans="1:23" x14ac:dyDescent="0.25">
      <c r="A550" s="1"/>
      <c r="L550" s="1"/>
      <c r="M550" s="1"/>
      <c r="W550" s="1"/>
    </row>
    <row r="551" spans="1:23" x14ac:dyDescent="0.25">
      <c r="A551" s="1"/>
      <c r="L551" s="1"/>
      <c r="M551" s="1"/>
      <c r="W551" s="1"/>
    </row>
    <row r="552" spans="1:23" x14ac:dyDescent="0.25">
      <c r="A552" s="1"/>
      <c r="L552" s="1"/>
      <c r="M552" s="1"/>
      <c r="W552" s="1"/>
    </row>
    <row r="553" spans="1:23" x14ac:dyDescent="0.25">
      <c r="A553" s="1"/>
      <c r="L553" s="1"/>
      <c r="M553" s="1"/>
      <c r="W553" s="1"/>
    </row>
    <row r="554" spans="1:23" x14ac:dyDescent="0.25">
      <c r="A554" s="1"/>
      <c r="L554" s="1"/>
      <c r="M554" s="1"/>
      <c r="W554" s="1"/>
    </row>
    <row r="555" spans="1:23" x14ac:dyDescent="0.25">
      <c r="A555" s="1"/>
      <c r="L555" s="1"/>
      <c r="M555" s="1"/>
      <c r="W555" s="1"/>
    </row>
    <row r="556" spans="1:23" x14ac:dyDescent="0.25">
      <c r="A556" s="1"/>
      <c r="L556" s="1"/>
      <c r="M556" s="1"/>
      <c r="W556" s="1"/>
    </row>
    <row r="557" spans="1:23" x14ac:dyDescent="0.25">
      <c r="A557" s="1"/>
      <c r="L557" s="1"/>
      <c r="M557" s="1"/>
      <c r="W557" s="1"/>
    </row>
    <row r="558" spans="1:23" x14ac:dyDescent="0.25">
      <c r="A558" s="1"/>
      <c r="L558" s="1"/>
      <c r="M558" s="1"/>
      <c r="W558" s="1"/>
    </row>
    <row r="559" spans="1:23" x14ac:dyDescent="0.25">
      <c r="A559" s="1"/>
      <c r="L559" s="1"/>
      <c r="M559" s="1"/>
      <c r="W559" s="1"/>
    </row>
    <row r="560" spans="1:23" x14ac:dyDescent="0.25">
      <c r="A560" s="1"/>
      <c r="L560" s="1"/>
      <c r="M560" s="1"/>
      <c r="W560" s="1"/>
    </row>
    <row r="561" spans="1:23" x14ac:dyDescent="0.25">
      <c r="A561" s="1"/>
      <c r="L561" s="1"/>
      <c r="M561" s="1"/>
      <c r="W561" s="1"/>
    </row>
    <row r="562" spans="1:23" x14ac:dyDescent="0.25">
      <c r="A562" s="1"/>
      <c r="L562" s="1"/>
      <c r="M562" s="1"/>
      <c r="W562" s="1"/>
    </row>
    <row r="563" spans="1:23" x14ac:dyDescent="0.25">
      <c r="A563" s="1"/>
      <c r="L563" s="1"/>
      <c r="M563" s="1"/>
      <c r="W563" s="1"/>
    </row>
    <row r="564" spans="1:23" x14ac:dyDescent="0.25">
      <c r="A564" s="1"/>
      <c r="L564" s="1"/>
      <c r="M564" s="1"/>
      <c r="W564" s="1"/>
    </row>
    <row r="565" spans="1:23" x14ac:dyDescent="0.25">
      <c r="A565" s="1"/>
      <c r="L565" s="1"/>
      <c r="M565" s="1"/>
      <c r="W565" s="1"/>
    </row>
    <row r="566" spans="1:23" x14ac:dyDescent="0.25">
      <c r="A566" s="1"/>
      <c r="L566" s="1"/>
      <c r="M566" s="1"/>
      <c r="W566" s="1"/>
    </row>
    <row r="567" spans="1:23" x14ac:dyDescent="0.25">
      <c r="A567" s="1"/>
      <c r="L567" s="1"/>
      <c r="M567" s="1"/>
      <c r="W567" s="1"/>
    </row>
    <row r="568" spans="1:23" x14ac:dyDescent="0.25">
      <c r="A568" s="1"/>
      <c r="L568" s="1"/>
      <c r="M568" s="1"/>
      <c r="W568" s="1"/>
    </row>
    <row r="569" spans="1:23" x14ac:dyDescent="0.25">
      <c r="A569" s="1"/>
      <c r="L569" s="1"/>
      <c r="M569" s="1"/>
      <c r="W569" s="1"/>
    </row>
    <row r="570" spans="1:23" x14ac:dyDescent="0.25">
      <c r="A570" s="1"/>
      <c r="L570" s="1"/>
      <c r="M570" s="1"/>
      <c r="W570" s="1"/>
    </row>
    <row r="571" spans="1:23" x14ac:dyDescent="0.25">
      <c r="A571" s="1"/>
      <c r="L571" s="1"/>
      <c r="M571" s="1"/>
      <c r="W571" s="1"/>
    </row>
    <row r="572" spans="1:23" x14ac:dyDescent="0.25">
      <c r="A572" s="1"/>
      <c r="L572" s="1"/>
      <c r="M572" s="1"/>
      <c r="W572" s="1"/>
    </row>
    <row r="573" spans="1:23" x14ac:dyDescent="0.25">
      <c r="A573" s="1"/>
      <c r="L573" s="1"/>
      <c r="M573" s="1"/>
      <c r="W573" s="1"/>
    </row>
    <row r="574" spans="1:23" x14ac:dyDescent="0.25">
      <c r="A574" s="1"/>
      <c r="L574" s="1"/>
      <c r="M574" s="1"/>
      <c r="W574" s="1"/>
    </row>
    <row r="575" spans="1:23" x14ac:dyDescent="0.25">
      <c r="A575" s="1"/>
      <c r="L575" s="1"/>
      <c r="M575" s="1"/>
      <c r="W575" s="1"/>
    </row>
    <row r="576" spans="1:23" x14ac:dyDescent="0.25">
      <c r="A576" s="1"/>
      <c r="L576" s="1"/>
      <c r="M576" s="1"/>
      <c r="W576" s="1"/>
    </row>
    <row r="577" spans="1:23" x14ac:dyDescent="0.25">
      <c r="A577" s="1"/>
      <c r="L577" s="1"/>
      <c r="M577" s="1"/>
      <c r="W577" s="1"/>
    </row>
    <row r="578" spans="1:23" x14ac:dyDescent="0.25">
      <c r="A578" s="1"/>
      <c r="L578" s="1"/>
      <c r="M578" s="1"/>
      <c r="W578" s="1"/>
    </row>
    <row r="579" spans="1:23" x14ac:dyDescent="0.25">
      <c r="A579" s="1"/>
      <c r="L579" s="1"/>
      <c r="M579" s="1"/>
      <c r="W579" s="1"/>
    </row>
    <row r="580" spans="1:23" x14ac:dyDescent="0.25">
      <c r="A580" s="1"/>
      <c r="L580" s="1"/>
      <c r="M580" s="1"/>
      <c r="W580" s="1"/>
    </row>
    <row r="581" spans="1:23" x14ac:dyDescent="0.25">
      <c r="A581" s="1"/>
      <c r="L581" s="1"/>
      <c r="M581" s="1"/>
      <c r="W581" s="1"/>
    </row>
    <row r="582" spans="1:23" x14ac:dyDescent="0.25">
      <c r="A582" s="1"/>
      <c r="L582" s="1"/>
      <c r="M582" s="1"/>
      <c r="W582" s="1"/>
    </row>
    <row r="583" spans="1:23" x14ac:dyDescent="0.25">
      <c r="A583" s="1"/>
      <c r="L583" s="1"/>
      <c r="M583" s="1"/>
      <c r="W583" s="1"/>
    </row>
    <row r="584" spans="1:23" x14ac:dyDescent="0.25">
      <c r="A584" s="1"/>
      <c r="L584" s="1"/>
      <c r="M584" s="1"/>
      <c r="W584" s="1"/>
    </row>
    <row r="585" spans="1:23" x14ac:dyDescent="0.25">
      <c r="A585" s="1"/>
      <c r="L585" s="1"/>
      <c r="M585" s="1"/>
      <c r="W585" s="1"/>
    </row>
    <row r="586" spans="1:23" x14ac:dyDescent="0.25">
      <c r="A586" s="1"/>
      <c r="L586" s="1"/>
      <c r="M586" s="1"/>
      <c r="W586" s="1"/>
    </row>
    <row r="587" spans="1:23" x14ac:dyDescent="0.25">
      <c r="A587" s="1"/>
      <c r="L587" s="1"/>
      <c r="M587" s="1"/>
      <c r="W587" s="1"/>
    </row>
    <row r="588" spans="1:23" x14ac:dyDescent="0.25">
      <c r="A588" s="1"/>
      <c r="L588" s="1"/>
      <c r="M588" s="1"/>
      <c r="W588" s="1"/>
    </row>
    <row r="589" spans="1:23" x14ac:dyDescent="0.25">
      <c r="A589" s="1"/>
      <c r="L589" s="1"/>
      <c r="M589" s="1"/>
      <c r="W589" s="1"/>
    </row>
    <row r="590" spans="1:23" x14ac:dyDescent="0.25">
      <c r="A590" s="1"/>
      <c r="L590" s="1"/>
      <c r="M590" s="1"/>
      <c r="W590" s="1"/>
    </row>
    <row r="591" spans="1:23" x14ac:dyDescent="0.25">
      <c r="A591" s="1"/>
      <c r="L591" s="1"/>
      <c r="M591" s="1"/>
      <c r="W591" s="1"/>
    </row>
    <row r="592" spans="1:23" x14ac:dyDescent="0.25">
      <c r="A592" s="1"/>
      <c r="L592" s="1"/>
      <c r="M592" s="1"/>
      <c r="W592" s="1"/>
    </row>
    <row r="593" spans="1:23" x14ac:dyDescent="0.25">
      <c r="A593" s="1"/>
      <c r="L593" s="1"/>
      <c r="M593" s="1"/>
      <c r="W593" s="1"/>
    </row>
    <row r="594" spans="1:23" x14ac:dyDescent="0.25">
      <c r="A594" s="1"/>
      <c r="L594" s="1"/>
      <c r="M594" s="1"/>
      <c r="W594" s="1"/>
    </row>
    <row r="595" spans="1:23" x14ac:dyDescent="0.25">
      <c r="A595" s="1"/>
      <c r="L595" s="1"/>
      <c r="M595" s="1"/>
      <c r="W595" s="1"/>
    </row>
    <row r="596" spans="1:23" x14ac:dyDescent="0.25">
      <c r="A596" s="1"/>
      <c r="L596" s="1"/>
      <c r="M596" s="1"/>
      <c r="W596" s="1"/>
    </row>
    <row r="597" spans="1:23" x14ac:dyDescent="0.25">
      <c r="A597" s="1"/>
      <c r="L597" s="1"/>
      <c r="M597" s="1"/>
      <c r="W597" s="1"/>
    </row>
    <row r="598" spans="1:23" x14ac:dyDescent="0.25">
      <c r="A598" s="1"/>
      <c r="L598" s="1"/>
      <c r="M598" s="1"/>
      <c r="W598" s="1"/>
    </row>
    <row r="599" spans="1:23" x14ac:dyDescent="0.25">
      <c r="A599" s="1"/>
      <c r="L599" s="1"/>
      <c r="M599" s="1"/>
      <c r="W599" s="1"/>
    </row>
    <row r="600" spans="1:23" x14ac:dyDescent="0.25">
      <c r="A600" s="1"/>
      <c r="L600" s="1"/>
      <c r="M600" s="1"/>
      <c r="W600" s="1"/>
    </row>
    <row r="601" spans="1:23" x14ac:dyDescent="0.25">
      <c r="A601" s="1"/>
      <c r="L601" s="1"/>
      <c r="M601" s="1"/>
      <c r="W601" s="1"/>
    </row>
    <row r="602" spans="1:23" x14ac:dyDescent="0.25">
      <c r="A602" s="1"/>
      <c r="L602" s="1"/>
      <c r="M602" s="1"/>
      <c r="W602" s="1"/>
    </row>
    <row r="603" spans="1:23" x14ac:dyDescent="0.25">
      <c r="A603" s="1"/>
      <c r="L603" s="1"/>
      <c r="M603" s="1"/>
      <c r="W603" s="1"/>
    </row>
    <row r="604" spans="1:23" x14ac:dyDescent="0.25">
      <c r="A604" s="1"/>
      <c r="L604" s="1"/>
      <c r="M604" s="1"/>
      <c r="W604" s="1"/>
    </row>
    <row r="605" spans="1:23" x14ac:dyDescent="0.25">
      <c r="A605" s="1"/>
      <c r="L605" s="1"/>
      <c r="M605" s="1"/>
      <c r="W605" s="1"/>
    </row>
    <row r="606" spans="1:23" x14ac:dyDescent="0.25">
      <c r="A606" s="1"/>
      <c r="L606" s="1"/>
      <c r="M606" s="1"/>
      <c r="W606" s="1"/>
    </row>
    <row r="607" spans="1:23" x14ac:dyDescent="0.25">
      <c r="A607" s="1"/>
      <c r="L607" s="1"/>
      <c r="M607" s="1"/>
      <c r="W607" s="1"/>
    </row>
    <row r="608" spans="1:23" x14ac:dyDescent="0.25">
      <c r="A608" s="1"/>
      <c r="L608" s="1"/>
      <c r="M608" s="1"/>
      <c r="W608" s="1"/>
    </row>
    <row r="609" spans="1:23" x14ac:dyDescent="0.25">
      <c r="A609" s="1"/>
      <c r="L609" s="1"/>
      <c r="M609" s="1"/>
      <c r="W609" s="1"/>
    </row>
    <row r="610" spans="1:23" x14ac:dyDescent="0.25">
      <c r="A610" s="1"/>
      <c r="L610" s="1"/>
      <c r="M610" s="1"/>
      <c r="W610" s="1"/>
    </row>
    <row r="611" spans="1:23" x14ac:dyDescent="0.25">
      <c r="A611" s="1"/>
      <c r="L611" s="1"/>
      <c r="M611" s="1"/>
      <c r="W611" s="1"/>
    </row>
    <row r="612" spans="1:23" x14ac:dyDescent="0.25">
      <c r="A612" s="1"/>
      <c r="L612" s="1"/>
      <c r="M612" s="1"/>
      <c r="W612" s="1"/>
    </row>
    <row r="613" spans="1:23" x14ac:dyDescent="0.25">
      <c r="A613" s="1"/>
      <c r="L613" s="1"/>
      <c r="M613" s="1"/>
      <c r="W613" s="1"/>
    </row>
    <row r="614" spans="1:23" x14ac:dyDescent="0.25">
      <c r="A614" s="1"/>
      <c r="L614" s="1"/>
      <c r="M614" s="1"/>
      <c r="W614" s="1"/>
    </row>
    <row r="615" spans="1:23" x14ac:dyDescent="0.25">
      <c r="A615" s="1"/>
      <c r="L615" s="1"/>
      <c r="M615" s="1"/>
      <c r="W615" s="1"/>
    </row>
    <row r="616" spans="1:23" x14ac:dyDescent="0.25">
      <c r="A616" s="1"/>
      <c r="L616" s="1"/>
      <c r="M616" s="1"/>
      <c r="W616" s="1"/>
    </row>
    <row r="617" spans="1:23" x14ac:dyDescent="0.25">
      <c r="A617" s="1"/>
      <c r="L617" s="1"/>
      <c r="M617" s="1"/>
      <c r="W617" s="1"/>
    </row>
    <row r="618" spans="1:23" x14ac:dyDescent="0.25">
      <c r="A618" s="1"/>
      <c r="L618" s="1"/>
      <c r="M618" s="1"/>
      <c r="W618" s="1"/>
    </row>
    <row r="619" spans="1:23" x14ac:dyDescent="0.25">
      <c r="A619" s="1"/>
      <c r="L619" s="1"/>
      <c r="M619" s="1"/>
      <c r="W619" s="1"/>
    </row>
    <row r="620" spans="1:23" x14ac:dyDescent="0.25">
      <c r="A620" s="1"/>
      <c r="L620" s="1"/>
      <c r="M620" s="1"/>
      <c r="W620" s="1"/>
    </row>
    <row r="621" spans="1:23" x14ac:dyDescent="0.25">
      <c r="A621" s="1"/>
      <c r="L621" s="1"/>
      <c r="M621" s="1"/>
      <c r="W621" s="1"/>
    </row>
    <row r="622" spans="1:23" x14ac:dyDescent="0.25">
      <c r="A622" s="1"/>
      <c r="L622" s="1"/>
      <c r="M622" s="1"/>
      <c r="W622" s="1"/>
    </row>
    <row r="623" spans="1:23" x14ac:dyDescent="0.25">
      <c r="A623" s="1"/>
      <c r="L623" s="1"/>
      <c r="M623" s="1"/>
      <c r="W623" s="1"/>
    </row>
    <row r="624" spans="1:23" x14ac:dyDescent="0.25">
      <c r="A624" s="1"/>
      <c r="L624" s="1"/>
      <c r="M624" s="1"/>
      <c r="W624" s="1"/>
    </row>
    <row r="625" spans="1:23" x14ac:dyDescent="0.25">
      <c r="A625" s="1"/>
      <c r="L625" s="1"/>
      <c r="M625" s="1"/>
      <c r="W625" s="1"/>
    </row>
    <row r="626" spans="1:23" x14ac:dyDescent="0.25">
      <c r="A626" s="1"/>
      <c r="L626" s="1"/>
      <c r="M626" s="1"/>
      <c r="W626" s="1"/>
    </row>
    <row r="627" spans="1:23" x14ac:dyDescent="0.25">
      <c r="A627" s="1"/>
      <c r="L627" s="1"/>
      <c r="M627" s="1"/>
      <c r="W627" s="1"/>
    </row>
    <row r="628" spans="1:23" x14ac:dyDescent="0.25">
      <c r="A628" s="1"/>
      <c r="L628" s="1"/>
      <c r="M628" s="1"/>
      <c r="W628" s="1"/>
    </row>
    <row r="629" spans="1:23" x14ac:dyDescent="0.25">
      <c r="A629" s="1"/>
      <c r="L629" s="1"/>
      <c r="M629" s="1"/>
      <c r="W629" s="1"/>
    </row>
    <row r="630" spans="1:23" x14ac:dyDescent="0.25">
      <c r="A630" s="1"/>
      <c r="L630" s="1"/>
      <c r="M630" s="1"/>
      <c r="W630" s="1"/>
    </row>
    <row r="631" spans="1:23" x14ac:dyDescent="0.25">
      <c r="A631" s="1"/>
      <c r="L631" s="1"/>
      <c r="M631" s="1"/>
      <c r="W631" s="1"/>
    </row>
    <row r="632" spans="1:23" x14ac:dyDescent="0.25">
      <c r="A632" s="1"/>
      <c r="L632" s="1"/>
      <c r="M632" s="1"/>
      <c r="W632" s="1"/>
    </row>
    <row r="633" spans="1:23" x14ac:dyDescent="0.25">
      <c r="A633" s="1"/>
      <c r="L633" s="1"/>
      <c r="M633" s="1"/>
      <c r="W633" s="1"/>
    </row>
    <row r="634" spans="1:23" x14ac:dyDescent="0.25">
      <c r="A634" s="1"/>
      <c r="L634" s="1"/>
      <c r="M634" s="1"/>
      <c r="W634" s="1"/>
    </row>
    <row r="635" spans="1:23" x14ac:dyDescent="0.25">
      <c r="A635" s="1"/>
      <c r="L635" s="1"/>
      <c r="M635" s="1"/>
      <c r="W635" s="1"/>
    </row>
    <row r="636" spans="1:23" x14ac:dyDescent="0.25">
      <c r="A636" s="1"/>
      <c r="L636" s="1"/>
      <c r="M636" s="1"/>
      <c r="W636" s="1"/>
    </row>
    <row r="637" spans="1:23" x14ac:dyDescent="0.25">
      <c r="A637" s="1"/>
      <c r="L637" s="1"/>
      <c r="M637" s="1"/>
      <c r="W637" s="1"/>
    </row>
    <row r="638" spans="1:23" x14ac:dyDescent="0.25">
      <c r="A638" s="1"/>
      <c r="L638" s="1"/>
      <c r="M638" s="1"/>
      <c r="W638" s="1"/>
    </row>
    <row r="639" spans="1:23" x14ac:dyDescent="0.25">
      <c r="A639" s="1"/>
      <c r="L639" s="1"/>
      <c r="M639" s="1"/>
      <c r="W639" s="1"/>
    </row>
    <row r="640" spans="1:23" x14ac:dyDescent="0.25">
      <c r="A640" s="1"/>
      <c r="L640" s="1"/>
      <c r="M640" s="1"/>
      <c r="W640" s="1"/>
    </row>
    <row r="641" spans="1:23" x14ac:dyDescent="0.25">
      <c r="A641" s="1"/>
      <c r="L641" s="1"/>
      <c r="M641" s="1"/>
      <c r="W641" s="1"/>
    </row>
    <row r="642" spans="1:23" x14ac:dyDescent="0.25">
      <c r="A642" s="1"/>
      <c r="L642" s="1"/>
      <c r="M642" s="1"/>
      <c r="W642" s="1"/>
    </row>
    <row r="643" spans="1:23" x14ac:dyDescent="0.25">
      <c r="A643" s="1"/>
      <c r="L643" s="1"/>
      <c r="M643" s="1"/>
      <c r="W643" s="1"/>
    </row>
    <row r="644" spans="1:23" x14ac:dyDescent="0.25">
      <c r="A644" s="1"/>
      <c r="L644" s="1"/>
      <c r="M644" s="1"/>
      <c r="W644" s="1"/>
    </row>
    <row r="645" spans="1:23" x14ac:dyDescent="0.25">
      <c r="A645" s="1"/>
      <c r="L645" s="1"/>
      <c r="M645" s="1"/>
      <c r="W645" s="1"/>
    </row>
    <row r="646" spans="1:23" x14ac:dyDescent="0.25">
      <c r="A646" s="1"/>
      <c r="L646" s="1"/>
      <c r="M646" s="1"/>
      <c r="W646" s="1"/>
    </row>
    <row r="647" spans="1:23" x14ac:dyDescent="0.25">
      <c r="A647" s="1"/>
      <c r="L647" s="1"/>
      <c r="M647" s="1"/>
      <c r="W647" s="1"/>
    </row>
    <row r="648" spans="1:23" x14ac:dyDescent="0.25">
      <c r="A648" s="1"/>
      <c r="L648" s="1"/>
      <c r="M648" s="1"/>
      <c r="W648" s="1"/>
    </row>
    <row r="649" spans="1:23" x14ac:dyDescent="0.25">
      <c r="A649" s="1"/>
      <c r="L649" s="1"/>
      <c r="M649" s="1"/>
      <c r="W649" s="1"/>
    </row>
    <row r="650" spans="1:23" x14ac:dyDescent="0.25">
      <c r="A650" s="1"/>
      <c r="L650" s="1"/>
      <c r="M650" s="1"/>
      <c r="W650" s="1"/>
    </row>
    <row r="651" spans="1:23" x14ac:dyDescent="0.25">
      <c r="A651" s="1"/>
      <c r="L651" s="1"/>
      <c r="M651" s="1"/>
      <c r="W651" s="1"/>
    </row>
    <row r="652" spans="1:23" x14ac:dyDescent="0.25">
      <c r="A652" s="1"/>
      <c r="L652" s="1"/>
      <c r="M652" s="1"/>
      <c r="W652" s="1"/>
    </row>
    <row r="653" spans="1:23" x14ac:dyDescent="0.25">
      <c r="A653" s="1"/>
      <c r="L653" s="1"/>
      <c r="M653" s="1"/>
      <c r="W653" s="1"/>
    </row>
    <row r="654" spans="1:23" x14ac:dyDescent="0.25">
      <c r="A654" s="1"/>
      <c r="L654" s="1"/>
      <c r="M654" s="1"/>
      <c r="W654" s="1"/>
    </row>
    <row r="655" spans="1:23" x14ac:dyDescent="0.25">
      <c r="A655" s="1"/>
      <c r="L655" s="1"/>
      <c r="M655" s="1"/>
      <c r="W655" s="1"/>
    </row>
    <row r="656" spans="1:23" x14ac:dyDescent="0.25">
      <c r="A656" s="1"/>
      <c r="L656" s="1"/>
      <c r="M656" s="1"/>
      <c r="W656" s="1"/>
    </row>
    <row r="657" spans="1:23" x14ac:dyDescent="0.25">
      <c r="A657" s="1"/>
      <c r="L657" s="1"/>
      <c r="M657" s="1"/>
      <c r="W657" s="1"/>
    </row>
    <row r="658" spans="1:23" x14ac:dyDescent="0.25">
      <c r="A658" s="1"/>
      <c r="L658" s="1"/>
      <c r="M658" s="1"/>
      <c r="W658" s="1"/>
    </row>
    <row r="659" spans="1:23" x14ac:dyDescent="0.25">
      <c r="A659" s="1"/>
      <c r="L659" s="1"/>
      <c r="M659" s="1"/>
      <c r="W659" s="1"/>
    </row>
    <row r="660" spans="1:23" x14ac:dyDescent="0.25">
      <c r="A660" s="1"/>
      <c r="L660" s="1"/>
      <c r="M660" s="1"/>
      <c r="W660" s="1"/>
    </row>
    <row r="661" spans="1:23" x14ac:dyDescent="0.25">
      <c r="A661" s="1"/>
      <c r="L661" s="1"/>
      <c r="M661" s="1"/>
      <c r="W661" s="1"/>
    </row>
    <row r="662" spans="1:23" x14ac:dyDescent="0.25">
      <c r="A662" s="1"/>
      <c r="L662" s="1"/>
      <c r="M662" s="1"/>
      <c r="W662" s="1"/>
    </row>
    <row r="663" spans="1:23" x14ac:dyDescent="0.25">
      <c r="A663" s="1"/>
      <c r="L663" s="1"/>
      <c r="M663" s="1"/>
      <c r="W663" s="1"/>
    </row>
    <row r="664" spans="1:23" x14ac:dyDescent="0.25">
      <c r="A664" s="1"/>
      <c r="L664" s="1"/>
      <c r="M664" s="1"/>
      <c r="W664" s="1"/>
    </row>
    <row r="665" spans="1:23" x14ac:dyDescent="0.25">
      <c r="A665" s="1"/>
      <c r="L665" s="1"/>
      <c r="M665" s="1"/>
      <c r="W665" s="1"/>
    </row>
    <row r="666" spans="1:23" x14ac:dyDescent="0.25">
      <c r="A666" s="1"/>
      <c r="L666" s="1"/>
      <c r="M666" s="1"/>
      <c r="W666" s="1"/>
    </row>
    <row r="667" spans="1:23" x14ac:dyDescent="0.25">
      <c r="A667" s="1"/>
      <c r="L667" s="1"/>
      <c r="M667" s="1"/>
      <c r="W667" s="1"/>
    </row>
    <row r="668" spans="1:23" x14ac:dyDescent="0.25">
      <c r="A668" s="1"/>
      <c r="L668" s="1"/>
      <c r="M668" s="1"/>
      <c r="W668" s="1"/>
    </row>
    <row r="669" spans="1:23" x14ac:dyDescent="0.25">
      <c r="A669" s="1"/>
      <c r="L669" s="1"/>
      <c r="M669" s="1"/>
      <c r="W669" s="1"/>
    </row>
    <row r="670" spans="1:23" x14ac:dyDescent="0.25">
      <c r="A670" s="1"/>
      <c r="L670" s="1"/>
      <c r="M670" s="1"/>
      <c r="W670" s="1"/>
    </row>
    <row r="671" spans="1:23" x14ac:dyDescent="0.25">
      <c r="A671" s="1"/>
      <c r="L671" s="1"/>
      <c r="M671" s="1"/>
      <c r="W671" s="1"/>
    </row>
    <row r="672" spans="1:23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W701" s="1"/>
    </row>
    <row r="702" spans="1:23" x14ac:dyDescent="0.25">
      <c r="A702" s="1"/>
      <c r="L702" s="1"/>
      <c r="M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N711" s="1"/>
      <c r="W711" s="1"/>
    </row>
    <row r="712" spans="1:23" x14ac:dyDescent="0.25">
      <c r="A712" s="1"/>
      <c r="L712" s="1"/>
      <c r="M712" s="1"/>
      <c r="N712" s="1"/>
      <c r="W712" s="1"/>
    </row>
    <row r="713" spans="1:23" x14ac:dyDescent="0.25">
      <c r="A713" s="1"/>
      <c r="L713" s="1"/>
      <c r="M713" s="1"/>
      <c r="W713" s="1"/>
    </row>
  </sheetData>
  <sortState xmlns:xlrd2="http://schemas.microsoft.com/office/spreadsheetml/2017/richdata2" ref="A2:X65">
    <sortCondition ref="E2:E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0AB6-2103-4560-83E1-23B162E52F1F}">
  <dimension ref="A1:O744"/>
  <sheetViews>
    <sheetView workbookViewId="0">
      <selection activeCell="E83" sqref="E83"/>
    </sheetView>
  </sheetViews>
  <sheetFormatPr defaultRowHeight="15" x14ac:dyDescent="0.25"/>
  <cols>
    <col min="1" max="1" width="17.28515625" style="4" bestFit="1" customWidth="1"/>
    <col min="2" max="2" width="17.28515625" style="4" customWidth="1"/>
    <col min="3" max="3" width="25.28515625" style="4" bestFit="1" customWidth="1"/>
    <col min="4" max="4" width="13.7109375" style="4" bestFit="1" customWidth="1"/>
    <col min="5" max="5" width="28" style="4" bestFit="1" customWidth="1"/>
    <col min="6" max="6" width="7.85546875" style="4" bestFit="1" customWidth="1"/>
    <col min="7" max="7" width="15.7109375" style="4" bestFit="1" customWidth="1"/>
    <col min="8" max="8" width="13.5703125" style="4" bestFit="1" customWidth="1"/>
    <col min="9" max="9" width="18" style="5" bestFit="1" customWidth="1"/>
    <col min="10" max="10" width="22.140625" style="4" bestFit="1" customWidth="1"/>
    <col min="11" max="11" width="11.5703125" style="4" bestFit="1" customWidth="1"/>
    <col min="12" max="12" width="14.140625" style="4" bestFit="1" customWidth="1"/>
    <col min="13" max="13" width="9.140625" style="4"/>
    <col min="14" max="14" width="21.5703125" style="4" bestFit="1" customWidth="1"/>
    <col min="15" max="16384" width="9.140625" style="4"/>
  </cols>
  <sheetData>
    <row r="1" spans="1:15" x14ac:dyDescent="0.25">
      <c r="A1" s="4" t="s">
        <v>1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11</v>
      </c>
      <c r="H1" s="4" t="s">
        <v>12</v>
      </c>
      <c r="I1" s="5" t="s">
        <v>14</v>
      </c>
      <c r="J1" s="4" t="s">
        <v>16</v>
      </c>
      <c r="K1" s="4" t="s">
        <v>18</v>
      </c>
      <c r="L1" s="4" t="s">
        <v>20</v>
      </c>
    </row>
    <row r="2" spans="1:15" x14ac:dyDescent="0.25">
      <c r="A2" s="4" t="s">
        <v>77</v>
      </c>
      <c r="B2" s="4" t="str">
        <f>CONCATENATE(A2,8)</f>
        <v>9JU5H84MX728</v>
      </c>
      <c r="C2" s="4" t="s">
        <v>287</v>
      </c>
      <c r="D2" s="4" t="s">
        <v>79</v>
      </c>
      <c r="E2" s="4" t="s">
        <v>46</v>
      </c>
      <c r="F2" s="4" t="s">
        <v>28</v>
      </c>
      <c r="G2" s="6">
        <v>45839</v>
      </c>
      <c r="H2" s="6">
        <v>45839</v>
      </c>
      <c r="I2" s="5">
        <v>19396223</v>
      </c>
      <c r="J2" s="4" t="s">
        <v>81</v>
      </c>
      <c r="K2" s="4" t="s">
        <v>33</v>
      </c>
      <c r="L2" s="4">
        <v>219</v>
      </c>
      <c r="M2" s="4">
        <v>156.5</v>
      </c>
      <c r="N2" s="4" t="s">
        <v>189</v>
      </c>
      <c r="O2" s="4" t="s">
        <v>196</v>
      </c>
    </row>
    <row r="3" spans="1:15" x14ac:dyDescent="0.25">
      <c r="A3" s="4" t="s">
        <v>174</v>
      </c>
      <c r="B3" s="4" t="str">
        <f>CONCATENATE(A3,7)</f>
        <v>7RV7HD5RP367</v>
      </c>
      <c r="C3" s="4" t="s">
        <v>288</v>
      </c>
      <c r="D3" s="4" t="s">
        <v>176</v>
      </c>
      <c r="E3" s="4" t="s">
        <v>27</v>
      </c>
      <c r="F3" s="4" t="s">
        <v>28</v>
      </c>
      <c r="G3" s="6">
        <v>45839</v>
      </c>
      <c r="H3" s="6">
        <v>45839</v>
      </c>
      <c r="I3" s="5">
        <v>1706194</v>
      </c>
      <c r="J3" s="4" t="s">
        <v>179</v>
      </c>
      <c r="K3" s="4" t="s">
        <v>33</v>
      </c>
      <c r="L3" s="4">
        <v>751</v>
      </c>
      <c r="M3" s="4">
        <v>626</v>
      </c>
      <c r="N3" s="4" t="s">
        <v>199</v>
      </c>
      <c r="O3" s="4" t="s">
        <v>201</v>
      </c>
    </row>
    <row r="4" spans="1:15" x14ac:dyDescent="0.25">
      <c r="A4" s="4" t="s">
        <v>174</v>
      </c>
      <c r="B4" s="4" t="str">
        <f>CONCATENATE(A4,8)</f>
        <v>7RV7HD5RP368</v>
      </c>
      <c r="C4" s="4" t="s">
        <v>288</v>
      </c>
      <c r="D4" s="4" t="s">
        <v>176</v>
      </c>
      <c r="E4" s="4" t="s">
        <v>36</v>
      </c>
      <c r="F4" s="4" t="s">
        <v>28</v>
      </c>
      <c r="G4" s="6">
        <v>45839</v>
      </c>
      <c r="H4" s="6">
        <v>45839</v>
      </c>
      <c r="I4" s="5">
        <v>1706194</v>
      </c>
      <c r="J4" s="4" t="s">
        <v>179</v>
      </c>
      <c r="K4" s="4" t="s">
        <v>33</v>
      </c>
      <c r="L4" s="4">
        <v>-219</v>
      </c>
      <c r="M4" s="4">
        <v>-156.5</v>
      </c>
      <c r="N4" s="4" t="s">
        <v>189</v>
      </c>
      <c r="O4" s="4" t="s">
        <v>196</v>
      </c>
    </row>
    <row r="5" spans="1:15" x14ac:dyDescent="0.25">
      <c r="A5" s="4" t="s">
        <v>171</v>
      </c>
      <c r="B5" s="4" t="str">
        <f>CONCATENATE(A5,7)</f>
        <v>8Q10Y14DE037</v>
      </c>
      <c r="C5" s="4" t="s">
        <v>289</v>
      </c>
      <c r="D5" s="4" t="s">
        <v>59</v>
      </c>
      <c r="E5" s="4" t="s">
        <v>27</v>
      </c>
      <c r="F5" s="4" t="s">
        <v>28</v>
      </c>
      <c r="G5" s="6">
        <v>45778</v>
      </c>
      <c r="H5" s="6">
        <v>45778</v>
      </c>
      <c r="I5" s="5">
        <v>17126004</v>
      </c>
      <c r="J5" s="4" t="s">
        <v>173</v>
      </c>
      <c r="K5" s="4" t="s">
        <v>33</v>
      </c>
      <c r="L5" s="4">
        <v>751</v>
      </c>
      <c r="M5" s="4">
        <v>626</v>
      </c>
      <c r="N5" s="4" t="s">
        <v>199</v>
      </c>
      <c r="O5" s="4" t="s">
        <v>201</v>
      </c>
    </row>
    <row r="6" spans="1:15" x14ac:dyDescent="0.25">
      <c r="A6" s="4" t="s">
        <v>171</v>
      </c>
      <c r="B6" s="4" t="str">
        <f>CONCATENATE(A6,8)</f>
        <v>8Q10Y14DE038</v>
      </c>
      <c r="C6" s="4" t="s">
        <v>289</v>
      </c>
      <c r="D6" s="4" t="s">
        <v>59</v>
      </c>
      <c r="E6" s="4" t="s">
        <v>36</v>
      </c>
      <c r="F6" s="4" t="s">
        <v>28</v>
      </c>
      <c r="G6" s="6">
        <v>45778</v>
      </c>
      <c r="H6" s="6">
        <v>45778</v>
      </c>
      <c r="I6" s="5">
        <v>17126004</v>
      </c>
      <c r="J6" s="4" t="s">
        <v>173</v>
      </c>
      <c r="K6" s="4" t="s">
        <v>33</v>
      </c>
      <c r="L6" s="4">
        <v>-292</v>
      </c>
      <c r="M6" s="4">
        <v>-208.67</v>
      </c>
      <c r="N6" s="4" t="s">
        <v>189</v>
      </c>
      <c r="O6" s="4" t="s">
        <v>192</v>
      </c>
    </row>
    <row r="7" spans="1:15" x14ac:dyDescent="0.25">
      <c r="A7" s="4" t="s">
        <v>108</v>
      </c>
      <c r="B7" s="4" t="str">
        <f>CONCATENATE(A7,8)</f>
        <v>5GF1KY2TD358</v>
      </c>
      <c r="C7" s="4" t="s">
        <v>290</v>
      </c>
      <c r="D7" s="4" t="s">
        <v>59</v>
      </c>
      <c r="E7" s="4" t="s">
        <v>46</v>
      </c>
      <c r="F7" s="4" t="s">
        <v>28</v>
      </c>
      <c r="G7" s="6">
        <v>45809</v>
      </c>
      <c r="H7" s="6">
        <v>45809</v>
      </c>
      <c r="I7" s="5">
        <v>19268643</v>
      </c>
      <c r="J7" s="4" t="s">
        <v>111</v>
      </c>
      <c r="K7" s="4" t="s">
        <v>33</v>
      </c>
      <c r="L7" s="4">
        <v>255.5</v>
      </c>
      <c r="M7" s="4">
        <v>234.75</v>
      </c>
      <c r="N7" s="4" t="s">
        <v>189</v>
      </c>
      <c r="O7" s="4" t="s">
        <v>195</v>
      </c>
    </row>
    <row r="8" spans="1:15" x14ac:dyDescent="0.25">
      <c r="A8" s="4" t="s">
        <v>50</v>
      </c>
      <c r="B8" s="4" t="str">
        <f>CONCATENATE(A8,7)</f>
        <v>4F30D37WF167</v>
      </c>
      <c r="C8" s="4" t="s">
        <v>291</v>
      </c>
      <c r="D8" s="4" t="s">
        <v>52</v>
      </c>
      <c r="E8" s="4" t="s">
        <v>56</v>
      </c>
      <c r="F8" s="4" t="s">
        <v>28</v>
      </c>
      <c r="G8" s="6">
        <v>45778</v>
      </c>
      <c r="H8" s="6">
        <v>45778</v>
      </c>
      <c r="I8" s="5">
        <v>17094718</v>
      </c>
      <c r="J8" s="4" t="s">
        <v>55</v>
      </c>
      <c r="K8" s="4" t="s">
        <v>33</v>
      </c>
      <c r="L8" s="4">
        <v>500.67</v>
      </c>
      <c r="M8" s="4">
        <f>626/12*8</f>
        <v>417.33333333333331</v>
      </c>
      <c r="N8" s="4" t="s">
        <v>199</v>
      </c>
      <c r="O8" s="4" t="s">
        <v>200</v>
      </c>
    </row>
    <row r="9" spans="1:15" x14ac:dyDescent="0.25">
      <c r="A9" s="4" t="s">
        <v>50</v>
      </c>
      <c r="B9" s="4" t="str">
        <f>CONCATENATE(A9,7)</f>
        <v>4F30D37WF167</v>
      </c>
      <c r="C9" s="4" t="s">
        <v>291</v>
      </c>
      <c r="D9" s="4" t="s">
        <v>52</v>
      </c>
      <c r="E9" s="4" t="s">
        <v>56</v>
      </c>
      <c r="F9" s="4" t="s">
        <v>28</v>
      </c>
      <c r="G9" s="6">
        <v>45778</v>
      </c>
      <c r="H9" s="6">
        <v>45778</v>
      </c>
      <c r="I9" s="5">
        <v>17094718</v>
      </c>
      <c r="J9" s="4" t="s">
        <v>55</v>
      </c>
      <c r="K9" s="4" t="s">
        <v>33</v>
      </c>
      <c r="L9" s="4">
        <v>500.67</v>
      </c>
      <c r="M9" s="4">
        <f>626/12*8</f>
        <v>417.33333333333331</v>
      </c>
      <c r="N9" s="4" t="s">
        <v>199</v>
      </c>
      <c r="O9" s="4" t="s">
        <v>200</v>
      </c>
    </row>
    <row r="10" spans="1:15" x14ac:dyDescent="0.25">
      <c r="A10" s="4" t="s">
        <v>134</v>
      </c>
      <c r="B10" s="4" t="str">
        <f>CONCATENATE(A10,7)</f>
        <v>5GJ9J49QW337</v>
      </c>
      <c r="C10" s="4" t="s">
        <v>292</v>
      </c>
      <c r="D10" s="4" t="s">
        <v>136</v>
      </c>
      <c r="E10" s="4" t="s">
        <v>27</v>
      </c>
      <c r="F10" s="4" t="s">
        <v>28</v>
      </c>
      <c r="G10" s="6">
        <v>45839</v>
      </c>
      <c r="H10" s="6">
        <v>45839</v>
      </c>
      <c r="I10" s="5">
        <v>17094718</v>
      </c>
      <c r="J10" s="4" t="s">
        <v>55</v>
      </c>
      <c r="K10" s="4" t="s">
        <v>33</v>
      </c>
      <c r="L10" s="4">
        <v>751</v>
      </c>
      <c r="M10" s="4">
        <v>626</v>
      </c>
      <c r="N10" s="4" t="s">
        <v>199</v>
      </c>
      <c r="O10" s="4" t="s">
        <v>201</v>
      </c>
    </row>
    <row r="11" spans="1:15" x14ac:dyDescent="0.25">
      <c r="A11" s="4" t="s">
        <v>50</v>
      </c>
      <c r="B11" s="4" t="str">
        <f>CONCATENATE(A11,8)</f>
        <v>4F30D37WF168</v>
      </c>
      <c r="C11" s="4" t="s">
        <v>291</v>
      </c>
      <c r="D11" s="4" t="s">
        <v>52</v>
      </c>
      <c r="E11" s="4" t="s">
        <v>36</v>
      </c>
      <c r="F11" s="4" t="s">
        <v>28</v>
      </c>
      <c r="G11" s="6">
        <v>45778</v>
      </c>
      <c r="H11" s="6">
        <v>45778</v>
      </c>
      <c r="I11" s="5">
        <v>17094718</v>
      </c>
      <c r="J11" s="4" t="s">
        <v>55</v>
      </c>
      <c r="K11" s="4" t="s">
        <v>33</v>
      </c>
      <c r="L11" s="4">
        <v>-292</v>
      </c>
      <c r="M11" s="4">
        <v>-208.67</v>
      </c>
      <c r="N11" s="4" t="s">
        <v>189</v>
      </c>
      <c r="O11" s="4" t="s">
        <v>192</v>
      </c>
    </row>
    <row r="12" spans="1:15" x14ac:dyDescent="0.25">
      <c r="A12" s="4" t="s">
        <v>134</v>
      </c>
      <c r="B12" s="4" t="str">
        <f>CONCATENATE(A12,8)</f>
        <v>5GJ9J49QW338</v>
      </c>
      <c r="C12" s="4" t="s">
        <v>292</v>
      </c>
      <c r="D12" s="4" t="s">
        <v>136</v>
      </c>
      <c r="E12" s="4" t="s">
        <v>36</v>
      </c>
      <c r="F12" s="4" t="s">
        <v>28</v>
      </c>
      <c r="G12" s="6">
        <v>45839</v>
      </c>
      <c r="H12" s="6">
        <v>45839</v>
      </c>
      <c r="I12" s="5">
        <v>17094718</v>
      </c>
      <c r="J12" s="4" t="s">
        <v>55</v>
      </c>
      <c r="K12" s="4" t="s">
        <v>33</v>
      </c>
      <c r="L12" s="4">
        <v>-219</v>
      </c>
      <c r="M12" s="4">
        <v>-156.5</v>
      </c>
      <c r="N12" s="4" t="s">
        <v>189</v>
      </c>
      <c r="O12" s="4" t="s">
        <v>196</v>
      </c>
    </row>
    <row r="13" spans="1:15" x14ac:dyDescent="0.25">
      <c r="A13" s="4" t="s">
        <v>86</v>
      </c>
      <c r="B13" s="4" t="str">
        <f>CONCATENATE(A13,7)</f>
        <v>4HQ0UJ4NK007</v>
      </c>
      <c r="C13" s="4" t="s">
        <v>293</v>
      </c>
      <c r="D13" s="4" t="s">
        <v>59</v>
      </c>
      <c r="E13" s="4" t="s">
        <v>27</v>
      </c>
      <c r="F13" s="4" t="s">
        <v>28</v>
      </c>
      <c r="G13" s="6">
        <v>45778</v>
      </c>
      <c r="H13" s="6">
        <v>45778</v>
      </c>
      <c r="I13" s="5">
        <v>17301495</v>
      </c>
      <c r="J13" s="4" t="s">
        <v>88</v>
      </c>
      <c r="K13" s="4" t="s">
        <v>33</v>
      </c>
      <c r="L13" s="4">
        <v>751</v>
      </c>
      <c r="M13" s="4">
        <v>626</v>
      </c>
      <c r="N13" s="4" t="s">
        <v>199</v>
      </c>
      <c r="O13" s="4" t="s">
        <v>201</v>
      </c>
    </row>
    <row r="14" spans="1:15" x14ac:dyDescent="0.25">
      <c r="A14" s="4" t="s">
        <v>86</v>
      </c>
      <c r="B14" s="4" t="str">
        <f>CONCATENATE(A14,8)</f>
        <v>4HQ0UJ4NK008</v>
      </c>
      <c r="C14" s="4" t="s">
        <v>293</v>
      </c>
      <c r="D14" s="4" t="s">
        <v>59</v>
      </c>
      <c r="E14" s="4" t="s">
        <v>36</v>
      </c>
      <c r="F14" s="4" t="s">
        <v>28</v>
      </c>
      <c r="G14" s="6">
        <v>45778</v>
      </c>
      <c r="H14" s="6">
        <v>45778</v>
      </c>
      <c r="I14" s="5">
        <v>17301495</v>
      </c>
      <c r="J14" s="4" t="s">
        <v>88</v>
      </c>
      <c r="K14" s="4" t="s">
        <v>33</v>
      </c>
      <c r="L14" s="4">
        <v>-292</v>
      </c>
      <c r="M14" s="4">
        <v>-208.67</v>
      </c>
      <c r="N14" s="4" t="s">
        <v>189</v>
      </c>
      <c r="O14" s="4" t="s">
        <v>192</v>
      </c>
    </row>
    <row r="15" spans="1:15" x14ac:dyDescent="0.25">
      <c r="A15" s="4" t="s">
        <v>43</v>
      </c>
      <c r="B15" s="4" t="str">
        <f>CONCATENATE(A15,8)</f>
        <v>8RD6HM7CE648</v>
      </c>
      <c r="C15" s="4" t="s">
        <v>294</v>
      </c>
      <c r="D15" s="4" t="s">
        <v>45</v>
      </c>
      <c r="E15" s="4" t="s">
        <v>46</v>
      </c>
      <c r="F15" s="4" t="s">
        <v>28</v>
      </c>
      <c r="G15" s="6">
        <v>45809</v>
      </c>
      <c r="H15" s="6">
        <v>45809</v>
      </c>
      <c r="I15" s="5">
        <v>18581063</v>
      </c>
      <c r="J15" s="4" t="s">
        <v>49</v>
      </c>
      <c r="K15" s="4" t="s">
        <v>33</v>
      </c>
      <c r="L15" s="4">
        <v>255.5</v>
      </c>
      <c r="M15" s="4">
        <v>234.75</v>
      </c>
      <c r="N15" s="4" t="s">
        <v>189</v>
      </c>
      <c r="O15" s="4" t="s">
        <v>195</v>
      </c>
    </row>
    <row r="16" spans="1:15" x14ac:dyDescent="0.25">
      <c r="A16" s="4" t="s">
        <v>106</v>
      </c>
      <c r="B16" s="4" t="str">
        <f>CONCATENATE(A16,8)</f>
        <v>1Q73KG5JD788</v>
      </c>
      <c r="C16" s="4" t="s">
        <v>295</v>
      </c>
      <c r="D16" s="4" t="s">
        <v>45</v>
      </c>
      <c r="E16" s="4" t="s">
        <v>46</v>
      </c>
      <c r="F16" s="4" t="s">
        <v>28</v>
      </c>
      <c r="G16" s="6">
        <v>45778</v>
      </c>
      <c r="H16" s="6">
        <v>45778</v>
      </c>
      <c r="I16" s="5">
        <v>18581063</v>
      </c>
      <c r="J16" s="4" t="s">
        <v>49</v>
      </c>
      <c r="K16" s="4" t="s">
        <v>33</v>
      </c>
      <c r="L16" s="4">
        <v>292</v>
      </c>
      <c r="M16" s="4">
        <v>208.67</v>
      </c>
      <c r="N16" s="4" t="s">
        <v>189</v>
      </c>
      <c r="O16" s="4" t="s">
        <v>192</v>
      </c>
    </row>
    <row r="17" spans="1:15" x14ac:dyDescent="0.25">
      <c r="A17" s="4" t="s">
        <v>131</v>
      </c>
      <c r="B17" s="4" t="str">
        <f>CONCATENATE(A17,7)</f>
        <v>4N13UT6WG157</v>
      </c>
      <c r="C17" s="4" t="s">
        <v>296</v>
      </c>
      <c r="D17" s="4" t="s">
        <v>59</v>
      </c>
      <c r="E17" s="4" t="s">
        <v>27</v>
      </c>
      <c r="F17" s="4" t="s">
        <v>28</v>
      </c>
      <c r="G17" s="6">
        <v>45809</v>
      </c>
      <c r="H17" s="6">
        <v>45809</v>
      </c>
      <c r="I17" s="5">
        <v>2158366</v>
      </c>
      <c r="J17" s="4" t="s">
        <v>133</v>
      </c>
      <c r="K17" s="4" t="s">
        <v>33</v>
      </c>
      <c r="L17" s="4">
        <v>751</v>
      </c>
      <c r="M17" s="4">
        <v>626</v>
      </c>
      <c r="N17" s="4" t="s">
        <v>199</v>
      </c>
      <c r="O17" s="4" t="s">
        <v>201</v>
      </c>
    </row>
    <row r="18" spans="1:15" x14ac:dyDescent="0.25">
      <c r="A18" s="4" t="s">
        <v>131</v>
      </c>
      <c r="B18" s="4" t="str">
        <f>CONCATENATE(A18,8)</f>
        <v>4N13UT6WG158</v>
      </c>
      <c r="C18" s="4" t="s">
        <v>296</v>
      </c>
      <c r="D18" s="4" t="s">
        <v>59</v>
      </c>
      <c r="E18" s="4" t="s">
        <v>36</v>
      </c>
      <c r="F18" s="4" t="s">
        <v>28</v>
      </c>
      <c r="G18" s="6">
        <v>45809</v>
      </c>
      <c r="H18" s="6">
        <v>45809</v>
      </c>
      <c r="I18" s="5">
        <v>2158366</v>
      </c>
      <c r="J18" s="4" t="s">
        <v>133</v>
      </c>
      <c r="K18" s="4" t="s">
        <v>33</v>
      </c>
      <c r="L18" s="4">
        <v>-255.5</v>
      </c>
      <c r="M18" s="4">
        <v>-234.75</v>
      </c>
      <c r="N18" s="4" t="s">
        <v>189</v>
      </c>
      <c r="O18" s="4" t="s">
        <v>195</v>
      </c>
    </row>
    <row r="19" spans="1:15" x14ac:dyDescent="0.25">
      <c r="A19" s="4" t="s">
        <v>66</v>
      </c>
      <c r="B19" s="4" t="str">
        <f>CONCATENATE(A19,7)</f>
        <v>3UR8D65XC237</v>
      </c>
      <c r="C19" s="4" t="s">
        <v>297</v>
      </c>
      <c r="D19" s="4" t="s">
        <v>59</v>
      </c>
      <c r="E19" s="4" t="s">
        <v>27</v>
      </c>
      <c r="F19" s="4" t="s">
        <v>28</v>
      </c>
      <c r="G19" s="6">
        <v>45778</v>
      </c>
      <c r="H19" s="6">
        <v>45778</v>
      </c>
      <c r="I19" s="5">
        <v>7146581</v>
      </c>
      <c r="J19" s="4" t="s">
        <v>70</v>
      </c>
      <c r="K19" s="4" t="s">
        <v>33</v>
      </c>
      <c r="L19" s="4">
        <v>751</v>
      </c>
      <c r="M19" s="4">
        <v>626</v>
      </c>
      <c r="N19" s="4" t="s">
        <v>199</v>
      </c>
      <c r="O19" s="4" t="s">
        <v>201</v>
      </c>
    </row>
    <row r="20" spans="1:15" x14ac:dyDescent="0.25">
      <c r="A20" s="4" t="s">
        <v>96</v>
      </c>
      <c r="B20" s="4" t="str">
        <f>CONCATENATE(A20,7)</f>
        <v>5AK2MD3VQ997</v>
      </c>
      <c r="C20" s="4" t="s">
        <v>298</v>
      </c>
      <c r="D20" s="4" t="s">
        <v>59</v>
      </c>
      <c r="E20" s="4" t="s">
        <v>27</v>
      </c>
      <c r="F20" s="4" t="s">
        <v>28</v>
      </c>
      <c r="G20" s="6">
        <v>45778</v>
      </c>
      <c r="H20" s="6">
        <v>45778</v>
      </c>
      <c r="I20" s="5">
        <v>7146581</v>
      </c>
      <c r="J20" s="4" t="s">
        <v>70</v>
      </c>
      <c r="K20" s="4" t="s">
        <v>33</v>
      </c>
      <c r="L20" s="4">
        <v>751</v>
      </c>
      <c r="M20" s="4">
        <v>626</v>
      </c>
      <c r="N20" s="4" t="s">
        <v>199</v>
      </c>
      <c r="O20" s="4" t="s">
        <v>201</v>
      </c>
    </row>
    <row r="21" spans="1:15" x14ac:dyDescent="0.25">
      <c r="A21" s="4" t="s">
        <v>98</v>
      </c>
      <c r="B21" s="4" t="str">
        <f>CONCATENATE(A21,7)</f>
        <v>4RK2N91NH027</v>
      </c>
      <c r="C21" s="4" t="s">
        <v>299</v>
      </c>
      <c r="D21" s="4" t="s">
        <v>59</v>
      </c>
      <c r="E21" s="4" t="s">
        <v>27</v>
      </c>
      <c r="F21" s="4" t="s">
        <v>28</v>
      </c>
      <c r="G21" s="6">
        <v>45778</v>
      </c>
      <c r="H21" s="6">
        <v>45778</v>
      </c>
      <c r="I21" s="5">
        <v>7146581</v>
      </c>
      <c r="J21" s="4" t="s">
        <v>70</v>
      </c>
      <c r="K21" s="4" t="s">
        <v>33</v>
      </c>
      <c r="L21" s="4">
        <v>751</v>
      </c>
      <c r="M21" s="4">
        <v>626</v>
      </c>
      <c r="N21" s="4" t="s">
        <v>199</v>
      </c>
      <c r="O21" s="4" t="s">
        <v>201</v>
      </c>
    </row>
    <row r="22" spans="1:15" x14ac:dyDescent="0.25">
      <c r="A22" s="4" t="s">
        <v>66</v>
      </c>
      <c r="B22" s="4" t="str">
        <f>CONCATENATE(A22,8)</f>
        <v>3UR8D65XC238</v>
      </c>
      <c r="C22" s="4" t="s">
        <v>297</v>
      </c>
      <c r="D22" s="4" t="s">
        <v>59</v>
      </c>
      <c r="E22" s="4" t="s">
        <v>36</v>
      </c>
      <c r="F22" s="4" t="s">
        <v>28</v>
      </c>
      <c r="G22" s="6">
        <v>45778</v>
      </c>
      <c r="H22" s="6">
        <v>45778</v>
      </c>
      <c r="I22" s="5">
        <v>7146581</v>
      </c>
      <c r="J22" s="4" t="s">
        <v>70</v>
      </c>
      <c r="K22" s="4" t="s">
        <v>33</v>
      </c>
      <c r="L22" s="4">
        <v>-292</v>
      </c>
      <c r="M22" s="4">
        <v>-208.67</v>
      </c>
      <c r="N22" s="4" t="s">
        <v>189</v>
      </c>
      <c r="O22" s="4" t="s">
        <v>192</v>
      </c>
    </row>
    <row r="23" spans="1:15" x14ac:dyDescent="0.25">
      <c r="A23" s="4" t="s">
        <v>96</v>
      </c>
      <c r="B23" s="4" t="str">
        <f>CONCATENATE(A23,8)</f>
        <v>5AK2MD3VQ998</v>
      </c>
      <c r="C23" s="4" t="s">
        <v>298</v>
      </c>
      <c r="D23" s="4" t="s">
        <v>59</v>
      </c>
      <c r="E23" s="4" t="s">
        <v>36</v>
      </c>
      <c r="F23" s="4" t="s">
        <v>28</v>
      </c>
      <c r="G23" s="6">
        <v>45778</v>
      </c>
      <c r="H23" s="6">
        <v>45778</v>
      </c>
      <c r="I23" s="5">
        <v>7146581</v>
      </c>
      <c r="J23" s="4" t="s">
        <v>70</v>
      </c>
      <c r="K23" s="4" t="s">
        <v>33</v>
      </c>
      <c r="L23" s="4">
        <v>-292</v>
      </c>
      <c r="M23" s="4">
        <v>-208.67</v>
      </c>
      <c r="N23" s="4" t="s">
        <v>189</v>
      </c>
      <c r="O23" s="4" t="s">
        <v>192</v>
      </c>
    </row>
    <row r="24" spans="1:15" x14ac:dyDescent="0.25">
      <c r="A24" s="4" t="s">
        <v>98</v>
      </c>
      <c r="B24" s="4" t="str">
        <f>CONCATENATE(A24,8)</f>
        <v>4RK2N91NH028</v>
      </c>
      <c r="C24" s="4" t="s">
        <v>299</v>
      </c>
      <c r="D24" s="4" t="s">
        <v>59</v>
      </c>
      <c r="E24" s="4" t="s">
        <v>36</v>
      </c>
      <c r="F24" s="4" t="s">
        <v>28</v>
      </c>
      <c r="G24" s="6">
        <v>45778</v>
      </c>
      <c r="H24" s="6">
        <v>45778</v>
      </c>
      <c r="I24" s="5">
        <v>7146581</v>
      </c>
      <c r="J24" s="4" t="s">
        <v>70</v>
      </c>
      <c r="K24" s="4" t="s">
        <v>33</v>
      </c>
      <c r="L24" s="4">
        <v>-292</v>
      </c>
      <c r="M24" s="4">
        <v>-208.67</v>
      </c>
      <c r="N24" s="4" t="s">
        <v>189</v>
      </c>
      <c r="O24" s="4" t="s">
        <v>192</v>
      </c>
    </row>
    <row r="25" spans="1:15" x14ac:dyDescent="0.25">
      <c r="A25" s="4" t="s">
        <v>92</v>
      </c>
      <c r="B25" s="4" t="str">
        <f>CONCATENATE(A25,7)</f>
        <v>5QR4WX0EQ647</v>
      </c>
      <c r="C25" s="4" t="s">
        <v>300</v>
      </c>
      <c r="D25" s="4" t="s">
        <v>26</v>
      </c>
      <c r="E25" s="4" t="s">
        <v>27</v>
      </c>
      <c r="F25" s="4" t="s">
        <v>28</v>
      </c>
      <c r="G25" s="6">
        <v>45809</v>
      </c>
      <c r="H25" s="6">
        <v>45809</v>
      </c>
      <c r="I25" s="5" t="s">
        <v>205</v>
      </c>
      <c r="J25" s="4" t="s">
        <v>95</v>
      </c>
      <c r="K25" s="4" t="s">
        <v>33</v>
      </c>
      <c r="L25" s="4">
        <v>830</v>
      </c>
      <c r="M25" s="4">
        <v>705</v>
      </c>
      <c r="N25" s="4" t="s">
        <v>203</v>
      </c>
      <c r="O25" s="4" t="s">
        <v>202</v>
      </c>
    </row>
    <row r="26" spans="1:15" x14ac:dyDescent="0.25">
      <c r="A26" s="4" t="s">
        <v>121</v>
      </c>
      <c r="B26" s="4" t="str">
        <f>CONCATENATE(A26,7)</f>
        <v>5T94NU9RY777</v>
      </c>
      <c r="C26" s="4" t="s">
        <v>301</v>
      </c>
      <c r="D26" s="4" t="s">
        <v>26</v>
      </c>
      <c r="E26" s="4" t="s">
        <v>27</v>
      </c>
      <c r="F26" s="4" t="s">
        <v>28</v>
      </c>
      <c r="G26" s="6">
        <v>45748</v>
      </c>
      <c r="H26" s="6">
        <v>45748</v>
      </c>
      <c r="I26" s="5" t="s">
        <v>205</v>
      </c>
      <c r="J26" s="4" t="s">
        <v>95</v>
      </c>
      <c r="K26" s="4" t="s">
        <v>33</v>
      </c>
      <c r="L26" s="4">
        <v>830</v>
      </c>
      <c r="M26" s="4">
        <v>705</v>
      </c>
      <c r="N26" s="4" t="s">
        <v>203</v>
      </c>
      <c r="O26" s="4" t="s">
        <v>202</v>
      </c>
    </row>
    <row r="27" spans="1:15" x14ac:dyDescent="0.25">
      <c r="A27" s="4" t="s">
        <v>147</v>
      </c>
      <c r="B27" s="4" t="str">
        <f>CONCATENATE(A27,8)</f>
        <v>4RG8UV8NF508</v>
      </c>
      <c r="C27" s="4" t="s">
        <v>302</v>
      </c>
      <c r="D27" s="4" t="s">
        <v>26</v>
      </c>
      <c r="E27" s="4" t="s">
        <v>151</v>
      </c>
      <c r="F27" s="4" t="s">
        <v>28</v>
      </c>
      <c r="G27" s="6">
        <v>45689</v>
      </c>
      <c r="H27" s="6">
        <v>45689</v>
      </c>
      <c r="I27" s="5" t="s">
        <v>205</v>
      </c>
      <c r="J27" s="4" t="s">
        <v>95</v>
      </c>
      <c r="K27" s="4" t="s">
        <v>33</v>
      </c>
      <c r="L27" s="4">
        <v>-438.17</v>
      </c>
      <c r="M27" s="4">
        <f>-353/12*11</f>
        <v>-323.58333333333337</v>
      </c>
      <c r="N27" s="4" t="s">
        <v>186</v>
      </c>
      <c r="O27" s="4" t="s">
        <v>188</v>
      </c>
    </row>
    <row r="28" spans="1:15" x14ac:dyDescent="0.25">
      <c r="A28" s="4" t="s">
        <v>92</v>
      </c>
      <c r="B28" s="4" t="str">
        <f>CONCATENATE(A28,8)</f>
        <v>5QR4WX0EQ648</v>
      </c>
      <c r="C28" s="4" t="s">
        <v>300</v>
      </c>
      <c r="D28" s="4" t="s">
        <v>26</v>
      </c>
      <c r="E28" s="4" t="s">
        <v>36</v>
      </c>
      <c r="F28" s="4" t="s">
        <v>28</v>
      </c>
      <c r="G28" s="6">
        <v>45809</v>
      </c>
      <c r="H28" s="6">
        <v>45809</v>
      </c>
      <c r="I28" s="5" t="s">
        <v>205</v>
      </c>
      <c r="J28" s="4" t="s">
        <v>95</v>
      </c>
      <c r="K28" s="4" t="s">
        <v>33</v>
      </c>
      <c r="L28" s="4">
        <v>-278.83</v>
      </c>
      <c r="M28" s="4">
        <v>-205.91</v>
      </c>
      <c r="N28" s="4" t="s">
        <v>186</v>
      </c>
      <c r="O28" s="4" t="s">
        <v>194</v>
      </c>
    </row>
    <row r="29" spans="1:15" x14ac:dyDescent="0.25">
      <c r="A29" s="4" t="s">
        <v>147</v>
      </c>
      <c r="B29" s="4" t="str">
        <f>CONCATENATE(A29,8)</f>
        <v>4RG8UV8NF508</v>
      </c>
      <c r="C29" s="4" t="s">
        <v>302</v>
      </c>
      <c r="D29" s="4" t="s">
        <v>26</v>
      </c>
      <c r="E29" s="4" t="s">
        <v>149</v>
      </c>
      <c r="F29" s="4" t="s">
        <v>28</v>
      </c>
      <c r="G29" s="6">
        <v>45689</v>
      </c>
      <c r="H29" s="6">
        <v>45689</v>
      </c>
      <c r="I29" s="5" t="s">
        <v>205</v>
      </c>
      <c r="J29" s="4" t="s">
        <v>95</v>
      </c>
      <c r="K29" s="4" t="s">
        <v>33</v>
      </c>
      <c r="L29" s="4">
        <v>159.33000000000001</v>
      </c>
      <c r="M29" s="4">
        <v>117.67</v>
      </c>
      <c r="N29" s="4" t="s">
        <v>186</v>
      </c>
      <c r="O29" s="4" t="s">
        <v>197</v>
      </c>
    </row>
    <row r="30" spans="1:15" x14ac:dyDescent="0.25">
      <c r="A30" s="4" t="s">
        <v>168</v>
      </c>
      <c r="B30" s="4" t="str">
        <f>CONCATENATE(A30,8)</f>
        <v>3VX4JF7TF618</v>
      </c>
      <c r="C30" s="4" t="s">
        <v>303</v>
      </c>
      <c r="D30" s="4" t="s">
        <v>26</v>
      </c>
      <c r="E30" s="4" t="s">
        <v>46</v>
      </c>
      <c r="F30" s="4" t="s">
        <v>28</v>
      </c>
      <c r="G30" s="6">
        <v>45870</v>
      </c>
      <c r="H30" s="6">
        <v>45870</v>
      </c>
      <c r="I30" s="5" t="s">
        <v>205</v>
      </c>
      <c r="J30" s="4" t="s">
        <v>95</v>
      </c>
      <c r="K30" s="4" t="s">
        <v>33</v>
      </c>
      <c r="L30" s="4">
        <v>199.17</v>
      </c>
      <c r="M30" s="4">
        <v>147.08000000000001</v>
      </c>
      <c r="N30" s="4" t="s">
        <v>186</v>
      </c>
      <c r="O30" s="4" t="s">
        <v>198</v>
      </c>
    </row>
    <row r="31" spans="1:15" x14ac:dyDescent="0.25">
      <c r="A31" s="4" t="s">
        <v>121</v>
      </c>
      <c r="B31" s="4" t="str">
        <f>CONCATENATE(A31,8)</f>
        <v>5T94NU9RY778</v>
      </c>
      <c r="C31" s="4" t="s">
        <v>301</v>
      </c>
      <c r="D31" s="4" t="s">
        <v>26</v>
      </c>
      <c r="E31" s="4" t="s">
        <v>36</v>
      </c>
      <c r="F31" s="4" t="s">
        <v>28</v>
      </c>
      <c r="G31" s="6">
        <v>45748</v>
      </c>
      <c r="H31" s="6">
        <v>45748</v>
      </c>
      <c r="I31" s="5" t="s">
        <v>205</v>
      </c>
      <c r="J31" s="4" t="s">
        <v>95</v>
      </c>
      <c r="K31" s="4" t="s">
        <v>33</v>
      </c>
      <c r="L31" s="4">
        <v>-358.5</v>
      </c>
      <c r="M31" s="4">
        <v>-313</v>
      </c>
      <c r="N31" s="4" t="s">
        <v>189</v>
      </c>
      <c r="O31" s="4" t="s">
        <v>190</v>
      </c>
    </row>
    <row r="32" spans="1:15" x14ac:dyDescent="0.25">
      <c r="A32" s="4" t="s">
        <v>147</v>
      </c>
      <c r="B32" s="4" t="str">
        <f t="shared" ref="B32:B63" si="0">CONCATENATE(A32,88)</f>
        <v>4RG8UV8NF5088</v>
      </c>
      <c r="C32" s="4" t="s">
        <v>302</v>
      </c>
      <c r="D32" s="4" t="s">
        <v>26</v>
      </c>
      <c r="E32" s="4" t="s">
        <v>151</v>
      </c>
      <c r="F32" s="4" t="s">
        <v>28</v>
      </c>
      <c r="G32" s="6">
        <v>45689</v>
      </c>
      <c r="H32" s="6">
        <v>45689</v>
      </c>
      <c r="I32" s="5">
        <v>20411454</v>
      </c>
      <c r="J32" s="4" t="s">
        <v>204</v>
      </c>
      <c r="K32" s="4" t="s">
        <v>33</v>
      </c>
      <c r="L32" s="4">
        <v>-438.17</v>
      </c>
      <c r="M32" s="4">
        <f>-125/12*11</f>
        <v>-114.58333333333333</v>
      </c>
      <c r="N32" s="4" t="s">
        <v>187</v>
      </c>
    </row>
    <row r="33" spans="1:14" x14ac:dyDescent="0.25">
      <c r="A33" s="4" t="s">
        <v>121</v>
      </c>
      <c r="B33" s="4" t="str">
        <f t="shared" si="0"/>
        <v>5T94NU9RY7788</v>
      </c>
      <c r="C33" s="4" t="s">
        <v>301</v>
      </c>
      <c r="D33" s="4" t="s">
        <v>26</v>
      </c>
      <c r="E33" s="4" t="s">
        <v>36</v>
      </c>
      <c r="F33" s="4" t="s">
        <v>28</v>
      </c>
      <c r="G33" s="6">
        <v>45748</v>
      </c>
      <c r="H33" s="6">
        <v>45748</v>
      </c>
      <c r="I33" s="5">
        <v>20411454</v>
      </c>
      <c r="J33" s="4" t="s">
        <v>204</v>
      </c>
      <c r="K33" s="4" t="s">
        <v>33</v>
      </c>
      <c r="L33" s="4">
        <v>-358.5</v>
      </c>
      <c r="M33" s="4">
        <v>-45.5</v>
      </c>
      <c r="N33" s="4" t="s">
        <v>187</v>
      </c>
    </row>
    <row r="34" spans="1:14" x14ac:dyDescent="0.25">
      <c r="A34" s="4" t="s">
        <v>24</v>
      </c>
      <c r="B34" s="4" t="str">
        <f t="shared" si="0"/>
        <v>7HY1A81YF1188</v>
      </c>
      <c r="C34" s="4" t="s">
        <v>304</v>
      </c>
      <c r="D34" s="4" t="s">
        <v>26</v>
      </c>
      <c r="E34" s="4" t="s">
        <v>36</v>
      </c>
      <c r="F34" s="4" t="s">
        <v>28</v>
      </c>
      <c r="G34" s="6">
        <v>45778</v>
      </c>
      <c r="H34" s="6">
        <v>45778</v>
      </c>
      <c r="I34" s="5">
        <v>20411454</v>
      </c>
      <c r="J34" s="4" t="s">
        <v>204</v>
      </c>
      <c r="K34" s="4" t="s">
        <v>33</v>
      </c>
      <c r="L34" s="4">
        <v>-318.67</v>
      </c>
      <c r="M34" s="4">
        <v>-83.33</v>
      </c>
      <c r="N34" s="4" t="s">
        <v>187</v>
      </c>
    </row>
    <row r="35" spans="1:14" x14ac:dyDescent="0.25">
      <c r="A35" s="4" t="s">
        <v>50</v>
      </c>
      <c r="B35" s="4" t="str">
        <f t="shared" si="0"/>
        <v>4F30D37WF1688</v>
      </c>
      <c r="C35" s="4" t="s">
        <v>291</v>
      </c>
      <c r="D35" s="4" t="s">
        <v>52</v>
      </c>
      <c r="E35" s="4" t="s">
        <v>36</v>
      </c>
      <c r="F35" s="4" t="s">
        <v>28</v>
      </c>
      <c r="G35" s="6">
        <v>45778</v>
      </c>
      <c r="H35" s="6">
        <v>45778</v>
      </c>
      <c r="I35" s="5">
        <v>20411454</v>
      </c>
      <c r="J35" s="4" t="s">
        <v>204</v>
      </c>
      <c r="K35" s="4" t="s">
        <v>33</v>
      </c>
      <c r="L35" s="4">
        <v>-292</v>
      </c>
      <c r="M35" s="4">
        <v>-83.33</v>
      </c>
      <c r="N35" s="4" t="s">
        <v>187</v>
      </c>
    </row>
    <row r="36" spans="1:14" x14ac:dyDescent="0.25">
      <c r="A36" s="4" t="s">
        <v>62</v>
      </c>
      <c r="B36" s="4" t="str">
        <f t="shared" si="0"/>
        <v>9H59TD8GF5788</v>
      </c>
      <c r="C36" s="4" t="s">
        <v>305</v>
      </c>
      <c r="D36" s="4" t="s">
        <v>59</v>
      </c>
      <c r="E36" s="4" t="s">
        <v>36</v>
      </c>
      <c r="F36" s="4" t="s">
        <v>28</v>
      </c>
      <c r="G36" s="6">
        <v>45778</v>
      </c>
      <c r="H36" s="6">
        <v>45778</v>
      </c>
      <c r="I36" s="5">
        <v>20411454</v>
      </c>
      <c r="J36" s="4" t="s">
        <v>204</v>
      </c>
      <c r="K36" s="4" t="s">
        <v>33</v>
      </c>
      <c r="L36" s="4">
        <v>-292</v>
      </c>
      <c r="M36" s="4">
        <v>-83.33</v>
      </c>
      <c r="N36" s="4" t="s">
        <v>187</v>
      </c>
    </row>
    <row r="37" spans="1:14" x14ac:dyDescent="0.25">
      <c r="A37" s="4" t="s">
        <v>66</v>
      </c>
      <c r="B37" s="4" t="str">
        <f t="shared" si="0"/>
        <v>3UR8D65XC2388</v>
      </c>
      <c r="C37" s="4" t="s">
        <v>297</v>
      </c>
      <c r="D37" s="4" t="s">
        <v>59</v>
      </c>
      <c r="E37" s="4" t="s">
        <v>36</v>
      </c>
      <c r="F37" s="4" t="s">
        <v>28</v>
      </c>
      <c r="G37" s="6">
        <v>45778</v>
      </c>
      <c r="H37" s="6">
        <v>45778</v>
      </c>
      <c r="I37" s="5">
        <v>20411454</v>
      </c>
      <c r="J37" s="4" t="s">
        <v>204</v>
      </c>
      <c r="K37" s="4" t="s">
        <v>33</v>
      </c>
      <c r="L37" s="4">
        <v>-292</v>
      </c>
      <c r="M37" s="4">
        <v>-83.33</v>
      </c>
      <c r="N37" s="4" t="s">
        <v>187</v>
      </c>
    </row>
    <row r="38" spans="1:14" x14ac:dyDescent="0.25">
      <c r="A38" s="4" t="s">
        <v>71</v>
      </c>
      <c r="B38" s="4" t="str">
        <f t="shared" si="0"/>
        <v>4EH5NJ3MD5788</v>
      </c>
      <c r="C38" s="4" t="s">
        <v>306</v>
      </c>
      <c r="D38" s="4" t="s">
        <v>59</v>
      </c>
      <c r="E38" s="4" t="s">
        <v>36</v>
      </c>
      <c r="F38" s="4" t="s">
        <v>28</v>
      </c>
      <c r="G38" s="6">
        <v>45778</v>
      </c>
      <c r="H38" s="6">
        <v>45778</v>
      </c>
      <c r="I38" s="5">
        <v>20411454</v>
      </c>
      <c r="J38" s="4" t="s">
        <v>204</v>
      </c>
      <c r="K38" s="4" t="s">
        <v>33</v>
      </c>
      <c r="L38" s="4">
        <v>-292</v>
      </c>
      <c r="M38" s="4">
        <v>-83.33</v>
      </c>
      <c r="N38" s="4" t="s">
        <v>187</v>
      </c>
    </row>
    <row r="39" spans="1:14" x14ac:dyDescent="0.25">
      <c r="A39" s="4" t="s">
        <v>82</v>
      </c>
      <c r="B39" s="4" t="str">
        <f t="shared" si="0"/>
        <v>4D04GP0KH8488</v>
      </c>
      <c r="C39" s="4" t="s">
        <v>307</v>
      </c>
      <c r="D39" s="4" t="s">
        <v>84</v>
      </c>
      <c r="E39" s="4" t="s">
        <v>36</v>
      </c>
      <c r="F39" s="4" t="s">
        <v>28</v>
      </c>
      <c r="G39" s="6">
        <v>45778</v>
      </c>
      <c r="H39" s="6">
        <v>45778</v>
      </c>
      <c r="I39" s="5">
        <v>20411454</v>
      </c>
      <c r="J39" s="4" t="s">
        <v>204</v>
      </c>
      <c r="K39" s="4" t="s">
        <v>33</v>
      </c>
      <c r="L39" s="4">
        <v>-292</v>
      </c>
      <c r="M39" s="4">
        <v>-83.33</v>
      </c>
      <c r="N39" s="4" t="s">
        <v>187</v>
      </c>
    </row>
    <row r="40" spans="1:14" x14ac:dyDescent="0.25">
      <c r="A40" s="4" t="s">
        <v>86</v>
      </c>
      <c r="B40" s="4" t="str">
        <f t="shared" si="0"/>
        <v>4HQ0UJ4NK0088</v>
      </c>
      <c r="C40" s="4" t="s">
        <v>293</v>
      </c>
      <c r="D40" s="4" t="s">
        <v>59</v>
      </c>
      <c r="E40" s="4" t="s">
        <v>36</v>
      </c>
      <c r="F40" s="4" t="s">
        <v>28</v>
      </c>
      <c r="G40" s="6">
        <v>45778</v>
      </c>
      <c r="H40" s="6">
        <v>45778</v>
      </c>
      <c r="I40" s="5">
        <v>20411454</v>
      </c>
      <c r="J40" s="4" t="s">
        <v>204</v>
      </c>
      <c r="K40" s="4" t="s">
        <v>33</v>
      </c>
      <c r="L40" s="4">
        <v>-292</v>
      </c>
      <c r="M40" s="4">
        <v>-83.33</v>
      </c>
      <c r="N40" s="4" t="s">
        <v>187</v>
      </c>
    </row>
    <row r="41" spans="1:14" x14ac:dyDescent="0.25">
      <c r="A41" s="4" t="s">
        <v>96</v>
      </c>
      <c r="B41" s="4" t="str">
        <f t="shared" si="0"/>
        <v>5AK2MD3VQ9988</v>
      </c>
      <c r="C41" s="4" t="s">
        <v>298</v>
      </c>
      <c r="D41" s="4" t="s">
        <v>59</v>
      </c>
      <c r="E41" s="4" t="s">
        <v>36</v>
      </c>
      <c r="F41" s="4" t="s">
        <v>28</v>
      </c>
      <c r="G41" s="6">
        <v>45778</v>
      </c>
      <c r="H41" s="6">
        <v>45778</v>
      </c>
      <c r="I41" s="5">
        <v>20411454</v>
      </c>
      <c r="J41" s="4" t="s">
        <v>204</v>
      </c>
      <c r="K41" s="4" t="s">
        <v>33</v>
      </c>
      <c r="L41" s="4">
        <v>-292</v>
      </c>
      <c r="M41" s="4">
        <v>-83.33</v>
      </c>
      <c r="N41" s="4" t="s">
        <v>187</v>
      </c>
    </row>
    <row r="42" spans="1:14" x14ac:dyDescent="0.25">
      <c r="A42" s="4" t="s">
        <v>98</v>
      </c>
      <c r="B42" s="4" t="str">
        <f t="shared" si="0"/>
        <v>4RK2N91NH0288</v>
      </c>
      <c r="C42" s="4" t="s">
        <v>299</v>
      </c>
      <c r="D42" s="4" t="s">
        <v>59</v>
      </c>
      <c r="E42" s="4" t="s">
        <v>36</v>
      </c>
      <c r="F42" s="4" t="s">
        <v>28</v>
      </c>
      <c r="G42" s="6">
        <v>45778</v>
      </c>
      <c r="H42" s="6">
        <v>45778</v>
      </c>
      <c r="I42" s="5">
        <v>20411454</v>
      </c>
      <c r="J42" s="4" t="s">
        <v>204</v>
      </c>
      <c r="K42" s="4" t="s">
        <v>33</v>
      </c>
      <c r="L42" s="4">
        <v>-292</v>
      </c>
      <c r="M42" s="4">
        <v>-83.33</v>
      </c>
      <c r="N42" s="4" t="s">
        <v>187</v>
      </c>
    </row>
    <row r="43" spans="1:14" x14ac:dyDescent="0.25">
      <c r="A43" s="4" t="s">
        <v>104</v>
      </c>
      <c r="B43" s="4" t="str">
        <f t="shared" si="0"/>
        <v>9T40PU2RF3788</v>
      </c>
      <c r="C43" s="4" t="s">
        <v>308</v>
      </c>
      <c r="D43" s="4" t="s">
        <v>59</v>
      </c>
      <c r="E43" s="4" t="s">
        <v>36</v>
      </c>
      <c r="F43" s="4" t="s">
        <v>28</v>
      </c>
      <c r="G43" s="6">
        <v>45778</v>
      </c>
      <c r="H43" s="6">
        <v>45778</v>
      </c>
      <c r="I43" s="5">
        <v>20411454</v>
      </c>
      <c r="J43" s="4" t="s">
        <v>204</v>
      </c>
      <c r="K43" s="4" t="s">
        <v>33</v>
      </c>
      <c r="L43" s="4">
        <v>-292</v>
      </c>
      <c r="M43" s="4">
        <v>-83.33</v>
      </c>
      <c r="N43" s="4" t="s">
        <v>187</v>
      </c>
    </row>
    <row r="44" spans="1:14" x14ac:dyDescent="0.25">
      <c r="A44" s="4" t="s">
        <v>139</v>
      </c>
      <c r="B44" s="4" t="str">
        <f t="shared" si="0"/>
        <v>5P53RH0CK1188</v>
      </c>
      <c r="C44" s="4" t="s">
        <v>309</v>
      </c>
      <c r="D44" s="4" t="s">
        <v>141</v>
      </c>
      <c r="E44" s="4" t="s">
        <v>36</v>
      </c>
      <c r="F44" s="4" t="s">
        <v>28</v>
      </c>
      <c r="G44" s="6">
        <v>45778</v>
      </c>
      <c r="H44" s="6">
        <v>45778</v>
      </c>
      <c r="I44" s="5">
        <v>20411454</v>
      </c>
      <c r="J44" s="4" t="s">
        <v>204</v>
      </c>
      <c r="K44" s="4" t="s">
        <v>33</v>
      </c>
      <c r="L44" s="4">
        <v>-292</v>
      </c>
      <c r="M44" s="4">
        <v>-83.33</v>
      </c>
      <c r="N44" s="4" t="s">
        <v>187</v>
      </c>
    </row>
    <row r="45" spans="1:14" s="9" customFormat="1" x14ac:dyDescent="0.25">
      <c r="A45" s="9" t="s">
        <v>156</v>
      </c>
      <c r="B45" s="9" t="str">
        <f t="shared" si="0"/>
        <v>4YD4U43EF6588</v>
      </c>
      <c r="C45" s="9" t="s">
        <v>310</v>
      </c>
      <c r="D45" s="9" t="s">
        <v>158</v>
      </c>
      <c r="E45" s="9" t="s">
        <v>36</v>
      </c>
      <c r="F45" s="9" t="s">
        <v>28</v>
      </c>
      <c r="G45" s="10">
        <v>45778</v>
      </c>
      <c r="H45" s="10">
        <v>45778</v>
      </c>
      <c r="I45" s="11">
        <v>20411454</v>
      </c>
      <c r="J45" s="9" t="s">
        <v>204</v>
      </c>
      <c r="K45" s="9" t="s">
        <v>33</v>
      </c>
      <c r="L45" s="9">
        <v>-292</v>
      </c>
      <c r="M45" s="9">
        <v>-83.33</v>
      </c>
      <c r="N45" s="9" t="s">
        <v>187</v>
      </c>
    </row>
    <row r="46" spans="1:14" x14ac:dyDescent="0.25">
      <c r="A46" s="4" t="s">
        <v>162</v>
      </c>
      <c r="B46" s="4" t="str">
        <f t="shared" si="0"/>
        <v>8QW1HX1FA0688</v>
      </c>
      <c r="C46" s="4" t="s">
        <v>311</v>
      </c>
      <c r="D46" s="4" t="s">
        <v>59</v>
      </c>
      <c r="E46" s="4" t="s">
        <v>36</v>
      </c>
      <c r="F46" s="4" t="s">
        <v>28</v>
      </c>
      <c r="G46" s="6">
        <v>45778</v>
      </c>
      <c r="H46" s="6">
        <v>45778</v>
      </c>
      <c r="I46" s="5">
        <v>20411454</v>
      </c>
      <c r="J46" s="4" t="s">
        <v>204</v>
      </c>
      <c r="K46" s="4" t="s">
        <v>33</v>
      </c>
      <c r="L46" s="4">
        <v>-292</v>
      </c>
      <c r="M46" s="4">
        <v>-83.33</v>
      </c>
      <c r="N46" s="4" t="s">
        <v>187</v>
      </c>
    </row>
    <row r="47" spans="1:14" x14ac:dyDescent="0.25">
      <c r="A47" s="4" t="s">
        <v>171</v>
      </c>
      <c r="B47" s="4" t="str">
        <f t="shared" si="0"/>
        <v>8Q10Y14DE0388</v>
      </c>
      <c r="C47" s="4" t="s">
        <v>289</v>
      </c>
      <c r="D47" s="4" t="s">
        <v>59</v>
      </c>
      <c r="E47" s="4" t="s">
        <v>36</v>
      </c>
      <c r="F47" s="4" t="s">
        <v>28</v>
      </c>
      <c r="G47" s="6">
        <v>45778</v>
      </c>
      <c r="H47" s="6">
        <v>45778</v>
      </c>
      <c r="I47" s="5">
        <v>20411454</v>
      </c>
      <c r="J47" s="4" t="s">
        <v>204</v>
      </c>
      <c r="K47" s="4" t="s">
        <v>33</v>
      </c>
      <c r="L47" s="4">
        <v>-292</v>
      </c>
      <c r="M47" s="4">
        <v>-83.33</v>
      </c>
      <c r="N47" s="4" t="s">
        <v>187</v>
      </c>
    </row>
    <row r="48" spans="1:14" x14ac:dyDescent="0.25">
      <c r="A48" s="4" t="s">
        <v>92</v>
      </c>
      <c r="B48" s="4" t="str">
        <f t="shared" si="0"/>
        <v>5QR4WX0EQ6488</v>
      </c>
      <c r="C48" s="4" t="s">
        <v>300</v>
      </c>
      <c r="D48" s="4" t="s">
        <v>26</v>
      </c>
      <c r="E48" s="4" t="s">
        <v>36</v>
      </c>
      <c r="F48" s="4" t="s">
        <v>28</v>
      </c>
      <c r="G48" s="6">
        <v>45809</v>
      </c>
      <c r="H48" s="6">
        <v>45809</v>
      </c>
      <c r="I48" s="5">
        <v>20411454</v>
      </c>
      <c r="J48" s="4" t="s">
        <v>204</v>
      </c>
      <c r="K48" s="4" t="s">
        <v>33</v>
      </c>
      <c r="L48" s="4">
        <v>-278.83</v>
      </c>
      <c r="M48" s="4">
        <v>-72.92</v>
      </c>
      <c r="N48" s="4" t="s">
        <v>187</v>
      </c>
    </row>
    <row r="49" spans="1:14" x14ac:dyDescent="0.25">
      <c r="A49" s="4" t="s">
        <v>116</v>
      </c>
      <c r="B49" s="4" t="str">
        <f t="shared" si="0"/>
        <v>1AD8MT0EU3688</v>
      </c>
      <c r="C49" s="4" t="s">
        <v>312</v>
      </c>
      <c r="D49" s="4" t="s">
        <v>118</v>
      </c>
      <c r="E49" s="4" t="s">
        <v>36</v>
      </c>
      <c r="F49" s="4" t="s">
        <v>28</v>
      </c>
      <c r="G49" s="6">
        <v>45809</v>
      </c>
      <c r="H49" s="6">
        <v>45809</v>
      </c>
      <c r="I49" s="5">
        <v>20411454</v>
      </c>
      <c r="J49" s="4" t="s">
        <v>204</v>
      </c>
      <c r="K49" s="4" t="s">
        <v>33</v>
      </c>
      <c r="L49" s="4">
        <v>-255.5</v>
      </c>
      <c r="M49" s="4">
        <v>-20.75</v>
      </c>
      <c r="N49" s="4" t="s">
        <v>187</v>
      </c>
    </row>
    <row r="50" spans="1:14" x14ac:dyDescent="0.25">
      <c r="A50" s="4" t="s">
        <v>131</v>
      </c>
      <c r="B50" s="4" t="str">
        <f t="shared" si="0"/>
        <v>4N13UT6WG1588</v>
      </c>
      <c r="C50" s="4" t="s">
        <v>296</v>
      </c>
      <c r="D50" s="4" t="s">
        <v>59</v>
      </c>
      <c r="E50" s="4" t="s">
        <v>36</v>
      </c>
      <c r="F50" s="4" t="s">
        <v>28</v>
      </c>
      <c r="G50" s="6">
        <v>45809</v>
      </c>
      <c r="H50" s="6">
        <v>45809</v>
      </c>
      <c r="I50" s="5">
        <v>20411454</v>
      </c>
      <c r="J50" s="4" t="s">
        <v>204</v>
      </c>
      <c r="K50" s="4" t="s">
        <v>33</v>
      </c>
      <c r="L50" s="4">
        <v>-255.5</v>
      </c>
      <c r="M50" s="4">
        <v>-20.75</v>
      </c>
      <c r="N50" s="4" t="s">
        <v>187</v>
      </c>
    </row>
    <row r="51" spans="1:14" x14ac:dyDescent="0.25">
      <c r="A51" s="4" t="s">
        <v>134</v>
      </c>
      <c r="B51" s="4" t="str">
        <f t="shared" si="0"/>
        <v>5GJ9J49QW3388</v>
      </c>
      <c r="C51" s="4" t="s">
        <v>292</v>
      </c>
      <c r="D51" s="4" t="s">
        <v>136</v>
      </c>
      <c r="E51" s="4" t="s">
        <v>36</v>
      </c>
      <c r="F51" s="4" t="s">
        <v>28</v>
      </c>
      <c r="G51" s="6">
        <v>45839</v>
      </c>
      <c r="H51" s="6">
        <v>45839</v>
      </c>
      <c r="I51" s="5">
        <v>20411454</v>
      </c>
      <c r="J51" s="4" t="s">
        <v>204</v>
      </c>
      <c r="K51" s="4" t="s">
        <v>33</v>
      </c>
      <c r="L51" s="4">
        <v>-219</v>
      </c>
      <c r="M51" s="4">
        <v>-62.5</v>
      </c>
      <c r="N51" s="4" t="s">
        <v>187</v>
      </c>
    </row>
    <row r="52" spans="1:14" x14ac:dyDescent="0.25">
      <c r="A52" s="4" t="s">
        <v>174</v>
      </c>
      <c r="B52" s="4" t="str">
        <f t="shared" si="0"/>
        <v>7RV7HD5RP3688</v>
      </c>
      <c r="C52" s="4" t="s">
        <v>288</v>
      </c>
      <c r="D52" s="4" t="s">
        <v>176</v>
      </c>
      <c r="E52" s="4" t="s">
        <v>36</v>
      </c>
      <c r="F52" s="4" t="s">
        <v>28</v>
      </c>
      <c r="G52" s="6">
        <v>45839</v>
      </c>
      <c r="H52" s="6">
        <v>45839</v>
      </c>
      <c r="I52" s="5">
        <v>20411454</v>
      </c>
      <c r="J52" s="4" t="s">
        <v>204</v>
      </c>
      <c r="K52" s="4" t="s">
        <v>33</v>
      </c>
      <c r="L52" s="4">
        <v>-219</v>
      </c>
      <c r="M52" s="4">
        <v>-62.5</v>
      </c>
      <c r="N52" s="4" t="s">
        <v>187</v>
      </c>
    </row>
    <row r="53" spans="1:14" x14ac:dyDescent="0.25">
      <c r="A53" s="4" t="s">
        <v>180</v>
      </c>
      <c r="B53" s="4" t="str">
        <f t="shared" si="0"/>
        <v>8P98KH6CE4188</v>
      </c>
      <c r="C53" s="4" t="s">
        <v>313</v>
      </c>
      <c r="D53" s="4" t="s">
        <v>26</v>
      </c>
      <c r="E53" s="4" t="s">
        <v>182</v>
      </c>
      <c r="F53" s="4" t="s">
        <v>28</v>
      </c>
      <c r="G53" s="6">
        <v>45689</v>
      </c>
      <c r="H53" s="6">
        <v>45689</v>
      </c>
      <c r="I53" s="5">
        <v>20411454</v>
      </c>
      <c r="J53" s="4" t="s">
        <v>204</v>
      </c>
      <c r="K53" s="4" t="s">
        <v>33</v>
      </c>
      <c r="L53" s="4">
        <v>-114.59</v>
      </c>
      <c r="M53" s="4">
        <v>-114.59</v>
      </c>
      <c r="N53" s="4" t="s">
        <v>187</v>
      </c>
    </row>
    <row r="54" spans="1:14" x14ac:dyDescent="0.25">
      <c r="A54" s="4" t="s">
        <v>38</v>
      </c>
      <c r="B54" s="4" t="str">
        <f t="shared" si="0"/>
        <v>4KN2Q67NJ8688</v>
      </c>
      <c r="C54" s="4" t="s">
        <v>314</v>
      </c>
      <c r="D54" s="4" t="s">
        <v>26</v>
      </c>
      <c r="E54" s="4" t="s">
        <v>36</v>
      </c>
      <c r="F54" s="4" t="s">
        <v>28</v>
      </c>
      <c r="G54" s="6">
        <v>45778</v>
      </c>
      <c r="H54" s="6">
        <v>45778</v>
      </c>
      <c r="I54" s="5">
        <v>20411454</v>
      </c>
      <c r="J54" s="4" t="s">
        <v>204</v>
      </c>
      <c r="K54" s="4" t="s">
        <v>33</v>
      </c>
      <c r="L54" s="4">
        <v>-83.34</v>
      </c>
      <c r="M54" s="4">
        <v>-83.34</v>
      </c>
      <c r="N54" s="4" t="s">
        <v>187</v>
      </c>
    </row>
    <row r="55" spans="1:14" x14ac:dyDescent="0.25">
      <c r="A55" s="4" t="s">
        <v>112</v>
      </c>
      <c r="B55" s="4" t="str">
        <f t="shared" si="0"/>
        <v>7RW0DY7CW3388</v>
      </c>
      <c r="C55" s="4" t="s">
        <v>315</v>
      </c>
      <c r="D55" s="4" t="s">
        <v>26</v>
      </c>
      <c r="E55" s="4" t="s">
        <v>36</v>
      </c>
      <c r="F55" s="4" t="s">
        <v>28</v>
      </c>
      <c r="G55" s="6">
        <v>45778</v>
      </c>
      <c r="H55" s="6">
        <v>45778</v>
      </c>
      <c r="I55" s="5">
        <v>20411454</v>
      </c>
      <c r="J55" s="4" t="s">
        <v>204</v>
      </c>
      <c r="K55" s="4" t="s">
        <v>33</v>
      </c>
      <c r="L55" s="4">
        <v>-80</v>
      </c>
      <c r="M55" s="4">
        <v>-80</v>
      </c>
      <c r="N55" s="4" t="s">
        <v>187</v>
      </c>
    </row>
    <row r="56" spans="1:14" x14ac:dyDescent="0.25">
      <c r="A56" s="4" t="s">
        <v>74</v>
      </c>
      <c r="B56" s="4" t="str">
        <f t="shared" si="0"/>
        <v>6RF6GV4EF6688</v>
      </c>
      <c r="C56" s="4" t="s">
        <v>316</v>
      </c>
      <c r="D56" s="4" t="s">
        <v>26</v>
      </c>
      <c r="E56" s="4" t="s">
        <v>36</v>
      </c>
      <c r="F56" s="4" t="s">
        <v>28</v>
      </c>
      <c r="G56" s="6">
        <v>45778</v>
      </c>
      <c r="H56" s="6">
        <v>45778</v>
      </c>
      <c r="I56" s="5">
        <v>20411454</v>
      </c>
      <c r="J56" s="4" t="s">
        <v>204</v>
      </c>
      <c r="K56" s="4" t="s">
        <v>33</v>
      </c>
      <c r="L56" s="4">
        <v>-26.67</v>
      </c>
      <c r="M56" s="4">
        <v>-26.67</v>
      </c>
      <c r="N56" s="4" t="s">
        <v>187</v>
      </c>
    </row>
    <row r="57" spans="1:14" x14ac:dyDescent="0.25">
      <c r="A57" s="4" t="s">
        <v>89</v>
      </c>
      <c r="B57" s="4" t="str">
        <f t="shared" si="0"/>
        <v>4HC3Q48EU7588</v>
      </c>
      <c r="C57" s="4" t="s">
        <v>317</v>
      </c>
      <c r="D57" s="4" t="s">
        <v>26</v>
      </c>
      <c r="E57" s="4" t="s">
        <v>36</v>
      </c>
      <c r="F57" s="4" t="s">
        <v>28</v>
      </c>
      <c r="G57" s="6">
        <v>45778</v>
      </c>
      <c r="H57" s="6">
        <v>45778</v>
      </c>
      <c r="I57" s="5">
        <v>20411454</v>
      </c>
      <c r="J57" s="4" t="s">
        <v>204</v>
      </c>
      <c r="K57" s="4" t="s">
        <v>33</v>
      </c>
      <c r="L57" s="4">
        <v>-26.67</v>
      </c>
      <c r="M57" s="4">
        <v>-26.67</v>
      </c>
      <c r="N57" s="4" t="s">
        <v>187</v>
      </c>
    </row>
    <row r="58" spans="1:14" x14ac:dyDescent="0.25">
      <c r="A58" s="4" t="s">
        <v>100</v>
      </c>
      <c r="B58" s="4" t="str">
        <f t="shared" si="0"/>
        <v>9F01TA1EE0288</v>
      </c>
      <c r="C58" s="4" t="s">
        <v>318</v>
      </c>
      <c r="D58" s="4" t="s">
        <v>26</v>
      </c>
      <c r="E58" s="4" t="s">
        <v>36</v>
      </c>
      <c r="F58" s="4" t="s">
        <v>28</v>
      </c>
      <c r="G58" s="6">
        <v>45809</v>
      </c>
      <c r="H58" s="6">
        <v>45809</v>
      </c>
      <c r="I58" s="5">
        <v>20411454</v>
      </c>
      <c r="J58" s="4" t="s">
        <v>204</v>
      </c>
      <c r="K58" s="4" t="s">
        <v>33</v>
      </c>
      <c r="L58" s="4">
        <v>-23.33</v>
      </c>
      <c r="M58" s="4">
        <v>-23.33</v>
      </c>
      <c r="N58" s="4" t="s">
        <v>187</v>
      </c>
    </row>
    <row r="59" spans="1:14" x14ac:dyDescent="0.25">
      <c r="A59" s="4" t="s">
        <v>145</v>
      </c>
      <c r="B59" s="4" t="str">
        <f t="shared" si="0"/>
        <v>7VH1U61JN1588</v>
      </c>
      <c r="C59" s="4" t="s">
        <v>319</v>
      </c>
      <c r="D59" s="4" t="s">
        <v>26</v>
      </c>
      <c r="E59" s="4" t="s">
        <v>46</v>
      </c>
      <c r="F59" s="4" t="s">
        <v>28</v>
      </c>
      <c r="G59" s="6">
        <v>45870</v>
      </c>
      <c r="H59" s="6">
        <v>45870</v>
      </c>
      <c r="I59" s="5">
        <v>20411454</v>
      </c>
      <c r="J59" s="4" t="s">
        <v>204</v>
      </c>
      <c r="K59" s="4" t="s">
        <v>33</v>
      </c>
      <c r="L59" s="4">
        <v>16.670000000000002</v>
      </c>
      <c r="M59" s="4">
        <v>16.670000000000002</v>
      </c>
      <c r="N59" s="4" t="s">
        <v>187</v>
      </c>
    </row>
    <row r="60" spans="1:14" x14ac:dyDescent="0.25">
      <c r="A60" s="4" t="s">
        <v>180</v>
      </c>
      <c r="B60" s="4" t="str">
        <f t="shared" si="0"/>
        <v>8P98KH6CE4188</v>
      </c>
      <c r="C60" s="4" t="s">
        <v>313</v>
      </c>
      <c r="D60" s="4" t="s">
        <v>26</v>
      </c>
      <c r="E60" s="4" t="s">
        <v>185</v>
      </c>
      <c r="F60" s="4" t="s">
        <v>28</v>
      </c>
      <c r="G60" s="6">
        <v>45689</v>
      </c>
      <c r="H60" s="6">
        <v>45689</v>
      </c>
      <c r="I60" s="5">
        <v>20411454</v>
      </c>
      <c r="J60" s="4" t="s">
        <v>204</v>
      </c>
      <c r="K60" s="4" t="s">
        <v>33</v>
      </c>
      <c r="L60" s="4">
        <v>31.25</v>
      </c>
      <c r="M60" s="4">
        <v>31.25</v>
      </c>
      <c r="N60" s="4" t="s">
        <v>187</v>
      </c>
    </row>
    <row r="61" spans="1:14" x14ac:dyDescent="0.25">
      <c r="A61" s="4" t="s">
        <v>74</v>
      </c>
      <c r="B61" s="4" t="str">
        <f t="shared" si="0"/>
        <v>6RF6GV4EF6688</v>
      </c>
      <c r="C61" s="4" t="s">
        <v>316</v>
      </c>
      <c r="D61" s="4" t="s">
        <v>26</v>
      </c>
      <c r="E61" s="4" t="s">
        <v>27</v>
      </c>
      <c r="F61" s="4" t="s">
        <v>28</v>
      </c>
      <c r="G61" s="6">
        <v>45778</v>
      </c>
      <c r="H61" s="6">
        <v>45778</v>
      </c>
      <c r="I61" s="5">
        <v>20411454</v>
      </c>
      <c r="J61" s="4" t="s">
        <v>204</v>
      </c>
      <c r="K61" s="4" t="s">
        <v>33</v>
      </c>
      <c r="L61" s="4">
        <v>40</v>
      </c>
      <c r="M61" s="4">
        <v>40</v>
      </c>
      <c r="N61" s="4" t="s">
        <v>187</v>
      </c>
    </row>
    <row r="62" spans="1:14" x14ac:dyDescent="0.25">
      <c r="A62" s="4" t="s">
        <v>89</v>
      </c>
      <c r="B62" s="4" t="str">
        <f t="shared" si="0"/>
        <v>4HC3Q48EU7588</v>
      </c>
      <c r="C62" s="4" t="s">
        <v>317</v>
      </c>
      <c r="D62" s="4" t="s">
        <v>26</v>
      </c>
      <c r="E62" s="4" t="s">
        <v>27</v>
      </c>
      <c r="F62" s="4" t="s">
        <v>28</v>
      </c>
      <c r="G62" s="6">
        <v>45778</v>
      </c>
      <c r="H62" s="6">
        <v>45778</v>
      </c>
      <c r="I62" s="5">
        <v>20411454</v>
      </c>
      <c r="J62" s="4" t="s">
        <v>204</v>
      </c>
      <c r="K62" s="4" t="s">
        <v>33</v>
      </c>
      <c r="L62" s="4">
        <v>40</v>
      </c>
      <c r="M62" s="4">
        <v>40</v>
      </c>
      <c r="N62" s="4" t="s">
        <v>187</v>
      </c>
    </row>
    <row r="63" spans="1:14" x14ac:dyDescent="0.25">
      <c r="A63" s="4" t="s">
        <v>100</v>
      </c>
      <c r="B63" s="4" t="str">
        <f t="shared" si="0"/>
        <v>9F01TA1EE0288</v>
      </c>
      <c r="C63" s="4" t="s">
        <v>318</v>
      </c>
      <c r="D63" s="4" t="s">
        <v>26</v>
      </c>
      <c r="E63" s="4" t="s">
        <v>27</v>
      </c>
      <c r="F63" s="4" t="s">
        <v>28</v>
      </c>
      <c r="G63" s="6">
        <v>45809</v>
      </c>
      <c r="H63" s="6">
        <v>45809</v>
      </c>
      <c r="I63" s="5">
        <v>20411454</v>
      </c>
      <c r="J63" s="4" t="s">
        <v>204</v>
      </c>
      <c r="K63" s="4" t="s">
        <v>33</v>
      </c>
      <c r="L63" s="4">
        <v>40</v>
      </c>
      <c r="M63" s="4">
        <v>40</v>
      </c>
      <c r="N63" s="4" t="s">
        <v>187</v>
      </c>
    </row>
    <row r="64" spans="1:14" x14ac:dyDescent="0.25">
      <c r="A64" s="4" t="s">
        <v>112</v>
      </c>
      <c r="B64" s="4" t="str">
        <f t="shared" ref="B64:B94" si="1">CONCATENATE(A64,88)</f>
        <v>7RW0DY7CW3388</v>
      </c>
      <c r="C64" s="4" t="s">
        <v>315</v>
      </c>
      <c r="D64" s="4" t="s">
        <v>26</v>
      </c>
      <c r="E64" s="4" t="s">
        <v>56</v>
      </c>
      <c r="F64" s="4" t="s">
        <v>28</v>
      </c>
      <c r="G64" s="6">
        <v>45778</v>
      </c>
      <c r="H64" s="6">
        <v>45778</v>
      </c>
      <c r="I64" s="5">
        <v>20411454</v>
      </c>
      <c r="J64" s="4" t="s">
        <v>204</v>
      </c>
      <c r="K64" s="4" t="s">
        <v>33</v>
      </c>
      <c r="L64" s="4">
        <v>80</v>
      </c>
      <c r="M64" s="4">
        <v>80</v>
      </c>
      <c r="N64" s="4" t="s">
        <v>187</v>
      </c>
    </row>
    <row r="65" spans="1:15" x14ac:dyDescent="0.25">
      <c r="A65" s="4" t="s">
        <v>38</v>
      </c>
      <c r="B65" s="4" t="str">
        <f t="shared" si="1"/>
        <v>4KN2Q67NJ8688</v>
      </c>
      <c r="C65" s="4" t="s">
        <v>314</v>
      </c>
      <c r="D65" s="4" t="s">
        <v>26</v>
      </c>
      <c r="E65" s="4" t="s">
        <v>27</v>
      </c>
      <c r="F65" s="4" t="s">
        <v>28</v>
      </c>
      <c r="G65" s="6">
        <v>45778</v>
      </c>
      <c r="H65" s="6">
        <v>45778</v>
      </c>
      <c r="I65" s="5">
        <v>20411454</v>
      </c>
      <c r="J65" s="4" t="s">
        <v>204</v>
      </c>
      <c r="K65" s="4" t="s">
        <v>33</v>
      </c>
      <c r="L65" s="4">
        <v>125</v>
      </c>
      <c r="M65" s="4">
        <v>125</v>
      </c>
      <c r="N65" s="4" t="s">
        <v>187</v>
      </c>
    </row>
    <row r="66" spans="1:15" x14ac:dyDescent="0.25">
      <c r="A66" s="4" t="s">
        <v>147</v>
      </c>
      <c r="B66" s="4" t="str">
        <f t="shared" si="1"/>
        <v>4RG8UV8NF5088</v>
      </c>
      <c r="C66" s="4" t="s">
        <v>302</v>
      </c>
      <c r="D66" s="4" t="s">
        <v>26</v>
      </c>
      <c r="E66" s="4" t="s">
        <v>149</v>
      </c>
      <c r="F66" s="4" t="s">
        <v>28</v>
      </c>
      <c r="G66" s="6">
        <v>45689</v>
      </c>
      <c r="H66" s="6">
        <v>45689</v>
      </c>
      <c r="I66" s="5">
        <v>20411454</v>
      </c>
      <c r="J66" s="4" t="s">
        <v>204</v>
      </c>
      <c r="K66" s="4" t="s">
        <v>33</v>
      </c>
      <c r="L66" s="4">
        <v>159.33000000000001</v>
      </c>
      <c r="M66" s="4">
        <v>41.66</v>
      </c>
      <c r="N66" s="4" t="s">
        <v>187</v>
      </c>
    </row>
    <row r="67" spans="1:15" x14ac:dyDescent="0.25">
      <c r="A67" s="4" t="s">
        <v>168</v>
      </c>
      <c r="B67" s="4" t="str">
        <f t="shared" si="1"/>
        <v>3VX4JF7TF6188</v>
      </c>
      <c r="C67" s="4" t="s">
        <v>303</v>
      </c>
      <c r="D67" s="4" t="s">
        <v>26</v>
      </c>
      <c r="E67" s="4" t="s">
        <v>46</v>
      </c>
      <c r="F67" s="4" t="s">
        <v>28</v>
      </c>
      <c r="G67" s="6">
        <v>45870</v>
      </c>
      <c r="H67" s="6">
        <v>45870</v>
      </c>
      <c r="I67" s="5">
        <v>20411454</v>
      </c>
      <c r="J67" s="4" t="s">
        <v>204</v>
      </c>
      <c r="K67" s="4" t="s">
        <v>33</v>
      </c>
      <c r="L67" s="4">
        <v>199.17</v>
      </c>
      <c r="M67" s="4">
        <v>52.08</v>
      </c>
      <c r="N67" s="4" t="s">
        <v>187</v>
      </c>
    </row>
    <row r="68" spans="1:15" x14ac:dyDescent="0.25">
      <c r="A68" s="4" t="s">
        <v>77</v>
      </c>
      <c r="B68" s="4" t="str">
        <f t="shared" si="1"/>
        <v>9JU5H84MX7288</v>
      </c>
      <c r="C68" s="4" t="s">
        <v>287</v>
      </c>
      <c r="D68" s="4" t="s">
        <v>79</v>
      </c>
      <c r="E68" s="4" t="s">
        <v>46</v>
      </c>
      <c r="F68" s="4" t="s">
        <v>28</v>
      </c>
      <c r="G68" s="6">
        <v>45839</v>
      </c>
      <c r="H68" s="6">
        <v>45839</v>
      </c>
      <c r="I68" s="5">
        <v>20411454</v>
      </c>
      <c r="J68" s="4" t="s">
        <v>204</v>
      </c>
      <c r="K68" s="4" t="s">
        <v>33</v>
      </c>
      <c r="L68" s="4">
        <v>219</v>
      </c>
      <c r="M68" s="4">
        <v>62.5</v>
      </c>
      <c r="N68" s="4" t="s">
        <v>187</v>
      </c>
    </row>
    <row r="69" spans="1:15" x14ac:dyDescent="0.25">
      <c r="A69" s="4" t="s">
        <v>43</v>
      </c>
      <c r="B69" s="4" t="str">
        <f t="shared" si="1"/>
        <v>8RD6HM7CE6488</v>
      </c>
      <c r="C69" s="4" t="s">
        <v>294</v>
      </c>
      <c r="D69" s="4" t="s">
        <v>45</v>
      </c>
      <c r="E69" s="4" t="s">
        <v>46</v>
      </c>
      <c r="F69" s="4" t="s">
        <v>28</v>
      </c>
      <c r="G69" s="6">
        <v>45809</v>
      </c>
      <c r="H69" s="6">
        <v>45809</v>
      </c>
      <c r="I69" s="5">
        <v>20411454</v>
      </c>
      <c r="J69" s="4" t="s">
        <v>204</v>
      </c>
      <c r="K69" s="4" t="s">
        <v>33</v>
      </c>
      <c r="L69" s="4">
        <v>255.5</v>
      </c>
      <c r="M69" s="4">
        <v>20.75</v>
      </c>
      <c r="N69" s="4" t="s">
        <v>187</v>
      </c>
    </row>
    <row r="70" spans="1:15" x14ac:dyDescent="0.25">
      <c r="A70" s="4" t="s">
        <v>108</v>
      </c>
      <c r="B70" s="4" t="str">
        <f t="shared" si="1"/>
        <v>5GF1KY2TD3588</v>
      </c>
      <c r="C70" s="4" t="s">
        <v>290</v>
      </c>
      <c r="D70" s="4" t="s">
        <v>59</v>
      </c>
      <c r="E70" s="4" t="s">
        <v>46</v>
      </c>
      <c r="F70" s="4" t="s">
        <v>28</v>
      </c>
      <c r="G70" s="6">
        <v>45809</v>
      </c>
      <c r="H70" s="6">
        <v>45809</v>
      </c>
      <c r="I70" s="5">
        <v>20411454</v>
      </c>
      <c r="J70" s="4" t="s">
        <v>204</v>
      </c>
      <c r="K70" s="4" t="s">
        <v>33</v>
      </c>
      <c r="L70" s="4">
        <v>255.5</v>
      </c>
      <c r="M70" s="4">
        <v>20.75</v>
      </c>
      <c r="N70" s="4" t="s">
        <v>187</v>
      </c>
    </row>
    <row r="71" spans="1:15" x14ac:dyDescent="0.25">
      <c r="A71" s="4" t="s">
        <v>165</v>
      </c>
      <c r="B71" s="4" t="str">
        <f t="shared" si="1"/>
        <v>1G92KF3RH9488</v>
      </c>
      <c r="C71" s="4" t="s">
        <v>320</v>
      </c>
      <c r="D71" s="4" t="s">
        <v>59</v>
      </c>
      <c r="E71" s="4" t="s">
        <v>46</v>
      </c>
      <c r="F71" s="4" t="s">
        <v>28</v>
      </c>
      <c r="G71" s="6">
        <v>45809</v>
      </c>
      <c r="H71" s="6">
        <v>45809</v>
      </c>
      <c r="I71" s="5">
        <v>20411454</v>
      </c>
      <c r="J71" s="4" t="s">
        <v>204</v>
      </c>
      <c r="K71" s="4" t="s">
        <v>33</v>
      </c>
      <c r="L71" s="4">
        <v>255.5</v>
      </c>
      <c r="M71" s="4">
        <v>20.75</v>
      </c>
      <c r="N71" s="4" t="s">
        <v>187</v>
      </c>
    </row>
    <row r="72" spans="1:15" x14ac:dyDescent="0.25">
      <c r="A72" s="4" t="s">
        <v>57</v>
      </c>
      <c r="B72" s="4" t="str">
        <f t="shared" si="1"/>
        <v>8XD3KQ9NP0188</v>
      </c>
      <c r="C72" s="4" t="s">
        <v>321</v>
      </c>
      <c r="D72" s="4" t="s">
        <v>59</v>
      </c>
      <c r="E72" s="4" t="s">
        <v>46</v>
      </c>
      <c r="F72" s="4" t="s">
        <v>28</v>
      </c>
      <c r="G72" s="6">
        <v>45778</v>
      </c>
      <c r="H72" s="6">
        <v>45778</v>
      </c>
      <c r="I72" s="5">
        <v>20411454</v>
      </c>
      <c r="J72" s="4" t="s">
        <v>204</v>
      </c>
      <c r="K72" s="4" t="s">
        <v>33</v>
      </c>
      <c r="L72" s="4">
        <v>292</v>
      </c>
      <c r="M72" s="4">
        <v>83.33</v>
      </c>
      <c r="N72" s="4" t="s">
        <v>187</v>
      </c>
    </row>
    <row r="73" spans="1:15" x14ac:dyDescent="0.25">
      <c r="A73" s="4" t="s">
        <v>106</v>
      </c>
      <c r="B73" s="4" t="str">
        <f t="shared" si="1"/>
        <v>1Q73KG5JD7888</v>
      </c>
      <c r="C73" s="4" t="s">
        <v>295</v>
      </c>
      <c r="D73" s="4" t="s">
        <v>45</v>
      </c>
      <c r="E73" s="4" t="s">
        <v>46</v>
      </c>
      <c r="F73" s="4" t="s">
        <v>28</v>
      </c>
      <c r="G73" s="6">
        <v>45778</v>
      </c>
      <c r="H73" s="6">
        <v>45778</v>
      </c>
      <c r="I73" s="5">
        <v>20411454</v>
      </c>
      <c r="J73" s="4" t="s">
        <v>204</v>
      </c>
      <c r="K73" s="4" t="s">
        <v>33</v>
      </c>
      <c r="L73" s="4">
        <v>292</v>
      </c>
      <c r="M73" s="4">
        <v>83.33</v>
      </c>
      <c r="N73" s="4" t="s">
        <v>187</v>
      </c>
    </row>
    <row r="74" spans="1:15" x14ac:dyDescent="0.25">
      <c r="A74" s="4" t="s">
        <v>152</v>
      </c>
      <c r="B74" s="4" t="str">
        <f t="shared" si="1"/>
        <v>8JU4J58CC9488</v>
      </c>
      <c r="C74" s="4" t="s">
        <v>322</v>
      </c>
      <c r="D74" s="4" t="s">
        <v>26</v>
      </c>
      <c r="E74" s="4" t="s">
        <v>46</v>
      </c>
      <c r="F74" s="4" t="s">
        <v>28</v>
      </c>
      <c r="G74" s="6">
        <v>45778</v>
      </c>
      <c r="H74" s="6">
        <v>45778</v>
      </c>
      <c r="I74" s="5">
        <v>20411454</v>
      </c>
      <c r="J74" s="4" t="s">
        <v>204</v>
      </c>
      <c r="K74" s="4" t="s">
        <v>33</v>
      </c>
      <c r="L74" s="4">
        <v>318.67</v>
      </c>
      <c r="M74" s="4">
        <v>83.33</v>
      </c>
      <c r="N74" s="4" t="s">
        <v>187</v>
      </c>
    </row>
    <row r="75" spans="1:15" s="9" customFormat="1" x14ac:dyDescent="0.25">
      <c r="A75" s="9" t="s">
        <v>156</v>
      </c>
      <c r="B75" s="9" t="str">
        <f t="shared" si="1"/>
        <v>4YD4U43EF6588</v>
      </c>
      <c r="C75" s="9" t="s">
        <v>310</v>
      </c>
      <c r="D75" s="9" t="s">
        <v>158</v>
      </c>
      <c r="E75" s="9" t="s">
        <v>56</v>
      </c>
      <c r="F75" s="9" t="s">
        <v>28</v>
      </c>
      <c r="G75" s="10">
        <v>45778</v>
      </c>
      <c r="H75" s="10">
        <v>45778</v>
      </c>
      <c r="I75" s="11">
        <v>20411454</v>
      </c>
      <c r="J75" s="9" t="s">
        <v>204</v>
      </c>
      <c r="K75" s="9" t="s">
        <v>33</v>
      </c>
      <c r="L75" s="9">
        <v>500.67</v>
      </c>
      <c r="M75" s="9">
        <f>125/12*8</f>
        <v>83.333333333333329</v>
      </c>
      <c r="N75" s="9" t="s">
        <v>187</v>
      </c>
    </row>
    <row r="76" spans="1:15" s="9" customFormat="1" x14ac:dyDescent="0.25">
      <c r="A76" s="9" t="s">
        <v>156</v>
      </c>
      <c r="B76" s="9" t="str">
        <f t="shared" si="1"/>
        <v>4YD4U43EF6588</v>
      </c>
      <c r="C76" s="9" t="s">
        <v>310</v>
      </c>
      <c r="D76" s="9" t="s">
        <v>158</v>
      </c>
      <c r="E76" s="9" t="s">
        <v>56</v>
      </c>
      <c r="F76" s="9" t="s">
        <v>28</v>
      </c>
      <c r="G76" s="10">
        <v>45778</v>
      </c>
      <c r="H76" s="10">
        <v>45778</v>
      </c>
      <c r="I76" s="11">
        <v>371819</v>
      </c>
      <c r="J76" s="9" t="s">
        <v>161</v>
      </c>
      <c r="K76" s="9" t="s">
        <v>33</v>
      </c>
      <c r="L76" s="9">
        <v>500.67</v>
      </c>
      <c r="M76" s="9">
        <v>417.33333333333331</v>
      </c>
      <c r="N76" s="9" t="s">
        <v>199</v>
      </c>
      <c r="O76" s="9" t="s">
        <v>200</v>
      </c>
    </row>
    <row r="77" spans="1:15" x14ac:dyDescent="0.25">
      <c r="A77" s="4" t="s">
        <v>62</v>
      </c>
      <c r="B77" s="4" t="str">
        <f t="shared" si="1"/>
        <v>9H59TD8GF5788</v>
      </c>
      <c r="C77" s="4" t="s">
        <v>305</v>
      </c>
      <c r="D77" s="4" t="s">
        <v>59</v>
      </c>
      <c r="E77" s="4" t="s">
        <v>27</v>
      </c>
      <c r="F77" s="4" t="s">
        <v>28</v>
      </c>
      <c r="G77" s="6">
        <v>45778</v>
      </c>
      <c r="H77" s="6">
        <v>45778</v>
      </c>
      <c r="I77" s="5">
        <v>20411454</v>
      </c>
      <c r="J77" s="4" t="s">
        <v>204</v>
      </c>
      <c r="K77" s="4" t="s">
        <v>33</v>
      </c>
      <c r="L77" s="4">
        <v>751</v>
      </c>
      <c r="M77" s="4">
        <v>125</v>
      </c>
      <c r="N77" s="4" t="s">
        <v>187</v>
      </c>
    </row>
    <row r="78" spans="1:15" x14ac:dyDescent="0.25">
      <c r="A78" s="4" t="s">
        <v>66</v>
      </c>
      <c r="B78" s="4" t="str">
        <f t="shared" si="1"/>
        <v>3UR8D65XC2388</v>
      </c>
      <c r="C78" s="4" t="s">
        <v>297</v>
      </c>
      <c r="D78" s="4" t="s">
        <v>59</v>
      </c>
      <c r="E78" s="4" t="s">
        <v>27</v>
      </c>
      <c r="F78" s="4" t="s">
        <v>28</v>
      </c>
      <c r="G78" s="6">
        <v>45778</v>
      </c>
      <c r="H78" s="6">
        <v>45778</v>
      </c>
      <c r="I78" s="5">
        <v>20411454</v>
      </c>
      <c r="J78" s="4" t="s">
        <v>204</v>
      </c>
      <c r="K78" s="4" t="s">
        <v>33</v>
      </c>
      <c r="L78" s="4">
        <v>751</v>
      </c>
      <c r="M78" s="4">
        <v>125</v>
      </c>
      <c r="N78" s="4" t="s">
        <v>187</v>
      </c>
    </row>
    <row r="79" spans="1:15" x14ac:dyDescent="0.25">
      <c r="A79" s="4" t="s">
        <v>71</v>
      </c>
      <c r="B79" s="4" t="str">
        <f t="shared" si="1"/>
        <v>4EH5NJ3MD5788</v>
      </c>
      <c r="C79" s="4" t="s">
        <v>306</v>
      </c>
      <c r="D79" s="4" t="s">
        <v>59</v>
      </c>
      <c r="E79" s="4" t="s">
        <v>27</v>
      </c>
      <c r="F79" s="4" t="s">
        <v>28</v>
      </c>
      <c r="G79" s="6">
        <v>45778</v>
      </c>
      <c r="H79" s="6">
        <v>45778</v>
      </c>
      <c r="I79" s="5">
        <v>20411454</v>
      </c>
      <c r="J79" s="4" t="s">
        <v>204</v>
      </c>
      <c r="K79" s="4" t="s">
        <v>33</v>
      </c>
      <c r="L79" s="4">
        <v>751</v>
      </c>
      <c r="M79" s="4">
        <v>125</v>
      </c>
      <c r="N79" s="4" t="s">
        <v>187</v>
      </c>
    </row>
    <row r="80" spans="1:15" x14ac:dyDescent="0.25">
      <c r="A80" s="4" t="s">
        <v>82</v>
      </c>
      <c r="B80" s="4" t="str">
        <f t="shared" si="1"/>
        <v>4D04GP0KH8488</v>
      </c>
      <c r="C80" s="4" t="s">
        <v>307</v>
      </c>
      <c r="D80" s="4" t="s">
        <v>84</v>
      </c>
      <c r="E80" s="4" t="s">
        <v>27</v>
      </c>
      <c r="F80" s="4" t="s">
        <v>28</v>
      </c>
      <c r="G80" s="6">
        <v>45778</v>
      </c>
      <c r="H80" s="6">
        <v>45778</v>
      </c>
      <c r="I80" s="5">
        <v>20411454</v>
      </c>
      <c r="J80" s="4" t="s">
        <v>204</v>
      </c>
      <c r="K80" s="4" t="s">
        <v>33</v>
      </c>
      <c r="L80" s="4">
        <v>751</v>
      </c>
      <c r="M80" s="4">
        <v>125</v>
      </c>
      <c r="N80" s="4" t="s">
        <v>187</v>
      </c>
    </row>
    <row r="81" spans="1:15" x14ac:dyDescent="0.25">
      <c r="A81" s="4" t="s">
        <v>86</v>
      </c>
      <c r="B81" s="4" t="str">
        <f t="shared" si="1"/>
        <v>4HQ0UJ4NK0088</v>
      </c>
      <c r="C81" s="4" t="s">
        <v>293</v>
      </c>
      <c r="D81" s="4" t="s">
        <v>59</v>
      </c>
      <c r="E81" s="4" t="s">
        <v>27</v>
      </c>
      <c r="F81" s="4" t="s">
        <v>28</v>
      </c>
      <c r="G81" s="6">
        <v>45778</v>
      </c>
      <c r="H81" s="6">
        <v>45778</v>
      </c>
      <c r="I81" s="5">
        <v>20411454</v>
      </c>
      <c r="J81" s="4" t="s">
        <v>204</v>
      </c>
      <c r="K81" s="4" t="s">
        <v>33</v>
      </c>
      <c r="L81" s="4">
        <v>751</v>
      </c>
      <c r="M81" s="4">
        <v>125</v>
      </c>
      <c r="N81" s="4" t="s">
        <v>187</v>
      </c>
    </row>
    <row r="82" spans="1:15" x14ac:dyDescent="0.25">
      <c r="A82" s="4" t="s">
        <v>96</v>
      </c>
      <c r="B82" s="4" t="str">
        <f t="shared" si="1"/>
        <v>5AK2MD3VQ9988</v>
      </c>
      <c r="C82" s="4" t="s">
        <v>298</v>
      </c>
      <c r="D82" s="4" t="s">
        <v>59</v>
      </c>
      <c r="E82" s="4" t="s">
        <v>27</v>
      </c>
      <c r="F82" s="4" t="s">
        <v>28</v>
      </c>
      <c r="G82" s="6">
        <v>45778</v>
      </c>
      <c r="H82" s="6">
        <v>45778</v>
      </c>
      <c r="I82" s="5">
        <v>20411454</v>
      </c>
      <c r="J82" s="4" t="s">
        <v>204</v>
      </c>
      <c r="K82" s="4" t="s">
        <v>33</v>
      </c>
      <c r="L82" s="4">
        <v>751</v>
      </c>
      <c r="M82" s="4">
        <v>125</v>
      </c>
      <c r="N82" s="4" t="s">
        <v>187</v>
      </c>
    </row>
    <row r="83" spans="1:15" x14ac:dyDescent="0.25">
      <c r="A83" s="4" t="s">
        <v>98</v>
      </c>
      <c r="B83" s="4" t="str">
        <f t="shared" si="1"/>
        <v>4RK2N91NH0288</v>
      </c>
      <c r="C83" s="4" t="s">
        <v>299</v>
      </c>
      <c r="D83" s="4" t="s">
        <v>59</v>
      </c>
      <c r="E83" s="4" t="s">
        <v>27</v>
      </c>
      <c r="F83" s="4" t="s">
        <v>28</v>
      </c>
      <c r="G83" s="6">
        <v>45778</v>
      </c>
      <c r="H83" s="6">
        <v>45778</v>
      </c>
      <c r="I83" s="5">
        <v>20411454</v>
      </c>
      <c r="J83" s="4" t="s">
        <v>204</v>
      </c>
      <c r="K83" s="4" t="s">
        <v>33</v>
      </c>
      <c r="L83" s="4">
        <v>751</v>
      </c>
      <c r="M83" s="4">
        <v>125</v>
      </c>
      <c r="N83" s="4" t="s">
        <v>187</v>
      </c>
    </row>
    <row r="84" spans="1:15" x14ac:dyDescent="0.25">
      <c r="A84" s="4" t="s">
        <v>104</v>
      </c>
      <c r="B84" s="4" t="str">
        <f t="shared" si="1"/>
        <v>9T40PU2RF3788</v>
      </c>
      <c r="C84" s="4" t="s">
        <v>308</v>
      </c>
      <c r="D84" s="4" t="s">
        <v>59</v>
      </c>
      <c r="E84" s="4" t="s">
        <v>27</v>
      </c>
      <c r="F84" s="4" t="s">
        <v>28</v>
      </c>
      <c r="G84" s="6">
        <v>45778</v>
      </c>
      <c r="H84" s="6">
        <v>45778</v>
      </c>
      <c r="I84" s="5">
        <v>20411454</v>
      </c>
      <c r="J84" s="4" t="s">
        <v>204</v>
      </c>
      <c r="K84" s="4" t="s">
        <v>33</v>
      </c>
      <c r="L84" s="4">
        <v>751</v>
      </c>
      <c r="M84" s="4">
        <v>125</v>
      </c>
      <c r="N84" s="4" t="s">
        <v>187</v>
      </c>
    </row>
    <row r="85" spans="1:15" x14ac:dyDescent="0.25">
      <c r="A85" s="4" t="s">
        <v>116</v>
      </c>
      <c r="B85" s="4" t="str">
        <f t="shared" si="1"/>
        <v>1AD8MT0EU3688</v>
      </c>
      <c r="C85" s="4" t="s">
        <v>312</v>
      </c>
      <c r="D85" s="4" t="s">
        <v>118</v>
      </c>
      <c r="E85" s="4" t="s">
        <v>27</v>
      </c>
      <c r="F85" s="4" t="s">
        <v>28</v>
      </c>
      <c r="G85" s="6">
        <v>45809</v>
      </c>
      <c r="H85" s="6">
        <v>45809</v>
      </c>
      <c r="I85" s="5">
        <v>20411454</v>
      </c>
      <c r="J85" s="4" t="s">
        <v>204</v>
      </c>
      <c r="K85" s="4" t="s">
        <v>33</v>
      </c>
      <c r="L85" s="4">
        <v>751</v>
      </c>
      <c r="M85" s="4">
        <v>125</v>
      </c>
      <c r="N85" s="4" t="s">
        <v>187</v>
      </c>
    </row>
    <row r="86" spans="1:15" x14ac:dyDescent="0.25">
      <c r="A86" s="4" t="s">
        <v>131</v>
      </c>
      <c r="B86" s="4" t="str">
        <f t="shared" si="1"/>
        <v>4N13UT6WG1588</v>
      </c>
      <c r="C86" s="4" t="s">
        <v>296</v>
      </c>
      <c r="D86" s="4" t="s">
        <v>59</v>
      </c>
      <c r="E86" s="4" t="s">
        <v>27</v>
      </c>
      <c r="F86" s="4" t="s">
        <v>28</v>
      </c>
      <c r="G86" s="6">
        <v>45809</v>
      </c>
      <c r="H86" s="6">
        <v>45809</v>
      </c>
      <c r="I86" s="5">
        <v>20411454</v>
      </c>
      <c r="J86" s="4" t="s">
        <v>204</v>
      </c>
      <c r="K86" s="4" t="s">
        <v>33</v>
      </c>
      <c r="L86" s="4">
        <v>751</v>
      </c>
      <c r="M86" s="4">
        <v>125</v>
      </c>
      <c r="N86" s="4" t="s">
        <v>187</v>
      </c>
    </row>
    <row r="87" spans="1:15" x14ac:dyDescent="0.25">
      <c r="A87" s="4" t="s">
        <v>134</v>
      </c>
      <c r="B87" s="4" t="str">
        <f t="shared" si="1"/>
        <v>5GJ9J49QW3388</v>
      </c>
      <c r="C87" s="4" t="s">
        <v>292</v>
      </c>
      <c r="D87" s="4" t="s">
        <v>136</v>
      </c>
      <c r="E87" s="4" t="s">
        <v>27</v>
      </c>
      <c r="F87" s="4" t="s">
        <v>28</v>
      </c>
      <c r="G87" s="6">
        <v>45839</v>
      </c>
      <c r="H87" s="6">
        <v>45839</v>
      </c>
      <c r="I87" s="5">
        <v>20411454</v>
      </c>
      <c r="J87" s="4" t="s">
        <v>204</v>
      </c>
      <c r="K87" s="4" t="s">
        <v>33</v>
      </c>
      <c r="L87" s="4">
        <v>751</v>
      </c>
      <c r="M87" s="4">
        <v>125</v>
      </c>
      <c r="N87" s="4" t="s">
        <v>187</v>
      </c>
    </row>
    <row r="88" spans="1:15" x14ac:dyDescent="0.25">
      <c r="A88" s="4" t="s">
        <v>139</v>
      </c>
      <c r="B88" s="4" t="str">
        <f t="shared" si="1"/>
        <v>5P53RH0CK1188</v>
      </c>
      <c r="C88" s="4" t="s">
        <v>309</v>
      </c>
      <c r="D88" s="4" t="s">
        <v>141</v>
      </c>
      <c r="E88" s="4" t="s">
        <v>27</v>
      </c>
      <c r="F88" s="4" t="s">
        <v>28</v>
      </c>
      <c r="G88" s="6">
        <v>45778</v>
      </c>
      <c r="H88" s="6">
        <v>45778</v>
      </c>
      <c r="I88" s="5">
        <v>20411454</v>
      </c>
      <c r="J88" s="4" t="s">
        <v>204</v>
      </c>
      <c r="K88" s="4" t="s">
        <v>33</v>
      </c>
      <c r="L88" s="4">
        <v>751</v>
      </c>
      <c r="M88" s="4">
        <v>125</v>
      </c>
      <c r="N88" s="4" t="s">
        <v>187</v>
      </c>
    </row>
    <row r="89" spans="1:15" x14ac:dyDescent="0.25">
      <c r="A89" s="4" t="s">
        <v>162</v>
      </c>
      <c r="B89" s="4" t="str">
        <f t="shared" si="1"/>
        <v>8QW1HX1FA0688</v>
      </c>
      <c r="C89" s="4" t="s">
        <v>311</v>
      </c>
      <c r="D89" s="4" t="s">
        <v>59</v>
      </c>
      <c r="E89" s="4" t="s">
        <v>27</v>
      </c>
      <c r="F89" s="4" t="s">
        <v>28</v>
      </c>
      <c r="G89" s="6">
        <v>45778</v>
      </c>
      <c r="H89" s="6">
        <v>45778</v>
      </c>
      <c r="I89" s="5">
        <v>20411454</v>
      </c>
      <c r="J89" s="4" t="s">
        <v>204</v>
      </c>
      <c r="K89" s="4" t="s">
        <v>33</v>
      </c>
      <c r="L89" s="4">
        <v>751</v>
      </c>
      <c r="M89" s="4">
        <v>125</v>
      </c>
      <c r="N89" s="4" t="s">
        <v>187</v>
      </c>
    </row>
    <row r="90" spans="1:15" x14ac:dyDescent="0.25">
      <c r="A90" s="4" t="s">
        <v>171</v>
      </c>
      <c r="B90" s="4" t="str">
        <f t="shared" si="1"/>
        <v>8Q10Y14DE0388</v>
      </c>
      <c r="C90" s="4" t="s">
        <v>289</v>
      </c>
      <c r="D90" s="4" t="s">
        <v>59</v>
      </c>
      <c r="E90" s="4" t="s">
        <v>27</v>
      </c>
      <c r="F90" s="4" t="s">
        <v>28</v>
      </c>
      <c r="G90" s="6">
        <v>45778</v>
      </c>
      <c r="H90" s="6">
        <v>45778</v>
      </c>
      <c r="I90" s="5">
        <v>20411454</v>
      </c>
      <c r="J90" s="4" t="s">
        <v>204</v>
      </c>
      <c r="K90" s="4" t="s">
        <v>33</v>
      </c>
      <c r="L90" s="4">
        <v>751</v>
      </c>
      <c r="M90" s="4">
        <v>125</v>
      </c>
      <c r="N90" s="4" t="s">
        <v>187</v>
      </c>
    </row>
    <row r="91" spans="1:15" x14ac:dyDescent="0.25">
      <c r="A91" s="4" t="s">
        <v>174</v>
      </c>
      <c r="B91" s="4" t="str">
        <f t="shared" si="1"/>
        <v>7RV7HD5RP3688</v>
      </c>
      <c r="C91" s="4" t="s">
        <v>288</v>
      </c>
      <c r="D91" s="4" t="s">
        <v>176</v>
      </c>
      <c r="E91" s="4" t="s">
        <v>27</v>
      </c>
      <c r="F91" s="4" t="s">
        <v>28</v>
      </c>
      <c r="G91" s="6">
        <v>45839</v>
      </c>
      <c r="H91" s="6">
        <v>45839</v>
      </c>
      <c r="I91" s="5">
        <v>20411454</v>
      </c>
      <c r="J91" s="4" t="s">
        <v>204</v>
      </c>
      <c r="K91" s="4" t="s">
        <v>33</v>
      </c>
      <c r="L91" s="4">
        <v>751</v>
      </c>
      <c r="M91" s="4">
        <v>125</v>
      </c>
      <c r="N91" s="4" t="s">
        <v>187</v>
      </c>
    </row>
    <row r="92" spans="1:15" x14ac:dyDescent="0.25">
      <c r="A92" s="4" t="s">
        <v>24</v>
      </c>
      <c r="B92" s="4" t="str">
        <f t="shared" si="1"/>
        <v>7HY1A81YF1188</v>
      </c>
      <c r="C92" s="4" t="s">
        <v>304</v>
      </c>
      <c r="D92" s="4" t="s">
        <v>26</v>
      </c>
      <c r="E92" s="4" t="s">
        <v>27</v>
      </c>
      <c r="F92" s="4" t="s">
        <v>28</v>
      </c>
      <c r="G92" s="6">
        <v>45778</v>
      </c>
      <c r="H92" s="6">
        <v>45778</v>
      </c>
      <c r="I92" s="5">
        <v>20411454</v>
      </c>
      <c r="J92" s="4" t="s">
        <v>204</v>
      </c>
      <c r="K92" s="4" t="s">
        <v>33</v>
      </c>
      <c r="L92" s="4">
        <v>830</v>
      </c>
      <c r="M92" s="4">
        <v>125</v>
      </c>
      <c r="N92" s="4" t="s">
        <v>187</v>
      </c>
    </row>
    <row r="93" spans="1:15" x14ac:dyDescent="0.25">
      <c r="A93" s="4" t="s">
        <v>92</v>
      </c>
      <c r="B93" s="4" t="str">
        <f t="shared" si="1"/>
        <v>5QR4WX0EQ6488</v>
      </c>
      <c r="C93" s="4" t="s">
        <v>300</v>
      </c>
      <c r="D93" s="4" t="s">
        <v>26</v>
      </c>
      <c r="E93" s="4" t="s">
        <v>27</v>
      </c>
      <c r="F93" s="4" t="s">
        <v>28</v>
      </c>
      <c r="G93" s="6">
        <v>45809</v>
      </c>
      <c r="H93" s="6">
        <v>45809</v>
      </c>
      <c r="I93" s="5">
        <v>20411454</v>
      </c>
      <c r="J93" s="4" t="s">
        <v>204</v>
      </c>
      <c r="K93" s="4" t="s">
        <v>33</v>
      </c>
      <c r="L93" s="4">
        <v>830</v>
      </c>
      <c r="M93" s="4">
        <v>125</v>
      </c>
      <c r="N93" s="4" t="s">
        <v>187</v>
      </c>
    </row>
    <row r="94" spans="1:15" x14ac:dyDescent="0.25">
      <c r="A94" s="4" t="s">
        <v>121</v>
      </c>
      <c r="B94" s="4" t="str">
        <f t="shared" si="1"/>
        <v>5T94NU9RY7788</v>
      </c>
      <c r="C94" s="4" t="s">
        <v>301</v>
      </c>
      <c r="D94" s="4" t="s">
        <v>26</v>
      </c>
      <c r="E94" s="4" t="s">
        <v>27</v>
      </c>
      <c r="F94" s="4" t="s">
        <v>28</v>
      </c>
      <c r="G94" s="6">
        <v>45748</v>
      </c>
      <c r="H94" s="6">
        <v>45748</v>
      </c>
      <c r="I94" s="5">
        <v>20411454</v>
      </c>
      <c r="J94" s="4" t="s">
        <v>204</v>
      </c>
      <c r="K94" s="4" t="s">
        <v>33</v>
      </c>
      <c r="L94" s="4">
        <v>830</v>
      </c>
      <c r="M94" s="4">
        <v>125</v>
      </c>
      <c r="N94" s="4" t="s">
        <v>187</v>
      </c>
    </row>
    <row r="95" spans="1:15" x14ac:dyDescent="0.25">
      <c r="A95" s="4" t="s">
        <v>152</v>
      </c>
      <c r="B95" s="4" t="str">
        <f>CONCATENATE(A95,8)</f>
        <v>8JU4J58CC948</v>
      </c>
      <c r="C95" s="4" t="s">
        <v>322</v>
      </c>
      <c r="D95" s="4" t="s">
        <v>26</v>
      </c>
      <c r="E95" s="4" t="s">
        <v>46</v>
      </c>
      <c r="F95" s="4" t="s">
        <v>28</v>
      </c>
      <c r="G95" s="6">
        <v>45778</v>
      </c>
      <c r="H95" s="6">
        <v>45778</v>
      </c>
      <c r="I95" s="5" t="s">
        <v>206</v>
      </c>
      <c r="J95" s="4" t="s">
        <v>155</v>
      </c>
      <c r="K95" s="4" t="s">
        <v>33</v>
      </c>
      <c r="L95" s="4">
        <v>318.67</v>
      </c>
      <c r="M95" s="4">
        <v>235.33</v>
      </c>
      <c r="N95" s="4" t="s">
        <v>186</v>
      </c>
      <c r="O95" s="4" t="s">
        <v>191</v>
      </c>
    </row>
    <row r="96" spans="1:15" s="9" customFormat="1" x14ac:dyDescent="0.25">
      <c r="A96" s="9" t="s">
        <v>156</v>
      </c>
      <c r="B96" s="9" t="str">
        <f>CONCATENATE(A96,8)</f>
        <v>4YD4U43EF658</v>
      </c>
      <c r="C96" s="9" t="s">
        <v>310</v>
      </c>
      <c r="D96" s="9" t="s">
        <v>158</v>
      </c>
      <c r="E96" s="9" t="s">
        <v>36</v>
      </c>
      <c r="F96" s="9" t="s">
        <v>28</v>
      </c>
      <c r="G96" s="10">
        <v>45778</v>
      </c>
      <c r="H96" s="10">
        <v>45778</v>
      </c>
      <c r="I96" s="11">
        <v>371819</v>
      </c>
      <c r="J96" s="9" t="s">
        <v>161</v>
      </c>
      <c r="K96" s="9" t="s">
        <v>33</v>
      </c>
      <c r="L96" s="9">
        <v>-292</v>
      </c>
      <c r="M96" s="9">
        <v>-208.67</v>
      </c>
      <c r="N96" s="9" t="s">
        <v>189</v>
      </c>
      <c r="O96" s="9" t="s">
        <v>192</v>
      </c>
    </row>
    <row r="97" spans="1:15" x14ac:dyDescent="0.25">
      <c r="A97" s="4" t="s">
        <v>116</v>
      </c>
      <c r="B97" s="4" t="str">
        <f>CONCATENATE(A97,7)</f>
        <v>1AD8MT0EU367</v>
      </c>
      <c r="C97" s="4" t="s">
        <v>312</v>
      </c>
      <c r="D97" s="4" t="s">
        <v>118</v>
      </c>
      <c r="E97" s="4" t="s">
        <v>27</v>
      </c>
      <c r="F97" s="4" t="s">
        <v>28</v>
      </c>
      <c r="G97" s="6">
        <v>45809</v>
      </c>
      <c r="H97" s="6">
        <v>45809</v>
      </c>
      <c r="I97" s="5">
        <v>9213293</v>
      </c>
      <c r="J97" s="4" t="s">
        <v>120</v>
      </c>
      <c r="K97" s="4" t="s">
        <v>33</v>
      </c>
      <c r="L97" s="4">
        <v>751</v>
      </c>
      <c r="M97" s="4">
        <v>626</v>
      </c>
      <c r="N97" s="4" t="s">
        <v>199</v>
      </c>
      <c r="O97" s="4" t="s">
        <v>201</v>
      </c>
    </row>
    <row r="98" spans="1:15" x14ac:dyDescent="0.25">
      <c r="A98" s="4" t="s">
        <v>116</v>
      </c>
      <c r="B98" s="4" t="str">
        <f>CONCATENATE(A98,8)</f>
        <v>1AD8MT0EU368</v>
      </c>
      <c r="C98" s="4" t="s">
        <v>312</v>
      </c>
      <c r="D98" s="4" t="s">
        <v>118</v>
      </c>
      <c r="E98" s="4" t="s">
        <v>36</v>
      </c>
      <c r="F98" s="4" t="s">
        <v>28</v>
      </c>
      <c r="G98" s="6">
        <v>45809</v>
      </c>
      <c r="H98" s="6">
        <v>45809</v>
      </c>
      <c r="I98" s="5">
        <v>9213293</v>
      </c>
      <c r="J98" s="4" t="s">
        <v>120</v>
      </c>
      <c r="K98" s="4" t="s">
        <v>33</v>
      </c>
      <c r="L98" s="4">
        <v>-255.5</v>
      </c>
      <c r="M98" s="4">
        <v>-234.75</v>
      </c>
      <c r="N98" s="4" t="s">
        <v>189</v>
      </c>
      <c r="O98" s="4" t="s">
        <v>195</v>
      </c>
    </row>
    <row r="99" spans="1:15" x14ac:dyDescent="0.25">
      <c r="A99" s="4" t="s">
        <v>62</v>
      </c>
      <c r="B99" s="4" t="str">
        <f>CONCATENATE(A99,7)</f>
        <v>9H59TD8GF577</v>
      </c>
      <c r="C99" s="4" t="s">
        <v>305</v>
      </c>
      <c r="D99" s="4" t="s">
        <v>59</v>
      </c>
      <c r="E99" s="4" t="s">
        <v>27</v>
      </c>
      <c r="F99" s="4" t="s">
        <v>28</v>
      </c>
      <c r="G99" s="6">
        <v>45778</v>
      </c>
      <c r="H99" s="6">
        <v>45778</v>
      </c>
      <c r="I99" s="5">
        <v>19645587</v>
      </c>
      <c r="J99" s="4" t="s">
        <v>65</v>
      </c>
      <c r="K99" s="4" t="s">
        <v>33</v>
      </c>
      <c r="L99" s="4">
        <v>751</v>
      </c>
      <c r="M99" s="4">
        <v>626</v>
      </c>
      <c r="N99" s="4" t="s">
        <v>199</v>
      </c>
      <c r="O99" s="4" t="s">
        <v>201</v>
      </c>
    </row>
    <row r="100" spans="1:15" x14ac:dyDescent="0.25">
      <c r="A100" s="4" t="s">
        <v>104</v>
      </c>
      <c r="B100" s="4" t="str">
        <f>CONCATENATE(A100,7)</f>
        <v>9T40PU2RF377</v>
      </c>
      <c r="C100" s="4" t="s">
        <v>308</v>
      </c>
      <c r="D100" s="4" t="s">
        <v>59</v>
      </c>
      <c r="E100" s="4" t="s">
        <v>27</v>
      </c>
      <c r="F100" s="4" t="s">
        <v>28</v>
      </c>
      <c r="G100" s="6">
        <v>45778</v>
      </c>
      <c r="H100" s="6">
        <v>45778</v>
      </c>
      <c r="I100" s="5">
        <v>19645587</v>
      </c>
      <c r="J100" s="4" t="s">
        <v>65</v>
      </c>
      <c r="K100" s="4" t="s">
        <v>33</v>
      </c>
      <c r="L100" s="4">
        <v>751</v>
      </c>
      <c r="M100" s="4">
        <v>626</v>
      </c>
      <c r="N100" s="4" t="s">
        <v>199</v>
      </c>
      <c r="O100" s="4" t="s">
        <v>201</v>
      </c>
    </row>
    <row r="101" spans="1:15" x14ac:dyDescent="0.25">
      <c r="A101" s="4" t="s">
        <v>62</v>
      </c>
      <c r="B101" s="4" t="str">
        <f>CONCATENATE(A101,8)</f>
        <v>9H59TD8GF578</v>
      </c>
      <c r="C101" s="4" t="s">
        <v>305</v>
      </c>
      <c r="D101" s="4" t="s">
        <v>59</v>
      </c>
      <c r="E101" s="4" t="s">
        <v>36</v>
      </c>
      <c r="F101" s="4" t="s">
        <v>28</v>
      </c>
      <c r="G101" s="6">
        <v>45778</v>
      </c>
      <c r="H101" s="6">
        <v>45778</v>
      </c>
      <c r="I101" s="5">
        <v>19645587</v>
      </c>
      <c r="J101" s="4" t="s">
        <v>65</v>
      </c>
      <c r="K101" s="4" t="s">
        <v>33</v>
      </c>
      <c r="L101" s="4">
        <v>-292</v>
      </c>
      <c r="M101" s="4">
        <v>-208.67</v>
      </c>
      <c r="N101" s="4" t="s">
        <v>189</v>
      </c>
      <c r="O101" s="4" t="s">
        <v>192</v>
      </c>
    </row>
    <row r="102" spans="1:15" x14ac:dyDescent="0.25">
      <c r="A102" s="4" t="s">
        <v>104</v>
      </c>
      <c r="B102" s="4" t="str">
        <f>CONCATENATE(A102,8)</f>
        <v>9T40PU2RF378</v>
      </c>
      <c r="C102" s="4" t="s">
        <v>308</v>
      </c>
      <c r="D102" s="4" t="s">
        <v>59</v>
      </c>
      <c r="E102" s="4" t="s">
        <v>36</v>
      </c>
      <c r="F102" s="4" t="s">
        <v>28</v>
      </c>
      <c r="G102" s="6">
        <v>45778</v>
      </c>
      <c r="H102" s="6">
        <v>45778</v>
      </c>
      <c r="I102" s="5">
        <v>19645587</v>
      </c>
      <c r="J102" s="4" t="s">
        <v>65</v>
      </c>
      <c r="K102" s="4" t="s">
        <v>33</v>
      </c>
      <c r="L102" s="4">
        <v>-292</v>
      </c>
      <c r="M102" s="4">
        <v>-208.67</v>
      </c>
      <c r="N102" s="4" t="s">
        <v>189</v>
      </c>
      <c r="O102" s="4" t="s">
        <v>192</v>
      </c>
    </row>
    <row r="103" spans="1:15" x14ac:dyDescent="0.25">
      <c r="A103" s="4" t="s">
        <v>139</v>
      </c>
      <c r="B103" s="4" t="str">
        <f>CONCATENATE(A103,7)</f>
        <v>5P53RH0CK117</v>
      </c>
      <c r="C103" s="4" t="s">
        <v>309</v>
      </c>
      <c r="D103" s="4" t="s">
        <v>141</v>
      </c>
      <c r="E103" s="4" t="s">
        <v>27</v>
      </c>
      <c r="F103" s="4" t="s">
        <v>28</v>
      </c>
      <c r="G103" s="6">
        <v>45778</v>
      </c>
      <c r="H103" s="6">
        <v>45778</v>
      </c>
      <c r="I103" s="5">
        <v>16509456</v>
      </c>
      <c r="J103" s="4" t="s">
        <v>144</v>
      </c>
      <c r="K103" s="4" t="s">
        <v>33</v>
      </c>
      <c r="L103" s="4">
        <v>751</v>
      </c>
      <c r="M103" s="4">
        <v>626</v>
      </c>
      <c r="N103" s="4" t="s">
        <v>199</v>
      </c>
      <c r="O103" s="4" t="s">
        <v>201</v>
      </c>
    </row>
    <row r="104" spans="1:15" x14ac:dyDescent="0.25">
      <c r="A104" s="4" t="s">
        <v>139</v>
      </c>
      <c r="B104" s="4" t="str">
        <f>CONCATENATE(A104,8)</f>
        <v>5P53RH0CK118</v>
      </c>
      <c r="C104" s="4" t="s">
        <v>309</v>
      </c>
      <c r="D104" s="4" t="s">
        <v>141</v>
      </c>
      <c r="E104" s="4" t="s">
        <v>36</v>
      </c>
      <c r="F104" s="4" t="s">
        <v>28</v>
      </c>
      <c r="G104" s="6">
        <v>45778</v>
      </c>
      <c r="H104" s="6">
        <v>45778</v>
      </c>
      <c r="I104" s="5">
        <v>16509456</v>
      </c>
      <c r="J104" s="4" t="s">
        <v>144</v>
      </c>
      <c r="K104" s="4" t="s">
        <v>33</v>
      </c>
      <c r="L104" s="4">
        <v>-292</v>
      </c>
      <c r="M104" s="4">
        <v>-208.67</v>
      </c>
      <c r="N104" s="4" t="s">
        <v>189</v>
      </c>
      <c r="O104" s="4" t="s">
        <v>192</v>
      </c>
    </row>
    <row r="105" spans="1:15" x14ac:dyDescent="0.25">
      <c r="A105" s="4" t="s">
        <v>57</v>
      </c>
      <c r="B105" s="4" t="str">
        <f>CONCATENATE(A105,8)</f>
        <v>8XD3KQ9NP018</v>
      </c>
      <c r="C105" s="4" t="s">
        <v>321</v>
      </c>
      <c r="D105" s="4" t="s">
        <v>59</v>
      </c>
      <c r="E105" s="4" t="s">
        <v>46</v>
      </c>
      <c r="F105" s="4" t="s">
        <v>28</v>
      </c>
      <c r="G105" s="6">
        <v>45778</v>
      </c>
      <c r="H105" s="6">
        <v>45778</v>
      </c>
      <c r="I105" s="5">
        <v>20490188</v>
      </c>
      <c r="J105" s="4" t="s">
        <v>61</v>
      </c>
      <c r="K105" s="4" t="s">
        <v>33</v>
      </c>
      <c r="L105" s="4">
        <v>292</v>
      </c>
      <c r="M105" s="4">
        <v>208.67</v>
      </c>
      <c r="N105" s="4" t="s">
        <v>189</v>
      </c>
      <c r="O105" s="4" t="s">
        <v>192</v>
      </c>
    </row>
    <row r="106" spans="1:15" x14ac:dyDescent="0.25">
      <c r="A106" s="4" t="s">
        <v>162</v>
      </c>
      <c r="B106" s="4" t="str">
        <f>CONCATENATE(A106,7)</f>
        <v>8QW1HX1FA067</v>
      </c>
      <c r="C106" s="4" t="s">
        <v>311</v>
      </c>
      <c r="D106" s="4" t="s">
        <v>59</v>
      </c>
      <c r="E106" s="4" t="s">
        <v>27</v>
      </c>
      <c r="F106" s="4" t="s">
        <v>28</v>
      </c>
      <c r="G106" s="6">
        <v>45778</v>
      </c>
      <c r="H106" s="6">
        <v>45778</v>
      </c>
      <c r="I106" s="5">
        <v>19681796</v>
      </c>
      <c r="J106" s="4" t="s">
        <v>164</v>
      </c>
      <c r="K106" s="4" t="s">
        <v>33</v>
      </c>
      <c r="L106" s="4">
        <v>751</v>
      </c>
      <c r="M106" s="4">
        <v>626</v>
      </c>
      <c r="N106" s="4" t="s">
        <v>199</v>
      </c>
      <c r="O106" s="4" t="s">
        <v>201</v>
      </c>
    </row>
    <row r="107" spans="1:15" x14ac:dyDescent="0.25">
      <c r="A107" s="4" t="s">
        <v>162</v>
      </c>
      <c r="B107" s="4" t="str">
        <f>CONCATENATE(A107,8)</f>
        <v>8QW1HX1FA068</v>
      </c>
      <c r="C107" s="4" t="s">
        <v>311</v>
      </c>
      <c r="D107" s="4" t="s">
        <v>59</v>
      </c>
      <c r="E107" s="4" t="s">
        <v>36</v>
      </c>
      <c r="F107" s="4" t="s">
        <v>28</v>
      </c>
      <c r="G107" s="6">
        <v>45778</v>
      </c>
      <c r="H107" s="6">
        <v>45778</v>
      </c>
      <c r="I107" s="5">
        <v>19681796</v>
      </c>
      <c r="J107" s="4" t="s">
        <v>164</v>
      </c>
      <c r="K107" s="4" t="s">
        <v>33</v>
      </c>
      <c r="L107" s="4">
        <v>-292</v>
      </c>
      <c r="M107" s="4">
        <v>-208.67</v>
      </c>
      <c r="N107" s="4" t="s">
        <v>189</v>
      </c>
      <c r="O107" s="4" t="s">
        <v>192</v>
      </c>
    </row>
    <row r="108" spans="1:15" x14ac:dyDescent="0.25">
      <c r="A108" s="4" t="s">
        <v>24</v>
      </c>
      <c r="B108" s="4" t="str">
        <f>CONCATENATE(A108,7)</f>
        <v>7HY1A81YF117</v>
      </c>
      <c r="C108" s="4" t="s">
        <v>304</v>
      </c>
      <c r="D108" s="4" t="s">
        <v>26</v>
      </c>
      <c r="E108" s="4" t="s">
        <v>27</v>
      </c>
      <c r="F108" s="4" t="s">
        <v>28</v>
      </c>
      <c r="G108" s="6">
        <v>45778</v>
      </c>
      <c r="H108" s="6">
        <v>45778</v>
      </c>
      <c r="I108" s="5">
        <v>8307933</v>
      </c>
      <c r="J108" s="4" t="s">
        <v>32</v>
      </c>
      <c r="K108" s="4" t="s">
        <v>33</v>
      </c>
      <c r="L108" s="4">
        <v>830</v>
      </c>
      <c r="M108" s="4">
        <v>705</v>
      </c>
      <c r="N108" s="4" t="s">
        <v>203</v>
      </c>
      <c r="O108" s="4" t="s">
        <v>202</v>
      </c>
    </row>
    <row r="109" spans="1:15" x14ac:dyDescent="0.25">
      <c r="A109" s="4" t="s">
        <v>24</v>
      </c>
      <c r="B109" s="4" t="str">
        <f>CONCATENATE(A109,8)</f>
        <v>7HY1A81YF118</v>
      </c>
      <c r="C109" s="4" t="s">
        <v>304</v>
      </c>
      <c r="D109" s="4" t="s">
        <v>26</v>
      </c>
      <c r="E109" s="4" t="s">
        <v>36</v>
      </c>
      <c r="F109" s="4" t="s">
        <v>28</v>
      </c>
      <c r="G109" s="6">
        <v>45778</v>
      </c>
      <c r="H109" s="6">
        <v>45778</v>
      </c>
      <c r="I109" s="5">
        <v>8307933</v>
      </c>
      <c r="J109" s="4" t="s">
        <v>32</v>
      </c>
      <c r="K109" s="4" t="s">
        <v>33</v>
      </c>
      <c r="L109" s="4">
        <v>-318.67</v>
      </c>
      <c r="M109" s="4">
        <v>-235.33</v>
      </c>
      <c r="N109" s="4" t="s">
        <v>186</v>
      </c>
      <c r="O109" s="4" t="s">
        <v>191</v>
      </c>
    </row>
    <row r="110" spans="1:15" x14ac:dyDescent="0.25">
      <c r="A110" s="4" t="s">
        <v>71</v>
      </c>
      <c r="B110" s="4" t="str">
        <f>CONCATENATE(A110,7)</f>
        <v>4EH5NJ3MD577</v>
      </c>
      <c r="C110" s="4" t="s">
        <v>306</v>
      </c>
      <c r="D110" s="4" t="s">
        <v>59</v>
      </c>
      <c r="E110" s="4" t="s">
        <v>27</v>
      </c>
      <c r="F110" s="4" t="s">
        <v>28</v>
      </c>
      <c r="G110" s="6">
        <v>45778</v>
      </c>
      <c r="H110" s="6">
        <v>45778</v>
      </c>
      <c r="I110" s="5">
        <v>8307933</v>
      </c>
      <c r="J110" s="4" t="s">
        <v>32</v>
      </c>
      <c r="K110" s="4" t="s">
        <v>33</v>
      </c>
      <c r="L110" s="4">
        <v>751</v>
      </c>
      <c r="M110" s="4">
        <v>626</v>
      </c>
      <c r="N110" s="4" t="s">
        <v>199</v>
      </c>
      <c r="O110" s="4" t="s">
        <v>201</v>
      </c>
    </row>
    <row r="111" spans="1:15" x14ac:dyDescent="0.25">
      <c r="A111" s="4" t="s">
        <v>82</v>
      </c>
      <c r="B111" s="4" t="str">
        <f>CONCATENATE(A111,7)</f>
        <v>4D04GP0KH847</v>
      </c>
      <c r="C111" s="4" t="s">
        <v>307</v>
      </c>
      <c r="D111" s="4" t="s">
        <v>84</v>
      </c>
      <c r="E111" s="4" t="s">
        <v>27</v>
      </c>
      <c r="F111" s="4" t="s">
        <v>28</v>
      </c>
      <c r="G111" s="6">
        <v>45778</v>
      </c>
      <c r="H111" s="6">
        <v>45778</v>
      </c>
      <c r="I111" s="5">
        <v>8307933</v>
      </c>
      <c r="J111" s="4" t="s">
        <v>32</v>
      </c>
      <c r="K111" s="4" t="s">
        <v>33</v>
      </c>
      <c r="L111" s="4">
        <v>751</v>
      </c>
      <c r="M111" s="4">
        <v>626</v>
      </c>
      <c r="N111" s="4" t="s">
        <v>199</v>
      </c>
      <c r="O111" s="4" t="s">
        <v>201</v>
      </c>
    </row>
    <row r="112" spans="1:15" x14ac:dyDescent="0.25">
      <c r="A112" s="4" t="s">
        <v>71</v>
      </c>
      <c r="B112" s="4" t="str">
        <f>CONCATENATE(A112,8)</f>
        <v>4EH5NJ3MD578</v>
      </c>
      <c r="C112" s="4" t="s">
        <v>306</v>
      </c>
      <c r="D112" s="4" t="s">
        <v>59</v>
      </c>
      <c r="E112" s="4" t="s">
        <v>36</v>
      </c>
      <c r="F112" s="4" t="s">
        <v>28</v>
      </c>
      <c r="G112" s="6">
        <v>45778</v>
      </c>
      <c r="H112" s="6">
        <v>45778</v>
      </c>
      <c r="I112" s="5">
        <v>8307933</v>
      </c>
      <c r="J112" s="4" t="s">
        <v>32</v>
      </c>
      <c r="K112" s="4" t="s">
        <v>33</v>
      </c>
      <c r="L112" s="4">
        <v>-292</v>
      </c>
      <c r="M112" s="4">
        <v>-208.67</v>
      </c>
      <c r="N112" s="4" t="s">
        <v>189</v>
      </c>
      <c r="O112" s="4" t="s">
        <v>192</v>
      </c>
    </row>
    <row r="113" spans="1:15" x14ac:dyDescent="0.25">
      <c r="A113" s="4" t="s">
        <v>82</v>
      </c>
      <c r="B113" s="4" t="str">
        <f>CONCATENATE(A113,8)</f>
        <v>4D04GP0KH848</v>
      </c>
      <c r="C113" s="4" t="s">
        <v>307</v>
      </c>
      <c r="D113" s="4" t="s">
        <v>84</v>
      </c>
      <c r="E113" s="4" t="s">
        <v>36</v>
      </c>
      <c r="F113" s="4" t="s">
        <v>28</v>
      </c>
      <c r="G113" s="6">
        <v>45778</v>
      </c>
      <c r="H113" s="6">
        <v>45778</v>
      </c>
      <c r="I113" s="5">
        <v>8307933</v>
      </c>
      <c r="J113" s="4" t="s">
        <v>32</v>
      </c>
      <c r="K113" s="4" t="s">
        <v>33</v>
      </c>
      <c r="L113" s="4">
        <v>-292</v>
      </c>
      <c r="M113" s="4">
        <v>-208.67</v>
      </c>
      <c r="N113" s="4" t="s">
        <v>189</v>
      </c>
      <c r="O113" s="4" t="s">
        <v>192</v>
      </c>
    </row>
    <row r="114" spans="1:15" x14ac:dyDescent="0.25">
      <c r="A114" s="4" t="s">
        <v>165</v>
      </c>
      <c r="B114" s="4" t="str">
        <f>CONCATENATE(A114,8)</f>
        <v>1G92KF3RH948</v>
      </c>
      <c r="C114" s="4" t="s">
        <v>320</v>
      </c>
      <c r="D114" s="4" t="s">
        <v>59</v>
      </c>
      <c r="E114" s="4" t="s">
        <v>46</v>
      </c>
      <c r="F114" s="4" t="s">
        <v>28</v>
      </c>
      <c r="G114" s="6">
        <v>45809</v>
      </c>
      <c r="H114" s="6">
        <v>45809</v>
      </c>
      <c r="I114" s="5">
        <v>18754354</v>
      </c>
      <c r="J114" s="4" t="s">
        <v>167</v>
      </c>
      <c r="K114" s="4" t="s">
        <v>33</v>
      </c>
      <c r="L114" s="4">
        <v>255.5</v>
      </c>
      <c r="M114" s="4">
        <v>234.75</v>
      </c>
      <c r="N114" s="4" t="s">
        <v>189</v>
      </c>
      <c r="O114" s="4" t="s">
        <v>195</v>
      </c>
    </row>
    <row r="115" spans="1:15" x14ac:dyDescent="0.25">
      <c r="G115" s="6"/>
      <c r="H115" s="6"/>
    </row>
    <row r="116" spans="1:15" x14ac:dyDescent="0.25">
      <c r="G116" s="6"/>
      <c r="H116" s="6"/>
    </row>
    <row r="117" spans="1:15" x14ac:dyDescent="0.25">
      <c r="G117" s="6"/>
      <c r="H117" s="6"/>
    </row>
    <row r="118" spans="1:15" x14ac:dyDescent="0.25">
      <c r="G118" s="6"/>
      <c r="H118" s="6"/>
    </row>
    <row r="119" spans="1:15" x14ac:dyDescent="0.25">
      <c r="G119" s="6"/>
      <c r="H119" s="6"/>
    </row>
    <row r="120" spans="1:15" x14ac:dyDescent="0.25">
      <c r="G120" s="6"/>
      <c r="H120" s="6"/>
    </row>
    <row r="121" spans="1:15" x14ac:dyDescent="0.25">
      <c r="G121" s="6"/>
      <c r="H121" s="6"/>
    </row>
    <row r="122" spans="1:15" x14ac:dyDescent="0.25">
      <c r="G122" s="6"/>
      <c r="H122" s="6"/>
    </row>
    <row r="123" spans="1:15" x14ac:dyDescent="0.25">
      <c r="G123" s="6"/>
      <c r="H123" s="6"/>
    </row>
    <row r="124" spans="1:15" x14ac:dyDescent="0.25">
      <c r="G124" s="6"/>
      <c r="H124" s="6"/>
    </row>
    <row r="125" spans="1:15" x14ac:dyDescent="0.25">
      <c r="G125" s="6"/>
      <c r="H125" s="6"/>
    </row>
    <row r="126" spans="1:15" x14ac:dyDescent="0.25">
      <c r="G126" s="6"/>
      <c r="H126" s="6"/>
    </row>
    <row r="127" spans="1:15" x14ac:dyDescent="0.25">
      <c r="G127" s="6"/>
      <c r="H127" s="6"/>
    </row>
    <row r="128" spans="1:15" x14ac:dyDescent="0.25">
      <c r="G128" s="6"/>
      <c r="H128" s="6"/>
    </row>
    <row r="129" spans="7:8" x14ac:dyDescent="0.25">
      <c r="G129" s="6"/>
      <c r="H129" s="6"/>
    </row>
    <row r="130" spans="7:8" x14ac:dyDescent="0.25">
      <c r="G130" s="6"/>
      <c r="H130" s="6"/>
    </row>
    <row r="131" spans="7:8" x14ac:dyDescent="0.25">
      <c r="G131" s="6"/>
      <c r="H131" s="6"/>
    </row>
    <row r="132" spans="7:8" x14ac:dyDescent="0.25">
      <c r="G132" s="6"/>
      <c r="H132" s="6"/>
    </row>
    <row r="133" spans="7:8" x14ac:dyDescent="0.25">
      <c r="G133" s="6"/>
      <c r="H133" s="6"/>
    </row>
    <row r="134" spans="7:8" x14ac:dyDescent="0.25">
      <c r="G134" s="6"/>
      <c r="H134" s="6"/>
    </row>
    <row r="135" spans="7:8" x14ac:dyDescent="0.25">
      <c r="G135" s="6"/>
      <c r="H135" s="6"/>
    </row>
    <row r="136" spans="7:8" x14ac:dyDescent="0.25">
      <c r="G136" s="6"/>
      <c r="H136" s="6"/>
    </row>
    <row r="137" spans="7:8" x14ac:dyDescent="0.25">
      <c r="G137" s="6"/>
      <c r="H137" s="6"/>
    </row>
    <row r="138" spans="7:8" x14ac:dyDescent="0.25">
      <c r="G138" s="6"/>
      <c r="H138" s="6"/>
    </row>
    <row r="139" spans="7:8" x14ac:dyDescent="0.25">
      <c r="G139" s="6"/>
      <c r="H139" s="6"/>
    </row>
    <row r="140" spans="7:8" x14ac:dyDescent="0.25">
      <c r="G140" s="6"/>
      <c r="H140" s="6"/>
    </row>
    <row r="141" spans="7:8" x14ac:dyDescent="0.25">
      <c r="G141" s="6"/>
      <c r="H141" s="6"/>
    </row>
    <row r="142" spans="7:8" x14ac:dyDescent="0.25">
      <c r="G142" s="6"/>
      <c r="H142" s="6"/>
    </row>
    <row r="143" spans="7:8" x14ac:dyDescent="0.25">
      <c r="G143" s="6"/>
      <c r="H143" s="6"/>
    </row>
    <row r="144" spans="7:8" x14ac:dyDescent="0.25">
      <c r="G144" s="6"/>
      <c r="H144" s="6"/>
    </row>
    <row r="145" spans="7:8" x14ac:dyDescent="0.25">
      <c r="G145" s="6"/>
      <c r="H145" s="6"/>
    </row>
    <row r="146" spans="7:8" x14ac:dyDescent="0.25">
      <c r="G146" s="6"/>
      <c r="H146" s="6"/>
    </row>
    <row r="147" spans="7:8" x14ac:dyDescent="0.25">
      <c r="G147" s="6"/>
      <c r="H147" s="6"/>
    </row>
    <row r="148" spans="7:8" x14ac:dyDescent="0.25">
      <c r="G148" s="6"/>
      <c r="H148" s="6"/>
    </row>
    <row r="149" spans="7:8" x14ac:dyDescent="0.25">
      <c r="G149" s="6"/>
      <c r="H149" s="6"/>
    </row>
    <row r="150" spans="7:8" x14ac:dyDescent="0.25">
      <c r="G150" s="6"/>
      <c r="H150" s="6"/>
    </row>
    <row r="151" spans="7:8" x14ac:dyDescent="0.25">
      <c r="G151" s="6"/>
      <c r="H151" s="6"/>
    </row>
    <row r="152" spans="7:8" x14ac:dyDescent="0.25">
      <c r="G152" s="6"/>
      <c r="H152" s="6"/>
    </row>
    <row r="153" spans="7:8" x14ac:dyDescent="0.25">
      <c r="G153" s="6"/>
      <c r="H153" s="6"/>
    </row>
    <row r="154" spans="7:8" x14ac:dyDescent="0.25">
      <c r="G154" s="6"/>
      <c r="H154" s="6"/>
    </row>
    <row r="155" spans="7:8" x14ac:dyDescent="0.25">
      <c r="G155" s="6"/>
      <c r="H155" s="6"/>
    </row>
    <row r="156" spans="7:8" x14ac:dyDescent="0.25">
      <c r="G156" s="6"/>
      <c r="H156" s="6"/>
    </row>
    <row r="157" spans="7:8" x14ac:dyDescent="0.25">
      <c r="G157" s="6"/>
      <c r="H157" s="6"/>
    </row>
    <row r="158" spans="7:8" x14ac:dyDescent="0.25">
      <c r="G158" s="6"/>
      <c r="H158" s="6"/>
    </row>
    <row r="159" spans="7:8" x14ac:dyDescent="0.25">
      <c r="G159" s="6"/>
      <c r="H159" s="6"/>
    </row>
    <row r="160" spans="7:8" x14ac:dyDescent="0.25">
      <c r="G160" s="6"/>
      <c r="H160" s="6"/>
    </row>
    <row r="161" spans="7:8" x14ac:dyDescent="0.25">
      <c r="G161" s="6"/>
      <c r="H161" s="6"/>
    </row>
    <row r="162" spans="7:8" x14ac:dyDescent="0.25">
      <c r="G162" s="6"/>
      <c r="H162" s="6"/>
    </row>
    <row r="163" spans="7:8" x14ac:dyDescent="0.25">
      <c r="G163" s="6"/>
      <c r="H163" s="6"/>
    </row>
    <row r="164" spans="7:8" x14ac:dyDescent="0.25">
      <c r="G164" s="6"/>
      <c r="H164" s="6"/>
    </row>
    <row r="165" spans="7:8" x14ac:dyDescent="0.25">
      <c r="G165" s="6"/>
      <c r="H165" s="6"/>
    </row>
    <row r="166" spans="7:8" x14ac:dyDescent="0.25">
      <c r="G166" s="6"/>
      <c r="H166" s="6"/>
    </row>
    <row r="167" spans="7:8" x14ac:dyDescent="0.25">
      <c r="G167" s="6"/>
      <c r="H167" s="6"/>
    </row>
    <row r="168" spans="7:8" x14ac:dyDescent="0.25">
      <c r="G168" s="6"/>
      <c r="H168" s="6"/>
    </row>
    <row r="169" spans="7:8" x14ac:dyDescent="0.25">
      <c r="G169" s="6"/>
      <c r="H169" s="6"/>
    </row>
    <row r="170" spans="7:8" x14ac:dyDescent="0.25">
      <c r="G170" s="6"/>
      <c r="H170" s="6"/>
    </row>
    <row r="171" spans="7:8" x14ac:dyDescent="0.25">
      <c r="G171" s="6"/>
      <c r="H171" s="6"/>
    </row>
    <row r="172" spans="7:8" x14ac:dyDescent="0.25">
      <c r="G172" s="6"/>
      <c r="H172" s="6"/>
    </row>
    <row r="173" spans="7:8" x14ac:dyDescent="0.25">
      <c r="G173" s="6"/>
      <c r="H173" s="6"/>
    </row>
    <row r="174" spans="7:8" x14ac:dyDescent="0.25">
      <c r="G174" s="6"/>
      <c r="H174" s="6"/>
    </row>
    <row r="175" spans="7:8" x14ac:dyDescent="0.25">
      <c r="G175" s="6"/>
      <c r="H175" s="6"/>
    </row>
    <row r="176" spans="7:8" x14ac:dyDescent="0.25">
      <c r="G176" s="6"/>
      <c r="H176" s="6"/>
    </row>
    <row r="177" spans="7:8" x14ac:dyDescent="0.25">
      <c r="G177" s="6"/>
      <c r="H177" s="6"/>
    </row>
    <row r="178" spans="7:8" x14ac:dyDescent="0.25">
      <c r="G178" s="6"/>
      <c r="H178" s="6"/>
    </row>
    <row r="179" spans="7:8" x14ac:dyDescent="0.25">
      <c r="G179" s="6"/>
      <c r="H179" s="6"/>
    </row>
    <row r="180" spans="7:8" x14ac:dyDescent="0.25">
      <c r="G180" s="6"/>
      <c r="H180" s="6"/>
    </row>
    <row r="181" spans="7:8" x14ac:dyDescent="0.25">
      <c r="G181" s="6"/>
      <c r="H181" s="6"/>
    </row>
    <row r="182" spans="7:8" x14ac:dyDescent="0.25">
      <c r="G182" s="6"/>
      <c r="H182" s="6"/>
    </row>
    <row r="183" spans="7:8" x14ac:dyDescent="0.25">
      <c r="G183" s="6"/>
      <c r="H183" s="6"/>
    </row>
    <row r="184" spans="7:8" x14ac:dyDescent="0.25">
      <c r="G184" s="6"/>
      <c r="H184" s="6"/>
    </row>
    <row r="185" spans="7:8" x14ac:dyDescent="0.25">
      <c r="G185" s="6"/>
      <c r="H185" s="6"/>
    </row>
    <row r="186" spans="7:8" x14ac:dyDescent="0.25">
      <c r="G186" s="6"/>
      <c r="H186" s="6"/>
    </row>
    <row r="187" spans="7:8" x14ac:dyDescent="0.25">
      <c r="G187" s="6"/>
      <c r="H187" s="6"/>
    </row>
    <row r="188" spans="7:8" x14ac:dyDescent="0.25">
      <c r="G188" s="6"/>
      <c r="H188" s="6"/>
    </row>
    <row r="189" spans="7:8" x14ac:dyDescent="0.25">
      <c r="G189" s="6"/>
      <c r="H189" s="6"/>
    </row>
    <row r="190" spans="7:8" x14ac:dyDescent="0.25">
      <c r="G190" s="6"/>
      <c r="H190" s="6"/>
    </row>
    <row r="191" spans="7:8" x14ac:dyDescent="0.25">
      <c r="G191" s="6"/>
      <c r="H191" s="6"/>
    </row>
    <row r="192" spans="7:8" x14ac:dyDescent="0.25">
      <c r="G192" s="6"/>
      <c r="H192" s="6"/>
    </row>
    <row r="193" spans="7:8" x14ac:dyDescent="0.25">
      <c r="G193" s="6"/>
      <c r="H193" s="6"/>
    </row>
    <row r="194" spans="7:8" x14ac:dyDescent="0.25">
      <c r="G194" s="6"/>
      <c r="H194" s="6"/>
    </row>
    <row r="195" spans="7:8" x14ac:dyDescent="0.25">
      <c r="G195" s="6"/>
      <c r="H195" s="6"/>
    </row>
    <row r="196" spans="7:8" x14ac:dyDescent="0.25">
      <c r="G196" s="6"/>
      <c r="H196" s="6"/>
    </row>
    <row r="197" spans="7:8" x14ac:dyDescent="0.25">
      <c r="G197" s="6"/>
      <c r="H197" s="6"/>
    </row>
    <row r="198" spans="7:8" x14ac:dyDescent="0.25">
      <c r="G198" s="6"/>
      <c r="H198" s="6"/>
    </row>
    <row r="199" spans="7:8" x14ac:dyDescent="0.25">
      <c r="G199" s="6"/>
      <c r="H199" s="6"/>
    </row>
    <row r="200" spans="7:8" x14ac:dyDescent="0.25">
      <c r="G200" s="6"/>
      <c r="H200" s="6"/>
    </row>
    <row r="201" spans="7:8" x14ac:dyDescent="0.25">
      <c r="G201" s="6"/>
      <c r="H201" s="6"/>
    </row>
    <row r="202" spans="7:8" x14ac:dyDescent="0.25">
      <c r="G202" s="6"/>
      <c r="H202" s="6"/>
    </row>
    <row r="203" spans="7:8" x14ac:dyDescent="0.25">
      <c r="G203" s="6"/>
      <c r="H203" s="6"/>
    </row>
    <row r="204" spans="7:8" x14ac:dyDescent="0.25">
      <c r="G204" s="6"/>
      <c r="H204" s="6"/>
    </row>
    <row r="205" spans="7:8" x14ac:dyDescent="0.25">
      <c r="G205" s="6"/>
      <c r="H205" s="6"/>
    </row>
    <row r="206" spans="7:8" x14ac:dyDescent="0.25">
      <c r="G206" s="6"/>
      <c r="H206" s="6"/>
    </row>
    <row r="207" spans="7:8" x14ac:dyDescent="0.25">
      <c r="G207" s="6"/>
      <c r="H207" s="6"/>
    </row>
    <row r="208" spans="7:8" x14ac:dyDescent="0.25">
      <c r="G208" s="6"/>
      <c r="H208" s="6"/>
    </row>
    <row r="209" spans="7:8" x14ac:dyDescent="0.25">
      <c r="G209" s="6"/>
      <c r="H209" s="6"/>
    </row>
    <row r="210" spans="7:8" x14ac:dyDescent="0.25">
      <c r="G210" s="6"/>
      <c r="H210" s="6"/>
    </row>
    <row r="211" spans="7:8" x14ac:dyDescent="0.25">
      <c r="G211" s="6"/>
      <c r="H211" s="6"/>
    </row>
    <row r="212" spans="7:8" x14ac:dyDescent="0.25">
      <c r="G212" s="6"/>
      <c r="H212" s="6"/>
    </row>
    <row r="213" spans="7:8" x14ac:dyDescent="0.25">
      <c r="G213" s="6"/>
      <c r="H213" s="6"/>
    </row>
    <row r="214" spans="7:8" x14ac:dyDescent="0.25">
      <c r="G214" s="6"/>
      <c r="H214" s="6"/>
    </row>
    <row r="215" spans="7:8" x14ac:dyDescent="0.25">
      <c r="G215" s="6"/>
      <c r="H215" s="6"/>
    </row>
    <row r="216" spans="7:8" x14ac:dyDescent="0.25">
      <c r="G216" s="6"/>
      <c r="H216" s="6"/>
    </row>
    <row r="217" spans="7:8" x14ac:dyDescent="0.25">
      <c r="G217" s="6"/>
      <c r="H217" s="6"/>
    </row>
    <row r="218" spans="7:8" x14ac:dyDescent="0.25">
      <c r="G218" s="6"/>
      <c r="H218" s="6"/>
    </row>
    <row r="219" spans="7:8" x14ac:dyDescent="0.25">
      <c r="G219" s="6"/>
      <c r="H219" s="6"/>
    </row>
    <row r="220" spans="7:8" x14ac:dyDescent="0.25">
      <c r="G220" s="6"/>
      <c r="H220" s="6"/>
    </row>
    <row r="221" spans="7:8" x14ac:dyDescent="0.25">
      <c r="G221" s="6"/>
      <c r="H221" s="6"/>
    </row>
    <row r="222" spans="7:8" x14ac:dyDescent="0.25">
      <c r="G222" s="6"/>
      <c r="H222" s="6"/>
    </row>
    <row r="223" spans="7:8" x14ac:dyDescent="0.25">
      <c r="G223" s="6"/>
      <c r="H223" s="6"/>
    </row>
    <row r="224" spans="7:8" x14ac:dyDescent="0.25">
      <c r="G224" s="6"/>
      <c r="H224" s="6"/>
    </row>
    <row r="225" spans="7:8" x14ac:dyDescent="0.25">
      <c r="G225" s="6"/>
      <c r="H225" s="6"/>
    </row>
    <row r="226" spans="7:8" x14ac:dyDescent="0.25">
      <c r="G226" s="6"/>
      <c r="H226" s="6"/>
    </row>
    <row r="227" spans="7:8" x14ac:dyDescent="0.25">
      <c r="G227" s="6"/>
      <c r="H227" s="6"/>
    </row>
    <row r="228" spans="7:8" x14ac:dyDescent="0.25">
      <c r="G228" s="6"/>
      <c r="H228" s="6"/>
    </row>
    <row r="229" spans="7:8" x14ac:dyDescent="0.25">
      <c r="G229" s="6"/>
      <c r="H229" s="6"/>
    </row>
    <row r="230" spans="7:8" x14ac:dyDescent="0.25">
      <c r="G230" s="6"/>
      <c r="H230" s="6"/>
    </row>
    <row r="231" spans="7:8" x14ac:dyDescent="0.25">
      <c r="G231" s="6"/>
      <c r="H231" s="6"/>
    </row>
    <row r="232" spans="7:8" x14ac:dyDescent="0.25">
      <c r="G232" s="6"/>
      <c r="H232" s="6"/>
    </row>
    <row r="233" spans="7:8" x14ac:dyDescent="0.25">
      <c r="G233" s="6"/>
      <c r="H233" s="6"/>
    </row>
    <row r="234" spans="7:8" x14ac:dyDescent="0.25">
      <c r="G234" s="6"/>
      <c r="H234" s="6"/>
    </row>
    <row r="235" spans="7:8" x14ac:dyDescent="0.25">
      <c r="G235" s="6"/>
      <c r="H235" s="6"/>
    </row>
    <row r="236" spans="7:8" x14ac:dyDescent="0.25">
      <c r="G236" s="6"/>
      <c r="H236" s="6"/>
    </row>
    <row r="237" spans="7:8" x14ac:dyDescent="0.25">
      <c r="G237" s="6"/>
      <c r="H237" s="6"/>
    </row>
    <row r="238" spans="7:8" x14ac:dyDescent="0.25">
      <c r="G238" s="6"/>
      <c r="H238" s="6"/>
    </row>
    <row r="239" spans="7:8" x14ac:dyDescent="0.25">
      <c r="G239" s="6"/>
      <c r="H239" s="6"/>
    </row>
    <row r="240" spans="7:8" x14ac:dyDescent="0.25">
      <c r="G240" s="6"/>
      <c r="H240" s="6"/>
    </row>
    <row r="241" spans="7:8" x14ac:dyDescent="0.25">
      <c r="G241" s="6"/>
      <c r="H241" s="6"/>
    </row>
    <row r="242" spans="7:8" x14ac:dyDescent="0.25">
      <c r="G242" s="6"/>
      <c r="H242" s="6"/>
    </row>
    <row r="243" spans="7:8" x14ac:dyDescent="0.25">
      <c r="G243" s="6"/>
      <c r="H243" s="6"/>
    </row>
    <row r="244" spans="7:8" x14ac:dyDescent="0.25">
      <c r="G244" s="6"/>
      <c r="H244" s="6"/>
    </row>
    <row r="245" spans="7:8" x14ac:dyDescent="0.25">
      <c r="G245" s="6"/>
      <c r="H245" s="6"/>
    </row>
    <row r="246" spans="7:8" x14ac:dyDescent="0.25">
      <c r="G246" s="6"/>
      <c r="H246" s="6"/>
    </row>
    <row r="247" spans="7:8" x14ac:dyDescent="0.25">
      <c r="G247" s="6"/>
      <c r="H247" s="6"/>
    </row>
    <row r="248" spans="7:8" x14ac:dyDescent="0.25">
      <c r="G248" s="6"/>
      <c r="H248" s="6"/>
    </row>
    <row r="249" spans="7:8" x14ac:dyDescent="0.25">
      <c r="G249" s="6"/>
      <c r="H249" s="6"/>
    </row>
    <row r="250" spans="7:8" x14ac:dyDescent="0.25">
      <c r="G250" s="6"/>
      <c r="H250" s="6"/>
    </row>
    <row r="251" spans="7:8" x14ac:dyDescent="0.25">
      <c r="G251" s="6"/>
      <c r="H251" s="6"/>
    </row>
    <row r="252" spans="7:8" x14ac:dyDescent="0.25">
      <c r="G252" s="6"/>
      <c r="H252" s="6"/>
    </row>
    <row r="253" spans="7:8" x14ac:dyDescent="0.25">
      <c r="G253" s="6"/>
      <c r="H253" s="6"/>
    </row>
    <row r="254" spans="7:8" x14ac:dyDescent="0.25">
      <c r="G254" s="6"/>
      <c r="H254" s="6"/>
    </row>
    <row r="255" spans="7:8" x14ac:dyDescent="0.25">
      <c r="G255" s="6"/>
      <c r="H255" s="6"/>
    </row>
    <row r="256" spans="7:8" x14ac:dyDescent="0.25">
      <c r="G256" s="6"/>
      <c r="H256" s="6"/>
    </row>
    <row r="257" spans="7:8" x14ac:dyDescent="0.25">
      <c r="G257" s="6"/>
      <c r="H257" s="6"/>
    </row>
    <row r="258" spans="7:8" x14ac:dyDescent="0.25">
      <c r="G258" s="6"/>
      <c r="H258" s="6"/>
    </row>
    <row r="259" spans="7:8" x14ac:dyDescent="0.25">
      <c r="G259" s="6"/>
      <c r="H259" s="6"/>
    </row>
    <row r="260" spans="7:8" x14ac:dyDescent="0.25">
      <c r="G260" s="6"/>
      <c r="H260" s="6"/>
    </row>
    <row r="261" spans="7:8" x14ac:dyDescent="0.25">
      <c r="G261" s="6"/>
      <c r="H261" s="6"/>
    </row>
    <row r="262" spans="7:8" x14ac:dyDescent="0.25">
      <c r="G262" s="6"/>
      <c r="H262" s="6"/>
    </row>
    <row r="263" spans="7:8" x14ac:dyDescent="0.25">
      <c r="G263" s="6"/>
      <c r="H263" s="6"/>
    </row>
    <row r="264" spans="7:8" x14ac:dyDescent="0.25">
      <c r="G264" s="6"/>
      <c r="H264" s="6"/>
    </row>
    <row r="265" spans="7:8" x14ac:dyDescent="0.25">
      <c r="G265" s="6"/>
      <c r="H265" s="6"/>
    </row>
    <row r="266" spans="7:8" x14ac:dyDescent="0.25">
      <c r="G266" s="6"/>
      <c r="H266" s="6"/>
    </row>
    <row r="267" spans="7:8" x14ac:dyDescent="0.25">
      <c r="G267" s="6"/>
      <c r="H267" s="6"/>
    </row>
    <row r="268" spans="7:8" x14ac:dyDescent="0.25">
      <c r="G268" s="6"/>
      <c r="H268" s="6"/>
    </row>
    <row r="269" spans="7:8" x14ac:dyDescent="0.25">
      <c r="G269" s="6"/>
      <c r="H269" s="6"/>
    </row>
    <row r="270" spans="7:8" x14ac:dyDescent="0.25">
      <c r="G270" s="6"/>
      <c r="H270" s="6"/>
    </row>
    <row r="271" spans="7:8" x14ac:dyDescent="0.25">
      <c r="G271" s="6"/>
      <c r="H271" s="6"/>
    </row>
    <row r="272" spans="7:8" x14ac:dyDescent="0.25">
      <c r="G272" s="6"/>
      <c r="H272" s="6"/>
    </row>
    <row r="273" spans="7:8" x14ac:dyDescent="0.25">
      <c r="G273" s="6"/>
      <c r="H273" s="6"/>
    </row>
    <row r="274" spans="7:8" x14ac:dyDescent="0.25">
      <c r="G274" s="6"/>
      <c r="H274" s="6"/>
    </row>
    <row r="275" spans="7:8" x14ac:dyDescent="0.25">
      <c r="G275" s="6"/>
      <c r="H275" s="6"/>
    </row>
    <row r="276" spans="7:8" x14ac:dyDescent="0.25">
      <c r="G276" s="6"/>
      <c r="H276" s="6"/>
    </row>
    <row r="277" spans="7:8" x14ac:dyDescent="0.25">
      <c r="G277" s="6"/>
      <c r="H277" s="6"/>
    </row>
    <row r="278" spans="7:8" x14ac:dyDescent="0.25">
      <c r="G278" s="6"/>
      <c r="H278" s="6"/>
    </row>
    <row r="279" spans="7:8" x14ac:dyDescent="0.25">
      <c r="G279" s="6"/>
      <c r="H279" s="6"/>
    </row>
    <row r="280" spans="7:8" x14ac:dyDescent="0.25">
      <c r="G280" s="6"/>
      <c r="H280" s="6"/>
    </row>
    <row r="281" spans="7:8" x14ac:dyDescent="0.25">
      <c r="G281" s="6"/>
      <c r="H281" s="6"/>
    </row>
    <row r="282" spans="7:8" x14ac:dyDescent="0.25">
      <c r="G282" s="6"/>
      <c r="H282" s="6"/>
    </row>
    <row r="283" spans="7:8" x14ac:dyDescent="0.25">
      <c r="G283" s="6"/>
      <c r="H283" s="6"/>
    </row>
    <row r="284" spans="7:8" x14ac:dyDescent="0.25">
      <c r="G284" s="6"/>
      <c r="H284" s="6"/>
    </row>
    <row r="285" spans="7:8" x14ac:dyDescent="0.25">
      <c r="G285" s="6"/>
      <c r="H285" s="6"/>
    </row>
    <row r="286" spans="7:8" x14ac:dyDescent="0.25">
      <c r="G286" s="6"/>
      <c r="H286" s="6"/>
    </row>
    <row r="287" spans="7:8" x14ac:dyDescent="0.25">
      <c r="G287" s="6"/>
      <c r="H287" s="6"/>
    </row>
    <row r="288" spans="7:8" x14ac:dyDescent="0.25">
      <c r="G288" s="6"/>
      <c r="H288" s="6"/>
    </row>
    <row r="289" spans="7:8" x14ac:dyDescent="0.25">
      <c r="G289" s="6"/>
      <c r="H289" s="6"/>
    </row>
    <row r="290" spans="7:8" x14ac:dyDescent="0.25">
      <c r="G290" s="6"/>
      <c r="H290" s="6"/>
    </row>
    <row r="291" spans="7:8" x14ac:dyDescent="0.25">
      <c r="G291" s="6"/>
      <c r="H291" s="6"/>
    </row>
    <row r="292" spans="7:8" x14ac:dyDescent="0.25">
      <c r="G292" s="6"/>
      <c r="H292" s="6"/>
    </row>
    <row r="293" spans="7:8" x14ac:dyDescent="0.25">
      <c r="G293" s="6"/>
      <c r="H293" s="6"/>
    </row>
    <row r="294" spans="7:8" x14ac:dyDescent="0.25">
      <c r="G294" s="6"/>
      <c r="H294" s="6"/>
    </row>
    <row r="295" spans="7:8" x14ac:dyDescent="0.25">
      <c r="G295" s="6"/>
      <c r="H295" s="6"/>
    </row>
    <row r="296" spans="7:8" x14ac:dyDescent="0.25">
      <c r="G296" s="6"/>
      <c r="H296" s="6"/>
    </row>
    <row r="297" spans="7:8" x14ac:dyDescent="0.25">
      <c r="G297" s="6"/>
      <c r="H297" s="6"/>
    </row>
    <row r="298" spans="7:8" x14ac:dyDescent="0.25">
      <c r="G298" s="6"/>
      <c r="H298" s="6"/>
    </row>
    <row r="299" spans="7:8" x14ac:dyDescent="0.25">
      <c r="G299" s="6"/>
      <c r="H299" s="6"/>
    </row>
    <row r="300" spans="7:8" x14ac:dyDescent="0.25">
      <c r="G300" s="6"/>
      <c r="H300" s="6"/>
    </row>
    <row r="301" spans="7:8" x14ac:dyDescent="0.25">
      <c r="G301" s="6"/>
      <c r="H301" s="6"/>
    </row>
    <row r="302" spans="7:8" x14ac:dyDescent="0.25">
      <c r="G302" s="6"/>
      <c r="H302" s="6"/>
    </row>
    <row r="303" spans="7:8" x14ac:dyDescent="0.25">
      <c r="G303" s="6"/>
      <c r="H303" s="6"/>
    </row>
    <row r="304" spans="7:8" x14ac:dyDescent="0.25">
      <c r="G304" s="6"/>
      <c r="H304" s="6"/>
    </row>
    <row r="305" spans="7:8" x14ac:dyDescent="0.25">
      <c r="G305" s="6"/>
      <c r="H305" s="6"/>
    </row>
    <row r="306" spans="7:8" x14ac:dyDescent="0.25">
      <c r="G306" s="6"/>
      <c r="H306" s="6"/>
    </row>
    <row r="307" spans="7:8" x14ac:dyDescent="0.25">
      <c r="G307" s="6"/>
      <c r="H307" s="6"/>
    </row>
    <row r="308" spans="7:8" x14ac:dyDescent="0.25">
      <c r="G308" s="6"/>
      <c r="H308" s="6"/>
    </row>
    <row r="309" spans="7:8" x14ac:dyDescent="0.25">
      <c r="G309" s="6"/>
      <c r="H309" s="6"/>
    </row>
    <row r="310" spans="7:8" x14ac:dyDescent="0.25">
      <c r="G310" s="6"/>
      <c r="H310" s="6"/>
    </row>
    <row r="311" spans="7:8" x14ac:dyDescent="0.25">
      <c r="G311" s="6"/>
      <c r="H311" s="6"/>
    </row>
    <row r="312" spans="7:8" x14ac:dyDescent="0.25">
      <c r="G312" s="6"/>
      <c r="H312" s="6"/>
    </row>
    <row r="313" spans="7:8" x14ac:dyDescent="0.25">
      <c r="G313" s="6"/>
      <c r="H313" s="6"/>
    </row>
    <row r="314" spans="7:8" x14ac:dyDescent="0.25">
      <c r="G314" s="6"/>
      <c r="H314" s="6"/>
    </row>
    <row r="315" spans="7:8" x14ac:dyDescent="0.25">
      <c r="G315" s="6"/>
      <c r="H315" s="6"/>
    </row>
    <row r="316" spans="7:8" x14ac:dyDescent="0.25">
      <c r="G316" s="6"/>
      <c r="H316" s="6"/>
    </row>
    <row r="317" spans="7:8" x14ac:dyDescent="0.25">
      <c r="G317" s="6"/>
      <c r="H317" s="6"/>
    </row>
    <row r="318" spans="7:8" x14ac:dyDescent="0.25">
      <c r="G318" s="6"/>
      <c r="H318" s="6"/>
    </row>
    <row r="319" spans="7:8" x14ac:dyDescent="0.25">
      <c r="G319" s="6"/>
      <c r="H319" s="6"/>
    </row>
    <row r="320" spans="7:8" x14ac:dyDescent="0.25">
      <c r="G320" s="6"/>
      <c r="H320" s="6"/>
    </row>
    <row r="321" spans="7:8" x14ac:dyDescent="0.25">
      <c r="G321" s="6"/>
      <c r="H321" s="6"/>
    </row>
    <row r="322" spans="7:8" x14ac:dyDescent="0.25">
      <c r="G322" s="6"/>
      <c r="H322" s="6"/>
    </row>
    <row r="323" spans="7:8" x14ac:dyDescent="0.25">
      <c r="G323" s="6"/>
      <c r="H323" s="6"/>
    </row>
    <row r="324" spans="7:8" x14ac:dyDescent="0.25">
      <c r="G324" s="6"/>
      <c r="H324" s="6"/>
    </row>
    <row r="325" spans="7:8" x14ac:dyDescent="0.25">
      <c r="G325" s="6"/>
      <c r="H325" s="6"/>
    </row>
    <row r="326" spans="7:8" x14ac:dyDescent="0.25">
      <c r="G326" s="6"/>
      <c r="H326" s="6"/>
    </row>
    <row r="327" spans="7:8" x14ac:dyDescent="0.25">
      <c r="G327" s="6"/>
      <c r="H327" s="6"/>
    </row>
    <row r="328" spans="7:8" x14ac:dyDescent="0.25">
      <c r="G328" s="6"/>
      <c r="H328" s="6"/>
    </row>
    <row r="329" spans="7:8" x14ac:dyDescent="0.25">
      <c r="G329" s="6"/>
      <c r="H329" s="6"/>
    </row>
    <row r="330" spans="7:8" x14ac:dyDescent="0.25">
      <c r="G330" s="6"/>
      <c r="H330" s="6"/>
    </row>
    <row r="331" spans="7:8" x14ac:dyDescent="0.25">
      <c r="G331" s="6"/>
      <c r="H331" s="6"/>
    </row>
    <row r="332" spans="7:8" x14ac:dyDescent="0.25">
      <c r="G332" s="6"/>
      <c r="H332" s="6"/>
    </row>
    <row r="333" spans="7:8" x14ac:dyDescent="0.25">
      <c r="G333" s="6"/>
      <c r="H333" s="6"/>
    </row>
    <row r="334" spans="7:8" x14ac:dyDescent="0.25">
      <c r="G334" s="6"/>
      <c r="H334" s="6"/>
    </row>
    <row r="335" spans="7:8" x14ac:dyDescent="0.25">
      <c r="G335" s="6"/>
      <c r="H335" s="6"/>
    </row>
    <row r="336" spans="7:8" x14ac:dyDescent="0.25">
      <c r="G336" s="6"/>
      <c r="H336" s="6"/>
    </row>
    <row r="337" spans="7:8" x14ac:dyDescent="0.25">
      <c r="G337" s="6"/>
      <c r="H337" s="6"/>
    </row>
    <row r="338" spans="7:8" x14ac:dyDescent="0.25">
      <c r="G338" s="6"/>
      <c r="H338" s="6"/>
    </row>
    <row r="339" spans="7:8" x14ac:dyDescent="0.25">
      <c r="G339" s="6"/>
      <c r="H339" s="6"/>
    </row>
    <row r="340" spans="7:8" x14ac:dyDescent="0.25">
      <c r="G340" s="6"/>
      <c r="H340" s="6"/>
    </row>
    <row r="341" spans="7:8" x14ac:dyDescent="0.25">
      <c r="G341" s="6"/>
      <c r="H341" s="6"/>
    </row>
    <row r="342" spans="7:8" x14ac:dyDescent="0.25">
      <c r="G342" s="6"/>
      <c r="H342" s="6"/>
    </row>
    <row r="343" spans="7:8" x14ac:dyDescent="0.25">
      <c r="G343" s="6"/>
      <c r="H343" s="6"/>
    </row>
    <row r="344" spans="7:8" x14ac:dyDescent="0.25">
      <c r="G344" s="6"/>
      <c r="H344" s="6"/>
    </row>
    <row r="345" spans="7:8" x14ac:dyDescent="0.25">
      <c r="G345" s="6"/>
      <c r="H345" s="6"/>
    </row>
    <row r="346" spans="7:8" x14ac:dyDescent="0.25">
      <c r="G346" s="6"/>
      <c r="H346" s="6"/>
    </row>
    <row r="347" spans="7:8" x14ac:dyDescent="0.25">
      <c r="G347" s="6"/>
      <c r="H347" s="6"/>
    </row>
    <row r="348" spans="7:8" x14ac:dyDescent="0.25">
      <c r="G348" s="6"/>
      <c r="H348" s="6"/>
    </row>
    <row r="349" spans="7:8" x14ac:dyDescent="0.25">
      <c r="G349" s="6"/>
      <c r="H349" s="6"/>
    </row>
    <row r="350" spans="7:8" x14ac:dyDescent="0.25">
      <c r="G350" s="6"/>
      <c r="H350" s="6"/>
    </row>
    <row r="351" spans="7:8" x14ac:dyDescent="0.25">
      <c r="G351" s="6"/>
      <c r="H351" s="6"/>
    </row>
    <row r="352" spans="7:8" x14ac:dyDescent="0.25">
      <c r="G352" s="6"/>
      <c r="H352" s="6"/>
    </row>
    <row r="353" spans="7:8" x14ac:dyDescent="0.25">
      <c r="G353" s="6"/>
      <c r="H353" s="6"/>
    </row>
    <row r="354" spans="7:8" x14ac:dyDescent="0.25">
      <c r="G354" s="6"/>
      <c r="H354" s="6"/>
    </row>
    <row r="355" spans="7:8" x14ac:dyDescent="0.25">
      <c r="G355" s="6"/>
      <c r="H355" s="6"/>
    </row>
    <row r="356" spans="7:8" x14ac:dyDescent="0.25">
      <c r="G356" s="6"/>
      <c r="H356" s="6"/>
    </row>
    <row r="357" spans="7:8" x14ac:dyDescent="0.25">
      <c r="G357" s="6"/>
      <c r="H357" s="6"/>
    </row>
    <row r="358" spans="7:8" x14ac:dyDescent="0.25">
      <c r="G358" s="6"/>
      <c r="H358" s="6"/>
    </row>
    <row r="359" spans="7:8" x14ac:dyDescent="0.25">
      <c r="G359" s="6"/>
      <c r="H359" s="6"/>
    </row>
    <row r="360" spans="7:8" x14ac:dyDescent="0.25">
      <c r="G360" s="6"/>
      <c r="H360" s="6"/>
    </row>
    <row r="361" spans="7:8" x14ac:dyDescent="0.25">
      <c r="G361" s="6"/>
      <c r="H361" s="6"/>
    </row>
    <row r="362" spans="7:8" x14ac:dyDescent="0.25">
      <c r="G362" s="6"/>
      <c r="H362" s="6"/>
    </row>
    <row r="363" spans="7:8" x14ac:dyDescent="0.25">
      <c r="G363" s="6"/>
      <c r="H363" s="6"/>
    </row>
    <row r="364" spans="7:8" x14ac:dyDescent="0.25">
      <c r="G364" s="6"/>
      <c r="H364" s="6"/>
    </row>
    <row r="365" spans="7:8" x14ac:dyDescent="0.25">
      <c r="G365" s="6"/>
      <c r="H365" s="6"/>
    </row>
    <row r="366" spans="7:8" x14ac:dyDescent="0.25">
      <c r="G366" s="6"/>
      <c r="H366" s="6"/>
    </row>
    <row r="367" spans="7:8" x14ac:dyDescent="0.25">
      <c r="G367" s="6"/>
      <c r="H367" s="6"/>
    </row>
    <row r="368" spans="7:8" x14ac:dyDescent="0.25">
      <c r="G368" s="6"/>
      <c r="H368" s="6"/>
    </row>
    <row r="369" spans="7:8" x14ac:dyDescent="0.25">
      <c r="G369" s="6"/>
      <c r="H369" s="6"/>
    </row>
    <row r="370" spans="7:8" x14ac:dyDescent="0.25">
      <c r="G370" s="6"/>
      <c r="H370" s="6"/>
    </row>
    <row r="371" spans="7:8" x14ac:dyDescent="0.25">
      <c r="G371" s="6"/>
      <c r="H371" s="6"/>
    </row>
    <row r="372" spans="7:8" x14ac:dyDescent="0.25">
      <c r="G372" s="6"/>
      <c r="H372" s="6"/>
    </row>
    <row r="373" spans="7:8" x14ac:dyDescent="0.25">
      <c r="G373" s="6"/>
      <c r="H373" s="6"/>
    </row>
    <row r="374" spans="7:8" x14ac:dyDescent="0.25">
      <c r="G374" s="6"/>
      <c r="H374" s="6"/>
    </row>
    <row r="375" spans="7:8" x14ac:dyDescent="0.25">
      <c r="G375" s="6"/>
      <c r="H375" s="6"/>
    </row>
    <row r="376" spans="7:8" x14ac:dyDescent="0.25">
      <c r="G376" s="6"/>
      <c r="H376" s="6"/>
    </row>
    <row r="377" spans="7:8" x14ac:dyDescent="0.25">
      <c r="G377" s="6"/>
      <c r="H377" s="6"/>
    </row>
    <row r="378" spans="7:8" x14ac:dyDescent="0.25">
      <c r="G378" s="6"/>
      <c r="H378" s="6"/>
    </row>
    <row r="379" spans="7:8" x14ac:dyDescent="0.25">
      <c r="G379" s="6"/>
      <c r="H379" s="6"/>
    </row>
    <row r="380" spans="7:8" x14ac:dyDescent="0.25">
      <c r="G380" s="6"/>
      <c r="H380" s="6"/>
    </row>
    <row r="381" spans="7:8" x14ac:dyDescent="0.25">
      <c r="G381" s="6"/>
      <c r="H381" s="6"/>
    </row>
    <row r="382" spans="7:8" x14ac:dyDescent="0.25">
      <c r="G382" s="6"/>
      <c r="H382" s="6"/>
    </row>
    <row r="383" spans="7:8" x14ac:dyDescent="0.25">
      <c r="G383" s="6"/>
      <c r="H383" s="6"/>
    </row>
    <row r="384" spans="7:8" x14ac:dyDescent="0.25">
      <c r="G384" s="6"/>
      <c r="H384" s="6"/>
    </row>
    <row r="385" spans="7:8" x14ac:dyDescent="0.25">
      <c r="G385" s="6"/>
      <c r="H385" s="6"/>
    </row>
    <row r="386" spans="7:8" x14ac:dyDescent="0.25">
      <c r="G386" s="6"/>
      <c r="H386" s="6"/>
    </row>
    <row r="387" spans="7:8" x14ac:dyDescent="0.25">
      <c r="G387" s="6"/>
      <c r="H387" s="6"/>
    </row>
    <row r="388" spans="7:8" x14ac:dyDescent="0.25">
      <c r="G388" s="6"/>
      <c r="H388" s="6"/>
    </row>
    <row r="389" spans="7:8" x14ac:dyDescent="0.25">
      <c r="G389" s="6"/>
      <c r="H389" s="6"/>
    </row>
    <row r="390" spans="7:8" x14ac:dyDescent="0.25">
      <c r="G390" s="6"/>
      <c r="H390" s="6"/>
    </row>
    <row r="391" spans="7:8" x14ac:dyDescent="0.25">
      <c r="G391" s="6"/>
      <c r="H391" s="6"/>
    </row>
    <row r="392" spans="7:8" x14ac:dyDescent="0.25">
      <c r="G392" s="6"/>
      <c r="H392" s="6"/>
    </row>
    <row r="393" spans="7:8" x14ac:dyDescent="0.25">
      <c r="G393" s="6"/>
      <c r="H393" s="6"/>
    </row>
    <row r="394" spans="7:8" x14ac:dyDescent="0.25">
      <c r="G394" s="6"/>
      <c r="H394" s="6"/>
    </row>
    <row r="395" spans="7:8" x14ac:dyDescent="0.25">
      <c r="G395" s="6"/>
      <c r="H395" s="6"/>
    </row>
    <row r="396" spans="7:8" x14ac:dyDescent="0.25">
      <c r="G396" s="6"/>
      <c r="H396" s="6"/>
    </row>
    <row r="397" spans="7:8" x14ac:dyDescent="0.25">
      <c r="G397" s="6"/>
      <c r="H397" s="6"/>
    </row>
    <row r="398" spans="7:8" x14ac:dyDescent="0.25">
      <c r="G398" s="6"/>
      <c r="H398" s="6"/>
    </row>
    <row r="399" spans="7:8" x14ac:dyDescent="0.25">
      <c r="G399" s="6"/>
      <c r="H399" s="6"/>
    </row>
    <row r="400" spans="7:8" x14ac:dyDescent="0.25">
      <c r="G400" s="6"/>
      <c r="H400" s="6"/>
    </row>
    <row r="401" spans="7:8" x14ac:dyDescent="0.25">
      <c r="G401" s="6"/>
      <c r="H401" s="6"/>
    </row>
    <row r="402" spans="7:8" x14ac:dyDescent="0.25">
      <c r="G402" s="6"/>
      <c r="H402" s="6"/>
    </row>
    <row r="403" spans="7:8" x14ac:dyDescent="0.25">
      <c r="G403" s="6"/>
      <c r="H403" s="6"/>
    </row>
    <row r="404" spans="7:8" x14ac:dyDescent="0.25">
      <c r="G404" s="6"/>
      <c r="H404" s="6"/>
    </row>
    <row r="405" spans="7:8" x14ac:dyDescent="0.25">
      <c r="G405" s="6"/>
      <c r="H405" s="6"/>
    </row>
    <row r="406" spans="7:8" x14ac:dyDescent="0.25">
      <c r="G406" s="6"/>
      <c r="H406" s="6"/>
    </row>
    <row r="407" spans="7:8" x14ac:dyDescent="0.25">
      <c r="G407" s="6"/>
      <c r="H407" s="6"/>
    </row>
    <row r="408" spans="7:8" x14ac:dyDescent="0.25">
      <c r="G408" s="6"/>
      <c r="H408" s="6"/>
    </row>
    <row r="409" spans="7:8" x14ac:dyDescent="0.25">
      <c r="G409" s="6"/>
      <c r="H409" s="6"/>
    </row>
    <row r="410" spans="7:8" x14ac:dyDescent="0.25">
      <c r="G410" s="6"/>
      <c r="H410" s="6"/>
    </row>
    <row r="411" spans="7:8" x14ac:dyDescent="0.25">
      <c r="G411" s="6"/>
      <c r="H411" s="6"/>
    </row>
    <row r="412" spans="7:8" x14ac:dyDescent="0.25">
      <c r="G412" s="6"/>
      <c r="H412" s="6"/>
    </row>
    <row r="413" spans="7:8" x14ac:dyDescent="0.25">
      <c r="G413" s="6"/>
      <c r="H413" s="6"/>
    </row>
    <row r="414" spans="7:8" x14ac:dyDescent="0.25">
      <c r="G414" s="6"/>
      <c r="H414" s="6"/>
    </row>
    <row r="415" spans="7:8" x14ac:dyDescent="0.25">
      <c r="G415" s="6"/>
      <c r="H415" s="6"/>
    </row>
    <row r="416" spans="7:8" x14ac:dyDescent="0.25">
      <c r="G416" s="6"/>
      <c r="H416" s="6"/>
    </row>
    <row r="417" spans="7:8" x14ac:dyDescent="0.25">
      <c r="G417" s="6"/>
      <c r="H417" s="6"/>
    </row>
    <row r="418" spans="7:8" x14ac:dyDescent="0.25">
      <c r="G418" s="6"/>
      <c r="H418" s="6"/>
    </row>
    <row r="419" spans="7:8" x14ac:dyDescent="0.25">
      <c r="G419" s="6"/>
      <c r="H419" s="6"/>
    </row>
    <row r="420" spans="7:8" x14ac:dyDescent="0.25">
      <c r="G420" s="6"/>
      <c r="H420" s="6"/>
    </row>
    <row r="421" spans="7:8" x14ac:dyDescent="0.25">
      <c r="G421" s="6"/>
      <c r="H421" s="6"/>
    </row>
    <row r="422" spans="7:8" x14ac:dyDescent="0.25">
      <c r="G422" s="6"/>
      <c r="H422" s="6"/>
    </row>
    <row r="423" spans="7:8" x14ac:dyDescent="0.25">
      <c r="G423" s="6"/>
      <c r="H423" s="6"/>
    </row>
    <row r="424" spans="7:8" x14ac:dyDescent="0.25">
      <c r="G424" s="6"/>
      <c r="H424" s="6"/>
    </row>
    <row r="425" spans="7:8" x14ac:dyDescent="0.25">
      <c r="G425" s="6"/>
      <c r="H425" s="6"/>
    </row>
    <row r="426" spans="7:8" x14ac:dyDescent="0.25">
      <c r="G426" s="6"/>
      <c r="H426" s="6"/>
    </row>
    <row r="427" spans="7:8" x14ac:dyDescent="0.25">
      <c r="G427" s="6"/>
      <c r="H427" s="6"/>
    </row>
    <row r="428" spans="7:8" x14ac:dyDescent="0.25">
      <c r="G428" s="6"/>
      <c r="H428" s="6"/>
    </row>
    <row r="429" spans="7:8" x14ac:dyDescent="0.25">
      <c r="G429" s="6"/>
      <c r="H429" s="6"/>
    </row>
    <row r="430" spans="7:8" x14ac:dyDescent="0.25">
      <c r="G430" s="6"/>
      <c r="H430" s="6"/>
    </row>
    <row r="431" spans="7:8" x14ac:dyDescent="0.25">
      <c r="G431" s="6"/>
      <c r="H431" s="6"/>
    </row>
    <row r="432" spans="7:8" x14ac:dyDescent="0.25">
      <c r="G432" s="6"/>
      <c r="H432" s="6"/>
    </row>
    <row r="433" spans="7:8" x14ac:dyDescent="0.25">
      <c r="G433" s="6"/>
      <c r="H433" s="6"/>
    </row>
    <row r="434" spans="7:8" x14ac:dyDescent="0.25">
      <c r="G434" s="6"/>
      <c r="H434" s="6"/>
    </row>
    <row r="435" spans="7:8" x14ac:dyDescent="0.25">
      <c r="G435" s="6"/>
      <c r="H435" s="6"/>
    </row>
    <row r="436" spans="7:8" x14ac:dyDescent="0.25">
      <c r="G436" s="6"/>
      <c r="H436" s="6"/>
    </row>
    <row r="437" spans="7:8" x14ac:dyDescent="0.25">
      <c r="G437" s="6"/>
      <c r="H437" s="6"/>
    </row>
    <row r="438" spans="7:8" x14ac:dyDescent="0.25">
      <c r="G438" s="6"/>
      <c r="H438" s="6"/>
    </row>
    <row r="439" spans="7:8" x14ac:dyDescent="0.25">
      <c r="G439" s="6"/>
      <c r="H439" s="6"/>
    </row>
    <row r="440" spans="7:8" x14ac:dyDescent="0.25">
      <c r="G440" s="6"/>
      <c r="H440" s="6"/>
    </row>
    <row r="441" spans="7:8" x14ac:dyDescent="0.25">
      <c r="G441" s="6"/>
      <c r="H441" s="6"/>
    </row>
    <row r="442" spans="7:8" x14ac:dyDescent="0.25">
      <c r="G442" s="6"/>
      <c r="H442" s="6"/>
    </row>
    <row r="443" spans="7:8" x14ac:dyDescent="0.25">
      <c r="G443" s="6"/>
      <c r="H443" s="6"/>
    </row>
    <row r="444" spans="7:8" x14ac:dyDescent="0.25">
      <c r="G444" s="6"/>
      <c r="H444" s="6"/>
    </row>
    <row r="445" spans="7:8" x14ac:dyDescent="0.25">
      <c r="G445" s="6"/>
      <c r="H445" s="6"/>
    </row>
    <row r="446" spans="7:8" x14ac:dyDescent="0.25">
      <c r="G446" s="6"/>
      <c r="H446" s="6"/>
    </row>
    <row r="447" spans="7:8" x14ac:dyDescent="0.25">
      <c r="G447" s="6"/>
      <c r="H447" s="6"/>
    </row>
    <row r="448" spans="7:8" x14ac:dyDescent="0.25">
      <c r="G448" s="6"/>
      <c r="H448" s="6"/>
    </row>
    <row r="449" spans="7:8" x14ac:dyDescent="0.25">
      <c r="G449" s="6"/>
      <c r="H449" s="6"/>
    </row>
    <row r="450" spans="7:8" x14ac:dyDescent="0.25">
      <c r="G450" s="6"/>
      <c r="H450" s="6"/>
    </row>
    <row r="451" spans="7:8" x14ac:dyDescent="0.25">
      <c r="G451" s="6"/>
      <c r="H451" s="6"/>
    </row>
    <row r="452" spans="7:8" x14ac:dyDescent="0.25">
      <c r="G452" s="6"/>
      <c r="H452" s="6"/>
    </row>
    <row r="453" spans="7:8" x14ac:dyDescent="0.25">
      <c r="G453" s="6"/>
      <c r="H453" s="6"/>
    </row>
    <row r="454" spans="7:8" x14ac:dyDescent="0.25">
      <c r="G454" s="6"/>
      <c r="H454" s="6"/>
    </row>
    <row r="455" spans="7:8" x14ac:dyDescent="0.25">
      <c r="G455" s="6"/>
      <c r="H455" s="6"/>
    </row>
    <row r="456" spans="7:8" x14ac:dyDescent="0.25">
      <c r="G456" s="6"/>
      <c r="H456" s="6"/>
    </row>
    <row r="457" spans="7:8" x14ac:dyDescent="0.25">
      <c r="G457" s="6"/>
      <c r="H457" s="6"/>
    </row>
    <row r="458" spans="7:8" x14ac:dyDescent="0.25">
      <c r="G458" s="6"/>
      <c r="H458" s="6"/>
    </row>
    <row r="459" spans="7:8" x14ac:dyDescent="0.25">
      <c r="G459" s="6"/>
      <c r="H459" s="6"/>
    </row>
    <row r="460" spans="7:8" x14ac:dyDescent="0.25">
      <c r="G460" s="6"/>
      <c r="H460" s="6"/>
    </row>
    <row r="461" spans="7:8" x14ac:dyDescent="0.25">
      <c r="G461" s="6"/>
      <c r="H461" s="6"/>
    </row>
    <row r="462" spans="7:8" x14ac:dyDescent="0.25">
      <c r="G462" s="6"/>
      <c r="H462" s="6"/>
    </row>
    <row r="463" spans="7:8" x14ac:dyDescent="0.25">
      <c r="G463" s="6"/>
      <c r="H463" s="6"/>
    </row>
    <row r="464" spans="7:8" x14ac:dyDescent="0.25">
      <c r="G464" s="6"/>
      <c r="H464" s="6"/>
    </row>
    <row r="465" spans="7:8" x14ac:dyDescent="0.25">
      <c r="G465" s="6"/>
      <c r="H465" s="6"/>
    </row>
    <row r="466" spans="7:8" x14ac:dyDescent="0.25">
      <c r="G466" s="6"/>
      <c r="H466" s="6"/>
    </row>
    <row r="467" spans="7:8" x14ac:dyDescent="0.25">
      <c r="G467" s="6"/>
      <c r="H467" s="6"/>
    </row>
    <row r="468" spans="7:8" x14ac:dyDescent="0.25">
      <c r="G468" s="6"/>
      <c r="H468" s="6"/>
    </row>
    <row r="469" spans="7:8" x14ac:dyDescent="0.25">
      <c r="G469" s="6"/>
      <c r="H469" s="6"/>
    </row>
    <row r="470" spans="7:8" x14ac:dyDescent="0.25">
      <c r="G470" s="6"/>
      <c r="H470" s="6"/>
    </row>
    <row r="471" spans="7:8" x14ac:dyDescent="0.25">
      <c r="G471" s="6"/>
      <c r="H471" s="6"/>
    </row>
    <row r="472" spans="7:8" x14ac:dyDescent="0.25">
      <c r="G472" s="6"/>
      <c r="H472" s="6"/>
    </row>
    <row r="473" spans="7:8" x14ac:dyDescent="0.25">
      <c r="G473" s="6"/>
      <c r="H473" s="6"/>
    </row>
    <row r="474" spans="7:8" x14ac:dyDescent="0.25">
      <c r="G474" s="6"/>
      <c r="H474" s="6"/>
    </row>
    <row r="475" spans="7:8" x14ac:dyDescent="0.25">
      <c r="G475" s="6"/>
      <c r="H475" s="6"/>
    </row>
    <row r="476" spans="7:8" x14ac:dyDescent="0.25">
      <c r="G476" s="6"/>
      <c r="H476" s="6"/>
    </row>
    <row r="477" spans="7:8" x14ac:dyDescent="0.25">
      <c r="G477" s="6"/>
      <c r="H477" s="6"/>
    </row>
    <row r="478" spans="7:8" x14ac:dyDescent="0.25">
      <c r="G478" s="6"/>
      <c r="H478" s="6"/>
    </row>
    <row r="479" spans="7:8" x14ac:dyDescent="0.25">
      <c r="G479" s="6"/>
      <c r="H479" s="6"/>
    </row>
    <row r="480" spans="7:8" x14ac:dyDescent="0.25">
      <c r="G480" s="6"/>
      <c r="H480" s="6"/>
    </row>
    <row r="481" spans="7:8" x14ac:dyDescent="0.25">
      <c r="G481" s="6"/>
      <c r="H481" s="6"/>
    </row>
    <row r="482" spans="7:8" x14ac:dyDescent="0.25">
      <c r="G482" s="6"/>
      <c r="H482" s="6"/>
    </row>
    <row r="483" spans="7:8" x14ac:dyDescent="0.25">
      <c r="G483" s="6"/>
      <c r="H483" s="6"/>
    </row>
    <row r="484" spans="7:8" x14ac:dyDescent="0.25">
      <c r="G484" s="6"/>
      <c r="H484" s="6"/>
    </row>
    <row r="485" spans="7:8" x14ac:dyDescent="0.25">
      <c r="G485" s="6"/>
      <c r="H485" s="6"/>
    </row>
    <row r="486" spans="7:8" x14ac:dyDescent="0.25">
      <c r="G486" s="6"/>
      <c r="H486" s="6"/>
    </row>
    <row r="487" spans="7:8" x14ac:dyDescent="0.25">
      <c r="G487" s="6"/>
      <c r="H487" s="6"/>
    </row>
    <row r="488" spans="7:8" x14ac:dyDescent="0.25">
      <c r="G488" s="6"/>
      <c r="H488" s="6"/>
    </row>
    <row r="489" spans="7:8" x14ac:dyDescent="0.25">
      <c r="G489" s="6"/>
      <c r="H489" s="6"/>
    </row>
    <row r="490" spans="7:8" x14ac:dyDescent="0.25">
      <c r="G490" s="6"/>
      <c r="H490" s="6"/>
    </row>
    <row r="491" spans="7:8" x14ac:dyDescent="0.25">
      <c r="G491" s="6"/>
      <c r="H491" s="6"/>
    </row>
    <row r="492" spans="7:8" x14ac:dyDescent="0.25">
      <c r="G492" s="6"/>
      <c r="H492" s="6"/>
    </row>
    <row r="493" spans="7:8" x14ac:dyDescent="0.25">
      <c r="G493" s="6"/>
      <c r="H493" s="6"/>
    </row>
    <row r="494" spans="7:8" x14ac:dyDescent="0.25">
      <c r="G494" s="6"/>
      <c r="H494" s="6"/>
    </row>
    <row r="495" spans="7:8" x14ac:dyDescent="0.25">
      <c r="G495" s="6"/>
      <c r="H495" s="6"/>
    </row>
    <row r="496" spans="7:8" x14ac:dyDescent="0.25">
      <c r="G496" s="6"/>
      <c r="H496" s="6"/>
    </row>
    <row r="497" spans="7:8" x14ac:dyDescent="0.25">
      <c r="G497" s="6"/>
      <c r="H497" s="6"/>
    </row>
    <row r="498" spans="7:8" x14ac:dyDescent="0.25">
      <c r="G498" s="6"/>
      <c r="H498" s="6"/>
    </row>
    <row r="499" spans="7:8" x14ac:dyDescent="0.25">
      <c r="G499" s="6"/>
      <c r="H499" s="6"/>
    </row>
    <row r="500" spans="7:8" x14ac:dyDescent="0.25">
      <c r="G500" s="6"/>
      <c r="H500" s="6"/>
    </row>
    <row r="501" spans="7:8" x14ac:dyDescent="0.25">
      <c r="G501" s="6"/>
      <c r="H501" s="6"/>
    </row>
    <row r="502" spans="7:8" x14ac:dyDescent="0.25">
      <c r="G502" s="6"/>
      <c r="H502" s="6"/>
    </row>
    <row r="503" spans="7:8" x14ac:dyDescent="0.25">
      <c r="G503" s="6"/>
      <c r="H503" s="6"/>
    </row>
    <row r="504" spans="7:8" x14ac:dyDescent="0.25">
      <c r="G504" s="6"/>
      <c r="H504" s="6"/>
    </row>
    <row r="505" spans="7:8" x14ac:dyDescent="0.25">
      <c r="G505" s="6"/>
      <c r="H505" s="6"/>
    </row>
    <row r="506" spans="7:8" x14ac:dyDescent="0.25">
      <c r="G506" s="6"/>
      <c r="H506" s="6"/>
    </row>
    <row r="507" spans="7:8" x14ac:dyDescent="0.25">
      <c r="G507" s="6"/>
      <c r="H507" s="6"/>
    </row>
    <row r="508" spans="7:8" x14ac:dyDescent="0.25">
      <c r="G508" s="6"/>
      <c r="H508" s="6"/>
    </row>
    <row r="509" spans="7:8" x14ac:dyDescent="0.25">
      <c r="G509" s="6"/>
      <c r="H509" s="6"/>
    </row>
    <row r="510" spans="7:8" x14ac:dyDescent="0.25">
      <c r="G510" s="6"/>
      <c r="H510" s="6"/>
    </row>
    <row r="511" spans="7:8" x14ac:dyDescent="0.25">
      <c r="G511" s="6"/>
      <c r="H511" s="6"/>
    </row>
    <row r="512" spans="7:8" x14ac:dyDescent="0.25">
      <c r="G512" s="6"/>
      <c r="H512" s="6"/>
    </row>
    <row r="513" spans="7:8" x14ac:dyDescent="0.25">
      <c r="G513" s="6"/>
      <c r="H513" s="6"/>
    </row>
    <row r="514" spans="7:8" x14ac:dyDescent="0.25">
      <c r="G514" s="6"/>
      <c r="H514" s="6"/>
    </row>
    <row r="515" spans="7:8" x14ac:dyDescent="0.25">
      <c r="G515" s="6"/>
      <c r="H515" s="6"/>
    </row>
    <row r="516" spans="7:8" x14ac:dyDescent="0.25">
      <c r="G516" s="6"/>
      <c r="H516" s="6"/>
    </row>
    <row r="517" spans="7:8" x14ac:dyDescent="0.25">
      <c r="G517" s="6"/>
      <c r="H517" s="6"/>
    </row>
    <row r="518" spans="7:8" x14ac:dyDescent="0.25">
      <c r="G518" s="6"/>
      <c r="H518" s="6"/>
    </row>
    <row r="519" spans="7:8" x14ac:dyDescent="0.25">
      <c r="G519" s="6"/>
      <c r="H519" s="6"/>
    </row>
    <row r="520" spans="7:8" x14ac:dyDescent="0.25">
      <c r="G520" s="6"/>
      <c r="H520" s="6"/>
    </row>
    <row r="521" spans="7:8" x14ac:dyDescent="0.25">
      <c r="G521" s="6"/>
      <c r="H521" s="6"/>
    </row>
    <row r="522" spans="7:8" x14ac:dyDescent="0.25">
      <c r="G522" s="6"/>
      <c r="H522" s="6"/>
    </row>
    <row r="523" spans="7:8" x14ac:dyDescent="0.25">
      <c r="G523" s="6"/>
      <c r="H523" s="6"/>
    </row>
    <row r="524" spans="7:8" x14ac:dyDescent="0.25">
      <c r="G524" s="6"/>
      <c r="H524" s="6"/>
    </row>
    <row r="525" spans="7:8" x14ac:dyDescent="0.25">
      <c r="G525" s="6"/>
      <c r="H525" s="6"/>
    </row>
    <row r="526" spans="7:8" x14ac:dyDescent="0.25">
      <c r="G526" s="6"/>
      <c r="H526" s="6"/>
    </row>
    <row r="527" spans="7:8" x14ac:dyDescent="0.25">
      <c r="G527" s="6"/>
      <c r="H527" s="6"/>
    </row>
    <row r="528" spans="7:8" x14ac:dyDescent="0.25">
      <c r="G528" s="6"/>
      <c r="H528" s="6"/>
    </row>
    <row r="529" spans="7:8" x14ac:dyDescent="0.25">
      <c r="G529" s="6"/>
      <c r="H529" s="6"/>
    </row>
    <row r="530" spans="7:8" x14ac:dyDescent="0.25">
      <c r="G530" s="6"/>
      <c r="H530" s="6"/>
    </row>
    <row r="531" spans="7:8" x14ac:dyDescent="0.25">
      <c r="G531" s="6"/>
      <c r="H531" s="6"/>
    </row>
    <row r="532" spans="7:8" x14ac:dyDescent="0.25">
      <c r="G532" s="6"/>
      <c r="H532" s="6"/>
    </row>
    <row r="533" spans="7:8" x14ac:dyDescent="0.25">
      <c r="G533" s="6"/>
      <c r="H533" s="6"/>
    </row>
    <row r="534" spans="7:8" x14ac:dyDescent="0.25">
      <c r="G534" s="6"/>
      <c r="H534" s="6"/>
    </row>
    <row r="535" spans="7:8" x14ac:dyDescent="0.25">
      <c r="G535" s="6"/>
      <c r="H535" s="6"/>
    </row>
    <row r="536" spans="7:8" x14ac:dyDescent="0.25">
      <c r="G536" s="6"/>
      <c r="H536" s="6"/>
    </row>
    <row r="537" spans="7:8" x14ac:dyDescent="0.25">
      <c r="G537" s="6"/>
      <c r="H537" s="6"/>
    </row>
    <row r="538" spans="7:8" x14ac:dyDescent="0.25">
      <c r="G538" s="6"/>
      <c r="H538" s="6"/>
    </row>
    <row r="539" spans="7:8" x14ac:dyDescent="0.25">
      <c r="G539" s="6"/>
      <c r="H539" s="6"/>
    </row>
    <row r="540" spans="7:8" x14ac:dyDescent="0.25">
      <c r="G540" s="6"/>
      <c r="H540" s="6"/>
    </row>
    <row r="541" spans="7:8" x14ac:dyDescent="0.25">
      <c r="G541" s="6"/>
      <c r="H541" s="6"/>
    </row>
    <row r="542" spans="7:8" x14ac:dyDescent="0.25">
      <c r="G542" s="6"/>
      <c r="H542" s="6"/>
    </row>
    <row r="543" spans="7:8" x14ac:dyDescent="0.25">
      <c r="G543" s="6"/>
      <c r="H543" s="6"/>
    </row>
    <row r="544" spans="7:8" x14ac:dyDescent="0.25">
      <c r="G544" s="6"/>
      <c r="H544" s="6"/>
    </row>
    <row r="545" spans="7:8" x14ac:dyDescent="0.25">
      <c r="G545" s="6"/>
      <c r="H545" s="6"/>
    </row>
    <row r="546" spans="7:8" x14ac:dyDescent="0.25">
      <c r="G546" s="6"/>
      <c r="H546" s="6"/>
    </row>
    <row r="547" spans="7:8" x14ac:dyDescent="0.25">
      <c r="G547" s="6"/>
      <c r="H547" s="6"/>
    </row>
    <row r="548" spans="7:8" x14ac:dyDescent="0.25">
      <c r="G548" s="6"/>
      <c r="H548" s="6"/>
    </row>
    <row r="549" spans="7:8" x14ac:dyDescent="0.25">
      <c r="G549" s="6"/>
      <c r="H549" s="6"/>
    </row>
    <row r="550" spans="7:8" x14ac:dyDescent="0.25">
      <c r="G550" s="6"/>
      <c r="H550" s="6"/>
    </row>
    <row r="551" spans="7:8" x14ac:dyDescent="0.25">
      <c r="G551" s="6"/>
      <c r="H551" s="6"/>
    </row>
    <row r="552" spans="7:8" x14ac:dyDescent="0.25">
      <c r="G552" s="6"/>
      <c r="H552" s="6"/>
    </row>
    <row r="553" spans="7:8" x14ac:dyDescent="0.25">
      <c r="G553" s="6"/>
      <c r="H553" s="6"/>
    </row>
    <row r="554" spans="7:8" x14ac:dyDescent="0.25">
      <c r="G554" s="6"/>
      <c r="H554" s="6"/>
    </row>
    <row r="555" spans="7:8" x14ac:dyDescent="0.25">
      <c r="G555" s="6"/>
      <c r="H555" s="6"/>
    </row>
    <row r="556" spans="7:8" x14ac:dyDescent="0.25">
      <c r="G556" s="6"/>
      <c r="H556" s="6"/>
    </row>
    <row r="557" spans="7:8" x14ac:dyDescent="0.25">
      <c r="G557" s="6"/>
      <c r="H557" s="6"/>
    </row>
    <row r="558" spans="7:8" x14ac:dyDescent="0.25">
      <c r="G558" s="6"/>
      <c r="H558" s="6"/>
    </row>
    <row r="559" spans="7:8" x14ac:dyDescent="0.25">
      <c r="G559" s="6"/>
      <c r="H559" s="6"/>
    </row>
    <row r="560" spans="7:8" x14ac:dyDescent="0.25">
      <c r="G560" s="6"/>
      <c r="H560" s="6"/>
    </row>
    <row r="561" spans="7:8" x14ac:dyDescent="0.25">
      <c r="G561" s="6"/>
      <c r="H561" s="6"/>
    </row>
    <row r="562" spans="7:8" x14ac:dyDescent="0.25">
      <c r="G562" s="6"/>
      <c r="H562" s="6"/>
    </row>
    <row r="563" spans="7:8" x14ac:dyDescent="0.25">
      <c r="G563" s="6"/>
      <c r="H563" s="6"/>
    </row>
    <row r="564" spans="7:8" x14ac:dyDescent="0.25">
      <c r="G564" s="6"/>
      <c r="H564" s="6"/>
    </row>
    <row r="565" spans="7:8" x14ac:dyDescent="0.25">
      <c r="G565" s="6"/>
      <c r="H565" s="6"/>
    </row>
    <row r="566" spans="7:8" x14ac:dyDescent="0.25">
      <c r="G566" s="6"/>
      <c r="H566" s="6"/>
    </row>
    <row r="567" spans="7:8" x14ac:dyDescent="0.25">
      <c r="G567" s="6"/>
      <c r="H567" s="6"/>
    </row>
    <row r="568" spans="7:8" x14ac:dyDescent="0.25">
      <c r="G568" s="6"/>
      <c r="H568" s="6"/>
    </row>
    <row r="569" spans="7:8" x14ac:dyDescent="0.25">
      <c r="G569" s="6"/>
      <c r="H569" s="6"/>
    </row>
    <row r="570" spans="7:8" x14ac:dyDescent="0.25">
      <c r="G570" s="6"/>
      <c r="H570" s="6"/>
    </row>
    <row r="571" spans="7:8" x14ac:dyDescent="0.25">
      <c r="G571" s="6"/>
      <c r="H571" s="6"/>
    </row>
    <row r="572" spans="7:8" x14ac:dyDescent="0.25">
      <c r="G572" s="6"/>
      <c r="H572" s="6"/>
    </row>
    <row r="573" spans="7:8" x14ac:dyDescent="0.25">
      <c r="G573" s="6"/>
      <c r="H573" s="6"/>
    </row>
    <row r="574" spans="7:8" x14ac:dyDescent="0.25">
      <c r="G574" s="6"/>
      <c r="H574" s="6"/>
    </row>
    <row r="575" spans="7:8" x14ac:dyDescent="0.25">
      <c r="G575" s="6"/>
      <c r="H575" s="6"/>
    </row>
    <row r="576" spans="7:8" x14ac:dyDescent="0.25">
      <c r="G576" s="6"/>
      <c r="H576" s="6"/>
    </row>
    <row r="577" spans="7:8" x14ac:dyDescent="0.25">
      <c r="G577" s="6"/>
      <c r="H577" s="6"/>
    </row>
    <row r="578" spans="7:8" x14ac:dyDescent="0.25">
      <c r="G578" s="6"/>
      <c r="H578" s="6"/>
    </row>
    <row r="579" spans="7:8" x14ac:dyDescent="0.25">
      <c r="G579" s="6"/>
      <c r="H579" s="6"/>
    </row>
    <row r="580" spans="7:8" x14ac:dyDescent="0.25">
      <c r="G580" s="6"/>
      <c r="H580" s="6"/>
    </row>
    <row r="581" spans="7:8" x14ac:dyDescent="0.25">
      <c r="G581" s="6"/>
      <c r="H581" s="6"/>
    </row>
    <row r="582" spans="7:8" x14ac:dyDescent="0.25">
      <c r="G582" s="6"/>
      <c r="H582" s="6"/>
    </row>
    <row r="583" spans="7:8" x14ac:dyDescent="0.25">
      <c r="G583" s="6"/>
      <c r="H583" s="6"/>
    </row>
    <row r="584" spans="7:8" x14ac:dyDescent="0.25">
      <c r="G584" s="6"/>
      <c r="H584" s="6"/>
    </row>
    <row r="585" spans="7:8" x14ac:dyDescent="0.25">
      <c r="G585" s="6"/>
      <c r="H585" s="6"/>
    </row>
    <row r="586" spans="7:8" x14ac:dyDescent="0.25">
      <c r="G586" s="6"/>
      <c r="H586" s="6"/>
    </row>
    <row r="587" spans="7:8" x14ac:dyDescent="0.25">
      <c r="G587" s="6"/>
      <c r="H587" s="6"/>
    </row>
    <row r="588" spans="7:8" x14ac:dyDescent="0.25">
      <c r="G588" s="6"/>
      <c r="H588" s="6"/>
    </row>
    <row r="589" spans="7:8" x14ac:dyDescent="0.25">
      <c r="G589" s="6"/>
      <c r="H589" s="6"/>
    </row>
    <row r="590" spans="7:8" x14ac:dyDescent="0.25">
      <c r="G590" s="6"/>
      <c r="H590" s="6"/>
    </row>
    <row r="591" spans="7:8" x14ac:dyDescent="0.25">
      <c r="G591" s="6"/>
      <c r="H591" s="6"/>
    </row>
    <row r="592" spans="7:8" x14ac:dyDescent="0.25">
      <c r="G592" s="6"/>
      <c r="H592" s="6"/>
    </row>
    <row r="593" spans="7:8" x14ac:dyDescent="0.25">
      <c r="G593" s="6"/>
      <c r="H593" s="6"/>
    </row>
    <row r="594" spans="7:8" x14ac:dyDescent="0.25">
      <c r="G594" s="6"/>
      <c r="H594" s="6"/>
    </row>
    <row r="595" spans="7:8" x14ac:dyDescent="0.25">
      <c r="G595" s="6"/>
      <c r="H595" s="6"/>
    </row>
    <row r="596" spans="7:8" x14ac:dyDescent="0.25">
      <c r="G596" s="6"/>
      <c r="H596" s="6"/>
    </row>
    <row r="597" spans="7:8" x14ac:dyDescent="0.25">
      <c r="G597" s="6"/>
      <c r="H597" s="6"/>
    </row>
    <row r="598" spans="7:8" x14ac:dyDescent="0.25">
      <c r="G598" s="6"/>
      <c r="H598" s="6"/>
    </row>
    <row r="599" spans="7:8" x14ac:dyDescent="0.25">
      <c r="G599" s="6"/>
      <c r="H599" s="6"/>
    </row>
    <row r="600" spans="7:8" x14ac:dyDescent="0.25">
      <c r="G600" s="6"/>
      <c r="H600" s="6"/>
    </row>
    <row r="601" spans="7:8" x14ac:dyDescent="0.25">
      <c r="G601" s="6"/>
      <c r="H601" s="6"/>
    </row>
    <row r="602" spans="7:8" x14ac:dyDescent="0.25">
      <c r="G602" s="6"/>
      <c r="H602" s="6"/>
    </row>
    <row r="603" spans="7:8" x14ac:dyDescent="0.25">
      <c r="G603" s="6"/>
      <c r="H603" s="6"/>
    </row>
    <row r="604" spans="7:8" x14ac:dyDescent="0.25">
      <c r="G604" s="6"/>
      <c r="H604" s="6"/>
    </row>
    <row r="605" spans="7:8" x14ac:dyDescent="0.25">
      <c r="G605" s="6"/>
      <c r="H605" s="6"/>
    </row>
    <row r="606" spans="7:8" x14ac:dyDescent="0.25">
      <c r="G606" s="6"/>
      <c r="H606" s="6"/>
    </row>
    <row r="607" spans="7:8" x14ac:dyDescent="0.25">
      <c r="G607" s="6"/>
      <c r="H607" s="6"/>
    </row>
    <row r="608" spans="7:8" x14ac:dyDescent="0.25">
      <c r="G608" s="6"/>
      <c r="H608" s="6"/>
    </row>
    <row r="609" spans="7:8" x14ac:dyDescent="0.25">
      <c r="G609" s="6"/>
      <c r="H609" s="6"/>
    </row>
    <row r="610" spans="7:8" x14ac:dyDescent="0.25">
      <c r="G610" s="6"/>
      <c r="H610" s="6"/>
    </row>
    <row r="611" spans="7:8" x14ac:dyDescent="0.25">
      <c r="G611" s="6"/>
      <c r="H611" s="6"/>
    </row>
    <row r="612" spans="7:8" x14ac:dyDescent="0.25">
      <c r="G612" s="6"/>
      <c r="H612" s="6"/>
    </row>
    <row r="613" spans="7:8" x14ac:dyDescent="0.25">
      <c r="G613" s="6"/>
      <c r="H613" s="6"/>
    </row>
    <row r="614" spans="7:8" x14ac:dyDescent="0.25">
      <c r="G614" s="6"/>
      <c r="H614" s="6"/>
    </row>
    <row r="615" spans="7:8" x14ac:dyDescent="0.25">
      <c r="G615" s="6"/>
      <c r="H615" s="6"/>
    </row>
    <row r="616" spans="7:8" x14ac:dyDescent="0.25">
      <c r="G616" s="6"/>
      <c r="H616" s="6"/>
    </row>
    <row r="617" spans="7:8" x14ac:dyDescent="0.25">
      <c r="G617" s="6"/>
      <c r="H617" s="6"/>
    </row>
    <row r="618" spans="7:8" x14ac:dyDescent="0.25">
      <c r="G618" s="6"/>
      <c r="H618" s="6"/>
    </row>
    <row r="619" spans="7:8" x14ac:dyDescent="0.25">
      <c r="G619" s="6"/>
      <c r="H619" s="6"/>
    </row>
    <row r="620" spans="7:8" x14ac:dyDescent="0.25">
      <c r="G620" s="6"/>
      <c r="H620" s="6"/>
    </row>
    <row r="621" spans="7:8" x14ac:dyDescent="0.25">
      <c r="G621" s="6"/>
      <c r="H621" s="6"/>
    </row>
    <row r="622" spans="7:8" x14ac:dyDescent="0.25">
      <c r="G622" s="6"/>
      <c r="H622" s="6"/>
    </row>
    <row r="623" spans="7:8" x14ac:dyDescent="0.25">
      <c r="G623" s="6"/>
      <c r="H623" s="6"/>
    </row>
    <row r="624" spans="7:8" x14ac:dyDescent="0.25">
      <c r="G624" s="6"/>
      <c r="H624" s="6"/>
    </row>
    <row r="625" spans="7:8" x14ac:dyDescent="0.25">
      <c r="G625" s="6"/>
      <c r="H625" s="6"/>
    </row>
    <row r="626" spans="7:8" x14ac:dyDescent="0.25">
      <c r="G626" s="6"/>
      <c r="H626" s="6"/>
    </row>
    <row r="627" spans="7:8" x14ac:dyDescent="0.25">
      <c r="G627" s="6"/>
      <c r="H627" s="6"/>
    </row>
    <row r="628" spans="7:8" x14ac:dyDescent="0.25">
      <c r="G628" s="6"/>
      <c r="H628" s="6"/>
    </row>
    <row r="629" spans="7:8" x14ac:dyDescent="0.25">
      <c r="G629" s="6"/>
      <c r="H629" s="6"/>
    </row>
    <row r="630" spans="7:8" x14ac:dyDescent="0.25">
      <c r="G630" s="6"/>
      <c r="H630" s="6"/>
    </row>
    <row r="631" spans="7:8" x14ac:dyDescent="0.25">
      <c r="G631" s="6"/>
      <c r="H631" s="6"/>
    </row>
    <row r="632" spans="7:8" x14ac:dyDescent="0.25">
      <c r="G632" s="6"/>
      <c r="H632" s="6"/>
    </row>
    <row r="633" spans="7:8" x14ac:dyDescent="0.25">
      <c r="G633" s="6"/>
      <c r="H633" s="6"/>
    </row>
    <row r="634" spans="7:8" x14ac:dyDescent="0.25">
      <c r="G634" s="6"/>
      <c r="H634" s="6"/>
    </row>
    <row r="635" spans="7:8" x14ac:dyDescent="0.25">
      <c r="G635" s="6"/>
      <c r="H635" s="6"/>
    </row>
    <row r="636" spans="7:8" x14ac:dyDescent="0.25">
      <c r="G636" s="6"/>
      <c r="H636" s="6"/>
    </row>
    <row r="637" spans="7:8" x14ac:dyDescent="0.25">
      <c r="G637" s="6"/>
      <c r="H637" s="6"/>
    </row>
    <row r="638" spans="7:8" x14ac:dyDescent="0.25">
      <c r="G638" s="6"/>
      <c r="H638" s="6"/>
    </row>
    <row r="639" spans="7:8" x14ac:dyDescent="0.25">
      <c r="G639" s="6"/>
      <c r="H639" s="6"/>
    </row>
    <row r="640" spans="7:8" x14ac:dyDescent="0.25">
      <c r="G640" s="6"/>
      <c r="H640" s="6"/>
    </row>
    <row r="641" spans="7:8" x14ac:dyDescent="0.25">
      <c r="G641" s="6"/>
      <c r="H641" s="6"/>
    </row>
    <row r="642" spans="7:8" x14ac:dyDescent="0.25">
      <c r="G642" s="6"/>
      <c r="H642" s="6"/>
    </row>
    <row r="643" spans="7:8" x14ac:dyDescent="0.25">
      <c r="G643" s="6"/>
      <c r="H643" s="6"/>
    </row>
    <row r="644" spans="7:8" x14ac:dyDescent="0.25">
      <c r="G644" s="6"/>
      <c r="H644" s="6"/>
    </row>
    <row r="645" spans="7:8" x14ac:dyDescent="0.25">
      <c r="G645" s="6"/>
      <c r="H645" s="6"/>
    </row>
    <row r="646" spans="7:8" x14ac:dyDescent="0.25">
      <c r="G646" s="6"/>
      <c r="H646" s="6"/>
    </row>
    <row r="647" spans="7:8" x14ac:dyDescent="0.25">
      <c r="G647" s="6"/>
      <c r="H647" s="6"/>
    </row>
    <row r="648" spans="7:8" x14ac:dyDescent="0.25">
      <c r="G648" s="6"/>
      <c r="H648" s="6"/>
    </row>
    <row r="649" spans="7:8" x14ac:dyDescent="0.25">
      <c r="G649" s="6"/>
      <c r="H649" s="6"/>
    </row>
    <row r="650" spans="7:8" x14ac:dyDescent="0.25">
      <c r="G650" s="6"/>
      <c r="H650" s="6"/>
    </row>
    <row r="651" spans="7:8" x14ac:dyDescent="0.25">
      <c r="G651" s="6"/>
      <c r="H651" s="6"/>
    </row>
    <row r="652" spans="7:8" x14ac:dyDescent="0.25">
      <c r="G652" s="6"/>
      <c r="H652" s="6"/>
    </row>
    <row r="653" spans="7:8" x14ac:dyDescent="0.25">
      <c r="G653" s="6"/>
      <c r="H653" s="6"/>
    </row>
    <row r="654" spans="7:8" x14ac:dyDescent="0.25">
      <c r="G654" s="6"/>
      <c r="H654" s="6"/>
    </row>
    <row r="655" spans="7:8" x14ac:dyDescent="0.25">
      <c r="G655" s="6"/>
      <c r="H655" s="6"/>
    </row>
    <row r="656" spans="7:8" x14ac:dyDescent="0.25">
      <c r="G656" s="6"/>
      <c r="H656" s="6"/>
    </row>
    <row r="657" spans="7:8" x14ac:dyDescent="0.25">
      <c r="G657" s="6"/>
      <c r="H657" s="6"/>
    </row>
    <row r="658" spans="7:8" x14ac:dyDescent="0.25">
      <c r="G658" s="6"/>
      <c r="H658" s="6"/>
    </row>
    <row r="659" spans="7:8" x14ac:dyDescent="0.25">
      <c r="G659" s="6"/>
      <c r="H659" s="6"/>
    </row>
    <row r="660" spans="7:8" x14ac:dyDescent="0.25">
      <c r="G660" s="6"/>
      <c r="H660" s="6"/>
    </row>
    <row r="661" spans="7:8" x14ac:dyDescent="0.25">
      <c r="G661" s="6"/>
      <c r="H661" s="6"/>
    </row>
    <row r="662" spans="7:8" x14ac:dyDescent="0.25">
      <c r="G662" s="6"/>
      <c r="H662" s="6"/>
    </row>
    <row r="663" spans="7:8" x14ac:dyDescent="0.25">
      <c r="G663" s="6"/>
      <c r="H663" s="6"/>
    </row>
    <row r="664" spans="7:8" x14ac:dyDescent="0.25">
      <c r="G664" s="6"/>
      <c r="H664" s="6"/>
    </row>
    <row r="665" spans="7:8" x14ac:dyDescent="0.25">
      <c r="G665" s="6"/>
      <c r="H665" s="6"/>
    </row>
    <row r="666" spans="7:8" x14ac:dyDescent="0.25">
      <c r="G666" s="6"/>
      <c r="H666" s="6"/>
    </row>
    <row r="667" spans="7:8" x14ac:dyDescent="0.25">
      <c r="G667" s="6"/>
      <c r="H667" s="6"/>
    </row>
    <row r="668" spans="7:8" x14ac:dyDescent="0.25">
      <c r="G668" s="6"/>
      <c r="H668" s="6"/>
    </row>
    <row r="669" spans="7:8" x14ac:dyDescent="0.25">
      <c r="G669" s="6"/>
      <c r="H669" s="6"/>
    </row>
    <row r="670" spans="7:8" x14ac:dyDescent="0.25">
      <c r="G670" s="6"/>
      <c r="H670" s="6"/>
    </row>
    <row r="671" spans="7:8" x14ac:dyDescent="0.25">
      <c r="G671" s="6"/>
      <c r="H671" s="6"/>
    </row>
    <row r="672" spans="7:8" x14ac:dyDescent="0.25">
      <c r="G672" s="6"/>
      <c r="H672" s="6"/>
    </row>
    <row r="673" spans="7:8" x14ac:dyDescent="0.25">
      <c r="G673" s="6"/>
      <c r="H673" s="6"/>
    </row>
    <row r="674" spans="7:8" x14ac:dyDescent="0.25">
      <c r="G674" s="6"/>
      <c r="H674" s="6"/>
    </row>
    <row r="675" spans="7:8" x14ac:dyDescent="0.25">
      <c r="G675" s="6"/>
      <c r="H675" s="6"/>
    </row>
    <row r="676" spans="7:8" x14ac:dyDescent="0.25">
      <c r="G676" s="6"/>
      <c r="H676" s="6"/>
    </row>
    <row r="677" spans="7:8" x14ac:dyDescent="0.25">
      <c r="G677" s="6"/>
      <c r="H677" s="6"/>
    </row>
    <row r="678" spans="7:8" x14ac:dyDescent="0.25">
      <c r="G678" s="6"/>
      <c r="H678" s="6"/>
    </row>
    <row r="679" spans="7:8" x14ac:dyDescent="0.25">
      <c r="G679" s="6"/>
      <c r="H679" s="6"/>
    </row>
    <row r="680" spans="7:8" x14ac:dyDescent="0.25">
      <c r="G680" s="6"/>
      <c r="H680" s="6"/>
    </row>
    <row r="681" spans="7:8" x14ac:dyDescent="0.25">
      <c r="G681" s="6"/>
      <c r="H681" s="6"/>
    </row>
    <row r="682" spans="7:8" x14ac:dyDescent="0.25">
      <c r="G682" s="6"/>
      <c r="H682" s="6"/>
    </row>
    <row r="683" spans="7:8" x14ac:dyDescent="0.25">
      <c r="G683" s="6"/>
      <c r="H683" s="6"/>
    </row>
    <row r="684" spans="7:8" x14ac:dyDescent="0.25">
      <c r="G684" s="6"/>
      <c r="H684" s="6"/>
    </row>
    <row r="685" spans="7:8" x14ac:dyDescent="0.25">
      <c r="G685" s="6"/>
      <c r="H685" s="6"/>
    </row>
    <row r="686" spans="7:8" x14ac:dyDescent="0.25">
      <c r="G686" s="6"/>
      <c r="H686" s="6"/>
    </row>
    <row r="687" spans="7:8" x14ac:dyDescent="0.25">
      <c r="G687" s="6"/>
      <c r="H687" s="6"/>
    </row>
    <row r="688" spans="7:8" x14ac:dyDescent="0.25">
      <c r="G688" s="6"/>
      <c r="H688" s="6"/>
    </row>
    <row r="689" spans="7:8" x14ac:dyDescent="0.25">
      <c r="G689" s="6"/>
      <c r="H689" s="6"/>
    </row>
    <row r="690" spans="7:8" x14ac:dyDescent="0.25">
      <c r="G690" s="6"/>
      <c r="H690" s="6"/>
    </row>
    <row r="691" spans="7:8" x14ac:dyDescent="0.25">
      <c r="G691" s="6"/>
      <c r="H691" s="6"/>
    </row>
    <row r="692" spans="7:8" x14ac:dyDescent="0.25">
      <c r="G692" s="6"/>
      <c r="H692" s="6"/>
    </row>
    <row r="693" spans="7:8" x14ac:dyDescent="0.25">
      <c r="G693" s="6"/>
      <c r="H693" s="6"/>
    </row>
    <row r="694" spans="7:8" x14ac:dyDescent="0.25">
      <c r="G694" s="6"/>
      <c r="H694" s="6"/>
    </row>
    <row r="695" spans="7:8" x14ac:dyDescent="0.25">
      <c r="G695" s="6"/>
      <c r="H695" s="6"/>
    </row>
    <row r="696" spans="7:8" x14ac:dyDescent="0.25">
      <c r="G696" s="6"/>
      <c r="H696" s="6"/>
    </row>
    <row r="697" spans="7:8" x14ac:dyDescent="0.25">
      <c r="G697" s="6"/>
      <c r="H697" s="6"/>
    </row>
    <row r="698" spans="7:8" x14ac:dyDescent="0.25">
      <c r="G698" s="6"/>
      <c r="H698" s="6"/>
    </row>
    <row r="699" spans="7:8" x14ac:dyDescent="0.25">
      <c r="G699" s="6"/>
      <c r="H699" s="6"/>
    </row>
    <row r="700" spans="7:8" x14ac:dyDescent="0.25">
      <c r="G700" s="6"/>
      <c r="H700" s="6"/>
    </row>
    <row r="701" spans="7:8" x14ac:dyDescent="0.25">
      <c r="G701" s="6"/>
      <c r="H701" s="6"/>
    </row>
    <row r="702" spans="7:8" x14ac:dyDescent="0.25">
      <c r="G702" s="6"/>
      <c r="H702" s="6"/>
    </row>
    <row r="703" spans="7:8" x14ac:dyDescent="0.25">
      <c r="G703" s="6"/>
      <c r="H703" s="6"/>
    </row>
    <row r="704" spans="7:8" x14ac:dyDescent="0.25">
      <c r="G704" s="6"/>
      <c r="H704" s="6"/>
    </row>
    <row r="705" spans="7:8" x14ac:dyDescent="0.25">
      <c r="G705" s="6"/>
      <c r="H705" s="6"/>
    </row>
    <row r="706" spans="7:8" x14ac:dyDescent="0.25">
      <c r="G706" s="6"/>
      <c r="H706" s="6"/>
    </row>
    <row r="707" spans="7:8" x14ac:dyDescent="0.25">
      <c r="G707" s="6"/>
      <c r="H707" s="6"/>
    </row>
    <row r="708" spans="7:8" x14ac:dyDescent="0.25">
      <c r="G708" s="6"/>
      <c r="H708" s="6"/>
    </row>
    <row r="709" spans="7:8" x14ac:dyDescent="0.25">
      <c r="G709" s="6"/>
      <c r="H709" s="6"/>
    </row>
    <row r="710" spans="7:8" x14ac:dyDescent="0.25">
      <c r="G710" s="6"/>
      <c r="H710" s="6"/>
    </row>
    <row r="711" spans="7:8" x14ac:dyDescent="0.25">
      <c r="G711" s="6"/>
      <c r="H711" s="6"/>
    </row>
    <row r="712" spans="7:8" x14ac:dyDescent="0.25">
      <c r="G712" s="6"/>
      <c r="H712" s="6"/>
    </row>
    <row r="713" spans="7:8" x14ac:dyDescent="0.25">
      <c r="G713" s="6"/>
      <c r="H713" s="6"/>
    </row>
    <row r="714" spans="7:8" x14ac:dyDescent="0.25">
      <c r="G714" s="6"/>
      <c r="H714" s="6"/>
    </row>
    <row r="715" spans="7:8" x14ac:dyDescent="0.25">
      <c r="G715" s="6"/>
      <c r="H715" s="6"/>
    </row>
    <row r="716" spans="7:8" x14ac:dyDescent="0.25">
      <c r="G716" s="6"/>
      <c r="H716" s="6"/>
    </row>
    <row r="717" spans="7:8" x14ac:dyDescent="0.25">
      <c r="G717" s="6"/>
      <c r="H717" s="6"/>
    </row>
    <row r="718" spans="7:8" x14ac:dyDescent="0.25">
      <c r="G718" s="6"/>
      <c r="H718" s="6"/>
    </row>
    <row r="719" spans="7:8" x14ac:dyDescent="0.25">
      <c r="G719" s="6"/>
      <c r="H719" s="6"/>
    </row>
    <row r="720" spans="7:8" x14ac:dyDescent="0.25">
      <c r="G720" s="6"/>
      <c r="H720" s="6"/>
    </row>
    <row r="721" spans="7:8" x14ac:dyDescent="0.25">
      <c r="G721" s="6"/>
      <c r="H721" s="6"/>
    </row>
    <row r="722" spans="7:8" x14ac:dyDescent="0.25">
      <c r="G722" s="6"/>
      <c r="H722" s="6"/>
    </row>
    <row r="723" spans="7:8" x14ac:dyDescent="0.25">
      <c r="G723" s="6"/>
      <c r="H723" s="6"/>
    </row>
    <row r="724" spans="7:8" x14ac:dyDescent="0.25">
      <c r="G724" s="6"/>
      <c r="H724" s="6"/>
    </row>
    <row r="725" spans="7:8" x14ac:dyDescent="0.25">
      <c r="G725" s="6"/>
      <c r="H725" s="6"/>
    </row>
    <row r="726" spans="7:8" x14ac:dyDescent="0.25">
      <c r="G726" s="6"/>
      <c r="H726" s="6"/>
    </row>
    <row r="727" spans="7:8" x14ac:dyDescent="0.25">
      <c r="G727" s="6"/>
      <c r="H727" s="6"/>
    </row>
    <row r="728" spans="7:8" x14ac:dyDescent="0.25">
      <c r="G728" s="6"/>
      <c r="H728" s="6"/>
    </row>
    <row r="729" spans="7:8" x14ac:dyDescent="0.25">
      <c r="G729" s="6"/>
      <c r="H729" s="6"/>
    </row>
    <row r="730" spans="7:8" x14ac:dyDescent="0.25">
      <c r="G730" s="6"/>
      <c r="H730" s="6"/>
    </row>
    <row r="731" spans="7:8" x14ac:dyDescent="0.25">
      <c r="G731" s="6"/>
      <c r="H731" s="6"/>
    </row>
    <row r="732" spans="7:8" x14ac:dyDescent="0.25">
      <c r="G732" s="6"/>
      <c r="H732" s="6"/>
    </row>
    <row r="733" spans="7:8" x14ac:dyDescent="0.25">
      <c r="G733" s="6"/>
      <c r="H733" s="6"/>
    </row>
    <row r="734" spans="7:8" x14ac:dyDescent="0.25">
      <c r="G734" s="6"/>
      <c r="H734" s="6"/>
    </row>
    <row r="735" spans="7:8" x14ac:dyDescent="0.25">
      <c r="G735" s="6"/>
      <c r="H735" s="6"/>
    </row>
    <row r="736" spans="7:8" x14ac:dyDescent="0.25">
      <c r="G736" s="6"/>
      <c r="H736" s="6"/>
    </row>
    <row r="737" spans="7:8" x14ac:dyDescent="0.25">
      <c r="G737" s="6"/>
      <c r="H737" s="6"/>
    </row>
    <row r="738" spans="7:8" x14ac:dyDescent="0.25">
      <c r="G738" s="6"/>
      <c r="H738" s="6"/>
    </row>
    <row r="739" spans="7:8" x14ac:dyDescent="0.25">
      <c r="G739" s="6"/>
      <c r="H739" s="6"/>
    </row>
    <row r="740" spans="7:8" x14ac:dyDescent="0.25">
      <c r="G740" s="6"/>
      <c r="H740" s="6"/>
    </row>
    <row r="741" spans="7:8" x14ac:dyDescent="0.25">
      <c r="G741" s="6"/>
      <c r="H741" s="6"/>
    </row>
    <row r="742" spans="7:8" x14ac:dyDescent="0.25">
      <c r="G742" s="6"/>
      <c r="H742" s="6"/>
    </row>
    <row r="743" spans="7:8" x14ac:dyDescent="0.25">
      <c r="G743" s="6"/>
      <c r="H743" s="6"/>
    </row>
    <row r="744" spans="7:8" x14ac:dyDescent="0.25">
      <c r="G744" s="6"/>
      <c r="H744" s="6"/>
    </row>
  </sheetData>
  <sortState xmlns:xlrd2="http://schemas.microsoft.com/office/spreadsheetml/2017/richdata2" ref="A2:Y114">
    <sortCondition ref="J2:J114"/>
  </sortState>
  <pageMargins left="0.7" right="0.7" top="0.75" bottom="0.75" header="0.3" footer="0.3"/>
  <ignoredErrors>
    <ignoredError sqref="B3:B1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8495-E625-44E9-8D77-0E9841381A00}">
  <dimension ref="A1:D113"/>
  <sheetViews>
    <sheetView workbookViewId="0">
      <selection activeCell="D1" sqref="D1:D113"/>
    </sheetView>
  </sheetViews>
  <sheetFormatPr defaultRowHeight="15" x14ac:dyDescent="0.25"/>
  <cols>
    <col min="4" max="4" width="18.5703125" bestFit="1" customWidth="1"/>
  </cols>
  <sheetData>
    <row r="1" spans="1:4" x14ac:dyDescent="0.25">
      <c r="A1" s="4" t="s">
        <v>207</v>
      </c>
      <c r="B1" t="s">
        <v>208</v>
      </c>
      <c r="C1" t="s">
        <v>209</v>
      </c>
      <c r="D1" t="str">
        <f>CONCATENATE(C1, " ",A1)</f>
        <v>MEGAN HINCHSLIFF</v>
      </c>
    </row>
    <row r="2" spans="1:4" x14ac:dyDescent="0.25">
      <c r="A2" s="4" t="s">
        <v>210</v>
      </c>
      <c r="B2" t="s">
        <v>211</v>
      </c>
      <c r="C2" t="s">
        <v>212</v>
      </c>
      <c r="D2" t="str">
        <f t="shared" ref="D2:D65" si="0">CONCATENATE(C2, " ",A2)</f>
        <v>WILLIAM WEATHERSTONE</v>
      </c>
    </row>
    <row r="3" spans="1:4" x14ac:dyDescent="0.25">
      <c r="A3" s="4" t="s">
        <v>210</v>
      </c>
      <c r="B3" t="s">
        <v>211</v>
      </c>
      <c r="C3" t="s">
        <v>212</v>
      </c>
      <c r="D3" t="str">
        <f t="shared" si="0"/>
        <v>WILLIAM WEATHERSTONE</v>
      </c>
    </row>
    <row r="4" spans="1:4" x14ac:dyDescent="0.25">
      <c r="A4" s="4" t="s">
        <v>213</v>
      </c>
      <c r="B4" t="s">
        <v>211</v>
      </c>
      <c r="C4" t="s">
        <v>214</v>
      </c>
      <c r="D4" t="str">
        <f t="shared" si="0"/>
        <v>SANDRA TUJO</v>
      </c>
    </row>
    <row r="5" spans="1:4" x14ac:dyDescent="0.25">
      <c r="A5" s="4" t="s">
        <v>213</v>
      </c>
      <c r="B5" t="s">
        <v>211</v>
      </c>
      <c r="C5" t="s">
        <v>214</v>
      </c>
      <c r="D5" t="str">
        <f t="shared" si="0"/>
        <v>SANDRA TUJO</v>
      </c>
    </row>
    <row r="6" spans="1:4" x14ac:dyDescent="0.25">
      <c r="A6" s="4" t="s">
        <v>215</v>
      </c>
      <c r="B6" t="s">
        <v>193</v>
      </c>
      <c r="C6" t="s">
        <v>216</v>
      </c>
      <c r="D6" t="str">
        <f t="shared" si="0"/>
        <v>KATHY MITCHELL</v>
      </c>
    </row>
    <row r="7" spans="1:4" x14ac:dyDescent="0.25">
      <c r="A7" s="4" t="s">
        <v>217</v>
      </c>
      <c r="B7" t="s">
        <v>193</v>
      </c>
      <c r="C7" t="s">
        <v>218</v>
      </c>
      <c r="D7" t="str">
        <f t="shared" si="0"/>
        <v>JILL DECOUX</v>
      </c>
    </row>
    <row r="8" spans="1:4" x14ac:dyDescent="0.25">
      <c r="A8" s="4" t="s">
        <v>217</v>
      </c>
      <c r="B8" t="s">
        <v>193</v>
      </c>
      <c r="C8" t="s">
        <v>218</v>
      </c>
      <c r="D8" t="str">
        <f t="shared" si="0"/>
        <v>JILL DECOUX</v>
      </c>
    </row>
    <row r="9" spans="1:4" x14ac:dyDescent="0.25">
      <c r="A9" s="4" t="s">
        <v>219</v>
      </c>
      <c r="B9" t="s">
        <v>220</v>
      </c>
      <c r="C9" t="s">
        <v>221</v>
      </c>
      <c r="D9" t="str">
        <f t="shared" si="0"/>
        <v>LISA RATLIFF</v>
      </c>
    </row>
    <row r="10" spans="1:4" x14ac:dyDescent="0.25">
      <c r="A10" s="4" t="s">
        <v>217</v>
      </c>
      <c r="B10" t="s">
        <v>193</v>
      </c>
      <c r="C10" t="s">
        <v>218</v>
      </c>
      <c r="D10" t="str">
        <f t="shared" si="0"/>
        <v>JILL DECOUX</v>
      </c>
    </row>
    <row r="11" spans="1:4" x14ac:dyDescent="0.25">
      <c r="A11" s="4" t="s">
        <v>219</v>
      </c>
      <c r="B11" t="s">
        <v>220</v>
      </c>
      <c r="C11" t="s">
        <v>221</v>
      </c>
      <c r="D11" t="str">
        <f t="shared" si="0"/>
        <v>LISA RATLIFF</v>
      </c>
    </row>
    <row r="12" spans="1:4" x14ac:dyDescent="0.25">
      <c r="A12" s="4" t="s">
        <v>222</v>
      </c>
      <c r="B12" t="s">
        <v>193</v>
      </c>
      <c r="C12" t="s">
        <v>223</v>
      </c>
      <c r="D12" t="str">
        <f t="shared" si="0"/>
        <v>JANET JOHNSON</v>
      </c>
    </row>
    <row r="13" spans="1:4" x14ac:dyDescent="0.25">
      <c r="A13" s="4" t="s">
        <v>222</v>
      </c>
      <c r="B13" t="s">
        <v>193</v>
      </c>
      <c r="C13" t="s">
        <v>223</v>
      </c>
      <c r="D13" t="str">
        <f t="shared" si="0"/>
        <v>JANET JOHNSON</v>
      </c>
    </row>
    <row r="14" spans="1:4" x14ac:dyDescent="0.25">
      <c r="A14" s="4" t="s">
        <v>224</v>
      </c>
      <c r="B14" t="s">
        <v>211</v>
      </c>
      <c r="C14" t="s">
        <v>225</v>
      </c>
      <c r="D14" t="str">
        <f t="shared" si="0"/>
        <v>KEVIN CALLOZZO</v>
      </c>
    </row>
    <row r="15" spans="1:4" x14ac:dyDescent="0.25">
      <c r="A15" s="4" t="s">
        <v>226</v>
      </c>
      <c r="B15" t="s">
        <v>220</v>
      </c>
      <c r="C15" t="s">
        <v>227</v>
      </c>
      <c r="D15" t="str">
        <f t="shared" si="0"/>
        <v>JOANNE LOSHBOUGH</v>
      </c>
    </row>
    <row r="16" spans="1:4" x14ac:dyDescent="0.25">
      <c r="A16" s="4" t="s">
        <v>228</v>
      </c>
      <c r="B16" t="s">
        <v>193</v>
      </c>
      <c r="C16" t="s">
        <v>229</v>
      </c>
      <c r="D16" t="str">
        <f t="shared" si="0"/>
        <v>SUSAN PRICE</v>
      </c>
    </row>
    <row r="17" spans="1:4" x14ac:dyDescent="0.25">
      <c r="A17" s="4" t="s">
        <v>228</v>
      </c>
      <c r="B17" t="s">
        <v>193</v>
      </c>
      <c r="C17" t="s">
        <v>229</v>
      </c>
      <c r="D17" t="str">
        <f t="shared" si="0"/>
        <v>SUSAN PRICE</v>
      </c>
    </row>
    <row r="18" spans="1:4" x14ac:dyDescent="0.25">
      <c r="A18" s="4" t="s">
        <v>230</v>
      </c>
      <c r="B18" t="s">
        <v>231</v>
      </c>
      <c r="C18" t="s">
        <v>232</v>
      </c>
      <c r="D18" t="str">
        <f t="shared" si="0"/>
        <v>ALLEN DOLPH</v>
      </c>
    </row>
    <row r="19" spans="1:4" x14ac:dyDescent="0.25">
      <c r="A19" s="4" t="s">
        <v>233</v>
      </c>
      <c r="B19" t="s">
        <v>234</v>
      </c>
      <c r="C19" t="s">
        <v>235</v>
      </c>
      <c r="D19" t="str">
        <f t="shared" si="0"/>
        <v>ROBERT KOPFER</v>
      </c>
    </row>
    <row r="20" spans="1:4" x14ac:dyDescent="0.25">
      <c r="A20" s="4" t="s">
        <v>236</v>
      </c>
      <c r="B20" t="s">
        <v>231</v>
      </c>
      <c r="C20" t="s">
        <v>235</v>
      </c>
      <c r="D20" t="str">
        <f t="shared" si="0"/>
        <v>ROBERT KRYST</v>
      </c>
    </row>
    <row r="21" spans="1:4" x14ac:dyDescent="0.25">
      <c r="A21" s="4" t="s">
        <v>230</v>
      </c>
      <c r="B21" t="s">
        <v>231</v>
      </c>
      <c r="C21" t="s">
        <v>232</v>
      </c>
      <c r="D21" t="str">
        <f t="shared" si="0"/>
        <v>ALLEN DOLPH</v>
      </c>
    </row>
    <row r="22" spans="1:4" x14ac:dyDescent="0.25">
      <c r="A22" s="4" t="s">
        <v>233</v>
      </c>
      <c r="B22" t="s">
        <v>234</v>
      </c>
      <c r="C22" t="s">
        <v>235</v>
      </c>
      <c r="D22" t="str">
        <f t="shared" si="0"/>
        <v>ROBERT KOPFER</v>
      </c>
    </row>
    <row r="23" spans="1:4" x14ac:dyDescent="0.25">
      <c r="A23" s="4" t="s">
        <v>236</v>
      </c>
      <c r="B23" t="s">
        <v>231</v>
      </c>
      <c r="C23" t="s">
        <v>235</v>
      </c>
      <c r="D23" t="str">
        <f t="shared" si="0"/>
        <v>ROBERT KRYST</v>
      </c>
    </row>
    <row r="24" spans="1:4" x14ac:dyDescent="0.25">
      <c r="A24" s="4" t="s">
        <v>237</v>
      </c>
      <c r="B24" t="s">
        <v>238</v>
      </c>
      <c r="C24" t="s">
        <v>239</v>
      </c>
      <c r="D24" t="str">
        <f t="shared" si="0"/>
        <v>MAUREEN KOHNE</v>
      </c>
    </row>
    <row r="25" spans="1:4" x14ac:dyDescent="0.25">
      <c r="A25" s="4" t="s">
        <v>240</v>
      </c>
      <c r="B25" t="s">
        <v>220</v>
      </c>
      <c r="C25" t="s">
        <v>241</v>
      </c>
      <c r="D25" t="str">
        <f t="shared" si="0"/>
        <v>DIANNA PAUL</v>
      </c>
    </row>
    <row r="26" spans="1:4" x14ac:dyDescent="0.25">
      <c r="A26" s="4" t="s">
        <v>242</v>
      </c>
      <c r="B26" t="s">
        <v>243</v>
      </c>
      <c r="C26" t="s">
        <v>244</v>
      </c>
      <c r="D26" t="str">
        <f t="shared" si="0"/>
        <v>JEFFREY SCHUTTE</v>
      </c>
    </row>
    <row r="27" spans="1:4" x14ac:dyDescent="0.25">
      <c r="A27" s="4" t="s">
        <v>237</v>
      </c>
      <c r="B27" t="s">
        <v>238</v>
      </c>
      <c r="C27" t="s">
        <v>239</v>
      </c>
      <c r="D27" t="str">
        <f t="shared" si="0"/>
        <v>MAUREEN KOHNE</v>
      </c>
    </row>
    <row r="28" spans="1:4" x14ac:dyDescent="0.25">
      <c r="A28" s="4" t="s">
        <v>242</v>
      </c>
      <c r="B28" t="s">
        <v>243</v>
      </c>
      <c r="C28" t="s">
        <v>244</v>
      </c>
      <c r="D28" t="str">
        <f t="shared" si="0"/>
        <v>JEFFREY SCHUTTE</v>
      </c>
    </row>
    <row r="29" spans="1:4" x14ac:dyDescent="0.25">
      <c r="A29" s="4" t="s">
        <v>245</v>
      </c>
      <c r="B29" t="s">
        <v>246</v>
      </c>
      <c r="C29" t="s">
        <v>247</v>
      </c>
      <c r="D29" t="str">
        <f t="shared" si="0"/>
        <v>CAROL STEPHENS</v>
      </c>
    </row>
    <row r="30" spans="1:4" x14ac:dyDescent="0.25">
      <c r="A30" s="4" t="s">
        <v>240</v>
      </c>
      <c r="B30" t="s">
        <v>220</v>
      </c>
      <c r="C30" t="s">
        <v>241</v>
      </c>
      <c r="D30" t="str">
        <f t="shared" si="0"/>
        <v>DIANNA PAUL</v>
      </c>
    </row>
    <row r="31" spans="1:4" x14ac:dyDescent="0.25">
      <c r="A31" s="4" t="s">
        <v>242</v>
      </c>
      <c r="B31" t="s">
        <v>243</v>
      </c>
      <c r="C31" t="s">
        <v>244</v>
      </c>
      <c r="D31" t="str">
        <f t="shared" si="0"/>
        <v>JEFFREY SCHUTTE</v>
      </c>
    </row>
    <row r="32" spans="1:4" x14ac:dyDescent="0.25">
      <c r="A32" s="4" t="s">
        <v>240</v>
      </c>
      <c r="B32" t="s">
        <v>220</v>
      </c>
      <c r="C32" t="s">
        <v>241</v>
      </c>
      <c r="D32" t="str">
        <f t="shared" si="0"/>
        <v>DIANNA PAUL</v>
      </c>
    </row>
    <row r="33" spans="1:4" x14ac:dyDescent="0.25">
      <c r="A33" s="4" t="s">
        <v>248</v>
      </c>
      <c r="B33" t="s">
        <v>249</v>
      </c>
      <c r="C33" t="s">
        <v>250</v>
      </c>
      <c r="D33" t="str">
        <f t="shared" si="0"/>
        <v>DEAN BROWN</v>
      </c>
    </row>
    <row r="34" spans="1:4" x14ac:dyDescent="0.25">
      <c r="A34" s="4" t="s">
        <v>217</v>
      </c>
      <c r="B34" t="s">
        <v>193</v>
      </c>
      <c r="C34" t="s">
        <v>218</v>
      </c>
      <c r="D34" t="str">
        <f t="shared" si="0"/>
        <v>JILL DECOUX</v>
      </c>
    </row>
    <row r="35" spans="1:4" x14ac:dyDescent="0.25">
      <c r="A35" s="4" t="s">
        <v>251</v>
      </c>
      <c r="B35" t="s">
        <v>208</v>
      </c>
      <c r="C35" t="s">
        <v>252</v>
      </c>
      <c r="D35" t="str">
        <f t="shared" si="0"/>
        <v>DWAYNE DIGBY</v>
      </c>
    </row>
    <row r="36" spans="1:4" x14ac:dyDescent="0.25">
      <c r="A36" s="4" t="s">
        <v>230</v>
      </c>
      <c r="B36" t="s">
        <v>231</v>
      </c>
      <c r="C36" t="s">
        <v>232</v>
      </c>
      <c r="D36" t="str">
        <f t="shared" si="0"/>
        <v>ALLEN DOLPH</v>
      </c>
    </row>
    <row r="37" spans="1:4" x14ac:dyDescent="0.25">
      <c r="A37" s="4" t="s">
        <v>253</v>
      </c>
      <c r="B37" t="s">
        <v>211</v>
      </c>
      <c r="C37" t="s">
        <v>254</v>
      </c>
      <c r="D37" t="str">
        <f t="shared" si="0"/>
        <v>ALAN DUGOSH</v>
      </c>
    </row>
    <row r="38" spans="1:4" x14ac:dyDescent="0.25">
      <c r="A38" s="4" t="s">
        <v>255</v>
      </c>
      <c r="B38" t="s">
        <v>246</v>
      </c>
      <c r="C38" t="s">
        <v>256</v>
      </c>
      <c r="D38" t="str">
        <f t="shared" si="0"/>
        <v>LAURA HOLMES</v>
      </c>
    </row>
    <row r="39" spans="1:4" x14ac:dyDescent="0.25">
      <c r="A39" s="4" t="s">
        <v>222</v>
      </c>
      <c r="B39" t="s">
        <v>193</v>
      </c>
      <c r="C39" t="s">
        <v>223</v>
      </c>
      <c r="D39" t="str">
        <f t="shared" si="0"/>
        <v>JANET JOHNSON</v>
      </c>
    </row>
    <row r="40" spans="1:4" x14ac:dyDescent="0.25">
      <c r="A40" s="4" t="s">
        <v>233</v>
      </c>
      <c r="B40" t="s">
        <v>234</v>
      </c>
      <c r="C40" t="s">
        <v>235</v>
      </c>
      <c r="D40" t="str">
        <f t="shared" si="0"/>
        <v>ROBERT KOPFER</v>
      </c>
    </row>
    <row r="41" spans="1:4" x14ac:dyDescent="0.25">
      <c r="A41" s="4" t="s">
        <v>236</v>
      </c>
      <c r="B41" t="s">
        <v>231</v>
      </c>
      <c r="C41" t="s">
        <v>235</v>
      </c>
      <c r="D41" t="str">
        <f t="shared" si="0"/>
        <v>ROBERT KRYST</v>
      </c>
    </row>
    <row r="42" spans="1:4" x14ac:dyDescent="0.25">
      <c r="A42" s="4" t="s">
        <v>257</v>
      </c>
      <c r="B42" t="s">
        <v>208</v>
      </c>
      <c r="C42" t="s">
        <v>258</v>
      </c>
      <c r="D42" t="str">
        <f t="shared" si="0"/>
        <v>NIK LEE</v>
      </c>
    </row>
    <row r="43" spans="1:4" x14ac:dyDescent="0.25">
      <c r="A43" s="4" t="s">
        <v>259</v>
      </c>
      <c r="B43" t="s">
        <v>220</v>
      </c>
      <c r="C43" t="s">
        <v>260</v>
      </c>
      <c r="D43" t="str">
        <f t="shared" si="0"/>
        <v>PETER RICHTER</v>
      </c>
    </row>
    <row r="44" spans="1:4" x14ac:dyDescent="0.25">
      <c r="A44" s="4" t="s">
        <v>261</v>
      </c>
      <c r="B44" t="s">
        <v>211</v>
      </c>
      <c r="C44" t="s">
        <v>262</v>
      </c>
      <c r="D44" t="str">
        <f t="shared" si="0"/>
        <v>NANCY SMITH</v>
      </c>
    </row>
    <row r="45" spans="1:4" x14ac:dyDescent="0.25">
      <c r="A45" s="4" t="s">
        <v>263</v>
      </c>
      <c r="B45" t="s">
        <v>211</v>
      </c>
      <c r="C45" t="s">
        <v>264</v>
      </c>
      <c r="D45" t="str">
        <f t="shared" si="0"/>
        <v>JOHN SMOGUR</v>
      </c>
    </row>
    <row r="46" spans="1:4" x14ac:dyDescent="0.25">
      <c r="A46" s="4" t="s">
        <v>213</v>
      </c>
      <c r="B46" t="s">
        <v>211</v>
      </c>
      <c r="C46" t="s">
        <v>214</v>
      </c>
      <c r="D46" t="str">
        <f t="shared" si="0"/>
        <v>SANDRA TUJO</v>
      </c>
    </row>
    <row r="47" spans="1:4" x14ac:dyDescent="0.25">
      <c r="A47" s="4" t="s">
        <v>237</v>
      </c>
      <c r="B47" t="s">
        <v>238</v>
      </c>
      <c r="C47" t="s">
        <v>239</v>
      </c>
      <c r="D47" t="str">
        <f t="shared" si="0"/>
        <v>MAUREEN KOHNE</v>
      </c>
    </row>
    <row r="48" spans="1:4" x14ac:dyDescent="0.25">
      <c r="A48" s="4" t="s">
        <v>265</v>
      </c>
      <c r="B48" t="s">
        <v>266</v>
      </c>
      <c r="C48" t="s">
        <v>267</v>
      </c>
      <c r="D48" t="str">
        <f t="shared" si="0"/>
        <v>KIERAN MURRAY</v>
      </c>
    </row>
    <row r="49" spans="1:4" x14ac:dyDescent="0.25">
      <c r="A49" s="4" t="s">
        <v>228</v>
      </c>
      <c r="B49" t="s">
        <v>193</v>
      </c>
      <c r="C49" t="s">
        <v>229</v>
      </c>
      <c r="D49" t="str">
        <f t="shared" si="0"/>
        <v>SUSAN PRICE</v>
      </c>
    </row>
    <row r="50" spans="1:4" x14ac:dyDescent="0.25">
      <c r="A50" s="4" t="s">
        <v>219</v>
      </c>
      <c r="B50" t="s">
        <v>220</v>
      </c>
      <c r="C50" t="s">
        <v>221</v>
      </c>
      <c r="D50" t="str">
        <f t="shared" si="0"/>
        <v>LISA RATLIFF</v>
      </c>
    </row>
    <row r="51" spans="1:4" x14ac:dyDescent="0.25">
      <c r="A51" s="4" t="s">
        <v>210</v>
      </c>
      <c r="B51" t="s">
        <v>211</v>
      </c>
      <c r="C51" t="s">
        <v>212</v>
      </c>
      <c r="D51" t="str">
        <f t="shared" si="0"/>
        <v>WILLIAM WEATHERSTONE</v>
      </c>
    </row>
    <row r="52" spans="1:4" x14ac:dyDescent="0.25">
      <c r="A52" s="4" t="s">
        <v>268</v>
      </c>
      <c r="B52" t="s">
        <v>269</v>
      </c>
      <c r="C52" t="s">
        <v>270</v>
      </c>
      <c r="D52" t="str">
        <f t="shared" si="0"/>
        <v>RICHARD YENGLEE</v>
      </c>
    </row>
    <row r="53" spans="1:4" x14ac:dyDescent="0.25">
      <c r="A53" s="4" t="s">
        <v>271</v>
      </c>
      <c r="B53" t="s">
        <v>220</v>
      </c>
      <c r="C53" t="s">
        <v>272</v>
      </c>
      <c r="D53" t="str">
        <f t="shared" si="0"/>
        <v>BARBARA BUSTERNA</v>
      </c>
    </row>
    <row r="54" spans="1:4" x14ac:dyDescent="0.25">
      <c r="A54" s="4" t="s">
        <v>215</v>
      </c>
      <c r="C54" t="s">
        <v>273</v>
      </c>
      <c r="D54" t="str">
        <f t="shared" si="0"/>
        <v>DEBORAH MITCHELL</v>
      </c>
    </row>
    <row r="55" spans="1:4" x14ac:dyDescent="0.25">
      <c r="A55" s="4" t="s">
        <v>274</v>
      </c>
      <c r="B55" t="s">
        <v>193</v>
      </c>
      <c r="C55" t="s">
        <v>275</v>
      </c>
      <c r="D55" t="str">
        <f t="shared" si="0"/>
        <v>STEPHEN FABIO</v>
      </c>
    </row>
    <row r="56" spans="1:4" x14ac:dyDescent="0.25">
      <c r="A56" s="4" t="s">
        <v>276</v>
      </c>
      <c r="B56" t="s">
        <v>220</v>
      </c>
      <c r="C56" t="s">
        <v>277</v>
      </c>
      <c r="D56" t="str">
        <f t="shared" si="0"/>
        <v>PAMELA KARENBAUER</v>
      </c>
    </row>
    <row r="57" spans="1:4" x14ac:dyDescent="0.25">
      <c r="A57" s="4" t="s">
        <v>278</v>
      </c>
      <c r="B57" t="s">
        <v>220</v>
      </c>
      <c r="C57" t="s">
        <v>279</v>
      </c>
      <c r="D57" t="str">
        <f t="shared" si="0"/>
        <v>DANNY LAMBING</v>
      </c>
    </row>
    <row r="58" spans="1:4" x14ac:dyDescent="0.25">
      <c r="A58" s="4" t="s">
        <v>280</v>
      </c>
      <c r="B58" t="s">
        <v>246</v>
      </c>
      <c r="C58" t="s">
        <v>281</v>
      </c>
      <c r="D58" t="str">
        <f t="shared" si="0"/>
        <v>KELLY SCHLOBOHM</v>
      </c>
    </row>
    <row r="59" spans="1:4" x14ac:dyDescent="0.25">
      <c r="A59" s="4" t="s">
        <v>268</v>
      </c>
      <c r="B59" t="s">
        <v>269</v>
      </c>
      <c r="C59" t="s">
        <v>270</v>
      </c>
      <c r="D59" t="str">
        <f t="shared" si="0"/>
        <v>RICHARD YENGLEE</v>
      </c>
    </row>
    <row r="60" spans="1:4" x14ac:dyDescent="0.25">
      <c r="A60" s="4" t="s">
        <v>274</v>
      </c>
      <c r="B60" t="s">
        <v>193</v>
      </c>
      <c r="C60" t="s">
        <v>275</v>
      </c>
      <c r="D60" t="str">
        <f t="shared" si="0"/>
        <v>STEPHEN FABIO</v>
      </c>
    </row>
    <row r="61" spans="1:4" x14ac:dyDescent="0.25">
      <c r="A61" s="4" t="s">
        <v>276</v>
      </c>
      <c r="B61" t="s">
        <v>220</v>
      </c>
      <c r="C61" t="s">
        <v>277</v>
      </c>
      <c r="D61" t="str">
        <f t="shared" si="0"/>
        <v>PAMELA KARENBAUER</v>
      </c>
    </row>
    <row r="62" spans="1:4" x14ac:dyDescent="0.25">
      <c r="A62" s="4" t="s">
        <v>278</v>
      </c>
      <c r="B62" t="s">
        <v>220</v>
      </c>
      <c r="C62" t="s">
        <v>279</v>
      </c>
      <c r="D62" t="str">
        <f t="shared" si="0"/>
        <v>DANNY LAMBING</v>
      </c>
    </row>
    <row r="63" spans="1:4" x14ac:dyDescent="0.25">
      <c r="A63" s="4" t="s">
        <v>215</v>
      </c>
      <c r="C63" t="s">
        <v>273</v>
      </c>
      <c r="D63" t="str">
        <f t="shared" si="0"/>
        <v>DEBORAH MITCHELL</v>
      </c>
    </row>
    <row r="64" spans="1:4" x14ac:dyDescent="0.25">
      <c r="A64" s="4" t="s">
        <v>271</v>
      </c>
      <c r="B64" t="s">
        <v>220</v>
      </c>
      <c r="C64" t="s">
        <v>272</v>
      </c>
      <c r="D64" t="str">
        <f t="shared" si="0"/>
        <v>BARBARA BUSTERNA</v>
      </c>
    </row>
    <row r="65" spans="1:4" x14ac:dyDescent="0.25">
      <c r="A65" s="4" t="s">
        <v>242</v>
      </c>
      <c r="B65" t="s">
        <v>243</v>
      </c>
      <c r="C65" t="s">
        <v>244</v>
      </c>
      <c r="D65" t="str">
        <f t="shared" si="0"/>
        <v>JEFFREY SCHUTTE</v>
      </c>
    </row>
    <row r="66" spans="1:4" x14ac:dyDescent="0.25">
      <c r="A66" s="4" t="s">
        <v>245</v>
      </c>
      <c r="B66" t="s">
        <v>246</v>
      </c>
      <c r="C66" t="s">
        <v>247</v>
      </c>
      <c r="D66" t="str">
        <f t="shared" ref="D66:D113" si="1">CONCATENATE(C66, " ",A66)</f>
        <v>CAROL STEPHENS</v>
      </c>
    </row>
    <row r="67" spans="1:4" x14ac:dyDescent="0.25">
      <c r="A67" s="4" t="s">
        <v>207</v>
      </c>
      <c r="B67" t="s">
        <v>208</v>
      </c>
      <c r="C67" t="s">
        <v>209</v>
      </c>
      <c r="D67" t="str">
        <f t="shared" si="1"/>
        <v>MEGAN HINCHSLIFF</v>
      </c>
    </row>
    <row r="68" spans="1:4" x14ac:dyDescent="0.25">
      <c r="A68" s="4" t="s">
        <v>224</v>
      </c>
      <c r="B68" t="s">
        <v>211</v>
      </c>
      <c r="C68" t="s">
        <v>225</v>
      </c>
      <c r="D68" t="str">
        <f t="shared" si="1"/>
        <v>KEVIN CALLOZZO</v>
      </c>
    </row>
    <row r="69" spans="1:4" x14ac:dyDescent="0.25">
      <c r="A69" s="4" t="s">
        <v>215</v>
      </c>
      <c r="B69" t="s">
        <v>193</v>
      </c>
      <c r="C69" t="s">
        <v>216</v>
      </c>
      <c r="D69" t="str">
        <f t="shared" si="1"/>
        <v>KATHY MITCHELL</v>
      </c>
    </row>
    <row r="70" spans="1:4" x14ac:dyDescent="0.25">
      <c r="A70" s="4" t="s">
        <v>282</v>
      </c>
      <c r="B70" t="s">
        <v>208</v>
      </c>
      <c r="C70" t="s">
        <v>283</v>
      </c>
      <c r="D70" t="str">
        <f t="shared" si="1"/>
        <v>ANKA STARKE</v>
      </c>
    </row>
    <row r="71" spans="1:4" x14ac:dyDescent="0.25">
      <c r="A71" s="4" t="s">
        <v>284</v>
      </c>
      <c r="C71" t="s">
        <v>285</v>
      </c>
      <c r="D71" t="str">
        <f t="shared" si="1"/>
        <v>VIRGINIA DELACRUZ</v>
      </c>
    </row>
    <row r="72" spans="1:4" x14ac:dyDescent="0.25">
      <c r="A72" s="4" t="s">
        <v>226</v>
      </c>
      <c r="B72" t="s">
        <v>220</v>
      </c>
      <c r="C72" t="s">
        <v>227</v>
      </c>
      <c r="D72" t="str">
        <f t="shared" si="1"/>
        <v>JOANNE LOSHBOUGH</v>
      </c>
    </row>
    <row r="73" spans="1:4" x14ac:dyDescent="0.25">
      <c r="A73" s="4" t="s">
        <v>261</v>
      </c>
      <c r="B73" t="s">
        <v>246</v>
      </c>
      <c r="C73" t="s">
        <v>286</v>
      </c>
      <c r="D73" t="str">
        <f t="shared" si="1"/>
        <v>JUANITA SMITH</v>
      </c>
    </row>
    <row r="74" spans="1:4" x14ac:dyDescent="0.25">
      <c r="A74" s="4" t="s">
        <v>261</v>
      </c>
      <c r="B74" t="s">
        <v>211</v>
      </c>
      <c r="C74" t="s">
        <v>262</v>
      </c>
      <c r="D74" t="str">
        <f t="shared" si="1"/>
        <v>NANCY SMITH</v>
      </c>
    </row>
    <row r="75" spans="1:4" x14ac:dyDescent="0.25">
      <c r="A75" s="4" t="s">
        <v>261</v>
      </c>
      <c r="B75" t="s">
        <v>211</v>
      </c>
      <c r="C75" t="s">
        <v>262</v>
      </c>
      <c r="D75" t="str">
        <f t="shared" si="1"/>
        <v>NANCY SMITH</v>
      </c>
    </row>
    <row r="76" spans="1:4" x14ac:dyDescent="0.25">
      <c r="A76" s="4" t="s">
        <v>251</v>
      </c>
      <c r="B76" t="s">
        <v>208</v>
      </c>
      <c r="C76" t="s">
        <v>252</v>
      </c>
      <c r="D76" t="str">
        <f t="shared" si="1"/>
        <v>DWAYNE DIGBY</v>
      </c>
    </row>
    <row r="77" spans="1:4" x14ac:dyDescent="0.25">
      <c r="A77" s="4" t="s">
        <v>230</v>
      </c>
      <c r="B77" t="s">
        <v>231</v>
      </c>
      <c r="C77" t="s">
        <v>232</v>
      </c>
      <c r="D77" t="str">
        <f t="shared" si="1"/>
        <v>ALLEN DOLPH</v>
      </c>
    </row>
    <row r="78" spans="1:4" x14ac:dyDescent="0.25">
      <c r="A78" s="4" t="s">
        <v>253</v>
      </c>
      <c r="B78" t="s">
        <v>211</v>
      </c>
      <c r="C78" t="s">
        <v>254</v>
      </c>
      <c r="D78" t="str">
        <f t="shared" si="1"/>
        <v>ALAN DUGOSH</v>
      </c>
    </row>
    <row r="79" spans="1:4" x14ac:dyDescent="0.25">
      <c r="A79" s="4" t="s">
        <v>255</v>
      </c>
      <c r="B79" t="s">
        <v>246</v>
      </c>
      <c r="C79" t="s">
        <v>256</v>
      </c>
      <c r="D79" t="str">
        <f t="shared" si="1"/>
        <v>LAURA HOLMES</v>
      </c>
    </row>
    <row r="80" spans="1:4" x14ac:dyDescent="0.25">
      <c r="A80" s="4" t="s">
        <v>222</v>
      </c>
      <c r="B80" t="s">
        <v>193</v>
      </c>
      <c r="C80" t="s">
        <v>223</v>
      </c>
      <c r="D80" t="str">
        <f t="shared" si="1"/>
        <v>JANET JOHNSON</v>
      </c>
    </row>
    <row r="81" spans="1:4" x14ac:dyDescent="0.25">
      <c r="A81" s="4" t="s">
        <v>233</v>
      </c>
      <c r="B81" t="s">
        <v>234</v>
      </c>
      <c r="C81" t="s">
        <v>235</v>
      </c>
      <c r="D81" t="str">
        <f t="shared" si="1"/>
        <v>ROBERT KOPFER</v>
      </c>
    </row>
    <row r="82" spans="1:4" x14ac:dyDescent="0.25">
      <c r="A82" s="4" t="s">
        <v>236</v>
      </c>
      <c r="B82" t="s">
        <v>231</v>
      </c>
      <c r="C82" t="s">
        <v>235</v>
      </c>
      <c r="D82" t="str">
        <f t="shared" si="1"/>
        <v>ROBERT KRYST</v>
      </c>
    </row>
    <row r="83" spans="1:4" x14ac:dyDescent="0.25">
      <c r="A83" s="4" t="s">
        <v>257</v>
      </c>
      <c r="B83" t="s">
        <v>208</v>
      </c>
      <c r="C83" t="s">
        <v>258</v>
      </c>
      <c r="D83" t="str">
        <f t="shared" si="1"/>
        <v>NIK LEE</v>
      </c>
    </row>
    <row r="84" spans="1:4" x14ac:dyDescent="0.25">
      <c r="A84" s="4" t="s">
        <v>265</v>
      </c>
      <c r="B84" t="s">
        <v>266</v>
      </c>
      <c r="C84" t="s">
        <v>267</v>
      </c>
      <c r="D84" t="str">
        <f t="shared" si="1"/>
        <v>KIERAN MURRAY</v>
      </c>
    </row>
    <row r="85" spans="1:4" x14ac:dyDescent="0.25">
      <c r="A85" s="4" t="s">
        <v>228</v>
      </c>
      <c r="B85" t="s">
        <v>193</v>
      </c>
      <c r="C85" t="s">
        <v>229</v>
      </c>
      <c r="D85" t="str">
        <f t="shared" si="1"/>
        <v>SUSAN PRICE</v>
      </c>
    </row>
    <row r="86" spans="1:4" x14ac:dyDescent="0.25">
      <c r="A86" s="4" t="s">
        <v>219</v>
      </c>
      <c r="B86" t="s">
        <v>220</v>
      </c>
      <c r="C86" t="s">
        <v>221</v>
      </c>
      <c r="D86" t="str">
        <f t="shared" si="1"/>
        <v>LISA RATLIFF</v>
      </c>
    </row>
    <row r="87" spans="1:4" x14ac:dyDescent="0.25">
      <c r="A87" s="4" t="s">
        <v>259</v>
      </c>
      <c r="B87" t="s">
        <v>220</v>
      </c>
      <c r="C87" t="s">
        <v>260</v>
      </c>
      <c r="D87" t="str">
        <f t="shared" si="1"/>
        <v>PETER RICHTER</v>
      </c>
    </row>
    <row r="88" spans="1:4" x14ac:dyDescent="0.25">
      <c r="A88" s="4" t="s">
        <v>263</v>
      </c>
      <c r="B88" t="s">
        <v>211</v>
      </c>
      <c r="C88" t="s">
        <v>264</v>
      </c>
      <c r="D88" t="str">
        <f t="shared" si="1"/>
        <v>JOHN SMOGUR</v>
      </c>
    </row>
    <row r="89" spans="1:4" x14ac:dyDescent="0.25">
      <c r="A89" s="4" t="s">
        <v>213</v>
      </c>
      <c r="B89" t="s">
        <v>211</v>
      </c>
      <c r="C89" t="s">
        <v>214</v>
      </c>
      <c r="D89" t="str">
        <f t="shared" si="1"/>
        <v>SANDRA TUJO</v>
      </c>
    </row>
    <row r="90" spans="1:4" x14ac:dyDescent="0.25">
      <c r="A90" s="4" t="s">
        <v>210</v>
      </c>
      <c r="B90" t="s">
        <v>211</v>
      </c>
      <c r="C90" t="s">
        <v>212</v>
      </c>
      <c r="D90" t="str">
        <f t="shared" si="1"/>
        <v>WILLIAM WEATHERSTONE</v>
      </c>
    </row>
    <row r="91" spans="1:4" x14ac:dyDescent="0.25">
      <c r="A91" s="4" t="s">
        <v>248</v>
      </c>
      <c r="B91" t="s">
        <v>249</v>
      </c>
      <c r="C91" t="s">
        <v>250</v>
      </c>
      <c r="D91" t="str">
        <f t="shared" si="1"/>
        <v>DEAN BROWN</v>
      </c>
    </row>
    <row r="92" spans="1:4" x14ac:dyDescent="0.25">
      <c r="A92" s="4" t="s">
        <v>237</v>
      </c>
      <c r="B92" t="s">
        <v>238</v>
      </c>
      <c r="C92" t="s">
        <v>239</v>
      </c>
      <c r="D92" t="str">
        <f t="shared" si="1"/>
        <v>MAUREEN KOHNE</v>
      </c>
    </row>
    <row r="93" spans="1:4" x14ac:dyDescent="0.25">
      <c r="A93" s="4" t="s">
        <v>240</v>
      </c>
      <c r="B93" t="s">
        <v>220</v>
      </c>
      <c r="C93" t="s">
        <v>241</v>
      </c>
      <c r="D93" t="str">
        <f t="shared" si="1"/>
        <v>DIANNA PAUL</v>
      </c>
    </row>
    <row r="94" spans="1:4" x14ac:dyDescent="0.25">
      <c r="A94" s="4" t="s">
        <v>261</v>
      </c>
      <c r="B94" t="s">
        <v>246</v>
      </c>
      <c r="C94" t="s">
        <v>286</v>
      </c>
      <c r="D94" t="str">
        <f t="shared" si="1"/>
        <v>JUANITA SMITH</v>
      </c>
    </row>
    <row r="95" spans="1:4" x14ac:dyDescent="0.25">
      <c r="A95" s="4" t="s">
        <v>261</v>
      </c>
      <c r="B95" t="s">
        <v>211</v>
      </c>
      <c r="C95" t="s">
        <v>262</v>
      </c>
      <c r="D95" t="str">
        <f t="shared" si="1"/>
        <v>NANCY SMITH</v>
      </c>
    </row>
    <row r="96" spans="1:4" x14ac:dyDescent="0.25">
      <c r="A96" s="4" t="s">
        <v>265</v>
      </c>
      <c r="B96" t="s">
        <v>266</v>
      </c>
      <c r="C96" t="s">
        <v>267</v>
      </c>
      <c r="D96" t="str">
        <f t="shared" si="1"/>
        <v>KIERAN MURRAY</v>
      </c>
    </row>
    <row r="97" spans="1:4" x14ac:dyDescent="0.25">
      <c r="A97" s="4" t="s">
        <v>265</v>
      </c>
      <c r="B97" t="s">
        <v>266</v>
      </c>
      <c r="C97" t="s">
        <v>267</v>
      </c>
      <c r="D97" t="str">
        <f t="shared" si="1"/>
        <v>KIERAN MURRAY</v>
      </c>
    </row>
    <row r="98" spans="1:4" x14ac:dyDescent="0.25">
      <c r="A98" s="4" t="s">
        <v>251</v>
      </c>
      <c r="B98" t="s">
        <v>208</v>
      </c>
      <c r="C98" t="s">
        <v>252</v>
      </c>
      <c r="D98" t="str">
        <f t="shared" si="1"/>
        <v>DWAYNE DIGBY</v>
      </c>
    </row>
    <row r="99" spans="1:4" x14ac:dyDescent="0.25">
      <c r="A99" s="4" t="s">
        <v>257</v>
      </c>
      <c r="B99" t="s">
        <v>208</v>
      </c>
      <c r="C99" t="s">
        <v>258</v>
      </c>
      <c r="D99" t="str">
        <f t="shared" si="1"/>
        <v>NIK LEE</v>
      </c>
    </row>
    <row r="100" spans="1:4" x14ac:dyDescent="0.25">
      <c r="A100" s="4" t="s">
        <v>251</v>
      </c>
      <c r="B100" t="s">
        <v>208</v>
      </c>
      <c r="C100" t="s">
        <v>252</v>
      </c>
      <c r="D100" t="str">
        <f t="shared" si="1"/>
        <v>DWAYNE DIGBY</v>
      </c>
    </row>
    <row r="101" spans="1:4" x14ac:dyDescent="0.25">
      <c r="A101" s="4" t="s">
        <v>257</v>
      </c>
      <c r="B101" t="s">
        <v>208</v>
      </c>
      <c r="C101" t="s">
        <v>258</v>
      </c>
      <c r="D101" t="str">
        <f t="shared" si="1"/>
        <v>NIK LEE</v>
      </c>
    </row>
    <row r="102" spans="1:4" x14ac:dyDescent="0.25">
      <c r="A102" s="4" t="s">
        <v>259</v>
      </c>
      <c r="B102" t="s">
        <v>220</v>
      </c>
      <c r="C102" t="s">
        <v>260</v>
      </c>
      <c r="D102" t="str">
        <f t="shared" si="1"/>
        <v>PETER RICHTER</v>
      </c>
    </row>
    <row r="103" spans="1:4" x14ac:dyDescent="0.25">
      <c r="A103" s="4" t="s">
        <v>259</v>
      </c>
      <c r="B103" t="s">
        <v>220</v>
      </c>
      <c r="C103" t="s">
        <v>260</v>
      </c>
      <c r="D103" t="str">
        <f t="shared" si="1"/>
        <v>PETER RICHTER</v>
      </c>
    </row>
    <row r="104" spans="1:4" x14ac:dyDescent="0.25">
      <c r="A104" s="4" t="s">
        <v>284</v>
      </c>
      <c r="C104" t="s">
        <v>285</v>
      </c>
      <c r="D104" t="str">
        <f t="shared" si="1"/>
        <v>VIRGINIA DELACRUZ</v>
      </c>
    </row>
    <row r="105" spans="1:4" x14ac:dyDescent="0.25">
      <c r="A105" s="4" t="s">
        <v>263</v>
      </c>
      <c r="B105" t="s">
        <v>211</v>
      </c>
      <c r="C105" t="s">
        <v>264</v>
      </c>
      <c r="D105" t="str">
        <f t="shared" si="1"/>
        <v>JOHN SMOGUR</v>
      </c>
    </row>
    <row r="106" spans="1:4" x14ac:dyDescent="0.25">
      <c r="A106" s="4" t="s">
        <v>263</v>
      </c>
      <c r="B106" t="s">
        <v>211</v>
      </c>
      <c r="C106" t="s">
        <v>264</v>
      </c>
      <c r="D106" t="str">
        <f t="shared" si="1"/>
        <v>JOHN SMOGUR</v>
      </c>
    </row>
    <row r="107" spans="1:4" x14ac:dyDescent="0.25">
      <c r="A107" s="4" t="s">
        <v>248</v>
      </c>
      <c r="B107" t="s">
        <v>249</v>
      </c>
      <c r="C107" t="s">
        <v>250</v>
      </c>
      <c r="D107" t="str">
        <f t="shared" si="1"/>
        <v>DEAN BROWN</v>
      </c>
    </row>
    <row r="108" spans="1:4" x14ac:dyDescent="0.25">
      <c r="A108" s="4" t="s">
        <v>248</v>
      </c>
      <c r="B108" t="s">
        <v>249</v>
      </c>
      <c r="C108" t="s">
        <v>250</v>
      </c>
      <c r="D108" t="str">
        <f t="shared" si="1"/>
        <v>DEAN BROWN</v>
      </c>
    </row>
    <row r="109" spans="1:4" x14ac:dyDescent="0.25">
      <c r="A109" s="4" t="s">
        <v>253</v>
      </c>
      <c r="B109" t="s">
        <v>211</v>
      </c>
      <c r="C109" t="s">
        <v>254</v>
      </c>
      <c r="D109" t="str">
        <f t="shared" si="1"/>
        <v>ALAN DUGOSH</v>
      </c>
    </row>
    <row r="110" spans="1:4" x14ac:dyDescent="0.25">
      <c r="A110" s="4" t="s">
        <v>255</v>
      </c>
      <c r="B110" t="s">
        <v>246</v>
      </c>
      <c r="C110" t="s">
        <v>256</v>
      </c>
      <c r="D110" t="str">
        <f t="shared" si="1"/>
        <v>LAURA HOLMES</v>
      </c>
    </row>
    <row r="111" spans="1:4" x14ac:dyDescent="0.25">
      <c r="A111" s="4" t="s">
        <v>253</v>
      </c>
      <c r="B111" t="s">
        <v>211</v>
      </c>
      <c r="C111" t="s">
        <v>254</v>
      </c>
      <c r="D111" t="str">
        <f t="shared" si="1"/>
        <v>ALAN DUGOSH</v>
      </c>
    </row>
    <row r="112" spans="1:4" x14ac:dyDescent="0.25">
      <c r="A112" s="4" t="s">
        <v>255</v>
      </c>
      <c r="B112" t="s">
        <v>246</v>
      </c>
      <c r="C112" t="s">
        <v>256</v>
      </c>
      <c r="D112" t="str">
        <f t="shared" si="1"/>
        <v>LAURA HOLMES</v>
      </c>
    </row>
    <row r="113" spans="1:4" x14ac:dyDescent="0.25">
      <c r="A113" s="4" t="s">
        <v>282</v>
      </c>
      <c r="B113" t="s">
        <v>208</v>
      </c>
      <c r="C113" t="s">
        <v>283</v>
      </c>
      <c r="D113" t="str">
        <f t="shared" si="1"/>
        <v>ANKA STARKE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2025-05-21T18:01:46Z</dcterms:created>
  <dcterms:modified xsi:type="dcterms:W3CDTF">2025-07-10T14:53:39Z</dcterms:modified>
</cp:coreProperties>
</file>