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4-01-25\"/>
    </mc:Choice>
  </mc:AlternateContent>
  <xr:revisionPtr revIDLastSave="0" documentId="13_ncr:9_{2140CB4B-66D8-4513-9DBC-4609F67B7280}" xr6:coauthVersionLast="47" xr6:coauthVersionMax="47" xr10:uidLastSave="{00000000-0000-0000-0000-000000000000}"/>
  <bookViews>
    <workbookView xWindow="28680" yWindow="-120" windowWidth="29040" windowHeight="16440" activeTab="1" xr2:uid="{EDEF050C-90B8-4616-9ADF-3B32BC85ABD5}"/>
  </bookViews>
  <sheets>
    <sheet name="Main Line Benefits LLC_med_comm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B12" i="2" l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11" i="2"/>
  <c r="B29" i="2"/>
  <c r="B31" i="2"/>
  <c r="B3" i="2"/>
  <c r="B6" i="2"/>
  <c r="B5" i="2"/>
  <c r="B10" i="2"/>
  <c r="B2" i="2"/>
  <c r="B30" i="2"/>
  <c r="B9" i="2"/>
  <c r="B8" i="2"/>
  <c r="B7" i="2"/>
  <c r="B28" i="2"/>
  <c r="B33" i="2"/>
  <c r="B32" i="2"/>
  <c r="B4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" i="3"/>
</calcChain>
</file>

<file path=xl/sharedStrings.xml><?xml version="1.0" encoding="utf-8"?>
<sst xmlns="http://schemas.openxmlformats.org/spreadsheetml/2006/main" count="512" uniqueCount="156">
  <si>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</si>
  <si>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</si>
  <si>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</si>
  <si>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</si>
  <si>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</si>
  <si>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</si>
  <si>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</si>
  <si>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</si>
  <si>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</si>
  <si>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</si>
  <si>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</si>
  <si>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</si>
  <si>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</si>
  <si>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</si>
  <si>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</si>
  <si>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</si>
  <si>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</si>
  <si>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</si>
  <si>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</si>
  <si>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</si>
  <si>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</si>
  <si>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</si>
  <si>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</si>
  <si>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</si>
  <si>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4A52P59GU89</t>
  </si>
  <si>
    <t>ADAMS A,MICHAEL</t>
  </si>
  <si>
    <t>IL</t>
  </si>
  <si>
    <t>New Business</t>
  </si>
  <si>
    <t>MA</t>
  </si>
  <si>
    <t>IMM619</t>
  </si>
  <si>
    <t>H7301-023</t>
  </si>
  <si>
    <t>LOA</t>
  </si>
  <si>
    <t>HORN, JEFFREY</t>
  </si>
  <si>
    <t>GMO</t>
  </si>
  <si>
    <t>Main Line Benefits LLC</t>
  </si>
  <si>
    <t xml:space="preserve">N  </t>
  </si>
  <si>
    <t>3UW3XN1UU81</t>
  </si>
  <si>
    <t>CRUM J,THOMAS</t>
  </si>
  <si>
    <t>MAPD</t>
  </si>
  <si>
    <t>IMM606</t>
  </si>
  <si>
    <t>H7301-015</t>
  </si>
  <si>
    <t>Hunsberger, Anthony</t>
  </si>
  <si>
    <t>9CW8V99VU31</t>
  </si>
  <si>
    <t>CRUM R,PATRICIA</t>
  </si>
  <si>
    <t>1K73QG2QC07</t>
  </si>
  <si>
    <t>DELANO C,MARY</t>
  </si>
  <si>
    <t>H7301-013</t>
  </si>
  <si>
    <t>Portugal, Gary</t>
  </si>
  <si>
    <t>3Y96MN0TM66</t>
  </si>
  <si>
    <t>DI CICCO A,LAURA</t>
  </si>
  <si>
    <t>ABDUL, SAADIA</t>
  </si>
  <si>
    <t>8CA4Y64AH95</t>
  </si>
  <si>
    <t>DRESSER V,JAMES</t>
  </si>
  <si>
    <t>Voluntarily Rapid Disenroll</t>
  </si>
  <si>
    <t>H7301-007</t>
  </si>
  <si>
    <t>Deaton, Pamela</t>
  </si>
  <si>
    <t xml:space="preserve">Y  </t>
  </si>
  <si>
    <t>8MK0PE0PD38</t>
  </si>
  <si>
    <t>FU,YAZHOU</t>
  </si>
  <si>
    <t>MD</t>
  </si>
  <si>
    <t>IMM603</t>
  </si>
  <si>
    <t>H3931-159</t>
  </si>
  <si>
    <t>Max, Ronald</t>
  </si>
  <si>
    <t>6KV2J63JF00</t>
  </si>
  <si>
    <t>GRAFE D,SHARON</t>
  </si>
  <si>
    <t>KS</t>
  </si>
  <si>
    <t>IMM607</t>
  </si>
  <si>
    <t>H2663-061</t>
  </si>
  <si>
    <t>Teipel, Gregory</t>
  </si>
  <si>
    <t>7KR4AY8JN72</t>
  </si>
  <si>
    <t>MCNEILL E,JULIE</t>
  </si>
  <si>
    <t>2T16CF4CH85</t>
  </si>
  <si>
    <t>PAMINTUAN A,ADELINA</t>
  </si>
  <si>
    <t>Drapac, Stephanie</t>
  </si>
  <si>
    <t>8QW0CH7HE48</t>
  </si>
  <si>
    <t>PRITTS K,DORINE</t>
  </si>
  <si>
    <t>PA</t>
  </si>
  <si>
    <t>IMM608</t>
  </si>
  <si>
    <t>H3959-032</t>
  </si>
  <si>
    <t>Powers, Timothy</t>
  </si>
  <si>
    <t>8QV3FR7CK92</t>
  </si>
  <si>
    <t>RANDLE,CAROLYN</t>
  </si>
  <si>
    <t>H5521-086</t>
  </si>
  <si>
    <t>HANSFORD, GREGORY</t>
  </si>
  <si>
    <t>4F10WW1XY48</t>
  </si>
  <si>
    <t>SECHRIST D,BART</t>
  </si>
  <si>
    <t>H3959-001</t>
  </si>
  <si>
    <t>McCorkle, Michelle</t>
  </si>
  <si>
    <t>5V82A62YY96</t>
  </si>
  <si>
    <t>SHAH B,VEENA</t>
  </si>
  <si>
    <t>7U22W31EK99</t>
  </si>
  <si>
    <t>WATSON B,KEVIN</t>
  </si>
  <si>
    <t>SCHUMANN, BARRY</t>
  </si>
  <si>
    <t>5DV2RF0XM04</t>
  </si>
  <si>
    <t>WILLIAMS J,SHIRLEY</t>
  </si>
  <si>
    <t>Involuntary Pro-Rata Payment</t>
  </si>
  <si>
    <t>H7301-009</t>
  </si>
  <si>
    <t>TAPPER, RANDY</t>
  </si>
  <si>
    <t>Involuntarily Rapid Disenroll</t>
  </si>
  <si>
    <t>Total Payee Amount: $3209.92</t>
  </si>
  <si>
    <t>ADAMS</t>
  </si>
  <si>
    <t>MICHAEL</t>
  </si>
  <si>
    <t>CRUM</t>
  </si>
  <si>
    <t>THOMAS</t>
  </si>
  <si>
    <t>PATRICIA</t>
  </si>
  <si>
    <t>DELANO</t>
  </si>
  <si>
    <t>MARY</t>
  </si>
  <si>
    <t>LAURA</t>
  </si>
  <si>
    <t>DRESSER</t>
  </si>
  <si>
    <t>JAMES</t>
  </si>
  <si>
    <t>FU</t>
  </si>
  <si>
    <t>YAZHOU</t>
  </si>
  <si>
    <t>GRAFE</t>
  </si>
  <si>
    <t>SHARON</t>
  </si>
  <si>
    <t>MCNEILL</t>
  </si>
  <si>
    <t>JULIE</t>
  </si>
  <si>
    <t>PAMINTUAN</t>
  </si>
  <si>
    <t>ADELINA</t>
  </si>
  <si>
    <t>PRITTS</t>
  </si>
  <si>
    <t>DORINE</t>
  </si>
  <si>
    <t>RANDLE</t>
  </si>
  <si>
    <t>CAROLYN</t>
  </si>
  <si>
    <t>SECHRIST</t>
  </si>
  <si>
    <t>BART</t>
  </si>
  <si>
    <t>SHAH</t>
  </si>
  <si>
    <t>VEENA</t>
  </si>
  <si>
    <t>WATSON</t>
  </si>
  <si>
    <t>KEVIN</t>
  </si>
  <si>
    <t>WILLIAMS</t>
  </si>
  <si>
    <t>SHIRLEY</t>
  </si>
  <si>
    <t>DI CICCO</t>
  </si>
  <si>
    <t>MICHAEL ADAMS</t>
  </si>
  <si>
    <t>THOMAS CRUM</t>
  </si>
  <si>
    <t>PATRICIA CRUM</t>
  </si>
  <si>
    <t>MARY DELANO</t>
  </si>
  <si>
    <t>LAURA DI CICCO</t>
  </si>
  <si>
    <t>JAMES DRESSER</t>
  </si>
  <si>
    <t>YAZHOU FU</t>
  </si>
  <si>
    <t>SHARON GRAFE</t>
  </si>
  <si>
    <t>JULIE MCNEILL</t>
  </si>
  <si>
    <t>ADELINA PAMINTUAN</t>
  </si>
  <si>
    <t>DORINE PRITTS</t>
  </si>
  <si>
    <t>CAROLYN RANDLE</t>
  </si>
  <si>
    <t>BART SECHRIST</t>
  </si>
  <si>
    <t>VEENA SHAH</t>
  </si>
  <si>
    <t>KEVIN WATSON</t>
  </si>
  <si>
    <t>SHIRLEY WILLIAMS</t>
  </si>
  <si>
    <t>Aetna MAPD OVR 2025</t>
  </si>
  <si>
    <t>Aetna MAPD 2025*</t>
  </si>
  <si>
    <t>Aetna MAPD 2025</t>
  </si>
  <si>
    <t>Aetna 2025 CT, PA, DC*</t>
  </si>
  <si>
    <t>[%/$=313][prorate=12/12]</t>
  </si>
  <si>
    <t>[%/$=353][prorate=12/12]</t>
  </si>
  <si>
    <t>[%/$=313][prorate=8/12]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</si>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</sst>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ABB9-FFDF-45A8-A6E4-C5CC628F14FD}">
  <dimension ref="A1:X21"/>
  <sheetViews>
    <sheetView workbookViewId="0">
      <selection sqref="A1:XFD1048576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45748</v>
      </c>
      <c r="B2" t="s">
        <v>24</v>
      </c>
      <c r="C2">
        <v>101557848700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45748</v>
      </c>
      <c r="M2" s="1">
        <v>45748</v>
      </c>
      <c r="O2">
        <v>2158366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328.5</v>
      </c>
      <c r="V2" t="s">
        <v>35</v>
      </c>
      <c r="W2" s="1">
        <v>45736</v>
      </c>
      <c r="X2">
        <v>2025</v>
      </c>
    </row>
    <row r="3" spans="1:24" x14ac:dyDescent="0.25">
      <c r="A3" s="1">
        <v>45748</v>
      </c>
      <c r="B3" t="s">
        <v>36</v>
      </c>
      <c r="C3">
        <v>101268593500</v>
      </c>
      <c r="E3" t="s">
        <v>37</v>
      </c>
      <c r="F3" t="s">
        <v>26</v>
      </c>
      <c r="G3" t="s">
        <v>27</v>
      </c>
      <c r="H3" t="s">
        <v>38</v>
      </c>
      <c r="I3" t="s">
        <v>39</v>
      </c>
      <c r="J3" t="s">
        <v>40</v>
      </c>
      <c r="L3" s="1">
        <v>45748</v>
      </c>
      <c r="M3" s="1">
        <v>45748</v>
      </c>
      <c r="O3">
        <v>7146581</v>
      </c>
      <c r="P3" t="s">
        <v>31</v>
      </c>
      <c r="Q3" t="s">
        <v>41</v>
      </c>
      <c r="R3">
        <v>8192</v>
      </c>
      <c r="S3" t="s">
        <v>33</v>
      </c>
      <c r="T3" t="s">
        <v>34</v>
      </c>
      <c r="U3">
        <v>328.5</v>
      </c>
      <c r="V3" t="s">
        <v>35</v>
      </c>
      <c r="W3" s="1">
        <v>45734</v>
      </c>
      <c r="X3">
        <v>2025</v>
      </c>
    </row>
    <row r="4" spans="1:24" x14ac:dyDescent="0.25">
      <c r="A4" s="1">
        <v>45748</v>
      </c>
      <c r="B4" t="s">
        <v>42</v>
      </c>
      <c r="C4">
        <v>101373587000</v>
      </c>
      <c r="E4" t="s">
        <v>43</v>
      </c>
      <c r="F4" t="s">
        <v>26</v>
      </c>
      <c r="G4" t="s">
        <v>27</v>
      </c>
      <c r="H4" t="s">
        <v>38</v>
      </c>
      <c r="I4" t="s">
        <v>39</v>
      </c>
      <c r="J4" t="s">
        <v>40</v>
      </c>
      <c r="L4" s="1">
        <v>45748</v>
      </c>
      <c r="M4" s="1">
        <v>45748</v>
      </c>
      <c r="O4">
        <v>7146581</v>
      </c>
      <c r="P4" t="s">
        <v>31</v>
      </c>
      <c r="Q4" t="s">
        <v>41</v>
      </c>
      <c r="R4">
        <v>8192</v>
      </c>
      <c r="S4" t="s">
        <v>33</v>
      </c>
      <c r="T4" t="s">
        <v>34</v>
      </c>
      <c r="U4">
        <v>328.5</v>
      </c>
      <c r="V4" t="s">
        <v>35</v>
      </c>
      <c r="W4" s="1">
        <v>45734</v>
      </c>
      <c r="X4">
        <v>2025</v>
      </c>
    </row>
    <row r="5" spans="1:24" x14ac:dyDescent="0.25">
      <c r="A5" s="1">
        <v>45748</v>
      </c>
      <c r="B5" t="s">
        <v>44</v>
      </c>
      <c r="C5">
        <v>102159072900</v>
      </c>
      <c r="E5" t="s">
        <v>45</v>
      </c>
      <c r="F5" t="s">
        <v>26</v>
      </c>
      <c r="G5" t="s">
        <v>27</v>
      </c>
      <c r="H5" t="s">
        <v>38</v>
      </c>
      <c r="I5" t="s">
        <v>39</v>
      </c>
      <c r="J5" t="s">
        <v>46</v>
      </c>
      <c r="L5" s="1">
        <v>45748</v>
      </c>
      <c r="M5" s="1">
        <v>45748</v>
      </c>
      <c r="O5">
        <v>9213293</v>
      </c>
      <c r="P5" t="s">
        <v>31</v>
      </c>
      <c r="Q5" t="s">
        <v>47</v>
      </c>
      <c r="R5">
        <v>8192</v>
      </c>
      <c r="S5" t="s">
        <v>33</v>
      </c>
      <c r="T5" t="s">
        <v>34</v>
      </c>
      <c r="U5">
        <v>328.5</v>
      </c>
      <c r="V5" t="s">
        <v>35</v>
      </c>
      <c r="W5" s="1">
        <v>45732</v>
      </c>
      <c r="X5">
        <v>2025</v>
      </c>
    </row>
    <row r="6" spans="1:24" x14ac:dyDescent="0.25">
      <c r="A6" s="1">
        <v>45748</v>
      </c>
      <c r="B6" t="s">
        <v>48</v>
      </c>
      <c r="C6">
        <v>101853428500</v>
      </c>
      <c r="E6" t="s">
        <v>49</v>
      </c>
      <c r="F6" t="s">
        <v>26</v>
      </c>
      <c r="G6" t="s">
        <v>27</v>
      </c>
      <c r="H6" t="s">
        <v>38</v>
      </c>
      <c r="I6" t="s">
        <v>39</v>
      </c>
      <c r="J6" t="s">
        <v>46</v>
      </c>
      <c r="L6" s="1">
        <v>45748</v>
      </c>
      <c r="M6" s="1">
        <v>45748</v>
      </c>
      <c r="O6">
        <v>19396223</v>
      </c>
      <c r="P6" t="s">
        <v>31</v>
      </c>
      <c r="Q6" t="s">
        <v>50</v>
      </c>
      <c r="R6">
        <v>8192</v>
      </c>
      <c r="S6" t="s">
        <v>33</v>
      </c>
      <c r="T6" t="s">
        <v>34</v>
      </c>
      <c r="U6">
        <v>328.5</v>
      </c>
      <c r="V6" t="s">
        <v>35</v>
      </c>
      <c r="W6" s="1">
        <v>45734</v>
      </c>
      <c r="X6">
        <v>2025</v>
      </c>
    </row>
    <row r="7" spans="1:24" x14ac:dyDescent="0.25">
      <c r="A7" s="1">
        <v>45748</v>
      </c>
      <c r="B7" t="s">
        <v>51</v>
      </c>
      <c r="C7">
        <v>102070609400</v>
      </c>
      <c r="E7" t="s">
        <v>52</v>
      </c>
      <c r="F7" t="s">
        <v>26</v>
      </c>
      <c r="G7" t="s">
        <v>53</v>
      </c>
      <c r="H7" t="s">
        <v>38</v>
      </c>
      <c r="I7" t="s">
        <v>29</v>
      </c>
      <c r="J7" t="s">
        <v>54</v>
      </c>
      <c r="L7" s="1">
        <v>45658</v>
      </c>
      <c r="M7" s="1">
        <v>45658</v>
      </c>
      <c r="N7" s="1">
        <v>45747</v>
      </c>
      <c r="O7">
        <v>8244481</v>
      </c>
      <c r="P7" t="s">
        <v>31</v>
      </c>
      <c r="Q7" t="s">
        <v>55</v>
      </c>
      <c r="R7">
        <v>8192</v>
      </c>
      <c r="S7" t="s">
        <v>33</v>
      </c>
      <c r="T7" t="s">
        <v>34</v>
      </c>
      <c r="U7">
        <v>-751</v>
      </c>
      <c r="V7" t="s">
        <v>56</v>
      </c>
      <c r="W7" s="1">
        <v>45582</v>
      </c>
      <c r="X7">
        <v>2025</v>
      </c>
    </row>
    <row r="8" spans="1:24" x14ac:dyDescent="0.25">
      <c r="A8" s="1">
        <v>45748</v>
      </c>
      <c r="B8" t="s">
        <v>57</v>
      </c>
      <c r="C8">
        <v>102158867100</v>
      </c>
      <c r="E8" t="s">
        <v>58</v>
      </c>
      <c r="F8" t="s">
        <v>59</v>
      </c>
      <c r="G8" t="s">
        <v>27</v>
      </c>
      <c r="H8" t="s">
        <v>38</v>
      </c>
      <c r="I8" t="s">
        <v>60</v>
      </c>
      <c r="J8" t="s">
        <v>61</v>
      </c>
      <c r="L8" s="1">
        <v>45748</v>
      </c>
      <c r="M8" s="1">
        <v>45748</v>
      </c>
      <c r="O8">
        <v>5442438</v>
      </c>
      <c r="P8" t="s">
        <v>31</v>
      </c>
      <c r="Q8" t="s">
        <v>62</v>
      </c>
      <c r="R8">
        <v>8192</v>
      </c>
      <c r="S8" t="s">
        <v>33</v>
      </c>
      <c r="T8" t="s">
        <v>34</v>
      </c>
      <c r="U8">
        <v>324.75</v>
      </c>
      <c r="V8" t="s">
        <v>35</v>
      </c>
      <c r="W8" s="1">
        <v>45730</v>
      </c>
      <c r="X8">
        <v>2025</v>
      </c>
    </row>
    <row r="9" spans="1:24" x14ac:dyDescent="0.25">
      <c r="A9" s="1">
        <v>45748</v>
      </c>
      <c r="B9" t="s">
        <v>63</v>
      </c>
      <c r="C9">
        <v>102160124800</v>
      </c>
      <c r="E9" t="s">
        <v>64</v>
      </c>
      <c r="F9" t="s">
        <v>65</v>
      </c>
      <c r="G9" t="s">
        <v>27</v>
      </c>
      <c r="H9" t="s">
        <v>38</v>
      </c>
      <c r="I9" t="s">
        <v>66</v>
      </c>
      <c r="J9" t="s">
        <v>67</v>
      </c>
      <c r="L9" s="1">
        <v>45778</v>
      </c>
      <c r="M9" s="1">
        <v>45778</v>
      </c>
      <c r="O9">
        <v>8307933</v>
      </c>
      <c r="P9" t="s">
        <v>31</v>
      </c>
      <c r="Q9" t="s">
        <v>68</v>
      </c>
      <c r="R9">
        <v>8192</v>
      </c>
      <c r="S9" t="s">
        <v>33</v>
      </c>
      <c r="T9" t="s">
        <v>34</v>
      </c>
      <c r="U9">
        <v>292</v>
      </c>
      <c r="V9" t="s">
        <v>35</v>
      </c>
      <c r="W9" s="1">
        <v>45735</v>
      </c>
      <c r="X9">
        <v>2025</v>
      </c>
    </row>
    <row r="10" spans="1:24" x14ac:dyDescent="0.25">
      <c r="A10" s="1">
        <v>45748</v>
      </c>
      <c r="B10" t="s">
        <v>69</v>
      </c>
      <c r="C10">
        <v>102160093600</v>
      </c>
      <c r="E10" t="s">
        <v>70</v>
      </c>
      <c r="F10" t="s">
        <v>26</v>
      </c>
      <c r="G10" t="s">
        <v>27</v>
      </c>
      <c r="H10" t="s">
        <v>38</v>
      </c>
      <c r="I10" t="s">
        <v>39</v>
      </c>
      <c r="J10" t="s">
        <v>46</v>
      </c>
      <c r="L10" s="1">
        <v>45748</v>
      </c>
      <c r="M10" s="1">
        <v>45748</v>
      </c>
      <c r="O10">
        <v>7146581</v>
      </c>
      <c r="P10" t="s">
        <v>31</v>
      </c>
      <c r="Q10" t="s">
        <v>41</v>
      </c>
      <c r="R10">
        <v>8192</v>
      </c>
      <c r="S10" t="s">
        <v>33</v>
      </c>
      <c r="T10" t="s">
        <v>34</v>
      </c>
      <c r="U10">
        <v>328.5</v>
      </c>
      <c r="V10" t="s">
        <v>35</v>
      </c>
      <c r="W10" s="1">
        <v>45735</v>
      </c>
      <c r="X10">
        <v>2025</v>
      </c>
    </row>
    <row r="11" spans="1:24" x14ac:dyDescent="0.25">
      <c r="A11" s="1">
        <v>45748</v>
      </c>
      <c r="B11" t="s">
        <v>71</v>
      </c>
      <c r="C11">
        <v>101246918100</v>
      </c>
      <c r="E11" t="s">
        <v>72</v>
      </c>
      <c r="F11" t="s">
        <v>26</v>
      </c>
      <c r="G11" t="s">
        <v>27</v>
      </c>
      <c r="H11" t="s">
        <v>38</v>
      </c>
      <c r="I11" t="s">
        <v>39</v>
      </c>
      <c r="J11" t="s">
        <v>46</v>
      </c>
      <c r="L11" s="1">
        <v>45748</v>
      </c>
      <c r="M11" s="1">
        <v>45748</v>
      </c>
      <c r="O11">
        <v>17126004</v>
      </c>
      <c r="P11" t="s">
        <v>31</v>
      </c>
      <c r="Q11" t="s">
        <v>73</v>
      </c>
      <c r="R11">
        <v>8192</v>
      </c>
      <c r="S11" t="s">
        <v>33</v>
      </c>
      <c r="T11" t="s">
        <v>34</v>
      </c>
      <c r="U11">
        <v>328.5</v>
      </c>
      <c r="V11" t="s">
        <v>35</v>
      </c>
      <c r="W11" s="1">
        <v>45731</v>
      </c>
      <c r="X11">
        <v>2025</v>
      </c>
    </row>
    <row r="12" spans="1:24" x14ac:dyDescent="0.25">
      <c r="A12" s="1">
        <v>45748</v>
      </c>
      <c r="B12" t="s">
        <v>74</v>
      </c>
      <c r="C12">
        <v>101123136100</v>
      </c>
      <c r="E12" t="s">
        <v>75</v>
      </c>
      <c r="F12" t="s">
        <v>76</v>
      </c>
      <c r="G12" t="s">
        <v>27</v>
      </c>
      <c r="H12" t="s">
        <v>38</v>
      </c>
      <c r="I12" t="s">
        <v>77</v>
      </c>
      <c r="J12" t="s">
        <v>78</v>
      </c>
      <c r="L12" s="1">
        <v>45748</v>
      </c>
      <c r="M12" s="1">
        <v>45748</v>
      </c>
      <c r="O12">
        <v>17886092</v>
      </c>
      <c r="P12" t="s">
        <v>31</v>
      </c>
      <c r="Q12" t="s">
        <v>79</v>
      </c>
      <c r="R12">
        <v>8192</v>
      </c>
      <c r="S12" t="s">
        <v>33</v>
      </c>
      <c r="T12" t="s">
        <v>34</v>
      </c>
      <c r="U12">
        <v>30</v>
      </c>
      <c r="V12" t="s">
        <v>35</v>
      </c>
      <c r="W12" s="1">
        <v>45723</v>
      </c>
      <c r="X12">
        <v>2025</v>
      </c>
    </row>
    <row r="13" spans="1:24" x14ac:dyDescent="0.25">
      <c r="A13" s="1">
        <v>45748</v>
      </c>
      <c r="B13" t="s">
        <v>80</v>
      </c>
      <c r="C13">
        <v>102038220200</v>
      </c>
      <c r="E13" t="s">
        <v>81</v>
      </c>
      <c r="F13" t="s">
        <v>26</v>
      </c>
      <c r="G13" t="s">
        <v>27</v>
      </c>
      <c r="H13" t="s">
        <v>38</v>
      </c>
      <c r="I13" t="s">
        <v>39</v>
      </c>
      <c r="J13" t="s">
        <v>82</v>
      </c>
      <c r="L13" s="1">
        <v>45748</v>
      </c>
      <c r="M13" s="1">
        <v>45748</v>
      </c>
      <c r="O13">
        <v>17094718</v>
      </c>
      <c r="P13" t="s">
        <v>31</v>
      </c>
      <c r="Q13" t="s">
        <v>83</v>
      </c>
      <c r="R13">
        <v>8192</v>
      </c>
      <c r="S13" t="s">
        <v>33</v>
      </c>
      <c r="T13" t="s">
        <v>34</v>
      </c>
      <c r="U13">
        <v>328.5</v>
      </c>
      <c r="V13" t="s">
        <v>35</v>
      </c>
      <c r="W13" s="1">
        <v>45731</v>
      </c>
      <c r="X13">
        <v>2025</v>
      </c>
    </row>
    <row r="14" spans="1:24" x14ac:dyDescent="0.25">
      <c r="A14" s="1">
        <v>45748</v>
      </c>
      <c r="B14" t="s">
        <v>84</v>
      </c>
      <c r="C14">
        <v>102158685300</v>
      </c>
      <c r="E14" t="s">
        <v>85</v>
      </c>
      <c r="F14" t="s">
        <v>76</v>
      </c>
      <c r="G14" t="s">
        <v>27</v>
      </c>
      <c r="H14" t="s">
        <v>38</v>
      </c>
      <c r="I14" t="s">
        <v>77</v>
      </c>
      <c r="J14" t="s">
        <v>86</v>
      </c>
      <c r="L14" s="1">
        <v>45717</v>
      </c>
      <c r="M14" s="1">
        <v>45717</v>
      </c>
      <c r="O14">
        <v>18710070</v>
      </c>
      <c r="P14" t="s">
        <v>31</v>
      </c>
      <c r="Q14" t="s">
        <v>87</v>
      </c>
      <c r="R14">
        <v>8192</v>
      </c>
      <c r="S14" t="s">
        <v>33</v>
      </c>
      <c r="T14" t="s">
        <v>34</v>
      </c>
      <c r="U14">
        <v>394.17</v>
      </c>
      <c r="V14" t="s">
        <v>35</v>
      </c>
      <c r="W14" s="1">
        <v>45714</v>
      </c>
      <c r="X14">
        <v>2025</v>
      </c>
    </row>
    <row r="15" spans="1:24" x14ac:dyDescent="0.25">
      <c r="A15" s="1">
        <v>45748</v>
      </c>
      <c r="B15" t="s">
        <v>88</v>
      </c>
      <c r="C15">
        <v>101308501300</v>
      </c>
      <c r="E15" t="s">
        <v>89</v>
      </c>
      <c r="F15" t="s">
        <v>26</v>
      </c>
      <c r="G15" t="s">
        <v>27</v>
      </c>
      <c r="H15" t="s">
        <v>38</v>
      </c>
      <c r="I15" t="s">
        <v>39</v>
      </c>
      <c r="J15" t="s">
        <v>46</v>
      </c>
      <c r="L15" s="1">
        <v>45748</v>
      </c>
      <c r="M15" s="1">
        <v>45748</v>
      </c>
      <c r="O15">
        <v>19396223</v>
      </c>
      <c r="P15" t="s">
        <v>31</v>
      </c>
      <c r="Q15" t="s">
        <v>50</v>
      </c>
      <c r="R15">
        <v>8192</v>
      </c>
      <c r="S15" t="s">
        <v>33</v>
      </c>
      <c r="T15" t="s">
        <v>34</v>
      </c>
      <c r="U15">
        <v>328.5</v>
      </c>
      <c r="V15" t="s">
        <v>35</v>
      </c>
      <c r="W15" s="1">
        <v>45735</v>
      </c>
      <c r="X15">
        <v>2025</v>
      </c>
    </row>
    <row r="16" spans="1:24" x14ac:dyDescent="0.25">
      <c r="A16" s="1">
        <v>45748</v>
      </c>
      <c r="B16" t="s">
        <v>90</v>
      </c>
      <c r="C16">
        <v>102160129600</v>
      </c>
      <c r="E16" t="s">
        <v>91</v>
      </c>
      <c r="F16" t="s">
        <v>26</v>
      </c>
      <c r="G16" t="s">
        <v>27</v>
      </c>
      <c r="H16" t="s">
        <v>38</v>
      </c>
      <c r="I16" t="s">
        <v>39</v>
      </c>
      <c r="J16" t="s">
        <v>46</v>
      </c>
      <c r="L16" s="1">
        <v>45748</v>
      </c>
      <c r="M16" s="1">
        <v>45748</v>
      </c>
      <c r="O16">
        <v>19586992</v>
      </c>
      <c r="P16" t="s">
        <v>31</v>
      </c>
      <c r="Q16" t="s">
        <v>92</v>
      </c>
      <c r="R16">
        <v>8192</v>
      </c>
      <c r="S16" t="s">
        <v>33</v>
      </c>
      <c r="T16" t="s">
        <v>34</v>
      </c>
      <c r="U16">
        <v>328.5</v>
      </c>
      <c r="V16" t="s">
        <v>35</v>
      </c>
      <c r="W16" s="1">
        <v>45735</v>
      </c>
      <c r="X16">
        <v>2025</v>
      </c>
    </row>
    <row r="17" spans="1:24" x14ac:dyDescent="0.25">
      <c r="A17" s="1">
        <v>45748</v>
      </c>
      <c r="B17" t="s">
        <v>93</v>
      </c>
      <c r="C17">
        <v>102098672900</v>
      </c>
      <c r="E17" t="s">
        <v>94</v>
      </c>
      <c r="F17" t="s">
        <v>26</v>
      </c>
      <c r="G17" t="s">
        <v>95</v>
      </c>
      <c r="H17" t="s">
        <v>38</v>
      </c>
      <c r="I17" t="s">
        <v>29</v>
      </c>
      <c r="J17" t="s">
        <v>96</v>
      </c>
      <c r="L17" s="1">
        <v>45658</v>
      </c>
      <c r="M17" s="1">
        <v>45658</v>
      </c>
      <c r="N17" s="1">
        <v>45716</v>
      </c>
      <c r="O17">
        <v>18935660</v>
      </c>
      <c r="P17" t="s">
        <v>31</v>
      </c>
      <c r="Q17" t="s">
        <v>97</v>
      </c>
      <c r="R17">
        <v>8192</v>
      </c>
      <c r="S17" t="s">
        <v>33</v>
      </c>
      <c r="T17" t="s">
        <v>34</v>
      </c>
      <c r="U17">
        <v>73</v>
      </c>
      <c r="V17" t="s">
        <v>35</v>
      </c>
      <c r="W17" s="1">
        <v>45615</v>
      </c>
      <c r="X17">
        <v>2025</v>
      </c>
    </row>
    <row r="18" spans="1:24" x14ac:dyDescent="0.25">
      <c r="A18" s="1">
        <v>45748</v>
      </c>
      <c r="B18" t="s">
        <v>93</v>
      </c>
      <c r="C18">
        <v>102098672900</v>
      </c>
      <c r="E18" t="s">
        <v>94</v>
      </c>
      <c r="F18" t="s">
        <v>26</v>
      </c>
      <c r="G18" t="s">
        <v>98</v>
      </c>
      <c r="H18" t="s">
        <v>38</v>
      </c>
      <c r="I18" t="s">
        <v>29</v>
      </c>
      <c r="J18" t="s">
        <v>96</v>
      </c>
      <c r="L18" s="1">
        <v>45658</v>
      </c>
      <c r="M18" s="1">
        <v>45658</v>
      </c>
      <c r="N18" s="1">
        <v>45716</v>
      </c>
      <c r="O18">
        <v>18935660</v>
      </c>
      <c r="P18" t="s">
        <v>31</v>
      </c>
      <c r="Q18" t="s">
        <v>97</v>
      </c>
      <c r="R18">
        <v>8192</v>
      </c>
      <c r="S18" t="s">
        <v>33</v>
      </c>
      <c r="T18" t="s">
        <v>34</v>
      </c>
      <c r="U18">
        <v>-438</v>
      </c>
      <c r="V18" t="s">
        <v>35</v>
      </c>
      <c r="W18" s="1">
        <v>45615</v>
      </c>
      <c r="X18">
        <v>2025</v>
      </c>
    </row>
    <row r="21" spans="1:24" x14ac:dyDescent="0.25">
      <c r="A2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36CB-6CAF-4D60-8F17-D795B251129B}">
  <dimension ref="A1:N33"/>
  <sheetViews>
    <sheetView tabSelected="1" workbookViewId="0">
      <selection activeCell="I19" sqref="I19"/>
    </sheetView>
  </sheetViews>
  <sheetFormatPr defaultRowHeight="15" x14ac:dyDescent="0.25"/>
  <cols>
    <col min="1" max="1" width="17.28515625" style="2" bestFit="1" customWidth="1"/>
    <col min="2" max="2" width="17.28515625" style="2" customWidth="1"/>
    <col min="3" max="3" width="22.5703125" style="2" bestFit="1" customWidth="1"/>
    <col min="4" max="4" width="7.85546875" style="2" customWidth="1"/>
    <col min="5" max="8" width="9.140625" style="2"/>
    <col min="9" max="9" width="20.42578125" style="2" bestFit="1" customWidth="1"/>
    <col min="10" max="12" width="9.140625" style="2"/>
    <col min="13" max="13" width="21.5703125" style="2" bestFit="1" customWidth="1"/>
    <col min="14" max="16384" width="9.140625" style="2"/>
  </cols>
  <sheetData>
    <row r="1" spans="1:14" x14ac:dyDescent="0.25">
      <c r="A1" s="2" t="s">
        <v>1</v>
      </c>
      <c r="C1" s="2" t="s">
        <v>4</v>
      </c>
      <c r="D1" s="2" t="s">
        <v>5</v>
      </c>
      <c r="E1" s="2" t="s">
        <v>7</v>
      </c>
      <c r="F1" s="2" t="s">
        <v>11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20</v>
      </c>
    </row>
    <row r="2" spans="1:14" x14ac:dyDescent="0.25">
      <c r="A2" s="2" t="s">
        <v>48</v>
      </c>
      <c r="B2" s="2" t="str">
        <f>CONCATENATE(A2,8)</f>
        <v>3Y96MN0TM668</v>
      </c>
      <c r="C2" s="2" t="s">
        <v>135</v>
      </c>
      <c r="D2" s="2" t="s">
        <v>26</v>
      </c>
      <c r="E2" s="2" t="s">
        <v>38</v>
      </c>
      <c r="F2" s="3">
        <v>45748</v>
      </c>
      <c r="G2" s="3">
        <v>45748</v>
      </c>
      <c r="H2" s="2">
        <v>19396223</v>
      </c>
      <c r="I2" s="2" t="s">
        <v>50</v>
      </c>
      <c r="J2" s="2" t="s">
        <v>33</v>
      </c>
      <c r="K2" s="2">
        <v>328.5</v>
      </c>
      <c r="L2" s="2">
        <v>313</v>
      </c>
      <c r="M2" s="2" t="s">
        <v>148</v>
      </c>
      <c r="N2" s="2" t="s">
        <v>151</v>
      </c>
    </row>
    <row r="3" spans="1:14" x14ac:dyDescent="0.25">
      <c r="A3" s="2" t="s">
        <v>88</v>
      </c>
      <c r="B3" s="2" t="str">
        <f>CONCATENATE(A3,8)</f>
        <v>5V82A62YY968</v>
      </c>
      <c r="C3" s="2" t="s">
        <v>144</v>
      </c>
      <c r="D3" s="2" t="s">
        <v>26</v>
      </c>
      <c r="E3" s="2" t="s">
        <v>38</v>
      </c>
      <c r="F3" s="3">
        <v>45748</v>
      </c>
      <c r="G3" s="3">
        <v>45748</v>
      </c>
      <c r="H3" s="2">
        <v>19396223</v>
      </c>
      <c r="I3" s="2" t="s">
        <v>50</v>
      </c>
      <c r="J3" s="2" t="s">
        <v>33</v>
      </c>
      <c r="K3" s="2">
        <v>328.5</v>
      </c>
      <c r="L3" s="2">
        <v>313</v>
      </c>
      <c r="M3" s="2" t="s">
        <v>148</v>
      </c>
      <c r="N3" s="2" t="s">
        <v>151</v>
      </c>
    </row>
    <row r="4" spans="1:14" x14ac:dyDescent="0.25">
      <c r="A4" s="2" t="s">
        <v>51</v>
      </c>
      <c r="B4" s="2" t="str">
        <f>CONCATENATE(A4,7)</f>
        <v>8CA4Y64AH957</v>
      </c>
      <c r="C4" s="2" t="s">
        <v>136</v>
      </c>
      <c r="D4" s="2" t="s">
        <v>26</v>
      </c>
      <c r="E4" s="2" t="s">
        <v>38</v>
      </c>
      <c r="F4" s="3">
        <v>45658</v>
      </c>
      <c r="G4" s="3">
        <v>45658</v>
      </c>
      <c r="H4" s="2">
        <v>8244481</v>
      </c>
      <c r="I4" s="2" t="s">
        <v>55</v>
      </c>
      <c r="J4" s="2" t="s">
        <v>33</v>
      </c>
      <c r="K4" s="2">
        <v>-751</v>
      </c>
      <c r="L4" s="2">
        <v>-626</v>
      </c>
      <c r="M4" s="2" t="s">
        <v>149</v>
      </c>
      <c r="N4" s="2" t="s">
        <v>154</v>
      </c>
    </row>
    <row r="5" spans="1:14" x14ac:dyDescent="0.25">
      <c r="A5" s="2" t="s">
        <v>71</v>
      </c>
      <c r="B5" s="2" t="str">
        <f>CONCATENATE(A5,8)</f>
        <v>2T16CF4CH858</v>
      </c>
      <c r="C5" s="2" t="s">
        <v>140</v>
      </c>
      <c r="D5" s="2" t="s">
        <v>26</v>
      </c>
      <c r="E5" s="2" t="s">
        <v>38</v>
      </c>
      <c r="F5" s="3">
        <v>45748</v>
      </c>
      <c r="G5" s="3">
        <v>45748</v>
      </c>
      <c r="H5" s="2">
        <v>17126004</v>
      </c>
      <c r="I5" s="2" t="s">
        <v>73</v>
      </c>
      <c r="J5" s="2" t="s">
        <v>33</v>
      </c>
      <c r="K5" s="2">
        <v>328.5</v>
      </c>
      <c r="L5" s="2">
        <v>313</v>
      </c>
      <c r="M5" s="2" t="s">
        <v>148</v>
      </c>
      <c r="N5" s="2" t="s">
        <v>151</v>
      </c>
    </row>
    <row r="6" spans="1:14" x14ac:dyDescent="0.25">
      <c r="A6" s="2" t="s">
        <v>80</v>
      </c>
      <c r="B6" s="2" t="str">
        <f>CONCATENATE(A6,8)</f>
        <v>8QV3FR7CK928</v>
      </c>
      <c r="C6" s="2" t="s">
        <v>142</v>
      </c>
      <c r="D6" s="2" t="s">
        <v>26</v>
      </c>
      <c r="E6" s="2" t="s">
        <v>38</v>
      </c>
      <c r="F6" s="3">
        <v>45748</v>
      </c>
      <c r="G6" s="3">
        <v>45748</v>
      </c>
      <c r="H6" s="2">
        <v>17094718</v>
      </c>
      <c r="I6" s="2" t="s">
        <v>83</v>
      </c>
      <c r="J6" s="2" t="s">
        <v>33</v>
      </c>
      <c r="K6" s="2">
        <v>328.5</v>
      </c>
      <c r="L6" s="2">
        <v>313</v>
      </c>
      <c r="M6" s="2" t="s">
        <v>148</v>
      </c>
      <c r="N6" s="2" t="s">
        <v>151</v>
      </c>
    </row>
    <row r="7" spans="1:14" x14ac:dyDescent="0.25">
      <c r="A7" s="2" t="s">
        <v>24</v>
      </c>
      <c r="B7" s="2" t="str">
        <f>CONCATENATE(A7,8)</f>
        <v>4A52P59GU898</v>
      </c>
      <c r="C7" s="2" t="s">
        <v>131</v>
      </c>
      <c r="D7" s="2" t="s">
        <v>26</v>
      </c>
      <c r="E7" s="2" t="s">
        <v>28</v>
      </c>
      <c r="F7" s="3">
        <v>45748</v>
      </c>
      <c r="G7" s="3">
        <v>45748</v>
      </c>
      <c r="H7" s="2">
        <v>2158366</v>
      </c>
      <c r="I7" s="2" t="s">
        <v>32</v>
      </c>
      <c r="J7" s="2" t="s">
        <v>33</v>
      </c>
      <c r="K7" s="2">
        <v>328.5</v>
      </c>
      <c r="L7" s="2">
        <v>313</v>
      </c>
      <c r="M7" s="2" t="s">
        <v>148</v>
      </c>
      <c r="N7" s="2" t="s">
        <v>151</v>
      </c>
    </row>
    <row r="8" spans="1:14" x14ac:dyDescent="0.25">
      <c r="A8" s="2" t="s">
        <v>36</v>
      </c>
      <c r="B8" s="2" t="str">
        <f>CONCATENATE(A8,8)</f>
        <v>3UW3XN1UU818</v>
      </c>
      <c r="C8" s="2" t="s">
        <v>132</v>
      </c>
      <c r="D8" s="2" t="s">
        <v>26</v>
      </c>
      <c r="E8" s="2" t="s">
        <v>38</v>
      </c>
      <c r="F8" s="3">
        <v>45748</v>
      </c>
      <c r="G8" s="3">
        <v>45748</v>
      </c>
      <c r="H8" s="2">
        <v>7146581</v>
      </c>
      <c r="I8" s="2" t="s">
        <v>41</v>
      </c>
      <c r="J8" s="2" t="s">
        <v>33</v>
      </c>
      <c r="K8" s="2">
        <v>328.5</v>
      </c>
      <c r="L8" s="2">
        <v>313</v>
      </c>
      <c r="M8" s="2" t="s">
        <v>148</v>
      </c>
      <c r="N8" s="2" t="s">
        <v>151</v>
      </c>
    </row>
    <row r="9" spans="1:14" x14ac:dyDescent="0.25">
      <c r="A9" s="2" t="s">
        <v>42</v>
      </c>
      <c r="B9" s="2" t="str">
        <f>CONCATENATE(A9,8)</f>
        <v>9CW8V99VU318</v>
      </c>
      <c r="C9" s="2" t="s">
        <v>133</v>
      </c>
      <c r="D9" s="2" t="s">
        <v>26</v>
      </c>
      <c r="E9" s="2" t="s">
        <v>38</v>
      </c>
      <c r="F9" s="3">
        <v>45748</v>
      </c>
      <c r="G9" s="3">
        <v>45748</v>
      </c>
      <c r="H9" s="2">
        <v>7146581</v>
      </c>
      <c r="I9" s="2" t="s">
        <v>41</v>
      </c>
      <c r="J9" s="2" t="s">
        <v>33</v>
      </c>
      <c r="K9" s="2">
        <v>328.5</v>
      </c>
      <c r="L9" s="2">
        <v>313</v>
      </c>
      <c r="M9" s="2" t="s">
        <v>148</v>
      </c>
      <c r="N9" s="2" t="s">
        <v>151</v>
      </c>
    </row>
    <row r="10" spans="1:14" x14ac:dyDescent="0.25">
      <c r="A10" s="2" t="s">
        <v>69</v>
      </c>
      <c r="B10" s="2" t="str">
        <f>CONCATENATE(A10,8)</f>
        <v>7KR4AY8JN728</v>
      </c>
      <c r="C10" s="2" t="s">
        <v>139</v>
      </c>
      <c r="D10" s="2" t="s">
        <v>26</v>
      </c>
      <c r="E10" s="2" t="s">
        <v>38</v>
      </c>
      <c r="F10" s="3">
        <v>45748</v>
      </c>
      <c r="G10" s="3">
        <v>45748</v>
      </c>
      <c r="H10" s="2">
        <v>7146581</v>
      </c>
      <c r="I10" s="2" t="s">
        <v>41</v>
      </c>
      <c r="J10" s="2" t="s">
        <v>33</v>
      </c>
      <c r="K10" s="2">
        <v>328.5</v>
      </c>
      <c r="L10" s="2">
        <v>313</v>
      </c>
      <c r="M10" s="2" t="s">
        <v>148</v>
      </c>
      <c r="N10" s="2" t="s">
        <v>151</v>
      </c>
    </row>
    <row r="11" spans="1:14" x14ac:dyDescent="0.25">
      <c r="A11" s="2" t="s">
        <v>51</v>
      </c>
      <c r="B11" s="2" t="str">
        <f>CONCATENATE(A11,88)</f>
        <v>8CA4Y64AH9588</v>
      </c>
      <c r="C11" s="2" t="s">
        <v>136</v>
      </c>
      <c r="D11" s="2" t="s">
        <v>26</v>
      </c>
      <c r="E11" s="2" t="s">
        <v>38</v>
      </c>
      <c r="F11" s="3">
        <v>45658</v>
      </c>
      <c r="G11" s="3">
        <v>45658</v>
      </c>
      <c r="H11" s="2">
        <v>20411454</v>
      </c>
      <c r="I11" s="2" t="s">
        <v>155</v>
      </c>
      <c r="J11" s="2" t="s">
        <v>33</v>
      </c>
      <c r="K11" s="2">
        <v>-751</v>
      </c>
      <c r="L11" s="2">
        <v>-125</v>
      </c>
      <c r="M11" s="2" t="s">
        <v>147</v>
      </c>
    </row>
    <row r="12" spans="1:14" x14ac:dyDescent="0.25">
      <c r="A12" s="2" t="s">
        <v>93</v>
      </c>
      <c r="B12" s="2" t="str">
        <f>CONCATENATE(A12,88)</f>
        <v>5DV2RF0XM0488</v>
      </c>
      <c r="C12" s="2" t="s">
        <v>146</v>
      </c>
      <c r="D12" s="2" t="s">
        <v>26</v>
      </c>
      <c r="E12" s="2" t="s">
        <v>38</v>
      </c>
      <c r="F12" s="3">
        <v>45658</v>
      </c>
      <c r="G12" s="3">
        <v>45658</v>
      </c>
      <c r="H12" s="2">
        <v>20411454</v>
      </c>
      <c r="I12" s="2" t="s">
        <v>155</v>
      </c>
      <c r="J12" s="2" t="s">
        <v>33</v>
      </c>
      <c r="K12" s="2">
        <v>-438</v>
      </c>
      <c r="L12" s="2">
        <v>-125</v>
      </c>
      <c r="M12" s="2" t="s">
        <v>147</v>
      </c>
    </row>
    <row r="13" spans="1:14" x14ac:dyDescent="0.25">
      <c r="A13" s="2" t="s">
        <v>57</v>
      </c>
      <c r="B13" s="2" t="str">
        <f>CONCATENATE(A13,88)</f>
        <v>8MK0PE0PD3888</v>
      </c>
      <c r="C13" s="2" t="s">
        <v>137</v>
      </c>
      <c r="D13" s="2" t="s">
        <v>59</v>
      </c>
      <c r="E13" s="2" t="s">
        <v>38</v>
      </c>
      <c r="F13" s="3">
        <v>45748</v>
      </c>
      <c r="G13" s="3">
        <v>45748</v>
      </c>
      <c r="H13" s="2">
        <v>20411454</v>
      </c>
      <c r="I13" s="2" t="s">
        <v>155</v>
      </c>
      <c r="J13" s="2" t="s">
        <v>33</v>
      </c>
      <c r="K13" s="2">
        <v>324.75</v>
      </c>
      <c r="L13" s="2">
        <v>11.75</v>
      </c>
      <c r="M13" s="2" t="s">
        <v>147</v>
      </c>
    </row>
    <row r="14" spans="1:14" x14ac:dyDescent="0.25">
      <c r="A14" s="2" t="s">
        <v>24</v>
      </c>
      <c r="B14" s="2" t="str">
        <f>CONCATENATE(A14,88)</f>
        <v>4A52P59GU8988</v>
      </c>
      <c r="C14" s="2" t="s">
        <v>131</v>
      </c>
      <c r="D14" s="2" t="s">
        <v>26</v>
      </c>
      <c r="E14" s="2" t="s">
        <v>28</v>
      </c>
      <c r="F14" s="3">
        <v>45748</v>
      </c>
      <c r="G14" s="3">
        <v>45748</v>
      </c>
      <c r="H14" s="2">
        <v>20411454</v>
      </c>
      <c r="I14" s="2" t="s">
        <v>155</v>
      </c>
      <c r="J14" s="2" t="s">
        <v>33</v>
      </c>
      <c r="K14" s="2">
        <v>328.5</v>
      </c>
      <c r="L14" s="2">
        <v>15.5</v>
      </c>
      <c r="M14" s="2" t="s">
        <v>147</v>
      </c>
    </row>
    <row r="15" spans="1:14" x14ac:dyDescent="0.25">
      <c r="A15" s="2" t="s">
        <v>36</v>
      </c>
      <c r="B15" s="2" t="str">
        <f>CONCATENATE(A15,88)</f>
        <v>3UW3XN1UU8188</v>
      </c>
      <c r="C15" s="2" t="s">
        <v>132</v>
      </c>
      <c r="D15" s="2" t="s">
        <v>26</v>
      </c>
      <c r="E15" s="2" t="s">
        <v>38</v>
      </c>
      <c r="F15" s="3">
        <v>45748</v>
      </c>
      <c r="G15" s="3">
        <v>45748</v>
      </c>
      <c r="H15" s="2">
        <v>20411454</v>
      </c>
      <c r="I15" s="2" t="s">
        <v>155</v>
      </c>
      <c r="J15" s="2" t="s">
        <v>33</v>
      </c>
      <c r="K15" s="2">
        <v>328.5</v>
      </c>
      <c r="L15" s="2">
        <v>15.5</v>
      </c>
      <c r="M15" s="2" t="s">
        <v>147</v>
      </c>
    </row>
    <row r="16" spans="1:14" x14ac:dyDescent="0.25">
      <c r="A16" s="2" t="s">
        <v>42</v>
      </c>
      <c r="B16" s="2" t="str">
        <f>CONCATENATE(A16,88)</f>
        <v>9CW8V99VU3188</v>
      </c>
      <c r="C16" s="2" t="s">
        <v>133</v>
      </c>
      <c r="D16" s="2" t="s">
        <v>26</v>
      </c>
      <c r="E16" s="2" t="s">
        <v>38</v>
      </c>
      <c r="F16" s="3">
        <v>45748</v>
      </c>
      <c r="G16" s="3">
        <v>45748</v>
      </c>
      <c r="H16" s="2">
        <v>20411454</v>
      </c>
      <c r="I16" s="2" t="s">
        <v>155</v>
      </c>
      <c r="J16" s="2" t="s">
        <v>33</v>
      </c>
      <c r="K16" s="2">
        <v>328.5</v>
      </c>
      <c r="L16" s="2">
        <v>15.5</v>
      </c>
      <c r="M16" s="2" t="s">
        <v>147</v>
      </c>
    </row>
    <row r="17" spans="1:14" x14ac:dyDescent="0.25">
      <c r="A17" s="2" t="s">
        <v>44</v>
      </c>
      <c r="B17" s="2" t="str">
        <f>CONCATENATE(A17,88)</f>
        <v>1K73QG2QC0788</v>
      </c>
      <c r="C17" s="2" t="s">
        <v>134</v>
      </c>
      <c r="D17" s="2" t="s">
        <v>26</v>
      </c>
      <c r="E17" s="2" t="s">
        <v>38</v>
      </c>
      <c r="F17" s="3">
        <v>45748</v>
      </c>
      <c r="G17" s="3">
        <v>45748</v>
      </c>
      <c r="H17" s="2">
        <v>20411454</v>
      </c>
      <c r="I17" s="2" t="s">
        <v>155</v>
      </c>
      <c r="J17" s="2" t="s">
        <v>33</v>
      </c>
      <c r="K17" s="2">
        <v>328.5</v>
      </c>
      <c r="L17" s="2">
        <v>15.5</v>
      </c>
      <c r="M17" s="2" t="s">
        <v>147</v>
      </c>
    </row>
    <row r="18" spans="1:14" x14ac:dyDescent="0.25">
      <c r="A18" s="2" t="s">
        <v>48</v>
      </c>
      <c r="B18" s="2" t="str">
        <f>CONCATENATE(A18,88)</f>
        <v>3Y96MN0TM6688</v>
      </c>
      <c r="C18" s="2" t="s">
        <v>135</v>
      </c>
      <c r="D18" s="2" t="s">
        <v>26</v>
      </c>
      <c r="E18" s="2" t="s">
        <v>38</v>
      </c>
      <c r="F18" s="3">
        <v>45748</v>
      </c>
      <c r="G18" s="3">
        <v>45748</v>
      </c>
      <c r="H18" s="2">
        <v>20411454</v>
      </c>
      <c r="I18" s="2" t="s">
        <v>155</v>
      </c>
      <c r="J18" s="2" t="s">
        <v>33</v>
      </c>
      <c r="K18" s="2">
        <v>328.5</v>
      </c>
      <c r="L18" s="2">
        <v>15.5</v>
      </c>
      <c r="M18" s="2" t="s">
        <v>147</v>
      </c>
    </row>
    <row r="19" spans="1:14" x14ac:dyDescent="0.25">
      <c r="A19" s="2" t="s">
        <v>69</v>
      </c>
      <c r="B19" s="2" t="str">
        <f>CONCATENATE(A19,88)</f>
        <v>7KR4AY8JN7288</v>
      </c>
      <c r="C19" s="2" t="s">
        <v>139</v>
      </c>
      <c r="D19" s="2" t="s">
        <v>26</v>
      </c>
      <c r="E19" s="2" t="s">
        <v>38</v>
      </c>
      <c r="F19" s="3">
        <v>45748</v>
      </c>
      <c r="G19" s="3">
        <v>45748</v>
      </c>
      <c r="H19" s="2">
        <v>20411454</v>
      </c>
      <c r="I19" s="2" t="s">
        <v>155</v>
      </c>
      <c r="J19" s="2" t="s">
        <v>33</v>
      </c>
      <c r="K19" s="2">
        <v>328.5</v>
      </c>
      <c r="L19" s="2">
        <v>15.5</v>
      </c>
      <c r="M19" s="2" t="s">
        <v>147</v>
      </c>
    </row>
    <row r="20" spans="1:14" x14ac:dyDescent="0.25">
      <c r="A20" s="2" t="s">
        <v>71</v>
      </c>
      <c r="B20" s="2" t="str">
        <f>CONCATENATE(A20,88)</f>
        <v>2T16CF4CH8588</v>
      </c>
      <c r="C20" s="2" t="s">
        <v>140</v>
      </c>
      <c r="D20" s="2" t="s">
        <v>26</v>
      </c>
      <c r="E20" s="2" t="s">
        <v>38</v>
      </c>
      <c r="F20" s="3">
        <v>45748</v>
      </c>
      <c r="G20" s="3">
        <v>45748</v>
      </c>
      <c r="H20" s="2">
        <v>20411454</v>
      </c>
      <c r="I20" s="2" t="s">
        <v>155</v>
      </c>
      <c r="J20" s="2" t="s">
        <v>33</v>
      </c>
      <c r="K20" s="2">
        <v>328.5</v>
      </c>
      <c r="L20" s="2">
        <v>15.5</v>
      </c>
      <c r="M20" s="2" t="s">
        <v>147</v>
      </c>
    </row>
    <row r="21" spans="1:14" x14ac:dyDescent="0.25">
      <c r="A21" s="2" t="s">
        <v>80</v>
      </c>
      <c r="B21" s="2" t="str">
        <f>CONCATENATE(A21,88)</f>
        <v>8QV3FR7CK9288</v>
      </c>
      <c r="C21" s="2" t="s">
        <v>142</v>
      </c>
      <c r="D21" s="2" t="s">
        <v>26</v>
      </c>
      <c r="E21" s="2" t="s">
        <v>38</v>
      </c>
      <c r="F21" s="3">
        <v>45748</v>
      </c>
      <c r="G21" s="3">
        <v>45748</v>
      </c>
      <c r="H21" s="2">
        <v>20411454</v>
      </c>
      <c r="I21" s="2" t="s">
        <v>155</v>
      </c>
      <c r="J21" s="2" t="s">
        <v>33</v>
      </c>
      <c r="K21" s="2">
        <v>328.5</v>
      </c>
      <c r="L21" s="2">
        <v>15.5</v>
      </c>
      <c r="M21" s="2" t="s">
        <v>147</v>
      </c>
    </row>
    <row r="22" spans="1:14" x14ac:dyDescent="0.25">
      <c r="A22" s="2" t="s">
        <v>88</v>
      </c>
      <c r="B22" s="2" t="str">
        <f>CONCATENATE(A22,88)</f>
        <v>5V82A62YY9688</v>
      </c>
      <c r="C22" s="2" t="s">
        <v>144</v>
      </c>
      <c r="D22" s="2" t="s">
        <v>26</v>
      </c>
      <c r="E22" s="2" t="s">
        <v>38</v>
      </c>
      <c r="F22" s="3">
        <v>45748</v>
      </c>
      <c r="G22" s="3">
        <v>45748</v>
      </c>
      <c r="H22" s="2">
        <v>20411454</v>
      </c>
      <c r="I22" s="2" t="s">
        <v>155</v>
      </c>
      <c r="J22" s="2" t="s">
        <v>33</v>
      </c>
      <c r="K22" s="2">
        <v>328.5</v>
      </c>
      <c r="L22" s="2">
        <v>15.5</v>
      </c>
      <c r="M22" s="2" t="s">
        <v>147</v>
      </c>
    </row>
    <row r="23" spans="1:14" x14ac:dyDescent="0.25">
      <c r="A23" s="2" t="s">
        <v>90</v>
      </c>
      <c r="B23" s="2" t="str">
        <f>CONCATENATE(A23,88)</f>
        <v>7U22W31EK9988</v>
      </c>
      <c r="C23" s="2" t="s">
        <v>145</v>
      </c>
      <c r="D23" s="2" t="s">
        <v>26</v>
      </c>
      <c r="E23" s="2" t="s">
        <v>38</v>
      </c>
      <c r="F23" s="3">
        <v>45748</v>
      </c>
      <c r="G23" s="3">
        <v>45748</v>
      </c>
      <c r="H23" s="2">
        <v>20411454</v>
      </c>
      <c r="I23" s="2" t="s">
        <v>155</v>
      </c>
      <c r="J23" s="2" t="s">
        <v>33</v>
      </c>
      <c r="K23" s="2">
        <v>328.5</v>
      </c>
      <c r="L23" s="2">
        <v>15.5</v>
      </c>
      <c r="M23" s="2" t="s">
        <v>147</v>
      </c>
    </row>
    <row r="24" spans="1:14" x14ac:dyDescent="0.25">
      <c r="A24" s="2" t="s">
        <v>74</v>
      </c>
      <c r="B24" s="2" t="str">
        <f>CONCATENATE(A24,88)</f>
        <v>8QW0CH7HE4888</v>
      </c>
      <c r="C24" s="2" t="s">
        <v>141</v>
      </c>
      <c r="D24" s="2" t="s">
        <v>76</v>
      </c>
      <c r="E24" s="2" t="s">
        <v>38</v>
      </c>
      <c r="F24" s="3">
        <v>45748</v>
      </c>
      <c r="G24" s="3">
        <v>45748</v>
      </c>
      <c r="H24" s="2">
        <v>20411454</v>
      </c>
      <c r="I24" s="2" t="s">
        <v>155</v>
      </c>
      <c r="J24" s="2" t="s">
        <v>33</v>
      </c>
      <c r="K24" s="2">
        <v>30</v>
      </c>
      <c r="L24" s="2">
        <v>30</v>
      </c>
      <c r="M24" s="2" t="s">
        <v>147</v>
      </c>
    </row>
    <row r="25" spans="1:14" x14ac:dyDescent="0.25">
      <c r="A25" s="2" t="s">
        <v>84</v>
      </c>
      <c r="B25" s="2" t="str">
        <f>CONCATENATE(A25,88)</f>
        <v>4F10WW1XY4888</v>
      </c>
      <c r="C25" s="2" t="s">
        <v>143</v>
      </c>
      <c r="D25" s="2" t="s">
        <v>76</v>
      </c>
      <c r="E25" s="2" t="s">
        <v>38</v>
      </c>
      <c r="F25" s="3">
        <v>45717</v>
      </c>
      <c r="G25" s="3">
        <v>45717</v>
      </c>
      <c r="H25" s="2">
        <v>20411454</v>
      </c>
      <c r="I25" s="2" t="s">
        <v>155</v>
      </c>
      <c r="J25" s="2" t="s">
        <v>33</v>
      </c>
      <c r="K25" s="2">
        <v>394.17</v>
      </c>
      <c r="L25" s="2">
        <v>41.17</v>
      </c>
      <c r="M25" s="2" t="s">
        <v>147</v>
      </c>
    </row>
    <row r="26" spans="1:14" x14ac:dyDescent="0.25">
      <c r="A26" s="2" t="s">
        <v>93</v>
      </c>
      <c r="B26" s="2" t="str">
        <f>CONCATENATE(A26,88)</f>
        <v>5DV2RF0XM0488</v>
      </c>
      <c r="C26" s="2" t="s">
        <v>146</v>
      </c>
      <c r="D26" s="2" t="s">
        <v>26</v>
      </c>
      <c r="E26" s="2" t="s">
        <v>38</v>
      </c>
      <c r="F26" s="3">
        <v>45658</v>
      </c>
      <c r="G26" s="3">
        <v>45658</v>
      </c>
      <c r="H26" s="2">
        <v>20411454</v>
      </c>
      <c r="I26" s="2" t="s">
        <v>155</v>
      </c>
      <c r="J26" s="2" t="s">
        <v>33</v>
      </c>
      <c r="K26" s="2">
        <v>73</v>
      </c>
      <c r="L26" s="2">
        <v>73</v>
      </c>
      <c r="M26" s="2" t="s">
        <v>147</v>
      </c>
    </row>
    <row r="27" spans="1:14" x14ac:dyDescent="0.25">
      <c r="A27" s="2" t="s">
        <v>63</v>
      </c>
      <c r="B27" s="2" t="str">
        <f>CONCATENATE(A27,88)</f>
        <v>6KV2J63JF0088</v>
      </c>
      <c r="C27" s="2" t="s">
        <v>138</v>
      </c>
      <c r="D27" s="2" t="s">
        <v>65</v>
      </c>
      <c r="E27" s="2" t="s">
        <v>38</v>
      </c>
      <c r="F27" s="3">
        <v>45778</v>
      </c>
      <c r="G27" s="3">
        <v>45778</v>
      </c>
      <c r="H27" s="2">
        <v>20411454</v>
      </c>
      <c r="I27" s="2" t="s">
        <v>155</v>
      </c>
      <c r="J27" s="2" t="s">
        <v>33</v>
      </c>
      <c r="K27" s="2">
        <v>292</v>
      </c>
      <c r="L27" s="2">
        <v>83.33</v>
      </c>
      <c r="M27" s="2" t="s">
        <v>147</v>
      </c>
    </row>
    <row r="28" spans="1:14" x14ac:dyDescent="0.25">
      <c r="A28" s="2" t="s">
        <v>57</v>
      </c>
      <c r="B28" s="2" t="str">
        <f>CONCATENATE(A28,8)</f>
        <v>8MK0PE0PD388</v>
      </c>
      <c r="C28" s="2" t="s">
        <v>137</v>
      </c>
      <c r="D28" s="2" t="s">
        <v>59</v>
      </c>
      <c r="E28" s="2" t="s">
        <v>38</v>
      </c>
      <c r="F28" s="3">
        <v>45748</v>
      </c>
      <c r="G28" s="3">
        <v>45748</v>
      </c>
      <c r="H28" s="2">
        <v>5442438</v>
      </c>
      <c r="I28" s="2" t="s">
        <v>62</v>
      </c>
      <c r="J28" s="2" t="s">
        <v>33</v>
      </c>
      <c r="K28" s="2">
        <v>324.75</v>
      </c>
      <c r="L28" s="2">
        <v>313</v>
      </c>
      <c r="M28" s="2" t="s">
        <v>148</v>
      </c>
      <c r="N28" s="2" t="s">
        <v>151</v>
      </c>
    </row>
    <row r="29" spans="1:14" x14ac:dyDescent="0.25">
      <c r="A29" s="2" t="s">
        <v>84</v>
      </c>
      <c r="B29" s="2" t="str">
        <f>CONCATENATE(A29,8)</f>
        <v>4F10WW1XY488</v>
      </c>
      <c r="C29" s="2" t="s">
        <v>143</v>
      </c>
      <c r="D29" s="2" t="s">
        <v>76</v>
      </c>
      <c r="E29" s="2" t="s">
        <v>38</v>
      </c>
      <c r="F29" s="3">
        <v>45717</v>
      </c>
      <c r="G29" s="3">
        <v>45717</v>
      </c>
      <c r="H29" s="2">
        <v>18710070</v>
      </c>
      <c r="I29" s="2" t="s">
        <v>87</v>
      </c>
      <c r="J29" s="2" t="s">
        <v>33</v>
      </c>
      <c r="K29" s="2">
        <v>394.17</v>
      </c>
      <c r="L29" s="2">
        <v>353</v>
      </c>
      <c r="M29" s="2" t="s">
        <v>150</v>
      </c>
      <c r="N29" s="2" t="s">
        <v>152</v>
      </c>
    </row>
    <row r="30" spans="1:14" x14ac:dyDescent="0.25">
      <c r="A30" s="2" t="s">
        <v>44</v>
      </c>
      <c r="B30" s="2" t="str">
        <f>CONCATENATE(A30,8)</f>
        <v>1K73QG2QC078</v>
      </c>
      <c r="C30" s="2" t="s">
        <v>134</v>
      </c>
      <c r="D30" s="2" t="s">
        <v>26</v>
      </c>
      <c r="E30" s="2" t="s">
        <v>38</v>
      </c>
      <c r="F30" s="3">
        <v>45748</v>
      </c>
      <c r="G30" s="3">
        <v>45748</v>
      </c>
      <c r="H30" s="2">
        <v>9213293</v>
      </c>
      <c r="I30" s="2" t="s">
        <v>47</v>
      </c>
      <c r="J30" s="2" t="s">
        <v>33</v>
      </c>
      <c r="K30" s="2">
        <v>328.5</v>
      </c>
      <c r="L30" s="2">
        <v>313</v>
      </c>
      <c r="M30" s="2" t="s">
        <v>148</v>
      </c>
      <c r="N30" s="2" t="s">
        <v>151</v>
      </c>
    </row>
    <row r="31" spans="1:14" x14ac:dyDescent="0.25">
      <c r="A31" s="2" t="s">
        <v>90</v>
      </c>
      <c r="B31" s="2" t="str">
        <f>CONCATENATE(A31,8)</f>
        <v>7U22W31EK998</v>
      </c>
      <c r="C31" s="2" t="s">
        <v>145</v>
      </c>
      <c r="D31" s="2" t="s">
        <v>26</v>
      </c>
      <c r="E31" s="2" t="s">
        <v>38</v>
      </c>
      <c r="F31" s="3">
        <v>45748</v>
      </c>
      <c r="G31" s="3">
        <v>45748</v>
      </c>
      <c r="H31" s="2">
        <v>19586992</v>
      </c>
      <c r="I31" s="2" t="s">
        <v>92</v>
      </c>
      <c r="J31" s="2" t="s">
        <v>33</v>
      </c>
      <c r="K31" s="2">
        <v>328.5</v>
      </c>
      <c r="L31" s="2">
        <v>313</v>
      </c>
      <c r="M31" s="2" t="s">
        <v>148</v>
      </c>
      <c r="N31" s="2" t="s">
        <v>151</v>
      </c>
    </row>
    <row r="32" spans="1:14" x14ac:dyDescent="0.25">
      <c r="A32" s="2" t="s">
        <v>93</v>
      </c>
      <c r="B32" s="2" t="str">
        <f>CONCATENATE(A32,8)</f>
        <v>5DV2RF0XM048</v>
      </c>
      <c r="C32" s="2" t="s">
        <v>146</v>
      </c>
      <c r="D32" s="2" t="s">
        <v>26</v>
      </c>
      <c r="E32" s="2" t="s">
        <v>38</v>
      </c>
      <c r="F32" s="3">
        <v>45658</v>
      </c>
      <c r="G32" s="3">
        <v>45658</v>
      </c>
      <c r="H32" s="2">
        <v>18935660</v>
      </c>
      <c r="I32" s="2" t="s">
        <v>97</v>
      </c>
      <c r="J32" s="2" t="s">
        <v>33</v>
      </c>
      <c r="K32" s="2">
        <v>-438</v>
      </c>
      <c r="L32" s="2">
        <v>-313</v>
      </c>
      <c r="M32" s="2" t="s">
        <v>148</v>
      </c>
      <c r="N32" s="2" t="s">
        <v>151</v>
      </c>
    </row>
    <row r="33" spans="1:14" x14ac:dyDescent="0.25">
      <c r="A33" s="2" t="s">
        <v>63</v>
      </c>
      <c r="B33" s="2" t="str">
        <f>CONCATENATE(A33,8)</f>
        <v>6KV2J63JF008</v>
      </c>
      <c r="C33" s="2" t="s">
        <v>138</v>
      </c>
      <c r="D33" s="2" t="s">
        <v>65</v>
      </c>
      <c r="E33" s="2" t="s">
        <v>38</v>
      </c>
      <c r="F33" s="3">
        <v>45778</v>
      </c>
      <c r="G33" s="3">
        <v>45778</v>
      </c>
      <c r="H33" s="2">
        <v>8307933</v>
      </c>
      <c r="I33" s="2" t="s">
        <v>68</v>
      </c>
      <c r="J33" s="2" t="s">
        <v>33</v>
      </c>
      <c r="K33" s="2">
        <v>292</v>
      </c>
      <c r="L33" s="2">
        <v>208.67</v>
      </c>
      <c r="M33" s="2" t="s">
        <v>148</v>
      </c>
      <c r="N33" s="2" t="s">
        <v>153</v>
      </c>
    </row>
  </sheetData>
  <sortState xmlns:xlrd2="http://schemas.microsoft.com/office/spreadsheetml/2017/richdata2" ref="A2:Y33">
    <sortCondition ref="I2:I33"/>
  </sortState>
  <pageMargins left="0.7" right="0.7" top="0.75" bottom="0.75" header="0.3" footer="0.3"/>
  <ignoredErrors>
    <ignoredError sqref="B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0490-E105-4F7E-AE33-45BAF023CC7E}">
  <dimension ref="A1:C17"/>
  <sheetViews>
    <sheetView workbookViewId="0">
      <selection activeCell="C1" sqref="C1:C17"/>
    </sheetView>
  </sheetViews>
  <sheetFormatPr defaultRowHeight="15" x14ac:dyDescent="0.25"/>
  <cols>
    <col min="3" max="3" width="20.5703125" bestFit="1" customWidth="1"/>
  </cols>
  <sheetData>
    <row r="1" spans="1:3" x14ac:dyDescent="0.25">
      <c r="A1" t="s">
        <v>100</v>
      </c>
      <c r="B1" t="s">
        <v>101</v>
      </c>
      <c r="C1" t="str">
        <f>CONCATENATE(B1, " ",A1)</f>
        <v>MICHAEL ADAMS</v>
      </c>
    </row>
    <row r="2" spans="1:3" x14ac:dyDescent="0.25">
      <c r="A2" t="s">
        <v>102</v>
      </c>
      <c r="B2" t="s">
        <v>103</v>
      </c>
      <c r="C2" t="str">
        <f t="shared" ref="C2:C17" si="0">CONCATENATE(B2, " ",A2)</f>
        <v>THOMAS CRUM</v>
      </c>
    </row>
    <row r="3" spans="1:3" x14ac:dyDescent="0.25">
      <c r="A3" t="s">
        <v>102</v>
      </c>
      <c r="B3" t="s">
        <v>104</v>
      </c>
      <c r="C3" t="str">
        <f t="shared" si="0"/>
        <v>PATRICIA CRUM</v>
      </c>
    </row>
    <row r="4" spans="1:3" x14ac:dyDescent="0.25">
      <c r="A4" t="s">
        <v>105</v>
      </c>
      <c r="B4" t="s">
        <v>106</v>
      </c>
      <c r="C4" t="str">
        <f t="shared" si="0"/>
        <v>MARY DELANO</v>
      </c>
    </row>
    <row r="5" spans="1:3" x14ac:dyDescent="0.25">
      <c r="A5" t="s">
        <v>130</v>
      </c>
      <c r="B5" t="s">
        <v>107</v>
      </c>
      <c r="C5" t="str">
        <f t="shared" si="0"/>
        <v>LAURA DI CICCO</v>
      </c>
    </row>
    <row r="6" spans="1:3" x14ac:dyDescent="0.25">
      <c r="A6" t="s">
        <v>108</v>
      </c>
      <c r="B6" t="s">
        <v>109</v>
      </c>
      <c r="C6" t="str">
        <f t="shared" si="0"/>
        <v>JAMES DRESSER</v>
      </c>
    </row>
    <row r="7" spans="1:3" x14ac:dyDescent="0.25">
      <c r="A7" t="s">
        <v>110</v>
      </c>
      <c r="B7" t="s">
        <v>111</v>
      </c>
      <c r="C7" t="str">
        <f t="shared" si="0"/>
        <v>YAZHOU FU</v>
      </c>
    </row>
    <row r="8" spans="1:3" x14ac:dyDescent="0.25">
      <c r="A8" t="s">
        <v>112</v>
      </c>
      <c r="B8" t="s">
        <v>113</v>
      </c>
      <c r="C8" t="str">
        <f t="shared" si="0"/>
        <v>SHARON GRAFE</v>
      </c>
    </row>
    <row r="9" spans="1:3" x14ac:dyDescent="0.25">
      <c r="A9" t="s">
        <v>114</v>
      </c>
      <c r="B9" t="s">
        <v>115</v>
      </c>
      <c r="C9" t="str">
        <f t="shared" si="0"/>
        <v>JULIE MCNEILL</v>
      </c>
    </row>
    <row r="10" spans="1:3" x14ac:dyDescent="0.25">
      <c r="A10" t="s">
        <v>116</v>
      </c>
      <c r="B10" t="s">
        <v>117</v>
      </c>
      <c r="C10" t="str">
        <f t="shared" si="0"/>
        <v>ADELINA PAMINTUAN</v>
      </c>
    </row>
    <row r="11" spans="1:3" x14ac:dyDescent="0.25">
      <c r="A11" t="s">
        <v>118</v>
      </c>
      <c r="B11" t="s">
        <v>119</v>
      </c>
      <c r="C11" t="str">
        <f t="shared" si="0"/>
        <v>DORINE PRITTS</v>
      </c>
    </row>
    <row r="12" spans="1:3" x14ac:dyDescent="0.25">
      <c r="A12" t="s">
        <v>120</v>
      </c>
      <c r="B12" t="s">
        <v>121</v>
      </c>
      <c r="C12" t="str">
        <f t="shared" si="0"/>
        <v>CAROLYN RANDLE</v>
      </c>
    </row>
    <row r="13" spans="1:3" x14ac:dyDescent="0.25">
      <c r="A13" t="s">
        <v>122</v>
      </c>
      <c r="B13" t="s">
        <v>123</v>
      </c>
      <c r="C13" t="str">
        <f t="shared" si="0"/>
        <v>BART SECHRIST</v>
      </c>
    </row>
    <row r="14" spans="1:3" x14ac:dyDescent="0.25">
      <c r="A14" t="s">
        <v>124</v>
      </c>
      <c r="B14" t="s">
        <v>125</v>
      </c>
      <c r="C14" t="str">
        <f t="shared" si="0"/>
        <v>VEENA SHAH</v>
      </c>
    </row>
    <row r="15" spans="1:3" x14ac:dyDescent="0.25">
      <c r="A15" t="s">
        <v>126</v>
      </c>
      <c r="B15" t="s">
        <v>127</v>
      </c>
      <c r="C15" t="str">
        <f t="shared" si="0"/>
        <v>KEVIN WATSON</v>
      </c>
    </row>
    <row r="16" spans="1:3" x14ac:dyDescent="0.25">
      <c r="A16" t="s">
        <v>128</v>
      </c>
      <c r="B16" t="s">
        <v>129</v>
      </c>
      <c r="C16" t="str">
        <f t="shared" si="0"/>
        <v>SHIRLEY WILLIAMS</v>
      </c>
    </row>
    <row r="17" spans="1:3" x14ac:dyDescent="0.25">
      <c r="A17" t="s">
        <v>128</v>
      </c>
      <c r="B17" t="s">
        <v>129</v>
      </c>
      <c r="C17" t="str">
        <f t="shared" si="0"/>
        <v>SHIRLEY WILLIAMS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2025-04-02T12:27:36Z</dcterms:created>
  <dcterms:modified xsi:type="dcterms:W3CDTF">2025-04-02T18:58:49Z</dcterms:modified>
</cp:coreProperties>
</file>