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1-12-25\"/>
    </mc:Choice>
  </mc:AlternateContent>
  <xr:revisionPtr revIDLastSave="0" documentId="13_ncr:1_{06279143-B51B-41BE-9E98-D3C7370D43CC}" xr6:coauthVersionLast="47" xr6:coauthVersionMax="47" xr10:uidLastSave="{00000000-0000-0000-0000-000000000000}"/>
  <bookViews>
    <workbookView xWindow="28680" yWindow="-120" windowWidth="29040" windowHeight="16440" activeTab="1" xr2:uid="{F0C80A76-BC11-4951-A61E-443BBA720E9A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17" i="2"/>
  <c r="B16" i="2"/>
  <c r="B15" i="2"/>
  <c r="B14" i="2"/>
  <c r="B13" i="2"/>
  <c r="E3" i="2"/>
  <c r="E4" i="2"/>
  <c r="E5" i="2"/>
  <c r="E6" i="2"/>
  <c r="E7" i="2"/>
  <c r="E8" i="2"/>
  <c r="E9" i="2"/>
  <c r="E10" i="2"/>
  <c r="E11" i="2"/>
  <c r="E17" i="2"/>
  <c r="E13" i="2"/>
  <c r="E18" i="2"/>
  <c r="E19" i="2"/>
  <c r="E14" i="2"/>
  <c r="E20" i="2"/>
  <c r="E15" i="2"/>
  <c r="E21" i="2"/>
  <c r="E16" i="2"/>
  <c r="E22" i="2"/>
  <c r="E2" i="2"/>
</calcChain>
</file>

<file path=xl/sharedStrings.xml><?xml version="1.0" encoding="utf-8"?>
<sst xmlns="http://schemas.openxmlformats.org/spreadsheetml/2006/main" count="389" uniqueCount="100">
  <si>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</si>
  <si>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</si>
  <si>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</si>
  <si>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</si>
  <si>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</si>
  <si>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</si>
  <si>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</si>
  <si>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</si>
  <si>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</si>
  <si>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</si>
  <si>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</si>
  <si>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</si>
  <si>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</si>
  <si>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</si>
  <si>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</si>
  <si>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</si>
  <si>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</si>
  <si>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</si>
  <si>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</si>
  <si>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</si>
  <si>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</si>
  <si>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</si>
  <si>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</si>
  <si>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</si>
  <si>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3GX6P07RW83</t>
  </si>
  <si>
    <t>NG102208192100</t>
  </si>
  <si>
    <t>COSS L,DEBRA</t>
  </si>
  <si>
    <t>PA</t>
  </si>
  <si>
    <t>New Business</t>
  </si>
  <si>
    <t>MAPD</t>
  </si>
  <si>
    <t>IMM608</t>
  </si>
  <si>
    <t>H3959-002</t>
  </si>
  <si>
    <t>LOA</t>
  </si>
  <si>
    <t>Powers, Timothy</t>
  </si>
  <si>
    <t>MMO</t>
  </si>
  <si>
    <t>Main Line Benefits LLC</t>
  </si>
  <si>
    <t xml:space="preserve">N  </t>
  </si>
  <si>
    <t>8Q44MA5WG68</t>
  </si>
  <si>
    <t>NG102205281200</t>
  </si>
  <si>
    <t>DELLAVECCHIA J,ANDREW</t>
  </si>
  <si>
    <t>Inskipt, Deborah</t>
  </si>
  <si>
    <t>2GW2T44GN96</t>
  </si>
  <si>
    <t>NG102205937300</t>
  </si>
  <si>
    <t>GANNON J,JAIME</t>
  </si>
  <si>
    <t>Smith, Margaret</t>
  </si>
  <si>
    <t>7UA4NW1FN99</t>
  </si>
  <si>
    <t>NG102207711900</t>
  </si>
  <si>
    <t>MARSICO M,JACQUELINE</t>
  </si>
  <si>
    <t>H5522-001</t>
  </si>
  <si>
    <t>OH9999999</t>
  </si>
  <si>
    <t>ME0000OH</t>
  </si>
  <si>
    <t>OHIO, JANE</t>
  </si>
  <si>
    <t>OH</t>
  </si>
  <si>
    <t>HRA</t>
  </si>
  <si>
    <t>PPO</t>
  </si>
  <si>
    <t>IMM617</t>
  </si>
  <si>
    <t>H5521-087</t>
  </si>
  <si>
    <t>HRA/V923I4272L/19491313/LYKINS_MARK</t>
  </si>
  <si>
    <t>MAIN LINE BENEFITS LLC</t>
  </si>
  <si>
    <t>N/A</t>
  </si>
  <si>
    <t>HRA/E381G6199H/19491313/MCENTIRE_CINDY</t>
  </si>
  <si>
    <t>HRA/E233X5629Y/19491313/SHAH_NEELA</t>
  </si>
  <si>
    <t>HRA/N513E7263W/19491313/SHAH_BIPIN</t>
  </si>
  <si>
    <t>HRA/O731U4641W/19491313/RIGSBY_VIOLET</t>
  </si>
  <si>
    <t>HRA/D556W6947Q/19491313/HOOKER_CANDY</t>
  </si>
  <si>
    <t>HRA/D653G7217Z/19491313/LEFEVER_CATHERINE</t>
  </si>
  <si>
    <t>HRA/B651F2292V/19491313/RICE_PEGGIE</t>
  </si>
  <si>
    <t>HRA/L327S1564Y/19491313/MYERS_JUDY</t>
  </si>
  <si>
    <t>HRA/Z725K3624N/19491313/LINDHURST_LARRY</t>
  </si>
  <si>
    <t>2PA4YR1GH85</t>
  </si>
  <si>
    <t>NG102208955700</t>
  </si>
  <si>
    <t>RYBURN R,ANDREW</t>
  </si>
  <si>
    <t>IL</t>
  </si>
  <si>
    <t>IMM619</t>
  </si>
  <si>
    <t>H7301-007</t>
  </si>
  <si>
    <t>DUNAVANT, MICHAEL</t>
  </si>
  <si>
    <t>3Q54VN2YW71</t>
  </si>
  <si>
    <t>NG102208897800</t>
  </si>
  <si>
    <t>WARD L,TERI</t>
  </si>
  <si>
    <t>Green, Danna</t>
  </si>
  <si>
    <t>Aetna MAPD OVR 2025</t>
  </si>
  <si>
    <t>Aetna 2025 CT, PA, DC*</t>
  </si>
  <si>
    <t>Aetna MAPD 2025*</t>
  </si>
  <si>
    <t>[%/$=353][prorate=1/12]</t>
  </si>
  <si>
    <t>[%/$=313][prorate=2/12]</t>
  </si>
  <si>
    <t>17528908N</t>
  </si>
  <si>
    <t>Main Line Benefits</t>
  </si>
  <si>
    <t>OHIO</t>
  </si>
  <si>
    <t>JANE</t>
  </si>
  <si>
    <t>COSS</t>
  </si>
  <si>
    <t>DEBRA</t>
  </si>
  <si>
    <t>DELLAVECCHIA</t>
  </si>
  <si>
    <t>ANDREW</t>
  </si>
  <si>
    <t>GANNON</t>
  </si>
  <si>
    <t>JAIME</t>
  </si>
  <si>
    <t>MARSICO</t>
  </si>
  <si>
    <t>JACQUELINE</t>
  </si>
  <si>
    <t>RYBURN</t>
  </si>
  <si>
    <t>WARD</t>
  </si>
  <si>
    <t>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</si>
</sst>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AEBDF-EF5F-45BC-9586-752CAF435C6B}">
  <dimension ref="A1:X32"/>
  <sheetViews>
    <sheetView topLeftCell="H1" workbookViewId="0">
      <selection activeCell="H1" sqref="A1:XFD1048576"/>
    </sheetView>
  </sheetViews>
  <sheetFormatPr defaultRowHeight="15" x14ac:dyDescent="0.25"/>
  <cols>
    <col min="1" max="1" width="27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24.140625" bestFit="1" customWidth="1"/>
    <col min="6" max="6" width="13.7109375" bestFit="1" customWidth="1"/>
    <col min="7" max="7" width="25.140625" bestFit="1" customWidth="1"/>
    <col min="8" max="8" width="7.85546875" bestFit="1" customWidth="1"/>
    <col min="9" max="9" width="8" bestFit="1" customWidth="1"/>
    <col min="10" max="10" width="10" bestFit="1" customWidth="1"/>
    <col min="11" max="11" width="45.14062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0.4257812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45973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45992</v>
      </c>
      <c r="M2" s="1">
        <v>45992</v>
      </c>
      <c r="O2">
        <v>17886092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5.42</v>
      </c>
      <c r="V2" t="s">
        <v>36</v>
      </c>
      <c r="W2" s="1">
        <v>45953</v>
      </c>
      <c r="X2">
        <v>2025</v>
      </c>
    </row>
    <row r="3" spans="1:24" x14ac:dyDescent="0.25">
      <c r="A3" s="1">
        <v>45973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L3" s="1">
        <v>45992</v>
      </c>
      <c r="M3" s="1">
        <v>45992</v>
      </c>
      <c r="O3">
        <v>17528908</v>
      </c>
      <c r="P3" t="s">
        <v>32</v>
      </c>
      <c r="Q3" t="s">
        <v>40</v>
      </c>
      <c r="R3">
        <v>8192</v>
      </c>
      <c r="S3" t="s">
        <v>34</v>
      </c>
      <c r="T3" t="s">
        <v>35</v>
      </c>
      <c r="U3">
        <v>40.67</v>
      </c>
      <c r="V3" t="s">
        <v>36</v>
      </c>
      <c r="W3" s="1">
        <v>45951</v>
      </c>
      <c r="X3">
        <v>2025</v>
      </c>
    </row>
    <row r="4" spans="1:24" x14ac:dyDescent="0.25">
      <c r="A4" s="1">
        <v>45973</v>
      </c>
      <c r="B4" t="s">
        <v>41</v>
      </c>
      <c r="C4" t="s">
        <v>42</v>
      </c>
      <c r="E4" t="s">
        <v>43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L4" s="1">
        <v>45962</v>
      </c>
      <c r="M4" s="1">
        <v>45962</v>
      </c>
      <c r="O4">
        <v>20253958</v>
      </c>
      <c r="P4" t="s">
        <v>32</v>
      </c>
      <c r="Q4" t="s">
        <v>44</v>
      </c>
      <c r="R4">
        <v>8192</v>
      </c>
      <c r="S4" t="s">
        <v>34</v>
      </c>
      <c r="T4" t="s">
        <v>35</v>
      </c>
      <c r="U4">
        <v>10.83</v>
      </c>
      <c r="V4" t="s">
        <v>36</v>
      </c>
      <c r="W4" s="1">
        <v>45951</v>
      </c>
      <c r="X4">
        <v>2025</v>
      </c>
    </row>
    <row r="5" spans="1:24" x14ac:dyDescent="0.25">
      <c r="A5" s="1">
        <v>45973</v>
      </c>
      <c r="B5" t="s">
        <v>45</v>
      </c>
      <c r="C5" t="s">
        <v>46</v>
      </c>
      <c r="E5" t="s">
        <v>47</v>
      </c>
      <c r="F5" t="s">
        <v>27</v>
      </c>
      <c r="G5" t="s">
        <v>28</v>
      </c>
      <c r="H5" t="s">
        <v>29</v>
      </c>
      <c r="I5" t="s">
        <v>30</v>
      </c>
      <c r="J5" t="s">
        <v>48</v>
      </c>
      <c r="L5" s="1">
        <v>45992</v>
      </c>
      <c r="M5" s="1">
        <v>45992</v>
      </c>
      <c r="O5">
        <v>17528908</v>
      </c>
      <c r="P5" t="s">
        <v>32</v>
      </c>
      <c r="Q5" t="s">
        <v>40</v>
      </c>
      <c r="R5">
        <v>8192</v>
      </c>
      <c r="S5" t="s">
        <v>34</v>
      </c>
      <c r="T5" t="s">
        <v>35</v>
      </c>
      <c r="U5">
        <v>40.67</v>
      </c>
      <c r="V5" t="s">
        <v>36</v>
      </c>
      <c r="W5" s="1">
        <v>45953</v>
      </c>
      <c r="X5">
        <v>2025</v>
      </c>
    </row>
    <row r="6" spans="1:24" x14ac:dyDescent="0.25">
      <c r="A6" s="1">
        <v>45973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s="1">
        <v>45962</v>
      </c>
      <c r="M6" s="1">
        <v>44562</v>
      </c>
      <c r="R6">
        <v>8192</v>
      </c>
      <c r="T6" t="s">
        <v>58</v>
      </c>
      <c r="U6">
        <v>55</v>
      </c>
      <c r="V6" t="s">
        <v>59</v>
      </c>
      <c r="W6" s="1">
        <v>44501</v>
      </c>
      <c r="X6">
        <v>2025</v>
      </c>
    </row>
    <row r="7" spans="1:24" x14ac:dyDescent="0.25">
      <c r="A7" s="1">
        <v>45973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60</v>
      </c>
      <c r="L7" s="1">
        <v>45962</v>
      </c>
      <c r="M7" s="1">
        <v>44562</v>
      </c>
      <c r="R7">
        <v>8192</v>
      </c>
      <c r="T7" t="s">
        <v>58</v>
      </c>
      <c r="U7">
        <v>55</v>
      </c>
      <c r="V7" t="s">
        <v>59</v>
      </c>
      <c r="W7" s="1">
        <v>44501</v>
      </c>
      <c r="X7">
        <v>2025</v>
      </c>
    </row>
    <row r="8" spans="1:24" x14ac:dyDescent="0.25">
      <c r="A8" s="1">
        <v>45973</v>
      </c>
      <c r="B8" t="s">
        <v>49</v>
      </c>
      <c r="C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61</v>
      </c>
      <c r="L8" s="1">
        <v>45962</v>
      </c>
      <c r="M8" s="1">
        <v>44562</v>
      </c>
      <c r="R8">
        <v>8192</v>
      </c>
      <c r="T8" t="s">
        <v>58</v>
      </c>
      <c r="U8">
        <v>55</v>
      </c>
      <c r="V8" t="s">
        <v>59</v>
      </c>
      <c r="W8" s="1">
        <v>44501</v>
      </c>
      <c r="X8">
        <v>2025</v>
      </c>
    </row>
    <row r="9" spans="1:24" x14ac:dyDescent="0.25">
      <c r="A9" s="1">
        <v>45973</v>
      </c>
      <c r="B9" t="s">
        <v>49</v>
      </c>
      <c r="C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62</v>
      </c>
      <c r="L9" s="1">
        <v>45962</v>
      </c>
      <c r="M9" s="1">
        <v>44562</v>
      </c>
      <c r="R9">
        <v>8192</v>
      </c>
      <c r="T9" t="s">
        <v>58</v>
      </c>
      <c r="U9">
        <v>55</v>
      </c>
      <c r="V9" t="s">
        <v>59</v>
      </c>
      <c r="W9" s="1">
        <v>44501</v>
      </c>
      <c r="X9">
        <v>2025</v>
      </c>
    </row>
    <row r="10" spans="1:24" x14ac:dyDescent="0.25">
      <c r="A10" s="1">
        <v>45973</v>
      </c>
      <c r="B10" t="s">
        <v>49</v>
      </c>
      <c r="C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63</v>
      </c>
      <c r="L10" s="1">
        <v>45962</v>
      </c>
      <c r="M10" s="1">
        <v>44562</v>
      </c>
      <c r="R10">
        <v>8192</v>
      </c>
      <c r="T10" t="s">
        <v>58</v>
      </c>
      <c r="U10">
        <v>55</v>
      </c>
      <c r="V10" t="s">
        <v>59</v>
      </c>
      <c r="W10" s="1">
        <v>44501</v>
      </c>
      <c r="X10">
        <v>2025</v>
      </c>
    </row>
    <row r="11" spans="1:24" x14ac:dyDescent="0.25">
      <c r="A11" s="1">
        <v>45973</v>
      </c>
      <c r="B11" t="s">
        <v>49</v>
      </c>
      <c r="C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64</v>
      </c>
      <c r="L11" s="1">
        <v>45962</v>
      </c>
      <c r="M11" s="1">
        <v>44562</v>
      </c>
      <c r="R11">
        <v>8192</v>
      </c>
      <c r="T11" t="s">
        <v>58</v>
      </c>
      <c r="U11">
        <v>55</v>
      </c>
      <c r="V11" t="s">
        <v>59</v>
      </c>
      <c r="W11" s="1">
        <v>44501</v>
      </c>
      <c r="X11">
        <v>2025</v>
      </c>
    </row>
    <row r="12" spans="1:24" x14ac:dyDescent="0.25">
      <c r="A12" s="1">
        <v>45973</v>
      </c>
      <c r="B12" t="s">
        <v>49</v>
      </c>
      <c r="C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65</v>
      </c>
      <c r="L12" s="1">
        <v>45962</v>
      </c>
      <c r="M12" s="1">
        <v>44562</v>
      </c>
      <c r="R12">
        <v>8192</v>
      </c>
      <c r="T12" t="s">
        <v>58</v>
      </c>
      <c r="U12">
        <v>55</v>
      </c>
      <c r="V12" t="s">
        <v>59</v>
      </c>
      <c r="W12" s="1">
        <v>44501</v>
      </c>
      <c r="X12">
        <v>2025</v>
      </c>
    </row>
    <row r="13" spans="1:24" x14ac:dyDescent="0.25">
      <c r="A13" s="1">
        <v>45973</v>
      </c>
      <c r="B13" t="s">
        <v>49</v>
      </c>
      <c r="C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66</v>
      </c>
      <c r="L13" s="1">
        <v>45962</v>
      </c>
      <c r="M13" s="1">
        <v>44562</v>
      </c>
      <c r="R13">
        <v>8192</v>
      </c>
      <c r="T13" t="s">
        <v>58</v>
      </c>
      <c r="U13">
        <v>55</v>
      </c>
      <c r="V13" t="s">
        <v>59</v>
      </c>
      <c r="W13" s="1">
        <v>44501</v>
      </c>
      <c r="X13">
        <v>2025</v>
      </c>
    </row>
    <row r="14" spans="1:24" x14ac:dyDescent="0.25">
      <c r="A14" s="1">
        <v>45973</v>
      </c>
      <c r="B14" t="s">
        <v>49</v>
      </c>
      <c r="C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67</v>
      </c>
      <c r="L14" s="1">
        <v>45962</v>
      </c>
      <c r="M14" s="1">
        <v>44562</v>
      </c>
      <c r="R14">
        <v>8192</v>
      </c>
      <c r="T14" t="s">
        <v>58</v>
      </c>
      <c r="U14">
        <v>55</v>
      </c>
      <c r="V14" t="s">
        <v>59</v>
      </c>
      <c r="W14" s="1">
        <v>44501</v>
      </c>
      <c r="X14">
        <v>2025</v>
      </c>
    </row>
    <row r="15" spans="1:24" x14ac:dyDescent="0.25">
      <c r="A15" s="1">
        <v>45973</v>
      </c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68</v>
      </c>
      <c r="L15" s="1">
        <v>45962</v>
      </c>
      <c r="M15" s="1">
        <v>44562</v>
      </c>
      <c r="R15">
        <v>8192</v>
      </c>
      <c r="T15" t="s">
        <v>58</v>
      </c>
      <c r="U15">
        <v>55</v>
      </c>
      <c r="V15" t="s">
        <v>59</v>
      </c>
      <c r="W15" s="1">
        <v>44501</v>
      </c>
      <c r="X15">
        <v>2025</v>
      </c>
    </row>
    <row r="16" spans="1:24" x14ac:dyDescent="0.25">
      <c r="A16" s="1">
        <v>45973</v>
      </c>
      <c r="B16" t="s">
        <v>69</v>
      </c>
      <c r="C16" t="s">
        <v>70</v>
      </c>
      <c r="E16" t="s">
        <v>71</v>
      </c>
      <c r="F16" t="s">
        <v>72</v>
      </c>
      <c r="G16" t="s">
        <v>28</v>
      </c>
      <c r="H16" t="s">
        <v>29</v>
      </c>
      <c r="I16" t="s">
        <v>73</v>
      </c>
      <c r="J16" t="s">
        <v>74</v>
      </c>
      <c r="L16" s="1">
        <v>45962</v>
      </c>
      <c r="M16" s="1">
        <v>45962</v>
      </c>
      <c r="O16">
        <v>18828278</v>
      </c>
      <c r="P16" t="s">
        <v>32</v>
      </c>
      <c r="Q16" t="s">
        <v>75</v>
      </c>
      <c r="R16">
        <v>8192</v>
      </c>
      <c r="S16" t="s">
        <v>34</v>
      </c>
      <c r="T16" t="s">
        <v>35</v>
      </c>
      <c r="U16">
        <v>74.67</v>
      </c>
      <c r="V16" t="s">
        <v>36</v>
      </c>
      <c r="W16" s="1">
        <v>45954</v>
      </c>
      <c r="X16">
        <v>2025</v>
      </c>
    </row>
    <row r="17" spans="1:24" x14ac:dyDescent="0.25">
      <c r="A17" s="1">
        <v>45973</v>
      </c>
      <c r="B17" t="s">
        <v>76</v>
      </c>
      <c r="C17" t="s">
        <v>77</v>
      </c>
      <c r="E17" t="s">
        <v>78</v>
      </c>
      <c r="F17" t="s">
        <v>72</v>
      </c>
      <c r="G17" t="s">
        <v>28</v>
      </c>
      <c r="H17" t="s">
        <v>29</v>
      </c>
      <c r="I17" t="s">
        <v>73</v>
      </c>
      <c r="J17" t="s">
        <v>74</v>
      </c>
      <c r="L17" s="1">
        <v>45962</v>
      </c>
      <c r="M17" s="1">
        <v>45962</v>
      </c>
      <c r="O17">
        <v>16849453</v>
      </c>
      <c r="P17" t="s">
        <v>32</v>
      </c>
      <c r="Q17" t="s">
        <v>79</v>
      </c>
      <c r="R17">
        <v>8192</v>
      </c>
      <c r="S17" t="s">
        <v>34</v>
      </c>
      <c r="T17" t="s">
        <v>35</v>
      </c>
      <c r="U17">
        <v>77.17</v>
      </c>
      <c r="V17" t="s">
        <v>36</v>
      </c>
      <c r="W17" s="1">
        <v>45954</v>
      </c>
      <c r="X17">
        <v>2025</v>
      </c>
    </row>
    <row r="18" spans="1:24" x14ac:dyDescent="0.25">
      <c r="A18" s="1"/>
      <c r="L18" s="1"/>
      <c r="M18" s="1"/>
      <c r="N18" s="1"/>
      <c r="W18" s="1"/>
    </row>
    <row r="19" spans="1:24" x14ac:dyDescent="0.25">
      <c r="A19" s="1"/>
      <c r="L19" s="1"/>
      <c r="M19" s="1"/>
      <c r="N19" s="1"/>
      <c r="W19" s="1"/>
    </row>
    <row r="20" spans="1:24" x14ac:dyDescent="0.25">
      <c r="A20" s="1"/>
      <c r="L20" s="1"/>
      <c r="M20" s="1"/>
      <c r="N20" s="1"/>
      <c r="W20" s="1"/>
    </row>
    <row r="21" spans="1:24" x14ac:dyDescent="0.25">
      <c r="A21" s="1"/>
      <c r="L21" s="1"/>
      <c r="M21" s="1"/>
      <c r="N21" s="1"/>
      <c r="W21" s="1"/>
    </row>
    <row r="22" spans="1:24" x14ac:dyDescent="0.25">
      <c r="A22" s="1"/>
      <c r="L22" s="1"/>
      <c r="M22" s="1"/>
      <c r="W22" s="1"/>
    </row>
    <row r="23" spans="1:24" x14ac:dyDescent="0.25">
      <c r="A23" s="1"/>
      <c r="L23" s="1"/>
      <c r="M23" s="1"/>
      <c r="N23" s="1"/>
      <c r="W23" s="1"/>
    </row>
    <row r="24" spans="1:24" x14ac:dyDescent="0.25">
      <c r="A24" s="1"/>
      <c r="L24" s="1"/>
      <c r="M24" s="1"/>
      <c r="W24" s="1"/>
    </row>
    <row r="25" spans="1:24" x14ac:dyDescent="0.25">
      <c r="A25" s="1"/>
      <c r="L25" s="1"/>
      <c r="M25" s="1"/>
      <c r="N25" s="1"/>
      <c r="W25" s="1"/>
    </row>
    <row r="26" spans="1:24" x14ac:dyDescent="0.25">
      <c r="A26" s="1"/>
      <c r="L26" s="1"/>
      <c r="M26" s="1"/>
      <c r="N26" s="1"/>
      <c r="W26" s="1"/>
    </row>
    <row r="27" spans="1:24" x14ac:dyDescent="0.25">
      <c r="A27" s="1"/>
      <c r="L27" s="1"/>
      <c r="M27" s="1"/>
      <c r="W27" s="1"/>
    </row>
    <row r="28" spans="1:24" x14ac:dyDescent="0.25">
      <c r="A28" s="1"/>
      <c r="L28" s="1"/>
      <c r="M28" s="1"/>
      <c r="W28" s="1"/>
    </row>
    <row r="29" spans="1:24" x14ac:dyDescent="0.25">
      <c r="A29" s="1"/>
      <c r="L29" s="1"/>
      <c r="M29" s="1"/>
      <c r="W29" s="1"/>
    </row>
    <row r="30" spans="1:24" x14ac:dyDescent="0.25">
      <c r="A30" s="1"/>
      <c r="L30" s="1"/>
      <c r="M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7A2C-A87C-4D3C-875C-E7A37AEF8122}">
  <dimension ref="A1:AC37"/>
  <sheetViews>
    <sheetView tabSelected="1" topLeftCell="G1" workbookViewId="0">
      <selection activeCell="N2" sqref="N2:N11"/>
    </sheetView>
  </sheetViews>
  <sheetFormatPr defaultRowHeight="15" x14ac:dyDescent="0.25"/>
  <cols>
    <col min="1" max="1" width="17.28515625" bestFit="1" customWidth="1"/>
    <col min="2" max="2" width="18.7109375" bestFit="1" customWidth="1"/>
    <col min="3" max="3" width="16.28515625" customWidth="1"/>
    <col min="4" max="4" width="16.5703125" customWidth="1"/>
    <col min="5" max="5" width="24.140625" customWidth="1"/>
    <col min="6" max="6" width="5.5703125" customWidth="1"/>
    <col min="7" max="7" width="13" customWidth="1"/>
    <col min="8" max="8" width="7.85546875" bestFit="1" customWidth="1"/>
    <col min="9" max="9" width="42.42578125" customWidth="1"/>
    <col min="10" max="10" width="13.5703125" bestFit="1" customWidth="1"/>
    <col min="11" max="11" width="9.28515625" style="4" customWidth="1"/>
    <col min="12" max="12" width="9.28515625" customWidth="1"/>
    <col min="13" max="13" width="14.5703125" customWidth="1"/>
    <col min="14" max="14" width="10.140625" customWidth="1"/>
    <col min="15" max="15" width="21.140625" bestFit="1" customWidth="1"/>
  </cols>
  <sheetData>
    <row r="1" spans="1:2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10</v>
      </c>
      <c r="J1" t="s">
        <v>12</v>
      </c>
      <c r="K1" s="4" t="s">
        <v>14</v>
      </c>
      <c r="L1" t="s">
        <v>15</v>
      </c>
      <c r="M1" t="s">
        <v>16</v>
      </c>
      <c r="N1" t="s">
        <v>20</v>
      </c>
    </row>
    <row r="2" spans="1:29" x14ac:dyDescent="0.25">
      <c r="A2" t="s">
        <v>49</v>
      </c>
      <c r="C2" t="s">
        <v>87</v>
      </c>
      <c r="D2" t="s">
        <v>88</v>
      </c>
      <c r="E2" t="str">
        <f>CONCATENATE(D2, " ",C2)</f>
        <v>JANE OHIO</v>
      </c>
      <c r="F2" t="s">
        <v>52</v>
      </c>
      <c r="G2" t="s">
        <v>53</v>
      </c>
      <c r="H2" t="s">
        <v>54</v>
      </c>
      <c r="I2" t="s">
        <v>57</v>
      </c>
      <c r="J2" s="1">
        <v>44562</v>
      </c>
      <c r="N2">
        <v>55</v>
      </c>
    </row>
    <row r="3" spans="1:29" x14ac:dyDescent="0.25">
      <c r="A3" t="s">
        <v>49</v>
      </c>
      <c r="C3" t="s">
        <v>87</v>
      </c>
      <c r="D3" t="s">
        <v>88</v>
      </c>
      <c r="E3" t="str">
        <f t="shared" ref="E3:E22" si="0">CONCATENATE(D3, " ",C3)</f>
        <v>JANE OHIO</v>
      </c>
      <c r="F3" t="s">
        <v>52</v>
      </c>
      <c r="G3" t="s">
        <v>53</v>
      </c>
      <c r="H3" t="s">
        <v>54</v>
      </c>
      <c r="I3" t="s">
        <v>60</v>
      </c>
      <c r="J3" s="1">
        <v>44562</v>
      </c>
      <c r="N3">
        <v>55</v>
      </c>
    </row>
    <row r="4" spans="1:29" x14ac:dyDescent="0.25">
      <c r="A4" t="s">
        <v>49</v>
      </c>
      <c r="C4" t="s">
        <v>87</v>
      </c>
      <c r="D4" t="s">
        <v>88</v>
      </c>
      <c r="E4" t="str">
        <f t="shared" si="0"/>
        <v>JANE OHIO</v>
      </c>
      <c r="F4" t="s">
        <v>52</v>
      </c>
      <c r="G4" t="s">
        <v>53</v>
      </c>
      <c r="H4" t="s">
        <v>54</v>
      </c>
      <c r="I4" t="s">
        <v>61</v>
      </c>
      <c r="J4" s="1">
        <v>44562</v>
      </c>
      <c r="N4">
        <v>55</v>
      </c>
    </row>
    <row r="5" spans="1:29" x14ac:dyDescent="0.25">
      <c r="A5" t="s">
        <v>49</v>
      </c>
      <c r="C5" t="s">
        <v>87</v>
      </c>
      <c r="D5" t="s">
        <v>88</v>
      </c>
      <c r="E5" t="str">
        <f t="shared" si="0"/>
        <v>JANE OHIO</v>
      </c>
      <c r="F5" t="s">
        <v>52</v>
      </c>
      <c r="G5" t="s">
        <v>53</v>
      </c>
      <c r="H5" t="s">
        <v>54</v>
      </c>
      <c r="I5" t="s">
        <v>62</v>
      </c>
      <c r="J5" s="1">
        <v>44562</v>
      </c>
      <c r="N5">
        <v>55</v>
      </c>
    </row>
    <row r="6" spans="1:29" x14ac:dyDescent="0.25">
      <c r="A6" t="s">
        <v>49</v>
      </c>
      <c r="C6" t="s">
        <v>87</v>
      </c>
      <c r="D6" t="s">
        <v>88</v>
      </c>
      <c r="E6" t="str">
        <f t="shared" si="0"/>
        <v>JANE OHIO</v>
      </c>
      <c r="F6" t="s">
        <v>52</v>
      </c>
      <c r="G6" t="s">
        <v>53</v>
      </c>
      <c r="H6" t="s">
        <v>54</v>
      </c>
      <c r="I6" t="s">
        <v>63</v>
      </c>
      <c r="J6" s="1">
        <v>44562</v>
      </c>
      <c r="N6">
        <v>55</v>
      </c>
    </row>
    <row r="7" spans="1:29" x14ac:dyDescent="0.25">
      <c r="A7" t="s">
        <v>49</v>
      </c>
      <c r="C7" t="s">
        <v>87</v>
      </c>
      <c r="D7" t="s">
        <v>88</v>
      </c>
      <c r="E7" t="str">
        <f t="shared" si="0"/>
        <v>JANE OHIO</v>
      </c>
      <c r="F7" t="s">
        <v>52</v>
      </c>
      <c r="G7" t="s">
        <v>53</v>
      </c>
      <c r="H7" t="s">
        <v>54</v>
      </c>
      <c r="I7" t="s">
        <v>64</v>
      </c>
      <c r="J7" s="1">
        <v>44562</v>
      </c>
      <c r="N7">
        <v>55</v>
      </c>
    </row>
    <row r="8" spans="1:29" x14ac:dyDescent="0.25">
      <c r="A8" t="s">
        <v>49</v>
      </c>
      <c r="C8" t="s">
        <v>87</v>
      </c>
      <c r="D8" t="s">
        <v>88</v>
      </c>
      <c r="E8" t="str">
        <f t="shared" si="0"/>
        <v>JANE OHIO</v>
      </c>
      <c r="F8" t="s">
        <v>52</v>
      </c>
      <c r="G8" t="s">
        <v>53</v>
      </c>
      <c r="H8" t="s">
        <v>54</v>
      </c>
      <c r="I8" t="s">
        <v>65</v>
      </c>
      <c r="J8" s="1">
        <v>44562</v>
      </c>
      <c r="N8">
        <v>55</v>
      </c>
    </row>
    <row r="9" spans="1:29" x14ac:dyDescent="0.25">
      <c r="A9" t="s">
        <v>49</v>
      </c>
      <c r="C9" t="s">
        <v>87</v>
      </c>
      <c r="D9" t="s">
        <v>88</v>
      </c>
      <c r="E9" t="str">
        <f t="shared" si="0"/>
        <v>JANE OHIO</v>
      </c>
      <c r="F9" t="s">
        <v>52</v>
      </c>
      <c r="G9" t="s">
        <v>53</v>
      </c>
      <c r="H9" t="s">
        <v>54</v>
      </c>
      <c r="I9" t="s">
        <v>66</v>
      </c>
      <c r="J9" s="1">
        <v>44562</v>
      </c>
      <c r="N9">
        <v>55</v>
      </c>
    </row>
    <row r="10" spans="1:29" x14ac:dyDescent="0.25">
      <c r="A10" t="s">
        <v>49</v>
      </c>
      <c r="C10" t="s">
        <v>87</v>
      </c>
      <c r="D10" t="s">
        <v>88</v>
      </c>
      <c r="E10" t="str">
        <f t="shared" si="0"/>
        <v>JANE OHIO</v>
      </c>
      <c r="F10" t="s">
        <v>52</v>
      </c>
      <c r="G10" t="s">
        <v>53</v>
      </c>
      <c r="H10" t="s">
        <v>54</v>
      </c>
      <c r="I10" t="s">
        <v>67</v>
      </c>
      <c r="J10" s="1">
        <v>44562</v>
      </c>
      <c r="N10">
        <v>55</v>
      </c>
    </row>
    <row r="11" spans="1:29" x14ac:dyDescent="0.25">
      <c r="A11" t="s">
        <v>49</v>
      </c>
      <c r="C11" t="s">
        <v>87</v>
      </c>
      <c r="D11" t="s">
        <v>88</v>
      </c>
      <c r="E11" t="str">
        <f t="shared" si="0"/>
        <v>JANE OHIO</v>
      </c>
      <c r="F11" t="s">
        <v>52</v>
      </c>
      <c r="G11" t="s">
        <v>53</v>
      </c>
      <c r="H11" t="s">
        <v>54</v>
      </c>
      <c r="I11" t="s">
        <v>68</v>
      </c>
      <c r="J11" s="1">
        <v>44562</v>
      </c>
      <c r="N11">
        <v>55</v>
      </c>
    </row>
    <row r="12" spans="1:29" x14ac:dyDescent="0.25">
      <c r="J12" s="1"/>
    </row>
    <row r="13" spans="1:29" x14ac:dyDescent="0.25">
      <c r="A13" s="2" t="s">
        <v>37</v>
      </c>
      <c r="B13" s="2" t="str">
        <f>CONCATENATE(A13,8)</f>
        <v>8Q44MA5WG688</v>
      </c>
      <c r="C13" s="2" t="s">
        <v>91</v>
      </c>
      <c r="D13" s="2" t="s">
        <v>92</v>
      </c>
      <c r="E13" t="str">
        <f>CONCATENATE(D13, " ",C13)</f>
        <v>ANDREW DELLAVECCHIA</v>
      </c>
      <c r="F13" s="2" t="s">
        <v>27</v>
      </c>
      <c r="G13" s="2" t="s">
        <v>28</v>
      </c>
      <c r="H13" s="2" t="s">
        <v>29</v>
      </c>
      <c r="I13" s="2"/>
      <c r="J13" s="3">
        <v>45992</v>
      </c>
      <c r="K13" s="5" t="s">
        <v>85</v>
      </c>
      <c r="L13" s="2" t="s">
        <v>32</v>
      </c>
      <c r="M13" s="2" t="s">
        <v>40</v>
      </c>
      <c r="N13" s="2">
        <v>29.42</v>
      </c>
      <c r="O13" s="2" t="s">
        <v>81</v>
      </c>
      <c r="P13" s="2" t="s">
        <v>83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s="2" customFormat="1" x14ac:dyDescent="0.25">
      <c r="A14" s="2" t="s">
        <v>45</v>
      </c>
      <c r="B14" s="2" t="str">
        <f t="shared" ref="B14:B16" si="1">CONCATENATE(A14,8)</f>
        <v>7UA4NW1FN998</v>
      </c>
      <c r="C14" s="2" t="s">
        <v>95</v>
      </c>
      <c r="D14" s="2" t="s">
        <v>96</v>
      </c>
      <c r="E14" t="str">
        <f>CONCATENATE(D14, " ",C14)</f>
        <v>JACQUELINE MARSICO</v>
      </c>
      <c r="F14" s="2" t="s">
        <v>27</v>
      </c>
      <c r="G14" s="2" t="s">
        <v>28</v>
      </c>
      <c r="H14" s="2" t="s">
        <v>29</v>
      </c>
      <c r="J14" s="3">
        <v>45992</v>
      </c>
      <c r="K14" s="5" t="s">
        <v>85</v>
      </c>
      <c r="L14" s="2" t="s">
        <v>32</v>
      </c>
      <c r="M14" s="2" t="s">
        <v>40</v>
      </c>
      <c r="N14" s="2">
        <v>29.42</v>
      </c>
      <c r="O14" s="2" t="s">
        <v>81</v>
      </c>
      <c r="P14" s="2" t="s">
        <v>83</v>
      </c>
    </row>
    <row r="15" spans="1:29" s="2" customFormat="1" x14ac:dyDescent="0.25">
      <c r="A15" s="2" t="s">
        <v>69</v>
      </c>
      <c r="B15" s="2" t="str">
        <f t="shared" si="1"/>
        <v>2PA4YR1GH858</v>
      </c>
      <c r="C15" s="2" t="s">
        <v>97</v>
      </c>
      <c r="D15" s="2" t="s">
        <v>92</v>
      </c>
      <c r="E15" t="str">
        <f>CONCATENATE(D15, " ",C15)</f>
        <v>ANDREW RYBURN</v>
      </c>
      <c r="F15" s="2" t="s">
        <v>72</v>
      </c>
      <c r="G15" s="2" t="s">
        <v>28</v>
      </c>
      <c r="H15" s="2" t="s">
        <v>29</v>
      </c>
      <c r="J15" s="3">
        <v>45962</v>
      </c>
      <c r="K15" s="5">
        <v>18828278</v>
      </c>
      <c r="L15" s="2" t="s">
        <v>32</v>
      </c>
      <c r="M15" s="2" t="s">
        <v>75</v>
      </c>
      <c r="N15" s="2">
        <v>52.17</v>
      </c>
      <c r="O15" s="2" t="s">
        <v>82</v>
      </c>
      <c r="P15" s="2" t="s">
        <v>84</v>
      </c>
    </row>
    <row r="16" spans="1:29" s="2" customFormat="1" x14ac:dyDescent="0.25">
      <c r="A16" s="2" t="s">
        <v>76</v>
      </c>
      <c r="B16" s="2" t="str">
        <f t="shared" si="1"/>
        <v>3Q54VN2YW718</v>
      </c>
      <c r="C16" s="2" t="s">
        <v>98</v>
      </c>
      <c r="D16" s="2" t="s">
        <v>99</v>
      </c>
      <c r="E16" t="str">
        <f>CONCATENATE(D16, " ",C16)</f>
        <v>TERI WARD</v>
      </c>
      <c r="F16" s="2" t="s">
        <v>72</v>
      </c>
      <c r="G16" s="2" t="s">
        <v>28</v>
      </c>
      <c r="H16" s="2" t="s">
        <v>29</v>
      </c>
      <c r="J16" s="3">
        <v>45962</v>
      </c>
      <c r="K16" s="5">
        <v>16849453</v>
      </c>
      <c r="L16" s="2" t="s">
        <v>32</v>
      </c>
      <c r="M16" s="2" t="s">
        <v>79</v>
      </c>
      <c r="N16" s="2">
        <v>52.17</v>
      </c>
      <c r="O16" s="2" t="s">
        <v>82</v>
      </c>
      <c r="P16" s="2" t="s">
        <v>84</v>
      </c>
    </row>
    <row r="17" spans="1:29" s="2" customFormat="1" x14ac:dyDescent="0.25">
      <c r="A17" t="s">
        <v>24</v>
      </c>
      <c r="B17" s="2" t="str">
        <f>CONCATENATE(A17,"OVR")</f>
        <v>3GX6P07RW83OVR</v>
      </c>
      <c r="C17" t="s">
        <v>89</v>
      </c>
      <c r="D17" t="s">
        <v>90</v>
      </c>
      <c r="E17" t="str">
        <f>CONCATENATE(D17, " ",C17)</f>
        <v>DEBRA COSS</v>
      </c>
      <c r="F17" t="s">
        <v>27</v>
      </c>
      <c r="G17" t="s">
        <v>28</v>
      </c>
      <c r="H17" t="s">
        <v>29</v>
      </c>
      <c r="I17"/>
      <c r="J17" s="1">
        <v>45992</v>
      </c>
      <c r="K17" s="4">
        <v>20411454</v>
      </c>
      <c r="L17" t="s">
        <v>32</v>
      </c>
      <c r="M17" t="s">
        <v>86</v>
      </c>
      <c r="N17">
        <v>5.42</v>
      </c>
      <c r="O17" t="s">
        <v>80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2" customFormat="1" x14ac:dyDescent="0.25">
      <c r="A18" s="2" t="s">
        <v>37</v>
      </c>
      <c r="B18" s="2" t="str">
        <f t="shared" ref="B18:B22" si="2">CONCATENATE(A18,"OVR")</f>
        <v>8Q44MA5WG68OVR</v>
      </c>
      <c r="C18" s="2" t="s">
        <v>91</v>
      </c>
      <c r="D18" s="2" t="s">
        <v>92</v>
      </c>
      <c r="E18" t="str">
        <f>CONCATENATE(D18, " ",C18)</f>
        <v>ANDREW DELLAVECCHIA</v>
      </c>
      <c r="F18" s="2" t="s">
        <v>27</v>
      </c>
      <c r="G18" s="2" t="s">
        <v>28</v>
      </c>
      <c r="H18" s="2" t="s">
        <v>29</v>
      </c>
      <c r="J18" s="3">
        <v>45992</v>
      </c>
      <c r="K18" s="5">
        <v>20411454</v>
      </c>
      <c r="L18" s="2" t="s">
        <v>32</v>
      </c>
      <c r="M18" s="2" t="s">
        <v>86</v>
      </c>
      <c r="N18" s="2">
        <v>11.25</v>
      </c>
      <c r="O18" s="2" t="s">
        <v>80</v>
      </c>
    </row>
    <row r="19" spans="1:29" s="2" customFormat="1" x14ac:dyDescent="0.25">
      <c r="A19" s="2" t="s">
        <v>41</v>
      </c>
      <c r="B19" s="2" t="str">
        <f t="shared" si="2"/>
        <v>2GW2T44GN96OVR</v>
      </c>
      <c r="C19" s="2" t="s">
        <v>93</v>
      </c>
      <c r="D19" s="2" t="s">
        <v>94</v>
      </c>
      <c r="E19" t="str">
        <f>CONCATENATE(D19, " ",C19)</f>
        <v>JAIME GANNON</v>
      </c>
      <c r="F19" s="2" t="s">
        <v>27</v>
      </c>
      <c r="G19" s="2" t="s">
        <v>28</v>
      </c>
      <c r="H19" s="2" t="s">
        <v>29</v>
      </c>
      <c r="J19" s="3">
        <v>45962</v>
      </c>
      <c r="K19" s="5">
        <v>20411454</v>
      </c>
      <c r="L19" s="2" t="s">
        <v>32</v>
      </c>
      <c r="M19" s="2" t="s">
        <v>86</v>
      </c>
      <c r="N19" s="2">
        <v>10.83</v>
      </c>
      <c r="O19" s="2" t="s">
        <v>80</v>
      </c>
    </row>
    <row r="20" spans="1:29" s="2" customFormat="1" x14ac:dyDescent="0.25">
      <c r="A20" s="2" t="s">
        <v>45</v>
      </c>
      <c r="B20" s="2" t="str">
        <f t="shared" si="2"/>
        <v>7UA4NW1FN99OVR</v>
      </c>
      <c r="C20" s="2" t="s">
        <v>95</v>
      </c>
      <c r="D20" s="2" t="s">
        <v>96</v>
      </c>
      <c r="E20" t="str">
        <f>CONCATENATE(D20, " ",C20)</f>
        <v>JACQUELINE MARSICO</v>
      </c>
      <c r="F20" s="2" t="s">
        <v>27</v>
      </c>
      <c r="G20" s="2" t="s">
        <v>28</v>
      </c>
      <c r="H20" s="2" t="s">
        <v>29</v>
      </c>
      <c r="J20" s="3">
        <v>45992</v>
      </c>
      <c r="K20" s="5">
        <v>20411454</v>
      </c>
      <c r="L20" s="2" t="s">
        <v>32</v>
      </c>
      <c r="M20" s="2" t="s">
        <v>86</v>
      </c>
      <c r="N20" s="2">
        <v>11.25</v>
      </c>
      <c r="O20" s="2" t="s">
        <v>80</v>
      </c>
    </row>
    <row r="21" spans="1:29" s="2" customFormat="1" x14ac:dyDescent="0.25">
      <c r="A21" s="2" t="s">
        <v>69</v>
      </c>
      <c r="B21" s="2" t="str">
        <f t="shared" si="2"/>
        <v>2PA4YR1GH85OVR</v>
      </c>
      <c r="C21" s="2" t="s">
        <v>97</v>
      </c>
      <c r="D21" s="2" t="s">
        <v>92</v>
      </c>
      <c r="E21" t="str">
        <f>CONCATENATE(D21, " ",C21)</f>
        <v>ANDREW RYBURN</v>
      </c>
      <c r="F21" s="2" t="s">
        <v>72</v>
      </c>
      <c r="G21" s="2" t="s">
        <v>28</v>
      </c>
      <c r="H21" s="2" t="s">
        <v>29</v>
      </c>
      <c r="J21" s="3">
        <v>45962</v>
      </c>
      <c r="K21" s="5">
        <v>20411454</v>
      </c>
      <c r="L21" s="2" t="s">
        <v>32</v>
      </c>
      <c r="M21" s="2" t="s">
        <v>86</v>
      </c>
      <c r="N21" s="2">
        <v>22.5</v>
      </c>
      <c r="O21" s="2" t="s">
        <v>80</v>
      </c>
    </row>
    <row r="22" spans="1:29" s="2" customFormat="1" x14ac:dyDescent="0.25">
      <c r="A22" s="2" t="s">
        <v>76</v>
      </c>
      <c r="B22" s="2" t="str">
        <f t="shared" si="2"/>
        <v>3Q54VN2YW71OVR</v>
      </c>
      <c r="C22" s="2" t="s">
        <v>98</v>
      </c>
      <c r="D22" s="2" t="s">
        <v>99</v>
      </c>
      <c r="E22" t="str">
        <f>CONCATENATE(D22, " ",C22)</f>
        <v>TERI WARD</v>
      </c>
      <c r="F22" s="2" t="s">
        <v>72</v>
      </c>
      <c r="G22" s="2" t="s">
        <v>28</v>
      </c>
      <c r="H22" s="2" t="s">
        <v>29</v>
      </c>
      <c r="J22" s="3">
        <v>45962</v>
      </c>
      <c r="K22" s="5">
        <v>20411454</v>
      </c>
      <c r="L22" s="2" t="s">
        <v>32</v>
      </c>
      <c r="M22" s="2" t="s">
        <v>86</v>
      </c>
      <c r="N22" s="2">
        <v>25</v>
      </c>
      <c r="O22" s="2" t="s">
        <v>80</v>
      </c>
    </row>
    <row r="23" spans="1:29" x14ac:dyDescent="0.25">
      <c r="J23" s="1"/>
    </row>
    <row r="24" spans="1:29" x14ac:dyDescent="0.25">
      <c r="J24" s="1"/>
    </row>
    <row r="25" spans="1:29" x14ac:dyDescent="0.25">
      <c r="J25" s="1"/>
    </row>
    <row r="26" spans="1:29" x14ac:dyDescent="0.25">
      <c r="J26" s="1"/>
    </row>
    <row r="27" spans="1:29" x14ac:dyDescent="0.25">
      <c r="J27" s="1"/>
    </row>
    <row r="28" spans="1:29" x14ac:dyDescent="0.25">
      <c r="J28" s="1"/>
    </row>
    <row r="29" spans="1:29" x14ac:dyDescent="0.25">
      <c r="J29" s="1"/>
    </row>
    <row r="30" spans="1:29" x14ac:dyDescent="0.25">
      <c r="J30" s="1"/>
    </row>
    <row r="31" spans="1:29" x14ac:dyDescent="0.25">
      <c r="J31" s="1"/>
    </row>
    <row r="32" spans="1:29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</sheetData>
  <sortState xmlns:xlrd2="http://schemas.microsoft.com/office/spreadsheetml/2017/richdata2" ref="A13:AC22">
    <sortCondition ref="O13:O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2025-11-11T14:06:03Z</dcterms:created>
  <dcterms:modified xsi:type="dcterms:W3CDTF">2025-11-18T16:08:26Z</dcterms:modified>
</cp:coreProperties>
</file>