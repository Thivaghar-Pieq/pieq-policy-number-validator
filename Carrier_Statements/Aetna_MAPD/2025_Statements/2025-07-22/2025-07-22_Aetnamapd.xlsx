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7-22-25\"/>
    </mc:Choice>
  </mc:AlternateContent>
  <xr:revisionPtr revIDLastSave="0" documentId="13_ncr:1_{A396ED92-C42D-4B30-8599-74DFBEB266CC}" xr6:coauthVersionLast="47" xr6:coauthVersionMax="47" xr10:uidLastSave="{00000000-0000-0000-0000-000000000000}"/>
  <bookViews>
    <workbookView xWindow="28680" yWindow="-120" windowWidth="29040" windowHeight="16440" activeTab="1" xr2:uid="{32893632-E511-4E19-96A2-23E08BA713EB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2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43" i="2"/>
  <c r="B50" i="2"/>
  <c r="B58" i="2"/>
  <c r="B69" i="2"/>
  <c r="B46" i="2"/>
  <c r="B56" i="2"/>
  <c r="B67" i="2"/>
  <c r="B61" i="2"/>
  <c r="B53" i="2"/>
  <c r="B66" i="2"/>
  <c r="B45" i="2"/>
  <c r="B52" i="2"/>
  <c r="B55" i="2"/>
  <c r="B51" i="2"/>
  <c r="B65" i="2"/>
  <c r="B37" i="2"/>
  <c r="B49" i="2"/>
  <c r="B41" i="2"/>
  <c r="B42" i="2"/>
  <c r="B64" i="2"/>
  <c r="B48" i="2"/>
  <c r="B39" i="2"/>
  <c r="B59" i="2"/>
  <c r="B47" i="2"/>
  <c r="B38" i="2"/>
  <c r="B57" i="2"/>
  <c r="B44" i="2"/>
  <c r="B40" i="2"/>
  <c r="B60" i="2"/>
  <c r="B63" i="2"/>
  <c r="B62" i="2"/>
  <c r="B54" i="2"/>
  <c r="B68" i="2"/>
  <c r="B11" i="2"/>
  <c r="B10" i="2"/>
  <c r="B9" i="2"/>
  <c r="B12" i="2"/>
  <c r="B14" i="2"/>
  <c r="B8" i="2"/>
  <c r="B7" i="2"/>
  <c r="B26" i="2"/>
  <c r="B23" i="2"/>
  <c r="B19" i="2"/>
  <c r="B36" i="2"/>
  <c r="B22" i="2"/>
  <c r="B35" i="2"/>
  <c r="B25" i="2"/>
  <c r="B17" i="2"/>
  <c r="B34" i="2"/>
  <c r="B33" i="2"/>
  <c r="B21" i="2"/>
  <c r="B29" i="2"/>
  <c r="B16" i="2"/>
  <c r="B28" i="2"/>
  <c r="B24" i="2"/>
  <c r="B20" i="2"/>
  <c r="B27" i="2"/>
  <c r="B32" i="2"/>
  <c r="B18" i="2"/>
  <c r="B31" i="2"/>
  <c r="B15" i="2"/>
  <c r="B30" i="2"/>
  <c r="B4" i="2"/>
  <c r="B5" i="2"/>
  <c r="B6" i="2"/>
  <c r="B3" i="2"/>
  <c r="B2" i="2"/>
  <c r="B71" i="2"/>
  <c r="B13" i="2"/>
  <c r="B70" i="2"/>
</calcChain>
</file>

<file path=xl/sharedStrings.xml><?xml version="1.0" encoding="utf-8"?>
<sst xmlns="http://schemas.openxmlformats.org/spreadsheetml/2006/main" count="2327" uniqueCount="325">
  <si>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</si>
  <si>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</si>
  <si>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</si>
  <si>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</si>
  <si>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</si>
  <si>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</si>
  <si>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</si>
  <si>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</si>
  <si>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</si>
  <si>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</si>
  <si>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</si>
  <si>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</si>
  <si>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</si>
  <si>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</si>
  <si>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</si>
  <si>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</si>
  <si>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</si>
  <si>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</si>
  <si>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</si>
  <si>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</si>
  <si>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</si>
  <si>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</si>
  <si>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</si>
  <si>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</si>
  <si>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3XC4TV2XX88</t>
  </si>
  <si>
    <t>NG102180438800</t>
  </si>
  <si>
    <t>AGUAIZA A,MARIA</t>
  </si>
  <si>
    <t>IL</t>
  </si>
  <si>
    <t>CMS Trueup</t>
  </si>
  <si>
    <t>MAPD</t>
  </si>
  <si>
    <t>IMM606</t>
  </si>
  <si>
    <t>H7301-013</t>
  </si>
  <si>
    <t>LOA</t>
  </si>
  <si>
    <t>Herrera-Larsen, Esther</t>
  </si>
  <si>
    <t>GMO</t>
  </si>
  <si>
    <t>Main Line Benefits LLC</t>
  </si>
  <si>
    <t xml:space="preserve">Y  </t>
  </si>
  <si>
    <t>CMS Trueup reversal</t>
  </si>
  <si>
    <t xml:space="preserve">N  </t>
  </si>
  <si>
    <t>6U56RQ0HK62</t>
  </si>
  <si>
    <t>NG102183051300</t>
  </si>
  <si>
    <t>ANDRESKY E,CHARLOTTE</t>
  </si>
  <si>
    <t>NC</t>
  </si>
  <si>
    <t>New Business</t>
  </si>
  <si>
    <t>IMM609</t>
  </si>
  <si>
    <t>H3146-001</t>
  </si>
  <si>
    <t>Teipel, Gregory</t>
  </si>
  <si>
    <t>6TH1KW7KK33</t>
  </si>
  <si>
    <t>NG102180688400</t>
  </si>
  <si>
    <t>BURDI,CARMELLA</t>
  </si>
  <si>
    <t>H5521-086</t>
  </si>
  <si>
    <t>7G65G68TP85</t>
  </si>
  <si>
    <t>NG102177425000</t>
  </si>
  <si>
    <t>CAMPBELL A,CHARLES</t>
  </si>
  <si>
    <t>PA</t>
  </si>
  <si>
    <t>IMM608</t>
  </si>
  <si>
    <t>H5522-017</t>
  </si>
  <si>
    <t>Foley, Carol</t>
  </si>
  <si>
    <t>6JR9JF7KV40</t>
  </si>
  <si>
    <t>NG101476298900</t>
  </si>
  <si>
    <t>CHRISTY L,ROBERT</t>
  </si>
  <si>
    <t>Exception</t>
  </si>
  <si>
    <t>H3959-002</t>
  </si>
  <si>
    <t>Powers, Deborah</t>
  </si>
  <si>
    <t>7M88D22JJ54</t>
  </si>
  <si>
    <t>NG102179360200</t>
  </si>
  <si>
    <t>DAVIS L,ANGELA</t>
  </si>
  <si>
    <t>TAUGNER, CHRISTIAN</t>
  </si>
  <si>
    <t>8GQ8HN4QC22</t>
  </si>
  <si>
    <t>NG102180919900</t>
  </si>
  <si>
    <t>FARMER L,BECKY</t>
  </si>
  <si>
    <t>Smith, Margaret</t>
  </si>
  <si>
    <t>8H61U45EA95</t>
  </si>
  <si>
    <t>NG102175758100</t>
  </si>
  <si>
    <t>FISK G,DAVID</t>
  </si>
  <si>
    <t>MA</t>
  </si>
  <si>
    <t>H5521-286</t>
  </si>
  <si>
    <t>Portugal, Gary</t>
  </si>
  <si>
    <t>7HN4EC9CT73</t>
  </si>
  <si>
    <t>NG102179150500</t>
  </si>
  <si>
    <t>GARCIA,IGNACIO</t>
  </si>
  <si>
    <t>ABDUL, SAADIA</t>
  </si>
  <si>
    <t>8V25KH2HE83</t>
  </si>
  <si>
    <t>NG102178218100</t>
  </si>
  <si>
    <t>JAMOU Z,RIMOND</t>
  </si>
  <si>
    <t>HORN, JEFFREY</t>
  </si>
  <si>
    <t>1KH4E07DQ77</t>
  </si>
  <si>
    <t>NG102176759200</t>
  </si>
  <si>
    <t>MANGANELLO K,LISA</t>
  </si>
  <si>
    <t>H3959-001</t>
  </si>
  <si>
    <t>Inskipt, Deborah</t>
  </si>
  <si>
    <t>3T14Q39DH66</t>
  </si>
  <si>
    <t>NG102179947100</t>
  </si>
  <si>
    <t>MASCHMEYER A,WILLIAM</t>
  </si>
  <si>
    <t>WI</t>
  </si>
  <si>
    <t>H5521-388</t>
  </si>
  <si>
    <t>Liskovec, Frank</t>
  </si>
  <si>
    <t>5A25J34YC52</t>
  </si>
  <si>
    <t>NG102178491500</t>
  </si>
  <si>
    <t>MCGRATH P,JUNE</t>
  </si>
  <si>
    <t>H5522-022</t>
  </si>
  <si>
    <t>Stocker, Ryan</t>
  </si>
  <si>
    <t>4Y45CG3MK51</t>
  </si>
  <si>
    <t>NG102177233000</t>
  </si>
  <si>
    <t>MCMATH E,RENEE</t>
  </si>
  <si>
    <t>H1206-003</t>
  </si>
  <si>
    <t>8DC4GA0YU95</t>
  </si>
  <si>
    <t>NG102177116200</t>
  </si>
  <si>
    <t>MCROBERTS R,LOIS</t>
  </si>
  <si>
    <t>FL</t>
  </si>
  <si>
    <t>IMM604</t>
  </si>
  <si>
    <t>H5521-438</t>
  </si>
  <si>
    <t>Richter Peter</t>
  </si>
  <si>
    <t>PRONEW</t>
  </si>
  <si>
    <t>6KX3HM6HF91</t>
  </si>
  <si>
    <t>NG101117303700</t>
  </si>
  <si>
    <t>MIHELIC E,FRANK</t>
  </si>
  <si>
    <t>H3959-076</t>
  </si>
  <si>
    <t>9X78VN5CQ30</t>
  </si>
  <si>
    <t>NG102179506900</t>
  </si>
  <si>
    <t>MILLER D,MARK</t>
  </si>
  <si>
    <t>IN</t>
  </si>
  <si>
    <t>H5521-223</t>
  </si>
  <si>
    <t>Choi, Andrew</t>
  </si>
  <si>
    <t>5RM7QX4ME51</t>
  </si>
  <si>
    <t>NG102177466000</t>
  </si>
  <si>
    <t>MORRISON B,MICHAEL</t>
  </si>
  <si>
    <t>H7301-006</t>
  </si>
  <si>
    <t>Hunsberger, Anthony</t>
  </si>
  <si>
    <t>8KN0N08RN38</t>
  </si>
  <si>
    <t>NG102183195600</t>
  </si>
  <si>
    <t>NELSEN E,SHARON</t>
  </si>
  <si>
    <t>3XU1RY6QK32</t>
  </si>
  <si>
    <t>NG102124713700</t>
  </si>
  <si>
    <t>OBERLANDER,NANCY</t>
  </si>
  <si>
    <t>MN</t>
  </si>
  <si>
    <t>Pro-Rata Disenroll</t>
  </si>
  <si>
    <t>IMM611</t>
  </si>
  <si>
    <t>H3219-001</t>
  </si>
  <si>
    <t>Yale, Richard</t>
  </si>
  <si>
    <t>Pro-Rata Payment</t>
  </si>
  <si>
    <t>1D50TG0MC15</t>
  </si>
  <si>
    <t>NG102179372000</t>
  </si>
  <si>
    <t>OFFENHEISER W,BRENT</t>
  </si>
  <si>
    <t>Serio, Tom</t>
  </si>
  <si>
    <t>8EY1RU4FP00</t>
  </si>
  <si>
    <t>NG102177007300</t>
  </si>
  <si>
    <t>OLAH J,LOUIE</t>
  </si>
  <si>
    <t>5VW8EA9MD67</t>
  </si>
  <si>
    <t>NG102175052800</t>
  </si>
  <si>
    <t>PAVLICK GNAZZO A,VALERIE</t>
  </si>
  <si>
    <t>McCorkle, Michelle</t>
  </si>
  <si>
    <t>8QE7V25PV40</t>
  </si>
  <si>
    <t>NG102172618800</t>
  </si>
  <si>
    <t>PUCKETT A,GERALD</t>
  </si>
  <si>
    <t>H7301-002</t>
  </si>
  <si>
    <t>2CE0P67CF36</t>
  </si>
  <si>
    <t>NG102172611900</t>
  </si>
  <si>
    <t>QUESADA,DIANA</t>
  </si>
  <si>
    <t>1KU3GY1JK72</t>
  </si>
  <si>
    <t>NG102181527800</t>
  </si>
  <si>
    <t>RICHARDS K,ANGELA</t>
  </si>
  <si>
    <t>OH</t>
  </si>
  <si>
    <t>IMM617</t>
  </si>
  <si>
    <t>H0628-017</t>
  </si>
  <si>
    <t>Halsaver, Jennifer</t>
  </si>
  <si>
    <t>8XE2PP6YW09</t>
  </si>
  <si>
    <t>NG102177242000</t>
  </si>
  <si>
    <t>RIZZO A,MICHAEL</t>
  </si>
  <si>
    <t>KOZACHECK, ANNE MARIE</t>
  </si>
  <si>
    <t>5YM6UU4JC89</t>
  </si>
  <si>
    <t>NG102180643300</t>
  </si>
  <si>
    <t>ROWE L,LAURIE</t>
  </si>
  <si>
    <t>CO</t>
  </si>
  <si>
    <t>IMM610</t>
  </si>
  <si>
    <t>H5521-443</t>
  </si>
  <si>
    <t>Miller, Heather</t>
  </si>
  <si>
    <t>1K16V32QJ57</t>
  </si>
  <si>
    <t>NG102179510800</t>
  </si>
  <si>
    <t>SAXTON,DIANA</t>
  </si>
  <si>
    <t>H5522-001</t>
  </si>
  <si>
    <t>8GG6CP6VE77</t>
  </si>
  <si>
    <t>NG102177215600</t>
  </si>
  <si>
    <t>SCHMITZ J,LUANNA</t>
  </si>
  <si>
    <t>MO</t>
  </si>
  <si>
    <t>IMM607</t>
  </si>
  <si>
    <t>H1608-016</t>
  </si>
  <si>
    <t>4UY3E31HN70</t>
  </si>
  <si>
    <t>NG102178275700</t>
  </si>
  <si>
    <t>SMITH A,CYNTHIA</t>
  </si>
  <si>
    <t>H5521-403</t>
  </si>
  <si>
    <t>6JR0PQ6UX29</t>
  </si>
  <si>
    <t>NG102181196800</t>
  </si>
  <si>
    <t>SMITH K,DIANE</t>
  </si>
  <si>
    <t>7EY0DY5TT32</t>
  </si>
  <si>
    <t>NG102179509500</t>
  </si>
  <si>
    <t>SOMMER C,SUSAN</t>
  </si>
  <si>
    <t>TX</t>
  </si>
  <si>
    <t>IMM618</t>
  </si>
  <si>
    <t>H4523-001</t>
  </si>
  <si>
    <t>7J45NP1FT87</t>
  </si>
  <si>
    <t>NG101856887200</t>
  </si>
  <si>
    <t>SOYOYE B,BOLAJOKO</t>
  </si>
  <si>
    <t>Holyn, Dennis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</si>
  <si>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</si>
  <si>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</si>
  <si>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</si>
  <si>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</si>
  <si>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IMM401</t>
  </si>
  <si>
    <t>H5521-261</t>
  </si>
  <si>
    <t>4A27UX2XW50</t>
  </si>
  <si>
    <t>NG102179379000</t>
  </si>
  <si>
    <t>VARGAS,ANGELICA</t>
  </si>
  <si>
    <t>7Y26YM3AJ30</t>
  </si>
  <si>
    <t>NG101696815200</t>
  </si>
  <si>
    <t>VIDIC L,CATHLEEN</t>
  </si>
  <si>
    <t>H3959-011</t>
  </si>
  <si>
    <t>3NX3PA5YC98</t>
  </si>
  <si>
    <t>NG102179152300</t>
  </si>
  <si>
    <t>WARF G,CAROLYN</t>
  </si>
  <si>
    <t>7W25G55WT55</t>
  </si>
  <si>
    <t>NG102182536000</t>
  </si>
  <si>
    <t>WILLOCKS I,CHERYL</t>
  </si>
  <si>
    <t>GA</t>
  </si>
  <si>
    <t>IMM605</t>
  </si>
  <si>
    <t>H5521-598</t>
  </si>
  <si>
    <t>Portugal, Stacey</t>
  </si>
  <si>
    <t>4X70YJ1XD18</t>
  </si>
  <si>
    <t>NG102176926900</t>
  </si>
  <si>
    <t>WYLLIE R,DEBRA</t>
  </si>
  <si>
    <t>H3931-153</t>
  </si>
  <si>
    <t>[%/$=313][prorate=12/12]</t>
  </si>
  <si>
    <t>Aetna MAPD 2025*</t>
  </si>
  <si>
    <t>[%/$=353][prorate=7/12]</t>
  </si>
  <si>
    <t>Aetna 2025 CT, PA, DC*</t>
  </si>
  <si>
    <t>Aetna MAPD OVR 2025</t>
  </si>
  <si>
    <t>[%/$=313][prorate=7/12]</t>
  </si>
  <si>
    <t>[%/$=353][prorate=6/12]</t>
  </si>
  <si>
    <t>[%/$=313][prorate=6/12]</t>
  </si>
  <si>
    <t>[%/$=313][prorate=5/12]</t>
  </si>
  <si>
    <t>[%/$=313][prorate=4/12]</t>
  </si>
  <si>
    <t>[%/$=313][prorate=3/12]</t>
  </si>
  <si>
    <t>[%/$=353][prorate=12/12]</t>
  </si>
  <si>
    <t>Aetna MAPD 2025</t>
  </si>
  <si>
    <t>[%/$=626]</t>
  </si>
  <si>
    <t>Aetna 2025 CT, PA, DC</t>
  </si>
  <si>
    <t>[%/$=705]</t>
  </si>
  <si>
    <t>Main Line Benefits</t>
  </si>
  <si>
    <t>17528908N</t>
  </si>
  <si>
    <t>CAMPBELL</t>
  </si>
  <si>
    <t>CHARLES</t>
  </si>
  <si>
    <t>MANGANELLO</t>
  </si>
  <si>
    <t>LISA</t>
  </si>
  <si>
    <t>RIZZO</t>
  </si>
  <si>
    <t>MICHAEL</t>
  </si>
  <si>
    <t>PAVLICK</t>
  </si>
  <si>
    <t>VALERIE</t>
  </si>
  <si>
    <t>MCGRATH</t>
  </si>
  <si>
    <t>JUNE</t>
  </si>
  <si>
    <t>SAXTON</t>
  </si>
  <si>
    <t>DIANA</t>
  </si>
  <si>
    <t>MIHELIC</t>
  </si>
  <si>
    <t>FRANK</t>
  </si>
  <si>
    <t>GARCIA</t>
  </si>
  <si>
    <t>IGNACIO</t>
  </si>
  <si>
    <t>MILLER</t>
  </si>
  <si>
    <t>MARK</t>
  </si>
  <si>
    <t>RICHARDS</t>
  </si>
  <si>
    <t>ANGELA</t>
  </si>
  <si>
    <t>AGUAIZA</t>
  </si>
  <si>
    <t>MARIA</t>
  </si>
  <si>
    <t>VARGAS</t>
  </si>
  <si>
    <t>ANGELICA</t>
  </si>
  <si>
    <t>JAMOU</t>
  </si>
  <si>
    <t>RIMOND</t>
  </si>
  <si>
    <t>OLAH</t>
  </si>
  <si>
    <t>LOUIE</t>
  </si>
  <si>
    <t>SMITH</t>
  </si>
  <si>
    <t>DIANE</t>
  </si>
  <si>
    <t>WARF</t>
  </si>
  <si>
    <t>CAROLYN</t>
  </si>
  <si>
    <t>MASCHMEYER</t>
  </si>
  <si>
    <t>WILLIAM</t>
  </si>
  <si>
    <t>ROWE</t>
  </si>
  <si>
    <t>LAURIE</t>
  </si>
  <si>
    <t>WYLLIE</t>
  </si>
  <si>
    <t>DEBRA</t>
  </si>
  <si>
    <t>FISK</t>
  </si>
  <si>
    <t>DAVID</t>
  </si>
  <si>
    <t>MCMATH</t>
  </si>
  <si>
    <t>RENEE</t>
  </si>
  <si>
    <t>OFFENHEISER</t>
  </si>
  <si>
    <t>BRENT</t>
  </si>
  <si>
    <t>DAVIS</t>
  </si>
  <si>
    <t>CYNTHIA</t>
  </si>
  <si>
    <t>BURDI</t>
  </si>
  <si>
    <t>CARMELLA</t>
  </si>
  <si>
    <t>PUCKETT</t>
  </si>
  <si>
    <t>GERALD</t>
  </si>
  <si>
    <t>QUESADA</t>
  </si>
  <si>
    <t>SCHMITZ</t>
  </si>
  <si>
    <t>LUANNA</t>
  </si>
  <si>
    <t>SOMMER</t>
  </si>
  <si>
    <t>SUSAN</t>
  </si>
  <si>
    <t>SOYOYE</t>
  </si>
  <si>
    <t>BOLAJOKO</t>
  </si>
  <si>
    <t>NELSEN</t>
  </si>
  <si>
    <t>SHARON</t>
  </si>
  <si>
    <t>MORRISON</t>
  </si>
  <si>
    <t>WILLOCKS</t>
  </si>
  <si>
    <t>CHERYL</t>
  </si>
  <si>
    <t>MCROBERTS</t>
  </si>
  <si>
    <t>LOIS</t>
  </si>
  <si>
    <t>ANDRESKY</t>
  </si>
  <si>
    <t>CHARLOTTE</t>
  </si>
  <si>
    <t>OBERLANDER</t>
  </si>
  <si>
    <t>NANCY</t>
  </si>
  <si>
    <t>FARMER</t>
  </si>
  <si>
    <t>BECKY</t>
  </si>
  <si>
    <t>CHRISTY</t>
  </si>
  <si>
    <t>ROBERT</t>
  </si>
  <si>
    <t>THORPE</t>
  </si>
  <si>
    <t>JOHN</t>
  </si>
  <si>
    <t>VIDIC</t>
  </si>
  <si>
    <t>CATHLEEN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</si>
</sst>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 applyFill="1"/>
    <xf numFmtId="1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C1D2-256A-4C80-9984-6B92CD6927CA}">
  <dimension ref="A1:X74"/>
  <sheetViews>
    <sheetView workbookViewId="0">
      <selection sqref="A1:XFD1048576"/>
    </sheetView>
  </sheetViews>
  <sheetFormatPr defaultRowHeight="15" x14ac:dyDescent="0.25"/>
  <cols>
    <col min="1" max="1" width="2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45860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45839</v>
      </c>
      <c r="M2" s="1">
        <v>45839</v>
      </c>
      <c r="O2">
        <v>17301495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751</v>
      </c>
      <c r="V2" t="s">
        <v>36</v>
      </c>
      <c r="W2" s="1">
        <v>45831</v>
      </c>
      <c r="X2">
        <v>2025</v>
      </c>
    </row>
    <row r="3" spans="1:24" x14ac:dyDescent="0.25">
      <c r="A3" s="1">
        <v>45860</v>
      </c>
      <c r="B3" t="s">
        <v>24</v>
      </c>
      <c r="C3" t="s">
        <v>25</v>
      </c>
      <c r="E3" t="s">
        <v>26</v>
      </c>
      <c r="F3" t="s">
        <v>27</v>
      </c>
      <c r="G3" t="s">
        <v>37</v>
      </c>
      <c r="H3" t="s">
        <v>29</v>
      </c>
      <c r="I3" t="s">
        <v>30</v>
      </c>
      <c r="J3" t="s">
        <v>31</v>
      </c>
      <c r="L3" s="1">
        <v>45839</v>
      </c>
      <c r="M3" s="1">
        <v>45839</v>
      </c>
      <c r="O3">
        <v>17301495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-219</v>
      </c>
      <c r="V3" t="s">
        <v>38</v>
      </c>
      <c r="W3" s="1">
        <v>45831</v>
      </c>
      <c r="X3">
        <v>2025</v>
      </c>
    </row>
    <row r="4" spans="1:24" x14ac:dyDescent="0.25">
      <c r="A4" s="1">
        <v>45860</v>
      </c>
      <c r="B4" t="s">
        <v>39</v>
      </c>
      <c r="C4" t="s">
        <v>40</v>
      </c>
      <c r="E4" t="s">
        <v>41</v>
      </c>
      <c r="F4" t="s">
        <v>42</v>
      </c>
      <c r="G4" t="s">
        <v>43</v>
      </c>
      <c r="H4" t="s">
        <v>29</v>
      </c>
      <c r="I4" t="s">
        <v>44</v>
      </c>
      <c r="J4" t="s">
        <v>45</v>
      </c>
      <c r="L4" s="1">
        <v>45931</v>
      </c>
      <c r="M4" s="1">
        <v>45931</v>
      </c>
      <c r="O4">
        <v>8307933</v>
      </c>
      <c r="P4" t="s">
        <v>32</v>
      </c>
      <c r="Q4" t="s">
        <v>46</v>
      </c>
      <c r="R4">
        <v>8192</v>
      </c>
      <c r="S4" t="s">
        <v>34</v>
      </c>
      <c r="T4" t="s">
        <v>35</v>
      </c>
      <c r="U4">
        <v>109.5</v>
      </c>
      <c r="V4" t="s">
        <v>38</v>
      </c>
      <c r="W4" s="1">
        <v>45845</v>
      </c>
      <c r="X4">
        <v>2025</v>
      </c>
    </row>
    <row r="5" spans="1:24" x14ac:dyDescent="0.25">
      <c r="A5" s="1">
        <v>45860</v>
      </c>
      <c r="B5" t="s">
        <v>47</v>
      </c>
      <c r="C5" t="s">
        <v>48</v>
      </c>
      <c r="E5" t="s">
        <v>49</v>
      </c>
      <c r="F5" t="s">
        <v>27</v>
      </c>
      <c r="G5" t="s">
        <v>37</v>
      </c>
      <c r="H5" t="s">
        <v>29</v>
      </c>
      <c r="I5" t="s">
        <v>30</v>
      </c>
      <c r="J5" t="s">
        <v>50</v>
      </c>
      <c r="L5" s="1">
        <v>45870</v>
      </c>
      <c r="M5" s="1">
        <v>45870</v>
      </c>
      <c r="O5">
        <v>8307933</v>
      </c>
      <c r="P5" t="s">
        <v>32</v>
      </c>
      <c r="Q5" t="s">
        <v>46</v>
      </c>
      <c r="R5">
        <v>8192</v>
      </c>
      <c r="S5" t="s">
        <v>34</v>
      </c>
      <c r="T5" t="s">
        <v>35</v>
      </c>
      <c r="U5">
        <v>-182.5</v>
      </c>
      <c r="V5" t="s">
        <v>38</v>
      </c>
      <c r="W5" s="1">
        <v>45832</v>
      </c>
      <c r="X5">
        <v>2025</v>
      </c>
    </row>
    <row r="6" spans="1:24" x14ac:dyDescent="0.25">
      <c r="A6" s="1">
        <v>45860</v>
      </c>
      <c r="B6" t="s">
        <v>47</v>
      </c>
      <c r="C6" t="s">
        <v>48</v>
      </c>
      <c r="E6" t="s">
        <v>49</v>
      </c>
      <c r="F6" t="s">
        <v>27</v>
      </c>
      <c r="G6" t="s">
        <v>28</v>
      </c>
      <c r="H6" t="s">
        <v>29</v>
      </c>
      <c r="I6" t="s">
        <v>30</v>
      </c>
      <c r="J6" t="s">
        <v>50</v>
      </c>
      <c r="L6" s="1">
        <v>45870</v>
      </c>
      <c r="M6" s="1">
        <v>45870</v>
      </c>
      <c r="O6">
        <v>8307933</v>
      </c>
      <c r="P6" t="s">
        <v>32</v>
      </c>
      <c r="Q6" t="s">
        <v>46</v>
      </c>
      <c r="R6">
        <v>8192</v>
      </c>
      <c r="S6" t="s">
        <v>34</v>
      </c>
      <c r="T6" t="s">
        <v>35</v>
      </c>
      <c r="U6">
        <v>751</v>
      </c>
      <c r="V6" t="s">
        <v>36</v>
      </c>
      <c r="W6" s="1">
        <v>45832</v>
      </c>
      <c r="X6">
        <v>2025</v>
      </c>
    </row>
    <row r="7" spans="1:24" x14ac:dyDescent="0.25">
      <c r="A7" s="1">
        <v>45860</v>
      </c>
      <c r="B7" t="s">
        <v>51</v>
      </c>
      <c r="C7" t="s">
        <v>52</v>
      </c>
      <c r="E7" t="s">
        <v>53</v>
      </c>
      <c r="F7" t="s">
        <v>54</v>
      </c>
      <c r="G7" t="s">
        <v>37</v>
      </c>
      <c r="H7" t="s">
        <v>29</v>
      </c>
      <c r="I7" t="s">
        <v>55</v>
      </c>
      <c r="J7" t="s">
        <v>56</v>
      </c>
      <c r="L7" s="1">
        <v>45839</v>
      </c>
      <c r="M7" s="1">
        <v>45839</v>
      </c>
      <c r="O7">
        <v>17425766</v>
      </c>
      <c r="P7" t="s">
        <v>32</v>
      </c>
      <c r="Q7" t="s">
        <v>57</v>
      </c>
      <c r="R7">
        <v>8192</v>
      </c>
      <c r="S7" t="s">
        <v>34</v>
      </c>
      <c r="T7" t="s">
        <v>35</v>
      </c>
      <c r="U7">
        <v>-239</v>
      </c>
      <c r="V7" t="s">
        <v>38</v>
      </c>
      <c r="W7" s="1">
        <v>45817</v>
      </c>
      <c r="X7">
        <v>2025</v>
      </c>
    </row>
    <row r="8" spans="1:24" x14ac:dyDescent="0.25">
      <c r="A8" s="1">
        <v>45860</v>
      </c>
      <c r="B8" t="s">
        <v>51</v>
      </c>
      <c r="C8" t="s">
        <v>52</v>
      </c>
      <c r="E8" t="s">
        <v>53</v>
      </c>
      <c r="F8" t="s">
        <v>54</v>
      </c>
      <c r="G8" t="s">
        <v>28</v>
      </c>
      <c r="H8" t="s">
        <v>29</v>
      </c>
      <c r="I8" t="s">
        <v>55</v>
      </c>
      <c r="J8" t="s">
        <v>56</v>
      </c>
      <c r="L8" s="1">
        <v>45839</v>
      </c>
      <c r="M8" s="1">
        <v>45839</v>
      </c>
      <c r="O8">
        <v>17425766</v>
      </c>
      <c r="P8" t="s">
        <v>32</v>
      </c>
      <c r="Q8" t="s">
        <v>57</v>
      </c>
      <c r="R8">
        <v>8192</v>
      </c>
      <c r="S8" t="s">
        <v>34</v>
      </c>
      <c r="T8" t="s">
        <v>35</v>
      </c>
      <c r="U8">
        <v>830</v>
      </c>
      <c r="V8" t="s">
        <v>36</v>
      </c>
      <c r="W8" s="1">
        <v>45817</v>
      </c>
      <c r="X8">
        <v>2025</v>
      </c>
    </row>
    <row r="9" spans="1:24" x14ac:dyDescent="0.25">
      <c r="A9" s="1">
        <v>45860</v>
      </c>
      <c r="B9" t="s">
        <v>58</v>
      </c>
      <c r="C9" t="s">
        <v>59</v>
      </c>
      <c r="E9" t="s">
        <v>60</v>
      </c>
      <c r="F9" t="s">
        <v>54</v>
      </c>
      <c r="G9" t="s">
        <v>61</v>
      </c>
      <c r="H9" t="s">
        <v>29</v>
      </c>
      <c r="I9" t="s">
        <v>55</v>
      </c>
      <c r="J9" t="s">
        <v>62</v>
      </c>
      <c r="L9" s="1">
        <v>45839</v>
      </c>
      <c r="M9" s="1">
        <v>44562</v>
      </c>
      <c r="O9">
        <v>19606009</v>
      </c>
      <c r="P9" t="s">
        <v>32</v>
      </c>
      <c r="Q9" t="s">
        <v>63</v>
      </c>
      <c r="R9">
        <v>8192</v>
      </c>
      <c r="S9" t="s">
        <v>34</v>
      </c>
      <c r="T9" t="s">
        <v>35</v>
      </c>
      <c r="U9">
        <v>1.25</v>
      </c>
      <c r="V9" t="s">
        <v>38</v>
      </c>
      <c r="W9" s="1">
        <v>45839</v>
      </c>
      <c r="X9">
        <v>2025</v>
      </c>
    </row>
    <row r="10" spans="1:24" x14ac:dyDescent="0.25">
      <c r="A10" s="1">
        <v>45860</v>
      </c>
      <c r="B10" t="s">
        <v>64</v>
      </c>
      <c r="C10" t="s">
        <v>65</v>
      </c>
      <c r="E10" t="s">
        <v>66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L10" s="1">
        <v>45809</v>
      </c>
      <c r="M10" s="1">
        <v>45809</v>
      </c>
      <c r="O10">
        <v>19681796</v>
      </c>
      <c r="P10" t="s">
        <v>32</v>
      </c>
      <c r="Q10" t="s">
        <v>67</v>
      </c>
      <c r="R10">
        <v>8192</v>
      </c>
      <c r="S10" t="s">
        <v>34</v>
      </c>
      <c r="T10" t="s">
        <v>35</v>
      </c>
      <c r="U10">
        <v>746</v>
      </c>
      <c r="V10" t="s">
        <v>36</v>
      </c>
      <c r="W10" s="1">
        <v>45807</v>
      </c>
      <c r="X10">
        <v>2025</v>
      </c>
    </row>
    <row r="11" spans="1:24" x14ac:dyDescent="0.25">
      <c r="A11" s="1">
        <v>45860</v>
      </c>
      <c r="B11" t="s">
        <v>64</v>
      </c>
      <c r="C11" t="s">
        <v>65</v>
      </c>
      <c r="E11" t="s">
        <v>66</v>
      </c>
      <c r="F11" t="s">
        <v>27</v>
      </c>
      <c r="G11" t="s">
        <v>37</v>
      </c>
      <c r="H11" t="s">
        <v>29</v>
      </c>
      <c r="I11" t="s">
        <v>30</v>
      </c>
      <c r="J11" t="s">
        <v>31</v>
      </c>
      <c r="L11" s="1">
        <v>45809</v>
      </c>
      <c r="M11" s="1">
        <v>45809</v>
      </c>
      <c r="O11">
        <v>19681796</v>
      </c>
      <c r="P11" t="s">
        <v>32</v>
      </c>
      <c r="Q11" t="s">
        <v>67</v>
      </c>
      <c r="R11">
        <v>8192</v>
      </c>
      <c r="S11" t="s">
        <v>34</v>
      </c>
      <c r="T11" t="s">
        <v>35</v>
      </c>
      <c r="U11">
        <v>-252.58</v>
      </c>
      <c r="V11" t="s">
        <v>38</v>
      </c>
      <c r="W11" s="1">
        <v>45807</v>
      </c>
      <c r="X11">
        <v>2025</v>
      </c>
    </row>
    <row r="12" spans="1:24" x14ac:dyDescent="0.25">
      <c r="A12" s="1">
        <v>45860</v>
      </c>
      <c r="B12" t="s">
        <v>68</v>
      </c>
      <c r="C12" t="s">
        <v>69</v>
      </c>
      <c r="E12" t="s">
        <v>70</v>
      </c>
      <c r="F12" t="s">
        <v>54</v>
      </c>
      <c r="G12" t="s">
        <v>37</v>
      </c>
      <c r="H12" t="s">
        <v>29</v>
      </c>
      <c r="I12" t="s">
        <v>55</v>
      </c>
      <c r="J12" t="s">
        <v>62</v>
      </c>
      <c r="L12" s="1">
        <v>45839</v>
      </c>
      <c r="M12" s="1">
        <v>45839</v>
      </c>
      <c r="O12">
        <v>20253958</v>
      </c>
      <c r="P12" t="s">
        <v>32</v>
      </c>
      <c r="Q12" t="s">
        <v>71</v>
      </c>
      <c r="R12">
        <v>8192</v>
      </c>
      <c r="S12" t="s">
        <v>34</v>
      </c>
      <c r="T12" t="s">
        <v>35</v>
      </c>
      <c r="U12">
        <v>-20</v>
      </c>
      <c r="V12" t="s">
        <v>38</v>
      </c>
      <c r="W12" s="1">
        <v>45833</v>
      </c>
      <c r="X12">
        <v>2025</v>
      </c>
    </row>
    <row r="13" spans="1:24" x14ac:dyDescent="0.25">
      <c r="A13" s="1">
        <v>45860</v>
      </c>
      <c r="B13" t="s">
        <v>68</v>
      </c>
      <c r="C13" t="s">
        <v>69</v>
      </c>
      <c r="E13" t="s">
        <v>70</v>
      </c>
      <c r="F13" t="s">
        <v>54</v>
      </c>
      <c r="G13" t="s">
        <v>28</v>
      </c>
      <c r="H13" t="s">
        <v>29</v>
      </c>
      <c r="I13" t="s">
        <v>55</v>
      </c>
      <c r="J13" t="s">
        <v>62</v>
      </c>
      <c r="L13" s="1">
        <v>45839</v>
      </c>
      <c r="M13" s="1">
        <v>45839</v>
      </c>
      <c r="O13">
        <v>20253958</v>
      </c>
      <c r="P13" t="s">
        <v>32</v>
      </c>
      <c r="Q13" t="s">
        <v>71</v>
      </c>
      <c r="R13">
        <v>8192</v>
      </c>
      <c r="S13" t="s">
        <v>34</v>
      </c>
      <c r="T13" t="s">
        <v>35</v>
      </c>
      <c r="U13">
        <v>40</v>
      </c>
      <c r="V13" t="s">
        <v>36</v>
      </c>
      <c r="W13" s="1">
        <v>45833</v>
      </c>
      <c r="X13">
        <v>2025</v>
      </c>
    </row>
    <row r="14" spans="1:24" x14ac:dyDescent="0.25">
      <c r="A14" s="1">
        <v>45860</v>
      </c>
      <c r="B14" t="s">
        <v>72</v>
      </c>
      <c r="C14" t="s">
        <v>73</v>
      </c>
      <c r="E14" t="s">
        <v>74</v>
      </c>
      <c r="F14" t="s">
        <v>27</v>
      </c>
      <c r="G14" t="s">
        <v>28</v>
      </c>
      <c r="H14" t="s">
        <v>75</v>
      </c>
      <c r="I14" t="s">
        <v>30</v>
      </c>
      <c r="J14" t="s">
        <v>76</v>
      </c>
      <c r="L14" s="1">
        <v>45809</v>
      </c>
      <c r="M14" s="1">
        <v>45809</v>
      </c>
      <c r="O14">
        <v>9213293</v>
      </c>
      <c r="P14" t="s">
        <v>32</v>
      </c>
      <c r="Q14" t="s">
        <v>77</v>
      </c>
      <c r="R14">
        <v>8192</v>
      </c>
      <c r="S14" t="s">
        <v>34</v>
      </c>
      <c r="T14" t="s">
        <v>35</v>
      </c>
      <c r="U14">
        <v>751</v>
      </c>
      <c r="V14" t="s">
        <v>36</v>
      </c>
      <c r="W14" s="1">
        <v>45807</v>
      </c>
      <c r="X14">
        <v>2025</v>
      </c>
    </row>
    <row r="15" spans="1:24" x14ac:dyDescent="0.25">
      <c r="A15" s="1">
        <v>45860</v>
      </c>
      <c r="B15" t="s">
        <v>72</v>
      </c>
      <c r="C15" t="s">
        <v>73</v>
      </c>
      <c r="E15" t="s">
        <v>74</v>
      </c>
      <c r="F15" t="s">
        <v>27</v>
      </c>
      <c r="G15" t="s">
        <v>37</v>
      </c>
      <c r="H15" t="s">
        <v>75</v>
      </c>
      <c r="I15" t="s">
        <v>30</v>
      </c>
      <c r="J15" t="s">
        <v>76</v>
      </c>
      <c r="L15" s="1">
        <v>45809</v>
      </c>
      <c r="M15" s="1">
        <v>45809</v>
      </c>
      <c r="O15">
        <v>9213293</v>
      </c>
      <c r="P15" t="s">
        <v>32</v>
      </c>
      <c r="Q15" t="s">
        <v>77</v>
      </c>
      <c r="R15">
        <v>8192</v>
      </c>
      <c r="S15" t="s">
        <v>34</v>
      </c>
      <c r="T15" t="s">
        <v>35</v>
      </c>
      <c r="U15">
        <v>-255.5</v>
      </c>
      <c r="V15" t="s">
        <v>38</v>
      </c>
      <c r="W15" s="1">
        <v>45807</v>
      </c>
      <c r="X15">
        <v>2025</v>
      </c>
    </row>
    <row r="16" spans="1:24" x14ac:dyDescent="0.25">
      <c r="A16" s="1">
        <v>45860</v>
      </c>
      <c r="B16" t="s">
        <v>78</v>
      </c>
      <c r="C16" t="s">
        <v>79</v>
      </c>
      <c r="E16" t="s">
        <v>80</v>
      </c>
      <c r="F16" t="s">
        <v>27</v>
      </c>
      <c r="G16" t="s">
        <v>37</v>
      </c>
      <c r="H16" t="s">
        <v>29</v>
      </c>
      <c r="I16" t="s">
        <v>30</v>
      </c>
      <c r="J16" t="s">
        <v>31</v>
      </c>
      <c r="L16" s="1">
        <v>45839</v>
      </c>
      <c r="M16" s="1">
        <v>45839</v>
      </c>
      <c r="O16">
        <v>19396223</v>
      </c>
      <c r="P16" t="s">
        <v>32</v>
      </c>
      <c r="Q16" t="s">
        <v>81</v>
      </c>
      <c r="R16">
        <v>8192</v>
      </c>
      <c r="S16" t="s">
        <v>34</v>
      </c>
      <c r="T16" t="s">
        <v>35</v>
      </c>
      <c r="U16">
        <v>-216.5</v>
      </c>
      <c r="V16" t="s">
        <v>38</v>
      </c>
      <c r="W16" s="1">
        <v>45824</v>
      </c>
      <c r="X16">
        <v>2025</v>
      </c>
    </row>
    <row r="17" spans="1:24" x14ac:dyDescent="0.25">
      <c r="A17" s="1">
        <v>45860</v>
      </c>
      <c r="B17" t="s">
        <v>78</v>
      </c>
      <c r="C17" t="s">
        <v>79</v>
      </c>
      <c r="E17" t="s">
        <v>80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L17" s="1">
        <v>45839</v>
      </c>
      <c r="M17" s="1">
        <v>45839</v>
      </c>
      <c r="O17">
        <v>19396223</v>
      </c>
      <c r="P17" t="s">
        <v>32</v>
      </c>
      <c r="Q17" t="s">
        <v>81</v>
      </c>
      <c r="R17">
        <v>8192</v>
      </c>
      <c r="S17" t="s">
        <v>34</v>
      </c>
      <c r="T17" t="s">
        <v>35</v>
      </c>
      <c r="U17">
        <v>746</v>
      </c>
      <c r="V17" t="s">
        <v>36</v>
      </c>
      <c r="W17" s="1">
        <v>45824</v>
      </c>
      <c r="X17">
        <v>2025</v>
      </c>
    </row>
    <row r="18" spans="1:24" x14ac:dyDescent="0.25">
      <c r="A18" s="1">
        <v>45860</v>
      </c>
      <c r="B18" t="s">
        <v>82</v>
      </c>
      <c r="C18" t="s">
        <v>83</v>
      </c>
      <c r="E18" t="s">
        <v>84</v>
      </c>
      <c r="F18" t="s">
        <v>27</v>
      </c>
      <c r="G18" t="s">
        <v>37</v>
      </c>
      <c r="H18" t="s">
        <v>29</v>
      </c>
      <c r="I18" t="s">
        <v>30</v>
      </c>
      <c r="J18" t="s">
        <v>31</v>
      </c>
      <c r="L18" s="1">
        <v>45839</v>
      </c>
      <c r="M18" s="1">
        <v>45839</v>
      </c>
      <c r="O18">
        <v>2158366</v>
      </c>
      <c r="P18" t="s">
        <v>32</v>
      </c>
      <c r="Q18" t="s">
        <v>85</v>
      </c>
      <c r="R18">
        <v>8192</v>
      </c>
      <c r="S18" t="s">
        <v>34</v>
      </c>
      <c r="T18" t="s">
        <v>35</v>
      </c>
      <c r="U18">
        <v>-219</v>
      </c>
      <c r="V18" t="s">
        <v>38</v>
      </c>
      <c r="W18" s="1">
        <v>45819</v>
      </c>
      <c r="X18">
        <v>2025</v>
      </c>
    </row>
    <row r="19" spans="1:24" x14ac:dyDescent="0.25">
      <c r="A19" s="1">
        <v>45860</v>
      </c>
      <c r="B19" t="s">
        <v>82</v>
      </c>
      <c r="C19" t="s">
        <v>83</v>
      </c>
      <c r="E19" t="s">
        <v>84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L19" s="1">
        <v>45839</v>
      </c>
      <c r="M19" s="1">
        <v>45839</v>
      </c>
      <c r="O19">
        <v>2158366</v>
      </c>
      <c r="P19" t="s">
        <v>32</v>
      </c>
      <c r="Q19" t="s">
        <v>85</v>
      </c>
      <c r="R19">
        <v>8192</v>
      </c>
      <c r="S19" t="s">
        <v>34</v>
      </c>
      <c r="T19" t="s">
        <v>35</v>
      </c>
      <c r="U19">
        <v>751</v>
      </c>
      <c r="V19" t="s">
        <v>36</v>
      </c>
      <c r="W19" s="1">
        <v>45819</v>
      </c>
      <c r="X19">
        <v>2025</v>
      </c>
    </row>
    <row r="20" spans="1:24" x14ac:dyDescent="0.25">
      <c r="A20" s="1">
        <v>45860</v>
      </c>
      <c r="B20" t="s">
        <v>86</v>
      </c>
      <c r="C20" t="s">
        <v>87</v>
      </c>
      <c r="E20" t="s">
        <v>88</v>
      </c>
      <c r="F20" t="s">
        <v>54</v>
      </c>
      <c r="G20" t="s">
        <v>37</v>
      </c>
      <c r="H20" t="s">
        <v>29</v>
      </c>
      <c r="I20" t="s">
        <v>55</v>
      </c>
      <c r="J20" t="s">
        <v>89</v>
      </c>
      <c r="L20" s="1">
        <v>45839</v>
      </c>
      <c r="M20" s="1">
        <v>45839</v>
      </c>
      <c r="O20">
        <v>17528908</v>
      </c>
      <c r="P20" t="s">
        <v>32</v>
      </c>
      <c r="Q20" t="s">
        <v>90</v>
      </c>
      <c r="R20">
        <v>8192</v>
      </c>
      <c r="S20" t="s">
        <v>34</v>
      </c>
      <c r="T20" t="s">
        <v>35</v>
      </c>
      <c r="U20">
        <v>-239</v>
      </c>
      <c r="V20" t="s">
        <v>38</v>
      </c>
      <c r="W20" s="1">
        <v>45812</v>
      </c>
      <c r="X20">
        <v>2025</v>
      </c>
    </row>
    <row r="21" spans="1:24" x14ac:dyDescent="0.25">
      <c r="A21" s="1">
        <v>45860</v>
      </c>
      <c r="B21" t="s">
        <v>86</v>
      </c>
      <c r="C21" t="s">
        <v>87</v>
      </c>
      <c r="E21" t="s">
        <v>88</v>
      </c>
      <c r="F21" t="s">
        <v>54</v>
      </c>
      <c r="G21" t="s">
        <v>28</v>
      </c>
      <c r="H21" t="s">
        <v>29</v>
      </c>
      <c r="I21" t="s">
        <v>55</v>
      </c>
      <c r="J21" t="s">
        <v>89</v>
      </c>
      <c r="L21" s="1">
        <v>45839</v>
      </c>
      <c r="M21" s="1">
        <v>45839</v>
      </c>
      <c r="O21">
        <v>17528908</v>
      </c>
      <c r="P21" t="s">
        <v>32</v>
      </c>
      <c r="Q21" t="s">
        <v>90</v>
      </c>
      <c r="R21">
        <v>8192</v>
      </c>
      <c r="S21" t="s">
        <v>34</v>
      </c>
      <c r="T21" t="s">
        <v>35</v>
      </c>
      <c r="U21">
        <v>830</v>
      </c>
      <c r="V21" t="s">
        <v>36</v>
      </c>
      <c r="W21" s="1">
        <v>45812</v>
      </c>
      <c r="X21">
        <v>2025</v>
      </c>
    </row>
    <row r="22" spans="1:24" x14ac:dyDescent="0.25">
      <c r="A22" s="1">
        <v>45860</v>
      </c>
      <c r="B22" t="s">
        <v>91</v>
      </c>
      <c r="C22" t="s">
        <v>92</v>
      </c>
      <c r="E22" t="s">
        <v>93</v>
      </c>
      <c r="F22" t="s">
        <v>94</v>
      </c>
      <c r="G22" t="s">
        <v>37</v>
      </c>
      <c r="H22" t="s">
        <v>29</v>
      </c>
      <c r="I22" t="s">
        <v>30</v>
      </c>
      <c r="J22" t="s">
        <v>95</v>
      </c>
      <c r="L22" s="1">
        <v>45870</v>
      </c>
      <c r="M22" s="1">
        <v>45870</v>
      </c>
      <c r="O22">
        <v>8814784</v>
      </c>
      <c r="P22" t="s">
        <v>32</v>
      </c>
      <c r="Q22" t="s">
        <v>96</v>
      </c>
      <c r="R22">
        <v>8192</v>
      </c>
      <c r="S22" t="s">
        <v>34</v>
      </c>
      <c r="T22" t="s">
        <v>35</v>
      </c>
      <c r="U22">
        <v>-182.5</v>
      </c>
      <c r="V22" t="s">
        <v>38</v>
      </c>
      <c r="W22" s="1">
        <v>45827</v>
      </c>
      <c r="X22">
        <v>2025</v>
      </c>
    </row>
    <row r="23" spans="1:24" x14ac:dyDescent="0.25">
      <c r="A23" s="1">
        <v>45860</v>
      </c>
      <c r="B23" t="s">
        <v>91</v>
      </c>
      <c r="C23" t="s">
        <v>92</v>
      </c>
      <c r="E23" t="s">
        <v>93</v>
      </c>
      <c r="F23" t="s">
        <v>94</v>
      </c>
      <c r="G23" t="s">
        <v>28</v>
      </c>
      <c r="H23" t="s">
        <v>29</v>
      </c>
      <c r="I23" t="s">
        <v>30</v>
      </c>
      <c r="J23" t="s">
        <v>95</v>
      </c>
      <c r="L23" s="1">
        <v>45870</v>
      </c>
      <c r="M23" s="1">
        <v>45870</v>
      </c>
      <c r="O23">
        <v>8814784</v>
      </c>
      <c r="P23" t="s">
        <v>32</v>
      </c>
      <c r="Q23" t="s">
        <v>96</v>
      </c>
      <c r="R23">
        <v>8192</v>
      </c>
      <c r="S23" t="s">
        <v>34</v>
      </c>
      <c r="T23" t="s">
        <v>35</v>
      </c>
      <c r="U23">
        <v>751</v>
      </c>
      <c r="V23" t="s">
        <v>36</v>
      </c>
      <c r="W23" s="1">
        <v>45827</v>
      </c>
      <c r="X23">
        <v>2025</v>
      </c>
    </row>
    <row r="24" spans="1:24" x14ac:dyDescent="0.25">
      <c r="A24" s="1">
        <v>45860</v>
      </c>
      <c r="B24" t="s">
        <v>97</v>
      </c>
      <c r="C24" t="s">
        <v>98</v>
      </c>
      <c r="E24" t="s">
        <v>99</v>
      </c>
      <c r="F24" t="s">
        <v>54</v>
      </c>
      <c r="G24" t="s">
        <v>37</v>
      </c>
      <c r="H24" t="s">
        <v>29</v>
      </c>
      <c r="I24" t="s">
        <v>55</v>
      </c>
      <c r="J24" t="s">
        <v>100</v>
      </c>
      <c r="L24" s="1">
        <v>45839</v>
      </c>
      <c r="M24" s="1">
        <v>45839</v>
      </c>
      <c r="O24">
        <v>15950276</v>
      </c>
      <c r="P24" t="s">
        <v>32</v>
      </c>
      <c r="Q24" t="s">
        <v>101</v>
      </c>
      <c r="R24">
        <v>8192</v>
      </c>
      <c r="S24" t="s">
        <v>34</v>
      </c>
      <c r="T24" t="s">
        <v>35</v>
      </c>
      <c r="U24">
        <v>-239</v>
      </c>
      <c r="V24" t="s">
        <v>38</v>
      </c>
      <c r="W24" s="1">
        <v>45820</v>
      </c>
      <c r="X24">
        <v>2025</v>
      </c>
    </row>
    <row r="25" spans="1:24" x14ac:dyDescent="0.25">
      <c r="A25" s="1">
        <v>45860</v>
      </c>
      <c r="B25" t="s">
        <v>97</v>
      </c>
      <c r="C25" t="s">
        <v>98</v>
      </c>
      <c r="E25" t="s">
        <v>99</v>
      </c>
      <c r="F25" t="s">
        <v>54</v>
      </c>
      <c r="G25" t="s">
        <v>28</v>
      </c>
      <c r="H25" t="s">
        <v>29</v>
      </c>
      <c r="I25" t="s">
        <v>55</v>
      </c>
      <c r="J25" t="s">
        <v>100</v>
      </c>
      <c r="L25" s="1">
        <v>45839</v>
      </c>
      <c r="M25" s="1">
        <v>45839</v>
      </c>
      <c r="O25">
        <v>15950276</v>
      </c>
      <c r="P25" t="s">
        <v>32</v>
      </c>
      <c r="Q25" t="s">
        <v>101</v>
      </c>
      <c r="R25">
        <v>8192</v>
      </c>
      <c r="S25" t="s">
        <v>34</v>
      </c>
      <c r="T25" t="s">
        <v>35</v>
      </c>
      <c r="U25">
        <v>830</v>
      </c>
      <c r="V25" t="s">
        <v>36</v>
      </c>
      <c r="W25" s="1">
        <v>45820</v>
      </c>
      <c r="X25">
        <v>2025</v>
      </c>
    </row>
    <row r="26" spans="1:24" x14ac:dyDescent="0.25">
      <c r="A26" s="1">
        <v>45860</v>
      </c>
      <c r="B26" t="s">
        <v>102</v>
      </c>
      <c r="C26" t="s">
        <v>103</v>
      </c>
      <c r="E26" t="s">
        <v>104</v>
      </c>
      <c r="F26" t="s">
        <v>27</v>
      </c>
      <c r="G26" t="s">
        <v>37</v>
      </c>
      <c r="H26" t="s">
        <v>29</v>
      </c>
      <c r="I26" t="s">
        <v>30</v>
      </c>
      <c r="J26" t="s">
        <v>105</v>
      </c>
      <c r="L26" s="1">
        <v>45870</v>
      </c>
      <c r="M26" s="1">
        <v>45870</v>
      </c>
      <c r="O26">
        <v>9213293</v>
      </c>
      <c r="P26" t="s">
        <v>32</v>
      </c>
      <c r="Q26" t="s">
        <v>77</v>
      </c>
      <c r="R26">
        <v>8192</v>
      </c>
      <c r="S26" t="s">
        <v>34</v>
      </c>
      <c r="T26" t="s">
        <v>35</v>
      </c>
      <c r="U26">
        <v>-182.5</v>
      </c>
      <c r="V26" t="s">
        <v>38</v>
      </c>
      <c r="W26" s="1">
        <v>45814</v>
      </c>
      <c r="X26">
        <v>2025</v>
      </c>
    </row>
    <row r="27" spans="1:24" x14ac:dyDescent="0.25">
      <c r="A27" s="1">
        <v>45860</v>
      </c>
      <c r="B27" t="s">
        <v>102</v>
      </c>
      <c r="C27" t="s">
        <v>103</v>
      </c>
      <c r="E27" t="s">
        <v>104</v>
      </c>
      <c r="F27" t="s">
        <v>27</v>
      </c>
      <c r="G27" t="s">
        <v>28</v>
      </c>
      <c r="H27" t="s">
        <v>29</v>
      </c>
      <c r="I27" t="s">
        <v>30</v>
      </c>
      <c r="J27" t="s">
        <v>105</v>
      </c>
      <c r="L27" s="1">
        <v>45870</v>
      </c>
      <c r="M27" s="1">
        <v>45870</v>
      </c>
      <c r="O27">
        <v>9213293</v>
      </c>
      <c r="P27" t="s">
        <v>32</v>
      </c>
      <c r="Q27" t="s">
        <v>77</v>
      </c>
      <c r="R27">
        <v>8192</v>
      </c>
      <c r="S27" t="s">
        <v>34</v>
      </c>
      <c r="T27" t="s">
        <v>35</v>
      </c>
      <c r="U27">
        <v>751</v>
      </c>
      <c r="V27" t="s">
        <v>36</v>
      </c>
      <c r="W27" s="1">
        <v>45814</v>
      </c>
      <c r="X27">
        <v>2025</v>
      </c>
    </row>
    <row r="28" spans="1:24" x14ac:dyDescent="0.25">
      <c r="A28" s="1">
        <v>45860</v>
      </c>
      <c r="B28" t="s">
        <v>106</v>
      </c>
      <c r="C28" t="s">
        <v>107</v>
      </c>
      <c r="E28" t="s">
        <v>108</v>
      </c>
      <c r="F28" t="s">
        <v>109</v>
      </c>
      <c r="G28" t="s">
        <v>37</v>
      </c>
      <c r="H28" t="s">
        <v>29</v>
      </c>
      <c r="I28" t="s">
        <v>110</v>
      </c>
      <c r="J28" t="s">
        <v>111</v>
      </c>
      <c r="L28" s="1">
        <v>45839</v>
      </c>
      <c r="M28" s="1">
        <v>45839</v>
      </c>
      <c r="O28">
        <v>16509456</v>
      </c>
      <c r="P28" t="s">
        <v>32</v>
      </c>
      <c r="Q28" t="s">
        <v>112</v>
      </c>
      <c r="R28">
        <v>8192</v>
      </c>
      <c r="S28" t="s">
        <v>34</v>
      </c>
      <c r="T28" t="s">
        <v>35</v>
      </c>
      <c r="U28">
        <v>-219</v>
      </c>
      <c r="V28" t="s">
        <v>38</v>
      </c>
      <c r="W28" s="1">
        <v>45813</v>
      </c>
      <c r="X28">
        <v>2025</v>
      </c>
    </row>
    <row r="29" spans="1:24" x14ac:dyDescent="0.25">
      <c r="A29" s="1">
        <v>45860</v>
      </c>
      <c r="B29" t="s">
        <v>106</v>
      </c>
      <c r="C29" t="s">
        <v>107</v>
      </c>
      <c r="E29" t="s">
        <v>108</v>
      </c>
      <c r="F29" t="s">
        <v>109</v>
      </c>
      <c r="G29" t="s">
        <v>113</v>
      </c>
      <c r="H29" t="s">
        <v>29</v>
      </c>
      <c r="I29" t="s">
        <v>110</v>
      </c>
      <c r="J29" t="s">
        <v>111</v>
      </c>
      <c r="L29" s="1">
        <v>45839</v>
      </c>
      <c r="M29" s="1">
        <v>45839</v>
      </c>
      <c r="O29">
        <v>16509456</v>
      </c>
      <c r="P29" t="s">
        <v>32</v>
      </c>
      <c r="Q29" t="s">
        <v>112</v>
      </c>
      <c r="R29">
        <v>8192</v>
      </c>
      <c r="S29" t="s">
        <v>34</v>
      </c>
      <c r="T29" t="s">
        <v>35</v>
      </c>
      <c r="U29">
        <v>375.5</v>
      </c>
      <c r="V29" t="s">
        <v>36</v>
      </c>
      <c r="W29" s="1">
        <v>45813</v>
      </c>
      <c r="X29">
        <v>2025</v>
      </c>
    </row>
    <row r="30" spans="1:24" x14ac:dyDescent="0.25">
      <c r="A30" s="1">
        <v>45860</v>
      </c>
      <c r="B30" t="s">
        <v>114</v>
      </c>
      <c r="C30" t="s">
        <v>115</v>
      </c>
      <c r="E30" t="s">
        <v>116</v>
      </c>
      <c r="F30" t="s">
        <v>54</v>
      </c>
      <c r="G30" t="s">
        <v>43</v>
      </c>
      <c r="H30" t="s">
        <v>29</v>
      </c>
      <c r="I30" t="s">
        <v>55</v>
      </c>
      <c r="J30" t="s">
        <v>117</v>
      </c>
      <c r="L30" s="1">
        <v>45839</v>
      </c>
      <c r="M30" s="1">
        <v>45839</v>
      </c>
      <c r="O30">
        <v>17528908</v>
      </c>
      <c r="P30" t="s">
        <v>32</v>
      </c>
      <c r="Q30" t="s">
        <v>90</v>
      </c>
      <c r="R30">
        <v>8192</v>
      </c>
      <c r="S30" t="s">
        <v>34</v>
      </c>
      <c r="T30" t="s">
        <v>35</v>
      </c>
      <c r="U30">
        <v>239</v>
      </c>
      <c r="V30" t="s">
        <v>38</v>
      </c>
      <c r="W30" s="1">
        <v>45838</v>
      </c>
      <c r="X30">
        <v>2025</v>
      </c>
    </row>
    <row r="31" spans="1:24" x14ac:dyDescent="0.25">
      <c r="A31" s="1">
        <v>45860</v>
      </c>
      <c r="B31" t="s">
        <v>118</v>
      </c>
      <c r="C31" t="s">
        <v>119</v>
      </c>
      <c r="E31" t="s">
        <v>120</v>
      </c>
      <c r="F31" t="s">
        <v>121</v>
      </c>
      <c r="G31" t="s">
        <v>37</v>
      </c>
      <c r="H31" t="s">
        <v>29</v>
      </c>
      <c r="I31" t="s">
        <v>30</v>
      </c>
      <c r="J31" t="s">
        <v>122</v>
      </c>
      <c r="L31" s="1">
        <v>45839</v>
      </c>
      <c r="M31" s="1">
        <v>45839</v>
      </c>
      <c r="O31">
        <v>7470776</v>
      </c>
      <c r="P31" t="s">
        <v>32</v>
      </c>
      <c r="Q31" t="s">
        <v>123</v>
      </c>
      <c r="R31">
        <v>8192</v>
      </c>
      <c r="S31" t="s">
        <v>34</v>
      </c>
      <c r="T31" t="s">
        <v>35</v>
      </c>
      <c r="U31">
        <v>-219</v>
      </c>
      <c r="V31" t="s">
        <v>38</v>
      </c>
      <c r="W31" s="1">
        <v>45825</v>
      </c>
      <c r="X31">
        <v>2025</v>
      </c>
    </row>
    <row r="32" spans="1:24" x14ac:dyDescent="0.25">
      <c r="A32" s="1">
        <v>45860</v>
      </c>
      <c r="B32" t="s">
        <v>118</v>
      </c>
      <c r="C32" t="s">
        <v>119</v>
      </c>
      <c r="E32" t="s">
        <v>120</v>
      </c>
      <c r="F32" t="s">
        <v>121</v>
      </c>
      <c r="G32" t="s">
        <v>28</v>
      </c>
      <c r="H32" t="s">
        <v>29</v>
      </c>
      <c r="I32" t="s">
        <v>30</v>
      </c>
      <c r="J32" t="s">
        <v>122</v>
      </c>
      <c r="L32" s="1">
        <v>45839</v>
      </c>
      <c r="M32" s="1">
        <v>45839</v>
      </c>
      <c r="O32">
        <v>7470776</v>
      </c>
      <c r="P32" t="s">
        <v>32</v>
      </c>
      <c r="Q32" t="s">
        <v>123</v>
      </c>
      <c r="R32">
        <v>8192</v>
      </c>
      <c r="S32" t="s">
        <v>34</v>
      </c>
      <c r="T32" t="s">
        <v>35</v>
      </c>
      <c r="U32">
        <v>751</v>
      </c>
      <c r="V32" t="s">
        <v>36</v>
      </c>
      <c r="W32" s="1">
        <v>45825</v>
      </c>
      <c r="X32">
        <v>2025</v>
      </c>
    </row>
    <row r="33" spans="1:24" x14ac:dyDescent="0.25">
      <c r="A33" s="1">
        <v>45860</v>
      </c>
      <c r="B33" t="s">
        <v>124</v>
      </c>
      <c r="C33" t="s">
        <v>125</v>
      </c>
      <c r="E33" t="s">
        <v>126</v>
      </c>
      <c r="F33" t="s">
        <v>27</v>
      </c>
      <c r="G33" t="s">
        <v>37</v>
      </c>
      <c r="H33" t="s">
        <v>29</v>
      </c>
      <c r="I33" t="s">
        <v>30</v>
      </c>
      <c r="J33" t="s">
        <v>127</v>
      </c>
      <c r="L33" s="1">
        <v>45839</v>
      </c>
      <c r="M33" s="1">
        <v>45839</v>
      </c>
      <c r="O33">
        <v>7146581</v>
      </c>
      <c r="P33" t="s">
        <v>32</v>
      </c>
      <c r="Q33" t="s">
        <v>128</v>
      </c>
      <c r="R33">
        <v>8192</v>
      </c>
      <c r="S33" t="s">
        <v>34</v>
      </c>
      <c r="T33" t="s">
        <v>35</v>
      </c>
      <c r="U33">
        <v>-219</v>
      </c>
      <c r="V33" t="s">
        <v>38</v>
      </c>
      <c r="W33" s="1">
        <v>45817</v>
      </c>
      <c r="X33">
        <v>2025</v>
      </c>
    </row>
    <row r="34" spans="1:24" x14ac:dyDescent="0.25">
      <c r="A34" s="1">
        <v>45860</v>
      </c>
      <c r="B34" t="s">
        <v>124</v>
      </c>
      <c r="C34" t="s">
        <v>125</v>
      </c>
      <c r="E34" t="s">
        <v>126</v>
      </c>
      <c r="F34" t="s">
        <v>27</v>
      </c>
      <c r="G34" t="s">
        <v>113</v>
      </c>
      <c r="H34" t="s">
        <v>29</v>
      </c>
      <c r="I34" t="s">
        <v>30</v>
      </c>
      <c r="J34" t="s">
        <v>127</v>
      </c>
      <c r="L34" s="1">
        <v>45839</v>
      </c>
      <c r="M34" s="1">
        <v>45839</v>
      </c>
      <c r="O34">
        <v>7146581</v>
      </c>
      <c r="P34" t="s">
        <v>32</v>
      </c>
      <c r="Q34" t="s">
        <v>128</v>
      </c>
      <c r="R34">
        <v>8192</v>
      </c>
      <c r="S34" t="s">
        <v>34</v>
      </c>
      <c r="T34" t="s">
        <v>35</v>
      </c>
      <c r="U34">
        <v>375.5</v>
      </c>
      <c r="V34" t="s">
        <v>36</v>
      </c>
      <c r="W34" s="1">
        <v>45817</v>
      </c>
      <c r="X34">
        <v>2025</v>
      </c>
    </row>
    <row r="35" spans="1:24" x14ac:dyDescent="0.25">
      <c r="A35" s="1">
        <v>45860</v>
      </c>
      <c r="B35" t="s">
        <v>129</v>
      </c>
      <c r="C35" t="s">
        <v>130</v>
      </c>
      <c r="E35" t="s">
        <v>131</v>
      </c>
      <c r="F35" t="s">
        <v>27</v>
      </c>
      <c r="G35" t="s">
        <v>43</v>
      </c>
      <c r="H35" t="s">
        <v>29</v>
      </c>
      <c r="I35" t="s">
        <v>30</v>
      </c>
      <c r="J35" t="s">
        <v>31</v>
      </c>
      <c r="L35" s="1">
        <v>45870</v>
      </c>
      <c r="M35" s="1">
        <v>45870</v>
      </c>
      <c r="O35">
        <v>2158366</v>
      </c>
      <c r="P35" t="s">
        <v>32</v>
      </c>
      <c r="Q35" t="s">
        <v>85</v>
      </c>
      <c r="R35">
        <v>8192</v>
      </c>
      <c r="S35" t="s">
        <v>34</v>
      </c>
      <c r="T35" t="s">
        <v>35</v>
      </c>
      <c r="U35">
        <v>182.5</v>
      </c>
      <c r="V35" t="s">
        <v>38</v>
      </c>
      <c r="W35" s="1">
        <v>45845</v>
      </c>
      <c r="X35">
        <v>2025</v>
      </c>
    </row>
    <row r="36" spans="1:24" x14ac:dyDescent="0.25">
      <c r="A36" s="1">
        <v>45860</v>
      </c>
      <c r="B36" t="s">
        <v>132</v>
      </c>
      <c r="C36" t="s">
        <v>133</v>
      </c>
      <c r="E36" t="s">
        <v>134</v>
      </c>
      <c r="F36" t="s">
        <v>135</v>
      </c>
      <c r="G36" t="s">
        <v>136</v>
      </c>
      <c r="H36" t="s">
        <v>29</v>
      </c>
      <c r="I36" t="s">
        <v>137</v>
      </c>
      <c r="J36" t="s">
        <v>138</v>
      </c>
      <c r="L36" s="1">
        <v>45658</v>
      </c>
      <c r="M36" s="1">
        <v>45658</v>
      </c>
      <c r="N36" s="1">
        <v>45869</v>
      </c>
      <c r="O36">
        <v>16633294</v>
      </c>
      <c r="P36" t="s">
        <v>32</v>
      </c>
      <c r="Q36" t="s">
        <v>139</v>
      </c>
      <c r="R36">
        <v>8192</v>
      </c>
      <c r="S36" t="s">
        <v>34</v>
      </c>
      <c r="T36" t="s">
        <v>35</v>
      </c>
      <c r="U36">
        <v>-438</v>
      </c>
      <c r="V36" t="s">
        <v>38</v>
      </c>
      <c r="W36" s="1">
        <v>45637</v>
      </c>
      <c r="X36">
        <v>2025</v>
      </c>
    </row>
    <row r="37" spans="1:24" x14ac:dyDescent="0.25">
      <c r="A37" s="1">
        <v>45860</v>
      </c>
      <c r="B37" t="s">
        <v>132</v>
      </c>
      <c r="C37" t="s">
        <v>133</v>
      </c>
      <c r="E37" t="s">
        <v>134</v>
      </c>
      <c r="F37" t="s">
        <v>135</v>
      </c>
      <c r="G37" t="s">
        <v>140</v>
      </c>
      <c r="H37" t="s">
        <v>29</v>
      </c>
      <c r="I37" t="s">
        <v>137</v>
      </c>
      <c r="J37" t="s">
        <v>138</v>
      </c>
      <c r="L37" s="1">
        <v>45658</v>
      </c>
      <c r="M37" s="1">
        <v>45658</v>
      </c>
      <c r="N37" s="1">
        <v>45869</v>
      </c>
      <c r="O37">
        <v>16633294</v>
      </c>
      <c r="P37" t="s">
        <v>32</v>
      </c>
      <c r="Q37" t="s">
        <v>139</v>
      </c>
      <c r="R37">
        <v>8192</v>
      </c>
      <c r="S37" t="s">
        <v>34</v>
      </c>
      <c r="T37" t="s">
        <v>35</v>
      </c>
      <c r="U37">
        <v>255.5</v>
      </c>
      <c r="V37" t="s">
        <v>38</v>
      </c>
      <c r="W37" s="1">
        <v>45637</v>
      </c>
      <c r="X37">
        <v>2025</v>
      </c>
    </row>
    <row r="38" spans="1:24" x14ac:dyDescent="0.25">
      <c r="A38" s="1">
        <v>45860</v>
      </c>
      <c r="B38" t="s">
        <v>141</v>
      </c>
      <c r="C38" t="s">
        <v>142</v>
      </c>
      <c r="E38" t="s">
        <v>143</v>
      </c>
      <c r="F38" t="s">
        <v>27</v>
      </c>
      <c r="G38" t="s">
        <v>37</v>
      </c>
      <c r="H38" t="s">
        <v>29</v>
      </c>
      <c r="I38" t="s">
        <v>30</v>
      </c>
      <c r="J38" t="s">
        <v>127</v>
      </c>
      <c r="L38" s="1">
        <v>45839</v>
      </c>
      <c r="M38" s="1">
        <v>45839</v>
      </c>
      <c r="O38">
        <v>20490188</v>
      </c>
      <c r="P38" t="s">
        <v>32</v>
      </c>
      <c r="Q38" t="s">
        <v>144</v>
      </c>
      <c r="R38">
        <v>8192</v>
      </c>
      <c r="S38" t="s">
        <v>34</v>
      </c>
      <c r="T38" t="s">
        <v>35</v>
      </c>
      <c r="U38">
        <v>-219</v>
      </c>
      <c r="V38" t="s">
        <v>38</v>
      </c>
      <c r="W38" s="1">
        <v>45825</v>
      </c>
      <c r="X38">
        <v>2025</v>
      </c>
    </row>
    <row r="39" spans="1:24" x14ac:dyDescent="0.25">
      <c r="A39" s="1">
        <v>45860</v>
      </c>
      <c r="B39" t="s">
        <v>141</v>
      </c>
      <c r="C39" t="s">
        <v>142</v>
      </c>
      <c r="E39" t="s">
        <v>143</v>
      </c>
      <c r="F39" t="s">
        <v>27</v>
      </c>
      <c r="G39" t="s">
        <v>28</v>
      </c>
      <c r="H39" t="s">
        <v>29</v>
      </c>
      <c r="I39" t="s">
        <v>30</v>
      </c>
      <c r="J39" t="s">
        <v>127</v>
      </c>
      <c r="L39" s="1">
        <v>45839</v>
      </c>
      <c r="M39" s="1">
        <v>45839</v>
      </c>
      <c r="O39">
        <v>20490188</v>
      </c>
      <c r="P39" t="s">
        <v>32</v>
      </c>
      <c r="Q39" t="s">
        <v>144</v>
      </c>
      <c r="R39">
        <v>8192</v>
      </c>
      <c r="S39" t="s">
        <v>34</v>
      </c>
      <c r="T39" t="s">
        <v>35</v>
      </c>
      <c r="U39">
        <v>751</v>
      </c>
      <c r="V39" t="s">
        <v>36</v>
      </c>
      <c r="W39" s="1">
        <v>45825</v>
      </c>
      <c r="X39">
        <v>2025</v>
      </c>
    </row>
    <row r="40" spans="1:24" x14ac:dyDescent="0.25">
      <c r="A40" s="1">
        <v>45860</v>
      </c>
      <c r="B40" t="s">
        <v>145</v>
      </c>
      <c r="C40" t="s">
        <v>146</v>
      </c>
      <c r="E40" t="s">
        <v>147</v>
      </c>
      <c r="F40" t="s">
        <v>27</v>
      </c>
      <c r="G40" t="s">
        <v>37</v>
      </c>
      <c r="H40" t="s">
        <v>29</v>
      </c>
      <c r="I40" t="s">
        <v>30</v>
      </c>
      <c r="J40" t="s">
        <v>31</v>
      </c>
      <c r="L40" s="1">
        <v>45901</v>
      </c>
      <c r="M40" s="1">
        <v>45901</v>
      </c>
      <c r="O40">
        <v>2158366</v>
      </c>
      <c r="P40" t="s">
        <v>32</v>
      </c>
      <c r="Q40" t="s">
        <v>85</v>
      </c>
      <c r="R40">
        <v>8192</v>
      </c>
      <c r="S40" t="s">
        <v>34</v>
      </c>
      <c r="T40" t="s">
        <v>35</v>
      </c>
      <c r="U40">
        <v>-146</v>
      </c>
      <c r="V40" t="s">
        <v>38</v>
      </c>
      <c r="W40" s="1">
        <v>45813</v>
      </c>
      <c r="X40">
        <v>2025</v>
      </c>
    </row>
    <row r="41" spans="1:24" x14ac:dyDescent="0.25">
      <c r="A41" s="1">
        <v>45860</v>
      </c>
      <c r="B41" t="s">
        <v>145</v>
      </c>
      <c r="C41" t="s">
        <v>146</v>
      </c>
      <c r="E41" t="s">
        <v>147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L41" s="1">
        <v>45901</v>
      </c>
      <c r="M41" s="1">
        <v>45901</v>
      </c>
      <c r="O41">
        <v>2158366</v>
      </c>
      <c r="P41" t="s">
        <v>32</v>
      </c>
      <c r="Q41" t="s">
        <v>85</v>
      </c>
      <c r="R41">
        <v>8192</v>
      </c>
      <c r="S41" t="s">
        <v>34</v>
      </c>
      <c r="T41" t="s">
        <v>35</v>
      </c>
      <c r="U41">
        <v>751</v>
      </c>
      <c r="V41" t="s">
        <v>36</v>
      </c>
      <c r="W41" s="1">
        <v>45813</v>
      </c>
      <c r="X41">
        <v>2025</v>
      </c>
    </row>
    <row r="42" spans="1:24" x14ac:dyDescent="0.25">
      <c r="A42" s="1">
        <v>45860</v>
      </c>
      <c r="B42" t="s">
        <v>148</v>
      </c>
      <c r="C42" t="s">
        <v>149</v>
      </c>
      <c r="E42" t="s">
        <v>150</v>
      </c>
      <c r="F42" t="s">
        <v>54</v>
      </c>
      <c r="G42" t="s">
        <v>37</v>
      </c>
      <c r="H42" t="s">
        <v>29</v>
      </c>
      <c r="I42" t="s">
        <v>55</v>
      </c>
      <c r="J42" t="s">
        <v>89</v>
      </c>
      <c r="L42" s="1">
        <v>45809</v>
      </c>
      <c r="M42" s="1">
        <v>45809</v>
      </c>
      <c r="O42">
        <v>18710070</v>
      </c>
      <c r="P42" t="s">
        <v>32</v>
      </c>
      <c r="Q42" t="s">
        <v>151</v>
      </c>
      <c r="R42">
        <v>8192</v>
      </c>
      <c r="S42" t="s">
        <v>34</v>
      </c>
      <c r="T42" t="s">
        <v>35</v>
      </c>
      <c r="U42">
        <v>-278.83</v>
      </c>
      <c r="V42" t="s">
        <v>38</v>
      </c>
      <c r="W42" s="1">
        <v>45805</v>
      </c>
      <c r="X42">
        <v>2025</v>
      </c>
    </row>
    <row r="43" spans="1:24" x14ac:dyDescent="0.25">
      <c r="A43" s="1">
        <v>45860</v>
      </c>
      <c r="B43" t="s">
        <v>148</v>
      </c>
      <c r="C43" t="s">
        <v>149</v>
      </c>
      <c r="E43" t="s">
        <v>150</v>
      </c>
      <c r="F43" t="s">
        <v>54</v>
      </c>
      <c r="G43" t="s">
        <v>28</v>
      </c>
      <c r="H43" t="s">
        <v>29</v>
      </c>
      <c r="I43" t="s">
        <v>55</v>
      </c>
      <c r="J43" t="s">
        <v>89</v>
      </c>
      <c r="L43" s="1">
        <v>45809</v>
      </c>
      <c r="M43" s="1">
        <v>45809</v>
      </c>
      <c r="O43">
        <v>18710070</v>
      </c>
      <c r="P43" t="s">
        <v>32</v>
      </c>
      <c r="Q43" t="s">
        <v>151</v>
      </c>
      <c r="R43">
        <v>8192</v>
      </c>
      <c r="S43" t="s">
        <v>34</v>
      </c>
      <c r="T43" t="s">
        <v>35</v>
      </c>
      <c r="U43">
        <v>830</v>
      </c>
      <c r="V43" t="s">
        <v>36</v>
      </c>
      <c r="W43" s="1">
        <v>45805</v>
      </c>
      <c r="X43">
        <v>2025</v>
      </c>
    </row>
    <row r="44" spans="1:24" x14ac:dyDescent="0.25">
      <c r="A44" s="1">
        <v>45860</v>
      </c>
      <c r="B44" t="s">
        <v>152</v>
      </c>
      <c r="C44" t="s">
        <v>153</v>
      </c>
      <c r="E44" t="s">
        <v>154</v>
      </c>
      <c r="F44" t="s">
        <v>27</v>
      </c>
      <c r="G44" t="s">
        <v>28</v>
      </c>
      <c r="H44" t="s">
        <v>29</v>
      </c>
      <c r="I44" t="s">
        <v>30</v>
      </c>
      <c r="J44" t="s">
        <v>155</v>
      </c>
      <c r="L44" s="1">
        <v>45809</v>
      </c>
      <c r="M44" s="1">
        <v>45809</v>
      </c>
      <c r="O44">
        <v>8307933</v>
      </c>
      <c r="P44" t="s">
        <v>32</v>
      </c>
      <c r="Q44" t="s">
        <v>46</v>
      </c>
      <c r="R44">
        <v>8192</v>
      </c>
      <c r="S44" t="s">
        <v>34</v>
      </c>
      <c r="T44" t="s">
        <v>35</v>
      </c>
      <c r="U44">
        <v>751</v>
      </c>
      <c r="V44" t="s">
        <v>36</v>
      </c>
      <c r="W44" s="1">
        <v>45791</v>
      </c>
      <c r="X44">
        <v>2025</v>
      </c>
    </row>
    <row r="45" spans="1:24" x14ac:dyDescent="0.25">
      <c r="A45" s="1">
        <v>45860</v>
      </c>
      <c r="B45" t="s">
        <v>152</v>
      </c>
      <c r="C45" t="s">
        <v>153</v>
      </c>
      <c r="E45" t="s">
        <v>154</v>
      </c>
      <c r="F45" t="s">
        <v>27</v>
      </c>
      <c r="G45" t="s">
        <v>37</v>
      </c>
      <c r="H45" t="s">
        <v>29</v>
      </c>
      <c r="I45" t="s">
        <v>30</v>
      </c>
      <c r="J45" t="s">
        <v>155</v>
      </c>
      <c r="L45" s="1">
        <v>45809</v>
      </c>
      <c r="M45" s="1">
        <v>45809</v>
      </c>
      <c r="O45">
        <v>8307933</v>
      </c>
      <c r="P45" t="s">
        <v>32</v>
      </c>
      <c r="Q45" t="s">
        <v>46</v>
      </c>
      <c r="R45">
        <v>8192</v>
      </c>
      <c r="S45" t="s">
        <v>34</v>
      </c>
      <c r="T45" t="s">
        <v>35</v>
      </c>
      <c r="U45">
        <v>-255.5</v>
      </c>
      <c r="V45" t="s">
        <v>38</v>
      </c>
      <c r="W45" s="1">
        <v>45791</v>
      </c>
      <c r="X45">
        <v>2025</v>
      </c>
    </row>
    <row r="46" spans="1:24" x14ac:dyDescent="0.25">
      <c r="A46" s="1">
        <v>45860</v>
      </c>
      <c r="B46" t="s">
        <v>156</v>
      </c>
      <c r="C46" t="s">
        <v>157</v>
      </c>
      <c r="E46" t="s">
        <v>158</v>
      </c>
      <c r="F46" t="s">
        <v>27</v>
      </c>
      <c r="G46" t="s">
        <v>37</v>
      </c>
      <c r="H46" t="s">
        <v>29</v>
      </c>
      <c r="I46" t="s">
        <v>30</v>
      </c>
      <c r="J46" t="s">
        <v>155</v>
      </c>
      <c r="L46" s="1">
        <v>45809</v>
      </c>
      <c r="M46" s="1">
        <v>45809</v>
      </c>
      <c r="O46">
        <v>8307933</v>
      </c>
      <c r="P46" t="s">
        <v>32</v>
      </c>
      <c r="Q46" t="s">
        <v>46</v>
      </c>
      <c r="R46">
        <v>8192</v>
      </c>
      <c r="S46" t="s">
        <v>34</v>
      </c>
      <c r="T46" t="s">
        <v>35</v>
      </c>
      <c r="U46">
        <v>-255.5</v>
      </c>
      <c r="V46" t="s">
        <v>38</v>
      </c>
      <c r="W46" s="1">
        <v>45791</v>
      </c>
      <c r="X46">
        <v>2025</v>
      </c>
    </row>
    <row r="47" spans="1:24" x14ac:dyDescent="0.25">
      <c r="A47" s="1">
        <v>45860</v>
      </c>
      <c r="B47" t="s">
        <v>156</v>
      </c>
      <c r="C47" t="s">
        <v>157</v>
      </c>
      <c r="E47" t="s">
        <v>158</v>
      </c>
      <c r="F47" t="s">
        <v>27</v>
      </c>
      <c r="G47" t="s">
        <v>28</v>
      </c>
      <c r="H47" t="s">
        <v>29</v>
      </c>
      <c r="I47" t="s">
        <v>30</v>
      </c>
      <c r="J47" t="s">
        <v>155</v>
      </c>
      <c r="L47" s="1">
        <v>45809</v>
      </c>
      <c r="M47" s="1">
        <v>45809</v>
      </c>
      <c r="O47">
        <v>8307933</v>
      </c>
      <c r="P47" t="s">
        <v>32</v>
      </c>
      <c r="Q47" t="s">
        <v>46</v>
      </c>
      <c r="R47">
        <v>8192</v>
      </c>
      <c r="S47" t="s">
        <v>34</v>
      </c>
      <c r="T47" t="s">
        <v>35</v>
      </c>
      <c r="U47">
        <v>751</v>
      </c>
      <c r="V47" t="s">
        <v>36</v>
      </c>
      <c r="W47" s="1">
        <v>45791</v>
      </c>
      <c r="X47">
        <v>2025</v>
      </c>
    </row>
    <row r="48" spans="1:24" x14ac:dyDescent="0.25">
      <c r="A48" s="1">
        <v>45860</v>
      </c>
      <c r="B48" t="s">
        <v>159</v>
      </c>
      <c r="C48" t="s">
        <v>160</v>
      </c>
      <c r="E48" t="s">
        <v>161</v>
      </c>
      <c r="F48" t="s">
        <v>162</v>
      </c>
      <c r="G48" t="s">
        <v>28</v>
      </c>
      <c r="H48" t="s">
        <v>29</v>
      </c>
      <c r="I48" t="s">
        <v>163</v>
      </c>
      <c r="J48" t="s">
        <v>164</v>
      </c>
      <c r="L48" s="1">
        <v>45839</v>
      </c>
      <c r="M48" s="1">
        <v>45839</v>
      </c>
      <c r="O48">
        <v>21564088</v>
      </c>
      <c r="P48" t="s">
        <v>32</v>
      </c>
      <c r="Q48" t="s">
        <v>165</v>
      </c>
      <c r="R48">
        <v>8192</v>
      </c>
      <c r="S48" t="s">
        <v>34</v>
      </c>
      <c r="T48" t="s">
        <v>35</v>
      </c>
      <c r="U48">
        <v>751</v>
      </c>
      <c r="V48" t="s">
        <v>36</v>
      </c>
      <c r="W48" s="1">
        <v>45835</v>
      </c>
      <c r="X48">
        <v>2025</v>
      </c>
    </row>
    <row r="49" spans="1:24" x14ac:dyDescent="0.25">
      <c r="A49" s="1">
        <v>45860</v>
      </c>
      <c r="B49" t="s">
        <v>159</v>
      </c>
      <c r="C49" t="s">
        <v>160</v>
      </c>
      <c r="E49" t="s">
        <v>161</v>
      </c>
      <c r="F49" t="s">
        <v>162</v>
      </c>
      <c r="G49" t="s">
        <v>37</v>
      </c>
      <c r="H49" t="s">
        <v>29</v>
      </c>
      <c r="I49" t="s">
        <v>163</v>
      </c>
      <c r="J49" t="s">
        <v>164</v>
      </c>
      <c r="L49" s="1">
        <v>45839</v>
      </c>
      <c r="M49" s="1">
        <v>45839</v>
      </c>
      <c r="O49">
        <v>21564088</v>
      </c>
      <c r="P49" t="s">
        <v>32</v>
      </c>
      <c r="Q49" t="s">
        <v>165</v>
      </c>
      <c r="R49">
        <v>8192</v>
      </c>
      <c r="S49" t="s">
        <v>34</v>
      </c>
      <c r="T49" t="s">
        <v>35</v>
      </c>
      <c r="U49">
        <v>-219</v>
      </c>
      <c r="V49" t="s">
        <v>38</v>
      </c>
      <c r="W49" s="1">
        <v>45835</v>
      </c>
      <c r="X49">
        <v>2025</v>
      </c>
    </row>
    <row r="50" spans="1:24" x14ac:dyDescent="0.25">
      <c r="A50" s="1">
        <v>45860</v>
      </c>
      <c r="B50" t="s">
        <v>166</v>
      </c>
      <c r="C50" t="s">
        <v>167</v>
      </c>
      <c r="E50" t="s">
        <v>168</v>
      </c>
      <c r="F50" t="s">
        <v>54</v>
      </c>
      <c r="G50" t="s">
        <v>28</v>
      </c>
      <c r="H50" t="s">
        <v>29</v>
      </c>
      <c r="I50" t="s">
        <v>55</v>
      </c>
      <c r="J50" t="s">
        <v>56</v>
      </c>
      <c r="L50" s="1">
        <v>45839</v>
      </c>
      <c r="M50" s="1">
        <v>45839</v>
      </c>
      <c r="O50">
        <v>19278370</v>
      </c>
      <c r="P50" t="s">
        <v>32</v>
      </c>
      <c r="Q50" t="s">
        <v>169</v>
      </c>
      <c r="R50">
        <v>8192</v>
      </c>
      <c r="S50" t="s">
        <v>34</v>
      </c>
      <c r="T50" t="s">
        <v>35</v>
      </c>
      <c r="U50">
        <v>830</v>
      </c>
      <c r="V50" t="s">
        <v>36</v>
      </c>
      <c r="W50" s="1">
        <v>45814</v>
      </c>
      <c r="X50">
        <v>2025</v>
      </c>
    </row>
    <row r="51" spans="1:24" x14ac:dyDescent="0.25">
      <c r="A51" s="1">
        <v>45860</v>
      </c>
      <c r="B51" t="s">
        <v>166</v>
      </c>
      <c r="C51" t="s">
        <v>167</v>
      </c>
      <c r="E51" t="s">
        <v>168</v>
      </c>
      <c r="F51" t="s">
        <v>54</v>
      </c>
      <c r="G51" t="s">
        <v>37</v>
      </c>
      <c r="H51" t="s">
        <v>29</v>
      </c>
      <c r="I51" t="s">
        <v>55</v>
      </c>
      <c r="J51" t="s">
        <v>56</v>
      </c>
      <c r="L51" s="1">
        <v>45839</v>
      </c>
      <c r="M51" s="1">
        <v>45839</v>
      </c>
      <c r="O51">
        <v>19278370</v>
      </c>
      <c r="P51" t="s">
        <v>32</v>
      </c>
      <c r="Q51" t="s">
        <v>169</v>
      </c>
      <c r="R51">
        <v>8192</v>
      </c>
      <c r="S51" t="s">
        <v>34</v>
      </c>
      <c r="T51" t="s">
        <v>35</v>
      </c>
      <c r="U51">
        <v>-239</v>
      </c>
      <c r="V51" t="s">
        <v>38</v>
      </c>
      <c r="W51" s="1">
        <v>45814</v>
      </c>
      <c r="X51">
        <v>2025</v>
      </c>
    </row>
    <row r="52" spans="1:24" x14ac:dyDescent="0.25">
      <c r="A52" s="1">
        <v>45860</v>
      </c>
      <c r="B52" t="s">
        <v>170</v>
      </c>
      <c r="C52" t="s">
        <v>171</v>
      </c>
      <c r="E52" t="s">
        <v>172</v>
      </c>
      <c r="F52" t="s">
        <v>173</v>
      </c>
      <c r="G52" t="s">
        <v>37</v>
      </c>
      <c r="H52" t="s">
        <v>29</v>
      </c>
      <c r="I52" t="s">
        <v>174</v>
      </c>
      <c r="J52" t="s">
        <v>175</v>
      </c>
      <c r="L52" s="1">
        <v>45870</v>
      </c>
      <c r="M52" s="1">
        <v>45870</v>
      </c>
      <c r="O52">
        <v>16865615</v>
      </c>
      <c r="P52" t="s">
        <v>32</v>
      </c>
      <c r="Q52" t="s">
        <v>176</v>
      </c>
      <c r="R52">
        <v>8192</v>
      </c>
      <c r="S52" t="s">
        <v>34</v>
      </c>
      <c r="T52" t="s">
        <v>35</v>
      </c>
      <c r="U52">
        <v>-182.5</v>
      </c>
      <c r="V52" t="s">
        <v>38</v>
      </c>
      <c r="W52" s="1">
        <v>45832</v>
      </c>
      <c r="X52">
        <v>2025</v>
      </c>
    </row>
    <row r="53" spans="1:24" x14ac:dyDescent="0.25">
      <c r="A53" s="1">
        <v>45860</v>
      </c>
      <c r="B53" t="s">
        <v>170</v>
      </c>
      <c r="C53" t="s">
        <v>171</v>
      </c>
      <c r="E53" t="s">
        <v>172</v>
      </c>
      <c r="F53" t="s">
        <v>173</v>
      </c>
      <c r="G53" t="s">
        <v>28</v>
      </c>
      <c r="H53" t="s">
        <v>29</v>
      </c>
      <c r="I53" t="s">
        <v>174</v>
      </c>
      <c r="J53" t="s">
        <v>175</v>
      </c>
      <c r="L53" s="1">
        <v>45870</v>
      </c>
      <c r="M53" s="1">
        <v>45870</v>
      </c>
      <c r="O53">
        <v>16865615</v>
      </c>
      <c r="P53" t="s">
        <v>32</v>
      </c>
      <c r="Q53" t="s">
        <v>176</v>
      </c>
      <c r="R53">
        <v>8192</v>
      </c>
      <c r="S53" t="s">
        <v>34</v>
      </c>
      <c r="T53" t="s">
        <v>35</v>
      </c>
      <c r="U53">
        <v>751</v>
      </c>
      <c r="V53" t="s">
        <v>36</v>
      </c>
      <c r="W53" s="1">
        <v>45832</v>
      </c>
      <c r="X53">
        <v>2025</v>
      </c>
    </row>
    <row r="54" spans="1:24" x14ac:dyDescent="0.25">
      <c r="A54" s="1">
        <v>45860</v>
      </c>
      <c r="B54" t="s">
        <v>177</v>
      </c>
      <c r="C54" t="s">
        <v>178</v>
      </c>
      <c r="E54" t="s">
        <v>179</v>
      </c>
      <c r="F54" t="s">
        <v>54</v>
      </c>
      <c r="G54" t="s">
        <v>113</v>
      </c>
      <c r="H54" t="s">
        <v>29</v>
      </c>
      <c r="I54" t="s">
        <v>55</v>
      </c>
      <c r="J54" t="s">
        <v>180</v>
      </c>
      <c r="L54" s="1">
        <v>45839</v>
      </c>
      <c r="M54" s="1">
        <v>45839</v>
      </c>
      <c r="O54">
        <v>17528908</v>
      </c>
      <c r="P54" t="s">
        <v>32</v>
      </c>
      <c r="Q54" t="s">
        <v>90</v>
      </c>
      <c r="R54">
        <v>8192</v>
      </c>
      <c r="S54" t="s">
        <v>34</v>
      </c>
      <c r="T54" t="s">
        <v>35</v>
      </c>
      <c r="U54">
        <v>415</v>
      </c>
      <c r="V54" t="s">
        <v>36</v>
      </c>
      <c r="W54" s="1">
        <v>45825</v>
      </c>
      <c r="X54">
        <v>2025</v>
      </c>
    </row>
    <row r="55" spans="1:24" x14ac:dyDescent="0.25">
      <c r="A55" s="1">
        <v>45860</v>
      </c>
      <c r="B55" t="s">
        <v>177</v>
      </c>
      <c r="C55" t="s">
        <v>178</v>
      </c>
      <c r="E55" t="s">
        <v>179</v>
      </c>
      <c r="F55" t="s">
        <v>54</v>
      </c>
      <c r="G55" t="s">
        <v>37</v>
      </c>
      <c r="H55" t="s">
        <v>29</v>
      </c>
      <c r="I55" t="s">
        <v>55</v>
      </c>
      <c r="J55" t="s">
        <v>180</v>
      </c>
      <c r="L55" s="1">
        <v>45839</v>
      </c>
      <c r="M55" s="1">
        <v>45839</v>
      </c>
      <c r="O55">
        <v>17528908</v>
      </c>
      <c r="P55" t="s">
        <v>32</v>
      </c>
      <c r="Q55" t="s">
        <v>90</v>
      </c>
      <c r="R55">
        <v>8192</v>
      </c>
      <c r="S55" t="s">
        <v>34</v>
      </c>
      <c r="T55" t="s">
        <v>35</v>
      </c>
      <c r="U55">
        <v>-239</v>
      </c>
      <c r="V55" t="s">
        <v>38</v>
      </c>
      <c r="W55" s="1">
        <v>45825</v>
      </c>
      <c r="X55">
        <v>2025</v>
      </c>
    </row>
    <row r="56" spans="1:24" x14ac:dyDescent="0.25">
      <c r="A56" s="1">
        <v>45860</v>
      </c>
      <c r="B56" t="s">
        <v>181</v>
      </c>
      <c r="C56" t="s">
        <v>182</v>
      </c>
      <c r="E56" t="s">
        <v>183</v>
      </c>
      <c r="F56" t="s">
        <v>184</v>
      </c>
      <c r="G56" t="s">
        <v>28</v>
      </c>
      <c r="H56" t="s">
        <v>29</v>
      </c>
      <c r="I56" t="s">
        <v>185</v>
      </c>
      <c r="J56" t="s">
        <v>186</v>
      </c>
      <c r="L56" s="1">
        <v>45901</v>
      </c>
      <c r="M56" s="1">
        <v>45901</v>
      </c>
      <c r="O56">
        <v>8307933</v>
      </c>
      <c r="P56" t="s">
        <v>32</v>
      </c>
      <c r="Q56" t="s">
        <v>46</v>
      </c>
      <c r="R56">
        <v>8192</v>
      </c>
      <c r="S56" t="s">
        <v>34</v>
      </c>
      <c r="T56" t="s">
        <v>35</v>
      </c>
      <c r="U56">
        <v>751</v>
      </c>
      <c r="V56" t="s">
        <v>36</v>
      </c>
      <c r="W56" s="1">
        <v>45814</v>
      </c>
      <c r="X56">
        <v>2025</v>
      </c>
    </row>
    <row r="57" spans="1:24" x14ac:dyDescent="0.25">
      <c r="A57" s="1">
        <v>45860</v>
      </c>
      <c r="B57" t="s">
        <v>181</v>
      </c>
      <c r="C57" t="s">
        <v>182</v>
      </c>
      <c r="E57" t="s">
        <v>183</v>
      </c>
      <c r="F57" t="s">
        <v>184</v>
      </c>
      <c r="G57" t="s">
        <v>37</v>
      </c>
      <c r="H57" t="s">
        <v>29</v>
      </c>
      <c r="I57" t="s">
        <v>185</v>
      </c>
      <c r="J57" t="s">
        <v>186</v>
      </c>
      <c r="L57" s="1">
        <v>45901</v>
      </c>
      <c r="M57" s="1">
        <v>45901</v>
      </c>
      <c r="O57">
        <v>8307933</v>
      </c>
      <c r="P57" t="s">
        <v>32</v>
      </c>
      <c r="Q57" t="s">
        <v>46</v>
      </c>
      <c r="R57">
        <v>8192</v>
      </c>
      <c r="S57" t="s">
        <v>34</v>
      </c>
      <c r="T57" t="s">
        <v>35</v>
      </c>
      <c r="U57">
        <v>-146</v>
      </c>
      <c r="V57" t="s">
        <v>38</v>
      </c>
      <c r="W57" s="1">
        <v>45814</v>
      </c>
      <c r="X57">
        <v>2025</v>
      </c>
    </row>
    <row r="58" spans="1:24" x14ac:dyDescent="0.25">
      <c r="A58" s="1">
        <v>45860</v>
      </c>
      <c r="B58" t="s">
        <v>187</v>
      </c>
      <c r="C58" t="s">
        <v>188</v>
      </c>
      <c r="E58" t="s">
        <v>189</v>
      </c>
      <c r="F58" t="s">
        <v>94</v>
      </c>
      <c r="G58" t="s">
        <v>28</v>
      </c>
      <c r="H58" t="s">
        <v>29</v>
      </c>
      <c r="I58" t="s">
        <v>30</v>
      </c>
      <c r="J58" t="s">
        <v>190</v>
      </c>
      <c r="L58" s="1">
        <v>45901</v>
      </c>
      <c r="M58" s="1">
        <v>45901</v>
      </c>
      <c r="O58">
        <v>19681796</v>
      </c>
      <c r="P58" t="s">
        <v>32</v>
      </c>
      <c r="Q58" t="s">
        <v>67</v>
      </c>
      <c r="R58">
        <v>8192</v>
      </c>
      <c r="S58" t="s">
        <v>34</v>
      </c>
      <c r="T58" t="s">
        <v>35</v>
      </c>
      <c r="U58">
        <v>746</v>
      </c>
      <c r="V58" t="s">
        <v>36</v>
      </c>
      <c r="W58" s="1">
        <v>45819</v>
      </c>
      <c r="X58">
        <v>2025</v>
      </c>
    </row>
    <row r="59" spans="1:24" x14ac:dyDescent="0.25">
      <c r="A59" s="1">
        <v>45860</v>
      </c>
      <c r="B59" t="s">
        <v>187</v>
      </c>
      <c r="C59" t="s">
        <v>188</v>
      </c>
      <c r="E59" t="s">
        <v>189</v>
      </c>
      <c r="F59" t="s">
        <v>94</v>
      </c>
      <c r="G59" t="s">
        <v>37</v>
      </c>
      <c r="H59" t="s">
        <v>29</v>
      </c>
      <c r="I59" t="s">
        <v>30</v>
      </c>
      <c r="J59" t="s">
        <v>190</v>
      </c>
      <c r="L59" s="1">
        <v>45901</v>
      </c>
      <c r="M59" s="1">
        <v>45901</v>
      </c>
      <c r="O59">
        <v>19681796</v>
      </c>
      <c r="P59" t="s">
        <v>32</v>
      </c>
      <c r="Q59" t="s">
        <v>67</v>
      </c>
      <c r="R59">
        <v>8192</v>
      </c>
      <c r="S59" t="s">
        <v>34</v>
      </c>
      <c r="T59" t="s">
        <v>35</v>
      </c>
      <c r="U59">
        <v>-144.33000000000001</v>
      </c>
      <c r="V59" t="s">
        <v>38</v>
      </c>
      <c r="W59" s="1">
        <v>45819</v>
      </c>
      <c r="X59">
        <v>2025</v>
      </c>
    </row>
    <row r="60" spans="1:24" x14ac:dyDescent="0.25">
      <c r="A60" s="1">
        <v>45860</v>
      </c>
      <c r="B60" t="s">
        <v>191</v>
      </c>
      <c r="C60" t="s">
        <v>192</v>
      </c>
      <c r="E60" t="s">
        <v>193</v>
      </c>
      <c r="F60" t="s">
        <v>27</v>
      </c>
      <c r="G60" t="s">
        <v>37</v>
      </c>
      <c r="H60" t="s">
        <v>29</v>
      </c>
      <c r="I60" t="s">
        <v>30</v>
      </c>
      <c r="J60" t="s">
        <v>127</v>
      </c>
      <c r="L60" s="1">
        <v>45839</v>
      </c>
      <c r="M60" s="1">
        <v>45839</v>
      </c>
      <c r="O60">
        <v>7146581</v>
      </c>
      <c r="P60" t="s">
        <v>32</v>
      </c>
      <c r="Q60" t="s">
        <v>128</v>
      </c>
      <c r="R60">
        <v>8192</v>
      </c>
      <c r="S60" t="s">
        <v>34</v>
      </c>
      <c r="T60" t="s">
        <v>35</v>
      </c>
      <c r="U60">
        <v>-219</v>
      </c>
      <c r="V60" t="s">
        <v>38</v>
      </c>
      <c r="W60" s="1">
        <v>45834</v>
      </c>
      <c r="X60">
        <v>2025</v>
      </c>
    </row>
    <row r="61" spans="1:24" x14ac:dyDescent="0.25">
      <c r="A61" s="1">
        <v>45860</v>
      </c>
      <c r="B61" t="s">
        <v>191</v>
      </c>
      <c r="C61" t="s">
        <v>192</v>
      </c>
      <c r="E61" t="s">
        <v>193</v>
      </c>
      <c r="F61" t="s">
        <v>27</v>
      </c>
      <c r="G61" t="s">
        <v>28</v>
      </c>
      <c r="H61" t="s">
        <v>29</v>
      </c>
      <c r="I61" t="s">
        <v>30</v>
      </c>
      <c r="J61" t="s">
        <v>127</v>
      </c>
      <c r="L61" s="1">
        <v>45839</v>
      </c>
      <c r="M61" s="1">
        <v>45839</v>
      </c>
      <c r="O61">
        <v>7146581</v>
      </c>
      <c r="P61" t="s">
        <v>32</v>
      </c>
      <c r="Q61" t="s">
        <v>128</v>
      </c>
      <c r="R61">
        <v>8192</v>
      </c>
      <c r="S61" t="s">
        <v>34</v>
      </c>
      <c r="T61" t="s">
        <v>35</v>
      </c>
      <c r="U61">
        <v>751</v>
      </c>
      <c r="V61" t="s">
        <v>36</v>
      </c>
      <c r="W61" s="1">
        <v>45834</v>
      </c>
      <c r="X61">
        <v>2025</v>
      </c>
    </row>
    <row r="62" spans="1:24" x14ac:dyDescent="0.25">
      <c r="A62" s="1">
        <v>45860</v>
      </c>
      <c r="B62" t="s">
        <v>194</v>
      </c>
      <c r="C62" t="s">
        <v>195</v>
      </c>
      <c r="E62" t="s">
        <v>196</v>
      </c>
      <c r="F62" t="s">
        <v>197</v>
      </c>
      <c r="G62" t="s">
        <v>37</v>
      </c>
      <c r="H62" t="s">
        <v>29</v>
      </c>
      <c r="I62" t="s">
        <v>198</v>
      </c>
      <c r="J62" t="s">
        <v>199</v>
      </c>
      <c r="L62" s="1">
        <v>45839</v>
      </c>
      <c r="M62" s="1">
        <v>45839</v>
      </c>
      <c r="O62">
        <v>8307933</v>
      </c>
      <c r="P62" t="s">
        <v>32</v>
      </c>
      <c r="Q62" t="s">
        <v>46</v>
      </c>
      <c r="R62">
        <v>8192</v>
      </c>
      <c r="S62" t="s">
        <v>34</v>
      </c>
      <c r="T62" t="s">
        <v>35</v>
      </c>
      <c r="U62">
        <v>-219</v>
      </c>
      <c r="V62" t="s">
        <v>38</v>
      </c>
      <c r="W62" s="1">
        <v>45825</v>
      </c>
      <c r="X62">
        <v>2025</v>
      </c>
    </row>
    <row r="63" spans="1:24" x14ac:dyDescent="0.25">
      <c r="A63" s="1">
        <v>45860</v>
      </c>
      <c r="B63" t="s">
        <v>194</v>
      </c>
      <c r="C63" t="s">
        <v>195</v>
      </c>
      <c r="E63" t="s">
        <v>196</v>
      </c>
      <c r="F63" t="s">
        <v>197</v>
      </c>
      <c r="G63" t="s">
        <v>28</v>
      </c>
      <c r="H63" t="s">
        <v>29</v>
      </c>
      <c r="I63" t="s">
        <v>198</v>
      </c>
      <c r="J63" t="s">
        <v>199</v>
      </c>
      <c r="L63" s="1">
        <v>45839</v>
      </c>
      <c r="M63" s="1">
        <v>45839</v>
      </c>
      <c r="O63">
        <v>8307933</v>
      </c>
      <c r="P63" t="s">
        <v>32</v>
      </c>
      <c r="Q63" t="s">
        <v>46</v>
      </c>
      <c r="R63">
        <v>8192</v>
      </c>
      <c r="S63" t="s">
        <v>34</v>
      </c>
      <c r="T63" t="s">
        <v>35</v>
      </c>
      <c r="U63">
        <v>751</v>
      </c>
      <c r="V63" t="s">
        <v>36</v>
      </c>
      <c r="W63" s="1">
        <v>45825</v>
      </c>
      <c r="X63">
        <v>2025</v>
      </c>
    </row>
    <row r="64" spans="1:24" x14ac:dyDescent="0.25">
      <c r="A64" s="1">
        <v>45860</v>
      </c>
      <c r="B64" t="s">
        <v>200</v>
      </c>
      <c r="C64" t="s">
        <v>201</v>
      </c>
      <c r="E64" t="s">
        <v>202</v>
      </c>
      <c r="F64" t="s">
        <v>27</v>
      </c>
      <c r="G64" t="s">
        <v>37</v>
      </c>
      <c r="H64" t="s">
        <v>29</v>
      </c>
      <c r="I64" t="s">
        <v>30</v>
      </c>
      <c r="J64" t="s">
        <v>50</v>
      </c>
      <c r="L64" s="1">
        <v>45839</v>
      </c>
      <c r="M64" s="1">
        <v>45839</v>
      </c>
      <c r="O64">
        <v>7152559</v>
      </c>
      <c r="P64" t="s">
        <v>32</v>
      </c>
      <c r="Q64" t="s">
        <v>203</v>
      </c>
      <c r="R64">
        <v>8192</v>
      </c>
      <c r="S64" t="s">
        <v>34</v>
      </c>
      <c r="T64" t="s">
        <v>35</v>
      </c>
      <c r="U64">
        <v>-219</v>
      </c>
      <c r="V64" t="s">
        <v>38</v>
      </c>
      <c r="W64" s="1">
        <v>45820</v>
      </c>
      <c r="X64">
        <v>2025</v>
      </c>
    </row>
    <row r="65" spans="1:24" x14ac:dyDescent="0.25">
      <c r="A65" s="1">
        <v>45860</v>
      </c>
      <c r="B65" t="s">
        <v>200</v>
      </c>
      <c r="C65" t="s">
        <v>201</v>
      </c>
      <c r="E65" t="s">
        <v>202</v>
      </c>
      <c r="F65" t="s">
        <v>27</v>
      </c>
      <c r="G65" t="s">
        <v>113</v>
      </c>
      <c r="H65" t="s">
        <v>29</v>
      </c>
      <c r="I65" t="s">
        <v>30</v>
      </c>
      <c r="J65" t="s">
        <v>50</v>
      </c>
      <c r="L65" s="1">
        <v>45839</v>
      </c>
      <c r="M65" s="1">
        <v>45839</v>
      </c>
      <c r="O65">
        <v>7152559</v>
      </c>
      <c r="P65" t="s">
        <v>32</v>
      </c>
      <c r="Q65" t="s">
        <v>203</v>
      </c>
      <c r="R65">
        <v>8192</v>
      </c>
      <c r="S65" t="s">
        <v>34</v>
      </c>
      <c r="T65" t="s">
        <v>35</v>
      </c>
      <c r="U65">
        <v>375.5</v>
      </c>
      <c r="V65" t="s">
        <v>36</v>
      </c>
      <c r="W65" s="1">
        <v>45820</v>
      </c>
      <c r="X65">
        <v>2025</v>
      </c>
    </row>
    <row r="66" spans="1:24" x14ac:dyDescent="0.25">
      <c r="A66" s="1">
        <v>45860</v>
      </c>
      <c r="B66" t="s">
        <v>204</v>
      </c>
      <c r="C66" t="s">
        <v>205</v>
      </c>
      <c r="D66" t="s">
        <v>206</v>
      </c>
      <c r="E66" t="s">
        <v>207</v>
      </c>
      <c r="F66" t="s">
        <v>54</v>
      </c>
      <c r="G66" t="s">
        <v>61</v>
      </c>
      <c r="H66" t="s">
        <v>29</v>
      </c>
      <c r="I66" t="s">
        <v>208</v>
      </c>
      <c r="J66" t="s">
        <v>209</v>
      </c>
      <c r="L66" s="1">
        <v>45839</v>
      </c>
      <c r="M66" s="1">
        <v>43800</v>
      </c>
      <c r="O66">
        <v>19606009</v>
      </c>
      <c r="P66" t="s">
        <v>32</v>
      </c>
      <c r="Q66" t="s">
        <v>63</v>
      </c>
      <c r="R66">
        <v>8192</v>
      </c>
      <c r="S66" t="s">
        <v>34</v>
      </c>
      <c r="T66" t="s">
        <v>35</v>
      </c>
      <c r="U66">
        <v>1.25</v>
      </c>
      <c r="V66" t="s">
        <v>38</v>
      </c>
      <c r="W66" s="1">
        <v>45839</v>
      </c>
      <c r="X66">
        <v>2025</v>
      </c>
    </row>
    <row r="67" spans="1:24" x14ac:dyDescent="0.25">
      <c r="A67" s="1">
        <v>45860</v>
      </c>
      <c r="B67" t="s">
        <v>210</v>
      </c>
      <c r="C67" t="s">
        <v>211</v>
      </c>
      <c r="E67" t="s">
        <v>212</v>
      </c>
      <c r="F67" t="s">
        <v>27</v>
      </c>
      <c r="G67" t="s">
        <v>28</v>
      </c>
      <c r="H67" t="s">
        <v>29</v>
      </c>
      <c r="I67" t="s">
        <v>30</v>
      </c>
      <c r="J67" t="s">
        <v>31</v>
      </c>
      <c r="L67" s="1">
        <v>45839</v>
      </c>
      <c r="M67" s="1">
        <v>45839</v>
      </c>
      <c r="O67">
        <v>17301495</v>
      </c>
      <c r="P67" t="s">
        <v>32</v>
      </c>
      <c r="Q67" t="s">
        <v>33</v>
      </c>
      <c r="R67">
        <v>8192</v>
      </c>
      <c r="S67" t="s">
        <v>34</v>
      </c>
      <c r="T67" t="s">
        <v>35</v>
      </c>
      <c r="U67">
        <v>751</v>
      </c>
      <c r="V67" t="s">
        <v>36</v>
      </c>
      <c r="W67" s="1">
        <v>45825</v>
      </c>
      <c r="X67">
        <v>2025</v>
      </c>
    </row>
    <row r="68" spans="1:24" x14ac:dyDescent="0.25">
      <c r="A68" s="1">
        <v>45860</v>
      </c>
      <c r="B68" t="s">
        <v>210</v>
      </c>
      <c r="C68" t="s">
        <v>211</v>
      </c>
      <c r="E68" t="s">
        <v>212</v>
      </c>
      <c r="F68" t="s">
        <v>27</v>
      </c>
      <c r="G68" t="s">
        <v>37</v>
      </c>
      <c r="H68" t="s">
        <v>29</v>
      </c>
      <c r="I68" t="s">
        <v>30</v>
      </c>
      <c r="J68" t="s">
        <v>31</v>
      </c>
      <c r="L68" s="1">
        <v>45839</v>
      </c>
      <c r="M68" s="1">
        <v>45839</v>
      </c>
      <c r="O68">
        <v>17301495</v>
      </c>
      <c r="P68" t="s">
        <v>32</v>
      </c>
      <c r="Q68" t="s">
        <v>33</v>
      </c>
      <c r="R68">
        <v>8192</v>
      </c>
      <c r="S68" t="s">
        <v>34</v>
      </c>
      <c r="T68" t="s">
        <v>35</v>
      </c>
      <c r="U68">
        <v>-219</v>
      </c>
      <c r="V68" t="s">
        <v>38</v>
      </c>
      <c r="W68" s="1">
        <v>45825</v>
      </c>
      <c r="X68">
        <v>2025</v>
      </c>
    </row>
    <row r="69" spans="1:24" x14ac:dyDescent="0.25">
      <c r="A69" s="1">
        <v>45860</v>
      </c>
      <c r="B69" t="s">
        <v>213</v>
      </c>
      <c r="C69" t="s">
        <v>214</v>
      </c>
      <c r="E69" t="s">
        <v>215</v>
      </c>
      <c r="F69" t="s">
        <v>54</v>
      </c>
      <c r="G69" t="s">
        <v>61</v>
      </c>
      <c r="H69" t="s">
        <v>29</v>
      </c>
      <c r="I69" t="s">
        <v>55</v>
      </c>
      <c r="J69" t="s">
        <v>216</v>
      </c>
      <c r="L69" s="1">
        <v>45839</v>
      </c>
      <c r="M69" s="1">
        <v>45658</v>
      </c>
      <c r="O69">
        <v>19606009</v>
      </c>
      <c r="P69" t="s">
        <v>32</v>
      </c>
      <c r="Q69" t="s">
        <v>63</v>
      </c>
      <c r="R69">
        <v>8192</v>
      </c>
      <c r="S69" t="s">
        <v>34</v>
      </c>
      <c r="T69" t="s">
        <v>35</v>
      </c>
      <c r="U69">
        <v>1.25</v>
      </c>
      <c r="V69" t="s">
        <v>38</v>
      </c>
      <c r="W69" s="1">
        <v>45839</v>
      </c>
      <c r="X69">
        <v>2025</v>
      </c>
    </row>
    <row r="70" spans="1:24" x14ac:dyDescent="0.25">
      <c r="A70" s="1">
        <v>45860</v>
      </c>
      <c r="B70" t="s">
        <v>217</v>
      </c>
      <c r="C70" t="s">
        <v>218</v>
      </c>
      <c r="E70" t="s">
        <v>219</v>
      </c>
      <c r="F70" t="s">
        <v>27</v>
      </c>
      <c r="G70" t="s">
        <v>37</v>
      </c>
      <c r="H70" t="s">
        <v>29</v>
      </c>
      <c r="I70" t="s">
        <v>30</v>
      </c>
      <c r="J70" t="s">
        <v>31</v>
      </c>
      <c r="L70" s="1">
        <v>45839</v>
      </c>
      <c r="M70" s="1">
        <v>45839</v>
      </c>
      <c r="O70">
        <v>7146581</v>
      </c>
      <c r="P70" t="s">
        <v>32</v>
      </c>
      <c r="Q70" t="s">
        <v>128</v>
      </c>
      <c r="R70">
        <v>8192</v>
      </c>
      <c r="S70" t="s">
        <v>34</v>
      </c>
      <c r="T70" t="s">
        <v>35</v>
      </c>
      <c r="U70">
        <v>-219</v>
      </c>
      <c r="V70" t="s">
        <v>38</v>
      </c>
      <c r="W70" s="1">
        <v>45824</v>
      </c>
      <c r="X70">
        <v>2025</v>
      </c>
    </row>
    <row r="71" spans="1:24" x14ac:dyDescent="0.25">
      <c r="A71" s="1">
        <v>45860</v>
      </c>
      <c r="B71" t="s">
        <v>217</v>
      </c>
      <c r="C71" t="s">
        <v>218</v>
      </c>
      <c r="E71" t="s">
        <v>219</v>
      </c>
      <c r="F71" t="s">
        <v>27</v>
      </c>
      <c r="G71" t="s">
        <v>28</v>
      </c>
      <c r="H71" t="s">
        <v>29</v>
      </c>
      <c r="I71" t="s">
        <v>30</v>
      </c>
      <c r="J71" t="s">
        <v>31</v>
      </c>
      <c r="L71" s="1">
        <v>45839</v>
      </c>
      <c r="M71" s="1">
        <v>45839</v>
      </c>
      <c r="O71">
        <v>7146581</v>
      </c>
      <c r="P71" t="s">
        <v>32</v>
      </c>
      <c r="Q71" t="s">
        <v>128</v>
      </c>
      <c r="R71">
        <v>8192</v>
      </c>
      <c r="S71" t="s">
        <v>34</v>
      </c>
      <c r="T71" t="s">
        <v>35</v>
      </c>
      <c r="U71">
        <v>751</v>
      </c>
      <c r="V71" t="s">
        <v>36</v>
      </c>
      <c r="W71" s="1">
        <v>45824</v>
      </c>
      <c r="X71">
        <v>2025</v>
      </c>
    </row>
    <row r="72" spans="1:24" x14ac:dyDescent="0.25">
      <c r="A72" s="1">
        <v>45860</v>
      </c>
      <c r="B72" t="s">
        <v>220</v>
      </c>
      <c r="C72" t="s">
        <v>221</v>
      </c>
      <c r="E72" t="s">
        <v>222</v>
      </c>
      <c r="F72" t="s">
        <v>223</v>
      </c>
      <c r="G72" t="s">
        <v>43</v>
      </c>
      <c r="H72" t="s">
        <v>29</v>
      </c>
      <c r="I72" t="s">
        <v>224</v>
      </c>
      <c r="J72" t="s">
        <v>225</v>
      </c>
      <c r="L72" s="1">
        <v>45931</v>
      </c>
      <c r="M72" s="1">
        <v>45931</v>
      </c>
      <c r="O72">
        <v>19645587</v>
      </c>
      <c r="P72" t="s">
        <v>32</v>
      </c>
      <c r="Q72" t="s">
        <v>226</v>
      </c>
      <c r="R72">
        <v>8192</v>
      </c>
      <c r="S72" t="s">
        <v>34</v>
      </c>
      <c r="T72" t="s">
        <v>35</v>
      </c>
      <c r="U72">
        <v>109.5</v>
      </c>
      <c r="V72" t="s">
        <v>38</v>
      </c>
      <c r="W72" s="1">
        <v>45840</v>
      </c>
      <c r="X72">
        <v>2025</v>
      </c>
    </row>
    <row r="73" spans="1:24" x14ac:dyDescent="0.25">
      <c r="A73" s="1">
        <v>45860</v>
      </c>
      <c r="B73" t="s">
        <v>227</v>
      </c>
      <c r="C73" t="s">
        <v>228</v>
      </c>
      <c r="E73" t="s">
        <v>229</v>
      </c>
      <c r="F73" t="s">
        <v>173</v>
      </c>
      <c r="G73" t="s">
        <v>37</v>
      </c>
      <c r="H73" t="s">
        <v>29</v>
      </c>
      <c r="I73" t="s">
        <v>174</v>
      </c>
      <c r="J73" t="s">
        <v>230</v>
      </c>
      <c r="L73" s="1">
        <v>45901</v>
      </c>
      <c r="M73" s="1">
        <v>45901</v>
      </c>
      <c r="O73">
        <v>16865615</v>
      </c>
      <c r="P73" t="s">
        <v>32</v>
      </c>
      <c r="Q73" t="s">
        <v>176</v>
      </c>
      <c r="R73">
        <v>8192</v>
      </c>
      <c r="S73" t="s">
        <v>34</v>
      </c>
      <c r="T73" t="s">
        <v>35</v>
      </c>
      <c r="U73">
        <v>-146</v>
      </c>
      <c r="V73" t="s">
        <v>38</v>
      </c>
      <c r="W73" s="1">
        <v>45811</v>
      </c>
      <c r="X73">
        <v>2025</v>
      </c>
    </row>
    <row r="74" spans="1:24" x14ac:dyDescent="0.25">
      <c r="A74" s="1">
        <v>45860</v>
      </c>
      <c r="B74" t="s">
        <v>227</v>
      </c>
      <c r="C74" t="s">
        <v>228</v>
      </c>
      <c r="E74" t="s">
        <v>229</v>
      </c>
      <c r="F74" t="s">
        <v>173</v>
      </c>
      <c r="G74" t="s">
        <v>28</v>
      </c>
      <c r="H74" t="s">
        <v>29</v>
      </c>
      <c r="I74" t="s">
        <v>174</v>
      </c>
      <c r="J74" t="s">
        <v>230</v>
      </c>
      <c r="L74" s="1">
        <v>45901</v>
      </c>
      <c r="M74" s="1">
        <v>45901</v>
      </c>
      <c r="O74">
        <v>16865615</v>
      </c>
      <c r="P74" t="s">
        <v>32</v>
      </c>
      <c r="Q74" t="s">
        <v>176</v>
      </c>
      <c r="R74">
        <v>8192</v>
      </c>
      <c r="S74" t="s">
        <v>34</v>
      </c>
      <c r="T74" t="s">
        <v>35</v>
      </c>
      <c r="U74">
        <v>751</v>
      </c>
      <c r="V74" t="s">
        <v>36</v>
      </c>
      <c r="W74" s="1">
        <v>45811</v>
      </c>
      <c r="X74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5FA2-DA22-41E6-9992-9CAE48A365F1}">
  <dimension ref="A1:Q142"/>
  <sheetViews>
    <sheetView tabSelected="1" workbookViewId="0">
      <selection activeCell="D9" sqref="D9"/>
    </sheetView>
  </sheetViews>
  <sheetFormatPr defaultRowHeight="15" x14ac:dyDescent="0.25"/>
  <cols>
    <col min="1" max="1" width="17.28515625" style="2" bestFit="1" customWidth="1"/>
    <col min="2" max="2" width="17.28515625" style="2" customWidth="1"/>
    <col min="3" max="5" width="30.7109375" style="2" customWidth="1"/>
    <col min="6" max="6" width="9.140625" style="2"/>
    <col min="7" max="7" width="19.42578125" style="2" bestFit="1" customWidth="1"/>
    <col min="8" max="8" width="9.140625" style="2"/>
    <col min="9" max="9" width="10.85546875" style="2" customWidth="1"/>
    <col min="10" max="10" width="11.85546875" style="2" customWidth="1"/>
    <col min="11" max="12" width="9.140625" style="2"/>
    <col min="13" max="13" width="24.28515625" style="2" bestFit="1" customWidth="1"/>
    <col min="14" max="14" width="14.140625" style="2" bestFit="1" customWidth="1"/>
    <col min="15" max="15" width="9.140625" style="2"/>
    <col min="16" max="16" width="21.5703125" style="2" bestFit="1" customWidth="1"/>
    <col min="17" max="16384" width="9.140625" style="2"/>
  </cols>
  <sheetData>
    <row r="1" spans="1:17" x14ac:dyDescent="0.25">
      <c r="A1" s="2" t="s">
        <v>1</v>
      </c>
      <c r="C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12</v>
      </c>
      <c r="K1" s="2" t="s">
        <v>14</v>
      </c>
      <c r="L1" s="2" t="s">
        <v>15</v>
      </c>
      <c r="M1" s="2" t="s">
        <v>16</v>
      </c>
      <c r="N1" s="2" t="s">
        <v>20</v>
      </c>
    </row>
    <row r="2" spans="1:17" x14ac:dyDescent="0.25">
      <c r="A2" s="2" t="s">
        <v>51</v>
      </c>
      <c r="B2" s="2" t="str">
        <f>CONCATENATE(A2,7)</f>
        <v>7G65G68TP857</v>
      </c>
      <c r="C2" s="2" t="s">
        <v>249</v>
      </c>
      <c r="D2" s="2" t="s">
        <v>250</v>
      </c>
      <c r="E2" s="2" t="str">
        <f>CONCATENATE(D2, " ",C2)</f>
        <v>CHARLES CAMPBELL</v>
      </c>
      <c r="F2" s="2" t="s">
        <v>54</v>
      </c>
      <c r="G2" s="2" t="s">
        <v>28</v>
      </c>
      <c r="H2" s="2" t="s">
        <v>29</v>
      </c>
      <c r="I2" s="3">
        <v>45839</v>
      </c>
      <c r="J2" s="3">
        <v>45839</v>
      </c>
      <c r="K2" s="2">
        <v>17425766</v>
      </c>
      <c r="L2" s="2" t="s">
        <v>32</v>
      </c>
      <c r="M2" s="2" t="s">
        <v>57</v>
      </c>
      <c r="N2" s="2">
        <v>830</v>
      </c>
      <c r="O2" s="2">
        <v>705</v>
      </c>
      <c r="P2" s="2" t="s">
        <v>245</v>
      </c>
      <c r="Q2" s="2" t="s">
        <v>246</v>
      </c>
    </row>
    <row r="3" spans="1:17" x14ac:dyDescent="0.25">
      <c r="A3" s="2" t="s">
        <v>86</v>
      </c>
      <c r="B3" s="2" t="str">
        <f>CONCATENATE(A3,7)</f>
        <v>1KH4E07DQ777</v>
      </c>
      <c r="C3" s="2" t="s">
        <v>251</v>
      </c>
      <c r="D3" s="2" t="s">
        <v>252</v>
      </c>
      <c r="E3" s="2" t="str">
        <f t="shared" ref="E3:E66" si="0">CONCATENATE(D3, " ",C3)</f>
        <v>LISA MANGANELLO</v>
      </c>
      <c r="F3" s="2" t="s">
        <v>54</v>
      </c>
      <c r="G3" s="2" t="s">
        <v>28</v>
      </c>
      <c r="H3" s="2" t="s">
        <v>29</v>
      </c>
      <c r="I3" s="3">
        <v>45839</v>
      </c>
      <c r="J3" s="3">
        <v>45839</v>
      </c>
      <c r="K3" s="2" t="s">
        <v>248</v>
      </c>
      <c r="L3" s="2" t="s">
        <v>32</v>
      </c>
      <c r="M3" s="2" t="s">
        <v>90</v>
      </c>
      <c r="N3" s="2">
        <v>830</v>
      </c>
      <c r="O3" s="2">
        <v>705</v>
      </c>
      <c r="P3" s="2" t="s">
        <v>245</v>
      </c>
      <c r="Q3" s="2" t="s">
        <v>246</v>
      </c>
    </row>
    <row r="4" spans="1:17" x14ac:dyDescent="0.25">
      <c r="A4" s="2" t="s">
        <v>166</v>
      </c>
      <c r="B4" s="2" t="str">
        <f>CONCATENATE(A4,7)</f>
        <v>8XE2PP6YW097</v>
      </c>
      <c r="C4" s="2" t="s">
        <v>253</v>
      </c>
      <c r="D4" s="2" t="s">
        <v>254</v>
      </c>
      <c r="E4" s="2" t="str">
        <f t="shared" si="0"/>
        <v>MICHAEL RIZZO</v>
      </c>
      <c r="F4" s="2" t="s">
        <v>54</v>
      </c>
      <c r="G4" s="2" t="s">
        <v>28</v>
      </c>
      <c r="H4" s="2" t="s">
        <v>29</v>
      </c>
      <c r="I4" s="3">
        <v>45839</v>
      </c>
      <c r="J4" s="3">
        <v>45839</v>
      </c>
      <c r="K4" s="2">
        <v>19278370</v>
      </c>
      <c r="L4" s="2" t="s">
        <v>32</v>
      </c>
      <c r="M4" s="2" t="s">
        <v>169</v>
      </c>
      <c r="N4" s="2">
        <v>830</v>
      </c>
      <c r="O4" s="2">
        <v>705</v>
      </c>
      <c r="P4" s="2" t="s">
        <v>245</v>
      </c>
      <c r="Q4" s="2" t="s">
        <v>246</v>
      </c>
    </row>
    <row r="5" spans="1:17" x14ac:dyDescent="0.25">
      <c r="A5" s="2" t="s">
        <v>148</v>
      </c>
      <c r="B5" s="2" t="str">
        <f>CONCATENATE(A5,7)</f>
        <v>5VW8EA9MD677</v>
      </c>
      <c r="C5" s="2" t="s">
        <v>255</v>
      </c>
      <c r="D5" s="2" t="s">
        <v>256</v>
      </c>
      <c r="E5" s="2" t="str">
        <f t="shared" si="0"/>
        <v>VALERIE PAVLICK</v>
      </c>
      <c r="F5" s="2" t="s">
        <v>54</v>
      </c>
      <c r="G5" s="2" t="s">
        <v>28</v>
      </c>
      <c r="H5" s="2" t="s">
        <v>29</v>
      </c>
      <c r="I5" s="3">
        <v>45809</v>
      </c>
      <c r="J5" s="3">
        <v>45809</v>
      </c>
      <c r="K5" s="2">
        <v>18710070</v>
      </c>
      <c r="L5" s="2" t="s">
        <v>32</v>
      </c>
      <c r="M5" s="2" t="s">
        <v>151</v>
      </c>
      <c r="N5" s="2">
        <v>830</v>
      </c>
      <c r="O5" s="2">
        <v>705</v>
      </c>
      <c r="P5" s="2" t="s">
        <v>245</v>
      </c>
      <c r="Q5" s="2" t="s">
        <v>246</v>
      </c>
    </row>
    <row r="6" spans="1:17" x14ac:dyDescent="0.25">
      <c r="A6" s="2" t="s">
        <v>97</v>
      </c>
      <c r="B6" s="2" t="str">
        <f>CONCATENATE(A6,7)</f>
        <v>5A25J34YC527</v>
      </c>
      <c r="C6" s="2" t="s">
        <v>257</v>
      </c>
      <c r="D6" s="2" t="s">
        <v>258</v>
      </c>
      <c r="E6" s="2" t="str">
        <f t="shared" si="0"/>
        <v>JUNE MCGRATH</v>
      </c>
      <c r="F6" s="2" t="s">
        <v>54</v>
      </c>
      <c r="G6" s="2" t="s">
        <v>28</v>
      </c>
      <c r="H6" s="2" t="s">
        <v>29</v>
      </c>
      <c r="I6" s="3">
        <v>45839</v>
      </c>
      <c r="J6" s="3">
        <v>45839</v>
      </c>
      <c r="K6" s="2">
        <v>15950276</v>
      </c>
      <c r="L6" s="2" t="s">
        <v>32</v>
      </c>
      <c r="M6" s="2" t="s">
        <v>101</v>
      </c>
      <c r="N6" s="2">
        <v>830</v>
      </c>
      <c r="O6" s="2">
        <v>705</v>
      </c>
      <c r="P6" s="2" t="s">
        <v>245</v>
      </c>
      <c r="Q6" s="2" t="s">
        <v>246</v>
      </c>
    </row>
    <row r="7" spans="1:17" x14ac:dyDescent="0.25">
      <c r="A7" s="2" t="s">
        <v>51</v>
      </c>
      <c r="B7" s="2" t="str">
        <f>CONCATENATE(A7,8)</f>
        <v>7G65G68TP858</v>
      </c>
      <c r="C7" s="2" t="s">
        <v>249</v>
      </c>
      <c r="D7" s="2" t="s">
        <v>250</v>
      </c>
      <c r="E7" s="2" t="str">
        <f t="shared" si="0"/>
        <v>CHARLES CAMPBELL</v>
      </c>
      <c r="F7" s="2" t="s">
        <v>54</v>
      </c>
      <c r="G7" s="2" t="s">
        <v>37</v>
      </c>
      <c r="H7" s="2" t="s">
        <v>29</v>
      </c>
      <c r="I7" s="3">
        <v>45839</v>
      </c>
      <c r="J7" s="3">
        <v>45839</v>
      </c>
      <c r="K7" s="2">
        <v>17425766</v>
      </c>
      <c r="L7" s="2" t="s">
        <v>32</v>
      </c>
      <c r="M7" s="2" t="s">
        <v>57</v>
      </c>
      <c r="N7" s="2">
        <v>-239</v>
      </c>
      <c r="O7" s="2">
        <v>-176.5</v>
      </c>
      <c r="P7" s="2" t="s">
        <v>234</v>
      </c>
      <c r="Q7" s="2" t="s">
        <v>237</v>
      </c>
    </row>
    <row r="8" spans="1:17" x14ac:dyDescent="0.25">
      <c r="A8" s="2" t="s">
        <v>86</v>
      </c>
      <c r="B8" s="2" t="str">
        <f>CONCATENATE(A8,8)</f>
        <v>1KH4E07DQ778</v>
      </c>
      <c r="C8" s="2" t="s">
        <v>251</v>
      </c>
      <c r="D8" s="2" t="s">
        <v>252</v>
      </c>
      <c r="E8" s="2" t="str">
        <f t="shared" si="0"/>
        <v>LISA MANGANELLO</v>
      </c>
      <c r="F8" s="2" t="s">
        <v>54</v>
      </c>
      <c r="G8" s="2" t="s">
        <v>37</v>
      </c>
      <c r="H8" s="2" t="s">
        <v>29</v>
      </c>
      <c r="I8" s="3">
        <v>45839</v>
      </c>
      <c r="J8" s="3">
        <v>45839</v>
      </c>
      <c r="K8" s="2" t="s">
        <v>248</v>
      </c>
      <c r="L8" s="2" t="s">
        <v>32</v>
      </c>
      <c r="M8" s="2" t="s">
        <v>90</v>
      </c>
      <c r="N8" s="2">
        <v>-239</v>
      </c>
      <c r="O8" s="2">
        <v>-176.5</v>
      </c>
      <c r="P8" s="2" t="s">
        <v>234</v>
      </c>
      <c r="Q8" s="2" t="s">
        <v>237</v>
      </c>
    </row>
    <row r="9" spans="1:17" x14ac:dyDescent="0.25">
      <c r="A9" s="2" t="s">
        <v>177</v>
      </c>
      <c r="B9" s="2" t="str">
        <f>CONCATENATE(A9,8)</f>
        <v>1K16V32QJ578</v>
      </c>
      <c r="C9" s="2" t="s">
        <v>259</v>
      </c>
      <c r="D9" s="2" t="s">
        <v>260</v>
      </c>
      <c r="E9" s="2" t="str">
        <f t="shared" si="0"/>
        <v>DIANA SAXTON</v>
      </c>
      <c r="F9" s="2" t="s">
        <v>54</v>
      </c>
      <c r="G9" s="2" t="s">
        <v>37</v>
      </c>
      <c r="H9" s="2" t="s">
        <v>29</v>
      </c>
      <c r="I9" s="3">
        <v>45839</v>
      </c>
      <c r="J9" s="3">
        <v>45839</v>
      </c>
      <c r="K9" s="2" t="s">
        <v>248</v>
      </c>
      <c r="L9" s="2" t="s">
        <v>32</v>
      </c>
      <c r="M9" s="2" t="s">
        <v>90</v>
      </c>
      <c r="N9" s="2">
        <v>-239</v>
      </c>
      <c r="O9" s="2">
        <v>-176.5</v>
      </c>
      <c r="P9" s="2" t="s">
        <v>234</v>
      </c>
      <c r="Q9" s="2" t="s">
        <v>237</v>
      </c>
    </row>
    <row r="10" spans="1:17" x14ac:dyDescent="0.25">
      <c r="A10" s="2" t="s">
        <v>114</v>
      </c>
      <c r="B10" s="2" t="str">
        <f>CONCATENATE(A10,8)</f>
        <v>6KX3HM6HF918</v>
      </c>
      <c r="C10" s="2" t="s">
        <v>261</v>
      </c>
      <c r="D10" s="2" t="s">
        <v>262</v>
      </c>
      <c r="E10" s="2" t="str">
        <f t="shared" si="0"/>
        <v>FRANK MIHELIC</v>
      </c>
      <c r="F10" s="2" t="s">
        <v>54</v>
      </c>
      <c r="G10" s="2" t="s">
        <v>43</v>
      </c>
      <c r="H10" s="2" t="s">
        <v>29</v>
      </c>
      <c r="I10" s="3">
        <v>45839</v>
      </c>
      <c r="J10" s="3">
        <v>45839</v>
      </c>
      <c r="K10" s="2" t="s">
        <v>248</v>
      </c>
      <c r="L10" s="2" t="s">
        <v>32</v>
      </c>
      <c r="M10" s="2" t="s">
        <v>90</v>
      </c>
      <c r="N10" s="2">
        <v>239</v>
      </c>
      <c r="O10" s="2">
        <v>176.5</v>
      </c>
      <c r="P10" s="2" t="s">
        <v>234</v>
      </c>
      <c r="Q10" s="2" t="s">
        <v>237</v>
      </c>
    </row>
    <row r="11" spans="1:17" x14ac:dyDescent="0.25">
      <c r="A11" s="2" t="s">
        <v>177</v>
      </c>
      <c r="B11" s="2" t="str">
        <f>CONCATENATE(A11,8)</f>
        <v>1K16V32QJ578</v>
      </c>
      <c r="C11" s="2" t="s">
        <v>259</v>
      </c>
      <c r="D11" s="2" t="s">
        <v>260</v>
      </c>
      <c r="E11" s="2" t="str">
        <f t="shared" si="0"/>
        <v>DIANA SAXTON</v>
      </c>
      <c r="F11" s="2" t="s">
        <v>54</v>
      </c>
      <c r="G11" s="2" t="s">
        <v>113</v>
      </c>
      <c r="H11" s="2" t="s">
        <v>29</v>
      </c>
      <c r="I11" s="3">
        <v>45839</v>
      </c>
      <c r="J11" s="3">
        <v>45839</v>
      </c>
      <c r="K11" s="2" t="s">
        <v>248</v>
      </c>
      <c r="L11" s="2" t="s">
        <v>32</v>
      </c>
      <c r="M11" s="2" t="s">
        <v>90</v>
      </c>
      <c r="N11" s="2">
        <v>415</v>
      </c>
      <c r="O11" s="2">
        <v>353</v>
      </c>
      <c r="P11" s="2" t="s">
        <v>234</v>
      </c>
      <c r="Q11" s="2" t="s">
        <v>242</v>
      </c>
    </row>
    <row r="12" spans="1:17" x14ac:dyDescent="0.25">
      <c r="A12" s="2" t="s">
        <v>166</v>
      </c>
      <c r="B12" s="2" t="str">
        <f>CONCATENATE(A12,8)</f>
        <v>8XE2PP6YW098</v>
      </c>
      <c r="C12" s="2" t="s">
        <v>253</v>
      </c>
      <c r="D12" s="2" t="s">
        <v>254</v>
      </c>
      <c r="E12" s="2" t="str">
        <f t="shared" si="0"/>
        <v>MICHAEL RIZZO</v>
      </c>
      <c r="F12" s="2" t="s">
        <v>54</v>
      </c>
      <c r="G12" s="2" t="s">
        <v>37</v>
      </c>
      <c r="H12" s="2" t="s">
        <v>29</v>
      </c>
      <c r="I12" s="3">
        <v>45839</v>
      </c>
      <c r="J12" s="3">
        <v>45839</v>
      </c>
      <c r="K12" s="2">
        <v>19278370</v>
      </c>
      <c r="L12" s="2" t="s">
        <v>32</v>
      </c>
      <c r="M12" s="2" t="s">
        <v>169</v>
      </c>
      <c r="N12" s="2">
        <v>-239</v>
      </c>
      <c r="O12" s="2">
        <v>-176.5</v>
      </c>
      <c r="P12" s="2" t="s">
        <v>234</v>
      </c>
      <c r="Q12" s="2" t="s">
        <v>237</v>
      </c>
    </row>
    <row r="13" spans="1:17" x14ac:dyDescent="0.25">
      <c r="A13" s="2" t="s">
        <v>148</v>
      </c>
      <c r="B13" s="2" t="str">
        <f>CONCATENATE(A13,8)</f>
        <v>5VW8EA9MD678</v>
      </c>
      <c r="C13" s="2" t="s">
        <v>255</v>
      </c>
      <c r="D13" s="2" t="s">
        <v>256</v>
      </c>
      <c r="E13" s="2" t="str">
        <f t="shared" si="0"/>
        <v>VALERIE PAVLICK</v>
      </c>
      <c r="F13" s="2" t="s">
        <v>54</v>
      </c>
      <c r="G13" s="2" t="s">
        <v>37</v>
      </c>
      <c r="H13" s="2" t="s">
        <v>29</v>
      </c>
      <c r="I13" s="3">
        <v>45809</v>
      </c>
      <c r="J13" s="3">
        <v>45809</v>
      </c>
      <c r="K13" s="2">
        <v>18710070</v>
      </c>
      <c r="L13" s="2" t="s">
        <v>32</v>
      </c>
      <c r="M13" s="2" t="s">
        <v>151</v>
      </c>
      <c r="N13" s="2">
        <v>-278.83</v>
      </c>
      <c r="O13" s="2">
        <v>-205.92</v>
      </c>
      <c r="P13" s="2" t="s">
        <v>234</v>
      </c>
      <c r="Q13" s="2" t="s">
        <v>233</v>
      </c>
    </row>
    <row r="14" spans="1:17" x14ac:dyDescent="0.25">
      <c r="A14" s="2" t="s">
        <v>97</v>
      </c>
      <c r="B14" s="2" t="str">
        <f>CONCATENATE(A14,8)</f>
        <v>5A25J34YC528</v>
      </c>
      <c r="C14" s="2" t="s">
        <v>257</v>
      </c>
      <c r="D14" s="2" t="s">
        <v>258</v>
      </c>
      <c r="E14" s="2" t="str">
        <f t="shared" si="0"/>
        <v>JUNE MCGRATH</v>
      </c>
      <c r="F14" s="2" t="s">
        <v>54</v>
      </c>
      <c r="G14" s="2" t="s">
        <v>37</v>
      </c>
      <c r="H14" s="2" t="s">
        <v>29</v>
      </c>
      <c r="I14" s="3">
        <v>45839</v>
      </c>
      <c r="J14" s="3">
        <v>45839</v>
      </c>
      <c r="K14" s="2">
        <v>15950276</v>
      </c>
      <c r="L14" s="2" t="s">
        <v>32</v>
      </c>
      <c r="M14" s="2" t="s">
        <v>101</v>
      </c>
      <c r="N14" s="2">
        <v>-239</v>
      </c>
      <c r="O14" s="2">
        <v>-176.5</v>
      </c>
      <c r="P14" s="2" t="s">
        <v>234</v>
      </c>
      <c r="Q14" s="2" t="s">
        <v>237</v>
      </c>
    </row>
    <row r="15" spans="1:17" x14ac:dyDescent="0.25">
      <c r="A15" s="2" t="s">
        <v>78</v>
      </c>
      <c r="B15" s="2" t="str">
        <f>CONCATENATE(A15,7)</f>
        <v>7HN4EC9CT737</v>
      </c>
      <c r="C15" s="2" t="s">
        <v>263</v>
      </c>
      <c r="D15" s="2" t="s">
        <v>264</v>
      </c>
      <c r="E15" s="2" t="str">
        <f t="shared" si="0"/>
        <v>IGNACIO GARCIA</v>
      </c>
      <c r="F15" s="2" t="s">
        <v>27</v>
      </c>
      <c r="G15" s="2" t="s">
        <v>28</v>
      </c>
      <c r="H15" s="2" t="s">
        <v>29</v>
      </c>
      <c r="I15" s="3">
        <v>45839</v>
      </c>
      <c r="J15" s="3">
        <v>45839</v>
      </c>
      <c r="K15" s="2">
        <v>19396223</v>
      </c>
      <c r="L15" s="2" t="s">
        <v>32</v>
      </c>
      <c r="M15" s="2" t="s">
        <v>81</v>
      </c>
      <c r="N15" s="2">
        <v>746</v>
      </c>
      <c r="O15" s="2">
        <v>626</v>
      </c>
      <c r="P15" s="2" t="s">
        <v>243</v>
      </c>
      <c r="Q15" s="2" t="s">
        <v>244</v>
      </c>
    </row>
    <row r="16" spans="1:17" x14ac:dyDescent="0.25">
      <c r="A16" s="2" t="s">
        <v>118</v>
      </c>
      <c r="B16" s="2" t="str">
        <f>CONCATENATE(A16,7)</f>
        <v>9X78VN5CQ307</v>
      </c>
      <c r="C16" s="2" t="s">
        <v>265</v>
      </c>
      <c r="D16" s="2" t="s">
        <v>266</v>
      </c>
      <c r="E16" s="2" t="str">
        <f t="shared" si="0"/>
        <v>MARK MILLER</v>
      </c>
      <c r="F16" s="2" t="s">
        <v>121</v>
      </c>
      <c r="G16" s="2" t="s">
        <v>28</v>
      </c>
      <c r="H16" s="2" t="s">
        <v>29</v>
      </c>
      <c r="I16" s="3">
        <v>45839</v>
      </c>
      <c r="J16" s="3">
        <v>45839</v>
      </c>
      <c r="K16" s="2">
        <v>7470776</v>
      </c>
      <c r="L16" s="2" t="s">
        <v>32</v>
      </c>
      <c r="M16" s="2" t="s">
        <v>123</v>
      </c>
      <c r="N16" s="2">
        <v>751</v>
      </c>
      <c r="O16" s="2">
        <v>626</v>
      </c>
      <c r="P16" s="2" t="s">
        <v>243</v>
      </c>
      <c r="Q16" s="2" t="s">
        <v>244</v>
      </c>
    </row>
    <row r="17" spans="1:17" x14ac:dyDescent="0.25">
      <c r="A17" s="2" t="s">
        <v>159</v>
      </c>
      <c r="B17" s="2" t="str">
        <f>CONCATENATE(A17,7)</f>
        <v>1KU3GY1JK727</v>
      </c>
      <c r="C17" s="2" t="s">
        <v>267</v>
      </c>
      <c r="D17" s="2" t="s">
        <v>268</v>
      </c>
      <c r="E17" s="2" t="str">
        <f t="shared" si="0"/>
        <v>ANGELA RICHARDS</v>
      </c>
      <c r="F17" s="2" t="s">
        <v>162</v>
      </c>
      <c r="G17" s="2" t="s">
        <v>28</v>
      </c>
      <c r="H17" s="2" t="s">
        <v>29</v>
      </c>
      <c r="I17" s="3">
        <v>45839</v>
      </c>
      <c r="J17" s="3">
        <v>45839</v>
      </c>
      <c r="K17" s="2">
        <v>21564088</v>
      </c>
      <c r="L17" s="2" t="s">
        <v>32</v>
      </c>
      <c r="M17" s="2" t="s">
        <v>165</v>
      </c>
      <c r="N17" s="2">
        <v>751</v>
      </c>
      <c r="O17" s="2">
        <v>626</v>
      </c>
      <c r="P17" s="2" t="s">
        <v>243</v>
      </c>
      <c r="Q17" s="2" t="s">
        <v>244</v>
      </c>
    </row>
    <row r="18" spans="1:17" x14ac:dyDescent="0.25">
      <c r="A18" s="2" t="s">
        <v>24</v>
      </c>
      <c r="B18" s="2" t="str">
        <f>CONCATENATE(A18,7)</f>
        <v>3XC4TV2XX887</v>
      </c>
      <c r="C18" s="2" t="s">
        <v>269</v>
      </c>
      <c r="D18" s="2" t="s">
        <v>270</v>
      </c>
      <c r="E18" s="2" t="str">
        <f t="shared" si="0"/>
        <v>MARIA AGUAIZA</v>
      </c>
      <c r="F18" s="2" t="s">
        <v>27</v>
      </c>
      <c r="G18" s="2" t="s">
        <v>28</v>
      </c>
      <c r="H18" s="2" t="s">
        <v>29</v>
      </c>
      <c r="I18" s="3">
        <v>45839</v>
      </c>
      <c r="J18" s="3">
        <v>45839</v>
      </c>
      <c r="K18" s="2">
        <v>17301495</v>
      </c>
      <c r="L18" s="2" t="s">
        <v>32</v>
      </c>
      <c r="M18" s="2" t="s">
        <v>33</v>
      </c>
      <c r="N18" s="2">
        <v>751</v>
      </c>
      <c r="O18" s="2">
        <v>626</v>
      </c>
      <c r="P18" s="2" t="s">
        <v>243</v>
      </c>
      <c r="Q18" s="2" t="s">
        <v>244</v>
      </c>
    </row>
    <row r="19" spans="1:17" x14ac:dyDescent="0.25">
      <c r="A19" s="2" t="s">
        <v>210</v>
      </c>
      <c r="B19" s="2" t="str">
        <f>CONCATENATE(A19,7)</f>
        <v>4A27UX2XW507</v>
      </c>
      <c r="C19" s="2" t="s">
        <v>271</v>
      </c>
      <c r="D19" s="2" t="s">
        <v>272</v>
      </c>
      <c r="E19" s="2" t="str">
        <f t="shared" si="0"/>
        <v>ANGELICA VARGAS</v>
      </c>
      <c r="F19" s="2" t="s">
        <v>27</v>
      </c>
      <c r="G19" s="2" t="s">
        <v>28</v>
      </c>
      <c r="H19" s="2" t="s">
        <v>29</v>
      </c>
      <c r="I19" s="3">
        <v>45839</v>
      </c>
      <c r="J19" s="3">
        <v>45839</v>
      </c>
      <c r="K19" s="2">
        <v>17301495</v>
      </c>
      <c r="L19" s="2" t="s">
        <v>32</v>
      </c>
      <c r="M19" s="2" t="s">
        <v>33</v>
      </c>
      <c r="N19" s="2">
        <v>751</v>
      </c>
      <c r="O19" s="2">
        <v>626</v>
      </c>
      <c r="P19" s="2" t="s">
        <v>243</v>
      </c>
      <c r="Q19" s="2" t="s">
        <v>244</v>
      </c>
    </row>
    <row r="20" spans="1:17" x14ac:dyDescent="0.25">
      <c r="A20" s="2" t="s">
        <v>82</v>
      </c>
      <c r="B20" s="2" t="str">
        <f>CONCATENATE(A20,7)</f>
        <v>8V25KH2HE837</v>
      </c>
      <c r="C20" s="2" t="s">
        <v>273</v>
      </c>
      <c r="D20" s="2" t="s">
        <v>274</v>
      </c>
      <c r="E20" s="2" t="str">
        <f t="shared" si="0"/>
        <v>RIMOND JAMOU</v>
      </c>
      <c r="F20" s="2" t="s">
        <v>27</v>
      </c>
      <c r="G20" s="2" t="s">
        <v>28</v>
      </c>
      <c r="H20" s="2" t="s">
        <v>29</v>
      </c>
      <c r="I20" s="3">
        <v>45839</v>
      </c>
      <c r="J20" s="3">
        <v>45839</v>
      </c>
      <c r="K20" s="2">
        <v>2158366</v>
      </c>
      <c r="L20" s="2" t="s">
        <v>32</v>
      </c>
      <c r="M20" s="2" t="s">
        <v>85</v>
      </c>
      <c r="N20" s="2">
        <v>751</v>
      </c>
      <c r="O20" s="2">
        <v>626</v>
      </c>
      <c r="P20" s="2" t="s">
        <v>243</v>
      </c>
      <c r="Q20" s="2" t="s">
        <v>244</v>
      </c>
    </row>
    <row r="21" spans="1:17" x14ac:dyDescent="0.25">
      <c r="A21" s="2" t="s">
        <v>145</v>
      </c>
      <c r="B21" s="2" t="str">
        <f>CONCATENATE(A21,7)</f>
        <v>8EY1RU4FP007</v>
      </c>
      <c r="C21" s="2" t="s">
        <v>275</v>
      </c>
      <c r="D21" s="2" t="s">
        <v>276</v>
      </c>
      <c r="E21" s="2" t="str">
        <f t="shared" si="0"/>
        <v>LOUIE OLAH</v>
      </c>
      <c r="F21" s="2" t="s">
        <v>27</v>
      </c>
      <c r="G21" s="2" t="s">
        <v>28</v>
      </c>
      <c r="H21" s="2" t="s">
        <v>29</v>
      </c>
      <c r="I21" s="3">
        <v>45901</v>
      </c>
      <c r="J21" s="3">
        <v>45901</v>
      </c>
      <c r="K21" s="2">
        <v>2158366</v>
      </c>
      <c r="L21" s="2" t="s">
        <v>32</v>
      </c>
      <c r="M21" s="2" t="s">
        <v>85</v>
      </c>
      <c r="N21" s="2">
        <v>751</v>
      </c>
      <c r="O21" s="2">
        <v>626</v>
      </c>
      <c r="P21" s="2" t="s">
        <v>243</v>
      </c>
      <c r="Q21" s="2" t="s">
        <v>244</v>
      </c>
    </row>
    <row r="22" spans="1:17" x14ac:dyDescent="0.25">
      <c r="A22" s="2" t="s">
        <v>191</v>
      </c>
      <c r="B22" s="2" t="str">
        <f>CONCATENATE(A22,7)</f>
        <v>6JR0PQ6UX297</v>
      </c>
      <c r="C22" s="2" t="s">
        <v>277</v>
      </c>
      <c r="D22" s="2" t="s">
        <v>278</v>
      </c>
      <c r="E22" s="2" t="str">
        <f t="shared" si="0"/>
        <v>DIANE SMITH</v>
      </c>
      <c r="F22" s="2" t="s">
        <v>27</v>
      </c>
      <c r="G22" s="2" t="s">
        <v>28</v>
      </c>
      <c r="H22" s="2" t="s">
        <v>29</v>
      </c>
      <c r="I22" s="3">
        <v>45839</v>
      </c>
      <c r="J22" s="3">
        <v>45839</v>
      </c>
      <c r="K22" s="2">
        <v>7146581</v>
      </c>
      <c r="L22" s="2" t="s">
        <v>32</v>
      </c>
      <c r="M22" s="2" t="s">
        <v>128</v>
      </c>
      <c r="N22" s="2">
        <v>751</v>
      </c>
      <c r="O22" s="2">
        <v>626</v>
      </c>
      <c r="P22" s="2" t="s">
        <v>243</v>
      </c>
      <c r="Q22" s="2" t="s">
        <v>244</v>
      </c>
    </row>
    <row r="23" spans="1:17" x14ac:dyDescent="0.25">
      <c r="A23" s="2" t="s">
        <v>217</v>
      </c>
      <c r="B23" s="2" t="str">
        <f>CONCATENATE(A23,7)</f>
        <v>3NX3PA5YC987</v>
      </c>
      <c r="C23" s="2" t="s">
        <v>279</v>
      </c>
      <c r="D23" s="2" t="s">
        <v>280</v>
      </c>
      <c r="E23" s="2" t="str">
        <f t="shared" si="0"/>
        <v>CAROLYN WARF</v>
      </c>
      <c r="F23" s="2" t="s">
        <v>27</v>
      </c>
      <c r="G23" s="2" t="s">
        <v>28</v>
      </c>
      <c r="H23" s="2" t="s">
        <v>29</v>
      </c>
      <c r="I23" s="3">
        <v>45839</v>
      </c>
      <c r="J23" s="3">
        <v>45839</v>
      </c>
      <c r="K23" s="2">
        <v>7146581</v>
      </c>
      <c r="L23" s="2" t="s">
        <v>32</v>
      </c>
      <c r="M23" s="2" t="s">
        <v>128</v>
      </c>
      <c r="N23" s="2">
        <v>751</v>
      </c>
      <c r="O23" s="2">
        <v>626</v>
      </c>
      <c r="P23" s="2" t="s">
        <v>243</v>
      </c>
      <c r="Q23" s="2" t="s">
        <v>244</v>
      </c>
    </row>
    <row r="24" spans="1:17" x14ac:dyDescent="0.25">
      <c r="A24" s="2" t="s">
        <v>91</v>
      </c>
      <c r="B24" s="2" t="str">
        <f>CONCATENATE(A24,7)</f>
        <v>3T14Q39DH667</v>
      </c>
      <c r="C24" s="2" t="s">
        <v>281</v>
      </c>
      <c r="D24" s="2" t="s">
        <v>282</v>
      </c>
      <c r="E24" s="2" t="str">
        <f t="shared" si="0"/>
        <v>WILLIAM MASCHMEYER</v>
      </c>
      <c r="F24" s="2" t="s">
        <v>94</v>
      </c>
      <c r="G24" s="2" t="s">
        <v>28</v>
      </c>
      <c r="H24" s="2" t="s">
        <v>29</v>
      </c>
      <c r="I24" s="3">
        <v>45870</v>
      </c>
      <c r="J24" s="3">
        <v>45870</v>
      </c>
      <c r="K24" s="2">
        <v>8814784</v>
      </c>
      <c r="L24" s="2" t="s">
        <v>32</v>
      </c>
      <c r="M24" s="2" t="s">
        <v>96</v>
      </c>
      <c r="N24" s="2">
        <v>751</v>
      </c>
      <c r="O24" s="2">
        <v>626</v>
      </c>
      <c r="P24" s="2" t="s">
        <v>243</v>
      </c>
      <c r="Q24" s="2" t="s">
        <v>244</v>
      </c>
    </row>
    <row r="25" spans="1:17" x14ac:dyDescent="0.25">
      <c r="A25" s="2" t="s">
        <v>170</v>
      </c>
      <c r="B25" s="2" t="str">
        <f>CONCATENATE(A25,7)</f>
        <v>5YM6UU4JC897</v>
      </c>
      <c r="C25" s="2" t="s">
        <v>283</v>
      </c>
      <c r="D25" s="2" t="s">
        <v>284</v>
      </c>
      <c r="E25" s="2" t="str">
        <f t="shared" si="0"/>
        <v>LAURIE ROWE</v>
      </c>
      <c r="F25" s="2" t="s">
        <v>173</v>
      </c>
      <c r="G25" s="2" t="s">
        <v>28</v>
      </c>
      <c r="H25" s="2" t="s">
        <v>29</v>
      </c>
      <c r="I25" s="3">
        <v>45870</v>
      </c>
      <c r="J25" s="3">
        <v>45870</v>
      </c>
      <c r="K25" s="2">
        <v>16865615</v>
      </c>
      <c r="L25" s="2" t="s">
        <v>32</v>
      </c>
      <c r="M25" s="2" t="s">
        <v>176</v>
      </c>
      <c r="N25" s="2">
        <v>751</v>
      </c>
      <c r="O25" s="2">
        <v>626</v>
      </c>
      <c r="P25" s="2" t="s">
        <v>243</v>
      </c>
      <c r="Q25" s="2" t="s">
        <v>244</v>
      </c>
    </row>
    <row r="26" spans="1:17" x14ac:dyDescent="0.25">
      <c r="A26" s="2" t="s">
        <v>227</v>
      </c>
      <c r="B26" s="2" t="str">
        <f>CONCATENATE(A26,7)</f>
        <v>4X70YJ1XD187</v>
      </c>
      <c r="C26" s="2" t="s">
        <v>285</v>
      </c>
      <c r="D26" s="2" t="s">
        <v>286</v>
      </c>
      <c r="E26" s="2" t="str">
        <f t="shared" si="0"/>
        <v>DEBRA WYLLIE</v>
      </c>
      <c r="F26" s="2" t="s">
        <v>173</v>
      </c>
      <c r="G26" s="2" t="s">
        <v>28</v>
      </c>
      <c r="H26" s="2" t="s">
        <v>29</v>
      </c>
      <c r="I26" s="3">
        <v>45901</v>
      </c>
      <c r="J26" s="3">
        <v>45901</v>
      </c>
      <c r="K26" s="2">
        <v>16865615</v>
      </c>
      <c r="L26" s="2" t="s">
        <v>32</v>
      </c>
      <c r="M26" s="2" t="s">
        <v>176</v>
      </c>
      <c r="N26" s="2">
        <v>751</v>
      </c>
      <c r="O26" s="2">
        <v>626</v>
      </c>
      <c r="P26" s="2" t="s">
        <v>243</v>
      </c>
      <c r="Q26" s="2" t="s">
        <v>244</v>
      </c>
    </row>
    <row r="27" spans="1:17" x14ac:dyDescent="0.25">
      <c r="A27" s="2" t="s">
        <v>72</v>
      </c>
      <c r="B27" s="2" t="str">
        <f>CONCATENATE(A27,7)</f>
        <v>8H61U45EA957</v>
      </c>
      <c r="C27" s="2" t="s">
        <v>287</v>
      </c>
      <c r="D27" s="2" t="s">
        <v>288</v>
      </c>
      <c r="E27" s="2" t="str">
        <f t="shared" si="0"/>
        <v>DAVID FISK</v>
      </c>
      <c r="F27" s="2" t="s">
        <v>27</v>
      </c>
      <c r="G27" s="2" t="s">
        <v>28</v>
      </c>
      <c r="H27" s="2" t="s">
        <v>75</v>
      </c>
      <c r="I27" s="3">
        <v>45809</v>
      </c>
      <c r="J27" s="3">
        <v>45809</v>
      </c>
      <c r="K27" s="2">
        <v>9213293</v>
      </c>
      <c r="L27" s="2" t="s">
        <v>32</v>
      </c>
      <c r="M27" s="2" t="s">
        <v>77</v>
      </c>
      <c r="N27" s="2">
        <v>751</v>
      </c>
      <c r="O27" s="2">
        <v>626</v>
      </c>
      <c r="P27" s="2" t="s">
        <v>243</v>
      </c>
      <c r="Q27" s="2" t="s">
        <v>244</v>
      </c>
    </row>
    <row r="28" spans="1:17" x14ac:dyDescent="0.25">
      <c r="A28" s="2" t="s">
        <v>102</v>
      </c>
      <c r="B28" s="2" t="str">
        <f>CONCATENATE(A28,7)</f>
        <v>4Y45CG3MK517</v>
      </c>
      <c r="C28" s="2" t="s">
        <v>289</v>
      </c>
      <c r="D28" s="2" t="s">
        <v>290</v>
      </c>
      <c r="E28" s="2" t="str">
        <f t="shared" si="0"/>
        <v>RENEE MCMATH</v>
      </c>
      <c r="F28" s="2" t="s">
        <v>27</v>
      </c>
      <c r="G28" s="2" t="s">
        <v>28</v>
      </c>
      <c r="H28" s="2" t="s">
        <v>29</v>
      </c>
      <c r="I28" s="3">
        <v>45870</v>
      </c>
      <c r="J28" s="3">
        <v>45870</v>
      </c>
      <c r="K28" s="2">
        <v>9213293</v>
      </c>
      <c r="L28" s="2" t="s">
        <v>32</v>
      </c>
      <c r="M28" s="2" t="s">
        <v>77</v>
      </c>
      <c r="N28" s="2">
        <v>751</v>
      </c>
      <c r="O28" s="2">
        <v>626</v>
      </c>
      <c r="P28" s="2" t="s">
        <v>243</v>
      </c>
      <c r="Q28" s="2" t="s">
        <v>244</v>
      </c>
    </row>
    <row r="29" spans="1:17" x14ac:dyDescent="0.25">
      <c r="A29" s="2" t="s">
        <v>141</v>
      </c>
      <c r="B29" s="2" t="str">
        <f>CONCATENATE(A29,7)</f>
        <v>1D50TG0MC157</v>
      </c>
      <c r="C29" s="2" t="s">
        <v>291</v>
      </c>
      <c r="D29" s="2" t="s">
        <v>292</v>
      </c>
      <c r="E29" s="2" t="str">
        <f t="shared" si="0"/>
        <v>BRENT OFFENHEISER</v>
      </c>
      <c r="F29" s="2" t="s">
        <v>27</v>
      </c>
      <c r="G29" s="2" t="s">
        <v>28</v>
      </c>
      <c r="H29" s="2" t="s">
        <v>29</v>
      </c>
      <c r="I29" s="3">
        <v>45839</v>
      </c>
      <c r="J29" s="3">
        <v>45839</v>
      </c>
      <c r="K29" s="2">
        <v>20490188</v>
      </c>
      <c r="L29" s="2" t="s">
        <v>32</v>
      </c>
      <c r="M29" s="2" t="s">
        <v>144</v>
      </c>
      <c r="N29" s="2">
        <v>751</v>
      </c>
      <c r="O29" s="2">
        <v>626</v>
      </c>
      <c r="P29" s="2" t="s">
        <v>243</v>
      </c>
      <c r="Q29" s="2" t="s">
        <v>244</v>
      </c>
    </row>
    <row r="30" spans="1:17" x14ac:dyDescent="0.25">
      <c r="A30" s="2" t="s">
        <v>64</v>
      </c>
      <c r="B30" s="2" t="str">
        <f>CONCATENATE(A30,7)</f>
        <v>7M88D22JJ547</v>
      </c>
      <c r="C30" s="2" t="s">
        <v>293</v>
      </c>
      <c r="D30" s="2" t="s">
        <v>268</v>
      </c>
      <c r="E30" s="2" t="str">
        <f t="shared" si="0"/>
        <v>ANGELA DAVIS</v>
      </c>
      <c r="F30" s="2" t="s">
        <v>27</v>
      </c>
      <c r="G30" s="2" t="s">
        <v>28</v>
      </c>
      <c r="H30" s="2" t="s">
        <v>29</v>
      </c>
      <c r="I30" s="3">
        <v>45809</v>
      </c>
      <c r="J30" s="3">
        <v>45809</v>
      </c>
      <c r="K30" s="2">
        <v>19681796</v>
      </c>
      <c r="L30" s="2" t="s">
        <v>32</v>
      </c>
      <c r="M30" s="2" t="s">
        <v>67</v>
      </c>
      <c r="N30" s="2">
        <v>746</v>
      </c>
      <c r="O30" s="2">
        <v>626</v>
      </c>
      <c r="P30" s="2" t="s">
        <v>243</v>
      </c>
      <c r="Q30" s="2" t="s">
        <v>244</v>
      </c>
    </row>
    <row r="31" spans="1:17" x14ac:dyDescent="0.25">
      <c r="A31" s="2" t="s">
        <v>187</v>
      </c>
      <c r="B31" s="2" t="str">
        <f>CONCATENATE(A31,7)</f>
        <v>4UY3E31HN707</v>
      </c>
      <c r="C31" s="2" t="s">
        <v>277</v>
      </c>
      <c r="D31" s="2" t="s">
        <v>294</v>
      </c>
      <c r="E31" s="2" t="str">
        <f t="shared" si="0"/>
        <v>CYNTHIA SMITH</v>
      </c>
      <c r="F31" s="2" t="s">
        <v>94</v>
      </c>
      <c r="G31" s="2" t="s">
        <v>28</v>
      </c>
      <c r="H31" s="2" t="s">
        <v>29</v>
      </c>
      <c r="I31" s="3">
        <v>45901</v>
      </c>
      <c r="J31" s="3">
        <v>45901</v>
      </c>
      <c r="K31" s="2">
        <v>19681796</v>
      </c>
      <c r="L31" s="2" t="s">
        <v>32</v>
      </c>
      <c r="M31" s="2" t="s">
        <v>67</v>
      </c>
      <c r="N31" s="2">
        <v>746</v>
      </c>
      <c r="O31" s="2">
        <v>626</v>
      </c>
      <c r="P31" s="2" t="s">
        <v>243</v>
      </c>
      <c r="Q31" s="2" t="s">
        <v>244</v>
      </c>
    </row>
    <row r="32" spans="1:17" x14ac:dyDescent="0.25">
      <c r="A32" s="2" t="s">
        <v>47</v>
      </c>
      <c r="B32" s="2" t="str">
        <f>CONCATENATE(A32,7)</f>
        <v>6TH1KW7KK337</v>
      </c>
      <c r="C32" s="2" t="s">
        <v>295</v>
      </c>
      <c r="D32" s="2" t="s">
        <v>296</v>
      </c>
      <c r="E32" s="2" t="str">
        <f t="shared" si="0"/>
        <v>CARMELLA BURDI</v>
      </c>
      <c r="F32" s="2" t="s">
        <v>27</v>
      </c>
      <c r="G32" s="2" t="s">
        <v>28</v>
      </c>
      <c r="H32" s="2" t="s">
        <v>29</v>
      </c>
      <c r="I32" s="3">
        <v>45870</v>
      </c>
      <c r="J32" s="3">
        <v>45870</v>
      </c>
      <c r="K32" s="2">
        <v>8307933</v>
      </c>
      <c r="L32" s="2" t="s">
        <v>32</v>
      </c>
      <c r="M32" s="2" t="s">
        <v>46</v>
      </c>
      <c r="N32" s="2">
        <v>751</v>
      </c>
      <c r="O32" s="2">
        <v>626</v>
      </c>
      <c r="P32" s="2" t="s">
        <v>243</v>
      </c>
      <c r="Q32" s="2" t="s">
        <v>244</v>
      </c>
    </row>
    <row r="33" spans="1:17" x14ac:dyDescent="0.25">
      <c r="A33" s="2" t="s">
        <v>152</v>
      </c>
      <c r="B33" s="2" t="str">
        <f>CONCATENATE(A33,7)</f>
        <v>8QE7V25PV407</v>
      </c>
      <c r="C33" s="2" t="s">
        <v>297</v>
      </c>
      <c r="D33" s="2" t="s">
        <v>298</v>
      </c>
      <c r="E33" s="2" t="str">
        <f t="shared" si="0"/>
        <v>GERALD PUCKETT</v>
      </c>
      <c r="F33" s="2" t="s">
        <v>27</v>
      </c>
      <c r="G33" s="2" t="s">
        <v>28</v>
      </c>
      <c r="H33" s="2" t="s">
        <v>29</v>
      </c>
      <c r="I33" s="3">
        <v>45809</v>
      </c>
      <c r="J33" s="3">
        <v>45809</v>
      </c>
      <c r="K33" s="2">
        <v>8307933</v>
      </c>
      <c r="L33" s="2" t="s">
        <v>32</v>
      </c>
      <c r="M33" s="2" t="s">
        <v>46</v>
      </c>
      <c r="N33" s="2">
        <v>751</v>
      </c>
      <c r="O33" s="2">
        <v>626</v>
      </c>
      <c r="P33" s="2" t="s">
        <v>243</v>
      </c>
      <c r="Q33" s="2" t="s">
        <v>244</v>
      </c>
    </row>
    <row r="34" spans="1:17" x14ac:dyDescent="0.25">
      <c r="A34" s="2" t="s">
        <v>156</v>
      </c>
      <c r="B34" s="2" t="str">
        <f>CONCATENATE(A34,7)</f>
        <v>2CE0P67CF367</v>
      </c>
      <c r="C34" s="2" t="s">
        <v>299</v>
      </c>
      <c r="D34" s="2" t="s">
        <v>260</v>
      </c>
      <c r="E34" s="2" t="str">
        <f t="shared" si="0"/>
        <v>DIANA QUESADA</v>
      </c>
      <c r="F34" s="2" t="s">
        <v>27</v>
      </c>
      <c r="G34" s="2" t="s">
        <v>28</v>
      </c>
      <c r="H34" s="2" t="s">
        <v>29</v>
      </c>
      <c r="I34" s="3">
        <v>45809</v>
      </c>
      <c r="J34" s="3">
        <v>45809</v>
      </c>
      <c r="K34" s="2">
        <v>8307933</v>
      </c>
      <c r="L34" s="2" t="s">
        <v>32</v>
      </c>
      <c r="M34" s="2" t="s">
        <v>46</v>
      </c>
      <c r="N34" s="2">
        <v>751</v>
      </c>
      <c r="O34" s="2">
        <v>626</v>
      </c>
      <c r="P34" s="2" t="s">
        <v>243</v>
      </c>
      <c r="Q34" s="2" t="s">
        <v>244</v>
      </c>
    </row>
    <row r="35" spans="1:17" x14ac:dyDescent="0.25">
      <c r="A35" s="2" t="s">
        <v>181</v>
      </c>
      <c r="B35" s="2" t="str">
        <f>CONCATENATE(A35,7)</f>
        <v>8GG6CP6VE777</v>
      </c>
      <c r="C35" s="2" t="s">
        <v>300</v>
      </c>
      <c r="D35" s="2" t="s">
        <v>301</v>
      </c>
      <c r="E35" s="2" t="str">
        <f t="shared" si="0"/>
        <v>LUANNA SCHMITZ</v>
      </c>
      <c r="F35" s="2" t="s">
        <v>184</v>
      </c>
      <c r="G35" s="2" t="s">
        <v>28</v>
      </c>
      <c r="H35" s="2" t="s">
        <v>29</v>
      </c>
      <c r="I35" s="3">
        <v>45901</v>
      </c>
      <c r="J35" s="3">
        <v>45901</v>
      </c>
      <c r="K35" s="2">
        <v>8307933</v>
      </c>
      <c r="L35" s="2" t="s">
        <v>32</v>
      </c>
      <c r="M35" s="2" t="s">
        <v>46</v>
      </c>
      <c r="N35" s="2">
        <v>751</v>
      </c>
      <c r="O35" s="2">
        <v>626</v>
      </c>
      <c r="P35" s="2" t="s">
        <v>243</v>
      </c>
      <c r="Q35" s="2" t="s">
        <v>244</v>
      </c>
    </row>
    <row r="36" spans="1:17" x14ac:dyDescent="0.25">
      <c r="A36" s="2" t="s">
        <v>194</v>
      </c>
      <c r="B36" s="2" t="str">
        <f>CONCATENATE(A36,7)</f>
        <v>7EY0DY5TT327</v>
      </c>
      <c r="C36" s="2" t="s">
        <v>302</v>
      </c>
      <c r="D36" s="2" t="s">
        <v>303</v>
      </c>
      <c r="E36" s="2" t="str">
        <f t="shared" si="0"/>
        <v>SUSAN SOMMER</v>
      </c>
      <c r="F36" s="2" t="s">
        <v>197</v>
      </c>
      <c r="G36" s="2" t="s">
        <v>28</v>
      </c>
      <c r="H36" s="2" t="s">
        <v>29</v>
      </c>
      <c r="I36" s="3">
        <v>45839</v>
      </c>
      <c r="J36" s="3">
        <v>45839</v>
      </c>
      <c r="K36" s="2">
        <v>8307933</v>
      </c>
      <c r="L36" s="2" t="s">
        <v>32</v>
      </c>
      <c r="M36" s="2" t="s">
        <v>46</v>
      </c>
      <c r="N36" s="2">
        <v>751</v>
      </c>
      <c r="O36" s="2">
        <v>626</v>
      </c>
      <c r="P36" s="2" t="s">
        <v>243</v>
      </c>
      <c r="Q36" s="2" t="s">
        <v>244</v>
      </c>
    </row>
    <row r="37" spans="1:17" x14ac:dyDescent="0.25">
      <c r="A37" s="2" t="s">
        <v>78</v>
      </c>
      <c r="B37" s="2" t="str">
        <f>CONCATENATE(A37,8)</f>
        <v>7HN4EC9CT738</v>
      </c>
      <c r="C37" s="2" t="s">
        <v>263</v>
      </c>
      <c r="D37" s="2" t="s">
        <v>264</v>
      </c>
      <c r="E37" s="2" t="str">
        <f t="shared" si="0"/>
        <v>IGNACIO GARCIA</v>
      </c>
      <c r="F37" s="2" t="s">
        <v>27</v>
      </c>
      <c r="G37" s="2" t="s">
        <v>37</v>
      </c>
      <c r="H37" s="2" t="s">
        <v>29</v>
      </c>
      <c r="I37" s="3">
        <v>45839</v>
      </c>
      <c r="J37" s="3">
        <v>45839</v>
      </c>
      <c r="K37" s="2">
        <v>19396223</v>
      </c>
      <c r="L37" s="2" t="s">
        <v>32</v>
      </c>
      <c r="M37" s="2" t="s">
        <v>81</v>
      </c>
      <c r="N37" s="2">
        <v>-216.5</v>
      </c>
      <c r="O37" s="2">
        <v>-156.5</v>
      </c>
      <c r="P37" s="2" t="s">
        <v>232</v>
      </c>
      <c r="Q37" s="2" t="s">
        <v>238</v>
      </c>
    </row>
    <row r="38" spans="1:17" x14ac:dyDescent="0.25">
      <c r="A38" s="2" t="s">
        <v>118</v>
      </c>
      <c r="B38" s="2" t="str">
        <f>CONCATENATE(A38,8)</f>
        <v>9X78VN5CQ308</v>
      </c>
      <c r="C38" s="2" t="s">
        <v>265</v>
      </c>
      <c r="D38" s="2" t="s">
        <v>266</v>
      </c>
      <c r="E38" s="2" t="str">
        <f t="shared" si="0"/>
        <v>MARK MILLER</v>
      </c>
      <c r="F38" s="2" t="s">
        <v>121</v>
      </c>
      <c r="G38" s="2" t="s">
        <v>37</v>
      </c>
      <c r="H38" s="2" t="s">
        <v>29</v>
      </c>
      <c r="I38" s="3">
        <v>45839</v>
      </c>
      <c r="J38" s="3">
        <v>45839</v>
      </c>
      <c r="K38" s="2">
        <v>7470776</v>
      </c>
      <c r="L38" s="2" t="s">
        <v>32</v>
      </c>
      <c r="M38" s="2" t="s">
        <v>123</v>
      </c>
      <c r="N38" s="2">
        <v>-219</v>
      </c>
      <c r="O38" s="2">
        <v>-156.5</v>
      </c>
      <c r="P38" s="2" t="s">
        <v>232</v>
      </c>
      <c r="Q38" s="2" t="s">
        <v>238</v>
      </c>
    </row>
    <row r="39" spans="1:17" x14ac:dyDescent="0.25">
      <c r="A39" s="2" t="s">
        <v>159</v>
      </c>
      <c r="B39" s="2" t="str">
        <f>CONCATENATE(A39,8)</f>
        <v>1KU3GY1JK728</v>
      </c>
      <c r="C39" s="2" t="s">
        <v>267</v>
      </c>
      <c r="D39" s="2" t="s">
        <v>268</v>
      </c>
      <c r="E39" s="2" t="str">
        <f t="shared" si="0"/>
        <v>ANGELA RICHARDS</v>
      </c>
      <c r="F39" s="2" t="s">
        <v>162</v>
      </c>
      <c r="G39" s="2" t="s">
        <v>37</v>
      </c>
      <c r="H39" s="2" t="s">
        <v>29</v>
      </c>
      <c r="I39" s="3">
        <v>45839</v>
      </c>
      <c r="J39" s="3">
        <v>45839</v>
      </c>
      <c r="K39" s="2">
        <v>21564088</v>
      </c>
      <c r="L39" s="2" t="s">
        <v>32</v>
      </c>
      <c r="M39" s="2" t="s">
        <v>165</v>
      </c>
      <c r="N39" s="2">
        <v>-219</v>
      </c>
      <c r="O39" s="2">
        <v>-156.5</v>
      </c>
      <c r="P39" s="2" t="s">
        <v>232</v>
      </c>
      <c r="Q39" s="2" t="s">
        <v>238</v>
      </c>
    </row>
    <row r="40" spans="1:17" x14ac:dyDescent="0.25">
      <c r="A40" s="2" t="s">
        <v>24</v>
      </c>
      <c r="B40" s="2" t="str">
        <f>CONCATENATE(A40,8)</f>
        <v>3XC4TV2XX888</v>
      </c>
      <c r="C40" s="2" t="s">
        <v>269</v>
      </c>
      <c r="D40" s="2" t="s">
        <v>270</v>
      </c>
      <c r="E40" s="2" t="str">
        <f t="shared" si="0"/>
        <v>MARIA AGUAIZA</v>
      </c>
      <c r="F40" s="2" t="s">
        <v>27</v>
      </c>
      <c r="G40" s="2" t="s">
        <v>37</v>
      </c>
      <c r="H40" s="2" t="s">
        <v>29</v>
      </c>
      <c r="I40" s="3">
        <v>45839</v>
      </c>
      <c r="J40" s="3">
        <v>45839</v>
      </c>
      <c r="K40" s="2">
        <v>17301495</v>
      </c>
      <c r="L40" s="2" t="s">
        <v>32</v>
      </c>
      <c r="M40" s="2" t="s">
        <v>33</v>
      </c>
      <c r="N40" s="2">
        <v>-219</v>
      </c>
      <c r="O40" s="2">
        <v>-156.5</v>
      </c>
      <c r="P40" s="2" t="s">
        <v>232</v>
      </c>
      <c r="Q40" s="2" t="s">
        <v>238</v>
      </c>
    </row>
    <row r="41" spans="1:17" x14ac:dyDescent="0.25">
      <c r="A41" s="2" t="s">
        <v>210</v>
      </c>
      <c r="B41" s="2" t="str">
        <f>CONCATENATE(A41,8)</f>
        <v>4A27UX2XW508</v>
      </c>
      <c r="C41" s="2" t="s">
        <v>271</v>
      </c>
      <c r="D41" s="2" t="s">
        <v>272</v>
      </c>
      <c r="E41" s="2" t="str">
        <f t="shared" si="0"/>
        <v>ANGELICA VARGAS</v>
      </c>
      <c r="F41" s="2" t="s">
        <v>27</v>
      </c>
      <c r="G41" s="2" t="s">
        <v>37</v>
      </c>
      <c r="H41" s="2" t="s">
        <v>29</v>
      </c>
      <c r="I41" s="3">
        <v>45839</v>
      </c>
      <c r="J41" s="3">
        <v>45839</v>
      </c>
      <c r="K41" s="2">
        <v>17301495</v>
      </c>
      <c r="L41" s="2" t="s">
        <v>32</v>
      </c>
      <c r="M41" s="2" t="s">
        <v>33</v>
      </c>
      <c r="N41" s="2">
        <v>-219</v>
      </c>
      <c r="O41" s="2">
        <v>-156.5</v>
      </c>
      <c r="P41" s="2" t="s">
        <v>232</v>
      </c>
      <c r="Q41" s="2" t="s">
        <v>238</v>
      </c>
    </row>
    <row r="42" spans="1:17" x14ac:dyDescent="0.25">
      <c r="A42" s="2" t="s">
        <v>200</v>
      </c>
      <c r="B42" s="2" t="str">
        <f>CONCATENATE(A42,8)</f>
        <v>7J45NP1FT878</v>
      </c>
      <c r="C42" s="2" t="s">
        <v>304</v>
      </c>
      <c r="D42" s="2" t="s">
        <v>305</v>
      </c>
      <c r="E42" s="2" t="str">
        <f t="shared" si="0"/>
        <v>BOLAJOKO SOYOYE</v>
      </c>
      <c r="F42" s="2" t="s">
        <v>27</v>
      </c>
      <c r="G42" s="2" t="s">
        <v>37</v>
      </c>
      <c r="H42" s="2" t="s">
        <v>29</v>
      </c>
      <c r="I42" s="3">
        <v>45839</v>
      </c>
      <c r="J42" s="3">
        <v>45839</v>
      </c>
      <c r="K42" s="2">
        <v>7152559</v>
      </c>
      <c r="L42" s="2" t="s">
        <v>32</v>
      </c>
      <c r="M42" s="2" t="s">
        <v>203</v>
      </c>
      <c r="N42" s="2">
        <v>-219</v>
      </c>
      <c r="O42" s="2">
        <v>-156.5</v>
      </c>
      <c r="P42" s="2" t="s">
        <v>232</v>
      </c>
      <c r="Q42" s="2" t="s">
        <v>238</v>
      </c>
    </row>
    <row r="43" spans="1:17" x14ac:dyDescent="0.25">
      <c r="A43" s="2" t="s">
        <v>200</v>
      </c>
      <c r="B43" s="2" t="str">
        <f>CONCATENATE(A43,8)</f>
        <v>7J45NP1FT878</v>
      </c>
      <c r="C43" s="2" t="s">
        <v>304</v>
      </c>
      <c r="D43" s="2" t="s">
        <v>305</v>
      </c>
      <c r="E43" s="2" t="str">
        <f t="shared" si="0"/>
        <v>BOLAJOKO SOYOYE</v>
      </c>
      <c r="F43" s="2" t="s">
        <v>27</v>
      </c>
      <c r="G43" s="2" t="s">
        <v>113</v>
      </c>
      <c r="H43" s="2" t="s">
        <v>29</v>
      </c>
      <c r="I43" s="3">
        <v>45839</v>
      </c>
      <c r="J43" s="3">
        <v>45839</v>
      </c>
      <c r="K43" s="2">
        <v>7152559</v>
      </c>
      <c r="L43" s="2" t="s">
        <v>32</v>
      </c>
      <c r="M43" s="2" t="s">
        <v>203</v>
      </c>
      <c r="N43" s="2">
        <v>375.5</v>
      </c>
      <c r="O43" s="2">
        <v>313</v>
      </c>
      <c r="P43" s="2" t="s">
        <v>232</v>
      </c>
      <c r="Q43" s="2" t="s">
        <v>231</v>
      </c>
    </row>
    <row r="44" spans="1:17" x14ac:dyDescent="0.25">
      <c r="A44" s="2" t="s">
        <v>82</v>
      </c>
      <c r="B44" s="2" t="str">
        <f>CONCATENATE(A44,8)</f>
        <v>8V25KH2HE838</v>
      </c>
      <c r="C44" s="2" t="s">
        <v>273</v>
      </c>
      <c r="D44" s="2" t="s">
        <v>274</v>
      </c>
      <c r="E44" s="2" t="str">
        <f t="shared" si="0"/>
        <v>RIMOND JAMOU</v>
      </c>
      <c r="F44" s="2" t="s">
        <v>27</v>
      </c>
      <c r="G44" s="2" t="s">
        <v>37</v>
      </c>
      <c r="H44" s="2" t="s">
        <v>29</v>
      </c>
      <c r="I44" s="3">
        <v>45839</v>
      </c>
      <c r="J44" s="3">
        <v>45839</v>
      </c>
      <c r="K44" s="2">
        <v>2158366</v>
      </c>
      <c r="L44" s="2" t="s">
        <v>32</v>
      </c>
      <c r="M44" s="2" t="s">
        <v>85</v>
      </c>
      <c r="N44" s="2">
        <v>-219</v>
      </c>
      <c r="O44" s="2">
        <v>-156.5</v>
      </c>
      <c r="P44" s="2" t="s">
        <v>232</v>
      </c>
      <c r="Q44" s="2" t="s">
        <v>238</v>
      </c>
    </row>
    <row r="45" spans="1:17" x14ac:dyDescent="0.25">
      <c r="A45" s="2" t="s">
        <v>145</v>
      </c>
      <c r="B45" s="2" t="str">
        <f>CONCATENATE(A45,8)</f>
        <v>8EY1RU4FP008</v>
      </c>
      <c r="C45" s="2" t="s">
        <v>275</v>
      </c>
      <c r="D45" s="2" t="s">
        <v>276</v>
      </c>
      <c r="E45" s="2" t="str">
        <f t="shared" si="0"/>
        <v>LOUIE OLAH</v>
      </c>
      <c r="F45" s="2" t="s">
        <v>27</v>
      </c>
      <c r="G45" s="2" t="s">
        <v>37</v>
      </c>
      <c r="H45" s="2" t="s">
        <v>29</v>
      </c>
      <c r="I45" s="3">
        <v>45901</v>
      </c>
      <c r="J45" s="3">
        <v>45901</v>
      </c>
      <c r="K45" s="2">
        <v>2158366</v>
      </c>
      <c r="L45" s="2" t="s">
        <v>32</v>
      </c>
      <c r="M45" s="2" t="s">
        <v>85</v>
      </c>
      <c r="N45" s="2">
        <v>-146</v>
      </c>
      <c r="O45" s="2">
        <v>-104.33</v>
      </c>
      <c r="P45" s="2" t="s">
        <v>232</v>
      </c>
      <c r="Q45" s="2" t="s">
        <v>240</v>
      </c>
    </row>
    <row r="46" spans="1:17" x14ac:dyDescent="0.25">
      <c r="A46" s="2" t="s">
        <v>129</v>
      </c>
      <c r="B46" s="2" t="str">
        <f>CONCATENATE(A46,8)</f>
        <v>8KN0N08RN388</v>
      </c>
      <c r="C46" s="2" t="s">
        <v>306</v>
      </c>
      <c r="D46" s="2" t="s">
        <v>307</v>
      </c>
      <c r="E46" s="2" t="str">
        <f t="shared" si="0"/>
        <v>SHARON NELSEN</v>
      </c>
      <c r="F46" s="2" t="s">
        <v>27</v>
      </c>
      <c r="G46" s="2" t="s">
        <v>43</v>
      </c>
      <c r="H46" s="2" t="s">
        <v>29</v>
      </c>
      <c r="I46" s="3">
        <v>45870</v>
      </c>
      <c r="J46" s="3">
        <v>45870</v>
      </c>
      <c r="K46" s="2">
        <v>2158366</v>
      </c>
      <c r="L46" s="2" t="s">
        <v>32</v>
      </c>
      <c r="M46" s="2" t="s">
        <v>85</v>
      </c>
      <c r="N46" s="2">
        <v>182.5</v>
      </c>
      <c r="O46" s="2">
        <v>130.41999999999999</v>
      </c>
      <c r="P46" s="2" t="s">
        <v>232</v>
      </c>
      <c r="Q46" s="2" t="s">
        <v>239</v>
      </c>
    </row>
    <row r="47" spans="1:17" x14ac:dyDescent="0.25">
      <c r="A47" s="2" t="s">
        <v>124</v>
      </c>
      <c r="B47" s="2" t="str">
        <f>CONCATENATE(A47,8)</f>
        <v>5RM7QX4ME518</v>
      </c>
      <c r="C47" s="2" t="s">
        <v>308</v>
      </c>
      <c r="D47" s="2" t="s">
        <v>254</v>
      </c>
      <c r="E47" s="2" t="str">
        <f t="shared" si="0"/>
        <v>MICHAEL MORRISON</v>
      </c>
      <c r="F47" s="2" t="s">
        <v>27</v>
      </c>
      <c r="G47" s="2" t="s">
        <v>37</v>
      </c>
      <c r="H47" s="2" t="s">
        <v>29</v>
      </c>
      <c r="I47" s="3">
        <v>45839</v>
      </c>
      <c r="J47" s="3">
        <v>45839</v>
      </c>
      <c r="K47" s="2">
        <v>7146581</v>
      </c>
      <c r="L47" s="2" t="s">
        <v>32</v>
      </c>
      <c r="M47" s="2" t="s">
        <v>128</v>
      </c>
      <c r="N47" s="2">
        <v>-219</v>
      </c>
      <c r="O47" s="2">
        <v>-156.5</v>
      </c>
      <c r="P47" s="2" t="s">
        <v>232</v>
      </c>
      <c r="Q47" s="2" t="s">
        <v>238</v>
      </c>
    </row>
    <row r="48" spans="1:17" x14ac:dyDescent="0.25">
      <c r="A48" s="2" t="s">
        <v>191</v>
      </c>
      <c r="B48" s="2" t="str">
        <f>CONCATENATE(A48,8)</f>
        <v>6JR0PQ6UX298</v>
      </c>
      <c r="C48" s="2" t="s">
        <v>277</v>
      </c>
      <c r="D48" s="2" t="s">
        <v>278</v>
      </c>
      <c r="E48" s="2" t="str">
        <f t="shared" si="0"/>
        <v>DIANE SMITH</v>
      </c>
      <c r="F48" s="2" t="s">
        <v>27</v>
      </c>
      <c r="G48" s="2" t="s">
        <v>37</v>
      </c>
      <c r="H48" s="2" t="s">
        <v>29</v>
      </c>
      <c r="I48" s="3">
        <v>45839</v>
      </c>
      <c r="J48" s="3">
        <v>45839</v>
      </c>
      <c r="K48" s="2">
        <v>7146581</v>
      </c>
      <c r="L48" s="2" t="s">
        <v>32</v>
      </c>
      <c r="M48" s="2" t="s">
        <v>128</v>
      </c>
      <c r="N48" s="2">
        <v>-219</v>
      </c>
      <c r="O48" s="2">
        <v>-156.5</v>
      </c>
      <c r="P48" s="2" t="s">
        <v>232</v>
      </c>
      <c r="Q48" s="2" t="s">
        <v>238</v>
      </c>
    </row>
    <row r="49" spans="1:17" x14ac:dyDescent="0.25">
      <c r="A49" s="2" t="s">
        <v>217</v>
      </c>
      <c r="B49" s="2" t="str">
        <f>CONCATENATE(A49,8)</f>
        <v>3NX3PA5YC988</v>
      </c>
      <c r="C49" s="2" t="s">
        <v>279</v>
      </c>
      <c r="D49" s="2" t="s">
        <v>280</v>
      </c>
      <c r="E49" s="2" t="str">
        <f t="shared" si="0"/>
        <v>CAROLYN WARF</v>
      </c>
      <c r="F49" s="2" t="s">
        <v>27</v>
      </c>
      <c r="G49" s="2" t="s">
        <v>37</v>
      </c>
      <c r="H49" s="2" t="s">
        <v>29</v>
      </c>
      <c r="I49" s="3">
        <v>45839</v>
      </c>
      <c r="J49" s="3">
        <v>45839</v>
      </c>
      <c r="K49" s="2">
        <v>7146581</v>
      </c>
      <c r="L49" s="2" t="s">
        <v>32</v>
      </c>
      <c r="M49" s="2" t="s">
        <v>128</v>
      </c>
      <c r="N49" s="2">
        <v>-219</v>
      </c>
      <c r="O49" s="2">
        <v>-156.5</v>
      </c>
      <c r="P49" s="2" t="s">
        <v>232</v>
      </c>
      <c r="Q49" s="2" t="s">
        <v>238</v>
      </c>
    </row>
    <row r="50" spans="1:17" x14ac:dyDescent="0.25">
      <c r="A50" s="2" t="s">
        <v>124</v>
      </c>
      <c r="B50" s="2" t="str">
        <f>CONCATENATE(A50,8)</f>
        <v>5RM7QX4ME518</v>
      </c>
      <c r="C50" s="2" t="s">
        <v>308</v>
      </c>
      <c r="D50" s="2" t="s">
        <v>254</v>
      </c>
      <c r="E50" s="2" t="str">
        <f t="shared" si="0"/>
        <v>MICHAEL MORRISON</v>
      </c>
      <c r="F50" s="2" t="s">
        <v>27</v>
      </c>
      <c r="G50" s="2" t="s">
        <v>113</v>
      </c>
      <c r="H50" s="2" t="s">
        <v>29</v>
      </c>
      <c r="I50" s="3">
        <v>45839</v>
      </c>
      <c r="J50" s="3">
        <v>45839</v>
      </c>
      <c r="K50" s="2">
        <v>7146581</v>
      </c>
      <c r="L50" s="2" t="s">
        <v>32</v>
      </c>
      <c r="M50" s="2" t="s">
        <v>128</v>
      </c>
      <c r="N50" s="2">
        <v>375.5</v>
      </c>
      <c r="O50" s="2">
        <v>313</v>
      </c>
      <c r="P50" s="2" t="s">
        <v>232</v>
      </c>
      <c r="Q50" s="2" t="s">
        <v>231</v>
      </c>
    </row>
    <row r="51" spans="1:17" x14ac:dyDescent="0.25">
      <c r="A51" s="2" t="s">
        <v>91</v>
      </c>
      <c r="B51" s="2" t="str">
        <f>CONCATENATE(A51,8)</f>
        <v>3T14Q39DH668</v>
      </c>
      <c r="C51" s="2" t="s">
        <v>281</v>
      </c>
      <c r="D51" s="2" t="s">
        <v>282</v>
      </c>
      <c r="E51" s="2" t="str">
        <f t="shared" si="0"/>
        <v>WILLIAM MASCHMEYER</v>
      </c>
      <c r="F51" s="2" t="s">
        <v>94</v>
      </c>
      <c r="G51" s="2" t="s">
        <v>37</v>
      </c>
      <c r="H51" s="2" t="s">
        <v>29</v>
      </c>
      <c r="I51" s="3">
        <v>45870</v>
      </c>
      <c r="J51" s="3">
        <v>45870</v>
      </c>
      <c r="K51" s="2">
        <v>8814784</v>
      </c>
      <c r="L51" s="2" t="s">
        <v>32</v>
      </c>
      <c r="M51" s="2" t="s">
        <v>96</v>
      </c>
      <c r="N51" s="2">
        <v>-182.5</v>
      </c>
      <c r="O51" s="2">
        <v>-130.41999999999999</v>
      </c>
      <c r="P51" s="2" t="s">
        <v>232</v>
      </c>
      <c r="Q51" s="2" t="s">
        <v>239</v>
      </c>
    </row>
    <row r="52" spans="1:17" x14ac:dyDescent="0.25">
      <c r="A52" s="2" t="s">
        <v>170</v>
      </c>
      <c r="B52" s="2" t="str">
        <f>CONCATENATE(A52,8)</f>
        <v>5YM6UU4JC898</v>
      </c>
      <c r="C52" s="2" t="s">
        <v>283</v>
      </c>
      <c r="D52" s="2" t="s">
        <v>284</v>
      </c>
      <c r="E52" s="2" t="str">
        <f t="shared" si="0"/>
        <v>LAURIE ROWE</v>
      </c>
      <c r="F52" s="2" t="s">
        <v>173</v>
      </c>
      <c r="G52" s="2" t="s">
        <v>37</v>
      </c>
      <c r="H52" s="2" t="s">
        <v>29</v>
      </c>
      <c r="I52" s="3">
        <v>45870</v>
      </c>
      <c r="J52" s="3">
        <v>45870</v>
      </c>
      <c r="K52" s="2">
        <v>16865615</v>
      </c>
      <c r="L52" s="2" t="s">
        <v>32</v>
      </c>
      <c r="M52" s="2" t="s">
        <v>176</v>
      </c>
      <c r="N52" s="2">
        <v>-182.5</v>
      </c>
      <c r="O52" s="2">
        <v>-130.41999999999999</v>
      </c>
      <c r="P52" s="2" t="s">
        <v>232</v>
      </c>
      <c r="Q52" s="2" t="s">
        <v>239</v>
      </c>
    </row>
    <row r="53" spans="1:17" x14ac:dyDescent="0.25">
      <c r="A53" s="2" t="s">
        <v>227</v>
      </c>
      <c r="B53" s="2" t="str">
        <f>CONCATENATE(A53,8)</f>
        <v>4X70YJ1XD188</v>
      </c>
      <c r="C53" s="2" t="s">
        <v>285</v>
      </c>
      <c r="D53" s="2" t="s">
        <v>286</v>
      </c>
      <c r="E53" s="2" t="str">
        <f t="shared" si="0"/>
        <v>DEBRA WYLLIE</v>
      </c>
      <c r="F53" s="2" t="s">
        <v>173</v>
      </c>
      <c r="G53" s="2" t="s">
        <v>37</v>
      </c>
      <c r="H53" s="2" t="s">
        <v>29</v>
      </c>
      <c r="I53" s="3">
        <v>45901</v>
      </c>
      <c r="J53" s="3">
        <v>45901</v>
      </c>
      <c r="K53" s="2">
        <v>16865615</v>
      </c>
      <c r="L53" s="2" t="s">
        <v>32</v>
      </c>
      <c r="M53" s="2" t="s">
        <v>176</v>
      </c>
      <c r="N53" s="2">
        <v>-146</v>
      </c>
      <c r="O53" s="2">
        <v>-104.33</v>
      </c>
      <c r="P53" s="2" t="s">
        <v>232</v>
      </c>
      <c r="Q53" s="2" t="s">
        <v>240</v>
      </c>
    </row>
    <row r="54" spans="1:17" x14ac:dyDescent="0.25">
      <c r="A54" s="2" t="s">
        <v>72</v>
      </c>
      <c r="B54" s="2" t="str">
        <f>CONCATENATE(A54,8)</f>
        <v>8H61U45EA958</v>
      </c>
      <c r="C54" s="2" t="s">
        <v>287</v>
      </c>
      <c r="D54" s="2" t="s">
        <v>288</v>
      </c>
      <c r="E54" s="2" t="str">
        <f t="shared" si="0"/>
        <v>DAVID FISK</v>
      </c>
      <c r="F54" s="2" t="s">
        <v>27</v>
      </c>
      <c r="G54" s="2" t="s">
        <v>37</v>
      </c>
      <c r="H54" s="2" t="s">
        <v>75</v>
      </c>
      <c r="I54" s="3">
        <v>45809</v>
      </c>
      <c r="J54" s="3">
        <v>45809</v>
      </c>
      <c r="K54" s="2">
        <v>9213293</v>
      </c>
      <c r="L54" s="2" t="s">
        <v>32</v>
      </c>
      <c r="M54" s="2" t="s">
        <v>77</v>
      </c>
      <c r="N54" s="2">
        <v>-255.5</v>
      </c>
      <c r="O54" s="2">
        <v>-182.58</v>
      </c>
      <c r="P54" s="2" t="s">
        <v>232</v>
      </c>
      <c r="Q54" s="2" t="s">
        <v>236</v>
      </c>
    </row>
    <row r="55" spans="1:17" x14ac:dyDescent="0.25">
      <c r="A55" s="2" t="s">
        <v>102</v>
      </c>
      <c r="B55" s="2" t="str">
        <f>CONCATENATE(A55,8)</f>
        <v>4Y45CG3MK518</v>
      </c>
      <c r="C55" s="2" t="s">
        <v>289</v>
      </c>
      <c r="D55" s="2" t="s">
        <v>290</v>
      </c>
      <c r="E55" s="2" t="str">
        <f t="shared" si="0"/>
        <v>RENEE MCMATH</v>
      </c>
      <c r="F55" s="2" t="s">
        <v>27</v>
      </c>
      <c r="G55" s="2" t="s">
        <v>37</v>
      </c>
      <c r="H55" s="2" t="s">
        <v>29</v>
      </c>
      <c r="I55" s="3">
        <v>45870</v>
      </c>
      <c r="J55" s="3">
        <v>45870</v>
      </c>
      <c r="K55" s="2">
        <v>9213293</v>
      </c>
      <c r="L55" s="2" t="s">
        <v>32</v>
      </c>
      <c r="M55" s="2" t="s">
        <v>77</v>
      </c>
      <c r="N55" s="2">
        <v>-182.5</v>
      </c>
      <c r="O55" s="2">
        <v>-130.41999999999999</v>
      </c>
      <c r="P55" s="2" t="s">
        <v>232</v>
      </c>
      <c r="Q55" s="2" t="s">
        <v>239</v>
      </c>
    </row>
    <row r="56" spans="1:17" x14ac:dyDescent="0.25">
      <c r="A56" s="2" t="s">
        <v>220</v>
      </c>
      <c r="B56" s="2" t="str">
        <f>CONCATENATE(A56,8)</f>
        <v>7W25G55WT558</v>
      </c>
      <c r="C56" s="2" t="s">
        <v>309</v>
      </c>
      <c r="D56" s="2" t="s">
        <v>310</v>
      </c>
      <c r="E56" s="2" t="str">
        <f t="shared" si="0"/>
        <v>CHERYL WILLOCKS</v>
      </c>
      <c r="F56" s="2" t="s">
        <v>223</v>
      </c>
      <c r="G56" s="2" t="s">
        <v>43</v>
      </c>
      <c r="H56" s="2" t="s">
        <v>29</v>
      </c>
      <c r="I56" s="3">
        <v>45931</v>
      </c>
      <c r="J56" s="3">
        <v>45931</v>
      </c>
      <c r="K56" s="2">
        <v>19645587</v>
      </c>
      <c r="L56" s="2" t="s">
        <v>32</v>
      </c>
      <c r="M56" s="2" t="s">
        <v>226</v>
      </c>
      <c r="N56" s="2">
        <v>109.5</v>
      </c>
      <c r="O56" s="2">
        <v>78.25</v>
      </c>
      <c r="P56" s="2" t="s">
        <v>232</v>
      </c>
      <c r="Q56" s="2" t="s">
        <v>241</v>
      </c>
    </row>
    <row r="57" spans="1:17" x14ac:dyDescent="0.25">
      <c r="A57" s="2" t="s">
        <v>106</v>
      </c>
      <c r="B57" s="2" t="str">
        <f>CONCATENATE(A57,8)</f>
        <v>8DC4GA0YU958</v>
      </c>
      <c r="C57" s="2" t="s">
        <v>311</v>
      </c>
      <c r="D57" s="2" t="s">
        <v>312</v>
      </c>
      <c r="E57" s="2" t="str">
        <f t="shared" si="0"/>
        <v>LOIS MCROBERTS</v>
      </c>
      <c r="F57" s="2" t="s">
        <v>109</v>
      </c>
      <c r="G57" s="2" t="s">
        <v>37</v>
      </c>
      <c r="H57" s="2" t="s">
        <v>29</v>
      </c>
      <c r="I57" s="3">
        <v>45839</v>
      </c>
      <c r="J57" s="3">
        <v>45839</v>
      </c>
      <c r="K57" s="2">
        <v>16509456</v>
      </c>
      <c r="L57" s="2" t="s">
        <v>32</v>
      </c>
      <c r="M57" s="2" t="s">
        <v>112</v>
      </c>
      <c r="N57" s="2">
        <v>-219</v>
      </c>
      <c r="O57" s="2">
        <v>-156.5</v>
      </c>
      <c r="P57" s="2" t="s">
        <v>232</v>
      </c>
      <c r="Q57" s="2" t="s">
        <v>238</v>
      </c>
    </row>
    <row r="58" spans="1:17" x14ac:dyDescent="0.25">
      <c r="A58" s="2" t="s">
        <v>106</v>
      </c>
      <c r="B58" s="2" t="str">
        <f>CONCATENATE(A58,8)</f>
        <v>8DC4GA0YU958</v>
      </c>
      <c r="C58" s="2" t="s">
        <v>311</v>
      </c>
      <c r="D58" s="2" t="s">
        <v>312</v>
      </c>
      <c r="E58" s="2" t="str">
        <f t="shared" si="0"/>
        <v>LOIS MCROBERTS</v>
      </c>
      <c r="F58" s="2" t="s">
        <v>109</v>
      </c>
      <c r="G58" s="2" t="s">
        <v>113</v>
      </c>
      <c r="H58" s="2" t="s">
        <v>29</v>
      </c>
      <c r="I58" s="3">
        <v>45839</v>
      </c>
      <c r="J58" s="3">
        <v>45839</v>
      </c>
      <c r="K58" s="2">
        <v>16509456</v>
      </c>
      <c r="L58" s="2" t="s">
        <v>32</v>
      </c>
      <c r="M58" s="2" t="s">
        <v>112</v>
      </c>
      <c r="N58" s="2">
        <v>375.5</v>
      </c>
      <c r="O58" s="2">
        <v>313</v>
      </c>
      <c r="P58" s="2" t="s">
        <v>232</v>
      </c>
      <c r="Q58" s="2" t="s">
        <v>231</v>
      </c>
    </row>
    <row r="59" spans="1:17" x14ac:dyDescent="0.25">
      <c r="A59" s="2" t="s">
        <v>141</v>
      </c>
      <c r="B59" s="2" t="str">
        <f>CONCATENATE(A59,8)</f>
        <v>1D50TG0MC158</v>
      </c>
      <c r="C59" s="2" t="s">
        <v>291</v>
      </c>
      <c r="D59" s="2" t="s">
        <v>292</v>
      </c>
      <c r="E59" s="2" t="str">
        <f t="shared" si="0"/>
        <v>BRENT OFFENHEISER</v>
      </c>
      <c r="F59" s="2" t="s">
        <v>27</v>
      </c>
      <c r="G59" s="2" t="s">
        <v>37</v>
      </c>
      <c r="H59" s="2" t="s">
        <v>29</v>
      </c>
      <c r="I59" s="3">
        <v>45839</v>
      </c>
      <c r="J59" s="3">
        <v>45839</v>
      </c>
      <c r="K59" s="2">
        <v>20490188</v>
      </c>
      <c r="L59" s="2" t="s">
        <v>32</v>
      </c>
      <c r="M59" s="2" t="s">
        <v>144</v>
      </c>
      <c r="N59" s="2">
        <v>-219</v>
      </c>
      <c r="O59" s="2">
        <v>-156.5</v>
      </c>
      <c r="P59" s="2" t="s">
        <v>232</v>
      </c>
      <c r="Q59" s="2" t="s">
        <v>238</v>
      </c>
    </row>
    <row r="60" spans="1:17" x14ac:dyDescent="0.25">
      <c r="A60" s="2" t="s">
        <v>64</v>
      </c>
      <c r="B60" s="2" t="str">
        <f>CONCATENATE(A60,8)</f>
        <v>7M88D22JJ548</v>
      </c>
      <c r="C60" s="2" t="s">
        <v>293</v>
      </c>
      <c r="D60" s="2" t="s">
        <v>268</v>
      </c>
      <c r="E60" s="2" t="str">
        <f t="shared" si="0"/>
        <v>ANGELA DAVIS</v>
      </c>
      <c r="F60" s="2" t="s">
        <v>27</v>
      </c>
      <c r="G60" s="2" t="s">
        <v>37</v>
      </c>
      <c r="H60" s="2" t="s">
        <v>29</v>
      </c>
      <c r="I60" s="3">
        <v>45809</v>
      </c>
      <c r="J60" s="3">
        <v>45809</v>
      </c>
      <c r="K60" s="2">
        <v>19681796</v>
      </c>
      <c r="L60" s="2" t="s">
        <v>32</v>
      </c>
      <c r="M60" s="2" t="s">
        <v>67</v>
      </c>
      <c r="N60" s="2">
        <v>-252.58</v>
      </c>
      <c r="O60" s="2">
        <v>-182.58</v>
      </c>
      <c r="P60" s="2" t="s">
        <v>232</v>
      </c>
      <c r="Q60" s="2" t="s">
        <v>236</v>
      </c>
    </row>
    <row r="61" spans="1:17" x14ac:dyDescent="0.25">
      <c r="A61" s="2" t="s">
        <v>187</v>
      </c>
      <c r="B61" s="2" t="str">
        <f>CONCATENATE(A61,8)</f>
        <v>4UY3E31HN708</v>
      </c>
      <c r="C61" s="2" t="s">
        <v>277</v>
      </c>
      <c r="D61" s="2" t="s">
        <v>294</v>
      </c>
      <c r="E61" s="2" t="str">
        <f t="shared" si="0"/>
        <v>CYNTHIA SMITH</v>
      </c>
      <c r="F61" s="2" t="s">
        <v>94</v>
      </c>
      <c r="G61" s="2" t="s">
        <v>37</v>
      </c>
      <c r="H61" s="2" t="s">
        <v>29</v>
      </c>
      <c r="I61" s="3">
        <v>45901</v>
      </c>
      <c r="J61" s="3">
        <v>45901</v>
      </c>
      <c r="K61" s="2">
        <v>19681796</v>
      </c>
      <c r="L61" s="2" t="s">
        <v>32</v>
      </c>
      <c r="M61" s="2" t="s">
        <v>67</v>
      </c>
      <c r="N61" s="2">
        <v>-144.33000000000001</v>
      </c>
      <c r="O61" s="2">
        <v>-104.33</v>
      </c>
      <c r="P61" s="2" t="s">
        <v>232</v>
      </c>
      <c r="Q61" s="2" t="s">
        <v>240</v>
      </c>
    </row>
    <row r="62" spans="1:17" x14ac:dyDescent="0.25">
      <c r="A62" s="2" t="s">
        <v>152</v>
      </c>
      <c r="B62" s="2" t="str">
        <f>CONCATENATE(A62,8)</f>
        <v>8QE7V25PV408</v>
      </c>
      <c r="C62" s="2" t="s">
        <v>297</v>
      </c>
      <c r="D62" s="2" t="s">
        <v>298</v>
      </c>
      <c r="E62" s="2" t="str">
        <f t="shared" si="0"/>
        <v>GERALD PUCKETT</v>
      </c>
      <c r="F62" s="2" t="s">
        <v>27</v>
      </c>
      <c r="G62" s="2" t="s">
        <v>37</v>
      </c>
      <c r="H62" s="2" t="s">
        <v>29</v>
      </c>
      <c r="I62" s="3">
        <v>45809</v>
      </c>
      <c r="J62" s="3">
        <v>45809</v>
      </c>
      <c r="K62" s="2">
        <v>8307933</v>
      </c>
      <c r="L62" s="2" t="s">
        <v>32</v>
      </c>
      <c r="M62" s="2" t="s">
        <v>46</v>
      </c>
      <c r="N62" s="2">
        <v>-255.5</v>
      </c>
      <c r="O62" s="2">
        <v>-182.58</v>
      </c>
      <c r="P62" s="2" t="s">
        <v>232</v>
      </c>
      <c r="Q62" s="2" t="s">
        <v>236</v>
      </c>
    </row>
    <row r="63" spans="1:17" x14ac:dyDescent="0.25">
      <c r="A63" s="2" t="s">
        <v>156</v>
      </c>
      <c r="B63" s="2" t="str">
        <f>CONCATENATE(A63,8)</f>
        <v>2CE0P67CF368</v>
      </c>
      <c r="C63" s="2" t="s">
        <v>299</v>
      </c>
      <c r="D63" s="2" t="s">
        <v>260</v>
      </c>
      <c r="E63" s="2" t="str">
        <f t="shared" si="0"/>
        <v>DIANA QUESADA</v>
      </c>
      <c r="F63" s="2" t="s">
        <v>27</v>
      </c>
      <c r="G63" s="2" t="s">
        <v>37</v>
      </c>
      <c r="H63" s="2" t="s">
        <v>29</v>
      </c>
      <c r="I63" s="3">
        <v>45809</v>
      </c>
      <c r="J63" s="3">
        <v>45809</v>
      </c>
      <c r="K63" s="2">
        <v>8307933</v>
      </c>
      <c r="L63" s="2" t="s">
        <v>32</v>
      </c>
      <c r="M63" s="2" t="s">
        <v>46</v>
      </c>
      <c r="N63" s="2">
        <v>-255.5</v>
      </c>
      <c r="O63" s="2">
        <v>-182.58</v>
      </c>
      <c r="P63" s="2" t="s">
        <v>232</v>
      </c>
      <c r="Q63" s="2" t="s">
        <v>236</v>
      </c>
    </row>
    <row r="64" spans="1:17" x14ac:dyDescent="0.25">
      <c r="A64" s="2" t="s">
        <v>194</v>
      </c>
      <c r="B64" s="2" t="str">
        <f>CONCATENATE(A64,8)</f>
        <v>7EY0DY5TT328</v>
      </c>
      <c r="C64" s="2" t="s">
        <v>302</v>
      </c>
      <c r="D64" s="2" t="s">
        <v>303</v>
      </c>
      <c r="E64" s="2" t="str">
        <f t="shared" si="0"/>
        <v>SUSAN SOMMER</v>
      </c>
      <c r="F64" s="2" t="s">
        <v>197</v>
      </c>
      <c r="G64" s="2" t="s">
        <v>37</v>
      </c>
      <c r="H64" s="2" t="s">
        <v>29</v>
      </c>
      <c r="I64" s="3">
        <v>45839</v>
      </c>
      <c r="J64" s="3">
        <v>45839</v>
      </c>
      <c r="K64" s="2">
        <v>8307933</v>
      </c>
      <c r="L64" s="2" t="s">
        <v>32</v>
      </c>
      <c r="M64" s="2" t="s">
        <v>46</v>
      </c>
      <c r="N64" s="2">
        <v>-219</v>
      </c>
      <c r="O64" s="2">
        <v>-156.5</v>
      </c>
      <c r="P64" s="2" t="s">
        <v>232</v>
      </c>
      <c r="Q64" s="2" t="s">
        <v>238</v>
      </c>
    </row>
    <row r="65" spans="1:17" x14ac:dyDescent="0.25">
      <c r="A65" s="2" t="s">
        <v>47</v>
      </c>
      <c r="B65" s="2" t="str">
        <f>CONCATENATE(A65,8)</f>
        <v>6TH1KW7KK338</v>
      </c>
      <c r="C65" s="2" t="s">
        <v>295</v>
      </c>
      <c r="D65" s="2" t="s">
        <v>296</v>
      </c>
      <c r="E65" s="2" t="str">
        <f t="shared" si="0"/>
        <v>CARMELLA BURDI</v>
      </c>
      <c r="F65" s="2" t="s">
        <v>27</v>
      </c>
      <c r="G65" s="2" t="s">
        <v>37</v>
      </c>
      <c r="H65" s="2" t="s">
        <v>29</v>
      </c>
      <c r="I65" s="3">
        <v>45870</v>
      </c>
      <c r="J65" s="3">
        <v>45870</v>
      </c>
      <c r="K65" s="2">
        <v>8307933</v>
      </c>
      <c r="L65" s="2" t="s">
        <v>32</v>
      </c>
      <c r="M65" s="2" t="s">
        <v>46</v>
      </c>
      <c r="N65" s="2">
        <v>-182.5</v>
      </c>
      <c r="O65" s="2">
        <v>-130.41999999999999</v>
      </c>
      <c r="P65" s="2" t="s">
        <v>232</v>
      </c>
      <c r="Q65" s="2" t="s">
        <v>239</v>
      </c>
    </row>
    <row r="66" spans="1:17" x14ac:dyDescent="0.25">
      <c r="A66" s="2" t="s">
        <v>181</v>
      </c>
      <c r="B66" s="2" t="str">
        <f>CONCATENATE(A66,8)</f>
        <v>8GG6CP6VE778</v>
      </c>
      <c r="C66" s="2" t="s">
        <v>300</v>
      </c>
      <c r="D66" s="2" t="s">
        <v>301</v>
      </c>
      <c r="E66" s="2" t="str">
        <f t="shared" si="0"/>
        <v>LUANNA SCHMITZ</v>
      </c>
      <c r="F66" s="2" t="s">
        <v>184</v>
      </c>
      <c r="G66" s="2" t="s">
        <v>37</v>
      </c>
      <c r="H66" s="2" t="s">
        <v>29</v>
      </c>
      <c r="I66" s="3">
        <v>45901</v>
      </c>
      <c r="J66" s="3">
        <v>45901</v>
      </c>
      <c r="K66" s="2">
        <v>8307933</v>
      </c>
      <c r="L66" s="2" t="s">
        <v>32</v>
      </c>
      <c r="M66" s="2" t="s">
        <v>46</v>
      </c>
      <c r="N66" s="2">
        <v>-146</v>
      </c>
      <c r="O66" s="2">
        <v>-104.33</v>
      </c>
      <c r="P66" s="2" t="s">
        <v>232</v>
      </c>
      <c r="Q66" s="2" t="s">
        <v>240</v>
      </c>
    </row>
    <row r="67" spans="1:17" x14ac:dyDescent="0.25">
      <c r="A67" s="2" t="s">
        <v>39</v>
      </c>
      <c r="B67" s="2" t="str">
        <f>CONCATENATE(A67,8)</f>
        <v>6U56RQ0HK628</v>
      </c>
      <c r="C67" s="2" t="s">
        <v>313</v>
      </c>
      <c r="D67" s="2" t="s">
        <v>314</v>
      </c>
      <c r="E67" s="2" t="str">
        <f t="shared" ref="E67:E130" si="1">CONCATENATE(D67, " ",C67)</f>
        <v>CHARLOTTE ANDRESKY</v>
      </c>
      <c r="F67" s="2" t="s">
        <v>42</v>
      </c>
      <c r="G67" s="2" t="s">
        <v>43</v>
      </c>
      <c r="H67" s="2" t="s">
        <v>29</v>
      </c>
      <c r="I67" s="3">
        <v>45931</v>
      </c>
      <c r="J67" s="3">
        <v>45931</v>
      </c>
      <c r="K67" s="2">
        <v>8307933</v>
      </c>
      <c r="L67" s="2" t="s">
        <v>32</v>
      </c>
      <c r="M67" s="2" t="s">
        <v>46</v>
      </c>
      <c r="N67" s="2">
        <v>109.5</v>
      </c>
      <c r="O67" s="2">
        <v>78.25</v>
      </c>
      <c r="P67" s="2" t="s">
        <v>232</v>
      </c>
      <c r="Q67" s="2" t="s">
        <v>241</v>
      </c>
    </row>
    <row r="68" spans="1:17" x14ac:dyDescent="0.25">
      <c r="A68" s="2" t="s">
        <v>132</v>
      </c>
      <c r="B68" s="2" t="str">
        <f>CONCATENATE(A68,8)</f>
        <v>3XU1RY6QK328</v>
      </c>
      <c r="C68" s="2" t="s">
        <v>315</v>
      </c>
      <c r="D68" s="2" t="s">
        <v>316</v>
      </c>
      <c r="E68" s="2" t="str">
        <f t="shared" si="1"/>
        <v>NANCY OBERLANDER</v>
      </c>
      <c r="F68" s="2" t="s">
        <v>135</v>
      </c>
      <c r="G68" s="2" t="s">
        <v>136</v>
      </c>
      <c r="H68" s="2" t="s">
        <v>29</v>
      </c>
      <c r="I68" s="3">
        <v>45658</v>
      </c>
      <c r="J68" s="3">
        <v>45658</v>
      </c>
      <c r="K68" s="2">
        <v>16633294</v>
      </c>
      <c r="L68" s="2" t="s">
        <v>32</v>
      </c>
      <c r="M68" s="2" t="s">
        <v>139</v>
      </c>
      <c r="N68" s="2">
        <v>-438</v>
      </c>
      <c r="O68" s="2">
        <v>-313</v>
      </c>
      <c r="P68" s="2" t="s">
        <v>232</v>
      </c>
      <c r="Q68" s="2" t="s">
        <v>231</v>
      </c>
    </row>
    <row r="69" spans="1:17" x14ac:dyDescent="0.25">
      <c r="A69" s="2" t="s">
        <v>132</v>
      </c>
      <c r="B69" s="2" t="str">
        <f>CONCATENATE(A69,8)</f>
        <v>3XU1RY6QK328</v>
      </c>
      <c r="C69" s="2" t="s">
        <v>315</v>
      </c>
      <c r="D69" s="2" t="s">
        <v>316</v>
      </c>
      <c r="E69" s="2" t="str">
        <f t="shared" si="1"/>
        <v>NANCY OBERLANDER</v>
      </c>
      <c r="F69" s="2" t="s">
        <v>135</v>
      </c>
      <c r="G69" s="2" t="s">
        <v>140</v>
      </c>
      <c r="H69" s="2" t="s">
        <v>29</v>
      </c>
      <c r="I69" s="3">
        <v>45658</v>
      </c>
      <c r="J69" s="3">
        <v>45658</v>
      </c>
      <c r="K69" s="2">
        <v>16633294</v>
      </c>
      <c r="L69" s="2" t="s">
        <v>32</v>
      </c>
      <c r="M69" s="2" t="s">
        <v>139</v>
      </c>
      <c r="N69" s="2">
        <v>255.5</v>
      </c>
      <c r="O69" s="2">
        <v>182.58</v>
      </c>
      <c r="P69" s="2" t="s">
        <v>232</v>
      </c>
      <c r="Q69" s="2" t="s">
        <v>236</v>
      </c>
    </row>
    <row r="70" spans="1:17" x14ac:dyDescent="0.25">
      <c r="A70" s="2" t="s">
        <v>132</v>
      </c>
      <c r="B70" s="2" t="str">
        <f>CONCATENATE(A70,66)</f>
        <v>3XU1RY6QK3266</v>
      </c>
      <c r="C70" s="2" t="s">
        <v>315</v>
      </c>
      <c r="D70" s="2" t="s">
        <v>316</v>
      </c>
      <c r="E70" s="2" t="str">
        <f t="shared" si="1"/>
        <v>NANCY OBERLANDER</v>
      </c>
      <c r="F70" s="2" t="s">
        <v>135</v>
      </c>
      <c r="G70" s="2" t="s">
        <v>136</v>
      </c>
      <c r="H70" s="2" t="s">
        <v>29</v>
      </c>
      <c r="I70" s="3">
        <v>45658</v>
      </c>
      <c r="J70" s="3">
        <v>45658</v>
      </c>
      <c r="K70" s="2">
        <v>20411454</v>
      </c>
      <c r="L70" s="2" t="s">
        <v>32</v>
      </c>
      <c r="M70" s="2" t="s">
        <v>247</v>
      </c>
      <c r="N70" s="2">
        <v>-438</v>
      </c>
      <c r="O70" s="2">
        <v>-125</v>
      </c>
      <c r="P70" s="2" t="s">
        <v>235</v>
      </c>
    </row>
    <row r="71" spans="1:17" x14ac:dyDescent="0.25">
      <c r="A71" s="2" t="s">
        <v>148</v>
      </c>
      <c r="B71" s="2" t="str">
        <f>CONCATENATE(A71,88)</f>
        <v>5VW8EA9MD6788</v>
      </c>
      <c r="C71" s="2" t="s">
        <v>255</v>
      </c>
      <c r="D71" s="2" t="s">
        <v>256</v>
      </c>
      <c r="E71" s="2" t="str">
        <f t="shared" si="1"/>
        <v>VALERIE PAVLICK</v>
      </c>
      <c r="F71" s="2" t="s">
        <v>54</v>
      </c>
      <c r="G71" s="2" t="s">
        <v>37</v>
      </c>
      <c r="H71" s="2" t="s">
        <v>29</v>
      </c>
      <c r="I71" s="3">
        <v>45809</v>
      </c>
      <c r="J71" s="3">
        <v>45809</v>
      </c>
      <c r="K71" s="2">
        <v>20411454</v>
      </c>
      <c r="L71" s="2" t="s">
        <v>32</v>
      </c>
      <c r="M71" s="2" t="s">
        <v>247</v>
      </c>
      <c r="N71" s="2">
        <v>-278.83</v>
      </c>
      <c r="O71" s="2">
        <v>-72.91</v>
      </c>
      <c r="P71" s="2" t="s">
        <v>235</v>
      </c>
    </row>
    <row r="72" spans="1:17" x14ac:dyDescent="0.25">
      <c r="A72" s="2" t="s">
        <v>72</v>
      </c>
      <c r="B72" s="2" t="str">
        <f>CONCATENATE(A72,88)</f>
        <v>8H61U45EA9588</v>
      </c>
      <c r="C72" s="2" t="s">
        <v>287</v>
      </c>
      <c r="D72" s="2" t="s">
        <v>288</v>
      </c>
      <c r="E72" s="2" t="str">
        <f t="shared" si="1"/>
        <v>DAVID FISK</v>
      </c>
      <c r="F72" s="2" t="s">
        <v>27</v>
      </c>
      <c r="G72" s="2" t="s">
        <v>37</v>
      </c>
      <c r="H72" s="2" t="s">
        <v>75</v>
      </c>
      <c r="I72" s="3">
        <v>45809</v>
      </c>
      <c r="J72" s="3">
        <v>45809</v>
      </c>
      <c r="K72" s="2">
        <v>20411454</v>
      </c>
      <c r="L72" s="2" t="s">
        <v>32</v>
      </c>
      <c r="M72" s="2" t="s">
        <v>247</v>
      </c>
      <c r="N72" s="2">
        <v>-255.5</v>
      </c>
      <c r="O72" s="2">
        <v>-72.92</v>
      </c>
      <c r="P72" s="2" t="s">
        <v>235</v>
      </c>
    </row>
    <row r="73" spans="1:17" x14ac:dyDescent="0.25">
      <c r="A73" s="2" t="s">
        <v>152</v>
      </c>
      <c r="B73" s="2" t="str">
        <f>CONCATENATE(A73,88)</f>
        <v>8QE7V25PV4088</v>
      </c>
      <c r="C73" s="2" t="s">
        <v>297</v>
      </c>
      <c r="D73" s="2" t="s">
        <v>298</v>
      </c>
      <c r="E73" s="2" t="str">
        <f t="shared" si="1"/>
        <v>GERALD PUCKETT</v>
      </c>
      <c r="F73" s="2" t="s">
        <v>27</v>
      </c>
      <c r="G73" s="2" t="s">
        <v>37</v>
      </c>
      <c r="H73" s="2" t="s">
        <v>29</v>
      </c>
      <c r="I73" s="3">
        <v>45809</v>
      </c>
      <c r="J73" s="3">
        <v>45809</v>
      </c>
      <c r="K73" s="2">
        <v>20411454</v>
      </c>
      <c r="L73" s="2" t="s">
        <v>32</v>
      </c>
      <c r="M73" s="2" t="s">
        <v>247</v>
      </c>
      <c r="N73" s="2">
        <v>-255.5</v>
      </c>
      <c r="O73" s="2">
        <v>-72.92</v>
      </c>
      <c r="P73" s="2" t="s">
        <v>235</v>
      </c>
    </row>
    <row r="74" spans="1:17" x14ac:dyDescent="0.25">
      <c r="A74" s="2" t="s">
        <v>156</v>
      </c>
      <c r="B74" s="2" t="str">
        <f>CONCATENATE(A74,88)</f>
        <v>2CE0P67CF3688</v>
      </c>
      <c r="C74" s="2" t="s">
        <v>299</v>
      </c>
      <c r="D74" s="2" t="s">
        <v>260</v>
      </c>
      <c r="E74" s="2" t="str">
        <f t="shared" si="1"/>
        <v>DIANA QUESADA</v>
      </c>
      <c r="F74" s="2" t="s">
        <v>27</v>
      </c>
      <c r="G74" s="2" t="s">
        <v>37</v>
      </c>
      <c r="H74" s="2" t="s">
        <v>29</v>
      </c>
      <c r="I74" s="3">
        <v>45809</v>
      </c>
      <c r="J74" s="3">
        <v>45809</v>
      </c>
      <c r="K74" s="2">
        <v>20411454</v>
      </c>
      <c r="L74" s="2" t="s">
        <v>32</v>
      </c>
      <c r="M74" s="2" t="s">
        <v>247</v>
      </c>
      <c r="N74" s="2">
        <v>-255.5</v>
      </c>
      <c r="O74" s="2">
        <v>-72.92</v>
      </c>
      <c r="P74" s="2" t="s">
        <v>235</v>
      </c>
    </row>
    <row r="75" spans="1:17" x14ac:dyDescent="0.25">
      <c r="A75" s="2" t="s">
        <v>64</v>
      </c>
      <c r="B75" s="2" t="str">
        <f>CONCATENATE(A75,88)</f>
        <v>7M88D22JJ5488</v>
      </c>
      <c r="C75" s="2" t="s">
        <v>293</v>
      </c>
      <c r="D75" s="2" t="s">
        <v>268</v>
      </c>
      <c r="E75" s="2" t="str">
        <f t="shared" si="1"/>
        <v>ANGELA DAVIS</v>
      </c>
      <c r="F75" s="2" t="s">
        <v>27</v>
      </c>
      <c r="G75" s="2" t="s">
        <v>37</v>
      </c>
      <c r="H75" s="2" t="s">
        <v>29</v>
      </c>
      <c r="I75" s="3">
        <v>45809</v>
      </c>
      <c r="J75" s="3">
        <v>45809</v>
      </c>
      <c r="K75" s="2">
        <v>20411454</v>
      </c>
      <c r="L75" s="2" t="s">
        <v>32</v>
      </c>
      <c r="M75" s="2" t="s">
        <v>247</v>
      </c>
      <c r="N75" s="2">
        <v>-252.58</v>
      </c>
      <c r="O75" s="2">
        <v>-70</v>
      </c>
      <c r="P75" s="2" t="s">
        <v>235</v>
      </c>
    </row>
    <row r="76" spans="1:17" x14ac:dyDescent="0.25">
      <c r="A76" s="2" t="s">
        <v>51</v>
      </c>
      <c r="B76" s="2" t="str">
        <f>CONCATENATE(A76,88)</f>
        <v>7G65G68TP8588</v>
      </c>
      <c r="C76" s="2" t="s">
        <v>249</v>
      </c>
      <c r="D76" s="2" t="s">
        <v>250</v>
      </c>
      <c r="E76" s="2" t="str">
        <f t="shared" si="1"/>
        <v>CHARLES CAMPBELL</v>
      </c>
      <c r="F76" s="2" t="s">
        <v>54</v>
      </c>
      <c r="G76" s="2" t="s">
        <v>37</v>
      </c>
      <c r="H76" s="2" t="s">
        <v>29</v>
      </c>
      <c r="I76" s="3">
        <v>45839</v>
      </c>
      <c r="J76" s="3">
        <v>45839</v>
      </c>
      <c r="K76" s="2">
        <v>20411454</v>
      </c>
      <c r="L76" s="2" t="s">
        <v>32</v>
      </c>
      <c r="M76" s="2" t="s">
        <v>247</v>
      </c>
      <c r="N76" s="2">
        <v>-239</v>
      </c>
      <c r="O76" s="2">
        <v>-62.5</v>
      </c>
      <c r="P76" s="2" t="s">
        <v>235</v>
      </c>
    </row>
    <row r="77" spans="1:17" x14ac:dyDescent="0.25">
      <c r="A77" s="2" t="s">
        <v>86</v>
      </c>
      <c r="B77" s="2" t="str">
        <f>CONCATENATE(A77,88)</f>
        <v>1KH4E07DQ7788</v>
      </c>
      <c r="C77" s="2" t="s">
        <v>251</v>
      </c>
      <c r="D77" s="2" t="s">
        <v>252</v>
      </c>
      <c r="E77" s="2" t="str">
        <f t="shared" si="1"/>
        <v>LISA MANGANELLO</v>
      </c>
      <c r="F77" s="2" t="s">
        <v>54</v>
      </c>
      <c r="G77" s="2" t="s">
        <v>37</v>
      </c>
      <c r="H77" s="2" t="s">
        <v>29</v>
      </c>
      <c r="I77" s="3">
        <v>45839</v>
      </c>
      <c r="J77" s="3">
        <v>45839</v>
      </c>
      <c r="K77" s="2">
        <v>20411454</v>
      </c>
      <c r="L77" s="2" t="s">
        <v>32</v>
      </c>
      <c r="M77" s="2" t="s">
        <v>247</v>
      </c>
      <c r="N77" s="2">
        <v>-239</v>
      </c>
      <c r="O77" s="2">
        <v>-62.5</v>
      </c>
      <c r="P77" s="2" t="s">
        <v>235</v>
      </c>
    </row>
    <row r="78" spans="1:17" x14ac:dyDescent="0.25">
      <c r="A78" s="2" t="s">
        <v>97</v>
      </c>
      <c r="B78" s="2" t="str">
        <f>CONCATENATE(A78,88)</f>
        <v>5A25J34YC5288</v>
      </c>
      <c r="C78" s="2" t="s">
        <v>257</v>
      </c>
      <c r="D78" s="2" t="s">
        <v>258</v>
      </c>
      <c r="E78" s="2" t="str">
        <f t="shared" si="1"/>
        <v>JUNE MCGRATH</v>
      </c>
      <c r="F78" s="2" t="s">
        <v>54</v>
      </c>
      <c r="G78" s="2" t="s">
        <v>37</v>
      </c>
      <c r="H78" s="2" t="s">
        <v>29</v>
      </c>
      <c r="I78" s="3">
        <v>45839</v>
      </c>
      <c r="J78" s="3">
        <v>45839</v>
      </c>
      <c r="K78" s="2">
        <v>20411454</v>
      </c>
      <c r="L78" s="2" t="s">
        <v>32</v>
      </c>
      <c r="M78" s="2" t="s">
        <v>247</v>
      </c>
      <c r="N78" s="2">
        <v>-239</v>
      </c>
      <c r="O78" s="2">
        <v>-62.5</v>
      </c>
      <c r="P78" s="2" t="s">
        <v>235</v>
      </c>
    </row>
    <row r="79" spans="1:17" x14ac:dyDescent="0.25">
      <c r="A79" s="2" t="s">
        <v>166</v>
      </c>
      <c r="B79" s="2" t="str">
        <f>CONCATENATE(A79,88)</f>
        <v>8XE2PP6YW0988</v>
      </c>
      <c r="C79" s="2" t="s">
        <v>253</v>
      </c>
      <c r="D79" s="2" t="s">
        <v>254</v>
      </c>
      <c r="E79" s="2" t="str">
        <f t="shared" si="1"/>
        <v>MICHAEL RIZZO</v>
      </c>
      <c r="F79" s="2" t="s">
        <v>54</v>
      </c>
      <c r="G79" s="2" t="s">
        <v>37</v>
      </c>
      <c r="H79" s="2" t="s">
        <v>29</v>
      </c>
      <c r="I79" s="3">
        <v>45839</v>
      </c>
      <c r="J79" s="3">
        <v>45839</v>
      </c>
      <c r="K79" s="2">
        <v>20411454</v>
      </c>
      <c r="L79" s="2" t="s">
        <v>32</v>
      </c>
      <c r="M79" s="2" t="s">
        <v>247</v>
      </c>
      <c r="N79" s="2">
        <v>-239</v>
      </c>
      <c r="O79" s="2">
        <v>-62.5</v>
      </c>
      <c r="P79" s="2" t="s">
        <v>235</v>
      </c>
    </row>
    <row r="80" spans="1:17" x14ac:dyDescent="0.25">
      <c r="A80" s="2" t="s">
        <v>177</v>
      </c>
      <c r="B80" s="2" t="str">
        <f>CONCATENATE(A80,88)</f>
        <v>1K16V32QJ5788</v>
      </c>
      <c r="C80" s="2" t="s">
        <v>259</v>
      </c>
      <c r="D80" s="2" t="s">
        <v>260</v>
      </c>
      <c r="E80" s="2" t="str">
        <f t="shared" si="1"/>
        <v>DIANA SAXTON</v>
      </c>
      <c r="F80" s="2" t="s">
        <v>54</v>
      </c>
      <c r="G80" s="2" t="s">
        <v>37</v>
      </c>
      <c r="H80" s="2" t="s">
        <v>29</v>
      </c>
      <c r="I80" s="3">
        <v>45839</v>
      </c>
      <c r="J80" s="3">
        <v>45839</v>
      </c>
      <c r="K80" s="2">
        <v>20411454</v>
      </c>
      <c r="L80" s="2" t="s">
        <v>32</v>
      </c>
      <c r="M80" s="2" t="s">
        <v>247</v>
      </c>
      <c r="N80" s="2">
        <v>-239</v>
      </c>
      <c r="O80" s="2">
        <v>-62.5</v>
      </c>
      <c r="P80" s="2" t="s">
        <v>235</v>
      </c>
    </row>
    <row r="81" spans="1:16" x14ac:dyDescent="0.25">
      <c r="A81" s="2" t="s">
        <v>24</v>
      </c>
      <c r="B81" s="2" t="str">
        <f>CONCATENATE(A81,88)</f>
        <v>3XC4TV2XX8888</v>
      </c>
      <c r="C81" s="2" t="s">
        <v>269</v>
      </c>
      <c r="D81" s="2" t="s">
        <v>270</v>
      </c>
      <c r="E81" s="2" t="str">
        <f t="shared" si="1"/>
        <v>MARIA AGUAIZA</v>
      </c>
      <c r="F81" s="2" t="s">
        <v>27</v>
      </c>
      <c r="G81" s="2" t="s">
        <v>37</v>
      </c>
      <c r="H81" s="2" t="s">
        <v>29</v>
      </c>
      <c r="I81" s="3">
        <v>45839</v>
      </c>
      <c r="J81" s="3">
        <v>45839</v>
      </c>
      <c r="K81" s="2">
        <v>20411454</v>
      </c>
      <c r="L81" s="2" t="s">
        <v>32</v>
      </c>
      <c r="M81" s="2" t="s">
        <v>247</v>
      </c>
      <c r="N81" s="2">
        <v>-219</v>
      </c>
      <c r="O81" s="2">
        <v>-62.5</v>
      </c>
      <c r="P81" s="2" t="s">
        <v>235</v>
      </c>
    </row>
    <row r="82" spans="1:16" x14ac:dyDescent="0.25">
      <c r="A82" s="2" t="s">
        <v>82</v>
      </c>
      <c r="B82" s="2" t="str">
        <f>CONCATENATE(A82,88)</f>
        <v>8V25KH2HE8388</v>
      </c>
      <c r="C82" s="2" t="s">
        <v>273</v>
      </c>
      <c r="D82" s="2" t="s">
        <v>274</v>
      </c>
      <c r="E82" s="2" t="str">
        <f t="shared" si="1"/>
        <v>RIMOND JAMOU</v>
      </c>
      <c r="F82" s="2" t="s">
        <v>27</v>
      </c>
      <c r="G82" s="2" t="s">
        <v>37</v>
      </c>
      <c r="H82" s="2" t="s">
        <v>29</v>
      </c>
      <c r="I82" s="3">
        <v>45839</v>
      </c>
      <c r="J82" s="3">
        <v>45839</v>
      </c>
      <c r="K82" s="2">
        <v>20411454</v>
      </c>
      <c r="L82" s="2" t="s">
        <v>32</v>
      </c>
      <c r="M82" s="2" t="s">
        <v>247</v>
      </c>
      <c r="N82" s="2">
        <v>-219</v>
      </c>
      <c r="O82" s="2">
        <v>-62.5</v>
      </c>
      <c r="P82" s="2" t="s">
        <v>235</v>
      </c>
    </row>
    <row r="83" spans="1:16" x14ac:dyDescent="0.25">
      <c r="A83" s="2" t="s">
        <v>106</v>
      </c>
      <c r="B83" s="2" t="str">
        <f>CONCATENATE(A83,88)</f>
        <v>8DC4GA0YU9588</v>
      </c>
      <c r="C83" s="2" t="s">
        <v>311</v>
      </c>
      <c r="D83" s="2" t="s">
        <v>312</v>
      </c>
      <c r="E83" s="2" t="str">
        <f t="shared" si="1"/>
        <v>LOIS MCROBERTS</v>
      </c>
      <c r="F83" s="2" t="s">
        <v>109</v>
      </c>
      <c r="G83" s="2" t="s">
        <v>37</v>
      </c>
      <c r="H83" s="2" t="s">
        <v>29</v>
      </c>
      <c r="I83" s="3">
        <v>45839</v>
      </c>
      <c r="J83" s="3">
        <v>45839</v>
      </c>
      <c r="K83" s="2">
        <v>20411454</v>
      </c>
      <c r="L83" s="2" t="s">
        <v>32</v>
      </c>
      <c r="M83" s="2" t="s">
        <v>247</v>
      </c>
      <c r="N83" s="2">
        <v>-219</v>
      </c>
      <c r="O83" s="2">
        <v>-62.5</v>
      </c>
      <c r="P83" s="2" t="s">
        <v>235</v>
      </c>
    </row>
    <row r="84" spans="1:16" x14ac:dyDescent="0.25">
      <c r="A84" s="2" t="s">
        <v>118</v>
      </c>
      <c r="B84" s="2" t="str">
        <f>CONCATENATE(A84,88)</f>
        <v>9X78VN5CQ3088</v>
      </c>
      <c r="C84" s="2" t="s">
        <v>265</v>
      </c>
      <c r="D84" s="2" t="s">
        <v>266</v>
      </c>
      <c r="E84" s="2" t="str">
        <f t="shared" si="1"/>
        <v>MARK MILLER</v>
      </c>
      <c r="F84" s="2" t="s">
        <v>121</v>
      </c>
      <c r="G84" s="2" t="s">
        <v>37</v>
      </c>
      <c r="H84" s="2" t="s">
        <v>29</v>
      </c>
      <c r="I84" s="3">
        <v>45839</v>
      </c>
      <c r="J84" s="3">
        <v>45839</v>
      </c>
      <c r="K84" s="2">
        <v>20411454</v>
      </c>
      <c r="L84" s="2" t="s">
        <v>32</v>
      </c>
      <c r="M84" s="2" t="s">
        <v>247</v>
      </c>
      <c r="N84" s="2">
        <v>-219</v>
      </c>
      <c r="O84" s="2">
        <v>-62.5</v>
      </c>
      <c r="P84" s="2" t="s">
        <v>235</v>
      </c>
    </row>
    <row r="85" spans="1:16" x14ac:dyDescent="0.25">
      <c r="A85" s="2" t="s">
        <v>124</v>
      </c>
      <c r="B85" s="2" t="str">
        <f>CONCATENATE(A85,88)</f>
        <v>5RM7QX4ME5188</v>
      </c>
      <c r="C85" s="2" t="s">
        <v>308</v>
      </c>
      <c r="D85" s="2" t="s">
        <v>254</v>
      </c>
      <c r="E85" s="2" t="str">
        <f t="shared" si="1"/>
        <v>MICHAEL MORRISON</v>
      </c>
      <c r="F85" s="2" t="s">
        <v>27</v>
      </c>
      <c r="G85" s="2" t="s">
        <v>37</v>
      </c>
      <c r="H85" s="2" t="s">
        <v>29</v>
      </c>
      <c r="I85" s="3">
        <v>45839</v>
      </c>
      <c r="J85" s="3">
        <v>45839</v>
      </c>
      <c r="K85" s="2">
        <v>20411454</v>
      </c>
      <c r="L85" s="2" t="s">
        <v>32</v>
      </c>
      <c r="M85" s="2" t="s">
        <v>247</v>
      </c>
      <c r="N85" s="2">
        <v>-219</v>
      </c>
      <c r="O85" s="2">
        <v>-62.5</v>
      </c>
      <c r="P85" s="2" t="s">
        <v>235</v>
      </c>
    </row>
    <row r="86" spans="1:16" x14ac:dyDescent="0.25">
      <c r="A86" s="2" t="s">
        <v>141</v>
      </c>
      <c r="B86" s="2" t="str">
        <f>CONCATENATE(A86,88)</f>
        <v>1D50TG0MC1588</v>
      </c>
      <c r="C86" s="2" t="s">
        <v>291</v>
      </c>
      <c r="D86" s="2" t="s">
        <v>292</v>
      </c>
      <c r="E86" s="2" t="str">
        <f t="shared" si="1"/>
        <v>BRENT OFFENHEISER</v>
      </c>
      <c r="F86" s="2" t="s">
        <v>27</v>
      </c>
      <c r="G86" s="2" t="s">
        <v>37</v>
      </c>
      <c r="H86" s="2" t="s">
        <v>29</v>
      </c>
      <c r="I86" s="3">
        <v>45839</v>
      </c>
      <c r="J86" s="3">
        <v>45839</v>
      </c>
      <c r="K86" s="2">
        <v>20411454</v>
      </c>
      <c r="L86" s="2" t="s">
        <v>32</v>
      </c>
      <c r="M86" s="2" t="s">
        <v>247</v>
      </c>
      <c r="N86" s="2">
        <v>-219</v>
      </c>
      <c r="O86" s="2">
        <v>-62.5</v>
      </c>
      <c r="P86" s="2" t="s">
        <v>235</v>
      </c>
    </row>
    <row r="87" spans="1:16" x14ac:dyDescent="0.25">
      <c r="A87" s="2" t="s">
        <v>159</v>
      </c>
      <c r="B87" s="2" t="str">
        <f>CONCATENATE(A87,88)</f>
        <v>1KU3GY1JK7288</v>
      </c>
      <c r="C87" s="2" t="s">
        <v>267</v>
      </c>
      <c r="D87" s="2" t="s">
        <v>268</v>
      </c>
      <c r="E87" s="2" t="str">
        <f t="shared" si="1"/>
        <v>ANGELA RICHARDS</v>
      </c>
      <c r="F87" s="2" t="s">
        <v>162</v>
      </c>
      <c r="G87" s="2" t="s">
        <v>37</v>
      </c>
      <c r="H87" s="2" t="s">
        <v>29</v>
      </c>
      <c r="I87" s="3">
        <v>45839</v>
      </c>
      <c r="J87" s="3">
        <v>45839</v>
      </c>
      <c r="K87" s="2">
        <v>20411454</v>
      </c>
      <c r="L87" s="2" t="s">
        <v>32</v>
      </c>
      <c r="M87" s="2" t="s">
        <v>247</v>
      </c>
      <c r="N87" s="2">
        <v>-219</v>
      </c>
      <c r="O87" s="2">
        <v>-62.5</v>
      </c>
      <c r="P87" s="2" t="s">
        <v>235</v>
      </c>
    </row>
    <row r="88" spans="1:16" x14ac:dyDescent="0.25">
      <c r="A88" s="2" t="s">
        <v>191</v>
      </c>
      <c r="B88" s="2" t="str">
        <f>CONCATENATE(A88,88)</f>
        <v>6JR0PQ6UX2988</v>
      </c>
      <c r="C88" s="2" t="s">
        <v>277</v>
      </c>
      <c r="D88" s="2" t="s">
        <v>278</v>
      </c>
      <c r="E88" s="2" t="str">
        <f t="shared" si="1"/>
        <v>DIANE SMITH</v>
      </c>
      <c r="F88" s="2" t="s">
        <v>27</v>
      </c>
      <c r="G88" s="2" t="s">
        <v>37</v>
      </c>
      <c r="H88" s="2" t="s">
        <v>29</v>
      </c>
      <c r="I88" s="3">
        <v>45839</v>
      </c>
      <c r="J88" s="3">
        <v>45839</v>
      </c>
      <c r="K88" s="2">
        <v>20411454</v>
      </c>
      <c r="L88" s="2" t="s">
        <v>32</v>
      </c>
      <c r="M88" s="2" t="s">
        <v>247</v>
      </c>
      <c r="N88" s="2">
        <v>-219</v>
      </c>
      <c r="O88" s="2">
        <v>-62.5</v>
      </c>
      <c r="P88" s="2" t="s">
        <v>235</v>
      </c>
    </row>
    <row r="89" spans="1:16" x14ac:dyDescent="0.25">
      <c r="A89" s="2" t="s">
        <v>194</v>
      </c>
      <c r="B89" s="2" t="str">
        <f>CONCATENATE(A89,88)</f>
        <v>7EY0DY5TT3288</v>
      </c>
      <c r="C89" s="2" t="s">
        <v>302</v>
      </c>
      <c r="D89" s="2" t="s">
        <v>303</v>
      </c>
      <c r="E89" s="2" t="str">
        <f t="shared" si="1"/>
        <v>SUSAN SOMMER</v>
      </c>
      <c r="F89" s="2" t="s">
        <v>197</v>
      </c>
      <c r="G89" s="2" t="s">
        <v>37</v>
      </c>
      <c r="H89" s="2" t="s">
        <v>29</v>
      </c>
      <c r="I89" s="3">
        <v>45839</v>
      </c>
      <c r="J89" s="3">
        <v>45839</v>
      </c>
      <c r="K89" s="2">
        <v>20411454</v>
      </c>
      <c r="L89" s="2" t="s">
        <v>32</v>
      </c>
      <c r="M89" s="2" t="s">
        <v>247</v>
      </c>
      <c r="N89" s="2">
        <v>-219</v>
      </c>
      <c r="O89" s="2">
        <v>-62.5</v>
      </c>
      <c r="P89" s="2" t="s">
        <v>235</v>
      </c>
    </row>
    <row r="90" spans="1:16" x14ac:dyDescent="0.25">
      <c r="A90" s="2" t="s">
        <v>200</v>
      </c>
      <c r="B90" s="2" t="str">
        <f>CONCATENATE(A90,88)</f>
        <v>7J45NP1FT8788</v>
      </c>
      <c r="C90" s="2" t="s">
        <v>304</v>
      </c>
      <c r="D90" s="2" t="s">
        <v>305</v>
      </c>
      <c r="E90" s="2" t="str">
        <f t="shared" si="1"/>
        <v>BOLAJOKO SOYOYE</v>
      </c>
      <c r="F90" s="2" t="s">
        <v>27</v>
      </c>
      <c r="G90" s="2" t="s">
        <v>37</v>
      </c>
      <c r="H90" s="2" t="s">
        <v>29</v>
      </c>
      <c r="I90" s="3">
        <v>45839</v>
      </c>
      <c r="J90" s="3">
        <v>45839</v>
      </c>
      <c r="K90" s="2">
        <v>20411454</v>
      </c>
      <c r="L90" s="2" t="s">
        <v>32</v>
      </c>
      <c r="M90" s="2" t="s">
        <v>247</v>
      </c>
      <c r="N90" s="2">
        <v>-219</v>
      </c>
      <c r="O90" s="2">
        <v>-62.5</v>
      </c>
      <c r="P90" s="2" t="s">
        <v>235</v>
      </c>
    </row>
    <row r="91" spans="1:16" x14ac:dyDescent="0.25">
      <c r="A91" s="2" t="s">
        <v>210</v>
      </c>
      <c r="B91" s="2" t="str">
        <f>CONCATENATE(A91,88)</f>
        <v>4A27UX2XW5088</v>
      </c>
      <c r="C91" s="2" t="s">
        <v>271</v>
      </c>
      <c r="D91" s="2" t="s">
        <v>272</v>
      </c>
      <c r="E91" s="2" t="str">
        <f t="shared" si="1"/>
        <v>ANGELICA VARGAS</v>
      </c>
      <c r="F91" s="2" t="s">
        <v>27</v>
      </c>
      <c r="G91" s="2" t="s">
        <v>37</v>
      </c>
      <c r="H91" s="2" t="s">
        <v>29</v>
      </c>
      <c r="I91" s="3">
        <v>45839</v>
      </c>
      <c r="J91" s="3">
        <v>45839</v>
      </c>
      <c r="K91" s="2">
        <v>20411454</v>
      </c>
      <c r="L91" s="2" t="s">
        <v>32</v>
      </c>
      <c r="M91" s="2" t="s">
        <v>247</v>
      </c>
      <c r="N91" s="2">
        <v>-219</v>
      </c>
      <c r="O91" s="2">
        <v>-62.5</v>
      </c>
      <c r="P91" s="2" t="s">
        <v>235</v>
      </c>
    </row>
    <row r="92" spans="1:16" x14ac:dyDescent="0.25">
      <c r="A92" s="2" t="s">
        <v>217</v>
      </c>
      <c r="B92" s="2" t="str">
        <f>CONCATENATE(A92,88)</f>
        <v>3NX3PA5YC9888</v>
      </c>
      <c r="C92" s="2" t="s">
        <v>279</v>
      </c>
      <c r="D92" s="2" t="s">
        <v>280</v>
      </c>
      <c r="E92" s="2" t="str">
        <f t="shared" si="1"/>
        <v>CAROLYN WARF</v>
      </c>
      <c r="F92" s="2" t="s">
        <v>27</v>
      </c>
      <c r="G92" s="2" t="s">
        <v>37</v>
      </c>
      <c r="H92" s="2" t="s">
        <v>29</v>
      </c>
      <c r="I92" s="3">
        <v>45839</v>
      </c>
      <c r="J92" s="3">
        <v>45839</v>
      </c>
      <c r="K92" s="2">
        <v>20411454</v>
      </c>
      <c r="L92" s="2" t="s">
        <v>32</v>
      </c>
      <c r="M92" s="2" t="s">
        <v>247</v>
      </c>
      <c r="N92" s="2">
        <v>-219</v>
      </c>
      <c r="O92" s="2">
        <v>-62.5</v>
      </c>
      <c r="P92" s="2" t="s">
        <v>235</v>
      </c>
    </row>
    <row r="93" spans="1:16" x14ac:dyDescent="0.25">
      <c r="A93" s="2" t="s">
        <v>78</v>
      </c>
      <c r="B93" s="2" t="str">
        <f>CONCATENATE(A93,88)</f>
        <v>7HN4EC9CT7388</v>
      </c>
      <c r="C93" s="2" t="s">
        <v>263</v>
      </c>
      <c r="D93" s="2" t="s">
        <v>264</v>
      </c>
      <c r="E93" s="2" t="str">
        <f t="shared" si="1"/>
        <v>IGNACIO GARCIA</v>
      </c>
      <c r="F93" s="2" t="s">
        <v>27</v>
      </c>
      <c r="G93" s="2" t="s">
        <v>37</v>
      </c>
      <c r="H93" s="2" t="s">
        <v>29</v>
      </c>
      <c r="I93" s="3">
        <v>45839</v>
      </c>
      <c r="J93" s="3">
        <v>45839</v>
      </c>
      <c r="K93" s="2">
        <v>20411454</v>
      </c>
      <c r="L93" s="2" t="s">
        <v>32</v>
      </c>
      <c r="M93" s="2" t="s">
        <v>247</v>
      </c>
      <c r="N93" s="2">
        <v>-216.5</v>
      </c>
      <c r="O93" s="2">
        <v>-60</v>
      </c>
      <c r="P93" s="2" t="s">
        <v>235</v>
      </c>
    </row>
    <row r="94" spans="1:16" x14ac:dyDescent="0.25">
      <c r="A94" s="2" t="s">
        <v>47</v>
      </c>
      <c r="B94" s="2" t="str">
        <f>CONCATENATE(A94,88)</f>
        <v>6TH1KW7KK3388</v>
      </c>
      <c r="C94" s="2" t="s">
        <v>295</v>
      </c>
      <c r="D94" s="2" t="s">
        <v>296</v>
      </c>
      <c r="E94" s="2" t="str">
        <f t="shared" si="1"/>
        <v>CARMELLA BURDI</v>
      </c>
      <c r="F94" s="2" t="s">
        <v>27</v>
      </c>
      <c r="G94" s="2" t="s">
        <v>37</v>
      </c>
      <c r="H94" s="2" t="s">
        <v>29</v>
      </c>
      <c r="I94" s="3">
        <v>45870</v>
      </c>
      <c r="J94" s="3">
        <v>45870</v>
      </c>
      <c r="K94" s="2">
        <v>20411454</v>
      </c>
      <c r="L94" s="2" t="s">
        <v>32</v>
      </c>
      <c r="M94" s="2" t="s">
        <v>247</v>
      </c>
      <c r="N94" s="2">
        <v>-182.5</v>
      </c>
      <c r="O94" s="2">
        <v>-52.08</v>
      </c>
      <c r="P94" s="2" t="s">
        <v>235</v>
      </c>
    </row>
    <row r="95" spans="1:16" x14ac:dyDescent="0.25">
      <c r="A95" s="2" t="s">
        <v>91</v>
      </c>
      <c r="B95" s="2" t="str">
        <f>CONCATENATE(A95,88)</f>
        <v>3T14Q39DH6688</v>
      </c>
      <c r="C95" s="2" t="s">
        <v>281</v>
      </c>
      <c r="D95" s="2" t="s">
        <v>282</v>
      </c>
      <c r="E95" s="2" t="str">
        <f t="shared" si="1"/>
        <v>WILLIAM MASCHMEYER</v>
      </c>
      <c r="F95" s="2" t="s">
        <v>94</v>
      </c>
      <c r="G95" s="2" t="s">
        <v>37</v>
      </c>
      <c r="H95" s="2" t="s">
        <v>29</v>
      </c>
      <c r="I95" s="3">
        <v>45870</v>
      </c>
      <c r="J95" s="3">
        <v>45870</v>
      </c>
      <c r="K95" s="2">
        <v>20411454</v>
      </c>
      <c r="L95" s="2" t="s">
        <v>32</v>
      </c>
      <c r="M95" s="2" t="s">
        <v>247</v>
      </c>
      <c r="N95" s="2">
        <v>-182.5</v>
      </c>
      <c r="O95" s="2">
        <v>-52.08</v>
      </c>
      <c r="P95" s="2" t="s">
        <v>235</v>
      </c>
    </row>
    <row r="96" spans="1:16" x14ac:dyDescent="0.25">
      <c r="A96" s="2" t="s">
        <v>102</v>
      </c>
      <c r="B96" s="2" t="str">
        <f>CONCATENATE(A96,88)</f>
        <v>4Y45CG3MK5188</v>
      </c>
      <c r="C96" s="2" t="s">
        <v>289</v>
      </c>
      <c r="D96" s="2" t="s">
        <v>290</v>
      </c>
      <c r="E96" s="2" t="str">
        <f t="shared" si="1"/>
        <v>RENEE MCMATH</v>
      </c>
      <c r="F96" s="2" t="s">
        <v>27</v>
      </c>
      <c r="G96" s="2" t="s">
        <v>37</v>
      </c>
      <c r="H96" s="2" t="s">
        <v>29</v>
      </c>
      <c r="I96" s="3">
        <v>45870</v>
      </c>
      <c r="J96" s="3">
        <v>45870</v>
      </c>
      <c r="K96" s="2">
        <v>20411454</v>
      </c>
      <c r="L96" s="2" t="s">
        <v>32</v>
      </c>
      <c r="M96" s="2" t="s">
        <v>247</v>
      </c>
      <c r="N96" s="2">
        <v>-182.5</v>
      </c>
      <c r="O96" s="2">
        <v>-52.08</v>
      </c>
      <c r="P96" s="2" t="s">
        <v>235</v>
      </c>
    </row>
    <row r="97" spans="1:16" x14ac:dyDescent="0.25">
      <c r="A97" s="2" t="s">
        <v>170</v>
      </c>
      <c r="B97" s="2" t="str">
        <f>CONCATENATE(A97,88)</f>
        <v>5YM6UU4JC8988</v>
      </c>
      <c r="C97" s="2" t="s">
        <v>283</v>
      </c>
      <c r="D97" s="2" t="s">
        <v>284</v>
      </c>
      <c r="E97" s="2" t="str">
        <f t="shared" si="1"/>
        <v>LAURIE ROWE</v>
      </c>
      <c r="F97" s="2" t="s">
        <v>173</v>
      </c>
      <c r="G97" s="2" t="s">
        <v>37</v>
      </c>
      <c r="H97" s="2" t="s">
        <v>29</v>
      </c>
      <c r="I97" s="3">
        <v>45870</v>
      </c>
      <c r="J97" s="3">
        <v>45870</v>
      </c>
      <c r="K97" s="2">
        <v>20411454</v>
      </c>
      <c r="L97" s="2" t="s">
        <v>32</v>
      </c>
      <c r="M97" s="2" t="s">
        <v>247</v>
      </c>
      <c r="N97" s="2">
        <v>-182.5</v>
      </c>
      <c r="O97" s="2">
        <v>-52.08</v>
      </c>
      <c r="P97" s="2" t="s">
        <v>235</v>
      </c>
    </row>
    <row r="98" spans="1:16" x14ac:dyDescent="0.25">
      <c r="A98" s="2" t="s">
        <v>145</v>
      </c>
      <c r="B98" s="2" t="str">
        <f>CONCATENATE(A98,88)</f>
        <v>8EY1RU4FP0088</v>
      </c>
      <c r="C98" s="2" t="s">
        <v>275</v>
      </c>
      <c r="D98" s="2" t="s">
        <v>276</v>
      </c>
      <c r="E98" s="2" t="str">
        <f t="shared" si="1"/>
        <v>LOUIE OLAH</v>
      </c>
      <c r="F98" s="2" t="s">
        <v>27</v>
      </c>
      <c r="G98" s="2" t="s">
        <v>37</v>
      </c>
      <c r="H98" s="2" t="s">
        <v>29</v>
      </c>
      <c r="I98" s="3">
        <v>45901</v>
      </c>
      <c r="J98" s="3">
        <v>45901</v>
      </c>
      <c r="K98" s="2">
        <v>20411454</v>
      </c>
      <c r="L98" s="2" t="s">
        <v>32</v>
      </c>
      <c r="M98" s="2" t="s">
        <v>247</v>
      </c>
      <c r="N98" s="2">
        <v>-146</v>
      </c>
      <c r="O98" s="2">
        <v>-41.67</v>
      </c>
      <c r="P98" s="2" t="s">
        <v>235</v>
      </c>
    </row>
    <row r="99" spans="1:16" x14ac:dyDescent="0.25">
      <c r="A99" s="2" t="s">
        <v>181</v>
      </c>
      <c r="B99" s="2" t="str">
        <f>CONCATENATE(A99,88)</f>
        <v>8GG6CP6VE7788</v>
      </c>
      <c r="C99" s="2" t="s">
        <v>300</v>
      </c>
      <c r="D99" s="2" t="s">
        <v>301</v>
      </c>
      <c r="E99" s="2" t="str">
        <f t="shared" si="1"/>
        <v>LUANNA SCHMITZ</v>
      </c>
      <c r="F99" s="2" t="s">
        <v>184</v>
      </c>
      <c r="G99" s="2" t="s">
        <v>37</v>
      </c>
      <c r="H99" s="2" t="s">
        <v>29</v>
      </c>
      <c r="I99" s="3">
        <v>45901</v>
      </c>
      <c r="J99" s="3">
        <v>45901</v>
      </c>
      <c r="K99" s="2">
        <v>20411454</v>
      </c>
      <c r="L99" s="2" t="s">
        <v>32</v>
      </c>
      <c r="M99" s="2" t="s">
        <v>247</v>
      </c>
      <c r="N99" s="2">
        <v>-146</v>
      </c>
      <c r="O99" s="2">
        <v>-41.67</v>
      </c>
      <c r="P99" s="2" t="s">
        <v>235</v>
      </c>
    </row>
    <row r="100" spans="1:16" x14ac:dyDescent="0.25">
      <c r="A100" s="2" t="s">
        <v>227</v>
      </c>
      <c r="B100" s="2" t="str">
        <f>CONCATENATE(A100,88)</f>
        <v>4X70YJ1XD1888</v>
      </c>
      <c r="C100" s="2" t="s">
        <v>285</v>
      </c>
      <c r="D100" s="2" t="s">
        <v>286</v>
      </c>
      <c r="E100" s="2" t="str">
        <f t="shared" si="1"/>
        <v>DEBRA WYLLIE</v>
      </c>
      <c r="F100" s="2" t="s">
        <v>173</v>
      </c>
      <c r="G100" s="2" t="s">
        <v>37</v>
      </c>
      <c r="H100" s="2" t="s">
        <v>29</v>
      </c>
      <c r="I100" s="3">
        <v>45901</v>
      </c>
      <c r="J100" s="3">
        <v>45901</v>
      </c>
      <c r="K100" s="2">
        <v>20411454</v>
      </c>
      <c r="L100" s="2" t="s">
        <v>32</v>
      </c>
      <c r="M100" s="2" t="s">
        <v>247</v>
      </c>
      <c r="N100" s="2">
        <v>-146</v>
      </c>
      <c r="O100" s="2">
        <v>-41.67</v>
      </c>
      <c r="P100" s="2" t="s">
        <v>235</v>
      </c>
    </row>
    <row r="101" spans="1:16" x14ac:dyDescent="0.25">
      <c r="A101" s="2" t="s">
        <v>187</v>
      </c>
      <c r="B101" s="2" t="str">
        <f>CONCATENATE(A101,88)</f>
        <v>4UY3E31HN7088</v>
      </c>
      <c r="C101" s="2" t="s">
        <v>277</v>
      </c>
      <c r="D101" s="2" t="s">
        <v>294</v>
      </c>
      <c r="E101" s="2" t="str">
        <f t="shared" si="1"/>
        <v>CYNTHIA SMITH</v>
      </c>
      <c r="F101" s="2" t="s">
        <v>94</v>
      </c>
      <c r="G101" s="2" t="s">
        <v>37</v>
      </c>
      <c r="H101" s="2" t="s">
        <v>29</v>
      </c>
      <c r="I101" s="3">
        <v>45901</v>
      </c>
      <c r="J101" s="3">
        <v>45901</v>
      </c>
      <c r="K101" s="2">
        <v>20411454</v>
      </c>
      <c r="L101" s="2" t="s">
        <v>32</v>
      </c>
      <c r="M101" s="2" t="s">
        <v>247</v>
      </c>
      <c r="N101" s="2">
        <v>-144.33000000000001</v>
      </c>
      <c r="O101" s="2">
        <v>-40</v>
      </c>
      <c r="P101" s="2" t="s">
        <v>235</v>
      </c>
    </row>
    <row r="102" spans="1:16" x14ac:dyDescent="0.25">
      <c r="A102" s="2" t="s">
        <v>68</v>
      </c>
      <c r="B102" s="2" t="str">
        <f>CONCATENATE(A102,88)</f>
        <v>8GQ8HN4QC2288</v>
      </c>
      <c r="C102" s="2" t="s">
        <v>317</v>
      </c>
      <c r="D102" s="2" t="s">
        <v>318</v>
      </c>
      <c r="E102" s="2" t="str">
        <f t="shared" si="1"/>
        <v>BECKY FARMER</v>
      </c>
      <c r="F102" s="2" t="s">
        <v>54</v>
      </c>
      <c r="G102" s="2" t="s">
        <v>37</v>
      </c>
      <c r="H102" s="2" t="s">
        <v>29</v>
      </c>
      <c r="I102" s="3">
        <v>45839</v>
      </c>
      <c r="J102" s="3">
        <v>45839</v>
      </c>
      <c r="K102" s="2">
        <v>20411454</v>
      </c>
      <c r="L102" s="2" t="s">
        <v>32</v>
      </c>
      <c r="M102" s="2" t="s">
        <v>247</v>
      </c>
      <c r="N102" s="2">
        <v>-20</v>
      </c>
      <c r="O102" s="2">
        <v>-20</v>
      </c>
      <c r="P102" s="2" t="s">
        <v>235</v>
      </c>
    </row>
    <row r="103" spans="1:16" x14ac:dyDescent="0.25">
      <c r="A103" s="2" t="s">
        <v>58</v>
      </c>
      <c r="B103" s="2" t="str">
        <f>CONCATENATE(A103,88)</f>
        <v>6JR9JF7KV4088</v>
      </c>
      <c r="C103" s="2" t="s">
        <v>319</v>
      </c>
      <c r="D103" s="2" t="s">
        <v>320</v>
      </c>
      <c r="E103" s="2" t="str">
        <f t="shared" si="1"/>
        <v>ROBERT CHRISTY</v>
      </c>
      <c r="F103" s="2" t="s">
        <v>54</v>
      </c>
      <c r="G103" s="2" t="s">
        <v>61</v>
      </c>
      <c r="H103" s="2" t="s">
        <v>29</v>
      </c>
      <c r="I103" s="3">
        <v>45839</v>
      </c>
      <c r="J103" s="3">
        <v>44562</v>
      </c>
      <c r="K103" s="2">
        <v>20411454</v>
      </c>
      <c r="L103" s="2" t="s">
        <v>32</v>
      </c>
      <c r="M103" s="2" t="s">
        <v>247</v>
      </c>
      <c r="N103" s="2">
        <v>1.25</v>
      </c>
      <c r="O103" s="2">
        <v>1.25</v>
      </c>
      <c r="P103" s="2" t="s">
        <v>235</v>
      </c>
    </row>
    <row r="104" spans="1:16" x14ac:dyDescent="0.25">
      <c r="A104" s="2" t="s">
        <v>204</v>
      </c>
      <c r="B104" s="2" t="str">
        <f>CONCATENATE(A104,88)</f>
        <v>6FP9GQ1EK1088</v>
      </c>
      <c r="C104" s="2" t="s">
        <v>321</v>
      </c>
      <c r="D104" s="2" t="s">
        <v>322</v>
      </c>
      <c r="E104" s="2" t="str">
        <f t="shared" si="1"/>
        <v>JOHN THORPE</v>
      </c>
      <c r="F104" s="2" t="s">
        <v>54</v>
      </c>
      <c r="G104" s="2" t="s">
        <v>61</v>
      </c>
      <c r="H104" s="2" t="s">
        <v>29</v>
      </c>
      <c r="I104" s="3">
        <v>45839</v>
      </c>
      <c r="J104" s="3">
        <v>43800</v>
      </c>
      <c r="K104" s="2">
        <v>20411454</v>
      </c>
      <c r="L104" s="2" t="s">
        <v>32</v>
      </c>
      <c r="M104" s="2" t="s">
        <v>247</v>
      </c>
      <c r="N104" s="2">
        <v>1.25</v>
      </c>
      <c r="O104" s="2">
        <v>1.25</v>
      </c>
      <c r="P104" s="2" t="s">
        <v>235</v>
      </c>
    </row>
    <row r="105" spans="1:16" x14ac:dyDescent="0.25">
      <c r="A105" s="2" t="s">
        <v>213</v>
      </c>
      <c r="B105" s="2" t="str">
        <f>CONCATENATE(A105,88)</f>
        <v>7Y26YM3AJ3088</v>
      </c>
      <c r="C105" s="2" t="s">
        <v>323</v>
      </c>
      <c r="D105" s="2" t="s">
        <v>324</v>
      </c>
      <c r="E105" s="2" t="str">
        <f t="shared" si="1"/>
        <v>CATHLEEN VIDIC</v>
      </c>
      <c r="F105" s="2" t="s">
        <v>54</v>
      </c>
      <c r="G105" s="2" t="s">
        <v>61</v>
      </c>
      <c r="H105" s="2" t="s">
        <v>29</v>
      </c>
      <c r="I105" s="3">
        <v>45839</v>
      </c>
      <c r="J105" s="3">
        <v>45658</v>
      </c>
      <c r="K105" s="2">
        <v>20411454</v>
      </c>
      <c r="L105" s="2" t="s">
        <v>32</v>
      </c>
      <c r="M105" s="2" t="s">
        <v>247</v>
      </c>
      <c r="N105" s="2">
        <v>1.25</v>
      </c>
      <c r="O105" s="2">
        <v>1.25</v>
      </c>
      <c r="P105" s="2" t="s">
        <v>235</v>
      </c>
    </row>
    <row r="106" spans="1:16" x14ac:dyDescent="0.25">
      <c r="A106" s="2" t="s">
        <v>68</v>
      </c>
      <c r="B106" s="2" t="str">
        <f>CONCATENATE(A106,88)</f>
        <v>8GQ8HN4QC2288</v>
      </c>
      <c r="C106" s="2" t="s">
        <v>317</v>
      </c>
      <c r="D106" s="2" t="s">
        <v>318</v>
      </c>
      <c r="E106" s="2" t="str">
        <f t="shared" si="1"/>
        <v>BECKY FARMER</v>
      </c>
      <c r="F106" s="2" t="s">
        <v>54</v>
      </c>
      <c r="G106" s="2" t="s">
        <v>28</v>
      </c>
      <c r="H106" s="2" t="s">
        <v>29</v>
      </c>
      <c r="I106" s="3">
        <v>45839</v>
      </c>
      <c r="J106" s="3">
        <v>45839</v>
      </c>
      <c r="K106" s="2">
        <v>20411454</v>
      </c>
      <c r="L106" s="2" t="s">
        <v>32</v>
      </c>
      <c r="M106" s="2" t="s">
        <v>247</v>
      </c>
      <c r="N106" s="2">
        <v>40</v>
      </c>
      <c r="O106" s="2">
        <v>40</v>
      </c>
      <c r="P106" s="2" t="s">
        <v>235</v>
      </c>
    </row>
    <row r="107" spans="1:16" x14ac:dyDescent="0.25">
      <c r="A107" s="2" t="s">
        <v>39</v>
      </c>
      <c r="B107" s="2" t="str">
        <f>CONCATENATE(A107,88)</f>
        <v>6U56RQ0HK6288</v>
      </c>
      <c r="C107" s="2" t="s">
        <v>313</v>
      </c>
      <c r="D107" s="2" t="s">
        <v>314</v>
      </c>
      <c r="E107" s="2" t="str">
        <f t="shared" si="1"/>
        <v>CHARLOTTE ANDRESKY</v>
      </c>
      <c r="F107" s="2" t="s">
        <v>42</v>
      </c>
      <c r="G107" s="2" t="s">
        <v>43</v>
      </c>
      <c r="H107" s="2" t="s">
        <v>29</v>
      </c>
      <c r="I107" s="3">
        <v>45931</v>
      </c>
      <c r="J107" s="3">
        <v>45931</v>
      </c>
      <c r="K107" s="2">
        <v>20411454</v>
      </c>
      <c r="L107" s="2" t="s">
        <v>32</v>
      </c>
      <c r="M107" s="2" t="s">
        <v>247</v>
      </c>
      <c r="N107" s="2">
        <v>109.5</v>
      </c>
      <c r="O107" s="2">
        <v>31.25</v>
      </c>
      <c r="P107" s="2" t="s">
        <v>235</v>
      </c>
    </row>
    <row r="108" spans="1:16" x14ac:dyDescent="0.25">
      <c r="A108" s="2" t="s">
        <v>220</v>
      </c>
      <c r="B108" s="2" t="str">
        <f>CONCATENATE(A108,88)</f>
        <v>7W25G55WT5588</v>
      </c>
      <c r="C108" s="2" t="s">
        <v>309</v>
      </c>
      <c r="D108" s="2" t="s">
        <v>310</v>
      </c>
      <c r="E108" s="2" t="str">
        <f t="shared" si="1"/>
        <v>CHERYL WILLOCKS</v>
      </c>
      <c r="F108" s="2" t="s">
        <v>223</v>
      </c>
      <c r="G108" s="2" t="s">
        <v>43</v>
      </c>
      <c r="H108" s="2" t="s">
        <v>29</v>
      </c>
      <c r="I108" s="3">
        <v>45931</v>
      </c>
      <c r="J108" s="3">
        <v>45931</v>
      </c>
      <c r="K108" s="2">
        <v>20411454</v>
      </c>
      <c r="L108" s="2" t="s">
        <v>32</v>
      </c>
      <c r="M108" s="2" t="s">
        <v>247</v>
      </c>
      <c r="N108" s="2">
        <v>109.5</v>
      </c>
      <c r="O108" s="2">
        <v>31.25</v>
      </c>
      <c r="P108" s="2" t="s">
        <v>235</v>
      </c>
    </row>
    <row r="109" spans="1:16" x14ac:dyDescent="0.25">
      <c r="A109" s="2" t="s">
        <v>129</v>
      </c>
      <c r="B109" s="2" t="str">
        <f>CONCATENATE(A109,88)</f>
        <v>8KN0N08RN3888</v>
      </c>
      <c r="C109" s="2" t="s">
        <v>306</v>
      </c>
      <c r="D109" s="2" t="s">
        <v>307</v>
      </c>
      <c r="E109" s="2" t="str">
        <f t="shared" si="1"/>
        <v>SHARON NELSEN</v>
      </c>
      <c r="F109" s="2" t="s">
        <v>27</v>
      </c>
      <c r="G109" s="2" t="s">
        <v>43</v>
      </c>
      <c r="H109" s="2" t="s">
        <v>29</v>
      </c>
      <c r="I109" s="3">
        <v>45870</v>
      </c>
      <c r="J109" s="3">
        <v>45870</v>
      </c>
      <c r="K109" s="2">
        <v>20411454</v>
      </c>
      <c r="L109" s="2" t="s">
        <v>32</v>
      </c>
      <c r="M109" s="2" t="s">
        <v>247</v>
      </c>
      <c r="N109" s="2">
        <v>182.5</v>
      </c>
      <c r="O109" s="2">
        <v>52.08</v>
      </c>
      <c r="P109" s="2" t="s">
        <v>235</v>
      </c>
    </row>
    <row r="110" spans="1:16" x14ac:dyDescent="0.25">
      <c r="A110" s="2" t="s">
        <v>114</v>
      </c>
      <c r="B110" s="2" t="str">
        <f>CONCATENATE(A110,88)</f>
        <v>6KX3HM6HF9188</v>
      </c>
      <c r="C110" s="2" t="s">
        <v>261</v>
      </c>
      <c r="D110" s="2" t="s">
        <v>262</v>
      </c>
      <c r="E110" s="2" t="str">
        <f t="shared" si="1"/>
        <v>FRANK MIHELIC</v>
      </c>
      <c r="F110" s="2" t="s">
        <v>54</v>
      </c>
      <c r="G110" s="2" t="s">
        <v>43</v>
      </c>
      <c r="H110" s="2" t="s">
        <v>29</v>
      </c>
      <c r="I110" s="3">
        <v>45839</v>
      </c>
      <c r="J110" s="3">
        <v>45839</v>
      </c>
      <c r="K110" s="2">
        <v>20411454</v>
      </c>
      <c r="L110" s="2" t="s">
        <v>32</v>
      </c>
      <c r="M110" s="2" t="s">
        <v>247</v>
      </c>
      <c r="N110" s="2">
        <v>239</v>
      </c>
      <c r="O110" s="2">
        <v>62.5</v>
      </c>
      <c r="P110" s="2" t="s">
        <v>235</v>
      </c>
    </row>
    <row r="111" spans="1:16" x14ac:dyDescent="0.25">
      <c r="A111" s="2" t="s">
        <v>132</v>
      </c>
      <c r="B111" s="2" t="str">
        <f>CONCATENATE(A111,88)</f>
        <v>3XU1RY6QK3288</v>
      </c>
      <c r="C111" s="2" t="s">
        <v>315</v>
      </c>
      <c r="D111" s="2" t="s">
        <v>316</v>
      </c>
      <c r="E111" s="2" t="str">
        <f t="shared" si="1"/>
        <v>NANCY OBERLANDER</v>
      </c>
      <c r="F111" s="2" t="s">
        <v>135</v>
      </c>
      <c r="G111" s="2" t="s">
        <v>140</v>
      </c>
      <c r="H111" s="2" t="s">
        <v>29</v>
      </c>
      <c r="I111" s="3">
        <v>45658</v>
      </c>
      <c r="J111" s="3">
        <v>45658</v>
      </c>
      <c r="K111" s="2">
        <v>20411454</v>
      </c>
      <c r="L111" s="2" t="s">
        <v>32</v>
      </c>
      <c r="M111" s="2" t="s">
        <v>247</v>
      </c>
      <c r="N111" s="2">
        <v>255.5</v>
      </c>
      <c r="O111" s="2">
        <v>72.92</v>
      </c>
      <c r="P111" s="2" t="s">
        <v>235</v>
      </c>
    </row>
    <row r="112" spans="1:16" x14ac:dyDescent="0.25">
      <c r="A112" s="2" t="s">
        <v>106</v>
      </c>
      <c r="B112" s="2" t="str">
        <f>CONCATENATE(A112,88)</f>
        <v>8DC4GA0YU9588</v>
      </c>
      <c r="C112" s="2" t="s">
        <v>311</v>
      </c>
      <c r="D112" s="2" t="s">
        <v>312</v>
      </c>
      <c r="E112" s="2" t="str">
        <f t="shared" si="1"/>
        <v>LOIS MCROBERTS</v>
      </c>
      <c r="F112" s="2" t="s">
        <v>109</v>
      </c>
      <c r="G112" s="2" t="s">
        <v>113</v>
      </c>
      <c r="H112" s="2" t="s">
        <v>29</v>
      </c>
      <c r="I112" s="3">
        <v>45839</v>
      </c>
      <c r="J112" s="3">
        <v>45839</v>
      </c>
      <c r="K112" s="2">
        <v>20411454</v>
      </c>
      <c r="L112" s="2" t="s">
        <v>32</v>
      </c>
      <c r="M112" s="2" t="s">
        <v>247</v>
      </c>
      <c r="N112" s="2">
        <v>375.5</v>
      </c>
      <c r="O112" s="2">
        <v>62.5</v>
      </c>
      <c r="P112" s="2" t="s">
        <v>235</v>
      </c>
    </row>
    <row r="113" spans="1:16" x14ac:dyDescent="0.25">
      <c r="A113" s="2" t="s">
        <v>124</v>
      </c>
      <c r="B113" s="2" t="str">
        <f>CONCATENATE(A113,88)</f>
        <v>5RM7QX4ME5188</v>
      </c>
      <c r="C113" s="2" t="s">
        <v>308</v>
      </c>
      <c r="D113" s="2" t="s">
        <v>254</v>
      </c>
      <c r="E113" s="2" t="str">
        <f t="shared" si="1"/>
        <v>MICHAEL MORRISON</v>
      </c>
      <c r="F113" s="2" t="s">
        <v>27</v>
      </c>
      <c r="G113" s="2" t="s">
        <v>113</v>
      </c>
      <c r="H113" s="2" t="s">
        <v>29</v>
      </c>
      <c r="I113" s="3">
        <v>45839</v>
      </c>
      <c r="J113" s="3">
        <v>45839</v>
      </c>
      <c r="K113" s="2">
        <v>20411454</v>
      </c>
      <c r="L113" s="2" t="s">
        <v>32</v>
      </c>
      <c r="M113" s="2" t="s">
        <v>247</v>
      </c>
      <c r="N113" s="2">
        <v>375.5</v>
      </c>
      <c r="O113" s="2">
        <v>62.5</v>
      </c>
      <c r="P113" s="2" t="s">
        <v>235</v>
      </c>
    </row>
    <row r="114" spans="1:16" x14ac:dyDescent="0.25">
      <c r="A114" s="2" t="s">
        <v>200</v>
      </c>
      <c r="B114" s="2" t="str">
        <f>CONCATENATE(A114,88)</f>
        <v>7J45NP1FT8788</v>
      </c>
      <c r="C114" s="2" t="s">
        <v>304</v>
      </c>
      <c r="D114" s="2" t="s">
        <v>305</v>
      </c>
      <c r="E114" s="2" t="str">
        <f t="shared" si="1"/>
        <v>BOLAJOKO SOYOYE</v>
      </c>
      <c r="F114" s="2" t="s">
        <v>27</v>
      </c>
      <c r="G114" s="2" t="s">
        <v>113</v>
      </c>
      <c r="H114" s="2" t="s">
        <v>29</v>
      </c>
      <c r="I114" s="3">
        <v>45839</v>
      </c>
      <c r="J114" s="3">
        <v>45839</v>
      </c>
      <c r="K114" s="2">
        <v>20411454</v>
      </c>
      <c r="L114" s="2" t="s">
        <v>32</v>
      </c>
      <c r="M114" s="2" t="s">
        <v>247</v>
      </c>
      <c r="N114" s="2">
        <v>375.5</v>
      </c>
      <c r="O114" s="2">
        <v>62.5</v>
      </c>
      <c r="P114" s="2" t="s">
        <v>235</v>
      </c>
    </row>
    <row r="115" spans="1:16" x14ac:dyDescent="0.25">
      <c r="A115" s="2" t="s">
        <v>177</v>
      </c>
      <c r="B115" s="2" t="str">
        <f>CONCATENATE(A115,88)</f>
        <v>1K16V32QJ5788</v>
      </c>
      <c r="C115" s="2" t="s">
        <v>259</v>
      </c>
      <c r="D115" s="2" t="s">
        <v>260</v>
      </c>
      <c r="E115" s="2" t="str">
        <f t="shared" si="1"/>
        <v>DIANA SAXTON</v>
      </c>
      <c r="F115" s="2" t="s">
        <v>54</v>
      </c>
      <c r="G115" s="2" t="s">
        <v>113</v>
      </c>
      <c r="H115" s="2" t="s">
        <v>29</v>
      </c>
      <c r="I115" s="3">
        <v>45839</v>
      </c>
      <c r="J115" s="3">
        <v>45839</v>
      </c>
      <c r="K115" s="2">
        <v>20411454</v>
      </c>
      <c r="L115" s="2" t="s">
        <v>32</v>
      </c>
      <c r="M115" s="2" t="s">
        <v>247</v>
      </c>
      <c r="N115" s="2">
        <v>415</v>
      </c>
      <c r="O115" s="2">
        <v>62</v>
      </c>
      <c r="P115" s="2" t="s">
        <v>235</v>
      </c>
    </row>
    <row r="116" spans="1:16" x14ac:dyDescent="0.25">
      <c r="A116" s="2" t="s">
        <v>64</v>
      </c>
      <c r="B116" s="2" t="str">
        <f>CONCATENATE(A116,88)</f>
        <v>7M88D22JJ5488</v>
      </c>
      <c r="C116" s="2" t="s">
        <v>293</v>
      </c>
      <c r="D116" s="2" t="s">
        <v>268</v>
      </c>
      <c r="E116" s="2" t="str">
        <f t="shared" si="1"/>
        <v>ANGELA DAVIS</v>
      </c>
      <c r="F116" s="2" t="s">
        <v>27</v>
      </c>
      <c r="G116" s="2" t="s">
        <v>28</v>
      </c>
      <c r="H116" s="2" t="s">
        <v>29</v>
      </c>
      <c r="I116" s="3">
        <v>45809</v>
      </c>
      <c r="J116" s="3">
        <v>45809</v>
      </c>
      <c r="K116" s="2">
        <v>20411454</v>
      </c>
      <c r="L116" s="2" t="s">
        <v>32</v>
      </c>
      <c r="M116" s="2" t="s">
        <v>247</v>
      </c>
      <c r="N116" s="2">
        <v>746</v>
      </c>
      <c r="O116" s="2">
        <v>120</v>
      </c>
      <c r="P116" s="2" t="s">
        <v>235</v>
      </c>
    </row>
    <row r="117" spans="1:16" x14ac:dyDescent="0.25">
      <c r="A117" s="2" t="s">
        <v>78</v>
      </c>
      <c r="B117" s="2" t="str">
        <f>CONCATENATE(A117,88)</f>
        <v>7HN4EC9CT7388</v>
      </c>
      <c r="C117" s="2" t="s">
        <v>263</v>
      </c>
      <c r="D117" s="2" t="s">
        <v>264</v>
      </c>
      <c r="E117" s="2" t="str">
        <f t="shared" si="1"/>
        <v>IGNACIO GARCIA</v>
      </c>
      <c r="F117" s="2" t="s">
        <v>27</v>
      </c>
      <c r="G117" s="2" t="s">
        <v>28</v>
      </c>
      <c r="H117" s="2" t="s">
        <v>29</v>
      </c>
      <c r="I117" s="3">
        <v>45839</v>
      </c>
      <c r="J117" s="3">
        <v>45839</v>
      </c>
      <c r="K117" s="2">
        <v>20411454</v>
      </c>
      <c r="L117" s="2" t="s">
        <v>32</v>
      </c>
      <c r="M117" s="2" t="s">
        <v>247</v>
      </c>
      <c r="N117" s="2">
        <v>746</v>
      </c>
      <c r="O117" s="2">
        <v>120</v>
      </c>
      <c r="P117" s="2" t="s">
        <v>235</v>
      </c>
    </row>
    <row r="118" spans="1:16" x14ac:dyDescent="0.25">
      <c r="A118" s="2" t="s">
        <v>187</v>
      </c>
      <c r="B118" s="2" t="str">
        <f>CONCATENATE(A118,88)</f>
        <v>4UY3E31HN7088</v>
      </c>
      <c r="C118" s="2" t="s">
        <v>277</v>
      </c>
      <c r="D118" s="2" t="s">
        <v>294</v>
      </c>
      <c r="E118" s="2" t="str">
        <f t="shared" si="1"/>
        <v>CYNTHIA SMITH</v>
      </c>
      <c r="F118" s="2" t="s">
        <v>94</v>
      </c>
      <c r="G118" s="2" t="s">
        <v>28</v>
      </c>
      <c r="H118" s="2" t="s">
        <v>29</v>
      </c>
      <c r="I118" s="3">
        <v>45901</v>
      </c>
      <c r="J118" s="3">
        <v>45901</v>
      </c>
      <c r="K118" s="2">
        <v>20411454</v>
      </c>
      <c r="L118" s="2" t="s">
        <v>32</v>
      </c>
      <c r="M118" s="2" t="s">
        <v>247</v>
      </c>
      <c r="N118" s="2">
        <v>746</v>
      </c>
      <c r="O118" s="2">
        <v>120</v>
      </c>
      <c r="P118" s="2" t="s">
        <v>235</v>
      </c>
    </row>
    <row r="119" spans="1:16" x14ac:dyDescent="0.25">
      <c r="A119" s="2" t="s">
        <v>24</v>
      </c>
      <c r="B119" s="2" t="str">
        <f>CONCATENATE(A119,88)</f>
        <v>3XC4TV2XX8888</v>
      </c>
      <c r="C119" s="2" t="s">
        <v>269</v>
      </c>
      <c r="D119" s="2" t="s">
        <v>270</v>
      </c>
      <c r="E119" s="2" t="str">
        <f t="shared" si="1"/>
        <v>MARIA AGUAIZA</v>
      </c>
      <c r="F119" s="2" t="s">
        <v>27</v>
      </c>
      <c r="G119" s="2" t="s">
        <v>28</v>
      </c>
      <c r="H119" s="2" t="s">
        <v>29</v>
      </c>
      <c r="I119" s="3">
        <v>45839</v>
      </c>
      <c r="J119" s="3">
        <v>45839</v>
      </c>
      <c r="K119" s="2">
        <v>20411454</v>
      </c>
      <c r="L119" s="2" t="s">
        <v>32</v>
      </c>
      <c r="M119" s="2" t="s">
        <v>247</v>
      </c>
      <c r="N119" s="2">
        <v>751</v>
      </c>
      <c r="O119" s="2">
        <v>125</v>
      </c>
      <c r="P119" s="2" t="s">
        <v>235</v>
      </c>
    </row>
    <row r="120" spans="1:16" x14ac:dyDescent="0.25">
      <c r="A120" s="2" t="s">
        <v>47</v>
      </c>
      <c r="B120" s="2" t="str">
        <f>CONCATENATE(A120,88)</f>
        <v>6TH1KW7KK3388</v>
      </c>
      <c r="C120" s="2" t="s">
        <v>295</v>
      </c>
      <c r="D120" s="2" t="s">
        <v>296</v>
      </c>
      <c r="E120" s="2" t="str">
        <f t="shared" si="1"/>
        <v>CARMELLA BURDI</v>
      </c>
      <c r="F120" s="2" t="s">
        <v>27</v>
      </c>
      <c r="G120" s="2" t="s">
        <v>28</v>
      </c>
      <c r="H120" s="2" t="s">
        <v>29</v>
      </c>
      <c r="I120" s="3">
        <v>45870</v>
      </c>
      <c r="J120" s="3">
        <v>45870</v>
      </c>
      <c r="K120" s="2">
        <v>20411454</v>
      </c>
      <c r="L120" s="2" t="s">
        <v>32</v>
      </c>
      <c r="M120" s="2" t="s">
        <v>247</v>
      </c>
      <c r="N120" s="2">
        <v>751</v>
      </c>
      <c r="O120" s="2">
        <v>125</v>
      </c>
      <c r="P120" s="2" t="s">
        <v>235</v>
      </c>
    </row>
    <row r="121" spans="1:16" x14ac:dyDescent="0.25">
      <c r="A121" s="2" t="s">
        <v>72</v>
      </c>
      <c r="B121" s="2" t="str">
        <f>CONCATENATE(A121,88)</f>
        <v>8H61U45EA9588</v>
      </c>
      <c r="C121" s="2" t="s">
        <v>287</v>
      </c>
      <c r="D121" s="2" t="s">
        <v>288</v>
      </c>
      <c r="E121" s="2" t="str">
        <f t="shared" si="1"/>
        <v>DAVID FISK</v>
      </c>
      <c r="F121" s="2" t="s">
        <v>27</v>
      </c>
      <c r="G121" s="2" t="s">
        <v>28</v>
      </c>
      <c r="H121" s="2" t="s">
        <v>75</v>
      </c>
      <c r="I121" s="3">
        <v>45809</v>
      </c>
      <c r="J121" s="3">
        <v>45809</v>
      </c>
      <c r="K121" s="2">
        <v>20411454</v>
      </c>
      <c r="L121" s="2" t="s">
        <v>32</v>
      </c>
      <c r="M121" s="2" t="s">
        <v>247</v>
      </c>
      <c r="N121" s="2">
        <v>751</v>
      </c>
      <c r="O121" s="2">
        <v>125</v>
      </c>
      <c r="P121" s="2" t="s">
        <v>235</v>
      </c>
    </row>
    <row r="122" spans="1:16" x14ac:dyDescent="0.25">
      <c r="A122" s="2" t="s">
        <v>82</v>
      </c>
      <c r="B122" s="2" t="str">
        <f>CONCATENATE(A122,88)</f>
        <v>8V25KH2HE8388</v>
      </c>
      <c r="C122" s="2" t="s">
        <v>273</v>
      </c>
      <c r="D122" s="2" t="s">
        <v>274</v>
      </c>
      <c r="E122" s="2" t="str">
        <f t="shared" si="1"/>
        <v>RIMOND JAMOU</v>
      </c>
      <c r="F122" s="2" t="s">
        <v>27</v>
      </c>
      <c r="G122" s="2" t="s">
        <v>28</v>
      </c>
      <c r="H122" s="2" t="s">
        <v>29</v>
      </c>
      <c r="I122" s="3">
        <v>45839</v>
      </c>
      <c r="J122" s="3">
        <v>45839</v>
      </c>
      <c r="K122" s="2">
        <v>20411454</v>
      </c>
      <c r="L122" s="2" t="s">
        <v>32</v>
      </c>
      <c r="M122" s="2" t="s">
        <v>247</v>
      </c>
      <c r="N122" s="2">
        <v>751</v>
      </c>
      <c r="O122" s="2">
        <v>125</v>
      </c>
      <c r="P122" s="2" t="s">
        <v>235</v>
      </c>
    </row>
    <row r="123" spans="1:16" x14ac:dyDescent="0.25">
      <c r="A123" s="2" t="s">
        <v>91</v>
      </c>
      <c r="B123" s="2" t="str">
        <f>CONCATENATE(A123,88)</f>
        <v>3T14Q39DH6688</v>
      </c>
      <c r="C123" s="2" t="s">
        <v>281</v>
      </c>
      <c r="D123" s="2" t="s">
        <v>282</v>
      </c>
      <c r="E123" s="2" t="str">
        <f t="shared" si="1"/>
        <v>WILLIAM MASCHMEYER</v>
      </c>
      <c r="F123" s="2" t="s">
        <v>94</v>
      </c>
      <c r="G123" s="2" t="s">
        <v>28</v>
      </c>
      <c r="H123" s="2" t="s">
        <v>29</v>
      </c>
      <c r="I123" s="3">
        <v>45870</v>
      </c>
      <c r="J123" s="3">
        <v>45870</v>
      </c>
      <c r="K123" s="2">
        <v>20411454</v>
      </c>
      <c r="L123" s="2" t="s">
        <v>32</v>
      </c>
      <c r="M123" s="2" t="s">
        <v>247</v>
      </c>
      <c r="N123" s="2">
        <v>751</v>
      </c>
      <c r="O123" s="2">
        <v>125</v>
      </c>
      <c r="P123" s="2" t="s">
        <v>235</v>
      </c>
    </row>
    <row r="124" spans="1:16" x14ac:dyDescent="0.25">
      <c r="A124" s="2" t="s">
        <v>102</v>
      </c>
      <c r="B124" s="2" t="str">
        <f>CONCATENATE(A124,88)</f>
        <v>4Y45CG3MK5188</v>
      </c>
      <c r="C124" s="2" t="s">
        <v>289</v>
      </c>
      <c r="D124" s="2" t="s">
        <v>290</v>
      </c>
      <c r="E124" s="2" t="str">
        <f t="shared" si="1"/>
        <v>RENEE MCMATH</v>
      </c>
      <c r="F124" s="2" t="s">
        <v>27</v>
      </c>
      <c r="G124" s="2" t="s">
        <v>28</v>
      </c>
      <c r="H124" s="2" t="s">
        <v>29</v>
      </c>
      <c r="I124" s="3">
        <v>45870</v>
      </c>
      <c r="J124" s="3">
        <v>45870</v>
      </c>
      <c r="K124" s="2">
        <v>20411454</v>
      </c>
      <c r="L124" s="2" t="s">
        <v>32</v>
      </c>
      <c r="M124" s="2" t="s">
        <v>247</v>
      </c>
      <c r="N124" s="2">
        <v>751</v>
      </c>
      <c r="O124" s="2">
        <v>125</v>
      </c>
      <c r="P124" s="2" t="s">
        <v>235</v>
      </c>
    </row>
    <row r="125" spans="1:16" x14ac:dyDescent="0.25">
      <c r="A125" s="2" t="s">
        <v>118</v>
      </c>
      <c r="B125" s="2" t="str">
        <f>CONCATENATE(A125,88)</f>
        <v>9X78VN5CQ3088</v>
      </c>
      <c r="C125" s="2" t="s">
        <v>265</v>
      </c>
      <c r="D125" s="2" t="s">
        <v>266</v>
      </c>
      <c r="E125" s="2" t="str">
        <f t="shared" si="1"/>
        <v>MARK MILLER</v>
      </c>
      <c r="F125" s="2" t="s">
        <v>121</v>
      </c>
      <c r="G125" s="2" t="s">
        <v>28</v>
      </c>
      <c r="H125" s="2" t="s">
        <v>29</v>
      </c>
      <c r="I125" s="3">
        <v>45839</v>
      </c>
      <c r="J125" s="3">
        <v>45839</v>
      </c>
      <c r="K125" s="2">
        <v>20411454</v>
      </c>
      <c r="L125" s="2" t="s">
        <v>32</v>
      </c>
      <c r="M125" s="2" t="s">
        <v>247</v>
      </c>
      <c r="N125" s="2">
        <v>751</v>
      </c>
      <c r="O125" s="2">
        <v>125</v>
      </c>
      <c r="P125" s="2" t="s">
        <v>235</v>
      </c>
    </row>
    <row r="126" spans="1:16" x14ac:dyDescent="0.25">
      <c r="A126" s="2" t="s">
        <v>141</v>
      </c>
      <c r="B126" s="2" t="str">
        <f>CONCATENATE(A126,88)</f>
        <v>1D50TG0MC1588</v>
      </c>
      <c r="C126" s="2" t="s">
        <v>291</v>
      </c>
      <c r="D126" s="2" t="s">
        <v>292</v>
      </c>
      <c r="E126" s="2" t="str">
        <f t="shared" si="1"/>
        <v>BRENT OFFENHEISER</v>
      </c>
      <c r="F126" s="2" t="s">
        <v>27</v>
      </c>
      <c r="G126" s="2" t="s">
        <v>28</v>
      </c>
      <c r="H126" s="2" t="s">
        <v>29</v>
      </c>
      <c r="I126" s="3">
        <v>45839</v>
      </c>
      <c r="J126" s="3">
        <v>45839</v>
      </c>
      <c r="K126" s="2">
        <v>20411454</v>
      </c>
      <c r="L126" s="2" t="s">
        <v>32</v>
      </c>
      <c r="M126" s="2" t="s">
        <v>247</v>
      </c>
      <c r="N126" s="2">
        <v>751</v>
      </c>
      <c r="O126" s="2">
        <v>125</v>
      </c>
      <c r="P126" s="2" t="s">
        <v>235</v>
      </c>
    </row>
    <row r="127" spans="1:16" x14ac:dyDescent="0.25">
      <c r="A127" s="2" t="s">
        <v>145</v>
      </c>
      <c r="B127" s="2" t="str">
        <f>CONCATENATE(A127,88)</f>
        <v>8EY1RU4FP0088</v>
      </c>
      <c r="C127" s="2" t="s">
        <v>275</v>
      </c>
      <c r="D127" s="2" t="s">
        <v>276</v>
      </c>
      <c r="E127" s="2" t="str">
        <f t="shared" si="1"/>
        <v>LOUIE OLAH</v>
      </c>
      <c r="F127" s="2" t="s">
        <v>27</v>
      </c>
      <c r="G127" s="2" t="s">
        <v>28</v>
      </c>
      <c r="H127" s="2" t="s">
        <v>29</v>
      </c>
      <c r="I127" s="3">
        <v>45901</v>
      </c>
      <c r="J127" s="3">
        <v>45901</v>
      </c>
      <c r="K127" s="2">
        <v>20411454</v>
      </c>
      <c r="L127" s="2" t="s">
        <v>32</v>
      </c>
      <c r="M127" s="2" t="s">
        <v>247</v>
      </c>
      <c r="N127" s="2">
        <v>751</v>
      </c>
      <c r="O127" s="2">
        <v>125</v>
      </c>
      <c r="P127" s="2" t="s">
        <v>235</v>
      </c>
    </row>
    <row r="128" spans="1:16" x14ac:dyDescent="0.25">
      <c r="A128" s="2" t="s">
        <v>152</v>
      </c>
      <c r="B128" s="2" t="str">
        <f>CONCATENATE(A128,88)</f>
        <v>8QE7V25PV4088</v>
      </c>
      <c r="C128" s="2" t="s">
        <v>297</v>
      </c>
      <c r="D128" s="2" t="s">
        <v>298</v>
      </c>
      <c r="E128" s="2" t="str">
        <f t="shared" si="1"/>
        <v>GERALD PUCKETT</v>
      </c>
      <c r="F128" s="2" t="s">
        <v>27</v>
      </c>
      <c r="G128" s="2" t="s">
        <v>28</v>
      </c>
      <c r="H128" s="2" t="s">
        <v>29</v>
      </c>
      <c r="I128" s="3">
        <v>45809</v>
      </c>
      <c r="J128" s="3">
        <v>45809</v>
      </c>
      <c r="K128" s="2">
        <v>20411454</v>
      </c>
      <c r="L128" s="2" t="s">
        <v>32</v>
      </c>
      <c r="M128" s="2" t="s">
        <v>247</v>
      </c>
      <c r="N128" s="2">
        <v>751</v>
      </c>
      <c r="O128" s="2">
        <v>125</v>
      </c>
      <c r="P128" s="2" t="s">
        <v>235</v>
      </c>
    </row>
    <row r="129" spans="1:16" x14ac:dyDescent="0.25">
      <c r="A129" s="2" t="s">
        <v>156</v>
      </c>
      <c r="B129" s="2" t="str">
        <f>CONCATENATE(A129,88)</f>
        <v>2CE0P67CF3688</v>
      </c>
      <c r="C129" s="2" t="s">
        <v>299</v>
      </c>
      <c r="D129" s="2" t="s">
        <v>260</v>
      </c>
      <c r="E129" s="2" t="str">
        <f t="shared" si="1"/>
        <v>DIANA QUESADA</v>
      </c>
      <c r="F129" s="2" t="s">
        <v>27</v>
      </c>
      <c r="G129" s="2" t="s">
        <v>28</v>
      </c>
      <c r="H129" s="2" t="s">
        <v>29</v>
      </c>
      <c r="I129" s="3">
        <v>45809</v>
      </c>
      <c r="J129" s="3">
        <v>45809</v>
      </c>
      <c r="K129" s="2">
        <v>20411454</v>
      </c>
      <c r="L129" s="2" t="s">
        <v>32</v>
      </c>
      <c r="M129" s="2" t="s">
        <v>247</v>
      </c>
      <c r="N129" s="2">
        <v>751</v>
      </c>
      <c r="O129" s="2">
        <v>125</v>
      </c>
      <c r="P129" s="2" t="s">
        <v>235</v>
      </c>
    </row>
    <row r="130" spans="1:16" x14ac:dyDescent="0.25">
      <c r="A130" s="2" t="s">
        <v>159</v>
      </c>
      <c r="B130" s="2" t="str">
        <f>CONCATENATE(A130,88)</f>
        <v>1KU3GY1JK7288</v>
      </c>
      <c r="C130" s="2" t="s">
        <v>267</v>
      </c>
      <c r="D130" s="2" t="s">
        <v>268</v>
      </c>
      <c r="E130" s="2" t="str">
        <f t="shared" si="1"/>
        <v>ANGELA RICHARDS</v>
      </c>
      <c r="F130" s="2" t="s">
        <v>162</v>
      </c>
      <c r="G130" s="2" t="s">
        <v>28</v>
      </c>
      <c r="H130" s="2" t="s">
        <v>29</v>
      </c>
      <c r="I130" s="3">
        <v>45839</v>
      </c>
      <c r="J130" s="3">
        <v>45839</v>
      </c>
      <c r="K130" s="2">
        <v>20411454</v>
      </c>
      <c r="L130" s="2" t="s">
        <v>32</v>
      </c>
      <c r="M130" s="2" t="s">
        <v>247</v>
      </c>
      <c r="N130" s="2">
        <v>751</v>
      </c>
      <c r="O130" s="2">
        <v>125</v>
      </c>
      <c r="P130" s="2" t="s">
        <v>235</v>
      </c>
    </row>
    <row r="131" spans="1:16" x14ac:dyDescent="0.25">
      <c r="A131" s="2" t="s">
        <v>170</v>
      </c>
      <c r="B131" s="2" t="str">
        <f>CONCATENATE(A131,88)</f>
        <v>5YM6UU4JC8988</v>
      </c>
      <c r="C131" s="2" t="s">
        <v>283</v>
      </c>
      <c r="D131" s="2" t="s">
        <v>284</v>
      </c>
      <c r="E131" s="2" t="str">
        <f t="shared" ref="E131:E142" si="2">CONCATENATE(D131, " ",C131)</f>
        <v>LAURIE ROWE</v>
      </c>
      <c r="F131" s="2" t="s">
        <v>173</v>
      </c>
      <c r="G131" s="2" t="s">
        <v>28</v>
      </c>
      <c r="H131" s="2" t="s">
        <v>29</v>
      </c>
      <c r="I131" s="3">
        <v>45870</v>
      </c>
      <c r="J131" s="3">
        <v>45870</v>
      </c>
      <c r="K131" s="2">
        <v>20411454</v>
      </c>
      <c r="L131" s="2" t="s">
        <v>32</v>
      </c>
      <c r="M131" s="2" t="s">
        <v>247</v>
      </c>
      <c r="N131" s="2">
        <v>751</v>
      </c>
      <c r="O131" s="2">
        <v>125</v>
      </c>
      <c r="P131" s="2" t="s">
        <v>235</v>
      </c>
    </row>
    <row r="132" spans="1:16" x14ac:dyDescent="0.25">
      <c r="A132" s="2" t="s">
        <v>181</v>
      </c>
      <c r="B132" s="2" t="str">
        <f>CONCATENATE(A132,88)</f>
        <v>8GG6CP6VE7788</v>
      </c>
      <c r="C132" s="2" t="s">
        <v>300</v>
      </c>
      <c r="D132" s="2" t="s">
        <v>301</v>
      </c>
      <c r="E132" s="2" t="str">
        <f t="shared" si="2"/>
        <v>LUANNA SCHMITZ</v>
      </c>
      <c r="F132" s="2" t="s">
        <v>184</v>
      </c>
      <c r="G132" s="2" t="s">
        <v>28</v>
      </c>
      <c r="H132" s="2" t="s">
        <v>29</v>
      </c>
      <c r="I132" s="3">
        <v>45901</v>
      </c>
      <c r="J132" s="3">
        <v>45901</v>
      </c>
      <c r="K132" s="2">
        <v>20411454</v>
      </c>
      <c r="L132" s="2" t="s">
        <v>32</v>
      </c>
      <c r="M132" s="2" t="s">
        <v>247</v>
      </c>
      <c r="N132" s="2">
        <v>751</v>
      </c>
      <c r="O132" s="2">
        <v>125</v>
      </c>
      <c r="P132" s="2" t="s">
        <v>235</v>
      </c>
    </row>
    <row r="133" spans="1:16" x14ac:dyDescent="0.25">
      <c r="A133" s="2" t="s">
        <v>191</v>
      </c>
      <c r="B133" s="2" t="str">
        <f>CONCATENATE(A133,88)</f>
        <v>6JR0PQ6UX2988</v>
      </c>
      <c r="C133" s="2" t="s">
        <v>277</v>
      </c>
      <c r="D133" s="2" t="s">
        <v>278</v>
      </c>
      <c r="E133" s="2" t="str">
        <f t="shared" si="2"/>
        <v>DIANE SMITH</v>
      </c>
      <c r="F133" s="2" t="s">
        <v>27</v>
      </c>
      <c r="G133" s="2" t="s">
        <v>28</v>
      </c>
      <c r="H133" s="2" t="s">
        <v>29</v>
      </c>
      <c r="I133" s="3">
        <v>45839</v>
      </c>
      <c r="J133" s="3">
        <v>45839</v>
      </c>
      <c r="K133" s="2">
        <v>20411454</v>
      </c>
      <c r="L133" s="2" t="s">
        <v>32</v>
      </c>
      <c r="M133" s="2" t="s">
        <v>247</v>
      </c>
      <c r="N133" s="2">
        <v>751</v>
      </c>
      <c r="O133" s="2">
        <v>125</v>
      </c>
      <c r="P133" s="2" t="s">
        <v>235</v>
      </c>
    </row>
    <row r="134" spans="1:16" x14ac:dyDescent="0.25">
      <c r="A134" s="2" t="s">
        <v>194</v>
      </c>
      <c r="B134" s="2" t="str">
        <f>CONCATENATE(A134,88)</f>
        <v>7EY0DY5TT3288</v>
      </c>
      <c r="C134" s="2" t="s">
        <v>302</v>
      </c>
      <c r="D134" s="2" t="s">
        <v>303</v>
      </c>
      <c r="E134" s="2" t="str">
        <f t="shared" si="2"/>
        <v>SUSAN SOMMER</v>
      </c>
      <c r="F134" s="2" t="s">
        <v>197</v>
      </c>
      <c r="G134" s="2" t="s">
        <v>28</v>
      </c>
      <c r="H134" s="2" t="s">
        <v>29</v>
      </c>
      <c r="I134" s="3">
        <v>45839</v>
      </c>
      <c r="J134" s="3">
        <v>45839</v>
      </c>
      <c r="K134" s="2">
        <v>20411454</v>
      </c>
      <c r="L134" s="2" t="s">
        <v>32</v>
      </c>
      <c r="M134" s="2" t="s">
        <v>247</v>
      </c>
      <c r="N134" s="2">
        <v>751</v>
      </c>
      <c r="O134" s="2">
        <v>125</v>
      </c>
      <c r="P134" s="2" t="s">
        <v>235</v>
      </c>
    </row>
    <row r="135" spans="1:16" x14ac:dyDescent="0.25">
      <c r="A135" s="2" t="s">
        <v>210</v>
      </c>
      <c r="B135" s="2" t="str">
        <f>CONCATENATE(A135,88)</f>
        <v>4A27UX2XW5088</v>
      </c>
      <c r="C135" s="2" t="s">
        <v>271</v>
      </c>
      <c r="D135" s="2" t="s">
        <v>272</v>
      </c>
      <c r="E135" s="2" t="str">
        <f t="shared" si="2"/>
        <v>ANGELICA VARGAS</v>
      </c>
      <c r="F135" s="2" t="s">
        <v>27</v>
      </c>
      <c r="G135" s="2" t="s">
        <v>28</v>
      </c>
      <c r="H135" s="2" t="s">
        <v>29</v>
      </c>
      <c r="I135" s="3">
        <v>45839</v>
      </c>
      <c r="J135" s="3">
        <v>45839</v>
      </c>
      <c r="K135" s="2">
        <v>20411454</v>
      </c>
      <c r="L135" s="2" t="s">
        <v>32</v>
      </c>
      <c r="M135" s="2" t="s">
        <v>247</v>
      </c>
      <c r="N135" s="2">
        <v>751</v>
      </c>
      <c r="O135" s="2">
        <v>125</v>
      </c>
      <c r="P135" s="2" t="s">
        <v>235</v>
      </c>
    </row>
    <row r="136" spans="1:16" x14ac:dyDescent="0.25">
      <c r="A136" s="2" t="s">
        <v>217</v>
      </c>
      <c r="B136" s="2" t="str">
        <f>CONCATENATE(A136,88)</f>
        <v>3NX3PA5YC9888</v>
      </c>
      <c r="C136" s="2" t="s">
        <v>279</v>
      </c>
      <c r="D136" s="2" t="s">
        <v>280</v>
      </c>
      <c r="E136" s="2" t="str">
        <f t="shared" si="2"/>
        <v>CAROLYN WARF</v>
      </c>
      <c r="F136" s="2" t="s">
        <v>27</v>
      </c>
      <c r="G136" s="2" t="s">
        <v>28</v>
      </c>
      <c r="H136" s="2" t="s">
        <v>29</v>
      </c>
      <c r="I136" s="3">
        <v>45839</v>
      </c>
      <c r="J136" s="3">
        <v>45839</v>
      </c>
      <c r="K136" s="2">
        <v>20411454</v>
      </c>
      <c r="L136" s="2" t="s">
        <v>32</v>
      </c>
      <c r="M136" s="2" t="s">
        <v>247</v>
      </c>
      <c r="N136" s="2">
        <v>751</v>
      </c>
      <c r="O136" s="2">
        <v>125</v>
      </c>
      <c r="P136" s="2" t="s">
        <v>235</v>
      </c>
    </row>
    <row r="137" spans="1:16" x14ac:dyDescent="0.25">
      <c r="A137" s="2" t="s">
        <v>227</v>
      </c>
      <c r="B137" s="2" t="str">
        <f>CONCATENATE(A137,88)</f>
        <v>4X70YJ1XD1888</v>
      </c>
      <c r="C137" s="2" t="s">
        <v>285</v>
      </c>
      <c r="D137" s="2" t="s">
        <v>286</v>
      </c>
      <c r="E137" s="2" t="str">
        <f t="shared" si="2"/>
        <v>DEBRA WYLLIE</v>
      </c>
      <c r="F137" s="2" t="s">
        <v>173</v>
      </c>
      <c r="G137" s="2" t="s">
        <v>28</v>
      </c>
      <c r="H137" s="2" t="s">
        <v>29</v>
      </c>
      <c r="I137" s="3">
        <v>45901</v>
      </c>
      <c r="J137" s="3">
        <v>45901</v>
      </c>
      <c r="K137" s="2">
        <v>20411454</v>
      </c>
      <c r="L137" s="2" t="s">
        <v>32</v>
      </c>
      <c r="M137" s="2" t="s">
        <v>247</v>
      </c>
      <c r="N137" s="2">
        <v>751</v>
      </c>
      <c r="O137" s="2">
        <v>125</v>
      </c>
      <c r="P137" s="2" t="s">
        <v>235</v>
      </c>
    </row>
    <row r="138" spans="1:16" x14ac:dyDescent="0.25">
      <c r="A138" s="2" t="s">
        <v>51</v>
      </c>
      <c r="B138" s="2" t="str">
        <f>CONCATENATE(A138,88)</f>
        <v>7G65G68TP8588</v>
      </c>
      <c r="C138" s="2" t="s">
        <v>249</v>
      </c>
      <c r="D138" s="2" t="s">
        <v>250</v>
      </c>
      <c r="E138" s="2" t="str">
        <f t="shared" si="2"/>
        <v>CHARLES CAMPBELL</v>
      </c>
      <c r="F138" s="2" t="s">
        <v>54</v>
      </c>
      <c r="G138" s="2" t="s">
        <v>28</v>
      </c>
      <c r="H138" s="2" t="s">
        <v>29</v>
      </c>
      <c r="I138" s="3">
        <v>45839</v>
      </c>
      <c r="J138" s="3">
        <v>45839</v>
      </c>
      <c r="K138" s="2">
        <v>20411454</v>
      </c>
      <c r="L138" s="2" t="s">
        <v>32</v>
      </c>
      <c r="M138" s="2" t="s">
        <v>247</v>
      </c>
      <c r="N138" s="2">
        <v>830</v>
      </c>
      <c r="O138" s="2">
        <v>125</v>
      </c>
      <c r="P138" s="2" t="s">
        <v>235</v>
      </c>
    </row>
    <row r="139" spans="1:16" x14ac:dyDescent="0.25">
      <c r="A139" s="2" t="s">
        <v>86</v>
      </c>
      <c r="B139" s="2" t="str">
        <f>CONCATENATE(A139,88)</f>
        <v>1KH4E07DQ7788</v>
      </c>
      <c r="C139" s="2" t="s">
        <v>251</v>
      </c>
      <c r="D139" s="2" t="s">
        <v>252</v>
      </c>
      <c r="E139" s="2" t="str">
        <f t="shared" si="2"/>
        <v>LISA MANGANELLO</v>
      </c>
      <c r="F139" s="2" t="s">
        <v>54</v>
      </c>
      <c r="G139" s="2" t="s">
        <v>28</v>
      </c>
      <c r="H139" s="2" t="s">
        <v>29</v>
      </c>
      <c r="I139" s="3">
        <v>45839</v>
      </c>
      <c r="J139" s="3">
        <v>45839</v>
      </c>
      <c r="K139" s="2">
        <v>20411454</v>
      </c>
      <c r="L139" s="2" t="s">
        <v>32</v>
      </c>
      <c r="M139" s="2" t="s">
        <v>247</v>
      </c>
      <c r="N139" s="2">
        <v>830</v>
      </c>
      <c r="O139" s="2">
        <v>125</v>
      </c>
      <c r="P139" s="2" t="s">
        <v>235</v>
      </c>
    </row>
    <row r="140" spans="1:16" x14ac:dyDescent="0.25">
      <c r="A140" s="2" t="s">
        <v>97</v>
      </c>
      <c r="B140" s="2" t="str">
        <f>CONCATENATE(A140,88)</f>
        <v>5A25J34YC5288</v>
      </c>
      <c r="C140" s="2" t="s">
        <v>257</v>
      </c>
      <c r="D140" s="2" t="s">
        <v>258</v>
      </c>
      <c r="E140" s="2" t="str">
        <f t="shared" si="2"/>
        <v>JUNE MCGRATH</v>
      </c>
      <c r="F140" s="2" t="s">
        <v>54</v>
      </c>
      <c r="G140" s="2" t="s">
        <v>28</v>
      </c>
      <c r="H140" s="2" t="s">
        <v>29</v>
      </c>
      <c r="I140" s="3">
        <v>45839</v>
      </c>
      <c r="J140" s="3">
        <v>45839</v>
      </c>
      <c r="K140" s="2">
        <v>20411454</v>
      </c>
      <c r="L140" s="2" t="s">
        <v>32</v>
      </c>
      <c r="M140" s="2" t="s">
        <v>247</v>
      </c>
      <c r="N140" s="2">
        <v>830</v>
      </c>
      <c r="O140" s="2">
        <v>125</v>
      </c>
      <c r="P140" s="2" t="s">
        <v>235</v>
      </c>
    </row>
    <row r="141" spans="1:16" x14ac:dyDescent="0.25">
      <c r="A141" s="2" t="s">
        <v>148</v>
      </c>
      <c r="B141" s="2" t="str">
        <f>CONCATENATE(A141,88)</f>
        <v>5VW8EA9MD6788</v>
      </c>
      <c r="C141" s="2" t="s">
        <v>255</v>
      </c>
      <c r="D141" s="2" t="s">
        <v>256</v>
      </c>
      <c r="E141" s="2" t="str">
        <f t="shared" si="2"/>
        <v>VALERIE PAVLICK</v>
      </c>
      <c r="F141" s="2" t="s">
        <v>54</v>
      </c>
      <c r="G141" s="2" t="s">
        <v>28</v>
      </c>
      <c r="H141" s="2" t="s">
        <v>29</v>
      </c>
      <c r="I141" s="3">
        <v>45809</v>
      </c>
      <c r="J141" s="3">
        <v>45809</v>
      </c>
      <c r="K141" s="2">
        <v>20411454</v>
      </c>
      <c r="L141" s="2" t="s">
        <v>32</v>
      </c>
      <c r="M141" s="2" t="s">
        <v>247</v>
      </c>
      <c r="N141" s="2">
        <v>830</v>
      </c>
      <c r="O141" s="2">
        <v>125</v>
      </c>
      <c r="P141" s="2" t="s">
        <v>235</v>
      </c>
    </row>
    <row r="142" spans="1:16" x14ac:dyDescent="0.25">
      <c r="A142" s="2" t="s">
        <v>166</v>
      </c>
      <c r="B142" s="2" t="str">
        <f>CONCATENATE(A142,88)</f>
        <v>8XE2PP6YW0988</v>
      </c>
      <c r="C142" s="2" t="s">
        <v>253</v>
      </c>
      <c r="D142" s="2" t="s">
        <v>254</v>
      </c>
      <c r="E142" s="2" t="str">
        <f t="shared" si="2"/>
        <v>MICHAEL RIZZO</v>
      </c>
      <c r="F142" s="2" t="s">
        <v>54</v>
      </c>
      <c r="G142" s="2" t="s">
        <v>28</v>
      </c>
      <c r="H142" s="2" t="s">
        <v>29</v>
      </c>
      <c r="I142" s="3">
        <v>45839</v>
      </c>
      <c r="J142" s="3">
        <v>45839</v>
      </c>
      <c r="K142" s="2">
        <v>20411454</v>
      </c>
      <c r="L142" s="2" t="s">
        <v>32</v>
      </c>
      <c r="M142" s="2" t="s">
        <v>247</v>
      </c>
      <c r="N142" s="2">
        <v>830</v>
      </c>
      <c r="O142" s="2">
        <v>125</v>
      </c>
      <c r="P142" s="2" t="s">
        <v>235</v>
      </c>
    </row>
  </sheetData>
  <sortState xmlns:xlrd2="http://schemas.microsoft.com/office/spreadsheetml/2017/richdata2" ref="A2:AA142">
    <sortCondition ref="P2:P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2025-07-23T18:10:11Z</dcterms:created>
  <dcterms:modified xsi:type="dcterms:W3CDTF">2025-07-29T15:00:58Z</dcterms:modified>
</cp:coreProperties>
</file>