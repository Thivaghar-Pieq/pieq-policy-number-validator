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etna Mapd\2025 Statements\03-11-25\"/>
    </mc:Choice>
  </mc:AlternateContent>
  <xr:revisionPtr revIDLastSave="0" documentId="13_ncr:1_{ECE4D7DE-8A01-4AB0-B1A6-490394CCB2D0}" xr6:coauthVersionLast="47" xr6:coauthVersionMax="47" xr10:uidLastSave="{00000000-0000-0000-0000-000000000000}"/>
  <bookViews>
    <workbookView xWindow="28680" yWindow="-120" windowWidth="29040" windowHeight="16440" activeTab="1" xr2:uid="{B3A22819-2805-428F-AF78-3AA40E2CCE8F}"/>
  </bookViews>
  <sheets>
    <sheet name="Main Line Benefits LLC_med_comm" sheetId="1" r:id="rId1"/>
    <sheet name="Sheet1" sheetId="2" r:id="rId2"/>
    <sheet name="Sheet2" sheetId="3" r:id="rId3"/>
  </sheets>
  <calcPr calcId="181029"/>
</workbook>
</file>

<file path=xl/calcChain.xml><?xml version="1.0" encoding="utf-8"?>
<calcChain xmlns="http://schemas.openxmlformats.org/spreadsheetml/2006/main">
  <c r="C2" i="3" l="1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17" i="3"/>
  <c r="C18" i="3"/>
  <c r="C19" i="3"/>
  <c r="C20" i="3"/>
  <c r="C21" i="3"/>
  <c r="C22" i="3"/>
  <c r="C23" i="3"/>
  <c r="C24" i="3"/>
  <c r="C25" i="3"/>
  <c r="C26" i="3"/>
  <c r="C27" i="3"/>
  <c r="C28" i="3"/>
  <c r="C29" i="3"/>
  <c r="C30" i="3"/>
  <c r="C31" i="3"/>
  <c r="C32" i="3"/>
  <c r="C33" i="3"/>
  <c r="C34" i="3"/>
  <c r="C35" i="3"/>
  <c r="C36" i="3"/>
  <c r="C37" i="3"/>
  <c r="C38" i="3"/>
  <c r="C39" i="3"/>
  <c r="C40" i="3"/>
  <c r="C41" i="3"/>
  <c r="C42" i="3"/>
  <c r="C1" i="3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21" i="2"/>
  <c r="C5" i="2"/>
  <c r="C20" i="2"/>
  <c r="C14" i="2"/>
  <c r="C8" i="2"/>
  <c r="C3" i="2"/>
  <c r="C16" i="2"/>
  <c r="C15" i="2"/>
  <c r="C9" i="2"/>
  <c r="C10" i="2"/>
  <c r="C17" i="2"/>
  <c r="C19" i="2"/>
  <c r="C2" i="2"/>
  <c r="C11" i="2"/>
  <c r="C6" i="2"/>
  <c r="C7" i="2"/>
  <c r="C18" i="2"/>
  <c r="C12" i="2"/>
  <c r="C13" i="2"/>
  <c r="C4" i="2"/>
  <c r="P43" i="2"/>
</calcChain>
</file>

<file path=xl/sharedStrings.xml><?xml version="1.0" encoding="utf-8"?>
<sst xmlns="http://schemas.openxmlformats.org/spreadsheetml/2006/main" count="797" uniqueCount="201">
  <si>
    <t>Payment Date</t>
  </si>
  <si>
    <t>Medicare Number</t>
  </si>
  <si>
    <t>Member ID</t>
  </si>
  <si>
    <t>Legacy Member ID</t>
  </si>
  <si>
    <t>Member Name</t>
  </si>
  <si>
    <t>Member State</t>
  </si>
  <si>
    <t>Sales Event</t>
  </si>
  <si>
    <t>Product</t>
  </si>
  <si>
    <t>Market</t>
  </si>
  <si>
    <t>Plan ID</t>
  </si>
  <si>
    <t>Additional Payment Detail</t>
  </si>
  <si>
    <t>Coverage Period</t>
  </si>
  <si>
    <t>Effective Date</t>
  </si>
  <si>
    <t>Term Date</t>
  </si>
  <si>
    <t>Writing Agent NPN</t>
  </si>
  <si>
    <t>Writing Agent Level</t>
  </si>
  <si>
    <t>Writing Agent Name</t>
  </si>
  <si>
    <t>Payee ID</t>
  </si>
  <si>
    <t>Payee Level</t>
  </si>
  <si>
    <t>Payee Name</t>
  </si>
  <si>
    <t>Payee Amount</t>
  </si>
  <si>
    <t>CMS New</t>
  </si>
  <si>
    <t>Member Sig Dt</t>
  </si>
  <si>
    <t>1099 Year</t>
  </si>
  <si>
    <t>3JX2X73QX05</t>
  </si>
  <si>
    <t>BOGGS L,CHERYL</t>
  </si>
  <si>
    <t>WI</t>
  </si>
  <si>
    <t>New Business</t>
  </si>
  <si>
    <t>MAPD</t>
  </si>
  <si>
    <t>IMM606</t>
  </si>
  <si>
    <t>H1206-002</t>
  </si>
  <si>
    <t>LOA</t>
  </si>
  <si>
    <t>Teipel, Gregory</t>
  </si>
  <si>
    <t>GMO</t>
  </si>
  <si>
    <t>Main Line Benefits LLC</t>
  </si>
  <si>
    <t xml:space="preserve">N  </t>
  </si>
  <si>
    <t>9TR7UG6NE45</t>
  </si>
  <si>
    <t>BRADLEY M,SUZANNE</t>
  </si>
  <si>
    <t>MI</t>
  </si>
  <si>
    <t>H5521-407</t>
  </si>
  <si>
    <t>Walenga, Dale</t>
  </si>
  <si>
    <t>4TE7TQ7YQ34</t>
  </si>
  <si>
    <t>BRENNAN J,WILLIAM</t>
  </si>
  <si>
    <t>IL</t>
  </si>
  <si>
    <t>H5521-086</t>
  </si>
  <si>
    <t>Choi, Andrew</t>
  </si>
  <si>
    <t>7GH9T57QJ12</t>
  </si>
  <si>
    <t>CARLSON L,LAURIE</t>
  </si>
  <si>
    <t>TX</t>
  </si>
  <si>
    <t>IMM618</t>
  </si>
  <si>
    <t>H3288-046</t>
  </si>
  <si>
    <t>Portugal, Gary</t>
  </si>
  <si>
    <t>3N31E22UC03</t>
  </si>
  <si>
    <t>CARLSON S,RONALD</t>
  </si>
  <si>
    <t>H3288-048</t>
  </si>
  <si>
    <t>9P52NP5MT98</t>
  </si>
  <si>
    <t>CLIFFORD P,DIANE</t>
  </si>
  <si>
    <t>PA</t>
  </si>
  <si>
    <t>Voluntarily Rapid Disenroll</t>
  </si>
  <si>
    <t>IMM608</t>
  </si>
  <si>
    <t>H3959-001</t>
  </si>
  <si>
    <t>Inskipt, Deborah</t>
  </si>
  <si>
    <t>5FT3GU7AH09</t>
  </si>
  <si>
    <t>COX,MARILYN</t>
  </si>
  <si>
    <t>H5521-214</t>
  </si>
  <si>
    <t>1P26Q46RQ73</t>
  </si>
  <si>
    <t>DAVILA S,MARIA</t>
  </si>
  <si>
    <t>H3192-001</t>
  </si>
  <si>
    <t>9WT2RK4FY82</t>
  </si>
  <si>
    <t>DAVIS J,DARLA</t>
  </si>
  <si>
    <t>H3959-002</t>
  </si>
  <si>
    <t>Smith, Margaret</t>
  </si>
  <si>
    <t>8XC3XU1QX90</t>
  </si>
  <si>
    <t>ELLIOTT L,ABIGAIL</t>
  </si>
  <si>
    <t>FL</t>
  </si>
  <si>
    <t>IMM604</t>
  </si>
  <si>
    <t>H1609-028</t>
  </si>
  <si>
    <t>Portugal, Stacey</t>
  </si>
  <si>
    <t>1J67QG0AM64</t>
  </si>
  <si>
    <t>GWION D,RHODA</t>
  </si>
  <si>
    <t>H3959-052</t>
  </si>
  <si>
    <t>AG4</t>
  </si>
  <si>
    <t>GBASSANA, FREDERICK</t>
  </si>
  <si>
    <t>6NK6A59XN86</t>
  </si>
  <si>
    <t>HADDAD M,JAMES</t>
  </si>
  <si>
    <t>Holyn, Dennis</t>
  </si>
  <si>
    <t>9PK0MV1GX35</t>
  </si>
  <si>
    <t>JACKSON A,PATRICIA</t>
  </si>
  <si>
    <t>H1206-003</t>
  </si>
  <si>
    <t>TAPPER, RANDY</t>
  </si>
  <si>
    <t>3P98DA6RG63</t>
  </si>
  <si>
    <t>KENTON E,HOBART</t>
  </si>
  <si>
    <t>7RH2M55CY04</t>
  </si>
  <si>
    <t>KOLLIE S,SEINAH</t>
  </si>
  <si>
    <t>DE</t>
  </si>
  <si>
    <t>H3959-055</t>
  </si>
  <si>
    <t>7YQ0PC1DD33</t>
  </si>
  <si>
    <t>KURTH A,MARSHA</t>
  </si>
  <si>
    <t>H7301-006</t>
  </si>
  <si>
    <t>7J24Y39GK09</t>
  </si>
  <si>
    <t>PIEMONTE M,JOANNE</t>
  </si>
  <si>
    <t>H7301-013</t>
  </si>
  <si>
    <t>Liskovec, Frank</t>
  </si>
  <si>
    <t>9XR2E77MJ99</t>
  </si>
  <si>
    <t>PIEMONTE R,MARK</t>
  </si>
  <si>
    <t>7TR0JK7MP33</t>
  </si>
  <si>
    <t>ROMAN,ROGELIA</t>
  </si>
  <si>
    <t>Torres, Jose</t>
  </si>
  <si>
    <t>9WV3V33MR88</t>
  </si>
  <si>
    <t>ROPEK S,PAMELA</t>
  </si>
  <si>
    <t>TN</t>
  </si>
  <si>
    <t>IMM609</t>
  </si>
  <si>
    <t>H5521-501</t>
  </si>
  <si>
    <t>8N51MW3JC05</t>
  </si>
  <si>
    <t>STONE BOND J,PAULA</t>
  </si>
  <si>
    <t>GA</t>
  </si>
  <si>
    <t>IMM605</t>
  </si>
  <si>
    <t>H2293-010</t>
  </si>
  <si>
    <t>8CJ9WE2MX14</t>
  </si>
  <si>
    <t>TAITEL J,ERYNN</t>
  </si>
  <si>
    <t>H5521-574</t>
  </si>
  <si>
    <t>Yale, Jacob</t>
  </si>
  <si>
    <t>7PU8FG1GA64</t>
  </si>
  <si>
    <t>WILKER,KEVIN</t>
  </si>
  <si>
    <t>[%/$=353][prorate=12/12]</t>
  </si>
  <si>
    <t>[%/$=313][prorate=12/12]</t>
  </si>
  <si>
    <t>[%/$=358][prorate=12/12]</t>
  </si>
  <si>
    <t>Aetna MAPD 2025 FL*</t>
  </si>
  <si>
    <t>Aetna MAPD 2025*</t>
  </si>
  <si>
    <t>Aetna 2025 CT, PA, DC*</t>
  </si>
  <si>
    <t>Aetna MAPD OVR 2025</t>
  </si>
  <si>
    <t>[%/$=313][prorate=8/12]</t>
  </si>
  <si>
    <t>CLIFFORD</t>
  </si>
  <si>
    <t>DIANE</t>
  </si>
  <si>
    <t>WILKER</t>
  </si>
  <si>
    <t>KEVIN</t>
  </si>
  <si>
    <t>TAITEL</t>
  </si>
  <si>
    <t>ERYNN</t>
  </si>
  <si>
    <t>ELLIOTT</t>
  </si>
  <si>
    <t>ABIGAIL</t>
  </si>
  <si>
    <t>COX</t>
  </si>
  <si>
    <t>MARILYN</t>
  </si>
  <si>
    <t>HADDAD</t>
  </si>
  <si>
    <t>JAMES</t>
  </si>
  <si>
    <t>JACKSON</t>
  </si>
  <si>
    <t>PATRICIA</t>
  </si>
  <si>
    <t>KURTH</t>
  </si>
  <si>
    <t>MARSHA</t>
  </si>
  <si>
    <t>CARLSON</t>
  </si>
  <si>
    <t>LAURIE</t>
  </si>
  <si>
    <t>STONE</t>
  </si>
  <si>
    <t>PAULA</t>
  </si>
  <si>
    <t>BOGGS</t>
  </si>
  <si>
    <t>CHERYL</t>
  </si>
  <si>
    <t>BRADLEY</t>
  </si>
  <si>
    <t>SUZANNE</t>
  </si>
  <si>
    <t>BRENNAN</t>
  </si>
  <si>
    <t>WILLIAM</t>
  </si>
  <si>
    <t>RONALD</t>
  </si>
  <si>
    <t>PIEMONTE</t>
  </si>
  <si>
    <t>JOANNE</t>
  </si>
  <si>
    <t>MARK</t>
  </si>
  <si>
    <t>ROMAN</t>
  </si>
  <si>
    <t>ROGELIA</t>
  </si>
  <si>
    <t>ROPEK</t>
  </si>
  <si>
    <t>PAMELA</t>
  </si>
  <si>
    <t>DAVILA</t>
  </si>
  <si>
    <t>MARIA</t>
  </si>
  <si>
    <t>DAVIS</t>
  </si>
  <si>
    <t>DARLA</t>
  </si>
  <si>
    <t>KENTON</t>
  </si>
  <si>
    <t>HOBART</t>
  </si>
  <si>
    <t>KOLLIE</t>
  </si>
  <si>
    <t>SEINAH</t>
  </si>
  <si>
    <t>GWION</t>
  </si>
  <si>
    <t>RHODA</t>
  </si>
  <si>
    <t>DIANE CLIFFORD</t>
  </si>
  <si>
    <t>KEVIN WILKER</t>
  </si>
  <si>
    <t>ERYNN TAITEL</t>
  </si>
  <si>
    <t>ABIGAIL ELLIOTT</t>
  </si>
  <si>
    <t>MARILYN COX</t>
  </si>
  <si>
    <t>JAMES HADDAD</t>
  </si>
  <si>
    <t>PATRICIA JACKSON</t>
  </si>
  <si>
    <t>MARSHA KURTH</t>
  </si>
  <si>
    <t>LAURIE CARLSON</t>
  </si>
  <si>
    <t>PAULA STONE</t>
  </si>
  <si>
    <t>CHERYL BOGGS</t>
  </si>
  <si>
    <t>SUZANNE BRADLEY</t>
  </si>
  <si>
    <t>WILLIAM BRENNAN</t>
  </si>
  <si>
    <t>RONALD CARLSON</t>
  </si>
  <si>
    <t>JOANNE PIEMONTE</t>
  </si>
  <si>
    <t>MARK PIEMONTE</t>
  </si>
  <si>
    <t>ROGELIA ROMAN</t>
  </si>
  <si>
    <t>PAMELA ROPEK</t>
  </si>
  <si>
    <t>MARIA DAVILA</t>
  </si>
  <si>
    <t>DARLA DAVIS</t>
  </si>
  <si>
    <t>HOBART KENTON</t>
  </si>
  <si>
    <t>SEINAH KOLLIE</t>
  </si>
  <si>
    <t>RHODA GWION</t>
  </si>
  <si>
    <t>Main Line Benefits</t>
  </si>
  <si>
    <t>17528908N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</si>
</sst>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14" fontId="0" fillId="0" borderId="0" xfId="0" applyNumberFormat="1"/>
    <xf numFmtId="0" fontId="18" fillId="0" borderId="0" xfId="0" applyFont="1" applyFill="1" applyAlignment="1">
      <alignment horizontal="right"/>
    </xf>
    <xf numFmtId="0" fontId="18" fillId="0" borderId="0" xfId="0" applyFont="1" applyFill="1"/>
    <xf numFmtId="1" fontId="18" fillId="0" borderId="0" xfId="0" applyNumberFormat="1" applyFont="1" applyFill="1"/>
    <xf numFmtId="14" fontId="18" fillId="0" borderId="0" xfId="0" applyNumberFormat="1" applyFont="1" applyFill="1"/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4BF64F-42C2-4B1B-86B8-7C44CC02CE23}">
  <dimension ref="A1:X39"/>
  <sheetViews>
    <sheetView workbookViewId="0">
      <selection activeCell="U2" sqref="A1:X24"/>
    </sheetView>
  </sheetViews>
  <sheetFormatPr defaultRowHeight="15" x14ac:dyDescent="0.25"/>
  <cols>
    <col min="1" max="1" width="28" bestFit="1" customWidth="1"/>
  </cols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 s="1">
        <v>45727</v>
      </c>
      <c r="B2" t="s">
        <v>24</v>
      </c>
      <c r="C2">
        <v>101961096900</v>
      </c>
      <c r="E2" t="s">
        <v>25</v>
      </c>
      <c r="F2" t="s">
        <v>26</v>
      </c>
      <c r="G2" t="s">
        <v>27</v>
      </c>
      <c r="H2" t="s">
        <v>28</v>
      </c>
      <c r="I2" t="s">
        <v>29</v>
      </c>
      <c r="J2" t="s">
        <v>30</v>
      </c>
      <c r="L2" s="1">
        <v>45717</v>
      </c>
      <c r="M2" s="1">
        <v>45717</v>
      </c>
      <c r="O2">
        <v>8307933</v>
      </c>
      <c r="P2" t="s">
        <v>31</v>
      </c>
      <c r="Q2" t="s">
        <v>32</v>
      </c>
      <c r="R2">
        <v>8192</v>
      </c>
      <c r="S2" t="s">
        <v>33</v>
      </c>
      <c r="T2" t="s">
        <v>34</v>
      </c>
      <c r="U2">
        <v>365</v>
      </c>
      <c r="V2" t="s">
        <v>35</v>
      </c>
      <c r="W2" s="1">
        <v>45707</v>
      </c>
      <c r="X2">
        <v>2025</v>
      </c>
    </row>
    <row r="3" spans="1:24" x14ac:dyDescent="0.25">
      <c r="A3" s="1">
        <v>45727</v>
      </c>
      <c r="B3" t="s">
        <v>36</v>
      </c>
      <c r="C3">
        <v>102153840400</v>
      </c>
      <c r="E3" t="s">
        <v>37</v>
      </c>
      <c r="F3" t="s">
        <v>38</v>
      </c>
      <c r="G3" t="s">
        <v>27</v>
      </c>
      <c r="H3" t="s">
        <v>28</v>
      </c>
      <c r="I3" t="s">
        <v>29</v>
      </c>
      <c r="J3" t="s">
        <v>39</v>
      </c>
      <c r="L3" s="1">
        <v>45717</v>
      </c>
      <c r="M3" s="1">
        <v>45717</v>
      </c>
      <c r="O3">
        <v>8325282</v>
      </c>
      <c r="P3" t="s">
        <v>31</v>
      </c>
      <c r="Q3" t="s">
        <v>40</v>
      </c>
      <c r="R3">
        <v>8192</v>
      </c>
      <c r="S3" t="s">
        <v>33</v>
      </c>
      <c r="T3" t="s">
        <v>34</v>
      </c>
      <c r="U3">
        <v>365</v>
      </c>
      <c r="V3" t="s">
        <v>35</v>
      </c>
      <c r="W3" s="1">
        <v>45713</v>
      </c>
      <c r="X3">
        <v>2025</v>
      </c>
    </row>
    <row r="4" spans="1:24" x14ac:dyDescent="0.25">
      <c r="A4" s="1">
        <v>45727</v>
      </c>
      <c r="B4" t="s">
        <v>41</v>
      </c>
      <c r="C4">
        <v>101485743900</v>
      </c>
      <c r="E4" t="s">
        <v>42</v>
      </c>
      <c r="F4" t="s">
        <v>43</v>
      </c>
      <c r="G4" t="s">
        <v>27</v>
      </c>
      <c r="H4" t="s">
        <v>28</v>
      </c>
      <c r="I4" t="s">
        <v>29</v>
      </c>
      <c r="J4" t="s">
        <v>44</v>
      </c>
      <c r="L4" s="1">
        <v>45717</v>
      </c>
      <c r="M4" s="1">
        <v>45717</v>
      </c>
      <c r="O4">
        <v>7470776</v>
      </c>
      <c r="P4" t="s">
        <v>31</v>
      </c>
      <c r="Q4" t="s">
        <v>45</v>
      </c>
      <c r="R4">
        <v>8192</v>
      </c>
      <c r="S4" t="s">
        <v>33</v>
      </c>
      <c r="T4" t="s">
        <v>34</v>
      </c>
      <c r="U4">
        <v>365</v>
      </c>
      <c r="V4" t="s">
        <v>35</v>
      </c>
      <c r="W4" s="1">
        <v>45714</v>
      </c>
      <c r="X4">
        <v>2025</v>
      </c>
    </row>
    <row r="5" spans="1:24" x14ac:dyDescent="0.25">
      <c r="A5" s="1">
        <v>45727</v>
      </c>
      <c r="B5" t="s">
        <v>46</v>
      </c>
      <c r="C5">
        <v>102152554700</v>
      </c>
      <c r="E5" t="s">
        <v>47</v>
      </c>
      <c r="F5" t="s">
        <v>48</v>
      </c>
      <c r="G5" t="s">
        <v>27</v>
      </c>
      <c r="H5" t="s">
        <v>28</v>
      </c>
      <c r="I5" t="s">
        <v>49</v>
      </c>
      <c r="J5" t="s">
        <v>50</v>
      </c>
      <c r="L5" s="1">
        <v>45778</v>
      </c>
      <c r="M5" s="1">
        <v>45778</v>
      </c>
      <c r="O5">
        <v>9213293</v>
      </c>
      <c r="P5" t="s">
        <v>31</v>
      </c>
      <c r="Q5" t="s">
        <v>51</v>
      </c>
      <c r="R5">
        <v>8192</v>
      </c>
      <c r="S5" t="s">
        <v>33</v>
      </c>
      <c r="T5" t="s">
        <v>34</v>
      </c>
      <c r="U5">
        <v>292</v>
      </c>
      <c r="V5" t="s">
        <v>35</v>
      </c>
      <c r="W5" s="1">
        <v>45708</v>
      </c>
      <c r="X5">
        <v>2025</v>
      </c>
    </row>
    <row r="6" spans="1:24" x14ac:dyDescent="0.25">
      <c r="A6" s="1">
        <v>45727</v>
      </c>
      <c r="B6" t="s">
        <v>52</v>
      </c>
      <c r="C6">
        <v>102153324100</v>
      </c>
      <c r="E6" t="s">
        <v>53</v>
      </c>
      <c r="F6" t="s">
        <v>48</v>
      </c>
      <c r="G6" t="s">
        <v>27</v>
      </c>
      <c r="H6" t="s">
        <v>28</v>
      </c>
      <c r="I6" t="s">
        <v>49</v>
      </c>
      <c r="J6" t="s">
        <v>54</v>
      </c>
      <c r="L6" s="1">
        <v>45717</v>
      </c>
      <c r="M6" s="1">
        <v>45717</v>
      </c>
      <c r="O6">
        <v>9213293</v>
      </c>
      <c r="P6" t="s">
        <v>31</v>
      </c>
      <c r="Q6" t="s">
        <v>51</v>
      </c>
      <c r="R6">
        <v>8192</v>
      </c>
      <c r="S6" t="s">
        <v>33</v>
      </c>
      <c r="T6" t="s">
        <v>34</v>
      </c>
      <c r="U6">
        <v>365</v>
      </c>
      <c r="V6" t="s">
        <v>35</v>
      </c>
      <c r="W6" s="1">
        <v>45712</v>
      </c>
      <c r="X6">
        <v>2025</v>
      </c>
    </row>
    <row r="7" spans="1:24" x14ac:dyDescent="0.25">
      <c r="A7" s="1">
        <v>45727</v>
      </c>
      <c r="B7" t="s">
        <v>55</v>
      </c>
      <c r="C7">
        <v>101847644200</v>
      </c>
      <c r="E7" t="s">
        <v>56</v>
      </c>
      <c r="F7" t="s">
        <v>57</v>
      </c>
      <c r="G7" t="s">
        <v>58</v>
      </c>
      <c r="H7" t="s">
        <v>28</v>
      </c>
      <c r="I7" t="s">
        <v>59</v>
      </c>
      <c r="J7" t="s">
        <v>60</v>
      </c>
      <c r="L7" s="1">
        <v>45658</v>
      </c>
      <c r="M7" s="1">
        <v>45658</v>
      </c>
      <c r="N7" s="1">
        <v>45716</v>
      </c>
      <c r="O7">
        <v>17528908</v>
      </c>
      <c r="P7" t="s">
        <v>31</v>
      </c>
      <c r="Q7" t="s">
        <v>61</v>
      </c>
      <c r="R7">
        <v>8192</v>
      </c>
      <c r="S7" t="s">
        <v>33</v>
      </c>
      <c r="T7" t="s">
        <v>34</v>
      </c>
      <c r="U7">
        <v>-478</v>
      </c>
      <c r="V7" t="s">
        <v>35</v>
      </c>
      <c r="W7" s="1">
        <v>45595</v>
      </c>
      <c r="X7">
        <v>2025</v>
      </c>
    </row>
    <row r="8" spans="1:24" x14ac:dyDescent="0.25">
      <c r="A8" s="1">
        <v>45727</v>
      </c>
      <c r="B8" t="s">
        <v>62</v>
      </c>
      <c r="C8">
        <v>101197965500</v>
      </c>
      <c r="E8" t="s">
        <v>63</v>
      </c>
      <c r="F8" t="s">
        <v>38</v>
      </c>
      <c r="G8" t="s">
        <v>58</v>
      </c>
      <c r="H8" t="s">
        <v>28</v>
      </c>
      <c r="I8" t="s">
        <v>29</v>
      </c>
      <c r="J8" t="s">
        <v>64</v>
      </c>
      <c r="L8" s="1">
        <v>45658</v>
      </c>
      <c r="M8" s="1">
        <v>45658</v>
      </c>
      <c r="N8" s="1">
        <v>45716</v>
      </c>
      <c r="O8">
        <v>9213293</v>
      </c>
      <c r="P8" t="s">
        <v>31</v>
      </c>
      <c r="Q8" t="s">
        <v>51</v>
      </c>
      <c r="R8">
        <v>8192</v>
      </c>
      <c r="S8" t="s">
        <v>33</v>
      </c>
      <c r="T8" t="s">
        <v>34</v>
      </c>
      <c r="U8">
        <v>-438</v>
      </c>
      <c r="V8" t="s">
        <v>35</v>
      </c>
      <c r="W8" s="1">
        <v>45615</v>
      </c>
      <c r="X8">
        <v>2025</v>
      </c>
    </row>
    <row r="9" spans="1:24" x14ac:dyDescent="0.25">
      <c r="A9" s="1">
        <v>45727</v>
      </c>
      <c r="B9" t="s">
        <v>65</v>
      </c>
      <c r="C9">
        <v>101873728700</v>
      </c>
      <c r="E9" t="s">
        <v>66</v>
      </c>
      <c r="F9" t="s">
        <v>43</v>
      </c>
      <c r="G9" t="s">
        <v>27</v>
      </c>
      <c r="H9" t="s">
        <v>28</v>
      </c>
      <c r="I9" t="s">
        <v>29</v>
      </c>
      <c r="J9" t="s">
        <v>67</v>
      </c>
      <c r="L9" s="1">
        <v>45658</v>
      </c>
      <c r="M9" s="1">
        <v>45658</v>
      </c>
      <c r="O9">
        <v>9213293</v>
      </c>
      <c r="P9" t="s">
        <v>31</v>
      </c>
      <c r="Q9" t="s">
        <v>51</v>
      </c>
      <c r="R9">
        <v>8192</v>
      </c>
      <c r="S9" t="s">
        <v>33</v>
      </c>
      <c r="T9" t="s">
        <v>34</v>
      </c>
      <c r="U9">
        <v>438</v>
      </c>
      <c r="V9" t="s">
        <v>35</v>
      </c>
      <c r="W9" s="1">
        <v>45582</v>
      </c>
      <c r="X9">
        <v>2025</v>
      </c>
    </row>
    <row r="10" spans="1:24" x14ac:dyDescent="0.25">
      <c r="A10" s="1">
        <v>45727</v>
      </c>
      <c r="B10" t="s">
        <v>68</v>
      </c>
      <c r="C10">
        <v>102152902400</v>
      </c>
      <c r="E10" t="s">
        <v>69</v>
      </c>
      <c r="F10" t="s">
        <v>57</v>
      </c>
      <c r="G10" t="s">
        <v>27</v>
      </c>
      <c r="H10" t="s">
        <v>28</v>
      </c>
      <c r="I10" t="s">
        <v>59</v>
      </c>
      <c r="J10" t="s">
        <v>70</v>
      </c>
      <c r="L10" s="1">
        <v>45778</v>
      </c>
      <c r="M10" s="1">
        <v>45778</v>
      </c>
      <c r="O10">
        <v>20253958</v>
      </c>
      <c r="P10" t="s">
        <v>31</v>
      </c>
      <c r="Q10" t="s">
        <v>71</v>
      </c>
      <c r="R10">
        <v>8192</v>
      </c>
      <c r="S10" t="s">
        <v>33</v>
      </c>
      <c r="T10" t="s">
        <v>34</v>
      </c>
      <c r="U10">
        <v>26.67</v>
      </c>
      <c r="V10" t="s">
        <v>35</v>
      </c>
      <c r="W10" s="1">
        <v>45709</v>
      </c>
      <c r="X10">
        <v>2025</v>
      </c>
    </row>
    <row r="11" spans="1:24" x14ac:dyDescent="0.25">
      <c r="A11" s="1">
        <v>45727</v>
      </c>
      <c r="B11" t="s">
        <v>72</v>
      </c>
      <c r="C11">
        <v>102077405900</v>
      </c>
      <c r="E11" t="s">
        <v>73</v>
      </c>
      <c r="F11" t="s">
        <v>74</v>
      </c>
      <c r="G11" t="s">
        <v>27</v>
      </c>
      <c r="H11" t="s">
        <v>28</v>
      </c>
      <c r="I11" t="s">
        <v>75</v>
      </c>
      <c r="J11" t="s">
        <v>76</v>
      </c>
      <c r="L11" s="1">
        <v>45717</v>
      </c>
      <c r="M11" s="1">
        <v>45717</v>
      </c>
      <c r="O11">
        <v>19645587</v>
      </c>
      <c r="P11" t="s">
        <v>31</v>
      </c>
      <c r="Q11" t="s">
        <v>77</v>
      </c>
      <c r="R11">
        <v>8192</v>
      </c>
      <c r="S11" t="s">
        <v>33</v>
      </c>
      <c r="T11" t="s">
        <v>34</v>
      </c>
      <c r="U11">
        <v>460.83</v>
      </c>
      <c r="V11" t="s">
        <v>35</v>
      </c>
      <c r="W11" s="1">
        <v>45712</v>
      </c>
      <c r="X11">
        <v>2025</v>
      </c>
    </row>
    <row r="12" spans="1:24" x14ac:dyDescent="0.25">
      <c r="A12" s="1">
        <v>45727</v>
      </c>
      <c r="B12" t="s">
        <v>78</v>
      </c>
      <c r="C12">
        <v>102151874000</v>
      </c>
      <c r="E12" t="s">
        <v>79</v>
      </c>
      <c r="F12" t="s">
        <v>57</v>
      </c>
      <c r="G12" t="s">
        <v>27</v>
      </c>
      <c r="H12" t="s">
        <v>28</v>
      </c>
      <c r="I12" t="s">
        <v>59</v>
      </c>
      <c r="J12" t="s">
        <v>80</v>
      </c>
      <c r="L12" s="1">
        <v>45689</v>
      </c>
      <c r="M12" s="1">
        <v>45689</v>
      </c>
      <c r="O12">
        <v>18657307</v>
      </c>
      <c r="P12" t="s">
        <v>81</v>
      </c>
      <c r="Q12" t="s">
        <v>82</v>
      </c>
      <c r="R12">
        <v>8192</v>
      </c>
      <c r="S12" t="s">
        <v>33</v>
      </c>
      <c r="T12" t="s">
        <v>34</v>
      </c>
      <c r="U12">
        <v>114.59</v>
      </c>
      <c r="V12" t="s">
        <v>35</v>
      </c>
      <c r="W12" s="1">
        <v>45680</v>
      </c>
      <c r="X12">
        <v>2025</v>
      </c>
    </row>
    <row r="13" spans="1:24" x14ac:dyDescent="0.25">
      <c r="A13" s="1">
        <v>45727</v>
      </c>
      <c r="B13" t="s">
        <v>83</v>
      </c>
      <c r="C13">
        <v>102082435800</v>
      </c>
      <c r="E13" t="s">
        <v>84</v>
      </c>
      <c r="F13" t="s">
        <v>43</v>
      </c>
      <c r="G13" t="s">
        <v>58</v>
      </c>
      <c r="H13" t="s">
        <v>28</v>
      </c>
      <c r="I13" t="s">
        <v>29</v>
      </c>
      <c r="J13" t="s">
        <v>67</v>
      </c>
      <c r="L13" s="1">
        <v>45658</v>
      </c>
      <c r="M13" s="1">
        <v>45658</v>
      </c>
      <c r="N13" s="1">
        <v>45747</v>
      </c>
      <c r="O13">
        <v>7152559</v>
      </c>
      <c r="P13" t="s">
        <v>31</v>
      </c>
      <c r="Q13" t="s">
        <v>85</v>
      </c>
      <c r="R13">
        <v>8192</v>
      </c>
      <c r="S13" t="s">
        <v>33</v>
      </c>
      <c r="T13" t="s">
        <v>34</v>
      </c>
      <c r="U13">
        <v>-438</v>
      </c>
      <c r="V13" t="s">
        <v>35</v>
      </c>
      <c r="W13" s="1">
        <v>45596</v>
      </c>
      <c r="X13">
        <v>2025</v>
      </c>
    </row>
    <row r="14" spans="1:24" x14ac:dyDescent="0.25">
      <c r="A14" s="1">
        <v>45727</v>
      </c>
      <c r="B14" t="s">
        <v>86</v>
      </c>
      <c r="C14">
        <v>101937726400</v>
      </c>
      <c r="E14" t="s">
        <v>87</v>
      </c>
      <c r="F14" t="s">
        <v>43</v>
      </c>
      <c r="G14" t="s">
        <v>58</v>
      </c>
      <c r="H14" t="s">
        <v>28</v>
      </c>
      <c r="I14" t="s">
        <v>29</v>
      </c>
      <c r="J14" t="s">
        <v>88</v>
      </c>
      <c r="L14" s="1">
        <v>45658</v>
      </c>
      <c r="M14" s="1">
        <v>45658</v>
      </c>
      <c r="N14" s="1">
        <v>45716</v>
      </c>
      <c r="O14">
        <v>18935660</v>
      </c>
      <c r="P14" t="s">
        <v>31</v>
      </c>
      <c r="Q14" t="s">
        <v>89</v>
      </c>
      <c r="R14">
        <v>8192</v>
      </c>
      <c r="S14" t="s">
        <v>33</v>
      </c>
      <c r="T14" t="s">
        <v>34</v>
      </c>
      <c r="U14">
        <v>-438</v>
      </c>
      <c r="V14" t="s">
        <v>35</v>
      </c>
      <c r="W14" s="1">
        <v>45600</v>
      </c>
      <c r="X14">
        <v>2025</v>
      </c>
    </row>
    <row r="15" spans="1:24" x14ac:dyDescent="0.25">
      <c r="A15" s="1">
        <v>45727</v>
      </c>
      <c r="B15" t="s">
        <v>90</v>
      </c>
      <c r="C15">
        <v>102153409000</v>
      </c>
      <c r="E15" t="s">
        <v>91</v>
      </c>
      <c r="F15" t="s">
        <v>57</v>
      </c>
      <c r="G15" t="s">
        <v>27</v>
      </c>
      <c r="H15" t="s">
        <v>28</v>
      </c>
      <c r="I15" t="s">
        <v>59</v>
      </c>
      <c r="J15" t="s">
        <v>70</v>
      </c>
      <c r="L15" s="1">
        <v>45778</v>
      </c>
      <c r="M15" s="1">
        <v>45778</v>
      </c>
      <c r="O15">
        <v>20253958</v>
      </c>
      <c r="P15" t="s">
        <v>31</v>
      </c>
      <c r="Q15" t="s">
        <v>71</v>
      </c>
      <c r="R15">
        <v>8192</v>
      </c>
      <c r="S15" t="s">
        <v>33</v>
      </c>
      <c r="T15" t="s">
        <v>34</v>
      </c>
      <c r="U15">
        <v>26.67</v>
      </c>
      <c r="V15" t="s">
        <v>35</v>
      </c>
      <c r="W15" s="1">
        <v>45712</v>
      </c>
      <c r="X15">
        <v>2025</v>
      </c>
    </row>
    <row r="16" spans="1:24" x14ac:dyDescent="0.25">
      <c r="A16" s="1">
        <v>45727</v>
      </c>
      <c r="B16" t="s">
        <v>92</v>
      </c>
      <c r="C16">
        <v>102152260000</v>
      </c>
      <c r="E16" t="s">
        <v>93</v>
      </c>
      <c r="F16" t="s">
        <v>94</v>
      </c>
      <c r="G16" t="s">
        <v>27</v>
      </c>
      <c r="H16" t="s">
        <v>28</v>
      </c>
      <c r="I16" t="s">
        <v>59</v>
      </c>
      <c r="J16" t="s">
        <v>95</v>
      </c>
      <c r="L16" s="1">
        <v>45717</v>
      </c>
      <c r="M16" s="1">
        <v>45717</v>
      </c>
      <c r="O16">
        <v>18657307</v>
      </c>
      <c r="P16" t="s">
        <v>81</v>
      </c>
      <c r="Q16" t="s">
        <v>82</v>
      </c>
      <c r="R16">
        <v>8192</v>
      </c>
      <c r="S16" t="s">
        <v>33</v>
      </c>
      <c r="T16" t="s">
        <v>34</v>
      </c>
      <c r="U16">
        <v>104.17</v>
      </c>
      <c r="V16" t="s">
        <v>35</v>
      </c>
      <c r="W16" s="1">
        <v>45707</v>
      </c>
      <c r="X16">
        <v>2025</v>
      </c>
    </row>
    <row r="17" spans="1:24" x14ac:dyDescent="0.25">
      <c r="A17" s="1">
        <v>45727</v>
      </c>
      <c r="B17" t="s">
        <v>96</v>
      </c>
      <c r="C17">
        <v>102069739000</v>
      </c>
      <c r="E17" t="s">
        <v>97</v>
      </c>
      <c r="F17" t="s">
        <v>43</v>
      </c>
      <c r="G17" t="s">
        <v>58</v>
      </c>
      <c r="H17" t="s">
        <v>28</v>
      </c>
      <c r="I17" t="s">
        <v>29</v>
      </c>
      <c r="J17" t="s">
        <v>98</v>
      </c>
      <c r="L17" s="1">
        <v>45658</v>
      </c>
      <c r="M17" s="1">
        <v>45658</v>
      </c>
      <c r="N17" s="1">
        <v>45716</v>
      </c>
      <c r="O17">
        <v>19645587</v>
      </c>
      <c r="P17" t="s">
        <v>31</v>
      </c>
      <c r="Q17" t="s">
        <v>77</v>
      </c>
      <c r="R17">
        <v>8192</v>
      </c>
      <c r="S17" t="s">
        <v>33</v>
      </c>
      <c r="T17" t="s">
        <v>34</v>
      </c>
      <c r="U17">
        <v>-438</v>
      </c>
      <c r="V17" t="s">
        <v>35</v>
      </c>
      <c r="W17" s="1">
        <v>45580</v>
      </c>
      <c r="X17">
        <v>2025</v>
      </c>
    </row>
    <row r="18" spans="1:24" x14ac:dyDescent="0.25">
      <c r="A18" s="1">
        <v>45727</v>
      </c>
      <c r="B18" t="s">
        <v>99</v>
      </c>
      <c r="C18">
        <v>101475058700</v>
      </c>
      <c r="E18" t="s">
        <v>100</v>
      </c>
      <c r="F18" t="s">
        <v>43</v>
      </c>
      <c r="G18" t="s">
        <v>27</v>
      </c>
      <c r="H18" t="s">
        <v>28</v>
      </c>
      <c r="I18" t="s">
        <v>29</v>
      </c>
      <c r="J18" t="s">
        <v>101</v>
      </c>
      <c r="L18" s="1">
        <v>45717</v>
      </c>
      <c r="M18" s="1">
        <v>45717</v>
      </c>
      <c r="O18">
        <v>8814784</v>
      </c>
      <c r="P18" t="s">
        <v>31</v>
      </c>
      <c r="Q18" t="s">
        <v>102</v>
      </c>
      <c r="R18">
        <v>8192</v>
      </c>
      <c r="S18" t="s">
        <v>33</v>
      </c>
      <c r="T18" t="s">
        <v>34</v>
      </c>
      <c r="U18">
        <v>365</v>
      </c>
      <c r="V18" t="s">
        <v>35</v>
      </c>
      <c r="W18" s="1">
        <v>45709</v>
      </c>
      <c r="X18">
        <v>2025</v>
      </c>
    </row>
    <row r="19" spans="1:24" x14ac:dyDescent="0.25">
      <c r="A19" s="1">
        <v>45727</v>
      </c>
      <c r="B19" t="s">
        <v>103</v>
      </c>
      <c r="C19">
        <v>101475116300</v>
      </c>
      <c r="E19" t="s">
        <v>104</v>
      </c>
      <c r="F19" t="s">
        <v>43</v>
      </c>
      <c r="G19" t="s">
        <v>27</v>
      </c>
      <c r="H19" t="s">
        <v>28</v>
      </c>
      <c r="I19" t="s">
        <v>29</v>
      </c>
      <c r="J19" t="s">
        <v>101</v>
      </c>
      <c r="L19" s="1">
        <v>45717</v>
      </c>
      <c r="M19" s="1">
        <v>45717</v>
      </c>
      <c r="O19">
        <v>8814784</v>
      </c>
      <c r="P19" t="s">
        <v>31</v>
      </c>
      <c r="Q19" t="s">
        <v>102</v>
      </c>
      <c r="R19">
        <v>8192</v>
      </c>
      <c r="S19" t="s">
        <v>33</v>
      </c>
      <c r="T19" t="s">
        <v>34</v>
      </c>
      <c r="U19">
        <v>365</v>
      </c>
      <c r="V19" t="s">
        <v>35</v>
      </c>
      <c r="W19" s="1">
        <v>45709</v>
      </c>
      <c r="X19">
        <v>2025</v>
      </c>
    </row>
    <row r="20" spans="1:24" x14ac:dyDescent="0.25">
      <c r="A20" s="1">
        <v>45727</v>
      </c>
      <c r="B20" t="s">
        <v>105</v>
      </c>
      <c r="C20">
        <v>102152521300</v>
      </c>
      <c r="E20" t="s">
        <v>106</v>
      </c>
      <c r="F20" t="s">
        <v>43</v>
      </c>
      <c r="G20" t="s">
        <v>27</v>
      </c>
      <c r="H20" t="s">
        <v>28</v>
      </c>
      <c r="I20" t="s">
        <v>29</v>
      </c>
      <c r="J20" t="s">
        <v>101</v>
      </c>
      <c r="L20" s="1">
        <v>45717</v>
      </c>
      <c r="M20" s="1">
        <v>45717</v>
      </c>
      <c r="O20">
        <v>20212926</v>
      </c>
      <c r="P20" t="s">
        <v>31</v>
      </c>
      <c r="Q20" t="s">
        <v>107</v>
      </c>
      <c r="R20">
        <v>8192</v>
      </c>
      <c r="S20" t="s">
        <v>33</v>
      </c>
      <c r="T20" t="s">
        <v>34</v>
      </c>
      <c r="U20">
        <v>365</v>
      </c>
      <c r="V20" t="s">
        <v>35</v>
      </c>
      <c r="W20" s="1">
        <v>45708</v>
      </c>
      <c r="X20">
        <v>2025</v>
      </c>
    </row>
    <row r="21" spans="1:24" x14ac:dyDescent="0.25">
      <c r="A21" s="1">
        <v>45727</v>
      </c>
      <c r="B21" t="s">
        <v>108</v>
      </c>
      <c r="C21">
        <v>101599640900</v>
      </c>
      <c r="E21" t="s">
        <v>109</v>
      </c>
      <c r="F21" t="s">
        <v>110</v>
      </c>
      <c r="G21" t="s">
        <v>27</v>
      </c>
      <c r="H21" t="s">
        <v>28</v>
      </c>
      <c r="I21" t="s">
        <v>111</v>
      </c>
      <c r="J21" t="s">
        <v>112</v>
      </c>
      <c r="L21" s="1">
        <v>45717</v>
      </c>
      <c r="M21" s="1">
        <v>45717</v>
      </c>
      <c r="O21">
        <v>9213293</v>
      </c>
      <c r="P21" t="s">
        <v>31</v>
      </c>
      <c r="Q21" t="s">
        <v>51</v>
      </c>
      <c r="R21">
        <v>8192</v>
      </c>
      <c r="S21" t="s">
        <v>33</v>
      </c>
      <c r="T21" t="s">
        <v>34</v>
      </c>
      <c r="U21">
        <v>365</v>
      </c>
      <c r="V21" t="s">
        <v>35</v>
      </c>
      <c r="W21" s="1">
        <v>45712</v>
      </c>
      <c r="X21">
        <v>2025</v>
      </c>
    </row>
    <row r="22" spans="1:24" x14ac:dyDescent="0.25">
      <c r="A22" s="1">
        <v>45727</v>
      </c>
      <c r="B22" t="s">
        <v>113</v>
      </c>
      <c r="C22">
        <v>102152584900</v>
      </c>
      <c r="E22" t="s">
        <v>114</v>
      </c>
      <c r="F22" t="s">
        <v>115</v>
      </c>
      <c r="G22" t="s">
        <v>27</v>
      </c>
      <c r="H22" t="s">
        <v>28</v>
      </c>
      <c r="I22" t="s">
        <v>116</v>
      </c>
      <c r="J22" t="s">
        <v>117</v>
      </c>
      <c r="L22" s="1">
        <v>45748</v>
      </c>
      <c r="M22" s="1">
        <v>45748</v>
      </c>
      <c r="O22">
        <v>9213293</v>
      </c>
      <c r="P22" t="s">
        <v>31</v>
      </c>
      <c r="Q22" t="s">
        <v>51</v>
      </c>
      <c r="R22">
        <v>8192</v>
      </c>
      <c r="S22" t="s">
        <v>33</v>
      </c>
      <c r="T22" t="s">
        <v>34</v>
      </c>
      <c r="U22">
        <v>328.5</v>
      </c>
      <c r="V22" t="s">
        <v>35</v>
      </c>
      <c r="W22" s="1">
        <v>45708</v>
      </c>
      <c r="X22">
        <v>2025</v>
      </c>
    </row>
    <row r="23" spans="1:24" x14ac:dyDescent="0.25">
      <c r="A23" s="1">
        <v>45727</v>
      </c>
      <c r="B23" t="s">
        <v>118</v>
      </c>
      <c r="C23">
        <v>102154272500</v>
      </c>
      <c r="E23" t="s">
        <v>119</v>
      </c>
      <c r="F23" t="s">
        <v>74</v>
      </c>
      <c r="G23" t="s">
        <v>27</v>
      </c>
      <c r="H23" t="s">
        <v>28</v>
      </c>
      <c r="I23" t="s">
        <v>75</v>
      </c>
      <c r="J23" t="s">
        <v>120</v>
      </c>
      <c r="L23" s="1">
        <v>45717</v>
      </c>
      <c r="M23" s="1">
        <v>45717</v>
      </c>
      <c r="O23">
        <v>18754354</v>
      </c>
      <c r="P23" t="s">
        <v>31</v>
      </c>
      <c r="Q23" t="s">
        <v>121</v>
      </c>
      <c r="R23">
        <v>8192</v>
      </c>
      <c r="S23" t="s">
        <v>33</v>
      </c>
      <c r="T23" t="s">
        <v>34</v>
      </c>
      <c r="U23">
        <v>365</v>
      </c>
      <c r="V23" t="s">
        <v>35</v>
      </c>
      <c r="W23" s="1">
        <v>45714</v>
      </c>
      <c r="X23">
        <v>2025</v>
      </c>
    </row>
    <row r="24" spans="1:24" x14ac:dyDescent="0.25">
      <c r="A24" s="1">
        <v>45727</v>
      </c>
      <c r="B24" t="s">
        <v>122</v>
      </c>
      <c r="C24">
        <v>102152552400</v>
      </c>
      <c r="E24" t="s">
        <v>123</v>
      </c>
      <c r="F24" t="s">
        <v>57</v>
      </c>
      <c r="G24" t="s">
        <v>27</v>
      </c>
      <c r="H24" t="s">
        <v>28</v>
      </c>
      <c r="I24" t="s">
        <v>59</v>
      </c>
      <c r="J24" t="s">
        <v>70</v>
      </c>
      <c r="L24" s="1">
        <v>45717</v>
      </c>
      <c r="M24" s="1">
        <v>45717</v>
      </c>
      <c r="O24">
        <v>17528908</v>
      </c>
      <c r="P24" t="s">
        <v>31</v>
      </c>
      <c r="Q24" t="s">
        <v>61</v>
      </c>
      <c r="R24">
        <v>8192</v>
      </c>
      <c r="S24" t="s">
        <v>33</v>
      </c>
      <c r="T24" t="s">
        <v>34</v>
      </c>
      <c r="U24">
        <v>398.33</v>
      </c>
      <c r="V24" t="s">
        <v>35</v>
      </c>
      <c r="W24" s="1">
        <v>45708</v>
      </c>
      <c r="X24">
        <v>2025</v>
      </c>
    </row>
    <row r="25" spans="1:24" x14ac:dyDescent="0.25">
      <c r="A25" s="1"/>
      <c r="L25" s="1"/>
      <c r="M25" s="1"/>
      <c r="W25" s="1"/>
    </row>
    <row r="26" spans="1:24" x14ac:dyDescent="0.25">
      <c r="A26" s="1"/>
      <c r="L26" s="1"/>
      <c r="M26" s="1"/>
      <c r="W26" s="1"/>
    </row>
    <row r="27" spans="1:24" x14ac:dyDescent="0.25">
      <c r="A27" s="1"/>
      <c r="L27" s="1"/>
      <c r="M27" s="1"/>
      <c r="W27" s="1"/>
    </row>
    <row r="28" spans="1:24" x14ac:dyDescent="0.25">
      <c r="A28" s="1"/>
      <c r="L28" s="1"/>
      <c r="M28" s="1"/>
      <c r="W28" s="1"/>
    </row>
    <row r="29" spans="1:24" x14ac:dyDescent="0.25">
      <c r="A29" s="1"/>
      <c r="L29" s="1"/>
      <c r="M29" s="1"/>
      <c r="W29" s="1"/>
    </row>
    <row r="30" spans="1:24" x14ac:dyDescent="0.25">
      <c r="A30" s="1"/>
      <c r="L30" s="1"/>
      <c r="M30" s="1"/>
      <c r="W30" s="1"/>
    </row>
    <row r="31" spans="1:24" x14ac:dyDescent="0.25">
      <c r="A31" s="1"/>
      <c r="L31" s="1"/>
      <c r="M31" s="1"/>
      <c r="W31" s="1"/>
    </row>
    <row r="32" spans="1:24" x14ac:dyDescent="0.25">
      <c r="A32" s="1"/>
      <c r="L32" s="1"/>
      <c r="M32" s="1"/>
      <c r="W32" s="1"/>
    </row>
    <row r="33" spans="1:23" x14ac:dyDescent="0.25">
      <c r="A33" s="1"/>
      <c r="L33" s="1"/>
      <c r="M33" s="1"/>
      <c r="W33" s="1"/>
    </row>
    <row r="34" spans="1:23" x14ac:dyDescent="0.25">
      <c r="A34" s="1"/>
      <c r="L34" s="1"/>
      <c r="M34" s="1"/>
      <c r="W34" s="1"/>
    </row>
    <row r="35" spans="1:23" x14ac:dyDescent="0.25">
      <c r="A35" s="1"/>
      <c r="L35" s="1"/>
      <c r="M35" s="1"/>
      <c r="N35" s="1"/>
      <c r="W35" s="1"/>
    </row>
    <row r="36" spans="1:23" x14ac:dyDescent="0.25">
      <c r="A36" s="1"/>
      <c r="L36" s="1"/>
      <c r="M36" s="1"/>
      <c r="W36" s="1"/>
    </row>
    <row r="37" spans="1:23" x14ac:dyDescent="0.25">
      <c r="A37" s="1"/>
      <c r="L37" s="1"/>
      <c r="M37" s="1"/>
      <c r="W37" s="1"/>
    </row>
    <row r="38" spans="1:23" x14ac:dyDescent="0.25">
      <c r="A38" s="1"/>
      <c r="L38" s="1"/>
      <c r="M38" s="1"/>
      <c r="W38" s="1"/>
    </row>
    <row r="39" spans="1:23" x14ac:dyDescent="0.25">
      <c r="A39" s="1"/>
      <c r="L39" s="1"/>
      <c r="M39" s="1"/>
      <c r="W39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5018C-6F08-4955-9A4E-113EB8B5358D}">
  <dimension ref="A1:R43"/>
  <sheetViews>
    <sheetView tabSelected="1" topLeftCell="B20" workbookViewId="0">
      <selection activeCell="Q2" sqref="Q2:Q20"/>
    </sheetView>
  </sheetViews>
  <sheetFormatPr defaultRowHeight="15" x14ac:dyDescent="0.25"/>
  <cols>
    <col min="1" max="1" width="13.5703125" style="3" bestFit="1" customWidth="1"/>
    <col min="2" max="2" width="17.28515625" style="3" bestFit="1" customWidth="1"/>
    <col min="3" max="3" width="14.5703125" style="4" bestFit="1" customWidth="1"/>
    <col min="4" max="4" width="20.5703125" style="3" bestFit="1" customWidth="1"/>
    <col min="5" max="5" width="13.7109375" style="3" bestFit="1" customWidth="1"/>
    <col min="6" max="6" width="7.85546875" style="3" bestFit="1" customWidth="1"/>
    <col min="7" max="7" width="8" style="3" bestFit="1" customWidth="1"/>
    <col min="8" max="8" width="15.7109375" style="3" bestFit="1" customWidth="1"/>
    <col min="9" max="9" width="13.5703125" style="3" bestFit="1" customWidth="1"/>
    <col min="10" max="10" width="18" style="3" bestFit="1" customWidth="1"/>
    <col min="11" max="11" width="18.7109375" style="3" bestFit="1" customWidth="1"/>
    <col min="12" max="12" width="21.5703125" style="3" bestFit="1" customWidth="1"/>
    <col min="13" max="13" width="8.7109375" style="3" bestFit="1" customWidth="1"/>
    <col min="14" max="14" width="11.5703125" style="3" bestFit="1" customWidth="1"/>
    <col min="15" max="15" width="14.140625" style="3" bestFit="1" customWidth="1"/>
    <col min="16" max="16" width="9.140625" style="3"/>
    <col min="17" max="17" width="24.140625" style="3" bestFit="1" customWidth="1"/>
    <col min="18" max="18" width="21.5703125" style="3" bestFit="1" customWidth="1"/>
    <col min="19" max="16384" width="9.140625" style="3"/>
  </cols>
  <sheetData>
    <row r="1" spans="1:18" x14ac:dyDescent="0.25">
      <c r="A1" s="3" t="s">
        <v>0</v>
      </c>
      <c r="B1" s="3" t="s">
        <v>1</v>
      </c>
      <c r="C1" s="4" t="s">
        <v>2</v>
      </c>
      <c r="D1" s="3" t="s">
        <v>4</v>
      </c>
      <c r="E1" s="3" t="s">
        <v>5</v>
      </c>
      <c r="F1" s="3" t="s">
        <v>7</v>
      </c>
      <c r="G1" s="3" t="s">
        <v>8</v>
      </c>
      <c r="H1" s="3" t="s">
        <v>11</v>
      </c>
      <c r="I1" s="3" t="s">
        <v>12</v>
      </c>
      <c r="J1" s="3" t="s">
        <v>14</v>
      </c>
      <c r="K1" s="3" t="s">
        <v>15</v>
      </c>
      <c r="L1" s="3" t="s">
        <v>16</v>
      </c>
      <c r="M1" s="3" t="s">
        <v>17</v>
      </c>
      <c r="N1" s="3" t="s">
        <v>18</v>
      </c>
      <c r="O1" s="3" t="s">
        <v>20</v>
      </c>
    </row>
    <row r="2" spans="1:18" x14ac:dyDescent="0.25">
      <c r="A2" s="5">
        <v>45727</v>
      </c>
      <c r="B2" s="3" t="s">
        <v>41</v>
      </c>
      <c r="C2" s="4" t="str">
        <f>CONCATENATE(B2,8)</f>
        <v>4TE7TQ7YQ348</v>
      </c>
      <c r="D2" s="3" t="s">
        <v>188</v>
      </c>
      <c r="E2" s="3" t="s">
        <v>43</v>
      </c>
      <c r="F2" s="3" t="s">
        <v>28</v>
      </c>
      <c r="G2" s="3" t="s">
        <v>29</v>
      </c>
      <c r="H2" s="5">
        <v>45717</v>
      </c>
      <c r="I2" s="5">
        <v>45717</v>
      </c>
      <c r="J2" s="3">
        <v>7470776</v>
      </c>
      <c r="K2" s="3" t="s">
        <v>31</v>
      </c>
      <c r="L2" s="3" t="s">
        <v>45</v>
      </c>
      <c r="M2" s="3">
        <v>8192</v>
      </c>
      <c r="N2" s="3" t="s">
        <v>33</v>
      </c>
      <c r="O2" s="3">
        <v>365</v>
      </c>
      <c r="P2" s="3">
        <v>313</v>
      </c>
      <c r="Q2" s="3" t="s">
        <v>125</v>
      </c>
      <c r="R2" s="3" t="s">
        <v>128</v>
      </c>
    </row>
    <row r="3" spans="1:18" x14ac:dyDescent="0.25">
      <c r="A3" s="5">
        <v>45727</v>
      </c>
      <c r="B3" s="3" t="s">
        <v>83</v>
      </c>
      <c r="C3" s="4" t="str">
        <f>CONCATENATE(B3,8)</f>
        <v>6NK6A59XN868</v>
      </c>
      <c r="D3" s="3" t="s">
        <v>181</v>
      </c>
      <c r="E3" s="3" t="s">
        <v>43</v>
      </c>
      <c r="F3" s="3" t="s">
        <v>28</v>
      </c>
      <c r="G3" s="3" t="s">
        <v>29</v>
      </c>
      <c r="H3" s="5">
        <v>45658</v>
      </c>
      <c r="I3" s="5">
        <v>45658</v>
      </c>
      <c r="J3" s="3">
        <v>7152559</v>
      </c>
      <c r="K3" s="3" t="s">
        <v>31</v>
      </c>
      <c r="L3" s="3" t="s">
        <v>85</v>
      </c>
      <c r="M3" s="3">
        <v>8192</v>
      </c>
      <c r="N3" s="3" t="s">
        <v>33</v>
      </c>
      <c r="O3" s="3">
        <v>-438</v>
      </c>
      <c r="P3" s="3">
        <v>-313</v>
      </c>
      <c r="Q3" s="3" t="s">
        <v>125</v>
      </c>
      <c r="R3" s="3" t="s">
        <v>128</v>
      </c>
    </row>
    <row r="4" spans="1:18" x14ac:dyDescent="0.25">
      <c r="A4" s="5">
        <v>45727</v>
      </c>
      <c r="B4" s="3" t="s">
        <v>55</v>
      </c>
      <c r="C4" s="4" t="str">
        <f>CONCATENATE(B4,8)</f>
        <v>9P52NP5MT988</v>
      </c>
      <c r="D4" s="3" t="s">
        <v>176</v>
      </c>
      <c r="E4" s="3" t="s">
        <v>57</v>
      </c>
      <c r="F4" s="3" t="s">
        <v>28</v>
      </c>
      <c r="G4" s="3" t="s">
        <v>59</v>
      </c>
      <c r="H4" s="5">
        <v>45658</v>
      </c>
      <c r="I4" s="5">
        <v>45658</v>
      </c>
      <c r="J4" s="3">
        <v>17528908</v>
      </c>
      <c r="K4" s="3" t="s">
        <v>31</v>
      </c>
      <c r="L4" s="3" t="s">
        <v>61</v>
      </c>
      <c r="M4" s="3">
        <v>8192</v>
      </c>
      <c r="N4" s="3" t="s">
        <v>33</v>
      </c>
      <c r="O4" s="3">
        <v>-478</v>
      </c>
      <c r="P4" s="3">
        <v>-353</v>
      </c>
      <c r="Q4" s="3" t="s">
        <v>124</v>
      </c>
      <c r="R4" s="3" t="s">
        <v>129</v>
      </c>
    </row>
    <row r="5" spans="1:18" x14ac:dyDescent="0.25">
      <c r="A5" s="5">
        <v>45727</v>
      </c>
      <c r="B5" s="3" t="s">
        <v>122</v>
      </c>
      <c r="C5" s="4" t="str">
        <f>CONCATENATE(B5,8)</f>
        <v>7PU8FG1GA648</v>
      </c>
      <c r="D5" s="3" t="s">
        <v>177</v>
      </c>
      <c r="E5" s="3" t="s">
        <v>57</v>
      </c>
      <c r="F5" s="3" t="s">
        <v>28</v>
      </c>
      <c r="G5" s="3" t="s">
        <v>59</v>
      </c>
      <c r="H5" s="5">
        <v>45717</v>
      </c>
      <c r="I5" s="5">
        <v>45717</v>
      </c>
      <c r="J5" s="2" t="s">
        <v>200</v>
      </c>
      <c r="K5" s="3" t="s">
        <v>31</v>
      </c>
      <c r="L5" s="3" t="s">
        <v>61</v>
      </c>
      <c r="M5" s="3">
        <v>8192</v>
      </c>
      <c r="N5" s="3" t="s">
        <v>33</v>
      </c>
      <c r="O5" s="3">
        <v>398.33</v>
      </c>
      <c r="P5" s="3">
        <v>353</v>
      </c>
      <c r="Q5" s="3" t="s">
        <v>124</v>
      </c>
      <c r="R5" s="3" t="s">
        <v>129</v>
      </c>
    </row>
    <row r="6" spans="1:18" x14ac:dyDescent="0.25">
      <c r="A6" s="5">
        <v>45727</v>
      </c>
      <c r="B6" s="3" t="s">
        <v>99</v>
      </c>
      <c r="C6" s="4" t="str">
        <f>CONCATENATE(B6,8)</f>
        <v>7J24Y39GK098</v>
      </c>
      <c r="D6" s="3" t="s">
        <v>190</v>
      </c>
      <c r="E6" s="3" t="s">
        <v>43</v>
      </c>
      <c r="F6" s="3" t="s">
        <v>28</v>
      </c>
      <c r="G6" s="3" t="s">
        <v>29</v>
      </c>
      <c r="H6" s="5">
        <v>45717</v>
      </c>
      <c r="I6" s="5">
        <v>45717</v>
      </c>
      <c r="J6" s="3">
        <v>8814784</v>
      </c>
      <c r="K6" s="3" t="s">
        <v>31</v>
      </c>
      <c r="L6" s="3" t="s">
        <v>102</v>
      </c>
      <c r="M6" s="3">
        <v>8192</v>
      </c>
      <c r="N6" s="3" t="s">
        <v>33</v>
      </c>
      <c r="O6" s="3">
        <v>365</v>
      </c>
      <c r="P6" s="3">
        <v>313</v>
      </c>
      <c r="Q6" s="3" t="s">
        <v>125</v>
      </c>
      <c r="R6" s="3" t="s">
        <v>128</v>
      </c>
    </row>
    <row r="7" spans="1:18" x14ac:dyDescent="0.25">
      <c r="A7" s="5">
        <v>45727</v>
      </c>
      <c r="B7" s="3" t="s">
        <v>103</v>
      </c>
      <c r="C7" s="4" t="str">
        <f>CONCATENATE(B7,8)</f>
        <v>9XR2E77MJ998</v>
      </c>
      <c r="D7" s="3" t="s">
        <v>191</v>
      </c>
      <c r="E7" s="3" t="s">
        <v>43</v>
      </c>
      <c r="F7" s="3" t="s">
        <v>28</v>
      </c>
      <c r="G7" s="3" t="s">
        <v>29</v>
      </c>
      <c r="H7" s="5">
        <v>45717</v>
      </c>
      <c r="I7" s="5">
        <v>45717</v>
      </c>
      <c r="J7" s="3">
        <v>8814784</v>
      </c>
      <c r="K7" s="3" t="s">
        <v>31</v>
      </c>
      <c r="L7" s="3" t="s">
        <v>102</v>
      </c>
      <c r="M7" s="3">
        <v>8192</v>
      </c>
      <c r="N7" s="3" t="s">
        <v>33</v>
      </c>
      <c r="O7" s="3">
        <v>365</v>
      </c>
      <c r="P7" s="3">
        <v>313</v>
      </c>
      <c r="Q7" s="3" t="s">
        <v>125</v>
      </c>
      <c r="R7" s="3" t="s">
        <v>128</v>
      </c>
    </row>
    <row r="8" spans="1:18" x14ac:dyDescent="0.25">
      <c r="A8" s="5">
        <v>45727</v>
      </c>
      <c r="B8" s="3" t="s">
        <v>62</v>
      </c>
      <c r="C8" s="4" t="str">
        <f>CONCATENATE(B8,8)</f>
        <v>5FT3GU7AH098</v>
      </c>
      <c r="D8" s="3" t="s">
        <v>180</v>
      </c>
      <c r="E8" s="3" t="s">
        <v>38</v>
      </c>
      <c r="F8" s="3" t="s">
        <v>28</v>
      </c>
      <c r="G8" s="3" t="s">
        <v>29</v>
      </c>
      <c r="H8" s="5">
        <v>45658</v>
      </c>
      <c r="I8" s="5">
        <v>45658</v>
      </c>
      <c r="J8" s="3">
        <v>9213293</v>
      </c>
      <c r="K8" s="3" t="s">
        <v>31</v>
      </c>
      <c r="L8" s="3" t="s">
        <v>51</v>
      </c>
      <c r="M8" s="3">
        <v>8192</v>
      </c>
      <c r="N8" s="3" t="s">
        <v>33</v>
      </c>
      <c r="O8" s="3">
        <v>-438</v>
      </c>
      <c r="P8" s="3">
        <v>-313</v>
      </c>
      <c r="Q8" s="3" t="s">
        <v>125</v>
      </c>
      <c r="R8" s="3" t="s">
        <v>128</v>
      </c>
    </row>
    <row r="9" spans="1:18" x14ac:dyDescent="0.25">
      <c r="A9" s="5">
        <v>45727</v>
      </c>
      <c r="B9" s="3" t="s">
        <v>46</v>
      </c>
      <c r="C9" s="4" t="str">
        <f>CONCATENATE(B9,8)</f>
        <v>7GH9T57QJ128</v>
      </c>
      <c r="D9" s="3" t="s">
        <v>184</v>
      </c>
      <c r="E9" s="3" t="s">
        <v>48</v>
      </c>
      <c r="F9" s="3" t="s">
        <v>28</v>
      </c>
      <c r="G9" s="3" t="s">
        <v>49</v>
      </c>
      <c r="H9" s="5">
        <v>45778</v>
      </c>
      <c r="I9" s="5">
        <v>45778</v>
      </c>
      <c r="J9" s="3">
        <v>9213293</v>
      </c>
      <c r="K9" s="3" t="s">
        <v>31</v>
      </c>
      <c r="L9" s="3" t="s">
        <v>51</v>
      </c>
      <c r="M9" s="3">
        <v>8192</v>
      </c>
      <c r="N9" s="3" t="s">
        <v>33</v>
      </c>
      <c r="O9" s="3">
        <v>292</v>
      </c>
      <c r="P9" s="3">
        <v>208.67</v>
      </c>
      <c r="Q9" s="3" t="s">
        <v>131</v>
      </c>
      <c r="R9" s="3" t="s">
        <v>128</v>
      </c>
    </row>
    <row r="10" spans="1:18" x14ac:dyDescent="0.25">
      <c r="A10" s="5">
        <v>45727</v>
      </c>
      <c r="B10" s="3" t="s">
        <v>113</v>
      </c>
      <c r="C10" s="4" t="str">
        <f>CONCATENATE(B10,8)</f>
        <v>8N51MW3JC058</v>
      </c>
      <c r="D10" s="3" t="s">
        <v>185</v>
      </c>
      <c r="E10" s="3" t="s">
        <v>115</v>
      </c>
      <c r="F10" s="3" t="s">
        <v>28</v>
      </c>
      <c r="G10" s="3" t="s">
        <v>116</v>
      </c>
      <c r="H10" s="5">
        <v>45748</v>
      </c>
      <c r="I10" s="5">
        <v>45748</v>
      </c>
      <c r="J10" s="3">
        <v>9213293</v>
      </c>
      <c r="K10" s="3" t="s">
        <v>31</v>
      </c>
      <c r="L10" s="3" t="s">
        <v>51</v>
      </c>
      <c r="M10" s="3">
        <v>8192</v>
      </c>
      <c r="N10" s="3" t="s">
        <v>33</v>
      </c>
      <c r="O10" s="3">
        <v>328.5</v>
      </c>
      <c r="P10" s="3">
        <v>313</v>
      </c>
      <c r="Q10" s="3" t="s">
        <v>125</v>
      </c>
      <c r="R10" s="3" t="s">
        <v>128</v>
      </c>
    </row>
    <row r="11" spans="1:18" x14ac:dyDescent="0.25">
      <c r="A11" s="5">
        <v>45727</v>
      </c>
      <c r="B11" s="3" t="s">
        <v>52</v>
      </c>
      <c r="C11" s="4" t="str">
        <f>CONCATENATE(B11,8)</f>
        <v>3N31E22UC038</v>
      </c>
      <c r="D11" s="3" t="s">
        <v>189</v>
      </c>
      <c r="E11" s="3" t="s">
        <v>48</v>
      </c>
      <c r="F11" s="3" t="s">
        <v>28</v>
      </c>
      <c r="G11" s="3" t="s">
        <v>49</v>
      </c>
      <c r="H11" s="5">
        <v>45717</v>
      </c>
      <c r="I11" s="5">
        <v>45717</v>
      </c>
      <c r="J11" s="3">
        <v>9213293</v>
      </c>
      <c r="K11" s="3" t="s">
        <v>31</v>
      </c>
      <c r="L11" s="3" t="s">
        <v>51</v>
      </c>
      <c r="M11" s="3">
        <v>8192</v>
      </c>
      <c r="N11" s="3" t="s">
        <v>33</v>
      </c>
      <c r="O11" s="3">
        <v>365</v>
      </c>
      <c r="P11" s="3">
        <v>313</v>
      </c>
      <c r="Q11" s="3" t="s">
        <v>125</v>
      </c>
      <c r="R11" s="3" t="s">
        <v>128</v>
      </c>
    </row>
    <row r="12" spans="1:18" x14ac:dyDescent="0.25">
      <c r="A12" s="5">
        <v>45727</v>
      </c>
      <c r="B12" s="3" t="s">
        <v>108</v>
      </c>
      <c r="C12" s="4" t="str">
        <f>CONCATENATE(B12,8)</f>
        <v>9WV3V33MR888</v>
      </c>
      <c r="D12" s="3" t="s">
        <v>193</v>
      </c>
      <c r="E12" s="3" t="s">
        <v>110</v>
      </c>
      <c r="F12" s="3" t="s">
        <v>28</v>
      </c>
      <c r="G12" s="3" t="s">
        <v>111</v>
      </c>
      <c r="H12" s="5">
        <v>45717</v>
      </c>
      <c r="I12" s="5">
        <v>45717</v>
      </c>
      <c r="J12" s="3">
        <v>9213293</v>
      </c>
      <c r="K12" s="3" t="s">
        <v>31</v>
      </c>
      <c r="L12" s="3" t="s">
        <v>51</v>
      </c>
      <c r="M12" s="3">
        <v>8192</v>
      </c>
      <c r="N12" s="3" t="s">
        <v>33</v>
      </c>
      <c r="O12" s="3">
        <v>365</v>
      </c>
      <c r="P12" s="3">
        <v>313</v>
      </c>
      <c r="Q12" s="3" t="s">
        <v>125</v>
      </c>
      <c r="R12" s="3" t="s">
        <v>128</v>
      </c>
    </row>
    <row r="13" spans="1:18" x14ac:dyDescent="0.25">
      <c r="A13" s="5">
        <v>45727</v>
      </c>
      <c r="B13" s="3" t="s">
        <v>65</v>
      </c>
      <c r="C13" s="4" t="str">
        <f>CONCATENATE(B13,8)</f>
        <v>1P26Q46RQ738</v>
      </c>
      <c r="D13" s="3" t="s">
        <v>194</v>
      </c>
      <c r="E13" s="3" t="s">
        <v>43</v>
      </c>
      <c r="F13" s="3" t="s">
        <v>28</v>
      </c>
      <c r="G13" s="3" t="s">
        <v>29</v>
      </c>
      <c r="H13" s="5">
        <v>45658</v>
      </c>
      <c r="I13" s="5">
        <v>45658</v>
      </c>
      <c r="J13" s="3">
        <v>9213293</v>
      </c>
      <c r="K13" s="3" t="s">
        <v>31</v>
      </c>
      <c r="L13" s="3" t="s">
        <v>51</v>
      </c>
      <c r="M13" s="3">
        <v>8192</v>
      </c>
      <c r="N13" s="3" t="s">
        <v>33</v>
      </c>
      <c r="O13" s="3">
        <v>438</v>
      </c>
      <c r="P13" s="3">
        <v>313</v>
      </c>
      <c r="Q13" s="3" t="s">
        <v>125</v>
      </c>
      <c r="R13" s="3" t="s">
        <v>128</v>
      </c>
    </row>
    <row r="14" spans="1:18" x14ac:dyDescent="0.25">
      <c r="A14" s="5">
        <v>45727</v>
      </c>
      <c r="B14" s="3" t="s">
        <v>72</v>
      </c>
      <c r="C14" s="4" t="str">
        <f>CONCATENATE(B14,8)</f>
        <v>8XC3XU1QX908</v>
      </c>
      <c r="D14" s="3" t="s">
        <v>179</v>
      </c>
      <c r="E14" s="3" t="s">
        <v>74</v>
      </c>
      <c r="F14" s="3" t="s">
        <v>28</v>
      </c>
      <c r="G14" s="3" t="s">
        <v>75</v>
      </c>
      <c r="H14" s="5">
        <v>45717</v>
      </c>
      <c r="I14" s="5">
        <v>45717</v>
      </c>
      <c r="J14" s="3">
        <v>19645587</v>
      </c>
      <c r="K14" s="3" t="s">
        <v>31</v>
      </c>
      <c r="L14" s="3" t="s">
        <v>77</v>
      </c>
      <c r="M14" s="3">
        <v>8192</v>
      </c>
      <c r="N14" s="3" t="s">
        <v>33</v>
      </c>
      <c r="O14" s="3">
        <v>460.83</v>
      </c>
      <c r="P14" s="3">
        <v>358</v>
      </c>
      <c r="Q14" s="3" t="s">
        <v>126</v>
      </c>
      <c r="R14" s="3" t="s">
        <v>127</v>
      </c>
    </row>
    <row r="15" spans="1:18" x14ac:dyDescent="0.25">
      <c r="A15" s="5">
        <v>45727</v>
      </c>
      <c r="B15" s="3" t="s">
        <v>96</v>
      </c>
      <c r="C15" s="4" t="str">
        <f>CONCATENATE(B15,8)</f>
        <v>7YQ0PC1DD338</v>
      </c>
      <c r="D15" s="3" t="s">
        <v>183</v>
      </c>
      <c r="E15" s="3" t="s">
        <v>43</v>
      </c>
      <c r="F15" s="3" t="s">
        <v>28</v>
      </c>
      <c r="G15" s="3" t="s">
        <v>29</v>
      </c>
      <c r="H15" s="5">
        <v>45658</v>
      </c>
      <c r="I15" s="5">
        <v>45658</v>
      </c>
      <c r="J15" s="3">
        <v>19645587</v>
      </c>
      <c r="K15" s="3" t="s">
        <v>31</v>
      </c>
      <c r="L15" s="3" t="s">
        <v>77</v>
      </c>
      <c r="M15" s="3">
        <v>8192</v>
      </c>
      <c r="N15" s="3" t="s">
        <v>33</v>
      </c>
      <c r="O15" s="3">
        <v>-438</v>
      </c>
      <c r="P15" s="3">
        <v>-313</v>
      </c>
      <c r="Q15" s="3" t="s">
        <v>125</v>
      </c>
      <c r="R15" s="3" t="s">
        <v>128</v>
      </c>
    </row>
    <row r="16" spans="1:18" x14ac:dyDescent="0.25">
      <c r="A16" s="5">
        <v>45727</v>
      </c>
      <c r="B16" s="3" t="s">
        <v>86</v>
      </c>
      <c r="C16" s="4" t="str">
        <f>CONCATENATE(B16,8)</f>
        <v>9PK0MV1GX358</v>
      </c>
      <c r="D16" s="3" t="s">
        <v>182</v>
      </c>
      <c r="E16" s="3" t="s">
        <v>43</v>
      </c>
      <c r="F16" s="3" t="s">
        <v>28</v>
      </c>
      <c r="G16" s="3" t="s">
        <v>29</v>
      </c>
      <c r="H16" s="5">
        <v>45658</v>
      </c>
      <c r="I16" s="5">
        <v>45658</v>
      </c>
      <c r="J16" s="3">
        <v>18935660</v>
      </c>
      <c r="K16" s="3" t="s">
        <v>31</v>
      </c>
      <c r="L16" s="3" t="s">
        <v>89</v>
      </c>
      <c r="M16" s="3">
        <v>8192</v>
      </c>
      <c r="N16" s="3" t="s">
        <v>33</v>
      </c>
      <c r="O16" s="3">
        <v>-438</v>
      </c>
      <c r="P16" s="3">
        <v>-313</v>
      </c>
      <c r="Q16" s="3" t="s">
        <v>125</v>
      </c>
      <c r="R16" s="3" t="s">
        <v>128</v>
      </c>
    </row>
    <row r="17" spans="1:18" x14ac:dyDescent="0.25">
      <c r="A17" s="5">
        <v>45727</v>
      </c>
      <c r="B17" s="3" t="s">
        <v>24</v>
      </c>
      <c r="C17" s="4" t="str">
        <f>CONCATENATE(B17,8)</f>
        <v>3JX2X73QX058</v>
      </c>
      <c r="D17" s="3" t="s">
        <v>186</v>
      </c>
      <c r="E17" s="3" t="s">
        <v>26</v>
      </c>
      <c r="F17" s="3" t="s">
        <v>28</v>
      </c>
      <c r="G17" s="3" t="s">
        <v>29</v>
      </c>
      <c r="H17" s="5">
        <v>45717</v>
      </c>
      <c r="I17" s="5">
        <v>45717</v>
      </c>
      <c r="J17" s="3">
        <v>8307933</v>
      </c>
      <c r="K17" s="3" t="s">
        <v>31</v>
      </c>
      <c r="L17" s="3" t="s">
        <v>32</v>
      </c>
      <c r="M17" s="3">
        <v>8192</v>
      </c>
      <c r="N17" s="3" t="s">
        <v>33</v>
      </c>
      <c r="O17" s="3">
        <v>365</v>
      </c>
      <c r="P17" s="3">
        <v>313</v>
      </c>
      <c r="Q17" s="3" t="s">
        <v>125</v>
      </c>
      <c r="R17" s="3" t="s">
        <v>128</v>
      </c>
    </row>
    <row r="18" spans="1:18" x14ac:dyDescent="0.25">
      <c r="A18" s="5">
        <v>45727</v>
      </c>
      <c r="B18" s="3" t="s">
        <v>105</v>
      </c>
      <c r="C18" s="4" t="str">
        <f>CONCATENATE(B18,8)</f>
        <v>7TR0JK7MP338</v>
      </c>
      <c r="D18" s="3" t="s">
        <v>192</v>
      </c>
      <c r="E18" s="3" t="s">
        <v>43</v>
      </c>
      <c r="F18" s="3" t="s">
        <v>28</v>
      </c>
      <c r="G18" s="3" t="s">
        <v>29</v>
      </c>
      <c r="H18" s="5">
        <v>45717</v>
      </c>
      <c r="I18" s="5">
        <v>45717</v>
      </c>
      <c r="J18" s="3">
        <v>20212926</v>
      </c>
      <c r="K18" s="3" t="s">
        <v>31</v>
      </c>
      <c r="L18" s="3" t="s">
        <v>107</v>
      </c>
      <c r="M18" s="3">
        <v>8192</v>
      </c>
      <c r="N18" s="3" t="s">
        <v>33</v>
      </c>
      <c r="O18" s="3">
        <v>365</v>
      </c>
      <c r="P18" s="3">
        <v>313</v>
      </c>
      <c r="Q18" s="3" t="s">
        <v>125</v>
      </c>
      <c r="R18" s="3" t="s">
        <v>128</v>
      </c>
    </row>
    <row r="19" spans="1:18" x14ac:dyDescent="0.25">
      <c r="A19" s="5">
        <v>45727</v>
      </c>
      <c r="B19" s="3" t="s">
        <v>36</v>
      </c>
      <c r="C19" s="4" t="str">
        <f>CONCATENATE(B19,8)</f>
        <v>9TR7UG6NE458</v>
      </c>
      <c r="D19" s="3" t="s">
        <v>187</v>
      </c>
      <c r="E19" s="3" t="s">
        <v>38</v>
      </c>
      <c r="F19" s="3" t="s">
        <v>28</v>
      </c>
      <c r="G19" s="3" t="s">
        <v>29</v>
      </c>
      <c r="H19" s="5">
        <v>45717</v>
      </c>
      <c r="I19" s="5">
        <v>45717</v>
      </c>
      <c r="J19" s="3">
        <v>8325282</v>
      </c>
      <c r="K19" s="3" t="s">
        <v>31</v>
      </c>
      <c r="L19" s="3" t="s">
        <v>40</v>
      </c>
      <c r="M19" s="3">
        <v>8192</v>
      </c>
      <c r="N19" s="3" t="s">
        <v>33</v>
      </c>
      <c r="O19" s="3">
        <v>365</v>
      </c>
      <c r="P19" s="3">
        <v>313</v>
      </c>
      <c r="Q19" s="3" t="s">
        <v>125</v>
      </c>
      <c r="R19" s="3" t="s">
        <v>128</v>
      </c>
    </row>
    <row r="20" spans="1:18" x14ac:dyDescent="0.25">
      <c r="A20" s="5">
        <v>45727</v>
      </c>
      <c r="B20" s="3" t="s">
        <v>118</v>
      </c>
      <c r="C20" s="4" t="str">
        <f>CONCATENATE(B20,8)</f>
        <v>8CJ9WE2MX148</v>
      </c>
      <c r="D20" s="3" t="s">
        <v>178</v>
      </c>
      <c r="E20" s="3" t="s">
        <v>74</v>
      </c>
      <c r="F20" s="3" t="s">
        <v>28</v>
      </c>
      <c r="G20" s="3" t="s">
        <v>75</v>
      </c>
      <c r="H20" s="5">
        <v>45717</v>
      </c>
      <c r="I20" s="5">
        <v>45717</v>
      </c>
      <c r="J20" s="3">
        <v>18754354</v>
      </c>
      <c r="K20" s="3" t="s">
        <v>31</v>
      </c>
      <c r="L20" s="3" t="s">
        <v>121</v>
      </c>
      <c r="M20" s="3">
        <v>8192</v>
      </c>
      <c r="N20" s="3" t="s">
        <v>33</v>
      </c>
      <c r="O20" s="3">
        <v>365</v>
      </c>
      <c r="P20" s="3">
        <v>313</v>
      </c>
      <c r="Q20" s="3" t="s">
        <v>125</v>
      </c>
      <c r="R20" s="3" t="s">
        <v>127</v>
      </c>
    </row>
    <row r="21" spans="1:18" x14ac:dyDescent="0.25">
      <c r="A21" s="5">
        <v>45727</v>
      </c>
      <c r="B21" s="3" t="s">
        <v>55</v>
      </c>
      <c r="C21" s="4" t="str">
        <f>CONCATENATE(B21,88)</f>
        <v>9P52NP5MT9888</v>
      </c>
      <c r="D21" s="3" t="s">
        <v>176</v>
      </c>
      <c r="E21" s="3" t="s">
        <v>57</v>
      </c>
      <c r="F21" s="3" t="s">
        <v>28</v>
      </c>
      <c r="G21" s="3" t="s">
        <v>59</v>
      </c>
      <c r="H21" s="5">
        <v>45658</v>
      </c>
      <c r="I21" s="5">
        <v>45658</v>
      </c>
      <c r="J21" s="3">
        <v>20411454</v>
      </c>
      <c r="K21" s="3" t="s">
        <v>31</v>
      </c>
      <c r="L21" s="3" t="s">
        <v>199</v>
      </c>
      <c r="M21" s="3">
        <v>8192</v>
      </c>
      <c r="N21" s="3" t="s">
        <v>33</v>
      </c>
      <c r="O21" s="3">
        <v>-478</v>
      </c>
      <c r="P21" s="3">
        <v>-125</v>
      </c>
      <c r="R21" s="3" t="s">
        <v>130</v>
      </c>
    </row>
    <row r="22" spans="1:18" x14ac:dyDescent="0.25">
      <c r="A22" s="5">
        <v>45727</v>
      </c>
      <c r="B22" s="3" t="s">
        <v>62</v>
      </c>
      <c r="C22" s="4" t="str">
        <f t="shared" ref="C22:C43" si="0">CONCATENATE(B22,88)</f>
        <v>5FT3GU7AH0988</v>
      </c>
      <c r="D22" s="3" t="s">
        <v>180</v>
      </c>
      <c r="E22" s="3" t="s">
        <v>38</v>
      </c>
      <c r="F22" s="3" t="s">
        <v>28</v>
      </c>
      <c r="G22" s="3" t="s">
        <v>29</v>
      </c>
      <c r="H22" s="5">
        <v>45658</v>
      </c>
      <c r="I22" s="5">
        <v>45658</v>
      </c>
      <c r="J22" s="3">
        <v>20411454</v>
      </c>
      <c r="K22" s="3" t="s">
        <v>31</v>
      </c>
      <c r="L22" s="3" t="s">
        <v>199</v>
      </c>
      <c r="M22" s="3">
        <v>8192</v>
      </c>
      <c r="N22" s="3" t="s">
        <v>33</v>
      </c>
      <c r="O22" s="3">
        <v>-438</v>
      </c>
      <c r="P22" s="3">
        <v>-125</v>
      </c>
      <c r="R22" s="3" t="s">
        <v>130</v>
      </c>
    </row>
    <row r="23" spans="1:18" x14ac:dyDescent="0.25">
      <c r="A23" s="5">
        <v>45727</v>
      </c>
      <c r="B23" s="3" t="s">
        <v>83</v>
      </c>
      <c r="C23" s="4" t="str">
        <f t="shared" si="0"/>
        <v>6NK6A59XN8688</v>
      </c>
      <c r="D23" s="3" t="s">
        <v>181</v>
      </c>
      <c r="E23" s="3" t="s">
        <v>43</v>
      </c>
      <c r="F23" s="3" t="s">
        <v>28</v>
      </c>
      <c r="G23" s="3" t="s">
        <v>29</v>
      </c>
      <c r="H23" s="5">
        <v>45658</v>
      </c>
      <c r="I23" s="5">
        <v>45658</v>
      </c>
      <c r="J23" s="3">
        <v>20411454</v>
      </c>
      <c r="K23" s="3" t="s">
        <v>31</v>
      </c>
      <c r="L23" s="3" t="s">
        <v>199</v>
      </c>
      <c r="M23" s="3">
        <v>8192</v>
      </c>
      <c r="N23" s="3" t="s">
        <v>33</v>
      </c>
      <c r="O23" s="3">
        <v>-438</v>
      </c>
      <c r="P23" s="3">
        <v>-125</v>
      </c>
      <c r="R23" s="3" t="s">
        <v>130</v>
      </c>
    </row>
    <row r="24" spans="1:18" x14ac:dyDescent="0.25">
      <c r="A24" s="5">
        <v>45727</v>
      </c>
      <c r="B24" s="3" t="s">
        <v>86</v>
      </c>
      <c r="C24" s="4" t="str">
        <f t="shared" si="0"/>
        <v>9PK0MV1GX3588</v>
      </c>
      <c r="D24" s="3" t="s">
        <v>182</v>
      </c>
      <c r="E24" s="3" t="s">
        <v>43</v>
      </c>
      <c r="F24" s="3" t="s">
        <v>28</v>
      </c>
      <c r="G24" s="3" t="s">
        <v>29</v>
      </c>
      <c r="H24" s="5">
        <v>45658</v>
      </c>
      <c r="I24" s="5">
        <v>45658</v>
      </c>
      <c r="J24" s="3">
        <v>20411454</v>
      </c>
      <c r="K24" s="3" t="s">
        <v>31</v>
      </c>
      <c r="L24" s="3" t="s">
        <v>199</v>
      </c>
      <c r="M24" s="3">
        <v>8192</v>
      </c>
      <c r="N24" s="3" t="s">
        <v>33</v>
      </c>
      <c r="O24" s="3">
        <v>-438</v>
      </c>
      <c r="P24" s="3">
        <v>-125</v>
      </c>
      <c r="R24" s="3" t="s">
        <v>130</v>
      </c>
    </row>
    <row r="25" spans="1:18" x14ac:dyDescent="0.25">
      <c r="A25" s="5">
        <v>45727</v>
      </c>
      <c r="B25" s="3" t="s">
        <v>96</v>
      </c>
      <c r="C25" s="4" t="str">
        <f t="shared" si="0"/>
        <v>7YQ0PC1DD3388</v>
      </c>
      <c r="D25" s="3" t="s">
        <v>183</v>
      </c>
      <c r="E25" s="3" t="s">
        <v>43</v>
      </c>
      <c r="F25" s="3" t="s">
        <v>28</v>
      </c>
      <c r="G25" s="3" t="s">
        <v>29</v>
      </c>
      <c r="H25" s="5">
        <v>45658</v>
      </c>
      <c r="I25" s="5">
        <v>45658</v>
      </c>
      <c r="J25" s="3">
        <v>20411454</v>
      </c>
      <c r="K25" s="3" t="s">
        <v>31</v>
      </c>
      <c r="L25" s="3" t="s">
        <v>199</v>
      </c>
      <c r="M25" s="3">
        <v>8192</v>
      </c>
      <c r="N25" s="3" t="s">
        <v>33</v>
      </c>
      <c r="O25" s="3">
        <v>-438</v>
      </c>
      <c r="P25" s="3">
        <v>-125</v>
      </c>
      <c r="R25" s="3" t="s">
        <v>130</v>
      </c>
    </row>
    <row r="26" spans="1:18" x14ac:dyDescent="0.25">
      <c r="A26" s="5">
        <v>45727</v>
      </c>
      <c r="B26" s="3" t="s">
        <v>68</v>
      </c>
      <c r="C26" s="4" t="str">
        <f t="shared" si="0"/>
        <v>9WT2RK4FY8288</v>
      </c>
      <c r="D26" s="3" t="s">
        <v>195</v>
      </c>
      <c r="E26" s="3" t="s">
        <v>57</v>
      </c>
      <c r="F26" s="3" t="s">
        <v>28</v>
      </c>
      <c r="G26" s="3" t="s">
        <v>59</v>
      </c>
      <c r="H26" s="5">
        <v>45778</v>
      </c>
      <c r="I26" s="5">
        <v>45778</v>
      </c>
      <c r="J26" s="3">
        <v>20411454</v>
      </c>
      <c r="K26" s="3" t="s">
        <v>31</v>
      </c>
      <c r="L26" s="3" t="s">
        <v>199</v>
      </c>
      <c r="M26" s="3">
        <v>8192</v>
      </c>
      <c r="N26" s="3" t="s">
        <v>33</v>
      </c>
      <c r="O26" s="3">
        <v>26.67</v>
      </c>
      <c r="P26" s="3">
        <v>26.67</v>
      </c>
      <c r="R26" s="3" t="s">
        <v>130</v>
      </c>
    </row>
    <row r="27" spans="1:18" x14ac:dyDescent="0.25">
      <c r="A27" s="5">
        <v>45727</v>
      </c>
      <c r="B27" s="3" t="s">
        <v>90</v>
      </c>
      <c r="C27" s="4" t="str">
        <f t="shared" si="0"/>
        <v>3P98DA6RG6388</v>
      </c>
      <c r="D27" s="3" t="s">
        <v>196</v>
      </c>
      <c r="E27" s="3" t="s">
        <v>57</v>
      </c>
      <c r="F27" s="3" t="s">
        <v>28</v>
      </c>
      <c r="G27" s="3" t="s">
        <v>59</v>
      </c>
      <c r="H27" s="5">
        <v>45778</v>
      </c>
      <c r="I27" s="5">
        <v>45778</v>
      </c>
      <c r="J27" s="3">
        <v>20411454</v>
      </c>
      <c r="K27" s="3" t="s">
        <v>31</v>
      </c>
      <c r="L27" s="3" t="s">
        <v>199</v>
      </c>
      <c r="M27" s="3">
        <v>8192</v>
      </c>
      <c r="N27" s="3" t="s">
        <v>33</v>
      </c>
      <c r="O27" s="3">
        <v>26.67</v>
      </c>
      <c r="P27" s="3">
        <v>26.67</v>
      </c>
      <c r="R27" s="3" t="s">
        <v>130</v>
      </c>
    </row>
    <row r="28" spans="1:18" x14ac:dyDescent="0.25">
      <c r="A28" s="5">
        <v>45727</v>
      </c>
      <c r="B28" s="3" t="s">
        <v>92</v>
      </c>
      <c r="C28" s="4" t="str">
        <f t="shared" si="0"/>
        <v>7RH2M55CY0488</v>
      </c>
      <c r="D28" s="3" t="s">
        <v>197</v>
      </c>
      <c r="E28" s="3" t="s">
        <v>94</v>
      </c>
      <c r="F28" s="3" t="s">
        <v>28</v>
      </c>
      <c r="G28" s="3" t="s">
        <v>59</v>
      </c>
      <c r="H28" s="5">
        <v>45717</v>
      </c>
      <c r="I28" s="5">
        <v>45717</v>
      </c>
      <c r="J28" s="3">
        <v>20411454</v>
      </c>
      <c r="K28" s="3" t="s">
        <v>81</v>
      </c>
      <c r="L28" s="3" t="s">
        <v>199</v>
      </c>
      <c r="M28" s="3">
        <v>8192</v>
      </c>
      <c r="N28" s="3" t="s">
        <v>33</v>
      </c>
      <c r="O28" s="3">
        <v>104.17</v>
      </c>
      <c r="P28" s="3">
        <v>104.17</v>
      </c>
      <c r="R28" s="3" t="s">
        <v>130</v>
      </c>
    </row>
    <row r="29" spans="1:18" x14ac:dyDescent="0.25">
      <c r="A29" s="5">
        <v>45727</v>
      </c>
      <c r="B29" s="3" t="s">
        <v>78</v>
      </c>
      <c r="C29" s="4" t="str">
        <f t="shared" si="0"/>
        <v>1J67QG0AM6488</v>
      </c>
      <c r="D29" s="3" t="s">
        <v>198</v>
      </c>
      <c r="E29" s="3" t="s">
        <v>57</v>
      </c>
      <c r="F29" s="3" t="s">
        <v>28</v>
      </c>
      <c r="G29" s="3" t="s">
        <v>59</v>
      </c>
      <c r="H29" s="5">
        <v>45689</v>
      </c>
      <c r="I29" s="5">
        <v>45689</v>
      </c>
      <c r="J29" s="3">
        <v>20411454</v>
      </c>
      <c r="K29" s="3" t="s">
        <v>81</v>
      </c>
      <c r="L29" s="3" t="s">
        <v>199</v>
      </c>
      <c r="M29" s="3">
        <v>8192</v>
      </c>
      <c r="N29" s="3" t="s">
        <v>33</v>
      </c>
      <c r="O29" s="3">
        <v>114.59</v>
      </c>
      <c r="P29" s="3">
        <v>114.59</v>
      </c>
      <c r="R29" s="3" t="s">
        <v>130</v>
      </c>
    </row>
    <row r="30" spans="1:18" x14ac:dyDescent="0.25">
      <c r="A30" s="5">
        <v>45727</v>
      </c>
      <c r="B30" s="3" t="s">
        <v>46</v>
      </c>
      <c r="C30" s="4" t="str">
        <f t="shared" si="0"/>
        <v>7GH9T57QJ1288</v>
      </c>
      <c r="D30" s="3" t="s">
        <v>184</v>
      </c>
      <c r="E30" s="3" t="s">
        <v>48</v>
      </c>
      <c r="F30" s="3" t="s">
        <v>28</v>
      </c>
      <c r="G30" s="3" t="s">
        <v>49</v>
      </c>
      <c r="H30" s="5">
        <v>45778</v>
      </c>
      <c r="I30" s="5">
        <v>45778</v>
      </c>
      <c r="J30" s="3">
        <v>20411454</v>
      </c>
      <c r="K30" s="3" t="s">
        <v>31</v>
      </c>
      <c r="L30" s="3" t="s">
        <v>199</v>
      </c>
      <c r="M30" s="3">
        <v>8192</v>
      </c>
      <c r="N30" s="3" t="s">
        <v>33</v>
      </c>
      <c r="O30" s="3">
        <v>292</v>
      </c>
      <c r="P30" s="3">
        <v>83.33</v>
      </c>
      <c r="R30" s="3" t="s">
        <v>130</v>
      </c>
    </row>
    <row r="31" spans="1:18" x14ac:dyDescent="0.25">
      <c r="A31" s="5">
        <v>45727</v>
      </c>
      <c r="B31" s="3" t="s">
        <v>113</v>
      </c>
      <c r="C31" s="4" t="str">
        <f t="shared" si="0"/>
        <v>8N51MW3JC0588</v>
      </c>
      <c r="D31" s="3" t="s">
        <v>185</v>
      </c>
      <c r="E31" s="3" t="s">
        <v>115</v>
      </c>
      <c r="F31" s="3" t="s">
        <v>28</v>
      </c>
      <c r="G31" s="3" t="s">
        <v>116</v>
      </c>
      <c r="H31" s="5">
        <v>45748</v>
      </c>
      <c r="I31" s="5">
        <v>45748</v>
      </c>
      <c r="J31" s="3">
        <v>20411454</v>
      </c>
      <c r="K31" s="3" t="s">
        <v>31</v>
      </c>
      <c r="L31" s="3" t="s">
        <v>199</v>
      </c>
      <c r="M31" s="3">
        <v>8192</v>
      </c>
      <c r="N31" s="3" t="s">
        <v>33</v>
      </c>
      <c r="O31" s="3">
        <v>328.5</v>
      </c>
      <c r="P31" s="3">
        <v>15.5</v>
      </c>
      <c r="R31" s="3" t="s">
        <v>130</v>
      </c>
    </row>
    <row r="32" spans="1:18" x14ac:dyDescent="0.25">
      <c r="A32" s="5">
        <v>45727</v>
      </c>
      <c r="B32" s="3" t="s">
        <v>24</v>
      </c>
      <c r="C32" s="4" t="str">
        <f t="shared" si="0"/>
        <v>3JX2X73QX0588</v>
      </c>
      <c r="D32" s="3" t="s">
        <v>186</v>
      </c>
      <c r="E32" s="3" t="s">
        <v>26</v>
      </c>
      <c r="F32" s="3" t="s">
        <v>28</v>
      </c>
      <c r="G32" s="3" t="s">
        <v>29</v>
      </c>
      <c r="H32" s="5">
        <v>45717</v>
      </c>
      <c r="I32" s="5">
        <v>45717</v>
      </c>
      <c r="J32" s="3">
        <v>20411454</v>
      </c>
      <c r="K32" s="3" t="s">
        <v>31</v>
      </c>
      <c r="L32" s="3" t="s">
        <v>199</v>
      </c>
      <c r="M32" s="3">
        <v>8192</v>
      </c>
      <c r="N32" s="3" t="s">
        <v>33</v>
      </c>
      <c r="O32" s="3">
        <v>365</v>
      </c>
      <c r="P32" s="3">
        <v>52</v>
      </c>
      <c r="R32" s="3" t="s">
        <v>130</v>
      </c>
    </row>
    <row r="33" spans="1:18" x14ac:dyDescent="0.25">
      <c r="A33" s="5">
        <v>45727</v>
      </c>
      <c r="B33" s="3" t="s">
        <v>36</v>
      </c>
      <c r="C33" s="4" t="str">
        <f t="shared" si="0"/>
        <v>9TR7UG6NE4588</v>
      </c>
      <c r="D33" s="3" t="s">
        <v>187</v>
      </c>
      <c r="E33" s="3" t="s">
        <v>38</v>
      </c>
      <c r="F33" s="3" t="s">
        <v>28</v>
      </c>
      <c r="G33" s="3" t="s">
        <v>29</v>
      </c>
      <c r="H33" s="5">
        <v>45717</v>
      </c>
      <c r="I33" s="5">
        <v>45717</v>
      </c>
      <c r="J33" s="3">
        <v>20411454</v>
      </c>
      <c r="K33" s="3" t="s">
        <v>31</v>
      </c>
      <c r="L33" s="3" t="s">
        <v>199</v>
      </c>
      <c r="M33" s="3">
        <v>8192</v>
      </c>
      <c r="N33" s="3" t="s">
        <v>33</v>
      </c>
      <c r="O33" s="3">
        <v>365</v>
      </c>
      <c r="P33" s="3">
        <v>52</v>
      </c>
      <c r="R33" s="3" t="s">
        <v>130</v>
      </c>
    </row>
    <row r="34" spans="1:18" x14ac:dyDescent="0.25">
      <c r="A34" s="5">
        <v>45727</v>
      </c>
      <c r="B34" s="3" t="s">
        <v>41</v>
      </c>
      <c r="C34" s="4" t="str">
        <f t="shared" si="0"/>
        <v>4TE7TQ7YQ3488</v>
      </c>
      <c r="D34" s="3" t="s">
        <v>188</v>
      </c>
      <c r="E34" s="3" t="s">
        <v>43</v>
      </c>
      <c r="F34" s="3" t="s">
        <v>28</v>
      </c>
      <c r="G34" s="3" t="s">
        <v>29</v>
      </c>
      <c r="H34" s="5">
        <v>45717</v>
      </c>
      <c r="I34" s="5">
        <v>45717</v>
      </c>
      <c r="J34" s="3">
        <v>20411454</v>
      </c>
      <c r="K34" s="3" t="s">
        <v>31</v>
      </c>
      <c r="L34" s="3" t="s">
        <v>199</v>
      </c>
      <c r="M34" s="3">
        <v>8192</v>
      </c>
      <c r="N34" s="3" t="s">
        <v>33</v>
      </c>
      <c r="O34" s="3">
        <v>365</v>
      </c>
      <c r="P34" s="3">
        <v>52</v>
      </c>
      <c r="R34" s="3" t="s">
        <v>130</v>
      </c>
    </row>
    <row r="35" spans="1:18" x14ac:dyDescent="0.25">
      <c r="A35" s="5">
        <v>45727</v>
      </c>
      <c r="B35" s="3" t="s">
        <v>52</v>
      </c>
      <c r="C35" s="4" t="str">
        <f t="shared" si="0"/>
        <v>3N31E22UC0388</v>
      </c>
      <c r="D35" s="3" t="s">
        <v>189</v>
      </c>
      <c r="E35" s="3" t="s">
        <v>48</v>
      </c>
      <c r="F35" s="3" t="s">
        <v>28</v>
      </c>
      <c r="G35" s="3" t="s">
        <v>49</v>
      </c>
      <c r="H35" s="5">
        <v>45717</v>
      </c>
      <c r="I35" s="5">
        <v>45717</v>
      </c>
      <c r="J35" s="3">
        <v>20411454</v>
      </c>
      <c r="K35" s="3" t="s">
        <v>31</v>
      </c>
      <c r="L35" s="3" t="s">
        <v>199</v>
      </c>
      <c r="M35" s="3">
        <v>8192</v>
      </c>
      <c r="N35" s="3" t="s">
        <v>33</v>
      </c>
      <c r="O35" s="3">
        <v>365</v>
      </c>
      <c r="P35" s="3">
        <v>52</v>
      </c>
      <c r="R35" s="3" t="s">
        <v>130</v>
      </c>
    </row>
    <row r="36" spans="1:18" x14ac:dyDescent="0.25">
      <c r="A36" s="5">
        <v>45727</v>
      </c>
      <c r="B36" s="3" t="s">
        <v>99</v>
      </c>
      <c r="C36" s="4" t="str">
        <f t="shared" si="0"/>
        <v>7J24Y39GK0988</v>
      </c>
      <c r="D36" s="3" t="s">
        <v>190</v>
      </c>
      <c r="E36" s="3" t="s">
        <v>43</v>
      </c>
      <c r="F36" s="3" t="s">
        <v>28</v>
      </c>
      <c r="G36" s="3" t="s">
        <v>29</v>
      </c>
      <c r="H36" s="5">
        <v>45717</v>
      </c>
      <c r="I36" s="5">
        <v>45717</v>
      </c>
      <c r="J36" s="3">
        <v>20411454</v>
      </c>
      <c r="K36" s="3" t="s">
        <v>31</v>
      </c>
      <c r="L36" s="3" t="s">
        <v>199</v>
      </c>
      <c r="M36" s="3">
        <v>8192</v>
      </c>
      <c r="N36" s="3" t="s">
        <v>33</v>
      </c>
      <c r="O36" s="3">
        <v>365</v>
      </c>
      <c r="P36" s="3">
        <v>52</v>
      </c>
      <c r="R36" s="3" t="s">
        <v>130</v>
      </c>
    </row>
    <row r="37" spans="1:18" x14ac:dyDescent="0.25">
      <c r="A37" s="5">
        <v>45727</v>
      </c>
      <c r="B37" s="3" t="s">
        <v>103</v>
      </c>
      <c r="C37" s="4" t="str">
        <f t="shared" si="0"/>
        <v>9XR2E77MJ9988</v>
      </c>
      <c r="D37" s="3" t="s">
        <v>191</v>
      </c>
      <c r="E37" s="3" t="s">
        <v>43</v>
      </c>
      <c r="F37" s="3" t="s">
        <v>28</v>
      </c>
      <c r="G37" s="3" t="s">
        <v>29</v>
      </c>
      <c r="H37" s="5">
        <v>45717</v>
      </c>
      <c r="I37" s="5">
        <v>45717</v>
      </c>
      <c r="J37" s="3">
        <v>20411454</v>
      </c>
      <c r="K37" s="3" t="s">
        <v>31</v>
      </c>
      <c r="L37" s="3" t="s">
        <v>199</v>
      </c>
      <c r="M37" s="3">
        <v>8192</v>
      </c>
      <c r="N37" s="3" t="s">
        <v>33</v>
      </c>
      <c r="O37" s="3">
        <v>365</v>
      </c>
      <c r="P37" s="3">
        <v>52</v>
      </c>
      <c r="R37" s="3" t="s">
        <v>130</v>
      </c>
    </row>
    <row r="38" spans="1:18" x14ac:dyDescent="0.25">
      <c r="A38" s="5">
        <v>45727</v>
      </c>
      <c r="B38" s="3" t="s">
        <v>105</v>
      </c>
      <c r="C38" s="4" t="str">
        <f t="shared" si="0"/>
        <v>7TR0JK7MP3388</v>
      </c>
      <c r="D38" s="3" t="s">
        <v>192</v>
      </c>
      <c r="E38" s="3" t="s">
        <v>43</v>
      </c>
      <c r="F38" s="3" t="s">
        <v>28</v>
      </c>
      <c r="G38" s="3" t="s">
        <v>29</v>
      </c>
      <c r="H38" s="5">
        <v>45717</v>
      </c>
      <c r="I38" s="5">
        <v>45717</v>
      </c>
      <c r="J38" s="3">
        <v>20411454</v>
      </c>
      <c r="K38" s="3" t="s">
        <v>31</v>
      </c>
      <c r="L38" s="3" t="s">
        <v>199</v>
      </c>
      <c r="M38" s="3">
        <v>8192</v>
      </c>
      <c r="N38" s="3" t="s">
        <v>33</v>
      </c>
      <c r="O38" s="3">
        <v>365</v>
      </c>
      <c r="P38" s="3">
        <v>52</v>
      </c>
      <c r="R38" s="3" t="s">
        <v>130</v>
      </c>
    </row>
    <row r="39" spans="1:18" x14ac:dyDescent="0.25">
      <c r="A39" s="5">
        <v>45727</v>
      </c>
      <c r="B39" s="3" t="s">
        <v>108</v>
      </c>
      <c r="C39" s="4" t="str">
        <f t="shared" si="0"/>
        <v>9WV3V33MR8888</v>
      </c>
      <c r="D39" s="3" t="s">
        <v>193</v>
      </c>
      <c r="E39" s="3" t="s">
        <v>110</v>
      </c>
      <c r="F39" s="3" t="s">
        <v>28</v>
      </c>
      <c r="G39" s="3" t="s">
        <v>111</v>
      </c>
      <c r="H39" s="5">
        <v>45717</v>
      </c>
      <c r="I39" s="5">
        <v>45717</v>
      </c>
      <c r="J39" s="3">
        <v>20411454</v>
      </c>
      <c r="K39" s="3" t="s">
        <v>31</v>
      </c>
      <c r="L39" s="3" t="s">
        <v>199</v>
      </c>
      <c r="M39" s="3">
        <v>8192</v>
      </c>
      <c r="N39" s="3" t="s">
        <v>33</v>
      </c>
      <c r="O39" s="3">
        <v>365</v>
      </c>
      <c r="P39" s="3">
        <v>52</v>
      </c>
      <c r="R39" s="3" t="s">
        <v>130</v>
      </c>
    </row>
    <row r="40" spans="1:18" x14ac:dyDescent="0.25">
      <c r="A40" s="5">
        <v>45727</v>
      </c>
      <c r="B40" s="3" t="s">
        <v>118</v>
      </c>
      <c r="C40" s="4" t="str">
        <f t="shared" si="0"/>
        <v>8CJ9WE2MX1488</v>
      </c>
      <c r="D40" s="3" t="s">
        <v>178</v>
      </c>
      <c r="E40" s="3" t="s">
        <v>74</v>
      </c>
      <c r="F40" s="3" t="s">
        <v>28</v>
      </c>
      <c r="G40" s="3" t="s">
        <v>75</v>
      </c>
      <c r="H40" s="5">
        <v>45717</v>
      </c>
      <c r="I40" s="5">
        <v>45717</v>
      </c>
      <c r="J40" s="3">
        <v>20411454</v>
      </c>
      <c r="K40" s="3" t="s">
        <v>31</v>
      </c>
      <c r="L40" s="3" t="s">
        <v>199</v>
      </c>
      <c r="M40" s="3">
        <v>8192</v>
      </c>
      <c r="N40" s="3" t="s">
        <v>33</v>
      </c>
      <c r="O40" s="3">
        <v>365</v>
      </c>
      <c r="P40" s="3">
        <v>52</v>
      </c>
      <c r="R40" s="3" t="s">
        <v>130</v>
      </c>
    </row>
    <row r="41" spans="1:18" x14ac:dyDescent="0.25">
      <c r="A41" s="5">
        <v>45727</v>
      </c>
      <c r="B41" s="3" t="s">
        <v>65</v>
      </c>
      <c r="C41" s="4" t="str">
        <f t="shared" si="0"/>
        <v>1P26Q46RQ7388</v>
      </c>
      <c r="D41" s="3" t="s">
        <v>194</v>
      </c>
      <c r="E41" s="3" t="s">
        <v>43</v>
      </c>
      <c r="F41" s="3" t="s">
        <v>28</v>
      </c>
      <c r="G41" s="3" t="s">
        <v>29</v>
      </c>
      <c r="H41" s="5">
        <v>45658</v>
      </c>
      <c r="I41" s="5">
        <v>45658</v>
      </c>
      <c r="J41" s="3">
        <v>20411454</v>
      </c>
      <c r="K41" s="3" t="s">
        <v>31</v>
      </c>
      <c r="L41" s="3" t="s">
        <v>199</v>
      </c>
      <c r="M41" s="3">
        <v>8192</v>
      </c>
      <c r="N41" s="3" t="s">
        <v>33</v>
      </c>
      <c r="O41" s="3">
        <v>438</v>
      </c>
      <c r="P41" s="3">
        <v>125</v>
      </c>
      <c r="R41" s="3" t="s">
        <v>130</v>
      </c>
    </row>
    <row r="42" spans="1:18" x14ac:dyDescent="0.25">
      <c r="A42" s="5">
        <v>45727</v>
      </c>
      <c r="B42" s="3" t="s">
        <v>72</v>
      </c>
      <c r="C42" s="4" t="str">
        <f t="shared" si="0"/>
        <v>8XC3XU1QX9088</v>
      </c>
      <c r="D42" s="3" t="s">
        <v>179</v>
      </c>
      <c r="E42" s="3" t="s">
        <v>74</v>
      </c>
      <c r="F42" s="3" t="s">
        <v>28</v>
      </c>
      <c r="G42" s="3" t="s">
        <v>75</v>
      </c>
      <c r="H42" s="5">
        <v>45717</v>
      </c>
      <c r="I42" s="5">
        <v>45717</v>
      </c>
      <c r="J42" s="3">
        <v>20411454</v>
      </c>
      <c r="K42" s="3" t="s">
        <v>31</v>
      </c>
      <c r="L42" s="3" t="s">
        <v>199</v>
      </c>
      <c r="M42" s="3">
        <v>8192</v>
      </c>
      <c r="N42" s="3" t="s">
        <v>33</v>
      </c>
      <c r="O42" s="3">
        <v>460.83</v>
      </c>
      <c r="P42" s="3">
        <v>102.83</v>
      </c>
      <c r="R42" s="3" t="s">
        <v>130</v>
      </c>
    </row>
    <row r="43" spans="1:18" x14ac:dyDescent="0.25">
      <c r="A43" s="5">
        <v>45727</v>
      </c>
      <c r="B43" s="3" t="s">
        <v>122</v>
      </c>
      <c r="C43" s="4" t="str">
        <f t="shared" si="0"/>
        <v>7PU8FG1GA6488</v>
      </c>
      <c r="D43" s="3" t="s">
        <v>177</v>
      </c>
      <c r="E43" s="3" t="s">
        <v>57</v>
      </c>
      <c r="F43" s="3" t="s">
        <v>28</v>
      </c>
      <c r="G43" s="3" t="s">
        <v>59</v>
      </c>
      <c r="H43" s="5">
        <v>45717</v>
      </c>
      <c r="I43" s="5">
        <v>45717</v>
      </c>
      <c r="J43" s="3">
        <v>20411454</v>
      </c>
      <c r="K43" s="3" t="s">
        <v>31</v>
      </c>
      <c r="L43" s="3" t="s">
        <v>199</v>
      </c>
      <c r="M43" s="3">
        <v>8192</v>
      </c>
      <c r="N43" s="3" t="s">
        <v>33</v>
      </c>
      <c r="O43" s="3">
        <v>398.33</v>
      </c>
      <c r="P43" s="3">
        <f>398.33-353</f>
        <v>45.329999999999984</v>
      </c>
      <c r="R43" s="3" t="s">
        <v>130</v>
      </c>
    </row>
  </sheetData>
  <sortState xmlns:xlrd2="http://schemas.microsoft.com/office/spreadsheetml/2017/richdata2" ref="A2:X20">
    <sortCondition ref="L2:L20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A404BF-8DFC-451D-A6B8-DC859055F913}">
  <dimension ref="A1:C42"/>
  <sheetViews>
    <sheetView workbookViewId="0">
      <selection activeCell="C1" sqref="C1:C42"/>
    </sheetView>
  </sheetViews>
  <sheetFormatPr defaultRowHeight="15" x14ac:dyDescent="0.25"/>
  <cols>
    <col min="3" max="3" width="15.5703125" bestFit="1" customWidth="1"/>
  </cols>
  <sheetData>
    <row r="1" spans="1:3" x14ac:dyDescent="0.25">
      <c r="A1" s="3" t="s">
        <v>132</v>
      </c>
      <c r="B1" t="s">
        <v>133</v>
      </c>
      <c r="C1" t="str">
        <f>CONCATENATE(B1, " ",A1)</f>
        <v>DIANE CLIFFORD</v>
      </c>
    </row>
    <row r="2" spans="1:3" x14ac:dyDescent="0.25">
      <c r="A2" s="3" t="s">
        <v>134</v>
      </c>
      <c r="B2" t="s">
        <v>135</v>
      </c>
      <c r="C2" s="6" t="str">
        <f t="shared" ref="C2:C42" si="0">CONCATENATE(B2, " ",A2)</f>
        <v>KEVIN WILKER</v>
      </c>
    </row>
    <row r="3" spans="1:3" x14ac:dyDescent="0.25">
      <c r="A3" s="3" t="s">
        <v>136</v>
      </c>
      <c r="B3" t="s">
        <v>137</v>
      </c>
      <c r="C3" s="6" t="str">
        <f t="shared" si="0"/>
        <v>ERYNN TAITEL</v>
      </c>
    </row>
    <row r="4" spans="1:3" x14ac:dyDescent="0.25">
      <c r="A4" s="3" t="s">
        <v>138</v>
      </c>
      <c r="B4" t="s">
        <v>139</v>
      </c>
      <c r="C4" s="6" t="str">
        <f t="shared" si="0"/>
        <v>ABIGAIL ELLIOTT</v>
      </c>
    </row>
    <row r="5" spans="1:3" x14ac:dyDescent="0.25">
      <c r="A5" s="3" t="s">
        <v>140</v>
      </c>
      <c r="B5" t="s">
        <v>141</v>
      </c>
      <c r="C5" s="6" t="str">
        <f t="shared" si="0"/>
        <v>MARILYN COX</v>
      </c>
    </row>
    <row r="6" spans="1:3" x14ac:dyDescent="0.25">
      <c r="A6" s="3" t="s">
        <v>142</v>
      </c>
      <c r="B6" t="s">
        <v>143</v>
      </c>
      <c r="C6" s="6" t="str">
        <f t="shared" si="0"/>
        <v>JAMES HADDAD</v>
      </c>
    </row>
    <row r="7" spans="1:3" x14ac:dyDescent="0.25">
      <c r="A7" s="3" t="s">
        <v>144</v>
      </c>
      <c r="B7" t="s">
        <v>145</v>
      </c>
      <c r="C7" s="6" t="str">
        <f t="shared" si="0"/>
        <v>PATRICIA JACKSON</v>
      </c>
    </row>
    <row r="8" spans="1:3" x14ac:dyDescent="0.25">
      <c r="A8" s="3" t="s">
        <v>146</v>
      </c>
      <c r="B8" t="s">
        <v>147</v>
      </c>
      <c r="C8" s="6" t="str">
        <f t="shared" si="0"/>
        <v>MARSHA KURTH</v>
      </c>
    </row>
    <row r="9" spans="1:3" x14ac:dyDescent="0.25">
      <c r="A9" s="3" t="s">
        <v>148</v>
      </c>
      <c r="B9" t="s">
        <v>149</v>
      </c>
      <c r="C9" s="6" t="str">
        <f t="shared" si="0"/>
        <v>LAURIE CARLSON</v>
      </c>
    </row>
    <row r="10" spans="1:3" x14ac:dyDescent="0.25">
      <c r="A10" s="3" t="s">
        <v>150</v>
      </c>
      <c r="B10" t="s">
        <v>151</v>
      </c>
      <c r="C10" s="6" t="str">
        <f t="shared" si="0"/>
        <v>PAULA STONE</v>
      </c>
    </row>
    <row r="11" spans="1:3" x14ac:dyDescent="0.25">
      <c r="A11" s="3" t="s">
        <v>152</v>
      </c>
      <c r="B11" t="s">
        <v>153</v>
      </c>
      <c r="C11" s="6" t="str">
        <f t="shared" si="0"/>
        <v>CHERYL BOGGS</v>
      </c>
    </row>
    <row r="12" spans="1:3" x14ac:dyDescent="0.25">
      <c r="A12" s="3" t="s">
        <v>154</v>
      </c>
      <c r="B12" t="s">
        <v>155</v>
      </c>
      <c r="C12" s="6" t="str">
        <f t="shared" si="0"/>
        <v>SUZANNE BRADLEY</v>
      </c>
    </row>
    <row r="13" spans="1:3" x14ac:dyDescent="0.25">
      <c r="A13" s="3" t="s">
        <v>156</v>
      </c>
      <c r="B13" t="s">
        <v>157</v>
      </c>
      <c r="C13" s="6" t="str">
        <f t="shared" si="0"/>
        <v>WILLIAM BRENNAN</v>
      </c>
    </row>
    <row r="14" spans="1:3" x14ac:dyDescent="0.25">
      <c r="A14" s="3" t="s">
        <v>148</v>
      </c>
      <c r="B14" t="s">
        <v>158</v>
      </c>
      <c r="C14" s="6" t="str">
        <f t="shared" si="0"/>
        <v>RONALD CARLSON</v>
      </c>
    </row>
    <row r="15" spans="1:3" x14ac:dyDescent="0.25">
      <c r="A15" s="3" t="s">
        <v>159</v>
      </c>
      <c r="B15" t="s">
        <v>160</v>
      </c>
      <c r="C15" s="6" t="str">
        <f t="shared" si="0"/>
        <v>JOANNE PIEMONTE</v>
      </c>
    </row>
    <row r="16" spans="1:3" x14ac:dyDescent="0.25">
      <c r="A16" s="3" t="s">
        <v>159</v>
      </c>
      <c r="B16" t="s">
        <v>161</v>
      </c>
      <c r="C16" s="6" t="str">
        <f t="shared" si="0"/>
        <v>MARK PIEMONTE</v>
      </c>
    </row>
    <row r="17" spans="1:3" x14ac:dyDescent="0.25">
      <c r="A17" s="3" t="s">
        <v>162</v>
      </c>
      <c r="B17" t="s">
        <v>163</v>
      </c>
      <c r="C17" s="6" t="str">
        <f t="shared" si="0"/>
        <v>ROGELIA ROMAN</v>
      </c>
    </row>
    <row r="18" spans="1:3" x14ac:dyDescent="0.25">
      <c r="A18" s="3" t="s">
        <v>164</v>
      </c>
      <c r="B18" t="s">
        <v>165</v>
      </c>
      <c r="C18" s="6" t="str">
        <f t="shared" si="0"/>
        <v>PAMELA ROPEK</v>
      </c>
    </row>
    <row r="19" spans="1:3" x14ac:dyDescent="0.25">
      <c r="A19" s="3" t="s">
        <v>166</v>
      </c>
      <c r="B19" t="s">
        <v>167</v>
      </c>
      <c r="C19" s="6" t="str">
        <f t="shared" si="0"/>
        <v>MARIA DAVILA</v>
      </c>
    </row>
    <row r="20" spans="1:3" x14ac:dyDescent="0.25">
      <c r="A20" s="3" t="s">
        <v>132</v>
      </c>
      <c r="B20" t="s">
        <v>133</v>
      </c>
      <c r="C20" s="6" t="str">
        <f t="shared" si="0"/>
        <v>DIANE CLIFFORD</v>
      </c>
    </row>
    <row r="21" spans="1:3" x14ac:dyDescent="0.25">
      <c r="A21" s="3" t="s">
        <v>140</v>
      </c>
      <c r="B21" t="s">
        <v>141</v>
      </c>
      <c r="C21" s="6" t="str">
        <f t="shared" si="0"/>
        <v>MARILYN COX</v>
      </c>
    </row>
    <row r="22" spans="1:3" x14ac:dyDescent="0.25">
      <c r="A22" s="3" t="s">
        <v>142</v>
      </c>
      <c r="B22" t="s">
        <v>143</v>
      </c>
      <c r="C22" s="6" t="str">
        <f t="shared" si="0"/>
        <v>JAMES HADDAD</v>
      </c>
    </row>
    <row r="23" spans="1:3" x14ac:dyDescent="0.25">
      <c r="A23" s="3" t="s">
        <v>144</v>
      </c>
      <c r="B23" t="s">
        <v>145</v>
      </c>
      <c r="C23" s="6" t="str">
        <f t="shared" si="0"/>
        <v>PATRICIA JACKSON</v>
      </c>
    </row>
    <row r="24" spans="1:3" x14ac:dyDescent="0.25">
      <c r="A24" s="3" t="s">
        <v>146</v>
      </c>
      <c r="B24" t="s">
        <v>147</v>
      </c>
      <c r="C24" s="6" t="str">
        <f t="shared" si="0"/>
        <v>MARSHA KURTH</v>
      </c>
    </row>
    <row r="25" spans="1:3" x14ac:dyDescent="0.25">
      <c r="A25" s="3" t="s">
        <v>168</v>
      </c>
      <c r="B25" t="s">
        <v>169</v>
      </c>
      <c r="C25" s="6" t="str">
        <f t="shared" si="0"/>
        <v>DARLA DAVIS</v>
      </c>
    </row>
    <row r="26" spans="1:3" x14ac:dyDescent="0.25">
      <c r="A26" s="3" t="s">
        <v>170</v>
      </c>
      <c r="B26" t="s">
        <v>171</v>
      </c>
      <c r="C26" s="6" t="str">
        <f t="shared" si="0"/>
        <v>HOBART KENTON</v>
      </c>
    </row>
    <row r="27" spans="1:3" x14ac:dyDescent="0.25">
      <c r="A27" s="3" t="s">
        <v>172</v>
      </c>
      <c r="B27" t="s">
        <v>173</v>
      </c>
      <c r="C27" s="6" t="str">
        <f t="shared" si="0"/>
        <v>SEINAH KOLLIE</v>
      </c>
    </row>
    <row r="28" spans="1:3" x14ac:dyDescent="0.25">
      <c r="A28" s="3" t="s">
        <v>174</v>
      </c>
      <c r="B28" t="s">
        <v>175</v>
      </c>
      <c r="C28" s="6" t="str">
        <f t="shared" si="0"/>
        <v>RHODA GWION</v>
      </c>
    </row>
    <row r="29" spans="1:3" x14ac:dyDescent="0.25">
      <c r="A29" s="3" t="s">
        <v>148</v>
      </c>
      <c r="B29" t="s">
        <v>149</v>
      </c>
      <c r="C29" s="6" t="str">
        <f t="shared" si="0"/>
        <v>LAURIE CARLSON</v>
      </c>
    </row>
    <row r="30" spans="1:3" x14ac:dyDescent="0.25">
      <c r="A30" s="3" t="s">
        <v>150</v>
      </c>
      <c r="B30" t="s">
        <v>151</v>
      </c>
      <c r="C30" s="6" t="str">
        <f t="shared" si="0"/>
        <v>PAULA STONE</v>
      </c>
    </row>
    <row r="31" spans="1:3" x14ac:dyDescent="0.25">
      <c r="A31" s="3" t="s">
        <v>152</v>
      </c>
      <c r="B31" t="s">
        <v>153</v>
      </c>
      <c r="C31" s="6" t="str">
        <f t="shared" si="0"/>
        <v>CHERYL BOGGS</v>
      </c>
    </row>
    <row r="32" spans="1:3" x14ac:dyDescent="0.25">
      <c r="A32" s="3" t="s">
        <v>154</v>
      </c>
      <c r="B32" t="s">
        <v>155</v>
      </c>
      <c r="C32" s="6" t="str">
        <f t="shared" si="0"/>
        <v>SUZANNE BRADLEY</v>
      </c>
    </row>
    <row r="33" spans="1:3" x14ac:dyDescent="0.25">
      <c r="A33" s="3" t="s">
        <v>156</v>
      </c>
      <c r="B33" t="s">
        <v>157</v>
      </c>
      <c r="C33" s="6" t="str">
        <f t="shared" si="0"/>
        <v>WILLIAM BRENNAN</v>
      </c>
    </row>
    <row r="34" spans="1:3" x14ac:dyDescent="0.25">
      <c r="A34" s="3" t="s">
        <v>148</v>
      </c>
      <c r="B34" t="s">
        <v>158</v>
      </c>
      <c r="C34" s="6" t="str">
        <f t="shared" si="0"/>
        <v>RONALD CARLSON</v>
      </c>
    </row>
    <row r="35" spans="1:3" x14ac:dyDescent="0.25">
      <c r="A35" s="3" t="s">
        <v>159</v>
      </c>
      <c r="B35" t="s">
        <v>160</v>
      </c>
      <c r="C35" s="6" t="str">
        <f t="shared" si="0"/>
        <v>JOANNE PIEMONTE</v>
      </c>
    </row>
    <row r="36" spans="1:3" x14ac:dyDescent="0.25">
      <c r="A36" s="3" t="s">
        <v>159</v>
      </c>
      <c r="B36" t="s">
        <v>161</v>
      </c>
      <c r="C36" s="6" t="str">
        <f t="shared" si="0"/>
        <v>MARK PIEMONTE</v>
      </c>
    </row>
    <row r="37" spans="1:3" x14ac:dyDescent="0.25">
      <c r="A37" s="3" t="s">
        <v>162</v>
      </c>
      <c r="B37" s="6" t="s">
        <v>163</v>
      </c>
      <c r="C37" s="6" t="str">
        <f t="shared" si="0"/>
        <v>ROGELIA ROMAN</v>
      </c>
    </row>
    <row r="38" spans="1:3" x14ac:dyDescent="0.25">
      <c r="A38" s="3" t="s">
        <v>164</v>
      </c>
      <c r="B38" t="s">
        <v>165</v>
      </c>
      <c r="C38" s="6" t="str">
        <f t="shared" si="0"/>
        <v>PAMELA ROPEK</v>
      </c>
    </row>
    <row r="39" spans="1:3" x14ac:dyDescent="0.25">
      <c r="A39" s="3" t="s">
        <v>136</v>
      </c>
      <c r="B39" t="s">
        <v>137</v>
      </c>
      <c r="C39" s="6" t="str">
        <f t="shared" si="0"/>
        <v>ERYNN TAITEL</v>
      </c>
    </row>
    <row r="40" spans="1:3" x14ac:dyDescent="0.25">
      <c r="A40" s="3" t="s">
        <v>166</v>
      </c>
      <c r="B40" t="s">
        <v>167</v>
      </c>
      <c r="C40" s="6" t="str">
        <f t="shared" si="0"/>
        <v>MARIA DAVILA</v>
      </c>
    </row>
    <row r="41" spans="1:3" x14ac:dyDescent="0.25">
      <c r="A41" s="3" t="s">
        <v>138</v>
      </c>
      <c r="B41" t="s">
        <v>139</v>
      </c>
      <c r="C41" s="6" t="str">
        <f t="shared" si="0"/>
        <v>ABIGAIL ELLIOTT</v>
      </c>
    </row>
    <row r="42" spans="1:3" x14ac:dyDescent="0.25">
      <c r="A42" s="3" t="s">
        <v>134</v>
      </c>
      <c r="B42" t="s">
        <v>135</v>
      </c>
      <c r="C42" s="6" t="str">
        <f t="shared" si="0"/>
        <v>KEVIN WILKER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Main Line Benefits LLC_med_comm</vt:lpstr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Cabel, Denisse Raeka</cp:lastModifiedBy>
  <dcterms:created xsi:type="dcterms:W3CDTF">2025-03-12T13:39:43Z</dcterms:created>
  <dcterms:modified xsi:type="dcterms:W3CDTF">2025-03-12T19:23:24Z</dcterms:modified>
</cp:coreProperties>
</file>