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Statements\08-19-25\"/>
    </mc:Choice>
  </mc:AlternateContent>
  <xr:revisionPtr revIDLastSave="0" documentId="13_ncr:1_{0D4DAD4D-0601-478F-96B5-6E607C60CC4E}" xr6:coauthVersionLast="47" xr6:coauthVersionMax="47" xr10:uidLastSave="{00000000-0000-0000-0000-000000000000}"/>
  <bookViews>
    <workbookView xWindow="-57720" yWindow="-45" windowWidth="29040" windowHeight="15720" activeTab="1" xr2:uid="{B0BE9668-B3DD-460A-862E-00700DC651C4}"/>
  </bookViews>
  <sheets>
    <sheet name="Main Line Benefits LLC_med_comm" sheetId="1" r:id="rId1"/>
    <sheet name="Sheet1" sheetId="2" r:id="rId2"/>
    <sheet name="Sheet3" sheetId="4" r:id="rId3"/>
    <sheet name="on hold" sheetId="3" r:id="rId4"/>
  </sheets>
  <definedNames>
    <definedName name="_xlnm._FilterDatabase" localSheetId="1" hidden="1">Sheet1!$A$1:$Q$830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2" i="4" l="1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1" i="4"/>
  <c r="B51" i="2"/>
  <c r="B50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181" i="2"/>
  <c r="B723" i="2"/>
  <c r="B830" i="2"/>
  <c r="B826" i="2"/>
  <c r="B180" i="2"/>
  <c r="B179" i="2"/>
  <c r="B825" i="2"/>
  <c r="B824" i="2"/>
  <c r="B698" i="2"/>
  <c r="B4" i="2"/>
  <c r="B69" i="2"/>
  <c r="B823" i="2"/>
  <c r="B726" i="2"/>
  <c r="B725" i="2"/>
  <c r="B681" i="2"/>
  <c r="B19" i="2"/>
  <c r="B822" i="2"/>
  <c r="B713" i="2"/>
  <c r="B68" i="2"/>
  <c r="B821" i="2"/>
  <c r="B697" i="2"/>
  <c r="B671" i="2"/>
  <c r="B18" i="2"/>
  <c r="B696" i="2"/>
  <c r="B178" i="2"/>
  <c r="B46" i="2"/>
  <c r="B695" i="2"/>
  <c r="B60" i="2"/>
  <c r="B703" i="2"/>
  <c r="B67" i="2"/>
  <c r="B66" i="2"/>
  <c r="B694" i="2"/>
  <c r="B702" i="2"/>
  <c r="B53" i="2"/>
  <c r="B3" i="2"/>
  <c r="B820" i="2"/>
  <c r="B819" i="2"/>
  <c r="B724" i="2"/>
  <c r="B712" i="2"/>
  <c r="B711" i="2"/>
  <c r="B818" i="2"/>
  <c r="B693" i="2"/>
  <c r="B720" i="2"/>
  <c r="B719" i="2"/>
  <c r="B59" i="2"/>
  <c r="B717" i="2"/>
  <c r="B45" i="2"/>
  <c r="B701" i="2"/>
  <c r="B817" i="2"/>
  <c r="B816" i="2"/>
  <c r="B718" i="2"/>
  <c r="B815" i="2"/>
  <c r="B58" i="2"/>
  <c r="B814" i="2"/>
  <c r="B813" i="2"/>
  <c r="B812" i="2"/>
  <c r="B811" i="2"/>
  <c r="B2" i="2"/>
  <c r="B692" i="2"/>
  <c r="B810" i="2"/>
  <c r="B809" i="2"/>
  <c r="B808" i="2"/>
  <c r="B807" i="2"/>
  <c r="B806" i="2"/>
  <c r="B805" i="2"/>
  <c r="B804" i="2"/>
  <c r="B680" i="2"/>
  <c r="B803" i="2"/>
  <c r="B691" i="2"/>
  <c r="B690" i="2"/>
  <c r="B65" i="2"/>
  <c r="B177" i="2"/>
  <c r="B64" i="2"/>
  <c r="B802" i="2"/>
  <c r="B801" i="2"/>
  <c r="B175" i="2"/>
  <c r="B9" i="2"/>
  <c r="B17" i="2"/>
  <c r="B800" i="2"/>
  <c r="B799" i="2"/>
  <c r="B689" i="2"/>
  <c r="B688" i="2"/>
  <c r="B798" i="2"/>
  <c r="B687" i="2"/>
  <c r="B20" i="2"/>
  <c r="B797" i="2"/>
  <c r="B44" i="2"/>
  <c r="B796" i="2"/>
  <c r="B716" i="2"/>
  <c r="B686" i="2"/>
  <c r="B827" i="2"/>
  <c r="B715" i="2"/>
  <c r="B714" i="2"/>
  <c r="B795" i="2"/>
  <c r="B685" i="2"/>
  <c r="B794" i="2"/>
  <c r="B57" i="2"/>
  <c r="B56" i="2"/>
  <c r="B63" i="2"/>
  <c r="B684" i="2"/>
  <c r="B62" i="2"/>
  <c r="B55" i="2"/>
  <c r="B683" i="2"/>
  <c r="B793" i="2"/>
  <c r="B168" i="2"/>
  <c r="B722" i="2"/>
  <c r="B54" i="2"/>
  <c r="B792" i="2"/>
  <c r="B791" i="2"/>
  <c r="B61" i="2"/>
  <c r="B682" i="2"/>
  <c r="B790" i="2"/>
  <c r="B789" i="2"/>
  <c r="B43" i="2"/>
  <c r="B788" i="2"/>
  <c r="B176" i="2"/>
  <c r="B787" i="2"/>
  <c r="B700" i="2"/>
  <c r="B699" i="2"/>
  <c r="B786" i="2"/>
  <c r="B785" i="2"/>
  <c r="B784" i="2"/>
  <c r="B783" i="2"/>
  <c r="B782" i="2"/>
  <c r="B781" i="2"/>
  <c r="B41" i="2"/>
  <c r="B780" i="2"/>
  <c r="B779" i="2"/>
  <c r="B16" i="2"/>
  <c r="B15" i="2"/>
  <c r="B169" i="2"/>
  <c r="B710" i="2"/>
  <c r="B778" i="2"/>
  <c r="B777" i="2"/>
  <c r="B776" i="2"/>
  <c r="B775" i="2"/>
  <c r="B829" i="2"/>
  <c r="B774" i="2"/>
  <c r="B773" i="2"/>
  <c r="B772" i="2"/>
  <c r="B40" i="2"/>
  <c r="B771" i="2"/>
  <c r="B770" i="2"/>
  <c r="B769" i="2"/>
  <c r="B39" i="2"/>
  <c r="B768" i="2"/>
  <c r="B767" i="2"/>
  <c r="B766" i="2"/>
  <c r="B765" i="2"/>
  <c r="B764" i="2"/>
  <c r="B763" i="2"/>
  <c r="B38" i="2"/>
  <c r="B37" i="2"/>
  <c r="B762" i="2"/>
  <c r="B761" i="2"/>
  <c r="B760" i="2"/>
  <c r="B759" i="2"/>
  <c r="B758" i="2"/>
  <c r="B52" i="2"/>
  <c r="B757" i="2"/>
  <c r="B756" i="2"/>
  <c r="B755" i="2"/>
  <c r="B170" i="2"/>
  <c r="B754" i="2"/>
  <c r="B753" i="2"/>
  <c r="B752" i="2"/>
  <c r="B751" i="2"/>
  <c r="B750" i="2"/>
  <c r="B749" i="2"/>
  <c r="B748" i="2"/>
  <c r="B747" i="2"/>
  <c r="B42" i="2"/>
  <c r="B746" i="2"/>
  <c r="B745" i="2"/>
  <c r="B14" i="2"/>
  <c r="B828" i="2"/>
  <c r="B744" i="2"/>
  <c r="B743" i="2"/>
  <c r="B742" i="2"/>
  <c r="B741" i="2"/>
  <c r="B740" i="2"/>
  <c r="B739" i="2"/>
  <c r="B738" i="2"/>
  <c r="B36" i="2"/>
  <c r="B35" i="2"/>
  <c r="B13" i="2"/>
  <c r="B737" i="2"/>
  <c r="B34" i="2"/>
  <c r="B736" i="2"/>
  <c r="B735" i="2"/>
  <c r="B734" i="2"/>
  <c r="B12" i="2"/>
  <c r="B733" i="2"/>
  <c r="B721" i="2"/>
  <c r="B72" i="2"/>
  <c r="B161" i="2"/>
  <c r="B679" i="2"/>
  <c r="B86" i="2"/>
  <c r="B79" i="2"/>
  <c r="B101" i="2"/>
  <c r="B26" i="2"/>
  <c r="B167" i="2"/>
  <c r="B100" i="2"/>
  <c r="B71" i="2"/>
  <c r="B85" i="2"/>
  <c r="B174" i="2"/>
  <c r="B678" i="2"/>
  <c r="B677" i="2"/>
  <c r="B732" i="2"/>
  <c r="B84" i="2"/>
  <c r="B99" i="2"/>
  <c r="B74" i="2"/>
  <c r="B78" i="2"/>
  <c r="B83" i="2"/>
  <c r="B24" i="2"/>
  <c r="B160" i="2"/>
  <c r="B164" i="2"/>
  <c r="B70" i="2"/>
  <c r="B98" i="2"/>
  <c r="B94" i="2"/>
  <c r="B77" i="2"/>
  <c r="B159" i="2"/>
  <c r="B89" i="2"/>
  <c r="B704" i="2"/>
  <c r="B676" i="2"/>
  <c r="B21" i="2"/>
  <c r="B91" i="2"/>
  <c r="B93" i="2"/>
  <c r="B88" i="2"/>
  <c r="B80" i="2"/>
  <c r="B166" i="2"/>
  <c r="B165" i="2"/>
  <c r="B675" i="2"/>
  <c r="B674" i="2"/>
  <c r="B162" i="2"/>
  <c r="B173" i="2"/>
  <c r="B709" i="2"/>
  <c r="B673" i="2"/>
  <c r="B172" i="2"/>
  <c r="B25" i="2"/>
  <c r="B135" i="2"/>
  <c r="B22" i="2"/>
  <c r="B73" i="2"/>
  <c r="B82" i="2"/>
  <c r="B97" i="2"/>
  <c r="B102" i="2"/>
  <c r="B23" i="2"/>
  <c r="B76" i="2"/>
  <c r="B92" i="2"/>
  <c r="B672" i="2"/>
  <c r="B49" i="2"/>
  <c r="B90" i="2"/>
  <c r="B87" i="2"/>
  <c r="B8" i="2"/>
  <c r="B81" i="2"/>
  <c r="B142" i="2"/>
  <c r="B107" i="2"/>
  <c r="B708" i="2"/>
  <c r="B134" i="2"/>
  <c r="B171" i="2"/>
  <c r="B731" i="2"/>
  <c r="B133" i="2"/>
  <c r="B153" i="2"/>
  <c r="B11" i="2"/>
  <c r="B152" i="2"/>
  <c r="B151" i="2"/>
  <c r="B132" i="2"/>
  <c r="B106" i="2"/>
  <c r="B141" i="2"/>
  <c r="B32" i="2"/>
  <c r="B131" i="2"/>
  <c r="B33" i="2"/>
  <c r="B31" i="2"/>
  <c r="B158" i="2"/>
  <c r="B146" i="2"/>
  <c r="B27" i="2"/>
  <c r="B150" i="2"/>
  <c r="B145" i="2"/>
  <c r="B130" i="2"/>
  <c r="B30" i="2"/>
  <c r="B129" i="2"/>
  <c r="B730" i="2"/>
  <c r="B128" i="2"/>
  <c r="B127" i="2"/>
  <c r="B126" i="2"/>
  <c r="B10" i="2"/>
  <c r="B155" i="2"/>
  <c r="B140" i="2"/>
  <c r="B125" i="2"/>
  <c r="B729" i="2"/>
  <c r="B139" i="2"/>
  <c r="B124" i="2"/>
  <c r="B123" i="2"/>
  <c r="B122" i="2"/>
  <c r="B144" i="2"/>
  <c r="B121" i="2"/>
  <c r="B96" i="2"/>
  <c r="B95" i="2"/>
  <c r="B120" i="2"/>
  <c r="B119" i="2"/>
  <c r="B7" i="2"/>
  <c r="B6" i="2"/>
  <c r="B138" i="2"/>
  <c r="B163" i="2"/>
  <c r="B728" i="2"/>
  <c r="B105" i="2"/>
  <c r="B149" i="2"/>
  <c r="B707" i="2"/>
  <c r="B104" i="2"/>
  <c r="B154" i="2"/>
  <c r="B103" i="2"/>
  <c r="B148" i="2"/>
  <c r="B147" i="2"/>
  <c r="B118" i="2"/>
  <c r="B29" i="2"/>
  <c r="B5" i="2"/>
  <c r="B48" i="2"/>
  <c r="B117" i="2"/>
  <c r="B116" i="2"/>
  <c r="B137" i="2"/>
  <c r="B143" i="2"/>
  <c r="B115" i="2"/>
  <c r="B157" i="2"/>
  <c r="B114" i="2"/>
  <c r="B113" i="2"/>
  <c r="B112" i="2"/>
  <c r="B111" i="2"/>
  <c r="B156" i="2"/>
  <c r="B47" i="2"/>
  <c r="B727" i="2"/>
  <c r="B110" i="2"/>
  <c r="B706" i="2"/>
  <c r="B109" i="2"/>
  <c r="B136" i="2"/>
  <c r="B28" i="2"/>
  <c r="B108" i="2"/>
  <c r="B75" i="2"/>
  <c r="B705" i="2"/>
  <c r="Q670" i="2"/>
  <c r="Q51" i="2"/>
  <c r="Q723" i="2"/>
  <c r="Q668" i="2"/>
  <c r="Q830" i="2"/>
  <c r="Q663" i="2"/>
  <c r="Q824" i="2"/>
  <c r="Q662" i="2"/>
  <c r="Q698" i="2"/>
  <c r="M182" i="2"/>
  <c r="M721" i="2"/>
</calcChain>
</file>

<file path=xl/sharedStrings.xml><?xml version="1.0" encoding="utf-8"?>
<sst xmlns="http://schemas.openxmlformats.org/spreadsheetml/2006/main" count="20921" uniqueCount="4535">
  <si>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</si>
  <si>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</si>
  <si>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</si>
  <si>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</si>
  <si>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</si>
  <si>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</si>
  <si>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</si>
  <si>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</si>
  <si>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</si>
  <si>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</si>
  <si>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</si>
  <si>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</si>
  <si>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</si>
  <si>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</si>
  <si>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</si>
  <si>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</si>
  <si>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</si>
  <si>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</si>
  <si>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</si>
  <si>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</si>
  <si>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</si>
  <si>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</si>
  <si>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</si>
  <si>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</si>
  <si>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8CY6V16PX75</t>
  </si>
  <si>
    <t>NG102037178300</t>
  </si>
  <si>
    <t>ADAMS L,ANITA</t>
  </si>
  <si>
    <t>PA</t>
  </si>
  <si>
    <t>Renewal</t>
  </si>
  <si>
    <t>MAPD</t>
  </si>
  <si>
    <t>IMM608</t>
  </si>
  <si>
    <t>H3959-001</t>
  </si>
  <si>
    <t>LOA</t>
  </si>
  <si>
    <t>Inskipt, Deborah</t>
  </si>
  <si>
    <t>GMO</t>
  </si>
  <si>
    <t>Main Line Benefits LLC</t>
  </si>
  <si>
    <t xml:space="preserve">N  </t>
  </si>
  <si>
    <t>2Q11HA0WY99</t>
  </si>
  <si>
    <t>NG101185004500</t>
  </si>
  <si>
    <t>ALBECK W,TERRY</t>
  </si>
  <si>
    <t>IMM507</t>
  </si>
  <si>
    <t>H3959-032</t>
  </si>
  <si>
    <t>Powers, Deborah</t>
  </si>
  <si>
    <t>9TC6YQ6JQ72</t>
  </si>
  <si>
    <t>NG101180383800</t>
  </si>
  <si>
    <t>ALLAN S,JEFFREY</t>
  </si>
  <si>
    <t>H3959-002</t>
  </si>
  <si>
    <t>4GJ2WJ7RX04</t>
  </si>
  <si>
    <t>NG101903871400</t>
  </si>
  <si>
    <t>ALLISON B,JEFFREY</t>
  </si>
  <si>
    <t>H3959-011</t>
  </si>
  <si>
    <t>LMO</t>
  </si>
  <si>
    <t>9MP6HW3DY49</t>
  </si>
  <si>
    <t>NG101159481800</t>
  </si>
  <si>
    <t>AMES L,GARY</t>
  </si>
  <si>
    <t>H5522-028</t>
  </si>
  <si>
    <t>Foley, Carol</t>
  </si>
  <si>
    <t>7Y83UC3NH02</t>
  </si>
  <si>
    <t>NG102012252800</t>
  </si>
  <si>
    <t>ANDERSON E,WALLACE</t>
  </si>
  <si>
    <t>IN</t>
  </si>
  <si>
    <t>IMM606</t>
  </si>
  <si>
    <t>H3192-005</t>
  </si>
  <si>
    <t>Teipel, Gregory</t>
  </si>
  <si>
    <t>2GY7QX5PT42</t>
  </si>
  <si>
    <t>NG101114920100</t>
  </si>
  <si>
    <t>ANDERSON G,CLIFFORD</t>
  </si>
  <si>
    <t>7QD5N91JW78</t>
  </si>
  <si>
    <t>NG101821730700</t>
  </si>
  <si>
    <t>ANDERSON L,SANDRA</t>
  </si>
  <si>
    <t>H3959-010</t>
  </si>
  <si>
    <t>9UT1K12YQ25</t>
  </si>
  <si>
    <t>NG102030823900</t>
  </si>
  <si>
    <t>ANGELINI F,PAULA</t>
  </si>
  <si>
    <t>IL</t>
  </si>
  <si>
    <t>H7301-013</t>
  </si>
  <si>
    <t>Portugal, Stacey</t>
  </si>
  <si>
    <t>9WQ2RR2XV17</t>
  </si>
  <si>
    <t>NG102035359600</t>
  </si>
  <si>
    <t>ANGELINI M,PHILIP</t>
  </si>
  <si>
    <t>6C60X81XK13</t>
  </si>
  <si>
    <t>NG101877827500</t>
  </si>
  <si>
    <t>ARELT H,MARY</t>
  </si>
  <si>
    <t>5PG4HV7AG79</t>
  </si>
  <si>
    <t>NG101516783700</t>
  </si>
  <si>
    <t>ARMSTRONG M,LINDA</t>
  </si>
  <si>
    <t>3JJ8KP5DA36</t>
  </si>
  <si>
    <t>NG102041647300</t>
  </si>
  <si>
    <t>ASHLOCK D,KENNY</t>
  </si>
  <si>
    <t>MO</t>
  </si>
  <si>
    <t>IMM607</t>
  </si>
  <si>
    <t>H2663-023</t>
  </si>
  <si>
    <t>3HJ6PD8GP67</t>
  </si>
  <si>
    <t>MECHGA6879061</t>
  </si>
  <si>
    <t>ATTRIDGE,JOAN</t>
  </si>
  <si>
    <t>MD</t>
  </si>
  <si>
    <t>PDP</t>
  </si>
  <si>
    <t>S5601-010</t>
  </si>
  <si>
    <t>Richter, Adam</t>
  </si>
  <si>
    <t>1CF2U50WM01</t>
  </si>
  <si>
    <t>NG101916070900</t>
  </si>
  <si>
    <t>AUGOSTINE C,THOMAS</t>
  </si>
  <si>
    <t>Powers, Timothy</t>
  </si>
  <si>
    <t>4CK4WW3TD99</t>
  </si>
  <si>
    <t>NG101721693400</t>
  </si>
  <si>
    <t>BAKER A,TERRE</t>
  </si>
  <si>
    <t>H5521-263</t>
  </si>
  <si>
    <t>Richter Peter</t>
  </si>
  <si>
    <t>7NR2DD5GP83</t>
  </si>
  <si>
    <t>NG101940861100</t>
  </si>
  <si>
    <t>BAKER L,GARY</t>
  </si>
  <si>
    <t>TX</t>
  </si>
  <si>
    <t>IMM618</t>
  </si>
  <si>
    <t>H2293-016</t>
  </si>
  <si>
    <t>DAUGHERTY, MATTHEW</t>
  </si>
  <si>
    <t>1UF4YY7WC03</t>
  </si>
  <si>
    <t>NG101472611200</t>
  </si>
  <si>
    <t>BALENTINE W,EARL</t>
  </si>
  <si>
    <t>3R70NF3WT39</t>
  </si>
  <si>
    <t>NG101471660500</t>
  </si>
  <si>
    <t>BAPTISTE C,JOANNE</t>
  </si>
  <si>
    <t>2PT6CN9YV79</t>
  </si>
  <si>
    <t>NG101066997100</t>
  </si>
  <si>
    <t>BAPTISTE R,RICHARD</t>
  </si>
  <si>
    <t>6K34AV0WA72</t>
  </si>
  <si>
    <t>NG101817909200</t>
  </si>
  <si>
    <t>BARBER R,CHRISTI</t>
  </si>
  <si>
    <t>MA</t>
  </si>
  <si>
    <t>H3959-041</t>
  </si>
  <si>
    <t>5KQ1H92WP02</t>
  </si>
  <si>
    <t>NG101458682200</t>
  </si>
  <si>
    <t>BARRALL A,DEBRA</t>
  </si>
  <si>
    <t>9QF6G73NM52</t>
  </si>
  <si>
    <t>NG101780157400</t>
  </si>
  <si>
    <t>BAURLE J,KENNETH</t>
  </si>
  <si>
    <t>3CT4CK5FV79</t>
  </si>
  <si>
    <t>NG102061588300</t>
  </si>
  <si>
    <t>BEARDMORE D,MARTHA</t>
  </si>
  <si>
    <t>Aguglia, Scott</t>
  </si>
  <si>
    <t>5R19YQ7DT44</t>
  </si>
  <si>
    <t>NG101827435600</t>
  </si>
  <si>
    <t>BEATTY E,NAOMI</t>
  </si>
  <si>
    <t>1K03GW8NH15</t>
  </si>
  <si>
    <t>NG101628951400</t>
  </si>
  <si>
    <t>BEBLO L,SUZEE</t>
  </si>
  <si>
    <t>8ET8UA3WQ35</t>
  </si>
  <si>
    <t>NG101628755300</t>
  </si>
  <si>
    <t>BEBLO T,ALAN</t>
  </si>
  <si>
    <t>2JX9P33CW44</t>
  </si>
  <si>
    <t>NG101084611600</t>
  </si>
  <si>
    <t xml:space="preserve">2971542HPA       </t>
  </si>
  <si>
    <t>BECK,CLAUDE R</t>
  </si>
  <si>
    <t>IMM001</t>
  </si>
  <si>
    <t>5WT2HD3GA13</t>
  </si>
  <si>
    <t>NG101470645900</t>
  </si>
  <si>
    <t>BECKER,REBA</t>
  </si>
  <si>
    <t>H3959-036</t>
  </si>
  <si>
    <t>7WE3E55AH78</t>
  </si>
  <si>
    <t>NG102078822400</t>
  </si>
  <si>
    <t>BEERMAN,LAURALEE</t>
  </si>
  <si>
    <t>CO</t>
  </si>
  <si>
    <t>IMM610</t>
  </si>
  <si>
    <t>H3931-153</t>
  </si>
  <si>
    <t>Lee, Joel</t>
  </si>
  <si>
    <t>5NJ9T35XN46</t>
  </si>
  <si>
    <t>NG101698190600</t>
  </si>
  <si>
    <t>BEERS C,MARGARET</t>
  </si>
  <si>
    <t>3J91YY0MG03</t>
  </si>
  <si>
    <t>NG102004126000</t>
  </si>
  <si>
    <t>BEGGS A,LOIS</t>
  </si>
  <si>
    <t>2F16C21QX40</t>
  </si>
  <si>
    <t>NG101700534500</t>
  </si>
  <si>
    <t>BELCHER A,EDWARD</t>
  </si>
  <si>
    <t>H5522-004</t>
  </si>
  <si>
    <t>7N70MQ0RV42</t>
  </si>
  <si>
    <t>NG101049150200</t>
  </si>
  <si>
    <t>BELL M,DENNIS</t>
  </si>
  <si>
    <t>8VV9Q16AF48</t>
  </si>
  <si>
    <t>NG101707211600</t>
  </si>
  <si>
    <t>BENETAS C,JONATHAN</t>
  </si>
  <si>
    <t>7WH1HW4KD27</t>
  </si>
  <si>
    <t>NG101813111300</t>
  </si>
  <si>
    <t>BERENDZEN,MICHAEL</t>
  </si>
  <si>
    <t>IMM619</t>
  </si>
  <si>
    <t>H2663-041</t>
  </si>
  <si>
    <t>2CJ2CU8JH21</t>
  </si>
  <si>
    <t>NG101806263100</t>
  </si>
  <si>
    <t>BERGER A,MARY</t>
  </si>
  <si>
    <t>H5521-223</t>
  </si>
  <si>
    <t>7WV2VT9MR28</t>
  </si>
  <si>
    <t>NG102037260600</t>
  </si>
  <si>
    <t>BETTENHAUSEN J,SUSAN</t>
  </si>
  <si>
    <t>6NQ9VF9NJ18</t>
  </si>
  <si>
    <t>NG102052502800</t>
  </si>
  <si>
    <t>BIESCHKE R,MICHAEL</t>
  </si>
  <si>
    <t>Herrera-Larsen, Esther</t>
  </si>
  <si>
    <t>6U12U20QK98</t>
  </si>
  <si>
    <t>NG101981672700</t>
  </si>
  <si>
    <t>BILAK M,JOY</t>
  </si>
  <si>
    <t>7RX0CD3YU12</t>
  </si>
  <si>
    <t>NG101697166100</t>
  </si>
  <si>
    <t>BISHOP,THOMAS</t>
  </si>
  <si>
    <t>H5522-005</t>
  </si>
  <si>
    <t>1NM9K61ER41</t>
  </si>
  <si>
    <t>NG101884886200</t>
  </si>
  <si>
    <t>BISWICK A,PATRICIA</t>
  </si>
  <si>
    <t>5YK6T80PG82</t>
  </si>
  <si>
    <t>NG101884893700</t>
  </si>
  <si>
    <t>BISWICK L,MARK</t>
  </si>
  <si>
    <t>1UY8H82YV24</t>
  </si>
  <si>
    <t>NG101786692600</t>
  </si>
  <si>
    <t>BLACK C,DIANE</t>
  </si>
  <si>
    <t>2UN6AF0HD51</t>
  </si>
  <si>
    <t>NG101786807500</t>
  </si>
  <si>
    <t>BLACK K,WILLIAM</t>
  </si>
  <si>
    <t>9QM8KA0AR31</t>
  </si>
  <si>
    <t>NG101201876300</t>
  </si>
  <si>
    <t>BLAZOSKY J,JOHN</t>
  </si>
  <si>
    <t>2PQ9H60MY29</t>
  </si>
  <si>
    <t>NG101874502800</t>
  </si>
  <si>
    <t>BLESSINGTON A,SUSAN</t>
  </si>
  <si>
    <t>Hoffmann Jason</t>
  </si>
  <si>
    <t>1NC2QM2VT84</t>
  </si>
  <si>
    <t>NG102046673700</t>
  </si>
  <si>
    <t>BLESSINGTON K,JAMES</t>
  </si>
  <si>
    <t>5KE1VF1PT36</t>
  </si>
  <si>
    <t>NG101775104200</t>
  </si>
  <si>
    <t>BLOSTEIN A,MICHAEL</t>
  </si>
  <si>
    <t>6RC6DK6YD52</t>
  </si>
  <si>
    <t>NG101508357100</t>
  </si>
  <si>
    <t>BOCIAN S,PAULA</t>
  </si>
  <si>
    <t>6VG8DT1AR27</t>
  </si>
  <si>
    <t>NG102054994500</t>
  </si>
  <si>
    <t>BOLDEN R,DOLORES</t>
  </si>
  <si>
    <t>AL</t>
  </si>
  <si>
    <t>IMM605</t>
  </si>
  <si>
    <t>H5521-116</t>
  </si>
  <si>
    <t>2K15C15QJ67</t>
  </si>
  <si>
    <t>NG102007511900</t>
  </si>
  <si>
    <t>BOLFING R,DAVID</t>
  </si>
  <si>
    <t>H1608-067</t>
  </si>
  <si>
    <t>9Y59YN1RP55</t>
  </si>
  <si>
    <t>NG101941186600</t>
  </si>
  <si>
    <t>BONAPARTE M,SHIZUKO</t>
  </si>
  <si>
    <t>NY</t>
  </si>
  <si>
    <t>IMM615</t>
  </si>
  <si>
    <t>H3312-069</t>
  </si>
  <si>
    <t>AG4</t>
  </si>
  <si>
    <t>HERCHENRODER KLAUS</t>
  </si>
  <si>
    <t>5XX2HM5JC08</t>
  </si>
  <si>
    <t>NG102044729900</t>
  </si>
  <si>
    <t>BOOKER D,SONYA</t>
  </si>
  <si>
    <t>Portugal, Gary</t>
  </si>
  <si>
    <t>7Y09AP5JP59</t>
  </si>
  <si>
    <t>NG101546683100</t>
  </si>
  <si>
    <t>BORCZ A,THOMAS</t>
  </si>
  <si>
    <t>5MJ5P27CD98</t>
  </si>
  <si>
    <t>NG102053814300</t>
  </si>
  <si>
    <t>BORJON,DIANA</t>
  </si>
  <si>
    <t>Hunsberger, Anthony</t>
  </si>
  <si>
    <t>2V80NY6VV23</t>
  </si>
  <si>
    <t>NG101746906900</t>
  </si>
  <si>
    <t>BOTT E,THOMAS</t>
  </si>
  <si>
    <t>6E97QY1QP69</t>
  </si>
  <si>
    <t>NG101500561700</t>
  </si>
  <si>
    <t>BOWSER J,DARCEE</t>
  </si>
  <si>
    <t>3F39VK2UD54</t>
  </si>
  <si>
    <t>NG102009524100</t>
  </si>
  <si>
    <t>BOYLE,ROBERT</t>
  </si>
  <si>
    <t>6HY4XG1VC09</t>
  </si>
  <si>
    <t>NG101055639600</t>
  </si>
  <si>
    <t xml:space="preserve">2044890HPA       </t>
  </si>
  <si>
    <t>BRACKEN,CARL R</t>
  </si>
  <si>
    <t>IMM401</t>
  </si>
  <si>
    <t>5U36K14RJ79</t>
  </si>
  <si>
    <t>NG101058793600</t>
  </si>
  <si>
    <t xml:space="preserve">9277302HPA       </t>
  </si>
  <si>
    <t>BRACKEN,GRACE D</t>
  </si>
  <si>
    <t>7KU6UG1MN44</t>
  </si>
  <si>
    <t>NG101049531900</t>
  </si>
  <si>
    <t>BRADLEY M,JOHN</t>
  </si>
  <si>
    <t>4WY1QT4JW05</t>
  </si>
  <si>
    <t>NG101486921100</t>
  </si>
  <si>
    <t>BRADLEY STECK L,TARA</t>
  </si>
  <si>
    <t>1N91WQ2JW15</t>
  </si>
  <si>
    <t>NG101991677500</t>
  </si>
  <si>
    <t>BRANNON M,SUSAN</t>
  </si>
  <si>
    <t>7X31JW6JW38</t>
  </si>
  <si>
    <t>NG101129469000</t>
  </si>
  <si>
    <t>BRANTHOOVER A,MARK</t>
  </si>
  <si>
    <t>6HA0UV6FW26</t>
  </si>
  <si>
    <t>NG102014399100</t>
  </si>
  <si>
    <t>BRENCHAK A,JOHN</t>
  </si>
  <si>
    <t>McCorkle, Michelle</t>
  </si>
  <si>
    <t>3MX2F24DQ89</t>
  </si>
  <si>
    <t>NG101786082500</t>
  </si>
  <si>
    <t>BRENENBORG E,DONALD</t>
  </si>
  <si>
    <t>5FV2CE4HN05</t>
  </si>
  <si>
    <t>NG101564560300</t>
  </si>
  <si>
    <t>BRENENBORG I,JOYCE</t>
  </si>
  <si>
    <t>8AN6H85DJ46</t>
  </si>
  <si>
    <t>NG102056819400</t>
  </si>
  <si>
    <t>BRIDGES E,ELIZABETH</t>
  </si>
  <si>
    <t>FL</t>
  </si>
  <si>
    <t>IMM604</t>
  </si>
  <si>
    <t>H5521-269</t>
  </si>
  <si>
    <t>6PA5JW7HJ56</t>
  </si>
  <si>
    <t>NG101520916200</t>
  </si>
  <si>
    <t>BRNA D,GERALD</t>
  </si>
  <si>
    <t>3FP7YQ8XK67</t>
  </si>
  <si>
    <t>NG102049267000</t>
  </si>
  <si>
    <t>BROCKMAN L,TRACEY</t>
  </si>
  <si>
    <t>7N06X77MY58</t>
  </si>
  <si>
    <t>NG101559233900</t>
  </si>
  <si>
    <t>BROWN A,ROBERT</t>
  </si>
  <si>
    <t>7MY8TU2AM27</t>
  </si>
  <si>
    <t>NG101778268700</t>
  </si>
  <si>
    <t>BROWN L,CINDY</t>
  </si>
  <si>
    <t>6V40VM0GY02</t>
  </si>
  <si>
    <t>NG101987261100</t>
  </si>
  <si>
    <t>BROWN M,SHEILA</t>
  </si>
  <si>
    <t>IA</t>
  </si>
  <si>
    <t>H1608-001</t>
  </si>
  <si>
    <t>9R23FX7KN71</t>
  </si>
  <si>
    <t>NG102029646800</t>
  </si>
  <si>
    <t>BROWN S,WILLIAM</t>
  </si>
  <si>
    <t>HORN, JEFFREY</t>
  </si>
  <si>
    <t>3XH3T09EM04</t>
  </si>
  <si>
    <t>NG102061419300</t>
  </si>
  <si>
    <t>BROWN,HEWLETT</t>
  </si>
  <si>
    <t>H3959-035</t>
  </si>
  <si>
    <t>GBASSANA, FREDERICK</t>
  </si>
  <si>
    <t>9N60HK1RT10</t>
  </si>
  <si>
    <t>NG102050715300</t>
  </si>
  <si>
    <t>BRYNICZKA A,LORI</t>
  </si>
  <si>
    <t>Strohman, Brian</t>
  </si>
  <si>
    <t>8D67GM9FV41</t>
  </si>
  <si>
    <t>NG101458074100</t>
  </si>
  <si>
    <t>BUCK E,FRANK</t>
  </si>
  <si>
    <t>H1609-059</t>
  </si>
  <si>
    <t>1AE5XP4NQ64</t>
  </si>
  <si>
    <t>NG101824782300</t>
  </si>
  <si>
    <t>BUCK J,PATRICK</t>
  </si>
  <si>
    <t>2RM5DX5FY97</t>
  </si>
  <si>
    <t>NG102059560100</t>
  </si>
  <si>
    <t>BULL D,MICHAEL</t>
  </si>
  <si>
    <t>KS</t>
  </si>
  <si>
    <t>H2663-061</t>
  </si>
  <si>
    <t>6T59RH6FV49</t>
  </si>
  <si>
    <t>NG101645612000</t>
  </si>
  <si>
    <t>BURKA R,NICHOLAS</t>
  </si>
  <si>
    <t>9DN7N71MJ36</t>
  </si>
  <si>
    <t>NG101984111400</t>
  </si>
  <si>
    <t>BURLEIGH T,RONALD</t>
  </si>
  <si>
    <t>8NA6HG8QQ81</t>
  </si>
  <si>
    <t>NG101067108300</t>
  </si>
  <si>
    <t>BURNS P,JOHN</t>
  </si>
  <si>
    <t>9EY2TP7RT01</t>
  </si>
  <si>
    <t>NG101815732900</t>
  </si>
  <si>
    <t>BUTCHERINE D,LINDA</t>
  </si>
  <si>
    <t>8PV3MN8MT79</t>
  </si>
  <si>
    <t>NG101089630000</t>
  </si>
  <si>
    <t>BUTCHERINE M,THOMAS</t>
  </si>
  <si>
    <t>2GV4JY5JR98</t>
  </si>
  <si>
    <t>NG101857276600</t>
  </si>
  <si>
    <t>BYRD J,PATRICIA</t>
  </si>
  <si>
    <t>H5521-272</t>
  </si>
  <si>
    <t>4Y98ET4QH64</t>
  </si>
  <si>
    <t>NG101772686200</t>
  </si>
  <si>
    <t>BYRON A,DEBORA</t>
  </si>
  <si>
    <t>4AJ9KV4YJ43</t>
  </si>
  <si>
    <t>NG101475742300</t>
  </si>
  <si>
    <t>CALAMUSA A,JOSEPH</t>
  </si>
  <si>
    <t>4V49Q57JC34</t>
  </si>
  <si>
    <t>NG101475587700</t>
  </si>
  <si>
    <t>CALAMUSA A,TERESA</t>
  </si>
  <si>
    <t>5X55DN3RA93</t>
  </si>
  <si>
    <t>NG101761975200</t>
  </si>
  <si>
    <t>CAPELLA A,JOHN</t>
  </si>
  <si>
    <t>5VR3GE1JQ94</t>
  </si>
  <si>
    <t>NG102043771500</t>
  </si>
  <si>
    <t>CARDIN M,THERESA</t>
  </si>
  <si>
    <t>5WJ1A14TE10</t>
  </si>
  <si>
    <t>NG101058154700</t>
  </si>
  <si>
    <t>CARRIGAN J,MICHAEL</t>
  </si>
  <si>
    <t>5FR6QA5TP53</t>
  </si>
  <si>
    <t>NG101082956400</t>
  </si>
  <si>
    <t xml:space="preserve">6707383HPA       </t>
  </si>
  <si>
    <t>CARRIGAN,LINDA J</t>
  </si>
  <si>
    <t>1UJ3W11WD60</t>
  </si>
  <si>
    <t>NG101551336000</t>
  </si>
  <si>
    <t>CARSON J,LINDA</t>
  </si>
  <si>
    <t>5FN3JX1EM90</t>
  </si>
  <si>
    <t>NG101862933800</t>
  </si>
  <si>
    <t>CARTER W,MICHAEL</t>
  </si>
  <si>
    <t>6JN7N34PV55</t>
  </si>
  <si>
    <t>NG101565188200</t>
  </si>
  <si>
    <t>CHAFFIN A,PATRICIA</t>
  </si>
  <si>
    <t>4HF9PJ3AU30</t>
  </si>
  <si>
    <t>NG102187585700</t>
  </si>
  <si>
    <t>CHAPPELL I,KATHRYN</t>
  </si>
  <si>
    <t>OR</t>
  </si>
  <si>
    <t>New Business</t>
  </si>
  <si>
    <t>IMM616</t>
  </si>
  <si>
    <t>H2056-003</t>
  </si>
  <si>
    <t>Yale, Jacob</t>
  </si>
  <si>
    <t>5T97R81KU53</t>
  </si>
  <si>
    <t>NG101867387500</t>
  </si>
  <si>
    <t>CHIANG P,SUNANTA</t>
  </si>
  <si>
    <t>H5521-433</t>
  </si>
  <si>
    <t>9QP4MM6KM99</t>
  </si>
  <si>
    <t>NG102059218000</t>
  </si>
  <si>
    <t>CHILENSKY J,DEBORAH</t>
  </si>
  <si>
    <t>3QR6QH7QP53</t>
  </si>
  <si>
    <t>NG101770929100</t>
  </si>
  <si>
    <t>CHRISTY E,SUE</t>
  </si>
  <si>
    <t>6JR9JF7KV40</t>
  </si>
  <si>
    <t>NG101476298900</t>
  </si>
  <si>
    <t>CHRISTY L,ROBERT</t>
  </si>
  <si>
    <t>8W29C06XU46</t>
  </si>
  <si>
    <t>NG101554033600</t>
  </si>
  <si>
    <t>CHRISTY M,EARL</t>
  </si>
  <si>
    <t>1AP6N93GK68</t>
  </si>
  <si>
    <t>NG101708071100</t>
  </si>
  <si>
    <t>CIESIELSKI L,MARK</t>
  </si>
  <si>
    <t>7WF9AG1XF17</t>
  </si>
  <si>
    <t>NG102088844600</t>
  </si>
  <si>
    <t>CLANCY S,ELISE</t>
  </si>
  <si>
    <t>H7301-006</t>
  </si>
  <si>
    <t>5FY0KN2QE31</t>
  </si>
  <si>
    <t>NG101644918100</t>
  </si>
  <si>
    <t>CLARK L,DOUGLAS</t>
  </si>
  <si>
    <t>9VK9AM1FT41</t>
  </si>
  <si>
    <t>NG101455348200</t>
  </si>
  <si>
    <t>CLARK S,NANCY</t>
  </si>
  <si>
    <t>1D51FR1WY13</t>
  </si>
  <si>
    <t>NG101645594400</t>
  </si>
  <si>
    <t>CLARK T,BEATRICE</t>
  </si>
  <si>
    <t>9RN4TH2DV95</t>
  </si>
  <si>
    <t>NG101462077200</t>
  </si>
  <si>
    <t>CLARK W,EARL</t>
  </si>
  <si>
    <t>8HF4NU5CQ94</t>
  </si>
  <si>
    <t>NG102187630800</t>
  </si>
  <si>
    <t>CLARK,DONNY</t>
  </si>
  <si>
    <t>TN</t>
  </si>
  <si>
    <t>IMM609</t>
  </si>
  <si>
    <t>H5521-254</t>
  </si>
  <si>
    <t>3ND0YF7FX20</t>
  </si>
  <si>
    <t>NG101965580400</t>
  </si>
  <si>
    <t>CLARKE F,LESLIE</t>
  </si>
  <si>
    <t>8UP9GD5RA39</t>
  </si>
  <si>
    <t>NG101705440500</t>
  </si>
  <si>
    <t>CLAY R,THOMAS</t>
  </si>
  <si>
    <t>9PM9U60WY37</t>
  </si>
  <si>
    <t>NG101475440500</t>
  </si>
  <si>
    <t>CLAYPOOLE E,KENNETH</t>
  </si>
  <si>
    <t>5W27CX1RP72</t>
  </si>
  <si>
    <t>NG101058087000</t>
  </si>
  <si>
    <t>CLAYPOOLE I,RUTH</t>
  </si>
  <si>
    <t>2PK0QX0DF41</t>
  </si>
  <si>
    <t>NG101758173300</t>
  </si>
  <si>
    <t>CLAYTON T,ROGER</t>
  </si>
  <si>
    <t>H5521-227</t>
  </si>
  <si>
    <t>5YR5WG0DD93</t>
  </si>
  <si>
    <t>NG101458832600</t>
  </si>
  <si>
    <t>CLINE J,PAULA</t>
  </si>
  <si>
    <t>4CJ4TD9KH82</t>
  </si>
  <si>
    <t>NG101791541400</t>
  </si>
  <si>
    <t>CLINGENSMITH E,ROXANNE</t>
  </si>
  <si>
    <t>7RC0AX3XC31</t>
  </si>
  <si>
    <t>NG101915827500</t>
  </si>
  <si>
    <t>CLOUD J,KEVIN</t>
  </si>
  <si>
    <t>H3288-008</t>
  </si>
  <si>
    <t>6KJ4QN3YM65</t>
  </si>
  <si>
    <t>NG101054911000</t>
  </si>
  <si>
    <t xml:space="preserve">3313321HPA       </t>
  </si>
  <si>
    <t>CLOUSE,RICHARD A</t>
  </si>
  <si>
    <t>4Y08XT5EU34</t>
  </si>
  <si>
    <t>NG101619192600</t>
  </si>
  <si>
    <t>COBLENTZ R,KIMBERLY</t>
  </si>
  <si>
    <t>6WA3V71DD81</t>
  </si>
  <si>
    <t>NG101826956600</t>
  </si>
  <si>
    <t>COHEN,DAVID</t>
  </si>
  <si>
    <t>H1609-018</t>
  </si>
  <si>
    <t>5K81EA8QA17</t>
  </si>
  <si>
    <t>NG101827031500</t>
  </si>
  <si>
    <t>COHEN,RINA</t>
  </si>
  <si>
    <t>9R19MV1QT34</t>
  </si>
  <si>
    <t>NG101836387900</t>
  </si>
  <si>
    <t>COIA M,GREGORY</t>
  </si>
  <si>
    <t>H2663-026</t>
  </si>
  <si>
    <t>2XK8X40RJ64</t>
  </si>
  <si>
    <t>NG101779194800</t>
  </si>
  <si>
    <t>COIA M,TINA</t>
  </si>
  <si>
    <t>4YF9G36XJ39</t>
  </si>
  <si>
    <t>NG102003372200</t>
  </si>
  <si>
    <t>COLBURN,KATHLEEN</t>
  </si>
  <si>
    <t>H5522-017</t>
  </si>
  <si>
    <t>5DC0NE3UQ42</t>
  </si>
  <si>
    <t>NG101862153400</t>
  </si>
  <si>
    <t>COLEMAN L,GLADYS</t>
  </si>
  <si>
    <t>5GR3Y10GT86</t>
  </si>
  <si>
    <t>NG101298071600</t>
  </si>
  <si>
    <t>COMBEN S,RICHARD</t>
  </si>
  <si>
    <t>9H67CD6HT39</t>
  </si>
  <si>
    <t>NG101815051300</t>
  </si>
  <si>
    <t>CONBOY E,SCOTT</t>
  </si>
  <si>
    <t>9XF1X65GQ05</t>
  </si>
  <si>
    <t>NG101746932000</t>
  </si>
  <si>
    <t>CONNERS,LISA</t>
  </si>
  <si>
    <t>5XQ1Y11UG06</t>
  </si>
  <si>
    <t>NG101212543700</t>
  </si>
  <si>
    <t>CONTE G,CLAUDIA</t>
  </si>
  <si>
    <t>1JR0UX8GW09</t>
  </si>
  <si>
    <t>NG101847412200</t>
  </si>
  <si>
    <t>CORBETT P,FRANCIS</t>
  </si>
  <si>
    <t>9T79PP9YW43</t>
  </si>
  <si>
    <t>NG101956703100</t>
  </si>
  <si>
    <t>CORTRIGHT W,KEVIN</t>
  </si>
  <si>
    <t>NJ</t>
  </si>
  <si>
    <t>IMM614</t>
  </si>
  <si>
    <t>H5521-392</t>
  </si>
  <si>
    <t>8EF8U17FY32</t>
  </si>
  <si>
    <t>NG101929827400</t>
  </si>
  <si>
    <t>COSS A,DUDLEY</t>
  </si>
  <si>
    <t>6J83EA8NJ74</t>
  </si>
  <si>
    <t>NG101485181900</t>
  </si>
  <si>
    <t>COUGHENOUR A,GLENDA</t>
  </si>
  <si>
    <t>2UG9PG4PE37</t>
  </si>
  <si>
    <t>NG101485351600</t>
  </si>
  <si>
    <t>COUGHENOUR E,RICHARD</t>
  </si>
  <si>
    <t>9C40HW9QR06</t>
  </si>
  <si>
    <t>NG101959289500</t>
  </si>
  <si>
    <t>COURTNEY G,DAVID</t>
  </si>
  <si>
    <t>6EJ1FH2FH21</t>
  </si>
  <si>
    <t>NG101056388200</t>
  </si>
  <si>
    <t>COUSINS E,GARY</t>
  </si>
  <si>
    <t>3M37QX9UH40</t>
  </si>
  <si>
    <t>NG101960797000</t>
  </si>
  <si>
    <t>CRADDOCK,KATHLEEN</t>
  </si>
  <si>
    <t>9EM1M61UF92</t>
  </si>
  <si>
    <t>NG101554359200</t>
  </si>
  <si>
    <t>CRAIG V,CHARLES</t>
  </si>
  <si>
    <t>1GQ4HK8WW98</t>
  </si>
  <si>
    <t>NG101196246500</t>
  </si>
  <si>
    <t>CRANE J,BARBARA</t>
  </si>
  <si>
    <t>7U34PH5NR75</t>
  </si>
  <si>
    <t>NG101196250400</t>
  </si>
  <si>
    <t>CRANE L,JEFFREY</t>
  </si>
  <si>
    <t>7KH9VW0JR10</t>
  </si>
  <si>
    <t>NG101478649400</t>
  </si>
  <si>
    <t>CRAVEN A,GEORGE</t>
  </si>
  <si>
    <t>9G64A52DM93</t>
  </si>
  <si>
    <t>NG101795191400</t>
  </si>
  <si>
    <t>CRICKS C,NANCY</t>
  </si>
  <si>
    <t>6V66M16FR50</t>
  </si>
  <si>
    <t>NG101458763400</t>
  </si>
  <si>
    <t>CRIDER A,TIMOTHY</t>
  </si>
  <si>
    <t>9DX5DR2NA57</t>
  </si>
  <si>
    <t>NG101183834800</t>
  </si>
  <si>
    <t>CRIDER S,SANDRA</t>
  </si>
  <si>
    <t>3GE8AF9GG66</t>
  </si>
  <si>
    <t>NG102092114400</t>
  </si>
  <si>
    <t>CROUT L,JAMES</t>
  </si>
  <si>
    <t>3QW7MU4TA46</t>
  </si>
  <si>
    <t>NG101533325800</t>
  </si>
  <si>
    <t>CUPPS L,SUSAN</t>
  </si>
  <si>
    <t>5QC0AF4HW37</t>
  </si>
  <si>
    <t>NG101564541800</t>
  </si>
  <si>
    <t>CUPPS R,GERALD</t>
  </si>
  <si>
    <t>6U08KP1HM50</t>
  </si>
  <si>
    <t>NG101944921700</t>
  </si>
  <si>
    <t>DALEY W,DOUGLAS</t>
  </si>
  <si>
    <t>H5521-437</t>
  </si>
  <si>
    <t>2GX6NR7PU52</t>
  </si>
  <si>
    <t>NG101460290100</t>
  </si>
  <si>
    <t>DALUISIO,JOANNE</t>
  </si>
  <si>
    <t>4DY0NW1JG03</t>
  </si>
  <si>
    <t>NG101784670800</t>
  </si>
  <si>
    <t>DASCH W,ROBERT</t>
  </si>
  <si>
    <t>3V05NH2HF53</t>
  </si>
  <si>
    <t>NG101949400300</t>
  </si>
  <si>
    <t>DAUBENSPECK A,VALERIE</t>
  </si>
  <si>
    <t>9DT7MY9CG48</t>
  </si>
  <si>
    <t>NG101899712700</t>
  </si>
  <si>
    <t>DAUBENSPECK E,CAROL</t>
  </si>
  <si>
    <t>5YW8FM4NQ20</t>
  </si>
  <si>
    <t>NG102049732200</t>
  </si>
  <si>
    <t>DAVIDSON J,MARILYN</t>
  </si>
  <si>
    <t>9EJ6JG8UH82</t>
  </si>
  <si>
    <t>NG101092891400</t>
  </si>
  <si>
    <t>DAVIS L,DENNIS</t>
  </si>
  <si>
    <t>9U61E22HJ02</t>
  </si>
  <si>
    <t>NG101733633000</t>
  </si>
  <si>
    <t>DAVIS,JAYE</t>
  </si>
  <si>
    <t>9EY2PH9ET21</t>
  </si>
  <si>
    <t>NG101565317500</t>
  </si>
  <si>
    <t>DEMARTINI M,JANICE</t>
  </si>
  <si>
    <t>2KJ6TA4WV62</t>
  </si>
  <si>
    <t>NG101778170800</t>
  </si>
  <si>
    <t>DEWEY R,JAMES</t>
  </si>
  <si>
    <t>1FJ4EG7MQ98</t>
  </si>
  <si>
    <t>NG101473506200</t>
  </si>
  <si>
    <t>DICKMAN L,MARGARET</t>
  </si>
  <si>
    <t>4UX5VX4DP58</t>
  </si>
  <si>
    <t>NG101782986700</t>
  </si>
  <si>
    <t>DICKSON E,RANDALL</t>
  </si>
  <si>
    <t>2UJ3P71AA76</t>
  </si>
  <si>
    <t>NG101564908700</t>
  </si>
  <si>
    <t>DICKSON M,ANNA</t>
  </si>
  <si>
    <t>6T28VR3JA61</t>
  </si>
  <si>
    <t>MECHGA6952132</t>
  </si>
  <si>
    <t>DIMATTEI,ROBIN</t>
  </si>
  <si>
    <t>S5601-012</t>
  </si>
  <si>
    <t>9RX0QH0TY16</t>
  </si>
  <si>
    <t>NG102049165000</t>
  </si>
  <si>
    <t>DOBLER D,WILLIAM</t>
  </si>
  <si>
    <t>3PE2YN6VF26</t>
  </si>
  <si>
    <t>NG102079442100</t>
  </si>
  <si>
    <t>DOLGE A,SCOTT</t>
  </si>
  <si>
    <t>SD</t>
  </si>
  <si>
    <t>8M54GP2HN93</t>
  </si>
  <si>
    <t>NG101917251400</t>
  </si>
  <si>
    <t>DOMAN L,SAMUEL</t>
  </si>
  <si>
    <t>4U52XD4HG00</t>
  </si>
  <si>
    <t>MECHGA6301508</t>
  </si>
  <si>
    <t>DONALDSON,CHARLES</t>
  </si>
  <si>
    <t>7CR9X01MC13</t>
  </si>
  <si>
    <t>NG101549506900</t>
  </si>
  <si>
    <t>DORCY B,CORNELIUS</t>
  </si>
  <si>
    <t>6T41FH6KY12</t>
  </si>
  <si>
    <t>NG101549408600</t>
  </si>
  <si>
    <t>DORCY J,PAMELA</t>
  </si>
  <si>
    <t>3YD3XN3DE94</t>
  </si>
  <si>
    <t>NG101843132900</t>
  </si>
  <si>
    <t>DORR E,PAUL</t>
  </si>
  <si>
    <t>2F40QH2WE26</t>
  </si>
  <si>
    <t>NG101836449900</t>
  </si>
  <si>
    <t>DOUGLAS A,DARLENE</t>
  </si>
  <si>
    <t>8YX3X15UY96</t>
  </si>
  <si>
    <t>NG101534378900</t>
  </si>
  <si>
    <t>DOUTHETT K,JOLINDA</t>
  </si>
  <si>
    <t>9UA5XN4RM68</t>
  </si>
  <si>
    <t>NG102188291300</t>
  </si>
  <si>
    <t>DOWDLE J,PATRICK</t>
  </si>
  <si>
    <t>H3192-013</t>
  </si>
  <si>
    <t>6V00J05JG24</t>
  </si>
  <si>
    <t>NG101784911000</t>
  </si>
  <si>
    <t>DOWLING W,MICHAEL</t>
  </si>
  <si>
    <t>4VU7FW1GK52</t>
  </si>
  <si>
    <t>NG102188496900</t>
  </si>
  <si>
    <t>DUDDY G,WILLIAM</t>
  </si>
  <si>
    <t>H1609-025</t>
  </si>
  <si>
    <t>4UN6CW0EA59</t>
  </si>
  <si>
    <t>NG101708065000</t>
  </si>
  <si>
    <t>DUDEK R,JAMES</t>
  </si>
  <si>
    <t>6MH5R99ND97</t>
  </si>
  <si>
    <t>NG101872588800</t>
  </si>
  <si>
    <t>DUESENBERRY D,RONALD</t>
  </si>
  <si>
    <t>4VN7J87UR52</t>
  </si>
  <si>
    <t>NG101843197200</t>
  </si>
  <si>
    <t>DULSKI B,LORETTA</t>
  </si>
  <si>
    <t>8RY4GQ3MN80</t>
  </si>
  <si>
    <t>NG101830689600</t>
  </si>
  <si>
    <t>DULSKI M,MEGAN</t>
  </si>
  <si>
    <t>9K63C42ET09</t>
  </si>
  <si>
    <t>NG101930205400</t>
  </si>
  <si>
    <t>DUNCAN L,BENJAMIN</t>
  </si>
  <si>
    <t>2KU4GR3QF88</t>
  </si>
  <si>
    <t>NG101836169100</t>
  </si>
  <si>
    <t>DUNN T,MICHAEL</t>
  </si>
  <si>
    <t>9YN2QG5AD81</t>
  </si>
  <si>
    <t>NG101698706800</t>
  </si>
  <si>
    <t>DURSO M,SUSAN</t>
  </si>
  <si>
    <t>H5522-001</t>
  </si>
  <si>
    <t>4GG5AG9CX82</t>
  </si>
  <si>
    <t>NG101202905500</t>
  </si>
  <si>
    <t>EDGERTON L,PAUL</t>
  </si>
  <si>
    <t>2D06Y23HE82</t>
  </si>
  <si>
    <t>NG101205114900</t>
  </si>
  <si>
    <t>EDGERTON,LINDA</t>
  </si>
  <si>
    <t>8GX9WC8NT31</t>
  </si>
  <si>
    <t>NG101550554800</t>
  </si>
  <si>
    <t>EDWARDS J,JEFFREY</t>
  </si>
  <si>
    <t>4XE4RT1GR85</t>
  </si>
  <si>
    <t>NG101928234500</t>
  </si>
  <si>
    <t>EFFRIG R,PAUL</t>
  </si>
  <si>
    <t>4WQ0M85VT05</t>
  </si>
  <si>
    <t>NG101689670100</t>
  </si>
  <si>
    <t>EMIGH S,ROBERT</t>
  </si>
  <si>
    <t>2EQ6FR9MV67</t>
  </si>
  <si>
    <t>NG101476211100</t>
  </si>
  <si>
    <t>ENGLISH H,WILLIAM</t>
  </si>
  <si>
    <t>1RP0TP8MC21</t>
  </si>
  <si>
    <t>NG101468609200</t>
  </si>
  <si>
    <t>ENGLISH,MAUREEN</t>
  </si>
  <si>
    <t>7HY5HV0HC79</t>
  </si>
  <si>
    <t>NG101564021500</t>
  </si>
  <si>
    <t>ERWIN M,SHIRLEY</t>
  </si>
  <si>
    <t>1JY8EU7XT62</t>
  </si>
  <si>
    <t>NG101505160900</t>
  </si>
  <si>
    <t>EURY M,LINDA</t>
  </si>
  <si>
    <t>3JY7FR0RM37</t>
  </si>
  <si>
    <t>NG101970688600</t>
  </si>
  <si>
    <t>EVANS L,CARLYNN</t>
  </si>
  <si>
    <t>2FJ2HP3RJ23</t>
  </si>
  <si>
    <t>NG101796732100</t>
  </si>
  <si>
    <t>EVANS L,NANCY</t>
  </si>
  <si>
    <t>1FN6YW2GH55</t>
  </si>
  <si>
    <t>NG101555784700</t>
  </si>
  <si>
    <t>EVANS R,EUGENE</t>
  </si>
  <si>
    <t>3C06FW9JR72</t>
  </si>
  <si>
    <t>NG101741462600</t>
  </si>
  <si>
    <t>EVERS F,LYDIA</t>
  </si>
  <si>
    <t>H2663-005</t>
  </si>
  <si>
    <t>3U15X95MU84</t>
  </si>
  <si>
    <t>NG101515257200</t>
  </si>
  <si>
    <t>FAGAN C,JAMES</t>
  </si>
  <si>
    <t>4HQ7G09JK79</t>
  </si>
  <si>
    <t>NG102068178600</t>
  </si>
  <si>
    <t>FAHRNEY G,WILFRED</t>
  </si>
  <si>
    <t>6AN3UR7GM78</t>
  </si>
  <si>
    <t>NG101790184400</t>
  </si>
  <si>
    <t>FALLECKER E,DOUGLAS</t>
  </si>
  <si>
    <t>3YY2VY3NU02</t>
  </si>
  <si>
    <t>NG101099397000</t>
  </si>
  <si>
    <t>FALLECKER,KIMBERLY</t>
  </si>
  <si>
    <t>6X06DT2PY50</t>
  </si>
  <si>
    <t>NG101617582800</t>
  </si>
  <si>
    <t>FANTUZZO J,EDWARD</t>
  </si>
  <si>
    <t>9PF2CH8EA13</t>
  </si>
  <si>
    <t>NG102036471300</t>
  </si>
  <si>
    <t>FEESER A,CYNTHIA</t>
  </si>
  <si>
    <t>8K29XN8YE14</t>
  </si>
  <si>
    <t>NG101086107300</t>
  </si>
  <si>
    <t xml:space="preserve">7353774HPA       </t>
  </si>
  <si>
    <t>FEND,DENA J</t>
  </si>
  <si>
    <t>7VY8KG8UA30</t>
  </si>
  <si>
    <t>NG101537242400</t>
  </si>
  <si>
    <t>FERDINANDSEN A,GREGORY</t>
  </si>
  <si>
    <t>8G88U84EJ54</t>
  </si>
  <si>
    <t>NG101507907500</t>
  </si>
  <si>
    <t>FERDINANDSEN K,MARY</t>
  </si>
  <si>
    <t>8MM3YC9WG73</t>
  </si>
  <si>
    <t>NG101506807700</t>
  </si>
  <si>
    <t>FERDINANDSEN M,MICHAEL</t>
  </si>
  <si>
    <t>1QK5C60CU72</t>
  </si>
  <si>
    <t>NG101485016400</t>
  </si>
  <si>
    <t>FERGUSON E,HELEN</t>
  </si>
  <si>
    <t>6AH9PE3FR57</t>
  </si>
  <si>
    <t>NG101857371800</t>
  </si>
  <si>
    <t>FILITTO V,JAMES</t>
  </si>
  <si>
    <t>6PD9P37QC32</t>
  </si>
  <si>
    <t>NG101054178700</t>
  </si>
  <si>
    <t>FINNEGAN A,ELIZABETH</t>
  </si>
  <si>
    <t>FINNEGAN, MARGARET</t>
  </si>
  <si>
    <t>3GD3XX3NC01</t>
  </si>
  <si>
    <t>NG102037208500</t>
  </si>
  <si>
    <t>FITZ A,LORI</t>
  </si>
  <si>
    <t>OH</t>
  </si>
  <si>
    <t>IMM617</t>
  </si>
  <si>
    <t>H1608-029</t>
  </si>
  <si>
    <t>5FJ8NX6EJ53</t>
  </si>
  <si>
    <t>NG101780664100</t>
  </si>
  <si>
    <t>FIUMARA J,MICHAEL</t>
  </si>
  <si>
    <t>3KC2UA5JX80</t>
  </si>
  <si>
    <t>NG101548751600</t>
  </si>
  <si>
    <t>FLANIGAN A,TIMOTHY</t>
  </si>
  <si>
    <t>4C12GP5FM09</t>
  </si>
  <si>
    <t>NG101504343800</t>
  </si>
  <si>
    <t>FLOYD L,MICHAEL</t>
  </si>
  <si>
    <t>6Y65FT8JF79</t>
  </si>
  <si>
    <t>NG101504555900</t>
  </si>
  <si>
    <t>FLOYD R,BARBARA</t>
  </si>
  <si>
    <t>4D74P93WW73</t>
  </si>
  <si>
    <t>NG102065623700</t>
  </si>
  <si>
    <t>FODSE L,SANDRA</t>
  </si>
  <si>
    <t>1P13MU5KW17</t>
  </si>
  <si>
    <t>NG102030760700</t>
  </si>
  <si>
    <t>FONG,BILLY</t>
  </si>
  <si>
    <t>SANTOS, RICARDO</t>
  </si>
  <si>
    <t>6NX9G27WK35</t>
  </si>
  <si>
    <t>NG102030825500</t>
  </si>
  <si>
    <t>FONG,GUADALUPE</t>
  </si>
  <si>
    <t>4P74AC6PG71</t>
  </si>
  <si>
    <t>NG101780332200</t>
  </si>
  <si>
    <t>FRANASIAK M,JOHN</t>
  </si>
  <si>
    <t>3YC0AQ1JM48</t>
  </si>
  <si>
    <t>NG101843093400</t>
  </si>
  <si>
    <t>FROST A,MARGARET</t>
  </si>
  <si>
    <t>H5522-022</t>
  </si>
  <si>
    <t>7GQ1TM5VV37</t>
  </si>
  <si>
    <t>NG101853377400</t>
  </si>
  <si>
    <t>GAISER P,DONALD</t>
  </si>
  <si>
    <t>5TU2V64AN24</t>
  </si>
  <si>
    <t>NG102042978300</t>
  </si>
  <si>
    <t>GALARZA,ADOLFO</t>
  </si>
  <si>
    <t>H5521-086</t>
  </si>
  <si>
    <t>Torres, Jose</t>
  </si>
  <si>
    <t>7TF4K49KN73</t>
  </si>
  <si>
    <t>NG101782935400</t>
  </si>
  <si>
    <t>GALKO K,ANITA</t>
  </si>
  <si>
    <t>6T02PU1RY28</t>
  </si>
  <si>
    <t>NG101508874400</t>
  </si>
  <si>
    <t>GALL M,ROBIN</t>
  </si>
  <si>
    <t>8G17XP0AP41</t>
  </si>
  <si>
    <t>NG101702068200</t>
  </si>
  <si>
    <t>GALLAGHER L,KEVIN</t>
  </si>
  <si>
    <t>2JH3P85ED87</t>
  </si>
  <si>
    <t>NG101800637100</t>
  </si>
  <si>
    <t>GARDNER M,DOROTHY</t>
  </si>
  <si>
    <t>6T29J00MD33</t>
  </si>
  <si>
    <t>NG101098614000</t>
  </si>
  <si>
    <t>GARTLEY,CARL</t>
  </si>
  <si>
    <t>6YM5MG8QV54</t>
  </si>
  <si>
    <t>MECHGA4665687</t>
  </si>
  <si>
    <t>GATES III,H</t>
  </si>
  <si>
    <t>5Y33VH5UT06</t>
  </si>
  <si>
    <t>NG101685455300</t>
  </si>
  <si>
    <t>GAWLIK L,JANICE</t>
  </si>
  <si>
    <t>6F33MF7DA11</t>
  </si>
  <si>
    <t>NG101930953500</t>
  </si>
  <si>
    <t>GERSTNER J,GEORGE</t>
  </si>
  <si>
    <t>9FD6GC4QP62</t>
  </si>
  <si>
    <t>NG102017011100</t>
  </si>
  <si>
    <t>GIAMMATTEI C,AMY</t>
  </si>
  <si>
    <t>8N53D79JC05</t>
  </si>
  <si>
    <t>NG101751846000</t>
  </si>
  <si>
    <t>GIBSON A,DARLENE</t>
  </si>
  <si>
    <t>9XP1E86RF94</t>
  </si>
  <si>
    <t>NG101097095200</t>
  </si>
  <si>
    <t>GIESLER I,JOYCE</t>
  </si>
  <si>
    <t>5M43G51DH09</t>
  </si>
  <si>
    <t>NG101800597100</t>
  </si>
  <si>
    <t>GOETTLER L,TRACY</t>
  </si>
  <si>
    <t>7TM3AN7XT72</t>
  </si>
  <si>
    <t>NG101789518700</t>
  </si>
  <si>
    <t>GOFF P,DANNY</t>
  </si>
  <si>
    <t>WV</t>
  </si>
  <si>
    <t>H1692-002</t>
  </si>
  <si>
    <t>WHITE, LANEECE</t>
  </si>
  <si>
    <t>7J02TF6EW96</t>
  </si>
  <si>
    <t>NG101758725100</t>
  </si>
  <si>
    <t>GOLDENBERG F,ABRAHAM</t>
  </si>
  <si>
    <t>4WQ5HE7VF74</t>
  </si>
  <si>
    <t>NG101858877200</t>
  </si>
  <si>
    <t>GONZALEZ P,EUGENE</t>
  </si>
  <si>
    <t>H3288-048</t>
  </si>
  <si>
    <t>3RE5VX1FG77</t>
  </si>
  <si>
    <t>NG101760374600</t>
  </si>
  <si>
    <t>GONZALEZ,JESUS</t>
  </si>
  <si>
    <t>H5521-273</t>
  </si>
  <si>
    <t>7V69VC9AE47</t>
  </si>
  <si>
    <t>NG102013256200</t>
  </si>
  <si>
    <t>GORDON J,TIMOTHY</t>
  </si>
  <si>
    <t>7Y48JQ3QP64</t>
  </si>
  <si>
    <t>NG101699610400</t>
  </si>
  <si>
    <t>GORDON L,MARY</t>
  </si>
  <si>
    <t>1XX2E57VM06</t>
  </si>
  <si>
    <t>NG102051937300</t>
  </si>
  <si>
    <t>GORDON M,ANN</t>
  </si>
  <si>
    <t>H3288-046</t>
  </si>
  <si>
    <t>3NG2YH0TT90</t>
  </si>
  <si>
    <t>NG101782780700</t>
  </si>
  <si>
    <t>GORSKI J,GILBERT</t>
  </si>
  <si>
    <t>1A02TA5XY90</t>
  </si>
  <si>
    <t>NG101849334500</t>
  </si>
  <si>
    <t>GRAHAM E,LISA</t>
  </si>
  <si>
    <t>9JC7G35DH46</t>
  </si>
  <si>
    <t>NG101204412700</t>
  </si>
  <si>
    <t>GRAHAM H,NORMAN</t>
  </si>
  <si>
    <t>8HX0K63NG12</t>
  </si>
  <si>
    <t>NG101204473000</t>
  </si>
  <si>
    <t>GRAHAM L,STELLA</t>
  </si>
  <si>
    <t>7T38FJ8XA62</t>
  </si>
  <si>
    <t>NG101767923000</t>
  </si>
  <si>
    <t>GREEN H,JAYNE</t>
  </si>
  <si>
    <t>2VT5C63WE85</t>
  </si>
  <si>
    <t>NG101999295300</t>
  </si>
  <si>
    <t>GREEN K,KIMBERLY</t>
  </si>
  <si>
    <t>1D22HJ0CH07</t>
  </si>
  <si>
    <t>NG101063039500</t>
  </si>
  <si>
    <t>GREEN P,STEPHEN</t>
  </si>
  <si>
    <t>9TT5NR6XG70</t>
  </si>
  <si>
    <t>NG101985142100</t>
  </si>
  <si>
    <t>GREENNAGH,THERESA</t>
  </si>
  <si>
    <t>7YW8NX5WR59</t>
  </si>
  <si>
    <t>NG101351768100</t>
  </si>
  <si>
    <t>MEBTRMTM</t>
  </si>
  <si>
    <t xml:space="preserve">GRIFFITHS,EVELYN O                                                                                  </t>
  </si>
  <si>
    <t>IMM504</t>
  </si>
  <si>
    <t>7MT0G84HY32</t>
  </si>
  <si>
    <t>NG101802560700</t>
  </si>
  <si>
    <t>GRIZZARD D,MICHAEL</t>
  </si>
  <si>
    <t>1D63X87QT19</t>
  </si>
  <si>
    <t>NG101889144800</t>
  </si>
  <si>
    <t>GROSS E,CHARLES</t>
  </si>
  <si>
    <t>1P73VW9EJ73</t>
  </si>
  <si>
    <t>NG102038194700</t>
  </si>
  <si>
    <t>GRUDOWSKI R,KENNETH</t>
  </si>
  <si>
    <t>H5521-088</t>
  </si>
  <si>
    <t>5CM3AQ5TC99</t>
  </si>
  <si>
    <t>NG102055396200</t>
  </si>
  <si>
    <t>GUILLEN,JESUS</t>
  </si>
  <si>
    <t>2KH6TT9WW52</t>
  </si>
  <si>
    <t>NG101472724500</t>
  </si>
  <si>
    <t>GUINEY J,RONALD</t>
  </si>
  <si>
    <t>4ND3UH5AW78</t>
  </si>
  <si>
    <t>NG101748777600</t>
  </si>
  <si>
    <t>GUZMAN,ROSA</t>
  </si>
  <si>
    <t>DE</t>
  </si>
  <si>
    <t>H3959-055</t>
  </si>
  <si>
    <t>4NM7HY3TT52</t>
  </si>
  <si>
    <t>NG101928099600</t>
  </si>
  <si>
    <t>HABERMAN P,WILLIAM</t>
  </si>
  <si>
    <t>6KV9GT7WE00</t>
  </si>
  <si>
    <t>NG102035273900</t>
  </si>
  <si>
    <t>HADAWAY,KAREN</t>
  </si>
  <si>
    <t>5V18R66YJ56</t>
  </si>
  <si>
    <t>NG101843156200</t>
  </si>
  <si>
    <t>HAKL L,RANDAL</t>
  </si>
  <si>
    <t>9E87JA5JK45</t>
  </si>
  <si>
    <t>NG101790743000</t>
  </si>
  <si>
    <t>HAMILTON J,AUDREY</t>
  </si>
  <si>
    <t>9JY3TF3PV94</t>
  </si>
  <si>
    <t>NG102040827300</t>
  </si>
  <si>
    <t>HARRELL,CHIANITA</t>
  </si>
  <si>
    <t>H7301-007</t>
  </si>
  <si>
    <t>DUNAVANT, MICHAEL</t>
  </si>
  <si>
    <t>3CR6KD3DU57</t>
  </si>
  <si>
    <t>NG101855181700</t>
  </si>
  <si>
    <t>HARTMAN L,PAMELA</t>
  </si>
  <si>
    <t>2UC7A49YH65</t>
  </si>
  <si>
    <t>NG101693064700</t>
  </si>
  <si>
    <t>HARTSHORN N,WILLIAM</t>
  </si>
  <si>
    <t>7AH4AE4TQ97</t>
  </si>
  <si>
    <t>NG101051689400</t>
  </si>
  <si>
    <t>HARVEY A,BETSY</t>
  </si>
  <si>
    <t>3MX1X87JV13</t>
  </si>
  <si>
    <t>NG102017009100</t>
  </si>
  <si>
    <t>HAYS R,JOHN</t>
  </si>
  <si>
    <t>5HP1K23VK18</t>
  </si>
  <si>
    <t>NG102054999900</t>
  </si>
  <si>
    <t>HEARN B,MARY</t>
  </si>
  <si>
    <t>5MP7WQ3AW37</t>
  </si>
  <si>
    <t>NG101060073300</t>
  </si>
  <si>
    <t xml:space="preserve">9322731HPA       </t>
  </si>
  <si>
    <t>HEARN,RUSSELL B</t>
  </si>
  <si>
    <t>9NF3JP6CV79</t>
  </si>
  <si>
    <t>NG101775096700</t>
  </si>
  <si>
    <t>HEASLEY BLOSTEIN G,BILLIE</t>
  </si>
  <si>
    <t>4T75QR4WW92</t>
  </si>
  <si>
    <t>NG101554327200</t>
  </si>
  <si>
    <t>HEFFERAN L,VICKI</t>
  </si>
  <si>
    <t>1VT7UP9JP64</t>
  </si>
  <si>
    <t>NG101709465900</t>
  </si>
  <si>
    <t>HENNINGER E,JOSEPH</t>
  </si>
  <si>
    <t>4E74U55PQ88</t>
  </si>
  <si>
    <t>NG101755840900</t>
  </si>
  <si>
    <t>HERRICK K,LINDA</t>
  </si>
  <si>
    <t>H3146-012</t>
  </si>
  <si>
    <t>5G97EH3NE61</t>
  </si>
  <si>
    <t>NG101706106900</t>
  </si>
  <si>
    <t>HERRICK T,TIMOTHY</t>
  </si>
  <si>
    <t>8J98A91VP69</t>
  </si>
  <si>
    <t>NG101088372600</t>
  </si>
  <si>
    <t>HERVEY K,DOUGLAS</t>
  </si>
  <si>
    <t>7F36EK5EA82</t>
  </si>
  <si>
    <t>NG101050888000</t>
  </si>
  <si>
    <t>HERVEY,CAROLYN</t>
  </si>
  <si>
    <t>7H60WA5MR90</t>
  </si>
  <si>
    <t>NG101654020400</t>
  </si>
  <si>
    <t>HICKOK E,PAUL</t>
  </si>
  <si>
    <t>7VA5G43FR62</t>
  </si>
  <si>
    <t>NG101778355200</t>
  </si>
  <si>
    <t>HILGAR P,MARK</t>
  </si>
  <si>
    <t>9RG2D06NY13</t>
  </si>
  <si>
    <t>NG101070037600</t>
  </si>
  <si>
    <t xml:space="preserve">7342550HPA       </t>
  </si>
  <si>
    <t>HILLIARD,KAREN M</t>
  </si>
  <si>
    <t>7RN9G43TX27</t>
  </si>
  <si>
    <t>NG101707700000</t>
  </si>
  <si>
    <t>HINDMAN L,CINDY</t>
  </si>
  <si>
    <t>9W13DA6AM09</t>
  </si>
  <si>
    <t>NG101388566000</t>
  </si>
  <si>
    <t>MEBT5MYZ</t>
  </si>
  <si>
    <t xml:space="preserve">HNAT,ROBERT                                                                                         </t>
  </si>
  <si>
    <t>9M79YF8NN16</t>
  </si>
  <si>
    <t>NG101209265600</t>
  </si>
  <si>
    <t>HOCHBEIN J,DENA</t>
  </si>
  <si>
    <t>1CU8JJ7TU59</t>
  </si>
  <si>
    <t>NG101084619500</t>
  </si>
  <si>
    <t xml:space="preserve">9285538HPA       </t>
  </si>
  <si>
    <t>HOCHBEIN,WILLIAM E</t>
  </si>
  <si>
    <t>9HA9GR9AY00</t>
  </si>
  <si>
    <t>NG102044738100</t>
  </si>
  <si>
    <t>HOEPPNER B,SUSAN</t>
  </si>
  <si>
    <t>Renewal Termination</t>
  </si>
  <si>
    <t>5YT6NF3ED84</t>
  </si>
  <si>
    <t>NG101057312000</t>
  </si>
  <si>
    <t xml:space="preserve">9268587HPA       </t>
  </si>
  <si>
    <t>HOFFMAN,JOSEPH</t>
  </si>
  <si>
    <t>5KJ7UK6FR59</t>
  </si>
  <si>
    <t>NG101060456400</t>
  </si>
  <si>
    <t xml:space="preserve">9268551HPA       </t>
  </si>
  <si>
    <t>HOFFMAN,VICTORIA L</t>
  </si>
  <si>
    <t>5PE6MG8MH88</t>
  </si>
  <si>
    <t>NG101824674700</t>
  </si>
  <si>
    <t>HOGG A,LEROY</t>
  </si>
  <si>
    <t>6QE2PJ7TR85</t>
  </si>
  <si>
    <t>NG101824767300</t>
  </si>
  <si>
    <t>HOGG J,VONNIE</t>
  </si>
  <si>
    <t>5H15KE4FH56</t>
  </si>
  <si>
    <t>NG101626129100</t>
  </si>
  <si>
    <t>HOLSTINE M,RICHARD</t>
  </si>
  <si>
    <t>6KT6F07NF66</t>
  </si>
  <si>
    <t>NG101961607700</t>
  </si>
  <si>
    <t>HOLTON A,SCOTT</t>
  </si>
  <si>
    <t>H2663-062</t>
  </si>
  <si>
    <t>6QF4X41CP93</t>
  </si>
  <si>
    <t>NG102071177500</t>
  </si>
  <si>
    <t>HOMISON D,STEVEN</t>
  </si>
  <si>
    <t>8QX1NF6NG01</t>
  </si>
  <si>
    <t>NG101520044500</t>
  </si>
  <si>
    <t>HOPSON G,DAVENA</t>
  </si>
  <si>
    <t>9E37R36TH60</t>
  </si>
  <si>
    <t>NG101760566800</t>
  </si>
  <si>
    <t>HORVWALT A,ROSEMARY</t>
  </si>
  <si>
    <t>2M33VC6PH78</t>
  </si>
  <si>
    <t>NG101889151100</t>
  </si>
  <si>
    <t>HORWITZ R,STEVEN</t>
  </si>
  <si>
    <t>4PN2PX0RA00</t>
  </si>
  <si>
    <t>NG101069148700</t>
  </si>
  <si>
    <t>HOWARD L,PHYLLIS</t>
  </si>
  <si>
    <t>7QN6PF7HK67</t>
  </si>
  <si>
    <t>NG101762874900</t>
  </si>
  <si>
    <t>HOWARD R,DARRELL</t>
  </si>
  <si>
    <t>H1608-018</t>
  </si>
  <si>
    <t>8K56YP2WX42</t>
  </si>
  <si>
    <t>NG101933094300</t>
  </si>
  <si>
    <t>HOYT L,GAYLORD</t>
  </si>
  <si>
    <t>H5521-171</t>
  </si>
  <si>
    <t>3KK1UD4NM96</t>
  </si>
  <si>
    <t>NG101791815800</t>
  </si>
  <si>
    <t>HUBERT L,JAMES</t>
  </si>
  <si>
    <t>6J81J64PK25</t>
  </si>
  <si>
    <t>NG101954743000</t>
  </si>
  <si>
    <t>HUCKER A,JAMES</t>
  </si>
  <si>
    <t>8YV3AA9GQ17</t>
  </si>
  <si>
    <t>NG101782936000</t>
  </si>
  <si>
    <t>HUNTER M,IDA</t>
  </si>
  <si>
    <t>9CE0MW6PF16</t>
  </si>
  <si>
    <t>NG102015648800</t>
  </si>
  <si>
    <t>HURWITZ WHITE,LAURIE</t>
  </si>
  <si>
    <t>KOZACHECK, ANNE MARIE</t>
  </si>
  <si>
    <t>5JR6V11RU47</t>
  </si>
  <si>
    <t>NG101788155800</t>
  </si>
  <si>
    <t>HUSTAK A,DEBORA</t>
  </si>
  <si>
    <t>6QJ8RR7CQ10</t>
  </si>
  <si>
    <t>NG101779150000</t>
  </si>
  <si>
    <t>HUTH G,CYNTHIA</t>
  </si>
  <si>
    <t>7XP5Q37HJ87</t>
  </si>
  <si>
    <t>NG101872884100</t>
  </si>
  <si>
    <t>ISACCO N,DAVID</t>
  </si>
  <si>
    <t>6VC2WU1YV96</t>
  </si>
  <si>
    <t>NG101923716700</t>
  </si>
  <si>
    <t>JACKSON S,KATHY</t>
  </si>
  <si>
    <t>H2663-042</t>
  </si>
  <si>
    <t>7XJ2QK8WP27</t>
  </si>
  <si>
    <t>NG101817569200</t>
  </si>
  <si>
    <t>JACOB F,WILLIAM</t>
  </si>
  <si>
    <t>4UY7J83RP49</t>
  </si>
  <si>
    <t>NG102058131300</t>
  </si>
  <si>
    <t>JANI G,BANK</t>
  </si>
  <si>
    <t>3FG1AU1JQ06</t>
  </si>
  <si>
    <t>NG102068196700</t>
  </si>
  <si>
    <t>JEDRZEJCZAK,MARGARET</t>
  </si>
  <si>
    <t>1G08E00XN59</t>
  </si>
  <si>
    <t>NG101801861900</t>
  </si>
  <si>
    <t>JENKINS L,JERRY</t>
  </si>
  <si>
    <t>9XQ4MV0FR64</t>
  </si>
  <si>
    <t>NG101496098900</t>
  </si>
  <si>
    <t>JENSEN E,JOHN</t>
  </si>
  <si>
    <t>1VC0MY5GX90</t>
  </si>
  <si>
    <t>NG101470294200</t>
  </si>
  <si>
    <t>JEWART D,EDDIE</t>
  </si>
  <si>
    <t>8AQ4FV7YJ80</t>
  </si>
  <si>
    <t>NG101535235200</t>
  </si>
  <si>
    <t>JEWART D,PAMELA</t>
  </si>
  <si>
    <t>9Q39NR7AV10</t>
  </si>
  <si>
    <t>NG102062449500</t>
  </si>
  <si>
    <t>JIMENEZ R,MARIBEL</t>
  </si>
  <si>
    <t>3C09RQ3CV35</t>
  </si>
  <si>
    <t>NG101915884700</t>
  </si>
  <si>
    <t>JOHN E,KRIS</t>
  </si>
  <si>
    <t>8UW4AD2GU71</t>
  </si>
  <si>
    <t>NG101847549900</t>
  </si>
  <si>
    <t>JOHNS L,PEGGY</t>
  </si>
  <si>
    <t>9HM3FD6YR71</t>
  </si>
  <si>
    <t>NG102022261800</t>
  </si>
  <si>
    <t>JOHNSON J,NANCY</t>
  </si>
  <si>
    <t>6DG4XX5NQ86</t>
  </si>
  <si>
    <t>NG101193630100</t>
  </si>
  <si>
    <t>JONES J,BEVERLY</t>
  </si>
  <si>
    <t>4VH4Q19GK63</t>
  </si>
  <si>
    <t>NG101746159400</t>
  </si>
  <si>
    <t>JONES R,BUSTER</t>
  </si>
  <si>
    <t>7GT0VR8FC24</t>
  </si>
  <si>
    <t>NG101956048200</t>
  </si>
  <si>
    <t>JONES R,CONSTANCE</t>
  </si>
  <si>
    <t>3HV0Q98AF00</t>
  </si>
  <si>
    <t>NG101581399800</t>
  </si>
  <si>
    <t>JORDAN W,CHARLES</t>
  </si>
  <si>
    <t>6W82XE4JM26</t>
  </si>
  <si>
    <t>NG101509050300</t>
  </si>
  <si>
    <t>JUSTES S,MARILYN</t>
  </si>
  <si>
    <t>5TN5YV1XR72</t>
  </si>
  <si>
    <t>NG101565683600</t>
  </si>
  <si>
    <t>KAMERER L,HOWARD</t>
  </si>
  <si>
    <t>7C80W65AK45</t>
  </si>
  <si>
    <t>NG101823303500</t>
  </si>
  <si>
    <t>KAPP J,SUSIE</t>
  </si>
  <si>
    <t>7QA0WA6FV15</t>
  </si>
  <si>
    <t>NG101971201200</t>
  </si>
  <si>
    <t>KARENBAUER D,KEVIN</t>
  </si>
  <si>
    <t>7R47MT0UU47</t>
  </si>
  <si>
    <t>NG101862247100</t>
  </si>
  <si>
    <t>KARNEY,MARY ANNE</t>
  </si>
  <si>
    <t>2UT0KD4HV10</t>
  </si>
  <si>
    <t>NG101929783700</t>
  </si>
  <si>
    <t>KELLY J,KEVIN</t>
  </si>
  <si>
    <t>9CH9HK8XJ32</t>
  </si>
  <si>
    <t>NG101935806100</t>
  </si>
  <si>
    <t>KELLY L,DIANA</t>
  </si>
  <si>
    <t>H5521-261</t>
  </si>
  <si>
    <t>3Q43TT7FD95</t>
  </si>
  <si>
    <t>NG101073285800</t>
  </si>
  <si>
    <t xml:space="preserve">9320576HPA       </t>
  </si>
  <si>
    <t>KELLY,THOMAS J</t>
  </si>
  <si>
    <t>7Q20QV5JY39</t>
  </si>
  <si>
    <t>NG101807525500</t>
  </si>
  <si>
    <t>KENDALL S,WENDY</t>
  </si>
  <si>
    <t>8JT4G04XU70</t>
  </si>
  <si>
    <t>NG102094658000</t>
  </si>
  <si>
    <t>KENNEDY G,RICHARD</t>
  </si>
  <si>
    <t>WI</t>
  </si>
  <si>
    <t>Pro-Rata Disenroll</t>
  </si>
  <si>
    <t>H5521-400</t>
  </si>
  <si>
    <t>Pro-Rata Payment</t>
  </si>
  <si>
    <t>1WX5T31AQ99</t>
  </si>
  <si>
    <t>NG101863388000</t>
  </si>
  <si>
    <t>KENNEDY J,BEVERLY</t>
  </si>
  <si>
    <t>3NJ6CV6TV72</t>
  </si>
  <si>
    <t>NG101821700800</t>
  </si>
  <si>
    <t>KENNEDY J,PATRICIA</t>
  </si>
  <si>
    <t>1C35GW8FJ79</t>
  </si>
  <si>
    <t>NG101880874400</t>
  </si>
  <si>
    <t>KENNEDY L,GLEN</t>
  </si>
  <si>
    <t>2R63DK8KJ11</t>
  </si>
  <si>
    <t>NG101495460400</t>
  </si>
  <si>
    <t>KENTON D,EUNICE</t>
  </si>
  <si>
    <t>3J53NE3XF60</t>
  </si>
  <si>
    <t>NG101495427300</t>
  </si>
  <si>
    <t>KENTON E,HOBART</t>
  </si>
  <si>
    <t>7FM0MQ1AQ29</t>
  </si>
  <si>
    <t>NG101988496900</t>
  </si>
  <si>
    <t>KERNICKY K,JOHN</t>
  </si>
  <si>
    <t>2UF0R89NE06</t>
  </si>
  <si>
    <t>NG101751824400</t>
  </si>
  <si>
    <t>KERR L,ROGER</t>
  </si>
  <si>
    <t>H1692-007</t>
  </si>
  <si>
    <t>8W34JQ3YH98</t>
  </si>
  <si>
    <t>NG102059559800</t>
  </si>
  <si>
    <t>KESSLER E,MARK</t>
  </si>
  <si>
    <t>9ED4G65CJ98</t>
  </si>
  <si>
    <t>NG102014897000</t>
  </si>
  <si>
    <t>KHODABUKUS F,BEEBEE</t>
  </si>
  <si>
    <t>H3959-052</t>
  </si>
  <si>
    <t>4HV7JV3AJ72</t>
  </si>
  <si>
    <t>NG101969026600</t>
  </si>
  <si>
    <t>KILEY L,CHERI</t>
  </si>
  <si>
    <t>8M25YE7JR54</t>
  </si>
  <si>
    <t>NG101823300100</t>
  </si>
  <si>
    <t>KILLEY A,PATRICIA</t>
  </si>
  <si>
    <t>1PD9N19WH37</t>
  </si>
  <si>
    <t>NG101931991000</t>
  </si>
  <si>
    <t>KILPATRICK A,MARY</t>
  </si>
  <si>
    <t>9VM5TU1UN70</t>
  </si>
  <si>
    <t>NG102035806200</t>
  </si>
  <si>
    <t>KIMBROUGH A,ROY</t>
  </si>
  <si>
    <t>2VE7DH6FN42</t>
  </si>
  <si>
    <t>NG102059613800</t>
  </si>
  <si>
    <t>KING M,CYNTHIA</t>
  </si>
  <si>
    <t>2P74FP4QH82</t>
  </si>
  <si>
    <t>NG101495398500</t>
  </si>
  <si>
    <t>KLEMS C,RAYMOND</t>
  </si>
  <si>
    <t>4XF8RJ1PX51</t>
  </si>
  <si>
    <t>NG101970528600</t>
  </si>
  <si>
    <t>KLEMS R,PATRICIA</t>
  </si>
  <si>
    <t>2KE3QD1CT76</t>
  </si>
  <si>
    <t>NG101862881800</t>
  </si>
  <si>
    <t>KLINEFELTER D,JAMES</t>
  </si>
  <si>
    <t>5A07JG2CH74</t>
  </si>
  <si>
    <t>NG101906964800</t>
  </si>
  <si>
    <t>KLINEFELTER M,MARY</t>
  </si>
  <si>
    <t>6N77HW4KA46</t>
  </si>
  <si>
    <t>NG101811129900</t>
  </si>
  <si>
    <t>KNEPSHIELD E,DEBRA</t>
  </si>
  <si>
    <t>6YE2M08AM81</t>
  </si>
  <si>
    <t>NG101786091200</t>
  </si>
  <si>
    <t>KNEPSHIELD F,CARLYLE</t>
  </si>
  <si>
    <t>8X93P99AR91</t>
  </si>
  <si>
    <t>NG101083195000</t>
  </si>
  <si>
    <t xml:space="preserve">6534814HPA       </t>
  </si>
  <si>
    <t>KOCHMAR,DOMINICA L</t>
  </si>
  <si>
    <t>4R32HC9YH90</t>
  </si>
  <si>
    <t>NG101052135000</t>
  </si>
  <si>
    <t xml:space="preserve">6534826HPA       </t>
  </si>
  <si>
    <t>KOCHMAR,GERALD J</t>
  </si>
  <si>
    <t>8A84CW2KU82</t>
  </si>
  <si>
    <t>NG101698710100</t>
  </si>
  <si>
    <t>KOLLER A,JEFFERY</t>
  </si>
  <si>
    <t>AR</t>
  </si>
  <si>
    <t>H1608-021</t>
  </si>
  <si>
    <t>7T14MP5EX98</t>
  </si>
  <si>
    <t>NG101754974700</t>
  </si>
  <si>
    <t>KOLLER J,SUSAN</t>
  </si>
  <si>
    <t>2FM1VD8UJ95</t>
  </si>
  <si>
    <t>NG101079484800</t>
  </si>
  <si>
    <t>KOLODZIEJCZYK A,JOSEPH</t>
  </si>
  <si>
    <t>5XG6CN0PK52</t>
  </si>
  <si>
    <t>NG101945923700</t>
  </si>
  <si>
    <t>KOMM L,ALAN</t>
  </si>
  <si>
    <t>6YY0WU3GM17</t>
  </si>
  <si>
    <t>NG101947092000</t>
  </si>
  <si>
    <t>KOMM M,LINDA</t>
  </si>
  <si>
    <t>9FR6FC7RN52</t>
  </si>
  <si>
    <t>NG101799076800</t>
  </si>
  <si>
    <t>KONCHAR,DANIEL</t>
  </si>
  <si>
    <t>1C08UJ4HQ21</t>
  </si>
  <si>
    <t>NG101819071300</t>
  </si>
  <si>
    <t>KONTOMANOLI F,CHRISTINE</t>
  </si>
  <si>
    <t>8CE5CW9PF76</t>
  </si>
  <si>
    <t>NG101777369100</t>
  </si>
  <si>
    <t>KRAMER K,MARY</t>
  </si>
  <si>
    <t>5PT1EK3GQ05</t>
  </si>
  <si>
    <t>NG102051462300</t>
  </si>
  <si>
    <t>KRAUSE A,PATRICIA</t>
  </si>
  <si>
    <t>7F51UN9FY03</t>
  </si>
  <si>
    <t>NG102051406100</t>
  </si>
  <si>
    <t>KRAUSE D,JEFFREY</t>
  </si>
  <si>
    <t>9Q60X10NW12</t>
  </si>
  <si>
    <t>NG101805700200</t>
  </si>
  <si>
    <t>KRESAK A,THOMAS</t>
  </si>
  <si>
    <t>1MJ1KU5HH22</t>
  </si>
  <si>
    <t>NG101805728000</t>
  </si>
  <si>
    <t>KRESAK E,KATHLEEN</t>
  </si>
  <si>
    <t>8R67GE8QN45</t>
  </si>
  <si>
    <t>NG101778364200</t>
  </si>
  <si>
    <t>KROBOT R,WILLIAM</t>
  </si>
  <si>
    <t>4JE2M19GH18</t>
  </si>
  <si>
    <t>NG101720248500</t>
  </si>
  <si>
    <t>KROM E,TODD</t>
  </si>
  <si>
    <t>H5521-099</t>
  </si>
  <si>
    <t>6AJ0T83TP37</t>
  </si>
  <si>
    <t>NG101691144200</t>
  </si>
  <si>
    <t>KROM L,CHRISTOPHER</t>
  </si>
  <si>
    <t>3CR8PU3MC23</t>
  </si>
  <si>
    <t>NG101583947600</t>
  </si>
  <si>
    <t>KROPF S,KAREN</t>
  </si>
  <si>
    <t>9ND7KA5EP72</t>
  </si>
  <si>
    <t>NG102063468900</t>
  </si>
  <si>
    <t>KUHNS A,COLLEEN</t>
  </si>
  <si>
    <t>Aloff, Arnold</t>
  </si>
  <si>
    <t>6M49R99GG10</t>
  </si>
  <si>
    <t>NG101928095200</t>
  </si>
  <si>
    <t>KURPAKUS L,KAREN</t>
  </si>
  <si>
    <t>2R73EH3MJ92</t>
  </si>
  <si>
    <t>NG102022904500</t>
  </si>
  <si>
    <t>KUSH M,KAREN</t>
  </si>
  <si>
    <t>5G18WV9WK28</t>
  </si>
  <si>
    <t>NG101108857700</t>
  </si>
  <si>
    <t>LACONI L,YVONNE</t>
  </si>
  <si>
    <t>2AV1H32MJ02</t>
  </si>
  <si>
    <t>NG102131626700</t>
  </si>
  <si>
    <t>LACOSTA C,LIZA</t>
  </si>
  <si>
    <t>IMM603</t>
  </si>
  <si>
    <t>H3931-159</t>
  </si>
  <si>
    <t>Kucan, Thomas</t>
  </si>
  <si>
    <t>8AX2W50MC70</t>
  </si>
  <si>
    <t>NG101545262100</t>
  </si>
  <si>
    <t>LAKE R,LLOYD</t>
  </si>
  <si>
    <t>8E98U89GG53</t>
  </si>
  <si>
    <t>NG101954740100</t>
  </si>
  <si>
    <t>LAMBING L,DEBORAH</t>
  </si>
  <si>
    <t>6A67YH1GE58</t>
  </si>
  <si>
    <t>MECHGA4911986</t>
  </si>
  <si>
    <t>LANCASTER,DANIEL</t>
  </si>
  <si>
    <t>STUMP, SHANNON</t>
  </si>
  <si>
    <t>1AD1CG4XP12</t>
  </si>
  <si>
    <t>NG101789356000</t>
  </si>
  <si>
    <t>LANE M,LAWANDA</t>
  </si>
  <si>
    <t>3P06WR4UU64</t>
  </si>
  <si>
    <t>NG102026454000</t>
  </si>
  <si>
    <t>LARGEN C,SUSAN</t>
  </si>
  <si>
    <t>NE</t>
  </si>
  <si>
    <t>H7149-001</t>
  </si>
  <si>
    <t>8QE2HN4AP92</t>
  </si>
  <si>
    <t>NG101971324800</t>
  </si>
  <si>
    <t>LEBRON,ELVIRA</t>
  </si>
  <si>
    <t>5AG3VU4MT90</t>
  </si>
  <si>
    <t>NG101980959000</t>
  </si>
  <si>
    <t>LEBUIS M,SUZANNE</t>
  </si>
  <si>
    <t>4FJ2F78DU81</t>
  </si>
  <si>
    <t>NG101183336000</t>
  </si>
  <si>
    <t>LECHNER A,JUDITH</t>
  </si>
  <si>
    <t>2NV8JR5XD37</t>
  </si>
  <si>
    <t>NG101784790400</t>
  </si>
  <si>
    <t>LEEDS Z,KATHLEEN</t>
  </si>
  <si>
    <t>NC</t>
  </si>
  <si>
    <t>H3146-007</t>
  </si>
  <si>
    <t>6XV9U80YG29</t>
  </si>
  <si>
    <t>NG101952154500</t>
  </si>
  <si>
    <t>LEEHAN L,RANDALL</t>
  </si>
  <si>
    <t>9WJ8QT1FH62</t>
  </si>
  <si>
    <t>NG102053217100</t>
  </si>
  <si>
    <t>LEIN W,DOUGLAS</t>
  </si>
  <si>
    <t>5KM8JQ9VR61</t>
  </si>
  <si>
    <t>NG101936963200</t>
  </si>
  <si>
    <t>LEINENBACH L,KEITH</t>
  </si>
  <si>
    <t>6C37PM0KP73</t>
  </si>
  <si>
    <t>NG101985266800</t>
  </si>
  <si>
    <t>LENNON H,LAWRENCE</t>
  </si>
  <si>
    <t>9X06AC0XA89</t>
  </si>
  <si>
    <t>NG101767163600</t>
  </si>
  <si>
    <t>LEVIN L,CHARENE</t>
  </si>
  <si>
    <t>AZ</t>
  </si>
  <si>
    <t>IMM601</t>
  </si>
  <si>
    <t>H3931-092</t>
  </si>
  <si>
    <t>3V12JU5TD01</t>
  </si>
  <si>
    <t>NG101873361700</t>
  </si>
  <si>
    <t>LEWIS J,ALFRED</t>
  </si>
  <si>
    <t>4GC6HP2CD82</t>
  </si>
  <si>
    <t>NG101873210600</t>
  </si>
  <si>
    <t>LEWIS P,LORI</t>
  </si>
  <si>
    <t>7GX0C77HN17</t>
  </si>
  <si>
    <t>NG101337869700</t>
  </si>
  <si>
    <t>MEBRYH6N</t>
  </si>
  <si>
    <t xml:space="preserve">LIEBERT,ELIZABE                                                                                     </t>
  </si>
  <si>
    <t>4JY5F39DX65</t>
  </si>
  <si>
    <t>NG101280490300</t>
  </si>
  <si>
    <t>MEBRXP9H</t>
  </si>
  <si>
    <t xml:space="preserve">LIEBERT,RICHARD T                                                                                   </t>
  </si>
  <si>
    <t>9T32D40EG87</t>
  </si>
  <si>
    <t>NG101890961500</t>
  </si>
  <si>
    <t>LIMMER M,DENISE</t>
  </si>
  <si>
    <t>4X99W61WY27</t>
  </si>
  <si>
    <t>NG101890972100</t>
  </si>
  <si>
    <t>LIMMER S,KENNETH</t>
  </si>
  <si>
    <t>5FH3Y34WP86</t>
  </si>
  <si>
    <t>NG101782789900</t>
  </si>
  <si>
    <t>LINK C,THOMAS</t>
  </si>
  <si>
    <t>8E37DQ7XR55</t>
  </si>
  <si>
    <t>NG102034658300</t>
  </si>
  <si>
    <t>LINK L,SHARON</t>
  </si>
  <si>
    <t>5HQ2QP0RG26</t>
  </si>
  <si>
    <t>NG102035997700</t>
  </si>
  <si>
    <t>LISCHY Z,NORINE</t>
  </si>
  <si>
    <t>8UF4UM0NE76</t>
  </si>
  <si>
    <t>NG101119229200</t>
  </si>
  <si>
    <t>LOKER,ROSEMARIE</t>
  </si>
  <si>
    <t>7DY7CF1WG53</t>
  </si>
  <si>
    <t>NG101788040300</t>
  </si>
  <si>
    <t>LONG E,JEFFRY</t>
  </si>
  <si>
    <t>4NX6YC8XA87</t>
  </si>
  <si>
    <t>NG101779121700</t>
  </si>
  <si>
    <t>LOOSE B,DAVID</t>
  </si>
  <si>
    <t>8EF6F18QH69</t>
  </si>
  <si>
    <t>MECHGA6883536</t>
  </si>
  <si>
    <t>LU,CAROL</t>
  </si>
  <si>
    <t>S5601-034</t>
  </si>
  <si>
    <t>6E19GK0TK30</t>
  </si>
  <si>
    <t>MECHGA4675978</t>
  </si>
  <si>
    <t>LUIPERSBECK,SUSAN</t>
  </si>
  <si>
    <t>S5601-054</t>
  </si>
  <si>
    <t>8EE1KK0FN31</t>
  </si>
  <si>
    <t>NG102003239200</t>
  </si>
  <si>
    <t>LUPI L,DONNA</t>
  </si>
  <si>
    <t>2CF7H33XG60</t>
  </si>
  <si>
    <t>NG101080305300</t>
  </si>
  <si>
    <t>LYDON E,DONNA</t>
  </si>
  <si>
    <t>2CT0AV8YA43</t>
  </si>
  <si>
    <t>NG101968189200</t>
  </si>
  <si>
    <t>LYNCH M,TINA</t>
  </si>
  <si>
    <t>1K31HV6KC33</t>
  </si>
  <si>
    <t>NG101761973000</t>
  </si>
  <si>
    <t>MACAVAGE,CHARLENE</t>
  </si>
  <si>
    <t>8DF7TP9WP64</t>
  </si>
  <si>
    <t>NG101707075800</t>
  </si>
  <si>
    <t>MACGREGOR A,CHRISTINE</t>
  </si>
  <si>
    <t>5G91A56CC00</t>
  </si>
  <si>
    <t>NG102051423100</t>
  </si>
  <si>
    <t>MACPHAIL T,KEITH</t>
  </si>
  <si>
    <t>H5521-250</t>
  </si>
  <si>
    <t>9CN5DC1NW85</t>
  </si>
  <si>
    <t>NG101562279300</t>
  </si>
  <si>
    <t>MACURAK,JAMES</t>
  </si>
  <si>
    <t>7Q87NC4WC48</t>
  </si>
  <si>
    <t>NG101616349500</t>
  </si>
  <si>
    <t>MAGILL J,DANIEL</t>
  </si>
  <si>
    <t>3X95V27VX56</t>
  </si>
  <si>
    <t>NG101955463700</t>
  </si>
  <si>
    <t>MAJESKY K,RICHARD</t>
  </si>
  <si>
    <t>2CT5PG6WU40</t>
  </si>
  <si>
    <t>NG101562443500</t>
  </si>
  <si>
    <t>MAJESKY M,LISA</t>
  </si>
  <si>
    <t>9U75DA6FR79</t>
  </si>
  <si>
    <t>NG102065743100</t>
  </si>
  <si>
    <t>MALLON,JAMES</t>
  </si>
  <si>
    <t>2M85P52KM85</t>
  </si>
  <si>
    <t>NG102053241100</t>
  </si>
  <si>
    <t>MALONE,PETER</t>
  </si>
  <si>
    <t>3YG0E95EC25</t>
  </si>
  <si>
    <t>NG101802316600</t>
  </si>
  <si>
    <t>MANFREDA F,STEPHEN</t>
  </si>
  <si>
    <t>4V66HK8AD47</t>
  </si>
  <si>
    <t>NG101868022300</t>
  </si>
  <si>
    <t>MANFREDA P,NICK</t>
  </si>
  <si>
    <t>2JH3XM9VF19</t>
  </si>
  <si>
    <t>NG101078984800</t>
  </si>
  <si>
    <t>MANGUS G,RICHARD</t>
  </si>
  <si>
    <t>9CA9MR6JE52</t>
  </si>
  <si>
    <t>NG101049995200</t>
  </si>
  <si>
    <t>MANGUS L,THERESA</t>
  </si>
  <si>
    <t>3QQ0E40ER04</t>
  </si>
  <si>
    <t>NG102044679100</t>
  </si>
  <si>
    <t>MANKO A,REBECCA</t>
  </si>
  <si>
    <t>5H74YV3VD68</t>
  </si>
  <si>
    <t>NG101529182400</t>
  </si>
  <si>
    <t>MARBURGER J,TERRI</t>
  </si>
  <si>
    <t>9AM2V99XT21</t>
  </si>
  <si>
    <t>NG101473890900</t>
  </si>
  <si>
    <t>MARETTI,GAYLE</t>
  </si>
  <si>
    <t>5N74YU2JY05</t>
  </si>
  <si>
    <t>NG101697944000</t>
  </si>
  <si>
    <t>MARKSBERRY,ELWOOD</t>
  </si>
  <si>
    <t>3A20VM2EG26</t>
  </si>
  <si>
    <t>NG101856834000</t>
  </si>
  <si>
    <t>MARRERO V,LYDIA</t>
  </si>
  <si>
    <t>5EE2NR2GC23</t>
  </si>
  <si>
    <t>NG101856825300</t>
  </si>
  <si>
    <t>MARRERO,HARRY</t>
  </si>
  <si>
    <t>4WM7PW3MA48</t>
  </si>
  <si>
    <t>NG102081559700</t>
  </si>
  <si>
    <t>MARSHALL E,GLORIA</t>
  </si>
  <si>
    <t>3RC3CR8JM89</t>
  </si>
  <si>
    <t>NG102046287500</t>
  </si>
  <si>
    <t>MARSHALL,RICHARD</t>
  </si>
  <si>
    <t>8DG3VD2WN04</t>
  </si>
  <si>
    <t>NG101740447400</t>
  </si>
  <si>
    <t>MARTIN E,MARY</t>
  </si>
  <si>
    <t>OK</t>
  </si>
  <si>
    <t>H3288-020</t>
  </si>
  <si>
    <t>4M81DK3EQ99</t>
  </si>
  <si>
    <t>NG101697136100</t>
  </si>
  <si>
    <t>MARTIN R,DENNIS</t>
  </si>
  <si>
    <t>8C73AW7XK03</t>
  </si>
  <si>
    <t>NG102042487000</t>
  </si>
  <si>
    <t>MARZULLO M,LUANN</t>
  </si>
  <si>
    <t>1K90A62RC38</t>
  </si>
  <si>
    <t>NG101525528100</t>
  </si>
  <si>
    <t>MASON D,SUSAN</t>
  </si>
  <si>
    <t>3WQ1MN5KV27</t>
  </si>
  <si>
    <t>NG101072218400</t>
  </si>
  <si>
    <t>MASTANDREA J,VICTOR</t>
  </si>
  <si>
    <t>RAUGHTER, BRIAN</t>
  </si>
  <si>
    <t>3GF8UP3QG30</t>
  </si>
  <si>
    <t>NG101798892900</t>
  </si>
  <si>
    <t>MATSON A,THOMAS</t>
  </si>
  <si>
    <t>2UP0K94HY10</t>
  </si>
  <si>
    <t>NG101617531200</t>
  </si>
  <si>
    <t>MAURICE H,WILLIAM</t>
  </si>
  <si>
    <t>7T26TH7WW50</t>
  </si>
  <si>
    <t>NG101795177200</t>
  </si>
  <si>
    <t>MAXWELL S,LINDA</t>
  </si>
  <si>
    <t>2M16NW0CW57</t>
  </si>
  <si>
    <t>NG102109694200</t>
  </si>
  <si>
    <t>MAY D,KATHERINE</t>
  </si>
  <si>
    <t>6PM1EM9HX36</t>
  </si>
  <si>
    <t>NG101788458900</t>
  </si>
  <si>
    <t>MAZUREK L,SHERRIE</t>
  </si>
  <si>
    <t>6NQ1F42XH97</t>
  </si>
  <si>
    <t>NG101780750600</t>
  </si>
  <si>
    <t>MAZZA J,DONNA</t>
  </si>
  <si>
    <t>5M81GP9GD10</t>
  </si>
  <si>
    <t>NG101552085100</t>
  </si>
  <si>
    <t>MAZZETTI A,LEA</t>
  </si>
  <si>
    <t>2E81VN1EG31</t>
  </si>
  <si>
    <t>NG101508102100</t>
  </si>
  <si>
    <t>MCANDREWS E,KAREN</t>
  </si>
  <si>
    <t>5K19TP6EA59</t>
  </si>
  <si>
    <t>NG102049634300</t>
  </si>
  <si>
    <t>MCATEE E,JAMES</t>
  </si>
  <si>
    <t>9H33U95PD83</t>
  </si>
  <si>
    <t>NG101526780400</t>
  </si>
  <si>
    <t>MCCLOSKEY P,DONALD</t>
  </si>
  <si>
    <t>1RP4AT3PF03</t>
  </si>
  <si>
    <t>NG101626027800</t>
  </si>
  <si>
    <t>MCCOMMON J,THOMAS</t>
  </si>
  <si>
    <t>4P67TK0XR67</t>
  </si>
  <si>
    <t>NG101884894500</t>
  </si>
  <si>
    <t>MCCOMMON L,LAURAL</t>
  </si>
  <si>
    <t>1PD2UX0FE14</t>
  </si>
  <si>
    <t>NG101051538100</t>
  </si>
  <si>
    <t>MCCONNELL N,DORIS</t>
  </si>
  <si>
    <t>H2663-052</t>
  </si>
  <si>
    <t>5JW8FC1KV32</t>
  </si>
  <si>
    <t>NG101562440600</t>
  </si>
  <si>
    <t>MCCUNE A,DEBRA</t>
  </si>
  <si>
    <t>6NH2D86RW01</t>
  </si>
  <si>
    <t>NG102064852300</t>
  </si>
  <si>
    <t>MCDONALD M,JIM</t>
  </si>
  <si>
    <t>4E52HM9UM23</t>
  </si>
  <si>
    <t>NG101201921800</t>
  </si>
  <si>
    <t>MCDONOUGH E,WILLIAM</t>
  </si>
  <si>
    <t>3QD8P54FT35</t>
  </si>
  <si>
    <t>NG102018981300</t>
  </si>
  <si>
    <t>MCDONOUGH J,JAMES</t>
  </si>
  <si>
    <t>1XY8TQ3DF32</t>
  </si>
  <si>
    <t>NG101476390500</t>
  </si>
  <si>
    <t>MCDONOUGH M,GENEVIEVE</t>
  </si>
  <si>
    <t>6FW9NY2KD18</t>
  </si>
  <si>
    <t>NG101769841000</t>
  </si>
  <si>
    <t>MCELRAVY U,KATHLEEN</t>
  </si>
  <si>
    <t>1Q02R16AE01</t>
  </si>
  <si>
    <t>NG101521071400</t>
  </si>
  <si>
    <t>MCGAHEY G,KEVIN</t>
  </si>
  <si>
    <t>2XN7V29RG44</t>
  </si>
  <si>
    <t>NG102046259200</t>
  </si>
  <si>
    <t>MCGALLIS K,SHARYN</t>
  </si>
  <si>
    <t>5UD8V40HC42</t>
  </si>
  <si>
    <t>NG101806091900</t>
  </si>
  <si>
    <t>MCGREGOR D,JUDITH</t>
  </si>
  <si>
    <t>2UE7HQ1TJ39</t>
  </si>
  <si>
    <t>NG101806240800</t>
  </si>
  <si>
    <t>MCGREGOR D,KENNETH</t>
  </si>
  <si>
    <t>7DU4Y41MD66</t>
  </si>
  <si>
    <t>NG101789812400</t>
  </si>
  <si>
    <t>MCINTYRE A,CYNTHIA</t>
  </si>
  <si>
    <t>5C79NN0JH22</t>
  </si>
  <si>
    <t>NG101709439700</t>
  </si>
  <si>
    <t>MCKEE J,NANCY</t>
  </si>
  <si>
    <t>8GD5DR3DJ50</t>
  </si>
  <si>
    <t>NG101723446300</t>
  </si>
  <si>
    <t>MCLELLAN L,JANET</t>
  </si>
  <si>
    <t>Carryer, Kelly</t>
  </si>
  <si>
    <t>4EE1FN7UH90</t>
  </si>
  <si>
    <t>NG101474570000</t>
  </si>
  <si>
    <t>MCMULLEN N,MICHALENE</t>
  </si>
  <si>
    <t>8QE1G40JV08</t>
  </si>
  <si>
    <t>NG101473907300</t>
  </si>
  <si>
    <t>MCMULLEN W,THOMAS</t>
  </si>
  <si>
    <t>1Q93V50TW15</t>
  </si>
  <si>
    <t>NG101878135700</t>
  </si>
  <si>
    <t>MEAD D,RONALD</t>
  </si>
  <si>
    <t>H2293-019</t>
  </si>
  <si>
    <t>8Q02AJ3DF03</t>
  </si>
  <si>
    <t>NG101804686100</t>
  </si>
  <si>
    <t>MENDENHALL A,CAROL</t>
  </si>
  <si>
    <t>2VY6KX3GF62</t>
  </si>
  <si>
    <t>NG101804700100</t>
  </si>
  <si>
    <t>MENDENHALL R,RICHARD</t>
  </si>
  <si>
    <t>9QT7TC4CM32</t>
  </si>
  <si>
    <t>NG101817698300</t>
  </si>
  <si>
    <t>MERCER W,DAN</t>
  </si>
  <si>
    <t>H3288-011</t>
  </si>
  <si>
    <t>5NU3J33JD86</t>
  </si>
  <si>
    <t>NG102084927600</t>
  </si>
  <si>
    <t>MESHENBERG J,RONALD</t>
  </si>
  <si>
    <t>Miller, Heather</t>
  </si>
  <si>
    <t>7UP1UC3DX08</t>
  </si>
  <si>
    <t>NG101811336700</t>
  </si>
  <si>
    <t>MICHLER P,DAVID</t>
  </si>
  <si>
    <t>3DE0K32CU17</t>
  </si>
  <si>
    <t>NG102022919300</t>
  </si>
  <si>
    <t>MICHLER,RUTH</t>
  </si>
  <si>
    <t>7KE2Y10RV88</t>
  </si>
  <si>
    <t>NG101872330300</t>
  </si>
  <si>
    <t>MIDDLETON E,ROBERT</t>
  </si>
  <si>
    <t>6F86E62DU42</t>
  </si>
  <si>
    <t>NG101813313900</t>
  </si>
  <si>
    <t>MIGLIORINI A,DAVID</t>
  </si>
  <si>
    <t>8GJ6QU0TA65</t>
  </si>
  <si>
    <t>NG101209504000</t>
  </si>
  <si>
    <t>MIHALEK J,SHARON</t>
  </si>
  <si>
    <t>6U93AA6QM77</t>
  </si>
  <si>
    <t>NG102035849400</t>
  </si>
  <si>
    <t>MIHALKA C,LINDA</t>
  </si>
  <si>
    <t>4PJ7D61RD40</t>
  </si>
  <si>
    <t>NG102058162400</t>
  </si>
  <si>
    <t>MIHALKO C,DEBORAH</t>
  </si>
  <si>
    <t>6RJ8P24FD67</t>
  </si>
  <si>
    <t>NG101946685500</t>
  </si>
  <si>
    <t>MILLER A,ELIZABETH</t>
  </si>
  <si>
    <t>5NV6WM2JD66</t>
  </si>
  <si>
    <t>NG102009546700</t>
  </si>
  <si>
    <t>MILLER E,JAMES</t>
  </si>
  <si>
    <t>5A49DW0AA43</t>
  </si>
  <si>
    <t>NG101564499000</t>
  </si>
  <si>
    <t>MILLER L,BONNIE</t>
  </si>
  <si>
    <t>4AV7Q66KH31</t>
  </si>
  <si>
    <t>NG101794705400</t>
  </si>
  <si>
    <t>MILLER L,DEBORAH</t>
  </si>
  <si>
    <t>5XN3HP3YN99</t>
  </si>
  <si>
    <t>NG101200378400</t>
  </si>
  <si>
    <t>MILLER L,ROBERT</t>
  </si>
  <si>
    <t>2WR2FJ7WT96</t>
  </si>
  <si>
    <t>NG101564470400</t>
  </si>
  <si>
    <t>MILLER R,DAVID</t>
  </si>
  <si>
    <t>4VP5R20FP61</t>
  </si>
  <si>
    <t>NG102030348000</t>
  </si>
  <si>
    <t>MILLER S,RAYLENE</t>
  </si>
  <si>
    <t>5EW4HF1NQ78</t>
  </si>
  <si>
    <t>NG101780886200</t>
  </si>
  <si>
    <t>MINTO J,THOMAS</t>
  </si>
  <si>
    <t>4ER5WN9MU97</t>
  </si>
  <si>
    <t>NG101993405100</t>
  </si>
  <si>
    <t>MISSENDA T,JAMES</t>
  </si>
  <si>
    <t>2UX3P85HP90</t>
  </si>
  <si>
    <t>NG101948595600</t>
  </si>
  <si>
    <t>MOLNOR L,SUSAN</t>
  </si>
  <si>
    <t>H1206-002</t>
  </si>
  <si>
    <t>8CQ3JV9AT95</t>
  </si>
  <si>
    <t>NG101998674700</t>
  </si>
  <si>
    <t>MONFRE C,TIMOTHY</t>
  </si>
  <si>
    <t>8YV8QT9HT68</t>
  </si>
  <si>
    <t>NG101625894300</t>
  </si>
  <si>
    <t>MONTGOMERY K,SANDRA</t>
  </si>
  <si>
    <t>3JP1QU7DV16</t>
  </si>
  <si>
    <t>NG101626512800</t>
  </si>
  <si>
    <t>MONTGOMERY L,MICHAEL</t>
  </si>
  <si>
    <t>2D55E33WY63</t>
  </si>
  <si>
    <t>NG101735934200</t>
  </si>
  <si>
    <t>MOORE D,CONSTANCE</t>
  </si>
  <si>
    <t>H5521-432</t>
  </si>
  <si>
    <t>3U33FQ8NR85</t>
  </si>
  <si>
    <t>NG101836345900</t>
  </si>
  <si>
    <t>MOORE J,KIMBERLY</t>
  </si>
  <si>
    <t>4DR2DC3EJ89</t>
  </si>
  <si>
    <t>NG101491248600</t>
  </si>
  <si>
    <t>MOORE L,RONALD</t>
  </si>
  <si>
    <t>2RP7Y29YC61</t>
  </si>
  <si>
    <t>NG101782642800</t>
  </si>
  <si>
    <t>MOORE,ROSE</t>
  </si>
  <si>
    <t>2N77KM1WA65</t>
  </si>
  <si>
    <t>NG102048695700</t>
  </si>
  <si>
    <t>MORAN A,KATHLEEN</t>
  </si>
  <si>
    <t>1CX9NW5JU22</t>
  </si>
  <si>
    <t>NG101799276400</t>
  </si>
  <si>
    <t>MORRIDA A,CATHY</t>
  </si>
  <si>
    <t>1UQ0JE6EX19</t>
  </si>
  <si>
    <t>NG101780371900</t>
  </si>
  <si>
    <t>MORRIS C,BONNIE</t>
  </si>
  <si>
    <t>2WE1DM6AH28</t>
  </si>
  <si>
    <t>NG101959327000</t>
  </si>
  <si>
    <t>MORRIS D,SCOTT</t>
  </si>
  <si>
    <t>7NW9H46UJ33</t>
  </si>
  <si>
    <t>NG101494501900</t>
  </si>
  <si>
    <t>MORRISON A,JOHN</t>
  </si>
  <si>
    <t>Smith, Margaret</t>
  </si>
  <si>
    <t>3DK0JY7DQ48</t>
  </si>
  <si>
    <t>NG101047592900</t>
  </si>
  <si>
    <t>MORROW G,DANIEL</t>
  </si>
  <si>
    <t>5P88NK9EH63</t>
  </si>
  <si>
    <t>NG101827497400</t>
  </si>
  <si>
    <t>MORROW J,SUSAN</t>
  </si>
  <si>
    <t>9P69FY2FM24</t>
  </si>
  <si>
    <t>NG101474765700</t>
  </si>
  <si>
    <t>MOSER D,DAVID</t>
  </si>
  <si>
    <t>9V87W77WW44</t>
  </si>
  <si>
    <t>NG101456926300</t>
  </si>
  <si>
    <t>MOTKO,MARIA</t>
  </si>
  <si>
    <t>4C64J60WE60</t>
  </si>
  <si>
    <t>NG101791814900</t>
  </si>
  <si>
    <t>MUELLER R,RANDI</t>
  </si>
  <si>
    <t>9X93TJ7VX76</t>
  </si>
  <si>
    <t>NG101969976100</t>
  </si>
  <si>
    <t>MURILLO G,MARCELO</t>
  </si>
  <si>
    <t>4NY9PG1EE51</t>
  </si>
  <si>
    <t>NG101555764400</t>
  </si>
  <si>
    <t>MURRAY W,GREGORY</t>
  </si>
  <si>
    <t>1CT2X04CR86</t>
  </si>
  <si>
    <t>NG101486796300</t>
  </si>
  <si>
    <t>MURTHA J,RAYMOND</t>
  </si>
  <si>
    <t>6CJ0JU6KW03</t>
  </si>
  <si>
    <t>NG101798839500</t>
  </si>
  <si>
    <t>MYERS J,NANCY</t>
  </si>
  <si>
    <t>1CT6X89NC54</t>
  </si>
  <si>
    <t>NG102050179700</t>
  </si>
  <si>
    <t>MYRICK D,PAUL</t>
  </si>
  <si>
    <t>H5521-243</t>
  </si>
  <si>
    <t>2NT7HV3TM52</t>
  </si>
  <si>
    <t>NG101568867100</t>
  </si>
  <si>
    <t>NAPOLETAN J,STEVEN</t>
  </si>
  <si>
    <t>8YT2C01UT27</t>
  </si>
  <si>
    <t>NG101849791900</t>
  </si>
  <si>
    <t>NEHER J,TIMOTHY</t>
  </si>
  <si>
    <t>1NX4T31ND99</t>
  </si>
  <si>
    <t>NG101849537500</t>
  </si>
  <si>
    <t>NEHER O,BONNIE</t>
  </si>
  <si>
    <t>7XW0DA4MF39</t>
  </si>
  <si>
    <t>NG102069037500</t>
  </si>
  <si>
    <t>NEISER K,POLLY</t>
  </si>
  <si>
    <t>6C53HC1XN03</t>
  </si>
  <si>
    <t>NG102017118900</t>
  </si>
  <si>
    <t>NELSON L,LORI</t>
  </si>
  <si>
    <t>4G09G53CR32</t>
  </si>
  <si>
    <t>NG101603418900</t>
  </si>
  <si>
    <t>NEMETH L,STACY</t>
  </si>
  <si>
    <t>9J40Y16AP04</t>
  </si>
  <si>
    <t>NG101778370400</t>
  </si>
  <si>
    <t>NEWMYER W,STEVE</t>
  </si>
  <si>
    <t>2N51GH0RU20</t>
  </si>
  <si>
    <t>NG101545020000</t>
  </si>
  <si>
    <t>NEY L,TERRY</t>
  </si>
  <si>
    <t>H5521-089</t>
  </si>
  <si>
    <t>4WW4W91JY95</t>
  </si>
  <si>
    <t>NG101704569600</t>
  </si>
  <si>
    <t>NEY R,RICHARD</t>
  </si>
  <si>
    <t>6TW4XM5NM04</t>
  </si>
  <si>
    <t>NG101212333500</t>
  </si>
  <si>
    <t>NICHOLS K,ROBERT</t>
  </si>
  <si>
    <t>3A13KF4KC91</t>
  </si>
  <si>
    <t>NG101212516000</t>
  </si>
  <si>
    <t>NICHOLS L,MARY</t>
  </si>
  <si>
    <t>6GR9UD3PV30</t>
  </si>
  <si>
    <t>NG101962669500</t>
  </si>
  <si>
    <t>NIEMER,RONALD</t>
  </si>
  <si>
    <t>3DR4Y63VH90</t>
  </si>
  <si>
    <t>NG101805953900</t>
  </si>
  <si>
    <t>NOCERA A,PATRICIA</t>
  </si>
  <si>
    <t>4JJ1CH2ME10</t>
  </si>
  <si>
    <t>NG101805781500</t>
  </si>
  <si>
    <t>NOCERA F,JAMES</t>
  </si>
  <si>
    <t>5V61T80YC26</t>
  </si>
  <si>
    <t>NG101209273900</t>
  </si>
  <si>
    <t>NOLLINGER H,DENNIS</t>
  </si>
  <si>
    <t>4X42HK8WF97</t>
  </si>
  <si>
    <t>NG101200748700</t>
  </si>
  <si>
    <t>NORRIS A,SANDRA</t>
  </si>
  <si>
    <t>9TK1J79AK25</t>
  </si>
  <si>
    <t>NG101477828300</t>
  </si>
  <si>
    <t>NORTON M,JAMES</t>
  </si>
  <si>
    <t>2YJ0UV9PW33</t>
  </si>
  <si>
    <t>NG102064780500</t>
  </si>
  <si>
    <t>OBRIEN L,PEGGY</t>
  </si>
  <si>
    <t>4U30P64XQ14</t>
  </si>
  <si>
    <t>NG101470696800</t>
  </si>
  <si>
    <t>OESTERLING D,SHARON</t>
  </si>
  <si>
    <t>7GG9R95GE56</t>
  </si>
  <si>
    <t>NG101471757300</t>
  </si>
  <si>
    <t>OESTERLING E,LON</t>
  </si>
  <si>
    <t>8WH4MN8CF79</t>
  </si>
  <si>
    <t>NG101761025500</t>
  </si>
  <si>
    <t>OESTERLING J,KATHY</t>
  </si>
  <si>
    <t>2F15AQ9KX58</t>
  </si>
  <si>
    <t>NG101899711000</t>
  </si>
  <si>
    <t>OLEXSAK M,MARIELLEN</t>
  </si>
  <si>
    <t>6MX3WC1DQ79</t>
  </si>
  <si>
    <t>NG101686775500</t>
  </si>
  <si>
    <t>OLMSTEAD G,DONALD</t>
  </si>
  <si>
    <t>5PD0GC8NK19</t>
  </si>
  <si>
    <t>NG102070306300</t>
  </si>
  <si>
    <t>ORTIZ E,KILEY</t>
  </si>
  <si>
    <t>H5521-443</t>
  </si>
  <si>
    <t>ABDUL, SAADIA</t>
  </si>
  <si>
    <t>3RQ5Y22RU56</t>
  </si>
  <si>
    <t>NG101058198200</t>
  </si>
  <si>
    <t>OSBORNE J,TAMARA</t>
  </si>
  <si>
    <t>2NU2G28EJ91</t>
  </si>
  <si>
    <t>NG101780230600</t>
  </si>
  <si>
    <t>OSCHE L,JUDY</t>
  </si>
  <si>
    <t>2GX1UY3CQ00</t>
  </si>
  <si>
    <t>NG102055440700</t>
  </si>
  <si>
    <t>OSTERKAMP P,JOHN ROBERT</t>
  </si>
  <si>
    <t>3AX1Y60AH33</t>
  </si>
  <si>
    <t>NG101645477500</t>
  </si>
  <si>
    <t>OWENS,MICHAEL</t>
  </si>
  <si>
    <t>6J52DP5UT98</t>
  </si>
  <si>
    <t>NG102033862400</t>
  </si>
  <si>
    <t>PANEI F,GORDON</t>
  </si>
  <si>
    <t>4Q13C47WY99</t>
  </si>
  <si>
    <t>NG101519777300</t>
  </si>
  <si>
    <t>PAPA B,ANNA</t>
  </si>
  <si>
    <t>1VT3F20JP84</t>
  </si>
  <si>
    <t>NG101805692100</t>
  </si>
  <si>
    <t>PAPSO A,JOHN</t>
  </si>
  <si>
    <t>5X47J49EA63</t>
  </si>
  <si>
    <t>NG101057924100</t>
  </si>
  <si>
    <t xml:space="preserve">9269102HPA       </t>
  </si>
  <si>
    <t>PARENTE,MARIAN O</t>
  </si>
  <si>
    <t>2NU6MK9FF30</t>
  </si>
  <si>
    <t>NG102008188300</t>
  </si>
  <si>
    <t>PARK A,LESLIE</t>
  </si>
  <si>
    <t>H5521-087</t>
  </si>
  <si>
    <t>8F01U22VH15</t>
  </si>
  <si>
    <t>NG101472627800</t>
  </si>
  <si>
    <t>PARK D,ROBERT</t>
  </si>
  <si>
    <t>8DD8A09NV66</t>
  </si>
  <si>
    <t>NG101472308200</t>
  </si>
  <si>
    <t>PARK E,JOAN</t>
  </si>
  <si>
    <t>9D25MN1WD53</t>
  </si>
  <si>
    <t>NG101734123900</t>
  </si>
  <si>
    <t>PARK H,JOHN</t>
  </si>
  <si>
    <t>3X73H74PR00</t>
  </si>
  <si>
    <t>NG101585746700</t>
  </si>
  <si>
    <t>PARKER A,JANET</t>
  </si>
  <si>
    <t>4A67NF5XW42</t>
  </si>
  <si>
    <t>NG101502394600</t>
  </si>
  <si>
    <t>PARKER D,RONALD</t>
  </si>
  <si>
    <t>9WP9CE3JV36</t>
  </si>
  <si>
    <t>NG102188520000</t>
  </si>
  <si>
    <t>PARKS L,THERESA</t>
  </si>
  <si>
    <t>5TJ2UJ5KR00</t>
  </si>
  <si>
    <t>NG102006468500</t>
  </si>
  <si>
    <t>PARROTT A,JACK</t>
  </si>
  <si>
    <t>H5521-081</t>
  </si>
  <si>
    <t>1F53FK9QT60</t>
  </si>
  <si>
    <t>NG102006527900</t>
  </si>
  <si>
    <t>PARROTT D,MILLIE</t>
  </si>
  <si>
    <t>5F04WU9GH94</t>
  </si>
  <si>
    <t>NG101685445600</t>
  </si>
  <si>
    <t>PARSONS J,DAVID</t>
  </si>
  <si>
    <t>8GM8TG6FW55</t>
  </si>
  <si>
    <t>NG102027923000</t>
  </si>
  <si>
    <t>PASCUS T,KIRBY</t>
  </si>
  <si>
    <t>9F66F36QR70</t>
  </si>
  <si>
    <t>NG101108661400</t>
  </si>
  <si>
    <t>PATRICK R,GEORGE</t>
  </si>
  <si>
    <t>5HX2T35FM26</t>
  </si>
  <si>
    <t>NG101060966500</t>
  </si>
  <si>
    <t>PATTON A,JEFFERY</t>
  </si>
  <si>
    <t>1V02YH3AY08</t>
  </si>
  <si>
    <t>NG102150493500</t>
  </si>
  <si>
    <t>PAYNTER V,TODD</t>
  </si>
  <si>
    <t>H5521-438</t>
  </si>
  <si>
    <t xml:space="preserve">Y  </t>
  </si>
  <si>
    <t>6H75T12MV52</t>
  </si>
  <si>
    <t>NG101158582700</t>
  </si>
  <si>
    <t>PEARLINGI J,THOMAS</t>
  </si>
  <si>
    <t>H3959-033</t>
  </si>
  <si>
    <t>2UD8UA8UA21</t>
  </si>
  <si>
    <t>NG101077326300</t>
  </si>
  <si>
    <t xml:space="preserve">1297177HPA       </t>
  </si>
  <si>
    <t>PEAVORNICK,JUDITH E</t>
  </si>
  <si>
    <t>4ET9EE2XT56</t>
  </si>
  <si>
    <t>MECHGA6931157</t>
  </si>
  <si>
    <t>PECK,ROSEMARIE</t>
  </si>
  <si>
    <t>1XF4JV0VR86</t>
  </si>
  <si>
    <t>NG101080884700</t>
  </si>
  <si>
    <t xml:space="preserve">9308512HPA       </t>
  </si>
  <si>
    <t>PEER,MAURINE J</t>
  </si>
  <si>
    <t>5GH5F22GC86</t>
  </si>
  <si>
    <t>NG101862115800</t>
  </si>
  <si>
    <t>PEFFER D,CHARLES</t>
  </si>
  <si>
    <t>2YW9FN3NQ00</t>
  </si>
  <si>
    <t>NG101550164600</t>
  </si>
  <si>
    <t>PEGHER A,DEBORAH</t>
  </si>
  <si>
    <t>9J73VE0JH11</t>
  </si>
  <si>
    <t>NG101987947300</t>
  </si>
  <si>
    <t>PEIFFER S,JEFFREY</t>
  </si>
  <si>
    <t>6MH7X95HX53</t>
  </si>
  <si>
    <t>NG101206150800</t>
  </si>
  <si>
    <t>PELLEGRINI J,SARA</t>
  </si>
  <si>
    <t>4JK9FD8TC28</t>
  </si>
  <si>
    <t>NG101551108200</t>
  </si>
  <si>
    <t>PELLEGRINI L,JEFFREY</t>
  </si>
  <si>
    <t>4TR3FW1GJ89</t>
  </si>
  <si>
    <t>NG101473158500</t>
  </si>
  <si>
    <t>PERRY H,THOMAS</t>
  </si>
  <si>
    <t>4DY7EG1CA48</t>
  </si>
  <si>
    <t>NG101967648100</t>
  </si>
  <si>
    <t>PESTKA R,DANIEL</t>
  </si>
  <si>
    <t>8VD0TK2HR14</t>
  </si>
  <si>
    <t>NG101877310100</t>
  </si>
  <si>
    <t>PETERS T,ROBERT</t>
  </si>
  <si>
    <t>8PA1XE3QE92</t>
  </si>
  <si>
    <t>NG102095689100</t>
  </si>
  <si>
    <t>PETERSON J,GREGORY</t>
  </si>
  <si>
    <t>H5521-283</t>
  </si>
  <si>
    <t>SCHUMANN, BARRY</t>
  </si>
  <si>
    <t>4CF3EH2EG08</t>
  </si>
  <si>
    <t>NG101789861200</t>
  </si>
  <si>
    <t>PETERSON J,TIMOTHY</t>
  </si>
  <si>
    <t>5PY2UV4HW05</t>
  </si>
  <si>
    <t>NG101933081000</t>
  </si>
  <si>
    <t>PETRELLA,ANTHONY</t>
  </si>
  <si>
    <t>3UC2NX6YG05</t>
  </si>
  <si>
    <t>NG101585766600</t>
  </si>
  <si>
    <t>PETTIT A,CAROL</t>
  </si>
  <si>
    <t>3M97W01UA20</t>
  </si>
  <si>
    <t>NG101585747400</t>
  </si>
  <si>
    <t>PETTIT V,BRUCE</t>
  </si>
  <si>
    <t>3DG7N96DT78</t>
  </si>
  <si>
    <t>NG102069330900</t>
  </si>
  <si>
    <t>PHELPS A,ROGER</t>
  </si>
  <si>
    <t>H5521-222</t>
  </si>
  <si>
    <t>9VU3EJ7XD86</t>
  </si>
  <si>
    <t>NG102050160600</t>
  </si>
  <si>
    <t>PHELPS R,LILLIAN</t>
  </si>
  <si>
    <t>8PT8E70VT56</t>
  </si>
  <si>
    <t>NG101855677000</t>
  </si>
  <si>
    <t>PHILLIPS L,CHERYL</t>
  </si>
  <si>
    <t>5VJ5EM8YN56</t>
  </si>
  <si>
    <t>NG101689246200</t>
  </si>
  <si>
    <t>PHIPPS J,TIMOTHY</t>
  </si>
  <si>
    <t>5EW7H87EU31</t>
  </si>
  <si>
    <t>NG102049657500</t>
  </si>
  <si>
    <t>PICCOLI M,CHRISTOPHE</t>
  </si>
  <si>
    <t>1VA8JC2GY40</t>
  </si>
  <si>
    <t>NG101626199000</t>
  </si>
  <si>
    <t>PIERREL H,JOSEPH</t>
  </si>
  <si>
    <t>5AP3Y85UK08</t>
  </si>
  <si>
    <t>NG101625868700</t>
  </si>
  <si>
    <t>PIERREL M,LEONA</t>
  </si>
  <si>
    <t>1W52FD3FM13</t>
  </si>
  <si>
    <t>NG101872923700</t>
  </si>
  <si>
    <t>PIKOULAS,DEAN</t>
  </si>
  <si>
    <t>5UY6GW8DN68</t>
  </si>
  <si>
    <t>NG102078192100</t>
  </si>
  <si>
    <t>PINTA A,TERESE</t>
  </si>
  <si>
    <t>H5521-195</t>
  </si>
  <si>
    <t>Hodgman, Timothy</t>
  </si>
  <si>
    <t>7D35AP1JC73</t>
  </si>
  <si>
    <t>NG101182622700</t>
  </si>
  <si>
    <t>PIPER E,JOYCE</t>
  </si>
  <si>
    <t>9X45A53RA73</t>
  </si>
  <si>
    <t>NG101096941600</t>
  </si>
  <si>
    <t>PIPER G,DAVID</t>
  </si>
  <si>
    <t>3NT2TY7KF97</t>
  </si>
  <si>
    <t>NG101137592300</t>
  </si>
  <si>
    <t>PISOR H,RICHARD</t>
  </si>
  <si>
    <t>4W53A67EF70</t>
  </si>
  <si>
    <t>NG102059621800</t>
  </si>
  <si>
    <t>PISOR K,BRIAN</t>
  </si>
  <si>
    <t>8P70Y81AR19</t>
  </si>
  <si>
    <t>NG101827467700</t>
  </si>
  <si>
    <t>PLATT C,CHARLES</t>
  </si>
  <si>
    <t>8R31TK0YN12</t>
  </si>
  <si>
    <t>NG102037067200</t>
  </si>
  <si>
    <t>PLOCHARSKI M,KATHLEEN</t>
  </si>
  <si>
    <t>3CQ6CV6AU85</t>
  </si>
  <si>
    <t>NG101254580100</t>
  </si>
  <si>
    <t>POLITE J,CAROL</t>
  </si>
  <si>
    <t>4CC2MU0QJ97</t>
  </si>
  <si>
    <t>NG101626483300</t>
  </si>
  <si>
    <t>POLKY L,JANINE</t>
  </si>
  <si>
    <t>7F10M05KJ07</t>
  </si>
  <si>
    <t>NG101820626600</t>
  </si>
  <si>
    <t>PONTEOUS W,KEVIN</t>
  </si>
  <si>
    <t>6YX5XG0VP68</t>
  </si>
  <si>
    <t>NG101453387000</t>
  </si>
  <si>
    <t>POPINSKI L,SANDRA</t>
  </si>
  <si>
    <t>2NP6E96FQ82</t>
  </si>
  <si>
    <t>NG101109815100</t>
  </si>
  <si>
    <t>POPINSKI L,STAN</t>
  </si>
  <si>
    <t>6YR9PM1QC33</t>
  </si>
  <si>
    <t>NG101065991100</t>
  </si>
  <si>
    <t>PORTER G,LEEANNA</t>
  </si>
  <si>
    <t>5KN7A44AK66</t>
  </si>
  <si>
    <t>NG101943963700</t>
  </si>
  <si>
    <t>POWER R,THOMAS</t>
  </si>
  <si>
    <t>7C09XN2RN38</t>
  </si>
  <si>
    <t>NG102037642800</t>
  </si>
  <si>
    <t>PRIBILA M,PETER</t>
  </si>
  <si>
    <t>9Y24VP8AP72</t>
  </si>
  <si>
    <t>NG102105930700</t>
  </si>
  <si>
    <t>PRICE E,TIM</t>
  </si>
  <si>
    <t>2UT4YA6YQ95</t>
  </si>
  <si>
    <t>NG102064758600</t>
  </si>
  <si>
    <t>PRIGG J,VICTORIA</t>
  </si>
  <si>
    <t>8FE2PK7FQ94</t>
  </si>
  <si>
    <t>NG102063811100</t>
  </si>
  <si>
    <t>PRINZ D,JOHN</t>
  </si>
  <si>
    <t>H5521-406</t>
  </si>
  <si>
    <t>8HW9N61FC37</t>
  </si>
  <si>
    <t>NG102063802200</t>
  </si>
  <si>
    <t>PRINZ M,THERESA</t>
  </si>
  <si>
    <t>9XX7D78QG62</t>
  </si>
  <si>
    <t>NG101202952000</t>
  </si>
  <si>
    <t>PROTESTO,JACK</t>
  </si>
  <si>
    <t>9E39JQ0GP43</t>
  </si>
  <si>
    <t>NG102035916500</t>
  </si>
  <si>
    <t>PROTZMAN S,DEBRA</t>
  </si>
  <si>
    <t>8YV4KH2GQ77</t>
  </si>
  <si>
    <t>MECHGA5120190</t>
  </si>
  <si>
    <t>PRUITT,JUANITA</t>
  </si>
  <si>
    <t>6KE7Y13DV67</t>
  </si>
  <si>
    <t>NG101780207200</t>
  </si>
  <si>
    <t>PURYEAR W,ALLAN</t>
  </si>
  <si>
    <t>MS</t>
  </si>
  <si>
    <t>H5521-218</t>
  </si>
  <si>
    <t>5M98C22JH64</t>
  </si>
  <si>
    <t>NG102065624200</t>
  </si>
  <si>
    <t>RAGAZZINI A,JEFFREY</t>
  </si>
  <si>
    <t>9QM6CF7HM67</t>
  </si>
  <si>
    <t>NG101720743300</t>
  </si>
  <si>
    <t>RANDALL L,LORI</t>
  </si>
  <si>
    <t>7MF5RK4JC64</t>
  </si>
  <si>
    <t>NG101593349800</t>
  </si>
  <si>
    <t>RASP D,PATRICIA</t>
  </si>
  <si>
    <t>8GR2Q44FR95</t>
  </si>
  <si>
    <t>NG102079872100</t>
  </si>
  <si>
    <t>RAUSCH P,JAMES</t>
  </si>
  <si>
    <t>6D55JT2GT80</t>
  </si>
  <si>
    <t>NG101813398700</t>
  </si>
  <si>
    <t>RAY R,BENJAMIN</t>
  </si>
  <si>
    <t>8GA1VG1JK17</t>
  </si>
  <si>
    <t>NG101778371800</t>
  </si>
  <si>
    <t>RAY T,FRANK</t>
  </si>
  <si>
    <t>5W38W95KT46</t>
  </si>
  <si>
    <t>NG101799200500</t>
  </si>
  <si>
    <t>REDD P,DONNA</t>
  </si>
  <si>
    <t>8VA3UF4XV75</t>
  </si>
  <si>
    <t>NG101368023800</t>
  </si>
  <si>
    <t>REED T,DEAN</t>
  </si>
  <si>
    <t>6Y98KV3KP39</t>
  </si>
  <si>
    <t>NG101978627300</t>
  </si>
  <si>
    <t>RETTIG J,DENNIS</t>
  </si>
  <si>
    <t>5N78U28JA65</t>
  </si>
  <si>
    <t>NG101835507900</t>
  </si>
  <si>
    <t>REYNOLDS E,JUNE</t>
  </si>
  <si>
    <t>8MU4KH5CT88</t>
  </si>
  <si>
    <t>NG101839903500</t>
  </si>
  <si>
    <t>REYNOLDS J,ROBERT</t>
  </si>
  <si>
    <t>2NC1HA2JU25</t>
  </si>
  <si>
    <t>NG102049702100</t>
  </si>
  <si>
    <t>RHOADES K,BARRY</t>
  </si>
  <si>
    <t>GA</t>
  </si>
  <si>
    <t>H3288-027</t>
  </si>
  <si>
    <t>7J07A51RW36</t>
  </si>
  <si>
    <t>NG102033829400</t>
  </si>
  <si>
    <t>RICHTER L,ELIZABETH</t>
  </si>
  <si>
    <t>H5521-435</t>
  </si>
  <si>
    <t>2JN9K33XD51</t>
  </si>
  <si>
    <t>NG102069393600</t>
  </si>
  <si>
    <t>RIDDLEBERGER A,JUDITH</t>
  </si>
  <si>
    <t>H5521-434</t>
  </si>
  <si>
    <t>9TY0TH2CJ05</t>
  </si>
  <si>
    <t>NG102058154400</t>
  </si>
  <si>
    <t>RIEDLER M,RACHEL</t>
  </si>
  <si>
    <t>TAUGNER, CHRISTIAN</t>
  </si>
  <si>
    <t>7U74XU0PN06</t>
  </si>
  <si>
    <t>NG102025592500</t>
  </si>
  <si>
    <t>RITCHEY S,RENEE</t>
  </si>
  <si>
    <t>H3288-009</t>
  </si>
  <si>
    <t>2WD7H66NJ68</t>
  </si>
  <si>
    <t>NG101109076200</t>
  </si>
  <si>
    <t>RIZZO R,GLEN</t>
  </si>
  <si>
    <t>6XU4KC0JF88</t>
  </si>
  <si>
    <t>NG101565291100</t>
  </si>
  <si>
    <t>ROBBINS K,JOY</t>
  </si>
  <si>
    <t>3T09NM2QX37</t>
  </si>
  <si>
    <t>NG101072909000</t>
  </si>
  <si>
    <t>ROBINSON D,DONALD</t>
  </si>
  <si>
    <t>6RP5EM0RV96</t>
  </si>
  <si>
    <t>NG101957490400</t>
  </si>
  <si>
    <t>ROBINSON G,KENNETH</t>
  </si>
  <si>
    <t>5N57QH8MF47</t>
  </si>
  <si>
    <t>NG102049245100</t>
  </si>
  <si>
    <t>ROBINSON R,ROXANN</t>
  </si>
  <si>
    <t>9ED6CP6EA51</t>
  </si>
  <si>
    <t>NG101749308400</t>
  </si>
  <si>
    <t>ROBISON L,SARA</t>
  </si>
  <si>
    <t>7XX1H32CG31</t>
  </si>
  <si>
    <t>NG101545532600</t>
  </si>
  <si>
    <t>ROCCO L,PEGGY</t>
  </si>
  <si>
    <t>3YX6RM8UA86</t>
  </si>
  <si>
    <t>NG101804449300</t>
  </si>
  <si>
    <t>ROCK M,NICOLETTE</t>
  </si>
  <si>
    <t>1WJ7F61AE49</t>
  </si>
  <si>
    <t>NG101804485700</t>
  </si>
  <si>
    <t>ROCK,GREGORY</t>
  </si>
  <si>
    <t>3FX9EV4TH13</t>
  </si>
  <si>
    <t>NG101784945000</t>
  </si>
  <si>
    <t>RODGERS A,MARCIA</t>
  </si>
  <si>
    <t>3M87T61RQ59</t>
  </si>
  <si>
    <t>NG101802133900</t>
  </si>
  <si>
    <t>ROGALSKI A,KATHLEEN</t>
  </si>
  <si>
    <t>3XQ2R28HH97</t>
  </si>
  <si>
    <t>NG101928096300</t>
  </si>
  <si>
    <t>ROGERS,ROBIN</t>
  </si>
  <si>
    <t>1V27GF9WE34</t>
  </si>
  <si>
    <t>NG101205241100</t>
  </si>
  <si>
    <t>ROME,MARGIE</t>
  </si>
  <si>
    <t>1PV6FA2WQ67</t>
  </si>
  <si>
    <t>NG102021599000</t>
  </si>
  <si>
    <t>ROMEO D,ANTHONY</t>
  </si>
  <si>
    <t>8YX6KA1JQ59</t>
  </si>
  <si>
    <t>NG102053113700</t>
  </si>
  <si>
    <t>ROPPO,PAULA</t>
  </si>
  <si>
    <t>3C25F72XQ63</t>
  </si>
  <si>
    <t>NG101987999900</t>
  </si>
  <si>
    <t>ROSS R,JULIA</t>
  </si>
  <si>
    <t>H5521-170</t>
  </si>
  <si>
    <t>3CE0N42FH18</t>
  </si>
  <si>
    <t>NG102021703600</t>
  </si>
  <si>
    <t>ROTHRAUFF M,DANIEL</t>
  </si>
  <si>
    <t>3UA2FK8TN19</t>
  </si>
  <si>
    <t>NG102040124800</t>
  </si>
  <si>
    <t>ROUSSARIE J,DONNA</t>
  </si>
  <si>
    <t>5D40GM8FX21</t>
  </si>
  <si>
    <t>NG101794682100</t>
  </si>
  <si>
    <t>RUBRIGHT D,LARRY</t>
  </si>
  <si>
    <t>4UG8ER0AD46</t>
  </si>
  <si>
    <t>NG102029053100</t>
  </si>
  <si>
    <t>RUCH K,MARY</t>
  </si>
  <si>
    <t>H3959-037</t>
  </si>
  <si>
    <t>3JJ7JC8AY74</t>
  </si>
  <si>
    <t>NG101260351600</t>
  </si>
  <si>
    <t>MEBVM83Q</t>
  </si>
  <si>
    <t xml:space="preserve">RUSIANA,MARILOU S                                                                                   </t>
  </si>
  <si>
    <t>5G95AP3AE71</t>
  </si>
  <si>
    <t>NG101191675700</t>
  </si>
  <si>
    <t>RUSSELL A,WILLIAM</t>
  </si>
  <si>
    <t>1W14C98JU75</t>
  </si>
  <si>
    <t>NG101119817400</t>
  </si>
  <si>
    <t>RUSSELL E,KAREN</t>
  </si>
  <si>
    <t>9E09YM5JU24</t>
  </si>
  <si>
    <t>NG101562671800</t>
  </si>
  <si>
    <t>RUSSO M,SUSAN</t>
  </si>
  <si>
    <t>2WG8MY3GA54</t>
  </si>
  <si>
    <t>NG101685446200</t>
  </si>
  <si>
    <t>RUTKOSKI A,PATRICIA</t>
  </si>
  <si>
    <t>6RF6TD6AG60</t>
  </si>
  <si>
    <t>NG101550521000</t>
  </si>
  <si>
    <t>RUTKOSKI L,GREGORY</t>
  </si>
  <si>
    <t>2GC1QD3MM99</t>
  </si>
  <si>
    <t>MECHGA7461866</t>
  </si>
  <si>
    <t>RYAN,PETER</t>
  </si>
  <si>
    <t>4YV6CG3MV81</t>
  </si>
  <si>
    <t>MECHGA6898609</t>
  </si>
  <si>
    <t>SACKETT,LORI</t>
  </si>
  <si>
    <t>3NA0RW3FY90</t>
  </si>
  <si>
    <t>NG101707201600</t>
  </si>
  <si>
    <t>SADOWSKI J,WILLIAM</t>
  </si>
  <si>
    <t>8UK5W45AY76</t>
  </si>
  <si>
    <t>NG102050057700</t>
  </si>
  <si>
    <t>SAMKO M,SHARON</t>
  </si>
  <si>
    <t>5E80J70RF11</t>
  </si>
  <si>
    <t>NG102050057000</t>
  </si>
  <si>
    <t>SAMKO P,WILLIAM</t>
  </si>
  <si>
    <t>2D88T77GP30</t>
  </si>
  <si>
    <t>NG101138580000</t>
  </si>
  <si>
    <t>SANO,ABRAHAM</t>
  </si>
  <si>
    <t>2H26V84UH67</t>
  </si>
  <si>
    <t>NG101697130900</t>
  </si>
  <si>
    <t>SARGENT M,TALLI</t>
  </si>
  <si>
    <t>1R83VY1YH02</t>
  </si>
  <si>
    <t>NG101120868400</t>
  </si>
  <si>
    <t>SASSE J,BEVERLY</t>
  </si>
  <si>
    <t>8UM6M66KV64</t>
  </si>
  <si>
    <t>NG101842382600</t>
  </si>
  <si>
    <t>SAWYER G,CHRISTOPHER</t>
  </si>
  <si>
    <t>9NE2RY0AV08</t>
  </si>
  <si>
    <t>NG102105540600</t>
  </si>
  <si>
    <t>SCHAEFER M,EDWARD</t>
  </si>
  <si>
    <t>5P51RR5QF80</t>
  </si>
  <si>
    <t>NG102123717600</t>
  </si>
  <si>
    <t>SCHAEFER M,PATRICIA</t>
  </si>
  <si>
    <t>6PE9JJ1AK39</t>
  </si>
  <si>
    <t>NG101966853700</t>
  </si>
  <si>
    <t>SCHAUB A,MAUDRESS</t>
  </si>
  <si>
    <t>9JR5QQ6CD64</t>
  </si>
  <si>
    <t>NG101094056700</t>
  </si>
  <si>
    <t xml:space="preserve">9296288HPA       </t>
  </si>
  <si>
    <t>SCHEERBAUM,ELAINE A</t>
  </si>
  <si>
    <t>2TY9NA2XF52</t>
  </si>
  <si>
    <t>NG101189072000</t>
  </si>
  <si>
    <t>SCHELETSKY J,DENNIS</t>
  </si>
  <si>
    <t>2DC6YR9UQ82</t>
  </si>
  <si>
    <t>NG101495722200</t>
  </si>
  <si>
    <t>SCHMIDT A,PAMELA</t>
  </si>
  <si>
    <t>8NX1XJ1FC90</t>
  </si>
  <si>
    <t>NG101453389700</t>
  </si>
  <si>
    <t>SCHMIEDECKE A,GARY</t>
  </si>
  <si>
    <t>6N04CM4GF63</t>
  </si>
  <si>
    <t>NG101054430800</t>
  </si>
  <si>
    <t>SCHNUR R,GLORIA</t>
  </si>
  <si>
    <t>4P21NH7KJ98</t>
  </si>
  <si>
    <t>NG101778941500</t>
  </si>
  <si>
    <t>SCHOFIELD A,ROBERTA</t>
  </si>
  <si>
    <t>2FY9H61VJ45</t>
  </si>
  <si>
    <t>NG101098830600</t>
  </si>
  <si>
    <t>SCHOFIELD C,JAMES</t>
  </si>
  <si>
    <t>8GN6J03RF43</t>
  </si>
  <si>
    <t>NG101558299900</t>
  </si>
  <si>
    <t>SCHRIM W,HANNAH</t>
  </si>
  <si>
    <t>3VP0PX5PM48</t>
  </si>
  <si>
    <t>NG101558094400</t>
  </si>
  <si>
    <t>SCHRIM,ANDREW</t>
  </si>
  <si>
    <t>4TV0AJ8KE90</t>
  </si>
  <si>
    <t>NG101833894700</t>
  </si>
  <si>
    <t>SCHUBERT D,GLENN</t>
  </si>
  <si>
    <t>6H91V21TX06</t>
  </si>
  <si>
    <t>NG101520146500</t>
  </si>
  <si>
    <t>SCHUMAN L,HELEN</t>
  </si>
  <si>
    <t>9EC7PU1AK57</t>
  </si>
  <si>
    <t>NG101517826700</t>
  </si>
  <si>
    <t>SCHUMAN R,RICHARD</t>
  </si>
  <si>
    <t>6DT5RQ7JN53</t>
  </si>
  <si>
    <t>NG101928108100</t>
  </si>
  <si>
    <t>SCHURKO R,JOSEPHINE</t>
  </si>
  <si>
    <t>4T55TV8NC74</t>
  </si>
  <si>
    <t>NG102043872000</t>
  </si>
  <si>
    <t>SCIULLO C,FELIX</t>
  </si>
  <si>
    <t>2TJ2CV5AM05</t>
  </si>
  <si>
    <t>NG101209240300</t>
  </si>
  <si>
    <t>SELFRIDGE D,DEBBIE</t>
  </si>
  <si>
    <t>6Q75AC8RY84</t>
  </si>
  <si>
    <t>NG102048671500</t>
  </si>
  <si>
    <t>SELLERS F,THOMAS</t>
  </si>
  <si>
    <t>3CU4YC4TU79</t>
  </si>
  <si>
    <t>NG101524578200</t>
  </si>
  <si>
    <t>SEMES L,VICKI</t>
  </si>
  <si>
    <t>5N67NX5ER40</t>
  </si>
  <si>
    <t>NG101593153200</t>
  </si>
  <si>
    <t>SEMES S,PAUL</t>
  </si>
  <si>
    <t>1U74J60JK93</t>
  </si>
  <si>
    <t>NG101544714300</t>
  </si>
  <si>
    <t>SERVEDIO M,ROSE</t>
  </si>
  <si>
    <t>3A14U01DG95</t>
  </si>
  <si>
    <t>NG101791396800</t>
  </si>
  <si>
    <t>SHACKELFORD W,JOHN</t>
  </si>
  <si>
    <t>1CT4T68MA63</t>
  </si>
  <si>
    <t>NG101488727700</t>
  </si>
  <si>
    <t>SHAFFER D,GEORGE</t>
  </si>
  <si>
    <t>4N91GT1PC99</t>
  </si>
  <si>
    <t>NG102021150000</t>
  </si>
  <si>
    <t>SHAFFER W,BRUCE</t>
  </si>
  <si>
    <t>8J06PE0JQ51</t>
  </si>
  <si>
    <t>MECHGA6798566</t>
  </si>
  <si>
    <t>SHAHROOZ,GHASSEM</t>
  </si>
  <si>
    <t>8R60Y41KH01</t>
  </si>
  <si>
    <t>NG101840470500</t>
  </si>
  <si>
    <t>SHEFTIC A,MARK</t>
  </si>
  <si>
    <t>5U66T88JK43</t>
  </si>
  <si>
    <t>NG101481629800</t>
  </si>
  <si>
    <t>SHEHAB GORSKI K,STACEY</t>
  </si>
  <si>
    <t>9XF4P56WT97</t>
  </si>
  <si>
    <t>NG102066402500</t>
  </si>
  <si>
    <t>SHERIDAN SALMAN R,NAOMI</t>
  </si>
  <si>
    <t>2K30RW7DW38</t>
  </si>
  <si>
    <t>NG102188513600</t>
  </si>
  <si>
    <t>SHIPLETT A,JAMES</t>
  </si>
  <si>
    <t>H5521-169</t>
  </si>
  <si>
    <t>Liskovec, Frank</t>
  </si>
  <si>
    <t>4FW5GE4EH72</t>
  </si>
  <si>
    <t>NG102188567800</t>
  </si>
  <si>
    <t>SHIPLETT J,LAURA</t>
  </si>
  <si>
    <t>7AT7Y37DF76</t>
  </si>
  <si>
    <t>NG102098890500</t>
  </si>
  <si>
    <t>SICILIANO W,FREDERICK</t>
  </si>
  <si>
    <t>9X26RK4DC62</t>
  </si>
  <si>
    <t>NG101547081000</t>
  </si>
  <si>
    <t>SIDLEY A,KIMBERLY</t>
  </si>
  <si>
    <t>8MP7N03NX57</t>
  </si>
  <si>
    <t>NG101089030200</t>
  </si>
  <si>
    <t>SIEGFRIED,JAMES</t>
  </si>
  <si>
    <t>H5522-013</t>
  </si>
  <si>
    <t>8TE9TY5CR25</t>
  </si>
  <si>
    <t>NG101090350700</t>
  </si>
  <si>
    <t>SIGMUND C,SUSAN</t>
  </si>
  <si>
    <t>2EQ7R26FW60</t>
  </si>
  <si>
    <t>NG102025517700</t>
  </si>
  <si>
    <t>SIMMONS J,CYNDIE</t>
  </si>
  <si>
    <t>KY</t>
  </si>
  <si>
    <t>H5521-442</t>
  </si>
  <si>
    <t>9ER8FE5VC23</t>
  </si>
  <si>
    <t>NG101375450100</t>
  </si>
  <si>
    <t>SINCLAIR A,GORDON</t>
  </si>
  <si>
    <t>8QM8T21VM37</t>
  </si>
  <si>
    <t>NG101920192600</t>
  </si>
  <si>
    <t>SKENDERI,HEKURAN</t>
  </si>
  <si>
    <t>2NU6NM3HN54</t>
  </si>
  <si>
    <t>NG101903841400</t>
  </si>
  <si>
    <t>SKENDERI,MERJEME</t>
  </si>
  <si>
    <t>4TV1A53XF00</t>
  </si>
  <si>
    <t>NG102085672600</t>
  </si>
  <si>
    <t>SKINNER L,VICKI</t>
  </si>
  <si>
    <t>2VW1A00AE38</t>
  </si>
  <si>
    <t>NG101804723800</t>
  </si>
  <si>
    <t>SLAGLE C,MARY</t>
  </si>
  <si>
    <t>8DR4E50HP92</t>
  </si>
  <si>
    <t>NG101847389400</t>
  </si>
  <si>
    <t>SLAGLE D,THOMAS</t>
  </si>
  <si>
    <t>6JA6GP5PJ75</t>
  </si>
  <si>
    <t>NG101204555000</t>
  </si>
  <si>
    <t>SLANEY R,JAMES</t>
  </si>
  <si>
    <t>2W84FG2TH63</t>
  </si>
  <si>
    <t>NG101088504700</t>
  </si>
  <si>
    <t>SMARETSKY J,KENNETH</t>
  </si>
  <si>
    <t>9F31JM2QW10</t>
  </si>
  <si>
    <t>NG101763748700</t>
  </si>
  <si>
    <t>SMITH L,GARY</t>
  </si>
  <si>
    <t>H1608-017</t>
  </si>
  <si>
    <t>4U64YV7UH91</t>
  </si>
  <si>
    <t>NG101064228200</t>
  </si>
  <si>
    <t>SNYDER E,DAVID</t>
  </si>
  <si>
    <t>9KK3PT7DN77</t>
  </si>
  <si>
    <t>NG101094290600</t>
  </si>
  <si>
    <t>SNYDER K,DARLENE</t>
  </si>
  <si>
    <t>6V88D98WW44</t>
  </si>
  <si>
    <t>NG101805982200</t>
  </si>
  <si>
    <t>SNYDER S,PAULA</t>
  </si>
  <si>
    <t>4EG3A78JC05</t>
  </si>
  <si>
    <t>NG101824658400</t>
  </si>
  <si>
    <t>SOAVE J,PAMELA</t>
  </si>
  <si>
    <t>H5521-348</t>
  </si>
  <si>
    <t>6TM3CR2KN70</t>
  </si>
  <si>
    <t>NG101708503500</t>
  </si>
  <si>
    <t>SOLEY S,PAULA</t>
  </si>
  <si>
    <t>6UH0HX6PD37</t>
  </si>
  <si>
    <t>NG101811195700</t>
  </si>
  <si>
    <t>SPANOS,TOULA</t>
  </si>
  <si>
    <t>2WG2CX0PG19</t>
  </si>
  <si>
    <t>NG102104604100</t>
  </si>
  <si>
    <t>SPARKS L,ALISON</t>
  </si>
  <si>
    <t>5DE9P90VV10</t>
  </si>
  <si>
    <t>NG101209812800</t>
  </si>
  <si>
    <t>SPAULDING E,SHIRLEY</t>
  </si>
  <si>
    <t>5KQ2NW9WQ12</t>
  </si>
  <si>
    <t>NG101209755200</t>
  </si>
  <si>
    <t>SPAULDING L,GARY</t>
  </si>
  <si>
    <t>6Q11TF6UH36</t>
  </si>
  <si>
    <t>MECHGA5807355</t>
  </si>
  <si>
    <t>SPECTOR,GUS</t>
  </si>
  <si>
    <t>5RY6T26DV54</t>
  </si>
  <si>
    <t>NG101843731800</t>
  </si>
  <si>
    <t>SPIER E,CONNIE</t>
  </si>
  <si>
    <t>6VU2DF0FJ81</t>
  </si>
  <si>
    <t>NG101566325300</t>
  </si>
  <si>
    <t>SPORKA,JUDITH</t>
  </si>
  <si>
    <t>4J14DA0FW87</t>
  </si>
  <si>
    <t>NG101557843300</t>
  </si>
  <si>
    <t>STANKO M,IRENE</t>
  </si>
  <si>
    <t>5VH2TW2UR80</t>
  </si>
  <si>
    <t>NG101053757200</t>
  </si>
  <si>
    <t>STEIGERWALD,SUZANNE</t>
  </si>
  <si>
    <t>2QP9UR8PK10</t>
  </si>
  <si>
    <t>NG101824758300</t>
  </si>
  <si>
    <t>STEIGHNER R,STANLEY</t>
  </si>
  <si>
    <t>8P03V88JW06</t>
  </si>
  <si>
    <t>NG101089388400</t>
  </si>
  <si>
    <t>STEIN A,SONIA</t>
  </si>
  <si>
    <t>2PC7TG7TF54</t>
  </si>
  <si>
    <t>NG101522007400</t>
  </si>
  <si>
    <t>STEPHENS A,MARK</t>
  </si>
  <si>
    <t>6RQ5H56RU76</t>
  </si>
  <si>
    <t>NG102036450000</t>
  </si>
  <si>
    <t>STEPHENS F,LOIS</t>
  </si>
  <si>
    <t>8A50E16UG38</t>
  </si>
  <si>
    <t>NG101794999600</t>
  </si>
  <si>
    <t>STEVENS J,RICHARD</t>
  </si>
  <si>
    <t>H1609-027</t>
  </si>
  <si>
    <t>3AP2HG5MR22</t>
  </si>
  <si>
    <t>NG101867508400</t>
  </si>
  <si>
    <t>STEWART C,JUDITH</t>
  </si>
  <si>
    <t>8DW4FA5VD70</t>
  </si>
  <si>
    <t>NG101775115800</t>
  </si>
  <si>
    <t>STEWART E,KIM</t>
  </si>
  <si>
    <t>4N12RU3ED01</t>
  </si>
  <si>
    <t>NG101775074700</t>
  </si>
  <si>
    <t>STEWART F,REGIS</t>
  </si>
  <si>
    <t>4YG4P09AJ91</t>
  </si>
  <si>
    <t>NG101516771800</t>
  </si>
  <si>
    <t>STEWART P,NEIL</t>
  </si>
  <si>
    <t>2XT2JN5DN12</t>
  </si>
  <si>
    <t>NG101868402100</t>
  </si>
  <si>
    <t>STEWART T,MARK</t>
  </si>
  <si>
    <t>7JT3PP7XV00</t>
  </si>
  <si>
    <t>NG101722164300</t>
  </si>
  <si>
    <t>STEWART,MARCIA</t>
  </si>
  <si>
    <t>8XC4XH8YY79</t>
  </si>
  <si>
    <t>NG102028483000</t>
  </si>
  <si>
    <t>STOICA C,BARBARA</t>
  </si>
  <si>
    <t>5X80ED2AT41</t>
  </si>
  <si>
    <t>NG102188067100</t>
  </si>
  <si>
    <t>STONE A,CRAIG</t>
  </si>
  <si>
    <t>VA</t>
  </si>
  <si>
    <t>H3931-099</t>
  </si>
  <si>
    <t>9X87NU0CP60</t>
  </si>
  <si>
    <t>NG101471707600</t>
  </si>
  <si>
    <t>STRAMA A,DARLENE</t>
  </si>
  <si>
    <t>H5521-314</t>
  </si>
  <si>
    <t>1QJ4Q62RM65</t>
  </si>
  <si>
    <t>NG101985236500</t>
  </si>
  <si>
    <t>SULIA A,JOHN</t>
  </si>
  <si>
    <t>3AU9YD6QD26</t>
  </si>
  <si>
    <t>NG101063380800</t>
  </si>
  <si>
    <t>SULLENBERGER J,D</t>
  </si>
  <si>
    <t>1CC2PY5TK98</t>
  </si>
  <si>
    <t>NG101872268100</t>
  </si>
  <si>
    <t>SULLIVAN E,THOMAS</t>
  </si>
  <si>
    <t>9QR7YG6CH20</t>
  </si>
  <si>
    <t>NG101183399200</t>
  </si>
  <si>
    <t>SUM A,DANIEL</t>
  </si>
  <si>
    <t>9T27M61QG46</t>
  </si>
  <si>
    <t>NG101472753900</t>
  </si>
  <si>
    <t>SUTTON I,DEAN</t>
  </si>
  <si>
    <t>4KM3QM7MJ75</t>
  </si>
  <si>
    <t>NG101766726300</t>
  </si>
  <si>
    <t>SUTY A,MARGARET</t>
  </si>
  <si>
    <t>6KC6EM6TY69</t>
  </si>
  <si>
    <t>NG101055194800</t>
  </si>
  <si>
    <t>SWORY M,SHIRLEY</t>
  </si>
  <si>
    <t>6D94YJ2JV93</t>
  </si>
  <si>
    <t>NG102017011000</t>
  </si>
  <si>
    <t>SYCHAK A,ELIZABETH</t>
  </si>
  <si>
    <t>3HA2MX5PA10</t>
  </si>
  <si>
    <t>NG101873058000</t>
  </si>
  <si>
    <t>SYCHAK M,ROBERT</t>
  </si>
  <si>
    <t>2EE5K73PH98</t>
  </si>
  <si>
    <t>NG101507808200</t>
  </si>
  <si>
    <t>SZYJKO J,DONALD</t>
  </si>
  <si>
    <t>6HJ0NP2PK14</t>
  </si>
  <si>
    <t>NG102072923100</t>
  </si>
  <si>
    <t>SZYJKO K,LINDA</t>
  </si>
  <si>
    <t>4GF3F64PK91</t>
  </si>
  <si>
    <t>NG101585745000</t>
  </si>
  <si>
    <t>TAGMYER J,WILLIAM</t>
  </si>
  <si>
    <t>5MX0WA5GU22</t>
  </si>
  <si>
    <t>NG101952824700</t>
  </si>
  <si>
    <t>TAGUE M,JOSEPH</t>
  </si>
  <si>
    <t>3TQ5V04KJ50</t>
  </si>
  <si>
    <t>NG101929964000</t>
  </si>
  <si>
    <t>TALBOT E,CHRISTOPHER</t>
  </si>
  <si>
    <t>7UV3HV4QR78</t>
  </si>
  <si>
    <t>NG101872535900</t>
  </si>
  <si>
    <t>TALOTTA,JENNIFER</t>
  </si>
  <si>
    <t>4CP1PQ7QW17</t>
  </si>
  <si>
    <t>NG101212546500</t>
  </si>
  <si>
    <t>TAYLOR M,DEBRA</t>
  </si>
  <si>
    <t>1D65CJ2JX63</t>
  </si>
  <si>
    <t>NG101091001900</t>
  </si>
  <si>
    <t xml:space="preserve">6540993HPA       </t>
  </si>
  <si>
    <t>TENNYSON,KATHLEEN A</t>
  </si>
  <si>
    <t>5XE3FW9VT06</t>
  </si>
  <si>
    <t>NG102002092000</t>
  </si>
  <si>
    <t>THOMAS D,ROY</t>
  </si>
  <si>
    <t>7NX5EA0HK84</t>
  </si>
  <si>
    <t>NG101565368600</t>
  </si>
  <si>
    <t>THOMPSON W,RONALD</t>
  </si>
  <si>
    <t>3Q53NT6TC05</t>
  </si>
  <si>
    <t>NG101470020600</t>
  </si>
  <si>
    <t>THORNTON,KATHLEEN</t>
  </si>
  <si>
    <t>6FP9GQ1EK10</t>
  </si>
  <si>
    <t>NG101316867900</t>
  </si>
  <si>
    <t>MEBS8B6W</t>
  </si>
  <si>
    <t xml:space="preserve">THORPE,JOHN M                                                                                       </t>
  </si>
  <si>
    <t>9CD6MW3FJ58</t>
  </si>
  <si>
    <t>NG101862675300</t>
  </si>
  <si>
    <t>TIEMAN KILPATRICK A,MARY</t>
  </si>
  <si>
    <t>4TM6X68EM77</t>
  </si>
  <si>
    <t>NG101081464500</t>
  </si>
  <si>
    <t xml:space="preserve">6569354HPA       </t>
  </si>
  <si>
    <t>TOMSEY,JOAN E</t>
  </si>
  <si>
    <t>6NC4JK4RQ62</t>
  </si>
  <si>
    <t>NG101471626400</t>
  </si>
  <si>
    <t>TONER F,HARRY</t>
  </si>
  <si>
    <t>3QQ3Y30EF75</t>
  </si>
  <si>
    <t>NG101473096300</t>
  </si>
  <si>
    <t>TOOMEY A,CHERYL</t>
  </si>
  <si>
    <t>6WA3V32PN19</t>
  </si>
  <si>
    <t>NG101876678900</t>
  </si>
  <si>
    <t>TORRE J,KAREN</t>
  </si>
  <si>
    <t>6AR6G82YN62</t>
  </si>
  <si>
    <t>NG101893061500</t>
  </si>
  <si>
    <t>TOT,GREGORY</t>
  </si>
  <si>
    <t>8TV4D61PC06</t>
  </si>
  <si>
    <t>NG101893038100</t>
  </si>
  <si>
    <t>TOT,RENAE</t>
  </si>
  <si>
    <t>2TF5G83DR76</t>
  </si>
  <si>
    <t>NG101799316600</t>
  </si>
  <si>
    <t>TOWNSEND N,MARY</t>
  </si>
  <si>
    <t>1HQ1QU4EG96</t>
  </si>
  <si>
    <t>NG101914614500</t>
  </si>
  <si>
    <t>TRAUTMAN A,SALLY</t>
  </si>
  <si>
    <t>2N31T61XF26</t>
  </si>
  <si>
    <t>NG101531379400</t>
  </si>
  <si>
    <t>TROUP J,KENNETH</t>
  </si>
  <si>
    <t>6XC6A79JW47</t>
  </si>
  <si>
    <t>NG101473461600</t>
  </si>
  <si>
    <t>TURNER L,CHERYL</t>
  </si>
  <si>
    <t>7WR2P27UC93</t>
  </si>
  <si>
    <t>NG101867887700</t>
  </si>
  <si>
    <t>TURNER L,DANNY</t>
  </si>
  <si>
    <t>1JW4WU3AX93</t>
  </si>
  <si>
    <t>NG101780551500</t>
  </si>
  <si>
    <t>TUZIKOW A,STEPHEN</t>
  </si>
  <si>
    <t>3FW2KD6RD90</t>
  </si>
  <si>
    <t>NG101502443300</t>
  </si>
  <si>
    <t>UFNER,KATHLEEN</t>
  </si>
  <si>
    <t>1W16U54XW86</t>
  </si>
  <si>
    <t>NG101924877300</t>
  </si>
  <si>
    <t>USNICK A,RICHARD</t>
  </si>
  <si>
    <t>7HK5HJ1YT61</t>
  </si>
  <si>
    <t>NG101547242600</t>
  </si>
  <si>
    <t>VALENSKY J,DEBRA</t>
  </si>
  <si>
    <t>4AD3N86WN71</t>
  </si>
  <si>
    <t>NG101551039800</t>
  </si>
  <si>
    <t>VALENSKY J,RICKI</t>
  </si>
  <si>
    <t>8UJ3WP5CC07</t>
  </si>
  <si>
    <t>NG101980818900</t>
  </si>
  <si>
    <t>VAN ABEL N,JEWEL</t>
  </si>
  <si>
    <t>5KK6RR1EP58</t>
  </si>
  <si>
    <t>NG101970507000</t>
  </si>
  <si>
    <t>VANETT M,JARED</t>
  </si>
  <si>
    <t>5YU6JP5QA83</t>
  </si>
  <si>
    <t>NG101057446300</t>
  </si>
  <si>
    <t>VASBINDER B,CYNTHIA</t>
  </si>
  <si>
    <t>7R63D17KJ11</t>
  </si>
  <si>
    <t>NG101815153100</t>
  </si>
  <si>
    <t>VAUGHN,MARYANN</t>
  </si>
  <si>
    <t>5A30D32CD14</t>
  </si>
  <si>
    <t>NG101476005600</t>
  </si>
  <si>
    <t>VEITH G,DANIEL</t>
  </si>
  <si>
    <t>2KR6A85CG67</t>
  </si>
  <si>
    <t>NG102074570600</t>
  </si>
  <si>
    <t>VETTAS,ELENI</t>
  </si>
  <si>
    <t>Max, Ronald</t>
  </si>
  <si>
    <t>7Y26YM3AJ30</t>
  </si>
  <si>
    <t>NG101696815200</t>
  </si>
  <si>
    <t>VIDIC L,CATHLEEN</t>
  </si>
  <si>
    <t>6HJ1CX2CK34</t>
  </si>
  <si>
    <t>NG101785684000</t>
  </si>
  <si>
    <t>VILLA VIDALES,FRANCISCO</t>
  </si>
  <si>
    <t>H3288-051</t>
  </si>
  <si>
    <t>8MH9WR3PF58</t>
  </si>
  <si>
    <t>NG101958622800</t>
  </si>
  <si>
    <t>VINCENTI L,ROBERT</t>
  </si>
  <si>
    <t>2WV9E99WQ56</t>
  </si>
  <si>
    <t>NG102082370200</t>
  </si>
  <si>
    <t>VLAHOS G,JOHN</t>
  </si>
  <si>
    <t>5Y06DQ8HM68</t>
  </si>
  <si>
    <t>NG102058656500</t>
  </si>
  <si>
    <t>WACHOWICZ A,MARK</t>
  </si>
  <si>
    <t>1MG9VF9JA44</t>
  </si>
  <si>
    <t>NG101692296700</t>
  </si>
  <si>
    <t>WAGNER L,NAOMI</t>
  </si>
  <si>
    <t>9QE5R68JV98</t>
  </si>
  <si>
    <t>NG101780764900</t>
  </si>
  <si>
    <t>WALKER L,TAMMY</t>
  </si>
  <si>
    <t>1XJ1U96DJ23</t>
  </si>
  <si>
    <t>NG102061556500</t>
  </si>
  <si>
    <t>WALLACH M,SCOTT</t>
  </si>
  <si>
    <t>Robinson, Paul</t>
  </si>
  <si>
    <t>2FC9YN8GT44</t>
  </si>
  <si>
    <t>NG101600159500</t>
  </si>
  <si>
    <t>WARHEIT L,SUZANNE</t>
  </si>
  <si>
    <t>1EK7DC4UC50</t>
  </si>
  <si>
    <t>NG101983577900</t>
  </si>
  <si>
    <t>WATSON A,PATRICIA</t>
  </si>
  <si>
    <t>2Y99HW6XQ59</t>
  </si>
  <si>
    <t>NG101804997800</t>
  </si>
  <si>
    <t>WATT E,GARY</t>
  </si>
  <si>
    <t>2X36TY1WV58</t>
  </si>
  <si>
    <t>NG101805035200</t>
  </si>
  <si>
    <t>WATT L,KATHLEEN</t>
  </si>
  <si>
    <t>9PT5J39UR95</t>
  </si>
  <si>
    <t>NG102097467700</t>
  </si>
  <si>
    <t>WEATHERSTONE B,MARY</t>
  </si>
  <si>
    <t>3Y81P74VN37</t>
  </si>
  <si>
    <t>NG101529252400</t>
  </si>
  <si>
    <t>WEBSTER S,JOHN</t>
  </si>
  <si>
    <t>4D80KX6UU02</t>
  </si>
  <si>
    <t>NG101985212400</t>
  </si>
  <si>
    <t>WEIDO P,JAMES</t>
  </si>
  <si>
    <t>5JU4MH7QC65</t>
  </si>
  <si>
    <t>NG101846277000</t>
  </si>
  <si>
    <t>WEIS A,WILLIAM</t>
  </si>
  <si>
    <t>5M46GC1GG70</t>
  </si>
  <si>
    <t>NG101849539300</t>
  </si>
  <si>
    <t>WEISZ N,RICARDO</t>
  </si>
  <si>
    <t>H1609-066</t>
  </si>
  <si>
    <t>8XJ9AH9DJ13</t>
  </si>
  <si>
    <t>NG102059200300</t>
  </si>
  <si>
    <t>WELCH M,THOMAS</t>
  </si>
  <si>
    <t>7TM4D17JR91</t>
  </si>
  <si>
    <t>NG101902675000</t>
  </si>
  <si>
    <t>WERNIG K,BARBARA</t>
  </si>
  <si>
    <t>7W19NC9EQ12</t>
  </si>
  <si>
    <t>NG101902692400</t>
  </si>
  <si>
    <t>WERNIG R,DAVID</t>
  </si>
  <si>
    <t>5QE7WQ3VU37</t>
  </si>
  <si>
    <t>NG102061850500</t>
  </si>
  <si>
    <t>WHALEN J,RAYMOND</t>
  </si>
  <si>
    <t>4N37DF5RV30</t>
  </si>
  <si>
    <t>NG102035247000</t>
  </si>
  <si>
    <t>WICKLINE A,BRUCE</t>
  </si>
  <si>
    <t>5KV4FE5YN74</t>
  </si>
  <si>
    <t>NG101301145800</t>
  </si>
  <si>
    <t>WIKERT R,JANET</t>
  </si>
  <si>
    <t>5Y60E38YH21</t>
  </si>
  <si>
    <t>NG101694605000</t>
  </si>
  <si>
    <t>WILLIAMS J,PATRICIA</t>
  </si>
  <si>
    <t>5VH9DM6NQ27</t>
  </si>
  <si>
    <t>NG101548557900</t>
  </si>
  <si>
    <t>WILLIAMS W,DAVID</t>
  </si>
  <si>
    <t>3ED8E43TC22</t>
  </si>
  <si>
    <t>NG101075270300</t>
  </si>
  <si>
    <t xml:space="preserve">9285436HPA       </t>
  </si>
  <si>
    <t>WILLIAMS,DONNA J</t>
  </si>
  <si>
    <t>6TR0JN8XN22</t>
  </si>
  <si>
    <t>NG102066699300</t>
  </si>
  <si>
    <t>WILLIFORD L,RUSSELL</t>
  </si>
  <si>
    <t>SC</t>
  </si>
  <si>
    <t>H5521-245</t>
  </si>
  <si>
    <t>4G57KF1PF40</t>
  </si>
  <si>
    <t>NG102015762800</t>
  </si>
  <si>
    <t>WILSON G,NANCY</t>
  </si>
  <si>
    <t>2MN8GV7JF23</t>
  </si>
  <si>
    <t>NG101813087900</t>
  </si>
  <si>
    <t>WILSON M,ELIZABETH</t>
  </si>
  <si>
    <t>1R80XV3QK05</t>
  </si>
  <si>
    <t>NG101925995900</t>
  </si>
  <si>
    <t>WILSON R,MADGLINE</t>
  </si>
  <si>
    <t>8KG4NA6HX01</t>
  </si>
  <si>
    <t>NG101813036900</t>
  </si>
  <si>
    <t>WILSON,MARK</t>
  </si>
  <si>
    <t>1EH4P54QF69</t>
  </si>
  <si>
    <t>NG101829985800</t>
  </si>
  <si>
    <t>WINTERHALTER L,KENNETH</t>
  </si>
  <si>
    <t>2AT8Q95MM52</t>
  </si>
  <si>
    <t>NG101917159500</t>
  </si>
  <si>
    <t>WINTERS,MARYBETH</t>
  </si>
  <si>
    <t>5MD8K37FA51</t>
  </si>
  <si>
    <t>NG101835962000</t>
  </si>
  <si>
    <t>WITCHKO K,RICHARD</t>
  </si>
  <si>
    <t>8UN8VK2DY28</t>
  </si>
  <si>
    <t>NG102056835200</t>
  </si>
  <si>
    <t>WITTMER G,PAUL</t>
  </si>
  <si>
    <t>3UK8J85JG62</t>
  </si>
  <si>
    <t>NG102031351800</t>
  </si>
  <si>
    <t>WOITASZEK G,DAVID</t>
  </si>
  <si>
    <t>3NV9H34XD27</t>
  </si>
  <si>
    <t>NG101548955100</t>
  </si>
  <si>
    <t>WOLFE G,ROGER</t>
  </si>
  <si>
    <t>4F80EQ5TV43</t>
  </si>
  <si>
    <t>NG102064231900</t>
  </si>
  <si>
    <t>WOLNI,CHARLES</t>
  </si>
  <si>
    <t>7HT8EP2TF37</t>
  </si>
  <si>
    <t>NG101338772600</t>
  </si>
  <si>
    <t>WONG E,NANCY</t>
  </si>
  <si>
    <t>MI</t>
  </si>
  <si>
    <t>H5521-407</t>
  </si>
  <si>
    <t>6N74D62MC07</t>
  </si>
  <si>
    <t>NG101098603800</t>
  </si>
  <si>
    <t>WOODWARD,HEMA</t>
  </si>
  <si>
    <t>7TD6U00GX49</t>
  </si>
  <si>
    <t>NG101890966300</t>
  </si>
  <si>
    <t>WRIGHT A,GRACE</t>
  </si>
  <si>
    <t>5AJ4Q44HR89</t>
  </si>
  <si>
    <t>NG101890966000</t>
  </si>
  <si>
    <t>WRIGHT A,STEPHEN</t>
  </si>
  <si>
    <t>3T22JY3PF05</t>
  </si>
  <si>
    <t>NG101189498900</t>
  </si>
  <si>
    <t>WRIGHT E,CATHERINE</t>
  </si>
  <si>
    <t>5J48PQ0JK61</t>
  </si>
  <si>
    <t>NG101936725700</t>
  </si>
  <si>
    <t>WRIGHT K,SANDRA</t>
  </si>
  <si>
    <t>9TH2EU7XR70</t>
  </si>
  <si>
    <t>NG101095942400</t>
  </si>
  <si>
    <t>WROBLEWSKI W,RICHARD</t>
  </si>
  <si>
    <t>7PF5E01DK51</t>
  </si>
  <si>
    <t>NG101048751100</t>
  </si>
  <si>
    <t xml:space="preserve">9286619HPA       </t>
  </si>
  <si>
    <t>WUCHEVICH,FRANK</t>
  </si>
  <si>
    <t>1G08XF7GV55</t>
  </si>
  <si>
    <t>NG102010075000</t>
  </si>
  <si>
    <t>WURMB L,CATHY</t>
  </si>
  <si>
    <t>3D08VC1AJ26</t>
  </si>
  <si>
    <t>NG102022258700</t>
  </si>
  <si>
    <t>YAROSCHAK M,TERESA</t>
  </si>
  <si>
    <t>9VN8JW4NK37</t>
  </si>
  <si>
    <t>NG101559849800</t>
  </si>
  <si>
    <t>YOUNG E,GARY</t>
  </si>
  <si>
    <t>9F58XM3FY33</t>
  </si>
  <si>
    <t>NG101559848400</t>
  </si>
  <si>
    <t>YOUNG J,ROBERTA</t>
  </si>
  <si>
    <t>7RJ0DK6QY15</t>
  </si>
  <si>
    <t>NG101780824200</t>
  </si>
  <si>
    <t>YOUNG M,MICHELLE</t>
  </si>
  <si>
    <t>2XR3NJ9DP12</t>
  </si>
  <si>
    <t>NG101696813600</t>
  </si>
  <si>
    <t>YURISIC D,JAMES</t>
  </si>
  <si>
    <t>3JC1E30KD12</t>
  </si>
  <si>
    <t>NG101953198300</t>
  </si>
  <si>
    <t>YUROSKY A,MARIAN</t>
  </si>
  <si>
    <t>7T78PU2CY55</t>
  </si>
  <si>
    <t>NG101801304900</t>
  </si>
  <si>
    <t>ZANG J,TIMOTHY</t>
  </si>
  <si>
    <t>7XC0CJ9QY00</t>
  </si>
  <si>
    <t>NG102086309300</t>
  </si>
  <si>
    <t>ZEJER,BARBARA</t>
  </si>
  <si>
    <t>3K19KA7NG55</t>
  </si>
  <si>
    <t>NG101783462600</t>
  </si>
  <si>
    <t>ZELENKO J,RICHARD</t>
  </si>
  <si>
    <t>5EH4DU5UE60</t>
  </si>
  <si>
    <t>NG101789238200</t>
  </si>
  <si>
    <t>ZIELINSKI F,TIMOTHY</t>
  </si>
  <si>
    <t>4PD8EG6EJ40</t>
  </si>
  <si>
    <t>NG101788141900</t>
  </si>
  <si>
    <t>ZIELINSKI W,FRANK</t>
  </si>
  <si>
    <t>5JK4WR7CX65</t>
  </si>
  <si>
    <t>NG101853302100</t>
  </si>
  <si>
    <t>ZULICK,JOHN</t>
  </si>
  <si>
    <t>Aetna MAPD 2025</t>
  </si>
  <si>
    <t>Aetna MAPD OVR 2025</t>
  </si>
  <si>
    <t>[%/$=626]</t>
  </si>
  <si>
    <t>Aetna MAPD 2025*</t>
  </si>
  <si>
    <t>[%/$=313][prorate=10/12]</t>
  </si>
  <si>
    <t>[%/$=398][prorate=1/12]</t>
  </si>
  <si>
    <t>Aetna 2025 CT, PA, DC*</t>
  </si>
  <si>
    <t>[%/$=358][prorate=1/12]</t>
  </si>
  <si>
    <t>[%/$=343][prorate=1/12]</t>
  </si>
  <si>
    <t>[%/$=383][prorate=1/12]</t>
  </si>
  <si>
    <t>Aetna 2025 CA, NJ*</t>
  </si>
  <si>
    <t>[%/$=440][prorate=1/12]</t>
  </si>
  <si>
    <t>[%/$=313][prorate=2/12]</t>
  </si>
  <si>
    <t>[%/$=313][prorate=4/12]</t>
  </si>
  <si>
    <t>[%/$=313][prorate=5/12]</t>
  </si>
  <si>
    <t>[%/$=626][prorate=4/12]</t>
  </si>
  <si>
    <t>CORTRIGHT</t>
  </si>
  <si>
    <t>W</t>
  </si>
  <si>
    <t>KEVIN</t>
  </si>
  <si>
    <t>JANI</t>
  </si>
  <si>
    <t>G</t>
  </si>
  <si>
    <t>BANK</t>
  </si>
  <si>
    <t>ALLISON</t>
  </si>
  <si>
    <t>B</t>
  </si>
  <si>
    <t>JEFFREY</t>
  </si>
  <si>
    <t>AMES</t>
  </si>
  <si>
    <t>L</t>
  </si>
  <si>
    <t>GARY</t>
  </si>
  <si>
    <t>ANDERSON</t>
  </si>
  <si>
    <t>SANDRA</t>
  </si>
  <si>
    <t>ARELT</t>
  </si>
  <si>
    <t>H</t>
  </si>
  <si>
    <t>MARY</t>
  </si>
  <si>
    <t>BAKER</t>
  </si>
  <si>
    <t>A</t>
  </si>
  <si>
    <t>TERRE</t>
  </si>
  <si>
    <t>BARBER</t>
  </si>
  <si>
    <t>R</t>
  </si>
  <si>
    <t>CHRISTI</t>
  </si>
  <si>
    <t>BELCHER</t>
  </si>
  <si>
    <t>EDWARD</t>
  </si>
  <si>
    <t>BLESSINGTON</t>
  </si>
  <si>
    <t>SUSAN</t>
  </si>
  <si>
    <t>BOTT</t>
  </si>
  <si>
    <t>E</t>
  </si>
  <si>
    <t>THOMAS</t>
  </si>
  <si>
    <t>BRADLEY</t>
  </si>
  <si>
    <t>M</t>
  </si>
  <si>
    <t>JOHN</t>
  </si>
  <si>
    <t>STECK</t>
  </si>
  <si>
    <t>TARA</t>
  </si>
  <si>
    <t>CLARK</t>
  </si>
  <si>
    <t>S</t>
  </si>
  <si>
    <t>NANCY</t>
  </si>
  <si>
    <t>CONBOY</t>
  </si>
  <si>
    <t>SCOTT</t>
  </si>
  <si>
    <t>CONNERS</t>
  </si>
  <si>
    <t>LISA</t>
  </si>
  <si>
    <t>CORBETT</t>
  </si>
  <si>
    <t>P</t>
  </si>
  <si>
    <t>FRANCIS</t>
  </si>
  <si>
    <t>DEWEY</t>
  </si>
  <si>
    <t>JAMES</t>
  </si>
  <si>
    <t>DULSKI</t>
  </si>
  <si>
    <t>LORETTA</t>
  </si>
  <si>
    <t>MEGAN</t>
  </si>
  <si>
    <t>DURSO</t>
  </si>
  <si>
    <t>EFFRIG</t>
  </si>
  <si>
    <t>PAUL</t>
  </si>
  <si>
    <t>EVANS</t>
  </si>
  <si>
    <t>FROST</t>
  </si>
  <si>
    <t>MARGARET</t>
  </si>
  <si>
    <t>GARDNER</t>
  </si>
  <si>
    <t>DOROTHY</t>
  </si>
  <si>
    <t>GIBSON</t>
  </si>
  <si>
    <t>DARLENE</t>
  </si>
  <si>
    <t>GREEN</t>
  </si>
  <si>
    <t>JAYNE</t>
  </si>
  <si>
    <t>HABERMAN</t>
  </si>
  <si>
    <t>WILLIAM</t>
  </si>
  <si>
    <t>HORVWALT</t>
  </si>
  <si>
    <t>ROSEMARY</t>
  </si>
  <si>
    <t>HORWITZ</t>
  </si>
  <si>
    <t>STEVEN</t>
  </si>
  <si>
    <t>KRIS</t>
  </si>
  <si>
    <t>JONES</t>
  </si>
  <si>
    <t>BUSTER</t>
  </si>
  <si>
    <t>KELLY</t>
  </si>
  <si>
    <t>J</t>
  </si>
  <si>
    <t>DIANA</t>
  </si>
  <si>
    <t>KENDALL</t>
  </si>
  <si>
    <t>WENDY</t>
  </si>
  <si>
    <t>KENNEDY</t>
  </si>
  <si>
    <t>BEVERLY</t>
  </si>
  <si>
    <t>GLEN</t>
  </si>
  <si>
    <t>KLINEFELTER</t>
  </si>
  <si>
    <t>D</t>
  </si>
  <si>
    <t>KOMM</t>
  </si>
  <si>
    <t>ALAN</t>
  </si>
  <si>
    <t>LINDA</t>
  </si>
  <si>
    <t>KONTOMANOLI</t>
  </si>
  <si>
    <t>F</t>
  </si>
  <si>
    <t>CHRISTINE</t>
  </si>
  <si>
    <t>KROBOT</t>
  </si>
  <si>
    <t>LANE</t>
  </si>
  <si>
    <t>LAWANDA</t>
  </si>
  <si>
    <t>LIMMER</t>
  </si>
  <si>
    <t>DENISE</t>
  </si>
  <si>
    <t>KENNETH</t>
  </si>
  <si>
    <t>LINK</t>
  </si>
  <si>
    <t>C</t>
  </si>
  <si>
    <t>MACAVAGE</t>
  </si>
  <si>
    <t>CHARLENE</t>
  </si>
  <si>
    <t>MARTIN</t>
  </si>
  <si>
    <t>DENNIS</t>
  </si>
  <si>
    <t>MAZZA</t>
  </si>
  <si>
    <t>DONNA</t>
  </si>
  <si>
    <t>MAZZETTI</t>
  </si>
  <si>
    <t>LEA</t>
  </si>
  <si>
    <t>MCLELLAN</t>
  </si>
  <si>
    <t>JANET</t>
  </si>
  <si>
    <t>MICHLER</t>
  </si>
  <si>
    <t>DAVID</t>
  </si>
  <si>
    <t>MIDDLETON</t>
  </si>
  <si>
    <t>ROBERT</t>
  </si>
  <si>
    <t>MORRIDA</t>
  </si>
  <si>
    <t>CATHY</t>
  </si>
  <si>
    <t>NEY</t>
  </si>
  <si>
    <t>RICHARD</t>
  </si>
  <si>
    <t>PAPSO</t>
  </si>
  <si>
    <t>PEARLINGI</t>
  </si>
  <si>
    <t>PETERS</t>
  </si>
  <si>
    <t>T</t>
  </si>
  <si>
    <t>PETERSON</t>
  </si>
  <si>
    <t>TIMOTHY</t>
  </si>
  <si>
    <t>POLITE</t>
  </si>
  <si>
    <t>CAROL</t>
  </si>
  <si>
    <t>PROTESTO</t>
  </si>
  <si>
    <t>JACK</t>
  </si>
  <si>
    <t>RAY</t>
  </si>
  <si>
    <t>FRANK</t>
  </si>
  <si>
    <t>ROBISON</t>
  </si>
  <si>
    <t>SARA</t>
  </si>
  <si>
    <t>ROGALSKI</t>
  </si>
  <si>
    <t>KATHLEEN</t>
  </si>
  <si>
    <t>SAWYER</t>
  </si>
  <si>
    <t>CHRISTOPHER</t>
  </si>
  <si>
    <t>SHEFTIC</t>
  </si>
  <si>
    <t>MARK</t>
  </si>
  <si>
    <t>SIEGFRIED</t>
  </si>
  <si>
    <t>SLANEY</t>
  </si>
  <si>
    <t>STEIN</t>
  </si>
  <si>
    <t>SONIA</t>
  </si>
  <si>
    <t>STEPHENS</t>
  </si>
  <si>
    <t>STEWART</t>
  </si>
  <si>
    <t>KIM</t>
  </si>
  <si>
    <t>REGIS</t>
  </si>
  <si>
    <t>MARCIA</t>
  </si>
  <si>
    <t>SUTY</t>
  </si>
  <si>
    <t>SZYJKO</t>
  </si>
  <si>
    <t>DONALD</t>
  </si>
  <si>
    <t>TALBOT</t>
  </si>
  <si>
    <t>TALOTTA</t>
  </si>
  <si>
    <t>JENNIFER</t>
  </si>
  <si>
    <t>TORRE</t>
  </si>
  <si>
    <t>KAREN</t>
  </si>
  <si>
    <t>TOWNSEND</t>
  </si>
  <si>
    <t>N</t>
  </si>
  <si>
    <t>TRAUTMAN</t>
  </si>
  <si>
    <t>SALLY</t>
  </si>
  <si>
    <t>ZELENKO</t>
  </si>
  <si>
    <t>ADAMS</t>
  </si>
  <si>
    <t>ANITA</t>
  </si>
  <si>
    <t>BEARDMORE</t>
  </si>
  <si>
    <t>MARTHA</t>
  </si>
  <si>
    <t>BEGGS</t>
  </si>
  <si>
    <t>LOIS</t>
  </si>
  <si>
    <t>BILAK</t>
  </si>
  <si>
    <t>JOY</t>
  </si>
  <si>
    <t>K</t>
  </si>
  <si>
    <t>BRENCHAK</t>
  </si>
  <si>
    <t>BURLEIGH</t>
  </si>
  <si>
    <t>RONALD</t>
  </si>
  <si>
    <t>CHILENSKY</t>
  </si>
  <si>
    <t>DEBORAH</t>
  </si>
  <si>
    <t>COLBURN</t>
  </si>
  <si>
    <t>COURTNEY</t>
  </si>
  <si>
    <t>CRADDOCK</t>
  </si>
  <si>
    <t>FEESER</t>
  </si>
  <si>
    <t>CYNTHIA</t>
  </si>
  <si>
    <t>FODSE</t>
  </si>
  <si>
    <t>GREENNAGH</t>
  </si>
  <si>
    <t>THERESA</t>
  </si>
  <si>
    <t>HOWARD</t>
  </si>
  <si>
    <t>PHYLLIS</t>
  </si>
  <si>
    <t>HUCKER</t>
  </si>
  <si>
    <t>HURWITZ</t>
  </si>
  <si>
    <t>WHITE</t>
  </si>
  <si>
    <t>LAURIE</t>
  </si>
  <si>
    <t>JOHNSON</t>
  </si>
  <si>
    <t>KESSLER</t>
  </si>
  <si>
    <t>KHODABUKUS</t>
  </si>
  <si>
    <t>BEEBEE</t>
  </si>
  <si>
    <t>KOLODZIEJCZYK</t>
  </si>
  <si>
    <t>JOSEPH</t>
  </si>
  <si>
    <t>KRAUSE</t>
  </si>
  <si>
    <t>PATRICIA</t>
  </si>
  <si>
    <t>LIEBERT</t>
  </si>
  <si>
    <t>ELIZABE</t>
  </si>
  <si>
    <t>SHARON</t>
  </si>
  <si>
    <t>LISCHY</t>
  </si>
  <si>
    <t>Z</t>
  </si>
  <si>
    <t>NORINE</t>
  </si>
  <si>
    <t>LUPI</t>
  </si>
  <si>
    <t>LYNCH</t>
  </si>
  <si>
    <t>TINA</t>
  </si>
  <si>
    <t>MALLON</t>
  </si>
  <si>
    <t>MANKO</t>
  </si>
  <si>
    <t>REBECCA</t>
  </si>
  <si>
    <t>MASTANDREA</t>
  </si>
  <si>
    <t>VICTOR</t>
  </si>
  <si>
    <t>RUTH</t>
  </si>
  <si>
    <t>MIHALEK</t>
  </si>
  <si>
    <t>MIHALKO</t>
  </si>
  <si>
    <t>MISSENDA</t>
  </si>
  <si>
    <t>MURILLO</t>
  </si>
  <si>
    <t>MARCELO</t>
  </si>
  <si>
    <t>NEISER</t>
  </si>
  <si>
    <t>POLLY</t>
  </si>
  <si>
    <t>PEAVORNICK</t>
  </si>
  <si>
    <t>JUDITH</t>
  </si>
  <si>
    <t>PEGHER</t>
  </si>
  <si>
    <t>PEIFFER</t>
  </si>
  <si>
    <t>PRIBILA</t>
  </si>
  <si>
    <t>PETER</t>
  </si>
  <si>
    <t>PRIGG</t>
  </si>
  <si>
    <t>VICTORIA</t>
  </si>
  <si>
    <t>RAGAZZINI</t>
  </si>
  <si>
    <t>ROBINSON</t>
  </si>
  <si>
    <t>ROMEO</t>
  </si>
  <si>
    <t>ANTHONY</t>
  </si>
  <si>
    <t>RUCH</t>
  </si>
  <si>
    <t>SAMKO</t>
  </si>
  <si>
    <t>STOICA</t>
  </si>
  <si>
    <t>BARBARA</t>
  </si>
  <si>
    <t>TAGUE</t>
  </si>
  <si>
    <t>TENNYSON</t>
  </si>
  <si>
    <t>VANETT</t>
  </si>
  <si>
    <t>JARED</t>
  </si>
  <si>
    <t>VINCENTI</t>
  </si>
  <si>
    <t>WIKERT</t>
  </si>
  <si>
    <t>WOITASZEK</t>
  </si>
  <si>
    <t>WOLNI</t>
  </si>
  <si>
    <t>CHARLES</t>
  </si>
  <si>
    <t>WOODWARD</t>
  </si>
  <si>
    <t>HEMA</t>
  </si>
  <si>
    <t>YUROSKY</t>
  </si>
  <si>
    <t>MARIAN</t>
  </si>
  <si>
    <t>PAYNTER</t>
  </si>
  <si>
    <t>V</t>
  </si>
  <si>
    <t>TODD</t>
  </si>
  <si>
    <t>HOEPPNER</t>
  </si>
  <si>
    <t>BERENDZEN</t>
  </si>
  <si>
    <t>MICHAEL</t>
  </si>
  <si>
    <t>BERGER</t>
  </si>
  <si>
    <t>CARTER</t>
  </si>
  <si>
    <t>CHIANG</t>
  </si>
  <si>
    <t>SUNANTA</t>
  </si>
  <si>
    <t>CLAYTON</t>
  </si>
  <si>
    <t>ROGER</t>
  </si>
  <si>
    <t>CLOUD</t>
  </si>
  <si>
    <t>COHEN</t>
  </si>
  <si>
    <t>RINA</t>
  </si>
  <si>
    <t>COIA</t>
  </si>
  <si>
    <t>GREGORY</t>
  </si>
  <si>
    <t>DALEY</t>
  </si>
  <si>
    <t>DOUGLAS</t>
  </si>
  <si>
    <t>DAVIS</t>
  </si>
  <si>
    <t>JAYE</t>
  </si>
  <si>
    <t>EVERS</t>
  </si>
  <si>
    <t>LYDIA</t>
  </si>
  <si>
    <t>FLOYD</t>
  </si>
  <si>
    <t>GOFF</t>
  </si>
  <si>
    <t>DANNY</t>
  </si>
  <si>
    <t>GONZALEZ</t>
  </si>
  <si>
    <t>EUGENE</t>
  </si>
  <si>
    <t>JESUS</t>
  </si>
  <si>
    <t>GRIZZARD</t>
  </si>
  <si>
    <t>GUZMAN</t>
  </si>
  <si>
    <t>ROSA</t>
  </si>
  <si>
    <t>HAKL</t>
  </si>
  <si>
    <t>RANDAL</t>
  </si>
  <si>
    <t>HENNINGER</t>
  </si>
  <si>
    <t>HERRICK</t>
  </si>
  <si>
    <t>DARRELL</t>
  </si>
  <si>
    <t>HOYT</t>
  </si>
  <si>
    <t>GAYLORD</t>
  </si>
  <si>
    <t>JACKSON</t>
  </si>
  <si>
    <t>KATHY</t>
  </si>
  <si>
    <t>JENSEN</t>
  </si>
  <si>
    <t>KERR</t>
  </si>
  <si>
    <t>KOLLER</t>
  </si>
  <si>
    <t>JEFFERY</t>
  </si>
  <si>
    <t>KROM</t>
  </si>
  <si>
    <t>LEEDS</t>
  </si>
  <si>
    <t>LEVIN</t>
  </si>
  <si>
    <t>CHARENE</t>
  </si>
  <si>
    <t>MANFREDA</t>
  </si>
  <si>
    <t>STEPHEN</t>
  </si>
  <si>
    <t>NICK</t>
  </si>
  <si>
    <t>MARKSBERRY</t>
  </si>
  <si>
    <t>ELWOOD</t>
  </si>
  <si>
    <t>MARRERO</t>
  </si>
  <si>
    <t>HARRY</t>
  </si>
  <si>
    <t>MCINTYRE</t>
  </si>
  <si>
    <t>MEAD</t>
  </si>
  <si>
    <t>MENDENHALL</t>
  </si>
  <si>
    <t>MERCER</t>
  </si>
  <si>
    <t>DAN</t>
  </si>
  <si>
    <t>MOORE</t>
  </si>
  <si>
    <t>CONSTANCE</t>
  </si>
  <si>
    <t>PARK</t>
  </si>
  <si>
    <t>PHILLIPS</t>
  </si>
  <si>
    <t>CHERYL</t>
  </si>
  <si>
    <t>POWER</t>
  </si>
  <si>
    <t>PURYEAR</t>
  </si>
  <si>
    <t>ALLAN</t>
  </si>
  <si>
    <t>SADOWSKI</t>
  </si>
  <si>
    <t>SARGENT</t>
  </si>
  <si>
    <t>TALLI</t>
  </si>
  <si>
    <t>SERVEDIO</t>
  </si>
  <si>
    <t>ROSE</t>
  </si>
  <si>
    <t>SHACKELFORD</t>
  </si>
  <si>
    <t>SMITH</t>
  </si>
  <si>
    <t>SOAVE</t>
  </si>
  <si>
    <t>PAMELA</t>
  </si>
  <si>
    <t>SPANOS</t>
  </si>
  <si>
    <t>TOULA</t>
  </si>
  <si>
    <t>SPIER</t>
  </si>
  <si>
    <t>CONNIE</t>
  </si>
  <si>
    <t>STANKO</t>
  </si>
  <si>
    <t>IRENE</t>
  </si>
  <si>
    <t>STEVENS</t>
  </si>
  <si>
    <t>SULLIVAN</t>
  </si>
  <si>
    <t>TIEMAN</t>
  </si>
  <si>
    <t>KILPATRICK</t>
  </si>
  <si>
    <t>WALKER</t>
  </si>
  <si>
    <t>TAMMY</t>
  </si>
  <si>
    <t>WEIS</t>
  </si>
  <si>
    <t>WEISZ</t>
  </si>
  <si>
    <t>RICARDO</t>
  </si>
  <si>
    <t>WERNIG</t>
  </si>
  <si>
    <t>WILSON</t>
  </si>
  <si>
    <t>ELIZABETH</t>
  </si>
  <si>
    <t>MADGLINE</t>
  </si>
  <si>
    <t>WALLACE</t>
  </si>
  <si>
    <t>ANGELINI</t>
  </si>
  <si>
    <t>PAULA</t>
  </si>
  <si>
    <t>PHILIP</t>
  </si>
  <si>
    <t>ASHLOCK</t>
  </si>
  <si>
    <t>KENNY</t>
  </si>
  <si>
    <t>BEERMAN</t>
  </si>
  <si>
    <t>LAURALEE</t>
  </si>
  <si>
    <t>BETTENHAUSEN</t>
  </si>
  <si>
    <t>BIESCHKE</t>
  </si>
  <si>
    <t>BOLDEN</t>
  </si>
  <si>
    <t>DOLORES</t>
  </si>
  <si>
    <t>BOLFING</t>
  </si>
  <si>
    <t>BOOKER</t>
  </si>
  <si>
    <t>SONYA</t>
  </si>
  <si>
    <t>BORJON</t>
  </si>
  <si>
    <t>BRIDGES</t>
  </si>
  <si>
    <t>BROWN</t>
  </si>
  <si>
    <t>SHEILA</t>
  </si>
  <si>
    <t>BRYNICZKA</t>
  </si>
  <si>
    <t>LORI</t>
  </si>
  <si>
    <t>BUCK</t>
  </si>
  <si>
    <t>BULL</t>
  </si>
  <si>
    <t>BYRD</t>
  </si>
  <si>
    <t>CARDIN</t>
  </si>
  <si>
    <t>CLANCY</t>
  </si>
  <si>
    <t>ELISE</t>
  </si>
  <si>
    <t>COMBEN</t>
  </si>
  <si>
    <t>CROUT</t>
  </si>
  <si>
    <t>DAVIDSON</t>
  </si>
  <si>
    <t>MARILYN</t>
  </si>
  <si>
    <t>DOBLER</t>
  </si>
  <si>
    <t>DOLGE</t>
  </si>
  <si>
    <t>FILITTO</t>
  </si>
  <si>
    <t>FITZ</t>
  </si>
  <si>
    <t>FONG</t>
  </si>
  <si>
    <t>BILLY</t>
  </si>
  <si>
    <t>GUADALUPE</t>
  </si>
  <si>
    <t>GALARZA</t>
  </si>
  <si>
    <t>ADOLFO</t>
  </si>
  <si>
    <t>GORDON</t>
  </si>
  <si>
    <t>ANN</t>
  </si>
  <si>
    <t>GRIFFITHS</t>
  </si>
  <si>
    <t>EVELYN</t>
  </si>
  <si>
    <t>O</t>
  </si>
  <si>
    <t>GRUDOWSKI</t>
  </si>
  <si>
    <t>GUILLEN</t>
  </si>
  <si>
    <t>HADAWAY</t>
  </si>
  <si>
    <t>HARRELL</t>
  </si>
  <si>
    <t>CHIANITA</t>
  </si>
  <si>
    <t>HNAT</t>
  </si>
  <si>
    <t>HOLTON</t>
  </si>
  <si>
    <t>JEDRZEJCZAK</t>
  </si>
  <si>
    <t>JIMENEZ</t>
  </si>
  <si>
    <t>MARIBEL</t>
  </si>
  <si>
    <t>KILEY</t>
  </si>
  <si>
    <t>CHERI</t>
  </si>
  <si>
    <t>KIMBROUGH</t>
  </si>
  <si>
    <t>ROY</t>
  </si>
  <si>
    <t>KUHNS</t>
  </si>
  <si>
    <t>COLLEEN</t>
  </si>
  <si>
    <t>LACOSTA</t>
  </si>
  <si>
    <t>LIZA</t>
  </si>
  <si>
    <t>LARGEN</t>
  </si>
  <si>
    <t>LEEHAN</t>
  </si>
  <si>
    <t>RANDALL</t>
  </si>
  <si>
    <t>LEIN</t>
  </si>
  <si>
    <t>MACPHAIL</t>
  </si>
  <si>
    <t>KEITH</t>
  </si>
  <si>
    <t>MALONE</t>
  </si>
  <si>
    <t>MAY</t>
  </si>
  <si>
    <t>KATHERINE</t>
  </si>
  <si>
    <t>MCCONNELL</t>
  </si>
  <si>
    <t>DORIS</t>
  </si>
  <si>
    <t>MCDONALD</t>
  </si>
  <si>
    <t>JIM</t>
  </si>
  <si>
    <t>MESHENBERG</t>
  </si>
  <si>
    <t>MIHALKA</t>
  </si>
  <si>
    <t>MOLNOR</t>
  </si>
  <si>
    <t>MORRIS</t>
  </si>
  <si>
    <t>MYRICK</t>
  </si>
  <si>
    <t>NELSON</t>
  </si>
  <si>
    <t>TERRY</t>
  </si>
  <si>
    <t>NIEMER</t>
  </si>
  <si>
    <t>OBRIEN</t>
  </si>
  <si>
    <t>PEGGY</t>
  </si>
  <si>
    <t>ORTIZ</t>
  </si>
  <si>
    <t>OSTERKAMP</t>
  </si>
  <si>
    <t>LESLIE</t>
  </si>
  <si>
    <t>PARROTT</t>
  </si>
  <si>
    <t>MILLIE</t>
  </si>
  <si>
    <t>PASCUS</t>
  </si>
  <si>
    <t>KIRBY</t>
  </si>
  <si>
    <t>PESTKA</t>
  </si>
  <si>
    <t>DANIEL</t>
  </si>
  <si>
    <t>PHELPS</t>
  </si>
  <si>
    <t>LILLIAN</t>
  </si>
  <si>
    <t>PICCOLI</t>
  </si>
  <si>
    <t>CHRISTOPHE</t>
  </si>
  <si>
    <t>PINTA</t>
  </si>
  <si>
    <t>TERESE</t>
  </si>
  <si>
    <t>PLOCHARSKI</t>
  </si>
  <si>
    <t>PRICE</t>
  </si>
  <si>
    <t>TIM</t>
  </si>
  <si>
    <t>PRINZ</t>
  </si>
  <si>
    <t>REED</t>
  </si>
  <si>
    <t>DEAN</t>
  </si>
  <si>
    <t>RHOADES</t>
  </si>
  <si>
    <t>BARRY</t>
  </si>
  <si>
    <t>RICHTER</t>
  </si>
  <si>
    <t>RIDDLEBERGER</t>
  </si>
  <si>
    <t>RIEDLER</t>
  </si>
  <si>
    <t>RACHEL</t>
  </si>
  <si>
    <t>RITCHEY</t>
  </si>
  <si>
    <t>RENEE</t>
  </si>
  <si>
    <t>ROXANN</t>
  </si>
  <si>
    <t>ROPPO</t>
  </si>
  <si>
    <t>ROSS</t>
  </si>
  <si>
    <t>JULIA</t>
  </si>
  <si>
    <t>ROUSSARIE</t>
  </si>
  <si>
    <t>RUSIANA</t>
  </si>
  <si>
    <t>MARILOU</t>
  </si>
  <si>
    <t>SCHAEFER</t>
  </si>
  <si>
    <t>SHERIDAN</t>
  </si>
  <si>
    <t>NAOMI</t>
  </si>
  <si>
    <t>SIMMONS</t>
  </si>
  <si>
    <t>CYNDIE</t>
  </si>
  <si>
    <t>SINCLAIR</t>
  </si>
  <si>
    <t>SKINNER</t>
  </si>
  <si>
    <t>VICKI</t>
  </si>
  <si>
    <t>SPARKS</t>
  </si>
  <si>
    <t>ALISON</t>
  </si>
  <si>
    <t>STRAMA</t>
  </si>
  <si>
    <t>VAN</t>
  </si>
  <si>
    <t>ABEL</t>
  </si>
  <si>
    <t>VETTAS</t>
  </si>
  <si>
    <t>ELENI</t>
  </si>
  <si>
    <t>VILLA</t>
  </si>
  <si>
    <t>VIDALES</t>
  </si>
  <si>
    <t>FRANCISCO</t>
  </si>
  <si>
    <t>VLAHOS</t>
  </si>
  <si>
    <t>WACHOWICZ</t>
  </si>
  <si>
    <t>WALLACH</t>
  </si>
  <si>
    <t>WATSON</t>
  </si>
  <si>
    <t>WEATHERSTONE</t>
  </si>
  <si>
    <t>WEBSTER</t>
  </si>
  <si>
    <t>WELCH</t>
  </si>
  <si>
    <t>WHALEN</t>
  </si>
  <si>
    <t>RAYMOND</t>
  </si>
  <si>
    <t>WILLIFORD</t>
  </si>
  <si>
    <t>RUSSELL</t>
  </si>
  <si>
    <t>WONG</t>
  </si>
  <si>
    <t>ZEJER</t>
  </si>
  <si>
    <t>PARKS</t>
  </si>
  <si>
    <t>DONNY</t>
  </si>
  <si>
    <t>DOWDLE</t>
  </si>
  <si>
    <t>PATRICK</t>
  </si>
  <si>
    <t>SHIPLETT</t>
  </si>
  <si>
    <t>LAURA</t>
  </si>
  <si>
    <t>STONE</t>
  </si>
  <si>
    <t>CRAIG</t>
  </si>
  <si>
    <t>CHAPPELL</t>
  </si>
  <si>
    <t>I</t>
  </si>
  <si>
    <t>KATHRYN</t>
  </si>
  <si>
    <t>PECK</t>
  </si>
  <si>
    <t>ROSEMARIE</t>
  </si>
  <si>
    <t>ALBECK</t>
  </si>
  <si>
    <t>CLIFFORD</t>
  </si>
  <si>
    <t>ARMSTRONG</t>
  </si>
  <si>
    <t>BALENTINE</t>
  </si>
  <si>
    <t>EARL</t>
  </si>
  <si>
    <t>BAPTISTE</t>
  </si>
  <si>
    <t>JOANNE</t>
  </si>
  <si>
    <t>BARRALL</t>
  </si>
  <si>
    <t>DEBRA</t>
  </si>
  <si>
    <t>BEBLO</t>
  </si>
  <si>
    <t>SUZEE</t>
  </si>
  <si>
    <t>BECKER</t>
  </si>
  <si>
    <t>REBA</t>
  </si>
  <si>
    <t>BEERS</t>
  </si>
  <si>
    <t>BELL</t>
  </si>
  <si>
    <t>BENETAS</t>
  </si>
  <si>
    <t>JONATHAN</t>
  </si>
  <si>
    <t>BISHOP</t>
  </si>
  <si>
    <t>BLAZOSKY</t>
  </si>
  <si>
    <t>BORCZ</t>
  </si>
  <si>
    <t>BOWSER</t>
  </si>
  <si>
    <t>DARCEE</t>
  </si>
  <si>
    <t>BRACKEN</t>
  </si>
  <si>
    <t>CARL</t>
  </si>
  <si>
    <t>GRACE</t>
  </si>
  <si>
    <t>BRANTHOOVER</t>
  </si>
  <si>
    <t>BRNA</t>
  </si>
  <si>
    <t>GERALD</t>
  </si>
  <si>
    <t>BURKA</t>
  </si>
  <si>
    <t>NICHOLAS</t>
  </si>
  <si>
    <t>CALAMUSA</t>
  </si>
  <si>
    <t>TERESA</t>
  </si>
  <si>
    <t>CARSON</t>
  </si>
  <si>
    <t>CHAFFIN</t>
  </si>
  <si>
    <t>CHRISTY</t>
  </si>
  <si>
    <t>CIESIELSKI</t>
  </si>
  <si>
    <t>CLAY</t>
  </si>
  <si>
    <t>CLAYPOOLE</t>
  </si>
  <si>
    <t>CLOUSE</t>
  </si>
  <si>
    <t>COBLENTZ</t>
  </si>
  <si>
    <t>KIMBERLY</t>
  </si>
  <si>
    <t>CONTE</t>
  </si>
  <si>
    <t>CLAUDIA</t>
  </si>
  <si>
    <t>COUGHENOUR</t>
  </si>
  <si>
    <t>GLENDA</t>
  </si>
  <si>
    <t>CRANE</t>
  </si>
  <si>
    <t>CRAVEN</t>
  </si>
  <si>
    <t>GEORGE</t>
  </si>
  <si>
    <t>CRIDER</t>
  </si>
  <si>
    <t>CUPPS</t>
  </si>
  <si>
    <t>DALUISIO</t>
  </si>
  <si>
    <t>DEMARTINI</t>
  </si>
  <si>
    <t>JANICE</t>
  </si>
  <si>
    <t>DICKMAN</t>
  </si>
  <si>
    <t>DICKSON</t>
  </si>
  <si>
    <t>ANNA</t>
  </si>
  <si>
    <t>DORCY</t>
  </si>
  <si>
    <t>CORNELIUS</t>
  </si>
  <si>
    <t>DOUTHETT</t>
  </si>
  <si>
    <t>JOLINDA</t>
  </si>
  <si>
    <t>DUDEK</t>
  </si>
  <si>
    <t>EDGERTON</t>
  </si>
  <si>
    <t>EDWARDS</t>
  </si>
  <si>
    <t>EMIGH</t>
  </si>
  <si>
    <t>ERWIN</t>
  </si>
  <si>
    <t>SHIRLEY</t>
  </si>
  <si>
    <t>EURY</t>
  </si>
  <si>
    <t>FAGAN</t>
  </si>
  <si>
    <t>FAHRNEY</t>
  </si>
  <si>
    <t>WILFRED</t>
  </si>
  <si>
    <t>FANTUZZO</t>
  </si>
  <si>
    <t>FERDINANDSEN</t>
  </si>
  <si>
    <t>FERGUSON</t>
  </si>
  <si>
    <t>HELEN</t>
  </si>
  <si>
    <t>FLANIGAN</t>
  </si>
  <si>
    <t>GALL</t>
  </si>
  <si>
    <t>ROBIN</t>
  </si>
  <si>
    <t>GALLAGHER</t>
  </si>
  <si>
    <t>GAWLIK</t>
  </si>
  <si>
    <t>GRAHAM</t>
  </si>
  <si>
    <t>NORMAN</t>
  </si>
  <si>
    <t>STELLA</t>
  </si>
  <si>
    <t>GUINEY</t>
  </si>
  <si>
    <t>HARTSHORN</t>
  </si>
  <si>
    <t>HARVEY</t>
  </si>
  <si>
    <t>BETSY</t>
  </si>
  <si>
    <t>HEFFERAN</t>
  </si>
  <si>
    <t>HERVEY</t>
  </si>
  <si>
    <t>CAROLYN</t>
  </si>
  <si>
    <t>HICKOK</t>
  </si>
  <si>
    <t>HILLIARD</t>
  </si>
  <si>
    <t>HOCHBEIN</t>
  </si>
  <si>
    <t>DENA</t>
  </si>
  <si>
    <t>HOFFMAN</t>
  </si>
  <si>
    <t>HOLSTINE</t>
  </si>
  <si>
    <t>HOMISON</t>
  </si>
  <si>
    <t>HOPSON</t>
  </si>
  <si>
    <t>DAVENA</t>
  </si>
  <si>
    <t>JEWART</t>
  </si>
  <si>
    <t>EDDIE</t>
  </si>
  <si>
    <t>JORDAN</t>
  </si>
  <si>
    <t>KAMERER</t>
  </si>
  <si>
    <t>KENTON</t>
  </si>
  <si>
    <t>EUNICE</t>
  </si>
  <si>
    <t>HOBART</t>
  </si>
  <si>
    <t>KOCHMAR</t>
  </si>
  <si>
    <t>DOMINICA</t>
  </si>
  <si>
    <t>KROPF</t>
  </si>
  <si>
    <t>LAKE</t>
  </si>
  <si>
    <t>LLOYD</t>
  </si>
  <si>
    <t>LOKER</t>
  </si>
  <si>
    <t>MACGREGOR</t>
  </si>
  <si>
    <t>MAGILL</t>
  </si>
  <si>
    <t>MAJESKY</t>
  </si>
  <si>
    <t>MANGUS</t>
  </si>
  <si>
    <t>MARBURGER</t>
  </si>
  <si>
    <t>TERRI</t>
  </si>
  <si>
    <t>MARETTI</t>
  </si>
  <si>
    <t>GAYLE</t>
  </si>
  <si>
    <t>MARSHALL</t>
  </si>
  <si>
    <t>GLORIA</t>
  </si>
  <si>
    <t>MASON</t>
  </si>
  <si>
    <t>MAURICE</t>
  </si>
  <si>
    <t>MCANDREWS</t>
  </si>
  <si>
    <t>MCCLOSKEY</t>
  </si>
  <si>
    <t>MCCOMMON</t>
  </si>
  <si>
    <t>MCCUNE</t>
  </si>
  <si>
    <t>MCDONOUGH</t>
  </si>
  <si>
    <t>GENEVIEVE</t>
  </si>
  <si>
    <t>MCKEE</t>
  </si>
  <si>
    <t>MCMULLEN</t>
  </si>
  <si>
    <t>MICHALENE</t>
  </si>
  <si>
    <t>MILLER</t>
  </si>
  <si>
    <t>MONTGOMERY</t>
  </si>
  <si>
    <t>MORRISON</t>
  </si>
  <si>
    <t>MOSER</t>
  </si>
  <si>
    <t>MURTHA</t>
  </si>
  <si>
    <t>NAPOLETAN</t>
  </si>
  <si>
    <t>NEMETH</t>
  </si>
  <si>
    <t>STACY</t>
  </si>
  <si>
    <t>NICHOLS</t>
  </si>
  <si>
    <t>NOLLINGER</t>
  </si>
  <si>
    <t>NORTON</t>
  </si>
  <si>
    <t>OESTERLING</t>
  </si>
  <si>
    <t>LON</t>
  </si>
  <si>
    <t>OLMSTEAD</t>
  </si>
  <si>
    <t>OWENS</t>
  </si>
  <si>
    <t>PAPA</t>
  </si>
  <si>
    <t>PARENTE</t>
  </si>
  <si>
    <t>JOAN</t>
  </si>
  <si>
    <t>PARKER</t>
  </si>
  <si>
    <t>PARSONS</t>
  </si>
  <si>
    <t>PERRY</t>
  </si>
  <si>
    <t>PETTIT</t>
  </si>
  <si>
    <t>BRUCE</t>
  </si>
  <si>
    <t>PHIPPS</t>
  </si>
  <si>
    <t>PIERREL</t>
  </si>
  <si>
    <t>LEONA</t>
  </si>
  <si>
    <t>PISOR</t>
  </si>
  <si>
    <t>POLKY</t>
  </si>
  <si>
    <t>JANINE</t>
  </si>
  <si>
    <t>POPINSKI</t>
  </si>
  <si>
    <t>STAN</t>
  </si>
  <si>
    <t>PORTER</t>
  </si>
  <si>
    <t>LEEANNA</t>
  </si>
  <si>
    <t>RAUSCH</t>
  </si>
  <si>
    <t>RIZZO</t>
  </si>
  <si>
    <t>ROBBINS</t>
  </si>
  <si>
    <t>ROCCO</t>
  </si>
  <si>
    <t>ROME</t>
  </si>
  <si>
    <t>MARGIE</t>
  </si>
  <si>
    <t>RUSSO</t>
  </si>
  <si>
    <t>RUTKOSKI</t>
  </si>
  <si>
    <t>SASSE</t>
  </si>
  <si>
    <t>SCHELETSKY</t>
  </si>
  <si>
    <t>SCHMIEDECKE</t>
  </si>
  <si>
    <t>SCHRIM</t>
  </si>
  <si>
    <t>HANNAH</t>
  </si>
  <si>
    <t>ANDREW</t>
  </si>
  <si>
    <t>SELFRIDGE</t>
  </si>
  <si>
    <t>DEBBIE</t>
  </si>
  <si>
    <t>SHAFFER</t>
  </si>
  <si>
    <t>SHEHAB</t>
  </si>
  <si>
    <t>GORSKI</t>
  </si>
  <si>
    <t>STACEY</t>
  </si>
  <si>
    <t>SICILIANO</t>
  </si>
  <si>
    <t>FREDERICK</t>
  </si>
  <si>
    <t>SIDLEY</t>
  </si>
  <si>
    <t>SNYDER</t>
  </si>
  <si>
    <t>SOLEY</t>
  </si>
  <si>
    <t>SPAULDING</t>
  </si>
  <si>
    <t>SPORKA</t>
  </si>
  <si>
    <t>STEIGERWALD</t>
  </si>
  <si>
    <t>SUZANNE</t>
  </si>
  <si>
    <t>NEIL</t>
  </si>
  <si>
    <t>SULLENBERGER</t>
  </si>
  <si>
    <t>TAGMYER</t>
  </si>
  <si>
    <t>THOMPSON</t>
  </si>
  <si>
    <t>THORNTON</t>
  </si>
  <si>
    <t>THORPE</t>
  </si>
  <si>
    <t>TOMSEY</t>
  </si>
  <si>
    <t>TOOMEY</t>
  </si>
  <si>
    <t>TROUP</t>
  </si>
  <si>
    <t>TURNER</t>
  </si>
  <si>
    <t>UFNER</t>
  </si>
  <si>
    <t>VEITH</t>
  </si>
  <si>
    <t>VIDIC</t>
  </si>
  <si>
    <t>CATHLEEN</t>
  </si>
  <si>
    <t>WAGNER</t>
  </si>
  <si>
    <t>WARHEIT</t>
  </si>
  <si>
    <t>WILLIAMS</t>
  </si>
  <si>
    <t>WOLFE</t>
  </si>
  <si>
    <t>WUCHEVICH</t>
  </si>
  <si>
    <t>YOUNG</t>
  </si>
  <si>
    <t>ROBERTA</t>
  </si>
  <si>
    <t>YURISIC</t>
  </si>
  <si>
    <t>AUGOSTINE</t>
  </si>
  <si>
    <t>BAURLE</t>
  </si>
  <si>
    <t>BEATTY</t>
  </si>
  <si>
    <t>BECK</t>
  </si>
  <si>
    <t>CLAUDE</t>
  </si>
  <si>
    <t>BISWICK</t>
  </si>
  <si>
    <t>BLACK</t>
  </si>
  <si>
    <t>DIANE</t>
  </si>
  <si>
    <t>BLOSTEIN</t>
  </si>
  <si>
    <t>BOCIAN</t>
  </si>
  <si>
    <t>BONAPARTE</t>
  </si>
  <si>
    <t>SHIZUKO</t>
  </si>
  <si>
    <t>BRENENBORG</t>
  </si>
  <si>
    <t>JOYCE</t>
  </si>
  <si>
    <t>CINDY</t>
  </si>
  <si>
    <t>BURNS</t>
  </si>
  <si>
    <t>BUTCHERINE</t>
  </si>
  <si>
    <t>BYRON</t>
  </si>
  <si>
    <t>DEBORA</t>
  </si>
  <si>
    <t>CAPELLA</t>
  </si>
  <si>
    <t>CARRIGAN</t>
  </si>
  <si>
    <t>SUE</t>
  </si>
  <si>
    <t>BEATRICE</t>
  </si>
  <si>
    <t>CLINE</t>
  </si>
  <si>
    <t>CLINGENSMITH</t>
  </si>
  <si>
    <t>ROXANNE</t>
  </si>
  <si>
    <t>COLEMAN</t>
  </si>
  <si>
    <t>GLADYS</t>
  </si>
  <si>
    <t>COSS</t>
  </si>
  <si>
    <t>DUDLEY</t>
  </si>
  <si>
    <t>COUSINS</t>
  </si>
  <si>
    <t>CRICKS</t>
  </si>
  <si>
    <t>DASCH</t>
  </si>
  <si>
    <t>DAUBENSPECK</t>
  </si>
  <si>
    <t>DORR</t>
  </si>
  <si>
    <t>DOWLING</t>
  </si>
  <si>
    <t>DUNCAN</t>
  </si>
  <si>
    <t>BENJAMIN</t>
  </si>
  <si>
    <t>DUNN</t>
  </si>
  <si>
    <t>ENGLISH</t>
  </si>
  <si>
    <t>MAUREEN</t>
  </si>
  <si>
    <t>FALLECKER</t>
  </si>
  <si>
    <t>FEND</t>
  </si>
  <si>
    <t>FINNEGAN</t>
  </si>
  <si>
    <t>FIUMARA</t>
  </si>
  <si>
    <t>FRANASIAK</t>
  </si>
  <si>
    <t>GAISER</t>
  </si>
  <si>
    <t>GALKO</t>
  </si>
  <si>
    <t>GARTLEY</t>
  </si>
  <si>
    <t>GERSTNER</t>
  </si>
  <si>
    <t>GOETTLER</t>
  </si>
  <si>
    <t>TRACY</t>
  </si>
  <si>
    <t>GOLDENBERG</t>
  </si>
  <si>
    <t>ABRAHAM</t>
  </si>
  <si>
    <t>GILBERT</t>
  </si>
  <si>
    <t>GROSS</t>
  </si>
  <si>
    <t>HAMILTON</t>
  </si>
  <si>
    <t>AUDREY</t>
  </si>
  <si>
    <t>HARTMAN</t>
  </si>
  <si>
    <t>HEASLEY</t>
  </si>
  <si>
    <t>BILLIE</t>
  </si>
  <si>
    <t>HILGAR</t>
  </si>
  <si>
    <t>HINDMAN</t>
  </si>
  <si>
    <t>HOGG</t>
  </si>
  <si>
    <t>LEROY</t>
  </si>
  <si>
    <t>VONNIE</t>
  </si>
  <si>
    <t>HUBERT</t>
  </si>
  <si>
    <t>HUNTER</t>
  </si>
  <si>
    <t>IDA</t>
  </si>
  <si>
    <t>HUSTAK</t>
  </si>
  <si>
    <t>HUTH</t>
  </si>
  <si>
    <t>ISACCO</t>
  </si>
  <si>
    <t>JACOB</t>
  </si>
  <si>
    <t>JENKINS</t>
  </si>
  <si>
    <t>JERRY</t>
  </si>
  <si>
    <t>JOHNS</t>
  </si>
  <si>
    <t>JUSTES</t>
  </si>
  <si>
    <t>KAPP</t>
  </si>
  <si>
    <t>SUSIE</t>
  </si>
  <si>
    <t>KARNEY</t>
  </si>
  <si>
    <t>KILLEY</t>
  </si>
  <si>
    <t>KLEMS</t>
  </si>
  <si>
    <t>KNEPSHIELD</t>
  </si>
  <si>
    <t>CARLYLE</t>
  </si>
  <si>
    <t>KONCHAR</t>
  </si>
  <si>
    <t>KRAMER</t>
  </si>
  <si>
    <t>KRESAK</t>
  </si>
  <si>
    <t>KURPAKUS</t>
  </si>
  <si>
    <t>LACONI</t>
  </si>
  <si>
    <t>YVONNE</t>
  </si>
  <si>
    <t>LECHNER</t>
  </si>
  <si>
    <t>LEINENBACH</t>
  </si>
  <si>
    <t>LEWIS</t>
  </si>
  <si>
    <t>ALFRED</t>
  </si>
  <si>
    <t>LONG</t>
  </si>
  <si>
    <t>JEFFRY</t>
  </si>
  <si>
    <t>LOOSE</t>
  </si>
  <si>
    <t>MACURAK</t>
  </si>
  <si>
    <t>MATSON</t>
  </si>
  <si>
    <t>MAXWELL</t>
  </si>
  <si>
    <t>MAZUREK</t>
  </si>
  <si>
    <t>SHERRIE</t>
  </si>
  <si>
    <t>LAURAL</t>
  </si>
  <si>
    <t>MCELRAVY</t>
  </si>
  <si>
    <t>U</t>
  </si>
  <si>
    <t>MCGAHEY</t>
  </si>
  <si>
    <t>MCGREGOR</t>
  </si>
  <si>
    <t>MIGLIORINI</t>
  </si>
  <si>
    <t>BONNIE</t>
  </si>
  <si>
    <t>MINTO</t>
  </si>
  <si>
    <t>MORROW</t>
  </si>
  <si>
    <t>MUELLER</t>
  </si>
  <si>
    <t>RANDI</t>
  </si>
  <si>
    <t>MURRAY</t>
  </si>
  <si>
    <t>MYERS</t>
  </si>
  <si>
    <t>NEHER</t>
  </si>
  <si>
    <t>NEWMYER</t>
  </si>
  <si>
    <t>STEVE</t>
  </si>
  <si>
    <t>NOCERA</t>
  </si>
  <si>
    <t>OLEXSAK</t>
  </si>
  <si>
    <t>MARIELLEN</t>
  </si>
  <si>
    <t>OSBORNE</t>
  </si>
  <si>
    <t>TAMARA</t>
  </si>
  <si>
    <t>OSCHE</t>
  </si>
  <si>
    <t>JUDY</t>
  </si>
  <si>
    <t>PATTON</t>
  </si>
  <si>
    <t>PEER</t>
  </si>
  <si>
    <t>MAURINE</t>
  </si>
  <si>
    <t>PEFFER</t>
  </si>
  <si>
    <t>PETRELLA</t>
  </si>
  <si>
    <t>PIKOULAS</t>
  </si>
  <si>
    <t>PIPER</t>
  </si>
  <si>
    <t>PLATT</t>
  </si>
  <si>
    <t>PONTEOUS</t>
  </si>
  <si>
    <t>RASP</t>
  </si>
  <si>
    <t>REDD</t>
  </si>
  <si>
    <t>REYNOLDS</t>
  </si>
  <si>
    <t>JUNE</t>
  </si>
  <si>
    <t>ROCK</t>
  </si>
  <si>
    <t>NICOLETTE</t>
  </si>
  <si>
    <t>RODGERS</t>
  </si>
  <si>
    <t>ROGERS</t>
  </si>
  <si>
    <t>RUBRIGHT</t>
  </si>
  <si>
    <t>LARRY</t>
  </si>
  <si>
    <t>SCHMIDT</t>
  </si>
  <si>
    <t>SCHOFIELD</t>
  </si>
  <si>
    <t>SCHUBERT</t>
  </si>
  <si>
    <t>GLENN</t>
  </si>
  <si>
    <t>SCHUMAN</t>
  </si>
  <si>
    <t>SCHURKO</t>
  </si>
  <si>
    <t>JOSEPHINE</t>
  </si>
  <si>
    <t>SEMES</t>
  </si>
  <si>
    <t>SIGMUND</t>
  </si>
  <si>
    <t>SKENDERI</t>
  </si>
  <si>
    <t>HEKURAN</t>
  </si>
  <si>
    <t>MERJEME</t>
  </si>
  <si>
    <t>SLAGLE</t>
  </si>
  <si>
    <t>STEIGHNER</t>
  </si>
  <si>
    <t>STANLEY</t>
  </si>
  <si>
    <t>SUM</t>
  </si>
  <si>
    <t>SUTTON</t>
  </si>
  <si>
    <t>SWORY</t>
  </si>
  <si>
    <t>SYCHAK</t>
  </si>
  <si>
    <t>TAYLOR</t>
  </si>
  <si>
    <t>TONER</t>
  </si>
  <si>
    <t>TOT</t>
  </si>
  <si>
    <t>RENAE</t>
  </si>
  <si>
    <t>TUZIKOW</t>
  </si>
  <si>
    <t>USNICK</t>
  </si>
  <si>
    <t>VALENSKY</t>
  </si>
  <si>
    <t>RICKI</t>
  </si>
  <si>
    <t>VASBINDER</t>
  </si>
  <si>
    <t>VAUGHN</t>
  </si>
  <si>
    <t>MARYANN</t>
  </si>
  <si>
    <t>WATT</t>
  </si>
  <si>
    <t>WINTERHALTER</t>
  </si>
  <si>
    <t>WINTERS</t>
  </si>
  <si>
    <t>MARYBETH</t>
  </si>
  <si>
    <t>WITCHKO</t>
  </si>
  <si>
    <t>WRIGHT</t>
  </si>
  <si>
    <t>CATHERINE</t>
  </si>
  <si>
    <t>WROBLEWSKI</t>
  </si>
  <si>
    <t>MICHELLE</t>
  </si>
  <si>
    <t>ZANG</t>
  </si>
  <si>
    <t>ZIELINSKI</t>
  </si>
  <si>
    <t>ZULICK</t>
  </si>
  <si>
    <t>BOYLE</t>
  </si>
  <si>
    <t>BRANNON</t>
  </si>
  <si>
    <t>BROCKMAN</t>
  </si>
  <si>
    <t>TRACEY</t>
  </si>
  <si>
    <t>HEWLETT</t>
  </si>
  <si>
    <t>CLARKE</t>
  </si>
  <si>
    <t>VALERIE</t>
  </si>
  <si>
    <t>DOMAN</t>
  </si>
  <si>
    <t>SAMUEL</t>
  </si>
  <si>
    <t>DUESENBERRY</t>
  </si>
  <si>
    <t>CARLYNN</t>
  </si>
  <si>
    <t>GIAMMATTEI</t>
  </si>
  <si>
    <t>AMY</t>
  </si>
  <si>
    <t>GIESLER</t>
  </si>
  <si>
    <t>HAYS</t>
  </si>
  <si>
    <t>HEARN</t>
  </si>
  <si>
    <t>KARENBAUER</t>
  </si>
  <si>
    <t>KERNICKY</t>
  </si>
  <si>
    <t>KING</t>
  </si>
  <si>
    <t>KUSH</t>
  </si>
  <si>
    <t>LAMBING</t>
  </si>
  <si>
    <t>LEBRON</t>
  </si>
  <si>
    <t>ELVIRA</t>
  </si>
  <si>
    <t>LEBUIS</t>
  </si>
  <si>
    <t>LENNON</t>
  </si>
  <si>
    <t>LAWRENCE</t>
  </si>
  <si>
    <t>LYDON</t>
  </si>
  <si>
    <t>MARZULLO</t>
  </si>
  <si>
    <t>LUANN</t>
  </si>
  <si>
    <t>MCATEE</t>
  </si>
  <si>
    <t>MCGALLIS</t>
  </si>
  <si>
    <t>SHARYN</t>
  </si>
  <si>
    <t>RAYLENE</t>
  </si>
  <si>
    <t>MONFRE</t>
  </si>
  <si>
    <t>MORAN</t>
  </si>
  <si>
    <t>MOTKO</t>
  </si>
  <si>
    <t>MARIA</t>
  </si>
  <si>
    <t>NORRIS</t>
  </si>
  <si>
    <t>PANEI</t>
  </si>
  <si>
    <t>PELLEGRINI</t>
  </si>
  <si>
    <t>BRIAN</t>
  </si>
  <si>
    <t>PROTZMAN</t>
  </si>
  <si>
    <t>RETTIG</t>
  </si>
  <si>
    <t>ROTHRAUFF</t>
  </si>
  <si>
    <t>SANO</t>
  </si>
  <si>
    <t>SCHAUB</t>
  </si>
  <si>
    <t>MAUDRESS</t>
  </si>
  <si>
    <t>SCHEERBAUM</t>
  </si>
  <si>
    <t>ELAINE</t>
  </si>
  <si>
    <t>SCHNUR</t>
  </si>
  <si>
    <t>SCIULLO</t>
  </si>
  <si>
    <t>FELIX</t>
  </si>
  <si>
    <t>SELLERS</t>
  </si>
  <si>
    <t>SMARETSKY</t>
  </si>
  <si>
    <t>SULIA</t>
  </si>
  <si>
    <t>WEIDO</t>
  </si>
  <si>
    <t>WICKLINE</t>
  </si>
  <si>
    <t>WITTMER</t>
  </si>
  <si>
    <t>WURMB</t>
  </si>
  <si>
    <t>YAROSCHAK</t>
  </si>
  <si>
    <t>DONALDSON</t>
  </si>
  <si>
    <t>GATES</t>
  </si>
  <si>
    <t>III</t>
  </si>
  <si>
    <t>LANCASTER</t>
  </si>
  <si>
    <t>LUIPERSBECK</t>
  </si>
  <si>
    <t>PRUITT</t>
  </si>
  <si>
    <t>JUANITA</t>
  </si>
  <si>
    <t>SPECTOR</t>
  </si>
  <si>
    <t>GUS</t>
  </si>
  <si>
    <t>ATTRIDGE</t>
  </si>
  <si>
    <t>DIMATTEI</t>
  </si>
  <si>
    <t>LU</t>
  </si>
  <si>
    <t>RYAN</t>
  </si>
  <si>
    <t>SACKETT</t>
  </si>
  <si>
    <t>SHAHROOZ</t>
  </si>
  <si>
    <t>GHASSEM</t>
  </si>
  <si>
    <t>KEVIN CORTRIGHT</t>
  </si>
  <si>
    <t>BANK JANI</t>
  </si>
  <si>
    <t>JEFFREY ALLISON</t>
  </si>
  <si>
    <t>GARY AMES</t>
  </si>
  <si>
    <t>SANDRA ANDERSON</t>
  </si>
  <si>
    <t>MARY ARELT</t>
  </si>
  <si>
    <t>TERRE BAKER</t>
  </si>
  <si>
    <t>CHRISTI BARBER</t>
  </si>
  <si>
    <t>EDWARD BELCHER</t>
  </si>
  <si>
    <t>SUSAN BLESSINGTON</t>
  </si>
  <si>
    <t>THOMAS BOTT</t>
  </si>
  <si>
    <t>JOHN BRADLEY</t>
  </si>
  <si>
    <t>TARA BRADLEY</t>
  </si>
  <si>
    <t>NANCY CLARK</t>
  </si>
  <si>
    <t>SCOTT CONBOY</t>
  </si>
  <si>
    <t>LISA CONNERS</t>
  </si>
  <si>
    <t>FRANCIS CORBETT</t>
  </si>
  <si>
    <t>JAMES DEWEY</t>
  </si>
  <si>
    <t>LORETTA DULSKI</t>
  </si>
  <si>
    <t>MEGAN DULSKI</t>
  </si>
  <si>
    <t>SUSAN DURSO</t>
  </si>
  <si>
    <t>PAUL EFFRIG</t>
  </si>
  <si>
    <t>NANCY EVANS</t>
  </si>
  <si>
    <t>MARGARET FROST</t>
  </si>
  <si>
    <t>DOROTHY GARDNER</t>
  </si>
  <si>
    <t>DARLENE GIBSON</t>
  </si>
  <si>
    <t>JAYNE GREEN</t>
  </si>
  <si>
    <t>WILLIAM HABERMAN</t>
  </si>
  <si>
    <t>ROSEMARY HORVWALT</t>
  </si>
  <si>
    <t>STEVEN HORWITZ</t>
  </si>
  <si>
    <t>KRIS JOHN</t>
  </si>
  <si>
    <t>BUSTER JONES</t>
  </si>
  <si>
    <t>KEVIN KELLY</t>
  </si>
  <si>
    <t>DIANA KELLY</t>
  </si>
  <si>
    <t>THOMAS KELLY</t>
  </si>
  <si>
    <t>WENDY KENDALL</t>
  </si>
  <si>
    <t>BEVERLY KENNEDY</t>
  </si>
  <si>
    <t>GLEN KENNEDY</t>
  </si>
  <si>
    <t>JAMES KLINEFELTER</t>
  </si>
  <si>
    <t>MARY KLINEFELTER</t>
  </si>
  <si>
    <t>ALAN KOMM</t>
  </si>
  <si>
    <t>LINDA KOMM</t>
  </si>
  <si>
    <t>CHRISTINE KONTOMANOLI</t>
  </si>
  <si>
    <t>WILLIAM KROBOT</t>
  </si>
  <si>
    <t>LAWANDA LANE</t>
  </si>
  <si>
    <t>DENISE LIMMER</t>
  </si>
  <si>
    <t>KENNETH LIMMER</t>
  </si>
  <si>
    <t>THOMAS LINK</t>
  </si>
  <si>
    <t>CHARLENE MACAVAGE</t>
  </si>
  <si>
    <t>DENNIS MARTIN</t>
  </si>
  <si>
    <t>DONNA MAZZA</t>
  </si>
  <si>
    <t>LEA MAZZETTI</t>
  </si>
  <si>
    <t>JANET MCLELLAN</t>
  </si>
  <si>
    <t>DAVID MICHLER</t>
  </si>
  <si>
    <t>ROBERT MIDDLETON</t>
  </si>
  <si>
    <t>CATHY MORRIDA</t>
  </si>
  <si>
    <t>RICHARD NEY</t>
  </si>
  <si>
    <t>JOHN PAPSO</t>
  </si>
  <si>
    <t>THOMAS PEARLINGI</t>
  </si>
  <si>
    <t>ROBERT PETERS</t>
  </si>
  <si>
    <t>TIMOTHY PETERSON</t>
  </si>
  <si>
    <t>CAROL POLITE</t>
  </si>
  <si>
    <t>JACK PROTESTO</t>
  </si>
  <si>
    <t>FRANK RAY</t>
  </si>
  <si>
    <t>SARA ROBISON</t>
  </si>
  <si>
    <t>KATHLEEN ROGALSKI</t>
  </si>
  <si>
    <t>CHRISTOPHER SAWYER</t>
  </si>
  <si>
    <t>MARK SHEFTIC</t>
  </si>
  <si>
    <t>JAMES SIEGFRIED</t>
  </si>
  <si>
    <t>JAMES SLANEY</t>
  </si>
  <si>
    <t>SONIA STEIN</t>
  </si>
  <si>
    <t>MARK STEPHENS</t>
  </si>
  <si>
    <t>KIM STEWART</t>
  </si>
  <si>
    <t>REGIS STEWART</t>
  </si>
  <si>
    <t>MARCIA STEWART</t>
  </si>
  <si>
    <t>MARGARET SUTY</t>
  </si>
  <si>
    <t>DONALD SZYJKO</t>
  </si>
  <si>
    <t>CHRISTOPHER TALBOT</t>
  </si>
  <si>
    <t>JENNIFER TALOTTA</t>
  </si>
  <si>
    <t>KAREN TORRE</t>
  </si>
  <si>
    <t>MARY TOWNSEND</t>
  </si>
  <si>
    <t>SALLY TRAUTMAN</t>
  </si>
  <si>
    <t>RICHARD ZELENKO</t>
  </si>
  <si>
    <t>ANITA ADAMS</t>
  </si>
  <si>
    <t>MARTHA BEARDMORE</t>
  </si>
  <si>
    <t>LOIS BEGGS</t>
  </si>
  <si>
    <t>JOY BILAK</t>
  </si>
  <si>
    <t>JAMES BLESSINGTON</t>
  </si>
  <si>
    <t>JOHN BRENCHAK</t>
  </si>
  <si>
    <t>RONALD BURLEIGH</t>
  </si>
  <si>
    <t>DEBORAH CHILENSKY</t>
  </si>
  <si>
    <t>KATHLEEN COLBURN</t>
  </si>
  <si>
    <t>DAVID COURTNEY</t>
  </si>
  <si>
    <t>KATHLEEN CRADDOCK</t>
  </si>
  <si>
    <t>CYNTHIA FEESER</t>
  </si>
  <si>
    <t>SANDRA FODSE</t>
  </si>
  <si>
    <t>THERESA GREENNAGH</t>
  </si>
  <si>
    <t>PHYLLIS HOWARD</t>
  </si>
  <si>
    <t>JAMES HUCKER</t>
  </si>
  <si>
    <t>LAURIE HURWITZ</t>
  </si>
  <si>
    <t>NANCY JOHNSON</t>
  </si>
  <si>
    <t>MARK KESSLER</t>
  </si>
  <si>
    <t>BEEBEE KHODABUKUS</t>
  </si>
  <si>
    <t>JOSEPH KOLODZIEJCZYK</t>
  </si>
  <si>
    <t>PATRICIA KRAUSE</t>
  </si>
  <si>
    <t>JEFFREY KRAUSE</t>
  </si>
  <si>
    <t>ELIZABE LIEBERT</t>
  </si>
  <si>
    <t>RICHARD LIEBERT</t>
  </si>
  <si>
    <t>SHARON LINK</t>
  </si>
  <si>
    <t>NORINE LISCHY</t>
  </si>
  <si>
    <t>DONNA LUPI</t>
  </si>
  <si>
    <t>TINA LYNCH</t>
  </si>
  <si>
    <t>JAMES MALLON</t>
  </si>
  <si>
    <t>REBECCA MANKO</t>
  </si>
  <si>
    <t>VICTOR MASTANDREA</t>
  </si>
  <si>
    <t>RUTH MICHLER</t>
  </si>
  <si>
    <t>SHARON MIHALEK</t>
  </si>
  <si>
    <t>DEBORAH MIHALKO</t>
  </si>
  <si>
    <t>JAMES MISSENDA</t>
  </si>
  <si>
    <t>MARCELO MURILLO</t>
  </si>
  <si>
    <t>POLLY NEISER</t>
  </si>
  <si>
    <t>JUDITH PEAVORNICK</t>
  </si>
  <si>
    <t>DEBORAH PEGHER</t>
  </si>
  <si>
    <t>JEFFREY PEIFFER</t>
  </si>
  <si>
    <t>PETER PRIBILA</t>
  </si>
  <si>
    <t>VICTORIA PRIGG</t>
  </si>
  <si>
    <t>JEFFREY RAGAZZINI</t>
  </si>
  <si>
    <t>DONALD ROBINSON</t>
  </si>
  <si>
    <t>ANTHONY ROMEO</t>
  </si>
  <si>
    <t>MARY RUCH</t>
  </si>
  <si>
    <t>SHARON SAMKO</t>
  </si>
  <si>
    <t>WILLIAM SAMKO</t>
  </si>
  <si>
    <t>LOIS STEPHENS</t>
  </si>
  <si>
    <t>BARBARA STOICA</t>
  </si>
  <si>
    <t>LINDA SZYJKO</t>
  </si>
  <si>
    <t>JOSEPH TAGUE</t>
  </si>
  <si>
    <t>KATHLEEN TENNYSON</t>
  </si>
  <si>
    <t>JARED VANETT</t>
  </si>
  <si>
    <t>ROBERT VINCENTI</t>
  </si>
  <si>
    <t>JANET WIKERT</t>
  </si>
  <si>
    <t>DAVID WOITASZEK</t>
  </si>
  <si>
    <t>CHARLES WOLNI</t>
  </si>
  <si>
    <t>HEMA WOODWARD</t>
  </si>
  <si>
    <t>MARIAN YUROSKY</t>
  </si>
  <si>
    <t>TODD PAYNTER</t>
  </si>
  <si>
    <t>RICHARD KENNEDY</t>
  </si>
  <si>
    <t>SUSAN HOEPPNER</t>
  </si>
  <si>
    <t>GARY BAKER</t>
  </si>
  <si>
    <t>MICHAEL BERENDZEN</t>
  </si>
  <si>
    <t>MARY BERGER</t>
  </si>
  <si>
    <t>MICHAEL CARTER</t>
  </si>
  <si>
    <t>SUNANTA CHIANG</t>
  </si>
  <si>
    <t>ROGER CLAYTON</t>
  </si>
  <si>
    <t>KEVIN CLOUD</t>
  </si>
  <si>
    <t>DAVID COHEN</t>
  </si>
  <si>
    <t>RINA COHEN</t>
  </si>
  <si>
    <t>GREGORY COIA</t>
  </si>
  <si>
    <t>TINA COIA</t>
  </si>
  <si>
    <t>DOUGLAS DALEY</t>
  </si>
  <si>
    <t>JAYE DAVIS</t>
  </si>
  <si>
    <t>LYDIA EVERS</t>
  </si>
  <si>
    <t>MICHAEL FLOYD</t>
  </si>
  <si>
    <t>BARBARA FLOYD</t>
  </si>
  <si>
    <t>DANNY GOFF</t>
  </si>
  <si>
    <t>EUGENE GONZALEZ</t>
  </si>
  <si>
    <t>JESUS GONZALEZ</t>
  </si>
  <si>
    <t>MICHAEL GRIZZARD</t>
  </si>
  <si>
    <t>ROSA GUZMAN</t>
  </si>
  <si>
    <t>RANDAL HAKL</t>
  </si>
  <si>
    <t>JOSEPH HENNINGER</t>
  </si>
  <si>
    <t>LINDA HERRICK</t>
  </si>
  <si>
    <t>TIMOTHY HERRICK</t>
  </si>
  <si>
    <t>DARRELL HOWARD</t>
  </si>
  <si>
    <t>GAYLORD HOYT</t>
  </si>
  <si>
    <t>KATHY JACKSON</t>
  </si>
  <si>
    <t>JOHN JENSEN</t>
  </si>
  <si>
    <t>ROGER KERR</t>
  </si>
  <si>
    <t>JEFFERY KOLLER</t>
  </si>
  <si>
    <t>SUSAN KOLLER</t>
  </si>
  <si>
    <t>TODD KROM</t>
  </si>
  <si>
    <t>CHRISTOPHER KROM</t>
  </si>
  <si>
    <t>KATHLEEN LEEDS</t>
  </si>
  <si>
    <t>CHARENE LEVIN</t>
  </si>
  <si>
    <t>STEPHEN MANFREDA</t>
  </si>
  <si>
    <t>NICK MANFREDA</t>
  </si>
  <si>
    <t>ELWOOD MARKSBERRY</t>
  </si>
  <si>
    <t>LYDIA MARRERO</t>
  </si>
  <si>
    <t>HARRY MARRERO</t>
  </si>
  <si>
    <t>MARY MARTIN</t>
  </si>
  <si>
    <t>CYNTHIA MCINTYRE</t>
  </si>
  <si>
    <t>RONALD MEAD</t>
  </si>
  <si>
    <t>CAROL MENDENHALL</t>
  </si>
  <si>
    <t>RICHARD MENDENHALL</t>
  </si>
  <si>
    <t>DAN MERCER</t>
  </si>
  <si>
    <t>CONSTANCE MOORE</t>
  </si>
  <si>
    <t>JOHN PARK</t>
  </si>
  <si>
    <t>CHERYL PHILLIPS</t>
  </si>
  <si>
    <t>THOMAS POWER</t>
  </si>
  <si>
    <t>ALLAN PURYEAR</t>
  </si>
  <si>
    <t>WILLIAM SADOWSKI</t>
  </si>
  <si>
    <t>TALLI SARGENT</t>
  </si>
  <si>
    <t>ROSE SERVEDIO</t>
  </si>
  <si>
    <t>JOHN SHACKELFORD</t>
  </si>
  <si>
    <t>GARY SMITH</t>
  </si>
  <si>
    <t>PAMELA SOAVE</t>
  </si>
  <si>
    <t>TOULA SPANOS</t>
  </si>
  <si>
    <t>CONNIE SPIER</t>
  </si>
  <si>
    <t>IRENE STANKO</t>
  </si>
  <si>
    <t>RICHARD STEVENS</t>
  </si>
  <si>
    <t>THOMAS SULLIVAN</t>
  </si>
  <si>
    <t>MARY TIEMAN</t>
  </si>
  <si>
    <t>TAMMY WALKER</t>
  </si>
  <si>
    <t>WILLIAM WEIS</t>
  </si>
  <si>
    <t>RICARDO WEISZ</t>
  </si>
  <si>
    <t>BARBARA WERNIG</t>
  </si>
  <si>
    <t>DAVID WERNIG</t>
  </si>
  <si>
    <t>ELIZABETH WILSON</t>
  </si>
  <si>
    <t>MADGLINE WILSON</t>
  </si>
  <si>
    <t>MARK WILSON</t>
  </si>
  <si>
    <t>WALLACE ANDERSON</t>
  </si>
  <si>
    <t>PAULA ANGELINI</t>
  </si>
  <si>
    <t>PHILIP ANGELINI</t>
  </si>
  <si>
    <t>KENNY ASHLOCK</t>
  </si>
  <si>
    <t>LAURALEE BEERMAN</t>
  </si>
  <si>
    <t>SUSAN BETTENHAUSEN</t>
  </si>
  <si>
    <t>MICHAEL BIESCHKE</t>
  </si>
  <si>
    <t>DOLORES BOLDEN</t>
  </si>
  <si>
    <t>DAVID BOLFING</t>
  </si>
  <si>
    <t>SONYA BOOKER</t>
  </si>
  <si>
    <t>DIANA BORJON</t>
  </si>
  <si>
    <t>ELIZABETH BRIDGES</t>
  </si>
  <si>
    <t>SHEILA BROWN</t>
  </si>
  <si>
    <t>WILLIAM BROWN</t>
  </si>
  <si>
    <t>LORI BRYNICZKA</t>
  </si>
  <si>
    <t>FRANK BUCK</t>
  </si>
  <si>
    <t>MICHAEL BULL</t>
  </si>
  <si>
    <t>PATRICIA BYRD</t>
  </si>
  <si>
    <t>THERESA CARDIN</t>
  </si>
  <si>
    <t>ELISE CLANCY</t>
  </si>
  <si>
    <t>RICHARD COMBEN</t>
  </si>
  <si>
    <t>JAMES CROUT</t>
  </si>
  <si>
    <t>MARILYN DAVIDSON</t>
  </si>
  <si>
    <t>WILLIAM DOBLER</t>
  </si>
  <si>
    <t>SCOTT DOLGE</t>
  </si>
  <si>
    <t>JAMES FILITTO</t>
  </si>
  <si>
    <t>LORI FITZ</t>
  </si>
  <si>
    <t>BILLY FONG</t>
  </si>
  <si>
    <t>GUADALUPE FONG</t>
  </si>
  <si>
    <t>ADOLFO GALARZA</t>
  </si>
  <si>
    <t>ANN GORDON</t>
  </si>
  <si>
    <t>EVELYN GRIFFITHS</t>
  </si>
  <si>
    <t>KENNETH GRUDOWSKI</t>
  </si>
  <si>
    <t>JESUS GUILLEN</t>
  </si>
  <si>
    <t>KAREN HADAWAY</t>
  </si>
  <si>
    <t>CHIANITA HARRELL</t>
  </si>
  <si>
    <t>ROBERT HNAT</t>
  </si>
  <si>
    <t>SCOTT HOLTON</t>
  </si>
  <si>
    <t>MARGARET JEDRZEJCZAK</t>
  </si>
  <si>
    <t>MARIBEL JIMENEZ</t>
  </si>
  <si>
    <t>CONSTANCE JONES</t>
  </si>
  <si>
    <t>CHERI KILEY</t>
  </si>
  <si>
    <t>ROY KIMBROUGH</t>
  </si>
  <si>
    <t>COLLEEN KUHNS</t>
  </si>
  <si>
    <t>LIZA LACOSTA</t>
  </si>
  <si>
    <t>SUSAN LARGEN</t>
  </si>
  <si>
    <t>RANDALL LEEHAN</t>
  </si>
  <si>
    <t>DOUGLAS LEIN</t>
  </si>
  <si>
    <t>KEITH MACPHAIL</t>
  </si>
  <si>
    <t>PETER MALONE</t>
  </si>
  <si>
    <t>KATHERINE MAY</t>
  </si>
  <si>
    <t>DORIS MCCONNELL</t>
  </si>
  <si>
    <t>JIM MCDONALD</t>
  </si>
  <si>
    <t>RONALD MESHENBERG</t>
  </si>
  <si>
    <t>LINDA MIHALKA</t>
  </si>
  <si>
    <t>SUSAN MOLNOR</t>
  </si>
  <si>
    <t>SCOTT MORRIS</t>
  </si>
  <si>
    <t>PAUL MYRICK</t>
  </si>
  <si>
    <t>LORI NELSON</t>
  </si>
  <si>
    <t>TERRY NEY</t>
  </si>
  <si>
    <t>RONALD NIEMER</t>
  </si>
  <si>
    <t>PEGGY OBRIEN</t>
  </si>
  <si>
    <t>KILEY ORTIZ</t>
  </si>
  <si>
    <t>JOHN OSTERKAMP</t>
  </si>
  <si>
    <t>LESLIE PARK</t>
  </si>
  <si>
    <t>JACK PARROTT</t>
  </si>
  <si>
    <t>MILLIE PARROTT</t>
  </si>
  <si>
    <t>KIRBY PASCUS</t>
  </si>
  <si>
    <t>DANIEL PESTKA</t>
  </si>
  <si>
    <t>GREGORY PETERSON</t>
  </si>
  <si>
    <t>ROGER PHELPS</t>
  </si>
  <si>
    <t>LILLIAN PHELPS</t>
  </si>
  <si>
    <t>CHRISTOPHE PICCOLI</t>
  </si>
  <si>
    <t>TERESE PINTA</t>
  </si>
  <si>
    <t>KATHLEEN PLOCHARSKI</t>
  </si>
  <si>
    <t>TIM PRICE</t>
  </si>
  <si>
    <t>JOHN PRINZ</t>
  </si>
  <si>
    <t>THERESA PRINZ</t>
  </si>
  <si>
    <t>DEAN REED</t>
  </si>
  <si>
    <t>BARRY RHOADES</t>
  </si>
  <si>
    <t>ELIZABETH RICHTER</t>
  </si>
  <si>
    <t>JUDITH RIDDLEBERGER</t>
  </si>
  <si>
    <t>RACHEL RIEDLER</t>
  </si>
  <si>
    <t>RENEE RITCHEY</t>
  </si>
  <si>
    <t>ROXANN ROBINSON</t>
  </si>
  <si>
    <t>PAULA ROPPO</t>
  </si>
  <si>
    <t>JULIA ROSS</t>
  </si>
  <si>
    <t>DONNA ROUSSARIE</t>
  </si>
  <si>
    <t>MARILOU RUSIANA</t>
  </si>
  <si>
    <t>EDWARD SCHAEFER</t>
  </si>
  <si>
    <t>PATRICIA SCHAEFER</t>
  </si>
  <si>
    <t>NAOMI SHERIDAN</t>
  </si>
  <si>
    <t>CYNDIE SIMMONS</t>
  </si>
  <si>
    <t>GORDON SINCLAIR</t>
  </si>
  <si>
    <t>VICKI SKINNER</t>
  </si>
  <si>
    <t>ALISON SPARKS</t>
  </si>
  <si>
    <t>DARLENE STRAMA</t>
  </si>
  <si>
    <t>ABEL VAN</t>
  </si>
  <si>
    <t>ELENI VETTAS</t>
  </si>
  <si>
    <t>FRANCISCO VILLA</t>
  </si>
  <si>
    <t>JOHN VLAHOS</t>
  </si>
  <si>
    <t>MARK WACHOWICZ</t>
  </si>
  <si>
    <t>SCOTT WALLACH</t>
  </si>
  <si>
    <t>PATRICIA WATSON</t>
  </si>
  <si>
    <t>MARY WEATHERSTONE</t>
  </si>
  <si>
    <t>JOHN WEBSTER</t>
  </si>
  <si>
    <t>THOMAS WELCH</t>
  </si>
  <si>
    <t>RAYMOND WHALEN</t>
  </si>
  <si>
    <t>RUSSELL WILLIFORD</t>
  </si>
  <si>
    <t>NANCY WONG</t>
  </si>
  <si>
    <t>BARBARA ZEJER</t>
  </si>
  <si>
    <t>THERESA PARKS</t>
  </si>
  <si>
    <t>DONNY CLARK</t>
  </si>
  <si>
    <t>PATRICK DOWDLE</t>
  </si>
  <si>
    <t>JAMES SHIPLETT</t>
  </si>
  <si>
    <t>LAURA SHIPLETT</t>
  </si>
  <si>
    <t>CRAIG STONE</t>
  </si>
  <si>
    <t>KATHRYN CHAPPELL</t>
  </si>
  <si>
    <t>ROSEMARIE PECK</t>
  </si>
  <si>
    <t>TERRY ALBECK</t>
  </si>
  <si>
    <t>JEFFREY ALLAN</t>
  </si>
  <si>
    <t>CLIFFORD ANDERSON</t>
  </si>
  <si>
    <t>LINDA ARMSTRONG</t>
  </si>
  <si>
    <t>EARL BALENTINE</t>
  </si>
  <si>
    <t>JOANNE BAPTISTE</t>
  </si>
  <si>
    <t>RICHARD BAPTISTE</t>
  </si>
  <si>
    <t>DEBRA BARRALL</t>
  </si>
  <si>
    <t>SUZEE BEBLO</t>
  </si>
  <si>
    <t>ALAN BEBLO</t>
  </si>
  <si>
    <t>REBA BECKER</t>
  </si>
  <si>
    <t>MARGARET BEERS</t>
  </si>
  <si>
    <t>DENNIS BELL</t>
  </si>
  <si>
    <t>JONATHAN BENETAS</t>
  </si>
  <si>
    <t>THOMAS BISHOP</t>
  </si>
  <si>
    <t>JOHN BLAZOSKY</t>
  </si>
  <si>
    <t>THOMAS BORCZ</t>
  </si>
  <si>
    <t>DARCEE BOWSER</t>
  </si>
  <si>
    <t>CARL BRACKEN</t>
  </si>
  <si>
    <t>GRACE BRACKEN</t>
  </si>
  <si>
    <t>MARK BRANTHOOVER</t>
  </si>
  <si>
    <t>GERALD BRNA</t>
  </si>
  <si>
    <t>ROBERT BROWN</t>
  </si>
  <si>
    <t>NICHOLAS BURKA</t>
  </si>
  <si>
    <t>JOSEPH CALAMUSA</t>
  </si>
  <si>
    <t>TERESA CALAMUSA</t>
  </si>
  <si>
    <t>LINDA CARSON</t>
  </si>
  <si>
    <t>PATRICIA CHAFFIN</t>
  </si>
  <si>
    <t>ROBERT CHRISTY</t>
  </si>
  <si>
    <t>EARL CHRISTY</t>
  </si>
  <si>
    <t>MARK CIESIELSKI</t>
  </si>
  <si>
    <t>EARL CLARK</t>
  </si>
  <si>
    <t>THOMAS CLAY</t>
  </si>
  <si>
    <t>KENNETH CLAYPOOLE</t>
  </si>
  <si>
    <t>RUTH CLAYPOOLE</t>
  </si>
  <si>
    <t>RICHARD CLOUSE</t>
  </si>
  <si>
    <t>KIMBERLY COBLENTZ</t>
  </si>
  <si>
    <t>CLAUDIA CONTE</t>
  </si>
  <si>
    <t>GLENDA COUGHENOUR</t>
  </si>
  <si>
    <t>RICHARD COUGHENOUR</t>
  </si>
  <si>
    <t>CHARLES CRAIG</t>
  </si>
  <si>
    <t>BARBARA CRANE</t>
  </si>
  <si>
    <t>JEFFREY CRANE</t>
  </si>
  <si>
    <t>GEORGE CRAVEN</t>
  </si>
  <si>
    <t>TIMOTHY CRIDER</t>
  </si>
  <si>
    <t>SANDRA CRIDER</t>
  </si>
  <si>
    <t>SUSAN CUPPS</t>
  </si>
  <si>
    <t>GERALD CUPPS</t>
  </si>
  <si>
    <t>JOANNE DALUISIO</t>
  </si>
  <si>
    <t>JANICE DEMARTINI</t>
  </si>
  <si>
    <t>MARGARET DICKMAN</t>
  </si>
  <si>
    <t>ANNA DICKSON</t>
  </si>
  <si>
    <t>CORNELIUS DORCY</t>
  </si>
  <si>
    <t>PAMELA DORCY</t>
  </si>
  <si>
    <t>JOLINDA DOUTHETT</t>
  </si>
  <si>
    <t>JAMES DUDEK</t>
  </si>
  <si>
    <t>PAUL EDGERTON</t>
  </si>
  <si>
    <t>LINDA EDGERTON</t>
  </si>
  <si>
    <t>JEFFREY EDWARDS</t>
  </si>
  <si>
    <t>ROBERT EMIGH</t>
  </si>
  <si>
    <t>SHIRLEY ERWIN</t>
  </si>
  <si>
    <t>LINDA EURY</t>
  </si>
  <si>
    <t>EUGENE EVANS</t>
  </si>
  <si>
    <t>JAMES FAGAN</t>
  </si>
  <si>
    <t>WILFRED FAHRNEY</t>
  </si>
  <si>
    <t>EDWARD FANTUZZO</t>
  </si>
  <si>
    <t>GREGORY FERDINANDSEN</t>
  </si>
  <si>
    <t>MARY FERDINANDSEN</t>
  </si>
  <si>
    <t>MICHAEL FERDINANDSEN</t>
  </si>
  <si>
    <t>HELEN FERGUSON</t>
  </si>
  <si>
    <t>TIMOTHY FLANIGAN</t>
  </si>
  <si>
    <t>ROBIN GALL</t>
  </si>
  <si>
    <t>KEVIN GALLAGHER</t>
  </si>
  <si>
    <t>JANICE GAWLIK</t>
  </si>
  <si>
    <t>MARY GORDON</t>
  </si>
  <si>
    <t>NORMAN GRAHAM</t>
  </si>
  <si>
    <t>STELLA GRAHAM</t>
  </si>
  <si>
    <t>RONALD GUINEY</t>
  </si>
  <si>
    <t>WILLIAM HARTSHORN</t>
  </si>
  <si>
    <t>BETSY HARVEY</t>
  </si>
  <si>
    <t>VICKI HEFFERAN</t>
  </si>
  <si>
    <t>DOUGLAS HERVEY</t>
  </si>
  <si>
    <t>CAROLYN HERVEY</t>
  </si>
  <si>
    <t>PAUL HICKOK</t>
  </si>
  <si>
    <t>KAREN HILLIARD</t>
  </si>
  <si>
    <t>DENA HOCHBEIN</t>
  </si>
  <si>
    <t>WILLIAM HOCHBEIN</t>
  </si>
  <si>
    <t>JOSEPH HOFFMAN</t>
  </si>
  <si>
    <t>VICTORIA HOFFMAN</t>
  </si>
  <si>
    <t>RICHARD HOLSTINE</t>
  </si>
  <si>
    <t>STEVEN HOMISON</t>
  </si>
  <si>
    <t>DAVENA HOPSON</t>
  </si>
  <si>
    <t>EDDIE JEWART</t>
  </si>
  <si>
    <t>PAMELA JEWART</t>
  </si>
  <si>
    <t>BEVERLY JONES</t>
  </si>
  <si>
    <t>CHARLES JORDAN</t>
  </si>
  <si>
    <t>HOWARD KAMERER</t>
  </si>
  <si>
    <t>EUNICE KENTON</t>
  </si>
  <si>
    <t>HOBART KENTON</t>
  </si>
  <si>
    <t>DOMINICA KOCHMAR</t>
  </si>
  <si>
    <t>GERALD KOCHMAR</t>
  </si>
  <si>
    <t>KAREN KROPF</t>
  </si>
  <si>
    <t>LLOYD LAKE</t>
  </si>
  <si>
    <t>ROSEMARIE LOKER</t>
  </si>
  <si>
    <t>CHRISTINE MACGREGOR</t>
  </si>
  <si>
    <t>DANIEL MAGILL</t>
  </si>
  <si>
    <t>LISA MAJESKY</t>
  </si>
  <si>
    <t>RICHARD MANGUS</t>
  </si>
  <si>
    <t>THERESA MANGUS</t>
  </si>
  <si>
    <t>TERRI MARBURGER</t>
  </si>
  <si>
    <t>GAYLE MARETTI</t>
  </si>
  <si>
    <t>GLORIA MARSHALL</t>
  </si>
  <si>
    <t>SUSAN MASON</t>
  </si>
  <si>
    <t>WILLIAM MAURICE</t>
  </si>
  <si>
    <t>KAREN MCANDREWS</t>
  </si>
  <si>
    <t>DONALD MCCLOSKEY</t>
  </si>
  <si>
    <t>THOMAS MCCOMMON</t>
  </si>
  <si>
    <t>DEBRA MCCUNE</t>
  </si>
  <si>
    <t>WILLIAM MCDONOUGH</t>
  </si>
  <si>
    <t>GENEVIEVE MCDONOUGH</t>
  </si>
  <si>
    <t>NANCY MCKEE</t>
  </si>
  <si>
    <t>MICHALENE MCMULLEN</t>
  </si>
  <si>
    <t>THOMAS MCMULLEN</t>
  </si>
  <si>
    <t>ROBERT MILLER</t>
  </si>
  <si>
    <t>SANDRA MONTGOMERY</t>
  </si>
  <si>
    <t>MICHAEL MONTGOMERY</t>
  </si>
  <si>
    <t>RONALD MOORE</t>
  </si>
  <si>
    <t>JOHN MORRISON</t>
  </si>
  <si>
    <t>DAVID MOSER</t>
  </si>
  <si>
    <t>RAYMOND MURTHA</t>
  </si>
  <si>
    <t>STEVEN NAPOLETAN</t>
  </si>
  <si>
    <t>STACY NEMETH</t>
  </si>
  <si>
    <t>ROBERT NICHOLS</t>
  </si>
  <si>
    <t>MARY NICHOLS</t>
  </si>
  <si>
    <t>DENNIS NOLLINGER</t>
  </si>
  <si>
    <t>JAMES NORTON</t>
  </si>
  <si>
    <t>SHARON OESTERLING</t>
  </si>
  <si>
    <t>LON OESTERLING</t>
  </si>
  <si>
    <t>DONALD OLMSTEAD</t>
  </si>
  <si>
    <t>MICHAEL OWENS</t>
  </si>
  <si>
    <t>ANNA PAPA</t>
  </si>
  <si>
    <t>MARIAN PARENTE</t>
  </si>
  <si>
    <t>ROBERT PARK</t>
  </si>
  <si>
    <t>JOAN PARK</t>
  </si>
  <si>
    <t>JANET PARKER</t>
  </si>
  <si>
    <t>RONALD PARKER</t>
  </si>
  <si>
    <t>DAVID PARSONS</t>
  </si>
  <si>
    <t>GEORGE PATRICK</t>
  </si>
  <si>
    <t>THOMAS PERRY</t>
  </si>
  <si>
    <t>CAROL PETTIT</t>
  </si>
  <si>
    <t>BRUCE PETTIT</t>
  </si>
  <si>
    <t>TIMOTHY PHIPPS</t>
  </si>
  <si>
    <t>JOSEPH PIERREL</t>
  </si>
  <si>
    <t>LEONA PIERREL</t>
  </si>
  <si>
    <t>RICHARD PISOR</t>
  </si>
  <si>
    <t>JANINE POLKY</t>
  </si>
  <si>
    <t>SANDRA POPINSKI</t>
  </si>
  <si>
    <t>STAN POPINSKI</t>
  </si>
  <si>
    <t>LEEANNA PORTER</t>
  </si>
  <si>
    <t>LORI RANDALL</t>
  </si>
  <si>
    <t>JAMES RAUSCH</t>
  </si>
  <si>
    <t>GLEN RIZZO</t>
  </si>
  <si>
    <t>JOY ROBBINS</t>
  </si>
  <si>
    <t>PEGGY ROCCO</t>
  </si>
  <si>
    <t>MARGIE ROME</t>
  </si>
  <si>
    <t>WILLIAM RUSSELL</t>
  </si>
  <si>
    <t>KAREN RUSSELL</t>
  </si>
  <si>
    <t>SUSAN RUSSO</t>
  </si>
  <si>
    <t>PATRICIA RUTKOSKI</t>
  </si>
  <si>
    <t>GREGORY RUTKOSKI</t>
  </si>
  <si>
    <t>BEVERLY SASSE</t>
  </si>
  <si>
    <t>DENNIS SCHELETSKY</t>
  </si>
  <si>
    <t>GARY SCHMIEDECKE</t>
  </si>
  <si>
    <t>HANNAH SCHRIM</t>
  </si>
  <si>
    <t>ANDREW SCHRIM</t>
  </si>
  <si>
    <t>DEBBIE SELFRIDGE</t>
  </si>
  <si>
    <t>GEORGE SHAFFER</t>
  </si>
  <si>
    <t>STACEY SHEHAB</t>
  </si>
  <si>
    <t>FREDERICK SICILIANO</t>
  </si>
  <si>
    <t>KIMBERLY SIDLEY</t>
  </si>
  <si>
    <t>DAVID SNYDER</t>
  </si>
  <si>
    <t>DARLENE SNYDER</t>
  </si>
  <si>
    <t>PAULA SOLEY</t>
  </si>
  <si>
    <t>SHIRLEY SPAULDING</t>
  </si>
  <si>
    <t>GARY SPAULDING</t>
  </si>
  <si>
    <t>JUDITH SPORKA</t>
  </si>
  <si>
    <t>SUZANNE STEIGERWALD</t>
  </si>
  <si>
    <t>NEIL STEWART</t>
  </si>
  <si>
    <t>D SULLENBERGER</t>
  </si>
  <si>
    <t>WILLIAM TAGMYER</t>
  </si>
  <si>
    <t>RONALD THOMPSON</t>
  </si>
  <si>
    <t>KATHLEEN THORNTON</t>
  </si>
  <si>
    <t>JOHN THORPE</t>
  </si>
  <si>
    <t>JOAN TOMSEY</t>
  </si>
  <si>
    <t>CHERYL TOOMEY</t>
  </si>
  <si>
    <t>KENNETH TROUP</t>
  </si>
  <si>
    <t>CHERYL TURNER</t>
  </si>
  <si>
    <t>KATHLEEN UFNER</t>
  </si>
  <si>
    <t>DANIEL VEITH</t>
  </si>
  <si>
    <t>CATHLEEN VIDIC</t>
  </si>
  <si>
    <t>NAOMI WAGNER</t>
  </si>
  <si>
    <t>SUZANNE WARHEIT</t>
  </si>
  <si>
    <t>PATRICIA WILLIAMS</t>
  </si>
  <si>
    <t>DONNA WILLIAMS</t>
  </si>
  <si>
    <t>ROGER WOLFE</t>
  </si>
  <si>
    <t>FRANK WUCHEVICH</t>
  </si>
  <si>
    <t>GARY YOUNG</t>
  </si>
  <si>
    <t>ROBERTA YOUNG</t>
  </si>
  <si>
    <t>JAMES YURISIC</t>
  </si>
  <si>
    <t>THOMAS AUGOSTINE</t>
  </si>
  <si>
    <t>KENNETH BAURLE</t>
  </si>
  <si>
    <t>NAOMI BEATTY</t>
  </si>
  <si>
    <t>CLAUDE BECK</t>
  </si>
  <si>
    <t>PATRICIA BISWICK</t>
  </si>
  <si>
    <t>MARK BISWICK</t>
  </si>
  <si>
    <t>DIANE BLACK</t>
  </si>
  <si>
    <t>WILLIAM BLACK</t>
  </si>
  <si>
    <t>MICHAEL BLOSTEIN</t>
  </si>
  <si>
    <t>PAULA BOCIAN</t>
  </si>
  <si>
    <t>SHIZUKO BONAPARTE</t>
  </si>
  <si>
    <t>DONALD BRENENBORG</t>
  </si>
  <si>
    <t>JOYCE BRENENBORG</t>
  </si>
  <si>
    <t>CINDY BROWN</t>
  </si>
  <si>
    <t>PATRICK BUCK</t>
  </si>
  <si>
    <t>JOHN BURNS</t>
  </si>
  <si>
    <t>LINDA BUTCHERINE</t>
  </si>
  <si>
    <t>THOMAS BUTCHERINE</t>
  </si>
  <si>
    <t>DEBORA BYRON</t>
  </si>
  <si>
    <t>JOHN CAPELLA</t>
  </si>
  <si>
    <t>MICHAEL CARRIGAN</t>
  </si>
  <si>
    <t>LINDA CARRIGAN</t>
  </si>
  <si>
    <t>SUE CHRISTY</t>
  </si>
  <si>
    <t>DOUGLAS CLARK</t>
  </si>
  <si>
    <t>BEATRICE CLARK</t>
  </si>
  <si>
    <t>PAULA CLINE</t>
  </si>
  <si>
    <t>ROXANNE CLINGENSMITH</t>
  </si>
  <si>
    <t>GLADYS COLEMAN</t>
  </si>
  <si>
    <t>DUDLEY COSS</t>
  </si>
  <si>
    <t>GARY COUSINS</t>
  </si>
  <si>
    <t>NANCY CRICKS</t>
  </si>
  <si>
    <t>ROBERT DASCH</t>
  </si>
  <si>
    <t>CAROL DAUBENSPECK</t>
  </si>
  <si>
    <t>DENNIS DAVIS</t>
  </si>
  <si>
    <t>RANDALL DICKSON</t>
  </si>
  <si>
    <t>PAUL DORR</t>
  </si>
  <si>
    <t>DARLENE DOUGLAS</t>
  </si>
  <si>
    <t>MICHAEL DOWLING</t>
  </si>
  <si>
    <t>BENJAMIN DUNCAN</t>
  </si>
  <si>
    <t>MICHAEL DUNN</t>
  </si>
  <si>
    <t>WILLIAM ENGLISH</t>
  </si>
  <si>
    <t>MAUREEN ENGLISH</t>
  </si>
  <si>
    <t>DOUGLAS FALLECKER</t>
  </si>
  <si>
    <t>KIMBERLY FALLECKER</t>
  </si>
  <si>
    <t>DENA FEND</t>
  </si>
  <si>
    <t>ELIZABETH FINNEGAN</t>
  </si>
  <si>
    <t>MICHAEL FIUMARA</t>
  </si>
  <si>
    <t>JOHN FRANASIAK</t>
  </si>
  <si>
    <t>DONALD GAISER</t>
  </si>
  <si>
    <t>ANITA GALKO</t>
  </si>
  <si>
    <t>CARL GARTLEY</t>
  </si>
  <si>
    <t>GEORGE GERSTNER</t>
  </si>
  <si>
    <t>TRACY GOETTLER</t>
  </si>
  <si>
    <t>ABRAHAM GOLDENBERG</t>
  </si>
  <si>
    <t>GILBERT GORSKI</t>
  </si>
  <si>
    <t>LISA GRAHAM</t>
  </si>
  <si>
    <t>CHARLES GROSS</t>
  </si>
  <si>
    <t>AUDREY HAMILTON</t>
  </si>
  <si>
    <t>PAMELA HARTMAN</t>
  </si>
  <si>
    <t>BILLIE HEASLEY</t>
  </si>
  <si>
    <t>MARK HILGAR</t>
  </si>
  <si>
    <t>CINDY HINDMAN</t>
  </si>
  <si>
    <t>LEROY HOGG</t>
  </si>
  <si>
    <t>VONNIE HOGG</t>
  </si>
  <si>
    <t>JAMES HUBERT</t>
  </si>
  <si>
    <t>IDA HUNTER</t>
  </si>
  <si>
    <t>DEBORA HUSTAK</t>
  </si>
  <si>
    <t>CYNTHIA HUTH</t>
  </si>
  <si>
    <t>DAVID ISACCO</t>
  </si>
  <si>
    <t>WILLIAM JACOB</t>
  </si>
  <si>
    <t>JERRY JENKINS</t>
  </si>
  <si>
    <t>PEGGY JOHNS</t>
  </si>
  <si>
    <t>MARILYN JUSTES</t>
  </si>
  <si>
    <t>SUSIE KAPP</t>
  </si>
  <si>
    <t>MARY KARNEY</t>
  </si>
  <si>
    <t>PATRICIA KENNEDY</t>
  </si>
  <si>
    <t>PATRICIA KILLEY</t>
  </si>
  <si>
    <t>MARY KILPATRICK</t>
  </si>
  <si>
    <t>RAYMOND KLEMS</t>
  </si>
  <si>
    <t>DEBRA KNEPSHIELD</t>
  </si>
  <si>
    <t>CARLYLE KNEPSHIELD</t>
  </si>
  <si>
    <t>DANIEL KONCHAR</t>
  </si>
  <si>
    <t>MARY KRAMER</t>
  </si>
  <si>
    <t>THOMAS KRESAK</t>
  </si>
  <si>
    <t>KATHLEEN KRESAK</t>
  </si>
  <si>
    <t>KAREN KURPAKUS</t>
  </si>
  <si>
    <t>YVONNE LACONI</t>
  </si>
  <si>
    <t>JUDITH LECHNER</t>
  </si>
  <si>
    <t>KEITH LEINENBACH</t>
  </si>
  <si>
    <t>ALFRED LEWIS</t>
  </si>
  <si>
    <t>LORI LEWIS</t>
  </si>
  <si>
    <t>JEFFRY LONG</t>
  </si>
  <si>
    <t>DAVID LOOSE</t>
  </si>
  <si>
    <t>JAMES MACURAK</t>
  </si>
  <si>
    <t>THOMAS MATSON</t>
  </si>
  <si>
    <t>LINDA MAXWELL</t>
  </si>
  <si>
    <t>SHERRIE MAZUREK</t>
  </si>
  <si>
    <t>LAURAL MCCOMMON</t>
  </si>
  <si>
    <t>KATHLEEN MCELRAVY</t>
  </si>
  <si>
    <t>KEVIN MCGAHEY</t>
  </si>
  <si>
    <t>JUDITH MCGREGOR</t>
  </si>
  <si>
    <t>KENNETH MCGREGOR</t>
  </si>
  <si>
    <t>DAVID MIGLIORINI</t>
  </si>
  <si>
    <t>BONNIE MILLER</t>
  </si>
  <si>
    <t>DEBORAH MILLER</t>
  </si>
  <si>
    <t>DAVID MILLER</t>
  </si>
  <si>
    <t>THOMAS MINTO</t>
  </si>
  <si>
    <t>KIMBERLY MOORE</t>
  </si>
  <si>
    <t>ROSE MOORE</t>
  </si>
  <si>
    <t>BONNIE MORRIS</t>
  </si>
  <si>
    <t>DANIEL MORROW</t>
  </si>
  <si>
    <t>SUSAN MORROW</t>
  </si>
  <si>
    <t>RANDI MUELLER</t>
  </si>
  <si>
    <t>GREGORY MURRAY</t>
  </si>
  <si>
    <t>NANCY MYERS</t>
  </si>
  <si>
    <t>TIMOTHY NEHER</t>
  </si>
  <si>
    <t>BONNIE NEHER</t>
  </si>
  <si>
    <t>STEVE NEWMYER</t>
  </si>
  <si>
    <t>PATRICIA NOCERA</t>
  </si>
  <si>
    <t>JAMES NOCERA</t>
  </si>
  <si>
    <t>KATHY OESTERLING</t>
  </si>
  <si>
    <t>MARIELLEN OLEXSAK</t>
  </si>
  <si>
    <t>TAMARA OSBORNE</t>
  </si>
  <si>
    <t>JUDY OSCHE</t>
  </si>
  <si>
    <t>JEFFERY PATTON</t>
  </si>
  <si>
    <t>MAURINE PEER</t>
  </si>
  <si>
    <t>CHARLES PEFFER</t>
  </si>
  <si>
    <t>ANTHONY PETRELLA</t>
  </si>
  <si>
    <t>DEAN PIKOULAS</t>
  </si>
  <si>
    <t>JOYCE PIPER</t>
  </si>
  <si>
    <t>DAVID PIPER</t>
  </si>
  <si>
    <t>CHARLES PLATT</t>
  </si>
  <si>
    <t>KEVIN PONTEOUS</t>
  </si>
  <si>
    <t>PATRICIA RASP</t>
  </si>
  <si>
    <t>BENJAMIN RAY</t>
  </si>
  <si>
    <t>DONNA REDD</t>
  </si>
  <si>
    <t>JUNE REYNOLDS</t>
  </si>
  <si>
    <t>ROBERT REYNOLDS</t>
  </si>
  <si>
    <t>NICOLETTE ROCK</t>
  </si>
  <si>
    <t>GREGORY ROCK</t>
  </si>
  <si>
    <t>MARCIA RODGERS</t>
  </si>
  <si>
    <t>ROBIN ROGERS</t>
  </si>
  <si>
    <t>LARRY RUBRIGHT</t>
  </si>
  <si>
    <t>PAMELA SCHMIDT</t>
  </si>
  <si>
    <t>ROBERTA SCHOFIELD</t>
  </si>
  <si>
    <t>JAMES SCHOFIELD</t>
  </si>
  <si>
    <t>GLENN SCHUBERT</t>
  </si>
  <si>
    <t>HELEN SCHUMAN</t>
  </si>
  <si>
    <t>RICHARD SCHUMAN</t>
  </si>
  <si>
    <t>JOSEPHINE SCHURKO</t>
  </si>
  <si>
    <t>VICKI SEMES</t>
  </si>
  <si>
    <t>PAUL SEMES</t>
  </si>
  <si>
    <t>SUSAN SIGMUND</t>
  </si>
  <si>
    <t>HEKURAN SKENDERI</t>
  </si>
  <si>
    <t>MERJEME SKENDERI</t>
  </si>
  <si>
    <t>MARY SLAGLE</t>
  </si>
  <si>
    <t>THOMAS SLAGLE</t>
  </si>
  <si>
    <t>PAULA SNYDER</t>
  </si>
  <si>
    <t>STANLEY STEIGHNER</t>
  </si>
  <si>
    <t>JUDITH STEWART</t>
  </si>
  <si>
    <t>MARK STEWART</t>
  </si>
  <si>
    <t>DANIEL SUM</t>
  </si>
  <si>
    <t>DEAN SUTTON</t>
  </si>
  <si>
    <t>SHIRLEY SWORY</t>
  </si>
  <si>
    <t>ROBERT SYCHAK</t>
  </si>
  <si>
    <t>DEBRA TAYLOR</t>
  </si>
  <si>
    <t>HARRY TONER</t>
  </si>
  <si>
    <t>GREGORY TOT</t>
  </si>
  <si>
    <t>RENAE TOT</t>
  </si>
  <si>
    <t>DANNY TURNER</t>
  </si>
  <si>
    <t>STEPHEN TUZIKOW</t>
  </si>
  <si>
    <t>RICHARD USNICK</t>
  </si>
  <si>
    <t>DEBRA VALENSKY</t>
  </si>
  <si>
    <t>RICKI VALENSKY</t>
  </si>
  <si>
    <t>CYNTHIA VASBINDER</t>
  </si>
  <si>
    <t>MARYANN VAUGHN</t>
  </si>
  <si>
    <t>GARY WATT</t>
  </si>
  <si>
    <t>KATHLEEN WATT</t>
  </si>
  <si>
    <t>KENNETH WINTERHALTER</t>
  </si>
  <si>
    <t>MARYBETH WINTERS</t>
  </si>
  <si>
    <t>RICHARD WITCHKO</t>
  </si>
  <si>
    <t>GRACE WRIGHT</t>
  </si>
  <si>
    <t>STEPHEN WRIGHT</t>
  </si>
  <si>
    <t>CATHERINE WRIGHT</t>
  </si>
  <si>
    <t>SANDRA WRIGHT</t>
  </si>
  <si>
    <t>RICHARD WROBLEWSKI</t>
  </si>
  <si>
    <t>MICHELLE YOUNG</t>
  </si>
  <si>
    <t>TIMOTHY ZANG</t>
  </si>
  <si>
    <t>TIMOTHY ZIELINSKI</t>
  </si>
  <si>
    <t>FRANK ZIELINSKI</t>
  </si>
  <si>
    <t>JOHN ZULICK</t>
  </si>
  <si>
    <t>ROBERT BOYLE</t>
  </si>
  <si>
    <t>SUSAN BRANNON</t>
  </si>
  <si>
    <t>TRACEY BROCKMAN</t>
  </si>
  <si>
    <t>HEWLETT BROWN</t>
  </si>
  <si>
    <t>LESLIE CLARKE</t>
  </si>
  <si>
    <t>VALERIE DAUBENSPECK</t>
  </si>
  <si>
    <t>SAMUEL DOMAN</t>
  </si>
  <si>
    <t>RONALD DUESENBERRY</t>
  </si>
  <si>
    <t>CARLYNN EVANS</t>
  </si>
  <si>
    <t>AMY GIAMMATTEI</t>
  </si>
  <si>
    <t>JOYCE GIESLER</t>
  </si>
  <si>
    <t>TIMOTHY GORDON</t>
  </si>
  <si>
    <t>KIMBERLY GREEN</t>
  </si>
  <si>
    <t>STEPHEN GREEN</t>
  </si>
  <si>
    <t>JOHN HAYS</t>
  </si>
  <si>
    <t>MARY HEARN</t>
  </si>
  <si>
    <t>RUSSELL HEARN</t>
  </si>
  <si>
    <t>KEVIN KARENBAUER</t>
  </si>
  <si>
    <t>JOHN KERNICKY</t>
  </si>
  <si>
    <t>CYNTHIA KING</t>
  </si>
  <si>
    <t>PATRICIA KLEMS</t>
  </si>
  <si>
    <t>KAREN KUSH</t>
  </si>
  <si>
    <t>DEBORAH LAMBING</t>
  </si>
  <si>
    <t>ELVIRA LEBRON</t>
  </si>
  <si>
    <t>SUZANNE LEBUIS</t>
  </si>
  <si>
    <t>LAWRENCE LENNON</t>
  </si>
  <si>
    <t>DONNA LYDON</t>
  </si>
  <si>
    <t>RICHARD MAJESKY</t>
  </si>
  <si>
    <t>RICHARD MARSHALL</t>
  </si>
  <si>
    <t>LUANN MARZULLO</t>
  </si>
  <si>
    <t>JAMES MCATEE</t>
  </si>
  <si>
    <t>JAMES MCDONOUGH</t>
  </si>
  <si>
    <t>SHARYN MCGALLIS</t>
  </si>
  <si>
    <t>ELIZABETH MILLER</t>
  </si>
  <si>
    <t>JAMES MILLER</t>
  </si>
  <si>
    <t>RAYLENE MILLER</t>
  </si>
  <si>
    <t>TIMOTHY MONFRE</t>
  </si>
  <si>
    <t>KATHLEEN MORAN</t>
  </si>
  <si>
    <t>MARIA MOTKO</t>
  </si>
  <si>
    <t>SANDRA NORRIS</t>
  </si>
  <si>
    <t>GORDON PANEI</t>
  </si>
  <si>
    <t>SARA PELLEGRINI</t>
  </si>
  <si>
    <t>JEFFREY PELLEGRINI</t>
  </si>
  <si>
    <t>BRIAN PISOR</t>
  </si>
  <si>
    <t>DEBRA PROTZMAN</t>
  </si>
  <si>
    <t>DENNIS RETTIG</t>
  </si>
  <si>
    <t>KENNETH ROBINSON</t>
  </si>
  <si>
    <t>DANIEL ROTHRAUFF</t>
  </si>
  <si>
    <t>ABRAHAM SANO</t>
  </si>
  <si>
    <t>MAUDRESS SCHAUB</t>
  </si>
  <si>
    <t>ELAINE SCHEERBAUM</t>
  </si>
  <si>
    <t>GLORIA SCHNUR</t>
  </si>
  <si>
    <t>FELIX SCIULLO</t>
  </si>
  <si>
    <t>THOMAS SELLERS</t>
  </si>
  <si>
    <t>BRUCE SHAFFER</t>
  </si>
  <si>
    <t>KENNETH SMARETSKY</t>
  </si>
  <si>
    <t>JOHN SULIA</t>
  </si>
  <si>
    <t>ELIZABETH SYCHAK</t>
  </si>
  <si>
    <t>ROY THOMAS</t>
  </si>
  <si>
    <t>JAMES WEIDO</t>
  </si>
  <si>
    <t>BRUCE WICKLINE</t>
  </si>
  <si>
    <t>DAVID WILLIAMS</t>
  </si>
  <si>
    <t>NANCY WILSON</t>
  </si>
  <si>
    <t>PAUL WITTMER</t>
  </si>
  <si>
    <t>CATHY WURMB</t>
  </si>
  <si>
    <t>TERESA YAROSCHAK</t>
  </si>
  <si>
    <t>CHARLES DONALDSON</t>
  </si>
  <si>
    <t>H GATES</t>
  </si>
  <si>
    <t>DANIEL LANCASTER</t>
  </si>
  <si>
    <t>SUSAN LUIPERSBECK</t>
  </si>
  <si>
    <t>JUANITA PRUITT</t>
  </si>
  <si>
    <t>GUS SPECTOR</t>
  </si>
  <si>
    <t>JOAN ATTRIDGE</t>
  </si>
  <si>
    <t>ROBIN DIMATTEI</t>
  </si>
  <si>
    <t>CAROL LU</t>
  </si>
  <si>
    <t>PETER RYAN</t>
  </si>
  <si>
    <t>LORI SACKETT</t>
  </si>
  <si>
    <t>GHASSEM SHAHROOZ</t>
  </si>
  <si>
    <t>Main Line Benefits</t>
  </si>
  <si>
    <t>17425766old</t>
  </si>
  <si>
    <t>4VU7FW1GK528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</si>
</sst>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4" fillId="0" borderId="0" xfId="0" applyFont="1"/>
    <xf numFmtId="14" fontId="14" fillId="0" borderId="0" xfId="0" applyNumberFormat="1" applyFont="1"/>
    <xf numFmtId="0" fontId="0" fillId="33" borderId="0" xfId="0" applyFill="1"/>
    <xf numFmtId="14" fontId="0" fillId="33" borderId="0" xfId="0" applyNumberFormat="1" applyFill="1"/>
    <xf numFmtId="14" fontId="0" fillId="34" borderId="0" xfId="0" applyNumberForma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AB5B7-8B62-4AA9-9556-7A892C173B8C}">
  <dimension ref="A1:X820"/>
  <sheetViews>
    <sheetView topLeftCell="A154" workbookViewId="0">
      <selection activeCell="B180" sqref="A1:X820"/>
    </sheetView>
  </sheetViews>
  <sheetFormatPr defaultRowHeight="15" x14ac:dyDescent="0.25"/>
  <cols>
    <col min="1" max="1" width="13.5703125" bestFit="1" customWidth="1"/>
    <col min="2" max="2" width="17.28515625" bestFit="1" customWidth="1"/>
    <col min="3" max="3" width="15.85546875" bestFit="1" customWidth="1"/>
    <col min="4" max="4" width="17.42578125" bestFit="1" customWidth="1"/>
    <col min="5" max="5" width="56.42578125" bestFit="1" customWidth="1"/>
    <col min="6" max="6" width="13.7109375" bestFit="1" customWidth="1"/>
    <col min="7" max="7" width="20.28515625" bestFit="1" customWidth="1"/>
    <col min="8" max="8" width="7.85546875" bestFit="1" customWidth="1"/>
    <col min="9" max="9" width="8" bestFit="1" customWidth="1"/>
    <col min="10" max="10" width="10" bestFit="1" customWidth="1"/>
    <col min="11" max="11" width="24.7109375" bestFit="1" customWidth="1"/>
    <col min="12" max="12" width="15.7109375" bestFit="1" customWidth="1"/>
    <col min="13" max="13" width="13.5703125" bestFit="1" customWidth="1"/>
    <col min="14" max="14" width="10.140625" bestFit="1" customWidth="1"/>
    <col min="15" max="15" width="18" bestFit="1" customWidth="1"/>
    <col min="16" max="16" width="18.7109375" bestFit="1" customWidth="1"/>
    <col min="17" max="17" width="24.28515625" bestFit="1" customWidth="1"/>
    <col min="18" max="18" width="8.7109375" bestFit="1" customWidth="1"/>
    <col min="19" max="19" width="11.5703125" bestFit="1" customWidth="1"/>
    <col min="20" max="20" width="21" bestFit="1" customWidth="1"/>
    <col min="21" max="21" width="14.140625" bestFit="1" customWidth="1"/>
    <col min="22" max="22" width="9.42578125" bestFit="1" customWidth="1"/>
    <col min="23" max="23" width="14.140625" bestFit="1" customWidth="1"/>
    <col min="24" max="24" width="9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45888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s="1">
        <v>45870</v>
      </c>
      <c r="M2" s="1">
        <v>45505</v>
      </c>
      <c r="O2">
        <v>17528908</v>
      </c>
      <c r="P2" t="s">
        <v>32</v>
      </c>
      <c r="Q2" t="s">
        <v>33</v>
      </c>
      <c r="R2">
        <v>8192</v>
      </c>
      <c r="S2" t="s">
        <v>34</v>
      </c>
      <c r="T2" t="s">
        <v>35</v>
      </c>
      <c r="U2">
        <v>33.17</v>
      </c>
      <c r="V2" t="s">
        <v>36</v>
      </c>
      <c r="W2" s="1">
        <v>45495</v>
      </c>
      <c r="X2">
        <v>2025</v>
      </c>
    </row>
    <row r="3" spans="1:24" x14ac:dyDescent="0.25">
      <c r="A3" s="1">
        <v>45888</v>
      </c>
      <c r="B3" t="s">
        <v>37</v>
      </c>
      <c r="C3" t="s">
        <v>38</v>
      </c>
      <c r="E3" t="s">
        <v>39</v>
      </c>
      <c r="F3" t="s">
        <v>27</v>
      </c>
      <c r="G3" t="s">
        <v>28</v>
      </c>
      <c r="H3" t="s">
        <v>29</v>
      </c>
      <c r="I3" t="s">
        <v>40</v>
      </c>
      <c r="J3" t="s">
        <v>41</v>
      </c>
      <c r="L3" s="1">
        <v>45870</v>
      </c>
      <c r="M3" s="1">
        <v>44044</v>
      </c>
      <c r="O3">
        <v>19606009</v>
      </c>
      <c r="P3" t="s">
        <v>32</v>
      </c>
      <c r="Q3" t="s">
        <v>42</v>
      </c>
      <c r="R3">
        <v>8192</v>
      </c>
      <c r="S3" t="s">
        <v>34</v>
      </c>
      <c r="T3" t="s">
        <v>35</v>
      </c>
      <c r="U3">
        <v>1.25</v>
      </c>
      <c r="V3" t="s">
        <v>36</v>
      </c>
      <c r="W3" s="1">
        <v>45870</v>
      </c>
      <c r="X3">
        <v>2025</v>
      </c>
    </row>
    <row r="4" spans="1:24" x14ac:dyDescent="0.25">
      <c r="A4" s="1">
        <v>45888</v>
      </c>
      <c r="B4" t="s">
        <v>43</v>
      </c>
      <c r="C4" t="s">
        <v>44</v>
      </c>
      <c r="E4" t="s">
        <v>45</v>
      </c>
      <c r="F4" t="s">
        <v>27</v>
      </c>
      <c r="G4" t="s">
        <v>28</v>
      </c>
      <c r="H4" t="s">
        <v>29</v>
      </c>
      <c r="I4" t="s">
        <v>40</v>
      </c>
      <c r="J4" t="s">
        <v>46</v>
      </c>
      <c r="L4" s="1">
        <v>45870</v>
      </c>
      <c r="M4" s="1">
        <v>43922</v>
      </c>
      <c r="O4">
        <v>19606009</v>
      </c>
      <c r="P4" t="s">
        <v>32</v>
      </c>
      <c r="Q4" t="s">
        <v>42</v>
      </c>
      <c r="R4">
        <v>8192</v>
      </c>
      <c r="S4" t="s">
        <v>34</v>
      </c>
      <c r="T4" t="s">
        <v>35</v>
      </c>
      <c r="U4">
        <v>1.25</v>
      </c>
      <c r="V4" t="s">
        <v>36</v>
      </c>
      <c r="W4" s="1">
        <v>45870</v>
      </c>
      <c r="X4">
        <v>2025</v>
      </c>
    </row>
    <row r="5" spans="1:24" x14ac:dyDescent="0.25">
      <c r="A5" s="1">
        <v>45888</v>
      </c>
      <c r="B5" t="s">
        <v>47</v>
      </c>
      <c r="C5" t="s">
        <v>48</v>
      </c>
      <c r="E5" t="s">
        <v>49</v>
      </c>
      <c r="F5" t="s">
        <v>27</v>
      </c>
      <c r="G5" t="s">
        <v>28</v>
      </c>
      <c r="H5" t="s">
        <v>29</v>
      </c>
      <c r="I5" t="s">
        <v>30</v>
      </c>
      <c r="J5" t="s">
        <v>50</v>
      </c>
      <c r="L5" s="1">
        <v>45870</v>
      </c>
      <c r="M5" s="1">
        <v>45292</v>
      </c>
      <c r="O5">
        <v>17528908</v>
      </c>
      <c r="P5" t="s">
        <v>32</v>
      </c>
      <c r="Q5" t="s">
        <v>33</v>
      </c>
      <c r="R5">
        <v>8192</v>
      </c>
      <c r="S5" t="s">
        <v>51</v>
      </c>
      <c r="T5" t="s">
        <v>35</v>
      </c>
      <c r="U5">
        <v>31.92</v>
      </c>
      <c r="V5" t="s">
        <v>36</v>
      </c>
      <c r="W5" s="1">
        <v>45281</v>
      </c>
      <c r="X5">
        <v>2025</v>
      </c>
    </row>
    <row r="6" spans="1:24" x14ac:dyDescent="0.25">
      <c r="A6" s="1">
        <v>45888</v>
      </c>
      <c r="B6" t="s">
        <v>52</v>
      </c>
      <c r="C6" t="s">
        <v>53</v>
      </c>
      <c r="E6" t="s">
        <v>54</v>
      </c>
      <c r="F6" t="s">
        <v>27</v>
      </c>
      <c r="G6" t="s">
        <v>28</v>
      </c>
      <c r="H6" t="s">
        <v>29</v>
      </c>
      <c r="I6" t="s">
        <v>30</v>
      </c>
      <c r="J6" t="s">
        <v>55</v>
      </c>
      <c r="L6" s="1">
        <v>45870</v>
      </c>
      <c r="M6" s="1">
        <v>45292</v>
      </c>
      <c r="O6">
        <v>17425766</v>
      </c>
      <c r="P6" t="s">
        <v>32</v>
      </c>
      <c r="Q6" t="s">
        <v>56</v>
      </c>
      <c r="R6">
        <v>8192</v>
      </c>
      <c r="S6" t="s">
        <v>51</v>
      </c>
      <c r="T6" t="s">
        <v>35</v>
      </c>
      <c r="U6">
        <v>31.92</v>
      </c>
      <c r="V6" t="s">
        <v>36</v>
      </c>
      <c r="W6" s="1">
        <v>45222</v>
      </c>
      <c r="X6">
        <v>2025</v>
      </c>
    </row>
    <row r="7" spans="1:24" x14ac:dyDescent="0.25">
      <c r="A7" s="1">
        <v>45888</v>
      </c>
      <c r="B7" t="s">
        <v>57</v>
      </c>
      <c r="C7" t="s">
        <v>58</v>
      </c>
      <c r="E7" t="s">
        <v>59</v>
      </c>
      <c r="F7" t="s">
        <v>60</v>
      </c>
      <c r="G7" t="s">
        <v>28</v>
      </c>
      <c r="H7" t="s">
        <v>29</v>
      </c>
      <c r="I7" t="s">
        <v>61</v>
      </c>
      <c r="J7" t="s">
        <v>62</v>
      </c>
      <c r="L7" s="1">
        <v>45870</v>
      </c>
      <c r="M7" s="1">
        <v>45505</v>
      </c>
      <c r="O7">
        <v>8307933</v>
      </c>
      <c r="P7" t="s">
        <v>32</v>
      </c>
      <c r="Q7" t="s">
        <v>63</v>
      </c>
      <c r="R7">
        <v>8192</v>
      </c>
      <c r="S7" t="s">
        <v>34</v>
      </c>
      <c r="T7" t="s">
        <v>35</v>
      </c>
      <c r="U7">
        <v>29.83</v>
      </c>
      <c r="V7" t="s">
        <v>36</v>
      </c>
      <c r="W7" s="1">
        <v>45442</v>
      </c>
      <c r="X7">
        <v>2025</v>
      </c>
    </row>
    <row r="8" spans="1:24" x14ac:dyDescent="0.25">
      <c r="A8" s="1">
        <v>45888</v>
      </c>
      <c r="B8" t="s">
        <v>64</v>
      </c>
      <c r="C8" t="s">
        <v>65</v>
      </c>
      <c r="E8" t="s">
        <v>66</v>
      </c>
      <c r="F8" t="s">
        <v>27</v>
      </c>
      <c r="G8" t="s">
        <v>28</v>
      </c>
      <c r="H8" t="s">
        <v>29</v>
      </c>
      <c r="I8" t="s">
        <v>30</v>
      </c>
      <c r="J8" t="s">
        <v>46</v>
      </c>
      <c r="L8" s="1">
        <v>45870</v>
      </c>
      <c r="M8" s="1">
        <v>44562</v>
      </c>
      <c r="O8">
        <v>19606009</v>
      </c>
      <c r="P8" t="s">
        <v>32</v>
      </c>
      <c r="Q8" t="s">
        <v>42</v>
      </c>
      <c r="R8">
        <v>8192</v>
      </c>
      <c r="S8" t="s">
        <v>34</v>
      </c>
      <c r="T8" t="s">
        <v>35</v>
      </c>
      <c r="U8">
        <v>1.25</v>
      </c>
      <c r="V8" t="s">
        <v>36</v>
      </c>
      <c r="W8" s="1">
        <v>45839</v>
      </c>
      <c r="X8">
        <v>2025</v>
      </c>
    </row>
    <row r="9" spans="1:24" x14ac:dyDescent="0.25">
      <c r="A9" s="1">
        <v>45888</v>
      </c>
      <c r="B9" t="s">
        <v>67</v>
      </c>
      <c r="C9" t="s">
        <v>68</v>
      </c>
      <c r="E9" t="s">
        <v>69</v>
      </c>
      <c r="F9" t="s">
        <v>27</v>
      </c>
      <c r="G9" t="s">
        <v>28</v>
      </c>
      <c r="H9" t="s">
        <v>29</v>
      </c>
      <c r="I9" t="s">
        <v>30</v>
      </c>
      <c r="J9" t="s">
        <v>70</v>
      </c>
      <c r="L9" s="1">
        <v>45870</v>
      </c>
      <c r="M9" s="1">
        <v>45261</v>
      </c>
      <c r="O9">
        <v>17528908</v>
      </c>
      <c r="P9" t="s">
        <v>32</v>
      </c>
      <c r="Q9" t="s">
        <v>33</v>
      </c>
      <c r="R9">
        <v>8192</v>
      </c>
      <c r="S9" t="s">
        <v>51</v>
      </c>
      <c r="T9" t="s">
        <v>35</v>
      </c>
      <c r="U9">
        <v>31.92</v>
      </c>
      <c r="V9" t="s">
        <v>36</v>
      </c>
      <c r="W9" s="1">
        <v>45239</v>
      </c>
      <c r="X9">
        <v>2025</v>
      </c>
    </row>
    <row r="10" spans="1:24" x14ac:dyDescent="0.25">
      <c r="A10" s="1">
        <v>45888</v>
      </c>
      <c r="B10" t="s">
        <v>71</v>
      </c>
      <c r="C10" t="s">
        <v>72</v>
      </c>
      <c r="E10" t="s">
        <v>73</v>
      </c>
      <c r="F10" t="s">
        <v>74</v>
      </c>
      <c r="G10" t="s">
        <v>28</v>
      </c>
      <c r="H10" t="s">
        <v>29</v>
      </c>
      <c r="I10" t="s">
        <v>61</v>
      </c>
      <c r="J10" t="s">
        <v>75</v>
      </c>
      <c r="L10" s="1">
        <v>45870</v>
      </c>
      <c r="M10" s="1">
        <v>45505</v>
      </c>
      <c r="O10">
        <v>19645587</v>
      </c>
      <c r="P10" t="s">
        <v>32</v>
      </c>
      <c r="Q10" t="s">
        <v>76</v>
      </c>
      <c r="R10">
        <v>8192</v>
      </c>
      <c r="S10" t="s">
        <v>34</v>
      </c>
      <c r="T10" t="s">
        <v>35</v>
      </c>
      <c r="U10">
        <v>29.83</v>
      </c>
      <c r="V10" t="s">
        <v>36</v>
      </c>
      <c r="W10" s="1">
        <v>45481</v>
      </c>
      <c r="X10">
        <v>2025</v>
      </c>
    </row>
    <row r="11" spans="1:24" x14ac:dyDescent="0.25">
      <c r="A11" s="1">
        <v>45888</v>
      </c>
      <c r="B11" t="s">
        <v>77</v>
      </c>
      <c r="C11" t="s">
        <v>78</v>
      </c>
      <c r="E11" t="s">
        <v>79</v>
      </c>
      <c r="F11" t="s">
        <v>74</v>
      </c>
      <c r="G11" t="s">
        <v>28</v>
      </c>
      <c r="H11" t="s">
        <v>29</v>
      </c>
      <c r="I11" t="s">
        <v>61</v>
      </c>
      <c r="J11" t="s">
        <v>75</v>
      </c>
      <c r="L11" s="1">
        <v>45870</v>
      </c>
      <c r="M11" s="1">
        <v>45505</v>
      </c>
      <c r="O11">
        <v>19645587</v>
      </c>
      <c r="P11" t="s">
        <v>32</v>
      </c>
      <c r="Q11" t="s">
        <v>76</v>
      </c>
      <c r="R11">
        <v>8192</v>
      </c>
      <c r="S11" t="s">
        <v>34</v>
      </c>
      <c r="T11" t="s">
        <v>35</v>
      </c>
      <c r="U11">
        <v>29.83</v>
      </c>
      <c r="V11" t="s">
        <v>36</v>
      </c>
      <c r="W11" s="1">
        <v>45490</v>
      </c>
      <c r="X11">
        <v>2025</v>
      </c>
    </row>
    <row r="12" spans="1:24" x14ac:dyDescent="0.25">
      <c r="A12" s="1">
        <v>45888</v>
      </c>
      <c r="B12" t="s">
        <v>80</v>
      </c>
      <c r="C12" t="s">
        <v>81</v>
      </c>
      <c r="E12" t="s">
        <v>82</v>
      </c>
      <c r="F12" t="s">
        <v>27</v>
      </c>
      <c r="G12" t="s">
        <v>28</v>
      </c>
      <c r="H12" t="s">
        <v>29</v>
      </c>
      <c r="I12" t="s">
        <v>30</v>
      </c>
      <c r="J12" t="s">
        <v>31</v>
      </c>
      <c r="L12" s="1">
        <v>45870</v>
      </c>
      <c r="M12" s="1">
        <v>45292</v>
      </c>
      <c r="O12">
        <v>17528908</v>
      </c>
      <c r="P12" t="s">
        <v>32</v>
      </c>
      <c r="Q12" t="s">
        <v>33</v>
      </c>
      <c r="R12">
        <v>8192</v>
      </c>
      <c r="S12" t="s">
        <v>51</v>
      </c>
      <c r="T12" t="s">
        <v>35</v>
      </c>
      <c r="U12">
        <v>31.92</v>
      </c>
      <c r="V12" t="s">
        <v>36</v>
      </c>
      <c r="W12" s="1">
        <v>45267</v>
      </c>
      <c r="X12">
        <v>2025</v>
      </c>
    </row>
    <row r="13" spans="1:24" x14ac:dyDescent="0.25">
      <c r="A13" s="1">
        <v>45888</v>
      </c>
      <c r="B13" t="s">
        <v>83</v>
      </c>
      <c r="C13" t="s">
        <v>84</v>
      </c>
      <c r="E13" t="s">
        <v>85</v>
      </c>
      <c r="F13" t="s">
        <v>27</v>
      </c>
      <c r="G13" t="s">
        <v>28</v>
      </c>
      <c r="H13" t="s">
        <v>29</v>
      </c>
      <c r="I13" t="s">
        <v>30</v>
      </c>
      <c r="J13" t="s">
        <v>46</v>
      </c>
      <c r="L13" s="1">
        <v>45870</v>
      </c>
      <c r="M13" s="1">
        <v>44562</v>
      </c>
      <c r="O13">
        <v>19606009</v>
      </c>
      <c r="P13" t="s">
        <v>32</v>
      </c>
      <c r="Q13" t="s">
        <v>42</v>
      </c>
      <c r="R13">
        <v>8192</v>
      </c>
      <c r="S13" t="s">
        <v>34</v>
      </c>
      <c r="T13" t="s">
        <v>35</v>
      </c>
      <c r="U13">
        <v>1.25</v>
      </c>
      <c r="V13" t="s">
        <v>36</v>
      </c>
      <c r="W13" s="1">
        <v>45870</v>
      </c>
      <c r="X13">
        <v>2025</v>
      </c>
    </row>
    <row r="14" spans="1:24" x14ac:dyDescent="0.25">
      <c r="A14" s="1">
        <v>45888</v>
      </c>
      <c r="B14" t="s">
        <v>86</v>
      </c>
      <c r="C14" t="s">
        <v>87</v>
      </c>
      <c r="E14" t="s">
        <v>88</v>
      </c>
      <c r="F14" t="s">
        <v>89</v>
      </c>
      <c r="G14" t="s">
        <v>28</v>
      </c>
      <c r="H14" t="s">
        <v>29</v>
      </c>
      <c r="I14" t="s">
        <v>90</v>
      </c>
      <c r="J14" t="s">
        <v>91</v>
      </c>
      <c r="L14" s="1">
        <v>45870</v>
      </c>
      <c r="M14" s="1">
        <v>45505</v>
      </c>
      <c r="O14">
        <v>8307933</v>
      </c>
      <c r="P14" t="s">
        <v>32</v>
      </c>
      <c r="Q14" t="s">
        <v>63</v>
      </c>
      <c r="R14">
        <v>8192</v>
      </c>
      <c r="S14" t="s">
        <v>34</v>
      </c>
      <c r="T14" t="s">
        <v>35</v>
      </c>
      <c r="U14">
        <v>29.83</v>
      </c>
      <c r="V14" t="s">
        <v>36</v>
      </c>
      <c r="W14" s="1">
        <v>45504</v>
      </c>
      <c r="X14">
        <v>2025</v>
      </c>
    </row>
    <row r="15" spans="1:24" x14ac:dyDescent="0.25">
      <c r="A15" s="1">
        <v>45888</v>
      </c>
      <c r="B15" t="s">
        <v>92</v>
      </c>
      <c r="C15" t="s">
        <v>93</v>
      </c>
      <c r="E15" t="s">
        <v>94</v>
      </c>
      <c r="F15" t="s">
        <v>95</v>
      </c>
      <c r="G15" t="s">
        <v>28</v>
      </c>
      <c r="H15" t="s">
        <v>96</v>
      </c>
      <c r="J15" t="s">
        <v>97</v>
      </c>
      <c r="L15" s="1">
        <v>45870</v>
      </c>
      <c r="M15" s="1">
        <v>45658</v>
      </c>
      <c r="O15">
        <v>9079571</v>
      </c>
      <c r="P15" t="s">
        <v>32</v>
      </c>
      <c r="Q15" t="s">
        <v>98</v>
      </c>
      <c r="R15">
        <v>8192</v>
      </c>
      <c r="S15" t="s">
        <v>34</v>
      </c>
      <c r="T15" t="s">
        <v>35</v>
      </c>
      <c r="U15">
        <v>4.33</v>
      </c>
      <c r="V15" t="s">
        <v>36</v>
      </c>
      <c r="W15" s="1">
        <v>45488</v>
      </c>
      <c r="X15">
        <v>2025</v>
      </c>
    </row>
    <row r="16" spans="1:24" x14ac:dyDescent="0.25">
      <c r="A16" s="1">
        <v>45888</v>
      </c>
      <c r="B16" t="s">
        <v>99</v>
      </c>
      <c r="C16" t="s">
        <v>100</v>
      </c>
      <c r="E16" t="s">
        <v>101</v>
      </c>
      <c r="F16" t="s">
        <v>27</v>
      </c>
      <c r="G16" t="s">
        <v>28</v>
      </c>
      <c r="H16" t="s">
        <v>29</v>
      </c>
      <c r="I16" t="s">
        <v>30</v>
      </c>
      <c r="J16" t="s">
        <v>50</v>
      </c>
      <c r="L16" s="1">
        <v>45870</v>
      </c>
      <c r="M16" s="1">
        <v>45658</v>
      </c>
      <c r="O16">
        <v>17886092</v>
      </c>
      <c r="P16" t="s">
        <v>32</v>
      </c>
      <c r="Q16" t="s">
        <v>102</v>
      </c>
      <c r="R16">
        <v>8192</v>
      </c>
      <c r="S16" t="s">
        <v>51</v>
      </c>
      <c r="T16" t="s">
        <v>35</v>
      </c>
      <c r="U16">
        <v>2.5</v>
      </c>
      <c r="V16" t="s">
        <v>36</v>
      </c>
      <c r="W16" s="1">
        <v>45294</v>
      </c>
      <c r="X16">
        <v>2025</v>
      </c>
    </row>
    <row r="17" spans="1:24" x14ac:dyDescent="0.25">
      <c r="A17" s="1">
        <v>45888</v>
      </c>
      <c r="B17" t="s">
        <v>103</v>
      </c>
      <c r="C17" t="s">
        <v>104</v>
      </c>
      <c r="E17" t="s">
        <v>105</v>
      </c>
      <c r="F17" t="s">
        <v>27</v>
      </c>
      <c r="G17" t="s">
        <v>28</v>
      </c>
      <c r="H17" t="s">
        <v>29</v>
      </c>
      <c r="I17" t="s">
        <v>30</v>
      </c>
      <c r="J17" t="s">
        <v>106</v>
      </c>
      <c r="L17" s="1">
        <v>45870</v>
      </c>
      <c r="M17" s="1">
        <v>45047</v>
      </c>
      <c r="O17">
        <v>16509456</v>
      </c>
      <c r="P17" t="s">
        <v>32</v>
      </c>
      <c r="Q17" t="s">
        <v>107</v>
      </c>
      <c r="R17">
        <v>8192</v>
      </c>
      <c r="S17" t="s">
        <v>51</v>
      </c>
      <c r="T17" t="s">
        <v>35</v>
      </c>
      <c r="U17">
        <v>31.92</v>
      </c>
      <c r="V17" t="s">
        <v>36</v>
      </c>
      <c r="W17" s="1">
        <v>45043</v>
      </c>
      <c r="X17">
        <v>2025</v>
      </c>
    </row>
    <row r="18" spans="1:24" x14ac:dyDescent="0.25">
      <c r="A18" s="1">
        <v>45888</v>
      </c>
      <c r="B18" t="s">
        <v>108</v>
      </c>
      <c r="C18" t="s">
        <v>109</v>
      </c>
      <c r="E18" t="s">
        <v>110</v>
      </c>
      <c r="F18" t="s">
        <v>111</v>
      </c>
      <c r="G18" t="s">
        <v>28</v>
      </c>
      <c r="H18" t="s">
        <v>29</v>
      </c>
      <c r="I18" t="s">
        <v>112</v>
      </c>
      <c r="J18" t="s">
        <v>113</v>
      </c>
      <c r="L18" s="1">
        <v>45870</v>
      </c>
      <c r="M18" s="1">
        <v>45323</v>
      </c>
      <c r="O18">
        <v>16378851</v>
      </c>
      <c r="P18" t="s">
        <v>32</v>
      </c>
      <c r="Q18" t="s">
        <v>114</v>
      </c>
      <c r="R18">
        <v>8192</v>
      </c>
      <c r="S18" t="s">
        <v>51</v>
      </c>
      <c r="T18" t="s">
        <v>35</v>
      </c>
      <c r="U18">
        <v>28.58</v>
      </c>
      <c r="V18" t="s">
        <v>36</v>
      </c>
      <c r="W18" s="1">
        <v>45321</v>
      </c>
      <c r="X18">
        <v>2025</v>
      </c>
    </row>
    <row r="19" spans="1:24" x14ac:dyDescent="0.25">
      <c r="A19" s="1">
        <v>45888</v>
      </c>
      <c r="B19" t="s">
        <v>115</v>
      </c>
      <c r="C19" t="s">
        <v>116</v>
      </c>
      <c r="E19" t="s">
        <v>117</v>
      </c>
      <c r="F19" t="s">
        <v>27</v>
      </c>
      <c r="G19" t="s">
        <v>28</v>
      </c>
      <c r="H19" t="s">
        <v>29</v>
      </c>
      <c r="I19" t="s">
        <v>30</v>
      </c>
      <c r="J19" t="s">
        <v>46</v>
      </c>
      <c r="L19" s="1">
        <v>45870</v>
      </c>
      <c r="M19" s="1">
        <v>44562</v>
      </c>
      <c r="O19">
        <v>19606009</v>
      </c>
      <c r="P19" t="s">
        <v>32</v>
      </c>
      <c r="Q19" t="s">
        <v>42</v>
      </c>
      <c r="R19">
        <v>8192</v>
      </c>
      <c r="S19" t="s">
        <v>34</v>
      </c>
      <c r="T19" t="s">
        <v>35</v>
      </c>
      <c r="U19">
        <v>1.25</v>
      </c>
      <c r="V19" t="s">
        <v>36</v>
      </c>
      <c r="W19" s="1">
        <v>45870</v>
      </c>
      <c r="X19">
        <v>2025</v>
      </c>
    </row>
    <row r="20" spans="1:24" x14ac:dyDescent="0.25">
      <c r="A20" s="1">
        <v>45888</v>
      </c>
      <c r="B20" t="s">
        <v>118</v>
      </c>
      <c r="C20" t="s">
        <v>119</v>
      </c>
      <c r="E20" t="s">
        <v>120</v>
      </c>
      <c r="F20" t="s">
        <v>27</v>
      </c>
      <c r="G20" t="s">
        <v>28</v>
      </c>
      <c r="H20" t="s">
        <v>29</v>
      </c>
      <c r="I20" t="s">
        <v>30</v>
      </c>
      <c r="J20" t="s">
        <v>46</v>
      </c>
      <c r="L20" s="1">
        <v>45870</v>
      </c>
      <c r="M20" s="1">
        <v>44562</v>
      </c>
      <c r="O20">
        <v>19606009</v>
      </c>
      <c r="P20" t="s">
        <v>32</v>
      </c>
      <c r="Q20" t="s">
        <v>42</v>
      </c>
      <c r="R20">
        <v>8192</v>
      </c>
      <c r="S20" t="s">
        <v>34</v>
      </c>
      <c r="T20" t="s">
        <v>35</v>
      </c>
      <c r="U20">
        <v>1.25</v>
      </c>
      <c r="V20" t="s">
        <v>36</v>
      </c>
      <c r="W20" s="1">
        <v>45809</v>
      </c>
      <c r="X20">
        <v>2025</v>
      </c>
    </row>
    <row r="21" spans="1:24" x14ac:dyDescent="0.25">
      <c r="A21" s="1">
        <v>45888</v>
      </c>
      <c r="B21" t="s">
        <v>121</v>
      </c>
      <c r="C21" t="s">
        <v>122</v>
      </c>
      <c r="E21" t="s">
        <v>123</v>
      </c>
      <c r="F21" t="s">
        <v>27</v>
      </c>
      <c r="G21" t="s">
        <v>28</v>
      </c>
      <c r="H21" t="s">
        <v>29</v>
      </c>
      <c r="I21" t="s">
        <v>40</v>
      </c>
      <c r="J21" t="s">
        <v>46</v>
      </c>
      <c r="L21" s="1">
        <v>45870</v>
      </c>
      <c r="M21" s="1">
        <v>43891</v>
      </c>
      <c r="O21">
        <v>19606009</v>
      </c>
      <c r="P21" t="s">
        <v>32</v>
      </c>
      <c r="Q21" t="s">
        <v>42</v>
      </c>
      <c r="R21">
        <v>8192</v>
      </c>
      <c r="S21" t="s">
        <v>34</v>
      </c>
      <c r="T21" t="s">
        <v>35</v>
      </c>
      <c r="U21">
        <v>1.25</v>
      </c>
      <c r="V21" t="s">
        <v>36</v>
      </c>
      <c r="W21" s="1">
        <v>45689</v>
      </c>
      <c r="X21">
        <v>2025</v>
      </c>
    </row>
    <row r="22" spans="1:24" x14ac:dyDescent="0.25">
      <c r="A22" s="1">
        <v>45888</v>
      </c>
      <c r="B22" t="s">
        <v>124</v>
      </c>
      <c r="C22" t="s">
        <v>125</v>
      </c>
      <c r="E22" t="s">
        <v>126</v>
      </c>
      <c r="F22" t="s">
        <v>27</v>
      </c>
      <c r="G22" t="s">
        <v>28</v>
      </c>
      <c r="H22" t="s">
        <v>127</v>
      </c>
      <c r="I22" t="s">
        <v>30</v>
      </c>
      <c r="J22" t="s">
        <v>128</v>
      </c>
      <c r="L22" s="1">
        <v>45870</v>
      </c>
      <c r="M22" s="1">
        <v>45292</v>
      </c>
      <c r="O22">
        <v>17528908</v>
      </c>
      <c r="P22" t="s">
        <v>32</v>
      </c>
      <c r="Q22" t="s">
        <v>33</v>
      </c>
      <c r="R22">
        <v>8192</v>
      </c>
      <c r="S22" t="s">
        <v>51</v>
      </c>
      <c r="T22" t="s">
        <v>35</v>
      </c>
      <c r="U22">
        <v>31.92</v>
      </c>
      <c r="V22" t="s">
        <v>36</v>
      </c>
      <c r="W22" s="1">
        <v>45240</v>
      </c>
      <c r="X22">
        <v>2025</v>
      </c>
    </row>
    <row r="23" spans="1:24" x14ac:dyDescent="0.25">
      <c r="A23" s="1">
        <v>45888</v>
      </c>
      <c r="B23" t="s">
        <v>129</v>
      </c>
      <c r="C23" t="s">
        <v>130</v>
      </c>
      <c r="E23" t="s">
        <v>131</v>
      </c>
      <c r="F23" t="s">
        <v>27</v>
      </c>
      <c r="G23" t="s">
        <v>28</v>
      </c>
      <c r="H23" t="s">
        <v>29</v>
      </c>
      <c r="I23" t="s">
        <v>40</v>
      </c>
      <c r="J23" t="s">
        <v>46</v>
      </c>
      <c r="L23" s="1">
        <v>45870</v>
      </c>
      <c r="M23" s="1">
        <v>44317</v>
      </c>
      <c r="O23">
        <v>19606009</v>
      </c>
      <c r="P23" t="s">
        <v>32</v>
      </c>
      <c r="Q23" t="s">
        <v>42</v>
      </c>
      <c r="R23">
        <v>8192</v>
      </c>
      <c r="S23" t="s">
        <v>34</v>
      </c>
      <c r="T23" t="s">
        <v>35</v>
      </c>
      <c r="U23">
        <v>1.25</v>
      </c>
      <c r="V23" t="s">
        <v>36</v>
      </c>
      <c r="W23" s="1">
        <v>45839</v>
      </c>
      <c r="X23">
        <v>2025</v>
      </c>
    </row>
    <row r="24" spans="1:24" x14ac:dyDescent="0.25">
      <c r="A24" s="1">
        <v>45888</v>
      </c>
      <c r="B24" t="s">
        <v>132</v>
      </c>
      <c r="C24" t="s">
        <v>133</v>
      </c>
      <c r="E24" t="s">
        <v>134</v>
      </c>
      <c r="F24" t="s">
        <v>27</v>
      </c>
      <c r="G24" t="s">
        <v>28</v>
      </c>
      <c r="H24" t="s">
        <v>29</v>
      </c>
      <c r="I24" t="s">
        <v>30</v>
      </c>
      <c r="J24" t="s">
        <v>70</v>
      </c>
      <c r="L24" s="1">
        <v>45870</v>
      </c>
      <c r="M24" s="1">
        <v>45292</v>
      </c>
      <c r="O24">
        <v>17886092</v>
      </c>
      <c r="P24" t="s">
        <v>32</v>
      </c>
      <c r="Q24" t="s">
        <v>102</v>
      </c>
      <c r="R24">
        <v>8192</v>
      </c>
      <c r="S24" t="s">
        <v>51</v>
      </c>
      <c r="T24" t="s">
        <v>35</v>
      </c>
      <c r="U24">
        <v>2.5</v>
      </c>
      <c r="V24" t="s">
        <v>36</v>
      </c>
      <c r="W24" s="1">
        <v>45215</v>
      </c>
      <c r="X24">
        <v>2025</v>
      </c>
    </row>
    <row r="25" spans="1:24" x14ac:dyDescent="0.25">
      <c r="A25" s="1">
        <v>45888</v>
      </c>
      <c r="B25" t="s">
        <v>135</v>
      </c>
      <c r="C25" t="s">
        <v>136</v>
      </c>
      <c r="E25" t="s">
        <v>137</v>
      </c>
      <c r="F25" t="s">
        <v>27</v>
      </c>
      <c r="G25" t="s">
        <v>28</v>
      </c>
      <c r="H25" t="s">
        <v>29</v>
      </c>
      <c r="I25" t="s">
        <v>30</v>
      </c>
      <c r="J25" t="s">
        <v>50</v>
      </c>
      <c r="L25" s="1">
        <v>45870</v>
      </c>
      <c r="M25" s="1">
        <v>45566</v>
      </c>
      <c r="O25">
        <v>8971826</v>
      </c>
      <c r="P25" t="s">
        <v>32</v>
      </c>
      <c r="Q25" t="s">
        <v>138</v>
      </c>
      <c r="R25">
        <v>8192</v>
      </c>
      <c r="S25" t="s">
        <v>34</v>
      </c>
      <c r="T25" t="s">
        <v>35</v>
      </c>
      <c r="U25">
        <v>33.17</v>
      </c>
      <c r="V25" t="s">
        <v>36</v>
      </c>
      <c r="W25" s="1">
        <v>45558</v>
      </c>
      <c r="X25">
        <v>2025</v>
      </c>
    </row>
    <row r="26" spans="1:24" x14ac:dyDescent="0.25">
      <c r="A26" s="1">
        <v>45888</v>
      </c>
      <c r="B26" t="s">
        <v>139</v>
      </c>
      <c r="C26" t="s">
        <v>140</v>
      </c>
      <c r="E26" t="s">
        <v>141</v>
      </c>
      <c r="F26" t="s">
        <v>27</v>
      </c>
      <c r="G26" t="s">
        <v>28</v>
      </c>
      <c r="H26" t="s">
        <v>29</v>
      </c>
      <c r="I26" t="s">
        <v>30</v>
      </c>
      <c r="J26" t="s">
        <v>46</v>
      </c>
      <c r="L26" s="1">
        <v>45870</v>
      </c>
      <c r="M26" s="1">
        <v>45292</v>
      </c>
      <c r="O26">
        <v>17886092</v>
      </c>
      <c r="P26" t="s">
        <v>32</v>
      </c>
      <c r="Q26" t="s">
        <v>102</v>
      </c>
      <c r="R26">
        <v>8192</v>
      </c>
      <c r="S26" t="s">
        <v>51</v>
      </c>
      <c r="T26" t="s">
        <v>35</v>
      </c>
      <c r="U26">
        <v>2.5</v>
      </c>
      <c r="V26" t="s">
        <v>36</v>
      </c>
      <c r="W26" s="1">
        <v>45246</v>
      </c>
      <c r="X26">
        <v>2025</v>
      </c>
    </row>
    <row r="27" spans="1:24" x14ac:dyDescent="0.25">
      <c r="A27" s="1">
        <v>45888</v>
      </c>
      <c r="B27" t="s">
        <v>142</v>
      </c>
      <c r="C27" t="s">
        <v>143</v>
      </c>
      <c r="E27" t="s">
        <v>144</v>
      </c>
      <c r="F27" t="s">
        <v>27</v>
      </c>
      <c r="G27" t="s">
        <v>28</v>
      </c>
      <c r="H27" t="s">
        <v>29</v>
      </c>
      <c r="I27" t="s">
        <v>30</v>
      </c>
      <c r="J27" t="s">
        <v>46</v>
      </c>
      <c r="L27" s="1">
        <v>45870</v>
      </c>
      <c r="M27" s="1">
        <v>44927</v>
      </c>
      <c r="O27">
        <v>19606009</v>
      </c>
      <c r="P27" t="s">
        <v>32</v>
      </c>
      <c r="Q27" t="s">
        <v>42</v>
      </c>
      <c r="R27">
        <v>8192</v>
      </c>
      <c r="S27" t="s">
        <v>34</v>
      </c>
      <c r="T27" t="s">
        <v>35</v>
      </c>
      <c r="U27">
        <v>1.25</v>
      </c>
      <c r="V27" t="s">
        <v>36</v>
      </c>
      <c r="W27" s="1">
        <v>45809</v>
      </c>
      <c r="X27">
        <v>2025</v>
      </c>
    </row>
    <row r="28" spans="1:24" x14ac:dyDescent="0.25">
      <c r="A28" s="1">
        <v>45888</v>
      </c>
      <c r="B28" t="s">
        <v>145</v>
      </c>
      <c r="C28" t="s">
        <v>146</v>
      </c>
      <c r="E28" t="s">
        <v>147</v>
      </c>
      <c r="F28" t="s">
        <v>27</v>
      </c>
      <c r="G28" t="s">
        <v>28</v>
      </c>
      <c r="H28" t="s">
        <v>29</v>
      </c>
      <c r="I28" t="s">
        <v>30</v>
      </c>
      <c r="J28" t="s">
        <v>46</v>
      </c>
      <c r="L28" s="1">
        <v>45870</v>
      </c>
      <c r="M28" s="1">
        <v>44927</v>
      </c>
      <c r="O28">
        <v>19606009</v>
      </c>
      <c r="P28" t="s">
        <v>32</v>
      </c>
      <c r="Q28" t="s">
        <v>42</v>
      </c>
      <c r="R28">
        <v>8192</v>
      </c>
      <c r="S28" t="s">
        <v>34</v>
      </c>
      <c r="T28" t="s">
        <v>35</v>
      </c>
      <c r="U28">
        <v>1.25</v>
      </c>
      <c r="V28" t="s">
        <v>36</v>
      </c>
      <c r="W28" s="1">
        <v>45809</v>
      </c>
      <c r="X28">
        <v>2025</v>
      </c>
    </row>
    <row r="29" spans="1:24" x14ac:dyDescent="0.25">
      <c r="A29" s="1">
        <v>45888</v>
      </c>
      <c r="B29" t="s">
        <v>148</v>
      </c>
      <c r="C29" t="s">
        <v>149</v>
      </c>
      <c r="D29" t="s">
        <v>150</v>
      </c>
      <c r="E29" t="s">
        <v>151</v>
      </c>
      <c r="F29" t="s">
        <v>27</v>
      </c>
      <c r="G29" t="s">
        <v>28</v>
      </c>
      <c r="H29" t="s">
        <v>29</v>
      </c>
      <c r="I29" t="s">
        <v>152</v>
      </c>
      <c r="J29" t="s">
        <v>31</v>
      </c>
      <c r="L29" s="1">
        <v>45870</v>
      </c>
      <c r="M29" s="1">
        <v>37987</v>
      </c>
      <c r="O29">
        <v>17886092</v>
      </c>
      <c r="P29" t="s">
        <v>32</v>
      </c>
      <c r="Q29" t="s">
        <v>102</v>
      </c>
      <c r="R29">
        <v>8192</v>
      </c>
      <c r="S29" t="s">
        <v>51</v>
      </c>
      <c r="T29" t="s">
        <v>35</v>
      </c>
      <c r="U29">
        <v>2.5</v>
      </c>
      <c r="V29" t="s">
        <v>36</v>
      </c>
      <c r="W29" s="1">
        <v>45231</v>
      </c>
      <c r="X29">
        <v>2025</v>
      </c>
    </row>
    <row r="30" spans="1:24" x14ac:dyDescent="0.25">
      <c r="A30" s="1">
        <v>45888</v>
      </c>
      <c r="B30" t="s">
        <v>153</v>
      </c>
      <c r="C30" t="s">
        <v>154</v>
      </c>
      <c r="E30" t="s">
        <v>155</v>
      </c>
      <c r="F30" t="s">
        <v>27</v>
      </c>
      <c r="G30" t="s">
        <v>28</v>
      </c>
      <c r="H30" t="s">
        <v>29</v>
      </c>
      <c r="I30" t="s">
        <v>40</v>
      </c>
      <c r="J30" t="s">
        <v>156</v>
      </c>
      <c r="L30" s="1">
        <v>45870</v>
      </c>
      <c r="M30" s="1">
        <v>44531</v>
      </c>
      <c r="O30">
        <v>19606009</v>
      </c>
      <c r="P30" t="s">
        <v>32</v>
      </c>
      <c r="Q30" t="s">
        <v>42</v>
      </c>
      <c r="R30">
        <v>8192</v>
      </c>
      <c r="S30" t="s">
        <v>34</v>
      </c>
      <c r="T30" t="s">
        <v>35</v>
      </c>
      <c r="U30">
        <v>1.25</v>
      </c>
      <c r="V30" t="s">
        <v>36</v>
      </c>
      <c r="W30" s="1">
        <v>45870</v>
      </c>
      <c r="X30">
        <v>2025</v>
      </c>
    </row>
    <row r="31" spans="1:24" x14ac:dyDescent="0.25">
      <c r="A31" s="1">
        <v>45888</v>
      </c>
      <c r="B31" t="s">
        <v>157</v>
      </c>
      <c r="C31" t="s">
        <v>158</v>
      </c>
      <c r="E31" t="s">
        <v>159</v>
      </c>
      <c r="F31" t="s">
        <v>160</v>
      </c>
      <c r="G31" t="s">
        <v>28</v>
      </c>
      <c r="H31" t="s">
        <v>29</v>
      </c>
      <c r="I31" t="s">
        <v>161</v>
      </c>
      <c r="J31" t="s">
        <v>162</v>
      </c>
      <c r="L31" s="1">
        <v>45870</v>
      </c>
      <c r="M31" s="1">
        <v>45627</v>
      </c>
      <c r="O31">
        <v>6634327</v>
      </c>
      <c r="P31" t="s">
        <v>32</v>
      </c>
      <c r="Q31" t="s">
        <v>163</v>
      </c>
      <c r="R31">
        <v>8192</v>
      </c>
      <c r="S31" t="s">
        <v>34</v>
      </c>
      <c r="T31" t="s">
        <v>35</v>
      </c>
      <c r="U31">
        <v>29.83</v>
      </c>
      <c r="V31" t="s">
        <v>36</v>
      </c>
      <c r="W31" s="1">
        <v>45658</v>
      </c>
      <c r="X31">
        <v>2025</v>
      </c>
    </row>
    <row r="32" spans="1:24" x14ac:dyDescent="0.25">
      <c r="A32" s="1">
        <v>45888</v>
      </c>
      <c r="B32" t="s">
        <v>164</v>
      </c>
      <c r="C32" t="s">
        <v>165</v>
      </c>
      <c r="E32" t="s">
        <v>166</v>
      </c>
      <c r="F32" t="s">
        <v>27</v>
      </c>
      <c r="G32" t="s">
        <v>28</v>
      </c>
      <c r="H32" t="s">
        <v>29</v>
      </c>
      <c r="I32" t="s">
        <v>30</v>
      </c>
      <c r="J32" t="s">
        <v>46</v>
      </c>
      <c r="L32" s="1">
        <v>45870</v>
      </c>
      <c r="M32" s="1">
        <v>44986</v>
      </c>
      <c r="O32">
        <v>19606009</v>
      </c>
      <c r="P32" t="s">
        <v>32</v>
      </c>
      <c r="Q32" t="s">
        <v>42</v>
      </c>
      <c r="R32">
        <v>8192</v>
      </c>
      <c r="S32" t="s">
        <v>34</v>
      </c>
      <c r="T32" t="s">
        <v>35</v>
      </c>
      <c r="U32">
        <v>1.25</v>
      </c>
      <c r="V32" t="s">
        <v>36</v>
      </c>
      <c r="W32" s="1">
        <v>45809</v>
      </c>
      <c r="X32">
        <v>2025</v>
      </c>
    </row>
    <row r="33" spans="1:24" x14ac:dyDescent="0.25">
      <c r="A33" s="1">
        <v>45888</v>
      </c>
      <c r="B33" t="s">
        <v>167</v>
      </c>
      <c r="C33" t="s">
        <v>168</v>
      </c>
      <c r="E33" t="s">
        <v>169</v>
      </c>
      <c r="F33" t="s">
        <v>27</v>
      </c>
      <c r="G33" t="s">
        <v>28</v>
      </c>
      <c r="H33" t="s">
        <v>29</v>
      </c>
      <c r="I33" t="s">
        <v>30</v>
      </c>
      <c r="J33" t="s">
        <v>31</v>
      </c>
      <c r="L33" s="1">
        <v>45870</v>
      </c>
      <c r="M33" s="1">
        <v>45474</v>
      </c>
      <c r="O33">
        <v>17528908</v>
      </c>
      <c r="P33" t="s">
        <v>32</v>
      </c>
      <c r="Q33" t="s">
        <v>33</v>
      </c>
      <c r="R33">
        <v>8192</v>
      </c>
      <c r="S33" t="s">
        <v>34</v>
      </c>
      <c r="T33" t="s">
        <v>35</v>
      </c>
      <c r="U33">
        <v>33.17</v>
      </c>
      <c r="V33" t="s">
        <v>36</v>
      </c>
      <c r="W33" s="1">
        <v>45425</v>
      </c>
      <c r="X33">
        <v>2025</v>
      </c>
    </row>
    <row r="34" spans="1:24" x14ac:dyDescent="0.25">
      <c r="A34" s="1">
        <v>45888</v>
      </c>
      <c r="B34" t="s">
        <v>170</v>
      </c>
      <c r="C34" t="s">
        <v>171</v>
      </c>
      <c r="E34" t="s">
        <v>172</v>
      </c>
      <c r="F34" t="s">
        <v>27</v>
      </c>
      <c r="G34" t="s">
        <v>28</v>
      </c>
      <c r="H34" t="s">
        <v>29</v>
      </c>
      <c r="I34" t="s">
        <v>30</v>
      </c>
      <c r="J34" t="s">
        <v>173</v>
      </c>
      <c r="L34" s="1">
        <v>45870</v>
      </c>
      <c r="M34" s="1">
        <v>44986</v>
      </c>
      <c r="O34">
        <v>8307933</v>
      </c>
      <c r="P34" t="s">
        <v>32</v>
      </c>
      <c r="Q34" t="s">
        <v>63</v>
      </c>
      <c r="R34">
        <v>8192</v>
      </c>
      <c r="S34" t="s">
        <v>51</v>
      </c>
      <c r="T34" t="s">
        <v>35</v>
      </c>
      <c r="U34">
        <v>31.92</v>
      </c>
      <c r="V34" t="s">
        <v>36</v>
      </c>
      <c r="W34" s="1">
        <v>44979</v>
      </c>
      <c r="X34">
        <v>2025</v>
      </c>
    </row>
    <row r="35" spans="1:24" x14ac:dyDescent="0.25">
      <c r="A35" s="1">
        <v>45888</v>
      </c>
      <c r="B35" t="s">
        <v>174</v>
      </c>
      <c r="C35" t="s">
        <v>175</v>
      </c>
      <c r="E35" t="s">
        <v>176</v>
      </c>
      <c r="F35" t="s">
        <v>27</v>
      </c>
      <c r="G35" t="s">
        <v>28</v>
      </c>
      <c r="H35" t="s">
        <v>29</v>
      </c>
      <c r="I35" t="s">
        <v>30</v>
      </c>
      <c r="J35" t="s">
        <v>41</v>
      </c>
      <c r="L35" s="1">
        <v>45870</v>
      </c>
      <c r="M35" s="1">
        <v>44562</v>
      </c>
      <c r="O35">
        <v>19606009</v>
      </c>
      <c r="P35" t="s">
        <v>32</v>
      </c>
      <c r="Q35" t="s">
        <v>42</v>
      </c>
      <c r="R35">
        <v>8192</v>
      </c>
      <c r="S35" t="s">
        <v>34</v>
      </c>
      <c r="T35" t="s">
        <v>35</v>
      </c>
      <c r="U35">
        <v>1.25</v>
      </c>
      <c r="V35" t="s">
        <v>36</v>
      </c>
      <c r="W35" s="1">
        <v>45870</v>
      </c>
      <c r="X35">
        <v>2025</v>
      </c>
    </row>
    <row r="36" spans="1:24" x14ac:dyDescent="0.25">
      <c r="A36" s="1">
        <v>45888</v>
      </c>
      <c r="B36" t="s">
        <v>177</v>
      </c>
      <c r="C36" t="s">
        <v>178</v>
      </c>
      <c r="E36" t="s">
        <v>179</v>
      </c>
      <c r="F36" t="s">
        <v>27</v>
      </c>
      <c r="G36" t="s">
        <v>28</v>
      </c>
      <c r="H36" t="s">
        <v>29</v>
      </c>
      <c r="I36" t="s">
        <v>30</v>
      </c>
      <c r="J36" t="s">
        <v>46</v>
      </c>
      <c r="L36" s="1">
        <v>45870</v>
      </c>
      <c r="M36" s="1">
        <v>45017</v>
      </c>
      <c r="O36">
        <v>19606009</v>
      </c>
      <c r="P36" t="s">
        <v>32</v>
      </c>
      <c r="Q36" t="s">
        <v>42</v>
      </c>
      <c r="R36">
        <v>8192</v>
      </c>
      <c r="S36" t="s">
        <v>34</v>
      </c>
      <c r="T36" t="s">
        <v>35</v>
      </c>
      <c r="U36">
        <v>1.25</v>
      </c>
      <c r="V36" t="s">
        <v>36</v>
      </c>
      <c r="W36" s="1">
        <v>45839</v>
      </c>
      <c r="X36">
        <v>2025</v>
      </c>
    </row>
    <row r="37" spans="1:24" x14ac:dyDescent="0.25">
      <c r="A37" s="1">
        <v>45888</v>
      </c>
      <c r="B37" t="s">
        <v>180</v>
      </c>
      <c r="C37" t="s">
        <v>181</v>
      </c>
      <c r="E37" t="s">
        <v>182</v>
      </c>
      <c r="F37" t="s">
        <v>89</v>
      </c>
      <c r="G37" t="s">
        <v>28</v>
      </c>
      <c r="H37" t="s">
        <v>29</v>
      </c>
      <c r="I37" t="s">
        <v>183</v>
      </c>
      <c r="J37" t="s">
        <v>184</v>
      </c>
      <c r="L37" s="1">
        <v>45870</v>
      </c>
      <c r="M37" s="1">
        <v>45261</v>
      </c>
      <c r="O37">
        <v>8307933</v>
      </c>
      <c r="P37" t="s">
        <v>32</v>
      </c>
      <c r="Q37" t="s">
        <v>63</v>
      </c>
      <c r="R37">
        <v>8192</v>
      </c>
      <c r="S37" t="s">
        <v>51</v>
      </c>
      <c r="T37" t="s">
        <v>35</v>
      </c>
      <c r="U37">
        <v>28.58</v>
      </c>
      <c r="V37" t="s">
        <v>36</v>
      </c>
      <c r="W37" s="1">
        <v>45238</v>
      </c>
      <c r="X37">
        <v>2025</v>
      </c>
    </row>
    <row r="38" spans="1:24" x14ac:dyDescent="0.25">
      <c r="A38" s="1">
        <v>45888</v>
      </c>
      <c r="B38" t="s">
        <v>185</v>
      </c>
      <c r="C38" t="s">
        <v>186</v>
      </c>
      <c r="E38" t="s">
        <v>187</v>
      </c>
      <c r="F38" t="s">
        <v>60</v>
      </c>
      <c r="G38" t="s">
        <v>28</v>
      </c>
      <c r="H38" t="s">
        <v>29</v>
      </c>
      <c r="I38" t="s">
        <v>61</v>
      </c>
      <c r="J38" t="s">
        <v>188</v>
      </c>
      <c r="L38" s="1">
        <v>45870</v>
      </c>
      <c r="M38" s="1">
        <v>45261</v>
      </c>
      <c r="O38">
        <v>8307933</v>
      </c>
      <c r="P38" t="s">
        <v>32</v>
      </c>
      <c r="Q38" t="s">
        <v>63</v>
      </c>
      <c r="R38">
        <v>8192</v>
      </c>
      <c r="S38" t="s">
        <v>51</v>
      </c>
      <c r="T38" t="s">
        <v>35</v>
      </c>
      <c r="U38">
        <v>28.58</v>
      </c>
      <c r="V38" t="s">
        <v>36</v>
      </c>
      <c r="W38" s="1">
        <v>45233</v>
      </c>
      <c r="X38">
        <v>2025</v>
      </c>
    </row>
    <row r="39" spans="1:24" x14ac:dyDescent="0.25">
      <c r="A39" s="1">
        <v>45888</v>
      </c>
      <c r="B39" t="s">
        <v>189</v>
      </c>
      <c r="C39" t="s">
        <v>190</v>
      </c>
      <c r="E39" t="s">
        <v>191</v>
      </c>
      <c r="F39" t="s">
        <v>74</v>
      </c>
      <c r="G39" t="s">
        <v>28</v>
      </c>
      <c r="H39" t="s">
        <v>29</v>
      </c>
      <c r="I39" t="s">
        <v>61</v>
      </c>
      <c r="J39" t="s">
        <v>75</v>
      </c>
      <c r="L39" s="1">
        <v>45870</v>
      </c>
      <c r="M39" s="1">
        <v>45505</v>
      </c>
      <c r="O39">
        <v>8307933</v>
      </c>
      <c r="P39" t="s">
        <v>32</v>
      </c>
      <c r="Q39" t="s">
        <v>63</v>
      </c>
      <c r="R39">
        <v>8192</v>
      </c>
      <c r="S39" t="s">
        <v>34</v>
      </c>
      <c r="T39" t="s">
        <v>35</v>
      </c>
      <c r="U39">
        <v>29.83</v>
      </c>
      <c r="V39" t="s">
        <v>36</v>
      </c>
      <c r="W39" s="1">
        <v>45495</v>
      </c>
      <c r="X39">
        <v>2025</v>
      </c>
    </row>
    <row r="40" spans="1:24" x14ac:dyDescent="0.25">
      <c r="A40" s="1">
        <v>45888</v>
      </c>
      <c r="B40" t="s">
        <v>192</v>
      </c>
      <c r="C40" t="s">
        <v>193</v>
      </c>
      <c r="E40" t="s">
        <v>194</v>
      </c>
      <c r="F40" t="s">
        <v>74</v>
      </c>
      <c r="G40" t="s">
        <v>28</v>
      </c>
      <c r="H40" t="s">
        <v>29</v>
      </c>
      <c r="I40" t="s">
        <v>61</v>
      </c>
      <c r="J40" t="s">
        <v>75</v>
      </c>
      <c r="L40" s="1">
        <v>45870</v>
      </c>
      <c r="M40" s="1">
        <v>45536</v>
      </c>
      <c r="O40">
        <v>17301495</v>
      </c>
      <c r="P40" t="s">
        <v>32</v>
      </c>
      <c r="Q40" t="s">
        <v>195</v>
      </c>
      <c r="R40">
        <v>8192</v>
      </c>
      <c r="S40" t="s">
        <v>34</v>
      </c>
      <c r="T40" t="s">
        <v>35</v>
      </c>
      <c r="U40">
        <v>29.83</v>
      </c>
      <c r="V40" t="s">
        <v>36</v>
      </c>
      <c r="W40" s="1">
        <v>45532</v>
      </c>
      <c r="X40">
        <v>2025</v>
      </c>
    </row>
    <row r="41" spans="1:24" x14ac:dyDescent="0.25">
      <c r="A41" s="1">
        <v>45888</v>
      </c>
      <c r="B41" t="s">
        <v>196</v>
      </c>
      <c r="C41" t="s">
        <v>197</v>
      </c>
      <c r="E41" t="s">
        <v>198</v>
      </c>
      <c r="F41" t="s">
        <v>27</v>
      </c>
      <c r="G41" t="s">
        <v>28</v>
      </c>
      <c r="H41" t="s">
        <v>29</v>
      </c>
      <c r="I41" t="s">
        <v>30</v>
      </c>
      <c r="J41" t="s">
        <v>31</v>
      </c>
      <c r="L41" s="1">
        <v>45870</v>
      </c>
      <c r="M41" s="1">
        <v>45444</v>
      </c>
      <c r="O41">
        <v>17528908</v>
      </c>
      <c r="P41" t="s">
        <v>32</v>
      </c>
      <c r="Q41" t="s">
        <v>33</v>
      </c>
      <c r="R41">
        <v>8192</v>
      </c>
      <c r="S41" t="s">
        <v>34</v>
      </c>
      <c r="T41" t="s">
        <v>35</v>
      </c>
      <c r="U41">
        <v>33.17</v>
      </c>
      <c r="V41" t="s">
        <v>36</v>
      </c>
      <c r="W41" s="1">
        <v>45383</v>
      </c>
      <c r="X41">
        <v>2025</v>
      </c>
    </row>
    <row r="42" spans="1:24" x14ac:dyDescent="0.25">
      <c r="A42" s="1">
        <v>45888</v>
      </c>
      <c r="B42" t="s">
        <v>199</v>
      </c>
      <c r="C42" t="s">
        <v>200</v>
      </c>
      <c r="E42" t="s">
        <v>201</v>
      </c>
      <c r="F42" t="s">
        <v>27</v>
      </c>
      <c r="G42" t="s">
        <v>28</v>
      </c>
      <c r="H42" t="s">
        <v>29</v>
      </c>
      <c r="I42" t="s">
        <v>30</v>
      </c>
      <c r="J42" t="s">
        <v>202</v>
      </c>
      <c r="L42" s="1">
        <v>45870</v>
      </c>
      <c r="M42" s="1">
        <v>44986</v>
      </c>
      <c r="O42">
        <v>19606009</v>
      </c>
      <c r="P42" t="s">
        <v>32</v>
      </c>
      <c r="Q42" t="s">
        <v>42</v>
      </c>
      <c r="R42">
        <v>8192</v>
      </c>
      <c r="S42" t="s">
        <v>34</v>
      </c>
      <c r="T42" t="s">
        <v>35</v>
      </c>
      <c r="U42">
        <v>1.25</v>
      </c>
      <c r="V42" t="s">
        <v>36</v>
      </c>
      <c r="W42" s="1">
        <v>45809</v>
      </c>
      <c r="X42">
        <v>2025</v>
      </c>
    </row>
    <row r="43" spans="1:24" x14ac:dyDescent="0.25">
      <c r="A43" s="1">
        <v>45888</v>
      </c>
      <c r="B43" t="s">
        <v>203</v>
      </c>
      <c r="C43" t="s">
        <v>204</v>
      </c>
      <c r="E43" t="s">
        <v>205</v>
      </c>
      <c r="F43" t="s">
        <v>27</v>
      </c>
      <c r="G43" t="s">
        <v>28</v>
      </c>
      <c r="H43" t="s">
        <v>29</v>
      </c>
      <c r="I43" t="s">
        <v>30</v>
      </c>
      <c r="J43" t="s">
        <v>46</v>
      </c>
      <c r="L43" s="1">
        <v>45870</v>
      </c>
      <c r="M43" s="1">
        <v>45292</v>
      </c>
      <c r="O43">
        <v>17886092</v>
      </c>
      <c r="P43" t="s">
        <v>32</v>
      </c>
      <c r="Q43" t="s">
        <v>102</v>
      </c>
      <c r="R43">
        <v>8192</v>
      </c>
      <c r="S43" t="s">
        <v>51</v>
      </c>
      <c r="T43" t="s">
        <v>35</v>
      </c>
      <c r="U43">
        <v>2.5</v>
      </c>
      <c r="V43" t="s">
        <v>36</v>
      </c>
      <c r="W43" s="1">
        <v>45268</v>
      </c>
      <c r="X43">
        <v>2025</v>
      </c>
    </row>
    <row r="44" spans="1:24" x14ac:dyDescent="0.25">
      <c r="A44" s="1">
        <v>45888</v>
      </c>
      <c r="B44" t="s">
        <v>206</v>
      </c>
      <c r="C44" t="s">
        <v>207</v>
      </c>
      <c r="E44" t="s">
        <v>208</v>
      </c>
      <c r="F44" t="s">
        <v>27</v>
      </c>
      <c r="G44" t="s">
        <v>28</v>
      </c>
      <c r="H44" t="s">
        <v>29</v>
      </c>
      <c r="I44" t="s">
        <v>30</v>
      </c>
      <c r="J44" t="s">
        <v>46</v>
      </c>
      <c r="L44" s="1">
        <v>45870</v>
      </c>
      <c r="M44" s="1">
        <v>45292</v>
      </c>
      <c r="O44">
        <v>17886092</v>
      </c>
      <c r="P44" t="s">
        <v>32</v>
      </c>
      <c r="Q44" t="s">
        <v>102</v>
      </c>
      <c r="R44">
        <v>8192</v>
      </c>
      <c r="S44" t="s">
        <v>51</v>
      </c>
      <c r="T44" t="s">
        <v>35</v>
      </c>
      <c r="U44">
        <v>2.5</v>
      </c>
      <c r="V44" t="s">
        <v>36</v>
      </c>
      <c r="W44" s="1">
        <v>45268</v>
      </c>
      <c r="X44">
        <v>2025</v>
      </c>
    </row>
    <row r="45" spans="1:24" x14ac:dyDescent="0.25">
      <c r="A45" s="1">
        <v>45888</v>
      </c>
      <c r="B45" t="s">
        <v>209</v>
      </c>
      <c r="C45" t="s">
        <v>210</v>
      </c>
      <c r="E45" t="s">
        <v>211</v>
      </c>
      <c r="F45" t="s">
        <v>27</v>
      </c>
      <c r="G45" t="s">
        <v>28</v>
      </c>
      <c r="H45" t="s">
        <v>29</v>
      </c>
      <c r="I45" t="s">
        <v>30</v>
      </c>
      <c r="J45" t="s">
        <v>50</v>
      </c>
      <c r="L45" s="1">
        <v>45870</v>
      </c>
      <c r="M45" s="1">
        <v>45292</v>
      </c>
      <c r="O45">
        <v>17886092</v>
      </c>
      <c r="P45" t="s">
        <v>32</v>
      </c>
      <c r="Q45" t="s">
        <v>102</v>
      </c>
      <c r="R45">
        <v>8192</v>
      </c>
      <c r="S45" t="s">
        <v>51</v>
      </c>
      <c r="T45" t="s">
        <v>35</v>
      </c>
      <c r="U45">
        <v>2.5</v>
      </c>
      <c r="V45" t="s">
        <v>36</v>
      </c>
      <c r="W45" s="1">
        <v>45218</v>
      </c>
      <c r="X45">
        <v>2025</v>
      </c>
    </row>
    <row r="46" spans="1:24" x14ac:dyDescent="0.25">
      <c r="A46" s="1">
        <v>45888</v>
      </c>
      <c r="B46" t="s">
        <v>212</v>
      </c>
      <c r="C46" t="s">
        <v>213</v>
      </c>
      <c r="E46" t="s">
        <v>214</v>
      </c>
      <c r="F46" t="s">
        <v>27</v>
      </c>
      <c r="G46" t="s">
        <v>28</v>
      </c>
      <c r="H46" t="s">
        <v>29</v>
      </c>
      <c r="I46" t="s">
        <v>30</v>
      </c>
      <c r="J46" t="s">
        <v>50</v>
      </c>
      <c r="L46" s="1">
        <v>45870</v>
      </c>
      <c r="M46" s="1">
        <v>45292</v>
      </c>
      <c r="O46">
        <v>17886092</v>
      </c>
      <c r="P46" t="s">
        <v>32</v>
      </c>
      <c r="Q46" t="s">
        <v>102</v>
      </c>
      <c r="R46">
        <v>8192</v>
      </c>
      <c r="S46" t="s">
        <v>51</v>
      </c>
      <c r="T46" t="s">
        <v>35</v>
      </c>
      <c r="U46">
        <v>2.5</v>
      </c>
      <c r="V46" t="s">
        <v>36</v>
      </c>
      <c r="W46" s="1">
        <v>45218</v>
      </c>
      <c r="X46">
        <v>2025</v>
      </c>
    </row>
    <row r="47" spans="1:24" x14ac:dyDescent="0.25">
      <c r="A47" s="1">
        <v>45888</v>
      </c>
      <c r="B47" t="s">
        <v>215</v>
      </c>
      <c r="C47" t="s">
        <v>216</v>
      </c>
      <c r="E47" t="s">
        <v>217</v>
      </c>
      <c r="F47" t="s">
        <v>27</v>
      </c>
      <c r="G47" t="s">
        <v>28</v>
      </c>
      <c r="H47" t="s">
        <v>29</v>
      </c>
      <c r="I47" t="s">
        <v>40</v>
      </c>
      <c r="J47" t="s">
        <v>31</v>
      </c>
      <c r="L47" s="1">
        <v>45870</v>
      </c>
      <c r="M47" s="1">
        <v>44197</v>
      </c>
      <c r="O47">
        <v>19606009</v>
      </c>
      <c r="P47" t="s">
        <v>32</v>
      </c>
      <c r="Q47" t="s">
        <v>42</v>
      </c>
      <c r="R47">
        <v>8192</v>
      </c>
      <c r="S47" t="s">
        <v>34</v>
      </c>
      <c r="T47" t="s">
        <v>35</v>
      </c>
      <c r="U47">
        <v>1.25</v>
      </c>
      <c r="V47" t="s">
        <v>36</v>
      </c>
      <c r="W47" s="1">
        <v>45809</v>
      </c>
      <c r="X47">
        <v>2025</v>
      </c>
    </row>
    <row r="48" spans="1:24" x14ac:dyDescent="0.25">
      <c r="A48" s="1">
        <v>45888</v>
      </c>
      <c r="B48" t="s">
        <v>218</v>
      </c>
      <c r="C48" t="s">
        <v>219</v>
      </c>
      <c r="E48" t="s">
        <v>220</v>
      </c>
      <c r="F48" t="s">
        <v>27</v>
      </c>
      <c r="G48" t="s">
        <v>28</v>
      </c>
      <c r="H48" t="s">
        <v>29</v>
      </c>
      <c r="I48" t="s">
        <v>30</v>
      </c>
      <c r="J48" t="s">
        <v>55</v>
      </c>
      <c r="L48" s="1">
        <v>45870</v>
      </c>
      <c r="M48" s="1">
        <v>45292</v>
      </c>
      <c r="O48">
        <v>15278437</v>
      </c>
      <c r="P48" t="s">
        <v>32</v>
      </c>
      <c r="Q48" t="s">
        <v>221</v>
      </c>
      <c r="R48">
        <v>8192</v>
      </c>
      <c r="S48" t="s">
        <v>51</v>
      </c>
      <c r="T48" t="s">
        <v>35</v>
      </c>
      <c r="U48">
        <v>31.92</v>
      </c>
      <c r="V48" t="s">
        <v>36</v>
      </c>
      <c r="W48" s="1">
        <v>45266</v>
      </c>
      <c r="X48">
        <v>2025</v>
      </c>
    </row>
    <row r="49" spans="1:24" x14ac:dyDescent="0.25">
      <c r="A49" s="1">
        <v>45888</v>
      </c>
      <c r="B49" t="s">
        <v>222</v>
      </c>
      <c r="C49" t="s">
        <v>223</v>
      </c>
      <c r="E49" t="s">
        <v>224</v>
      </c>
      <c r="F49" t="s">
        <v>27</v>
      </c>
      <c r="G49" t="s">
        <v>28</v>
      </c>
      <c r="H49" t="s">
        <v>29</v>
      </c>
      <c r="I49" t="s">
        <v>30</v>
      </c>
      <c r="J49" t="s">
        <v>55</v>
      </c>
      <c r="L49" s="1">
        <v>45870</v>
      </c>
      <c r="M49" s="1">
        <v>45536</v>
      </c>
      <c r="O49">
        <v>15278437</v>
      </c>
      <c r="P49" t="s">
        <v>32</v>
      </c>
      <c r="Q49" t="s">
        <v>221</v>
      </c>
      <c r="R49">
        <v>8192</v>
      </c>
      <c r="S49" t="s">
        <v>34</v>
      </c>
      <c r="T49" t="s">
        <v>35</v>
      </c>
      <c r="U49">
        <v>33.17</v>
      </c>
      <c r="V49" t="s">
        <v>36</v>
      </c>
      <c r="W49" s="1">
        <v>45517</v>
      </c>
      <c r="X49">
        <v>2025</v>
      </c>
    </row>
    <row r="50" spans="1:24" x14ac:dyDescent="0.25">
      <c r="A50" s="1">
        <v>45888</v>
      </c>
      <c r="B50" t="s">
        <v>225</v>
      </c>
      <c r="C50" t="s">
        <v>226</v>
      </c>
      <c r="E50" t="s">
        <v>227</v>
      </c>
      <c r="F50" t="s">
        <v>27</v>
      </c>
      <c r="G50" t="s">
        <v>28</v>
      </c>
      <c r="H50" t="s">
        <v>29</v>
      </c>
      <c r="I50" t="s">
        <v>30</v>
      </c>
      <c r="J50" t="s">
        <v>46</v>
      </c>
      <c r="L50" s="1">
        <v>45870</v>
      </c>
      <c r="M50" s="1">
        <v>45200</v>
      </c>
      <c r="O50">
        <v>17886092</v>
      </c>
      <c r="P50" t="s">
        <v>32</v>
      </c>
      <c r="Q50" t="s">
        <v>102</v>
      </c>
      <c r="R50">
        <v>8192</v>
      </c>
      <c r="S50" t="s">
        <v>51</v>
      </c>
      <c r="T50" t="s">
        <v>35</v>
      </c>
      <c r="U50">
        <v>2.5</v>
      </c>
      <c r="V50" t="s">
        <v>36</v>
      </c>
      <c r="W50" s="1">
        <v>45198</v>
      </c>
      <c r="X50">
        <v>2025</v>
      </c>
    </row>
    <row r="51" spans="1:24" x14ac:dyDescent="0.25">
      <c r="A51" s="1">
        <v>45888</v>
      </c>
      <c r="B51" t="s">
        <v>228</v>
      </c>
      <c r="C51" t="s">
        <v>229</v>
      </c>
      <c r="E51" t="s">
        <v>230</v>
      </c>
      <c r="F51" t="s">
        <v>27</v>
      </c>
      <c r="G51" t="s">
        <v>28</v>
      </c>
      <c r="H51" t="s">
        <v>29</v>
      </c>
      <c r="I51" t="s">
        <v>30</v>
      </c>
      <c r="J51" t="s">
        <v>50</v>
      </c>
      <c r="L51" s="1">
        <v>45870</v>
      </c>
      <c r="M51" s="1">
        <v>45292</v>
      </c>
      <c r="O51">
        <v>17886092</v>
      </c>
      <c r="P51" t="s">
        <v>32</v>
      </c>
      <c r="Q51" t="s">
        <v>102</v>
      </c>
      <c r="R51">
        <v>8192</v>
      </c>
      <c r="S51" t="s">
        <v>51</v>
      </c>
      <c r="T51" t="s">
        <v>35</v>
      </c>
      <c r="U51">
        <v>2.5</v>
      </c>
      <c r="V51" t="s">
        <v>36</v>
      </c>
      <c r="W51" s="1">
        <v>45222</v>
      </c>
      <c r="X51">
        <v>2025</v>
      </c>
    </row>
    <row r="52" spans="1:24" x14ac:dyDescent="0.25">
      <c r="A52" s="1">
        <v>45888</v>
      </c>
      <c r="B52" t="s">
        <v>231</v>
      </c>
      <c r="C52" t="s">
        <v>232</v>
      </c>
      <c r="E52" t="s">
        <v>233</v>
      </c>
      <c r="F52" t="s">
        <v>234</v>
      </c>
      <c r="G52" t="s">
        <v>28</v>
      </c>
      <c r="H52" t="s">
        <v>29</v>
      </c>
      <c r="I52" t="s">
        <v>235</v>
      </c>
      <c r="J52" t="s">
        <v>236</v>
      </c>
      <c r="L52" s="1">
        <v>45870</v>
      </c>
      <c r="M52" s="1">
        <v>45566</v>
      </c>
      <c r="O52">
        <v>8307933</v>
      </c>
      <c r="P52" t="s">
        <v>32</v>
      </c>
      <c r="Q52" t="s">
        <v>63</v>
      </c>
      <c r="R52">
        <v>8192</v>
      </c>
      <c r="S52" t="s">
        <v>34</v>
      </c>
      <c r="T52" t="s">
        <v>35</v>
      </c>
      <c r="U52">
        <v>29.83</v>
      </c>
      <c r="V52" t="s">
        <v>36</v>
      </c>
      <c r="W52" s="1">
        <v>45538</v>
      </c>
      <c r="X52">
        <v>2025</v>
      </c>
    </row>
    <row r="53" spans="1:24" x14ac:dyDescent="0.25">
      <c r="A53" s="1">
        <v>45888</v>
      </c>
      <c r="B53" t="s">
        <v>237</v>
      </c>
      <c r="C53" t="s">
        <v>238</v>
      </c>
      <c r="E53" t="s">
        <v>239</v>
      </c>
      <c r="F53" t="s">
        <v>89</v>
      </c>
      <c r="G53" t="s">
        <v>28</v>
      </c>
      <c r="H53" t="s">
        <v>29</v>
      </c>
      <c r="I53" t="s">
        <v>183</v>
      </c>
      <c r="J53" t="s">
        <v>240</v>
      </c>
      <c r="L53" s="1">
        <v>45870</v>
      </c>
      <c r="M53" s="1">
        <v>45505</v>
      </c>
      <c r="O53">
        <v>8307933</v>
      </c>
      <c r="P53" t="s">
        <v>32</v>
      </c>
      <c r="Q53" t="s">
        <v>63</v>
      </c>
      <c r="R53">
        <v>8192</v>
      </c>
      <c r="S53" t="s">
        <v>34</v>
      </c>
      <c r="T53" t="s">
        <v>35</v>
      </c>
      <c r="U53">
        <v>29.83</v>
      </c>
      <c r="V53" t="s">
        <v>36</v>
      </c>
      <c r="W53" s="1">
        <v>45432</v>
      </c>
      <c r="X53">
        <v>2025</v>
      </c>
    </row>
    <row r="54" spans="1:24" x14ac:dyDescent="0.25">
      <c r="A54" s="1">
        <v>45888</v>
      </c>
      <c r="B54" t="s">
        <v>241</v>
      </c>
      <c r="C54" t="s">
        <v>242</v>
      </c>
      <c r="E54" t="s">
        <v>243</v>
      </c>
      <c r="F54" t="s">
        <v>244</v>
      </c>
      <c r="G54" t="s">
        <v>28</v>
      </c>
      <c r="H54" t="s">
        <v>29</v>
      </c>
      <c r="I54" t="s">
        <v>245</v>
      </c>
      <c r="J54" t="s">
        <v>246</v>
      </c>
      <c r="L54" s="1">
        <v>45870</v>
      </c>
      <c r="M54" s="1">
        <v>45323</v>
      </c>
      <c r="O54">
        <v>14936854</v>
      </c>
      <c r="P54" t="s">
        <v>247</v>
      </c>
      <c r="Q54" t="s">
        <v>248</v>
      </c>
      <c r="R54">
        <v>8192</v>
      </c>
      <c r="S54" t="s">
        <v>51</v>
      </c>
      <c r="T54" t="s">
        <v>35</v>
      </c>
      <c r="U54">
        <v>2.5</v>
      </c>
      <c r="V54" t="s">
        <v>36</v>
      </c>
      <c r="W54" s="1">
        <v>45321</v>
      </c>
      <c r="X54">
        <v>2025</v>
      </c>
    </row>
    <row r="55" spans="1:24" x14ac:dyDescent="0.25">
      <c r="A55" s="1">
        <v>45888</v>
      </c>
      <c r="B55" t="s">
        <v>249</v>
      </c>
      <c r="C55" t="s">
        <v>250</v>
      </c>
      <c r="E55" t="s">
        <v>251</v>
      </c>
      <c r="F55" t="s">
        <v>74</v>
      </c>
      <c r="G55" t="s">
        <v>28</v>
      </c>
      <c r="H55" t="s">
        <v>29</v>
      </c>
      <c r="I55" t="s">
        <v>61</v>
      </c>
      <c r="J55" t="s">
        <v>75</v>
      </c>
      <c r="L55" s="1">
        <v>45870</v>
      </c>
      <c r="M55" s="1">
        <v>45566</v>
      </c>
      <c r="O55">
        <v>9213293</v>
      </c>
      <c r="P55" t="s">
        <v>32</v>
      </c>
      <c r="Q55" t="s">
        <v>252</v>
      </c>
      <c r="R55">
        <v>8192</v>
      </c>
      <c r="S55" t="s">
        <v>34</v>
      </c>
      <c r="T55" t="s">
        <v>35</v>
      </c>
      <c r="U55">
        <v>29.83</v>
      </c>
      <c r="V55" t="s">
        <v>36</v>
      </c>
      <c r="W55" s="1">
        <v>45511</v>
      </c>
      <c r="X55">
        <v>2025</v>
      </c>
    </row>
    <row r="56" spans="1:24" x14ac:dyDescent="0.25">
      <c r="A56" s="1">
        <v>45888</v>
      </c>
      <c r="B56" t="s">
        <v>253</v>
      </c>
      <c r="C56" t="s">
        <v>254</v>
      </c>
      <c r="E56" t="s">
        <v>255</v>
      </c>
      <c r="F56" t="s">
        <v>27</v>
      </c>
      <c r="G56" t="s">
        <v>28</v>
      </c>
      <c r="H56" t="s">
        <v>29</v>
      </c>
      <c r="I56" t="s">
        <v>30</v>
      </c>
      <c r="J56" t="s">
        <v>46</v>
      </c>
      <c r="L56" s="1">
        <v>45870</v>
      </c>
      <c r="M56" s="1">
        <v>44774</v>
      </c>
      <c r="O56">
        <v>19606009</v>
      </c>
      <c r="P56" t="s">
        <v>32</v>
      </c>
      <c r="Q56" t="s">
        <v>42</v>
      </c>
      <c r="R56">
        <v>8192</v>
      </c>
      <c r="S56" t="s">
        <v>34</v>
      </c>
      <c r="T56" t="s">
        <v>35</v>
      </c>
      <c r="U56">
        <v>1.25</v>
      </c>
      <c r="V56" t="s">
        <v>36</v>
      </c>
      <c r="W56" s="1">
        <v>45839</v>
      </c>
      <c r="X56">
        <v>2025</v>
      </c>
    </row>
    <row r="57" spans="1:24" x14ac:dyDescent="0.25">
      <c r="A57" s="1">
        <v>45888</v>
      </c>
      <c r="B57" t="s">
        <v>256</v>
      </c>
      <c r="C57" t="s">
        <v>257</v>
      </c>
      <c r="E57" t="s">
        <v>258</v>
      </c>
      <c r="F57" t="s">
        <v>74</v>
      </c>
      <c r="G57" t="s">
        <v>28</v>
      </c>
      <c r="H57" t="s">
        <v>29</v>
      </c>
      <c r="I57" t="s">
        <v>61</v>
      </c>
      <c r="J57" t="s">
        <v>75</v>
      </c>
      <c r="L57" s="1">
        <v>45870</v>
      </c>
      <c r="M57" s="1">
        <v>45536</v>
      </c>
      <c r="O57">
        <v>7146581</v>
      </c>
      <c r="P57" t="s">
        <v>32</v>
      </c>
      <c r="Q57" t="s">
        <v>259</v>
      </c>
      <c r="R57">
        <v>8192</v>
      </c>
      <c r="S57" t="s">
        <v>34</v>
      </c>
      <c r="T57" t="s">
        <v>35</v>
      </c>
      <c r="U57">
        <v>29.83</v>
      </c>
      <c r="V57" t="s">
        <v>36</v>
      </c>
      <c r="W57" s="1">
        <v>45534</v>
      </c>
      <c r="X57">
        <v>2025</v>
      </c>
    </row>
    <row r="58" spans="1:24" x14ac:dyDescent="0.25">
      <c r="A58" s="1">
        <v>45888</v>
      </c>
      <c r="B58" t="s">
        <v>260</v>
      </c>
      <c r="C58" t="s">
        <v>261</v>
      </c>
      <c r="E58" t="s">
        <v>262</v>
      </c>
      <c r="F58" t="s">
        <v>27</v>
      </c>
      <c r="G58" t="s">
        <v>28</v>
      </c>
      <c r="H58" t="s">
        <v>29</v>
      </c>
      <c r="I58" t="s">
        <v>30</v>
      </c>
      <c r="J58" t="s">
        <v>31</v>
      </c>
      <c r="L58" s="1">
        <v>45870</v>
      </c>
      <c r="M58" s="1">
        <v>45139</v>
      </c>
      <c r="O58">
        <v>17528908</v>
      </c>
      <c r="P58" t="s">
        <v>32</v>
      </c>
      <c r="Q58" t="s">
        <v>33</v>
      </c>
      <c r="R58">
        <v>8192</v>
      </c>
      <c r="S58" t="s">
        <v>51</v>
      </c>
      <c r="T58" t="s">
        <v>35</v>
      </c>
      <c r="U58">
        <v>31.92</v>
      </c>
      <c r="V58" t="s">
        <v>36</v>
      </c>
      <c r="W58" s="1">
        <v>45120</v>
      </c>
      <c r="X58">
        <v>2025</v>
      </c>
    </row>
    <row r="59" spans="1:24" x14ac:dyDescent="0.25">
      <c r="A59" s="1">
        <v>45888</v>
      </c>
      <c r="B59" t="s">
        <v>263</v>
      </c>
      <c r="C59" t="s">
        <v>264</v>
      </c>
      <c r="E59" t="s">
        <v>265</v>
      </c>
      <c r="F59" t="s">
        <v>27</v>
      </c>
      <c r="G59" t="s">
        <v>28</v>
      </c>
      <c r="H59" t="s">
        <v>127</v>
      </c>
      <c r="I59" t="s">
        <v>30</v>
      </c>
      <c r="J59" t="s">
        <v>128</v>
      </c>
      <c r="L59" s="1">
        <v>45870</v>
      </c>
      <c r="M59" s="1">
        <v>44562</v>
      </c>
      <c r="O59">
        <v>19606009</v>
      </c>
      <c r="P59" t="s">
        <v>32</v>
      </c>
      <c r="Q59" t="s">
        <v>42</v>
      </c>
      <c r="R59">
        <v>8192</v>
      </c>
      <c r="S59" t="s">
        <v>34</v>
      </c>
      <c r="T59" t="s">
        <v>35</v>
      </c>
      <c r="U59">
        <v>1.25</v>
      </c>
      <c r="V59" t="s">
        <v>36</v>
      </c>
      <c r="W59" s="1">
        <v>45839</v>
      </c>
      <c r="X59">
        <v>2025</v>
      </c>
    </row>
    <row r="60" spans="1:24" x14ac:dyDescent="0.25">
      <c r="A60" s="1">
        <v>45888</v>
      </c>
      <c r="B60" t="s">
        <v>266</v>
      </c>
      <c r="C60" t="s">
        <v>267</v>
      </c>
      <c r="E60" t="s">
        <v>268</v>
      </c>
      <c r="F60" t="s">
        <v>27</v>
      </c>
      <c r="G60" t="s">
        <v>28</v>
      </c>
      <c r="H60" t="s">
        <v>29</v>
      </c>
      <c r="I60" t="s">
        <v>30</v>
      </c>
      <c r="J60" t="s">
        <v>46</v>
      </c>
      <c r="L60" s="1">
        <v>45870</v>
      </c>
      <c r="M60" s="1">
        <v>45444</v>
      </c>
      <c r="O60">
        <v>17886092</v>
      </c>
      <c r="P60" t="s">
        <v>32</v>
      </c>
      <c r="Q60" t="s">
        <v>102</v>
      </c>
      <c r="R60">
        <v>8192</v>
      </c>
      <c r="S60" t="s">
        <v>34</v>
      </c>
      <c r="T60" t="s">
        <v>35</v>
      </c>
      <c r="U60">
        <v>3.75</v>
      </c>
      <c r="V60" t="s">
        <v>36</v>
      </c>
      <c r="W60" s="1">
        <v>45435</v>
      </c>
      <c r="X60">
        <v>2025</v>
      </c>
    </row>
    <row r="61" spans="1:24" x14ac:dyDescent="0.25">
      <c r="A61" s="1">
        <v>45888</v>
      </c>
      <c r="B61" t="s">
        <v>269</v>
      </c>
      <c r="C61" t="s">
        <v>270</v>
      </c>
      <c r="D61" t="s">
        <v>271</v>
      </c>
      <c r="E61" t="s">
        <v>272</v>
      </c>
      <c r="F61" t="s">
        <v>27</v>
      </c>
      <c r="G61" t="s">
        <v>28</v>
      </c>
      <c r="H61" t="s">
        <v>29</v>
      </c>
      <c r="I61" t="s">
        <v>273</v>
      </c>
      <c r="J61" t="s">
        <v>46</v>
      </c>
      <c r="L61" s="1">
        <v>45870</v>
      </c>
      <c r="M61" s="1">
        <v>43466</v>
      </c>
      <c r="O61">
        <v>19606009</v>
      </c>
      <c r="P61" t="s">
        <v>32</v>
      </c>
      <c r="Q61" t="s">
        <v>42</v>
      </c>
      <c r="R61">
        <v>8192</v>
      </c>
      <c r="S61" t="s">
        <v>34</v>
      </c>
      <c r="T61" t="s">
        <v>35</v>
      </c>
      <c r="U61">
        <v>1.25</v>
      </c>
      <c r="V61" t="s">
        <v>36</v>
      </c>
      <c r="W61" s="1">
        <v>45809</v>
      </c>
      <c r="X61">
        <v>2025</v>
      </c>
    </row>
    <row r="62" spans="1:24" x14ac:dyDescent="0.25">
      <c r="A62" s="1">
        <v>45888</v>
      </c>
      <c r="B62" t="s">
        <v>274</v>
      </c>
      <c r="C62" t="s">
        <v>275</v>
      </c>
      <c r="D62" t="s">
        <v>276</v>
      </c>
      <c r="E62" t="s">
        <v>277</v>
      </c>
      <c r="F62" t="s">
        <v>27</v>
      </c>
      <c r="G62" t="s">
        <v>28</v>
      </c>
      <c r="H62" t="s">
        <v>29</v>
      </c>
      <c r="I62" t="s">
        <v>273</v>
      </c>
      <c r="J62" t="s">
        <v>46</v>
      </c>
      <c r="L62" s="1">
        <v>45870</v>
      </c>
      <c r="M62" s="1">
        <v>43466</v>
      </c>
      <c r="O62">
        <v>19606009</v>
      </c>
      <c r="P62" t="s">
        <v>32</v>
      </c>
      <c r="Q62" t="s">
        <v>42</v>
      </c>
      <c r="R62">
        <v>8192</v>
      </c>
      <c r="S62" t="s">
        <v>34</v>
      </c>
      <c r="T62" t="s">
        <v>35</v>
      </c>
      <c r="U62">
        <v>1.25</v>
      </c>
      <c r="V62" t="s">
        <v>36</v>
      </c>
      <c r="W62" s="1">
        <v>45809</v>
      </c>
      <c r="X62">
        <v>2025</v>
      </c>
    </row>
    <row r="63" spans="1:24" x14ac:dyDescent="0.25">
      <c r="A63" s="1">
        <v>45888</v>
      </c>
      <c r="B63" t="s">
        <v>278</v>
      </c>
      <c r="C63" t="s">
        <v>279</v>
      </c>
      <c r="E63" t="s">
        <v>280</v>
      </c>
      <c r="F63" t="s">
        <v>27</v>
      </c>
      <c r="G63" t="s">
        <v>28</v>
      </c>
      <c r="H63" t="s">
        <v>29</v>
      </c>
      <c r="I63" t="s">
        <v>30</v>
      </c>
      <c r="J63" t="s">
        <v>70</v>
      </c>
      <c r="L63" s="1">
        <v>45870</v>
      </c>
      <c r="M63" s="1">
        <v>45292</v>
      </c>
      <c r="O63">
        <v>17528908</v>
      </c>
      <c r="P63" t="s">
        <v>32</v>
      </c>
      <c r="Q63" t="s">
        <v>33</v>
      </c>
      <c r="R63">
        <v>8192</v>
      </c>
      <c r="S63" t="s">
        <v>51</v>
      </c>
      <c r="T63" t="s">
        <v>35</v>
      </c>
      <c r="U63">
        <v>31.92</v>
      </c>
      <c r="V63" t="s">
        <v>36</v>
      </c>
      <c r="W63" s="1">
        <v>45217</v>
      </c>
      <c r="X63">
        <v>2025</v>
      </c>
    </row>
    <row r="64" spans="1:24" x14ac:dyDescent="0.25">
      <c r="A64" s="1">
        <v>45888</v>
      </c>
      <c r="B64" t="s">
        <v>281</v>
      </c>
      <c r="C64" t="s">
        <v>282</v>
      </c>
      <c r="E64" t="s">
        <v>283</v>
      </c>
      <c r="F64" t="s">
        <v>27</v>
      </c>
      <c r="G64" t="s">
        <v>28</v>
      </c>
      <c r="H64" t="s">
        <v>29</v>
      </c>
      <c r="I64" t="s">
        <v>30</v>
      </c>
      <c r="J64" t="s">
        <v>70</v>
      </c>
      <c r="L64" s="1">
        <v>45870</v>
      </c>
      <c r="M64" s="1">
        <v>45292</v>
      </c>
      <c r="O64">
        <v>17528908</v>
      </c>
      <c r="P64" t="s">
        <v>32</v>
      </c>
      <c r="Q64" t="s">
        <v>33</v>
      </c>
      <c r="R64">
        <v>8192</v>
      </c>
      <c r="S64" t="s">
        <v>51</v>
      </c>
      <c r="T64" t="s">
        <v>35</v>
      </c>
      <c r="U64">
        <v>31.92</v>
      </c>
      <c r="V64" t="s">
        <v>36</v>
      </c>
      <c r="W64" s="1">
        <v>45217</v>
      </c>
      <c r="X64">
        <v>2025</v>
      </c>
    </row>
    <row r="65" spans="1:24" x14ac:dyDescent="0.25">
      <c r="A65" s="1">
        <v>45888</v>
      </c>
      <c r="B65" t="s">
        <v>284</v>
      </c>
      <c r="C65" t="s">
        <v>285</v>
      </c>
      <c r="E65" t="s">
        <v>286</v>
      </c>
      <c r="F65" t="s">
        <v>27</v>
      </c>
      <c r="G65" t="s">
        <v>28</v>
      </c>
      <c r="H65" t="s">
        <v>29</v>
      </c>
      <c r="I65" t="s">
        <v>30</v>
      </c>
      <c r="J65" t="s">
        <v>46</v>
      </c>
      <c r="L65" s="1">
        <v>45870</v>
      </c>
      <c r="M65" s="1">
        <v>45413</v>
      </c>
      <c r="O65">
        <v>17886092</v>
      </c>
      <c r="P65" t="s">
        <v>32</v>
      </c>
      <c r="Q65" t="s">
        <v>102</v>
      </c>
      <c r="R65">
        <v>8192</v>
      </c>
      <c r="S65" t="s">
        <v>34</v>
      </c>
      <c r="T65" t="s">
        <v>35</v>
      </c>
      <c r="U65">
        <v>3.75</v>
      </c>
      <c r="V65" t="s">
        <v>36</v>
      </c>
      <c r="W65" s="1">
        <v>45401</v>
      </c>
      <c r="X65">
        <v>2025</v>
      </c>
    </row>
    <row r="66" spans="1:24" x14ac:dyDescent="0.25">
      <c r="A66" s="1">
        <v>45888</v>
      </c>
      <c r="B66" t="s">
        <v>287</v>
      </c>
      <c r="C66" t="s">
        <v>288</v>
      </c>
      <c r="E66" t="s">
        <v>289</v>
      </c>
      <c r="F66" t="s">
        <v>27</v>
      </c>
      <c r="G66" t="s">
        <v>28</v>
      </c>
      <c r="H66" t="s">
        <v>29</v>
      </c>
      <c r="I66" t="s">
        <v>40</v>
      </c>
      <c r="J66" t="s">
        <v>46</v>
      </c>
      <c r="L66" s="1">
        <v>45870</v>
      </c>
      <c r="M66" s="1">
        <v>43831</v>
      </c>
      <c r="O66">
        <v>19606009</v>
      </c>
      <c r="P66" t="s">
        <v>32</v>
      </c>
      <c r="Q66" t="s">
        <v>42</v>
      </c>
      <c r="R66">
        <v>8192</v>
      </c>
      <c r="S66" t="s">
        <v>34</v>
      </c>
      <c r="T66" t="s">
        <v>35</v>
      </c>
      <c r="U66">
        <v>1.25</v>
      </c>
      <c r="V66" t="s">
        <v>36</v>
      </c>
      <c r="W66" s="1">
        <v>45839</v>
      </c>
      <c r="X66">
        <v>2025</v>
      </c>
    </row>
    <row r="67" spans="1:24" x14ac:dyDescent="0.25">
      <c r="A67" s="1">
        <v>45888</v>
      </c>
      <c r="B67" t="s">
        <v>290</v>
      </c>
      <c r="C67" t="s">
        <v>291</v>
      </c>
      <c r="E67" t="s">
        <v>292</v>
      </c>
      <c r="F67" t="s">
        <v>27</v>
      </c>
      <c r="G67" t="s">
        <v>28</v>
      </c>
      <c r="H67" t="s">
        <v>29</v>
      </c>
      <c r="I67" t="s">
        <v>30</v>
      </c>
      <c r="J67" t="s">
        <v>70</v>
      </c>
      <c r="L67" s="1">
        <v>45870</v>
      </c>
      <c r="M67" s="1">
        <v>45505</v>
      </c>
      <c r="O67">
        <v>18710070</v>
      </c>
      <c r="P67" t="s">
        <v>32</v>
      </c>
      <c r="Q67" t="s">
        <v>293</v>
      </c>
      <c r="R67">
        <v>8192</v>
      </c>
      <c r="S67" t="s">
        <v>34</v>
      </c>
      <c r="T67" t="s">
        <v>35</v>
      </c>
      <c r="U67">
        <v>33.17</v>
      </c>
      <c r="V67" t="s">
        <v>36</v>
      </c>
      <c r="W67" s="1">
        <v>45443</v>
      </c>
      <c r="X67">
        <v>2025</v>
      </c>
    </row>
    <row r="68" spans="1:24" x14ac:dyDescent="0.25">
      <c r="A68" s="1">
        <v>45888</v>
      </c>
      <c r="B68" t="s">
        <v>294</v>
      </c>
      <c r="C68" t="s">
        <v>295</v>
      </c>
      <c r="E68" t="s">
        <v>296</v>
      </c>
      <c r="F68" t="s">
        <v>27</v>
      </c>
      <c r="G68" t="s">
        <v>28</v>
      </c>
      <c r="H68" t="s">
        <v>29</v>
      </c>
      <c r="I68" t="s">
        <v>30</v>
      </c>
      <c r="J68" t="s">
        <v>50</v>
      </c>
      <c r="L68" s="1">
        <v>45870</v>
      </c>
      <c r="M68" s="1">
        <v>45292</v>
      </c>
      <c r="O68">
        <v>17886092</v>
      </c>
      <c r="P68" t="s">
        <v>32</v>
      </c>
      <c r="Q68" t="s">
        <v>102</v>
      </c>
      <c r="R68">
        <v>8192</v>
      </c>
      <c r="S68" t="s">
        <v>51</v>
      </c>
      <c r="T68" t="s">
        <v>35</v>
      </c>
      <c r="U68">
        <v>2.5</v>
      </c>
      <c r="V68" t="s">
        <v>36</v>
      </c>
      <c r="W68" s="1">
        <v>45218</v>
      </c>
      <c r="X68">
        <v>2025</v>
      </c>
    </row>
    <row r="69" spans="1:24" x14ac:dyDescent="0.25">
      <c r="A69" s="1">
        <v>45888</v>
      </c>
      <c r="B69" t="s">
        <v>297</v>
      </c>
      <c r="C69" t="s">
        <v>298</v>
      </c>
      <c r="E69" t="s">
        <v>299</v>
      </c>
      <c r="F69" t="s">
        <v>27</v>
      </c>
      <c r="G69" t="s">
        <v>28</v>
      </c>
      <c r="H69" t="s">
        <v>29</v>
      </c>
      <c r="I69" t="s">
        <v>30</v>
      </c>
      <c r="J69" t="s">
        <v>50</v>
      </c>
      <c r="L69" s="1">
        <v>45870</v>
      </c>
      <c r="M69" s="1">
        <v>45292</v>
      </c>
      <c r="O69">
        <v>17886092</v>
      </c>
      <c r="P69" t="s">
        <v>32</v>
      </c>
      <c r="Q69" t="s">
        <v>102</v>
      </c>
      <c r="R69">
        <v>8192</v>
      </c>
      <c r="S69" t="s">
        <v>51</v>
      </c>
      <c r="T69" t="s">
        <v>35</v>
      </c>
      <c r="U69">
        <v>2.5</v>
      </c>
      <c r="V69" t="s">
        <v>36</v>
      </c>
      <c r="W69" s="1">
        <v>45218</v>
      </c>
      <c r="X69">
        <v>2025</v>
      </c>
    </row>
    <row r="70" spans="1:24" x14ac:dyDescent="0.25">
      <c r="A70" s="1">
        <v>45888</v>
      </c>
      <c r="B70" t="s">
        <v>300</v>
      </c>
      <c r="C70" t="s">
        <v>301</v>
      </c>
      <c r="E70" t="s">
        <v>302</v>
      </c>
      <c r="F70" t="s">
        <v>303</v>
      </c>
      <c r="G70" t="s">
        <v>28</v>
      </c>
      <c r="H70" t="s">
        <v>29</v>
      </c>
      <c r="I70" t="s">
        <v>304</v>
      </c>
      <c r="J70" t="s">
        <v>305</v>
      </c>
      <c r="L70" s="1">
        <v>45870</v>
      </c>
      <c r="M70" s="1">
        <v>45566</v>
      </c>
      <c r="O70">
        <v>8307933</v>
      </c>
      <c r="P70" t="s">
        <v>32</v>
      </c>
      <c r="Q70" t="s">
        <v>63</v>
      </c>
      <c r="R70">
        <v>8192</v>
      </c>
      <c r="S70" t="s">
        <v>34</v>
      </c>
      <c r="T70" t="s">
        <v>35</v>
      </c>
      <c r="U70">
        <v>29.83</v>
      </c>
      <c r="V70" t="s">
        <v>36</v>
      </c>
      <c r="W70" s="1">
        <v>45544</v>
      </c>
      <c r="X70">
        <v>2025</v>
      </c>
    </row>
    <row r="71" spans="1:24" x14ac:dyDescent="0.25">
      <c r="A71" s="1">
        <v>45888</v>
      </c>
      <c r="B71" t="s">
        <v>306</v>
      </c>
      <c r="C71" t="s">
        <v>307</v>
      </c>
      <c r="E71" t="s">
        <v>308</v>
      </c>
      <c r="F71" t="s">
        <v>27</v>
      </c>
      <c r="G71" t="s">
        <v>28</v>
      </c>
      <c r="H71" t="s">
        <v>29</v>
      </c>
      <c r="I71" t="s">
        <v>30</v>
      </c>
      <c r="J71" t="s">
        <v>46</v>
      </c>
      <c r="L71" s="1">
        <v>45870</v>
      </c>
      <c r="M71" s="1">
        <v>44593</v>
      </c>
      <c r="O71">
        <v>19606009</v>
      </c>
      <c r="P71" t="s">
        <v>32</v>
      </c>
      <c r="Q71" t="s">
        <v>42</v>
      </c>
      <c r="R71">
        <v>8192</v>
      </c>
      <c r="S71" t="s">
        <v>34</v>
      </c>
      <c r="T71" t="s">
        <v>35</v>
      </c>
      <c r="U71">
        <v>1.25</v>
      </c>
      <c r="V71" t="s">
        <v>36</v>
      </c>
      <c r="W71" s="1">
        <v>45839</v>
      </c>
      <c r="X71">
        <v>2025</v>
      </c>
    </row>
    <row r="72" spans="1:24" x14ac:dyDescent="0.25">
      <c r="A72" s="1">
        <v>45888</v>
      </c>
      <c r="B72" t="s">
        <v>309</v>
      </c>
      <c r="C72" t="s">
        <v>310</v>
      </c>
      <c r="E72" t="s">
        <v>311</v>
      </c>
      <c r="F72" t="s">
        <v>27</v>
      </c>
      <c r="G72" t="s">
        <v>28</v>
      </c>
      <c r="H72" t="s">
        <v>29</v>
      </c>
      <c r="I72" t="s">
        <v>30</v>
      </c>
      <c r="J72" t="s">
        <v>46</v>
      </c>
      <c r="L72" s="1">
        <v>45870</v>
      </c>
      <c r="M72" s="1">
        <v>45536</v>
      </c>
      <c r="O72">
        <v>17886092</v>
      </c>
      <c r="P72" t="s">
        <v>32</v>
      </c>
      <c r="Q72" t="s">
        <v>102</v>
      </c>
      <c r="R72">
        <v>8192</v>
      </c>
      <c r="S72" t="s">
        <v>34</v>
      </c>
      <c r="T72" t="s">
        <v>35</v>
      </c>
      <c r="U72">
        <v>3.75</v>
      </c>
      <c r="V72" t="s">
        <v>36</v>
      </c>
      <c r="W72" s="1">
        <v>45524</v>
      </c>
      <c r="X72">
        <v>2025</v>
      </c>
    </row>
    <row r="73" spans="1:24" x14ac:dyDescent="0.25">
      <c r="A73" s="1">
        <v>45888</v>
      </c>
      <c r="B73" t="s">
        <v>312</v>
      </c>
      <c r="C73" t="s">
        <v>313</v>
      </c>
      <c r="E73" t="s">
        <v>314</v>
      </c>
      <c r="F73" t="s">
        <v>27</v>
      </c>
      <c r="G73" t="s">
        <v>28</v>
      </c>
      <c r="H73" t="s">
        <v>29</v>
      </c>
      <c r="I73" t="s">
        <v>30</v>
      </c>
      <c r="J73" t="s">
        <v>46</v>
      </c>
      <c r="L73" s="1">
        <v>45870</v>
      </c>
      <c r="M73" s="1">
        <v>44896</v>
      </c>
      <c r="O73">
        <v>19606009</v>
      </c>
      <c r="P73" t="s">
        <v>32</v>
      </c>
      <c r="Q73" t="s">
        <v>42</v>
      </c>
      <c r="R73">
        <v>8192</v>
      </c>
      <c r="S73" t="s">
        <v>34</v>
      </c>
      <c r="T73" t="s">
        <v>35</v>
      </c>
      <c r="U73">
        <v>1.25</v>
      </c>
      <c r="V73" t="s">
        <v>36</v>
      </c>
      <c r="W73" s="1">
        <v>45839</v>
      </c>
      <c r="X73">
        <v>2025</v>
      </c>
    </row>
    <row r="74" spans="1:24" x14ac:dyDescent="0.25">
      <c r="A74" s="1">
        <v>45888</v>
      </c>
      <c r="B74" t="s">
        <v>315</v>
      </c>
      <c r="C74" t="s">
        <v>316</v>
      </c>
      <c r="E74" t="s">
        <v>317</v>
      </c>
      <c r="F74" t="s">
        <v>27</v>
      </c>
      <c r="G74" t="s">
        <v>28</v>
      </c>
      <c r="H74" t="s">
        <v>29</v>
      </c>
      <c r="I74" t="s">
        <v>30</v>
      </c>
      <c r="J74" t="s">
        <v>50</v>
      </c>
      <c r="L74" s="1">
        <v>45870</v>
      </c>
      <c r="M74" s="1">
        <v>45231</v>
      </c>
      <c r="O74">
        <v>17886092</v>
      </c>
      <c r="P74" t="s">
        <v>32</v>
      </c>
      <c r="Q74" t="s">
        <v>102</v>
      </c>
      <c r="R74">
        <v>8192</v>
      </c>
      <c r="S74" t="s">
        <v>51</v>
      </c>
      <c r="T74" t="s">
        <v>35</v>
      </c>
      <c r="U74">
        <v>2.5</v>
      </c>
      <c r="V74" t="s">
        <v>36</v>
      </c>
      <c r="W74" s="1">
        <v>45209</v>
      </c>
      <c r="X74">
        <v>2025</v>
      </c>
    </row>
    <row r="75" spans="1:24" x14ac:dyDescent="0.25">
      <c r="A75" s="1">
        <v>45888</v>
      </c>
      <c r="B75" t="s">
        <v>318</v>
      </c>
      <c r="C75" t="s">
        <v>319</v>
      </c>
      <c r="E75" t="s">
        <v>320</v>
      </c>
      <c r="F75" t="s">
        <v>321</v>
      </c>
      <c r="G75" t="s">
        <v>28</v>
      </c>
      <c r="H75" t="s">
        <v>29</v>
      </c>
      <c r="I75" t="s">
        <v>161</v>
      </c>
      <c r="J75" t="s">
        <v>322</v>
      </c>
      <c r="L75" s="1">
        <v>45870</v>
      </c>
      <c r="M75" s="1">
        <v>45413</v>
      </c>
      <c r="O75">
        <v>8307933</v>
      </c>
      <c r="P75" t="s">
        <v>32</v>
      </c>
      <c r="Q75" t="s">
        <v>63</v>
      </c>
      <c r="R75">
        <v>8192</v>
      </c>
      <c r="S75" t="s">
        <v>34</v>
      </c>
      <c r="T75" t="s">
        <v>35</v>
      </c>
      <c r="U75">
        <v>29.83</v>
      </c>
      <c r="V75" t="s">
        <v>36</v>
      </c>
      <c r="W75" s="1">
        <v>45393</v>
      </c>
      <c r="X75">
        <v>2025</v>
      </c>
    </row>
    <row r="76" spans="1:24" x14ac:dyDescent="0.25">
      <c r="A76" s="1">
        <v>45888</v>
      </c>
      <c r="B76" t="s">
        <v>323</v>
      </c>
      <c r="C76" t="s">
        <v>324</v>
      </c>
      <c r="E76" t="s">
        <v>325</v>
      </c>
      <c r="F76" t="s">
        <v>74</v>
      </c>
      <c r="G76" t="s">
        <v>28</v>
      </c>
      <c r="H76" t="s">
        <v>29</v>
      </c>
      <c r="I76" t="s">
        <v>61</v>
      </c>
      <c r="J76" t="s">
        <v>75</v>
      </c>
      <c r="L76" s="1">
        <v>45870</v>
      </c>
      <c r="M76" s="1">
        <v>45566</v>
      </c>
      <c r="O76">
        <v>2158366</v>
      </c>
      <c r="P76" t="s">
        <v>32</v>
      </c>
      <c r="Q76" t="s">
        <v>326</v>
      </c>
      <c r="R76">
        <v>8192</v>
      </c>
      <c r="S76" t="s">
        <v>34</v>
      </c>
      <c r="T76" t="s">
        <v>35</v>
      </c>
      <c r="U76">
        <v>29.83</v>
      </c>
      <c r="V76" t="s">
        <v>36</v>
      </c>
      <c r="W76" s="1">
        <v>45476</v>
      </c>
      <c r="X76">
        <v>2025</v>
      </c>
    </row>
    <row r="77" spans="1:24" x14ac:dyDescent="0.25">
      <c r="A77" s="1">
        <v>45888</v>
      </c>
      <c r="B77" t="s">
        <v>327</v>
      </c>
      <c r="C77" t="s">
        <v>328</v>
      </c>
      <c r="E77" t="s">
        <v>329</v>
      </c>
      <c r="F77" t="s">
        <v>27</v>
      </c>
      <c r="G77" t="s">
        <v>28</v>
      </c>
      <c r="H77" t="s">
        <v>29</v>
      </c>
      <c r="I77" t="s">
        <v>30</v>
      </c>
      <c r="J77" t="s">
        <v>330</v>
      </c>
      <c r="L77" s="1">
        <v>45870</v>
      </c>
      <c r="M77" s="1">
        <v>45566</v>
      </c>
      <c r="O77">
        <v>18657307</v>
      </c>
      <c r="P77" t="s">
        <v>247</v>
      </c>
      <c r="Q77" t="s">
        <v>331</v>
      </c>
      <c r="R77">
        <v>8192</v>
      </c>
      <c r="S77" t="s">
        <v>34</v>
      </c>
      <c r="T77" t="s">
        <v>35</v>
      </c>
      <c r="U77">
        <v>3.75</v>
      </c>
      <c r="V77" t="s">
        <v>36</v>
      </c>
      <c r="W77" s="1">
        <v>45689</v>
      </c>
      <c r="X77">
        <v>2025</v>
      </c>
    </row>
    <row r="78" spans="1:24" x14ac:dyDescent="0.25">
      <c r="A78" s="1">
        <v>45888</v>
      </c>
      <c r="B78" t="s">
        <v>332</v>
      </c>
      <c r="C78" t="s">
        <v>333</v>
      </c>
      <c r="E78" t="s">
        <v>334</v>
      </c>
      <c r="F78" t="s">
        <v>74</v>
      </c>
      <c r="G78" t="s">
        <v>28</v>
      </c>
      <c r="H78" t="s">
        <v>29</v>
      </c>
      <c r="I78" t="s">
        <v>61</v>
      </c>
      <c r="J78" t="s">
        <v>75</v>
      </c>
      <c r="L78" s="1">
        <v>45870</v>
      </c>
      <c r="M78" s="1">
        <v>45566</v>
      </c>
      <c r="O78">
        <v>21104854</v>
      </c>
      <c r="P78" t="s">
        <v>32</v>
      </c>
      <c r="Q78" t="s">
        <v>335</v>
      </c>
      <c r="R78">
        <v>8192</v>
      </c>
      <c r="S78" t="s">
        <v>34</v>
      </c>
      <c r="T78" t="s">
        <v>35</v>
      </c>
      <c r="U78">
        <v>29.83</v>
      </c>
      <c r="V78" t="s">
        <v>36</v>
      </c>
      <c r="W78" s="1">
        <v>45527</v>
      </c>
      <c r="X78">
        <v>2025</v>
      </c>
    </row>
    <row r="79" spans="1:24" x14ac:dyDescent="0.25">
      <c r="A79" s="1">
        <v>45888</v>
      </c>
      <c r="B79" t="s">
        <v>336</v>
      </c>
      <c r="C79" t="s">
        <v>337</v>
      </c>
      <c r="E79" t="s">
        <v>338</v>
      </c>
      <c r="F79" t="s">
        <v>303</v>
      </c>
      <c r="G79" t="s">
        <v>28</v>
      </c>
      <c r="H79" t="s">
        <v>29</v>
      </c>
      <c r="I79" t="s">
        <v>304</v>
      </c>
      <c r="J79" t="s">
        <v>339</v>
      </c>
      <c r="L79" s="1">
        <v>45870</v>
      </c>
      <c r="M79" s="1">
        <v>45597</v>
      </c>
      <c r="O79">
        <v>17528908</v>
      </c>
      <c r="P79" t="s">
        <v>32</v>
      </c>
      <c r="Q79" t="s">
        <v>33</v>
      </c>
      <c r="R79">
        <v>8192</v>
      </c>
      <c r="S79" t="s">
        <v>34</v>
      </c>
      <c r="T79" t="s">
        <v>35</v>
      </c>
      <c r="U79">
        <v>29.83</v>
      </c>
      <c r="V79" t="s">
        <v>36</v>
      </c>
      <c r="W79" s="1">
        <v>45590</v>
      </c>
      <c r="X79">
        <v>2025</v>
      </c>
    </row>
    <row r="80" spans="1:24" x14ac:dyDescent="0.25">
      <c r="A80" s="1">
        <v>45888</v>
      </c>
      <c r="B80" t="s">
        <v>340</v>
      </c>
      <c r="C80" t="s">
        <v>341</v>
      </c>
      <c r="E80" t="s">
        <v>342</v>
      </c>
      <c r="F80" t="s">
        <v>27</v>
      </c>
      <c r="G80" t="s">
        <v>28</v>
      </c>
      <c r="H80" t="s">
        <v>29</v>
      </c>
      <c r="I80" t="s">
        <v>30</v>
      </c>
      <c r="J80" t="s">
        <v>46</v>
      </c>
      <c r="L80" s="1">
        <v>45870</v>
      </c>
      <c r="M80" s="1">
        <v>45292</v>
      </c>
      <c r="O80">
        <v>17886092</v>
      </c>
      <c r="P80" t="s">
        <v>32</v>
      </c>
      <c r="Q80" t="s">
        <v>102</v>
      </c>
      <c r="R80">
        <v>8192</v>
      </c>
      <c r="S80" t="s">
        <v>51</v>
      </c>
      <c r="T80" t="s">
        <v>35</v>
      </c>
      <c r="U80">
        <v>2.5</v>
      </c>
      <c r="V80" t="s">
        <v>36</v>
      </c>
      <c r="W80" s="1">
        <v>45245</v>
      </c>
      <c r="X80">
        <v>2025</v>
      </c>
    </row>
    <row r="81" spans="1:24" x14ac:dyDescent="0.25">
      <c r="A81" s="1">
        <v>45888</v>
      </c>
      <c r="B81" t="s">
        <v>343</v>
      </c>
      <c r="C81" t="s">
        <v>344</v>
      </c>
      <c r="E81" t="s">
        <v>345</v>
      </c>
      <c r="F81" t="s">
        <v>346</v>
      </c>
      <c r="G81" t="s">
        <v>28</v>
      </c>
      <c r="H81" t="s">
        <v>29</v>
      </c>
      <c r="I81" t="s">
        <v>90</v>
      </c>
      <c r="J81" t="s">
        <v>347</v>
      </c>
      <c r="L81" s="1">
        <v>45870</v>
      </c>
      <c r="M81" s="1">
        <v>45566</v>
      </c>
      <c r="O81">
        <v>8307933</v>
      </c>
      <c r="P81" t="s">
        <v>32</v>
      </c>
      <c r="Q81" t="s">
        <v>63</v>
      </c>
      <c r="R81">
        <v>8192</v>
      </c>
      <c r="S81" t="s">
        <v>34</v>
      </c>
      <c r="T81" t="s">
        <v>35</v>
      </c>
      <c r="U81">
        <v>29.83</v>
      </c>
      <c r="V81" t="s">
        <v>36</v>
      </c>
      <c r="W81" s="1">
        <v>45552</v>
      </c>
      <c r="X81">
        <v>2025</v>
      </c>
    </row>
    <row r="82" spans="1:24" x14ac:dyDescent="0.25">
      <c r="A82" s="1">
        <v>45888</v>
      </c>
      <c r="B82" t="s">
        <v>348</v>
      </c>
      <c r="C82" t="s">
        <v>349</v>
      </c>
      <c r="E82" t="s">
        <v>350</v>
      </c>
      <c r="F82" t="s">
        <v>27</v>
      </c>
      <c r="G82" t="s">
        <v>28</v>
      </c>
      <c r="H82" t="s">
        <v>29</v>
      </c>
      <c r="I82" t="s">
        <v>30</v>
      </c>
      <c r="J82" t="s">
        <v>50</v>
      </c>
      <c r="L82" s="1">
        <v>45870</v>
      </c>
      <c r="M82" s="1">
        <v>45658</v>
      </c>
      <c r="O82">
        <v>19606009</v>
      </c>
      <c r="P82" t="s">
        <v>32</v>
      </c>
      <c r="Q82" t="s">
        <v>42</v>
      </c>
      <c r="R82">
        <v>8192</v>
      </c>
      <c r="S82" t="s">
        <v>34</v>
      </c>
      <c r="T82" t="s">
        <v>35</v>
      </c>
      <c r="U82">
        <v>1.25</v>
      </c>
      <c r="V82" t="s">
        <v>36</v>
      </c>
      <c r="W82" s="1">
        <v>45839</v>
      </c>
      <c r="X82">
        <v>2025</v>
      </c>
    </row>
    <row r="83" spans="1:24" x14ac:dyDescent="0.25">
      <c r="A83" s="1">
        <v>45888</v>
      </c>
      <c r="B83" t="s">
        <v>351</v>
      </c>
      <c r="C83" t="s">
        <v>352</v>
      </c>
      <c r="E83" t="s">
        <v>353</v>
      </c>
      <c r="F83" t="s">
        <v>27</v>
      </c>
      <c r="G83" t="s">
        <v>28</v>
      </c>
      <c r="H83" t="s">
        <v>29</v>
      </c>
      <c r="I83" t="s">
        <v>30</v>
      </c>
      <c r="J83" t="s">
        <v>156</v>
      </c>
      <c r="L83" s="1">
        <v>45870</v>
      </c>
      <c r="M83" s="1">
        <v>45413</v>
      </c>
      <c r="O83">
        <v>17528908</v>
      </c>
      <c r="P83" t="s">
        <v>32</v>
      </c>
      <c r="Q83" t="s">
        <v>33</v>
      </c>
      <c r="R83">
        <v>8192</v>
      </c>
      <c r="S83" t="s">
        <v>34</v>
      </c>
      <c r="T83" t="s">
        <v>35</v>
      </c>
      <c r="U83">
        <v>33.17</v>
      </c>
      <c r="V83" t="s">
        <v>36</v>
      </c>
      <c r="W83" s="1">
        <v>45385</v>
      </c>
      <c r="X83">
        <v>2025</v>
      </c>
    </row>
    <row r="84" spans="1:24" x14ac:dyDescent="0.25">
      <c r="A84" s="1">
        <v>45888</v>
      </c>
      <c r="B84" t="s">
        <v>354</v>
      </c>
      <c r="C84" t="s">
        <v>355</v>
      </c>
      <c r="E84" t="s">
        <v>356</v>
      </c>
      <c r="F84" t="s">
        <v>27</v>
      </c>
      <c r="G84" t="s">
        <v>28</v>
      </c>
      <c r="H84" t="s">
        <v>29</v>
      </c>
      <c r="I84" t="s">
        <v>40</v>
      </c>
      <c r="J84" t="s">
        <v>46</v>
      </c>
      <c r="L84" s="1">
        <v>45870</v>
      </c>
      <c r="M84" s="1">
        <v>44075</v>
      </c>
      <c r="O84">
        <v>19606009</v>
      </c>
      <c r="P84" t="s">
        <v>32</v>
      </c>
      <c r="Q84" t="s">
        <v>42</v>
      </c>
      <c r="R84">
        <v>8192</v>
      </c>
      <c r="S84" t="s">
        <v>51</v>
      </c>
      <c r="T84" t="s">
        <v>35</v>
      </c>
      <c r="U84">
        <v>2.5</v>
      </c>
      <c r="V84" t="s">
        <v>36</v>
      </c>
      <c r="W84" s="1">
        <v>45261</v>
      </c>
      <c r="X84">
        <v>2025</v>
      </c>
    </row>
    <row r="85" spans="1:24" x14ac:dyDescent="0.25">
      <c r="A85" s="1">
        <v>45888</v>
      </c>
      <c r="B85" t="s">
        <v>357</v>
      </c>
      <c r="C85" t="s">
        <v>358</v>
      </c>
      <c r="E85" t="s">
        <v>359</v>
      </c>
      <c r="F85" t="s">
        <v>27</v>
      </c>
      <c r="G85" t="s">
        <v>28</v>
      </c>
      <c r="H85" t="s">
        <v>29</v>
      </c>
      <c r="I85" t="s">
        <v>30</v>
      </c>
      <c r="J85" t="s">
        <v>46</v>
      </c>
      <c r="L85" s="1">
        <v>45870</v>
      </c>
      <c r="M85" s="1">
        <v>45292</v>
      </c>
      <c r="O85">
        <v>17886092</v>
      </c>
      <c r="P85" t="s">
        <v>32</v>
      </c>
      <c r="Q85" t="s">
        <v>102</v>
      </c>
      <c r="R85">
        <v>8192</v>
      </c>
      <c r="S85" t="s">
        <v>51</v>
      </c>
      <c r="T85" t="s">
        <v>35</v>
      </c>
      <c r="U85">
        <v>2.5</v>
      </c>
      <c r="V85" t="s">
        <v>36</v>
      </c>
      <c r="W85" s="1">
        <v>45239</v>
      </c>
      <c r="X85">
        <v>2025</v>
      </c>
    </row>
    <row r="86" spans="1:24" x14ac:dyDescent="0.25">
      <c r="A86" s="1">
        <v>45888</v>
      </c>
      <c r="B86" t="s">
        <v>360</v>
      </c>
      <c r="C86" t="s">
        <v>361</v>
      </c>
      <c r="E86" t="s">
        <v>362</v>
      </c>
      <c r="F86" t="s">
        <v>27</v>
      </c>
      <c r="G86" t="s">
        <v>28</v>
      </c>
      <c r="H86" t="s">
        <v>29</v>
      </c>
      <c r="I86" t="s">
        <v>30</v>
      </c>
      <c r="J86" t="s">
        <v>46</v>
      </c>
      <c r="L86" s="1">
        <v>45870</v>
      </c>
      <c r="M86" s="1">
        <v>45292</v>
      </c>
      <c r="O86">
        <v>17886092</v>
      </c>
      <c r="P86" t="s">
        <v>32</v>
      </c>
      <c r="Q86" t="s">
        <v>102</v>
      </c>
      <c r="R86">
        <v>8192</v>
      </c>
      <c r="S86" t="s">
        <v>51</v>
      </c>
      <c r="T86" t="s">
        <v>35</v>
      </c>
      <c r="U86">
        <v>2.5</v>
      </c>
      <c r="V86" t="s">
        <v>36</v>
      </c>
      <c r="W86" s="1">
        <v>45239</v>
      </c>
      <c r="X86">
        <v>2025</v>
      </c>
    </row>
    <row r="87" spans="1:24" x14ac:dyDescent="0.25">
      <c r="A87" s="1">
        <v>45888</v>
      </c>
      <c r="B87" t="s">
        <v>363</v>
      </c>
      <c r="C87" t="s">
        <v>364</v>
      </c>
      <c r="E87" t="s">
        <v>365</v>
      </c>
      <c r="F87" t="s">
        <v>303</v>
      </c>
      <c r="G87" t="s">
        <v>28</v>
      </c>
      <c r="H87" t="s">
        <v>29</v>
      </c>
      <c r="I87" t="s">
        <v>304</v>
      </c>
      <c r="J87" t="s">
        <v>366</v>
      </c>
      <c r="L87" s="1">
        <v>45870</v>
      </c>
      <c r="M87" s="1">
        <v>45292</v>
      </c>
      <c r="O87">
        <v>9213293</v>
      </c>
      <c r="P87" t="s">
        <v>32</v>
      </c>
      <c r="Q87" t="s">
        <v>252</v>
      </c>
      <c r="R87">
        <v>8192</v>
      </c>
      <c r="S87" t="s">
        <v>34</v>
      </c>
      <c r="T87" t="s">
        <v>35</v>
      </c>
      <c r="U87">
        <v>29.83</v>
      </c>
      <c r="V87" t="s">
        <v>36</v>
      </c>
      <c r="W87" s="1">
        <v>45658</v>
      </c>
      <c r="X87">
        <v>2025</v>
      </c>
    </row>
    <row r="88" spans="1:24" x14ac:dyDescent="0.25">
      <c r="A88" s="1">
        <v>45888</v>
      </c>
      <c r="B88" t="s">
        <v>367</v>
      </c>
      <c r="C88" t="s">
        <v>368</v>
      </c>
      <c r="E88" t="s">
        <v>369</v>
      </c>
      <c r="F88" t="s">
        <v>27</v>
      </c>
      <c r="G88" t="s">
        <v>28</v>
      </c>
      <c r="H88" t="s">
        <v>29</v>
      </c>
      <c r="I88" t="s">
        <v>30</v>
      </c>
      <c r="J88" t="s">
        <v>31</v>
      </c>
      <c r="L88" s="1">
        <v>45870</v>
      </c>
      <c r="M88" s="1">
        <v>45231</v>
      </c>
      <c r="O88">
        <v>17886092</v>
      </c>
      <c r="P88" t="s">
        <v>32</v>
      </c>
      <c r="Q88" t="s">
        <v>102</v>
      </c>
      <c r="R88">
        <v>8192</v>
      </c>
      <c r="S88" t="s">
        <v>51</v>
      </c>
      <c r="T88" t="s">
        <v>35</v>
      </c>
      <c r="U88">
        <v>2.5</v>
      </c>
      <c r="V88" t="s">
        <v>36</v>
      </c>
      <c r="W88" s="1">
        <v>45191</v>
      </c>
      <c r="X88">
        <v>2025</v>
      </c>
    </row>
    <row r="89" spans="1:24" x14ac:dyDescent="0.25">
      <c r="A89" s="1">
        <v>45888</v>
      </c>
      <c r="B89" t="s">
        <v>370</v>
      </c>
      <c r="C89" t="s">
        <v>371</v>
      </c>
      <c r="E89" t="s">
        <v>372</v>
      </c>
      <c r="F89" t="s">
        <v>27</v>
      </c>
      <c r="G89" t="s">
        <v>28</v>
      </c>
      <c r="H89" t="s">
        <v>127</v>
      </c>
      <c r="I89" t="s">
        <v>30</v>
      </c>
      <c r="J89" t="s">
        <v>128</v>
      </c>
      <c r="L89" s="1">
        <v>45870</v>
      </c>
      <c r="M89" s="1">
        <v>44562</v>
      </c>
      <c r="O89">
        <v>19606009</v>
      </c>
      <c r="P89" t="s">
        <v>32</v>
      </c>
      <c r="Q89" t="s">
        <v>42</v>
      </c>
      <c r="R89">
        <v>8192</v>
      </c>
      <c r="S89" t="s">
        <v>34</v>
      </c>
      <c r="T89" t="s">
        <v>35</v>
      </c>
      <c r="U89">
        <v>1.25</v>
      </c>
      <c r="V89" t="s">
        <v>36</v>
      </c>
      <c r="W89" s="1">
        <v>45809</v>
      </c>
      <c r="X89">
        <v>2025</v>
      </c>
    </row>
    <row r="90" spans="1:24" x14ac:dyDescent="0.25">
      <c r="A90" s="1">
        <v>45888</v>
      </c>
      <c r="B90" t="s">
        <v>373</v>
      </c>
      <c r="C90" t="s">
        <v>374</v>
      </c>
      <c r="E90" t="s">
        <v>375</v>
      </c>
      <c r="F90" t="s">
        <v>27</v>
      </c>
      <c r="G90" t="s">
        <v>28</v>
      </c>
      <c r="H90" t="s">
        <v>29</v>
      </c>
      <c r="I90" t="s">
        <v>30</v>
      </c>
      <c r="J90" t="s">
        <v>50</v>
      </c>
      <c r="L90" s="1">
        <v>45870</v>
      </c>
      <c r="M90" s="1">
        <v>45658</v>
      </c>
      <c r="O90">
        <v>19606009</v>
      </c>
      <c r="P90" t="s">
        <v>32</v>
      </c>
      <c r="Q90" t="s">
        <v>42</v>
      </c>
      <c r="R90">
        <v>8192</v>
      </c>
      <c r="S90" t="s">
        <v>34</v>
      </c>
      <c r="T90" t="s">
        <v>35</v>
      </c>
      <c r="U90">
        <v>1.25</v>
      </c>
      <c r="V90" t="s">
        <v>36</v>
      </c>
      <c r="W90" s="1">
        <v>45809</v>
      </c>
      <c r="X90">
        <v>2025</v>
      </c>
    </row>
    <row r="91" spans="1:24" x14ac:dyDescent="0.25">
      <c r="A91" s="1">
        <v>45888</v>
      </c>
      <c r="B91" t="s">
        <v>376</v>
      </c>
      <c r="C91" t="s">
        <v>377</v>
      </c>
      <c r="E91" t="s">
        <v>378</v>
      </c>
      <c r="F91" t="s">
        <v>27</v>
      </c>
      <c r="G91" t="s">
        <v>28</v>
      </c>
      <c r="H91" t="s">
        <v>29</v>
      </c>
      <c r="I91" t="s">
        <v>30</v>
      </c>
      <c r="J91" t="s">
        <v>330</v>
      </c>
      <c r="L91" s="1">
        <v>45870</v>
      </c>
      <c r="M91" s="1">
        <v>45170</v>
      </c>
      <c r="O91">
        <v>14936854</v>
      </c>
      <c r="P91" t="s">
        <v>247</v>
      </c>
      <c r="Q91" t="s">
        <v>248</v>
      </c>
      <c r="R91">
        <v>8192</v>
      </c>
      <c r="S91" t="s">
        <v>51</v>
      </c>
      <c r="T91" t="s">
        <v>35</v>
      </c>
      <c r="U91">
        <v>2.5</v>
      </c>
      <c r="V91" t="s">
        <v>36</v>
      </c>
      <c r="W91" s="1">
        <v>45160</v>
      </c>
      <c r="X91">
        <v>2025</v>
      </c>
    </row>
    <row r="92" spans="1:24" x14ac:dyDescent="0.25">
      <c r="A92" s="1">
        <v>45888</v>
      </c>
      <c r="B92" t="s">
        <v>379</v>
      </c>
      <c r="C92" t="s">
        <v>380</v>
      </c>
      <c r="E92" t="s">
        <v>381</v>
      </c>
      <c r="F92" t="s">
        <v>74</v>
      </c>
      <c r="G92" t="s">
        <v>28</v>
      </c>
      <c r="H92" t="s">
        <v>29</v>
      </c>
      <c r="I92" t="s">
        <v>61</v>
      </c>
      <c r="J92" t="s">
        <v>75</v>
      </c>
      <c r="L92" s="1">
        <v>45870</v>
      </c>
      <c r="M92" s="1">
        <v>45566</v>
      </c>
      <c r="O92">
        <v>2158366</v>
      </c>
      <c r="P92" t="s">
        <v>32</v>
      </c>
      <c r="Q92" t="s">
        <v>326</v>
      </c>
      <c r="R92">
        <v>8192</v>
      </c>
      <c r="S92" t="s">
        <v>34</v>
      </c>
      <c r="T92" t="s">
        <v>35</v>
      </c>
      <c r="U92">
        <v>29.83</v>
      </c>
      <c r="V92" t="s">
        <v>36</v>
      </c>
      <c r="W92" s="1">
        <v>45509</v>
      </c>
      <c r="X92">
        <v>2025</v>
      </c>
    </row>
    <row r="93" spans="1:24" x14ac:dyDescent="0.25">
      <c r="A93" s="1">
        <v>45888</v>
      </c>
      <c r="B93" t="s">
        <v>382</v>
      </c>
      <c r="C93" t="s">
        <v>383</v>
      </c>
      <c r="E93" t="s">
        <v>384</v>
      </c>
      <c r="F93" t="s">
        <v>27</v>
      </c>
      <c r="G93" t="s">
        <v>28</v>
      </c>
      <c r="H93" t="s">
        <v>29</v>
      </c>
      <c r="I93" t="s">
        <v>30</v>
      </c>
      <c r="J93" t="s">
        <v>46</v>
      </c>
      <c r="L93" s="1">
        <v>45870</v>
      </c>
      <c r="M93" s="1">
        <v>45292</v>
      </c>
      <c r="O93">
        <v>17886092</v>
      </c>
      <c r="P93" t="s">
        <v>32</v>
      </c>
      <c r="Q93" t="s">
        <v>102</v>
      </c>
      <c r="R93">
        <v>8192</v>
      </c>
      <c r="S93" t="s">
        <v>51</v>
      </c>
      <c r="T93" t="s">
        <v>35</v>
      </c>
      <c r="U93">
        <v>2.5</v>
      </c>
      <c r="V93" t="s">
        <v>36</v>
      </c>
      <c r="W93" s="1">
        <v>45231</v>
      </c>
      <c r="X93">
        <v>2025</v>
      </c>
    </row>
    <row r="94" spans="1:24" x14ac:dyDescent="0.25">
      <c r="A94" s="1">
        <v>45888</v>
      </c>
      <c r="B94" t="s">
        <v>385</v>
      </c>
      <c r="C94" t="s">
        <v>386</v>
      </c>
      <c r="D94" t="s">
        <v>387</v>
      </c>
      <c r="E94" t="s">
        <v>388</v>
      </c>
      <c r="F94" t="s">
        <v>27</v>
      </c>
      <c r="G94" t="s">
        <v>28</v>
      </c>
      <c r="H94" t="s">
        <v>29</v>
      </c>
      <c r="I94" t="s">
        <v>152</v>
      </c>
      <c r="J94" t="s">
        <v>202</v>
      </c>
      <c r="L94" s="1">
        <v>45870</v>
      </c>
      <c r="M94" s="1">
        <v>41000</v>
      </c>
      <c r="O94">
        <v>17886092</v>
      </c>
      <c r="P94" t="s">
        <v>32</v>
      </c>
      <c r="Q94" t="s">
        <v>102</v>
      </c>
      <c r="R94">
        <v>8192</v>
      </c>
      <c r="S94" t="s">
        <v>51</v>
      </c>
      <c r="T94" t="s">
        <v>35</v>
      </c>
      <c r="U94">
        <v>2.5</v>
      </c>
      <c r="V94" t="s">
        <v>36</v>
      </c>
      <c r="W94" s="1">
        <v>45261</v>
      </c>
      <c r="X94">
        <v>2025</v>
      </c>
    </row>
    <row r="95" spans="1:24" x14ac:dyDescent="0.25">
      <c r="A95" s="1">
        <v>45888</v>
      </c>
      <c r="B95" t="s">
        <v>389</v>
      </c>
      <c r="C95" t="s">
        <v>390</v>
      </c>
      <c r="E95" t="s">
        <v>391</v>
      </c>
      <c r="F95" t="s">
        <v>27</v>
      </c>
      <c r="G95" t="s">
        <v>28</v>
      </c>
      <c r="H95" t="s">
        <v>29</v>
      </c>
      <c r="I95" t="s">
        <v>30</v>
      </c>
      <c r="J95" t="s">
        <v>50</v>
      </c>
      <c r="L95" s="1">
        <v>45870</v>
      </c>
      <c r="M95" s="1">
        <v>44835</v>
      </c>
      <c r="O95">
        <v>19606009</v>
      </c>
      <c r="P95" t="s">
        <v>32</v>
      </c>
      <c r="Q95" t="s">
        <v>42</v>
      </c>
      <c r="R95">
        <v>8192</v>
      </c>
      <c r="S95" t="s">
        <v>34</v>
      </c>
      <c r="T95" t="s">
        <v>35</v>
      </c>
      <c r="U95">
        <v>1.25</v>
      </c>
      <c r="V95" t="s">
        <v>36</v>
      </c>
      <c r="W95" s="1">
        <v>45839</v>
      </c>
      <c r="X95">
        <v>2025</v>
      </c>
    </row>
    <row r="96" spans="1:24" x14ac:dyDescent="0.25">
      <c r="A96" s="1">
        <v>45888</v>
      </c>
      <c r="B96" t="s">
        <v>392</v>
      </c>
      <c r="C96" t="s">
        <v>393</v>
      </c>
      <c r="E96" t="s">
        <v>394</v>
      </c>
      <c r="F96" t="s">
        <v>60</v>
      </c>
      <c r="G96" t="s">
        <v>28</v>
      </c>
      <c r="H96" t="s">
        <v>29</v>
      </c>
      <c r="I96" t="s">
        <v>61</v>
      </c>
      <c r="J96" t="s">
        <v>188</v>
      </c>
      <c r="L96" s="1">
        <v>45870</v>
      </c>
      <c r="M96" s="1">
        <v>45292</v>
      </c>
      <c r="O96">
        <v>8307933</v>
      </c>
      <c r="P96" t="s">
        <v>32</v>
      </c>
      <c r="Q96" t="s">
        <v>63</v>
      </c>
      <c r="R96">
        <v>8192</v>
      </c>
      <c r="S96" t="s">
        <v>51</v>
      </c>
      <c r="T96" t="s">
        <v>35</v>
      </c>
      <c r="U96">
        <v>28.58</v>
      </c>
      <c r="V96" t="s">
        <v>36</v>
      </c>
      <c r="W96" s="1">
        <v>45264</v>
      </c>
      <c r="X96">
        <v>2025</v>
      </c>
    </row>
    <row r="97" spans="1:24" x14ac:dyDescent="0.25">
      <c r="A97" s="1">
        <v>45888</v>
      </c>
      <c r="B97" t="s">
        <v>395</v>
      </c>
      <c r="C97" t="s">
        <v>396</v>
      </c>
      <c r="E97" t="s">
        <v>397</v>
      </c>
      <c r="F97" t="s">
        <v>27</v>
      </c>
      <c r="G97" t="s">
        <v>28</v>
      </c>
      <c r="H97" t="s">
        <v>29</v>
      </c>
      <c r="I97" t="s">
        <v>30</v>
      </c>
      <c r="J97" t="s">
        <v>202</v>
      </c>
      <c r="L97" s="1">
        <v>45870</v>
      </c>
      <c r="M97" s="1">
        <v>44927</v>
      </c>
      <c r="O97">
        <v>19606009</v>
      </c>
      <c r="P97" t="s">
        <v>32</v>
      </c>
      <c r="Q97" t="s">
        <v>42</v>
      </c>
      <c r="R97">
        <v>8192</v>
      </c>
      <c r="S97" t="s">
        <v>34</v>
      </c>
      <c r="T97" t="s">
        <v>35</v>
      </c>
      <c r="U97">
        <v>1.25</v>
      </c>
      <c r="V97" t="s">
        <v>36</v>
      </c>
      <c r="W97" s="1">
        <v>45839</v>
      </c>
      <c r="X97">
        <v>2025</v>
      </c>
    </row>
    <row r="98" spans="1:24" x14ac:dyDescent="0.25">
      <c r="A98" s="1">
        <v>45888</v>
      </c>
      <c r="B98" t="s">
        <v>398</v>
      </c>
      <c r="C98" t="s">
        <v>399</v>
      </c>
      <c r="E98" t="s">
        <v>400</v>
      </c>
      <c r="F98" t="s">
        <v>401</v>
      </c>
      <c r="G98" t="s">
        <v>402</v>
      </c>
      <c r="H98" t="s">
        <v>29</v>
      </c>
      <c r="I98" t="s">
        <v>403</v>
      </c>
      <c r="J98" t="s">
        <v>404</v>
      </c>
      <c r="L98" s="1">
        <v>45870</v>
      </c>
      <c r="M98" s="1">
        <v>45870</v>
      </c>
      <c r="O98">
        <v>18754354</v>
      </c>
      <c r="P98" t="s">
        <v>32</v>
      </c>
      <c r="Q98" t="s">
        <v>405</v>
      </c>
      <c r="R98">
        <v>8192</v>
      </c>
      <c r="S98" t="s">
        <v>34</v>
      </c>
      <c r="T98" t="s">
        <v>35</v>
      </c>
      <c r="U98">
        <v>182.5</v>
      </c>
      <c r="V98" t="s">
        <v>36</v>
      </c>
      <c r="W98" s="1">
        <v>45869</v>
      </c>
      <c r="X98">
        <v>2025</v>
      </c>
    </row>
    <row r="99" spans="1:24" x14ac:dyDescent="0.25">
      <c r="A99" s="1">
        <v>45888</v>
      </c>
      <c r="B99" t="s">
        <v>406</v>
      </c>
      <c r="C99" t="s">
        <v>407</v>
      </c>
      <c r="E99" t="s">
        <v>408</v>
      </c>
      <c r="F99" t="s">
        <v>303</v>
      </c>
      <c r="G99" t="s">
        <v>28</v>
      </c>
      <c r="H99" t="s">
        <v>29</v>
      </c>
      <c r="I99" t="s">
        <v>304</v>
      </c>
      <c r="J99" t="s">
        <v>409</v>
      </c>
      <c r="L99" s="1">
        <v>45870</v>
      </c>
      <c r="M99" s="1">
        <v>45292</v>
      </c>
      <c r="O99">
        <v>17425766</v>
      </c>
      <c r="P99" t="s">
        <v>32</v>
      </c>
      <c r="Q99" t="s">
        <v>56</v>
      </c>
      <c r="R99">
        <v>8192</v>
      </c>
      <c r="S99" t="s">
        <v>51</v>
      </c>
      <c r="T99" t="s">
        <v>35</v>
      </c>
      <c r="U99">
        <v>28.58</v>
      </c>
      <c r="V99" t="s">
        <v>36</v>
      </c>
      <c r="W99" s="1">
        <v>45265</v>
      </c>
      <c r="X99">
        <v>2025</v>
      </c>
    </row>
    <row r="100" spans="1:24" x14ac:dyDescent="0.25">
      <c r="A100" s="1">
        <v>45888</v>
      </c>
      <c r="B100" t="s">
        <v>410</v>
      </c>
      <c r="C100" t="s">
        <v>411</v>
      </c>
      <c r="E100" t="s">
        <v>412</v>
      </c>
      <c r="F100" t="s">
        <v>27</v>
      </c>
      <c r="G100" t="s">
        <v>28</v>
      </c>
      <c r="H100" t="s">
        <v>29</v>
      </c>
      <c r="I100" t="s">
        <v>30</v>
      </c>
      <c r="J100" t="s">
        <v>50</v>
      </c>
      <c r="L100" s="1">
        <v>45870</v>
      </c>
      <c r="M100" s="1">
        <v>45566</v>
      </c>
      <c r="O100">
        <v>17528908</v>
      </c>
      <c r="P100" t="s">
        <v>32</v>
      </c>
      <c r="Q100" t="s">
        <v>33</v>
      </c>
      <c r="R100">
        <v>8192</v>
      </c>
      <c r="S100" t="s">
        <v>34</v>
      </c>
      <c r="T100" t="s">
        <v>35</v>
      </c>
      <c r="U100">
        <v>33.17</v>
      </c>
      <c r="V100" t="s">
        <v>36</v>
      </c>
      <c r="W100" s="1">
        <v>45551</v>
      </c>
      <c r="X100">
        <v>2025</v>
      </c>
    </row>
    <row r="101" spans="1:24" x14ac:dyDescent="0.25">
      <c r="A101" s="1">
        <v>45888</v>
      </c>
      <c r="B101" t="s">
        <v>413</v>
      </c>
      <c r="C101" t="s">
        <v>414</v>
      </c>
      <c r="E101" t="s">
        <v>415</v>
      </c>
      <c r="F101" t="s">
        <v>27</v>
      </c>
      <c r="G101" t="s">
        <v>28</v>
      </c>
      <c r="H101" t="s">
        <v>29</v>
      </c>
      <c r="I101" t="s">
        <v>30</v>
      </c>
      <c r="J101" t="s">
        <v>46</v>
      </c>
      <c r="L101" s="1">
        <v>45870</v>
      </c>
      <c r="M101" s="1">
        <v>45261</v>
      </c>
      <c r="O101">
        <v>17886092</v>
      </c>
      <c r="P101" t="s">
        <v>32</v>
      </c>
      <c r="Q101" t="s">
        <v>102</v>
      </c>
      <c r="R101">
        <v>8192</v>
      </c>
      <c r="S101" t="s">
        <v>51</v>
      </c>
      <c r="T101" t="s">
        <v>35</v>
      </c>
      <c r="U101">
        <v>2.5</v>
      </c>
      <c r="V101" t="s">
        <v>36</v>
      </c>
      <c r="W101" s="1">
        <v>45188</v>
      </c>
      <c r="X101">
        <v>2025</v>
      </c>
    </row>
    <row r="102" spans="1:24" x14ac:dyDescent="0.25">
      <c r="A102" s="1">
        <v>45888</v>
      </c>
      <c r="B102" t="s">
        <v>416</v>
      </c>
      <c r="C102" t="s">
        <v>417</v>
      </c>
      <c r="E102" t="s">
        <v>418</v>
      </c>
      <c r="F102" t="s">
        <v>27</v>
      </c>
      <c r="G102" t="s">
        <v>28</v>
      </c>
      <c r="H102" t="s">
        <v>29</v>
      </c>
      <c r="I102" t="s">
        <v>30</v>
      </c>
      <c r="J102" t="s">
        <v>46</v>
      </c>
      <c r="L102" s="1">
        <v>45870</v>
      </c>
      <c r="M102" s="1">
        <v>44562</v>
      </c>
      <c r="O102">
        <v>19606009</v>
      </c>
      <c r="P102" t="s">
        <v>32</v>
      </c>
      <c r="Q102" t="s">
        <v>42</v>
      </c>
      <c r="R102">
        <v>8192</v>
      </c>
      <c r="S102" t="s">
        <v>34</v>
      </c>
      <c r="T102" t="s">
        <v>35</v>
      </c>
      <c r="U102">
        <v>1.25</v>
      </c>
      <c r="V102" t="s">
        <v>36</v>
      </c>
      <c r="W102" s="1">
        <v>45839</v>
      </c>
      <c r="X102">
        <v>2025</v>
      </c>
    </row>
    <row r="103" spans="1:24" x14ac:dyDescent="0.25">
      <c r="A103" s="1">
        <v>45888</v>
      </c>
      <c r="B103" t="s">
        <v>419</v>
      </c>
      <c r="C103" t="s">
        <v>420</v>
      </c>
      <c r="E103" t="s">
        <v>421</v>
      </c>
      <c r="F103" t="s">
        <v>27</v>
      </c>
      <c r="G103" t="s">
        <v>28</v>
      </c>
      <c r="H103" t="s">
        <v>29</v>
      </c>
      <c r="I103" t="s">
        <v>30</v>
      </c>
      <c r="J103" t="s">
        <v>46</v>
      </c>
      <c r="L103" s="1">
        <v>45870</v>
      </c>
      <c r="M103" s="1">
        <v>44866</v>
      </c>
      <c r="O103">
        <v>19606009</v>
      </c>
      <c r="P103" t="s">
        <v>32</v>
      </c>
      <c r="Q103" t="s">
        <v>42</v>
      </c>
      <c r="R103">
        <v>8192</v>
      </c>
      <c r="S103" t="s">
        <v>34</v>
      </c>
      <c r="T103" t="s">
        <v>35</v>
      </c>
      <c r="U103">
        <v>1.25</v>
      </c>
      <c r="V103" t="s">
        <v>36</v>
      </c>
      <c r="W103" s="1">
        <v>45839</v>
      </c>
      <c r="X103">
        <v>2025</v>
      </c>
    </row>
    <row r="104" spans="1:24" x14ac:dyDescent="0.25">
      <c r="A104" s="1">
        <v>45888</v>
      </c>
      <c r="B104" t="s">
        <v>422</v>
      </c>
      <c r="C104" t="s">
        <v>423</v>
      </c>
      <c r="E104" t="s">
        <v>424</v>
      </c>
      <c r="F104" t="s">
        <v>27</v>
      </c>
      <c r="G104" t="s">
        <v>28</v>
      </c>
      <c r="H104" t="s">
        <v>29</v>
      </c>
      <c r="I104" t="s">
        <v>30</v>
      </c>
      <c r="J104" t="s">
        <v>46</v>
      </c>
      <c r="L104" s="1">
        <v>45870</v>
      </c>
      <c r="M104" s="1">
        <v>45078</v>
      </c>
      <c r="O104">
        <v>19606009</v>
      </c>
      <c r="P104" t="s">
        <v>32</v>
      </c>
      <c r="Q104" t="s">
        <v>42</v>
      </c>
      <c r="R104">
        <v>8192</v>
      </c>
      <c r="S104" t="s">
        <v>34</v>
      </c>
      <c r="T104" t="s">
        <v>35</v>
      </c>
      <c r="U104">
        <v>1.25</v>
      </c>
      <c r="V104" t="s">
        <v>36</v>
      </c>
      <c r="W104" s="1">
        <v>45839</v>
      </c>
      <c r="X104">
        <v>2025</v>
      </c>
    </row>
    <row r="105" spans="1:24" x14ac:dyDescent="0.25">
      <c r="A105" s="1">
        <v>45888</v>
      </c>
      <c r="B105" t="s">
        <v>425</v>
      </c>
      <c r="C105" t="s">
        <v>426</v>
      </c>
      <c r="E105" t="s">
        <v>427</v>
      </c>
      <c r="F105" t="s">
        <v>74</v>
      </c>
      <c r="G105" t="s">
        <v>28</v>
      </c>
      <c r="H105" t="s">
        <v>29</v>
      </c>
      <c r="I105" t="s">
        <v>61</v>
      </c>
      <c r="J105" t="s">
        <v>428</v>
      </c>
      <c r="L105" s="1">
        <v>45870</v>
      </c>
      <c r="M105" s="1">
        <v>45627</v>
      </c>
      <c r="O105">
        <v>7146581</v>
      </c>
      <c r="P105" t="s">
        <v>32</v>
      </c>
      <c r="Q105" t="s">
        <v>259</v>
      </c>
      <c r="R105">
        <v>8192</v>
      </c>
      <c r="S105" t="s">
        <v>34</v>
      </c>
      <c r="T105" t="s">
        <v>35</v>
      </c>
      <c r="U105">
        <v>29.83</v>
      </c>
      <c r="V105" t="s">
        <v>36</v>
      </c>
      <c r="W105" s="1">
        <v>45603</v>
      </c>
      <c r="X105">
        <v>2025</v>
      </c>
    </row>
    <row r="106" spans="1:24" x14ac:dyDescent="0.25">
      <c r="A106" s="1">
        <v>45888</v>
      </c>
      <c r="B106" t="s">
        <v>429</v>
      </c>
      <c r="C106" t="s">
        <v>430</v>
      </c>
      <c r="E106" t="s">
        <v>431</v>
      </c>
      <c r="F106" t="s">
        <v>27</v>
      </c>
      <c r="G106" t="s">
        <v>28</v>
      </c>
      <c r="H106" t="s">
        <v>29</v>
      </c>
      <c r="I106" t="s">
        <v>30</v>
      </c>
      <c r="J106" t="s">
        <v>46</v>
      </c>
      <c r="L106" s="1">
        <v>45870</v>
      </c>
      <c r="M106" s="1">
        <v>45292</v>
      </c>
      <c r="O106">
        <v>19606009</v>
      </c>
      <c r="P106" t="s">
        <v>32</v>
      </c>
      <c r="Q106" t="s">
        <v>42</v>
      </c>
      <c r="R106">
        <v>8192</v>
      </c>
      <c r="S106" t="s">
        <v>51</v>
      </c>
      <c r="T106" t="s">
        <v>35</v>
      </c>
      <c r="U106">
        <v>2.5</v>
      </c>
      <c r="V106" t="s">
        <v>36</v>
      </c>
      <c r="W106" s="1">
        <v>45259</v>
      </c>
      <c r="X106">
        <v>2025</v>
      </c>
    </row>
    <row r="107" spans="1:24" x14ac:dyDescent="0.25">
      <c r="A107" s="1">
        <v>45888</v>
      </c>
      <c r="B107" t="s">
        <v>432</v>
      </c>
      <c r="C107" t="s">
        <v>433</v>
      </c>
      <c r="E107" t="s">
        <v>434</v>
      </c>
      <c r="F107" t="s">
        <v>27</v>
      </c>
      <c r="G107" t="s">
        <v>28</v>
      </c>
      <c r="H107" t="s">
        <v>29</v>
      </c>
      <c r="I107" t="s">
        <v>30</v>
      </c>
      <c r="J107" t="s">
        <v>70</v>
      </c>
      <c r="L107" s="1">
        <v>45870</v>
      </c>
      <c r="M107" s="1">
        <v>45292</v>
      </c>
      <c r="O107">
        <v>17528908</v>
      </c>
      <c r="P107" t="s">
        <v>32</v>
      </c>
      <c r="Q107" t="s">
        <v>33</v>
      </c>
      <c r="R107">
        <v>8192</v>
      </c>
      <c r="S107" t="s">
        <v>51</v>
      </c>
      <c r="T107" t="s">
        <v>35</v>
      </c>
      <c r="U107">
        <v>31.92</v>
      </c>
      <c r="V107" t="s">
        <v>36</v>
      </c>
      <c r="W107" s="1">
        <v>45215</v>
      </c>
      <c r="X107">
        <v>2025</v>
      </c>
    </row>
    <row r="108" spans="1:24" x14ac:dyDescent="0.25">
      <c r="A108" s="1">
        <v>45888</v>
      </c>
      <c r="B108" t="s">
        <v>435</v>
      </c>
      <c r="C108" t="s">
        <v>436</v>
      </c>
      <c r="E108" t="s">
        <v>437</v>
      </c>
      <c r="F108" t="s">
        <v>27</v>
      </c>
      <c r="G108" t="s">
        <v>28</v>
      </c>
      <c r="H108" t="s">
        <v>29</v>
      </c>
      <c r="I108" t="s">
        <v>30</v>
      </c>
      <c r="J108" t="s">
        <v>46</v>
      </c>
      <c r="L108" s="1">
        <v>45870</v>
      </c>
      <c r="M108" s="1">
        <v>45292</v>
      </c>
      <c r="O108">
        <v>19606009</v>
      </c>
      <c r="P108" t="s">
        <v>32</v>
      </c>
      <c r="Q108" t="s">
        <v>42</v>
      </c>
      <c r="R108">
        <v>8192</v>
      </c>
      <c r="S108" t="s">
        <v>51</v>
      </c>
      <c r="T108" t="s">
        <v>35</v>
      </c>
      <c r="U108">
        <v>2.5</v>
      </c>
      <c r="V108" t="s">
        <v>36</v>
      </c>
      <c r="W108" s="1">
        <v>45259</v>
      </c>
      <c r="X108">
        <v>2025</v>
      </c>
    </row>
    <row r="109" spans="1:24" x14ac:dyDescent="0.25">
      <c r="A109" s="1">
        <v>45888</v>
      </c>
      <c r="B109" t="s">
        <v>438</v>
      </c>
      <c r="C109" t="s">
        <v>439</v>
      </c>
      <c r="E109" t="s">
        <v>440</v>
      </c>
      <c r="F109" t="s">
        <v>27</v>
      </c>
      <c r="G109" t="s">
        <v>28</v>
      </c>
      <c r="H109" t="s">
        <v>29</v>
      </c>
      <c r="I109" t="s">
        <v>40</v>
      </c>
      <c r="J109" t="s">
        <v>50</v>
      </c>
      <c r="L109" s="1">
        <v>45870</v>
      </c>
      <c r="M109" s="1">
        <v>44378</v>
      </c>
      <c r="O109">
        <v>19606009</v>
      </c>
      <c r="P109" t="s">
        <v>32</v>
      </c>
      <c r="Q109" t="s">
        <v>42</v>
      </c>
      <c r="R109">
        <v>8192</v>
      </c>
      <c r="S109" t="s">
        <v>34</v>
      </c>
      <c r="T109" t="s">
        <v>35</v>
      </c>
      <c r="U109">
        <v>1.25</v>
      </c>
      <c r="V109" t="s">
        <v>36</v>
      </c>
      <c r="W109" s="1">
        <v>45870</v>
      </c>
      <c r="X109">
        <v>2025</v>
      </c>
    </row>
    <row r="110" spans="1:24" x14ac:dyDescent="0.25">
      <c r="A110" s="1">
        <v>45888</v>
      </c>
      <c r="B110" t="s">
        <v>441</v>
      </c>
      <c r="C110" t="s">
        <v>442</v>
      </c>
      <c r="E110" t="s">
        <v>443</v>
      </c>
      <c r="F110" t="s">
        <v>444</v>
      </c>
      <c r="G110" t="s">
        <v>402</v>
      </c>
      <c r="H110" t="s">
        <v>29</v>
      </c>
      <c r="I110" t="s">
        <v>445</v>
      </c>
      <c r="J110" t="s">
        <v>446</v>
      </c>
      <c r="L110" s="1">
        <v>45901</v>
      </c>
      <c r="M110" s="1">
        <v>45901</v>
      </c>
      <c r="O110">
        <v>8307933</v>
      </c>
      <c r="P110" t="s">
        <v>32</v>
      </c>
      <c r="Q110" t="s">
        <v>63</v>
      </c>
      <c r="R110">
        <v>8192</v>
      </c>
      <c r="S110" t="s">
        <v>34</v>
      </c>
      <c r="T110" t="s">
        <v>35</v>
      </c>
      <c r="U110">
        <v>146</v>
      </c>
      <c r="V110" t="s">
        <v>36</v>
      </c>
      <c r="W110" s="1">
        <v>45869</v>
      </c>
      <c r="X110">
        <v>2025</v>
      </c>
    </row>
    <row r="111" spans="1:24" x14ac:dyDescent="0.25">
      <c r="A111" s="1">
        <v>45888</v>
      </c>
      <c r="B111" t="s">
        <v>447</v>
      </c>
      <c r="C111" t="s">
        <v>448</v>
      </c>
      <c r="E111" t="s">
        <v>449</v>
      </c>
      <c r="F111" t="s">
        <v>27</v>
      </c>
      <c r="G111" t="s">
        <v>28</v>
      </c>
      <c r="H111" t="s">
        <v>29</v>
      </c>
      <c r="I111" t="s">
        <v>30</v>
      </c>
      <c r="J111" t="s">
        <v>46</v>
      </c>
      <c r="L111" s="1">
        <v>45870</v>
      </c>
      <c r="M111" s="1">
        <v>45413</v>
      </c>
      <c r="O111">
        <v>17886092</v>
      </c>
      <c r="P111" t="s">
        <v>32</v>
      </c>
      <c r="Q111" t="s">
        <v>102</v>
      </c>
      <c r="R111">
        <v>8192</v>
      </c>
      <c r="S111" t="s">
        <v>34</v>
      </c>
      <c r="T111" t="s">
        <v>35</v>
      </c>
      <c r="U111">
        <v>3.75</v>
      </c>
      <c r="V111" t="s">
        <v>36</v>
      </c>
      <c r="W111" s="1">
        <v>45359</v>
      </c>
      <c r="X111">
        <v>2025</v>
      </c>
    </row>
    <row r="112" spans="1:24" x14ac:dyDescent="0.25">
      <c r="A112" s="1">
        <v>45888</v>
      </c>
      <c r="B112" t="s">
        <v>450</v>
      </c>
      <c r="C112" t="s">
        <v>451</v>
      </c>
      <c r="E112" t="s">
        <v>452</v>
      </c>
      <c r="F112" t="s">
        <v>27</v>
      </c>
      <c r="G112" t="s">
        <v>28</v>
      </c>
      <c r="H112" t="s">
        <v>29</v>
      </c>
      <c r="I112" t="s">
        <v>30</v>
      </c>
      <c r="J112" t="s">
        <v>46</v>
      </c>
      <c r="L112" s="1">
        <v>45870</v>
      </c>
      <c r="M112" s="1">
        <v>45017</v>
      </c>
      <c r="O112">
        <v>19606009</v>
      </c>
      <c r="P112" t="s">
        <v>32</v>
      </c>
      <c r="Q112" t="s">
        <v>42</v>
      </c>
      <c r="R112">
        <v>8192</v>
      </c>
      <c r="S112" t="s">
        <v>34</v>
      </c>
      <c r="T112" t="s">
        <v>35</v>
      </c>
      <c r="U112">
        <v>1.25</v>
      </c>
      <c r="V112" t="s">
        <v>36</v>
      </c>
      <c r="W112" s="1">
        <v>45839</v>
      </c>
      <c r="X112">
        <v>2025</v>
      </c>
    </row>
    <row r="113" spans="1:24" x14ac:dyDescent="0.25">
      <c r="A113" s="1">
        <v>45888</v>
      </c>
      <c r="B113" t="s">
        <v>453</v>
      </c>
      <c r="C113" t="s">
        <v>454</v>
      </c>
      <c r="E113" t="s">
        <v>455</v>
      </c>
      <c r="F113" t="s">
        <v>27</v>
      </c>
      <c r="G113" t="s">
        <v>28</v>
      </c>
      <c r="H113" t="s">
        <v>29</v>
      </c>
      <c r="I113" t="s">
        <v>30</v>
      </c>
      <c r="J113" t="s">
        <v>46</v>
      </c>
      <c r="L113" s="1">
        <v>45870</v>
      </c>
      <c r="M113" s="1">
        <v>44562</v>
      </c>
      <c r="O113">
        <v>19606009</v>
      </c>
      <c r="P113" t="s">
        <v>32</v>
      </c>
      <c r="Q113" t="s">
        <v>42</v>
      </c>
      <c r="R113">
        <v>8192</v>
      </c>
      <c r="S113" t="s">
        <v>34</v>
      </c>
      <c r="T113" t="s">
        <v>35</v>
      </c>
      <c r="U113">
        <v>1.25</v>
      </c>
      <c r="V113" t="s">
        <v>36</v>
      </c>
      <c r="W113" s="1">
        <v>45809</v>
      </c>
      <c r="X113">
        <v>2025</v>
      </c>
    </row>
    <row r="114" spans="1:24" x14ac:dyDescent="0.25">
      <c r="A114" s="1">
        <v>45888</v>
      </c>
      <c r="B114" t="s">
        <v>456</v>
      </c>
      <c r="C114" t="s">
        <v>457</v>
      </c>
      <c r="E114" t="s">
        <v>458</v>
      </c>
      <c r="F114" t="s">
        <v>27</v>
      </c>
      <c r="G114" t="s">
        <v>28</v>
      </c>
      <c r="H114" t="s">
        <v>29</v>
      </c>
      <c r="I114" t="s">
        <v>30</v>
      </c>
      <c r="J114" t="s">
        <v>46</v>
      </c>
      <c r="L114" s="1">
        <v>45870</v>
      </c>
      <c r="M114" s="1">
        <v>44562</v>
      </c>
      <c r="O114">
        <v>19606009</v>
      </c>
      <c r="P114" t="s">
        <v>32</v>
      </c>
      <c r="Q114" t="s">
        <v>42</v>
      </c>
      <c r="R114">
        <v>8192</v>
      </c>
      <c r="S114" t="s">
        <v>34</v>
      </c>
      <c r="T114" t="s">
        <v>35</v>
      </c>
      <c r="U114">
        <v>1.25</v>
      </c>
      <c r="V114" t="s">
        <v>36</v>
      </c>
      <c r="W114" s="1">
        <v>45809</v>
      </c>
      <c r="X114">
        <v>2025</v>
      </c>
    </row>
    <row r="115" spans="1:24" x14ac:dyDescent="0.25">
      <c r="A115" s="1">
        <v>45888</v>
      </c>
      <c r="B115" t="s">
        <v>459</v>
      </c>
      <c r="C115" t="s">
        <v>460</v>
      </c>
      <c r="E115" t="s">
        <v>461</v>
      </c>
      <c r="F115" t="s">
        <v>234</v>
      </c>
      <c r="G115" t="s">
        <v>28</v>
      </c>
      <c r="H115" t="s">
        <v>29</v>
      </c>
      <c r="I115" t="s">
        <v>235</v>
      </c>
      <c r="J115" t="s">
        <v>462</v>
      </c>
      <c r="L115" s="1">
        <v>45870</v>
      </c>
      <c r="M115" s="1">
        <v>45231</v>
      </c>
      <c r="O115">
        <v>8307933</v>
      </c>
      <c r="P115" t="s">
        <v>32</v>
      </c>
      <c r="Q115" t="s">
        <v>63</v>
      </c>
      <c r="R115">
        <v>8192</v>
      </c>
      <c r="S115" t="s">
        <v>51</v>
      </c>
      <c r="T115" t="s">
        <v>35</v>
      </c>
      <c r="U115">
        <v>28.58</v>
      </c>
      <c r="V115" t="s">
        <v>36</v>
      </c>
      <c r="W115" s="1">
        <v>45152</v>
      </c>
      <c r="X115">
        <v>2025</v>
      </c>
    </row>
    <row r="116" spans="1:24" x14ac:dyDescent="0.25">
      <c r="A116" s="1">
        <v>45888</v>
      </c>
      <c r="B116" t="s">
        <v>463</v>
      </c>
      <c r="C116" t="s">
        <v>464</v>
      </c>
      <c r="E116" t="s">
        <v>465</v>
      </c>
      <c r="F116" t="s">
        <v>27</v>
      </c>
      <c r="G116" t="s">
        <v>28</v>
      </c>
      <c r="H116" t="s">
        <v>29</v>
      </c>
      <c r="I116" t="s">
        <v>30</v>
      </c>
      <c r="J116" t="s">
        <v>46</v>
      </c>
      <c r="L116" s="1">
        <v>45870</v>
      </c>
      <c r="M116" s="1">
        <v>45292</v>
      </c>
      <c r="O116">
        <v>17886092</v>
      </c>
      <c r="P116" t="s">
        <v>32</v>
      </c>
      <c r="Q116" t="s">
        <v>102</v>
      </c>
      <c r="R116">
        <v>8192</v>
      </c>
      <c r="S116" t="s">
        <v>51</v>
      </c>
      <c r="T116" t="s">
        <v>35</v>
      </c>
      <c r="U116">
        <v>2.5</v>
      </c>
      <c r="V116" t="s">
        <v>36</v>
      </c>
      <c r="W116" s="1">
        <v>45251</v>
      </c>
      <c r="X116">
        <v>2025</v>
      </c>
    </row>
    <row r="117" spans="1:24" x14ac:dyDescent="0.25">
      <c r="A117" s="1">
        <v>45888</v>
      </c>
      <c r="B117" t="s">
        <v>466</v>
      </c>
      <c r="C117" t="s">
        <v>467</v>
      </c>
      <c r="E117" t="s">
        <v>468</v>
      </c>
      <c r="F117" t="s">
        <v>27</v>
      </c>
      <c r="G117" t="s">
        <v>28</v>
      </c>
      <c r="H117" t="s">
        <v>29</v>
      </c>
      <c r="I117" t="s">
        <v>30</v>
      </c>
      <c r="J117" t="s">
        <v>46</v>
      </c>
      <c r="L117" s="1">
        <v>45870</v>
      </c>
      <c r="M117" s="1">
        <v>45261</v>
      </c>
      <c r="O117">
        <v>17886092</v>
      </c>
      <c r="P117" t="s">
        <v>32</v>
      </c>
      <c r="Q117" t="s">
        <v>102</v>
      </c>
      <c r="R117">
        <v>8192</v>
      </c>
      <c r="S117" t="s">
        <v>51</v>
      </c>
      <c r="T117" t="s">
        <v>35</v>
      </c>
      <c r="U117">
        <v>2.5</v>
      </c>
      <c r="V117" t="s">
        <v>36</v>
      </c>
      <c r="W117" s="1">
        <v>45223</v>
      </c>
      <c r="X117">
        <v>2025</v>
      </c>
    </row>
    <row r="118" spans="1:24" x14ac:dyDescent="0.25">
      <c r="A118" s="1">
        <v>45888</v>
      </c>
      <c r="B118" t="s">
        <v>469</v>
      </c>
      <c r="C118" t="s">
        <v>470</v>
      </c>
      <c r="E118" t="s">
        <v>471</v>
      </c>
      <c r="F118" t="s">
        <v>111</v>
      </c>
      <c r="G118" t="s">
        <v>28</v>
      </c>
      <c r="H118" t="s">
        <v>29</v>
      </c>
      <c r="I118" t="s">
        <v>112</v>
      </c>
      <c r="J118" t="s">
        <v>472</v>
      </c>
      <c r="L118" s="1">
        <v>45870</v>
      </c>
      <c r="M118" s="1">
        <v>45323</v>
      </c>
      <c r="O118">
        <v>16378851</v>
      </c>
      <c r="P118" t="s">
        <v>32</v>
      </c>
      <c r="Q118" t="s">
        <v>114</v>
      </c>
      <c r="R118">
        <v>8192</v>
      </c>
      <c r="S118" t="s">
        <v>51</v>
      </c>
      <c r="T118" t="s">
        <v>35</v>
      </c>
      <c r="U118">
        <v>28.58</v>
      </c>
      <c r="V118" t="s">
        <v>36</v>
      </c>
      <c r="W118" s="1">
        <v>45294</v>
      </c>
      <c r="X118">
        <v>2025</v>
      </c>
    </row>
    <row r="119" spans="1:24" x14ac:dyDescent="0.25">
      <c r="A119" s="1">
        <v>45888</v>
      </c>
      <c r="B119" t="s">
        <v>473</v>
      </c>
      <c r="C119" t="s">
        <v>474</v>
      </c>
      <c r="D119" t="s">
        <v>475</v>
      </c>
      <c r="E119" t="s">
        <v>476</v>
      </c>
      <c r="F119" t="s">
        <v>27</v>
      </c>
      <c r="G119" t="s">
        <v>28</v>
      </c>
      <c r="H119" t="s">
        <v>29</v>
      </c>
      <c r="I119" t="s">
        <v>273</v>
      </c>
      <c r="J119" t="s">
        <v>50</v>
      </c>
      <c r="L119" s="1">
        <v>45870</v>
      </c>
      <c r="M119" s="1">
        <v>43678</v>
      </c>
      <c r="O119">
        <v>17886092</v>
      </c>
      <c r="P119" t="s">
        <v>32</v>
      </c>
      <c r="Q119" t="s">
        <v>102</v>
      </c>
      <c r="R119">
        <v>8192</v>
      </c>
      <c r="S119" t="s">
        <v>34</v>
      </c>
      <c r="T119" t="s">
        <v>35</v>
      </c>
      <c r="U119">
        <v>1.25</v>
      </c>
      <c r="V119" t="s">
        <v>36</v>
      </c>
      <c r="W119" s="1">
        <v>45597</v>
      </c>
      <c r="X119">
        <v>2025</v>
      </c>
    </row>
    <row r="120" spans="1:24" x14ac:dyDescent="0.25">
      <c r="A120" s="1">
        <v>45888</v>
      </c>
      <c r="B120" t="s">
        <v>477</v>
      </c>
      <c r="C120" t="s">
        <v>478</v>
      </c>
      <c r="E120" t="s">
        <v>479</v>
      </c>
      <c r="F120" t="s">
        <v>27</v>
      </c>
      <c r="G120" t="s">
        <v>28</v>
      </c>
      <c r="H120" t="s">
        <v>29</v>
      </c>
      <c r="I120" t="s">
        <v>30</v>
      </c>
      <c r="J120" t="s">
        <v>156</v>
      </c>
      <c r="L120" s="1">
        <v>45870</v>
      </c>
      <c r="M120" s="1">
        <v>44927</v>
      </c>
      <c r="O120">
        <v>19606009</v>
      </c>
      <c r="P120" t="s">
        <v>32</v>
      </c>
      <c r="Q120" t="s">
        <v>42</v>
      </c>
      <c r="R120">
        <v>8192</v>
      </c>
      <c r="S120" t="s">
        <v>34</v>
      </c>
      <c r="T120" t="s">
        <v>35</v>
      </c>
      <c r="U120">
        <v>1.25</v>
      </c>
      <c r="V120" t="s">
        <v>36</v>
      </c>
      <c r="W120" s="1">
        <v>45839</v>
      </c>
      <c r="X120">
        <v>2025</v>
      </c>
    </row>
    <row r="121" spans="1:24" x14ac:dyDescent="0.25">
      <c r="A121" s="1">
        <v>45888</v>
      </c>
      <c r="B121" t="s">
        <v>480</v>
      </c>
      <c r="C121" t="s">
        <v>481</v>
      </c>
      <c r="E121" t="s">
        <v>482</v>
      </c>
      <c r="F121" t="s">
        <v>303</v>
      </c>
      <c r="G121" t="s">
        <v>28</v>
      </c>
      <c r="H121" t="s">
        <v>29</v>
      </c>
      <c r="I121" t="s">
        <v>304</v>
      </c>
      <c r="J121" t="s">
        <v>483</v>
      </c>
      <c r="L121" s="1">
        <v>45870</v>
      </c>
      <c r="M121" s="1">
        <v>45292</v>
      </c>
      <c r="O121">
        <v>17425766</v>
      </c>
      <c r="P121" t="s">
        <v>32</v>
      </c>
      <c r="Q121" t="s">
        <v>56</v>
      </c>
      <c r="R121">
        <v>8192</v>
      </c>
      <c r="S121" t="s">
        <v>51</v>
      </c>
      <c r="T121" t="s">
        <v>35</v>
      </c>
      <c r="U121">
        <v>28.58</v>
      </c>
      <c r="V121" t="s">
        <v>36</v>
      </c>
      <c r="W121" s="1">
        <v>45246</v>
      </c>
      <c r="X121">
        <v>2025</v>
      </c>
    </row>
    <row r="122" spans="1:24" x14ac:dyDescent="0.25">
      <c r="A122" s="1">
        <v>45888</v>
      </c>
      <c r="B122" t="s">
        <v>484</v>
      </c>
      <c r="C122" t="s">
        <v>485</v>
      </c>
      <c r="E122" t="s">
        <v>486</v>
      </c>
      <c r="F122" t="s">
        <v>303</v>
      </c>
      <c r="G122" t="s">
        <v>28</v>
      </c>
      <c r="H122" t="s">
        <v>29</v>
      </c>
      <c r="I122" t="s">
        <v>304</v>
      </c>
      <c r="J122" t="s">
        <v>483</v>
      </c>
      <c r="L122" s="1">
        <v>45870</v>
      </c>
      <c r="M122" s="1">
        <v>45292</v>
      </c>
      <c r="O122">
        <v>17425766</v>
      </c>
      <c r="P122" t="s">
        <v>32</v>
      </c>
      <c r="Q122" t="s">
        <v>56</v>
      </c>
      <c r="R122">
        <v>8192</v>
      </c>
      <c r="S122" t="s">
        <v>51</v>
      </c>
      <c r="T122" t="s">
        <v>35</v>
      </c>
      <c r="U122">
        <v>28.58</v>
      </c>
      <c r="V122" t="s">
        <v>36</v>
      </c>
      <c r="W122" s="1">
        <v>45246</v>
      </c>
      <c r="X122">
        <v>2025</v>
      </c>
    </row>
    <row r="123" spans="1:24" x14ac:dyDescent="0.25">
      <c r="A123" s="1">
        <v>45888</v>
      </c>
      <c r="B123" t="s">
        <v>487</v>
      </c>
      <c r="C123" t="s">
        <v>488</v>
      </c>
      <c r="E123" t="s">
        <v>489</v>
      </c>
      <c r="F123" t="s">
        <v>346</v>
      </c>
      <c r="G123" t="s">
        <v>28</v>
      </c>
      <c r="H123" t="s">
        <v>29</v>
      </c>
      <c r="I123" t="s">
        <v>90</v>
      </c>
      <c r="J123" t="s">
        <v>490</v>
      </c>
      <c r="L123" s="1">
        <v>45870</v>
      </c>
      <c r="M123" s="1">
        <v>45292</v>
      </c>
      <c r="O123">
        <v>8307933</v>
      </c>
      <c r="P123" t="s">
        <v>32</v>
      </c>
      <c r="Q123" t="s">
        <v>63</v>
      </c>
      <c r="R123">
        <v>8192</v>
      </c>
      <c r="S123" t="s">
        <v>51</v>
      </c>
      <c r="T123" t="s">
        <v>35</v>
      </c>
      <c r="U123">
        <v>28.58</v>
      </c>
      <c r="V123" t="s">
        <v>36</v>
      </c>
      <c r="W123" s="1">
        <v>45251</v>
      </c>
      <c r="X123">
        <v>2025</v>
      </c>
    </row>
    <row r="124" spans="1:24" x14ac:dyDescent="0.25">
      <c r="A124" s="1">
        <v>45888</v>
      </c>
      <c r="B124" t="s">
        <v>491</v>
      </c>
      <c r="C124" t="s">
        <v>492</v>
      </c>
      <c r="E124" t="s">
        <v>493</v>
      </c>
      <c r="F124" t="s">
        <v>346</v>
      </c>
      <c r="G124" t="s">
        <v>28</v>
      </c>
      <c r="H124" t="s">
        <v>29</v>
      </c>
      <c r="I124" t="s">
        <v>90</v>
      </c>
      <c r="J124" t="s">
        <v>490</v>
      </c>
      <c r="L124" s="1">
        <v>45870</v>
      </c>
      <c r="M124" s="1">
        <v>45292</v>
      </c>
      <c r="O124">
        <v>8307933</v>
      </c>
      <c r="P124" t="s">
        <v>32</v>
      </c>
      <c r="Q124" t="s">
        <v>63</v>
      </c>
      <c r="R124">
        <v>8192</v>
      </c>
      <c r="S124" t="s">
        <v>51</v>
      </c>
      <c r="T124" t="s">
        <v>35</v>
      </c>
      <c r="U124">
        <v>28.58</v>
      </c>
      <c r="V124" t="s">
        <v>36</v>
      </c>
      <c r="W124" s="1">
        <v>45214</v>
      </c>
      <c r="X124">
        <v>2025</v>
      </c>
    </row>
    <row r="125" spans="1:24" x14ac:dyDescent="0.25">
      <c r="A125" s="1">
        <v>45888</v>
      </c>
      <c r="B125" t="s">
        <v>494</v>
      </c>
      <c r="C125" t="s">
        <v>495</v>
      </c>
      <c r="E125" t="s">
        <v>496</v>
      </c>
      <c r="F125" t="s">
        <v>27</v>
      </c>
      <c r="G125" t="s">
        <v>28</v>
      </c>
      <c r="H125" t="s">
        <v>29</v>
      </c>
      <c r="I125" t="s">
        <v>30</v>
      </c>
      <c r="J125" t="s">
        <v>497</v>
      </c>
      <c r="L125" s="1">
        <v>45870</v>
      </c>
      <c r="M125" s="1">
        <v>45474</v>
      </c>
      <c r="O125">
        <v>17425766</v>
      </c>
      <c r="P125" t="s">
        <v>32</v>
      </c>
      <c r="Q125" t="s">
        <v>56</v>
      </c>
      <c r="R125">
        <v>8192</v>
      </c>
      <c r="S125" t="s">
        <v>34</v>
      </c>
      <c r="T125" t="s">
        <v>35</v>
      </c>
      <c r="U125">
        <v>33.17</v>
      </c>
      <c r="V125" t="s">
        <v>36</v>
      </c>
      <c r="W125" s="1">
        <v>45422</v>
      </c>
      <c r="X125">
        <v>2025</v>
      </c>
    </row>
    <row r="126" spans="1:24" x14ac:dyDescent="0.25">
      <c r="A126" s="1">
        <v>45888</v>
      </c>
      <c r="B126" t="s">
        <v>498</v>
      </c>
      <c r="C126" t="s">
        <v>499</v>
      </c>
      <c r="E126" t="s">
        <v>500</v>
      </c>
      <c r="F126" t="s">
        <v>27</v>
      </c>
      <c r="G126" t="s">
        <v>28</v>
      </c>
      <c r="H126" t="s">
        <v>127</v>
      </c>
      <c r="I126" t="s">
        <v>30</v>
      </c>
      <c r="J126" t="s">
        <v>128</v>
      </c>
      <c r="L126" s="1">
        <v>45870</v>
      </c>
      <c r="M126" s="1">
        <v>45292</v>
      </c>
      <c r="O126">
        <v>17886092</v>
      </c>
      <c r="P126" t="s">
        <v>32</v>
      </c>
      <c r="Q126" t="s">
        <v>102</v>
      </c>
      <c r="R126">
        <v>8192</v>
      </c>
      <c r="S126" t="s">
        <v>51</v>
      </c>
      <c r="T126" t="s">
        <v>35</v>
      </c>
      <c r="U126">
        <v>2.5</v>
      </c>
      <c r="V126" t="s">
        <v>36</v>
      </c>
      <c r="W126" s="1">
        <v>45264</v>
      </c>
      <c r="X126">
        <v>2025</v>
      </c>
    </row>
    <row r="127" spans="1:24" x14ac:dyDescent="0.25">
      <c r="A127" s="1">
        <v>45888</v>
      </c>
      <c r="B127" t="s">
        <v>501</v>
      </c>
      <c r="C127" t="s">
        <v>502</v>
      </c>
      <c r="E127" t="s">
        <v>503</v>
      </c>
      <c r="F127" t="s">
        <v>74</v>
      </c>
      <c r="G127" t="s">
        <v>28</v>
      </c>
      <c r="H127" t="s">
        <v>29</v>
      </c>
      <c r="I127" t="s">
        <v>61</v>
      </c>
      <c r="J127" t="s">
        <v>75</v>
      </c>
      <c r="L127" s="1">
        <v>45870</v>
      </c>
      <c r="M127" s="1">
        <v>45292</v>
      </c>
      <c r="O127">
        <v>9213293</v>
      </c>
      <c r="P127" t="s">
        <v>32</v>
      </c>
      <c r="Q127" t="s">
        <v>252</v>
      </c>
      <c r="R127">
        <v>8192</v>
      </c>
      <c r="S127" t="s">
        <v>34</v>
      </c>
      <c r="T127" t="s">
        <v>35</v>
      </c>
      <c r="U127">
        <v>29.83</v>
      </c>
      <c r="V127" t="s">
        <v>36</v>
      </c>
      <c r="W127" s="1">
        <v>45689</v>
      </c>
      <c r="X127">
        <v>2025</v>
      </c>
    </row>
    <row r="128" spans="1:24" x14ac:dyDescent="0.25">
      <c r="A128" s="1">
        <v>45888</v>
      </c>
      <c r="B128" t="s">
        <v>504</v>
      </c>
      <c r="C128" t="s">
        <v>505</v>
      </c>
      <c r="E128" t="s">
        <v>506</v>
      </c>
      <c r="F128" t="s">
        <v>27</v>
      </c>
      <c r="G128" t="s">
        <v>28</v>
      </c>
      <c r="H128" t="s">
        <v>29</v>
      </c>
      <c r="I128" t="s">
        <v>30</v>
      </c>
      <c r="J128" t="s">
        <v>31</v>
      </c>
      <c r="L128" s="1">
        <v>45870</v>
      </c>
      <c r="M128" s="1">
        <v>45292</v>
      </c>
      <c r="O128">
        <v>17528908</v>
      </c>
      <c r="P128" t="s">
        <v>32</v>
      </c>
      <c r="Q128" t="s">
        <v>33</v>
      </c>
      <c r="R128">
        <v>8192</v>
      </c>
      <c r="S128" t="s">
        <v>51</v>
      </c>
      <c r="T128" t="s">
        <v>35</v>
      </c>
      <c r="U128">
        <v>31.92</v>
      </c>
      <c r="V128" t="s">
        <v>36</v>
      </c>
      <c r="W128" s="1">
        <v>45239</v>
      </c>
      <c r="X128">
        <v>2025</v>
      </c>
    </row>
    <row r="129" spans="1:24" x14ac:dyDescent="0.25">
      <c r="A129" s="1">
        <v>45888</v>
      </c>
      <c r="B129" t="s">
        <v>507</v>
      </c>
      <c r="C129" t="s">
        <v>508</v>
      </c>
      <c r="E129" t="s">
        <v>509</v>
      </c>
      <c r="F129" t="s">
        <v>27</v>
      </c>
      <c r="G129" t="s">
        <v>28</v>
      </c>
      <c r="H129" t="s">
        <v>29</v>
      </c>
      <c r="I129" t="s">
        <v>30</v>
      </c>
      <c r="J129" t="s">
        <v>31</v>
      </c>
      <c r="L129" s="1">
        <v>45870</v>
      </c>
      <c r="M129" s="1">
        <v>45139</v>
      </c>
      <c r="O129">
        <v>17528908</v>
      </c>
      <c r="P129" t="s">
        <v>32</v>
      </c>
      <c r="Q129" t="s">
        <v>33</v>
      </c>
      <c r="R129">
        <v>8192</v>
      </c>
      <c r="S129" t="s">
        <v>51</v>
      </c>
      <c r="T129" t="s">
        <v>35</v>
      </c>
      <c r="U129">
        <v>31.92</v>
      </c>
      <c r="V129" t="s">
        <v>36</v>
      </c>
      <c r="W129" s="1">
        <v>45120</v>
      </c>
      <c r="X129">
        <v>2025</v>
      </c>
    </row>
    <row r="130" spans="1:24" x14ac:dyDescent="0.25">
      <c r="A130" s="1">
        <v>45888</v>
      </c>
      <c r="B130" t="s">
        <v>510</v>
      </c>
      <c r="C130" t="s">
        <v>511</v>
      </c>
      <c r="E130" t="s">
        <v>512</v>
      </c>
      <c r="F130" t="s">
        <v>27</v>
      </c>
      <c r="G130" t="s">
        <v>28</v>
      </c>
      <c r="H130" t="s">
        <v>29</v>
      </c>
      <c r="I130" t="s">
        <v>40</v>
      </c>
      <c r="J130" t="s">
        <v>46</v>
      </c>
      <c r="L130" s="1">
        <v>45870</v>
      </c>
      <c r="M130" s="1">
        <v>44317</v>
      </c>
      <c r="O130">
        <v>19606009</v>
      </c>
      <c r="P130" t="s">
        <v>32</v>
      </c>
      <c r="Q130" t="s">
        <v>42</v>
      </c>
      <c r="R130">
        <v>8192</v>
      </c>
      <c r="S130" t="s">
        <v>34</v>
      </c>
      <c r="T130" t="s">
        <v>35</v>
      </c>
      <c r="U130">
        <v>1.25</v>
      </c>
      <c r="V130" t="s">
        <v>36</v>
      </c>
      <c r="W130" s="1">
        <v>45839</v>
      </c>
      <c r="X130">
        <v>2025</v>
      </c>
    </row>
    <row r="131" spans="1:24" x14ac:dyDescent="0.25">
      <c r="A131" s="1">
        <v>45888</v>
      </c>
      <c r="B131" t="s">
        <v>513</v>
      </c>
      <c r="C131" t="s">
        <v>514</v>
      </c>
      <c r="E131" t="s">
        <v>515</v>
      </c>
      <c r="F131" t="s">
        <v>27</v>
      </c>
      <c r="G131" t="s">
        <v>28</v>
      </c>
      <c r="H131" t="s">
        <v>29</v>
      </c>
      <c r="I131" t="s">
        <v>30</v>
      </c>
      <c r="J131" t="s">
        <v>46</v>
      </c>
      <c r="L131" s="1">
        <v>45870</v>
      </c>
      <c r="M131" s="1">
        <v>45292</v>
      </c>
      <c r="O131">
        <v>17528908</v>
      </c>
      <c r="P131" t="s">
        <v>32</v>
      </c>
      <c r="Q131" t="s">
        <v>33</v>
      </c>
      <c r="R131">
        <v>8192</v>
      </c>
      <c r="S131" t="s">
        <v>51</v>
      </c>
      <c r="T131" t="s">
        <v>35</v>
      </c>
      <c r="U131">
        <v>31.92</v>
      </c>
      <c r="V131" t="s">
        <v>36</v>
      </c>
      <c r="W131" s="1">
        <v>45258</v>
      </c>
      <c r="X131">
        <v>2025</v>
      </c>
    </row>
    <row r="132" spans="1:24" x14ac:dyDescent="0.25">
      <c r="A132" s="1">
        <v>45888</v>
      </c>
      <c r="B132" t="s">
        <v>516</v>
      </c>
      <c r="C132" t="s">
        <v>517</v>
      </c>
      <c r="E132" t="s">
        <v>518</v>
      </c>
      <c r="F132" t="s">
        <v>519</v>
      </c>
      <c r="G132" t="s">
        <v>28</v>
      </c>
      <c r="H132" t="s">
        <v>29</v>
      </c>
      <c r="I132" t="s">
        <v>520</v>
      </c>
      <c r="J132" t="s">
        <v>521</v>
      </c>
      <c r="L132" s="1">
        <v>45870</v>
      </c>
      <c r="M132" s="1">
        <v>45383</v>
      </c>
      <c r="O132">
        <v>16509456</v>
      </c>
      <c r="P132" t="s">
        <v>32</v>
      </c>
      <c r="Q132" t="s">
        <v>107</v>
      </c>
      <c r="R132">
        <v>8192</v>
      </c>
      <c r="S132" t="s">
        <v>34</v>
      </c>
      <c r="T132" t="s">
        <v>35</v>
      </c>
      <c r="U132">
        <v>36.67</v>
      </c>
      <c r="V132" t="s">
        <v>36</v>
      </c>
      <c r="W132" s="1">
        <v>45343</v>
      </c>
      <c r="X132">
        <v>2025</v>
      </c>
    </row>
    <row r="133" spans="1:24" x14ac:dyDescent="0.25">
      <c r="A133" s="1">
        <v>45888</v>
      </c>
      <c r="B133" t="s">
        <v>522</v>
      </c>
      <c r="C133" t="s">
        <v>523</v>
      </c>
      <c r="E133" t="s">
        <v>524</v>
      </c>
      <c r="F133" t="s">
        <v>27</v>
      </c>
      <c r="G133" t="s">
        <v>28</v>
      </c>
      <c r="H133" t="s">
        <v>29</v>
      </c>
      <c r="I133" t="s">
        <v>30</v>
      </c>
      <c r="J133" t="s">
        <v>50</v>
      </c>
      <c r="L133" s="1">
        <v>45870</v>
      </c>
      <c r="M133" s="1">
        <v>45323</v>
      </c>
      <c r="O133">
        <v>17886092</v>
      </c>
      <c r="P133" t="s">
        <v>32</v>
      </c>
      <c r="Q133" t="s">
        <v>102</v>
      </c>
      <c r="R133">
        <v>8192</v>
      </c>
      <c r="S133" t="s">
        <v>51</v>
      </c>
      <c r="T133" t="s">
        <v>35</v>
      </c>
      <c r="U133">
        <v>2.5</v>
      </c>
      <c r="V133" t="s">
        <v>36</v>
      </c>
      <c r="W133" s="1">
        <v>45308</v>
      </c>
      <c r="X133">
        <v>2025</v>
      </c>
    </row>
    <row r="134" spans="1:24" x14ac:dyDescent="0.25">
      <c r="A134" s="1">
        <v>45888</v>
      </c>
      <c r="B134" t="s">
        <v>525</v>
      </c>
      <c r="C134" t="s">
        <v>526</v>
      </c>
      <c r="E134" t="s">
        <v>527</v>
      </c>
      <c r="F134" t="s">
        <v>27</v>
      </c>
      <c r="G134" t="s">
        <v>28</v>
      </c>
      <c r="H134" t="s">
        <v>29</v>
      </c>
      <c r="I134" t="s">
        <v>30</v>
      </c>
      <c r="J134" t="s">
        <v>46</v>
      </c>
      <c r="L134" s="1">
        <v>45870</v>
      </c>
      <c r="M134" s="1">
        <v>44562</v>
      </c>
      <c r="O134">
        <v>19606009</v>
      </c>
      <c r="P134" t="s">
        <v>32</v>
      </c>
      <c r="Q134" t="s">
        <v>42</v>
      </c>
      <c r="R134">
        <v>8192</v>
      </c>
      <c r="S134" t="s">
        <v>34</v>
      </c>
      <c r="T134" t="s">
        <v>35</v>
      </c>
      <c r="U134">
        <v>1.25</v>
      </c>
      <c r="V134" t="s">
        <v>36</v>
      </c>
      <c r="W134" s="1">
        <v>45809</v>
      </c>
      <c r="X134">
        <v>2025</v>
      </c>
    </row>
    <row r="135" spans="1:24" x14ac:dyDescent="0.25">
      <c r="A135" s="1">
        <v>45888</v>
      </c>
      <c r="B135" t="s">
        <v>528</v>
      </c>
      <c r="C135" t="s">
        <v>529</v>
      </c>
      <c r="E135" t="s">
        <v>530</v>
      </c>
      <c r="F135" t="s">
        <v>27</v>
      </c>
      <c r="G135" t="s">
        <v>28</v>
      </c>
      <c r="H135" t="s">
        <v>29</v>
      </c>
      <c r="I135" t="s">
        <v>30</v>
      </c>
      <c r="J135" t="s">
        <v>46</v>
      </c>
      <c r="L135" s="1">
        <v>45870</v>
      </c>
      <c r="M135" s="1">
        <v>44562</v>
      </c>
      <c r="O135">
        <v>19606009</v>
      </c>
      <c r="P135" t="s">
        <v>32</v>
      </c>
      <c r="Q135" t="s">
        <v>42</v>
      </c>
      <c r="R135">
        <v>8192</v>
      </c>
      <c r="S135" t="s">
        <v>34</v>
      </c>
      <c r="T135" t="s">
        <v>35</v>
      </c>
      <c r="U135">
        <v>1.25</v>
      </c>
      <c r="V135" t="s">
        <v>36</v>
      </c>
      <c r="W135" s="1">
        <v>45809</v>
      </c>
      <c r="X135">
        <v>2025</v>
      </c>
    </row>
    <row r="136" spans="1:24" x14ac:dyDescent="0.25">
      <c r="A136" s="1">
        <v>45888</v>
      </c>
      <c r="B136" t="s">
        <v>531</v>
      </c>
      <c r="C136" t="s">
        <v>532</v>
      </c>
      <c r="E136" t="s">
        <v>533</v>
      </c>
      <c r="F136" t="s">
        <v>27</v>
      </c>
      <c r="G136" t="s">
        <v>28</v>
      </c>
      <c r="H136" t="s">
        <v>29</v>
      </c>
      <c r="I136" t="s">
        <v>30</v>
      </c>
      <c r="J136" t="s">
        <v>31</v>
      </c>
      <c r="L136" s="1">
        <v>45870</v>
      </c>
      <c r="M136" s="1">
        <v>45352</v>
      </c>
      <c r="O136">
        <v>17528908</v>
      </c>
      <c r="P136" t="s">
        <v>32</v>
      </c>
      <c r="Q136" t="s">
        <v>33</v>
      </c>
      <c r="R136">
        <v>8192</v>
      </c>
      <c r="S136" t="s">
        <v>34</v>
      </c>
      <c r="T136" t="s">
        <v>35</v>
      </c>
      <c r="U136">
        <v>33.17</v>
      </c>
      <c r="V136" t="s">
        <v>36</v>
      </c>
      <c r="W136" s="1">
        <v>45349</v>
      </c>
      <c r="X136">
        <v>2025</v>
      </c>
    </row>
    <row r="137" spans="1:24" x14ac:dyDescent="0.25">
      <c r="A137" s="1">
        <v>45888</v>
      </c>
      <c r="B137" t="s">
        <v>534</v>
      </c>
      <c r="C137" t="s">
        <v>535</v>
      </c>
      <c r="E137" t="s">
        <v>536</v>
      </c>
      <c r="F137" t="s">
        <v>27</v>
      </c>
      <c r="G137" t="s">
        <v>28</v>
      </c>
      <c r="H137" t="s">
        <v>127</v>
      </c>
      <c r="I137" t="s">
        <v>30</v>
      </c>
      <c r="J137" t="s">
        <v>128</v>
      </c>
      <c r="L137" s="1">
        <v>45870</v>
      </c>
      <c r="M137" s="1">
        <v>45292</v>
      </c>
      <c r="O137">
        <v>17886092</v>
      </c>
      <c r="P137" t="s">
        <v>32</v>
      </c>
      <c r="Q137" t="s">
        <v>102</v>
      </c>
      <c r="R137">
        <v>8192</v>
      </c>
      <c r="S137" t="s">
        <v>51</v>
      </c>
      <c r="T137" t="s">
        <v>35</v>
      </c>
      <c r="U137">
        <v>2.5</v>
      </c>
      <c r="V137" t="s">
        <v>36</v>
      </c>
      <c r="W137" s="1">
        <v>45265</v>
      </c>
      <c r="X137">
        <v>2025</v>
      </c>
    </row>
    <row r="138" spans="1:24" x14ac:dyDescent="0.25">
      <c r="A138" s="1">
        <v>45888</v>
      </c>
      <c r="B138" t="s">
        <v>537</v>
      </c>
      <c r="C138" t="s">
        <v>538</v>
      </c>
      <c r="E138" t="s">
        <v>539</v>
      </c>
      <c r="F138" t="s">
        <v>27</v>
      </c>
      <c r="G138" t="s">
        <v>28</v>
      </c>
      <c r="H138" t="s">
        <v>127</v>
      </c>
      <c r="I138" t="s">
        <v>30</v>
      </c>
      <c r="J138" t="s">
        <v>128</v>
      </c>
      <c r="L138" s="1">
        <v>45870</v>
      </c>
      <c r="M138" s="1">
        <v>45383</v>
      </c>
      <c r="O138">
        <v>17528908</v>
      </c>
      <c r="P138" t="s">
        <v>32</v>
      </c>
      <c r="Q138" t="s">
        <v>33</v>
      </c>
      <c r="R138">
        <v>8192</v>
      </c>
      <c r="S138" t="s">
        <v>34</v>
      </c>
      <c r="T138" t="s">
        <v>35</v>
      </c>
      <c r="U138">
        <v>33.17</v>
      </c>
      <c r="V138" t="s">
        <v>36</v>
      </c>
      <c r="W138" s="1">
        <v>45351</v>
      </c>
      <c r="X138">
        <v>2025</v>
      </c>
    </row>
    <row r="139" spans="1:24" x14ac:dyDescent="0.25">
      <c r="A139" s="1">
        <v>45888</v>
      </c>
      <c r="B139" t="s">
        <v>540</v>
      </c>
      <c r="C139" t="s">
        <v>541</v>
      </c>
      <c r="E139" t="s">
        <v>542</v>
      </c>
      <c r="F139" t="s">
        <v>27</v>
      </c>
      <c r="G139" t="s">
        <v>28</v>
      </c>
      <c r="H139" t="s">
        <v>29</v>
      </c>
      <c r="I139" t="s">
        <v>30</v>
      </c>
      <c r="J139" t="s">
        <v>50</v>
      </c>
      <c r="L139" s="1">
        <v>45870</v>
      </c>
      <c r="M139" s="1">
        <v>45658</v>
      </c>
      <c r="O139">
        <v>19606009</v>
      </c>
      <c r="P139" t="s">
        <v>32</v>
      </c>
      <c r="Q139" t="s">
        <v>42</v>
      </c>
      <c r="R139">
        <v>8192</v>
      </c>
      <c r="S139" t="s">
        <v>34</v>
      </c>
      <c r="T139" t="s">
        <v>35</v>
      </c>
      <c r="U139">
        <v>1.25</v>
      </c>
      <c r="V139" t="s">
        <v>36</v>
      </c>
      <c r="W139" s="1">
        <v>45870</v>
      </c>
      <c r="X139">
        <v>2025</v>
      </c>
    </row>
    <row r="140" spans="1:24" x14ac:dyDescent="0.25">
      <c r="A140" s="1">
        <v>45888</v>
      </c>
      <c r="B140" t="s">
        <v>543</v>
      </c>
      <c r="C140" t="s">
        <v>544</v>
      </c>
      <c r="E140" t="s">
        <v>545</v>
      </c>
      <c r="F140" t="s">
        <v>27</v>
      </c>
      <c r="G140" t="s">
        <v>28</v>
      </c>
      <c r="H140" t="s">
        <v>29</v>
      </c>
      <c r="I140" t="s">
        <v>30</v>
      </c>
      <c r="J140" t="s">
        <v>46</v>
      </c>
      <c r="L140" s="1">
        <v>45870</v>
      </c>
      <c r="M140" s="1">
        <v>44562</v>
      </c>
      <c r="O140">
        <v>19606009</v>
      </c>
      <c r="P140" t="s">
        <v>32</v>
      </c>
      <c r="Q140" t="s">
        <v>42</v>
      </c>
      <c r="R140">
        <v>8192</v>
      </c>
      <c r="S140" t="s">
        <v>34</v>
      </c>
      <c r="T140" t="s">
        <v>35</v>
      </c>
      <c r="U140">
        <v>1.25</v>
      </c>
      <c r="V140" t="s">
        <v>36</v>
      </c>
      <c r="W140" s="1">
        <v>45809</v>
      </c>
      <c r="X140">
        <v>2025</v>
      </c>
    </row>
    <row r="141" spans="1:24" x14ac:dyDescent="0.25">
      <c r="A141" s="1">
        <v>45888</v>
      </c>
      <c r="B141" t="s">
        <v>546</v>
      </c>
      <c r="C141" t="s">
        <v>547</v>
      </c>
      <c r="E141" t="s">
        <v>548</v>
      </c>
      <c r="F141" t="s">
        <v>27</v>
      </c>
      <c r="G141" t="s">
        <v>28</v>
      </c>
      <c r="H141" t="s">
        <v>29</v>
      </c>
      <c r="I141" t="s">
        <v>30</v>
      </c>
      <c r="J141" t="s">
        <v>46</v>
      </c>
      <c r="L141" s="1">
        <v>45870</v>
      </c>
      <c r="M141" s="1">
        <v>44562</v>
      </c>
      <c r="O141">
        <v>19606009</v>
      </c>
      <c r="P141" t="s">
        <v>32</v>
      </c>
      <c r="Q141" t="s">
        <v>42</v>
      </c>
      <c r="R141">
        <v>8192</v>
      </c>
      <c r="S141" t="s">
        <v>34</v>
      </c>
      <c r="T141" t="s">
        <v>35</v>
      </c>
      <c r="U141">
        <v>1.25</v>
      </c>
      <c r="V141" t="s">
        <v>36</v>
      </c>
      <c r="W141" s="1">
        <v>45809</v>
      </c>
      <c r="X141">
        <v>2025</v>
      </c>
    </row>
    <row r="142" spans="1:24" x14ac:dyDescent="0.25">
      <c r="A142" s="1">
        <v>45888</v>
      </c>
      <c r="B142" t="s">
        <v>549</v>
      </c>
      <c r="C142" t="s">
        <v>550</v>
      </c>
      <c r="E142" t="s">
        <v>551</v>
      </c>
      <c r="F142" t="s">
        <v>27</v>
      </c>
      <c r="G142" t="s">
        <v>28</v>
      </c>
      <c r="H142" t="s">
        <v>29</v>
      </c>
      <c r="I142" t="s">
        <v>30</v>
      </c>
      <c r="J142" t="s">
        <v>46</v>
      </c>
      <c r="L142" s="1">
        <v>45870</v>
      </c>
      <c r="M142" s="1">
        <v>44562</v>
      </c>
      <c r="O142">
        <v>19606009</v>
      </c>
      <c r="P142" t="s">
        <v>32</v>
      </c>
      <c r="Q142" t="s">
        <v>42</v>
      </c>
      <c r="R142">
        <v>8192</v>
      </c>
      <c r="S142" t="s">
        <v>34</v>
      </c>
      <c r="T142" t="s">
        <v>35</v>
      </c>
      <c r="U142">
        <v>1.25</v>
      </c>
      <c r="V142" t="s">
        <v>36</v>
      </c>
      <c r="W142" s="1">
        <v>45870</v>
      </c>
      <c r="X142">
        <v>2025</v>
      </c>
    </row>
    <row r="143" spans="1:24" x14ac:dyDescent="0.25">
      <c r="A143" s="1">
        <v>45888</v>
      </c>
      <c r="B143" t="s">
        <v>552</v>
      </c>
      <c r="C143" t="s">
        <v>553</v>
      </c>
      <c r="E143" t="s">
        <v>554</v>
      </c>
      <c r="F143" t="s">
        <v>27</v>
      </c>
      <c r="G143" t="s">
        <v>28</v>
      </c>
      <c r="H143" t="s">
        <v>29</v>
      </c>
      <c r="I143" t="s">
        <v>30</v>
      </c>
      <c r="J143" t="s">
        <v>50</v>
      </c>
      <c r="L143" s="1">
        <v>45870</v>
      </c>
      <c r="M143" s="1">
        <v>45658</v>
      </c>
      <c r="O143">
        <v>17886092</v>
      </c>
      <c r="P143" t="s">
        <v>32</v>
      </c>
      <c r="Q143" t="s">
        <v>102</v>
      </c>
      <c r="R143">
        <v>8192</v>
      </c>
      <c r="S143" t="s">
        <v>51</v>
      </c>
      <c r="T143" t="s">
        <v>35</v>
      </c>
      <c r="U143">
        <v>2.5</v>
      </c>
      <c r="V143" t="s">
        <v>36</v>
      </c>
      <c r="W143" s="1">
        <v>45225</v>
      </c>
      <c r="X143">
        <v>2025</v>
      </c>
    </row>
    <row r="144" spans="1:24" x14ac:dyDescent="0.25">
      <c r="A144" s="1">
        <v>45888</v>
      </c>
      <c r="B144" t="s">
        <v>555</v>
      </c>
      <c r="C144" t="s">
        <v>556</v>
      </c>
      <c r="E144" t="s">
        <v>557</v>
      </c>
      <c r="F144" t="s">
        <v>27</v>
      </c>
      <c r="G144" t="s">
        <v>28</v>
      </c>
      <c r="H144" t="s">
        <v>29</v>
      </c>
      <c r="I144" t="s">
        <v>30</v>
      </c>
      <c r="J144" t="s">
        <v>50</v>
      </c>
      <c r="L144" s="1">
        <v>45870</v>
      </c>
      <c r="M144" s="1">
        <v>45658</v>
      </c>
      <c r="O144">
        <v>19606009</v>
      </c>
      <c r="P144" t="s">
        <v>32</v>
      </c>
      <c r="Q144" t="s">
        <v>42</v>
      </c>
      <c r="R144">
        <v>8192</v>
      </c>
      <c r="S144" t="s">
        <v>34</v>
      </c>
      <c r="T144" t="s">
        <v>35</v>
      </c>
      <c r="U144">
        <v>1.25</v>
      </c>
      <c r="V144" t="s">
        <v>36</v>
      </c>
      <c r="W144" s="1">
        <v>45839</v>
      </c>
      <c r="X144">
        <v>2025</v>
      </c>
    </row>
    <row r="145" spans="1:24" x14ac:dyDescent="0.25">
      <c r="A145" s="1">
        <v>45888</v>
      </c>
      <c r="B145" t="s">
        <v>558</v>
      </c>
      <c r="C145" t="s">
        <v>559</v>
      </c>
      <c r="E145" t="s">
        <v>560</v>
      </c>
      <c r="F145" t="s">
        <v>27</v>
      </c>
      <c r="G145" t="s">
        <v>28</v>
      </c>
      <c r="H145" t="s">
        <v>29</v>
      </c>
      <c r="I145" t="s">
        <v>30</v>
      </c>
      <c r="J145" t="s">
        <v>50</v>
      </c>
      <c r="L145" s="1">
        <v>45870</v>
      </c>
      <c r="M145" s="1">
        <v>45658</v>
      </c>
      <c r="O145">
        <v>19606009</v>
      </c>
      <c r="P145" t="s">
        <v>32</v>
      </c>
      <c r="Q145" t="s">
        <v>42</v>
      </c>
      <c r="R145">
        <v>8192</v>
      </c>
      <c r="S145" t="s">
        <v>34</v>
      </c>
      <c r="T145" t="s">
        <v>35</v>
      </c>
      <c r="U145">
        <v>1.25</v>
      </c>
      <c r="V145" t="s">
        <v>36</v>
      </c>
      <c r="W145" s="1">
        <v>45839</v>
      </c>
      <c r="X145">
        <v>2025</v>
      </c>
    </row>
    <row r="146" spans="1:24" x14ac:dyDescent="0.25">
      <c r="A146" s="1">
        <v>45888</v>
      </c>
      <c r="B146" t="s">
        <v>561</v>
      </c>
      <c r="C146" t="s">
        <v>562</v>
      </c>
      <c r="E146" t="s">
        <v>563</v>
      </c>
      <c r="F146" t="s">
        <v>74</v>
      </c>
      <c r="G146" t="s">
        <v>28</v>
      </c>
      <c r="H146" t="s">
        <v>29</v>
      </c>
      <c r="I146" t="s">
        <v>61</v>
      </c>
      <c r="J146" t="s">
        <v>75</v>
      </c>
      <c r="L146" s="1">
        <v>45870</v>
      </c>
      <c r="M146" s="1">
        <v>45627</v>
      </c>
      <c r="O146">
        <v>7146581</v>
      </c>
      <c r="P146" t="s">
        <v>32</v>
      </c>
      <c r="Q146" t="s">
        <v>259</v>
      </c>
      <c r="R146">
        <v>8192</v>
      </c>
      <c r="S146" t="s">
        <v>34</v>
      </c>
      <c r="T146" t="s">
        <v>35</v>
      </c>
      <c r="U146">
        <v>29.83</v>
      </c>
      <c r="V146" t="s">
        <v>36</v>
      </c>
      <c r="W146" s="1">
        <v>45608</v>
      </c>
      <c r="X146">
        <v>2025</v>
      </c>
    </row>
    <row r="147" spans="1:24" x14ac:dyDescent="0.25">
      <c r="A147" s="1">
        <v>45888</v>
      </c>
      <c r="B147" t="s">
        <v>564</v>
      </c>
      <c r="C147" t="s">
        <v>565</v>
      </c>
      <c r="E147" t="s">
        <v>566</v>
      </c>
      <c r="F147" t="s">
        <v>27</v>
      </c>
      <c r="G147" t="s">
        <v>28</v>
      </c>
      <c r="H147" t="s">
        <v>29</v>
      </c>
      <c r="I147" t="s">
        <v>30</v>
      </c>
      <c r="J147" t="s">
        <v>46</v>
      </c>
      <c r="L147" s="1">
        <v>45870</v>
      </c>
      <c r="M147" s="1">
        <v>44652</v>
      </c>
      <c r="O147">
        <v>19606009</v>
      </c>
      <c r="P147" t="s">
        <v>32</v>
      </c>
      <c r="Q147" t="s">
        <v>42</v>
      </c>
      <c r="R147">
        <v>8192</v>
      </c>
      <c r="S147" t="s">
        <v>34</v>
      </c>
      <c r="T147" t="s">
        <v>35</v>
      </c>
      <c r="U147">
        <v>1.25</v>
      </c>
      <c r="V147" t="s">
        <v>36</v>
      </c>
      <c r="W147" s="1">
        <v>45809</v>
      </c>
      <c r="X147">
        <v>2025</v>
      </c>
    </row>
    <row r="148" spans="1:24" x14ac:dyDescent="0.25">
      <c r="A148" s="1">
        <v>45888</v>
      </c>
      <c r="B148" t="s">
        <v>567</v>
      </c>
      <c r="C148" t="s">
        <v>568</v>
      </c>
      <c r="E148" t="s">
        <v>569</v>
      </c>
      <c r="F148" t="s">
        <v>27</v>
      </c>
      <c r="G148" t="s">
        <v>28</v>
      </c>
      <c r="H148" t="s">
        <v>29</v>
      </c>
      <c r="I148" t="s">
        <v>30</v>
      </c>
      <c r="J148" t="s">
        <v>46</v>
      </c>
      <c r="L148" s="1">
        <v>45870</v>
      </c>
      <c r="M148" s="1">
        <v>44927</v>
      </c>
      <c r="O148">
        <v>19606009</v>
      </c>
      <c r="P148" t="s">
        <v>32</v>
      </c>
      <c r="Q148" t="s">
        <v>42</v>
      </c>
      <c r="R148">
        <v>8192</v>
      </c>
      <c r="S148" t="s">
        <v>34</v>
      </c>
      <c r="T148" t="s">
        <v>35</v>
      </c>
      <c r="U148">
        <v>1.25</v>
      </c>
      <c r="V148" t="s">
        <v>36</v>
      </c>
      <c r="W148" s="1">
        <v>45809</v>
      </c>
      <c r="X148">
        <v>2025</v>
      </c>
    </row>
    <row r="149" spans="1:24" x14ac:dyDescent="0.25">
      <c r="A149" s="1">
        <v>45888</v>
      </c>
      <c r="B149" t="s">
        <v>570</v>
      </c>
      <c r="C149" t="s">
        <v>571</v>
      </c>
      <c r="E149" t="s">
        <v>572</v>
      </c>
      <c r="F149" t="s">
        <v>303</v>
      </c>
      <c r="G149" t="s">
        <v>28</v>
      </c>
      <c r="H149" t="s">
        <v>29</v>
      </c>
      <c r="I149" t="s">
        <v>304</v>
      </c>
      <c r="J149" t="s">
        <v>573</v>
      </c>
      <c r="L149" s="1">
        <v>45870</v>
      </c>
      <c r="M149" s="1">
        <v>45352</v>
      </c>
      <c r="O149">
        <v>8307933</v>
      </c>
      <c r="P149" t="s">
        <v>32</v>
      </c>
      <c r="Q149" t="s">
        <v>63</v>
      </c>
      <c r="R149">
        <v>8192</v>
      </c>
      <c r="S149" t="s">
        <v>51</v>
      </c>
      <c r="T149" t="s">
        <v>35</v>
      </c>
      <c r="U149">
        <v>28.58</v>
      </c>
      <c r="V149" t="s">
        <v>36</v>
      </c>
      <c r="W149" s="1">
        <v>45324</v>
      </c>
      <c r="X149">
        <v>2025</v>
      </c>
    </row>
    <row r="150" spans="1:24" x14ac:dyDescent="0.25">
      <c r="A150" s="1">
        <v>45888</v>
      </c>
      <c r="B150" t="s">
        <v>574</v>
      </c>
      <c r="C150" t="s">
        <v>575</v>
      </c>
      <c r="E150" t="s">
        <v>576</v>
      </c>
      <c r="F150" t="s">
        <v>27</v>
      </c>
      <c r="G150" t="s">
        <v>28</v>
      </c>
      <c r="H150" t="s">
        <v>29</v>
      </c>
      <c r="I150" t="s">
        <v>40</v>
      </c>
      <c r="J150" t="s">
        <v>46</v>
      </c>
      <c r="L150" s="1">
        <v>45870</v>
      </c>
      <c r="M150" s="1">
        <v>44378</v>
      </c>
      <c r="O150">
        <v>19606009</v>
      </c>
      <c r="P150" t="s">
        <v>32</v>
      </c>
      <c r="Q150" t="s">
        <v>42</v>
      </c>
      <c r="R150">
        <v>8192</v>
      </c>
      <c r="S150" t="s">
        <v>34</v>
      </c>
      <c r="T150" t="s">
        <v>35</v>
      </c>
      <c r="U150">
        <v>1.25</v>
      </c>
      <c r="V150" t="s">
        <v>36</v>
      </c>
      <c r="W150" s="1">
        <v>45870</v>
      </c>
      <c r="X150">
        <v>2025</v>
      </c>
    </row>
    <row r="151" spans="1:24" x14ac:dyDescent="0.25">
      <c r="A151" s="1">
        <v>45888</v>
      </c>
      <c r="B151" t="s">
        <v>577</v>
      </c>
      <c r="C151" t="s">
        <v>578</v>
      </c>
      <c r="E151" t="s">
        <v>579</v>
      </c>
      <c r="F151" t="s">
        <v>27</v>
      </c>
      <c r="G151" t="s">
        <v>28</v>
      </c>
      <c r="H151" t="s">
        <v>29</v>
      </c>
      <c r="I151" t="s">
        <v>30</v>
      </c>
      <c r="J151" t="s">
        <v>46</v>
      </c>
      <c r="L151" s="1">
        <v>45870</v>
      </c>
      <c r="M151" s="1">
        <v>45292</v>
      </c>
      <c r="O151">
        <v>17886092</v>
      </c>
      <c r="P151" t="s">
        <v>32</v>
      </c>
      <c r="Q151" t="s">
        <v>102</v>
      </c>
      <c r="R151">
        <v>8192</v>
      </c>
      <c r="S151" t="s">
        <v>51</v>
      </c>
      <c r="T151" t="s">
        <v>35</v>
      </c>
      <c r="U151">
        <v>2.5</v>
      </c>
      <c r="V151" t="s">
        <v>36</v>
      </c>
      <c r="W151" s="1">
        <v>45217</v>
      </c>
      <c r="X151">
        <v>2025</v>
      </c>
    </row>
    <row r="152" spans="1:24" x14ac:dyDescent="0.25">
      <c r="A152" s="1">
        <v>45888</v>
      </c>
      <c r="B152" t="s">
        <v>580</v>
      </c>
      <c r="C152" t="s">
        <v>581</v>
      </c>
      <c r="E152" t="s">
        <v>582</v>
      </c>
      <c r="F152" t="s">
        <v>27</v>
      </c>
      <c r="G152" t="s">
        <v>28</v>
      </c>
      <c r="H152" t="s">
        <v>29</v>
      </c>
      <c r="I152" t="s">
        <v>30</v>
      </c>
      <c r="J152" t="s">
        <v>46</v>
      </c>
      <c r="L152" s="1">
        <v>45870</v>
      </c>
      <c r="M152" s="1">
        <v>45383</v>
      </c>
      <c r="O152">
        <v>17886092</v>
      </c>
      <c r="P152" t="s">
        <v>32</v>
      </c>
      <c r="Q152" t="s">
        <v>102</v>
      </c>
      <c r="R152">
        <v>8192</v>
      </c>
      <c r="S152" t="s">
        <v>34</v>
      </c>
      <c r="T152" t="s">
        <v>35</v>
      </c>
      <c r="U152">
        <v>3.75</v>
      </c>
      <c r="V152" t="s">
        <v>36</v>
      </c>
      <c r="W152" s="1">
        <v>45331</v>
      </c>
      <c r="X152">
        <v>2025</v>
      </c>
    </row>
    <row r="153" spans="1:24" x14ac:dyDescent="0.25">
      <c r="A153" s="1">
        <v>45888</v>
      </c>
      <c r="B153" t="s">
        <v>583</v>
      </c>
      <c r="C153" t="s">
        <v>584</v>
      </c>
      <c r="E153" t="s">
        <v>585</v>
      </c>
      <c r="F153" t="s">
        <v>27</v>
      </c>
      <c r="G153" t="s">
        <v>28</v>
      </c>
      <c r="H153" t="s">
        <v>29</v>
      </c>
      <c r="I153" t="s">
        <v>30</v>
      </c>
      <c r="J153" t="s">
        <v>46</v>
      </c>
      <c r="L153" s="1">
        <v>45870</v>
      </c>
      <c r="M153" s="1">
        <v>45323</v>
      </c>
      <c r="O153">
        <v>17886092</v>
      </c>
      <c r="P153" t="s">
        <v>32</v>
      </c>
      <c r="Q153" t="s">
        <v>102</v>
      </c>
      <c r="R153">
        <v>8192</v>
      </c>
      <c r="S153" t="s">
        <v>51</v>
      </c>
      <c r="T153" t="s">
        <v>35</v>
      </c>
      <c r="U153">
        <v>2.5</v>
      </c>
      <c r="V153" t="s">
        <v>36</v>
      </c>
      <c r="W153" s="1">
        <v>45278</v>
      </c>
      <c r="X153">
        <v>2025</v>
      </c>
    </row>
    <row r="154" spans="1:24" x14ac:dyDescent="0.25">
      <c r="A154" s="1">
        <v>45888</v>
      </c>
      <c r="B154" t="s">
        <v>586</v>
      </c>
      <c r="C154" t="s">
        <v>587</v>
      </c>
      <c r="E154" t="s">
        <v>588</v>
      </c>
      <c r="F154" t="s">
        <v>74</v>
      </c>
      <c r="G154" t="s">
        <v>28</v>
      </c>
      <c r="H154" t="s">
        <v>29</v>
      </c>
      <c r="I154" t="s">
        <v>61</v>
      </c>
      <c r="J154" t="s">
        <v>75</v>
      </c>
      <c r="L154" s="1">
        <v>45870</v>
      </c>
      <c r="M154" s="1">
        <v>45597</v>
      </c>
      <c r="O154">
        <v>2158366</v>
      </c>
      <c r="P154" t="s">
        <v>32</v>
      </c>
      <c r="Q154" t="s">
        <v>326</v>
      </c>
      <c r="R154">
        <v>8192</v>
      </c>
      <c r="S154" t="s">
        <v>34</v>
      </c>
      <c r="T154" t="s">
        <v>35</v>
      </c>
      <c r="U154">
        <v>29.83</v>
      </c>
      <c r="V154" t="s">
        <v>36</v>
      </c>
      <c r="W154" s="1">
        <v>45525</v>
      </c>
      <c r="X154">
        <v>2025</v>
      </c>
    </row>
    <row r="155" spans="1:24" x14ac:dyDescent="0.25">
      <c r="A155" s="1">
        <v>45888</v>
      </c>
      <c r="B155" t="s">
        <v>589</v>
      </c>
      <c r="C155" t="s">
        <v>590</v>
      </c>
      <c r="E155" t="s">
        <v>591</v>
      </c>
      <c r="F155" t="s">
        <v>27</v>
      </c>
      <c r="G155" t="s">
        <v>28</v>
      </c>
      <c r="H155" t="s">
        <v>29</v>
      </c>
      <c r="I155" t="s">
        <v>30</v>
      </c>
      <c r="J155" t="s">
        <v>46</v>
      </c>
      <c r="L155" s="1">
        <v>45870</v>
      </c>
      <c r="M155" s="1">
        <v>45292</v>
      </c>
      <c r="O155">
        <v>17886092</v>
      </c>
      <c r="P155" t="s">
        <v>32</v>
      </c>
      <c r="Q155" t="s">
        <v>102</v>
      </c>
      <c r="R155">
        <v>8192</v>
      </c>
      <c r="S155" t="s">
        <v>51</v>
      </c>
      <c r="T155" t="s">
        <v>35</v>
      </c>
      <c r="U155">
        <v>2.5</v>
      </c>
      <c r="V155" t="s">
        <v>36</v>
      </c>
      <c r="W155" s="1">
        <v>45261</v>
      </c>
      <c r="X155">
        <v>2025</v>
      </c>
    </row>
    <row r="156" spans="1:24" x14ac:dyDescent="0.25">
      <c r="A156" s="1">
        <v>45888</v>
      </c>
      <c r="B156" t="s">
        <v>592</v>
      </c>
      <c r="C156" t="s">
        <v>593</v>
      </c>
      <c r="E156" t="s">
        <v>594</v>
      </c>
      <c r="F156" t="s">
        <v>89</v>
      </c>
      <c r="G156" t="s">
        <v>28</v>
      </c>
      <c r="H156" t="s">
        <v>29</v>
      </c>
      <c r="I156" t="s">
        <v>90</v>
      </c>
      <c r="J156" t="s">
        <v>490</v>
      </c>
      <c r="L156" s="1">
        <v>45870</v>
      </c>
      <c r="M156" s="1">
        <v>45108</v>
      </c>
      <c r="O156">
        <v>8307933</v>
      </c>
      <c r="P156" t="s">
        <v>32</v>
      </c>
      <c r="Q156" t="s">
        <v>63</v>
      </c>
      <c r="R156">
        <v>8192</v>
      </c>
      <c r="S156" t="s">
        <v>51</v>
      </c>
      <c r="T156" t="s">
        <v>35</v>
      </c>
      <c r="U156">
        <v>28.58</v>
      </c>
      <c r="V156" t="s">
        <v>36</v>
      </c>
      <c r="W156" s="1">
        <v>45077</v>
      </c>
      <c r="X156">
        <v>2025</v>
      </c>
    </row>
    <row r="157" spans="1:24" x14ac:dyDescent="0.25">
      <c r="A157" s="1">
        <v>45888</v>
      </c>
      <c r="B157" t="s">
        <v>595</v>
      </c>
      <c r="C157" t="s">
        <v>596</v>
      </c>
      <c r="E157" t="s">
        <v>597</v>
      </c>
      <c r="F157" t="s">
        <v>27</v>
      </c>
      <c r="G157" t="s">
        <v>28</v>
      </c>
      <c r="H157" t="s">
        <v>29</v>
      </c>
      <c r="I157" t="s">
        <v>30</v>
      </c>
      <c r="J157" t="s">
        <v>46</v>
      </c>
      <c r="L157" s="1">
        <v>45870</v>
      </c>
      <c r="M157" s="1">
        <v>44927</v>
      </c>
      <c r="O157">
        <v>19606009</v>
      </c>
      <c r="P157" t="s">
        <v>32</v>
      </c>
      <c r="Q157" t="s">
        <v>42</v>
      </c>
      <c r="R157">
        <v>8192</v>
      </c>
      <c r="S157" t="s">
        <v>34</v>
      </c>
      <c r="T157" t="s">
        <v>35</v>
      </c>
      <c r="U157">
        <v>1.25</v>
      </c>
      <c r="V157" t="s">
        <v>36</v>
      </c>
      <c r="W157" s="1">
        <v>45839</v>
      </c>
      <c r="X157">
        <v>2025</v>
      </c>
    </row>
    <row r="158" spans="1:24" x14ac:dyDescent="0.25">
      <c r="A158" s="1">
        <v>45888</v>
      </c>
      <c r="B158" t="s">
        <v>598</v>
      </c>
      <c r="C158" t="s">
        <v>599</v>
      </c>
      <c r="E158" t="s">
        <v>600</v>
      </c>
      <c r="F158" t="s">
        <v>27</v>
      </c>
      <c r="G158" t="s">
        <v>28</v>
      </c>
      <c r="H158" t="s">
        <v>29</v>
      </c>
      <c r="I158" t="s">
        <v>30</v>
      </c>
      <c r="J158" t="s">
        <v>46</v>
      </c>
      <c r="L158" s="1">
        <v>45870</v>
      </c>
      <c r="M158" s="1">
        <v>45231</v>
      </c>
      <c r="O158">
        <v>17528908</v>
      </c>
      <c r="P158" t="s">
        <v>32</v>
      </c>
      <c r="Q158" t="s">
        <v>33</v>
      </c>
      <c r="R158">
        <v>8192</v>
      </c>
      <c r="S158" t="s">
        <v>51</v>
      </c>
      <c r="T158" t="s">
        <v>35</v>
      </c>
      <c r="U158">
        <v>31.92</v>
      </c>
      <c r="V158" t="s">
        <v>36</v>
      </c>
      <c r="W158" s="1">
        <v>45208</v>
      </c>
      <c r="X158">
        <v>2025</v>
      </c>
    </row>
    <row r="159" spans="1:24" x14ac:dyDescent="0.25">
      <c r="A159" s="1">
        <v>45888</v>
      </c>
      <c r="B159" t="s">
        <v>601</v>
      </c>
      <c r="C159" t="s">
        <v>602</v>
      </c>
      <c r="E159" t="s">
        <v>603</v>
      </c>
      <c r="F159" t="s">
        <v>27</v>
      </c>
      <c r="G159" t="s">
        <v>28</v>
      </c>
      <c r="H159" t="s">
        <v>29</v>
      </c>
      <c r="I159" t="s">
        <v>30</v>
      </c>
      <c r="J159" t="s">
        <v>46</v>
      </c>
      <c r="L159" s="1">
        <v>45870</v>
      </c>
      <c r="M159" s="1">
        <v>44562</v>
      </c>
      <c r="O159">
        <v>19606009</v>
      </c>
      <c r="P159" t="s">
        <v>32</v>
      </c>
      <c r="Q159" t="s">
        <v>42</v>
      </c>
      <c r="R159">
        <v>8192</v>
      </c>
      <c r="S159" t="s">
        <v>34</v>
      </c>
      <c r="T159" t="s">
        <v>35</v>
      </c>
      <c r="U159">
        <v>1.25</v>
      </c>
      <c r="V159" t="s">
        <v>36</v>
      </c>
      <c r="W159" s="1">
        <v>45870</v>
      </c>
      <c r="X159">
        <v>2025</v>
      </c>
    </row>
    <row r="160" spans="1:24" x14ac:dyDescent="0.25">
      <c r="A160" s="1">
        <v>45888</v>
      </c>
      <c r="B160" t="s">
        <v>604</v>
      </c>
      <c r="C160" t="s">
        <v>605</v>
      </c>
      <c r="E160" t="s">
        <v>606</v>
      </c>
      <c r="F160" t="s">
        <v>27</v>
      </c>
      <c r="G160" t="s">
        <v>28</v>
      </c>
      <c r="H160" t="s">
        <v>127</v>
      </c>
      <c r="I160" t="s">
        <v>30</v>
      </c>
      <c r="J160" t="s">
        <v>128</v>
      </c>
      <c r="L160" s="1">
        <v>45870</v>
      </c>
      <c r="M160" s="1">
        <v>45292</v>
      </c>
      <c r="O160">
        <v>17886092</v>
      </c>
      <c r="P160" t="s">
        <v>32</v>
      </c>
      <c r="Q160" t="s">
        <v>102</v>
      </c>
      <c r="R160">
        <v>8192</v>
      </c>
      <c r="S160" t="s">
        <v>51</v>
      </c>
      <c r="T160" t="s">
        <v>35</v>
      </c>
      <c r="U160">
        <v>2.5</v>
      </c>
      <c r="V160" t="s">
        <v>36</v>
      </c>
      <c r="W160" s="1">
        <v>45216</v>
      </c>
      <c r="X160">
        <v>2025</v>
      </c>
    </row>
    <row r="161" spans="1:24" x14ac:dyDescent="0.25">
      <c r="A161" s="1">
        <v>45888</v>
      </c>
      <c r="B161" t="s">
        <v>607</v>
      </c>
      <c r="C161" t="s">
        <v>608</v>
      </c>
      <c r="E161" t="s">
        <v>609</v>
      </c>
      <c r="F161" t="s">
        <v>27</v>
      </c>
      <c r="G161" t="s">
        <v>28</v>
      </c>
      <c r="H161" t="s">
        <v>29</v>
      </c>
      <c r="I161" t="s">
        <v>30</v>
      </c>
      <c r="J161" t="s">
        <v>46</v>
      </c>
      <c r="L161" s="1">
        <v>45870</v>
      </c>
      <c r="M161" s="1">
        <v>44927</v>
      </c>
      <c r="O161">
        <v>19606009</v>
      </c>
      <c r="P161" t="s">
        <v>32</v>
      </c>
      <c r="Q161" t="s">
        <v>42</v>
      </c>
      <c r="R161">
        <v>8192</v>
      </c>
      <c r="S161" t="s">
        <v>34</v>
      </c>
      <c r="T161" t="s">
        <v>35</v>
      </c>
      <c r="U161">
        <v>1.25</v>
      </c>
      <c r="V161" t="s">
        <v>36</v>
      </c>
      <c r="W161" s="1">
        <v>45870</v>
      </c>
      <c r="X161">
        <v>2025</v>
      </c>
    </row>
    <row r="162" spans="1:24" x14ac:dyDescent="0.25">
      <c r="A162" s="1">
        <v>45888</v>
      </c>
      <c r="B162" t="s">
        <v>610</v>
      </c>
      <c r="C162" t="s">
        <v>611</v>
      </c>
      <c r="E162" t="s">
        <v>612</v>
      </c>
      <c r="F162" t="s">
        <v>27</v>
      </c>
      <c r="G162" t="s">
        <v>28</v>
      </c>
      <c r="H162" t="s">
        <v>96</v>
      </c>
      <c r="J162" t="s">
        <v>613</v>
      </c>
      <c r="L162" s="1">
        <v>45870</v>
      </c>
      <c r="M162" s="1">
        <v>45536</v>
      </c>
      <c r="O162">
        <v>16509456</v>
      </c>
      <c r="P162" t="s">
        <v>32</v>
      </c>
      <c r="Q162" t="s">
        <v>107</v>
      </c>
      <c r="R162">
        <v>8192</v>
      </c>
      <c r="S162" t="s">
        <v>34</v>
      </c>
      <c r="T162" t="s">
        <v>35</v>
      </c>
      <c r="U162">
        <v>4.33</v>
      </c>
      <c r="V162" t="s">
        <v>36</v>
      </c>
      <c r="W162" s="1">
        <v>45533</v>
      </c>
      <c r="X162">
        <v>2025</v>
      </c>
    </row>
    <row r="163" spans="1:24" x14ac:dyDescent="0.25">
      <c r="A163" s="1">
        <v>45888</v>
      </c>
      <c r="B163" t="s">
        <v>614</v>
      </c>
      <c r="C163" t="s">
        <v>615</v>
      </c>
      <c r="E163" t="s">
        <v>616</v>
      </c>
      <c r="F163" t="s">
        <v>74</v>
      </c>
      <c r="G163" t="s">
        <v>28</v>
      </c>
      <c r="H163" t="s">
        <v>29</v>
      </c>
      <c r="I163" t="s">
        <v>61</v>
      </c>
      <c r="J163" t="s">
        <v>75</v>
      </c>
      <c r="L163" s="1">
        <v>45870</v>
      </c>
      <c r="M163" s="1">
        <v>45566</v>
      </c>
      <c r="O163">
        <v>2158366</v>
      </c>
      <c r="P163" t="s">
        <v>32</v>
      </c>
      <c r="Q163" t="s">
        <v>326</v>
      </c>
      <c r="R163">
        <v>8192</v>
      </c>
      <c r="S163" t="s">
        <v>34</v>
      </c>
      <c r="T163" t="s">
        <v>35</v>
      </c>
      <c r="U163">
        <v>29.83</v>
      </c>
      <c r="V163" t="s">
        <v>36</v>
      </c>
      <c r="W163" s="1">
        <v>45524</v>
      </c>
      <c r="X163">
        <v>2025</v>
      </c>
    </row>
    <row r="164" spans="1:24" x14ac:dyDescent="0.25">
      <c r="A164" s="1">
        <v>45888</v>
      </c>
      <c r="B164" t="s">
        <v>617</v>
      </c>
      <c r="C164" t="s">
        <v>618</v>
      </c>
      <c r="E164" t="s">
        <v>619</v>
      </c>
      <c r="F164" t="s">
        <v>620</v>
      </c>
      <c r="G164" t="s">
        <v>28</v>
      </c>
      <c r="H164" t="s">
        <v>29</v>
      </c>
      <c r="I164" t="s">
        <v>161</v>
      </c>
      <c r="J164" t="s">
        <v>322</v>
      </c>
      <c r="L164" s="1">
        <v>45870</v>
      </c>
      <c r="M164" s="1">
        <v>45597</v>
      </c>
      <c r="O164">
        <v>8307933</v>
      </c>
      <c r="P164" t="s">
        <v>32</v>
      </c>
      <c r="Q164" t="s">
        <v>63</v>
      </c>
      <c r="R164">
        <v>8192</v>
      </c>
      <c r="S164" t="s">
        <v>34</v>
      </c>
      <c r="T164" t="s">
        <v>35</v>
      </c>
      <c r="U164">
        <v>29.83</v>
      </c>
      <c r="V164" t="s">
        <v>36</v>
      </c>
      <c r="W164" s="1">
        <v>45593</v>
      </c>
      <c r="X164">
        <v>2025</v>
      </c>
    </row>
    <row r="165" spans="1:24" x14ac:dyDescent="0.25">
      <c r="A165" s="1">
        <v>45888</v>
      </c>
      <c r="B165" t="s">
        <v>621</v>
      </c>
      <c r="C165" t="s">
        <v>622</v>
      </c>
      <c r="E165" t="s">
        <v>623</v>
      </c>
      <c r="F165" t="s">
        <v>27</v>
      </c>
      <c r="G165" t="s">
        <v>28</v>
      </c>
      <c r="H165" t="s">
        <v>29</v>
      </c>
      <c r="I165" t="s">
        <v>30</v>
      </c>
      <c r="J165" t="s">
        <v>50</v>
      </c>
      <c r="L165" s="1">
        <v>45870</v>
      </c>
      <c r="M165" s="1">
        <v>45658</v>
      </c>
      <c r="O165">
        <v>19606009</v>
      </c>
      <c r="P165" t="s">
        <v>32</v>
      </c>
      <c r="Q165" t="s">
        <v>42</v>
      </c>
      <c r="R165">
        <v>8192</v>
      </c>
      <c r="S165" t="s">
        <v>34</v>
      </c>
      <c r="T165" t="s">
        <v>35</v>
      </c>
      <c r="U165">
        <v>3.75</v>
      </c>
      <c r="V165" t="s">
        <v>36</v>
      </c>
      <c r="W165" s="1">
        <v>45383</v>
      </c>
      <c r="X165">
        <v>2025</v>
      </c>
    </row>
    <row r="166" spans="1:24" x14ac:dyDescent="0.25">
      <c r="A166" s="1">
        <v>45888</v>
      </c>
      <c r="B166" t="s">
        <v>624</v>
      </c>
      <c r="C166" t="s">
        <v>625</v>
      </c>
      <c r="E166" t="s">
        <v>626</v>
      </c>
      <c r="F166" t="s">
        <v>95</v>
      </c>
      <c r="G166" t="s">
        <v>28</v>
      </c>
      <c r="H166" t="s">
        <v>96</v>
      </c>
      <c r="J166" t="s">
        <v>97</v>
      </c>
      <c r="L166" s="1">
        <v>45870</v>
      </c>
      <c r="M166" s="1">
        <v>45658</v>
      </c>
      <c r="O166">
        <v>9079571</v>
      </c>
      <c r="P166" t="s">
        <v>32</v>
      </c>
      <c r="Q166" t="s">
        <v>98</v>
      </c>
      <c r="R166">
        <v>8192</v>
      </c>
      <c r="S166" t="s">
        <v>51</v>
      </c>
      <c r="T166" t="s">
        <v>35</v>
      </c>
      <c r="U166">
        <v>3.92</v>
      </c>
      <c r="V166" t="s">
        <v>36</v>
      </c>
      <c r="W166" s="1">
        <v>45260</v>
      </c>
      <c r="X166">
        <v>2025</v>
      </c>
    </row>
    <row r="167" spans="1:24" x14ac:dyDescent="0.25">
      <c r="A167" s="1">
        <v>45888</v>
      </c>
      <c r="B167" t="s">
        <v>627</v>
      </c>
      <c r="C167" t="s">
        <v>628</v>
      </c>
      <c r="E167" t="s">
        <v>629</v>
      </c>
      <c r="F167" t="s">
        <v>27</v>
      </c>
      <c r="G167" t="s">
        <v>28</v>
      </c>
      <c r="H167" t="s">
        <v>29</v>
      </c>
      <c r="I167" t="s">
        <v>30</v>
      </c>
      <c r="J167" t="s">
        <v>46</v>
      </c>
      <c r="L167" s="1">
        <v>45870</v>
      </c>
      <c r="M167" s="1">
        <v>44805</v>
      </c>
      <c r="O167">
        <v>19606009</v>
      </c>
      <c r="P167" t="s">
        <v>32</v>
      </c>
      <c r="Q167" t="s">
        <v>42</v>
      </c>
      <c r="R167">
        <v>8192</v>
      </c>
      <c r="S167" t="s">
        <v>34</v>
      </c>
      <c r="T167" t="s">
        <v>35</v>
      </c>
      <c r="U167">
        <v>1.25</v>
      </c>
      <c r="V167" t="s">
        <v>36</v>
      </c>
      <c r="W167" s="1">
        <v>45809</v>
      </c>
      <c r="X167">
        <v>2025</v>
      </c>
    </row>
    <row r="168" spans="1:24" x14ac:dyDescent="0.25">
      <c r="A168" s="1">
        <v>45888</v>
      </c>
      <c r="B168" t="s">
        <v>630</v>
      </c>
      <c r="C168" t="s">
        <v>631</v>
      </c>
      <c r="E168" t="s">
        <v>632</v>
      </c>
      <c r="F168" t="s">
        <v>27</v>
      </c>
      <c r="G168" t="s">
        <v>28</v>
      </c>
      <c r="H168" t="s">
        <v>29</v>
      </c>
      <c r="I168" t="s">
        <v>30</v>
      </c>
      <c r="J168" t="s">
        <v>46</v>
      </c>
      <c r="L168" s="1">
        <v>45870</v>
      </c>
      <c r="M168" s="1">
        <v>44805</v>
      </c>
      <c r="O168">
        <v>19606009</v>
      </c>
      <c r="P168" t="s">
        <v>32</v>
      </c>
      <c r="Q168" t="s">
        <v>42</v>
      </c>
      <c r="R168">
        <v>8192</v>
      </c>
      <c r="S168" t="s">
        <v>34</v>
      </c>
      <c r="T168" t="s">
        <v>35</v>
      </c>
      <c r="U168">
        <v>1.25</v>
      </c>
      <c r="V168" t="s">
        <v>36</v>
      </c>
      <c r="W168" s="1">
        <v>45809</v>
      </c>
      <c r="X168">
        <v>2025</v>
      </c>
    </row>
    <row r="169" spans="1:24" x14ac:dyDescent="0.25">
      <c r="A169" s="1">
        <v>45888</v>
      </c>
      <c r="B169" t="s">
        <v>633</v>
      </c>
      <c r="C169" t="s">
        <v>634</v>
      </c>
      <c r="E169" t="s">
        <v>635</v>
      </c>
      <c r="F169" t="s">
        <v>27</v>
      </c>
      <c r="G169" t="s">
        <v>28</v>
      </c>
      <c r="H169" t="s">
        <v>29</v>
      </c>
      <c r="I169" t="s">
        <v>30</v>
      </c>
      <c r="J169" t="s">
        <v>50</v>
      </c>
      <c r="L169" s="1">
        <v>45870</v>
      </c>
      <c r="M169" s="1">
        <v>45292</v>
      </c>
      <c r="O169">
        <v>17886092</v>
      </c>
      <c r="P169" t="s">
        <v>32</v>
      </c>
      <c r="Q169" t="s">
        <v>102</v>
      </c>
      <c r="R169">
        <v>8192</v>
      </c>
      <c r="S169" t="s">
        <v>51</v>
      </c>
      <c r="T169" t="s">
        <v>35</v>
      </c>
      <c r="U169">
        <v>2.5</v>
      </c>
      <c r="V169" t="s">
        <v>36</v>
      </c>
      <c r="W169" s="1">
        <v>45257</v>
      </c>
      <c r="X169">
        <v>2025</v>
      </c>
    </row>
    <row r="170" spans="1:24" x14ac:dyDescent="0.25">
      <c r="A170" s="1">
        <v>45888</v>
      </c>
      <c r="B170" t="s">
        <v>636</v>
      </c>
      <c r="C170" t="s">
        <v>637</v>
      </c>
      <c r="E170" t="s">
        <v>638</v>
      </c>
      <c r="F170" t="s">
        <v>27</v>
      </c>
      <c r="G170" t="s">
        <v>28</v>
      </c>
      <c r="H170" t="s">
        <v>29</v>
      </c>
      <c r="I170" t="s">
        <v>30</v>
      </c>
      <c r="J170" t="s">
        <v>46</v>
      </c>
      <c r="L170" s="1">
        <v>45870</v>
      </c>
      <c r="M170" s="1">
        <v>45261</v>
      </c>
      <c r="O170">
        <v>17886092</v>
      </c>
      <c r="P170" t="s">
        <v>32</v>
      </c>
      <c r="Q170" t="s">
        <v>102</v>
      </c>
      <c r="R170">
        <v>8192</v>
      </c>
      <c r="S170" t="s">
        <v>51</v>
      </c>
      <c r="T170" t="s">
        <v>35</v>
      </c>
      <c r="U170">
        <v>2.5</v>
      </c>
      <c r="V170" t="s">
        <v>36</v>
      </c>
      <c r="W170" s="1">
        <v>45251</v>
      </c>
      <c r="X170">
        <v>2025</v>
      </c>
    </row>
    <row r="171" spans="1:24" x14ac:dyDescent="0.25">
      <c r="A171" s="1">
        <v>45888</v>
      </c>
      <c r="B171" t="s">
        <v>639</v>
      </c>
      <c r="C171" t="s">
        <v>640</v>
      </c>
      <c r="E171" t="s">
        <v>641</v>
      </c>
      <c r="F171" t="s">
        <v>27</v>
      </c>
      <c r="G171" t="s">
        <v>28</v>
      </c>
      <c r="H171" t="s">
        <v>29</v>
      </c>
      <c r="I171" t="s">
        <v>30</v>
      </c>
      <c r="J171" t="s">
        <v>46</v>
      </c>
      <c r="L171" s="1">
        <v>45870</v>
      </c>
      <c r="M171" s="1">
        <v>44652</v>
      </c>
      <c r="O171">
        <v>19606009</v>
      </c>
      <c r="P171" t="s">
        <v>32</v>
      </c>
      <c r="Q171" t="s">
        <v>42</v>
      </c>
      <c r="R171">
        <v>8192</v>
      </c>
      <c r="S171" t="s">
        <v>34</v>
      </c>
      <c r="T171" t="s">
        <v>35</v>
      </c>
      <c r="U171">
        <v>1.25</v>
      </c>
      <c r="V171" t="s">
        <v>36</v>
      </c>
      <c r="W171" s="1">
        <v>45839</v>
      </c>
      <c r="X171">
        <v>2025</v>
      </c>
    </row>
    <row r="172" spans="1:24" x14ac:dyDescent="0.25">
      <c r="A172" s="1">
        <v>45888</v>
      </c>
      <c r="B172" t="s">
        <v>642</v>
      </c>
      <c r="C172" t="s">
        <v>643</v>
      </c>
      <c r="E172" t="s">
        <v>644</v>
      </c>
      <c r="F172" t="s">
        <v>74</v>
      </c>
      <c r="G172" t="s">
        <v>402</v>
      </c>
      <c r="H172" t="s">
        <v>29</v>
      </c>
      <c r="I172" t="s">
        <v>61</v>
      </c>
      <c r="J172" t="s">
        <v>645</v>
      </c>
      <c r="L172" s="1">
        <v>45901</v>
      </c>
      <c r="M172" s="1">
        <v>45901</v>
      </c>
      <c r="O172">
        <v>8307933</v>
      </c>
      <c r="P172" t="s">
        <v>32</v>
      </c>
      <c r="Q172" t="s">
        <v>63</v>
      </c>
      <c r="R172">
        <v>8192</v>
      </c>
      <c r="S172" t="s">
        <v>34</v>
      </c>
      <c r="T172" t="s">
        <v>35</v>
      </c>
      <c r="U172">
        <v>146</v>
      </c>
      <c r="V172" t="s">
        <v>36</v>
      </c>
      <c r="W172" s="1">
        <v>45873</v>
      </c>
      <c r="X172">
        <v>2025</v>
      </c>
    </row>
    <row r="173" spans="1:24" x14ac:dyDescent="0.25">
      <c r="A173" s="1">
        <v>45888</v>
      </c>
      <c r="B173" t="s">
        <v>646</v>
      </c>
      <c r="C173" t="s">
        <v>647</v>
      </c>
      <c r="E173" t="s">
        <v>648</v>
      </c>
      <c r="F173" t="s">
        <v>27</v>
      </c>
      <c r="G173" t="s">
        <v>28</v>
      </c>
      <c r="H173" t="s">
        <v>127</v>
      </c>
      <c r="I173" t="s">
        <v>30</v>
      </c>
      <c r="J173" t="s">
        <v>128</v>
      </c>
      <c r="L173" s="1">
        <v>45870</v>
      </c>
      <c r="M173" s="1">
        <v>45292</v>
      </c>
      <c r="O173">
        <v>17886092</v>
      </c>
      <c r="P173" t="s">
        <v>32</v>
      </c>
      <c r="Q173" t="s">
        <v>102</v>
      </c>
      <c r="R173">
        <v>8192</v>
      </c>
      <c r="S173" t="s">
        <v>51</v>
      </c>
      <c r="T173" t="s">
        <v>35</v>
      </c>
      <c r="U173">
        <v>2.5</v>
      </c>
      <c r="V173" t="s">
        <v>36</v>
      </c>
      <c r="W173" s="1">
        <v>45217</v>
      </c>
      <c r="X173">
        <v>2025</v>
      </c>
    </row>
    <row r="174" spans="1:24" s="7" customFormat="1" x14ac:dyDescent="0.25">
      <c r="A174" s="6">
        <v>45888</v>
      </c>
      <c r="B174" s="7" t="s">
        <v>649</v>
      </c>
      <c r="C174" s="7" t="s">
        <v>650</v>
      </c>
      <c r="E174" s="7" t="s">
        <v>651</v>
      </c>
      <c r="F174" s="7" t="s">
        <v>303</v>
      </c>
      <c r="G174" s="7" t="s">
        <v>402</v>
      </c>
      <c r="H174" s="7" t="s">
        <v>29</v>
      </c>
      <c r="I174" s="7" t="s">
        <v>304</v>
      </c>
      <c r="J174" s="7" t="s">
        <v>652</v>
      </c>
      <c r="L174" s="6">
        <v>45901</v>
      </c>
      <c r="M174" s="6">
        <v>45901</v>
      </c>
      <c r="O174" s="7">
        <v>18710070</v>
      </c>
      <c r="P174" s="7" t="s">
        <v>32</v>
      </c>
      <c r="Q174" s="7" t="s">
        <v>293</v>
      </c>
      <c r="R174" s="7">
        <v>8192</v>
      </c>
      <c r="S174" s="7" t="s">
        <v>34</v>
      </c>
      <c r="T174" s="7" t="s">
        <v>35</v>
      </c>
      <c r="U174" s="7">
        <v>184.33</v>
      </c>
      <c r="V174" s="7" t="s">
        <v>36</v>
      </c>
      <c r="W174" s="6">
        <v>45874</v>
      </c>
      <c r="X174" s="7">
        <v>2025</v>
      </c>
    </row>
    <row r="175" spans="1:24" x14ac:dyDescent="0.25">
      <c r="A175" s="1">
        <v>45888</v>
      </c>
      <c r="B175" t="s">
        <v>653</v>
      </c>
      <c r="C175" t="s">
        <v>654</v>
      </c>
      <c r="E175" t="s">
        <v>655</v>
      </c>
      <c r="F175" t="s">
        <v>27</v>
      </c>
      <c r="G175" t="s">
        <v>28</v>
      </c>
      <c r="H175" t="s">
        <v>29</v>
      </c>
      <c r="I175" t="s">
        <v>30</v>
      </c>
      <c r="J175" t="s">
        <v>50</v>
      </c>
      <c r="L175" s="1">
        <v>45870</v>
      </c>
      <c r="M175" s="1">
        <v>45078</v>
      </c>
      <c r="O175">
        <v>19606009</v>
      </c>
      <c r="P175" t="s">
        <v>32</v>
      </c>
      <c r="Q175" t="s">
        <v>42</v>
      </c>
      <c r="R175">
        <v>8192</v>
      </c>
      <c r="S175" t="s">
        <v>34</v>
      </c>
      <c r="T175" t="s">
        <v>35</v>
      </c>
      <c r="U175">
        <v>1.25</v>
      </c>
      <c r="V175" t="s">
        <v>36</v>
      </c>
      <c r="W175" s="1">
        <v>45839</v>
      </c>
      <c r="X175">
        <v>2025</v>
      </c>
    </row>
    <row r="176" spans="1:24" x14ac:dyDescent="0.25">
      <c r="A176" s="1">
        <v>45888</v>
      </c>
      <c r="B176" t="s">
        <v>656</v>
      </c>
      <c r="C176" t="s">
        <v>657</v>
      </c>
      <c r="E176" t="s">
        <v>658</v>
      </c>
      <c r="F176" t="s">
        <v>27</v>
      </c>
      <c r="G176" t="s">
        <v>28</v>
      </c>
      <c r="H176" t="s">
        <v>29</v>
      </c>
      <c r="I176" t="s">
        <v>30</v>
      </c>
      <c r="J176" t="s">
        <v>46</v>
      </c>
      <c r="L176" s="1">
        <v>45870</v>
      </c>
      <c r="M176" s="1">
        <v>45474</v>
      </c>
      <c r="O176">
        <v>17886092</v>
      </c>
      <c r="P176" t="s">
        <v>32</v>
      </c>
      <c r="Q176" t="s">
        <v>102</v>
      </c>
      <c r="R176">
        <v>8192</v>
      </c>
      <c r="S176" t="s">
        <v>34</v>
      </c>
      <c r="T176" t="s">
        <v>35</v>
      </c>
      <c r="U176">
        <v>3.75</v>
      </c>
      <c r="V176" t="s">
        <v>36</v>
      </c>
      <c r="W176" s="1">
        <v>45462</v>
      </c>
      <c r="X176">
        <v>2025</v>
      </c>
    </row>
    <row r="177" spans="1:24" x14ac:dyDescent="0.25">
      <c r="A177" s="1">
        <v>45888</v>
      </c>
      <c r="B177" t="s">
        <v>659</v>
      </c>
      <c r="C177" t="s">
        <v>660</v>
      </c>
      <c r="E177" t="s">
        <v>661</v>
      </c>
      <c r="F177" t="s">
        <v>27</v>
      </c>
      <c r="G177" t="s">
        <v>28</v>
      </c>
      <c r="H177" t="s">
        <v>29</v>
      </c>
      <c r="I177" t="s">
        <v>30</v>
      </c>
      <c r="J177" t="s">
        <v>70</v>
      </c>
      <c r="L177" s="1">
        <v>45870</v>
      </c>
      <c r="M177" s="1">
        <v>45261</v>
      </c>
      <c r="O177">
        <v>17528908</v>
      </c>
      <c r="P177" t="s">
        <v>32</v>
      </c>
      <c r="Q177" t="s">
        <v>33</v>
      </c>
      <c r="R177">
        <v>8192</v>
      </c>
      <c r="S177" t="s">
        <v>51</v>
      </c>
      <c r="T177" t="s">
        <v>35</v>
      </c>
      <c r="U177">
        <v>31.92</v>
      </c>
      <c r="V177" t="s">
        <v>36</v>
      </c>
      <c r="W177" s="1">
        <v>45257</v>
      </c>
      <c r="X177">
        <v>2025</v>
      </c>
    </row>
    <row r="178" spans="1:24" x14ac:dyDescent="0.25">
      <c r="A178" s="1">
        <v>45888</v>
      </c>
      <c r="B178" t="s">
        <v>662</v>
      </c>
      <c r="C178" t="s">
        <v>663</v>
      </c>
      <c r="E178" t="s">
        <v>664</v>
      </c>
      <c r="F178" t="s">
        <v>27</v>
      </c>
      <c r="G178" t="s">
        <v>28</v>
      </c>
      <c r="H178" t="s">
        <v>29</v>
      </c>
      <c r="I178" t="s">
        <v>30</v>
      </c>
      <c r="J178" t="s">
        <v>156</v>
      </c>
      <c r="L178" s="1">
        <v>45870</v>
      </c>
      <c r="M178" s="1">
        <v>45292</v>
      </c>
      <c r="O178">
        <v>17528908</v>
      </c>
      <c r="P178" t="s">
        <v>32</v>
      </c>
      <c r="Q178" t="s">
        <v>33</v>
      </c>
      <c r="R178">
        <v>8192</v>
      </c>
      <c r="S178" t="s">
        <v>51</v>
      </c>
      <c r="T178" t="s">
        <v>35</v>
      </c>
      <c r="U178">
        <v>31.92</v>
      </c>
      <c r="V178" t="s">
        <v>36</v>
      </c>
      <c r="W178" s="1">
        <v>45233</v>
      </c>
      <c r="X178">
        <v>2025</v>
      </c>
    </row>
    <row r="179" spans="1:24" x14ac:dyDescent="0.25">
      <c r="A179" s="1">
        <v>45888</v>
      </c>
      <c r="B179" t="s">
        <v>665</v>
      </c>
      <c r="C179" t="s">
        <v>666</v>
      </c>
      <c r="E179" t="s">
        <v>667</v>
      </c>
      <c r="F179" t="s">
        <v>27</v>
      </c>
      <c r="G179" t="s">
        <v>28</v>
      </c>
      <c r="H179" t="s">
        <v>29</v>
      </c>
      <c r="I179" t="s">
        <v>30</v>
      </c>
      <c r="J179" t="s">
        <v>156</v>
      </c>
      <c r="L179" s="1">
        <v>45870</v>
      </c>
      <c r="M179" s="1">
        <v>45323</v>
      </c>
      <c r="O179">
        <v>17886092</v>
      </c>
      <c r="P179" t="s">
        <v>32</v>
      </c>
      <c r="Q179" t="s">
        <v>102</v>
      </c>
      <c r="R179">
        <v>8192</v>
      </c>
      <c r="S179" t="s">
        <v>51</v>
      </c>
      <c r="T179" t="s">
        <v>35</v>
      </c>
      <c r="U179">
        <v>2.5</v>
      </c>
      <c r="V179" t="s">
        <v>36</v>
      </c>
      <c r="W179" s="1">
        <v>45308</v>
      </c>
      <c r="X179">
        <v>2025</v>
      </c>
    </row>
    <row r="180" spans="1:24" x14ac:dyDescent="0.25">
      <c r="A180" s="1">
        <v>45888</v>
      </c>
      <c r="B180" t="s">
        <v>668</v>
      </c>
      <c r="C180" t="s">
        <v>669</v>
      </c>
      <c r="E180" t="s">
        <v>670</v>
      </c>
      <c r="F180" t="s">
        <v>27</v>
      </c>
      <c r="G180" t="s">
        <v>28</v>
      </c>
      <c r="H180" t="s">
        <v>29</v>
      </c>
      <c r="I180" t="s">
        <v>30</v>
      </c>
      <c r="J180" t="s">
        <v>46</v>
      </c>
      <c r="L180" s="1">
        <v>45870</v>
      </c>
      <c r="M180" s="1">
        <v>45292</v>
      </c>
      <c r="O180">
        <v>17886092</v>
      </c>
      <c r="P180" t="s">
        <v>32</v>
      </c>
      <c r="Q180" t="s">
        <v>102</v>
      </c>
      <c r="R180">
        <v>8192</v>
      </c>
      <c r="S180" t="s">
        <v>51</v>
      </c>
      <c r="T180" t="s">
        <v>35</v>
      </c>
      <c r="U180">
        <v>2.5</v>
      </c>
      <c r="V180" t="s">
        <v>36</v>
      </c>
      <c r="W180" s="1">
        <v>45251</v>
      </c>
      <c r="X180">
        <v>2025</v>
      </c>
    </row>
    <row r="181" spans="1:24" x14ac:dyDescent="0.25">
      <c r="A181" s="1">
        <v>45888</v>
      </c>
      <c r="B181" t="s">
        <v>671</v>
      </c>
      <c r="C181" t="s">
        <v>672</v>
      </c>
      <c r="E181" t="s">
        <v>673</v>
      </c>
      <c r="F181" t="s">
        <v>27</v>
      </c>
      <c r="G181" t="s">
        <v>28</v>
      </c>
      <c r="H181" t="s">
        <v>29</v>
      </c>
      <c r="I181" t="s">
        <v>30</v>
      </c>
      <c r="J181" t="s">
        <v>674</v>
      </c>
      <c r="L181" s="1">
        <v>45870</v>
      </c>
      <c r="M181" s="1">
        <v>45292</v>
      </c>
      <c r="O181">
        <v>17528908</v>
      </c>
      <c r="P181" t="s">
        <v>32</v>
      </c>
      <c r="Q181" t="s">
        <v>33</v>
      </c>
      <c r="R181">
        <v>8192</v>
      </c>
      <c r="S181" t="s">
        <v>51</v>
      </c>
      <c r="T181" t="s">
        <v>35</v>
      </c>
      <c r="U181">
        <v>31.92</v>
      </c>
      <c r="V181" t="s">
        <v>36</v>
      </c>
      <c r="W181" s="1">
        <v>45247</v>
      </c>
      <c r="X181">
        <v>2025</v>
      </c>
    </row>
    <row r="182" spans="1:24" x14ac:dyDescent="0.25">
      <c r="A182" s="1">
        <v>45888</v>
      </c>
      <c r="B182" t="s">
        <v>675</v>
      </c>
      <c r="C182" t="s">
        <v>676</v>
      </c>
      <c r="E182" t="s">
        <v>677</v>
      </c>
      <c r="F182" t="s">
        <v>27</v>
      </c>
      <c r="G182" t="s">
        <v>28</v>
      </c>
      <c r="H182" t="s">
        <v>29</v>
      </c>
      <c r="I182" t="s">
        <v>40</v>
      </c>
      <c r="J182" t="s">
        <v>46</v>
      </c>
      <c r="L182" s="1">
        <v>45870</v>
      </c>
      <c r="M182" s="1">
        <v>44166</v>
      </c>
      <c r="O182">
        <v>19606009</v>
      </c>
      <c r="P182" t="s">
        <v>32</v>
      </c>
      <c r="Q182" t="s">
        <v>42</v>
      </c>
      <c r="R182">
        <v>8192</v>
      </c>
      <c r="S182" t="s">
        <v>34</v>
      </c>
      <c r="T182" t="s">
        <v>35</v>
      </c>
      <c r="U182">
        <v>1.25</v>
      </c>
      <c r="V182" t="s">
        <v>36</v>
      </c>
      <c r="W182" s="1">
        <v>45809</v>
      </c>
      <c r="X182">
        <v>2025</v>
      </c>
    </row>
    <row r="183" spans="1:24" x14ac:dyDescent="0.25">
      <c r="A183" s="1">
        <v>45888</v>
      </c>
      <c r="B183" t="s">
        <v>678</v>
      </c>
      <c r="C183" t="s">
        <v>679</v>
      </c>
      <c r="E183" t="s">
        <v>680</v>
      </c>
      <c r="F183" t="s">
        <v>27</v>
      </c>
      <c r="G183" t="s">
        <v>28</v>
      </c>
      <c r="H183" t="s">
        <v>29</v>
      </c>
      <c r="I183" t="s">
        <v>40</v>
      </c>
      <c r="J183" t="s">
        <v>46</v>
      </c>
      <c r="L183" s="1">
        <v>45870</v>
      </c>
      <c r="M183" s="1">
        <v>44197</v>
      </c>
      <c r="O183">
        <v>19606009</v>
      </c>
      <c r="P183" t="s">
        <v>32</v>
      </c>
      <c r="Q183" t="s">
        <v>42</v>
      </c>
      <c r="R183">
        <v>8192</v>
      </c>
      <c r="S183" t="s">
        <v>34</v>
      </c>
      <c r="T183" t="s">
        <v>35</v>
      </c>
      <c r="U183">
        <v>1.25</v>
      </c>
      <c r="V183" t="s">
        <v>36</v>
      </c>
      <c r="W183" s="1">
        <v>45809</v>
      </c>
      <c r="X183">
        <v>2025</v>
      </c>
    </row>
    <row r="184" spans="1:24" x14ac:dyDescent="0.25">
      <c r="A184" s="1">
        <v>45888</v>
      </c>
      <c r="B184" t="s">
        <v>681</v>
      </c>
      <c r="C184" t="s">
        <v>682</v>
      </c>
      <c r="E184" t="s">
        <v>683</v>
      </c>
      <c r="F184" t="s">
        <v>27</v>
      </c>
      <c r="G184" t="s">
        <v>28</v>
      </c>
      <c r="H184" t="s">
        <v>29</v>
      </c>
      <c r="I184" t="s">
        <v>30</v>
      </c>
      <c r="J184" t="s">
        <v>46</v>
      </c>
      <c r="L184" s="1">
        <v>45870</v>
      </c>
      <c r="M184" s="1">
        <v>44774</v>
      </c>
      <c r="O184">
        <v>19606009</v>
      </c>
      <c r="P184" t="s">
        <v>32</v>
      </c>
      <c r="Q184" t="s">
        <v>42</v>
      </c>
      <c r="R184">
        <v>8192</v>
      </c>
      <c r="S184" t="s">
        <v>34</v>
      </c>
      <c r="T184" t="s">
        <v>35</v>
      </c>
      <c r="U184">
        <v>1.25</v>
      </c>
      <c r="V184" t="s">
        <v>36</v>
      </c>
      <c r="W184" s="1">
        <v>45839</v>
      </c>
      <c r="X184">
        <v>2025</v>
      </c>
    </row>
    <row r="185" spans="1:24" x14ac:dyDescent="0.25">
      <c r="A185" s="1">
        <v>45888</v>
      </c>
      <c r="B185" t="s">
        <v>684</v>
      </c>
      <c r="C185" t="s">
        <v>685</v>
      </c>
      <c r="E185" t="s">
        <v>686</v>
      </c>
      <c r="F185" t="s">
        <v>27</v>
      </c>
      <c r="G185" t="s">
        <v>28</v>
      </c>
      <c r="H185" t="s">
        <v>29</v>
      </c>
      <c r="I185" t="s">
        <v>30</v>
      </c>
      <c r="J185" t="s">
        <v>173</v>
      </c>
      <c r="L185" s="1">
        <v>45870</v>
      </c>
      <c r="M185" s="1">
        <v>45323</v>
      </c>
      <c r="O185">
        <v>15278437</v>
      </c>
      <c r="P185" t="s">
        <v>32</v>
      </c>
      <c r="Q185" t="s">
        <v>221</v>
      </c>
      <c r="R185">
        <v>8192</v>
      </c>
      <c r="S185" t="s">
        <v>51</v>
      </c>
      <c r="T185" t="s">
        <v>35</v>
      </c>
      <c r="U185">
        <v>31.92</v>
      </c>
      <c r="V185" t="s">
        <v>36</v>
      </c>
      <c r="W185" s="1">
        <v>45307</v>
      </c>
      <c r="X185">
        <v>2025</v>
      </c>
    </row>
    <row r="186" spans="1:24" x14ac:dyDescent="0.25">
      <c r="A186" s="1">
        <v>45888</v>
      </c>
      <c r="B186" t="s">
        <v>687</v>
      </c>
      <c r="C186" t="s">
        <v>688</v>
      </c>
      <c r="E186" t="s">
        <v>689</v>
      </c>
      <c r="F186" t="s">
        <v>27</v>
      </c>
      <c r="G186" t="s">
        <v>28</v>
      </c>
      <c r="H186" t="s">
        <v>29</v>
      </c>
      <c r="I186" t="s">
        <v>30</v>
      </c>
      <c r="J186" t="s">
        <v>46</v>
      </c>
      <c r="L186" s="1">
        <v>45870</v>
      </c>
      <c r="M186" s="1">
        <v>44958</v>
      </c>
      <c r="O186">
        <v>19606009</v>
      </c>
      <c r="P186" t="s">
        <v>32</v>
      </c>
      <c r="Q186" t="s">
        <v>42</v>
      </c>
      <c r="R186">
        <v>8192</v>
      </c>
      <c r="S186" t="s">
        <v>34</v>
      </c>
      <c r="T186" t="s">
        <v>35</v>
      </c>
      <c r="U186">
        <v>1.25</v>
      </c>
      <c r="V186" t="s">
        <v>36</v>
      </c>
      <c r="W186" s="1">
        <v>45839</v>
      </c>
      <c r="X186">
        <v>2025</v>
      </c>
    </row>
    <row r="187" spans="1:24" x14ac:dyDescent="0.25">
      <c r="A187" s="1">
        <v>45888</v>
      </c>
      <c r="B187" t="s">
        <v>690</v>
      </c>
      <c r="C187" t="s">
        <v>691</v>
      </c>
      <c r="E187" t="s">
        <v>692</v>
      </c>
      <c r="F187" t="s">
        <v>27</v>
      </c>
      <c r="G187" t="s">
        <v>28</v>
      </c>
      <c r="H187" t="s">
        <v>29</v>
      </c>
      <c r="I187" t="s">
        <v>30</v>
      </c>
      <c r="J187" t="s">
        <v>50</v>
      </c>
      <c r="L187" s="1">
        <v>45870</v>
      </c>
      <c r="M187" s="1">
        <v>45292</v>
      </c>
      <c r="O187">
        <v>17886092</v>
      </c>
      <c r="P187" t="s">
        <v>32</v>
      </c>
      <c r="Q187" t="s">
        <v>102</v>
      </c>
      <c r="R187">
        <v>8192</v>
      </c>
      <c r="S187" t="s">
        <v>51</v>
      </c>
      <c r="T187" t="s">
        <v>35</v>
      </c>
      <c r="U187">
        <v>2.5</v>
      </c>
      <c r="V187" t="s">
        <v>36</v>
      </c>
      <c r="W187" s="1">
        <v>45251</v>
      </c>
      <c r="X187">
        <v>2025</v>
      </c>
    </row>
    <row r="188" spans="1:24" x14ac:dyDescent="0.25">
      <c r="A188" s="1">
        <v>45888</v>
      </c>
      <c r="B188" t="s">
        <v>693</v>
      </c>
      <c r="C188" t="s">
        <v>694</v>
      </c>
      <c r="E188" t="s">
        <v>695</v>
      </c>
      <c r="F188" t="s">
        <v>27</v>
      </c>
      <c r="G188" t="s">
        <v>28</v>
      </c>
      <c r="H188" t="s">
        <v>29</v>
      </c>
      <c r="I188" t="s">
        <v>30</v>
      </c>
      <c r="J188" t="s">
        <v>50</v>
      </c>
      <c r="L188" s="1">
        <v>45870</v>
      </c>
      <c r="M188" s="1">
        <v>45292</v>
      </c>
      <c r="O188">
        <v>17886092</v>
      </c>
      <c r="P188" t="s">
        <v>32</v>
      </c>
      <c r="Q188" t="s">
        <v>102</v>
      </c>
      <c r="R188">
        <v>8192</v>
      </c>
      <c r="S188" t="s">
        <v>51</v>
      </c>
      <c r="T188" t="s">
        <v>35</v>
      </c>
      <c r="U188">
        <v>2.5</v>
      </c>
      <c r="V188" t="s">
        <v>36</v>
      </c>
      <c r="W188" s="1">
        <v>45251</v>
      </c>
      <c r="X188">
        <v>2025</v>
      </c>
    </row>
    <row r="189" spans="1:24" x14ac:dyDescent="0.25">
      <c r="A189" s="1">
        <v>45888</v>
      </c>
      <c r="B189" t="s">
        <v>696</v>
      </c>
      <c r="C189" t="s">
        <v>697</v>
      </c>
      <c r="E189" t="s">
        <v>698</v>
      </c>
      <c r="F189" t="s">
        <v>27</v>
      </c>
      <c r="G189" t="s">
        <v>28</v>
      </c>
      <c r="H189" t="s">
        <v>29</v>
      </c>
      <c r="I189" t="s">
        <v>30</v>
      </c>
      <c r="J189" t="s">
        <v>46</v>
      </c>
      <c r="L189" s="1">
        <v>45870</v>
      </c>
      <c r="M189" s="1">
        <v>44927</v>
      </c>
      <c r="O189">
        <v>19606009</v>
      </c>
      <c r="P189" t="s">
        <v>32</v>
      </c>
      <c r="Q189" t="s">
        <v>42</v>
      </c>
      <c r="R189">
        <v>8192</v>
      </c>
      <c r="S189" t="s">
        <v>34</v>
      </c>
      <c r="T189" t="s">
        <v>35</v>
      </c>
      <c r="U189">
        <v>1.25</v>
      </c>
      <c r="V189" t="s">
        <v>36</v>
      </c>
      <c r="W189" s="1">
        <v>45839</v>
      </c>
      <c r="X189">
        <v>2025</v>
      </c>
    </row>
    <row r="190" spans="1:24" x14ac:dyDescent="0.25">
      <c r="A190" s="1">
        <v>45888</v>
      </c>
      <c r="B190" t="s">
        <v>699</v>
      </c>
      <c r="C190" t="s">
        <v>700</v>
      </c>
      <c r="E190" t="s">
        <v>701</v>
      </c>
      <c r="F190" t="s">
        <v>27</v>
      </c>
      <c r="G190" t="s">
        <v>28</v>
      </c>
      <c r="H190" t="s">
        <v>29</v>
      </c>
      <c r="I190" t="s">
        <v>30</v>
      </c>
      <c r="J190" t="s">
        <v>46</v>
      </c>
      <c r="L190" s="1">
        <v>45870</v>
      </c>
      <c r="M190" s="1">
        <v>44562</v>
      </c>
      <c r="O190">
        <v>19606009</v>
      </c>
      <c r="P190" t="s">
        <v>32</v>
      </c>
      <c r="Q190" t="s">
        <v>42</v>
      </c>
      <c r="R190">
        <v>8192</v>
      </c>
      <c r="S190" t="s">
        <v>34</v>
      </c>
      <c r="T190" t="s">
        <v>35</v>
      </c>
      <c r="U190">
        <v>1.25</v>
      </c>
      <c r="V190" t="s">
        <v>36</v>
      </c>
      <c r="W190" s="1">
        <v>45839</v>
      </c>
      <c r="X190">
        <v>2025</v>
      </c>
    </row>
    <row r="191" spans="1:24" x14ac:dyDescent="0.25">
      <c r="A191" s="1">
        <v>45888</v>
      </c>
      <c r="B191" t="s">
        <v>702</v>
      </c>
      <c r="C191" t="s">
        <v>703</v>
      </c>
      <c r="E191" t="s">
        <v>704</v>
      </c>
      <c r="F191" t="s">
        <v>27</v>
      </c>
      <c r="G191" t="s">
        <v>28</v>
      </c>
      <c r="H191" t="s">
        <v>29</v>
      </c>
      <c r="I191" t="s">
        <v>30</v>
      </c>
      <c r="J191" t="s">
        <v>46</v>
      </c>
      <c r="L191" s="1">
        <v>45870</v>
      </c>
      <c r="M191" s="1">
        <v>45444</v>
      </c>
      <c r="O191">
        <v>17886092</v>
      </c>
      <c r="P191" t="s">
        <v>32</v>
      </c>
      <c r="Q191" t="s">
        <v>102</v>
      </c>
      <c r="R191">
        <v>8192</v>
      </c>
      <c r="S191" t="s">
        <v>34</v>
      </c>
      <c r="T191" t="s">
        <v>35</v>
      </c>
      <c r="U191">
        <v>3.75</v>
      </c>
      <c r="V191" t="s">
        <v>36</v>
      </c>
      <c r="W191" s="1">
        <v>45370</v>
      </c>
      <c r="X191">
        <v>2025</v>
      </c>
    </row>
    <row r="192" spans="1:24" x14ac:dyDescent="0.25">
      <c r="A192" s="1">
        <v>45888</v>
      </c>
      <c r="B192" t="s">
        <v>705</v>
      </c>
      <c r="C192" t="s">
        <v>706</v>
      </c>
      <c r="E192" t="s">
        <v>707</v>
      </c>
      <c r="F192" t="s">
        <v>27</v>
      </c>
      <c r="G192" t="s">
        <v>28</v>
      </c>
      <c r="H192" t="s">
        <v>29</v>
      </c>
      <c r="I192" t="s">
        <v>30</v>
      </c>
      <c r="J192" t="s">
        <v>55</v>
      </c>
      <c r="L192" s="1">
        <v>45870</v>
      </c>
      <c r="M192" s="1">
        <v>45292</v>
      </c>
      <c r="O192">
        <v>8971826</v>
      </c>
      <c r="P192" t="s">
        <v>32</v>
      </c>
      <c r="Q192" t="s">
        <v>138</v>
      </c>
      <c r="R192">
        <v>8192</v>
      </c>
      <c r="S192" t="s">
        <v>51</v>
      </c>
      <c r="T192" t="s">
        <v>35</v>
      </c>
      <c r="U192">
        <v>31.92</v>
      </c>
      <c r="V192" t="s">
        <v>36</v>
      </c>
      <c r="W192" s="1">
        <v>45226</v>
      </c>
      <c r="X192">
        <v>2025</v>
      </c>
    </row>
    <row r="193" spans="1:24" x14ac:dyDescent="0.25">
      <c r="A193" s="1">
        <v>45888</v>
      </c>
      <c r="B193" t="s">
        <v>708</v>
      </c>
      <c r="C193" t="s">
        <v>709</v>
      </c>
      <c r="E193" t="s">
        <v>710</v>
      </c>
      <c r="F193" t="s">
        <v>27</v>
      </c>
      <c r="G193" t="s">
        <v>28</v>
      </c>
      <c r="H193" t="s">
        <v>29</v>
      </c>
      <c r="I193" t="s">
        <v>30</v>
      </c>
      <c r="J193" t="s">
        <v>46</v>
      </c>
      <c r="L193" s="1">
        <v>45870</v>
      </c>
      <c r="M193" s="1">
        <v>44866</v>
      </c>
      <c r="O193">
        <v>19606009</v>
      </c>
      <c r="P193" t="s">
        <v>32</v>
      </c>
      <c r="Q193" t="s">
        <v>42</v>
      </c>
      <c r="R193">
        <v>8192</v>
      </c>
      <c r="S193" t="s">
        <v>34</v>
      </c>
      <c r="T193" t="s">
        <v>35</v>
      </c>
      <c r="U193">
        <v>1.25</v>
      </c>
      <c r="V193" t="s">
        <v>36</v>
      </c>
      <c r="W193" s="1">
        <v>45839</v>
      </c>
      <c r="X193">
        <v>2025</v>
      </c>
    </row>
    <row r="194" spans="1:24" x14ac:dyDescent="0.25">
      <c r="A194" s="1">
        <v>45888</v>
      </c>
      <c r="B194" t="s">
        <v>711</v>
      </c>
      <c r="C194" t="s">
        <v>712</v>
      </c>
      <c r="E194" t="s">
        <v>713</v>
      </c>
      <c r="F194" t="s">
        <v>89</v>
      </c>
      <c r="G194" t="s">
        <v>28</v>
      </c>
      <c r="H194" t="s">
        <v>29</v>
      </c>
      <c r="I194" t="s">
        <v>183</v>
      </c>
      <c r="J194" t="s">
        <v>714</v>
      </c>
      <c r="L194" s="1">
        <v>45870</v>
      </c>
      <c r="M194" s="1">
        <v>45170</v>
      </c>
      <c r="O194">
        <v>8307933</v>
      </c>
      <c r="P194" t="s">
        <v>32</v>
      </c>
      <c r="Q194" t="s">
        <v>63</v>
      </c>
      <c r="R194">
        <v>8192</v>
      </c>
      <c r="S194" t="s">
        <v>51</v>
      </c>
      <c r="T194" t="s">
        <v>35</v>
      </c>
      <c r="U194">
        <v>28.58</v>
      </c>
      <c r="V194" t="s">
        <v>36</v>
      </c>
      <c r="W194" s="1">
        <v>45103</v>
      </c>
      <c r="X194">
        <v>2025</v>
      </c>
    </row>
    <row r="195" spans="1:24" x14ac:dyDescent="0.25">
      <c r="A195" s="1">
        <v>45888</v>
      </c>
      <c r="B195" t="s">
        <v>715</v>
      </c>
      <c r="C195" t="s">
        <v>716</v>
      </c>
      <c r="E195" t="s">
        <v>717</v>
      </c>
      <c r="F195" t="s">
        <v>27</v>
      </c>
      <c r="G195" t="s">
        <v>28</v>
      </c>
      <c r="H195" t="s">
        <v>29</v>
      </c>
      <c r="I195" t="s">
        <v>30</v>
      </c>
      <c r="J195" t="s">
        <v>46</v>
      </c>
      <c r="L195" s="1">
        <v>45870</v>
      </c>
      <c r="M195" s="1">
        <v>44593</v>
      </c>
      <c r="O195">
        <v>19606009</v>
      </c>
      <c r="P195" t="s">
        <v>32</v>
      </c>
      <c r="Q195" t="s">
        <v>42</v>
      </c>
      <c r="R195">
        <v>8192</v>
      </c>
      <c r="S195" t="s">
        <v>34</v>
      </c>
      <c r="T195" t="s">
        <v>35</v>
      </c>
      <c r="U195">
        <v>1.25</v>
      </c>
      <c r="V195" t="s">
        <v>36</v>
      </c>
      <c r="W195" s="1">
        <v>45839</v>
      </c>
      <c r="X195">
        <v>2025</v>
      </c>
    </row>
    <row r="196" spans="1:24" x14ac:dyDescent="0.25">
      <c r="A196" s="1">
        <v>45888</v>
      </c>
      <c r="B196" t="s">
        <v>718</v>
      </c>
      <c r="C196" t="s">
        <v>719</v>
      </c>
      <c r="E196" t="s">
        <v>720</v>
      </c>
      <c r="F196" t="s">
        <v>27</v>
      </c>
      <c r="G196" t="s">
        <v>28</v>
      </c>
      <c r="H196" t="s">
        <v>29</v>
      </c>
      <c r="I196" t="s">
        <v>30</v>
      </c>
      <c r="J196" t="s">
        <v>46</v>
      </c>
      <c r="L196" s="1">
        <v>45870</v>
      </c>
      <c r="M196" s="1">
        <v>45597</v>
      </c>
      <c r="O196">
        <v>17886092</v>
      </c>
      <c r="P196" t="s">
        <v>32</v>
      </c>
      <c r="Q196" t="s">
        <v>102</v>
      </c>
      <c r="R196">
        <v>8192</v>
      </c>
      <c r="S196" t="s">
        <v>34</v>
      </c>
      <c r="T196" t="s">
        <v>35</v>
      </c>
      <c r="U196">
        <v>1.25</v>
      </c>
      <c r="V196" t="s">
        <v>36</v>
      </c>
      <c r="W196" s="1">
        <v>45580</v>
      </c>
      <c r="X196">
        <v>2025</v>
      </c>
    </row>
    <row r="197" spans="1:24" x14ac:dyDescent="0.25">
      <c r="A197" s="1">
        <v>45888</v>
      </c>
      <c r="B197" t="s">
        <v>721</v>
      </c>
      <c r="C197" t="s">
        <v>722</v>
      </c>
      <c r="E197" t="s">
        <v>723</v>
      </c>
      <c r="F197" t="s">
        <v>27</v>
      </c>
      <c r="G197" t="s">
        <v>28</v>
      </c>
      <c r="H197" t="s">
        <v>29</v>
      </c>
      <c r="I197" t="s">
        <v>30</v>
      </c>
      <c r="J197" t="s">
        <v>202</v>
      </c>
      <c r="L197" s="1">
        <v>45870</v>
      </c>
      <c r="M197" s="1">
        <v>45292</v>
      </c>
      <c r="O197">
        <v>17886092</v>
      </c>
      <c r="P197" t="s">
        <v>32</v>
      </c>
      <c r="Q197" t="s">
        <v>102</v>
      </c>
      <c r="R197">
        <v>8192</v>
      </c>
      <c r="S197" t="s">
        <v>51</v>
      </c>
      <c r="T197" t="s">
        <v>35</v>
      </c>
      <c r="U197">
        <v>2.5</v>
      </c>
      <c r="V197" t="s">
        <v>36</v>
      </c>
      <c r="W197" s="1">
        <v>45222</v>
      </c>
      <c r="X197">
        <v>2025</v>
      </c>
    </row>
    <row r="198" spans="1:24" x14ac:dyDescent="0.25">
      <c r="A198" s="1">
        <v>45888</v>
      </c>
      <c r="B198" t="s">
        <v>724</v>
      </c>
      <c r="C198" t="s">
        <v>725</v>
      </c>
      <c r="E198" t="s">
        <v>726</v>
      </c>
      <c r="F198" t="s">
        <v>27</v>
      </c>
      <c r="G198" t="s">
        <v>28</v>
      </c>
      <c r="H198" t="s">
        <v>29</v>
      </c>
      <c r="I198" t="s">
        <v>30</v>
      </c>
      <c r="J198" t="s">
        <v>202</v>
      </c>
      <c r="L198" s="1">
        <v>45870</v>
      </c>
      <c r="M198" s="1">
        <v>45292</v>
      </c>
      <c r="O198">
        <v>17886092</v>
      </c>
      <c r="P198" t="s">
        <v>32</v>
      </c>
      <c r="Q198" t="s">
        <v>102</v>
      </c>
      <c r="R198">
        <v>8192</v>
      </c>
      <c r="S198" t="s">
        <v>51</v>
      </c>
      <c r="T198" t="s">
        <v>35</v>
      </c>
      <c r="U198">
        <v>2.5</v>
      </c>
      <c r="V198" t="s">
        <v>36</v>
      </c>
      <c r="W198" s="1">
        <v>45222</v>
      </c>
      <c r="X198">
        <v>2025</v>
      </c>
    </row>
    <row r="199" spans="1:24" x14ac:dyDescent="0.25">
      <c r="A199" s="1">
        <v>45888</v>
      </c>
      <c r="B199" t="s">
        <v>727</v>
      </c>
      <c r="C199" t="s">
        <v>728</v>
      </c>
      <c r="E199" t="s">
        <v>729</v>
      </c>
      <c r="F199" t="s">
        <v>27</v>
      </c>
      <c r="G199" t="s">
        <v>28</v>
      </c>
      <c r="H199" t="s">
        <v>29</v>
      </c>
      <c r="I199" t="s">
        <v>30</v>
      </c>
      <c r="J199" t="s">
        <v>31</v>
      </c>
      <c r="L199" s="1">
        <v>45870</v>
      </c>
      <c r="M199" s="1">
        <v>44927</v>
      </c>
      <c r="O199">
        <v>19606009</v>
      </c>
      <c r="P199" t="s">
        <v>32</v>
      </c>
      <c r="Q199" t="s">
        <v>42</v>
      </c>
      <c r="R199">
        <v>8192</v>
      </c>
      <c r="S199" t="s">
        <v>34</v>
      </c>
      <c r="T199" t="s">
        <v>35</v>
      </c>
      <c r="U199">
        <v>1.25</v>
      </c>
      <c r="V199" t="s">
        <v>36</v>
      </c>
      <c r="W199" s="1">
        <v>45870</v>
      </c>
      <c r="X199">
        <v>2025</v>
      </c>
    </row>
    <row r="200" spans="1:24" x14ac:dyDescent="0.25">
      <c r="A200" s="1">
        <v>45888</v>
      </c>
      <c r="B200" t="s">
        <v>730</v>
      </c>
      <c r="C200" t="s">
        <v>731</v>
      </c>
      <c r="E200" t="s">
        <v>732</v>
      </c>
      <c r="F200" t="s">
        <v>27</v>
      </c>
      <c r="G200" t="s">
        <v>28</v>
      </c>
      <c r="H200" t="s">
        <v>29</v>
      </c>
      <c r="I200" t="s">
        <v>30</v>
      </c>
      <c r="J200" t="s">
        <v>31</v>
      </c>
      <c r="L200" s="1">
        <v>45870</v>
      </c>
      <c r="M200" s="1">
        <v>45505</v>
      </c>
      <c r="O200">
        <v>17528908</v>
      </c>
      <c r="P200" t="s">
        <v>32</v>
      </c>
      <c r="Q200" t="s">
        <v>33</v>
      </c>
      <c r="R200">
        <v>8192</v>
      </c>
      <c r="S200" t="s">
        <v>34</v>
      </c>
      <c r="T200" t="s">
        <v>35</v>
      </c>
      <c r="U200">
        <v>33.17</v>
      </c>
      <c r="V200" t="s">
        <v>36</v>
      </c>
      <c r="W200" s="1">
        <v>45492</v>
      </c>
      <c r="X200">
        <v>2025</v>
      </c>
    </row>
    <row r="201" spans="1:24" x14ac:dyDescent="0.25">
      <c r="A201" s="1">
        <v>45888</v>
      </c>
      <c r="B201" t="s">
        <v>733</v>
      </c>
      <c r="C201" t="s">
        <v>734</v>
      </c>
      <c r="D201" t="s">
        <v>735</v>
      </c>
      <c r="E201" t="s">
        <v>736</v>
      </c>
      <c r="F201" t="s">
        <v>27</v>
      </c>
      <c r="G201" t="s">
        <v>28</v>
      </c>
      <c r="H201" t="s">
        <v>29</v>
      </c>
      <c r="I201" t="s">
        <v>152</v>
      </c>
      <c r="J201" t="s">
        <v>46</v>
      </c>
      <c r="L201" s="1">
        <v>45870</v>
      </c>
      <c r="M201" s="1">
        <v>41640</v>
      </c>
      <c r="O201">
        <v>17886092</v>
      </c>
      <c r="P201" t="s">
        <v>32</v>
      </c>
      <c r="Q201" t="s">
        <v>102</v>
      </c>
      <c r="R201">
        <v>8192</v>
      </c>
      <c r="S201" t="s">
        <v>51</v>
      </c>
      <c r="T201" t="s">
        <v>35</v>
      </c>
      <c r="U201">
        <v>2.5</v>
      </c>
      <c r="V201" t="s">
        <v>36</v>
      </c>
      <c r="W201" s="1">
        <v>45200</v>
      </c>
      <c r="X201">
        <v>2025</v>
      </c>
    </row>
    <row r="202" spans="1:24" x14ac:dyDescent="0.25">
      <c r="A202" s="1">
        <v>45888</v>
      </c>
      <c r="B202" t="s">
        <v>737</v>
      </c>
      <c r="C202" t="s">
        <v>738</v>
      </c>
      <c r="E202" t="s">
        <v>739</v>
      </c>
      <c r="F202" t="s">
        <v>27</v>
      </c>
      <c r="G202" t="s">
        <v>28</v>
      </c>
      <c r="H202" t="s">
        <v>29</v>
      </c>
      <c r="I202" t="s">
        <v>30</v>
      </c>
      <c r="J202" t="s">
        <v>46</v>
      </c>
      <c r="L202" s="1">
        <v>45870</v>
      </c>
      <c r="M202" s="1">
        <v>44743</v>
      </c>
      <c r="O202">
        <v>19606009</v>
      </c>
      <c r="P202" t="s">
        <v>32</v>
      </c>
      <c r="Q202" t="s">
        <v>42</v>
      </c>
      <c r="R202">
        <v>8192</v>
      </c>
      <c r="S202" t="s">
        <v>34</v>
      </c>
      <c r="T202" t="s">
        <v>35</v>
      </c>
      <c r="U202">
        <v>1.25</v>
      </c>
      <c r="V202" t="s">
        <v>36</v>
      </c>
      <c r="W202" s="1">
        <v>45809</v>
      </c>
      <c r="X202">
        <v>2025</v>
      </c>
    </row>
    <row r="203" spans="1:24" x14ac:dyDescent="0.25">
      <c r="A203" s="1">
        <v>45888</v>
      </c>
      <c r="B203" t="s">
        <v>740</v>
      </c>
      <c r="C203" t="s">
        <v>741</v>
      </c>
      <c r="E203" t="s">
        <v>742</v>
      </c>
      <c r="F203" t="s">
        <v>27</v>
      </c>
      <c r="G203" t="s">
        <v>28</v>
      </c>
      <c r="H203" t="s">
        <v>29</v>
      </c>
      <c r="I203" t="s">
        <v>30</v>
      </c>
      <c r="J203" t="s">
        <v>46</v>
      </c>
      <c r="L203" s="1">
        <v>45870</v>
      </c>
      <c r="M203" s="1">
        <v>44562</v>
      </c>
      <c r="O203">
        <v>19606009</v>
      </c>
      <c r="P203" t="s">
        <v>32</v>
      </c>
      <c r="Q203" t="s">
        <v>42</v>
      </c>
      <c r="R203">
        <v>8192</v>
      </c>
      <c r="S203" t="s">
        <v>34</v>
      </c>
      <c r="T203" t="s">
        <v>35</v>
      </c>
      <c r="U203">
        <v>1.25</v>
      </c>
      <c r="V203" t="s">
        <v>36</v>
      </c>
      <c r="W203" s="1">
        <v>45809</v>
      </c>
      <c r="X203">
        <v>2025</v>
      </c>
    </row>
    <row r="204" spans="1:24" x14ac:dyDescent="0.25">
      <c r="A204" s="1">
        <v>45888</v>
      </c>
      <c r="B204" t="s">
        <v>743</v>
      </c>
      <c r="C204" t="s">
        <v>744</v>
      </c>
      <c r="E204" t="s">
        <v>745</v>
      </c>
      <c r="F204" t="s">
        <v>27</v>
      </c>
      <c r="G204" t="s">
        <v>28</v>
      </c>
      <c r="H204" t="s">
        <v>29</v>
      </c>
      <c r="I204" t="s">
        <v>30</v>
      </c>
      <c r="J204" t="s">
        <v>46</v>
      </c>
      <c r="L204" s="1">
        <v>45870</v>
      </c>
      <c r="M204" s="1">
        <v>44562</v>
      </c>
      <c r="O204">
        <v>19606009</v>
      </c>
      <c r="P204" t="s">
        <v>32</v>
      </c>
      <c r="Q204" t="s">
        <v>42</v>
      </c>
      <c r="R204">
        <v>8192</v>
      </c>
      <c r="S204" t="s">
        <v>34</v>
      </c>
      <c r="T204" t="s">
        <v>35</v>
      </c>
      <c r="U204">
        <v>1.25</v>
      </c>
      <c r="V204" t="s">
        <v>36</v>
      </c>
      <c r="W204" s="1">
        <v>45809</v>
      </c>
      <c r="X204">
        <v>2025</v>
      </c>
    </row>
    <row r="205" spans="1:24" x14ac:dyDescent="0.25">
      <c r="A205" s="1">
        <v>45888</v>
      </c>
      <c r="B205" t="s">
        <v>746</v>
      </c>
      <c r="C205" t="s">
        <v>747</v>
      </c>
      <c r="E205" t="s">
        <v>748</v>
      </c>
      <c r="F205" t="s">
        <v>27</v>
      </c>
      <c r="G205" t="s">
        <v>28</v>
      </c>
      <c r="H205" t="s">
        <v>29</v>
      </c>
      <c r="I205" t="s">
        <v>30</v>
      </c>
      <c r="J205" t="s">
        <v>46</v>
      </c>
      <c r="L205" s="1">
        <v>45870</v>
      </c>
      <c r="M205" s="1">
        <v>44562</v>
      </c>
      <c r="O205">
        <v>19606009</v>
      </c>
      <c r="P205" t="s">
        <v>32</v>
      </c>
      <c r="Q205" t="s">
        <v>42</v>
      </c>
      <c r="R205">
        <v>8192</v>
      </c>
      <c r="S205" t="s">
        <v>34</v>
      </c>
      <c r="T205" t="s">
        <v>35</v>
      </c>
      <c r="U205">
        <v>1.25</v>
      </c>
      <c r="V205" t="s">
        <v>36</v>
      </c>
      <c r="W205" s="1">
        <v>45870</v>
      </c>
      <c r="X205">
        <v>2025</v>
      </c>
    </row>
    <row r="206" spans="1:24" x14ac:dyDescent="0.25">
      <c r="A206" s="1">
        <v>45888</v>
      </c>
      <c r="B206" t="s">
        <v>749</v>
      </c>
      <c r="C206" t="s">
        <v>750</v>
      </c>
      <c r="E206" t="s">
        <v>751</v>
      </c>
      <c r="F206" t="s">
        <v>303</v>
      </c>
      <c r="G206" t="s">
        <v>28</v>
      </c>
      <c r="H206" t="s">
        <v>29</v>
      </c>
      <c r="I206" t="s">
        <v>304</v>
      </c>
      <c r="J206" t="s">
        <v>366</v>
      </c>
      <c r="L206" s="1">
        <v>45870</v>
      </c>
      <c r="M206" s="1">
        <v>45292</v>
      </c>
      <c r="O206">
        <v>9213293</v>
      </c>
      <c r="P206" t="s">
        <v>32</v>
      </c>
      <c r="Q206" t="s">
        <v>252</v>
      </c>
      <c r="R206">
        <v>8192</v>
      </c>
      <c r="S206" t="s">
        <v>34</v>
      </c>
      <c r="T206" t="s">
        <v>35</v>
      </c>
      <c r="U206">
        <v>29.83</v>
      </c>
      <c r="V206" t="s">
        <v>36</v>
      </c>
      <c r="W206" s="1">
        <v>45658</v>
      </c>
      <c r="X206">
        <v>2025</v>
      </c>
    </row>
    <row r="207" spans="1:24" x14ac:dyDescent="0.25">
      <c r="A207" s="1">
        <v>45888</v>
      </c>
      <c r="B207" t="s">
        <v>752</v>
      </c>
      <c r="C207" t="s">
        <v>753</v>
      </c>
      <c r="E207" t="s">
        <v>754</v>
      </c>
      <c r="F207" t="s">
        <v>27</v>
      </c>
      <c r="G207" t="s">
        <v>28</v>
      </c>
      <c r="H207" t="s">
        <v>29</v>
      </c>
      <c r="I207" t="s">
        <v>30</v>
      </c>
      <c r="J207" t="s">
        <v>156</v>
      </c>
      <c r="L207" s="1">
        <v>45870</v>
      </c>
      <c r="M207" s="1">
        <v>45292</v>
      </c>
      <c r="O207">
        <v>19861194</v>
      </c>
      <c r="P207" t="s">
        <v>247</v>
      </c>
      <c r="Q207" t="s">
        <v>755</v>
      </c>
      <c r="R207">
        <v>8192</v>
      </c>
      <c r="S207" t="s">
        <v>51</v>
      </c>
      <c r="T207" t="s">
        <v>35</v>
      </c>
      <c r="U207">
        <v>2.5</v>
      </c>
      <c r="V207" t="s">
        <v>36</v>
      </c>
      <c r="W207" s="1">
        <v>45260</v>
      </c>
      <c r="X207">
        <v>2025</v>
      </c>
    </row>
    <row r="208" spans="1:24" x14ac:dyDescent="0.25">
      <c r="A208" s="1">
        <v>45888</v>
      </c>
      <c r="B208" t="s">
        <v>756</v>
      </c>
      <c r="C208" t="s">
        <v>757</v>
      </c>
      <c r="E208" t="s">
        <v>758</v>
      </c>
      <c r="F208" t="s">
        <v>759</v>
      </c>
      <c r="G208" t="s">
        <v>28</v>
      </c>
      <c r="H208" t="s">
        <v>29</v>
      </c>
      <c r="I208" t="s">
        <v>760</v>
      </c>
      <c r="J208" t="s">
        <v>761</v>
      </c>
      <c r="L208" s="1">
        <v>45870</v>
      </c>
      <c r="M208" s="1">
        <v>45566</v>
      </c>
      <c r="O208">
        <v>8307933</v>
      </c>
      <c r="P208" t="s">
        <v>32</v>
      </c>
      <c r="Q208" t="s">
        <v>63</v>
      </c>
      <c r="R208">
        <v>8192</v>
      </c>
      <c r="S208" t="s">
        <v>34</v>
      </c>
      <c r="T208" t="s">
        <v>35</v>
      </c>
      <c r="U208">
        <v>29.83</v>
      </c>
      <c r="V208" t="s">
        <v>36</v>
      </c>
      <c r="W208" s="1">
        <v>45495</v>
      </c>
      <c r="X208">
        <v>2025</v>
      </c>
    </row>
    <row r="209" spans="1:24" x14ac:dyDescent="0.25">
      <c r="A209" s="1">
        <v>45888</v>
      </c>
      <c r="B209" t="s">
        <v>762</v>
      </c>
      <c r="C209" t="s">
        <v>763</v>
      </c>
      <c r="E209" t="s">
        <v>764</v>
      </c>
      <c r="F209" t="s">
        <v>27</v>
      </c>
      <c r="G209" t="s">
        <v>28</v>
      </c>
      <c r="H209" t="s">
        <v>127</v>
      </c>
      <c r="I209" t="s">
        <v>30</v>
      </c>
      <c r="J209" t="s">
        <v>128</v>
      </c>
      <c r="L209" s="1">
        <v>45870</v>
      </c>
      <c r="M209" s="1">
        <v>45292</v>
      </c>
      <c r="O209">
        <v>17886092</v>
      </c>
      <c r="P209" t="s">
        <v>32</v>
      </c>
      <c r="Q209" t="s">
        <v>102</v>
      </c>
      <c r="R209">
        <v>8192</v>
      </c>
      <c r="S209" t="s">
        <v>51</v>
      </c>
      <c r="T209" t="s">
        <v>35</v>
      </c>
      <c r="U209">
        <v>2.5</v>
      </c>
      <c r="V209" t="s">
        <v>36</v>
      </c>
      <c r="W209" s="1">
        <v>45215</v>
      </c>
      <c r="X209">
        <v>2025</v>
      </c>
    </row>
    <row r="210" spans="1:24" x14ac:dyDescent="0.25">
      <c r="A210" s="1">
        <v>45888</v>
      </c>
      <c r="B210" t="s">
        <v>765</v>
      </c>
      <c r="C210" t="s">
        <v>766</v>
      </c>
      <c r="E210" t="s">
        <v>767</v>
      </c>
      <c r="F210" t="s">
        <v>27</v>
      </c>
      <c r="G210" t="s">
        <v>28</v>
      </c>
      <c r="H210" t="s">
        <v>29</v>
      </c>
      <c r="I210" t="s">
        <v>30</v>
      </c>
      <c r="J210" t="s">
        <v>46</v>
      </c>
      <c r="L210" s="1">
        <v>45870</v>
      </c>
      <c r="M210" s="1">
        <v>44743</v>
      </c>
      <c r="O210">
        <v>19606009</v>
      </c>
      <c r="P210" t="s">
        <v>32</v>
      </c>
      <c r="Q210" t="s">
        <v>42</v>
      </c>
      <c r="R210">
        <v>8192</v>
      </c>
      <c r="S210" t="s">
        <v>34</v>
      </c>
      <c r="T210" t="s">
        <v>35</v>
      </c>
      <c r="U210">
        <v>1.25</v>
      </c>
      <c r="V210" t="s">
        <v>36</v>
      </c>
      <c r="W210" s="1">
        <v>45839</v>
      </c>
      <c r="X210">
        <v>2025</v>
      </c>
    </row>
    <row r="211" spans="1:24" x14ac:dyDescent="0.25">
      <c r="A211" s="1">
        <v>45888</v>
      </c>
      <c r="B211" t="s">
        <v>768</v>
      </c>
      <c r="C211" t="s">
        <v>769</v>
      </c>
      <c r="E211" t="s">
        <v>770</v>
      </c>
      <c r="F211" t="s">
        <v>74</v>
      </c>
      <c r="G211" t="s">
        <v>28</v>
      </c>
      <c r="H211" t="s">
        <v>29</v>
      </c>
      <c r="I211" t="s">
        <v>61</v>
      </c>
      <c r="J211" t="s">
        <v>428</v>
      </c>
      <c r="L211" s="1">
        <v>45870</v>
      </c>
      <c r="M211" s="1">
        <v>45231</v>
      </c>
      <c r="O211">
        <v>8307933</v>
      </c>
      <c r="P211" t="s">
        <v>32</v>
      </c>
      <c r="Q211" t="s">
        <v>63</v>
      </c>
      <c r="R211">
        <v>8192</v>
      </c>
      <c r="S211" t="s">
        <v>51</v>
      </c>
      <c r="T211" t="s">
        <v>35</v>
      </c>
      <c r="U211">
        <v>28.58</v>
      </c>
      <c r="V211" t="s">
        <v>36</v>
      </c>
      <c r="W211" s="1">
        <v>45224</v>
      </c>
      <c r="X211">
        <v>2025</v>
      </c>
    </row>
    <row r="212" spans="1:24" x14ac:dyDescent="0.25">
      <c r="A212" s="1">
        <v>45888</v>
      </c>
      <c r="B212" t="s">
        <v>771</v>
      </c>
      <c r="C212" t="s">
        <v>772</v>
      </c>
      <c r="E212" t="s">
        <v>773</v>
      </c>
      <c r="F212" t="s">
        <v>74</v>
      </c>
      <c r="G212" t="s">
        <v>28</v>
      </c>
      <c r="H212" t="s">
        <v>29</v>
      </c>
      <c r="I212" t="s">
        <v>61</v>
      </c>
      <c r="J212" t="s">
        <v>428</v>
      </c>
      <c r="L212" s="1">
        <v>45870</v>
      </c>
      <c r="M212" s="1">
        <v>45231</v>
      </c>
      <c r="O212">
        <v>8307933</v>
      </c>
      <c r="P212" t="s">
        <v>32</v>
      </c>
      <c r="Q212" t="s">
        <v>63</v>
      </c>
      <c r="R212">
        <v>8192</v>
      </c>
      <c r="S212" t="s">
        <v>51</v>
      </c>
      <c r="T212" t="s">
        <v>35</v>
      </c>
      <c r="U212">
        <v>28.58</v>
      </c>
      <c r="V212" t="s">
        <v>36</v>
      </c>
      <c r="W212" s="1">
        <v>45224</v>
      </c>
      <c r="X212">
        <v>2025</v>
      </c>
    </row>
    <row r="213" spans="1:24" x14ac:dyDescent="0.25">
      <c r="A213" s="1">
        <v>45888</v>
      </c>
      <c r="B213" t="s">
        <v>774</v>
      </c>
      <c r="C213" t="s">
        <v>775</v>
      </c>
      <c r="E213" t="s">
        <v>776</v>
      </c>
      <c r="F213" t="s">
        <v>27</v>
      </c>
      <c r="G213" t="s">
        <v>28</v>
      </c>
      <c r="H213" t="s">
        <v>29</v>
      </c>
      <c r="I213" t="s">
        <v>30</v>
      </c>
      <c r="J213" t="s">
        <v>70</v>
      </c>
      <c r="L213" s="1">
        <v>45870</v>
      </c>
      <c r="M213" s="1">
        <v>45597</v>
      </c>
      <c r="O213">
        <v>17528908</v>
      </c>
      <c r="P213" t="s">
        <v>32</v>
      </c>
      <c r="Q213" t="s">
        <v>33</v>
      </c>
      <c r="R213">
        <v>8192</v>
      </c>
      <c r="S213" t="s">
        <v>34</v>
      </c>
      <c r="T213" t="s">
        <v>35</v>
      </c>
      <c r="U213">
        <v>33.17</v>
      </c>
      <c r="V213" t="s">
        <v>36</v>
      </c>
      <c r="W213" s="1">
        <v>45566</v>
      </c>
      <c r="X213">
        <v>2025</v>
      </c>
    </row>
    <row r="214" spans="1:24" x14ac:dyDescent="0.25">
      <c r="A214" s="1">
        <v>45888</v>
      </c>
      <c r="B214" t="s">
        <v>777</v>
      </c>
      <c r="C214" t="s">
        <v>778</v>
      </c>
      <c r="E214" t="s">
        <v>779</v>
      </c>
      <c r="F214" t="s">
        <v>74</v>
      </c>
      <c r="G214" t="s">
        <v>28</v>
      </c>
      <c r="H214" t="s">
        <v>29</v>
      </c>
      <c r="I214" t="s">
        <v>61</v>
      </c>
      <c r="J214" t="s">
        <v>75</v>
      </c>
      <c r="L214" s="1">
        <v>45870</v>
      </c>
      <c r="M214" s="1">
        <v>45505</v>
      </c>
      <c r="O214">
        <v>19200754</v>
      </c>
      <c r="P214" t="s">
        <v>32</v>
      </c>
      <c r="Q214" t="s">
        <v>780</v>
      </c>
      <c r="R214">
        <v>8192</v>
      </c>
      <c r="S214" t="s">
        <v>34</v>
      </c>
      <c r="T214" t="s">
        <v>35</v>
      </c>
      <c r="U214">
        <v>29.83</v>
      </c>
      <c r="V214" t="s">
        <v>36</v>
      </c>
      <c r="W214" s="1">
        <v>45481</v>
      </c>
      <c r="X214">
        <v>2025</v>
      </c>
    </row>
    <row r="215" spans="1:24" x14ac:dyDescent="0.25">
      <c r="A215" s="1">
        <v>45888</v>
      </c>
      <c r="B215" t="s">
        <v>781</v>
      </c>
      <c r="C215" t="s">
        <v>782</v>
      </c>
      <c r="E215" t="s">
        <v>783</v>
      </c>
      <c r="F215" t="s">
        <v>74</v>
      </c>
      <c r="G215" t="s">
        <v>28</v>
      </c>
      <c r="H215" t="s">
        <v>29</v>
      </c>
      <c r="I215" t="s">
        <v>61</v>
      </c>
      <c r="J215" t="s">
        <v>75</v>
      </c>
      <c r="L215" s="1">
        <v>45870</v>
      </c>
      <c r="M215" s="1">
        <v>45505</v>
      </c>
      <c r="O215">
        <v>19200754</v>
      </c>
      <c r="P215" t="s">
        <v>32</v>
      </c>
      <c r="Q215" t="s">
        <v>780</v>
      </c>
      <c r="R215">
        <v>8192</v>
      </c>
      <c r="S215" t="s">
        <v>34</v>
      </c>
      <c r="T215" t="s">
        <v>35</v>
      </c>
      <c r="U215">
        <v>29.83</v>
      </c>
      <c r="V215" t="s">
        <v>36</v>
      </c>
      <c r="W215" s="1">
        <v>45481</v>
      </c>
      <c r="X215">
        <v>2025</v>
      </c>
    </row>
    <row r="216" spans="1:24" x14ac:dyDescent="0.25">
      <c r="A216" s="1">
        <v>45888</v>
      </c>
      <c r="B216" t="s">
        <v>784</v>
      </c>
      <c r="C216" t="s">
        <v>785</v>
      </c>
      <c r="E216" t="s">
        <v>786</v>
      </c>
      <c r="F216" t="s">
        <v>27</v>
      </c>
      <c r="G216" t="s">
        <v>28</v>
      </c>
      <c r="H216" t="s">
        <v>29</v>
      </c>
      <c r="I216" t="s">
        <v>30</v>
      </c>
      <c r="J216" t="s">
        <v>50</v>
      </c>
      <c r="L216" s="1">
        <v>45870</v>
      </c>
      <c r="M216" s="1">
        <v>45292</v>
      </c>
      <c r="O216">
        <v>17886092</v>
      </c>
      <c r="P216" t="s">
        <v>32</v>
      </c>
      <c r="Q216" t="s">
        <v>102</v>
      </c>
      <c r="R216">
        <v>8192</v>
      </c>
      <c r="S216" t="s">
        <v>51</v>
      </c>
      <c r="T216" t="s">
        <v>35</v>
      </c>
      <c r="U216">
        <v>2.5</v>
      </c>
      <c r="V216" t="s">
        <v>36</v>
      </c>
      <c r="W216" s="1">
        <v>45215</v>
      </c>
      <c r="X216">
        <v>2025</v>
      </c>
    </row>
    <row r="217" spans="1:24" x14ac:dyDescent="0.25">
      <c r="A217" s="1">
        <v>45888</v>
      </c>
      <c r="B217" t="s">
        <v>787</v>
      </c>
      <c r="C217" t="s">
        <v>788</v>
      </c>
      <c r="E217" t="s">
        <v>789</v>
      </c>
      <c r="F217" t="s">
        <v>27</v>
      </c>
      <c r="G217" t="s">
        <v>28</v>
      </c>
      <c r="H217" t="s">
        <v>29</v>
      </c>
      <c r="I217" t="s">
        <v>30</v>
      </c>
      <c r="J217" t="s">
        <v>790</v>
      </c>
      <c r="L217" s="1">
        <v>45870</v>
      </c>
      <c r="M217" s="1">
        <v>45292</v>
      </c>
      <c r="O217">
        <v>17425766</v>
      </c>
      <c r="P217" t="s">
        <v>32</v>
      </c>
      <c r="Q217" t="s">
        <v>56</v>
      </c>
      <c r="R217">
        <v>8192</v>
      </c>
      <c r="S217" t="s">
        <v>51</v>
      </c>
      <c r="T217" t="s">
        <v>35</v>
      </c>
      <c r="U217">
        <v>31.92</v>
      </c>
      <c r="V217" t="s">
        <v>36</v>
      </c>
      <c r="W217" s="1">
        <v>45257</v>
      </c>
      <c r="X217">
        <v>2025</v>
      </c>
    </row>
    <row r="218" spans="1:24" x14ac:dyDescent="0.25">
      <c r="A218" s="1">
        <v>45888</v>
      </c>
      <c r="B218" t="s">
        <v>791</v>
      </c>
      <c r="C218" t="s">
        <v>792</v>
      </c>
      <c r="E218" t="s">
        <v>793</v>
      </c>
      <c r="F218" t="s">
        <v>27</v>
      </c>
      <c r="G218" t="s">
        <v>28</v>
      </c>
      <c r="H218" t="s">
        <v>29</v>
      </c>
      <c r="I218" t="s">
        <v>30</v>
      </c>
      <c r="J218" t="s">
        <v>46</v>
      </c>
      <c r="L218" s="1">
        <v>45870</v>
      </c>
      <c r="M218" s="1">
        <v>45261</v>
      </c>
      <c r="O218">
        <v>17886092</v>
      </c>
      <c r="P218" t="s">
        <v>32</v>
      </c>
      <c r="Q218" t="s">
        <v>102</v>
      </c>
      <c r="R218">
        <v>8192</v>
      </c>
      <c r="S218" t="s">
        <v>51</v>
      </c>
      <c r="T218" t="s">
        <v>35</v>
      </c>
      <c r="U218">
        <v>2.5</v>
      </c>
      <c r="V218" t="s">
        <v>36</v>
      </c>
      <c r="W218" s="1">
        <v>45260</v>
      </c>
      <c r="X218">
        <v>2025</v>
      </c>
    </row>
    <row r="219" spans="1:24" x14ac:dyDescent="0.25">
      <c r="A219" s="1">
        <v>45888</v>
      </c>
      <c r="B219" t="s">
        <v>794</v>
      </c>
      <c r="C219" t="s">
        <v>795</v>
      </c>
      <c r="E219" t="s">
        <v>796</v>
      </c>
      <c r="F219" t="s">
        <v>74</v>
      </c>
      <c r="G219" t="s">
        <v>28</v>
      </c>
      <c r="H219" t="s">
        <v>29</v>
      </c>
      <c r="I219" t="s">
        <v>61</v>
      </c>
      <c r="J219" t="s">
        <v>797</v>
      </c>
      <c r="L219" s="1">
        <v>45870</v>
      </c>
      <c r="M219" s="1">
        <v>45536</v>
      </c>
      <c r="O219">
        <v>20212926</v>
      </c>
      <c r="P219" t="s">
        <v>32</v>
      </c>
      <c r="Q219" t="s">
        <v>798</v>
      </c>
      <c r="R219">
        <v>8192</v>
      </c>
      <c r="S219" t="s">
        <v>34</v>
      </c>
      <c r="T219" t="s">
        <v>35</v>
      </c>
      <c r="U219">
        <v>29.83</v>
      </c>
      <c r="V219" t="s">
        <v>36</v>
      </c>
      <c r="W219" s="1">
        <v>45505</v>
      </c>
      <c r="X219">
        <v>2025</v>
      </c>
    </row>
    <row r="220" spans="1:24" x14ac:dyDescent="0.25">
      <c r="A220" s="1">
        <v>45888</v>
      </c>
      <c r="B220" t="s">
        <v>799</v>
      </c>
      <c r="C220" t="s">
        <v>800</v>
      </c>
      <c r="E220" t="s">
        <v>801</v>
      </c>
      <c r="F220" t="s">
        <v>27</v>
      </c>
      <c r="G220" t="s">
        <v>28</v>
      </c>
      <c r="H220" t="s">
        <v>29</v>
      </c>
      <c r="I220" t="s">
        <v>30</v>
      </c>
      <c r="J220" t="s">
        <v>50</v>
      </c>
      <c r="L220" s="1">
        <v>45870</v>
      </c>
      <c r="M220" s="1">
        <v>45231</v>
      </c>
      <c r="O220">
        <v>17886092</v>
      </c>
      <c r="P220" t="s">
        <v>32</v>
      </c>
      <c r="Q220" t="s">
        <v>102</v>
      </c>
      <c r="R220">
        <v>8192</v>
      </c>
      <c r="S220" t="s">
        <v>51</v>
      </c>
      <c r="T220" t="s">
        <v>35</v>
      </c>
      <c r="U220">
        <v>2.5</v>
      </c>
      <c r="V220" t="s">
        <v>36</v>
      </c>
      <c r="W220" s="1">
        <v>45216</v>
      </c>
      <c r="X220">
        <v>2025</v>
      </c>
    </row>
    <row r="221" spans="1:24" x14ac:dyDescent="0.25">
      <c r="A221" s="1">
        <v>45888</v>
      </c>
      <c r="B221" t="s">
        <v>802</v>
      </c>
      <c r="C221" t="s">
        <v>803</v>
      </c>
      <c r="E221" t="s">
        <v>804</v>
      </c>
      <c r="F221" t="s">
        <v>27</v>
      </c>
      <c r="G221" t="s">
        <v>28</v>
      </c>
      <c r="H221" t="s">
        <v>29</v>
      </c>
      <c r="I221" t="s">
        <v>30</v>
      </c>
      <c r="J221" t="s">
        <v>46</v>
      </c>
      <c r="L221" s="1">
        <v>45870</v>
      </c>
      <c r="M221" s="1">
        <v>44562</v>
      </c>
      <c r="O221">
        <v>19606009</v>
      </c>
      <c r="P221" t="s">
        <v>32</v>
      </c>
      <c r="Q221" t="s">
        <v>42</v>
      </c>
      <c r="R221">
        <v>8192</v>
      </c>
      <c r="S221" t="s">
        <v>34</v>
      </c>
      <c r="T221" t="s">
        <v>35</v>
      </c>
      <c r="U221">
        <v>1.25</v>
      </c>
      <c r="V221" t="s">
        <v>36</v>
      </c>
      <c r="W221" s="1">
        <v>45839</v>
      </c>
      <c r="X221">
        <v>2025</v>
      </c>
    </row>
    <row r="222" spans="1:24" x14ac:dyDescent="0.25">
      <c r="A222" s="1">
        <v>45888</v>
      </c>
      <c r="B222" t="s">
        <v>805</v>
      </c>
      <c r="C222" t="s">
        <v>806</v>
      </c>
      <c r="E222" t="s">
        <v>807</v>
      </c>
      <c r="F222" t="s">
        <v>27</v>
      </c>
      <c r="G222" t="s">
        <v>28</v>
      </c>
      <c r="H222" t="s">
        <v>29</v>
      </c>
      <c r="I222" t="s">
        <v>30</v>
      </c>
      <c r="J222" t="s">
        <v>46</v>
      </c>
      <c r="L222" s="1">
        <v>45870</v>
      </c>
      <c r="M222" s="1">
        <v>44986</v>
      </c>
      <c r="O222">
        <v>19606009</v>
      </c>
      <c r="P222" t="s">
        <v>32</v>
      </c>
      <c r="Q222" t="s">
        <v>42</v>
      </c>
      <c r="R222">
        <v>8192</v>
      </c>
      <c r="S222" t="s">
        <v>34</v>
      </c>
      <c r="T222" t="s">
        <v>35</v>
      </c>
      <c r="U222">
        <v>1.25</v>
      </c>
      <c r="V222" t="s">
        <v>36</v>
      </c>
      <c r="W222" s="1">
        <v>45870</v>
      </c>
      <c r="X222">
        <v>2025</v>
      </c>
    </row>
    <row r="223" spans="1:24" x14ac:dyDescent="0.25">
      <c r="A223" s="1">
        <v>45888</v>
      </c>
      <c r="B223" t="s">
        <v>808</v>
      </c>
      <c r="C223" t="s">
        <v>809</v>
      </c>
      <c r="E223" t="s">
        <v>810</v>
      </c>
      <c r="F223" t="s">
        <v>27</v>
      </c>
      <c r="G223" t="s">
        <v>28</v>
      </c>
      <c r="H223" t="s">
        <v>29</v>
      </c>
      <c r="I223" t="s">
        <v>30</v>
      </c>
      <c r="J223" t="s">
        <v>674</v>
      </c>
      <c r="L223" s="1">
        <v>45870</v>
      </c>
      <c r="M223" s="1">
        <v>45292</v>
      </c>
      <c r="O223">
        <v>17528908</v>
      </c>
      <c r="P223" t="s">
        <v>32</v>
      </c>
      <c r="Q223" t="s">
        <v>33</v>
      </c>
      <c r="R223">
        <v>8192</v>
      </c>
      <c r="S223" t="s">
        <v>51</v>
      </c>
      <c r="T223" t="s">
        <v>35</v>
      </c>
      <c r="U223">
        <v>31.92</v>
      </c>
      <c r="V223" t="s">
        <v>36</v>
      </c>
      <c r="W223" s="1">
        <v>45240</v>
      </c>
      <c r="X223">
        <v>2025</v>
      </c>
    </row>
    <row r="224" spans="1:24" x14ac:dyDescent="0.25">
      <c r="A224" s="1">
        <v>45888</v>
      </c>
      <c r="B224" t="s">
        <v>811</v>
      </c>
      <c r="C224" t="s">
        <v>812</v>
      </c>
      <c r="E224" t="s">
        <v>813</v>
      </c>
      <c r="F224" t="s">
        <v>27</v>
      </c>
      <c r="G224" t="s">
        <v>28</v>
      </c>
      <c r="H224" t="s">
        <v>29</v>
      </c>
      <c r="I224" t="s">
        <v>30</v>
      </c>
      <c r="J224" t="s">
        <v>50</v>
      </c>
      <c r="L224" s="1">
        <v>45870</v>
      </c>
      <c r="M224" s="1">
        <v>45292</v>
      </c>
      <c r="O224">
        <v>19606009</v>
      </c>
      <c r="P224" t="s">
        <v>32</v>
      </c>
      <c r="Q224" t="s">
        <v>42</v>
      </c>
      <c r="R224">
        <v>8192</v>
      </c>
      <c r="S224" t="s">
        <v>51</v>
      </c>
      <c r="T224" t="s">
        <v>35</v>
      </c>
      <c r="U224">
        <v>2.5</v>
      </c>
      <c r="V224" t="s">
        <v>36</v>
      </c>
      <c r="W224" s="1">
        <v>45216</v>
      </c>
      <c r="X224">
        <v>2025</v>
      </c>
    </row>
    <row r="225" spans="1:24" x14ac:dyDescent="0.25">
      <c r="A225" s="1">
        <v>45888</v>
      </c>
      <c r="B225" t="s">
        <v>814</v>
      </c>
      <c r="C225" t="s">
        <v>815</v>
      </c>
      <c r="E225" t="s">
        <v>816</v>
      </c>
      <c r="F225" t="s">
        <v>95</v>
      </c>
      <c r="G225" t="s">
        <v>28</v>
      </c>
      <c r="H225" t="s">
        <v>96</v>
      </c>
      <c r="J225" t="s">
        <v>97</v>
      </c>
      <c r="L225" s="1">
        <v>45870</v>
      </c>
      <c r="M225" s="1">
        <v>45658</v>
      </c>
      <c r="O225">
        <v>9079571</v>
      </c>
      <c r="P225" t="s">
        <v>32</v>
      </c>
      <c r="Q225" t="s">
        <v>98</v>
      </c>
      <c r="R225">
        <v>8192</v>
      </c>
      <c r="S225" t="s">
        <v>51</v>
      </c>
      <c r="T225" t="s">
        <v>35</v>
      </c>
      <c r="U225">
        <v>3.92</v>
      </c>
      <c r="V225" t="s">
        <v>36</v>
      </c>
      <c r="W225" s="1">
        <v>45001</v>
      </c>
      <c r="X225">
        <v>2025</v>
      </c>
    </row>
    <row r="226" spans="1:24" x14ac:dyDescent="0.25">
      <c r="A226" s="1">
        <v>45888</v>
      </c>
      <c r="B226" t="s">
        <v>817</v>
      </c>
      <c r="C226" t="s">
        <v>818</v>
      </c>
      <c r="E226" t="s">
        <v>819</v>
      </c>
      <c r="F226" t="s">
        <v>27</v>
      </c>
      <c r="G226" t="s">
        <v>28</v>
      </c>
      <c r="H226" t="s">
        <v>29</v>
      </c>
      <c r="I226" t="s">
        <v>30</v>
      </c>
      <c r="J226" t="s">
        <v>46</v>
      </c>
      <c r="L226" s="1">
        <v>45870</v>
      </c>
      <c r="M226" s="1">
        <v>44958</v>
      </c>
      <c r="O226">
        <v>19606009</v>
      </c>
      <c r="P226" t="s">
        <v>32</v>
      </c>
      <c r="Q226" t="s">
        <v>42</v>
      </c>
      <c r="R226">
        <v>8192</v>
      </c>
      <c r="S226" t="s">
        <v>34</v>
      </c>
      <c r="T226" t="s">
        <v>35</v>
      </c>
      <c r="U226">
        <v>1.25</v>
      </c>
      <c r="V226" t="s">
        <v>36</v>
      </c>
      <c r="W226" s="1">
        <v>45870</v>
      </c>
      <c r="X226">
        <v>2025</v>
      </c>
    </row>
    <row r="227" spans="1:24" x14ac:dyDescent="0.25">
      <c r="A227" s="1">
        <v>45888</v>
      </c>
      <c r="B227" t="s">
        <v>820</v>
      </c>
      <c r="C227" t="s">
        <v>821</v>
      </c>
      <c r="E227" t="s">
        <v>822</v>
      </c>
      <c r="F227" t="s">
        <v>27</v>
      </c>
      <c r="G227" t="s">
        <v>28</v>
      </c>
      <c r="H227" t="s">
        <v>29</v>
      </c>
      <c r="I227" t="s">
        <v>30</v>
      </c>
      <c r="J227" t="s">
        <v>50</v>
      </c>
      <c r="L227" s="1">
        <v>45870</v>
      </c>
      <c r="M227" s="1">
        <v>45658</v>
      </c>
      <c r="O227">
        <v>17886092</v>
      </c>
      <c r="P227" t="s">
        <v>32</v>
      </c>
      <c r="Q227" t="s">
        <v>102</v>
      </c>
      <c r="R227">
        <v>8192</v>
      </c>
      <c r="S227" t="s">
        <v>51</v>
      </c>
      <c r="T227" t="s">
        <v>35</v>
      </c>
      <c r="U227">
        <v>2.5</v>
      </c>
      <c r="V227" t="s">
        <v>36</v>
      </c>
      <c r="W227" s="1">
        <v>45309</v>
      </c>
      <c r="X227">
        <v>2025</v>
      </c>
    </row>
    <row r="228" spans="1:24" x14ac:dyDescent="0.25">
      <c r="A228" s="1">
        <v>45888</v>
      </c>
      <c r="B228" t="s">
        <v>823</v>
      </c>
      <c r="C228" t="s">
        <v>824</v>
      </c>
      <c r="E228" t="s">
        <v>825</v>
      </c>
      <c r="F228" t="s">
        <v>27</v>
      </c>
      <c r="G228" t="s">
        <v>28</v>
      </c>
      <c r="H228" t="s">
        <v>29</v>
      </c>
      <c r="I228" t="s">
        <v>30</v>
      </c>
      <c r="J228" t="s">
        <v>31</v>
      </c>
      <c r="L228" s="1">
        <v>45870</v>
      </c>
      <c r="M228" s="1">
        <v>45474</v>
      </c>
      <c r="O228">
        <v>17886092</v>
      </c>
      <c r="P228" t="s">
        <v>32</v>
      </c>
      <c r="Q228" t="s">
        <v>102</v>
      </c>
      <c r="R228">
        <v>8192</v>
      </c>
      <c r="S228" t="s">
        <v>34</v>
      </c>
      <c r="T228" t="s">
        <v>35</v>
      </c>
      <c r="U228">
        <v>3.75</v>
      </c>
      <c r="V228" t="s">
        <v>36</v>
      </c>
      <c r="W228" s="1">
        <v>45450</v>
      </c>
      <c r="X228">
        <v>2025</v>
      </c>
    </row>
    <row r="229" spans="1:24" x14ac:dyDescent="0.25">
      <c r="A229" s="1">
        <v>45888</v>
      </c>
      <c r="B229" t="s">
        <v>826</v>
      </c>
      <c r="C229" t="s">
        <v>827</v>
      </c>
      <c r="E229" t="s">
        <v>828</v>
      </c>
      <c r="F229" t="s">
        <v>27</v>
      </c>
      <c r="G229" t="s">
        <v>28</v>
      </c>
      <c r="H229" t="s">
        <v>29</v>
      </c>
      <c r="I229" t="s">
        <v>30</v>
      </c>
      <c r="J229" t="s">
        <v>31</v>
      </c>
      <c r="L229" s="1">
        <v>45870</v>
      </c>
      <c r="M229" s="1">
        <v>45200</v>
      </c>
      <c r="O229">
        <v>17528908</v>
      </c>
      <c r="P229" t="s">
        <v>32</v>
      </c>
      <c r="Q229" t="s">
        <v>33</v>
      </c>
      <c r="R229">
        <v>8192</v>
      </c>
      <c r="S229" t="s">
        <v>51</v>
      </c>
      <c r="T229" t="s">
        <v>35</v>
      </c>
      <c r="U229">
        <v>31.92</v>
      </c>
      <c r="V229" t="s">
        <v>36</v>
      </c>
      <c r="W229" s="1">
        <v>45134</v>
      </c>
      <c r="X229">
        <v>2025</v>
      </c>
    </row>
    <row r="230" spans="1:24" x14ac:dyDescent="0.25">
      <c r="A230" s="1">
        <v>45888</v>
      </c>
      <c r="B230" t="s">
        <v>829</v>
      </c>
      <c r="C230" t="s">
        <v>830</v>
      </c>
      <c r="E230" t="s">
        <v>831</v>
      </c>
      <c r="F230" t="s">
        <v>27</v>
      </c>
      <c r="G230" t="s">
        <v>28</v>
      </c>
      <c r="H230" t="s">
        <v>29</v>
      </c>
      <c r="I230" t="s">
        <v>30</v>
      </c>
      <c r="J230" t="s">
        <v>50</v>
      </c>
      <c r="L230" s="1">
        <v>45870</v>
      </c>
      <c r="M230" s="1">
        <v>45658</v>
      </c>
      <c r="O230">
        <v>17886092</v>
      </c>
      <c r="P230" t="s">
        <v>32</v>
      </c>
      <c r="Q230" t="s">
        <v>102</v>
      </c>
      <c r="R230">
        <v>8192</v>
      </c>
      <c r="S230" t="s">
        <v>34</v>
      </c>
      <c r="T230" t="s">
        <v>35</v>
      </c>
      <c r="U230">
        <v>3.75</v>
      </c>
      <c r="V230" t="s">
        <v>36</v>
      </c>
      <c r="W230" s="1">
        <v>45474</v>
      </c>
      <c r="X230">
        <v>2025</v>
      </c>
    </row>
    <row r="231" spans="1:24" x14ac:dyDescent="0.25">
      <c r="A231" s="1">
        <v>45888</v>
      </c>
      <c r="B231" t="s">
        <v>832</v>
      </c>
      <c r="C231" t="s">
        <v>833</v>
      </c>
      <c r="E231" t="s">
        <v>834</v>
      </c>
      <c r="F231" t="s">
        <v>27</v>
      </c>
      <c r="G231" t="s">
        <v>28</v>
      </c>
      <c r="H231" t="s">
        <v>29</v>
      </c>
      <c r="I231" t="s">
        <v>30</v>
      </c>
      <c r="J231" t="s">
        <v>46</v>
      </c>
      <c r="L231" s="1">
        <v>45870</v>
      </c>
      <c r="M231" s="1">
        <v>45231</v>
      </c>
      <c r="O231">
        <v>17886092</v>
      </c>
      <c r="P231" t="s">
        <v>32</v>
      </c>
      <c r="Q231" t="s">
        <v>102</v>
      </c>
      <c r="R231">
        <v>8192</v>
      </c>
      <c r="S231" t="s">
        <v>51</v>
      </c>
      <c r="T231" t="s">
        <v>35</v>
      </c>
      <c r="U231">
        <v>2.5</v>
      </c>
      <c r="V231" t="s">
        <v>36</v>
      </c>
      <c r="W231" s="1">
        <v>45230</v>
      </c>
      <c r="X231">
        <v>2025</v>
      </c>
    </row>
    <row r="232" spans="1:24" x14ac:dyDescent="0.25">
      <c r="A232" s="1">
        <v>45888</v>
      </c>
      <c r="B232" t="s">
        <v>835</v>
      </c>
      <c r="C232" t="s">
        <v>836</v>
      </c>
      <c r="E232" t="s">
        <v>837</v>
      </c>
      <c r="F232" t="s">
        <v>838</v>
      </c>
      <c r="G232" t="s">
        <v>28</v>
      </c>
      <c r="H232" t="s">
        <v>29</v>
      </c>
      <c r="I232" t="s">
        <v>30</v>
      </c>
      <c r="J232" t="s">
        <v>839</v>
      </c>
      <c r="L232" s="1">
        <v>45870</v>
      </c>
      <c r="M232" s="1">
        <v>45292</v>
      </c>
      <c r="O232">
        <v>13496370</v>
      </c>
      <c r="P232" t="s">
        <v>32</v>
      </c>
      <c r="Q232" t="s">
        <v>840</v>
      </c>
      <c r="R232">
        <v>8192</v>
      </c>
      <c r="S232" t="s">
        <v>51</v>
      </c>
      <c r="T232" t="s">
        <v>35</v>
      </c>
      <c r="U232">
        <v>28.58</v>
      </c>
      <c r="V232" t="s">
        <v>36</v>
      </c>
      <c r="W232" s="1">
        <v>45221</v>
      </c>
      <c r="X232">
        <v>2025</v>
      </c>
    </row>
    <row r="233" spans="1:24" x14ac:dyDescent="0.25">
      <c r="A233" s="1">
        <v>45888</v>
      </c>
      <c r="B233" t="s">
        <v>841</v>
      </c>
      <c r="C233" t="s">
        <v>842</v>
      </c>
      <c r="E233" t="s">
        <v>843</v>
      </c>
      <c r="F233" t="s">
        <v>27</v>
      </c>
      <c r="G233" t="s">
        <v>28</v>
      </c>
      <c r="H233" t="s">
        <v>29</v>
      </c>
      <c r="I233" t="s">
        <v>30</v>
      </c>
      <c r="J233" t="s">
        <v>330</v>
      </c>
      <c r="L233" s="1">
        <v>45870</v>
      </c>
      <c r="M233" s="1">
        <v>45170</v>
      </c>
      <c r="O233">
        <v>14936854</v>
      </c>
      <c r="P233" t="s">
        <v>247</v>
      </c>
      <c r="Q233" t="s">
        <v>248</v>
      </c>
      <c r="R233">
        <v>8192</v>
      </c>
      <c r="S233" t="s">
        <v>51</v>
      </c>
      <c r="T233" t="s">
        <v>35</v>
      </c>
      <c r="U233">
        <v>2.5</v>
      </c>
      <c r="V233" t="s">
        <v>36</v>
      </c>
      <c r="W233" s="1">
        <v>45152</v>
      </c>
      <c r="X233">
        <v>2025</v>
      </c>
    </row>
    <row r="234" spans="1:24" x14ac:dyDescent="0.25">
      <c r="A234" s="1">
        <v>45888</v>
      </c>
      <c r="B234" t="s">
        <v>844</v>
      </c>
      <c r="C234" t="s">
        <v>845</v>
      </c>
      <c r="E234" t="s">
        <v>846</v>
      </c>
      <c r="F234" t="s">
        <v>111</v>
      </c>
      <c r="G234" t="s">
        <v>28</v>
      </c>
      <c r="H234" t="s">
        <v>29</v>
      </c>
      <c r="I234" t="s">
        <v>112</v>
      </c>
      <c r="J234" t="s">
        <v>847</v>
      </c>
      <c r="L234" s="1">
        <v>45870</v>
      </c>
      <c r="M234" s="1">
        <v>45292</v>
      </c>
      <c r="O234">
        <v>16378851</v>
      </c>
      <c r="P234" t="s">
        <v>32</v>
      </c>
      <c r="Q234" t="s">
        <v>114</v>
      </c>
      <c r="R234">
        <v>8192</v>
      </c>
      <c r="S234" t="s">
        <v>51</v>
      </c>
      <c r="T234" t="s">
        <v>35</v>
      </c>
      <c r="U234">
        <v>28.58</v>
      </c>
      <c r="V234" t="s">
        <v>36</v>
      </c>
      <c r="W234" s="1">
        <v>45260</v>
      </c>
      <c r="X234">
        <v>2025</v>
      </c>
    </row>
    <row r="235" spans="1:24" x14ac:dyDescent="0.25">
      <c r="A235" s="1">
        <v>45888</v>
      </c>
      <c r="B235" t="s">
        <v>848</v>
      </c>
      <c r="C235" t="s">
        <v>849</v>
      </c>
      <c r="E235" t="s">
        <v>850</v>
      </c>
      <c r="F235" t="s">
        <v>303</v>
      </c>
      <c r="G235" t="s">
        <v>28</v>
      </c>
      <c r="H235" t="s">
        <v>29</v>
      </c>
      <c r="I235" t="s">
        <v>304</v>
      </c>
      <c r="J235" t="s">
        <v>851</v>
      </c>
      <c r="L235" s="1">
        <v>45870</v>
      </c>
      <c r="M235" s="1">
        <v>45170</v>
      </c>
      <c r="O235">
        <v>8307933</v>
      </c>
      <c r="P235" t="s">
        <v>32</v>
      </c>
      <c r="Q235" t="s">
        <v>63</v>
      </c>
      <c r="R235">
        <v>8192</v>
      </c>
      <c r="S235" t="s">
        <v>51</v>
      </c>
      <c r="T235" t="s">
        <v>35</v>
      </c>
      <c r="U235">
        <v>28.58</v>
      </c>
      <c r="V235" t="s">
        <v>36</v>
      </c>
      <c r="W235" s="1">
        <v>45156</v>
      </c>
      <c r="X235">
        <v>2025</v>
      </c>
    </row>
    <row r="236" spans="1:24" x14ac:dyDescent="0.25">
      <c r="A236" s="1">
        <v>45888</v>
      </c>
      <c r="B236" t="s">
        <v>852</v>
      </c>
      <c r="C236" t="s">
        <v>853</v>
      </c>
      <c r="E236" t="s">
        <v>854</v>
      </c>
      <c r="F236" t="s">
        <v>27</v>
      </c>
      <c r="G236" t="s">
        <v>28</v>
      </c>
      <c r="H236" t="s">
        <v>127</v>
      </c>
      <c r="I236" t="s">
        <v>30</v>
      </c>
      <c r="J236" t="s">
        <v>128</v>
      </c>
      <c r="L236" s="1">
        <v>45870</v>
      </c>
      <c r="M236" s="1">
        <v>45505</v>
      </c>
      <c r="O236">
        <v>17886092</v>
      </c>
      <c r="P236" t="s">
        <v>32</v>
      </c>
      <c r="Q236" t="s">
        <v>102</v>
      </c>
      <c r="R236">
        <v>8192</v>
      </c>
      <c r="S236" t="s">
        <v>34</v>
      </c>
      <c r="T236" t="s">
        <v>35</v>
      </c>
      <c r="U236">
        <v>3.75</v>
      </c>
      <c r="V236" t="s">
        <v>36</v>
      </c>
      <c r="W236" s="1">
        <v>45443</v>
      </c>
      <c r="X236">
        <v>2025</v>
      </c>
    </row>
    <row r="237" spans="1:24" x14ac:dyDescent="0.25">
      <c r="A237" s="1">
        <v>45888</v>
      </c>
      <c r="B237" t="s">
        <v>855</v>
      </c>
      <c r="C237" t="s">
        <v>856</v>
      </c>
      <c r="E237" t="s">
        <v>857</v>
      </c>
      <c r="F237" t="s">
        <v>27</v>
      </c>
      <c r="G237" t="s">
        <v>28</v>
      </c>
      <c r="H237" t="s">
        <v>29</v>
      </c>
      <c r="I237" t="s">
        <v>30</v>
      </c>
      <c r="J237" t="s">
        <v>50</v>
      </c>
      <c r="L237" s="1">
        <v>45870</v>
      </c>
      <c r="M237" s="1">
        <v>44986</v>
      </c>
      <c r="O237">
        <v>19606009</v>
      </c>
      <c r="P237" t="s">
        <v>32</v>
      </c>
      <c r="Q237" t="s">
        <v>42</v>
      </c>
      <c r="R237">
        <v>8192</v>
      </c>
      <c r="S237" t="s">
        <v>34</v>
      </c>
      <c r="T237" t="s">
        <v>35</v>
      </c>
      <c r="U237">
        <v>1.25</v>
      </c>
      <c r="V237" t="s">
        <v>36</v>
      </c>
      <c r="W237" s="1">
        <v>45870</v>
      </c>
      <c r="X237">
        <v>2025</v>
      </c>
    </row>
    <row r="238" spans="1:24" x14ac:dyDescent="0.25">
      <c r="A238" s="1">
        <v>45888</v>
      </c>
      <c r="B238" t="s">
        <v>858</v>
      </c>
      <c r="C238" t="s">
        <v>859</v>
      </c>
      <c r="E238" t="s">
        <v>860</v>
      </c>
      <c r="F238" t="s">
        <v>111</v>
      </c>
      <c r="G238" t="s">
        <v>28</v>
      </c>
      <c r="H238" t="s">
        <v>29</v>
      </c>
      <c r="I238" t="s">
        <v>112</v>
      </c>
      <c r="J238" t="s">
        <v>861</v>
      </c>
      <c r="L238" s="1">
        <v>45870</v>
      </c>
      <c r="M238" s="1">
        <v>45536</v>
      </c>
      <c r="O238">
        <v>9213293</v>
      </c>
      <c r="P238" t="s">
        <v>32</v>
      </c>
      <c r="Q238" t="s">
        <v>252</v>
      </c>
      <c r="R238">
        <v>8192</v>
      </c>
      <c r="S238" t="s">
        <v>34</v>
      </c>
      <c r="T238" t="s">
        <v>35</v>
      </c>
      <c r="U238">
        <v>29.83</v>
      </c>
      <c r="V238" t="s">
        <v>36</v>
      </c>
      <c r="W238" s="1">
        <v>45531</v>
      </c>
      <c r="X238">
        <v>2025</v>
      </c>
    </row>
    <row r="239" spans="1:24" x14ac:dyDescent="0.25">
      <c r="A239" s="1">
        <v>45888</v>
      </c>
      <c r="B239" t="s">
        <v>862</v>
      </c>
      <c r="C239" t="s">
        <v>863</v>
      </c>
      <c r="E239" t="s">
        <v>864</v>
      </c>
      <c r="F239" t="s">
        <v>27</v>
      </c>
      <c r="G239" t="s">
        <v>28</v>
      </c>
      <c r="H239" t="s">
        <v>29</v>
      </c>
      <c r="I239" t="s">
        <v>30</v>
      </c>
      <c r="J239" t="s">
        <v>46</v>
      </c>
      <c r="L239" s="1">
        <v>45870</v>
      </c>
      <c r="M239" s="1">
        <v>45292</v>
      </c>
      <c r="O239">
        <v>17886092</v>
      </c>
      <c r="P239" t="s">
        <v>32</v>
      </c>
      <c r="Q239" t="s">
        <v>102</v>
      </c>
      <c r="R239">
        <v>8192</v>
      </c>
      <c r="S239" t="s">
        <v>51</v>
      </c>
      <c r="T239" t="s">
        <v>35</v>
      </c>
      <c r="U239">
        <v>2.5</v>
      </c>
      <c r="V239" t="s">
        <v>36</v>
      </c>
      <c r="W239" s="1">
        <v>45216</v>
      </c>
      <c r="X239">
        <v>2025</v>
      </c>
    </row>
    <row r="240" spans="1:24" x14ac:dyDescent="0.25">
      <c r="A240" s="1">
        <v>45888</v>
      </c>
      <c r="B240" t="s">
        <v>865</v>
      </c>
      <c r="C240" t="s">
        <v>866</v>
      </c>
      <c r="E240" t="s">
        <v>867</v>
      </c>
      <c r="F240" t="s">
        <v>27</v>
      </c>
      <c r="G240" t="s">
        <v>28</v>
      </c>
      <c r="H240" t="s">
        <v>29</v>
      </c>
      <c r="I240" t="s">
        <v>30</v>
      </c>
      <c r="J240" t="s">
        <v>46</v>
      </c>
      <c r="L240" s="1">
        <v>45870</v>
      </c>
      <c r="M240" s="1">
        <v>45292</v>
      </c>
      <c r="O240">
        <v>17886092</v>
      </c>
      <c r="P240" t="s">
        <v>32</v>
      </c>
      <c r="Q240" t="s">
        <v>102</v>
      </c>
      <c r="R240">
        <v>8192</v>
      </c>
      <c r="S240" t="s">
        <v>51</v>
      </c>
      <c r="T240" t="s">
        <v>35</v>
      </c>
      <c r="U240">
        <v>2.5</v>
      </c>
      <c r="V240" t="s">
        <v>36</v>
      </c>
      <c r="W240" s="1">
        <v>45259</v>
      </c>
      <c r="X240">
        <v>2025</v>
      </c>
    </row>
    <row r="241" spans="1:24" x14ac:dyDescent="0.25">
      <c r="A241" s="1">
        <v>45888</v>
      </c>
      <c r="B241" t="s">
        <v>868</v>
      </c>
      <c r="C241" t="s">
        <v>869</v>
      </c>
      <c r="E241" t="s">
        <v>870</v>
      </c>
      <c r="F241" t="s">
        <v>27</v>
      </c>
      <c r="G241" t="s">
        <v>28</v>
      </c>
      <c r="H241" t="s">
        <v>29</v>
      </c>
      <c r="I241" t="s">
        <v>40</v>
      </c>
      <c r="J241" t="s">
        <v>46</v>
      </c>
      <c r="L241" s="1">
        <v>45870</v>
      </c>
      <c r="M241" s="1">
        <v>44197</v>
      </c>
      <c r="O241">
        <v>19606009</v>
      </c>
      <c r="P241" t="s">
        <v>32</v>
      </c>
      <c r="Q241" t="s">
        <v>42</v>
      </c>
      <c r="R241">
        <v>8192</v>
      </c>
      <c r="S241" t="s">
        <v>34</v>
      </c>
      <c r="T241" t="s">
        <v>35</v>
      </c>
      <c r="U241">
        <v>1.25</v>
      </c>
      <c r="V241" t="s">
        <v>36</v>
      </c>
      <c r="W241" s="1">
        <v>45809</v>
      </c>
      <c r="X241">
        <v>2025</v>
      </c>
    </row>
    <row r="242" spans="1:24" x14ac:dyDescent="0.25">
      <c r="A242" s="1">
        <v>45888</v>
      </c>
      <c r="B242" t="s">
        <v>871</v>
      </c>
      <c r="C242" t="s">
        <v>872</v>
      </c>
      <c r="E242" t="s">
        <v>873</v>
      </c>
      <c r="F242" t="s">
        <v>27</v>
      </c>
      <c r="G242" t="s">
        <v>28</v>
      </c>
      <c r="H242" t="s">
        <v>29</v>
      </c>
      <c r="I242" t="s">
        <v>40</v>
      </c>
      <c r="J242" t="s">
        <v>46</v>
      </c>
      <c r="L242" s="1">
        <v>45870</v>
      </c>
      <c r="M242" s="1">
        <v>44197</v>
      </c>
      <c r="O242">
        <v>19606009</v>
      </c>
      <c r="P242" t="s">
        <v>32</v>
      </c>
      <c r="Q242" t="s">
        <v>42</v>
      </c>
      <c r="R242">
        <v>8192</v>
      </c>
      <c r="S242" t="s">
        <v>34</v>
      </c>
      <c r="T242" t="s">
        <v>35</v>
      </c>
      <c r="U242">
        <v>1.25</v>
      </c>
      <c r="V242" t="s">
        <v>36</v>
      </c>
      <c r="W242" s="1">
        <v>45809</v>
      </c>
      <c r="X242">
        <v>2025</v>
      </c>
    </row>
    <row r="243" spans="1:24" x14ac:dyDescent="0.25">
      <c r="A243" s="1">
        <v>45888</v>
      </c>
      <c r="B243" t="s">
        <v>874</v>
      </c>
      <c r="C243" t="s">
        <v>875</v>
      </c>
      <c r="E243" t="s">
        <v>876</v>
      </c>
      <c r="F243" t="s">
        <v>27</v>
      </c>
      <c r="G243" t="s">
        <v>28</v>
      </c>
      <c r="H243" t="s">
        <v>29</v>
      </c>
      <c r="I243" t="s">
        <v>30</v>
      </c>
      <c r="J243" t="s">
        <v>31</v>
      </c>
      <c r="L243" s="1">
        <v>45870</v>
      </c>
      <c r="M243" s="1">
        <v>45200</v>
      </c>
      <c r="O243">
        <v>17528908</v>
      </c>
      <c r="P243" t="s">
        <v>32</v>
      </c>
      <c r="Q243" t="s">
        <v>33</v>
      </c>
      <c r="R243">
        <v>8192</v>
      </c>
      <c r="S243" t="s">
        <v>51</v>
      </c>
      <c r="T243" t="s">
        <v>35</v>
      </c>
      <c r="U243">
        <v>31.92</v>
      </c>
      <c r="V243" t="s">
        <v>36</v>
      </c>
      <c r="W243" s="1">
        <v>45178</v>
      </c>
      <c r="X243">
        <v>2025</v>
      </c>
    </row>
    <row r="244" spans="1:24" x14ac:dyDescent="0.25">
      <c r="A244" s="1">
        <v>45888</v>
      </c>
      <c r="B244" t="s">
        <v>877</v>
      </c>
      <c r="C244" t="s">
        <v>878</v>
      </c>
      <c r="E244" t="s">
        <v>879</v>
      </c>
      <c r="F244" t="s">
        <v>27</v>
      </c>
      <c r="G244" t="s">
        <v>28</v>
      </c>
      <c r="H244" t="s">
        <v>29</v>
      </c>
      <c r="I244" t="s">
        <v>30</v>
      </c>
      <c r="J244" t="s">
        <v>50</v>
      </c>
      <c r="L244" s="1">
        <v>45870</v>
      </c>
      <c r="M244" s="1">
        <v>45505</v>
      </c>
      <c r="O244">
        <v>17886092</v>
      </c>
      <c r="P244" t="s">
        <v>32</v>
      </c>
      <c r="Q244" t="s">
        <v>102</v>
      </c>
      <c r="R244">
        <v>8192</v>
      </c>
      <c r="S244" t="s">
        <v>34</v>
      </c>
      <c r="T244" t="s">
        <v>35</v>
      </c>
      <c r="U244">
        <v>3.75</v>
      </c>
      <c r="V244" t="s">
        <v>36</v>
      </c>
      <c r="W244" s="1">
        <v>45414</v>
      </c>
      <c r="X244">
        <v>2025</v>
      </c>
    </row>
    <row r="245" spans="1:24" x14ac:dyDescent="0.25">
      <c r="A245" s="1">
        <v>45888</v>
      </c>
      <c r="B245" t="s">
        <v>880</v>
      </c>
      <c r="C245" t="s">
        <v>881</v>
      </c>
      <c r="E245" t="s">
        <v>882</v>
      </c>
      <c r="F245" t="s">
        <v>27</v>
      </c>
      <c r="G245" t="s">
        <v>28</v>
      </c>
      <c r="H245" t="s">
        <v>29</v>
      </c>
      <c r="I245" t="s">
        <v>30</v>
      </c>
      <c r="J245" t="s">
        <v>50</v>
      </c>
      <c r="L245" s="1">
        <v>45870</v>
      </c>
      <c r="M245" s="1">
        <v>45658</v>
      </c>
      <c r="O245">
        <v>17886092</v>
      </c>
      <c r="P245" t="s">
        <v>32</v>
      </c>
      <c r="Q245" t="s">
        <v>102</v>
      </c>
      <c r="R245">
        <v>8192</v>
      </c>
      <c r="S245" t="s">
        <v>34</v>
      </c>
      <c r="T245" t="s">
        <v>35</v>
      </c>
      <c r="U245">
        <v>3.75</v>
      </c>
      <c r="V245" t="s">
        <v>36</v>
      </c>
      <c r="W245" s="1">
        <v>45444</v>
      </c>
      <c r="X245">
        <v>2025</v>
      </c>
    </row>
    <row r="246" spans="1:24" x14ac:dyDescent="0.25">
      <c r="A246" s="1">
        <v>45888</v>
      </c>
      <c r="B246" t="s">
        <v>883</v>
      </c>
      <c r="C246" t="s">
        <v>884</v>
      </c>
      <c r="E246" t="s">
        <v>885</v>
      </c>
      <c r="F246" t="s">
        <v>27</v>
      </c>
      <c r="G246" t="s">
        <v>28</v>
      </c>
      <c r="H246" t="s">
        <v>29</v>
      </c>
      <c r="I246" t="s">
        <v>30</v>
      </c>
      <c r="J246" t="s">
        <v>330</v>
      </c>
      <c r="L246" s="1">
        <v>45870</v>
      </c>
      <c r="M246" s="1">
        <v>45566</v>
      </c>
      <c r="O246">
        <v>17425766</v>
      </c>
      <c r="P246" t="s">
        <v>32</v>
      </c>
      <c r="Q246" t="s">
        <v>56</v>
      </c>
      <c r="R246">
        <v>8192</v>
      </c>
      <c r="S246" t="s">
        <v>34</v>
      </c>
      <c r="T246" t="s">
        <v>35</v>
      </c>
      <c r="U246">
        <v>33.17</v>
      </c>
      <c r="V246" t="s">
        <v>36</v>
      </c>
      <c r="W246" s="1">
        <v>45551</v>
      </c>
      <c r="X246">
        <v>2025</v>
      </c>
    </row>
    <row r="247" spans="1:24" x14ac:dyDescent="0.25">
      <c r="A247" s="1">
        <v>45888</v>
      </c>
      <c r="B247" t="s">
        <v>886</v>
      </c>
      <c r="C247" t="s">
        <v>887</v>
      </c>
      <c r="D247" t="s">
        <v>888</v>
      </c>
      <c r="E247" t="s">
        <v>889</v>
      </c>
      <c r="F247" t="s">
        <v>74</v>
      </c>
      <c r="G247" t="s">
        <v>28</v>
      </c>
      <c r="H247" t="s">
        <v>29</v>
      </c>
      <c r="I247" t="s">
        <v>890</v>
      </c>
      <c r="J247" t="s">
        <v>797</v>
      </c>
      <c r="L247" s="1">
        <v>45870</v>
      </c>
      <c r="M247" s="1">
        <v>43831</v>
      </c>
      <c r="O247">
        <v>19200754</v>
      </c>
      <c r="P247" t="s">
        <v>32</v>
      </c>
      <c r="Q247" t="s">
        <v>780</v>
      </c>
      <c r="R247">
        <v>8192</v>
      </c>
      <c r="S247" t="s">
        <v>34</v>
      </c>
      <c r="T247" t="s">
        <v>35</v>
      </c>
      <c r="U247">
        <v>29.83</v>
      </c>
      <c r="V247" t="s">
        <v>36</v>
      </c>
      <c r="W247" s="1">
        <v>45658</v>
      </c>
      <c r="X247">
        <v>2025</v>
      </c>
    </row>
    <row r="248" spans="1:24" x14ac:dyDescent="0.25">
      <c r="A248" s="1">
        <v>45888</v>
      </c>
      <c r="B248" t="s">
        <v>891</v>
      </c>
      <c r="C248" t="s">
        <v>892</v>
      </c>
      <c r="E248" t="s">
        <v>893</v>
      </c>
      <c r="F248" t="s">
        <v>74</v>
      </c>
      <c r="G248" t="s">
        <v>28</v>
      </c>
      <c r="H248" t="s">
        <v>29</v>
      </c>
      <c r="I248" t="s">
        <v>183</v>
      </c>
      <c r="J248" t="s">
        <v>714</v>
      </c>
      <c r="L248" s="1">
        <v>45870</v>
      </c>
      <c r="M248" s="1">
        <v>45292</v>
      </c>
      <c r="O248">
        <v>8307933</v>
      </c>
      <c r="P248" t="s">
        <v>32</v>
      </c>
      <c r="Q248" t="s">
        <v>63</v>
      </c>
      <c r="R248">
        <v>8192</v>
      </c>
      <c r="S248" t="s">
        <v>51</v>
      </c>
      <c r="T248" t="s">
        <v>35</v>
      </c>
      <c r="U248">
        <v>28.58</v>
      </c>
      <c r="V248" t="s">
        <v>36</v>
      </c>
      <c r="W248" s="1">
        <v>45231</v>
      </c>
      <c r="X248">
        <v>2025</v>
      </c>
    </row>
    <row r="249" spans="1:24" x14ac:dyDescent="0.25">
      <c r="A249" s="1">
        <v>45888</v>
      </c>
      <c r="B249" t="s">
        <v>894</v>
      </c>
      <c r="C249" t="s">
        <v>895</v>
      </c>
      <c r="E249" t="s">
        <v>896</v>
      </c>
      <c r="F249" t="s">
        <v>27</v>
      </c>
      <c r="G249" t="s">
        <v>28</v>
      </c>
      <c r="H249" t="s">
        <v>29</v>
      </c>
      <c r="I249" t="s">
        <v>30</v>
      </c>
      <c r="J249" t="s">
        <v>50</v>
      </c>
      <c r="L249" s="1">
        <v>45870</v>
      </c>
      <c r="M249" s="1">
        <v>45323</v>
      </c>
      <c r="O249">
        <v>17886092</v>
      </c>
      <c r="P249" t="s">
        <v>32</v>
      </c>
      <c r="Q249" t="s">
        <v>102</v>
      </c>
      <c r="R249">
        <v>8192</v>
      </c>
      <c r="S249" t="s">
        <v>51</v>
      </c>
      <c r="T249" t="s">
        <v>35</v>
      </c>
      <c r="U249">
        <v>2.5</v>
      </c>
      <c r="V249" t="s">
        <v>36</v>
      </c>
      <c r="W249" s="1">
        <v>45272</v>
      </c>
      <c r="X249">
        <v>2025</v>
      </c>
    </row>
    <row r="250" spans="1:24" x14ac:dyDescent="0.25">
      <c r="A250" s="1">
        <v>45888</v>
      </c>
      <c r="B250" t="s">
        <v>897</v>
      </c>
      <c r="C250" t="s">
        <v>898</v>
      </c>
      <c r="E250" t="s">
        <v>899</v>
      </c>
      <c r="F250" t="s">
        <v>759</v>
      </c>
      <c r="G250" t="s">
        <v>28</v>
      </c>
      <c r="H250" t="s">
        <v>29</v>
      </c>
      <c r="I250" t="s">
        <v>760</v>
      </c>
      <c r="J250" t="s">
        <v>900</v>
      </c>
      <c r="L250" s="1">
        <v>45870</v>
      </c>
      <c r="M250" s="1">
        <v>45505</v>
      </c>
      <c r="O250">
        <v>8307933</v>
      </c>
      <c r="P250" t="s">
        <v>32</v>
      </c>
      <c r="Q250" t="s">
        <v>63</v>
      </c>
      <c r="R250">
        <v>8192</v>
      </c>
      <c r="S250" t="s">
        <v>34</v>
      </c>
      <c r="T250" t="s">
        <v>35</v>
      </c>
      <c r="U250">
        <v>29.83</v>
      </c>
      <c r="V250" t="s">
        <v>36</v>
      </c>
      <c r="W250" s="1">
        <v>45497</v>
      </c>
      <c r="X250">
        <v>2025</v>
      </c>
    </row>
    <row r="251" spans="1:24" x14ac:dyDescent="0.25">
      <c r="A251" s="1">
        <v>45888</v>
      </c>
      <c r="B251" t="s">
        <v>901</v>
      </c>
      <c r="C251" t="s">
        <v>902</v>
      </c>
      <c r="E251" t="s">
        <v>903</v>
      </c>
      <c r="F251" t="s">
        <v>74</v>
      </c>
      <c r="G251" t="s">
        <v>28</v>
      </c>
      <c r="H251" t="s">
        <v>29</v>
      </c>
      <c r="I251" t="s">
        <v>61</v>
      </c>
      <c r="J251" t="s">
        <v>75</v>
      </c>
      <c r="L251" s="1">
        <v>45870</v>
      </c>
      <c r="M251" s="1">
        <v>45566</v>
      </c>
      <c r="O251">
        <v>17301495</v>
      </c>
      <c r="P251" t="s">
        <v>32</v>
      </c>
      <c r="Q251" t="s">
        <v>195</v>
      </c>
      <c r="R251">
        <v>8192</v>
      </c>
      <c r="S251" t="s">
        <v>34</v>
      </c>
      <c r="T251" t="s">
        <v>35</v>
      </c>
      <c r="U251">
        <v>29.83</v>
      </c>
      <c r="V251" t="s">
        <v>36</v>
      </c>
      <c r="W251" s="1">
        <v>45539</v>
      </c>
      <c r="X251">
        <v>2025</v>
      </c>
    </row>
    <row r="252" spans="1:24" x14ac:dyDescent="0.25">
      <c r="A252" s="1">
        <v>45888</v>
      </c>
      <c r="B252" t="s">
        <v>904</v>
      </c>
      <c r="C252" t="s">
        <v>905</v>
      </c>
      <c r="E252" t="s">
        <v>906</v>
      </c>
      <c r="F252" t="s">
        <v>27</v>
      </c>
      <c r="G252" t="s">
        <v>28</v>
      </c>
      <c r="H252" t="s">
        <v>29</v>
      </c>
      <c r="I252" t="s">
        <v>30</v>
      </c>
      <c r="J252" t="s">
        <v>46</v>
      </c>
      <c r="L252" s="1">
        <v>45870</v>
      </c>
      <c r="M252" s="1">
        <v>44562</v>
      </c>
      <c r="O252">
        <v>19606009</v>
      </c>
      <c r="P252" t="s">
        <v>32</v>
      </c>
      <c r="Q252" t="s">
        <v>42</v>
      </c>
      <c r="R252">
        <v>8192</v>
      </c>
      <c r="S252" t="s">
        <v>34</v>
      </c>
      <c r="T252" t="s">
        <v>35</v>
      </c>
      <c r="U252">
        <v>1.25</v>
      </c>
      <c r="V252" t="s">
        <v>36</v>
      </c>
      <c r="W252" s="1">
        <v>45870</v>
      </c>
      <c r="X252">
        <v>2025</v>
      </c>
    </row>
    <row r="253" spans="1:24" x14ac:dyDescent="0.25">
      <c r="A253" s="1">
        <v>45888</v>
      </c>
      <c r="B253" t="s">
        <v>907</v>
      </c>
      <c r="C253" t="s">
        <v>908</v>
      </c>
      <c r="E253" t="s">
        <v>909</v>
      </c>
      <c r="F253" t="s">
        <v>910</v>
      </c>
      <c r="G253" t="s">
        <v>28</v>
      </c>
      <c r="H253" t="s">
        <v>29</v>
      </c>
      <c r="I253" t="s">
        <v>30</v>
      </c>
      <c r="J253" t="s">
        <v>911</v>
      </c>
      <c r="L253" s="1">
        <v>45870</v>
      </c>
      <c r="M253" s="1">
        <v>45139</v>
      </c>
      <c r="O253">
        <v>17425766</v>
      </c>
      <c r="P253" t="s">
        <v>32</v>
      </c>
      <c r="Q253" t="s">
        <v>56</v>
      </c>
      <c r="R253">
        <v>8192</v>
      </c>
      <c r="S253" t="s">
        <v>51</v>
      </c>
      <c r="T253" t="s">
        <v>35</v>
      </c>
      <c r="U253">
        <v>28.58</v>
      </c>
      <c r="V253" t="s">
        <v>36</v>
      </c>
      <c r="W253" s="1">
        <v>45126</v>
      </c>
      <c r="X253">
        <v>2025</v>
      </c>
    </row>
    <row r="254" spans="1:24" x14ac:dyDescent="0.25">
      <c r="A254" s="1">
        <v>45888</v>
      </c>
      <c r="B254" t="s">
        <v>912</v>
      </c>
      <c r="C254" t="s">
        <v>913</v>
      </c>
      <c r="E254" t="s">
        <v>914</v>
      </c>
      <c r="F254" t="s">
        <v>27</v>
      </c>
      <c r="G254" t="s">
        <v>28</v>
      </c>
      <c r="H254" t="s">
        <v>29</v>
      </c>
      <c r="I254" t="s">
        <v>30</v>
      </c>
      <c r="J254" t="s">
        <v>31</v>
      </c>
      <c r="L254" s="1">
        <v>45870</v>
      </c>
      <c r="M254" s="1">
        <v>45323</v>
      </c>
      <c r="O254">
        <v>17528908</v>
      </c>
      <c r="P254" t="s">
        <v>32</v>
      </c>
      <c r="Q254" t="s">
        <v>33</v>
      </c>
      <c r="R254">
        <v>8192</v>
      </c>
      <c r="S254" t="s">
        <v>51</v>
      </c>
      <c r="T254" t="s">
        <v>35</v>
      </c>
      <c r="U254">
        <v>31.92</v>
      </c>
      <c r="V254" t="s">
        <v>36</v>
      </c>
      <c r="W254" s="1">
        <v>45307</v>
      </c>
      <c r="X254">
        <v>2025</v>
      </c>
    </row>
    <row r="255" spans="1:24" x14ac:dyDescent="0.25">
      <c r="A255" s="1">
        <v>45888</v>
      </c>
      <c r="B255" t="s">
        <v>915</v>
      </c>
      <c r="C255" t="s">
        <v>916</v>
      </c>
      <c r="E255" t="s">
        <v>917</v>
      </c>
      <c r="F255" t="s">
        <v>74</v>
      </c>
      <c r="G255" t="s">
        <v>28</v>
      </c>
      <c r="H255" t="s">
        <v>29</v>
      </c>
      <c r="I255" t="s">
        <v>61</v>
      </c>
      <c r="J255" t="s">
        <v>645</v>
      </c>
      <c r="L255" s="1">
        <v>45870</v>
      </c>
      <c r="M255" s="1">
        <v>45566</v>
      </c>
      <c r="O255">
        <v>8307933</v>
      </c>
      <c r="P255" t="s">
        <v>32</v>
      </c>
      <c r="Q255" t="s">
        <v>63</v>
      </c>
      <c r="R255">
        <v>8192</v>
      </c>
      <c r="S255" t="s">
        <v>34</v>
      </c>
      <c r="T255" t="s">
        <v>35</v>
      </c>
      <c r="U255">
        <v>29.83</v>
      </c>
      <c r="V255" t="s">
        <v>36</v>
      </c>
      <c r="W255" s="1">
        <v>45490</v>
      </c>
      <c r="X255">
        <v>2025</v>
      </c>
    </row>
    <row r="256" spans="1:24" x14ac:dyDescent="0.25">
      <c r="A256" s="1">
        <v>45888</v>
      </c>
      <c r="B256" t="s">
        <v>918</v>
      </c>
      <c r="C256" t="s">
        <v>919</v>
      </c>
      <c r="E256" t="s">
        <v>920</v>
      </c>
      <c r="F256" t="s">
        <v>620</v>
      </c>
      <c r="G256" t="s">
        <v>28</v>
      </c>
      <c r="H256" t="s">
        <v>29</v>
      </c>
      <c r="I256" t="s">
        <v>161</v>
      </c>
      <c r="J256" t="s">
        <v>322</v>
      </c>
      <c r="L256" s="1">
        <v>45870</v>
      </c>
      <c r="M256" s="1">
        <v>45292</v>
      </c>
      <c r="O256">
        <v>8307933</v>
      </c>
      <c r="P256" t="s">
        <v>32</v>
      </c>
      <c r="Q256" t="s">
        <v>63</v>
      </c>
      <c r="R256">
        <v>8192</v>
      </c>
      <c r="S256" t="s">
        <v>51</v>
      </c>
      <c r="T256" t="s">
        <v>35</v>
      </c>
      <c r="U256">
        <v>28.58</v>
      </c>
      <c r="V256" t="s">
        <v>36</v>
      </c>
      <c r="W256" s="1">
        <v>45257</v>
      </c>
      <c r="X256">
        <v>2025</v>
      </c>
    </row>
    <row r="257" spans="1:24" x14ac:dyDescent="0.25">
      <c r="A257" s="1">
        <v>45888</v>
      </c>
      <c r="B257" t="s">
        <v>921</v>
      </c>
      <c r="C257" t="s">
        <v>922</v>
      </c>
      <c r="E257" t="s">
        <v>923</v>
      </c>
      <c r="F257" t="s">
        <v>27</v>
      </c>
      <c r="G257" t="s">
        <v>28</v>
      </c>
      <c r="H257" t="s">
        <v>29</v>
      </c>
      <c r="I257" t="s">
        <v>30</v>
      </c>
      <c r="J257" t="s">
        <v>156</v>
      </c>
      <c r="L257" s="1">
        <v>45870</v>
      </c>
      <c r="M257" s="1">
        <v>45292</v>
      </c>
      <c r="O257">
        <v>17886092</v>
      </c>
      <c r="P257" t="s">
        <v>32</v>
      </c>
      <c r="Q257" t="s">
        <v>102</v>
      </c>
      <c r="R257">
        <v>8192</v>
      </c>
      <c r="S257" t="s">
        <v>51</v>
      </c>
      <c r="T257" t="s">
        <v>35</v>
      </c>
      <c r="U257">
        <v>2.5</v>
      </c>
      <c r="V257" t="s">
        <v>36</v>
      </c>
      <c r="W257" s="1">
        <v>45222</v>
      </c>
      <c r="X257">
        <v>2025</v>
      </c>
    </row>
    <row r="258" spans="1:24" x14ac:dyDescent="0.25">
      <c r="A258" s="1">
        <v>45888</v>
      </c>
      <c r="B258" t="s">
        <v>924</v>
      </c>
      <c r="C258" t="s">
        <v>925</v>
      </c>
      <c r="E258" t="s">
        <v>926</v>
      </c>
      <c r="F258" t="s">
        <v>74</v>
      </c>
      <c r="G258" t="s">
        <v>28</v>
      </c>
      <c r="H258" t="s">
        <v>29</v>
      </c>
      <c r="I258" t="s">
        <v>183</v>
      </c>
      <c r="J258" t="s">
        <v>927</v>
      </c>
      <c r="L258" s="1">
        <v>45870</v>
      </c>
      <c r="M258" s="1">
        <v>45566</v>
      </c>
      <c r="O258">
        <v>18828278</v>
      </c>
      <c r="P258" t="s">
        <v>32</v>
      </c>
      <c r="Q258" t="s">
        <v>928</v>
      </c>
      <c r="R258">
        <v>8192</v>
      </c>
      <c r="S258" t="s">
        <v>34</v>
      </c>
      <c r="T258" t="s">
        <v>35</v>
      </c>
      <c r="U258">
        <v>29.83</v>
      </c>
      <c r="V258" t="s">
        <v>36</v>
      </c>
      <c r="W258" s="1">
        <v>45503</v>
      </c>
      <c r="X258">
        <v>2025</v>
      </c>
    </row>
    <row r="259" spans="1:24" x14ac:dyDescent="0.25">
      <c r="A259" s="1">
        <v>45888</v>
      </c>
      <c r="B259" t="s">
        <v>929</v>
      </c>
      <c r="C259" t="s">
        <v>930</v>
      </c>
      <c r="E259" t="s">
        <v>931</v>
      </c>
      <c r="F259" t="s">
        <v>27</v>
      </c>
      <c r="G259" t="s">
        <v>28</v>
      </c>
      <c r="H259" t="s">
        <v>29</v>
      </c>
      <c r="I259" t="s">
        <v>30</v>
      </c>
      <c r="J259" t="s">
        <v>790</v>
      </c>
      <c r="L259" s="1">
        <v>45870</v>
      </c>
      <c r="M259" s="1">
        <v>45292</v>
      </c>
      <c r="O259">
        <v>19861194</v>
      </c>
      <c r="P259" t="s">
        <v>247</v>
      </c>
      <c r="Q259" t="s">
        <v>755</v>
      </c>
      <c r="R259">
        <v>8192</v>
      </c>
      <c r="S259" t="s">
        <v>51</v>
      </c>
      <c r="T259" t="s">
        <v>35</v>
      </c>
      <c r="U259">
        <v>2.5</v>
      </c>
      <c r="V259" t="s">
        <v>36</v>
      </c>
      <c r="W259" s="1">
        <v>45258</v>
      </c>
      <c r="X259">
        <v>2025</v>
      </c>
    </row>
    <row r="260" spans="1:24" x14ac:dyDescent="0.25">
      <c r="A260" s="1">
        <v>45888</v>
      </c>
      <c r="B260" t="s">
        <v>932</v>
      </c>
      <c r="C260" t="s">
        <v>933</v>
      </c>
      <c r="E260" t="s">
        <v>934</v>
      </c>
      <c r="F260" t="s">
        <v>27</v>
      </c>
      <c r="G260" t="s">
        <v>28</v>
      </c>
      <c r="H260" t="s">
        <v>29</v>
      </c>
      <c r="I260" t="s">
        <v>30</v>
      </c>
      <c r="J260" t="s">
        <v>46</v>
      </c>
      <c r="L260" s="1">
        <v>45870</v>
      </c>
      <c r="M260" s="1">
        <v>44986</v>
      </c>
      <c r="O260">
        <v>19606009</v>
      </c>
      <c r="P260" t="s">
        <v>32</v>
      </c>
      <c r="Q260" t="s">
        <v>42</v>
      </c>
      <c r="R260">
        <v>8192</v>
      </c>
      <c r="S260" t="s">
        <v>34</v>
      </c>
      <c r="T260" t="s">
        <v>35</v>
      </c>
      <c r="U260">
        <v>1.25</v>
      </c>
      <c r="V260" t="s">
        <v>36</v>
      </c>
      <c r="W260" s="1">
        <v>45839</v>
      </c>
      <c r="X260">
        <v>2025</v>
      </c>
    </row>
    <row r="261" spans="1:24" x14ac:dyDescent="0.25">
      <c r="A261" s="1">
        <v>45888</v>
      </c>
      <c r="B261" t="s">
        <v>935</v>
      </c>
      <c r="C261" t="s">
        <v>936</v>
      </c>
      <c r="E261" t="s">
        <v>937</v>
      </c>
      <c r="F261" t="s">
        <v>27</v>
      </c>
      <c r="G261" t="s">
        <v>28</v>
      </c>
      <c r="H261" t="s">
        <v>29</v>
      </c>
      <c r="I261" t="s">
        <v>30</v>
      </c>
      <c r="J261" t="s">
        <v>50</v>
      </c>
      <c r="L261" s="1">
        <v>45870</v>
      </c>
      <c r="M261" s="1">
        <v>45658</v>
      </c>
      <c r="O261">
        <v>19606009</v>
      </c>
      <c r="P261" t="s">
        <v>32</v>
      </c>
      <c r="Q261" t="s">
        <v>42</v>
      </c>
      <c r="R261">
        <v>8192</v>
      </c>
      <c r="S261" t="s">
        <v>34</v>
      </c>
      <c r="T261" t="s">
        <v>35</v>
      </c>
      <c r="U261">
        <v>1.25</v>
      </c>
      <c r="V261" t="s">
        <v>36</v>
      </c>
      <c r="W261" s="1">
        <v>45689</v>
      </c>
      <c r="X261">
        <v>2025</v>
      </c>
    </row>
    <row r="262" spans="1:24" x14ac:dyDescent="0.25">
      <c r="A262" s="1">
        <v>45888</v>
      </c>
      <c r="B262" t="s">
        <v>938</v>
      </c>
      <c r="C262" t="s">
        <v>939</v>
      </c>
      <c r="E262" t="s">
        <v>940</v>
      </c>
      <c r="F262" t="s">
        <v>27</v>
      </c>
      <c r="G262" t="s">
        <v>28</v>
      </c>
      <c r="H262" t="s">
        <v>29</v>
      </c>
      <c r="I262" t="s">
        <v>30</v>
      </c>
      <c r="J262" t="s">
        <v>46</v>
      </c>
      <c r="L262" s="1">
        <v>45870</v>
      </c>
      <c r="M262" s="1">
        <v>45474</v>
      </c>
      <c r="O262">
        <v>17886092</v>
      </c>
      <c r="P262" t="s">
        <v>32</v>
      </c>
      <c r="Q262" t="s">
        <v>102</v>
      </c>
      <c r="R262">
        <v>8192</v>
      </c>
      <c r="S262" t="s">
        <v>34</v>
      </c>
      <c r="T262" t="s">
        <v>35</v>
      </c>
      <c r="U262">
        <v>3.75</v>
      </c>
      <c r="V262" t="s">
        <v>36</v>
      </c>
      <c r="W262" s="1">
        <v>45450</v>
      </c>
      <c r="X262">
        <v>2025</v>
      </c>
    </row>
    <row r="263" spans="1:24" x14ac:dyDescent="0.25">
      <c r="A263" s="1">
        <v>45888</v>
      </c>
      <c r="B263" t="s">
        <v>941</v>
      </c>
      <c r="C263" t="s">
        <v>942</v>
      </c>
      <c r="E263" t="s">
        <v>943</v>
      </c>
      <c r="F263" t="s">
        <v>27</v>
      </c>
      <c r="G263" t="s">
        <v>28</v>
      </c>
      <c r="H263" t="s">
        <v>29</v>
      </c>
      <c r="I263" t="s">
        <v>30</v>
      </c>
      <c r="J263" t="s">
        <v>46</v>
      </c>
      <c r="L263" s="1">
        <v>45870</v>
      </c>
      <c r="M263" s="1">
        <v>45566</v>
      </c>
      <c r="O263">
        <v>17886092</v>
      </c>
      <c r="P263" t="s">
        <v>32</v>
      </c>
      <c r="Q263" t="s">
        <v>102</v>
      </c>
      <c r="R263">
        <v>8192</v>
      </c>
      <c r="S263" t="s">
        <v>34</v>
      </c>
      <c r="T263" t="s">
        <v>35</v>
      </c>
      <c r="U263">
        <v>3.75</v>
      </c>
      <c r="V263" t="s">
        <v>36</v>
      </c>
      <c r="W263" s="1">
        <v>45538</v>
      </c>
      <c r="X263">
        <v>2025</v>
      </c>
    </row>
    <row r="264" spans="1:24" x14ac:dyDescent="0.25">
      <c r="A264" s="1">
        <v>45888</v>
      </c>
      <c r="B264" t="s">
        <v>944</v>
      </c>
      <c r="C264" t="s">
        <v>945</v>
      </c>
      <c r="D264" t="s">
        <v>946</v>
      </c>
      <c r="E264" t="s">
        <v>947</v>
      </c>
      <c r="F264" t="s">
        <v>27</v>
      </c>
      <c r="G264" t="s">
        <v>28</v>
      </c>
      <c r="H264" t="s">
        <v>29</v>
      </c>
      <c r="I264" t="s">
        <v>273</v>
      </c>
      <c r="J264" t="s">
        <v>46</v>
      </c>
      <c r="L264" s="1">
        <v>45870</v>
      </c>
      <c r="M264" s="1">
        <v>43678</v>
      </c>
      <c r="O264">
        <v>17886092</v>
      </c>
      <c r="P264" t="s">
        <v>32</v>
      </c>
      <c r="Q264" t="s">
        <v>102</v>
      </c>
      <c r="R264">
        <v>8192</v>
      </c>
      <c r="S264" t="s">
        <v>34</v>
      </c>
      <c r="T264" t="s">
        <v>35</v>
      </c>
      <c r="U264">
        <v>3.75</v>
      </c>
      <c r="V264" t="s">
        <v>36</v>
      </c>
      <c r="W264" s="1">
        <v>45505</v>
      </c>
      <c r="X264">
        <v>2025</v>
      </c>
    </row>
    <row r="265" spans="1:24" x14ac:dyDescent="0.25">
      <c r="A265" s="1">
        <v>45888</v>
      </c>
      <c r="B265" t="s">
        <v>948</v>
      </c>
      <c r="C265" t="s">
        <v>949</v>
      </c>
      <c r="E265" t="s">
        <v>950</v>
      </c>
      <c r="F265" t="s">
        <v>27</v>
      </c>
      <c r="G265" t="s">
        <v>28</v>
      </c>
      <c r="H265" t="s">
        <v>29</v>
      </c>
      <c r="I265" t="s">
        <v>30</v>
      </c>
      <c r="J265" t="s">
        <v>46</v>
      </c>
      <c r="L265" s="1">
        <v>45870</v>
      </c>
      <c r="M265" s="1">
        <v>45200</v>
      </c>
      <c r="O265">
        <v>17886092</v>
      </c>
      <c r="P265" t="s">
        <v>32</v>
      </c>
      <c r="Q265" t="s">
        <v>102</v>
      </c>
      <c r="R265">
        <v>8192</v>
      </c>
      <c r="S265" t="s">
        <v>51</v>
      </c>
      <c r="T265" t="s">
        <v>35</v>
      </c>
      <c r="U265">
        <v>2.5</v>
      </c>
      <c r="V265" t="s">
        <v>36</v>
      </c>
      <c r="W265" s="1">
        <v>45198</v>
      </c>
      <c r="X265">
        <v>2025</v>
      </c>
    </row>
    <row r="266" spans="1:24" x14ac:dyDescent="0.25">
      <c r="A266" s="1">
        <v>45888</v>
      </c>
      <c r="B266" t="s">
        <v>951</v>
      </c>
      <c r="C266" t="s">
        <v>952</v>
      </c>
      <c r="E266" t="s">
        <v>953</v>
      </c>
      <c r="F266" t="s">
        <v>27</v>
      </c>
      <c r="G266" t="s">
        <v>28</v>
      </c>
      <c r="H266" t="s">
        <v>29</v>
      </c>
      <c r="I266" t="s">
        <v>30</v>
      </c>
      <c r="J266" t="s">
        <v>46</v>
      </c>
      <c r="L266" s="1">
        <v>45870</v>
      </c>
      <c r="M266" s="1">
        <v>44866</v>
      </c>
      <c r="O266">
        <v>19606009</v>
      </c>
      <c r="P266" t="s">
        <v>32</v>
      </c>
      <c r="Q266" t="s">
        <v>42</v>
      </c>
      <c r="R266">
        <v>8192</v>
      </c>
      <c r="S266" t="s">
        <v>34</v>
      </c>
      <c r="T266" t="s">
        <v>35</v>
      </c>
      <c r="U266">
        <v>1.25</v>
      </c>
      <c r="V266" t="s">
        <v>36</v>
      </c>
      <c r="W266" s="1">
        <v>45870</v>
      </c>
      <c r="X266">
        <v>2025</v>
      </c>
    </row>
    <row r="267" spans="1:24" x14ac:dyDescent="0.25">
      <c r="A267" s="1">
        <v>45888</v>
      </c>
      <c r="B267" t="s">
        <v>954</v>
      </c>
      <c r="C267" t="s">
        <v>955</v>
      </c>
      <c r="E267" t="s">
        <v>956</v>
      </c>
      <c r="F267" t="s">
        <v>74</v>
      </c>
      <c r="G267" t="s">
        <v>28</v>
      </c>
      <c r="H267" t="s">
        <v>29</v>
      </c>
      <c r="I267" t="s">
        <v>61</v>
      </c>
      <c r="J267" t="s">
        <v>797</v>
      </c>
      <c r="L267" s="1">
        <v>45870</v>
      </c>
      <c r="M267" s="1">
        <v>45017</v>
      </c>
      <c r="O267">
        <v>8307933</v>
      </c>
      <c r="P267" t="s">
        <v>32</v>
      </c>
      <c r="Q267" t="s">
        <v>63</v>
      </c>
      <c r="R267">
        <v>8192</v>
      </c>
      <c r="S267" t="s">
        <v>51</v>
      </c>
      <c r="T267" t="s">
        <v>35</v>
      </c>
      <c r="U267">
        <v>28.58</v>
      </c>
      <c r="V267" t="s">
        <v>36</v>
      </c>
      <c r="W267" s="1">
        <v>45006</v>
      </c>
      <c r="X267">
        <v>2025</v>
      </c>
    </row>
    <row r="268" spans="1:24" x14ac:dyDescent="0.25">
      <c r="A268" s="1">
        <v>45888</v>
      </c>
      <c r="B268" t="s">
        <v>957</v>
      </c>
      <c r="C268" t="s">
        <v>958</v>
      </c>
      <c r="E268" t="s">
        <v>959</v>
      </c>
      <c r="F268" t="s">
        <v>444</v>
      </c>
      <c r="G268" t="s">
        <v>28</v>
      </c>
      <c r="H268" t="s">
        <v>29</v>
      </c>
      <c r="I268" t="s">
        <v>445</v>
      </c>
      <c r="J268" t="s">
        <v>960</v>
      </c>
      <c r="L268" s="1">
        <v>45870</v>
      </c>
      <c r="M268" s="1">
        <v>45170</v>
      </c>
      <c r="O268">
        <v>8307933</v>
      </c>
      <c r="P268" t="s">
        <v>32</v>
      </c>
      <c r="Q268" t="s">
        <v>63</v>
      </c>
      <c r="R268">
        <v>8192</v>
      </c>
      <c r="S268" t="s">
        <v>51</v>
      </c>
      <c r="T268" t="s">
        <v>35</v>
      </c>
      <c r="U268">
        <v>28.58</v>
      </c>
      <c r="V268" t="s">
        <v>36</v>
      </c>
      <c r="W268" s="1">
        <v>45145</v>
      </c>
      <c r="X268">
        <v>2025</v>
      </c>
    </row>
    <row r="269" spans="1:24" x14ac:dyDescent="0.25">
      <c r="A269" s="1">
        <v>45888</v>
      </c>
      <c r="B269" t="s">
        <v>961</v>
      </c>
      <c r="C269" t="s">
        <v>962</v>
      </c>
      <c r="E269" t="s">
        <v>963</v>
      </c>
      <c r="F269" t="s">
        <v>444</v>
      </c>
      <c r="G269" t="s">
        <v>28</v>
      </c>
      <c r="H269" t="s">
        <v>29</v>
      </c>
      <c r="I269" t="s">
        <v>445</v>
      </c>
      <c r="J269" t="s">
        <v>960</v>
      </c>
      <c r="L269" s="1">
        <v>45870</v>
      </c>
      <c r="M269" s="1">
        <v>45017</v>
      </c>
      <c r="O269">
        <v>8307933</v>
      </c>
      <c r="P269" t="s">
        <v>32</v>
      </c>
      <c r="Q269" t="s">
        <v>63</v>
      </c>
      <c r="R269">
        <v>8192</v>
      </c>
      <c r="S269" t="s">
        <v>51</v>
      </c>
      <c r="T269" t="s">
        <v>35</v>
      </c>
      <c r="U269">
        <v>28.58</v>
      </c>
      <c r="V269" t="s">
        <v>36</v>
      </c>
      <c r="W269" s="1">
        <v>44995</v>
      </c>
      <c r="X269">
        <v>2025</v>
      </c>
    </row>
    <row r="270" spans="1:24" x14ac:dyDescent="0.25">
      <c r="A270" s="1">
        <v>45888</v>
      </c>
      <c r="B270" t="s">
        <v>964</v>
      </c>
      <c r="C270" t="s">
        <v>965</v>
      </c>
      <c r="E270" t="s">
        <v>966</v>
      </c>
      <c r="F270" t="s">
        <v>27</v>
      </c>
      <c r="G270" t="s">
        <v>28</v>
      </c>
      <c r="H270" t="s">
        <v>29</v>
      </c>
      <c r="I270" t="s">
        <v>30</v>
      </c>
      <c r="J270" t="s">
        <v>31</v>
      </c>
      <c r="L270" s="1">
        <v>45870</v>
      </c>
      <c r="M270" s="1">
        <v>44562</v>
      </c>
      <c r="O270">
        <v>19606009</v>
      </c>
      <c r="P270" t="s">
        <v>32</v>
      </c>
      <c r="Q270" t="s">
        <v>42</v>
      </c>
      <c r="R270">
        <v>8192</v>
      </c>
      <c r="S270" t="s">
        <v>34</v>
      </c>
      <c r="T270" t="s">
        <v>35</v>
      </c>
      <c r="U270">
        <v>1.25</v>
      </c>
      <c r="V270" t="s">
        <v>36</v>
      </c>
      <c r="W270" s="1">
        <v>45839</v>
      </c>
      <c r="X270">
        <v>2025</v>
      </c>
    </row>
    <row r="271" spans="1:24" x14ac:dyDescent="0.25">
      <c r="A271" s="1">
        <v>45888</v>
      </c>
      <c r="B271" t="s">
        <v>967</v>
      </c>
      <c r="C271" t="s">
        <v>968</v>
      </c>
      <c r="E271" t="s">
        <v>969</v>
      </c>
      <c r="F271" t="s">
        <v>27</v>
      </c>
      <c r="G271" t="s">
        <v>28</v>
      </c>
      <c r="H271" t="s">
        <v>29</v>
      </c>
      <c r="I271" t="s">
        <v>30</v>
      </c>
      <c r="J271" t="s">
        <v>31</v>
      </c>
      <c r="L271" s="1">
        <v>45870</v>
      </c>
      <c r="M271" s="1">
        <v>44562</v>
      </c>
      <c r="O271">
        <v>19606009</v>
      </c>
      <c r="P271" t="s">
        <v>32</v>
      </c>
      <c r="Q271" t="s">
        <v>42</v>
      </c>
      <c r="R271">
        <v>8192</v>
      </c>
      <c r="S271" t="s">
        <v>34</v>
      </c>
      <c r="T271" t="s">
        <v>35</v>
      </c>
      <c r="U271">
        <v>1.25</v>
      </c>
      <c r="V271" t="s">
        <v>36</v>
      </c>
      <c r="W271" s="1">
        <v>45839</v>
      </c>
      <c r="X271">
        <v>2025</v>
      </c>
    </row>
    <row r="272" spans="1:24" x14ac:dyDescent="0.25">
      <c r="A272" s="1">
        <v>45888</v>
      </c>
      <c r="B272" t="s">
        <v>970</v>
      </c>
      <c r="C272" t="s">
        <v>971</v>
      </c>
      <c r="E272" t="s">
        <v>972</v>
      </c>
      <c r="F272" t="s">
        <v>27</v>
      </c>
      <c r="G272" t="s">
        <v>28</v>
      </c>
      <c r="H272" t="s">
        <v>29</v>
      </c>
      <c r="I272" t="s">
        <v>30</v>
      </c>
      <c r="J272" t="s">
        <v>46</v>
      </c>
      <c r="L272" s="1">
        <v>45870</v>
      </c>
      <c r="M272" s="1">
        <v>44927</v>
      </c>
      <c r="O272">
        <v>19606009</v>
      </c>
      <c r="P272" t="s">
        <v>32</v>
      </c>
      <c r="Q272" t="s">
        <v>42</v>
      </c>
      <c r="R272">
        <v>8192</v>
      </c>
      <c r="S272" t="s">
        <v>34</v>
      </c>
      <c r="T272" t="s">
        <v>35</v>
      </c>
      <c r="U272">
        <v>1.25</v>
      </c>
      <c r="V272" t="s">
        <v>36</v>
      </c>
      <c r="W272" s="1">
        <v>45870</v>
      </c>
      <c r="X272">
        <v>2025</v>
      </c>
    </row>
    <row r="273" spans="1:24" x14ac:dyDescent="0.25">
      <c r="A273" s="1">
        <v>45888</v>
      </c>
      <c r="B273" t="s">
        <v>973</v>
      </c>
      <c r="C273" t="s">
        <v>974</v>
      </c>
      <c r="E273" t="s">
        <v>975</v>
      </c>
      <c r="F273" t="s">
        <v>27</v>
      </c>
      <c r="G273" t="s">
        <v>28</v>
      </c>
      <c r="H273" t="s">
        <v>29</v>
      </c>
      <c r="I273" t="s">
        <v>30</v>
      </c>
      <c r="J273" t="s">
        <v>50</v>
      </c>
      <c r="L273" s="1">
        <v>45870</v>
      </c>
      <c r="M273" s="1">
        <v>45658</v>
      </c>
      <c r="O273">
        <v>17886092</v>
      </c>
      <c r="P273" t="s">
        <v>32</v>
      </c>
      <c r="Q273" t="s">
        <v>102</v>
      </c>
      <c r="R273">
        <v>8192</v>
      </c>
      <c r="S273" t="s">
        <v>51</v>
      </c>
      <c r="T273" t="s">
        <v>35</v>
      </c>
      <c r="U273">
        <v>2.5</v>
      </c>
      <c r="V273" t="s">
        <v>36</v>
      </c>
      <c r="W273" s="1">
        <v>45210</v>
      </c>
      <c r="X273">
        <v>2025</v>
      </c>
    </row>
    <row r="274" spans="1:24" x14ac:dyDescent="0.25">
      <c r="A274" s="1">
        <v>45888</v>
      </c>
      <c r="B274" t="s">
        <v>976</v>
      </c>
      <c r="C274" t="s">
        <v>977</v>
      </c>
      <c r="D274" t="s">
        <v>978</v>
      </c>
      <c r="E274" t="s">
        <v>979</v>
      </c>
      <c r="F274" t="s">
        <v>27</v>
      </c>
      <c r="G274" t="s">
        <v>28</v>
      </c>
      <c r="H274" t="s">
        <v>29</v>
      </c>
      <c r="I274" t="s">
        <v>152</v>
      </c>
      <c r="J274" t="s">
        <v>46</v>
      </c>
      <c r="L274" s="1">
        <v>45870</v>
      </c>
      <c r="M274" s="1">
        <v>41640</v>
      </c>
      <c r="O274">
        <v>17886092</v>
      </c>
      <c r="P274" t="s">
        <v>32</v>
      </c>
      <c r="Q274" t="s">
        <v>102</v>
      </c>
      <c r="R274">
        <v>8192</v>
      </c>
      <c r="S274" t="s">
        <v>34</v>
      </c>
      <c r="T274" t="s">
        <v>35</v>
      </c>
      <c r="U274">
        <v>1.25</v>
      </c>
      <c r="V274" t="s">
        <v>36</v>
      </c>
      <c r="W274" s="1">
        <v>45748</v>
      </c>
      <c r="X274">
        <v>2025</v>
      </c>
    </row>
    <row r="275" spans="1:24" x14ac:dyDescent="0.25">
      <c r="A275" s="1">
        <v>45888</v>
      </c>
      <c r="B275" t="s">
        <v>980</v>
      </c>
      <c r="C275" t="s">
        <v>981</v>
      </c>
      <c r="E275" t="s">
        <v>982</v>
      </c>
      <c r="F275" t="s">
        <v>27</v>
      </c>
      <c r="G275" t="s">
        <v>28</v>
      </c>
      <c r="H275" t="s">
        <v>29</v>
      </c>
      <c r="I275" t="s">
        <v>30</v>
      </c>
      <c r="J275" t="s">
        <v>46</v>
      </c>
      <c r="L275" s="1">
        <v>45870</v>
      </c>
      <c r="M275" s="1">
        <v>45017</v>
      </c>
      <c r="O275">
        <v>17886092</v>
      </c>
      <c r="P275" t="s">
        <v>32</v>
      </c>
      <c r="Q275" t="s">
        <v>102</v>
      </c>
      <c r="R275">
        <v>8192</v>
      </c>
      <c r="S275" t="s">
        <v>51</v>
      </c>
      <c r="T275" t="s">
        <v>35</v>
      </c>
      <c r="U275">
        <v>2.5</v>
      </c>
      <c r="V275" t="s">
        <v>36</v>
      </c>
      <c r="W275" s="1">
        <v>45292</v>
      </c>
      <c r="X275">
        <v>2025</v>
      </c>
    </row>
    <row r="276" spans="1:24" x14ac:dyDescent="0.25">
      <c r="A276" s="1">
        <v>45888</v>
      </c>
      <c r="B276" t="s">
        <v>983</v>
      </c>
      <c r="C276" t="s">
        <v>984</v>
      </c>
      <c r="D276" t="s">
        <v>985</v>
      </c>
      <c r="E276" t="s">
        <v>986</v>
      </c>
      <c r="F276" t="s">
        <v>74</v>
      </c>
      <c r="G276" t="s">
        <v>28</v>
      </c>
      <c r="H276" t="s">
        <v>29</v>
      </c>
      <c r="I276" t="s">
        <v>890</v>
      </c>
      <c r="J276" t="s">
        <v>797</v>
      </c>
      <c r="L276" s="1">
        <v>45870</v>
      </c>
      <c r="M276" s="1">
        <v>44136</v>
      </c>
      <c r="O276">
        <v>9213293</v>
      </c>
      <c r="P276" t="s">
        <v>32</v>
      </c>
      <c r="Q276" t="s">
        <v>252</v>
      </c>
      <c r="R276">
        <v>8192</v>
      </c>
      <c r="S276" t="s">
        <v>34</v>
      </c>
      <c r="T276" t="s">
        <v>35</v>
      </c>
      <c r="U276">
        <v>29.83</v>
      </c>
      <c r="V276" t="s">
        <v>36</v>
      </c>
      <c r="W276" s="1">
        <v>45658</v>
      </c>
      <c r="X276">
        <v>2025</v>
      </c>
    </row>
    <row r="277" spans="1:24" x14ac:dyDescent="0.25">
      <c r="A277" s="1">
        <v>45888</v>
      </c>
      <c r="B277" t="s">
        <v>987</v>
      </c>
      <c r="C277" t="s">
        <v>988</v>
      </c>
      <c r="E277" t="s">
        <v>989</v>
      </c>
      <c r="F277" t="s">
        <v>27</v>
      </c>
      <c r="G277" t="s">
        <v>28</v>
      </c>
      <c r="H277" t="s">
        <v>29</v>
      </c>
      <c r="I277" t="s">
        <v>40</v>
      </c>
      <c r="J277" t="s">
        <v>46</v>
      </c>
      <c r="L277" s="1">
        <v>45870</v>
      </c>
      <c r="M277" s="1">
        <v>44256</v>
      </c>
      <c r="O277">
        <v>19606009</v>
      </c>
      <c r="P277" t="s">
        <v>32</v>
      </c>
      <c r="Q277" t="s">
        <v>42</v>
      </c>
      <c r="R277">
        <v>8192</v>
      </c>
      <c r="S277" t="s">
        <v>34</v>
      </c>
      <c r="T277" t="s">
        <v>35</v>
      </c>
      <c r="U277">
        <v>1.25</v>
      </c>
      <c r="V277" t="s">
        <v>36</v>
      </c>
      <c r="W277" s="1">
        <v>45870</v>
      </c>
      <c r="X277">
        <v>2025</v>
      </c>
    </row>
    <row r="278" spans="1:24" x14ac:dyDescent="0.25">
      <c r="A278" s="1">
        <v>45888</v>
      </c>
      <c r="B278" t="s">
        <v>990</v>
      </c>
      <c r="C278" t="s">
        <v>991</v>
      </c>
      <c r="D278" t="s">
        <v>992</v>
      </c>
      <c r="E278" t="s">
        <v>993</v>
      </c>
      <c r="F278" t="s">
        <v>27</v>
      </c>
      <c r="G278" t="s">
        <v>28</v>
      </c>
      <c r="H278" t="s">
        <v>29</v>
      </c>
      <c r="I278" t="s">
        <v>273</v>
      </c>
      <c r="J278" t="s">
        <v>46</v>
      </c>
      <c r="L278" s="1">
        <v>45870</v>
      </c>
      <c r="M278" s="1">
        <v>43466</v>
      </c>
      <c r="O278">
        <v>19606009</v>
      </c>
      <c r="P278" t="s">
        <v>32</v>
      </c>
      <c r="Q278" t="s">
        <v>42</v>
      </c>
      <c r="R278">
        <v>8192</v>
      </c>
      <c r="S278" t="s">
        <v>34</v>
      </c>
      <c r="T278" t="s">
        <v>35</v>
      </c>
      <c r="U278">
        <v>1.25</v>
      </c>
      <c r="V278" t="s">
        <v>36</v>
      </c>
      <c r="W278" s="1">
        <v>45870</v>
      </c>
      <c r="X278">
        <v>2025</v>
      </c>
    </row>
    <row r="279" spans="1:24" x14ac:dyDescent="0.25">
      <c r="A279" s="1">
        <v>45888</v>
      </c>
      <c r="B279" t="s">
        <v>994</v>
      </c>
      <c r="C279" t="s">
        <v>995</v>
      </c>
      <c r="E279" t="s">
        <v>996</v>
      </c>
      <c r="F279" t="s">
        <v>444</v>
      </c>
      <c r="G279" t="s">
        <v>997</v>
      </c>
      <c r="H279" t="s">
        <v>29</v>
      </c>
      <c r="I279" t="s">
        <v>445</v>
      </c>
      <c r="J279" t="s">
        <v>446</v>
      </c>
      <c r="L279" s="1">
        <v>45839</v>
      </c>
      <c r="M279" s="1">
        <v>45536</v>
      </c>
      <c r="N279" s="1">
        <v>45838</v>
      </c>
      <c r="O279">
        <v>8307933</v>
      </c>
      <c r="P279" t="s">
        <v>32</v>
      </c>
      <c r="Q279" t="s">
        <v>63</v>
      </c>
      <c r="R279">
        <v>8192</v>
      </c>
      <c r="S279" t="s">
        <v>34</v>
      </c>
      <c r="T279" t="s">
        <v>35</v>
      </c>
      <c r="U279">
        <v>-29.83</v>
      </c>
      <c r="V279" t="s">
        <v>36</v>
      </c>
      <c r="W279" s="1">
        <v>45511</v>
      </c>
      <c r="X279">
        <v>2025</v>
      </c>
    </row>
    <row r="280" spans="1:24" x14ac:dyDescent="0.25">
      <c r="A280" s="1">
        <v>45888</v>
      </c>
      <c r="B280" t="s">
        <v>998</v>
      </c>
      <c r="C280" t="s">
        <v>999</v>
      </c>
      <c r="D280" t="s">
        <v>1000</v>
      </c>
      <c r="E280" t="s">
        <v>1001</v>
      </c>
      <c r="F280" t="s">
        <v>27</v>
      </c>
      <c r="G280" t="s">
        <v>28</v>
      </c>
      <c r="H280" t="s">
        <v>29</v>
      </c>
      <c r="I280" t="s">
        <v>273</v>
      </c>
      <c r="J280" t="s">
        <v>46</v>
      </c>
      <c r="L280" s="1">
        <v>45870</v>
      </c>
      <c r="M280" s="1">
        <v>43466</v>
      </c>
      <c r="O280">
        <v>19606009</v>
      </c>
      <c r="P280" t="s">
        <v>32</v>
      </c>
      <c r="Q280" t="s">
        <v>42</v>
      </c>
      <c r="R280">
        <v>8192</v>
      </c>
      <c r="S280" t="s">
        <v>34</v>
      </c>
      <c r="T280" t="s">
        <v>35</v>
      </c>
      <c r="U280">
        <v>1.25</v>
      </c>
      <c r="V280" t="s">
        <v>36</v>
      </c>
      <c r="W280" s="1">
        <v>45809</v>
      </c>
      <c r="X280">
        <v>2025</v>
      </c>
    </row>
    <row r="281" spans="1:24" x14ac:dyDescent="0.25">
      <c r="A281" s="1">
        <v>45888</v>
      </c>
      <c r="B281" t="s">
        <v>1002</v>
      </c>
      <c r="C281" t="s">
        <v>1003</v>
      </c>
      <c r="D281" t="s">
        <v>1004</v>
      </c>
      <c r="E281" t="s">
        <v>1005</v>
      </c>
      <c r="F281" t="s">
        <v>27</v>
      </c>
      <c r="G281" t="s">
        <v>28</v>
      </c>
      <c r="H281" t="s">
        <v>29</v>
      </c>
      <c r="I281" t="s">
        <v>273</v>
      </c>
      <c r="J281" t="s">
        <v>46</v>
      </c>
      <c r="L281" s="1">
        <v>45870</v>
      </c>
      <c r="M281" s="1">
        <v>43466</v>
      </c>
      <c r="O281">
        <v>19606009</v>
      </c>
      <c r="P281" t="s">
        <v>32</v>
      </c>
      <c r="Q281" t="s">
        <v>42</v>
      </c>
      <c r="R281">
        <v>8192</v>
      </c>
      <c r="S281" t="s">
        <v>34</v>
      </c>
      <c r="T281" t="s">
        <v>35</v>
      </c>
      <c r="U281">
        <v>1.25</v>
      </c>
      <c r="V281" t="s">
        <v>36</v>
      </c>
      <c r="W281" s="1">
        <v>45809</v>
      </c>
      <c r="X281">
        <v>2025</v>
      </c>
    </row>
    <row r="282" spans="1:24" x14ac:dyDescent="0.25">
      <c r="A282" s="1">
        <v>45888</v>
      </c>
      <c r="B282" t="s">
        <v>1006</v>
      </c>
      <c r="C282" t="s">
        <v>1007</v>
      </c>
      <c r="E282" t="s">
        <v>1008</v>
      </c>
      <c r="F282" t="s">
        <v>27</v>
      </c>
      <c r="G282" t="s">
        <v>28</v>
      </c>
      <c r="H282" t="s">
        <v>29</v>
      </c>
      <c r="I282" t="s">
        <v>30</v>
      </c>
      <c r="J282" t="s">
        <v>46</v>
      </c>
      <c r="L282" s="1">
        <v>45870</v>
      </c>
      <c r="M282" s="1">
        <v>45292</v>
      </c>
      <c r="O282">
        <v>17886092</v>
      </c>
      <c r="P282" t="s">
        <v>32</v>
      </c>
      <c r="Q282" t="s">
        <v>102</v>
      </c>
      <c r="R282">
        <v>8192</v>
      </c>
      <c r="S282" t="s">
        <v>51</v>
      </c>
      <c r="T282" t="s">
        <v>35</v>
      </c>
      <c r="U282">
        <v>2.5</v>
      </c>
      <c r="V282" t="s">
        <v>36</v>
      </c>
      <c r="W282" s="1">
        <v>45245</v>
      </c>
      <c r="X282">
        <v>2025</v>
      </c>
    </row>
    <row r="283" spans="1:24" x14ac:dyDescent="0.25">
      <c r="A283" s="1">
        <v>45888</v>
      </c>
      <c r="B283" t="s">
        <v>1009</v>
      </c>
      <c r="C283" t="s">
        <v>1010</v>
      </c>
      <c r="E283" t="s">
        <v>1011</v>
      </c>
      <c r="F283" t="s">
        <v>27</v>
      </c>
      <c r="G283" t="s">
        <v>28</v>
      </c>
      <c r="H283" t="s">
        <v>29</v>
      </c>
      <c r="I283" t="s">
        <v>30</v>
      </c>
      <c r="J283" t="s">
        <v>46</v>
      </c>
      <c r="L283" s="1">
        <v>45870</v>
      </c>
      <c r="M283" s="1">
        <v>45292</v>
      </c>
      <c r="O283">
        <v>17886092</v>
      </c>
      <c r="P283" t="s">
        <v>32</v>
      </c>
      <c r="Q283" t="s">
        <v>102</v>
      </c>
      <c r="R283">
        <v>8192</v>
      </c>
      <c r="S283" t="s">
        <v>51</v>
      </c>
      <c r="T283" t="s">
        <v>35</v>
      </c>
      <c r="U283">
        <v>2.5</v>
      </c>
      <c r="V283" t="s">
        <v>36</v>
      </c>
      <c r="W283" s="1">
        <v>45245</v>
      </c>
      <c r="X283">
        <v>2025</v>
      </c>
    </row>
    <row r="284" spans="1:24" x14ac:dyDescent="0.25">
      <c r="A284" s="1">
        <v>45888</v>
      </c>
      <c r="B284" t="s">
        <v>1012</v>
      </c>
      <c r="C284" t="s">
        <v>1013</v>
      </c>
      <c r="E284" t="s">
        <v>1014</v>
      </c>
      <c r="F284" t="s">
        <v>27</v>
      </c>
      <c r="G284" t="s">
        <v>28</v>
      </c>
      <c r="H284" t="s">
        <v>29</v>
      </c>
      <c r="I284" t="s">
        <v>30</v>
      </c>
      <c r="J284" t="s">
        <v>46</v>
      </c>
      <c r="L284" s="1">
        <v>45870</v>
      </c>
      <c r="M284" s="1">
        <v>44927</v>
      </c>
      <c r="O284">
        <v>19606009</v>
      </c>
      <c r="P284" t="s">
        <v>32</v>
      </c>
      <c r="Q284" t="s">
        <v>42</v>
      </c>
      <c r="R284">
        <v>8192</v>
      </c>
      <c r="S284" t="s">
        <v>34</v>
      </c>
      <c r="T284" t="s">
        <v>35</v>
      </c>
      <c r="U284">
        <v>1.25</v>
      </c>
      <c r="V284" t="s">
        <v>36</v>
      </c>
      <c r="W284" s="1">
        <v>45839</v>
      </c>
      <c r="X284">
        <v>2025</v>
      </c>
    </row>
    <row r="285" spans="1:24" x14ac:dyDescent="0.25">
      <c r="A285" s="1">
        <v>45888</v>
      </c>
      <c r="B285" t="s">
        <v>1015</v>
      </c>
      <c r="C285" t="s">
        <v>1016</v>
      </c>
      <c r="E285" t="s">
        <v>1017</v>
      </c>
      <c r="F285" t="s">
        <v>346</v>
      </c>
      <c r="G285" t="s">
        <v>28</v>
      </c>
      <c r="H285" t="s">
        <v>29</v>
      </c>
      <c r="I285" t="s">
        <v>90</v>
      </c>
      <c r="J285" t="s">
        <v>1018</v>
      </c>
      <c r="L285" s="1">
        <v>45870</v>
      </c>
      <c r="M285" s="1">
        <v>45413</v>
      </c>
      <c r="O285">
        <v>8307933</v>
      </c>
      <c r="P285" t="s">
        <v>32</v>
      </c>
      <c r="Q285" t="s">
        <v>63</v>
      </c>
      <c r="R285">
        <v>8192</v>
      </c>
      <c r="S285" t="s">
        <v>34</v>
      </c>
      <c r="T285" t="s">
        <v>35</v>
      </c>
      <c r="U285">
        <v>29.83</v>
      </c>
      <c r="V285" t="s">
        <v>36</v>
      </c>
      <c r="W285" s="1">
        <v>45352</v>
      </c>
      <c r="X285">
        <v>2025</v>
      </c>
    </row>
    <row r="286" spans="1:24" x14ac:dyDescent="0.25">
      <c r="A286" s="1">
        <v>45888</v>
      </c>
      <c r="B286" t="s">
        <v>1019</v>
      </c>
      <c r="C286" t="s">
        <v>1020</v>
      </c>
      <c r="E286" t="s">
        <v>1021</v>
      </c>
      <c r="F286" t="s">
        <v>27</v>
      </c>
      <c r="G286" t="s">
        <v>28</v>
      </c>
      <c r="H286" t="s">
        <v>127</v>
      </c>
      <c r="I286" t="s">
        <v>30</v>
      </c>
      <c r="J286" t="s">
        <v>128</v>
      </c>
      <c r="L286" s="1">
        <v>45870</v>
      </c>
      <c r="M286" s="1">
        <v>45597</v>
      </c>
      <c r="O286">
        <v>17886092</v>
      </c>
      <c r="P286" t="s">
        <v>32</v>
      </c>
      <c r="Q286" t="s">
        <v>102</v>
      </c>
      <c r="R286">
        <v>8192</v>
      </c>
      <c r="S286" t="s">
        <v>34</v>
      </c>
      <c r="T286" t="s">
        <v>35</v>
      </c>
      <c r="U286">
        <v>1.25</v>
      </c>
      <c r="V286" t="s">
        <v>36</v>
      </c>
      <c r="W286" s="1">
        <v>45583</v>
      </c>
      <c r="X286">
        <v>2025</v>
      </c>
    </row>
    <row r="287" spans="1:24" x14ac:dyDescent="0.25">
      <c r="A287" s="1">
        <v>45888</v>
      </c>
      <c r="B287" t="s">
        <v>1022</v>
      </c>
      <c r="C287" t="s">
        <v>1023</v>
      </c>
      <c r="E287" t="s">
        <v>1024</v>
      </c>
      <c r="F287" t="s">
        <v>27</v>
      </c>
      <c r="G287" t="s">
        <v>28</v>
      </c>
      <c r="H287" t="s">
        <v>29</v>
      </c>
      <c r="I287" t="s">
        <v>30</v>
      </c>
      <c r="J287" t="s">
        <v>46</v>
      </c>
      <c r="L287" s="1">
        <v>45870</v>
      </c>
      <c r="M287" s="1">
        <v>44593</v>
      </c>
      <c r="O287">
        <v>19606009</v>
      </c>
      <c r="P287" t="s">
        <v>32</v>
      </c>
      <c r="Q287" t="s">
        <v>42</v>
      </c>
      <c r="R287">
        <v>8192</v>
      </c>
      <c r="S287" t="s">
        <v>34</v>
      </c>
      <c r="T287" t="s">
        <v>35</v>
      </c>
      <c r="U287">
        <v>1.25</v>
      </c>
      <c r="V287" t="s">
        <v>36</v>
      </c>
      <c r="W287" s="1">
        <v>45839</v>
      </c>
      <c r="X287">
        <v>2025</v>
      </c>
    </row>
    <row r="288" spans="1:24" x14ac:dyDescent="0.25">
      <c r="A288" s="1">
        <v>45888</v>
      </c>
      <c r="B288" t="s">
        <v>1025</v>
      </c>
      <c r="C288" t="s">
        <v>1026</v>
      </c>
      <c r="E288" t="s">
        <v>1027</v>
      </c>
      <c r="F288" t="s">
        <v>27</v>
      </c>
      <c r="G288" t="s">
        <v>28</v>
      </c>
      <c r="H288" t="s">
        <v>29</v>
      </c>
      <c r="I288" t="s">
        <v>30</v>
      </c>
      <c r="J288" t="s">
        <v>46</v>
      </c>
      <c r="L288" s="1">
        <v>45870</v>
      </c>
      <c r="M288" s="1">
        <v>45170</v>
      </c>
      <c r="O288">
        <v>17528908</v>
      </c>
      <c r="P288" t="s">
        <v>32</v>
      </c>
      <c r="Q288" t="s">
        <v>33</v>
      </c>
      <c r="R288">
        <v>8192</v>
      </c>
      <c r="S288" t="s">
        <v>51</v>
      </c>
      <c r="T288" t="s">
        <v>35</v>
      </c>
      <c r="U288">
        <v>31.92</v>
      </c>
      <c r="V288" t="s">
        <v>36</v>
      </c>
      <c r="W288" s="1">
        <v>45159</v>
      </c>
      <c r="X288">
        <v>2025</v>
      </c>
    </row>
    <row r="289" spans="1:24" x14ac:dyDescent="0.25">
      <c r="A289" s="1">
        <v>45888</v>
      </c>
      <c r="B289" t="s">
        <v>1028</v>
      </c>
      <c r="C289" t="s">
        <v>1029</v>
      </c>
      <c r="E289" t="s">
        <v>1030</v>
      </c>
      <c r="F289" t="s">
        <v>27</v>
      </c>
      <c r="G289" t="s">
        <v>28</v>
      </c>
      <c r="H289" t="s">
        <v>29</v>
      </c>
      <c r="I289" t="s">
        <v>30</v>
      </c>
      <c r="J289" t="s">
        <v>31</v>
      </c>
      <c r="L289" s="1">
        <v>45870</v>
      </c>
      <c r="M289" s="1">
        <v>45323</v>
      </c>
      <c r="O289">
        <v>17528908</v>
      </c>
      <c r="P289" t="s">
        <v>32</v>
      </c>
      <c r="Q289" t="s">
        <v>33</v>
      </c>
      <c r="R289">
        <v>8192</v>
      </c>
      <c r="S289" t="s">
        <v>51</v>
      </c>
      <c r="T289" t="s">
        <v>35</v>
      </c>
      <c r="U289">
        <v>31.92</v>
      </c>
      <c r="V289" t="s">
        <v>36</v>
      </c>
      <c r="W289" s="1">
        <v>45272</v>
      </c>
      <c r="X289">
        <v>2025</v>
      </c>
    </row>
    <row r="290" spans="1:24" x14ac:dyDescent="0.25">
      <c r="A290" s="1">
        <v>45888</v>
      </c>
      <c r="B290" t="s">
        <v>1031</v>
      </c>
      <c r="C290" t="s">
        <v>1032</v>
      </c>
      <c r="E290" t="s">
        <v>1033</v>
      </c>
      <c r="F290" t="s">
        <v>27</v>
      </c>
      <c r="G290" t="s">
        <v>28</v>
      </c>
      <c r="H290" t="s">
        <v>29</v>
      </c>
      <c r="I290" t="s">
        <v>30</v>
      </c>
      <c r="J290" t="s">
        <v>70</v>
      </c>
      <c r="L290" s="1">
        <v>45870</v>
      </c>
      <c r="M290" s="1">
        <v>45292</v>
      </c>
      <c r="O290">
        <v>17528908</v>
      </c>
      <c r="P290" t="s">
        <v>32</v>
      </c>
      <c r="Q290" t="s">
        <v>33</v>
      </c>
      <c r="R290">
        <v>8192</v>
      </c>
      <c r="S290" t="s">
        <v>34</v>
      </c>
      <c r="T290" t="s">
        <v>35</v>
      </c>
      <c r="U290">
        <v>33.17</v>
      </c>
      <c r="V290" t="s">
        <v>36</v>
      </c>
      <c r="W290" s="1">
        <v>45658</v>
      </c>
      <c r="X290">
        <v>2025</v>
      </c>
    </row>
    <row r="291" spans="1:24" x14ac:dyDescent="0.25">
      <c r="A291" s="1">
        <v>45888</v>
      </c>
      <c r="B291" t="s">
        <v>1034</v>
      </c>
      <c r="C291" t="s">
        <v>1035</v>
      </c>
      <c r="E291" t="s">
        <v>1036</v>
      </c>
      <c r="F291" t="s">
        <v>346</v>
      </c>
      <c r="G291" t="s">
        <v>28</v>
      </c>
      <c r="H291" t="s">
        <v>29</v>
      </c>
      <c r="I291" t="s">
        <v>90</v>
      </c>
      <c r="J291" t="s">
        <v>1037</v>
      </c>
      <c r="L291" s="1">
        <v>45870</v>
      </c>
      <c r="M291" s="1">
        <v>45170</v>
      </c>
      <c r="O291">
        <v>8307933</v>
      </c>
      <c r="P291" t="s">
        <v>32</v>
      </c>
      <c r="Q291" t="s">
        <v>63</v>
      </c>
      <c r="R291">
        <v>8192</v>
      </c>
      <c r="S291" t="s">
        <v>51</v>
      </c>
      <c r="T291" t="s">
        <v>35</v>
      </c>
      <c r="U291">
        <v>28.58</v>
      </c>
      <c r="V291" t="s">
        <v>36</v>
      </c>
      <c r="W291" s="1">
        <v>45163</v>
      </c>
      <c r="X291">
        <v>2025</v>
      </c>
    </row>
    <row r="292" spans="1:24" x14ac:dyDescent="0.25">
      <c r="A292" s="1">
        <v>45888</v>
      </c>
      <c r="B292" t="s">
        <v>1038</v>
      </c>
      <c r="C292" t="s">
        <v>1039</v>
      </c>
      <c r="E292" t="s">
        <v>1040</v>
      </c>
      <c r="F292" t="s">
        <v>234</v>
      </c>
      <c r="G292" t="s">
        <v>28</v>
      </c>
      <c r="H292" t="s">
        <v>29</v>
      </c>
      <c r="I292" t="s">
        <v>235</v>
      </c>
      <c r="J292" t="s">
        <v>1041</v>
      </c>
      <c r="L292" s="1">
        <v>45870</v>
      </c>
      <c r="M292" s="1">
        <v>45323</v>
      </c>
      <c r="O292">
        <v>8307933</v>
      </c>
      <c r="P292" t="s">
        <v>32</v>
      </c>
      <c r="Q292" t="s">
        <v>63</v>
      </c>
      <c r="R292">
        <v>8192</v>
      </c>
      <c r="S292" t="s">
        <v>51</v>
      </c>
      <c r="T292" t="s">
        <v>35</v>
      </c>
      <c r="U292">
        <v>28.58</v>
      </c>
      <c r="V292" t="s">
        <v>36</v>
      </c>
      <c r="W292" s="1">
        <v>45312</v>
      </c>
      <c r="X292">
        <v>2025</v>
      </c>
    </row>
    <row r="293" spans="1:24" x14ac:dyDescent="0.25">
      <c r="A293" s="1">
        <v>45888</v>
      </c>
      <c r="B293" t="s">
        <v>1042</v>
      </c>
      <c r="C293" t="s">
        <v>1043</v>
      </c>
      <c r="E293" t="s">
        <v>1044</v>
      </c>
      <c r="F293" t="s">
        <v>27</v>
      </c>
      <c r="G293" t="s">
        <v>28</v>
      </c>
      <c r="H293" t="s">
        <v>29</v>
      </c>
      <c r="I293" t="s">
        <v>30</v>
      </c>
      <c r="J293" t="s">
        <v>31</v>
      </c>
      <c r="L293" s="1">
        <v>45870</v>
      </c>
      <c r="M293" s="1">
        <v>45292</v>
      </c>
      <c r="O293">
        <v>17886092</v>
      </c>
      <c r="P293" t="s">
        <v>32</v>
      </c>
      <c r="Q293" t="s">
        <v>102</v>
      </c>
      <c r="R293">
        <v>8192</v>
      </c>
      <c r="S293" t="s">
        <v>51</v>
      </c>
      <c r="T293" t="s">
        <v>35</v>
      </c>
      <c r="U293">
        <v>2.5</v>
      </c>
      <c r="V293" t="s">
        <v>36</v>
      </c>
      <c r="W293" s="1">
        <v>45223</v>
      </c>
      <c r="X293">
        <v>2025</v>
      </c>
    </row>
    <row r="294" spans="1:24" x14ac:dyDescent="0.25">
      <c r="A294" s="1">
        <v>45888</v>
      </c>
      <c r="B294" t="s">
        <v>1045</v>
      </c>
      <c r="C294" t="s">
        <v>1046</v>
      </c>
      <c r="E294" t="s">
        <v>1047</v>
      </c>
      <c r="F294" t="s">
        <v>27</v>
      </c>
      <c r="G294" t="s">
        <v>28</v>
      </c>
      <c r="H294" t="s">
        <v>29</v>
      </c>
      <c r="I294" t="s">
        <v>30</v>
      </c>
      <c r="J294" t="s">
        <v>55</v>
      </c>
      <c r="L294" s="1">
        <v>45870</v>
      </c>
      <c r="M294" s="1">
        <v>45383</v>
      </c>
      <c r="O294">
        <v>17425766</v>
      </c>
      <c r="P294" t="s">
        <v>32</v>
      </c>
      <c r="Q294" t="s">
        <v>56</v>
      </c>
      <c r="R294">
        <v>8192</v>
      </c>
      <c r="S294" t="s">
        <v>34</v>
      </c>
      <c r="T294" t="s">
        <v>35</v>
      </c>
      <c r="U294">
        <v>33.17</v>
      </c>
      <c r="V294" t="s">
        <v>36</v>
      </c>
      <c r="W294" s="1">
        <v>45341</v>
      </c>
      <c r="X294">
        <v>2025</v>
      </c>
    </row>
    <row r="295" spans="1:24" x14ac:dyDescent="0.25">
      <c r="A295" s="1">
        <v>45888</v>
      </c>
      <c r="B295" t="s">
        <v>1048</v>
      </c>
      <c r="C295" t="s">
        <v>1049</v>
      </c>
      <c r="E295" t="s">
        <v>1050</v>
      </c>
      <c r="F295" t="s">
        <v>27</v>
      </c>
      <c r="G295" t="s">
        <v>28</v>
      </c>
      <c r="H295" t="s">
        <v>29</v>
      </c>
      <c r="I295" t="s">
        <v>30</v>
      </c>
      <c r="J295" t="s">
        <v>50</v>
      </c>
      <c r="L295" s="1">
        <v>45870</v>
      </c>
      <c r="M295" s="1">
        <v>45658</v>
      </c>
      <c r="O295">
        <v>19606009</v>
      </c>
      <c r="P295" t="s">
        <v>32</v>
      </c>
      <c r="Q295" t="s">
        <v>42</v>
      </c>
      <c r="R295">
        <v>8192</v>
      </c>
      <c r="S295" t="s">
        <v>51</v>
      </c>
      <c r="T295" t="s">
        <v>35</v>
      </c>
      <c r="U295">
        <v>2.5</v>
      </c>
      <c r="V295" t="s">
        <v>36</v>
      </c>
      <c r="W295" s="1">
        <v>45216</v>
      </c>
      <c r="X295">
        <v>2025</v>
      </c>
    </row>
    <row r="296" spans="1:24" x14ac:dyDescent="0.25">
      <c r="A296" s="1">
        <v>45888</v>
      </c>
      <c r="B296" t="s">
        <v>1051</v>
      </c>
      <c r="C296" t="s">
        <v>1052</v>
      </c>
      <c r="E296" t="s">
        <v>1053</v>
      </c>
      <c r="F296" t="s">
        <v>27</v>
      </c>
      <c r="G296" t="s">
        <v>28</v>
      </c>
      <c r="H296" t="s">
        <v>29</v>
      </c>
      <c r="I296" t="s">
        <v>30</v>
      </c>
      <c r="J296" t="s">
        <v>55</v>
      </c>
      <c r="L296" s="1">
        <v>45870</v>
      </c>
      <c r="M296" s="1">
        <v>45474</v>
      </c>
      <c r="O296">
        <v>19278370</v>
      </c>
      <c r="P296" t="s">
        <v>32</v>
      </c>
      <c r="Q296" t="s">
        <v>1054</v>
      </c>
      <c r="R296">
        <v>8192</v>
      </c>
      <c r="S296" t="s">
        <v>34</v>
      </c>
      <c r="T296" t="s">
        <v>35</v>
      </c>
      <c r="U296">
        <v>33.17</v>
      </c>
      <c r="V296" t="s">
        <v>36</v>
      </c>
      <c r="W296" s="1">
        <v>45448</v>
      </c>
      <c r="X296">
        <v>2025</v>
      </c>
    </row>
    <row r="297" spans="1:24" x14ac:dyDescent="0.25">
      <c r="A297" s="1">
        <v>45888</v>
      </c>
      <c r="B297" t="s">
        <v>1055</v>
      </c>
      <c r="C297" t="s">
        <v>1056</v>
      </c>
      <c r="E297" t="s">
        <v>1057</v>
      </c>
      <c r="F297" t="s">
        <v>27</v>
      </c>
      <c r="G297" t="s">
        <v>28</v>
      </c>
      <c r="H297" t="s">
        <v>29</v>
      </c>
      <c r="I297" t="s">
        <v>30</v>
      </c>
      <c r="J297" t="s">
        <v>46</v>
      </c>
      <c r="L297" s="1">
        <v>45870</v>
      </c>
      <c r="M297" s="1">
        <v>45261</v>
      </c>
      <c r="O297">
        <v>17886092</v>
      </c>
      <c r="P297" t="s">
        <v>32</v>
      </c>
      <c r="Q297" t="s">
        <v>102</v>
      </c>
      <c r="R297">
        <v>8192</v>
      </c>
      <c r="S297" t="s">
        <v>51</v>
      </c>
      <c r="T297" t="s">
        <v>35</v>
      </c>
      <c r="U297">
        <v>2.5</v>
      </c>
      <c r="V297" t="s">
        <v>36</v>
      </c>
      <c r="W297" s="1">
        <v>45219</v>
      </c>
      <c r="X297">
        <v>2025</v>
      </c>
    </row>
    <row r="298" spans="1:24" x14ac:dyDescent="0.25">
      <c r="A298" s="1">
        <v>45888</v>
      </c>
      <c r="B298" t="s">
        <v>1058</v>
      </c>
      <c r="C298" t="s">
        <v>1059</v>
      </c>
      <c r="E298" t="s">
        <v>1060</v>
      </c>
      <c r="F298" t="s">
        <v>27</v>
      </c>
      <c r="G298" t="s">
        <v>28</v>
      </c>
      <c r="H298" t="s">
        <v>29</v>
      </c>
      <c r="I298" t="s">
        <v>30</v>
      </c>
      <c r="J298" t="s">
        <v>50</v>
      </c>
      <c r="L298" s="1">
        <v>45870</v>
      </c>
      <c r="M298" s="1">
        <v>45292</v>
      </c>
      <c r="O298">
        <v>17886092</v>
      </c>
      <c r="P298" t="s">
        <v>32</v>
      </c>
      <c r="Q298" t="s">
        <v>102</v>
      </c>
      <c r="R298">
        <v>8192</v>
      </c>
      <c r="S298" t="s">
        <v>51</v>
      </c>
      <c r="T298" t="s">
        <v>35</v>
      </c>
      <c r="U298">
        <v>2.5</v>
      </c>
      <c r="V298" t="s">
        <v>36</v>
      </c>
      <c r="W298" s="1">
        <v>45214</v>
      </c>
      <c r="X298">
        <v>2025</v>
      </c>
    </row>
    <row r="299" spans="1:24" x14ac:dyDescent="0.25">
      <c r="A299" s="1">
        <v>45888</v>
      </c>
      <c r="B299" t="s">
        <v>1061</v>
      </c>
      <c r="C299" t="s">
        <v>1062</v>
      </c>
      <c r="E299" t="s">
        <v>1063</v>
      </c>
      <c r="F299" t="s">
        <v>27</v>
      </c>
      <c r="G299" t="s">
        <v>28</v>
      </c>
      <c r="H299" t="s">
        <v>29</v>
      </c>
      <c r="I299" t="s">
        <v>30</v>
      </c>
      <c r="J299" t="s">
        <v>46</v>
      </c>
      <c r="L299" s="1">
        <v>45870</v>
      </c>
      <c r="M299" s="1">
        <v>45292</v>
      </c>
      <c r="O299">
        <v>17886092</v>
      </c>
      <c r="P299" t="s">
        <v>32</v>
      </c>
      <c r="Q299" t="s">
        <v>102</v>
      </c>
      <c r="R299">
        <v>8192</v>
      </c>
      <c r="S299" t="s">
        <v>51</v>
      </c>
      <c r="T299" t="s">
        <v>35</v>
      </c>
      <c r="U299">
        <v>2.5</v>
      </c>
      <c r="V299" t="s">
        <v>36</v>
      </c>
      <c r="W299" s="1">
        <v>45266</v>
      </c>
      <c r="X299">
        <v>2025</v>
      </c>
    </row>
    <row r="300" spans="1:24" x14ac:dyDescent="0.25">
      <c r="A300" s="1">
        <v>45888</v>
      </c>
      <c r="B300" t="s">
        <v>1064</v>
      </c>
      <c r="C300" t="s">
        <v>1065</v>
      </c>
      <c r="E300" t="s">
        <v>1066</v>
      </c>
      <c r="F300" t="s">
        <v>89</v>
      </c>
      <c r="G300" t="s">
        <v>28</v>
      </c>
      <c r="H300" t="s">
        <v>29</v>
      </c>
      <c r="I300" t="s">
        <v>90</v>
      </c>
      <c r="J300" t="s">
        <v>1067</v>
      </c>
      <c r="L300" s="1">
        <v>45870</v>
      </c>
      <c r="M300" s="1">
        <v>45323</v>
      </c>
      <c r="O300">
        <v>8307933</v>
      </c>
      <c r="P300" t="s">
        <v>32</v>
      </c>
      <c r="Q300" t="s">
        <v>63</v>
      </c>
      <c r="R300">
        <v>8192</v>
      </c>
      <c r="S300" t="s">
        <v>51</v>
      </c>
      <c r="T300" t="s">
        <v>35</v>
      </c>
      <c r="U300">
        <v>28.58</v>
      </c>
      <c r="V300" t="s">
        <v>36</v>
      </c>
      <c r="W300" s="1">
        <v>45302</v>
      </c>
      <c r="X300">
        <v>2025</v>
      </c>
    </row>
    <row r="301" spans="1:24" x14ac:dyDescent="0.25">
      <c r="A301" s="1">
        <v>45888</v>
      </c>
      <c r="B301" t="s">
        <v>1068</v>
      </c>
      <c r="C301" t="s">
        <v>1069</v>
      </c>
      <c r="E301" t="s">
        <v>1070</v>
      </c>
      <c r="F301" t="s">
        <v>27</v>
      </c>
      <c r="G301" t="s">
        <v>28</v>
      </c>
      <c r="H301" t="s">
        <v>29</v>
      </c>
      <c r="I301" t="s">
        <v>30</v>
      </c>
      <c r="J301" t="s">
        <v>46</v>
      </c>
      <c r="L301" s="1">
        <v>45870</v>
      </c>
      <c r="M301" s="1">
        <v>45261</v>
      </c>
      <c r="O301">
        <v>17886092</v>
      </c>
      <c r="P301" t="s">
        <v>32</v>
      </c>
      <c r="Q301" t="s">
        <v>102</v>
      </c>
      <c r="R301">
        <v>8192</v>
      </c>
      <c r="S301" t="s">
        <v>51</v>
      </c>
      <c r="T301" t="s">
        <v>35</v>
      </c>
      <c r="U301">
        <v>2.5</v>
      </c>
      <c r="V301" t="s">
        <v>36</v>
      </c>
      <c r="W301" s="1">
        <v>45257</v>
      </c>
      <c r="X301">
        <v>2025</v>
      </c>
    </row>
    <row r="302" spans="1:24" x14ac:dyDescent="0.25">
      <c r="A302" s="1">
        <v>45888</v>
      </c>
      <c r="B302" t="s">
        <v>1071</v>
      </c>
      <c r="C302" t="s">
        <v>1072</v>
      </c>
      <c r="E302" t="s">
        <v>1073</v>
      </c>
      <c r="F302" t="s">
        <v>27</v>
      </c>
      <c r="G302" t="s">
        <v>997</v>
      </c>
      <c r="H302" t="s">
        <v>29</v>
      </c>
      <c r="I302" t="s">
        <v>30</v>
      </c>
      <c r="J302" t="s">
        <v>70</v>
      </c>
      <c r="L302" s="1">
        <v>45839</v>
      </c>
      <c r="M302" s="1">
        <v>45566</v>
      </c>
      <c r="N302" s="1">
        <v>45838</v>
      </c>
      <c r="O302">
        <v>17528908</v>
      </c>
      <c r="P302" t="s">
        <v>32</v>
      </c>
      <c r="Q302" t="s">
        <v>33</v>
      </c>
      <c r="R302">
        <v>8192</v>
      </c>
      <c r="S302" t="s">
        <v>34</v>
      </c>
      <c r="T302" t="s">
        <v>35</v>
      </c>
      <c r="U302">
        <v>-33.17</v>
      </c>
      <c r="V302" t="s">
        <v>36</v>
      </c>
      <c r="W302" s="1">
        <v>45547</v>
      </c>
      <c r="X302">
        <v>2025</v>
      </c>
    </row>
    <row r="303" spans="1:24" x14ac:dyDescent="0.25">
      <c r="A303" s="1">
        <v>45888</v>
      </c>
      <c r="B303" t="s">
        <v>1074</v>
      </c>
      <c r="C303" t="s">
        <v>1075</v>
      </c>
      <c r="E303" t="s">
        <v>1076</v>
      </c>
      <c r="F303" t="s">
        <v>74</v>
      </c>
      <c r="G303" t="s">
        <v>28</v>
      </c>
      <c r="H303" t="s">
        <v>29</v>
      </c>
      <c r="I303" t="s">
        <v>61</v>
      </c>
      <c r="J303" t="s">
        <v>75</v>
      </c>
      <c r="L303" s="1">
        <v>45870</v>
      </c>
      <c r="M303" s="1">
        <v>45597</v>
      </c>
      <c r="O303">
        <v>9213293</v>
      </c>
      <c r="P303" t="s">
        <v>32</v>
      </c>
      <c r="Q303" t="s">
        <v>252</v>
      </c>
      <c r="R303">
        <v>8192</v>
      </c>
      <c r="S303" t="s">
        <v>34</v>
      </c>
      <c r="T303" t="s">
        <v>35</v>
      </c>
      <c r="U303">
        <v>29.83</v>
      </c>
      <c r="V303" t="s">
        <v>36</v>
      </c>
      <c r="W303" s="1">
        <v>45580</v>
      </c>
      <c r="X303">
        <v>2025</v>
      </c>
    </row>
    <row r="304" spans="1:24" x14ac:dyDescent="0.25">
      <c r="A304" s="1">
        <v>45888</v>
      </c>
      <c r="B304" t="s">
        <v>1077</v>
      </c>
      <c r="C304" t="s">
        <v>1078</v>
      </c>
      <c r="E304" t="s">
        <v>1079</v>
      </c>
      <c r="F304" t="s">
        <v>27</v>
      </c>
      <c r="G304" t="s">
        <v>28</v>
      </c>
      <c r="H304" t="s">
        <v>29</v>
      </c>
      <c r="I304" t="s">
        <v>30</v>
      </c>
      <c r="J304" t="s">
        <v>46</v>
      </c>
      <c r="L304" s="1">
        <v>45870</v>
      </c>
      <c r="M304" s="1">
        <v>45292</v>
      </c>
      <c r="O304">
        <v>17886092</v>
      </c>
      <c r="P304" t="s">
        <v>32</v>
      </c>
      <c r="Q304" t="s">
        <v>102</v>
      </c>
      <c r="R304">
        <v>8192</v>
      </c>
      <c r="S304" t="s">
        <v>51</v>
      </c>
      <c r="T304" t="s">
        <v>35</v>
      </c>
      <c r="U304">
        <v>2.5</v>
      </c>
      <c r="V304" t="s">
        <v>36</v>
      </c>
      <c r="W304" s="1">
        <v>45231</v>
      </c>
      <c r="X304">
        <v>2025</v>
      </c>
    </row>
    <row r="305" spans="1:24" x14ac:dyDescent="0.25">
      <c r="A305" s="1">
        <v>45888</v>
      </c>
      <c r="B305" t="s">
        <v>1080</v>
      </c>
      <c r="C305" t="s">
        <v>1081</v>
      </c>
      <c r="E305" t="s">
        <v>1082</v>
      </c>
      <c r="F305" t="s">
        <v>74</v>
      </c>
      <c r="G305" t="s">
        <v>28</v>
      </c>
      <c r="H305" t="s">
        <v>29</v>
      </c>
      <c r="I305" t="s">
        <v>61</v>
      </c>
      <c r="J305" t="s">
        <v>75</v>
      </c>
      <c r="L305" s="1">
        <v>45870</v>
      </c>
      <c r="M305" s="1">
        <v>45292</v>
      </c>
      <c r="O305">
        <v>8307933</v>
      </c>
      <c r="P305" t="s">
        <v>32</v>
      </c>
      <c r="Q305" t="s">
        <v>63</v>
      </c>
      <c r="R305">
        <v>8192</v>
      </c>
      <c r="S305" t="s">
        <v>51</v>
      </c>
      <c r="T305" t="s">
        <v>35</v>
      </c>
      <c r="U305">
        <v>28.58</v>
      </c>
      <c r="V305" t="s">
        <v>36</v>
      </c>
      <c r="W305" s="1">
        <v>45261</v>
      </c>
      <c r="X305">
        <v>2025</v>
      </c>
    </row>
    <row r="306" spans="1:24" x14ac:dyDescent="0.25">
      <c r="A306" s="1">
        <v>45888</v>
      </c>
      <c r="B306" t="s">
        <v>1083</v>
      </c>
      <c r="C306" t="s">
        <v>1084</v>
      </c>
      <c r="E306" t="s">
        <v>1085</v>
      </c>
      <c r="F306" t="s">
        <v>27</v>
      </c>
      <c r="G306" t="s">
        <v>28</v>
      </c>
      <c r="H306" t="s">
        <v>29</v>
      </c>
      <c r="I306" t="s">
        <v>40</v>
      </c>
      <c r="J306" t="s">
        <v>46</v>
      </c>
      <c r="L306" s="1">
        <v>45870</v>
      </c>
      <c r="M306" s="1">
        <v>44501</v>
      </c>
      <c r="O306">
        <v>19606009</v>
      </c>
      <c r="P306" t="s">
        <v>32</v>
      </c>
      <c r="Q306" t="s">
        <v>42</v>
      </c>
      <c r="R306">
        <v>8192</v>
      </c>
      <c r="S306" t="s">
        <v>34</v>
      </c>
      <c r="T306" t="s">
        <v>35</v>
      </c>
      <c r="U306">
        <v>1.25</v>
      </c>
      <c r="V306" t="s">
        <v>36</v>
      </c>
      <c r="W306" s="1">
        <v>45870</v>
      </c>
      <c r="X306">
        <v>2025</v>
      </c>
    </row>
    <row r="307" spans="1:24" x14ac:dyDescent="0.25">
      <c r="A307" s="1">
        <v>45888</v>
      </c>
      <c r="B307" t="s">
        <v>1086</v>
      </c>
      <c r="C307" t="s">
        <v>1087</v>
      </c>
      <c r="E307" t="s">
        <v>1088</v>
      </c>
      <c r="F307" t="s">
        <v>27</v>
      </c>
      <c r="G307" t="s">
        <v>28</v>
      </c>
      <c r="H307" t="s">
        <v>29</v>
      </c>
      <c r="I307" t="s">
        <v>30</v>
      </c>
      <c r="J307" t="s">
        <v>46</v>
      </c>
      <c r="L307" s="1">
        <v>45870</v>
      </c>
      <c r="M307" s="1">
        <v>44652</v>
      </c>
      <c r="O307">
        <v>19606009</v>
      </c>
      <c r="P307" t="s">
        <v>32</v>
      </c>
      <c r="Q307" t="s">
        <v>42</v>
      </c>
      <c r="R307">
        <v>8192</v>
      </c>
      <c r="S307" t="s">
        <v>34</v>
      </c>
      <c r="T307" t="s">
        <v>35</v>
      </c>
      <c r="U307">
        <v>1.25</v>
      </c>
      <c r="V307" t="s">
        <v>36</v>
      </c>
      <c r="W307" s="1">
        <v>45870</v>
      </c>
      <c r="X307">
        <v>2025</v>
      </c>
    </row>
    <row r="308" spans="1:24" x14ac:dyDescent="0.25">
      <c r="A308" s="1">
        <v>45888</v>
      </c>
      <c r="B308" t="s">
        <v>1089</v>
      </c>
      <c r="C308" t="s">
        <v>1090</v>
      </c>
      <c r="E308" t="s">
        <v>1091</v>
      </c>
      <c r="F308" t="s">
        <v>74</v>
      </c>
      <c r="G308" t="s">
        <v>28</v>
      </c>
      <c r="H308" t="s">
        <v>29</v>
      </c>
      <c r="I308" t="s">
        <v>61</v>
      </c>
      <c r="J308" t="s">
        <v>75</v>
      </c>
      <c r="L308" s="1">
        <v>45870</v>
      </c>
      <c r="M308" s="1">
        <v>45627</v>
      </c>
      <c r="O308">
        <v>9213293</v>
      </c>
      <c r="P308" t="s">
        <v>32</v>
      </c>
      <c r="Q308" t="s">
        <v>252</v>
      </c>
      <c r="R308">
        <v>8192</v>
      </c>
      <c r="S308" t="s">
        <v>34</v>
      </c>
      <c r="T308" t="s">
        <v>35</v>
      </c>
      <c r="U308">
        <v>29.83</v>
      </c>
      <c r="V308" t="s">
        <v>36</v>
      </c>
      <c r="W308" s="1">
        <v>45560</v>
      </c>
      <c r="X308">
        <v>2025</v>
      </c>
    </row>
    <row r="309" spans="1:24" x14ac:dyDescent="0.25">
      <c r="A309" s="1">
        <v>45888</v>
      </c>
      <c r="B309" t="s">
        <v>1092</v>
      </c>
      <c r="C309" t="s">
        <v>1093</v>
      </c>
      <c r="E309" t="s">
        <v>1094</v>
      </c>
      <c r="F309" t="s">
        <v>27</v>
      </c>
      <c r="G309" t="s">
        <v>28</v>
      </c>
      <c r="H309" t="s">
        <v>29</v>
      </c>
      <c r="I309" t="s">
        <v>30</v>
      </c>
      <c r="J309" t="s">
        <v>55</v>
      </c>
      <c r="L309" s="1">
        <v>45870</v>
      </c>
      <c r="M309" s="1">
        <v>45323</v>
      </c>
      <c r="O309">
        <v>16509456</v>
      </c>
      <c r="P309" t="s">
        <v>32</v>
      </c>
      <c r="Q309" t="s">
        <v>107</v>
      </c>
      <c r="R309">
        <v>8192</v>
      </c>
      <c r="S309" t="s">
        <v>51</v>
      </c>
      <c r="T309" t="s">
        <v>35</v>
      </c>
      <c r="U309">
        <v>31.92</v>
      </c>
      <c r="V309" t="s">
        <v>36</v>
      </c>
      <c r="W309" s="1">
        <v>45294</v>
      </c>
      <c r="X309">
        <v>2025</v>
      </c>
    </row>
    <row r="310" spans="1:24" x14ac:dyDescent="0.25">
      <c r="A310" s="1">
        <v>45888</v>
      </c>
      <c r="B310" t="s">
        <v>1095</v>
      </c>
      <c r="C310" t="s">
        <v>1096</v>
      </c>
      <c r="E310" t="s">
        <v>1097</v>
      </c>
      <c r="F310" t="s">
        <v>27</v>
      </c>
      <c r="G310" t="s">
        <v>28</v>
      </c>
      <c r="H310" t="s">
        <v>29</v>
      </c>
      <c r="I310" t="s">
        <v>30</v>
      </c>
      <c r="J310" t="s">
        <v>50</v>
      </c>
      <c r="L310" s="1">
        <v>45870</v>
      </c>
      <c r="M310" s="1">
        <v>45658</v>
      </c>
      <c r="O310">
        <v>17886092</v>
      </c>
      <c r="P310" t="s">
        <v>32</v>
      </c>
      <c r="Q310" t="s">
        <v>102</v>
      </c>
      <c r="R310">
        <v>8192</v>
      </c>
      <c r="S310" t="s">
        <v>51</v>
      </c>
      <c r="T310" t="s">
        <v>35</v>
      </c>
      <c r="U310">
        <v>2.5</v>
      </c>
      <c r="V310" t="s">
        <v>36</v>
      </c>
      <c r="W310" s="1">
        <v>45258</v>
      </c>
      <c r="X310">
        <v>2025</v>
      </c>
    </row>
    <row r="311" spans="1:24" x14ac:dyDescent="0.25">
      <c r="A311" s="1">
        <v>45888</v>
      </c>
      <c r="B311" t="s">
        <v>1098</v>
      </c>
      <c r="C311" t="s">
        <v>1099</v>
      </c>
      <c r="E311" t="s">
        <v>1100</v>
      </c>
      <c r="F311" t="s">
        <v>27</v>
      </c>
      <c r="G311" t="s">
        <v>28</v>
      </c>
      <c r="H311" t="s">
        <v>29</v>
      </c>
      <c r="I311" t="s">
        <v>30</v>
      </c>
      <c r="J311" t="s">
        <v>31</v>
      </c>
      <c r="L311" s="1">
        <v>45870</v>
      </c>
      <c r="M311" s="1">
        <v>45474</v>
      </c>
      <c r="O311">
        <v>18710070</v>
      </c>
      <c r="P311" t="s">
        <v>32</v>
      </c>
      <c r="Q311" t="s">
        <v>293</v>
      </c>
      <c r="R311">
        <v>8192</v>
      </c>
      <c r="S311" t="s">
        <v>34</v>
      </c>
      <c r="T311" t="s">
        <v>35</v>
      </c>
      <c r="U311">
        <v>33.17</v>
      </c>
      <c r="V311" t="s">
        <v>36</v>
      </c>
      <c r="W311" s="1">
        <v>45462</v>
      </c>
      <c r="X311">
        <v>2025</v>
      </c>
    </row>
    <row r="312" spans="1:24" x14ac:dyDescent="0.25">
      <c r="A312" s="1">
        <v>45888</v>
      </c>
      <c r="B312" t="s">
        <v>1101</v>
      </c>
      <c r="C312" t="s">
        <v>1102</v>
      </c>
      <c r="E312" t="s">
        <v>1103</v>
      </c>
      <c r="F312" t="s">
        <v>27</v>
      </c>
      <c r="G312" t="s">
        <v>28</v>
      </c>
      <c r="H312" t="s">
        <v>29</v>
      </c>
      <c r="I312" t="s">
        <v>40</v>
      </c>
      <c r="J312" t="s">
        <v>202</v>
      </c>
      <c r="L312" s="1">
        <v>45870</v>
      </c>
      <c r="M312" s="1">
        <v>44197</v>
      </c>
      <c r="O312">
        <v>19606009</v>
      </c>
      <c r="P312" t="s">
        <v>32</v>
      </c>
      <c r="Q312" t="s">
        <v>42</v>
      </c>
      <c r="R312">
        <v>8192</v>
      </c>
      <c r="S312" t="s">
        <v>34</v>
      </c>
      <c r="T312" t="s">
        <v>35</v>
      </c>
      <c r="U312">
        <v>1.25</v>
      </c>
      <c r="V312" t="s">
        <v>36</v>
      </c>
      <c r="W312" s="1">
        <v>45870</v>
      </c>
      <c r="X312">
        <v>2025</v>
      </c>
    </row>
    <row r="313" spans="1:24" x14ac:dyDescent="0.25">
      <c r="A313" s="1">
        <v>45888</v>
      </c>
      <c r="B313" t="s">
        <v>1104</v>
      </c>
      <c r="C313" t="s">
        <v>1105</v>
      </c>
      <c r="E313" t="s">
        <v>1106</v>
      </c>
      <c r="F313" t="s">
        <v>27</v>
      </c>
      <c r="G313" t="s">
        <v>28</v>
      </c>
      <c r="H313" t="s">
        <v>127</v>
      </c>
      <c r="I313" t="s">
        <v>30</v>
      </c>
      <c r="J313" t="s">
        <v>128</v>
      </c>
      <c r="L313" s="1">
        <v>45870</v>
      </c>
      <c r="M313" s="1">
        <v>45200</v>
      </c>
      <c r="O313">
        <v>17528908</v>
      </c>
      <c r="P313" t="s">
        <v>32</v>
      </c>
      <c r="Q313" t="s">
        <v>33</v>
      </c>
      <c r="R313">
        <v>8192</v>
      </c>
      <c r="S313" t="s">
        <v>51</v>
      </c>
      <c r="T313" t="s">
        <v>35</v>
      </c>
      <c r="U313">
        <v>31.92</v>
      </c>
      <c r="V313" t="s">
        <v>36</v>
      </c>
      <c r="W313" s="1">
        <v>45118</v>
      </c>
      <c r="X313">
        <v>2025</v>
      </c>
    </row>
    <row r="314" spans="1:24" x14ac:dyDescent="0.25">
      <c r="A314" s="1">
        <v>45888</v>
      </c>
      <c r="B314" t="s">
        <v>1107</v>
      </c>
      <c r="C314" t="s">
        <v>1108</v>
      </c>
      <c r="E314" t="s">
        <v>1109</v>
      </c>
      <c r="F314" t="s">
        <v>74</v>
      </c>
      <c r="G314" t="s">
        <v>28</v>
      </c>
      <c r="H314" t="s">
        <v>29</v>
      </c>
      <c r="I314" t="s">
        <v>61</v>
      </c>
      <c r="J314" t="s">
        <v>75</v>
      </c>
      <c r="L314" s="1">
        <v>45870</v>
      </c>
      <c r="M314" s="1">
        <v>45383</v>
      </c>
      <c r="O314">
        <v>8307933</v>
      </c>
      <c r="P314" t="s">
        <v>32</v>
      </c>
      <c r="Q314" t="s">
        <v>63</v>
      </c>
      <c r="R314">
        <v>8192</v>
      </c>
      <c r="S314" t="s">
        <v>34</v>
      </c>
      <c r="T314" t="s">
        <v>35</v>
      </c>
      <c r="U314">
        <v>29.83</v>
      </c>
      <c r="V314" t="s">
        <v>36</v>
      </c>
      <c r="W314" s="1">
        <v>45343</v>
      </c>
      <c r="X314">
        <v>2025</v>
      </c>
    </row>
    <row r="315" spans="1:24" x14ac:dyDescent="0.25">
      <c r="A315" s="1">
        <v>45888</v>
      </c>
      <c r="B315" t="s">
        <v>1110</v>
      </c>
      <c r="C315" t="s">
        <v>1111</v>
      </c>
      <c r="E315" t="s">
        <v>1112</v>
      </c>
      <c r="F315" t="s">
        <v>27</v>
      </c>
      <c r="G315" t="s">
        <v>28</v>
      </c>
      <c r="H315" t="s">
        <v>29</v>
      </c>
      <c r="I315" t="s">
        <v>30</v>
      </c>
      <c r="J315" t="s">
        <v>46</v>
      </c>
      <c r="L315" s="1">
        <v>45870</v>
      </c>
      <c r="M315" s="1">
        <v>44927</v>
      </c>
      <c r="O315">
        <v>19606009</v>
      </c>
      <c r="P315" t="s">
        <v>32</v>
      </c>
      <c r="Q315" t="s">
        <v>42</v>
      </c>
      <c r="R315">
        <v>8192</v>
      </c>
      <c r="S315" t="s">
        <v>34</v>
      </c>
      <c r="T315" t="s">
        <v>35</v>
      </c>
      <c r="U315">
        <v>1.25</v>
      </c>
      <c r="V315" t="s">
        <v>36</v>
      </c>
      <c r="W315" s="1">
        <v>45839</v>
      </c>
      <c r="X315">
        <v>2025</v>
      </c>
    </row>
    <row r="316" spans="1:24" x14ac:dyDescent="0.25">
      <c r="A316" s="1">
        <v>45888</v>
      </c>
      <c r="B316" t="s">
        <v>1113</v>
      </c>
      <c r="C316" t="s">
        <v>1114</v>
      </c>
      <c r="E316" t="s">
        <v>1115</v>
      </c>
      <c r="F316" t="s">
        <v>27</v>
      </c>
      <c r="G316" t="s">
        <v>28</v>
      </c>
      <c r="H316" t="s">
        <v>29</v>
      </c>
      <c r="I316" t="s">
        <v>30</v>
      </c>
      <c r="J316" t="s">
        <v>46</v>
      </c>
      <c r="L316" s="1">
        <v>45870</v>
      </c>
      <c r="M316" s="1">
        <v>45292</v>
      </c>
      <c r="O316">
        <v>17886092</v>
      </c>
      <c r="P316" t="s">
        <v>32</v>
      </c>
      <c r="Q316" t="s">
        <v>102</v>
      </c>
      <c r="R316">
        <v>8192</v>
      </c>
      <c r="S316" t="s">
        <v>51</v>
      </c>
      <c r="T316" t="s">
        <v>35</v>
      </c>
      <c r="U316">
        <v>2.5</v>
      </c>
      <c r="V316" t="s">
        <v>36</v>
      </c>
      <c r="W316" s="1">
        <v>45236</v>
      </c>
      <c r="X316">
        <v>2025</v>
      </c>
    </row>
    <row r="317" spans="1:24" x14ac:dyDescent="0.25">
      <c r="A317" s="1">
        <v>45888</v>
      </c>
      <c r="B317" t="s">
        <v>1116</v>
      </c>
      <c r="C317" t="s">
        <v>1117</v>
      </c>
      <c r="E317" t="s">
        <v>1118</v>
      </c>
      <c r="F317" t="s">
        <v>27</v>
      </c>
      <c r="G317" t="s">
        <v>28</v>
      </c>
      <c r="H317" t="s">
        <v>29</v>
      </c>
      <c r="I317" t="s">
        <v>30</v>
      </c>
      <c r="J317" t="s">
        <v>50</v>
      </c>
      <c r="L317" s="1">
        <v>45870</v>
      </c>
      <c r="M317" s="1">
        <v>45658</v>
      </c>
      <c r="O317">
        <v>19606009</v>
      </c>
      <c r="P317" t="s">
        <v>32</v>
      </c>
      <c r="Q317" t="s">
        <v>42</v>
      </c>
      <c r="R317">
        <v>8192</v>
      </c>
      <c r="S317" t="s">
        <v>34</v>
      </c>
      <c r="T317" t="s">
        <v>35</v>
      </c>
      <c r="U317">
        <v>1.25</v>
      </c>
      <c r="V317" t="s">
        <v>36</v>
      </c>
      <c r="W317" s="1">
        <v>45839</v>
      </c>
      <c r="X317">
        <v>2025</v>
      </c>
    </row>
    <row r="318" spans="1:24" x14ac:dyDescent="0.25">
      <c r="A318" s="1">
        <v>45888</v>
      </c>
      <c r="B318" t="s">
        <v>1119</v>
      </c>
      <c r="C318" t="s">
        <v>1120</v>
      </c>
      <c r="E318" t="s">
        <v>1121</v>
      </c>
      <c r="F318" t="s">
        <v>27</v>
      </c>
      <c r="G318" t="s">
        <v>28</v>
      </c>
      <c r="H318" t="s">
        <v>29</v>
      </c>
      <c r="I318" t="s">
        <v>30</v>
      </c>
      <c r="J318" t="s">
        <v>46</v>
      </c>
      <c r="L318" s="1">
        <v>45870</v>
      </c>
      <c r="M318" s="1">
        <v>45292</v>
      </c>
      <c r="O318">
        <v>17886092</v>
      </c>
      <c r="P318" t="s">
        <v>32</v>
      </c>
      <c r="Q318" t="s">
        <v>102</v>
      </c>
      <c r="R318">
        <v>8192</v>
      </c>
      <c r="S318" t="s">
        <v>51</v>
      </c>
      <c r="T318" t="s">
        <v>35</v>
      </c>
      <c r="U318">
        <v>2.5</v>
      </c>
      <c r="V318" t="s">
        <v>36</v>
      </c>
      <c r="W318" s="1">
        <v>45244</v>
      </c>
      <c r="X318">
        <v>2025</v>
      </c>
    </row>
    <row r="319" spans="1:24" x14ac:dyDescent="0.25">
      <c r="A319" s="1">
        <v>45888</v>
      </c>
      <c r="B319" t="s">
        <v>1122</v>
      </c>
      <c r="C319" t="s">
        <v>1123</v>
      </c>
      <c r="E319" t="s">
        <v>1124</v>
      </c>
      <c r="F319" t="s">
        <v>27</v>
      </c>
      <c r="G319" t="s">
        <v>28</v>
      </c>
      <c r="H319" t="s">
        <v>29</v>
      </c>
      <c r="I319" t="s">
        <v>30</v>
      </c>
      <c r="J319" t="s">
        <v>50</v>
      </c>
      <c r="L319" s="1">
        <v>45870</v>
      </c>
      <c r="M319" s="1">
        <v>45413</v>
      </c>
      <c r="O319">
        <v>17886092</v>
      </c>
      <c r="P319" t="s">
        <v>32</v>
      </c>
      <c r="Q319" t="s">
        <v>102</v>
      </c>
      <c r="R319">
        <v>8192</v>
      </c>
      <c r="S319" t="s">
        <v>34</v>
      </c>
      <c r="T319" t="s">
        <v>35</v>
      </c>
      <c r="U319">
        <v>3.75</v>
      </c>
      <c r="V319" t="s">
        <v>36</v>
      </c>
      <c r="W319" s="1">
        <v>45371</v>
      </c>
      <c r="X319">
        <v>2025</v>
      </c>
    </row>
    <row r="320" spans="1:24" x14ac:dyDescent="0.25">
      <c r="A320" s="1">
        <v>45888</v>
      </c>
      <c r="B320" t="s">
        <v>1125</v>
      </c>
      <c r="C320" t="s">
        <v>1126</v>
      </c>
      <c r="E320" t="s">
        <v>1127</v>
      </c>
      <c r="F320" t="s">
        <v>27</v>
      </c>
      <c r="G320" t="s">
        <v>28</v>
      </c>
      <c r="H320" t="s">
        <v>29</v>
      </c>
      <c r="I320" t="s">
        <v>30</v>
      </c>
      <c r="J320" t="s">
        <v>31</v>
      </c>
      <c r="L320" s="1">
        <v>45870</v>
      </c>
      <c r="M320" s="1">
        <v>45292</v>
      </c>
      <c r="O320">
        <v>17886092</v>
      </c>
      <c r="P320" t="s">
        <v>32</v>
      </c>
      <c r="Q320" t="s">
        <v>102</v>
      </c>
      <c r="R320">
        <v>8192</v>
      </c>
      <c r="S320" t="s">
        <v>51</v>
      </c>
      <c r="T320" t="s">
        <v>35</v>
      </c>
      <c r="U320">
        <v>2.5</v>
      </c>
      <c r="V320" t="s">
        <v>36</v>
      </c>
      <c r="W320" s="1">
        <v>45264</v>
      </c>
      <c r="X320">
        <v>2025</v>
      </c>
    </row>
    <row r="321" spans="1:24" x14ac:dyDescent="0.25">
      <c r="A321" s="1">
        <v>45888</v>
      </c>
      <c r="B321" t="s">
        <v>1128</v>
      </c>
      <c r="C321" t="s">
        <v>1129</v>
      </c>
      <c r="E321" t="s">
        <v>1130</v>
      </c>
      <c r="F321" t="s">
        <v>27</v>
      </c>
      <c r="G321" t="s">
        <v>28</v>
      </c>
      <c r="H321" t="s">
        <v>29</v>
      </c>
      <c r="I321" t="s">
        <v>30</v>
      </c>
      <c r="J321" t="s">
        <v>674</v>
      </c>
      <c r="L321" s="1">
        <v>45870</v>
      </c>
      <c r="M321" s="1">
        <v>45323</v>
      </c>
      <c r="O321">
        <v>17528908</v>
      </c>
      <c r="P321" t="s">
        <v>32</v>
      </c>
      <c r="Q321" t="s">
        <v>33</v>
      </c>
      <c r="R321">
        <v>8192</v>
      </c>
      <c r="S321" t="s">
        <v>51</v>
      </c>
      <c r="T321" t="s">
        <v>35</v>
      </c>
      <c r="U321">
        <v>31.92</v>
      </c>
      <c r="V321" t="s">
        <v>36</v>
      </c>
      <c r="W321" s="1">
        <v>45308</v>
      </c>
      <c r="X321">
        <v>2025</v>
      </c>
    </row>
    <row r="322" spans="1:24" x14ac:dyDescent="0.25">
      <c r="A322" s="1">
        <v>45888</v>
      </c>
      <c r="B322" t="s">
        <v>1131</v>
      </c>
      <c r="C322" t="s">
        <v>1132</v>
      </c>
      <c r="E322" t="s">
        <v>1133</v>
      </c>
      <c r="F322" t="s">
        <v>27</v>
      </c>
      <c r="G322" t="s">
        <v>28</v>
      </c>
      <c r="H322" t="s">
        <v>29</v>
      </c>
      <c r="I322" t="s">
        <v>30</v>
      </c>
      <c r="J322" t="s">
        <v>1134</v>
      </c>
      <c r="L322" s="1">
        <v>45870</v>
      </c>
      <c r="M322" s="1">
        <v>45323</v>
      </c>
      <c r="O322">
        <v>8307933</v>
      </c>
      <c r="P322" t="s">
        <v>32</v>
      </c>
      <c r="Q322" t="s">
        <v>63</v>
      </c>
      <c r="R322">
        <v>8192</v>
      </c>
      <c r="S322" t="s">
        <v>51</v>
      </c>
      <c r="T322" t="s">
        <v>35</v>
      </c>
      <c r="U322">
        <v>31.92</v>
      </c>
      <c r="V322" t="s">
        <v>36</v>
      </c>
      <c r="W322" s="1">
        <v>45315</v>
      </c>
      <c r="X322">
        <v>2025</v>
      </c>
    </row>
    <row r="323" spans="1:24" x14ac:dyDescent="0.25">
      <c r="A323" s="1">
        <v>45888</v>
      </c>
      <c r="B323" t="s">
        <v>1135</v>
      </c>
      <c r="C323" t="s">
        <v>1136</v>
      </c>
      <c r="D323" t="s">
        <v>1137</v>
      </c>
      <c r="E323" t="s">
        <v>1138</v>
      </c>
      <c r="F323" t="s">
        <v>27</v>
      </c>
      <c r="G323" t="s">
        <v>28</v>
      </c>
      <c r="H323" t="s">
        <v>29</v>
      </c>
      <c r="I323" t="s">
        <v>273</v>
      </c>
      <c r="J323" t="s">
        <v>31</v>
      </c>
      <c r="L323" s="1">
        <v>45870</v>
      </c>
      <c r="M323" s="1">
        <v>43678</v>
      </c>
      <c r="O323">
        <v>17528908</v>
      </c>
      <c r="P323" t="s">
        <v>32</v>
      </c>
      <c r="Q323" t="s">
        <v>33</v>
      </c>
      <c r="R323">
        <v>8192</v>
      </c>
      <c r="S323" t="s">
        <v>51</v>
      </c>
      <c r="T323" t="s">
        <v>35</v>
      </c>
      <c r="U323">
        <v>31.92</v>
      </c>
      <c r="V323" t="s">
        <v>36</v>
      </c>
      <c r="W323" s="1">
        <v>45170</v>
      </c>
      <c r="X323">
        <v>2025</v>
      </c>
    </row>
    <row r="324" spans="1:24" x14ac:dyDescent="0.25">
      <c r="A324" s="1">
        <v>45888</v>
      </c>
      <c r="B324" t="s">
        <v>1139</v>
      </c>
      <c r="C324" t="s">
        <v>1140</v>
      </c>
      <c r="E324" t="s">
        <v>1141</v>
      </c>
      <c r="F324" t="s">
        <v>27</v>
      </c>
      <c r="G324" t="s">
        <v>28</v>
      </c>
      <c r="H324" t="s">
        <v>29</v>
      </c>
      <c r="I324" t="s">
        <v>30</v>
      </c>
      <c r="J324" t="s">
        <v>31</v>
      </c>
      <c r="L324" s="1">
        <v>45870</v>
      </c>
      <c r="M324" s="1">
        <v>45261</v>
      </c>
      <c r="O324">
        <v>17528908</v>
      </c>
      <c r="P324" t="s">
        <v>32</v>
      </c>
      <c r="Q324" t="s">
        <v>33</v>
      </c>
      <c r="R324">
        <v>8192</v>
      </c>
      <c r="S324" t="s">
        <v>51</v>
      </c>
      <c r="T324" t="s">
        <v>35</v>
      </c>
      <c r="U324">
        <v>31.92</v>
      </c>
      <c r="V324" t="s">
        <v>36</v>
      </c>
      <c r="W324" s="1">
        <v>45234</v>
      </c>
      <c r="X324">
        <v>2025</v>
      </c>
    </row>
    <row r="325" spans="1:24" x14ac:dyDescent="0.25">
      <c r="A325" s="1">
        <v>45888</v>
      </c>
      <c r="B325" t="s">
        <v>1142</v>
      </c>
      <c r="C325" t="s">
        <v>1143</v>
      </c>
      <c r="E325" t="s">
        <v>1144</v>
      </c>
      <c r="F325" t="s">
        <v>1145</v>
      </c>
      <c r="G325" t="s">
        <v>1146</v>
      </c>
      <c r="H325" t="s">
        <v>29</v>
      </c>
      <c r="I325" t="s">
        <v>61</v>
      </c>
      <c r="J325" t="s">
        <v>1147</v>
      </c>
      <c r="L325" s="1">
        <v>45717</v>
      </c>
      <c r="M325" s="1">
        <v>45717</v>
      </c>
      <c r="N325" s="1">
        <v>45869</v>
      </c>
      <c r="O325">
        <v>21104854</v>
      </c>
      <c r="P325" t="s">
        <v>32</v>
      </c>
      <c r="Q325" t="s">
        <v>335</v>
      </c>
      <c r="R325">
        <v>8192</v>
      </c>
      <c r="S325" t="s">
        <v>34</v>
      </c>
      <c r="T325" t="s">
        <v>35</v>
      </c>
      <c r="U325">
        <v>-365</v>
      </c>
      <c r="V325" t="s">
        <v>36</v>
      </c>
      <c r="W325" s="1">
        <v>45610</v>
      </c>
      <c r="X325">
        <v>2025</v>
      </c>
    </row>
    <row r="326" spans="1:24" x14ac:dyDescent="0.25">
      <c r="A326" s="1">
        <v>45888</v>
      </c>
      <c r="B326" t="s">
        <v>1142</v>
      </c>
      <c r="C326" t="s">
        <v>1143</v>
      </c>
      <c r="E326" t="s">
        <v>1144</v>
      </c>
      <c r="F326" t="s">
        <v>1145</v>
      </c>
      <c r="G326" t="s">
        <v>1148</v>
      </c>
      <c r="H326" t="s">
        <v>29</v>
      </c>
      <c r="I326" t="s">
        <v>61</v>
      </c>
      <c r="J326" t="s">
        <v>1147</v>
      </c>
      <c r="L326" s="1">
        <v>45717</v>
      </c>
      <c r="M326" s="1">
        <v>45717</v>
      </c>
      <c r="N326" s="1">
        <v>45869</v>
      </c>
      <c r="O326">
        <v>21104854</v>
      </c>
      <c r="P326" t="s">
        <v>32</v>
      </c>
      <c r="Q326" t="s">
        <v>335</v>
      </c>
      <c r="R326">
        <v>8192</v>
      </c>
      <c r="S326" t="s">
        <v>34</v>
      </c>
      <c r="T326" t="s">
        <v>35</v>
      </c>
      <c r="U326">
        <v>182.5</v>
      </c>
      <c r="V326" t="s">
        <v>36</v>
      </c>
      <c r="W326" s="1">
        <v>45610</v>
      </c>
      <c r="X326">
        <v>2025</v>
      </c>
    </row>
    <row r="327" spans="1:24" x14ac:dyDescent="0.25">
      <c r="A327" s="1">
        <v>45888</v>
      </c>
      <c r="B327" t="s">
        <v>1149</v>
      </c>
      <c r="C327" t="s">
        <v>1150</v>
      </c>
      <c r="E327" t="s">
        <v>1151</v>
      </c>
      <c r="F327" t="s">
        <v>27</v>
      </c>
      <c r="G327" t="s">
        <v>28</v>
      </c>
      <c r="H327" t="s">
        <v>29</v>
      </c>
      <c r="I327" t="s">
        <v>30</v>
      </c>
      <c r="J327" t="s">
        <v>1134</v>
      </c>
      <c r="L327" s="1">
        <v>45870</v>
      </c>
      <c r="M327" s="1">
        <v>45292</v>
      </c>
      <c r="O327">
        <v>8971826</v>
      </c>
      <c r="P327" t="s">
        <v>32</v>
      </c>
      <c r="Q327" t="s">
        <v>138</v>
      </c>
      <c r="R327">
        <v>8192</v>
      </c>
      <c r="S327" t="s">
        <v>51</v>
      </c>
      <c r="T327" t="s">
        <v>35</v>
      </c>
      <c r="U327">
        <v>31.92</v>
      </c>
      <c r="V327" t="s">
        <v>36</v>
      </c>
      <c r="W327" s="1">
        <v>45264</v>
      </c>
      <c r="X327">
        <v>2025</v>
      </c>
    </row>
    <row r="328" spans="1:24" x14ac:dyDescent="0.25">
      <c r="A328" s="1">
        <v>45888</v>
      </c>
      <c r="B328" t="s">
        <v>1152</v>
      </c>
      <c r="C328" t="s">
        <v>1153</v>
      </c>
      <c r="E328" t="s">
        <v>1154</v>
      </c>
      <c r="F328" t="s">
        <v>27</v>
      </c>
      <c r="G328" t="s">
        <v>28</v>
      </c>
      <c r="H328" t="s">
        <v>29</v>
      </c>
      <c r="I328" t="s">
        <v>30</v>
      </c>
      <c r="J328" t="s">
        <v>46</v>
      </c>
      <c r="L328" s="1">
        <v>45870</v>
      </c>
      <c r="M328" s="1">
        <v>45292</v>
      </c>
      <c r="O328">
        <v>17886092</v>
      </c>
      <c r="P328" t="s">
        <v>32</v>
      </c>
      <c r="Q328" t="s">
        <v>102</v>
      </c>
      <c r="R328">
        <v>8192</v>
      </c>
      <c r="S328" t="s">
        <v>51</v>
      </c>
      <c r="T328" t="s">
        <v>35</v>
      </c>
      <c r="U328">
        <v>2.5</v>
      </c>
      <c r="V328" t="s">
        <v>36</v>
      </c>
      <c r="W328" s="1">
        <v>45237</v>
      </c>
      <c r="X328">
        <v>2025</v>
      </c>
    </row>
    <row r="329" spans="1:24" x14ac:dyDescent="0.25">
      <c r="A329" s="1">
        <v>45888</v>
      </c>
      <c r="B329" t="s">
        <v>1155</v>
      </c>
      <c r="C329" t="s">
        <v>1156</v>
      </c>
      <c r="E329" t="s">
        <v>1157</v>
      </c>
      <c r="F329" t="s">
        <v>27</v>
      </c>
      <c r="G329" t="s">
        <v>28</v>
      </c>
      <c r="H329" t="s">
        <v>29</v>
      </c>
      <c r="I329" t="s">
        <v>30</v>
      </c>
      <c r="J329" t="s">
        <v>1134</v>
      </c>
      <c r="L329" s="1">
        <v>45870</v>
      </c>
      <c r="M329" s="1">
        <v>45292</v>
      </c>
      <c r="O329">
        <v>8971826</v>
      </c>
      <c r="P329" t="s">
        <v>32</v>
      </c>
      <c r="Q329" t="s">
        <v>138</v>
      </c>
      <c r="R329">
        <v>8192</v>
      </c>
      <c r="S329" t="s">
        <v>51</v>
      </c>
      <c r="T329" t="s">
        <v>35</v>
      </c>
      <c r="U329">
        <v>31.92</v>
      </c>
      <c r="V329" t="s">
        <v>36</v>
      </c>
      <c r="W329" s="1">
        <v>45264</v>
      </c>
      <c r="X329">
        <v>2025</v>
      </c>
    </row>
    <row r="330" spans="1:24" x14ac:dyDescent="0.25">
      <c r="A330" s="1">
        <v>45888</v>
      </c>
      <c r="B330" t="s">
        <v>1158</v>
      </c>
      <c r="C330" t="s">
        <v>1159</v>
      </c>
      <c r="E330" t="s">
        <v>1160</v>
      </c>
      <c r="F330" t="s">
        <v>27</v>
      </c>
      <c r="G330" t="s">
        <v>28</v>
      </c>
      <c r="H330" t="s">
        <v>29</v>
      </c>
      <c r="I330" t="s">
        <v>30</v>
      </c>
      <c r="J330" t="s">
        <v>46</v>
      </c>
      <c r="L330" s="1">
        <v>45870</v>
      </c>
      <c r="M330" s="1">
        <v>44562</v>
      </c>
      <c r="O330">
        <v>19606009</v>
      </c>
      <c r="P330" t="s">
        <v>32</v>
      </c>
      <c r="Q330" t="s">
        <v>42</v>
      </c>
      <c r="R330">
        <v>8192</v>
      </c>
      <c r="S330" t="s">
        <v>34</v>
      </c>
      <c r="T330" t="s">
        <v>35</v>
      </c>
      <c r="U330">
        <v>1.25</v>
      </c>
      <c r="V330" t="s">
        <v>36</v>
      </c>
      <c r="W330" s="1">
        <v>45809</v>
      </c>
      <c r="X330">
        <v>2025</v>
      </c>
    </row>
    <row r="331" spans="1:24" x14ac:dyDescent="0.25">
      <c r="A331" s="1">
        <v>45888</v>
      </c>
      <c r="B331" t="s">
        <v>1161</v>
      </c>
      <c r="C331" t="s">
        <v>1162</v>
      </c>
      <c r="E331" t="s">
        <v>1163</v>
      </c>
      <c r="F331" t="s">
        <v>27</v>
      </c>
      <c r="G331" t="s">
        <v>28</v>
      </c>
      <c r="H331" t="s">
        <v>29</v>
      </c>
      <c r="I331" t="s">
        <v>30</v>
      </c>
      <c r="J331" t="s">
        <v>46</v>
      </c>
      <c r="L331" s="1">
        <v>45870</v>
      </c>
      <c r="M331" s="1">
        <v>44562</v>
      </c>
      <c r="O331">
        <v>19606009</v>
      </c>
      <c r="P331" t="s">
        <v>32</v>
      </c>
      <c r="Q331" t="s">
        <v>42</v>
      </c>
      <c r="R331">
        <v>8192</v>
      </c>
      <c r="S331" t="s">
        <v>34</v>
      </c>
      <c r="T331" t="s">
        <v>35</v>
      </c>
      <c r="U331">
        <v>1.25</v>
      </c>
      <c r="V331" t="s">
        <v>36</v>
      </c>
      <c r="W331" s="1">
        <v>45809</v>
      </c>
      <c r="X331">
        <v>2025</v>
      </c>
    </row>
    <row r="332" spans="1:24" x14ac:dyDescent="0.25">
      <c r="A332" s="1">
        <v>45888</v>
      </c>
      <c r="B332" t="s">
        <v>1164</v>
      </c>
      <c r="C332" t="s">
        <v>1165</v>
      </c>
      <c r="E332" t="s">
        <v>1166</v>
      </c>
      <c r="F332" t="s">
        <v>27</v>
      </c>
      <c r="G332" t="s">
        <v>28</v>
      </c>
      <c r="H332" t="s">
        <v>29</v>
      </c>
      <c r="I332" t="s">
        <v>30</v>
      </c>
      <c r="J332" t="s">
        <v>46</v>
      </c>
      <c r="L332" s="1">
        <v>45870</v>
      </c>
      <c r="M332" s="1">
        <v>45413</v>
      </c>
      <c r="O332">
        <v>17886092</v>
      </c>
      <c r="P332" t="s">
        <v>32</v>
      </c>
      <c r="Q332" t="s">
        <v>102</v>
      </c>
      <c r="R332">
        <v>8192</v>
      </c>
      <c r="S332" t="s">
        <v>34</v>
      </c>
      <c r="T332" t="s">
        <v>35</v>
      </c>
      <c r="U332">
        <v>3.75</v>
      </c>
      <c r="V332" t="s">
        <v>36</v>
      </c>
      <c r="W332" s="1">
        <v>45392</v>
      </c>
      <c r="X332">
        <v>2025</v>
      </c>
    </row>
    <row r="333" spans="1:24" x14ac:dyDescent="0.25">
      <c r="A333" s="1">
        <v>45888</v>
      </c>
      <c r="B333" t="s">
        <v>1167</v>
      </c>
      <c r="C333" t="s">
        <v>1168</v>
      </c>
      <c r="E333" t="s">
        <v>1169</v>
      </c>
      <c r="F333" t="s">
        <v>838</v>
      </c>
      <c r="G333" t="s">
        <v>28</v>
      </c>
      <c r="H333" t="s">
        <v>29</v>
      </c>
      <c r="I333" t="s">
        <v>30</v>
      </c>
      <c r="J333" t="s">
        <v>1170</v>
      </c>
      <c r="L333" s="1">
        <v>45870</v>
      </c>
      <c r="M333" s="1">
        <v>45139</v>
      </c>
      <c r="O333">
        <v>17528908</v>
      </c>
      <c r="P333" t="s">
        <v>32</v>
      </c>
      <c r="Q333" t="s">
        <v>33</v>
      </c>
      <c r="R333">
        <v>8192</v>
      </c>
      <c r="S333" t="s">
        <v>51</v>
      </c>
      <c r="T333" t="s">
        <v>35</v>
      </c>
      <c r="U333">
        <v>28.58</v>
      </c>
      <c r="V333" t="s">
        <v>36</v>
      </c>
      <c r="W333" s="1">
        <v>45134</v>
      </c>
      <c r="X333">
        <v>2025</v>
      </c>
    </row>
    <row r="334" spans="1:24" x14ac:dyDescent="0.25">
      <c r="A334" s="1">
        <v>45888</v>
      </c>
      <c r="B334" t="s">
        <v>1171</v>
      </c>
      <c r="C334" t="s">
        <v>1172</v>
      </c>
      <c r="E334" t="s">
        <v>1173</v>
      </c>
      <c r="F334" t="s">
        <v>27</v>
      </c>
      <c r="G334" t="s">
        <v>28</v>
      </c>
      <c r="H334" t="s">
        <v>29</v>
      </c>
      <c r="I334" t="s">
        <v>30</v>
      </c>
      <c r="J334" t="s">
        <v>55</v>
      </c>
      <c r="L334" s="1">
        <v>45870</v>
      </c>
      <c r="M334" s="1">
        <v>45566</v>
      </c>
      <c r="O334">
        <v>16509456</v>
      </c>
      <c r="P334" t="s">
        <v>32</v>
      </c>
      <c r="Q334" t="s">
        <v>107</v>
      </c>
      <c r="R334">
        <v>8192</v>
      </c>
      <c r="S334" t="s">
        <v>34</v>
      </c>
      <c r="T334" t="s">
        <v>35</v>
      </c>
      <c r="U334">
        <v>33.17</v>
      </c>
      <c r="V334" t="s">
        <v>36</v>
      </c>
      <c r="W334" s="1">
        <v>45552</v>
      </c>
      <c r="X334">
        <v>2025</v>
      </c>
    </row>
    <row r="335" spans="1:24" x14ac:dyDescent="0.25">
      <c r="A335" s="1">
        <v>45888</v>
      </c>
      <c r="B335" t="s">
        <v>1174</v>
      </c>
      <c r="C335" t="s">
        <v>1175</v>
      </c>
      <c r="E335" t="s">
        <v>1176</v>
      </c>
      <c r="F335" t="s">
        <v>27</v>
      </c>
      <c r="G335" t="s">
        <v>28</v>
      </c>
      <c r="H335" t="s">
        <v>29</v>
      </c>
      <c r="I335" t="s">
        <v>30</v>
      </c>
      <c r="J335" t="s">
        <v>1177</v>
      </c>
      <c r="L335" s="1">
        <v>45870</v>
      </c>
      <c r="M335" s="1">
        <v>45474</v>
      </c>
      <c r="O335">
        <v>19278370</v>
      </c>
      <c r="P335" t="s">
        <v>32</v>
      </c>
      <c r="Q335" t="s">
        <v>1054</v>
      </c>
      <c r="R335">
        <v>8192</v>
      </c>
      <c r="S335" t="s">
        <v>34</v>
      </c>
      <c r="T335" t="s">
        <v>35</v>
      </c>
      <c r="U335">
        <v>33.17</v>
      </c>
      <c r="V335" t="s">
        <v>36</v>
      </c>
      <c r="W335" s="1">
        <v>45444</v>
      </c>
      <c r="X335">
        <v>2025</v>
      </c>
    </row>
    <row r="336" spans="1:24" x14ac:dyDescent="0.25">
      <c r="A336" s="1">
        <v>45888</v>
      </c>
      <c r="B336" t="s">
        <v>1178</v>
      </c>
      <c r="C336" t="s">
        <v>1179</v>
      </c>
      <c r="E336" t="s">
        <v>1180</v>
      </c>
      <c r="F336" t="s">
        <v>74</v>
      </c>
      <c r="G336" t="s">
        <v>28</v>
      </c>
      <c r="H336" t="s">
        <v>29</v>
      </c>
      <c r="I336" t="s">
        <v>61</v>
      </c>
      <c r="J336" t="s">
        <v>75</v>
      </c>
      <c r="L336" s="1">
        <v>45870</v>
      </c>
      <c r="M336" s="1">
        <v>45383</v>
      </c>
      <c r="O336">
        <v>8307933</v>
      </c>
      <c r="P336" t="s">
        <v>32</v>
      </c>
      <c r="Q336" t="s">
        <v>63</v>
      </c>
      <c r="R336">
        <v>8192</v>
      </c>
      <c r="S336" t="s">
        <v>34</v>
      </c>
      <c r="T336" t="s">
        <v>35</v>
      </c>
      <c r="U336">
        <v>29.83</v>
      </c>
      <c r="V336" t="s">
        <v>36</v>
      </c>
      <c r="W336" s="1">
        <v>45366</v>
      </c>
      <c r="X336">
        <v>2025</v>
      </c>
    </row>
    <row r="337" spans="1:24" x14ac:dyDescent="0.25">
      <c r="A337" s="1">
        <v>45888</v>
      </c>
      <c r="B337" t="s">
        <v>1181</v>
      </c>
      <c r="C337" t="s">
        <v>1182</v>
      </c>
      <c r="E337" t="s">
        <v>1183</v>
      </c>
      <c r="F337" t="s">
        <v>27</v>
      </c>
      <c r="G337" t="s">
        <v>28</v>
      </c>
      <c r="H337" t="s">
        <v>29</v>
      </c>
      <c r="I337" t="s">
        <v>30</v>
      </c>
      <c r="J337" t="s">
        <v>46</v>
      </c>
      <c r="L337" s="1">
        <v>45870</v>
      </c>
      <c r="M337" s="1">
        <v>45292</v>
      </c>
      <c r="O337">
        <v>17886092</v>
      </c>
      <c r="P337" t="s">
        <v>32</v>
      </c>
      <c r="Q337" t="s">
        <v>102</v>
      </c>
      <c r="R337">
        <v>8192</v>
      </c>
      <c r="S337" t="s">
        <v>51</v>
      </c>
      <c r="T337" t="s">
        <v>35</v>
      </c>
      <c r="U337">
        <v>2.5</v>
      </c>
      <c r="V337" t="s">
        <v>36</v>
      </c>
      <c r="W337" s="1">
        <v>45244</v>
      </c>
      <c r="X337">
        <v>2025</v>
      </c>
    </row>
    <row r="338" spans="1:24" x14ac:dyDescent="0.25">
      <c r="A338" s="1">
        <v>45888</v>
      </c>
      <c r="B338" t="s">
        <v>1184</v>
      </c>
      <c r="C338" t="s">
        <v>1185</v>
      </c>
      <c r="E338" t="s">
        <v>1186</v>
      </c>
      <c r="F338" t="s">
        <v>27</v>
      </c>
      <c r="G338" t="s">
        <v>28</v>
      </c>
      <c r="H338" t="s">
        <v>127</v>
      </c>
      <c r="I338" t="s">
        <v>30</v>
      </c>
      <c r="J338" t="s">
        <v>128</v>
      </c>
      <c r="L338" s="1">
        <v>45870</v>
      </c>
      <c r="M338" s="1">
        <v>45323</v>
      </c>
      <c r="O338">
        <v>17886092</v>
      </c>
      <c r="P338" t="s">
        <v>32</v>
      </c>
      <c r="Q338" t="s">
        <v>102</v>
      </c>
      <c r="R338">
        <v>8192</v>
      </c>
      <c r="S338" t="s">
        <v>51</v>
      </c>
      <c r="T338" t="s">
        <v>35</v>
      </c>
      <c r="U338">
        <v>2.5</v>
      </c>
      <c r="V338" t="s">
        <v>36</v>
      </c>
      <c r="W338" s="1">
        <v>45310</v>
      </c>
      <c r="X338">
        <v>2025</v>
      </c>
    </row>
    <row r="339" spans="1:24" x14ac:dyDescent="0.25">
      <c r="A339" s="1">
        <v>45888</v>
      </c>
      <c r="B339" t="s">
        <v>1187</v>
      </c>
      <c r="C339" t="s">
        <v>1188</v>
      </c>
      <c r="E339" t="s">
        <v>1189</v>
      </c>
      <c r="F339" t="s">
        <v>234</v>
      </c>
      <c r="G339" t="s">
        <v>28</v>
      </c>
      <c r="H339" t="s">
        <v>29</v>
      </c>
      <c r="I339" t="s">
        <v>235</v>
      </c>
      <c r="J339" t="s">
        <v>1041</v>
      </c>
      <c r="L339" s="1">
        <v>45870</v>
      </c>
      <c r="M339" s="1">
        <v>45566</v>
      </c>
      <c r="O339">
        <v>16378851</v>
      </c>
      <c r="P339" t="s">
        <v>32</v>
      </c>
      <c r="Q339" t="s">
        <v>114</v>
      </c>
      <c r="R339">
        <v>8192</v>
      </c>
      <c r="S339" t="s">
        <v>34</v>
      </c>
      <c r="T339" t="s">
        <v>35</v>
      </c>
      <c r="U339">
        <v>29.83</v>
      </c>
      <c r="V339" t="s">
        <v>36</v>
      </c>
      <c r="W339" s="1">
        <v>45490</v>
      </c>
      <c r="X339">
        <v>2025</v>
      </c>
    </row>
    <row r="340" spans="1:24" x14ac:dyDescent="0.25">
      <c r="A340" s="1">
        <v>45888</v>
      </c>
      <c r="B340" t="s">
        <v>1190</v>
      </c>
      <c r="C340" t="s">
        <v>1191</v>
      </c>
      <c r="E340" t="s">
        <v>1192</v>
      </c>
      <c r="F340" t="s">
        <v>27</v>
      </c>
      <c r="G340" t="s">
        <v>28</v>
      </c>
      <c r="H340" t="s">
        <v>29</v>
      </c>
      <c r="I340" t="s">
        <v>30</v>
      </c>
      <c r="J340" t="s">
        <v>156</v>
      </c>
      <c r="L340" s="1">
        <v>45870</v>
      </c>
      <c r="M340" s="1">
        <v>45566</v>
      </c>
      <c r="O340">
        <v>17886092</v>
      </c>
      <c r="P340" t="s">
        <v>32</v>
      </c>
      <c r="Q340" t="s">
        <v>102</v>
      </c>
      <c r="R340">
        <v>8192</v>
      </c>
      <c r="S340" t="s">
        <v>34</v>
      </c>
      <c r="T340" t="s">
        <v>35</v>
      </c>
      <c r="U340">
        <v>3.75</v>
      </c>
      <c r="V340" t="s">
        <v>36</v>
      </c>
      <c r="W340" s="1">
        <v>45551</v>
      </c>
      <c r="X340">
        <v>2025</v>
      </c>
    </row>
    <row r="341" spans="1:24" x14ac:dyDescent="0.25">
      <c r="A341" s="1">
        <v>45888</v>
      </c>
      <c r="B341" t="s">
        <v>1193</v>
      </c>
      <c r="C341" t="s">
        <v>1194</v>
      </c>
      <c r="E341" t="s">
        <v>1195</v>
      </c>
      <c r="F341" t="s">
        <v>27</v>
      </c>
      <c r="G341" t="s">
        <v>28</v>
      </c>
      <c r="H341" t="s">
        <v>29</v>
      </c>
      <c r="I341" t="s">
        <v>30</v>
      </c>
      <c r="J341" t="s">
        <v>50</v>
      </c>
      <c r="L341" s="1">
        <v>45870</v>
      </c>
      <c r="M341" s="1">
        <v>45292</v>
      </c>
      <c r="O341">
        <v>19606009</v>
      </c>
      <c r="P341" t="s">
        <v>32</v>
      </c>
      <c r="Q341" t="s">
        <v>42</v>
      </c>
      <c r="R341">
        <v>8192</v>
      </c>
      <c r="S341" t="s">
        <v>51</v>
      </c>
      <c r="T341" t="s">
        <v>35</v>
      </c>
      <c r="U341">
        <v>2.5</v>
      </c>
      <c r="V341" t="s">
        <v>36</v>
      </c>
      <c r="W341" s="1">
        <v>45247</v>
      </c>
      <c r="X341">
        <v>2025</v>
      </c>
    </row>
    <row r="342" spans="1:24" x14ac:dyDescent="0.25">
      <c r="A342" s="1">
        <v>45888</v>
      </c>
      <c r="B342" t="s">
        <v>1196</v>
      </c>
      <c r="C342" t="s">
        <v>1197</v>
      </c>
      <c r="E342" t="s">
        <v>1198</v>
      </c>
      <c r="F342" t="s">
        <v>27</v>
      </c>
      <c r="G342" t="s">
        <v>28</v>
      </c>
      <c r="H342" t="s">
        <v>29</v>
      </c>
      <c r="I342" t="s">
        <v>30</v>
      </c>
      <c r="J342" t="s">
        <v>50</v>
      </c>
      <c r="L342" s="1">
        <v>45870</v>
      </c>
      <c r="M342" s="1">
        <v>45444</v>
      </c>
      <c r="O342">
        <v>17886092</v>
      </c>
      <c r="P342" t="s">
        <v>32</v>
      </c>
      <c r="Q342" t="s">
        <v>102</v>
      </c>
      <c r="R342">
        <v>8192</v>
      </c>
      <c r="S342" t="s">
        <v>34</v>
      </c>
      <c r="T342" t="s">
        <v>35</v>
      </c>
      <c r="U342">
        <v>3.75</v>
      </c>
      <c r="V342" t="s">
        <v>36</v>
      </c>
      <c r="W342" s="1">
        <v>45370</v>
      </c>
      <c r="X342">
        <v>2025</v>
      </c>
    </row>
    <row r="343" spans="1:24" x14ac:dyDescent="0.25">
      <c r="A343" s="1">
        <v>45888</v>
      </c>
      <c r="B343" t="s">
        <v>1199</v>
      </c>
      <c r="C343" t="s">
        <v>1200</v>
      </c>
      <c r="E343" t="s">
        <v>1201</v>
      </c>
      <c r="F343" t="s">
        <v>27</v>
      </c>
      <c r="G343" t="s">
        <v>28</v>
      </c>
      <c r="H343" t="s">
        <v>29</v>
      </c>
      <c r="I343" t="s">
        <v>30</v>
      </c>
      <c r="J343" t="s">
        <v>46</v>
      </c>
      <c r="L343" s="1">
        <v>45870</v>
      </c>
      <c r="M343" s="1">
        <v>45292</v>
      </c>
      <c r="O343">
        <v>17528908</v>
      </c>
      <c r="P343" t="s">
        <v>32</v>
      </c>
      <c r="Q343" t="s">
        <v>33</v>
      </c>
      <c r="R343">
        <v>8192</v>
      </c>
      <c r="S343" t="s">
        <v>51</v>
      </c>
      <c r="T343" t="s">
        <v>35</v>
      </c>
      <c r="U343">
        <v>31.92</v>
      </c>
      <c r="V343" t="s">
        <v>36</v>
      </c>
      <c r="W343" s="1">
        <v>45264</v>
      </c>
      <c r="X343">
        <v>2025</v>
      </c>
    </row>
    <row r="344" spans="1:24" x14ac:dyDescent="0.25">
      <c r="A344" s="1">
        <v>45888</v>
      </c>
      <c r="B344" t="s">
        <v>1202</v>
      </c>
      <c r="C344" t="s">
        <v>1203</v>
      </c>
      <c r="E344" t="s">
        <v>1204</v>
      </c>
      <c r="F344" t="s">
        <v>27</v>
      </c>
      <c r="G344" t="s">
        <v>28</v>
      </c>
      <c r="H344" t="s">
        <v>29</v>
      </c>
      <c r="I344" t="s">
        <v>30</v>
      </c>
      <c r="J344" t="s">
        <v>46</v>
      </c>
      <c r="L344" s="1">
        <v>45870</v>
      </c>
      <c r="M344" s="1">
        <v>45292</v>
      </c>
      <c r="O344">
        <v>17528908</v>
      </c>
      <c r="P344" t="s">
        <v>32</v>
      </c>
      <c r="Q344" t="s">
        <v>33</v>
      </c>
      <c r="R344">
        <v>8192</v>
      </c>
      <c r="S344" t="s">
        <v>51</v>
      </c>
      <c r="T344" t="s">
        <v>35</v>
      </c>
      <c r="U344">
        <v>31.92</v>
      </c>
      <c r="V344" t="s">
        <v>36</v>
      </c>
      <c r="W344" s="1">
        <v>45286</v>
      </c>
      <c r="X344">
        <v>2025</v>
      </c>
    </row>
    <row r="345" spans="1:24" x14ac:dyDescent="0.25">
      <c r="A345" s="1">
        <v>45888</v>
      </c>
      <c r="B345" t="s">
        <v>1205</v>
      </c>
      <c r="C345" t="s">
        <v>1206</v>
      </c>
      <c r="E345" t="s">
        <v>1207</v>
      </c>
      <c r="F345" t="s">
        <v>27</v>
      </c>
      <c r="G345" t="s">
        <v>28</v>
      </c>
      <c r="H345" t="s">
        <v>29</v>
      </c>
      <c r="I345" t="s">
        <v>30</v>
      </c>
      <c r="J345" t="s">
        <v>46</v>
      </c>
      <c r="L345" s="1">
        <v>45870</v>
      </c>
      <c r="M345" s="1">
        <v>45292</v>
      </c>
      <c r="O345">
        <v>17886092</v>
      </c>
      <c r="P345" t="s">
        <v>32</v>
      </c>
      <c r="Q345" t="s">
        <v>102</v>
      </c>
      <c r="R345">
        <v>8192</v>
      </c>
      <c r="S345" t="s">
        <v>51</v>
      </c>
      <c r="T345" t="s">
        <v>35</v>
      </c>
      <c r="U345">
        <v>2.5</v>
      </c>
      <c r="V345" t="s">
        <v>36</v>
      </c>
      <c r="W345" s="1">
        <v>45237</v>
      </c>
      <c r="X345">
        <v>2025</v>
      </c>
    </row>
    <row r="346" spans="1:24" x14ac:dyDescent="0.25">
      <c r="A346" s="1">
        <v>45888</v>
      </c>
      <c r="B346" t="s">
        <v>1208</v>
      </c>
      <c r="C346" t="s">
        <v>1209</v>
      </c>
      <c r="E346" t="s">
        <v>1210</v>
      </c>
      <c r="F346" t="s">
        <v>27</v>
      </c>
      <c r="G346" t="s">
        <v>28</v>
      </c>
      <c r="H346" t="s">
        <v>127</v>
      </c>
      <c r="I346" t="s">
        <v>30</v>
      </c>
      <c r="J346" t="s">
        <v>128</v>
      </c>
      <c r="L346" s="1">
        <v>45870</v>
      </c>
      <c r="M346" s="1">
        <v>45292</v>
      </c>
      <c r="O346">
        <v>17886092</v>
      </c>
      <c r="P346" t="s">
        <v>32</v>
      </c>
      <c r="Q346" t="s">
        <v>102</v>
      </c>
      <c r="R346">
        <v>8192</v>
      </c>
      <c r="S346" t="s">
        <v>51</v>
      </c>
      <c r="T346" t="s">
        <v>35</v>
      </c>
      <c r="U346">
        <v>2.5</v>
      </c>
      <c r="V346" t="s">
        <v>36</v>
      </c>
      <c r="W346" s="1">
        <v>45218</v>
      </c>
      <c r="X346">
        <v>2025</v>
      </c>
    </row>
    <row r="347" spans="1:24" x14ac:dyDescent="0.25">
      <c r="A347" s="1">
        <v>45888</v>
      </c>
      <c r="B347" t="s">
        <v>1211</v>
      </c>
      <c r="C347" t="s">
        <v>1212</v>
      </c>
      <c r="D347" t="s">
        <v>1213</v>
      </c>
      <c r="E347" t="s">
        <v>1214</v>
      </c>
      <c r="F347" t="s">
        <v>27</v>
      </c>
      <c r="G347" t="s">
        <v>28</v>
      </c>
      <c r="H347" t="s">
        <v>29</v>
      </c>
      <c r="I347" t="s">
        <v>152</v>
      </c>
      <c r="J347" t="s">
        <v>202</v>
      </c>
      <c r="L347" s="1">
        <v>45870</v>
      </c>
      <c r="M347" s="1">
        <v>40909</v>
      </c>
      <c r="O347">
        <v>17886092</v>
      </c>
      <c r="P347" t="s">
        <v>32</v>
      </c>
      <c r="Q347" t="s">
        <v>102</v>
      </c>
      <c r="R347">
        <v>8192</v>
      </c>
      <c r="S347" t="s">
        <v>34</v>
      </c>
      <c r="T347" t="s">
        <v>35</v>
      </c>
      <c r="U347">
        <v>1.25</v>
      </c>
      <c r="V347" t="s">
        <v>36</v>
      </c>
      <c r="W347" s="1">
        <v>45689</v>
      </c>
      <c r="X347">
        <v>2025</v>
      </c>
    </row>
    <row r="348" spans="1:24" x14ac:dyDescent="0.25">
      <c r="A348" s="1">
        <v>45888</v>
      </c>
      <c r="B348" t="s">
        <v>1215</v>
      </c>
      <c r="C348" t="s">
        <v>1216</v>
      </c>
      <c r="D348" t="s">
        <v>1217</v>
      </c>
      <c r="E348" t="s">
        <v>1218</v>
      </c>
      <c r="F348" t="s">
        <v>27</v>
      </c>
      <c r="G348" t="s">
        <v>28</v>
      </c>
      <c r="H348" t="s">
        <v>29</v>
      </c>
      <c r="I348" t="s">
        <v>152</v>
      </c>
      <c r="J348" t="s">
        <v>202</v>
      </c>
      <c r="L348" s="1">
        <v>45870</v>
      </c>
      <c r="M348" s="1">
        <v>40909</v>
      </c>
      <c r="O348">
        <v>17886092</v>
      </c>
      <c r="P348" t="s">
        <v>32</v>
      </c>
      <c r="Q348" t="s">
        <v>102</v>
      </c>
      <c r="R348">
        <v>8192</v>
      </c>
      <c r="S348" t="s">
        <v>34</v>
      </c>
      <c r="T348" t="s">
        <v>35</v>
      </c>
      <c r="U348">
        <v>1.25</v>
      </c>
      <c r="V348" t="s">
        <v>36</v>
      </c>
      <c r="W348" s="1">
        <v>45689</v>
      </c>
      <c r="X348">
        <v>2025</v>
      </c>
    </row>
    <row r="349" spans="1:24" x14ac:dyDescent="0.25">
      <c r="A349" s="1">
        <v>45888</v>
      </c>
      <c r="B349" t="s">
        <v>1219</v>
      </c>
      <c r="C349" t="s">
        <v>1220</v>
      </c>
      <c r="E349" t="s">
        <v>1221</v>
      </c>
      <c r="F349" t="s">
        <v>1222</v>
      </c>
      <c r="G349" t="s">
        <v>28</v>
      </c>
      <c r="H349" t="s">
        <v>29</v>
      </c>
      <c r="I349" t="s">
        <v>90</v>
      </c>
      <c r="J349" t="s">
        <v>1223</v>
      </c>
      <c r="L349" s="1">
        <v>45870</v>
      </c>
      <c r="M349" s="1">
        <v>44986</v>
      </c>
      <c r="O349">
        <v>8307933</v>
      </c>
      <c r="P349" t="s">
        <v>32</v>
      </c>
      <c r="Q349" t="s">
        <v>63</v>
      </c>
      <c r="R349">
        <v>8192</v>
      </c>
      <c r="S349" t="s">
        <v>51</v>
      </c>
      <c r="T349" t="s">
        <v>35</v>
      </c>
      <c r="U349">
        <v>28.58</v>
      </c>
      <c r="V349" t="s">
        <v>36</v>
      </c>
      <c r="W349" s="1">
        <v>44973</v>
      </c>
      <c r="X349">
        <v>2025</v>
      </c>
    </row>
    <row r="350" spans="1:24" x14ac:dyDescent="0.25">
      <c r="A350" s="1">
        <v>45888</v>
      </c>
      <c r="B350" t="s">
        <v>1224</v>
      </c>
      <c r="C350" t="s">
        <v>1225</v>
      </c>
      <c r="E350" t="s">
        <v>1226</v>
      </c>
      <c r="F350" t="s">
        <v>1222</v>
      </c>
      <c r="G350" t="s">
        <v>28</v>
      </c>
      <c r="H350" t="s">
        <v>29</v>
      </c>
      <c r="I350" t="s">
        <v>90</v>
      </c>
      <c r="J350" t="s">
        <v>1223</v>
      </c>
      <c r="L350" s="1">
        <v>45870</v>
      </c>
      <c r="M350" s="1">
        <v>45170</v>
      </c>
      <c r="O350">
        <v>8307933</v>
      </c>
      <c r="P350" t="s">
        <v>32</v>
      </c>
      <c r="Q350" t="s">
        <v>63</v>
      </c>
      <c r="R350">
        <v>8192</v>
      </c>
      <c r="S350" t="s">
        <v>51</v>
      </c>
      <c r="T350" t="s">
        <v>35</v>
      </c>
      <c r="U350">
        <v>28.58</v>
      </c>
      <c r="V350" t="s">
        <v>36</v>
      </c>
      <c r="W350" s="1">
        <v>45141</v>
      </c>
      <c r="X350">
        <v>2025</v>
      </c>
    </row>
    <row r="351" spans="1:24" x14ac:dyDescent="0.25">
      <c r="A351" s="1">
        <v>45888</v>
      </c>
      <c r="B351" t="s">
        <v>1227</v>
      </c>
      <c r="C351" t="s">
        <v>1228</v>
      </c>
      <c r="E351" t="s">
        <v>1229</v>
      </c>
      <c r="F351" t="s">
        <v>27</v>
      </c>
      <c r="G351" t="s">
        <v>28</v>
      </c>
      <c r="H351" t="s">
        <v>29</v>
      </c>
      <c r="I351" t="s">
        <v>40</v>
      </c>
      <c r="J351" t="s">
        <v>31</v>
      </c>
      <c r="L351" s="1">
        <v>45870</v>
      </c>
      <c r="M351" s="1">
        <v>44044</v>
      </c>
      <c r="O351">
        <v>17528908</v>
      </c>
      <c r="P351" t="s">
        <v>32</v>
      </c>
      <c r="Q351" t="s">
        <v>33</v>
      </c>
      <c r="R351">
        <v>8192</v>
      </c>
      <c r="S351" t="s">
        <v>34</v>
      </c>
      <c r="T351" t="s">
        <v>35</v>
      </c>
      <c r="U351">
        <v>33.17</v>
      </c>
      <c r="V351" t="s">
        <v>36</v>
      </c>
      <c r="W351" s="1">
        <v>45658</v>
      </c>
      <c r="X351">
        <v>2025</v>
      </c>
    </row>
    <row r="352" spans="1:24" x14ac:dyDescent="0.25">
      <c r="A352" s="1">
        <v>45888</v>
      </c>
      <c r="B352" t="s">
        <v>1230</v>
      </c>
      <c r="C352" t="s">
        <v>1231</v>
      </c>
      <c r="E352" t="s">
        <v>1232</v>
      </c>
      <c r="F352" t="s">
        <v>27</v>
      </c>
      <c r="G352" t="s">
        <v>28</v>
      </c>
      <c r="H352" t="s">
        <v>29</v>
      </c>
      <c r="I352" t="s">
        <v>30</v>
      </c>
      <c r="J352" t="s">
        <v>31</v>
      </c>
      <c r="L352" s="1">
        <v>45870</v>
      </c>
      <c r="M352" s="1">
        <v>45383</v>
      </c>
      <c r="O352">
        <v>17528908</v>
      </c>
      <c r="P352" t="s">
        <v>32</v>
      </c>
      <c r="Q352" t="s">
        <v>33</v>
      </c>
      <c r="R352">
        <v>8192</v>
      </c>
      <c r="S352" t="s">
        <v>51</v>
      </c>
      <c r="T352" t="s">
        <v>35</v>
      </c>
      <c r="U352">
        <v>31.92</v>
      </c>
      <c r="V352" t="s">
        <v>36</v>
      </c>
      <c r="W352" s="1">
        <v>45327</v>
      </c>
      <c r="X352">
        <v>2025</v>
      </c>
    </row>
    <row r="353" spans="1:24" x14ac:dyDescent="0.25">
      <c r="A353" s="1">
        <v>45888</v>
      </c>
      <c r="B353" t="s">
        <v>1233</v>
      </c>
      <c r="C353" t="s">
        <v>1234</v>
      </c>
      <c r="E353" t="s">
        <v>1235</v>
      </c>
      <c r="F353" t="s">
        <v>27</v>
      </c>
      <c r="G353" t="s">
        <v>28</v>
      </c>
      <c r="H353" t="s">
        <v>29</v>
      </c>
      <c r="I353" t="s">
        <v>30</v>
      </c>
      <c r="J353" t="s">
        <v>31</v>
      </c>
      <c r="L353" s="1">
        <v>45870</v>
      </c>
      <c r="M353" s="1">
        <v>45383</v>
      </c>
      <c r="O353">
        <v>17528908</v>
      </c>
      <c r="P353" t="s">
        <v>32</v>
      </c>
      <c r="Q353" t="s">
        <v>33</v>
      </c>
      <c r="R353">
        <v>8192</v>
      </c>
      <c r="S353" t="s">
        <v>51</v>
      </c>
      <c r="T353" t="s">
        <v>35</v>
      </c>
      <c r="U353">
        <v>31.92</v>
      </c>
      <c r="V353" t="s">
        <v>36</v>
      </c>
      <c r="W353" s="1">
        <v>45327</v>
      </c>
      <c r="X353">
        <v>2025</v>
      </c>
    </row>
    <row r="354" spans="1:24" x14ac:dyDescent="0.25">
      <c r="A354" s="1">
        <v>45888</v>
      </c>
      <c r="B354" t="s">
        <v>1236</v>
      </c>
      <c r="C354" t="s">
        <v>1237</v>
      </c>
      <c r="E354" t="s">
        <v>1238</v>
      </c>
      <c r="F354" t="s">
        <v>27</v>
      </c>
      <c r="G354" t="s">
        <v>28</v>
      </c>
      <c r="H354" t="s">
        <v>29</v>
      </c>
      <c r="I354" t="s">
        <v>30</v>
      </c>
      <c r="J354" t="s">
        <v>50</v>
      </c>
      <c r="L354" s="1">
        <v>45870</v>
      </c>
      <c r="M354" s="1">
        <v>45292</v>
      </c>
      <c r="O354">
        <v>17886092</v>
      </c>
      <c r="P354" t="s">
        <v>32</v>
      </c>
      <c r="Q354" t="s">
        <v>102</v>
      </c>
      <c r="R354">
        <v>8192</v>
      </c>
      <c r="S354" t="s">
        <v>51</v>
      </c>
      <c r="T354" t="s">
        <v>35</v>
      </c>
      <c r="U354">
        <v>2.5</v>
      </c>
      <c r="V354" t="s">
        <v>36</v>
      </c>
      <c r="W354" s="1">
        <v>45229</v>
      </c>
      <c r="X354">
        <v>2025</v>
      </c>
    </row>
    <row r="355" spans="1:24" x14ac:dyDescent="0.25">
      <c r="A355" s="1">
        <v>45888</v>
      </c>
      <c r="B355" t="s">
        <v>1239</v>
      </c>
      <c r="C355" t="s">
        <v>1240</v>
      </c>
      <c r="E355" t="s">
        <v>1241</v>
      </c>
      <c r="F355" t="s">
        <v>27</v>
      </c>
      <c r="G355" t="s">
        <v>28</v>
      </c>
      <c r="H355" t="s">
        <v>29</v>
      </c>
      <c r="I355" t="s">
        <v>30</v>
      </c>
      <c r="J355" t="s">
        <v>46</v>
      </c>
      <c r="L355" s="1">
        <v>45870</v>
      </c>
      <c r="M355" s="1">
        <v>45292</v>
      </c>
      <c r="O355">
        <v>17528908</v>
      </c>
      <c r="P355" t="s">
        <v>32</v>
      </c>
      <c r="Q355" t="s">
        <v>33</v>
      </c>
      <c r="R355">
        <v>8192</v>
      </c>
      <c r="S355" t="s">
        <v>51</v>
      </c>
      <c r="T355" t="s">
        <v>35</v>
      </c>
      <c r="U355">
        <v>31.92</v>
      </c>
      <c r="V355" t="s">
        <v>36</v>
      </c>
      <c r="W355" s="1">
        <v>45241</v>
      </c>
      <c r="X355">
        <v>2025</v>
      </c>
    </row>
    <row r="356" spans="1:24" x14ac:dyDescent="0.25">
      <c r="A356" s="1">
        <v>45888</v>
      </c>
      <c r="B356" t="s">
        <v>1242</v>
      </c>
      <c r="C356" t="s">
        <v>1243</v>
      </c>
      <c r="E356" t="s">
        <v>1244</v>
      </c>
      <c r="F356" t="s">
        <v>27</v>
      </c>
      <c r="G356" t="s">
        <v>28</v>
      </c>
      <c r="H356" t="s">
        <v>29</v>
      </c>
      <c r="I356" t="s">
        <v>30</v>
      </c>
      <c r="J356" t="s">
        <v>46</v>
      </c>
      <c r="L356" s="1">
        <v>45870</v>
      </c>
      <c r="M356" s="1">
        <v>45231</v>
      </c>
      <c r="O356">
        <v>17886092</v>
      </c>
      <c r="P356" t="s">
        <v>32</v>
      </c>
      <c r="Q356" t="s">
        <v>102</v>
      </c>
      <c r="R356">
        <v>8192</v>
      </c>
      <c r="S356" t="s">
        <v>51</v>
      </c>
      <c r="T356" t="s">
        <v>35</v>
      </c>
      <c r="U356">
        <v>2.5</v>
      </c>
      <c r="V356" t="s">
        <v>36</v>
      </c>
      <c r="W356" s="1">
        <v>45204</v>
      </c>
      <c r="X356">
        <v>2025</v>
      </c>
    </row>
    <row r="357" spans="1:24" x14ac:dyDescent="0.25">
      <c r="A357" s="1">
        <v>45888</v>
      </c>
      <c r="B357" t="s">
        <v>1245</v>
      </c>
      <c r="C357" t="s">
        <v>1246</v>
      </c>
      <c r="E357" t="s">
        <v>1247</v>
      </c>
      <c r="F357" t="s">
        <v>27</v>
      </c>
      <c r="G357" t="s">
        <v>28</v>
      </c>
      <c r="H357" t="s">
        <v>29</v>
      </c>
      <c r="I357" t="s">
        <v>30</v>
      </c>
      <c r="J357" t="s">
        <v>70</v>
      </c>
      <c r="L357" s="1">
        <v>45870</v>
      </c>
      <c r="M357" s="1">
        <v>45536</v>
      </c>
      <c r="O357">
        <v>18710070</v>
      </c>
      <c r="P357" t="s">
        <v>32</v>
      </c>
      <c r="Q357" t="s">
        <v>293</v>
      </c>
      <c r="R357">
        <v>8192</v>
      </c>
      <c r="S357" t="s">
        <v>34</v>
      </c>
      <c r="T357" t="s">
        <v>35</v>
      </c>
      <c r="U357">
        <v>33.17</v>
      </c>
      <c r="V357" t="s">
        <v>36</v>
      </c>
      <c r="W357" s="1">
        <v>45530</v>
      </c>
      <c r="X357">
        <v>2025</v>
      </c>
    </row>
    <row r="358" spans="1:24" x14ac:dyDescent="0.25">
      <c r="A358" s="1">
        <v>45888</v>
      </c>
      <c r="B358" t="s">
        <v>1248</v>
      </c>
      <c r="C358" t="s">
        <v>1249</v>
      </c>
      <c r="E358" t="s">
        <v>1250</v>
      </c>
      <c r="F358" t="s">
        <v>27</v>
      </c>
      <c r="G358" t="s">
        <v>28</v>
      </c>
      <c r="H358" t="s">
        <v>29</v>
      </c>
      <c r="I358" t="s">
        <v>30</v>
      </c>
      <c r="J358" t="s">
        <v>70</v>
      </c>
      <c r="L358" s="1">
        <v>45870</v>
      </c>
      <c r="M358" s="1">
        <v>45536</v>
      </c>
      <c r="O358">
        <v>18710070</v>
      </c>
      <c r="P358" t="s">
        <v>32</v>
      </c>
      <c r="Q358" t="s">
        <v>293</v>
      </c>
      <c r="R358">
        <v>8192</v>
      </c>
      <c r="S358" t="s">
        <v>34</v>
      </c>
      <c r="T358" t="s">
        <v>35</v>
      </c>
      <c r="U358">
        <v>33.17</v>
      </c>
      <c r="V358" t="s">
        <v>36</v>
      </c>
      <c r="W358" s="1">
        <v>45530</v>
      </c>
      <c r="X358">
        <v>2025</v>
      </c>
    </row>
    <row r="359" spans="1:24" x14ac:dyDescent="0.25">
      <c r="A359" s="1">
        <v>45888</v>
      </c>
      <c r="B359" t="s">
        <v>1251</v>
      </c>
      <c r="C359" t="s">
        <v>1252</v>
      </c>
      <c r="E359" t="s">
        <v>1253</v>
      </c>
      <c r="F359" t="s">
        <v>27</v>
      </c>
      <c r="G359" t="s">
        <v>28</v>
      </c>
      <c r="H359" t="s">
        <v>29</v>
      </c>
      <c r="I359" t="s">
        <v>30</v>
      </c>
      <c r="J359" t="s">
        <v>46</v>
      </c>
      <c r="L359" s="1">
        <v>45870</v>
      </c>
      <c r="M359" s="1">
        <v>45292</v>
      </c>
      <c r="O359">
        <v>17886092</v>
      </c>
      <c r="P359" t="s">
        <v>32</v>
      </c>
      <c r="Q359" t="s">
        <v>102</v>
      </c>
      <c r="R359">
        <v>8192</v>
      </c>
      <c r="S359" t="s">
        <v>51</v>
      </c>
      <c r="T359" t="s">
        <v>35</v>
      </c>
      <c r="U359">
        <v>2.5</v>
      </c>
      <c r="V359" t="s">
        <v>36</v>
      </c>
      <c r="W359" s="1">
        <v>45233</v>
      </c>
      <c r="X359">
        <v>2025</v>
      </c>
    </row>
    <row r="360" spans="1:24" x14ac:dyDescent="0.25">
      <c r="A360" s="1">
        <v>45888</v>
      </c>
      <c r="B360" t="s">
        <v>1254</v>
      </c>
      <c r="C360" t="s">
        <v>1255</v>
      </c>
      <c r="E360" t="s">
        <v>1256</v>
      </c>
      <c r="F360" t="s">
        <v>27</v>
      </c>
      <c r="G360" t="s">
        <v>28</v>
      </c>
      <c r="H360" t="s">
        <v>29</v>
      </c>
      <c r="I360" t="s">
        <v>30</v>
      </c>
      <c r="J360" t="s">
        <v>46</v>
      </c>
      <c r="L360" s="1">
        <v>45870</v>
      </c>
      <c r="M360" s="1">
        <v>45292</v>
      </c>
      <c r="O360">
        <v>17886092</v>
      </c>
      <c r="P360" t="s">
        <v>32</v>
      </c>
      <c r="Q360" t="s">
        <v>102</v>
      </c>
      <c r="R360">
        <v>8192</v>
      </c>
      <c r="S360" t="s">
        <v>51</v>
      </c>
      <c r="T360" t="s">
        <v>35</v>
      </c>
      <c r="U360">
        <v>2.5</v>
      </c>
      <c r="V360" t="s">
        <v>36</v>
      </c>
      <c r="W360" s="1">
        <v>45233</v>
      </c>
      <c r="X360">
        <v>2025</v>
      </c>
    </row>
    <row r="361" spans="1:24" x14ac:dyDescent="0.25">
      <c r="A361" s="1">
        <v>45888</v>
      </c>
      <c r="B361" t="s">
        <v>1257</v>
      </c>
      <c r="C361" t="s">
        <v>1258</v>
      </c>
      <c r="E361" t="s">
        <v>1259</v>
      </c>
      <c r="F361" t="s">
        <v>27</v>
      </c>
      <c r="G361" t="s">
        <v>28</v>
      </c>
      <c r="H361" t="s">
        <v>29</v>
      </c>
      <c r="I361" t="s">
        <v>30</v>
      </c>
      <c r="J361" t="s">
        <v>31</v>
      </c>
      <c r="L361" s="1">
        <v>45870</v>
      </c>
      <c r="M361" s="1">
        <v>45231</v>
      </c>
      <c r="O361">
        <v>17528908</v>
      </c>
      <c r="P361" t="s">
        <v>32</v>
      </c>
      <c r="Q361" t="s">
        <v>33</v>
      </c>
      <c r="R361">
        <v>8192</v>
      </c>
      <c r="S361" t="s">
        <v>51</v>
      </c>
      <c r="T361" t="s">
        <v>35</v>
      </c>
      <c r="U361">
        <v>31.92</v>
      </c>
      <c r="V361" t="s">
        <v>36</v>
      </c>
      <c r="W361" s="1">
        <v>45210</v>
      </c>
      <c r="X361">
        <v>2025</v>
      </c>
    </row>
    <row r="362" spans="1:24" x14ac:dyDescent="0.25">
      <c r="A362" s="1">
        <v>45888</v>
      </c>
      <c r="B362" t="s">
        <v>1260</v>
      </c>
      <c r="C362" t="s">
        <v>1261</v>
      </c>
      <c r="E362" t="s">
        <v>1262</v>
      </c>
      <c r="F362" t="s">
        <v>60</v>
      </c>
      <c r="G362" t="s">
        <v>28</v>
      </c>
      <c r="H362" t="s">
        <v>29</v>
      </c>
      <c r="I362" t="s">
        <v>61</v>
      </c>
      <c r="J362" t="s">
        <v>1263</v>
      </c>
      <c r="L362" s="1">
        <v>45870</v>
      </c>
      <c r="M362" s="1">
        <v>45047</v>
      </c>
      <c r="O362">
        <v>8307933</v>
      </c>
      <c r="P362" t="s">
        <v>32</v>
      </c>
      <c r="Q362" t="s">
        <v>63</v>
      </c>
      <c r="R362">
        <v>8192</v>
      </c>
      <c r="S362" t="s">
        <v>51</v>
      </c>
      <c r="T362" t="s">
        <v>35</v>
      </c>
      <c r="U362">
        <v>28.58</v>
      </c>
      <c r="V362" t="s">
        <v>36</v>
      </c>
      <c r="W362" s="1">
        <v>45040</v>
      </c>
      <c r="X362">
        <v>2025</v>
      </c>
    </row>
    <row r="363" spans="1:24" x14ac:dyDescent="0.25">
      <c r="A363" s="1">
        <v>45888</v>
      </c>
      <c r="B363" t="s">
        <v>1264</v>
      </c>
      <c r="C363" t="s">
        <v>1265</v>
      </c>
      <c r="E363" t="s">
        <v>1266</v>
      </c>
      <c r="F363" t="s">
        <v>60</v>
      </c>
      <c r="G363" t="s">
        <v>28</v>
      </c>
      <c r="H363" t="s">
        <v>29</v>
      </c>
      <c r="I363" t="s">
        <v>61</v>
      </c>
      <c r="J363" t="s">
        <v>1263</v>
      </c>
      <c r="L363" s="1">
        <v>45870</v>
      </c>
      <c r="M363" s="1">
        <v>44958</v>
      </c>
      <c r="O363">
        <v>15278437</v>
      </c>
      <c r="P363" t="s">
        <v>32</v>
      </c>
      <c r="Q363" t="s">
        <v>221</v>
      </c>
      <c r="R363">
        <v>8192</v>
      </c>
      <c r="S363" t="s">
        <v>51</v>
      </c>
      <c r="T363" t="s">
        <v>35</v>
      </c>
      <c r="U363">
        <v>28.58</v>
      </c>
      <c r="V363" t="s">
        <v>36</v>
      </c>
      <c r="W363" s="1">
        <v>44953</v>
      </c>
      <c r="X363">
        <v>2025</v>
      </c>
    </row>
    <row r="364" spans="1:24" x14ac:dyDescent="0.25">
      <c r="A364" s="1">
        <v>45888</v>
      </c>
      <c r="B364" t="s">
        <v>1267</v>
      </c>
      <c r="C364" t="s">
        <v>1268</v>
      </c>
      <c r="E364" t="s">
        <v>1269</v>
      </c>
      <c r="F364" t="s">
        <v>27</v>
      </c>
      <c r="G364" t="s">
        <v>28</v>
      </c>
      <c r="H364" t="s">
        <v>29</v>
      </c>
      <c r="I364" t="s">
        <v>30</v>
      </c>
      <c r="J364" t="s">
        <v>46</v>
      </c>
      <c r="L364" s="1">
        <v>45870</v>
      </c>
      <c r="M364" s="1">
        <v>44958</v>
      </c>
      <c r="O364">
        <v>19606009</v>
      </c>
      <c r="P364" t="s">
        <v>32</v>
      </c>
      <c r="Q364" t="s">
        <v>42</v>
      </c>
      <c r="R364">
        <v>8192</v>
      </c>
      <c r="S364" t="s">
        <v>34</v>
      </c>
      <c r="T364" t="s">
        <v>35</v>
      </c>
      <c r="U364">
        <v>1.25</v>
      </c>
      <c r="V364" t="s">
        <v>36</v>
      </c>
      <c r="W364" s="1">
        <v>45839</v>
      </c>
      <c r="X364">
        <v>2025</v>
      </c>
    </row>
    <row r="365" spans="1:24" x14ac:dyDescent="0.25">
      <c r="A365" s="1">
        <v>45888</v>
      </c>
      <c r="B365" t="s">
        <v>1270</v>
      </c>
      <c r="C365" t="s">
        <v>1271</v>
      </c>
      <c r="E365" t="s">
        <v>1272</v>
      </c>
      <c r="F365" t="s">
        <v>74</v>
      </c>
      <c r="G365" t="s">
        <v>28</v>
      </c>
      <c r="H365" t="s">
        <v>29</v>
      </c>
      <c r="I365" t="s">
        <v>61</v>
      </c>
      <c r="J365" t="s">
        <v>75</v>
      </c>
      <c r="L365" s="1">
        <v>45870</v>
      </c>
      <c r="M365" s="1">
        <v>45566</v>
      </c>
      <c r="O365">
        <v>3475518</v>
      </c>
      <c r="P365" t="s">
        <v>32</v>
      </c>
      <c r="Q365" t="s">
        <v>1273</v>
      </c>
      <c r="R365">
        <v>8192</v>
      </c>
      <c r="S365" t="s">
        <v>34</v>
      </c>
      <c r="T365" t="s">
        <v>35</v>
      </c>
      <c r="U365">
        <v>29.83</v>
      </c>
      <c r="V365" t="s">
        <v>36</v>
      </c>
      <c r="W365" s="1">
        <v>45562</v>
      </c>
      <c r="X365">
        <v>2025</v>
      </c>
    </row>
    <row r="366" spans="1:24" x14ac:dyDescent="0.25">
      <c r="A366" s="1">
        <v>45888</v>
      </c>
      <c r="B366" t="s">
        <v>1274</v>
      </c>
      <c r="C366" t="s">
        <v>1275</v>
      </c>
      <c r="E366" t="s">
        <v>1276</v>
      </c>
      <c r="F366" t="s">
        <v>27</v>
      </c>
      <c r="G366" t="s">
        <v>28</v>
      </c>
      <c r="H366" t="s">
        <v>29</v>
      </c>
      <c r="I366" t="s">
        <v>30</v>
      </c>
      <c r="J366" t="s">
        <v>31</v>
      </c>
      <c r="L366" s="1">
        <v>45870</v>
      </c>
      <c r="M366" s="1">
        <v>45323</v>
      </c>
      <c r="O366">
        <v>17886092</v>
      </c>
      <c r="P366" t="s">
        <v>32</v>
      </c>
      <c r="Q366" t="s">
        <v>102</v>
      </c>
      <c r="R366">
        <v>8192</v>
      </c>
      <c r="S366" t="s">
        <v>51</v>
      </c>
      <c r="T366" t="s">
        <v>35</v>
      </c>
      <c r="U366">
        <v>2.5</v>
      </c>
      <c r="V366" t="s">
        <v>36</v>
      </c>
      <c r="W366" s="1">
        <v>45307</v>
      </c>
      <c r="X366">
        <v>2025</v>
      </c>
    </row>
    <row r="367" spans="1:24" x14ac:dyDescent="0.25">
      <c r="A367" s="1">
        <v>45888</v>
      </c>
      <c r="B367" t="s">
        <v>1277</v>
      </c>
      <c r="C367" t="s">
        <v>1278</v>
      </c>
      <c r="E367" t="s">
        <v>1279</v>
      </c>
      <c r="F367" t="s">
        <v>27</v>
      </c>
      <c r="G367" t="s">
        <v>28</v>
      </c>
      <c r="H367" t="s">
        <v>29</v>
      </c>
      <c r="I367" t="s">
        <v>30</v>
      </c>
      <c r="J367" t="s">
        <v>31</v>
      </c>
      <c r="L367" s="1">
        <v>45870</v>
      </c>
      <c r="M367" s="1">
        <v>45505</v>
      </c>
      <c r="O367">
        <v>17886092</v>
      </c>
      <c r="P367" t="s">
        <v>32</v>
      </c>
      <c r="Q367" t="s">
        <v>102</v>
      </c>
      <c r="R367">
        <v>8192</v>
      </c>
      <c r="S367" t="s">
        <v>34</v>
      </c>
      <c r="T367" t="s">
        <v>35</v>
      </c>
      <c r="U367">
        <v>3.75</v>
      </c>
      <c r="V367" t="s">
        <v>36</v>
      </c>
      <c r="W367" s="1">
        <v>45463</v>
      </c>
      <c r="X367">
        <v>2025</v>
      </c>
    </row>
    <row r="368" spans="1:24" x14ac:dyDescent="0.25">
      <c r="A368" s="1">
        <v>45888</v>
      </c>
      <c r="B368" t="s">
        <v>1280</v>
      </c>
      <c r="C368" t="s">
        <v>1281</v>
      </c>
      <c r="E368" t="s">
        <v>1282</v>
      </c>
      <c r="F368" t="s">
        <v>27</v>
      </c>
      <c r="G368" t="s">
        <v>28</v>
      </c>
      <c r="H368" t="s">
        <v>29</v>
      </c>
      <c r="I368" t="s">
        <v>30</v>
      </c>
      <c r="J368" t="s">
        <v>46</v>
      </c>
      <c r="L368" s="1">
        <v>45870</v>
      </c>
      <c r="M368" s="1">
        <v>45292</v>
      </c>
      <c r="O368">
        <v>19606009</v>
      </c>
      <c r="P368" t="s">
        <v>32</v>
      </c>
      <c r="Q368" t="s">
        <v>42</v>
      </c>
      <c r="R368">
        <v>8192</v>
      </c>
      <c r="S368" t="s">
        <v>51</v>
      </c>
      <c r="T368" t="s">
        <v>35</v>
      </c>
      <c r="U368">
        <v>2.5</v>
      </c>
      <c r="V368" t="s">
        <v>36</v>
      </c>
      <c r="W368" s="1">
        <v>45217</v>
      </c>
      <c r="X368">
        <v>2025</v>
      </c>
    </row>
    <row r="369" spans="1:24" x14ac:dyDescent="0.25">
      <c r="A369" s="1">
        <v>45888</v>
      </c>
      <c r="B369" t="s">
        <v>1283</v>
      </c>
      <c r="C369" t="s">
        <v>1284</v>
      </c>
      <c r="E369" t="s">
        <v>1285</v>
      </c>
      <c r="F369" t="s">
        <v>95</v>
      </c>
      <c r="G369" t="s">
        <v>28</v>
      </c>
      <c r="H369" t="s">
        <v>29</v>
      </c>
      <c r="I369" t="s">
        <v>1286</v>
      </c>
      <c r="J369" t="s">
        <v>1287</v>
      </c>
      <c r="L369" s="1">
        <v>45870</v>
      </c>
      <c r="M369" s="1">
        <v>45627</v>
      </c>
      <c r="O369">
        <v>16202925</v>
      </c>
      <c r="P369" t="s">
        <v>32</v>
      </c>
      <c r="Q369" t="s">
        <v>1288</v>
      </c>
      <c r="R369">
        <v>8192</v>
      </c>
      <c r="S369" t="s">
        <v>34</v>
      </c>
      <c r="T369" t="s">
        <v>35</v>
      </c>
      <c r="U369">
        <v>29.83</v>
      </c>
      <c r="V369" t="s">
        <v>36</v>
      </c>
      <c r="W369" s="1">
        <v>45658</v>
      </c>
      <c r="X369">
        <v>2025</v>
      </c>
    </row>
    <row r="370" spans="1:24" x14ac:dyDescent="0.25">
      <c r="A370" s="1">
        <v>45888</v>
      </c>
      <c r="B370" t="s">
        <v>1289</v>
      </c>
      <c r="C370" t="s">
        <v>1290</v>
      </c>
      <c r="E370" t="s">
        <v>1291</v>
      </c>
      <c r="F370" t="s">
        <v>27</v>
      </c>
      <c r="G370" t="s">
        <v>28</v>
      </c>
      <c r="H370" t="s">
        <v>127</v>
      </c>
      <c r="I370" t="s">
        <v>30</v>
      </c>
      <c r="J370" t="s">
        <v>128</v>
      </c>
      <c r="L370" s="1">
        <v>45870</v>
      </c>
      <c r="M370" s="1">
        <v>44805</v>
      </c>
      <c r="O370">
        <v>19606009</v>
      </c>
      <c r="P370" t="s">
        <v>32</v>
      </c>
      <c r="Q370" t="s">
        <v>42</v>
      </c>
      <c r="R370">
        <v>8192</v>
      </c>
      <c r="S370" t="s">
        <v>34</v>
      </c>
      <c r="T370" t="s">
        <v>35</v>
      </c>
      <c r="U370">
        <v>1.25</v>
      </c>
      <c r="V370" t="s">
        <v>36</v>
      </c>
      <c r="W370" s="1">
        <v>45870</v>
      </c>
      <c r="X370">
        <v>2025</v>
      </c>
    </row>
    <row r="371" spans="1:24" x14ac:dyDescent="0.25">
      <c r="A371" s="1">
        <v>45888</v>
      </c>
      <c r="B371" t="s">
        <v>1292</v>
      </c>
      <c r="C371" t="s">
        <v>1293</v>
      </c>
      <c r="E371" t="s">
        <v>1294</v>
      </c>
      <c r="F371" t="s">
        <v>27</v>
      </c>
      <c r="G371" t="s">
        <v>28</v>
      </c>
      <c r="H371" t="s">
        <v>29</v>
      </c>
      <c r="I371" t="s">
        <v>30</v>
      </c>
      <c r="J371" t="s">
        <v>46</v>
      </c>
      <c r="L371" s="1">
        <v>45870</v>
      </c>
      <c r="M371" s="1">
        <v>45413</v>
      </c>
      <c r="O371">
        <v>17886092</v>
      </c>
      <c r="P371" t="s">
        <v>32</v>
      </c>
      <c r="Q371" t="s">
        <v>102</v>
      </c>
      <c r="R371">
        <v>8192</v>
      </c>
      <c r="S371" t="s">
        <v>34</v>
      </c>
      <c r="T371" t="s">
        <v>35</v>
      </c>
      <c r="U371">
        <v>3.75</v>
      </c>
      <c r="V371" t="s">
        <v>36</v>
      </c>
      <c r="W371" s="1">
        <v>45341</v>
      </c>
      <c r="X371">
        <v>2025</v>
      </c>
    </row>
    <row r="372" spans="1:24" x14ac:dyDescent="0.25">
      <c r="A372" s="1">
        <v>45888</v>
      </c>
      <c r="B372" t="s">
        <v>1295</v>
      </c>
      <c r="C372" t="s">
        <v>1296</v>
      </c>
      <c r="E372" t="s">
        <v>1297</v>
      </c>
      <c r="F372" t="s">
        <v>27</v>
      </c>
      <c r="G372" t="s">
        <v>28</v>
      </c>
      <c r="H372" t="s">
        <v>96</v>
      </c>
      <c r="J372" t="s">
        <v>613</v>
      </c>
      <c r="L372" s="1">
        <v>45870</v>
      </c>
      <c r="M372" s="1">
        <v>45658</v>
      </c>
      <c r="O372">
        <v>18943687</v>
      </c>
      <c r="P372" t="s">
        <v>32</v>
      </c>
      <c r="Q372" t="s">
        <v>1298</v>
      </c>
      <c r="R372">
        <v>8192</v>
      </c>
      <c r="S372" t="s">
        <v>51</v>
      </c>
      <c r="T372" t="s">
        <v>35</v>
      </c>
      <c r="U372">
        <v>3.92</v>
      </c>
      <c r="V372" t="s">
        <v>36</v>
      </c>
      <c r="W372" s="1">
        <v>45105</v>
      </c>
      <c r="X372">
        <v>2025</v>
      </c>
    </row>
    <row r="373" spans="1:24" x14ac:dyDescent="0.25">
      <c r="A373" s="1">
        <v>45888</v>
      </c>
      <c r="B373" t="s">
        <v>1299</v>
      </c>
      <c r="C373" t="s">
        <v>1300</v>
      </c>
      <c r="E373" t="s">
        <v>1301</v>
      </c>
      <c r="F373" t="s">
        <v>27</v>
      </c>
      <c r="G373" t="s">
        <v>28</v>
      </c>
      <c r="H373" t="s">
        <v>29</v>
      </c>
      <c r="I373" t="s">
        <v>30</v>
      </c>
      <c r="J373" t="s">
        <v>156</v>
      </c>
      <c r="L373" s="1">
        <v>45870</v>
      </c>
      <c r="M373" s="1">
        <v>45292</v>
      </c>
      <c r="O373">
        <v>17528908</v>
      </c>
      <c r="P373" t="s">
        <v>32</v>
      </c>
      <c r="Q373" t="s">
        <v>33</v>
      </c>
      <c r="R373">
        <v>8192</v>
      </c>
      <c r="S373" t="s">
        <v>51</v>
      </c>
      <c r="T373" t="s">
        <v>35</v>
      </c>
      <c r="U373">
        <v>31.92</v>
      </c>
      <c r="V373" t="s">
        <v>36</v>
      </c>
      <c r="W373" s="1">
        <v>45220</v>
      </c>
      <c r="X373">
        <v>2025</v>
      </c>
    </row>
    <row r="374" spans="1:24" x14ac:dyDescent="0.25">
      <c r="A374" s="1">
        <v>45888</v>
      </c>
      <c r="B374" t="s">
        <v>1302</v>
      </c>
      <c r="C374" t="s">
        <v>1303</v>
      </c>
      <c r="E374" t="s">
        <v>1304</v>
      </c>
      <c r="F374" t="s">
        <v>1305</v>
      </c>
      <c r="G374" t="s">
        <v>28</v>
      </c>
      <c r="H374" t="s">
        <v>29</v>
      </c>
      <c r="I374" t="s">
        <v>161</v>
      </c>
      <c r="J374" t="s">
        <v>1306</v>
      </c>
      <c r="L374" s="1">
        <v>45870</v>
      </c>
      <c r="M374" s="1">
        <v>45474</v>
      </c>
      <c r="O374">
        <v>8307933</v>
      </c>
      <c r="P374" t="s">
        <v>32</v>
      </c>
      <c r="Q374" t="s">
        <v>63</v>
      </c>
      <c r="R374">
        <v>8192</v>
      </c>
      <c r="S374" t="s">
        <v>34</v>
      </c>
      <c r="T374" t="s">
        <v>35</v>
      </c>
      <c r="U374">
        <v>29.83</v>
      </c>
      <c r="V374" t="s">
        <v>36</v>
      </c>
      <c r="W374" s="1">
        <v>45470</v>
      </c>
      <c r="X374">
        <v>2025</v>
      </c>
    </row>
    <row r="375" spans="1:24" x14ac:dyDescent="0.25">
      <c r="A375" s="1">
        <v>45888</v>
      </c>
      <c r="B375" t="s">
        <v>1307</v>
      </c>
      <c r="C375" t="s">
        <v>1308</v>
      </c>
      <c r="E375" t="s">
        <v>1309</v>
      </c>
      <c r="F375" t="s">
        <v>27</v>
      </c>
      <c r="G375" t="s">
        <v>28</v>
      </c>
      <c r="H375" t="s">
        <v>29</v>
      </c>
      <c r="I375" t="s">
        <v>30</v>
      </c>
      <c r="J375" t="s">
        <v>70</v>
      </c>
      <c r="L375" s="1">
        <v>45870</v>
      </c>
      <c r="M375" s="1">
        <v>45383</v>
      </c>
      <c r="O375">
        <v>17886092</v>
      </c>
      <c r="P375" t="s">
        <v>32</v>
      </c>
      <c r="Q375" t="s">
        <v>102</v>
      </c>
      <c r="R375">
        <v>8192</v>
      </c>
      <c r="S375" t="s">
        <v>34</v>
      </c>
      <c r="T375" t="s">
        <v>35</v>
      </c>
      <c r="U375">
        <v>3.75</v>
      </c>
      <c r="V375" t="s">
        <v>36</v>
      </c>
      <c r="W375" s="1">
        <v>45371</v>
      </c>
      <c r="X375">
        <v>2025</v>
      </c>
    </row>
    <row r="376" spans="1:24" x14ac:dyDescent="0.25">
      <c r="A376" s="1">
        <v>45888</v>
      </c>
      <c r="B376" t="s">
        <v>1310</v>
      </c>
      <c r="C376" t="s">
        <v>1311</v>
      </c>
      <c r="E376" t="s">
        <v>1312</v>
      </c>
      <c r="F376" t="s">
        <v>27</v>
      </c>
      <c r="G376" t="s">
        <v>28</v>
      </c>
      <c r="H376" t="s">
        <v>29</v>
      </c>
      <c r="I376" t="s">
        <v>30</v>
      </c>
      <c r="J376" t="s">
        <v>156</v>
      </c>
      <c r="L376" s="1">
        <v>45870</v>
      </c>
      <c r="M376" s="1">
        <v>45383</v>
      </c>
      <c r="O376">
        <v>17886092</v>
      </c>
      <c r="P376" t="s">
        <v>32</v>
      </c>
      <c r="Q376" t="s">
        <v>102</v>
      </c>
      <c r="R376">
        <v>8192</v>
      </c>
      <c r="S376" t="s">
        <v>34</v>
      </c>
      <c r="T376" t="s">
        <v>35</v>
      </c>
      <c r="U376">
        <v>3.75</v>
      </c>
      <c r="V376" t="s">
        <v>36</v>
      </c>
      <c r="W376" s="1">
        <v>45370</v>
      </c>
      <c r="X376">
        <v>2025</v>
      </c>
    </row>
    <row r="377" spans="1:24" x14ac:dyDescent="0.25">
      <c r="A377" s="1">
        <v>45888</v>
      </c>
      <c r="B377" t="s">
        <v>1313</v>
      </c>
      <c r="C377" t="s">
        <v>1314</v>
      </c>
      <c r="E377" t="s">
        <v>1315</v>
      </c>
      <c r="F377" t="s">
        <v>27</v>
      </c>
      <c r="G377" t="s">
        <v>28</v>
      </c>
      <c r="H377" t="s">
        <v>29</v>
      </c>
      <c r="I377" t="s">
        <v>30</v>
      </c>
      <c r="J377" t="s">
        <v>50</v>
      </c>
      <c r="L377" s="1">
        <v>45870</v>
      </c>
      <c r="M377" s="1">
        <v>45292</v>
      </c>
      <c r="O377">
        <v>17886092</v>
      </c>
      <c r="P377" t="s">
        <v>32</v>
      </c>
      <c r="Q377" t="s">
        <v>102</v>
      </c>
      <c r="R377">
        <v>8192</v>
      </c>
      <c r="S377" t="s">
        <v>51</v>
      </c>
      <c r="T377" t="s">
        <v>35</v>
      </c>
      <c r="U377">
        <v>2.5</v>
      </c>
      <c r="V377" t="s">
        <v>36</v>
      </c>
      <c r="W377" s="1">
        <v>45263</v>
      </c>
      <c r="X377">
        <v>2025</v>
      </c>
    </row>
    <row r="378" spans="1:24" x14ac:dyDescent="0.25">
      <c r="A378" s="1">
        <v>45888</v>
      </c>
      <c r="B378" t="s">
        <v>1316</v>
      </c>
      <c r="C378" t="s">
        <v>1317</v>
      </c>
      <c r="E378" t="s">
        <v>1318</v>
      </c>
      <c r="F378" t="s">
        <v>1319</v>
      </c>
      <c r="G378" t="s">
        <v>28</v>
      </c>
      <c r="H378" t="s">
        <v>29</v>
      </c>
      <c r="I378" t="s">
        <v>445</v>
      </c>
      <c r="J378" t="s">
        <v>1320</v>
      </c>
      <c r="L378" s="1">
        <v>45870</v>
      </c>
      <c r="M378" s="1">
        <v>45292</v>
      </c>
      <c r="O378">
        <v>8307933</v>
      </c>
      <c r="P378" t="s">
        <v>32</v>
      </c>
      <c r="Q378" t="s">
        <v>63</v>
      </c>
      <c r="R378">
        <v>8192</v>
      </c>
      <c r="S378" t="s">
        <v>51</v>
      </c>
      <c r="T378" t="s">
        <v>35</v>
      </c>
      <c r="U378">
        <v>28.58</v>
      </c>
      <c r="V378" t="s">
        <v>36</v>
      </c>
      <c r="W378" s="1">
        <v>45217</v>
      </c>
      <c r="X378">
        <v>2025</v>
      </c>
    </row>
    <row r="379" spans="1:24" x14ac:dyDescent="0.25">
      <c r="A379" s="1">
        <v>45888</v>
      </c>
      <c r="B379" t="s">
        <v>1321</v>
      </c>
      <c r="C379" t="s">
        <v>1322</v>
      </c>
      <c r="E379" t="s">
        <v>1323</v>
      </c>
      <c r="F379" t="s">
        <v>74</v>
      </c>
      <c r="G379" t="s">
        <v>28</v>
      </c>
      <c r="H379" t="s">
        <v>29</v>
      </c>
      <c r="I379" t="s">
        <v>61</v>
      </c>
      <c r="J379" t="s">
        <v>428</v>
      </c>
      <c r="L379" s="1">
        <v>45870</v>
      </c>
      <c r="M379" s="1">
        <v>45383</v>
      </c>
      <c r="O379">
        <v>8307933</v>
      </c>
      <c r="P379" t="s">
        <v>32</v>
      </c>
      <c r="Q379" t="s">
        <v>63</v>
      </c>
      <c r="R379">
        <v>8192</v>
      </c>
      <c r="S379" t="s">
        <v>34</v>
      </c>
      <c r="T379" t="s">
        <v>35</v>
      </c>
      <c r="U379">
        <v>29.83</v>
      </c>
      <c r="V379" t="s">
        <v>36</v>
      </c>
      <c r="W379" s="1">
        <v>45336</v>
      </c>
      <c r="X379">
        <v>2025</v>
      </c>
    </row>
    <row r="380" spans="1:24" x14ac:dyDescent="0.25">
      <c r="A380" s="1">
        <v>45888</v>
      </c>
      <c r="B380" t="s">
        <v>1324</v>
      </c>
      <c r="C380" t="s">
        <v>1325</v>
      </c>
      <c r="E380" t="s">
        <v>1326</v>
      </c>
      <c r="F380" t="s">
        <v>74</v>
      </c>
      <c r="G380" t="s">
        <v>28</v>
      </c>
      <c r="H380" t="s">
        <v>29</v>
      </c>
      <c r="I380" t="s">
        <v>61</v>
      </c>
      <c r="J380" t="s">
        <v>75</v>
      </c>
      <c r="L380" s="1">
        <v>45870</v>
      </c>
      <c r="M380" s="1">
        <v>45536</v>
      </c>
      <c r="O380">
        <v>7146581</v>
      </c>
      <c r="P380" t="s">
        <v>32</v>
      </c>
      <c r="Q380" t="s">
        <v>259</v>
      </c>
      <c r="R380">
        <v>8192</v>
      </c>
      <c r="S380" t="s">
        <v>34</v>
      </c>
      <c r="T380" t="s">
        <v>35</v>
      </c>
      <c r="U380">
        <v>29.83</v>
      </c>
      <c r="V380" t="s">
        <v>36</v>
      </c>
      <c r="W380" s="1">
        <v>45533</v>
      </c>
      <c r="X380">
        <v>2025</v>
      </c>
    </row>
    <row r="381" spans="1:24" x14ac:dyDescent="0.25">
      <c r="A381" s="1">
        <v>45888</v>
      </c>
      <c r="B381" t="s">
        <v>1327</v>
      </c>
      <c r="C381" t="s">
        <v>1328</v>
      </c>
      <c r="E381" t="s">
        <v>1329</v>
      </c>
      <c r="F381" t="s">
        <v>27</v>
      </c>
      <c r="G381" t="s">
        <v>28</v>
      </c>
      <c r="H381" t="s">
        <v>29</v>
      </c>
      <c r="I381" t="s">
        <v>30</v>
      </c>
      <c r="J381" t="s">
        <v>50</v>
      </c>
      <c r="L381" s="1">
        <v>45870</v>
      </c>
      <c r="M381" s="1">
        <v>45323</v>
      </c>
      <c r="O381">
        <v>17886092</v>
      </c>
      <c r="P381" t="s">
        <v>32</v>
      </c>
      <c r="Q381" t="s">
        <v>102</v>
      </c>
      <c r="R381">
        <v>8192</v>
      </c>
      <c r="S381" t="s">
        <v>51</v>
      </c>
      <c r="T381" t="s">
        <v>35</v>
      </c>
      <c r="U381">
        <v>2.5</v>
      </c>
      <c r="V381" t="s">
        <v>36</v>
      </c>
      <c r="W381" s="1">
        <v>45316</v>
      </c>
      <c r="X381">
        <v>2025</v>
      </c>
    </row>
    <row r="382" spans="1:24" x14ac:dyDescent="0.25">
      <c r="A382" s="1">
        <v>45888</v>
      </c>
      <c r="B382" t="s">
        <v>1330</v>
      </c>
      <c r="C382" t="s">
        <v>1331</v>
      </c>
      <c r="E382" t="s">
        <v>1332</v>
      </c>
      <c r="F382" t="s">
        <v>27</v>
      </c>
      <c r="G382" t="s">
        <v>28</v>
      </c>
      <c r="H382" t="s">
        <v>29</v>
      </c>
      <c r="I382" t="s">
        <v>30</v>
      </c>
      <c r="J382" t="s">
        <v>46</v>
      </c>
      <c r="L382" s="1">
        <v>45870</v>
      </c>
      <c r="M382" s="1">
        <v>45444</v>
      </c>
      <c r="O382">
        <v>17886092</v>
      </c>
      <c r="P382" t="s">
        <v>32</v>
      </c>
      <c r="Q382" t="s">
        <v>102</v>
      </c>
      <c r="R382">
        <v>8192</v>
      </c>
      <c r="S382" t="s">
        <v>34</v>
      </c>
      <c r="T382" t="s">
        <v>35</v>
      </c>
      <c r="U382">
        <v>3.75</v>
      </c>
      <c r="V382" t="s">
        <v>36</v>
      </c>
      <c r="W382" s="1">
        <v>45390</v>
      </c>
      <c r="X382">
        <v>2025</v>
      </c>
    </row>
    <row r="383" spans="1:24" x14ac:dyDescent="0.25">
      <c r="A383" s="1">
        <v>45888</v>
      </c>
      <c r="B383" t="s">
        <v>1333</v>
      </c>
      <c r="C383" t="s">
        <v>1334</v>
      </c>
      <c r="E383" t="s">
        <v>1335</v>
      </c>
      <c r="F383" t="s">
        <v>1336</v>
      </c>
      <c r="G383" t="s">
        <v>28</v>
      </c>
      <c r="H383" t="s">
        <v>29</v>
      </c>
      <c r="I383" t="s">
        <v>1337</v>
      </c>
      <c r="J383" t="s">
        <v>1338</v>
      </c>
      <c r="L383" s="1">
        <v>45870</v>
      </c>
      <c r="M383" s="1">
        <v>45200</v>
      </c>
      <c r="O383">
        <v>8307933</v>
      </c>
      <c r="P383" t="s">
        <v>32</v>
      </c>
      <c r="Q383" t="s">
        <v>63</v>
      </c>
      <c r="R383">
        <v>8192</v>
      </c>
      <c r="S383" t="s">
        <v>51</v>
      </c>
      <c r="T383" t="s">
        <v>35</v>
      </c>
      <c r="U383">
        <v>28.58</v>
      </c>
      <c r="V383" t="s">
        <v>36</v>
      </c>
      <c r="W383" s="1">
        <v>45176</v>
      </c>
      <c r="X383">
        <v>2025</v>
      </c>
    </row>
    <row r="384" spans="1:24" x14ac:dyDescent="0.25">
      <c r="A384" s="1">
        <v>45888</v>
      </c>
      <c r="B384" t="s">
        <v>1339</v>
      </c>
      <c r="C384" t="s">
        <v>1340</v>
      </c>
      <c r="E384" t="s">
        <v>1341</v>
      </c>
      <c r="F384" t="s">
        <v>27</v>
      </c>
      <c r="G384" t="s">
        <v>28</v>
      </c>
      <c r="H384" t="s">
        <v>29</v>
      </c>
      <c r="I384" t="s">
        <v>30</v>
      </c>
      <c r="J384" t="s">
        <v>46</v>
      </c>
      <c r="L384" s="1">
        <v>45870</v>
      </c>
      <c r="M384" s="1">
        <v>45292</v>
      </c>
      <c r="O384">
        <v>17886092</v>
      </c>
      <c r="P384" t="s">
        <v>32</v>
      </c>
      <c r="Q384" t="s">
        <v>102</v>
      </c>
      <c r="R384">
        <v>8192</v>
      </c>
      <c r="S384" t="s">
        <v>51</v>
      </c>
      <c r="T384" t="s">
        <v>35</v>
      </c>
      <c r="U384">
        <v>2.5</v>
      </c>
      <c r="V384" t="s">
        <v>36</v>
      </c>
      <c r="W384" s="1">
        <v>45266</v>
      </c>
      <c r="X384">
        <v>2025</v>
      </c>
    </row>
    <row r="385" spans="1:24" x14ac:dyDescent="0.25">
      <c r="A385" s="1">
        <v>45888</v>
      </c>
      <c r="B385" t="s">
        <v>1342</v>
      </c>
      <c r="C385" t="s">
        <v>1343</v>
      </c>
      <c r="E385" t="s">
        <v>1344</v>
      </c>
      <c r="F385" t="s">
        <v>27</v>
      </c>
      <c r="G385" t="s">
        <v>28</v>
      </c>
      <c r="H385" t="s">
        <v>29</v>
      </c>
      <c r="I385" t="s">
        <v>30</v>
      </c>
      <c r="J385" t="s">
        <v>46</v>
      </c>
      <c r="L385" s="1">
        <v>45870</v>
      </c>
      <c r="M385" s="1">
        <v>45292</v>
      </c>
      <c r="O385">
        <v>17886092</v>
      </c>
      <c r="P385" t="s">
        <v>32</v>
      </c>
      <c r="Q385" t="s">
        <v>102</v>
      </c>
      <c r="R385">
        <v>8192</v>
      </c>
      <c r="S385" t="s">
        <v>51</v>
      </c>
      <c r="T385" t="s">
        <v>35</v>
      </c>
      <c r="U385">
        <v>2.5</v>
      </c>
      <c r="V385" t="s">
        <v>36</v>
      </c>
      <c r="W385" s="1">
        <v>45266</v>
      </c>
      <c r="X385">
        <v>2025</v>
      </c>
    </row>
    <row r="386" spans="1:24" x14ac:dyDescent="0.25">
      <c r="A386" s="1">
        <v>45888</v>
      </c>
      <c r="B386" t="s">
        <v>1345</v>
      </c>
      <c r="C386" t="s">
        <v>1346</v>
      </c>
      <c r="D386" t="s">
        <v>1347</v>
      </c>
      <c r="E386" t="s">
        <v>1348</v>
      </c>
      <c r="F386" t="s">
        <v>27</v>
      </c>
      <c r="G386" t="s">
        <v>28</v>
      </c>
      <c r="H386" t="s">
        <v>29</v>
      </c>
      <c r="I386" t="s">
        <v>273</v>
      </c>
      <c r="J386" t="s">
        <v>1134</v>
      </c>
      <c r="L386" s="1">
        <v>45870</v>
      </c>
      <c r="M386" s="1">
        <v>43466</v>
      </c>
      <c r="O386">
        <v>17528908</v>
      </c>
      <c r="P386" t="s">
        <v>32</v>
      </c>
      <c r="Q386" t="s">
        <v>33</v>
      </c>
      <c r="R386">
        <v>8192</v>
      </c>
      <c r="S386" t="s">
        <v>34</v>
      </c>
      <c r="T386" t="s">
        <v>35</v>
      </c>
      <c r="U386">
        <v>33.17</v>
      </c>
      <c r="V386" t="s">
        <v>36</v>
      </c>
      <c r="W386" s="1">
        <v>45778</v>
      </c>
      <c r="X386">
        <v>2025</v>
      </c>
    </row>
    <row r="387" spans="1:24" x14ac:dyDescent="0.25">
      <c r="A387" s="1">
        <v>45888</v>
      </c>
      <c r="B387" t="s">
        <v>1349</v>
      </c>
      <c r="C387" t="s">
        <v>1350</v>
      </c>
      <c r="D387" t="s">
        <v>1351</v>
      </c>
      <c r="E387" t="s">
        <v>1352</v>
      </c>
      <c r="F387" t="s">
        <v>27</v>
      </c>
      <c r="G387" t="s">
        <v>28</v>
      </c>
      <c r="H387" t="s">
        <v>29</v>
      </c>
      <c r="I387" t="s">
        <v>273</v>
      </c>
      <c r="J387" t="s">
        <v>1134</v>
      </c>
      <c r="L387" s="1">
        <v>45870</v>
      </c>
      <c r="M387" s="1">
        <v>43466</v>
      </c>
      <c r="O387">
        <v>17528908</v>
      </c>
      <c r="P387" t="s">
        <v>32</v>
      </c>
      <c r="Q387" t="s">
        <v>33</v>
      </c>
      <c r="R387">
        <v>8192</v>
      </c>
      <c r="S387" t="s">
        <v>34</v>
      </c>
      <c r="T387" t="s">
        <v>35</v>
      </c>
      <c r="U387">
        <v>33.17</v>
      </c>
      <c r="V387" t="s">
        <v>36</v>
      </c>
      <c r="W387" s="1">
        <v>45778</v>
      </c>
      <c r="X387">
        <v>2025</v>
      </c>
    </row>
    <row r="388" spans="1:24" x14ac:dyDescent="0.25">
      <c r="A388" s="1">
        <v>45888</v>
      </c>
      <c r="B388" t="s">
        <v>1353</v>
      </c>
      <c r="C388" t="s">
        <v>1354</v>
      </c>
      <c r="E388" t="s">
        <v>1355</v>
      </c>
      <c r="F388" t="s">
        <v>27</v>
      </c>
      <c r="G388" t="s">
        <v>28</v>
      </c>
      <c r="H388" t="s">
        <v>29</v>
      </c>
      <c r="I388" t="s">
        <v>30</v>
      </c>
      <c r="J388" t="s">
        <v>31</v>
      </c>
      <c r="L388" s="1">
        <v>45870</v>
      </c>
      <c r="M388" s="1">
        <v>45292</v>
      </c>
      <c r="O388">
        <v>17528908</v>
      </c>
      <c r="P388" t="s">
        <v>32</v>
      </c>
      <c r="Q388" t="s">
        <v>33</v>
      </c>
      <c r="R388">
        <v>8192</v>
      </c>
      <c r="S388" t="s">
        <v>51</v>
      </c>
      <c r="T388" t="s">
        <v>35</v>
      </c>
      <c r="U388">
        <v>31.92</v>
      </c>
      <c r="V388" t="s">
        <v>36</v>
      </c>
      <c r="W388" s="1">
        <v>45273</v>
      </c>
      <c r="X388">
        <v>2025</v>
      </c>
    </row>
    <row r="389" spans="1:24" x14ac:dyDescent="0.25">
      <c r="A389" s="1">
        <v>45888</v>
      </c>
      <c r="B389" t="s">
        <v>1356</v>
      </c>
      <c r="C389" t="s">
        <v>1357</v>
      </c>
      <c r="E389" t="s">
        <v>1358</v>
      </c>
      <c r="F389" t="s">
        <v>27</v>
      </c>
      <c r="G389" t="s">
        <v>28</v>
      </c>
      <c r="H389" t="s">
        <v>29</v>
      </c>
      <c r="I389" t="s">
        <v>30</v>
      </c>
      <c r="J389" t="s">
        <v>31</v>
      </c>
      <c r="L389" s="1">
        <v>45870</v>
      </c>
      <c r="M389" s="1">
        <v>45292</v>
      </c>
      <c r="O389">
        <v>17528908</v>
      </c>
      <c r="P389" t="s">
        <v>32</v>
      </c>
      <c r="Q389" t="s">
        <v>33</v>
      </c>
      <c r="R389">
        <v>8192</v>
      </c>
      <c r="S389" t="s">
        <v>51</v>
      </c>
      <c r="T389" t="s">
        <v>35</v>
      </c>
      <c r="U389">
        <v>31.92</v>
      </c>
      <c r="V389" t="s">
        <v>36</v>
      </c>
      <c r="W389" s="1">
        <v>45273</v>
      </c>
      <c r="X389">
        <v>2025</v>
      </c>
    </row>
    <row r="390" spans="1:24" x14ac:dyDescent="0.25">
      <c r="A390" s="1">
        <v>45888</v>
      </c>
      <c r="B390" t="s">
        <v>1359</v>
      </c>
      <c r="C390" t="s">
        <v>1360</v>
      </c>
      <c r="E390" t="s">
        <v>1361</v>
      </c>
      <c r="F390" t="s">
        <v>27</v>
      </c>
      <c r="G390" t="s">
        <v>28</v>
      </c>
      <c r="H390" t="s">
        <v>29</v>
      </c>
      <c r="I390" t="s">
        <v>30</v>
      </c>
      <c r="J390" t="s">
        <v>70</v>
      </c>
      <c r="L390" s="1">
        <v>45870</v>
      </c>
      <c r="M390" s="1">
        <v>45261</v>
      </c>
      <c r="O390">
        <v>17528908</v>
      </c>
      <c r="P390" t="s">
        <v>32</v>
      </c>
      <c r="Q390" t="s">
        <v>33</v>
      </c>
      <c r="R390">
        <v>8192</v>
      </c>
      <c r="S390" t="s">
        <v>51</v>
      </c>
      <c r="T390" t="s">
        <v>35</v>
      </c>
      <c r="U390">
        <v>31.92</v>
      </c>
      <c r="V390" t="s">
        <v>36</v>
      </c>
      <c r="W390" s="1">
        <v>45216</v>
      </c>
      <c r="X390">
        <v>2025</v>
      </c>
    </row>
    <row r="391" spans="1:24" x14ac:dyDescent="0.25">
      <c r="A391" s="1">
        <v>45888</v>
      </c>
      <c r="B391" t="s">
        <v>1362</v>
      </c>
      <c r="C391" t="s">
        <v>1363</v>
      </c>
      <c r="E391" t="s">
        <v>1364</v>
      </c>
      <c r="F391" t="s">
        <v>27</v>
      </c>
      <c r="G391" t="s">
        <v>28</v>
      </c>
      <c r="H391" t="s">
        <v>29</v>
      </c>
      <c r="I391" t="s">
        <v>30</v>
      </c>
      <c r="J391" t="s">
        <v>70</v>
      </c>
      <c r="L391" s="1">
        <v>45870</v>
      </c>
      <c r="M391" s="1">
        <v>45536</v>
      </c>
      <c r="O391">
        <v>17528908</v>
      </c>
      <c r="P391" t="s">
        <v>32</v>
      </c>
      <c r="Q391" t="s">
        <v>33</v>
      </c>
      <c r="R391">
        <v>8192</v>
      </c>
      <c r="S391" t="s">
        <v>34</v>
      </c>
      <c r="T391" t="s">
        <v>35</v>
      </c>
      <c r="U391">
        <v>33.17</v>
      </c>
      <c r="V391" t="s">
        <v>36</v>
      </c>
      <c r="W391" s="1">
        <v>45489</v>
      </c>
      <c r="X391">
        <v>2025</v>
      </c>
    </row>
    <row r="392" spans="1:24" x14ac:dyDescent="0.25">
      <c r="A392" s="1">
        <v>45888</v>
      </c>
      <c r="B392" t="s">
        <v>1365</v>
      </c>
      <c r="C392" t="s">
        <v>1366</v>
      </c>
      <c r="E392" t="s">
        <v>1367</v>
      </c>
      <c r="F392" t="s">
        <v>27</v>
      </c>
      <c r="G392" t="s">
        <v>28</v>
      </c>
      <c r="H392" t="s">
        <v>29</v>
      </c>
      <c r="I392" t="s">
        <v>30</v>
      </c>
      <c r="J392" t="s">
        <v>46</v>
      </c>
      <c r="L392" s="1">
        <v>45870</v>
      </c>
      <c r="M392" s="1">
        <v>45474</v>
      </c>
      <c r="O392">
        <v>17528908</v>
      </c>
      <c r="P392" t="s">
        <v>32</v>
      </c>
      <c r="Q392" t="s">
        <v>33</v>
      </c>
      <c r="R392">
        <v>8192</v>
      </c>
      <c r="S392" t="s">
        <v>34</v>
      </c>
      <c r="T392" t="s">
        <v>35</v>
      </c>
      <c r="U392">
        <v>33.17</v>
      </c>
      <c r="V392" t="s">
        <v>36</v>
      </c>
      <c r="W392" s="1">
        <v>45470</v>
      </c>
      <c r="X392">
        <v>2025</v>
      </c>
    </row>
    <row r="393" spans="1:24" x14ac:dyDescent="0.25">
      <c r="A393" s="1">
        <v>45888</v>
      </c>
      <c r="B393" t="s">
        <v>1368</v>
      </c>
      <c r="C393" t="s">
        <v>1369</v>
      </c>
      <c r="E393" t="s">
        <v>1370</v>
      </c>
      <c r="F393" t="s">
        <v>27</v>
      </c>
      <c r="G393" t="s">
        <v>28</v>
      </c>
      <c r="H393" t="s">
        <v>29</v>
      </c>
      <c r="I393" t="s">
        <v>40</v>
      </c>
      <c r="J393" t="s">
        <v>31</v>
      </c>
      <c r="L393" s="1">
        <v>45870</v>
      </c>
      <c r="M393" s="1">
        <v>43831</v>
      </c>
      <c r="O393">
        <v>19606009</v>
      </c>
      <c r="P393" t="s">
        <v>32</v>
      </c>
      <c r="Q393" t="s">
        <v>42</v>
      </c>
      <c r="R393">
        <v>8192</v>
      </c>
      <c r="S393" t="s">
        <v>34</v>
      </c>
      <c r="T393" t="s">
        <v>35</v>
      </c>
      <c r="U393">
        <v>1.25</v>
      </c>
      <c r="V393" t="s">
        <v>36</v>
      </c>
      <c r="W393" s="1">
        <v>45839</v>
      </c>
      <c r="X393">
        <v>2025</v>
      </c>
    </row>
    <row r="394" spans="1:24" x14ac:dyDescent="0.25">
      <c r="A394" s="1">
        <v>45888</v>
      </c>
      <c r="B394" t="s">
        <v>1371</v>
      </c>
      <c r="C394" t="s">
        <v>1372</v>
      </c>
      <c r="E394" t="s">
        <v>1373</v>
      </c>
      <c r="F394" t="s">
        <v>27</v>
      </c>
      <c r="G394" t="s">
        <v>28</v>
      </c>
      <c r="H394" t="s">
        <v>29</v>
      </c>
      <c r="I394" t="s">
        <v>30</v>
      </c>
      <c r="J394" t="s">
        <v>50</v>
      </c>
      <c r="L394" s="1">
        <v>45870</v>
      </c>
      <c r="M394" s="1">
        <v>45658</v>
      </c>
      <c r="O394">
        <v>17886092</v>
      </c>
      <c r="P394" t="s">
        <v>32</v>
      </c>
      <c r="Q394" t="s">
        <v>102</v>
      </c>
      <c r="R394">
        <v>8192</v>
      </c>
      <c r="S394" t="s">
        <v>51</v>
      </c>
      <c r="T394" t="s">
        <v>35</v>
      </c>
      <c r="U394">
        <v>2.5</v>
      </c>
      <c r="V394" t="s">
        <v>36</v>
      </c>
      <c r="W394" s="1">
        <v>45219</v>
      </c>
      <c r="X394">
        <v>2025</v>
      </c>
    </row>
    <row r="395" spans="1:24" x14ac:dyDescent="0.25">
      <c r="A395" s="1">
        <v>45888</v>
      </c>
      <c r="B395" t="s">
        <v>1374</v>
      </c>
      <c r="C395" t="s">
        <v>1375</v>
      </c>
      <c r="E395" t="s">
        <v>1376</v>
      </c>
      <c r="F395" t="s">
        <v>27</v>
      </c>
      <c r="G395" t="s">
        <v>28</v>
      </c>
      <c r="H395" t="s">
        <v>29</v>
      </c>
      <c r="I395" t="s">
        <v>30</v>
      </c>
      <c r="J395" t="s">
        <v>202</v>
      </c>
      <c r="L395" s="1">
        <v>45870</v>
      </c>
      <c r="M395" s="1">
        <v>45292</v>
      </c>
      <c r="O395">
        <v>17886092</v>
      </c>
      <c r="P395" t="s">
        <v>32</v>
      </c>
      <c r="Q395" t="s">
        <v>102</v>
      </c>
      <c r="R395">
        <v>8192</v>
      </c>
      <c r="S395" t="s">
        <v>51</v>
      </c>
      <c r="T395" t="s">
        <v>35</v>
      </c>
      <c r="U395">
        <v>2.5</v>
      </c>
      <c r="V395" t="s">
        <v>36</v>
      </c>
      <c r="W395" s="1">
        <v>45214</v>
      </c>
      <c r="X395">
        <v>2025</v>
      </c>
    </row>
    <row r="396" spans="1:24" x14ac:dyDescent="0.25">
      <c r="A396" s="1">
        <v>45888</v>
      </c>
      <c r="B396" t="s">
        <v>1377</v>
      </c>
      <c r="C396" t="s">
        <v>1378</v>
      </c>
      <c r="E396" t="s">
        <v>1379</v>
      </c>
      <c r="F396" t="s">
        <v>74</v>
      </c>
      <c r="G396" t="s">
        <v>28</v>
      </c>
      <c r="H396" t="s">
        <v>96</v>
      </c>
      <c r="J396" t="s">
        <v>1380</v>
      </c>
      <c r="L396" s="1">
        <v>45870</v>
      </c>
      <c r="M396" s="1">
        <v>45505</v>
      </c>
      <c r="O396">
        <v>19200754</v>
      </c>
      <c r="P396" t="s">
        <v>32</v>
      </c>
      <c r="Q396" t="s">
        <v>780</v>
      </c>
      <c r="R396">
        <v>8192</v>
      </c>
      <c r="S396" t="s">
        <v>34</v>
      </c>
      <c r="T396" t="s">
        <v>35</v>
      </c>
      <c r="U396">
        <v>4.33</v>
      </c>
      <c r="V396" t="s">
        <v>36</v>
      </c>
      <c r="W396" s="1">
        <v>45490</v>
      </c>
      <c r="X396">
        <v>2025</v>
      </c>
    </row>
    <row r="397" spans="1:24" x14ac:dyDescent="0.25">
      <c r="A397" s="1">
        <v>45888</v>
      </c>
      <c r="B397" t="s">
        <v>1381</v>
      </c>
      <c r="C397" t="s">
        <v>1382</v>
      </c>
      <c r="E397" t="s">
        <v>1383</v>
      </c>
      <c r="F397" t="s">
        <v>160</v>
      </c>
      <c r="G397" t="s">
        <v>28</v>
      </c>
      <c r="H397" t="s">
        <v>96</v>
      </c>
      <c r="J397" t="s">
        <v>1384</v>
      </c>
      <c r="L397" s="1">
        <v>45870</v>
      </c>
      <c r="M397" s="1">
        <v>45261</v>
      </c>
      <c r="O397">
        <v>15278437</v>
      </c>
      <c r="P397" t="s">
        <v>32</v>
      </c>
      <c r="Q397" t="s">
        <v>221</v>
      </c>
      <c r="R397">
        <v>8192</v>
      </c>
      <c r="S397" t="s">
        <v>51</v>
      </c>
      <c r="T397" t="s">
        <v>35</v>
      </c>
      <c r="U397">
        <v>3.92</v>
      </c>
      <c r="V397" t="s">
        <v>36</v>
      </c>
      <c r="W397" s="1">
        <v>45247</v>
      </c>
      <c r="X397">
        <v>2025</v>
      </c>
    </row>
    <row r="398" spans="1:24" x14ac:dyDescent="0.25">
      <c r="A398" s="1">
        <v>45888</v>
      </c>
      <c r="B398" t="s">
        <v>1385</v>
      </c>
      <c r="C398" t="s">
        <v>1386</v>
      </c>
      <c r="E398" t="s">
        <v>1387</v>
      </c>
      <c r="F398" t="s">
        <v>27</v>
      </c>
      <c r="G398" t="s">
        <v>28</v>
      </c>
      <c r="H398" t="s">
        <v>29</v>
      </c>
      <c r="I398" t="s">
        <v>30</v>
      </c>
      <c r="J398" t="s">
        <v>31</v>
      </c>
      <c r="L398" s="1">
        <v>45870</v>
      </c>
      <c r="M398" s="1">
        <v>45413</v>
      </c>
      <c r="O398">
        <v>17528908</v>
      </c>
      <c r="P398" t="s">
        <v>32</v>
      </c>
      <c r="Q398" t="s">
        <v>33</v>
      </c>
      <c r="R398">
        <v>8192</v>
      </c>
      <c r="S398" t="s">
        <v>34</v>
      </c>
      <c r="T398" t="s">
        <v>35</v>
      </c>
      <c r="U398">
        <v>33.17</v>
      </c>
      <c r="V398" t="s">
        <v>36</v>
      </c>
      <c r="W398" s="1">
        <v>45407</v>
      </c>
      <c r="X398">
        <v>2025</v>
      </c>
    </row>
    <row r="399" spans="1:24" x14ac:dyDescent="0.25">
      <c r="A399" s="1">
        <v>45888</v>
      </c>
      <c r="B399" t="s">
        <v>1388</v>
      </c>
      <c r="C399" t="s">
        <v>1389</v>
      </c>
      <c r="E399" t="s">
        <v>1390</v>
      </c>
      <c r="F399" t="s">
        <v>27</v>
      </c>
      <c r="G399" t="s">
        <v>28</v>
      </c>
      <c r="H399" t="s">
        <v>29</v>
      </c>
      <c r="I399" t="s">
        <v>30</v>
      </c>
      <c r="J399" t="s">
        <v>50</v>
      </c>
      <c r="L399" s="1">
        <v>45870</v>
      </c>
      <c r="M399" s="1">
        <v>45658</v>
      </c>
      <c r="O399">
        <v>17886092</v>
      </c>
      <c r="P399" t="s">
        <v>32</v>
      </c>
      <c r="Q399" t="s">
        <v>102</v>
      </c>
      <c r="R399">
        <v>8192</v>
      </c>
      <c r="S399" t="s">
        <v>34</v>
      </c>
      <c r="T399" t="s">
        <v>35</v>
      </c>
      <c r="U399">
        <v>3.75</v>
      </c>
      <c r="V399" t="s">
        <v>36</v>
      </c>
      <c r="W399" s="1">
        <v>45413</v>
      </c>
      <c r="X399">
        <v>2025</v>
      </c>
    </row>
    <row r="400" spans="1:24" x14ac:dyDescent="0.25">
      <c r="A400" s="1">
        <v>45888</v>
      </c>
      <c r="B400" t="s">
        <v>1391</v>
      </c>
      <c r="C400" t="s">
        <v>1392</v>
      </c>
      <c r="E400" t="s">
        <v>1393</v>
      </c>
      <c r="F400" t="s">
        <v>27</v>
      </c>
      <c r="G400" t="s">
        <v>28</v>
      </c>
      <c r="H400" t="s">
        <v>29</v>
      </c>
      <c r="I400" t="s">
        <v>30</v>
      </c>
      <c r="J400" t="s">
        <v>31</v>
      </c>
      <c r="L400" s="1">
        <v>45870</v>
      </c>
      <c r="M400" s="1">
        <v>45444</v>
      </c>
      <c r="O400">
        <v>17528908</v>
      </c>
      <c r="P400" t="s">
        <v>32</v>
      </c>
      <c r="Q400" t="s">
        <v>33</v>
      </c>
      <c r="R400">
        <v>8192</v>
      </c>
      <c r="S400" t="s">
        <v>34</v>
      </c>
      <c r="T400" t="s">
        <v>35</v>
      </c>
      <c r="U400">
        <v>33.17</v>
      </c>
      <c r="V400" t="s">
        <v>36</v>
      </c>
      <c r="W400" s="1">
        <v>45365</v>
      </c>
      <c r="X400">
        <v>2025</v>
      </c>
    </row>
    <row r="401" spans="1:24" x14ac:dyDescent="0.25">
      <c r="A401" s="1">
        <v>45888</v>
      </c>
      <c r="B401" t="s">
        <v>1394</v>
      </c>
      <c r="C401" t="s">
        <v>1395</v>
      </c>
      <c r="E401" t="s">
        <v>1396</v>
      </c>
      <c r="F401" t="s">
        <v>27</v>
      </c>
      <c r="G401" t="s">
        <v>28</v>
      </c>
      <c r="H401" t="s">
        <v>29</v>
      </c>
      <c r="I401" t="s">
        <v>30</v>
      </c>
      <c r="J401" t="s">
        <v>173</v>
      </c>
      <c r="L401" s="1">
        <v>45870</v>
      </c>
      <c r="M401" s="1">
        <v>45200</v>
      </c>
      <c r="O401">
        <v>8307933</v>
      </c>
      <c r="P401" t="s">
        <v>32</v>
      </c>
      <c r="Q401" t="s">
        <v>63</v>
      </c>
      <c r="R401">
        <v>8192</v>
      </c>
      <c r="S401" t="s">
        <v>51</v>
      </c>
      <c r="T401" t="s">
        <v>35</v>
      </c>
      <c r="U401">
        <v>31.92</v>
      </c>
      <c r="V401" t="s">
        <v>36</v>
      </c>
      <c r="W401" s="1">
        <v>45160</v>
      </c>
      <c r="X401">
        <v>2025</v>
      </c>
    </row>
    <row r="402" spans="1:24" x14ac:dyDescent="0.25">
      <c r="A402" s="1">
        <v>45888</v>
      </c>
      <c r="B402" t="s">
        <v>1397</v>
      </c>
      <c r="C402" t="s">
        <v>1398</v>
      </c>
      <c r="E402" t="s">
        <v>1399</v>
      </c>
      <c r="F402" t="s">
        <v>27</v>
      </c>
      <c r="G402" t="s">
        <v>28</v>
      </c>
      <c r="H402" t="s">
        <v>29</v>
      </c>
      <c r="I402" t="s">
        <v>30</v>
      </c>
      <c r="J402" t="s">
        <v>46</v>
      </c>
      <c r="L402" s="1">
        <v>45870</v>
      </c>
      <c r="M402" s="1">
        <v>45047</v>
      </c>
      <c r="O402">
        <v>19606009</v>
      </c>
      <c r="P402" t="s">
        <v>32</v>
      </c>
      <c r="Q402" t="s">
        <v>42</v>
      </c>
      <c r="R402">
        <v>8192</v>
      </c>
      <c r="S402" t="s">
        <v>34</v>
      </c>
      <c r="T402" t="s">
        <v>35</v>
      </c>
      <c r="U402">
        <v>1.25</v>
      </c>
      <c r="V402" t="s">
        <v>36</v>
      </c>
      <c r="W402" s="1">
        <v>45870</v>
      </c>
      <c r="X402">
        <v>2025</v>
      </c>
    </row>
    <row r="403" spans="1:24" x14ac:dyDescent="0.25">
      <c r="A403" s="1">
        <v>45888</v>
      </c>
      <c r="B403" t="s">
        <v>1400</v>
      </c>
      <c r="C403" t="s">
        <v>1401</v>
      </c>
      <c r="E403" t="s">
        <v>1402</v>
      </c>
      <c r="F403" t="s">
        <v>160</v>
      </c>
      <c r="G403" t="s">
        <v>28</v>
      </c>
      <c r="H403" t="s">
        <v>29</v>
      </c>
      <c r="I403" t="s">
        <v>161</v>
      </c>
      <c r="J403" t="s">
        <v>1403</v>
      </c>
      <c r="L403" s="1">
        <v>45870</v>
      </c>
      <c r="M403" s="1">
        <v>45536</v>
      </c>
      <c r="O403">
        <v>6634327</v>
      </c>
      <c r="P403" t="s">
        <v>32</v>
      </c>
      <c r="Q403" t="s">
        <v>163</v>
      </c>
      <c r="R403">
        <v>8192</v>
      </c>
      <c r="S403" t="s">
        <v>34</v>
      </c>
      <c r="T403" t="s">
        <v>35</v>
      </c>
      <c r="U403">
        <v>29.83</v>
      </c>
      <c r="V403" t="s">
        <v>36</v>
      </c>
      <c r="W403" s="1">
        <v>45530</v>
      </c>
      <c r="X403">
        <v>2025</v>
      </c>
    </row>
    <row r="404" spans="1:24" x14ac:dyDescent="0.25">
      <c r="A404" s="1">
        <v>45888</v>
      </c>
      <c r="B404" t="s">
        <v>1404</v>
      </c>
      <c r="C404" t="s">
        <v>1405</v>
      </c>
      <c r="E404" t="s">
        <v>1406</v>
      </c>
      <c r="F404" t="s">
        <v>27</v>
      </c>
      <c r="G404" t="s">
        <v>28</v>
      </c>
      <c r="H404" t="s">
        <v>29</v>
      </c>
      <c r="I404" t="s">
        <v>30</v>
      </c>
      <c r="J404" t="s">
        <v>46</v>
      </c>
      <c r="L404" s="1">
        <v>45870</v>
      </c>
      <c r="M404" s="1">
        <v>45292</v>
      </c>
      <c r="O404">
        <v>17886092</v>
      </c>
      <c r="P404" t="s">
        <v>32</v>
      </c>
      <c r="Q404" t="s">
        <v>102</v>
      </c>
      <c r="R404">
        <v>8192</v>
      </c>
      <c r="S404" t="s">
        <v>51</v>
      </c>
      <c r="T404" t="s">
        <v>35</v>
      </c>
      <c r="U404">
        <v>2.5</v>
      </c>
      <c r="V404" t="s">
        <v>36</v>
      </c>
      <c r="W404" s="1">
        <v>45261</v>
      </c>
      <c r="X404">
        <v>2025</v>
      </c>
    </row>
    <row r="405" spans="1:24" x14ac:dyDescent="0.25">
      <c r="A405" s="1">
        <v>45888</v>
      </c>
      <c r="B405" t="s">
        <v>1407</v>
      </c>
      <c r="C405" t="s">
        <v>1408</v>
      </c>
      <c r="E405" t="s">
        <v>1409</v>
      </c>
      <c r="F405" t="s">
        <v>27</v>
      </c>
      <c r="G405" t="s">
        <v>28</v>
      </c>
      <c r="H405" t="s">
        <v>29</v>
      </c>
      <c r="I405" t="s">
        <v>30</v>
      </c>
      <c r="J405" t="s">
        <v>46</v>
      </c>
      <c r="L405" s="1">
        <v>45870</v>
      </c>
      <c r="M405" s="1">
        <v>44927</v>
      </c>
      <c r="O405">
        <v>19606009</v>
      </c>
      <c r="P405" t="s">
        <v>32</v>
      </c>
      <c r="Q405" t="s">
        <v>42</v>
      </c>
      <c r="R405">
        <v>8192</v>
      </c>
      <c r="S405" t="s">
        <v>34</v>
      </c>
      <c r="T405" t="s">
        <v>35</v>
      </c>
      <c r="U405">
        <v>1.25</v>
      </c>
      <c r="V405" t="s">
        <v>36</v>
      </c>
      <c r="W405" s="1">
        <v>45870</v>
      </c>
      <c r="X405">
        <v>2025</v>
      </c>
    </row>
    <row r="406" spans="1:24" x14ac:dyDescent="0.25">
      <c r="A406" s="1">
        <v>45888</v>
      </c>
      <c r="B406" t="s">
        <v>1410</v>
      </c>
      <c r="C406" t="s">
        <v>1411</v>
      </c>
      <c r="E406" t="s">
        <v>1412</v>
      </c>
      <c r="F406" t="s">
        <v>27</v>
      </c>
      <c r="G406" t="s">
        <v>28</v>
      </c>
      <c r="H406" t="s">
        <v>29</v>
      </c>
      <c r="I406" t="s">
        <v>30</v>
      </c>
      <c r="J406" t="s">
        <v>31</v>
      </c>
      <c r="L406" s="1">
        <v>45870</v>
      </c>
      <c r="M406" s="1">
        <v>45352</v>
      </c>
      <c r="O406">
        <v>17886092</v>
      </c>
      <c r="P406" t="s">
        <v>32</v>
      </c>
      <c r="Q406" t="s">
        <v>102</v>
      </c>
      <c r="R406">
        <v>8192</v>
      </c>
      <c r="S406" t="s">
        <v>34</v>
      </c>
      <c r="T406" t="s">
        <v>35</v>
      </c>
      <c r="U406">
        <v>3.75</v>
      </c>
      <c r="V406" t="s">
        <v>36</v>
      </c>
      <c r="W406" s="1">
        <v>45342</v>
      </c>
      <c r="X406">
        <v>2025</v>
      </c>
    </row>
    <row r="407" spans="1:24" x14ac:dyDescent="0.25">
      <c r="A407" s="1">
        <v>45888</v>
      </c>
      <c r="B407" t="s">
        <v>1413</v>
      </c>
      <c r="C407" t="s">
        <v>1414</v>
      </c>
      <c r="E407" t="s">
        <v>1415</v>
      </c>
      <c r="F407" t="s">
        <v>27</v>
      </c>
      <c r="G407" t="s">
        <v>28</v>
      </c>
      <c r="H407" t="s">
        <v>29</v>
      </c>
      <c r="I407" t="s">
        <v>30</v>
      </c>
      <c r="J407" t="s">
        <v>31</v>
      </c>
      <c r="L407" s="1">
        <v>45870</v>
      </c>
      <c r="M407" s="1">
        <v>45017</v>
      </c>
      <c r="O407">
        <v>19606009</v>
      </c>
      <c r="P407" t="s">
        <v>32</v>
      </c>
      <c r="Q407" t="s">
        <v>42</v>
      </c>
      <c r="R407">
        <v>8192</v>
      </c>
      <c r="S407" t="s">
        <v>34</v>
      </c>
      <c r="T407" t="s">
        <v>35</v>
      </c>
      <c r="U407">
        <v>1.25</v>
      </c>
      <c r="V407" t="s">
        <v>36</v>
      </c>
      <c r="W407" s="1">
        <v>45839</v>
      </c>
      <c r="X407">
        <v>2025</v>
      </c>
    </row>
    <row r="408" spans="1:24" x14ac:dyDescent="0.25">
      <c r="A408" s="1">
        <v>45888</v>
      </c>
      <c r="B408" t="s">
        <v>1416</v>
      </c>
      <c r="C408" t="s">
        <v>1417</v>
      </c>
      <c r="E408" t="s">
        <v>1418</v>
      </c>
      <c r="F408" t="s">
        <v>27</v>
      </c>
      <c r="G408" t="s">
        <v>28</v>
      </c>
      <c r="H408" t="s">
        <v>29</v>
      </c>
      <c r="I408" t="s">
        <v>30</v>
      </c>
      <c r="J408" t="s">
        <v>55</v>
      </c>
      <c r="L408" s="1">
        <v>45870</v>
      </c>
      <c r="M408" s="1">
        <v>45597</v>
      </c>
      <c r="O408">
        <v>17425766</v>
      </c>
      <c r="P408" t="s">
        <v>32</v>
      </c>
      <c r="Q408" t="s">
        <v>56</v>
      </c>
      <c r="R408">
        <v>8192</v>
      </c>
      <c r="S408" t="s">
        <v>34</v>
      </c>
      <c r="T408" t="s">
        <v>35</v>
      </c>
      <c r="U408">
        <v>33.17</v>
      </c>
      <c r="V408" t="s">
        <v>36</v>
      </c>
      <c r="W408" s="1">
        <v>45568</v>
      </c>
      <c r="X408">
        <v>2025</v>
      </c>
    </row>
    <row r="409" spans="1:24" x14ac:dyDescent="0.25">
      <c r="A409" s="1">
        <v>45888</v>
      </c>
      <c r="B409" t="s">
        <v>1419</v>
      </c>
      <c r="C409" t="s">
        <v>1420</v>
      </c>
      <c r="E409" t="s">
        <v>1421</v>
      </c>
      <c r="F409" t="s">
        <v>74</v>
      </c>
      <c r="G409" t="s">
        <v>28</v>
      </c>
      <c r="H409" t="s">
        <v>29</v>
      </c>
      <c r="I409" t="s">
        <v>61</v>
      </c>
      <c r="J409" t="s">
        <v>75</v>
      </c>
      <c r="L409" s="1">
        <v>45870</v>
      </c>
      <c r="M409" s="1">
        <v>45536</v>
      </c>
      <c r="O409">
        <v>7146581</v>
      </c>
      <c r="P409" t="s">
        <v>32</v>
      </c>
      <c r="Q409" t="s">
        <v>259</v>
      </c>
      <c r="R409">
        <v>8192</v>
      </c>
      <c r="S409" t="s">
        <v>34</v>
      </c>
      <c r="T409" t="s">
        <v>35</v>
      </c>
      <c r="U409">
        <v>29.83</v>
      </c>
      <c r="V409" t="s">
        <v>36</v>
      </c>
      <c r="W409" s="1">
        <v>45533</v>
      </c>
      <c r="X409">
        <v>2025</v>
      </c>
    </row>
    <row r="410" spans="1:24" x14ac:dyDescent="0.25">
      <c r="A410" s="1">
        <v>45888</v>
      </c>
      <c r="B410" t="s">
        <v>1422</v>
      </c>
      <c r="C410" t="s">
        <v>1423</v>
      </c>
      <c r="E410" t="s">
        <v>1424</v>
      </c>
      <c r="F410" t="s">
        <v>74</v>
      </c>
      <c r="G410" t="s">
        <v>28</v>
      </c>
      <c r="H410" t="s">
        <v>29</v>
      </c>
      <c r="I410" t="s">
        <v>61</v>
      </c>
      <c r="J410" t="s">
        <v>797</v>
      </c>
      <c r="L410" s="1">
        <v>45870</v>
      </c>
      <c r="M410" s="1">
        <v>45292</v>
      </c>
      <c r="O410">
        <v>8307933</v>
      </c>
      <c r="P410" t="s">
        <v>32</v>
      </c>
      <c r="Q410" t="s">
        <v>63</v>
      </c>
      <c r="R410">
        <v>8192</v>
      </c>
      <c r="S410" t="s">
        <v>51</v>
      </c>
      <c r="T410" t="s">
        <v>35</v>
      </c>
      <c r="U410">
        <v>28.58</v>
      </c>
      <c r="V410" t="s">
        <v>36</v>
      </c>
      <c r="W410" s="1">
        <v>45231</v>
      </c>
      <c r="X410">
        <v>2025</v>
      </c>
    </row>
    <row r="411" spans="1:24" x14ac:dyDescent="0.25">
      <c r="A411" s="1">
        <v>45888</v>
      </c>
      <c r="B411" t="s">
        <v>1425</v>
      </c>
      <c r="C411" t="s">
        <v>1426</v>
      </c>
      <c r="E411" t="s">
        <v>1427</v>
      </c>
      <c r="F411" t="s">
        <v>74</v>
      </c>
      <c r="G411" t="s">
        <v>28</v>
      </c>
      <c r="H411" t="s">
        <v>29</v>
      </c>
      <c r="I411" t="s">
        <v>61</v>
      </c>
      <c r="J411" t="s">
        <v>75</v>
      </c>
      <c r="L411" s="1">
        <v>45870</v>
      </c>
      <c r="M411" s="1">
        <v>45292</v>
      </c>
      <c r="O411">
        <v>8307933</v>
      </c>
      <c r="P411" t="s">
        <v>32</v>
      </c>
      <c r="Q411" t="s">
        <v>63</v>
      </c>
      <c r="R411">
        <v>8192</v>
      </c>
      <c r="S411" t="s">
        <v>51</v>
      </c>
      <c r="T411" t="s">
        <v>35</v>
      </c>
      <c r="U411">
        <v>28.58</v>
      </c>
      <c r="V411" t="s">
        <v>36</v>
      </c>
      <c r="W411" s="1">
        <v>45265</v>
      </c>
      <c r="X411">
        <v>2025</v>
      </c>
    </row>
    <row r="412" spans="1:24" x14ac:dyDescent="0.25">
      <c r="A412" s="1">
        <v>45888</v>
      </c>
      <c r="B412" t="s">
        <v>1428</v>
      </c>
      <c r="C412" t="s">
        <v>1429</v>
      </c>
      <c r="E412" t="s">
        <v>1430</v>
      </c>
      <c r="F412" t="s">
        <v>27</v>
      </c>
      <c r="G412" t="s">
        <v>28</v>
      </c>
      <c r="H412" t="s">
        <v>29</v>
      </c>
      <c r="I412" t="s">
        <v>40</v>
      </c>
      <c r="J412" t="s">
        <v>46</v>
      </c>
      <c r="L412" s="1">
        <v>45870</v>
      </c>
      <c r="M412" s="1">
        <v>43922</v>
      </c>
      <c r="O412">
        <v>19606009</v>
      </c>
      <c r="P412" t="s">
        <v>32</v>
      </c>
      <c r="Q412" t="s">
        <v>42</v>
      </c>
      <c r="R412">
        <v>8192</v>
      </c>
      <c r="S412" t="s">
        <v>34</v>
      </c>
      <c r="T412" t="s">
        <v>35</v>
      </c>
      <c r="U412">
        <v>1.25</v>
      </c>
      <c r="V412" t="s">
        <v>36</v>
      </c>
      <c r="W412" s="1">
        <v>45870</v>
      </c>
      <c r="X412">
        <v>2025</v>
      </c>
    </row>
    <row r="413" spans="1:24" x14ac:dyDescent="0.25">
      <c r="A413" s="1">
        <v>45888</v>
      </c>
      <c r="B413" t="s">
        <v>1431</v>
      </c>
      <c r="C413" t="s">
        <v>1432</v>
      </c>
      <c r="E413" t="s">
        <v>1433</v>
      </c>
      <c r="F413" t="s">
        <v>27</v>
      </c>
      <c r="G413" t="s">
        <v>28</v>
      </c>
      <c r="H413" t="s">
        <v>29</v>
      </c>
      <c r="I413" t="s">
        <v>40</v>
      </c>
      <c r="J413" t="s">
        <v>46</v>
      </c>
      <c r="L413" s="1">
        <v>45870</v>
      </c>
      <c r="M413" s="1">
        <v>43922</v>
      </c>
      <c r="O413">
        <v>19606009</v>
      </c>
      <c r="P413" t="s">
        <v>32</v>
      </c>
      <c r="Q413" t="s">
        <v>42</v>
      </c>
      <c r="R413">
        <v>8192</v>
      </c>
      <c r="S413" t="s">
        <v>34</v>
      </c>
      <c r="T413" t="s">
        <v>35</v>
      </c>
      <c r="U413">
        <v>1.25</v>
      </c>
      <c r="V413" t="s">
        <v>36</v>
      </c>
      <c r="W413" s="1">
        <v>45870</v>
      </c>
      <c r="X413">
        <v>2025</v>
      </c>
    </row>
    <row r="414" spans="1:24" x14ac:dyDescent="0.25">
      <c r="A414" s="1">
        <v>45888</v>
      </c>
      <c r="B414" t="s">
        <v>1434</v>
      </c>
      <c r="C414" t="s">
        <v>1435</v>
      </c>
      <c r="E414" t="s">
        <v>1436</v>
      </c>
      <c r="F414" t="s">
        <v>27</v>
      </c>
      <c r="G414" t="s">
        <v>28</v>
      </c>
      <c r="H414" t="s">
        <v>29</v>
      </c>
      <c r="I414" t="s">
        <v>30</v>
      </c>
      <c r="J414" t="s">
        <v>70</v>
      </c>
      <c r="L414" s="1">
        <v>45870</v>
      </c>
      <c r="M414" s="1">
        <v>45566</v>
      </c>
      <c r="O414">
        <v>18710070</v>
      </c>
      <c r="P414" t="s">
        <v>32</v>
      </c>
      <c r="Q414" t="s">
        <v>293</v>
      </c>
      <c r="R414">
        <v>8192</v>
      </c>
      <c r="S414" t="s">
        <v>34</v>
      </c>
      <c r="T414" t="s">
        <v>35</v>
      </c>
      <c r="U414">
        <v>33.17</v>
      </c>
      <c r="V414" t="s">
        <v>36</v>
      </c>
      <c r="W414" s="1">
        <v>45511</v>
      </c>
      <c r="X414">
        <v>2025</v>
      </c>
    </row>
    <row r="415" spans="1:24" x14ac:dyDescent="0.25">
      <c r="A415" s="1">
        <v>45888</v>
      </c>
      <c r="B415" t="s">
        <v>1437</v>
      </c>
      <c r="C415" t="s">
        <v>1438</v>
      </c>
      <c r="E415" t="s">
        <v>1439</v>
      </c>
      <c r="F415" t="s">
        <v>27</v>
      </c>
      <c r="G415" t="s">
        <v>28</v>
      </c>
      <c r="H415" t="s">
        <v>29</v>
      </c>
      <c r="I415" t="s">
        <v>30</v>
      </c>
      <c r="J415" t="s">
        <v>46</v>
      </c>
      <c r="L415" s="1">
        <v>45870</v>
      </c>
      <c r="M415" s="1">
        <v>44621</v>
      </c>
      <c r="O415">
        <v>19606009</v>
      </c>
      <c r="P415" t="s">
        <v>32</v>
      </c>
      <c r="Q415" t="s">
        <v>42</v>
      </c>
      <c r="R415">
        <v>8192</v>
      </c>
      <c r="S415" t="s">
        <v>34</v>
      </c>
      <c r="T415" t="s">
        <v>35</v>
      </c>
      <c r="U415">
        <v>1.25</v>
      </c>
      <c r="V415" t="s">
        <v>36</v>
      </c>
      <c r="W415" s="1">
        <v>45870</v>
      </c>
      <c r="X415">
        <v>2025</v>
      </c>
    </row>
    <row r="416" spans="1:24" x14ac:dyDescent="0.25">
      <c r="A416" s="1">
        <v>45888</v>
      </c>
      <c r="B416" t="s">
        <v>1440</v>
      </c>
      <c r="C416" t="s">
        <v>1441</v>
      </c>
      <c r="E416" t="s">
        <v>1442</v>
      </c>
      <c r="F416" t="s">
        <v>27</v>
      </c>
      <c r="G416" t="s">
        <v>28</v>
      </c>
      <c r="H416" t="s">
        <v>29</v>
      </c>
      <c r="I416" t="s">
        <v>30</v>
      </c>
      <c r="J416" t="s">
        <v>46</v>
      </c>
      <c r="L416" s="1">
        <v>45870</v>
      </c>
      <c r="M416" s="1">
        <v>44562</v>
      </c>
      <c r="O416">
        <v>19606009</v>
      </c>
      <c r="P416" t="s">
        <v>32</v>
      </c>
      <c r="Q416" t="s">
        <v>42</v>
      </c>
      <c r="R416">
        <v>8192</v>
      </c>
      <c r="S416" t="s">
        <v>34</v>
      </c>
      <c r="T416" t="s">
        <v>35</v>
      </c>
      <c r="U416">
        <v>1.25</v>
      </c>
      <c r="V416" t="s">
        <v>36</v>
      </c>
      <c r="W416" s="1">
        <v>45839</v>
      </c>
      <c r="X416">
        <v>2025</v>
      </c>
    </row>
    <row r="417" spans="1:24" x14ac:dyDescent="0.25">
      <c r="A417" s="1">
        <v>45888</v>
      </c>
      <c r="B417" t="s">
        <v>1443</v>
      </c>
      <c r="C417" t="s">
        <v>1444</v>
      </c>
      <c r="E417" t="s">
        <v>1445</v>
      </c>
      <c r="F417" t="s">
        <v>74</v>
      </c>
      <c r="G417" t="s">
        <v>28</v>
      </c>
      <c r="H417" t="s">
        <v>29</v>
      </c>
      <c r="I417" t="s">
        <v>61</v>
      </c>
      <c r="J417" t="s">
        <v>797</v>
      </c>
      <c r="L417" s="1">
        <v>45870</v>
      </c>
      <c r="M417" s="1">
        <v>45017</v>
      </c>
      <c r="O417">
        <v>8307933</v>
      </c>
      <c r="P417" t="s">
        <v>32</v>
      </c>
      <c r="Q417" t="s">
        <v>63</v>
      </c>
      <c r="R417">
        <v>8192</v>
      </c>
      <c r="S417" t="s">
        <v>51</v>
      </c>
      <c r="T417" t="s">
        <v>35</v>
      </c>
      <c r="U417">
        <v>28.58</v>
      </c>
      <c r="V417" t="s">
        <v>36</v>
      </c>
      <c r="W417" s="1">
        <v>44971</v>
      </c>
      <c r="X417">
        <v>2025</v>
      </c>
    </row>
    <row r="418" spans="1:24" x14ac:dyDescent="0.25">
      <c r="A418" s="1">
        <v>45888</v>
      </c>
      <c r="B418" t="s">
        <v>1446</v>
      </c>
      <c r="C418" t="s">
        <v>1447</v>
      </c>
      <c r="E418" t="s">
        <v>1448</v>
      </c>
      <c r="F418" t="s">
        <v>910</v>
      </c>
      <c r="G418" t="s">
        <v>28</v>
      </c>
      <c r="H418" t="s">
        <v>29</v>
      </c>
      <c r="I418" t="s">
        <v>30</v>
      </c>
      <c r="J418" t="s">
        <v>911</v>
      </c>
      <c r="L418" s="1">
        <v>45870</v>
      </c>
      <c r="M418" s="1">
        <v>45292</v>
      </c>
      <c r="O418">
        <v>17425766</v>
      </c>
      <c r="P418" t="s">
        <v>32</v>
      </c>
      <c r="Q418" t="s">
        <v>56</v>
      </c>
      <c r="R418">
        <v>8192</v>
      </c>
      <c r="S418" t="s">
        <v>51</v>
      </c>
      <c r="T418" t="s">
        <v>35</v>
      </c>
      <c r="U418">
        <v>28.58</v>
      </c>
      <c r="V418" t="s">
        <v>36</v>
      </c>
      <c r="W418" s="1">
        <v>45261</v>
      </c>
      <c r="X418">
        <v>2025</v>
      </c>
    </row>
    <row r="419" spans="1:24" x14ac:dyDescent="0.25">
      <c r="A419" s="1">
        <v>45888</v>
      </c>
      <c r="B419" t="s">
        <v>1449</v>
      </c>
      <c r="C419" t="s">
        <v>1450</v>
      </c>
      <c r="E419" t="s">
        <v>1451</v>
      </c>
      <c r="F419" t="s">
        <v>910</v>
      </c>
      <c r="G419" t="s">
        <v>28</v>
      </c>
      <c r="H419" t="s">
        <v>29</v>
      </c>
      <c r="I419" t="s">
        <v>30</v>
      </c>
      <c r="J419" t="s">
        <v>911</v>
      </c>
      <c r="L419" s="1">
        <v>45870</v>
      </c>
      <c r="M419" s="1">
        <v>45292</v>
      </c>
      <c r="O419">
        <v>17425766</v>
      </c>
      <c r="P419" t="s">
        <v>32</v>
      </c>
      <c r="Q419" t="s">
        <v>56</v>
      </c>
      <c r="R419">
        <v>8192</v>
      </c>
      <c r="S419" t="s">
        <v>51</v>
      </c>
      <c r="T419" t="s">
        <v>35</v>
      </c>
      <c r="U419">
        <v>28.58</v>
      </c>
      <c r="V419" t="s">
        <v>36</v>
      </c>
      <c r="W419" s="1">
        <v>45261</v>
      </c>
      <c r="X419">
        <v>2025</v>
      </c>
    </row>
    <row r="420" spans="1:24" x14ac:dyDescent="0.25">
      <c r="A420" s="1">
        <v>45888</v>
      </c>
      <c r="B420" t="s">
        <v>1452</v>
      </c>
      <c r="C420" t="s">
        <v>1453</v>
      </c>
      <c r="E420" t="s">
        <v>1454</v>
      </c>
      <c r="F420" t="s">
        <v>27</v>
      </c>
      <c r="G420" t="s">
        <v>28</v>
      </c>
      <c r="H420" t="s">
        <v>29</v>
      </c>
      <c r="I420" t="s">
        <v>30</v>
      </c>
      <c r="J420" t="s">
        <v>46</v>
      </c>
      <c r="L420" s="1">
        <v>45870</v>
      </c>
      <c r="M420" s="1">
        <v>45627</v>
      </c>
      <c r="O420">
        <v>17886092</v>
      </c>
      <c r="P420" t="s">
        <v>32</v>
      </c>
      <c r="Q420" t="s">
        <v>102</v>
      </c>
      <c r="R420">
        <v>8192</v>
      </c>
      <c r="S420" t="s">
        <v>34</v>
      </c>
      <c r="T420" t="s">
        <v>35</v>
      </c>
      <c r="U420">
        <v>1.25</v>
      </c>
      <c r="V420" t="s">
        <v>36</v>
      </c>
      <c r="W420" s="1">
        <v>45595</v>
      </c>
      <c r="X420">
        <v>2025</v>
      </c>
    </row>
    <row r="421" spans="1:24" x14ac:dyDescent="0.25">
      <c r="A421" s="1">
        <v>45888</v>
      </c>
      <c r="B421" t="s">
        <v>1455</v>
      </c>
      <c r="C421" t="s">
        <v>1456</v>
      </c>
      <c r="E421" t="s">
        <v>1457</v>
      </c>
      <c r="F421" t="s">
        <v>27</v>
      </c>
      <c r="G421" t="s">
        <v>28</v>
      </c>
      <c r="H421" t="s">
        <v>29</v>
      </c>
      <c r="I421" t="s">
        <v>30</v>
      </c>
      <c r="J421" t="s">
        <v>46</v>
      </c>
      <c r="L421" s="1">
        <v>45870</v>
      </c>
      <c r="M421" s="1">
        <v>45536</v>
      </c>
      <c r="O421">
        <v>17886092</v>
      </c>
      <c r="P421" t="s">
        <v>32</v>
      </c>
      <c r="Q421" t="s">
        <v>102</v>
      </c>
      <c r="R421">
        <v>8192</v>
      </c>
      <c r="S421" t="s">
        <v>34</v>
      </c>
      <c r="T421" t="s">
        <v>35</v>
      </c>
      <c r="U421">
        <v>3.75</v>
      </c>
      <c r="V421" t="s">
        <v>36</v>
      </c>
      <c r="W421" s="1">
        <v>45516</v>
      </c>
      <c r="X421">
        <v>2025</v>
      </c>
    </row>
    <row r="422" spans="1:24" x14ac:dyDescent="0.25">
      <c r="A422" s="1">
        <v>45888</v>
      </c>
      <c r="B422" t="s">
        <v>1458</v>
      </c>
      <c r="C422" t="s">
        <v>1459</v>
      </c>
      <c r="E422" t="s">
        <v>1460</v>
      </c>
      <c r="F422" t="s">
        <v>1461</v>
      </c>
      <c r="G422" t="s">
        <v>28</v>
      </c>
      <c r="H422" t="s">
        <v>29</v>
      </c>
      <c r="I422" t="s">
        <v>112</v>
      </c>
      <c r="J422" t="s">
        <v>1462</v>
      </c>
      <c r="L422" s="1">
        <v>45870</v>
      </c>
      <c r="M422" s="1">
        <v>45139</v>
      </c>
      <c r="O422">
        <v>8307933</v>
      </c>
      <c r="P422" t="s">
        <v>32</v>
      </c>
      <c r="Q422" t="s">
        <v>63</v>
      </c>
      <c r="R422">
        <v>8192</v>
      </c>
      <c r="S422" t="s">
        <v>51</v>
      </c>
      <c r="T422" t="s">
        <v>35</v>
      </c>
      <c r="U422">
        <v>28.58</v>
      </c>
      <c r="V422" t="s">
        <v>36</v>
      </c>
      <c r="W422" s="1">
        <v>45099</v>
      </c>
      <c r="X422">
        <v>2025</v>
      </c>
    </row>
    <row r="423" spans="1:24" x14ac:dyDescent="0.25">
      <c r="A423" s="1">
        <v>45888</v>
      </c>
      <c r="B423" t="s">
        <v>1463</v>
      </c>
      <c r="C423" t="s">
        <v>1464</v>
      </c>
      <c r="E423" t="s">
        <v>1465</v>
      </c>
      <c r="F423" t="s">
        <v>27</v>
      </c>
      <c r="G423" t="s">
        <v>28</v>
      </c>
      <c r="H423" t="s">
        <v>29</v>
      </c>
      <c r="I423" t="s">
        <v>30</v>
      </c>
      <c r="J423" t="s">
        <v>31</v>
      </c>
      <c r="L423" s="1">
        <v>45870</v>
      </c>
      <c r="M423" s="1">
        <v>45292</v>
      </c>
      <c r="O423">
        <v>17528908</v>
      </c>
      <c r="P423" t="s">
        <v>32</v>
      </c>
      <c r="Q423" t="s">
        <v>33</v>
      </c>
      <c r="R423">
        <v>8192</v>
      </c>
      <c r="S423" t="s">
        <v>51</v>
      </c>
      <c r="T423" t="s">
        <v>35</v>
      </c>
      <c r="U423">
        <v>31.92</v>
      </c>
      <c r="V423" t="s">
        <v>36</v>
      </c>
      <c r="W423" s="1">
        <v>45222</v>
      </c>
      <c r="X423">
        <v>2025</v>
      </c>
    </row>
    <row r="424" spans="1:24" x14ac:dyDescent="0.25">
      <c r="A424" s="1">
        <v>45888</v>
      </c>
      <c r="B424" t="s">
        <v>1466</v>
      </c>
      <c r="C424" t="s">
        <v>1467</v>
      </c>
      <c r="E424" t="s">
        <v>1468</v>
      </c>
      <c r="F424" t="s">
        <v>27</v>
      </c>
      <c r="G424" t="s">
        <v>28</v>
      </c>
      <c r="H424" t="s">
        <v>29</v>
      </c>
      <c r="I424" t="s">
        <v>30</v>
      </c>
      <c r="J424" t="s">
        <v>46</v>
      </c>
      <c r="L424" s="1">
        <v>45870</v>
      </c>
      <c r="M424" s="1">
        <v>45536</v>
      </c>
      <c r="O424">
        <v>17886092</v>
      </c>
      <c r="P424" t="s">
        <v>32</v>
      </c>
      <c r="Q424" t="s">
        <v>102</v>
      </c>
      <c r="R424">
        <v>8192</v>
      </c>
      <c r="S424" t="s">
        <v>34</v>
      </c>
      <c r="T424" t="s">
        <v>35</v>
      </c>
      <c r="U424">
        <v>3.75</v>
      </c>
      <c r="V424" t="s">
        <v>36</v>
      </c>
      <c r="W424" s="1">
        <v>45505</v>
      </c>
      <c r="X424">
        <v>2025</v>
      </c>
    </row>
    <row r="425" spans="1:24" x14ac:dyDescent="0.25">
      <c r="A425" s="1">
        <v>45888</v>
      </c>
      <c r="B425" t="s">
        <v>1469</v>
      </c>
      <c r="C425" t="s">
        <v>1470</v>
      </c>
      <c r="E425" t="s">
        <v>1471</v>
      </c>
      <c r="F425" t="s">
        <v>27</v>
      </c>
      <c r="G425" t="s">
        <v>28</v>
      </c>
      <c r="H425" t="s">
        <v>29</v>
      </c>
      <c r="I425" t="s">
        <v>30</v>
      </c>
      <c r="J425" t="s">
        <v>46</v>
      </c>
      <c r="L425" s="1">
        <v>45870</v>
      </c>
      <c r="M425" s="1">
        <v>44621</v>
      </c>
      <c r="O425">
        <v>19606009</v>
      </c>
      <c r="P425" t="s">
        <v>32</v>
      </c>
      <c r="Q425" t="s">
        <v>42</v>
      </c>
      <c r="R425">
        <v>8192</v>
      </c>
      <c r="S425" t="s">
        <v>34</v>
      </c>
      <c r="T425" t="s">
        <v>35</v>
      </c>
      <c r="U425">
        <v>1.25</v>
      </c>
      <c r="V425" t="s">
        <v>36</v>
      </c>
      <c r="W425" s="1">
        <v>45870</v>
      </c>
      <c r="X425">
        <v>2025</v>
      </c>
    </row>
    <row r="426" spans="1:24" x14ac:dyDescent="0.25">
      <c r="A426" s="1">
        <v>45888</v>
      </c>
      <c r="B426" t="s">
        <v>1472</v>
      </c>
      <c r="C426" t="s">
        <v>1473</v>
      </c>
      <c r="E426" t="s">
        <v>1474</v>
      </c>
      <c r="F426" t="s">
        <v>27</v>
      </c>
      <c r="G426" t="s">
        <v>28</v>
      </c>
      <c r="H426" t="s">
        <v>29</v>
      </c>
      <c r="I426" t="s">
        <v>30</v>
      </c>
      <c r="J426" t="s">
        <v>31</v>
      </c>
      <c r="L426" s="1">
        <v>45870</v>
      </c>
      <c r="M426" s="1">
        <v>45352</v>
      </c>
      <c r="O426">
        <v>18406006</v>
      </c>
      <c r="P426" t="s">
        <v>32</v>
      </c>
      <c r="Q426" t="s">
        <v>1475</v>
      </c>
      <c r="R426">
        <v>8192</v>
      </c>
      <c r="S426" t="s">
        <v>34</v>
      </c>
      <c r="T426" t="s">
        <v>35</v>
      </c>
      <c r="U426">
        <v>33.17</v>
      </c>
      <c r="V426" t="s">
        <v>36</v>
      </c>
      <c r="W426" s="1">
        <v>45347</v>
      </c>
      <c r="X426">
        <v>2025</v>
      </c>
    </row>
    <row r="427" spans="1:24" x14ac:dyDescent="0.25">
      <c r="A427" s="1">
        <v>45888</v>
      </c>
      <c r="B427" t="s">
        <v>1476</v>
      </c>
      <c r="C427" t="s">
        <v>1477</v>
      </c>
      <c r="E427" t="s">
        <v>1478</v>
      </c>
      <c r="F427" t="s">
        <v>27</v>
      </c>
      <c r="G427" t="s">
        <v>28</v>
      </c>
      <c r="H427" t="s">
        <v>29</v>
      </c>
      <c r="I427" t="s">
        <v>30</v>
      </c>
      <c r="J427" t="s">
        <v>50</v>
      </c>
      <c r="L427" s="1">
        <v>45870</v>
      </c>
      <c r="M427" s="1">
        <v>45231</v>
      </c>
      <c r="O427">
        <v>17886092</v>
      </c>
      <c r="P427" t="s">
        <v>32</v>
      </c>
      <c r="Q427" t="s">
        <v>102</v>
      </c>
      <c r="R427">
        <v>8192</v>
      </c>
      <c r="S427" t="s">
        <v>51</v>
      </c>
      <c r="T427" t="s">
        <v>35</v>
      </c>
      <c r="U427">
        <v>2.5</v>
      </c>
      <c r="V427" t="s">
        <v>36</v>
      </c>
      <c r="W427" s="1">
        <v>45229</v>
      </c>
      <c r="X427">
        <v>2025</v>
      </c>
    </row>
    <row r="428" spans="1:24" x14ac:dyDescent="0.25">
      <c r="A428" s="1">
        <v>45888</v>
      </c>
      <c r="B428" t="s">
        <v>1479</v>
      </c>
      <c r="C428" t="s">
        <v>1480</v>
      </c>
      <c r="E428" t="s">
        <v>1481</v>
      </c>
      <c r="F428" t="s">
        <v>27</v>
      </c>
      <c r="G428" t="s">
        <v>28</v>
      </c>
      <c r="H428" t="s">
        <v>29</v>
      </c>
      <c r="I428" t="s">
        <v>30</v>
      </c>
      <c r="J428" t="s">
        <v>46</v>
      </c>
      <c r="L428" s="1">
        <v>45870</v>
      </c>
      <c r="M428" s="1">
        <v>44927</v>
      </c>
      <c r="O428">
        <v>19606009</v>
      </c>
      <c r="P428" t="s">
        <v>32</v>
      </c>
      <c r="Q428" t="s">
        <v>42</v>
      </c>
      <c r="R428">
        <v>8192</v>
      </c>
      <c r="S428" t="s">
        <v>34</v>
      </c>
      <c r="T428" t="s">
        <v>35</v>
      </c>
      <c r="U428">
        <v>1.25</v>
      </c>
      <c r="V428" t="s">
        <v>36</v>
      </c>
      <c r="W428" s="1">
        <v>45839</v>
      </c>
      <c r="X428">
        <v>2025</v>
      </c>
    </row>
    <row r="429" spans="1:24" x14ac:dyDescent="0.25">
      <c r="A429" s="1">
        <v>45888</v>
      </c>
      <c r="B429" t="s">
        <v>1482</v>
      </c>
      <c r="C429" t="s">
        <v>1483</v>
      </c>
      <c r="E429" t="s">
        <v>1484</v>
      </c>
      <c r="F429" t="s">
        <v>27</v>
      </c>
      <c r="G429" t="s">
        <v>28</v>
      </c>
      <c r="H429" t="s">
        <v>29</v>
      </c>
      <c r="I429" t="s">
        <v>30</v>
      </c>
      <c r="J429" t="s">
        <v>50</v>
      </c>
      <c r="L429" s="1">
        <v>45870</v>
      </c>
      <c r="M429" s="1">
        <v>45658</v>
      </c>
      <c r="O429">
        <v>17886092</v>
      </c>
      <c r="P429" t="s">
        <v>32</v>
      </c>
      <c r="Q429" t="s">
        <v>102</v>
      </c>
      <c r="R429">
        <v>8192</v>
      </c>
      <c r="S429" t="s">
        <v>51</v>
      </c>
      <c r="T429" t="s">
        <v>35</v>
      </c>
      <c r="U429">
        <v>2.5</v>
      </c>
      <c r="V429" t="s">
        <v>36</v>
      </c>
      <c r="W429" s="1">
        <v>45225</v>
      </c>
      <c r="X429">
        <v>2025</v>
      </c>
    </row>
    <row r="430" spans="1:24" x14ac:dyDescent="0.25">
      <c r="A430" s="1">
        <v>45888</v>
      </c>
      <c r="B430" t="s">
        <v>1485</v>
      </c>
      <c r="C430" t="s">
        <v>1486</v>
      </c>
      <c r="E430" t="s">
        <v>1487</v>
      </c>
      <c r="F430" t="s">
        <v>74</v>
      </c>
      <c r="G430" t="s">
        <v>28</v>
      </c>
      <c r="H430" t="s">
        <v>29</v>
      </c>
      <c r="I430" t="s">
        <v>61</v>
      </c>
      <c r="J430" t="s">
        <v>75</v>
      </c>
      <c r="L430" s="1">
        <v>45870</v>
      </c>
      <c r="M430" s="1">
        <v>45627</v>
      </c>
      <c r="O430">
        <v>9213293</v>
      </c>
      <c r="P430" t="s">
        <v>32</v>
      </c>
      <c r="Q430" t="s">
        <v>252</v>
      </c>
      <c r="R430">
        <v>8192</v>
      </c>
      <c r="S430" t="s">
        <v>34</v>
      </c>
      <c r="T430" t="s">
        <v>35</v>
      </c>
      <c r="U430">
        <v>29.83</v>
      </c>
      <c r="V430" t="s">
        <v>36</v>
      </c>
      <c r="W430" s="1">
        <v>45626</v>
      </c>
      <c r="X430">
        <v>2025</v>
      </c>
    </row>
    <row r="431" spans="1:24" x14ac:dyDescent="0.25">
      <c r="A431" s="1">
        <v>45888</v>
      </c>
      <c r="B431" t="s">
        <v>1488</v>
      </c>
      <c r="C431" t="s">
        <v>1489</v>
      </c>
      <c r="E431" t="s">
        <v>1490</v>
      </c>
      <c r="F431" t="s">
        <v>27</v>
      </c>
      <c r="G431" t="s">
        <v>28</v>
      </c>
      <c r="H431" t="s">
        <v>29</v>
      </c>
      <c r="I431" t="s">
        <v>30</v>
      </c>
      <c r="J431" t="s">
        <v>50</v>
      </c>
      <c r="L431" s="1">
        <v>45870</v>
      </c>
      <c r="M431" s="1">
        <v>45292</v>
      </c>
      <c r="O431">
        <v>17886092</v>
      </c>
      <c r="P431" t="s">
        <v>32</v>
      </c>
      <c r="Q431" t="s">
        <v>102</v>
      </c>
      <c r="R431">
        <v>8192</v>
      </c>
      <c r="S431" t="s">
        <v>51</v>
      </c>
      <c r="T431" t="s">
        <v>35</v>
      </c>
      <c r="U431">
        <v>2.5</v>
      </c>
      <c r="V431" t="s">
        <v>36</v>
      </c>
      <c r="W431" s="1">
        <v>45219</v>
      </c>
      <c r="X431">
        <v>2025</v>
      </c>
    </row>
    <row r="432" spans="1:24" x14ac:dyDescent="0.25">
      <c r="A432" s="1">
        <v>45888</v>
      </c>
      <c r="B432" t="s">
        <v>1491</v>
      </c>
      <c r="C432" t="s">
        <v>1492</v>
      </c>
      <c r="E432" t="s">
        <v>1493</v>
      </c>
      <c r="F432" t="s">
        <v>27</v>
      </c>
      <c r="G432" t="s">
        <v>28</v>
      </c>
      <c r="H432" t="s">
        <v>29</v>
      </c>
      <c r="I432" t="s">
        <v>30</v>
      </c>
      <c r="J432" t="s">
        <v>31</v>
      </c>
      <c r="L432" s="1">
        <v>45870</v>
      </c>
      <c r="M432" s="1">
        <v>45261</v>
      </c>
      <c r="O432">
        <v>17528908</v>
      </c>
      <c r="P432" t="s">
        <v>32</v>
      </c>
      <c r="Q432" t="s">
        <v>33</v>
      </c>
      <c r="R432">
        <v>8192</v>
      </c>
      <c r="S432" t="s">
        <v>51</v>
      </c>
      <c r="T432" t="s">
        <v>35</v>
      </c>
      <c r="U432">
        <v>31.92</v>
      </c>
      <c r="V432" t="s">
        <v>36</v>
      </c>
      <c r="W432" s="1">
        <v>45215</v>
      </c>
      <c r="X432">
        <v>2025</v>
      </c>
    </row>
    <row r="433" spans="1:24" x14ac:dyDescent="0.25">
      <c r="A433" s="1">
        <v>45888</v>
      </c>
      <c r="B433" t="s">
        <v>1494</v>
      </c>
      <c r="C433" t="s">
        <v>1495</v>
      </c>
      <c r="E433" t="s">
        <v>1496</v>
      </c>
      <c r="F433" t="s">
        <v>27</v>
      </c>
      <c r="G433" t="s">
        <v>28</v>
      </c>
      <c r="H433" t="s">
        <v>29</v>
      </c>
      <c r="I433" t="s">
        <v>30</v>
      </c>
      <c r="J433" t="s">
        <v>46</v>
      </c>
      <c r="L433" s="1">
        <v>45870</v>
      </c>
      <c r="M433" s="1">
        <v>45170</v>
      </c>
      <c r="O433">
        <v>17528908</v>
      </c>
      <c r="P433" t="s">
        <v>32</v>
      </c>
      <c r="Q433" t="s">
        <v>33</v>
      </c>
      <c r="R433">
        <v>8192</v>
      </c>
      <c r="S433" t="s">
        <v>51</v>
      </c>
      <c r="T433" t="s">
        <v>35</v>
      </c>
      <c r="U433">
        <v>31.92</v>
      </c>
      <c r="V433" t="s">
        <v>36</v>
      </c>
      <c r="W433" s="1">
        <v>45147</v>
      </c>
      <c r="X433">
        <v>2025</v>
      </c>
    </row>
    <row r="434" spans="1:24" x14ac:dyDescent="0.25">
      <c r="A434" s="1">
        <v>45888</v>
      </c>
      <c r="B434" t="s">
        <v>1497</v>
      </c>
      <c r="C434" t="s">
        <v>1498</v>
      </c>
      <c r="E434" t="s">
        <v>1499</v>
      </c>
      <c r="F434" t="s">
        <v>27</v>
      </c>
      <c r="G434" t="s">
        <v>28</v>
      </c>
      <c r="H434" t="s">
        <v>29</v>
      </c>
      <c r="I434" t="s">
        <v>30</v>
      </c>
      <c r="J434" t="s">
        <v>46</v>
      </c>
      <c r="L434" s="1">
        <v>45870</v>
      </c>
      <c r="M434" s="1">
        <v>44562</v>
      </c>
      <c r="O434">
        <v>19606009</v>
      </c>
      <c r="P434" t="s">
        <v>32</v>
      </c>
      <c r="Q434" t="s">
        <v>42</v>
      </c>
      <c r="R434">
        <v>8192</v>
      </c>
      <c r="S434" t="s">
        <v>34</v>
      </c>
      <c r="T434" t="s">
        <v>35</v>
      </c>
      <c r="U434">
        <v>1.25</v>
      </c>
      <c r="V434" t="s">
        <v>36</v>
      </c>
      <c r="W434" s="1">
        <v>45839</v>
      </c>
      <c r="X434">
        <v>2025</v>
      </c>
    </row>
    <row r="435" spans="1:24" x14ac:dyDescent="0.25">
      <c r="A435" s="1">
        <v>45888</v>
      </c>
      <c r="B435" t="s">
        <v>1500</v>
      </c>
      <c r="C435" t="s">
        <v>1501</v>
      </c>
      <c r="E435" t="s">
        <v>1502</v>
      </c>
      <c r="F435" t="s">
        <v>27</v>
      </c>
      <c r="G435" t="s">
        <v>28</v>
      </c>
      <c r="H435" t="s">
        <v>29</v>
      </c>
      <c r="I435" t="s">
        <v>30</v>
      </c>
      <c r="J435" t="s">
        <v>46</v>
      </c>
      <c r="L435" s="1">
        <v>45870</v>
      </c>
      <c r="M435" s="1">
        <v>45597</v>
      </c>
      <c r="O435">
        <v>17886092</v>
      </c>
      <c r="P435" t="s">
        <v>32</v>
      </c>
      <c r="Q435" t="s">
        <v>102</v>
      </c>
      <c r="R435">
        <v>8192</v>
      </c>
      <c r="S435" t="s">
        <v>34</v>
      </c>
      <c r="T435" t="s">
        <v>35</v>
      </c>
      <c r="U435">
        <v>3.75</v>
      </c>
      <c r="V435" t="s">
        <v>36</v>
      </c>
      <c r="W435" s="1">
        <v>45525</v>
      </c>
      <c r="X435">
        <v>2025</v>
      </c>
    </row>
    <row r="436" spans="1:24" x14ac:dyDescent="0.25">
      <c r="A436" s="1">
        <v>45888</v>
      </c>
      <c r="B436" t="s">
        <v>1503</v>
      </c>
      <c r="C436" t="s">
        <v>1504</v>
      </c>
      <c r="E436" t="s">
        <v>1505</v>
      </c>
      <c r="F436" t="s">
        <v>27</v>
      </c>
      <c r="G436" t="s">
        <v>28</v>
      </c>
      <c r="H436" t="s">
        <v>29</v>
      </c>
      <c r="I436" t="s">
        <v>30</v>
      </c>
      <c r="J436" t="s">
        <v>46</v>
      </c>
      <c r="L436" s="1">
        <v>45870</v>
      </c>
      <c r="M436" s="1">
        <v>44682</v>
      </c>
      <c r="O436">
        <v>19606009</v>
      </c>
      <c r="P436" t="s">
        <v>32</v>
      </c>
      <c r="Q436" t="s">
        <v>42</v>
      </c>
      <c r="R436">
        <v>8192</v>
      </c>
      <c r="S436" t="s">
        <v>34</v>
      </c>
      <c r="T436" t="s">
        <v>35</v>
      </c>
      <c r="U436">
        <v>1.25</v>
      </c>
      <c r="V436" t="s">
        <v>36</v>
      </c>
      <c r="W436" s="1">
        <v>45839</v>
      </c>
      <c r="X436">
        <v>2025</v>
      </c>
    </row>
    <row r="437" spans="1:24" x14ac:dyDescent="0.25">
      <c r="A437" s="1">
        <v>45888</v>
      </c>
      <c r="B437" t="s">
        <v>1506</v>
      </c>
      <c r="C437" t="s">
        <v>1507</v>
      </c>
      <c r="E437" t="s">
        <v>1508</v>
      </c>
      <c r="F437" t="s">
        <v>27</v>
      </c>
      <c r="G437" t="s">
        <v>28</v>
      </c>
      <c r="H437" t="s">
        <v>29</v>
      </c>
      <c r="I437" t="s">
        <v>30</v>
      </c>
      <c r="J437" t="s">
        <v>46</v>
      </c>
      <c r="L437" s="1">
        <v>45870</v>
      </c>
      <c r="M437" s="1">
        <v>44986</v>
      </c>
      <c r="O437">
        <v>19606009</v>
      </c>
      <c r="P437" t="s">
        <v>32</v>
      </c>
      <c r="Q437" t="s">
        <v>42</v>
      </c>
      <c r="R437">
        <v>8192</v>
      </c>
      <c r="S437" t="s">
        <v>34</v>
      </c>
      <c r="T437" t="s">
        <v>35</v>
      </c>
      <c r="U437">
        <v>1.25</v>
      </c>
      <c r="V437" t="s">
        <v>36</v>
      </c>
      <c r="W437" s="1">
        <v>45839</v>
      </c>
      <c r="X437">
        <v>2025</v>
      </c>
    </row>
    <row r="438" spans="1:24" x14ac:dyDescent="0.25">
      <c r="A438" s="1">
        <v>45888</v>
      </c>
      <c r="B438" t="s">
        <v>1509</v>
      </c>
      <c r="C438" t="s">
        <v>1510</v>
      </c>
      <c r="E438" t="s">
        <v>1511</v>
      </c>
      <c r="F438" t="s">
        <v>27</v>
      </c>
      <c r="G438" t="s">
        <v>28</v>
      </c>
      <c r="H438" t="s">
        <v>29</v>
      </c>
      <c r="I438" t="s">
        <v>30</v>
      </c>
      <c r="J438" t="s">
        <v>46</v>
      </c>
      <c r="L438" s="1">
        <v>45870</v>
      </c>
      <c r="M438" s="1">
        <v>45323</v>
      </c>
      <c r="O438">
        <v>17886092</v>
      </c>
      <c r="P438" t="s">
        <v>32</v>
      </c>
      <c r="Q438" t="s">
        <v>102</v>
      </c>
      <c r="R438">
        <v>8192</v>
      </c>
      <c r="S438" t="s">
        <v>51</v>
      </c>
      <c r="T438" t="s">
        <v>35</v>
      </c>
      <c r="U438">
        <v>2.5</v>
      </c>
      <c r="V438" t="s">
        <v>36</v>
      </c>
      <c r="W438" s="1">
        <v>45268</v>
      </c>
      <c r="X438">
        <v>2025</v>
      </c>
    </row>
    <row r="439" spans="1:24" x14ac:dyDescent="0.25">
      <c r="A439" s="1">
        <v>45888</v>
      </c>
      <c r="B439" t="s">
        <v>1512</v>
      </c>
      <c r="C439" t="s">
        <v>1513</v>
      </c>
      <c r="E439" t="s">
        <v>1514</v>
      </c>
      <c r="F439" t="s">
        <v>89</v>
      </c>
      <c r="G439" t="s">
        <v>28</v>
      </c>
      <c r="H439" t="s">
        <v>29</v>
      </c>
      <c r="I439" t="s">
        <v>90</v>
      </c>
      <c r="J439" t="s">
        <v>1515</v>
      </c>
      <c r="L439" s="1">
        <v>45870</v>
      </c>
      <c r="M439" s="1">
        <v>45444</v>
      </c>
      <c r="O439">
        <v>9213293</v>
      </c>
      <c r="P439" t="s">
        <v>32</v>
      </c>
      <c r="Q439" t="s">
        <v>252</v>
      </c>
      <c r="R439">
        <v>8192</v>
      </c>
      <c r="S439" t="s">
        <v>34</v>
      </c>
      <c r="T439" t="s">
        <v>35</v>
      </c>
      <c r="U439">
        <v>29.83</v>
      </c>
      <c r="V439" t="s">
        <v>36</v>
      </c>
      <c r="W439" s="1">
        <v>45566</v>
      </c>
      <c r="X439">
        <v>2025</v>
      </c>
    </row>
    <row r="440" spans="1:24" x14ac:dyDescent="0.25">
      <c r="A440" s="1">
        <v>45888</v>
      </c>
      <c r="B440" t="s">
        <v>1516</v>
      </c>
      <c r="C440" t="s">
        <v>1517</v>
      </c>
      <c r="E440" t="s">
        <v>1518</v>
      </c>
      <c r="F440" t="s">
        <v>27</v>
      </c>
      <c r="G440" t="s">
        <v>28</v>
      </c>
      <c r="H440" t="s">
        <v>29</v>
      </c>
      <c r="I440" t="s">
        <v>30</v>
      </c>
      <c r="J440" t="s">
        <v>46</v>
      </c>
      <c r="L440" s="1">
        <v>45870</v>
      </c>
      <c r="M440" s="1">
        <v>44927</v>
      </c>
      <c r="O440">
        <v>19606009</v>
      </c>
      <c r="P440" t="s">
        <v>32</v>
      </c>
      <c r="Q440" t="s">
        <v>42</v>
      </c>
      <c r="R440">
        <v>8192</v>
      </c>
      <c r="S440" t="s">
        <v>34</v>
      </c>
      <c r="T440" t="s">
        <v>35</v>
      </c>
      <c r="U440">
        <v>1.25</v>
      </c>
      <c r="V440" t="s">
        <v>36</v>
      </c>
      <c r="W440" s="1">
        <v>45870</v>
      </c>
      <c r="X440">
        <v>2025</v>
      </c>
    </row>
    <row r="441" spans="1:24" x14ac:dyDescent="0.25">
      <c r="A441" s="1">
        <v>45888</v>
      </c>
      <c r="B441" t="s">
        <v>1519</v>
      </c>
      <c r="C441" t="s">
        <v>1520</v>
      </c>
      <c r="E441" t="s">
        <v>1521</v>
      </c>
      <c r="F441" t="s">
        <v>74</v>
      </c>
      <c r="G441" t="s">
        <v>28</v>
      </c>
      <c r="H441" t="s">
        <v>29</v>
      </c>
      <c r="I441" t="s">
        <v>61</v>
      </c>
      <c r="J441" t="s">
        <v>75</v>
      </c>
      <c r="L441" s="1">
        <v>45870</v>
      </c>
      <c r="M441" s="1">
        <v>45566</v>
      </c>
      <c r="O441">
        <v>8307933</v>
      </c>
      <c r="P441" t="s">
        <v>32</v>
      </c>
      <c r="Q441" t="s">
        <v>63</v>
      </c>
      <c r="R441">
        <v>8192</v>
      </c>
      <c r="S441" t="s">
        <v>34</v>
      </c>
      <c r="T441" t="s">
        <v>35</v>
      </c>
      <c r="U441">
        <v>29.83</v>
      </c>
      <c r="V441" t="s">
        <v>36</v>
      </c>
      <c r="W441" s="1">
        <v>45565</v>
      </c>
      <c r="X441">
        <v>2025</v>
      </c>
    </row>
    <row r="442" spans="1:24" x14ac:dyDescent="0.25">
      <c r="A442" s="1">
        <v>45888</v>
      </c>
      <c r="B442" t="s">
        <v>1522</v>
      </c>
      <c r="C442" t="s">
        <v>1523</v>
      </c>
      <c r="E442" t="s">
        <v>1524</v>
      </c>
      <c r="F442" t="s">
        <v>27</v>
      </c>
      <c r="G442" t="s">
        <v>28</v>
      </c>
      <c r="H442" t="s">
        <v>29</v>
      </c>
      <c r="I442" t="s">
        <v>40</v>
      </c>
      <c r="J442" t="s">
        <v>497</v>
      </c>
      <c r="L442" s="1">
        <v>45870</v>
      </c>
      <c r="M442" s="1">
        <v>44197</v>
      </c>
      <c r="O442">
        <v>19606009</v>
      </c>
      <c r="P442" t="s">
        <v>32</v>
      </c>
      <c r="Q442" t="s">
        <v>42</v>
      </c>
      <c r="R442">
        <v>8192</v>
      </c>
      <c r="S442" t="s">
        <v>34</v>
      </c>
      <c r="T442" t="s">
        <v>35</v>
      </c>
      <c r="U442">
        <v>1.25</v>
      </c>
      <c r="V442" t="s">
        <v>36</v>
      </c>
      <c r="W442" s="1">
        <v>45689</v>
      </c>
      <c r="X442">
        <v>2025</v>
      </c>
    </row>
    <row r="443" spans="1:24" x14ac:dyDescent="0.25">
      <c r="A443" s="1">
        <v>45888</v>
      </c>
      <c r="B443" t="s">
        <v>1525</v>
      </c>
      <c r="C443" t="s">
        <v>1526</v>
      </c>
      <c r="E443" t="s">
        <v>1527</v>
      </c>
      <c r="F443" t="s">
        <v>27</v>
      </c>
      <c r="G443" t="s">
        <v>28</v>
      </c>
      <c r="H443" t="s">
        <v>29</v>
      </c>
      <c r="I443" t="s">
        <v>30</v>
      </c>
      <c r="J443" t="s">
        <v>70</v>
      </c>
      <c r="L443" s="1">
        <v>45870</v>
      </c>
      <c r="M443" s="1">
        <v>45505</v>
      </c>
      <c r="O443">
        <v>17886092</v>
      </c>
      <c r="P443" t="s">
        <v>32</v>
      </c>
      <c r="Q443" t="s">
        <v>102</v>
      </c>
      <c r="R443">
        <v>8192</v>
      </c>
      <c r="S443" t="s">
        <v>34</v>
      </c>
      <c r="T443" t="s">
        <v>35</v>
      </c>
      <c r="U443">
        <v>3.75</v>
      </c>
      <c r="V443" t="s">
        <v>36</v>
      </c>
      <c r="W443" s="1">
        <v>45489</v>
      </c>
      <c r="X443">
        <v>2025</v>
      </c>
    </row>
    <row r="444" spans="1:24" x14ac:dyDescent="0.25">
      <c r="A444" s="1">
        <v>45888</v>
      </c>
      <c r="B444" t="s">
        <v>1528</v>
      </c>
      <c r="C444" t="s">
        <v>1529</v>
      </c>
      <c r="E444" t="s">
        <v>1530</v>
      </c>
      <c r="F444" t="s">
        <v>27</v>
      </c>
      <c r="G444" t="s">
        <v>28</v>
      </c>
      <c r="H444" t="s">
        <v>29</v>
      </c>
      <c r="I444" t="s">
        <v>30</v>
      </c>
      <c r="J444" t="s">
        <v>31</v>
      </c>
      <c r="L444" s="1">
        <v>45870</v>
      </c>
      <c r="M444" s="1">
        <v>44562</v>
      </c>
      <c r="O444">
        <v>19606009</v>
      </c>
      <c r="P444" t="s">
        <v>32</v>
      </c>
      <c r="Q444" t="s">
        <v>42</v>
      </c>
      <c r="R444">
        <v>8192</v>
      </c>
      <c r="S444" t="s">
        <v>34</v>
      </c>
      <c r="T444" t="s">
        <v>35</v>
      </c>
      <c r="U444">
        <v>1.25</v>
      </c>
      <c r="V444" t="s">
        <v>36</v>
      </c>
      <c r="W444" s="1">
        <v>45870</v>
      </c>
      <c r="X444">
        <v>2025</v>
      </c>
    </row>
    <row r="445" spans="1:24" x14ac:dyDescent="0.25">
      <c r="A445" s="1">
        <v>45888</v>
      </c>
      <c r="B445" t="s">
        <v>1531</v>
      </c>
      <c r="C445" t="s">
        <v>1532</v>
      </c>
      <c r="E445" t="s">
        <v>1533</v>
      </c>
      <c r="F445" t="s">
        <v>27</v>
      </c>
      <c r="G445" t="s">
        <v>28</v>
      </c>
      <c r="H445" t="s">
        <v>29</v>
      </c>
      <c r="I445" t="s">
        <v>30</v>
      </c>
      <c r="J445" t="s">
        <v>46</v>
      </c>
      <c r="L445" s="1">
        <v>45870</v>
      </c>
      <c r="M445" s="1">
        <v>45200</v>
      </c>
      <c r="O445">
        <v>17886092</v>
      </c>
      <c r="P445" t="s">
        <v>32</v>
      </c>
      <c r="Q445" t="s">
        <v>102</v>
      </c>
      <c r="R445">
        <v>8192</v>
      </c>
      <c r="S445" t="s">
        <v>51</v>
      </c>
      <c r="T445" t="s">
        <v>35</v>
      </c>
      <c r="U445">
        <v>2.5</v>
      </c>
      <c r="V445" t="s">
        <v>36</v>
      </c>
      <c r="W445" s="1">
        <v>45184</v>
      </c>
      <c r="X445">
        <v>2025</v>
      </c>
    </row>
    <row r="446" spans="1:24" x14ac:dyDescent="0.25">
      <c r="A446" s="1">
        <v>45888</v>
      </c>
      <c r="B446" t="s">
        <v>1534</v>
      </c>
      <c r="C446" t="s">
        <v>1535</v>
      </c>
      <c r="E446" t="s">
        <v>1536</v>
      </c>
      <c r="F446" t="s">
        <v>27</v>
      </c>
      <c r="G446" t="s">
        <v>28</v>
      </c>
      <c r="H446" t="s">
        <v>29</v>
      </c>
      <c r="I446" t="s">
        <v>30</v>
      </c>
      <c r="J446" t="s">
        <v>31</v>
      </c>
      <c r="L446" s="1">
        <v>45870</v>
      </c>
      <c r="M446" s="1">
        <v>44593</v>
      </c>
      <c r="O446">
        <v>19606009</v>
      </c>
      <c r="P446" t="s">
        <v>32</v>
      </c>
      <c r="Q446" t="s">
        <v>42</v>
      </c>
      <c r="R446">
        <v>8192</v>
      </c>
      <c r="S446" t="s">
        <v>51</v>
      </c>
      <c r="T446" t="s">
        <v>35</v>
      </c>
      <c r="U446">
        <v>2.5</v>
      </c>
      <c r="V446" t="s">
        <v>36</v>
      </c>
      <c r="W446" s="1">
        <v>45231</v>
      </c>
      <c r="X446">
        <v>2025</v>
      </c>
    </row>
    <row r="447" spans="1:24" x14ac:dyDescent="0.25">
      <c r="A447" s="1">
        <v>45888</v>
      </c>
      <c r="B447" t="s">
        <v>1537</v>
      </c>
      <c r="C447" t="s">
        <v>1538</v>
      </c>
      <c r="E447" t="s">
        <v>1539</v>
      </c>
      <c r="F447" t="s">
        <v>27</v>
      </c>
      <c r="G447" t="s">
        <v>28</v>
      </c>
      <c r="H447" t="s">
        <v>127</v>
      </c>
      <c r="I447" t="s">
        <v>30</v>
      </c>
      <c r="J447" t="s">
        <v>128</v>
      </c>
      <c r="L447" s="1">
        <v>45870</v>
      </c>
      <c r="M447" s="1">
        <v>45597</v>
      </c>
      <c r="O447">
        <v>17886092</v>
      </c>
      <c r="P447" t="s">
        <v>32</v>
      </c>
      <c r="Q447" t="s">
        <v>102</v>
      </c>
      <c r="R447">
        <v>8192</v>
      </c>
      <c r="S447" t="s">
        <v>34</v>
      </c>
      <c r="T447" t="s">
        <v>35</v>
      </c>
      <c r="U447">
        <v>3.75</v>
      </c>
      <c r="V447" t="s">
        <v>36</v>
      </c>
      <c r="W447" s="1">
        <v>45516</v>
      </c>
      <c r="X447">
        <v>2025</v>
      </c>
    </row>
    <row r="448" spans="1:24" x14ac:dyDescent="0.25">
      <c r="A448" s="1">
        <v>45888</v>
      </c>
      <c r="B448" t="s">
        <v>1540</v>
      </c>
      <c r="C448" t="s">
        <v>1541</v>
      </c>
      <c r="E448" t="s">
        <v>1542</v>
      </c>
      <c r="F448" t="s">
        <v>27</v>
      </c>
      <c r="G448" t="s">
        <v>28</v>
      </c>
      <c r="H448" t="s">
        <v>29</v>
      </c>
      <c r="I448" t="s">
        <v>30</v>
      </c>
      <c r="J448" t="s">
        <v>46</v>
      </c>
      <c r="L448" s="1">
        <v>45870</v>
      </c>
      <c r="M448" s="1">
        <v>45292</v>
      </c>
      <c r="O448">
        <v>17886092</v>
      </c>
      <c r="P448" t="s">
        <v>32</v>
      </c>
      <c r="Q448" t="s">
        <v>102</v>
      </c>
      <c r="R448">
        <v>8192</v>
      </c>
      <c r="S448" t="s">
        <v>51</v>
      </c>
      <c r="T448" t="s">
        <v>35</v>
      </c>
      <c r="U448">
        <v>2.5</v>
      </c>
      <c r="V448" t="s">
        <v>36</v>
      </c>
      <c r="W448" s="1">
        <v>45233</v>
      </c>
      <c r="X448">
        <v>2025</v>
      </c>
    </row>
    <row r="449" spans="1:24" x14ac:dyDescent="0.25">
      <c r="A449" s="1">
        <v>45888</v>
      </c>
      <c r="B449" t="s">
        <v>1543</v>
      </c>
      <c r="C449" t="s">
        <v>1544</v>
      </c>
      <c r="E449" t="s">
        <v>1545</v>
      </c>
      <c r="F449" t="s">
        <v>27</v>
      </c>
      <c r="G449" t="s">
        <v>28</v>
      </c>
      <c r="H449" t="s">
        <v>29</v>
      </c>
      <c r="I449" t="s">
        <v>30</v>
      </c>
      <c r="J449" t="s">
        <v>46</v>
      </c>
      <c r="L449" s="1">
        <v>45870</v>
      </c>
      <c r="M449" s="1">
        <v>45292</v>
      </c>
      <c r="O449">
        <v>17886092</v>
      </c>
      <c r="P449" t="s">
        <v>32</v>
      </c>
      <c r="Q449" t="s">
        <v>102</v>
      </c>
      <c r="R449">
        <v>8192</v>
      </c>
      <c r="S449" t="s">
        <v>51</v>
      </c>
      <c r="T449" t="s">
        <v>35</v>
      </c>
      <c r="U449">
        <v>2.5</v>
      </c>
      <c r="V449" t="s">
        <v>36</v>
      </c>
      <c r="W449" s="1">
        <v>45233</v>
      </c>
      <c r="X449">
        <v>2025</v>
      </c>
    </row>
    <row r="450" spans="1:24" x14ac:dyDescent="0.25">
      <c r="A450" s="1">
        <v>45888</v>
      </c>
      <c r="B450" t="s">
        <v>1546</v>
      </c>
      <c r="C450" t="s">
        <v>1547</v>
      </c>
      <c r="E450" t="s">
        <v>1548</v>
      </c>
      <c r="F450" t="s">
        <v>346</v>
      </c>
      <c r="G450" t="s">
        <v>28</v>
      </c>
      <c r="H450" t="s">
        <v>29</v>
      </c>
      <c r="I450" t="s">
        <v>90</v>
      </c>
      <c r="J450" t="s">
        <v>347</v>
      </c>
      <c r="L450" s="1">
        <v>45870</v>
      </c>
      <c r="M450" s="1">
        <v>45292</v>
      </c>
      <c r="O450">
        <v>8307933</v>
      </c>
      <c r="P450" t="s">
        <v>32</v>
      </c>
      <c r="Q450" t="s">
        <v>63</v>
      </c>
      <c r="R450">
        <v>8192</v>
      </c>
      <c r="S450" t="s">
        <v>51</v>
      </c>
      <c r="T450" t="s">
        <v>35</v>
      </c>
      <c r="U450">
        <v>28.58</v>
      </c>
      <c r="V450" t="s">
        <v>36</v>
      </c>
      <c r="W450" s="1">
        <v>45222</v>
      </c>
      <c r="X450">
        <v>2025</v>
      </c>
    </row>
    <row r="451" spans="1:24" x14ac:dyDescent="0.25">
      <c r="A451" s="1">
        <v>45888</v>
      </c>
      <c r="B451" t="s">
        <v>1549</v>
      </c>
      <c r="C451" t="s">
        <v>1550</v>
      </c>
      <c r="E451" t="s">
        <v>1551</v>
      </c>
      <c r="F451" t="s">
        <v>27</v>
      </c>
      <c r="G451" t="s">
        <v>28</v>
      </c>
      <c r="H451" t="s">
        <v>29</v>
      </c>
      <c r="I451" t="s">
        <v>30</v>
      </c>
      <c r="J451" t="s">
        <v>46</v>
      </c>
      <c r="L451" s="1">
        <v>45870</v>
      </c>
      <c r="M451" s="1">
        <v>45017</v>
      </c>
      <c r="O451">
        <v>19606009</v>
      </c>
      <c r="P451" t="s">
        <v>32</v>
      </c>
      <c r="Q451" t="s">
        <v>42</v>
      </c>
      <c r="R451">
        <v>8192</v>
      </c>
      <c r="S451" t="s">
        <v>34</v>
      </c>
      <c r="T451" t="s">
        <v>35</v>
      </c>
      <c r="U451">
        <v>1.25</v>
      </c>
      <c r="V451" t="s">
        <v>36</v>
      </c>
      <c r="W451" s="1">
        <v>45839</v>
      </c>
      <c r="X451">
        <v>2025</v>
      </c>
    </row>
    <row r="452" spans="1:24" x14ac:dyDescent="0.25">
      <c r="A452" s="1">
        <v>45888</v>
      </c>
      <c r="B452" t="s">
        <v>1552</v>
      </c>
      <c r="C452" t="s">
        <v>1553</v>
      </c>
      <c r="E452" t="s">
        <v>1554</v>
      </c>
      <c r="F452" t="s">
        <v>27</v>
      </c>
      <c r="G452" t="s">
        <v>28</v>
      </c>
      <c r="H452" t="s">
        <v>29</v>
      </c>
      <c r="I452" t="s">
        <v>30</v>
      </c>
      <c r="J452" t="s">
        <v>31</v>
      </c>
      <c r="L452" s="1">
        <v>45870</v>
      </c>
      <c r="M452" s="1">
        <v>45078</v>
      </c>
      <c r="O452">
        <v>19562245</v>
      </c>
      <c r="P452" t="s">
        <v>32</v>
      </c>
      <c r="Q452" t="s">
        <v>1555</v>
      </c>
      <c r="R452">
        <v>8192</v>
      </c>
      <c r="S452" t="s">
        <v>51</v>
      </c>
      <c r="T452" t="s">
        <v>35</v>
      </c>
      <c r="U452">
        <v>31.92</v>
      </c>
      <c r="V452" t="s">
        <v>36</v>
      </c>
      <c r="W452" s="1">
        <v>45048</v>
      </c>
      <c r="X452">
        <v>2025</v>
      </c>
    </row>
    <row r="453" spans="1:24" x14ac:dyDescent="0.25">
      <c r="A453" s="1">
        <v>45888</v>
      </c>
      <c r="B453" t="s">
        <v>1556</v>
      </c>
      <c r="C453" t="s">
        <v>1557</v>
      </c>
      <c r="E453" t="s">
        <v>1558</v>
      </c>
      <c r="F453" t="s">
        <v>27</v>
      </c>
      <c r="G453" t="s">
        <v>28</v>
      </c>
      <c r="H453" t="s">
        <v>29</v>
      </c>
      <c r="I453" t="s">
        <v>30</v>
      </c>
      <c r="J453" t="s">
        <v>31</v>
      </c>
      <c r="L453" s="1">
        <v>45870</v>
      </c>
      <c r="M453" s="1">
        <v>44562</v>
      </c>
      <c r="O453">
        <v>19606009</v>
      </c>
      <c r="P453" t="s">
        <v>32</v>
      </c>
      <c r="Q453" t="s">
        <v>42</v>
      </c>
      <c r="R453">
        <v>8192</v>
      </c>
      <c r="S453" t="s">
        <v>34</v>
      </c>
      <c r="T453" t="s">
        <v>35</v>
      </c>
      <c r="U453">
        <v>1.25</v>
      </c>
      <c r="V453" t="s">
        <v>36</v>
      </c>
      <c r="W453" s="1">
        <v>45809</v>
      </c>
      <c r="X453">
        <v>2025</v>
      </c>
    </row>
    <row r="454" spans="1:24" x14ac:dyDescent="0.25">
      <c r="A454" s="1">
        <v>45888</v>
      </c>
      <c r="B454" t="s">
        <v>1559</v>
      </c>
      <c r="C454" t="s">
        <v>1560</v>
      </c>
      <c r="E454" t="s">
        <v>1561</v>
      </c>
      <c r="F454" t="s">
        <v>27</v>
      </c>
      <c r="G454" t="s">
        <v>28</v>
      </c>
      <c r="H454" t="s">
        <v>29</v>
      </c>
      <c r="I454" t="s">
        <v>30</v>
      </c>
      <c r="J454" t="s">
        <v>31</v>
      </c>
      <c r="L454" s="1">
        <v>45870</v>
      </c>
      <c r="M454" s="1">
        <v>44562</v>
      </c>
      <c r="O454">
        <v>19606009</v>
      </c>
      <c r="P454" t="s">
        <v>32</v>
      </c>
      <c r="Q454" t="s">
        <v>42</v>
      </c>
      <c r="R454">
        <v>8192</v>
      </c>
      <c r="S454" t="s">
        <v>34</v>
      </c>
      <c r="T454" t="s">
        <v>35</v>
      </c>
      <c r="U454">
        <v>1.25</v>
      </c>
      <c r="V454" t="s">
        <v>36</v>
      </c>
      <c r="W454" s="1">
        <v>45809</v>
      </c>
      <c r="X454">
        <v>2025</v>
      </c>
    </row>
    <row r="455" spans="1:24" x14ac:dyDescent="0.25">
      <c r="A455" s="1">
        <v>45888</v>
      </c>
      <c r="B455" t="s">
        <v>1562</v>
      </c>
      <c r="C455" t="s">
        <v>1563</v>
      </c>
      <c r="E455" t="s">
        <v>1564</v>
      </c>
      <c r="F455" t="s">
        <v>111</v>
      </c>
      <c r="G455" t="s">
        <v>28</v>
      </c>
      <c r="H455" t="s">
        <v>29</v>
      </c>
      <c r="I455" t="s">
        <v>112</v>
      </c>
      <c r="J455" t="s">
        <v>1565</v>
      </c>
      <c r="L455" s="1">
        <v>45870</v>
      </c>
      <c r="M455" s="1">
        <v>45292</v>
      </c>
      <c r="O455">
        <v>8307933</v>
      </c>
      <c r="P455" t="s">
        <v>32</v>
      </c>
      <c r="Q455" t="s">
        <v>63</v>
      </c>
      <c r="R455">
        <v>8192</v>
      </c>
      <c r="S455" t="s">
        <v>51</v>
      </c>
      <c r="T455" t="s">
        <v>35</v>
      </c>
      <c r="U455">
        <v>28.58</v>
      </c>
      <c r="V455" t="s">
        <v>36</v>
      </c>
      <c r="W455" s="1">
        <v>45267</v>
      </c>
      <c r="X455">
        <v>2025</v>
      </c>
    </row>
    <row r="456" spans="1:24" x14ac:dyDescent="0.25">
      <c r="A456" s="1">
        <v>45888</v>
      </c>
      <c r="B456" t="s">
        <v>1566</v>
      </c>
      <c r="C456" t="s">
        <v>1567</v>
      </c>
      <c r="E456" t="s">
        <v>1568</v>
      </c>
      <c r="F456" t="s">
        <v>74</v>
      </c>
      <c r="G456" t="s">
        <v>28</v>
      </c>
      <c r="H456" t="s">
        <v>29</v>
      </c>
      <c r="I456" t="s">
        <v>183</v>
      </c>
      <c r="J456" t="s">
        <v>927</v>
      </c>
      <c r="L456" s="1">
        <v>45870</v>
      </c>
      <c r="M456" s="1">
        <v>45323</v>
      </c>
      <c r="O456">
        <v>8307933</v>
      </c>
      <c r="P456" t="s">
        <v>32</v>
      </c>
      <c r="Q456" t="s">
        <v>63</v>
      </c>
      <c r="R456">
        <v>8192</v>
      </c>
      <c r="S456" t="s">
        <v>51</v>
      </c>
      <c r="T456" t="s">
        <v>35</v>
      </c>
      <c r="U456">
        <v>28.58</v>
      </c>
      <c r="V456" t="s">
        <v>36</v>
      </c>
      <c r="W456" s="1">
        <v>45232</v>
      </c>
      <c r="X456">
        <v>2025</v>
      </c>
    </row>
    <row r="457" spans="1:24" x14ac:dyDescent="0.25">
      <c r="A457" s="1">
        <v>45888</v>
      </c>
      <c r="B457" t="s">
        <v>1569</v>
      </c>
      <c r="C457" t="s">
        <v>1570</v>
      </c>
      <c r="E457" t="s">
        <v>1571</v>
      </c>
      <c r="F457" t="s">
        <v>74</v>
      </c>
      <c r="G457" t="s">
        <v>28</v>
      </c>
      <c r="H457" t="s">
        <v>29</v>
      </c>
      <c r="I457" t="s">
        <v>183</v>
      </c>
      <c r="J457" t="s">
        <v>927</v>
      </c>
      <c r="L457" s="1">
        <v>45870</v>
      </c>
      <c r="M457" s="1">
        <v>45292</v>
      </c>
      <c r="O457">
        <v>8307933</v>
      </c>
      <c r="P457" t="s">
        <v>32</v>
      </c>
      <c r="Q457" t="s">
        <v>63</v>
      </c>
      <c r="R457">
        <v>8192</v>
      </c>
      <c r="S457" t="s">
        <v>51</v>
      </c>
      <c r="T457" t="s">
        <v>35</v>
      </c>
      <c r="U457">
        <v>28.58</v>
      </c>
      <c r="V457" t="s">
        <v>36</v>
      </c>
      <c r="W457" s="1">
        <v>45232</v>
      </c>
      <c r="X457">
        <v>2025</v>
      </c>
    </row>
    <row r="458" spans="1:24" x14ac:dyDescent="0.25">
      <c r="A458" s="1">
        <v>45888</v>
      </c>
      <c r="B458" t="s">
        <v>1572</v>
      </c>
      <c r="C458" t="s">
        <v>1573</v>
      </c>
      <c r="E458" t="s">
        <v>1574</v>
      </c>
      <c r="F458" t="s">
        <v>111</v>
      </c>
      <c r="G458" t="s">
        <v>28</v>
      </c>
      <c r="H458" t="s">
        <v>29</v>
      </c>
      <c r="I458" t="s">
        <v>112</v>
      </c>
      <c r="J458" t="s">
        <v>1575</v>
      </c>
      <c r="L458" s="1">
        <v>45870</v>
      </c>
      <c r="M458" s="1">
        <v>45292</v>
      </c>
      <c r="O458">
        <v>8307933</v>
      </c>
      <c r="P458" t="s">
        <v>32</v>
      </c>
      <c r="Q458" t="s">
        <v>63</v>
      </c>
      <c r="R458">
        <v>8192</v>
      </c>
      <c r="S458" t="s">
        <v>51</v>
      </c>
      <c r="T458" t="s">
        <v>35</v>
      </c>
      <c r="U458">
        <v>28.58</v>
      </c>
      <c r="V458" t="s">
        <v>36</v>
      </c>
      <c r="W458" s="1">
        <v>45240</v>
      </c>
      <c r="X458">
        <v>2025</v>
      </c>
    </row>
    <row r="459" spans="1:24" x14ac:dyDescent="0.25">
      <c r="A459" s="1">
        <v>45888</v>
      </c>
      <c r="B459" t="s">
        <v>1576</v>
      </c>
      <c r="C459" t="s">
        <v>1577</v>
      </c>
      <c r="E459" t="s">
        <v>1578</v>
      </c>
      <c r="F459" t="s">
        <v>74</v>
      </c>
      <c r="G459" t="s">
        <v>28</v>
      </c>
      <c r="H459" t="s">
        <v>29</v>
      </c>
      <c r="I459" t="s">
        <v>61</v>
      </c>
      <c r="J459" t="s">
        <v>75</v>
      </c>
      <c r="L459" s="1">
        <v>45870</v>
      </c>
      <c r="M459" s="1">
        <v>45627</v>
      </c>
      <c r="O459">
        <v>16865615</v>
      </c>
      <c r="P459" t="s">
        <v>32</v>
      </c>
      <c r="Q459" t="s">
        <v>1579</v>
      </c>
      <c r="R459">
        <v>8192</v>
      </c>
      <c r="S459" t="s">
        <v>34</v>
      </c>
      <c r="T459" t="s">
        <v>35</v>
      </c>
      <c r="U459">
        <v>29.83</v>
      </c>
      <c r="V459" t="s">
        <v>36</v>
      </c>
      <c r="W459" s="1">
        <v>45599</v>
      </c>
      <c r="X459">
        <v>2025</v>
      </c>
    </row>
    <row r="460" spans="1:24" x14ac:dyDescent="0.25">
      <c r="A460" s="1">
        <v>45888</v>
      </c>
      <c r="B460" t="s">
        <v>1580</v>
      </c>
      <c r="C460" t="s">
        <v>1581</v>
      </c>
      <c r="E460" t="s">
        <v>1582</v>
      </c>
      <c r="F460" t="s">
        <v>27</v>
      </c>
      <c r="G460" t="s">
        <v>28</v>
      </c>
      <c r="H460" t="s">
        <v>29</v>
      </c>
      <c r="I460" t="s">
        <v>30</v>
      </c>
      <c r="J460" t="s">
        <v>46</v>
      </c>
      <c r="L460" s="1">
        <v>45870</v>
      </c>
      <c r="M460" s="1">
        <v>45292</v>
      </c>
      <c r="O460">
        <v>17528908</v>
      </c>
      <c r="P460" t="s">
        <v>32</v>
      </c>
      <c r="Q460" t="s">
        <v>33</v>
      </c>
      <c r="R460">
        <v>8192</v>
      </c>
      <c r="S460" t="s">
        <v>51</v>
      </c>
      <c r="T460" t="s">
        <v>35</v>
      </c>
      <c r="U460">
        <v>31.92</v>
      </c>
      <c r="V460" t="s">
        <v>36</v>
      </c>
      <c r="W460" s="1">
        <v>45237</v>
      </c>
      <c r="X460">
        <v>2025</v>
      </c>
    </row>
    <row r="461" spans="1:24" x14ac:dyDescent="0.25">
      <c r="A461" s="1">
        <v>45888</v>
      </c>
      <c r="B461" t="s">
        <v>1583</v>
      </c>
      <c r="C461" t="s">
        <v>1584</v>
      </c>
      <c r="E461" t="s">
        <v>1585</v>
      </c>
      <c r="F461" t="s">
        <v>27</v>
      </c>
      <c r="G461" t="s">
        <v>28</v>
      </c>
      <c r="H461" t="s">
        <v>29</v>
      </c>
      <c r="I461" t="s">
        <v>30</v>
      </c>
      <c r="J461" t="s">
        <v>46</v>
      </c>
      <c r="L461" s="1">
        <v>45870</v>
      </c>
      <c r="M461" s="1">
        <v>45474</v>
      </c>
      <c r="O461">
        <v>17528908</v>
      </c>
      <c r="P461" t="s">
        <v>32</v>
      </c>
      <c r="Q461" t="s">
        <v>33</v>
      </c>
      <c r="R461">
        <v>8192</v>
      </c>
      <c r="S461" t="s">
        <v>34</v>
      </c>
      <c r="T461" t="s">
        <v>35</v>
      </c>
      <c r="U461">
        <v>33.17</v>
      </c>
      <c r="V461" t="s">
        <v>36</v>
      </c>
      <c r="W461" s="1">
        <v>45463</v>
      </c>
      <c r="X461">
        <v>2025</v>
      </c>
    </row>
    <row r="462" spans="1:24" x14ac:dyDescent="0.25">
      <c r="A462" s="1">
        <v>45888</v>
      </c>
      <c r="B462" t="s">
        <v>1586</v>
      </c>
      <c r="C462" t="s">
        <v>1587</v>
      </c>
      <c r="E462" t="s">
        <v>1588</v>
      </c>
      <c r="F462" t="s">
        <v>27</v>
      </c>
      <c r="G462" t="s">
        <v>28</v>
      </c>
      <c r="H462" t="s">
        <v>29</v>
      </c>
      <c r="I462" t="s">
        <v>30</v>
      </c>
      <c r="J462" t="s">
        <v>50</v>
      </c>
      <c r="L462" s="1">
        <v>45870</v>
      </c>
      <c r="M462" s="1">
        <v>45292</v>
      </c>
      <c r="O462">
        <v>17528908</v>
      </c>
      <c r="P462" t="s">
        <v>32</v>
      </c>
      <c r="Q462" t="s">
        <v>33</v>
      </c>
      <c r="R462">
        <v>8192</v>
      </c>
      <c r="S462" t="s">
        <v>51</v>
      </c>
      <c r="T462" t="s">
        <v>35</v>
      </c>
      <c r="U462">
        <v>31.92</v>
      </c>
      <c r="V462" t="s">
        <v>36</v>
      </c>
      <c r="W462" s="1">
        <v>45266</v>
      </c>
      <c r="X462">
        <v>2025</v>
      </c>
    </row>
    <row r="463" spans="1:24" x14ac:dyDescent="0.25">
      <c r="A463" s="1">
        <v>45888</v>
      </c>
      <c r="B463" t="s">
        <v>1589</v>
      </c>
      <c r="C463" t="s">
        <v>1590</v>
      </c>
      <c r="E463" t="s">
        <v>1591</v>
      </c>
      <c r="F463" t="s">
        <v>27</v>
      </c>
      <c r="G463" t="s">
        <v>28</v>
      </c>
      <c r="H463" t="s">
        <v>29</v>
      </c>
      <c r="I463" t="s">
        <v>30</v>
      </c>
      <c r="J463" t="s">
        <v>50</v>
      </c>
      <c r="L463" s="1">
        <v>45870</v>
      </c>
      <c r="M463" s="1">
        <v>45292</v>
      </c>
      <c r="O463">
        <v>17886092</v>
      </c>
      <c r="P463" t="s">
        <v>32</v>
      </c>
      <c r="Q463" t="s">
        <v>102</v>
      </c>
      <c r="R463">
        <v>8192</v>
      </c>
      <c r="S463" t="s">
        <v>51</v>
      </c>
      <c r="T463" t="s">
        <v>35</v>
      </c>
      <c r="U463">
        <v>2.5</v>
      </c>
      <c r="V463" t="s">
        <v>36</v>
      </c>
      <c r="W463" s="1">
        <v>45238</v>
      </c>
      <c r="X463">
        <v>2025</v>
      </c>
    </row>
    <row r="464" spans="1:24" x14ac:dyDescent="0.25">
      <c r="A464" s="1">
        <v>45888</v>
      </c>
      <c r="B464" t="s">
        <v>1592</v>
      </c>
      <c r="C464" t="s">
        <v>1593</v>
      </c>
      <c r="E464" t="s">
        <v>1594</v>
      </c>
      <c r="F464" t="s">
        <v>27</v>
      </c>
      <c r="G464" t="s">
        <v>28</v>
      </c>
      <c r="H464" t="s">
        <v>29</v>
      </c>
      <c r="I464" t="s">
        <v>30</v>
      </c>
      <c r="J464" t="s">
        <v>156</v>
      </c>
      <c r="L464" s="1">
        <v>45870</v>
      </c>
      <c r="M464" s="1">
        <v>44927</v>
      </c>
      <c r="O464">
        <v>17528908</v>
      </c>
      <c r="P464" t="s">
        <v>32</v>
      </c>
      <c r="Q464" t="s">
        <v>33</v>
      </c>
      <c r="R464">
        <v>8192</v>
      </c>
      <c r="S464" t="s">
        <v>34</v>
      </c>
      <c r="T464" t="s">
        <v>35</v>
      </c>
      <c r="U464">
        <v>33.17</v>
      </c>
      <c r="V464" t="s">
        <v>36</v>
      </c>
      <c r="W464" s="1">
        <v>45627</v>
      </c>
      <c r="X464">
        <v>2025</v>
      </c>
    </row>
    <row r="465" spans="1:24" x14ac:dyDescent="0.25">
      <c r="A465" s="1">
        <v>45888</v>
      </c>
      <c r="B465" t="s">
        <v>1595</v>
      </c>
      <c r="C465" t="s">
        <v>1596</v>
      </c>
      <c r="E465" t="s">
        <v>1597</v>
      </c>
      <c r="F465" t="s">
        <v>74</v>
      </c>
      <c r="G465" t="s">
        <v>28</v>
      </c>
      <c r="H465" t="s">
        <v>29</v>
      </c>
      <c r="I465" t="s">
        <v>61</v>
      </c>
      <c r="J465" t="s">
        <v>428</v>
      </c>
      <c r="L465" s="1">
        <v>45870</v>
      </c>
      <c r="M465" s="1">
        <v>45505</v>
      </c>
      <c r="O465">
        <v>8307933</v>
      </c>
      <c r="P465" t="s">
        <v>32</v>
      </c>
      <c r="Q465" t="s">
        <v>63</v>
      </c>
      <c r="R465">
        <v>8192</v>
      </c>
      <c r="S465" t="s">
        <v>34</v>
      </c>
      <c r="T465" t="s">
        <v>35</v>
      </c>
      <c r="U465">
        <v>29.83</v>
      </c>
      <c r="V465" t="s">
        <v>36</v>
      </c>
      <c r="W465" s="1">
        <v>45491</v>
      </c>
      <c r="X465">
        <v>2025</v>
      </c>
    </row>
    <row r="466" spans="1:24" x14ac:dyDescent="0.25">
      <c r="A466" s="1">
        <v>45888</v>
      </c>
      <c r="B466" t="s">
        <v>1598</v>
      </c>
      <c r="C466" t="s">
        <v>1599</v>
      </c>
      <c r="E466" t="s">
        <v>1600</v>
      </c>
      <c r="F466" t="s">
        <v>27</v>
      </c>
      <c r="G466" t="s">
        <v>28</v>
      </c>
      <c r="H466" t="s">
        <v>29</v>
      </c>
      <c r="I466" t="s">
        <v>30</v>
      </c>
      <c r="J466" t="s">
        <v>70</v>
      </c>
      <c r="L466" s="1">
        <v>45870</v>
      </c>
      <c r="M466" s="1">
        <v>45566</v>
      </c>
      <c r="O466">
        <v>17528908</v>
      </c>
      <c r="P466" t="s">
        <v>32</v>
      </c>
      <c r="Q466" t="s">
        <v>33</v>
      </c>
      <c r="R466">
        <v>8192</v>
      </c>
      <c r="S466" t="s">
        <v>34</v>
      </c>
      <c r="T466" t="s">
        <v>35</v>
      </c>
      <c r="U466">
        <v>33.17</v>
      </c>
      <c r="V466" t="s">
        <v>36</v>
      </c>
      <c r="W466" s="1">
        <v>45547</v>
      </c>
      <c r="X466">
        <v>2025</v>
      </c>
    </row>
    <row r="467" spans="1:24" x14ac:dyDescent="0.25">
      <c r="A467" s="1">
        <v>45888</v>
      </c>
      <c r="B467" t="s">
        <v>1601</v>
      </c>
      <c r="C467" t="s">
        <v>1602</v>
      </c>
      <c r="E467" t="s">
        <v>1603</v>
      </c>
      <c r="F467" t="s">
        <v>27</v>
      </c>
      <c r="G467" t="s">
        <v>28</v>
      </c>
      <c r="H467" t="s">
        <v>29</v>
      </c>
      <c r="I467" t="s">
        <v>30</v>
      </c>
      <c r="J467" t="s">
        <v>50</v>
      </c>
      <c r="L467" s="1">
        <v>45870</v>
      </c>
      <c r="M467" s="1">
        <v>45658</v>
      </c>
      <c r="O467">
        <v>17886092</v>
      </c>
      <c r="P467" t="s">
        <v>32</v>
      </c>
      <c r="Q467" t="s">
        <v>102</v>
      </c>
      <c r="R467">
        <v>8192</v>
      </c>
      <c r="S467" t="s">
        <v>34</v>
      </c>
      <c r="T467" t="s">
        <v>35</v>
      </c>
      <c r="U467">
        <v>3.75</v>
      </c>
      <c r="V467" t="s">
        <v>36</v>
      </c>
      <c r="W467" s="1">
        <v>45328</v>
      </c>
      <c r="X467">
        <v>2025</v>
      </c>
    </row>
    <row r="468" spans="1:24" x14ac:dyDescent="0.25">
      <c r="A468" s="1">
        <v>45888</v>
      </c>
      <c r="B468" t="s">
        <v>1604</v>
      </c>
      <c r="C468" t="s">
        <v>1605</v>
      </c>
      <c r="E468" t="s">
        <v>1606</v>
      </c>
      <c r="F468" t="s">
        <v>27</v>
      </c>
      <c r="G468" t="s">
        <v>28</v>
      </c>
      <c r="H468" t="s">
        <v>29</v>
      </c>
      <c r="I468" t="s">
        <v>30</v>
      </c>
      <c r="J468" t="s">
        <v>46</v>
      </c>
      <c r="L468" s="1">
        <v>45870</v>
      </c>
      <c r="M468" s="1">
        <v>45444</v>
      </c>
      <c r="O468">
        <v>17886092</v>
      </c>
      <c r="P468" t="s">
        <v>32</v>
      </c>
      <c r="Q468" t="s">
        <v>102</v>
      </c>
      <c r="R468">
        <v>8192</v>
      </c>
      <c r="S468" t="s">
        <v>34</v>
      </c>
      <c r="T468" t="s">
        <v>35</v>
      </c>
      <c r="U468">
        <v>3.75</v>
      </c>
      <c r="V468" t="s">
        <v>36</v>
      </c>
      <c r="W468" s="1">
        <v>45435</v>
      </c>
      <c r="X468">
        <v>2025</v>
      </c>
    </row>
    <row r="469" spans="1:24" x14ac:dyDescent="0.25">
      <c r="A469" s="1">
        <v>45888</v>
      </c>
      <c r="B469" t="s">
        <v>1607</v>
      </c>
      <c r="C469" t="s">
        <v>1608</v>
      </c>
      <c r="E469" t="s">
        <v>1609</v>
      </c>
      <c r="F469" t="s">
        <v>27</v>
      </c>
      <c r="G469" t="s">
        <v>28</v>
      </c>
      <c r="H469" t="s">
        <v>29</v>
      </c>
      <c r="I469" t="s">
        <v>30</v>
      </c>
      <c r="J469" t="s">
        <v>50</v>
      </c>
      <c r="L469" s="1">
        <v>45870</v>
      </c>
      <c r="M469" s="1">
        <v>45292</v>
      </c>
      <c r="O469">
        <v>19606009</v>
      </c>
      <c r="P469" t="s">
        <v>32</v>
      </c>
      <c r="Q469" t="s">
        <v>42</v>
      </c>
      <c r="R469">
        <v>8192</v>
      </c>
      <c r="S469" t="s">
        <v>51</v>
      </c>
      <c r="T469" t="s">
        <v>35</v>
      </c>
      <c r="U469">
        <v>2.5</v>
      </c>
      <c r="V469" t="s">
        <v>36</v>
      </c>
      <c r="W469" s="1">
        <v>45237</v>
      </c>
      <c r="X469">
        <v>2025</v>
      </c>
    </row>
    <row r="470" spans="1:24" x14ac:dyDescent="0.25">
      <c r="A470" s="1">
        <v>45888</v>
      </c>
      <c r="B470" t="s">
        <v>1610</v>
      </c>
      <c r="C470" t="s">
        <v>1611</v>
      </c>
      <c r="E470" t="s">
        <v>1612</v>
      </c>
      <c r="F470" t="s">
        <v>27</v>
      </c>
      <c r="G470" t="s">
        <v>28</v>
      </c>
      <c r="H470" t="s">
        <v>29</v>
      </c>
      <c r="I470" t="s">
        <v>30</v>
      </c>
      <c r="J470" t="s">
        <v>50</v>
      </c>
      <c r="L470" s="1">
        <v>45870</v>
      </c>
      <c r="M470" s="1">
        <v>45658</v>
      </c>
      <c r="O470">
        <v>17886092</v>
      </c>
      <c r="P470" t="s">
        <v>32</v>
      </c>
      <c r="Q470" t="s">
        <v>102</v>
      </c>
      <c r="R470">
        <v>8192</v>
      </c>
      <c r="S470" t="s">
        <v>51</v>
      </c>
      <c r="T470" t="s">
        <v>35</v>
      </c>
      <c r="U470">
        <v>2.5</v>
      </c>
      <c r="V470" t="s">
        <v>36</v>
      </c>
      <c r="W470" s="1">
        <v>45225</v>
      </c>
      <c r="X470">
        <v>2025</v>
      </c>
    </row>
    <row r="471" spans="1:24" x14ac:dyDescent="0.25">
      <c r="A471" s="1">
        <v>45888</v>
      </c>
      <c r="B471" t="s">
        <v>1613</v>
      </c>
      <c r="C471" t="s">
        <v>1614</v>
      </c>
      <c r="E471" t="s">
        <v>1615</v>
      </c>
      <c r="F471" t="s">
        <v>27</v>
      </c>
      <c r="G471" t="s">
        <v>28</v>
      </c>
      <c r="H471" t="s">
        <v>29</v>
      </c>
      <c r="I471" t="s">
        <v>40</v>
      </c>
      <c r="J471" t="s">
        <v>46</v>
      </c>
      <c r="L471" s="1">
        <v>45870</v>
      </c>
      <c r="M471" s="1">
        <v>44197</v>
      </c>
      <c r="O471">
        <v>19606009</v>
      </c>
      <c r="P471" t="s">
        <v>32</v>
      </c>
      <c r="Q471" t="s">
        <v>42</v>
      </c>
      <c r="R471">
        <v>8192</v>
      </c>
      <c r="S471" t="s">
        <v>34</v>
      </c>
      <c r="T471" t="s">
        <v>35</v>
      </c>
      <c r="U471">
        <v>1.25</v>
      </c>
      <c r="V471" t="s">
        <v>36</v>
      </c>
      <c r="W471" s="1">
        <v>45870</v>
      </c>
      <c r="X471">
        <v>2025</v>
      </c>
    </row>
    <row r="472" spans="1:24" x14ac:dyDescent="0.25">
      <c r="A472" s="1">
        <v>45888</v>
      </c>
      <c r="B472" t="s">
        <v>1616</v>
      </c>
      <c r="C472" t="s">
        <v>1617</v>
      </c>
      <c r="E472" t="s">
        <v>1618</v>
      </c>
      <c r="F472" t="s">
        <v>27</v>
      </c>
      <c r="G472" t="s">
        <v>28</v>
      </c>
      <c r="H472" t="s">
        <v>29</v>
      </c>
      <c r="I472" t="s">
        <v>30</v>
      </c>
      <c r="J472" t="s">
        <v>50</v>
      </c>
      <c r="L472" s="1">
        <v>45870</v>
      </c>
      <c r="M472" s="1">
        <v>45292</v>
      </c>
      <c r="O472">
        <v>19606009</v>
      </c>
      <c r="P472" t="s">
        <v>32</v>
      </c>
      <c r="Q472" t="s">
        <v>42</v>
      </c>
      <c r="R472">
        <v>8192</v>
      </c>
      <c r="S472" t="s">
        <v>51</v>
      </c>
      <c r="T472" t="s">
        <v>35</v>
      </c>
      <c r="U472">
        <v>2.5</v>
      </c>
      <c r="V472" t="s">
        <v>36</v>
      </c>
      <c r="W472" s="1">
        <v>45237</v>
      </c>
      <c r="X472">
        <v>2025</v>
      </c>
    </row>
    <row r="473" spans="1:24" x14ac:dyDescent="0.25">
      <c r="A473" s="1">
        <v>45888</v>
      </c>
      <c r="B473" t="s">
        <v>1619</v>
      </c>
      <c r="C473" t="s">
        <v>1620</v>
      </c>
      <c r="E473" t="s">
        <v>1621</v>
      </c>
      <c r="F473" t="s">
        <v>27</v>
      </c>
      <c r="G473" t="s">
        <v>28</v>
      </c>
      <c r="H473" t="s">
        <v>29</v>
      </c>
      <c r="I473" t="s">
        <v>30</v>
      </c>
      <c r="J473" t="s">
        <v>46</v>
      </c>
      <c r="L473" s="1">
        <v>45870</v>
      </c>
      <c r="M473" s="1">
        <v>45505</v>
      </c>
      <c r="O473">
        <v>17886092</v>
      </c>
      <c r="P473" t="s">
        <v>32</v>
      </c>
      <c r="Q473" t="s">
        <v>102</v>
      </c>
      <c r="R473">
        <v>8192</v>
      </c>
      <c r="S473" t="s">
        <v>34</v>
      </c>
      <c r="T473" t="s">
        <v>35</v>
      </c>
      <c r="U473">
        <v>3.75</v>
      </c>
      <c r="V473" t="s">
        <v>36</v>
      </c>
      <c r="W473" s="1">
        <v>45478</v>
      </c>
      <c r="X473">
        <v>2025</v>
      </c>
    </row>
    <row r="474" spans="1:24" x14ac:dyDescent="0.25">
      <c r="A474" s="1">
        <v>45888</v>
      </c>
      <c r="B474" t="s">
        <v>1622</v>
      </c>
      <c r="C474" t="s">
        <v>1623</v>
      </c>
      <c r="E474" t="s">
        <v>1624</v>
      </c>
      <c r="F474" t="s">
        <v>27</v>
      </c>
      <c r="G474" t="s">
        <v>28</v>
      </c>
      <c r="H474" t="s">
        <v>29</v>
      </c>
      <c r="I474" t="s">
        <v>30</v>
      </c>
      <c r="J474" t="s">
        <v>46</v>
      </c>
      <c r="L474" s="1">
        <v>45870</v>
      </c>
      <c r="M474" s="1">
        <v>45292</v>
      </c>
      <c r="O474">
        <v>17886092</v>
      </c>
      <c r="P474" t="s">
        <v>32</v>
      </c>
      <c r="Q474" t="s">
        <v>102</v>
      </c>
      <c r="R474">
        <v>8192</v>
      </c>
      <c r="S474" t="s">
        <v>51</v>
      </c>
      <c r="T474" t="s">
        <v>35</v>
      </c>
      <c r="U474">
        <v>2.5</v>
      </c>
      <c r="V474" t="s">
        <v>36</v>
      </c>
      <c r="W474" s="1">
        <v>45215</v>
      </c>
      <c r="X474">
        <v>2025</v>
      </c>
    </row>
    <row r="475" spans="1:24" x14ac:dyDescent="0.25">
      <c r="A475" s="1">
        <v>45888</v>
      </c>
      <c r="B475" t="s">
        <v>1625</v>
      </c>
      <c r="C475" t="s">
        <v>1626</v>
      </c>
      <c r="E475" t="s">
        <v>1627</v>
      </c>
      <c r="F475" t="s">
        <v>27</v>
      </c>
      <c r="G475" t="s">
        <v>28</v>
      </c>
      <c r="H475" t="s">
        <v>127</v>
      </c>
      <c r="I475" t="s">
        <v>30</v>
      </c>
      <c r="J475" t="s">
        <v>128</v>
      </c>
      <c r="L475" s="1">
        <v>45870</v>
      </c>
      <c r="M475" s="1">
        <v>45413</v>
      </c>
      <c r="O475">
        <v>17528908</v>
      </c>
      <c r="P475" t="s">
        <v>32</v>
      </c>
      <c r="Q475" t="s">
        <v>33</v>
      </c>
      <c r="R475">
        <v>8192</v>
      </c>
      <c r="S475" t="s">
        <v>34</v>
      </c>
      <c r="T475" t="s">
        <v>35</v>
      </c>
      <c r="U475">
        <v>33.17</v>
      </c>
      <c r="V475" t="s">
        <v>36</v>
      </c>
      <c r="W475" s="1">
        <v>45405</v>
      </c>
      <c r="X475">
        <v>2025</v>
      </c>
    </row>
    <row r="476" spans="1:24" x14ac:dyDescent="0.25">
      <c r="A476" s="1">
        <v>45888</v>
      </c>
      <c r="B476" t="s">
        <v>1628</v>
      </c>
      <c r="C476" t="s">
        <v>1629</v>
      </c>
      <c r="E476" t="s">
        <v>1630</v>
      </c>
      <c r="F476" t="s">
        <v>1145</v>
      </c>
      <c r="G476" t="s">
        <v>28</v>
      </c>
      <c r="H476" t="s">
        <v>29</v>
      </c>
      <c r="I476" t="s">
        <v>61</v>
      </c>
      <c r="J476" t="s">
        <v>1631</v>
      </c>
      <c r="L476" s="1">
        <v>45870</v>
      </c>
      <c r="M476" s="1">
        <v>45383</v>
      </c>
      <c r="O476">
        <v>8307933</v>
      </c>
      <c r="P476" t="s">
        <v>32</v>
      </c>
      <c r="Q476" t="s">
        <v>63</v>
      </c>
      <c r="R476">
        <v>8192</v>
      </c>
      <c r="S476" t="s">
        <v>34</v>
      </c>
      <c r="T476" t="s">
        <v>35</v>
      </c>
      <c r="U476">
        <v>29.83</v>
      </c>
      <c r="V476" t="s">
        <v>36</v>
      </c>
      <c r="W476" s="1">
        <v>45330</v>
      </c>
      <c r="X476">
        <v>2025</v>
      </c>
    </row>
    <row r="477" spans="1:24" x14ac:dyDescent="0.25">
      <c r="A477" s="1">
        <v>45888</v>
      </c>
      <c r="B477" t="s">
        <v>1632</v>
      </c>
      <c r="C477" t="s">
        <v>1633</v>
      </c>
      <c r="E477" t="s">
        <v>1634</v>
      </c>
      <c r="F477" t="s">
        <v>27</v>
      </c>
      <c r="G477" t="s">
        <v>28</v>
      </c>
      <c r="H477" t="s">
        <v>29</v>
      </c>
      <c r="I477" t="s">
        <v>30</v>
      </c>
      <c r="J477" t="s">
        <v>46</v>
      </c>
      <c r="L477" s="1">
        <v>45870</v>
      </c>
      <c r="M477" s="1">
        <v>45505</v>
      </c>
      <c r="O477">
        <v>17886092</v>
      </c>
      <c r="P477" t="s">
        <v>32</v>
      </c>
      <c r="Q477" t="s">
        <v>102</v>
      </c>
      <c r="R477">
        <v>8192</v>
      </c>
      <c r="S477" t="s">
        <v>34</v>
      </c>
      <c r="T477" t="s">
        <v>35</v>
      </c>
      <c r="U477">
        <v>3.75</v>
      </c>
      <c r="V477" t="s">
        <v>36</v>
      </c>
      <c r="W477" s="1">
        <v>45413</v>
      </c>
      <c r="X477">
        <v>2025</v>
      </c>
    </row>
    <row r="478" spans="1:24" x14ac:dyDescent="0.25">
      <c r="A478" s="1">
        <v>45888</v>
      </c>
      <c r="B478" t="s">
        <v>1635</v>
      </c>
      <c r="C478" t="s">
        <v>1636</v>
      </c>
      <c r="E478" t="s">
        <v>1637</v>
      </c>
      <c r="F478" t="s">
        <v>27</v>
      </c>
      <c r="G478" t="s">
        <v>28</v>
      </c>
      <c r="H478" t="s">
        <v>29</v>
      </c>
      <c r="I478" t="s">
        <v>30</v>
      </c>
      <c r="J478" t="s">
        <v>202</v>
      </c>
      <c r="L478" s="1">
        <v>45870</v>
      </c>
      <c r="M478" s="1">
        <v>44927</v>
      </c>
      <c r="O478">
        <v>19606009</v>
      </c>
      <c r="P478" t="s">
        <v>32</v>
      </c>
      <c r="Q478" t="s">
        <v>42</v>
      </c>
      <c r="R478">
        <v>8192</v>
      </c>
      <c r="S478" t="s">
        <v>34</v>
      </c>
      <c r="T478" t="s">
        <v>35</v>
      </c>
      <c r="U478">
        <v>1.25</v>
      </c>
      <c r="V478" t="s">
        <v>36</v>
      </c>
      <c r="W478" s="1">
        <v>45809</v>
      </c>
      <c r="X478">
        <v>2025</v>
      </c>
    </row>
    <row r="479" spans="1:24" x14ac:dyDescent="0.25">
      <c r="A479" s="1">
        <v>45888</v>
      </c>
      <c r="B479" t="s">
        <v>1638</v>
      </c>
      <c r="C479" t="s">
        <v>1639</v>
      </c>
      <c r="E479" t="s">
        <v>1640</v>
      </c>
      <c r="F479" t="s">
        <v>27</v>
      </c>
      <c r="G479" t="s">
        <v>28</v>
      </c>
      <c r="H479" t="s">
        <v>29</v>
      </c>
      <c r="I479" t="s">
        <v>30</v>
      </c>
      <c r="J479" t="s">
        <v>46</v>
      </c>
      <c r="L479" s="1">
        <v>45870</v>
      </c>
      <c r="M479" s="1">
        <v>44927</v>
      </c>
      <c r="O479">
        <v>19606009</v>
      </c>
      <c r="P479" t="s">
        <v>32</v>
      </c>
      <c r="Q479" t="s">
        <v>42</v>
      </c>
      <c r="R479">
        <v>8192</v>
      </c>
      <c r="S479" t="s">
        <v>34</v>
      </c>
      <c r="T479" t="s">
        <v>35</v>
      </c>
      <c r="U479">
        <v>1.25</v>
      </c>
      <c r="V479" t="s">
        <v>36</v>
      </c>
      <c r="W479" s="1">
        <v>45809</v>
      </c>
      <c r="X479">
        <v>2025</v>
      </c>
    </row>
    <row r="480" spans="1:24" x14ac:dyDescent="0.25">
      <c r="A480" s="1">
        <v>45888</v>
      </c>
      <c r="B480" t="s">
        <v>1641</v>
      </c>
      <c r="C480" t="s">
        <v>1642</v>
      </c>
      <c r="E480" t="s">
        <v>1643</v>
      </c>
      <c r="F480" t="s">
        <v>303</v>
      </c>
      <c r="G480" t="s">
        <v>28</v>
      </c>
      <c r="H480" t="s">
        <v>29</v>
      </c>
      <c r="I480" t="s">
        <v>304</v>
      </c>
      <c r="J480" t="s">
        <v>1644</v>
      </c>
      <c r="L480" s="1">
        <v>45870</v>
      </c>
      <c r="M480" s="1">
        <v>45292</v>
      </c>
      <c r="O480">
        <v>17425766</v>
      </c>
      <c r="P480" t="s">
        <v>32</v>
      </c>
      <c r="Q480" t="s">
        <v>56</v>
      </c>
      <c r="R480">
        <v>8192</v>
      </c>
      <c r="S480" t="s">
        <v>51</v>
      </c>
      <c r="T480" t="s">
        <v>35</v>
      </c>
      <c r="U480">
        <v>28.58</v>
      </c>
      <c r="V480" t="s">
        <v>36</v>
      </c>
      <c r="W480" s="1">
        <v>45259</v>
      </c>
      <c r="X480">
        <v>2025</v>
      </c>
    </row>
    <row r="481" spans="1:24" x14ac:dyDescent="0.25">
      <c r="A481" s="1">
        <v>45888</v>
      </c>
      <c r="B481" t="s">
        <v>1645</v>
      </c>
      <c r="C481" t="s">
        <v>1646</v>
      </c>
      <c r="E481" t="s">
        <v>1647</v>
      </c>
      <c r="F481" t="s">
        <v>27</v>
      </c>
      <c r="G481" t="s">
        <v>28</v>
      </c>
      <c r="H481" t="s">
        <v>29</v>
      </c>
      <c r="I481" t="s">
        <v>30</v>
      </c>
      <c r="J481" t="s">
        <v>46</v>
      </c>
      <c r="L481" s="1">
        <v>45870</v>
      </c>
      <c r="M481" s="1">
        <v>45292</v>
      </c>
      <c r="O481">
        <v>17886092</v>
      </c>
      <c r="P481" t="s">
        <v>32</v>
      </c>
      <c r="Q481" t="s">
        <v>102</v>
      </c>
      <c r="R481">
        <v>8192</v>
      </c>
      <c r="S481" t="s">
        <v>51</v>
      </c>
      <c r="T481" t="s">
        <v>35</v>
      </c>
      <c r="U481">
        <v>2.5</v>
      </c>
      <c r="V481" t="s">
        <v>36</v>
      </c>
      <c r="W481" s="1">
        <v>45251</v>
      </c>
      <c r="X481">
        <v>2025</v>
      </c>
    </row>
    <row r="482" spans="1:24" x14ac:dyDescent="0.25">
      <c r="A482" s="1">
        <v>45888</v>
      </c>
      <c r="B482" t="s">
        <v>1648</v>
      </c>
      <c r="C482" t="s">
        <v>1649</v>
      </c>
      <c r="E482" t="s">
        <v>1650</v>
      </c>
      <c r="F482" t="s">
        <v>27</v>
      </c>
      <c r="G482" t="s">
        <v>28</v>
      </c>
      <c r="H482" t="s">
        <v>29</v>
      </c>
      <c r="I482" t="s">
        <v>30</v>
      </c>
      <c r="J482" t="s">
        <v>46</v>
      </c>
      <c r="L482" s="1">
        <v>45870</v>
      </c>
      <c r="M482" s="1">
        <v>44562</v>
      </c>
      <c r="O482">
        <v>19606009</v>
      </c>
      <c r="P482" t="s">
        <v>32</v>
      </c>
      <c r="Q482" t="s">
        <v>42</v>
      </c>
      <c r="R482">
        <v>8192</v>
      </c>
      <c r="S482" t="s">
        <v>34</v>
      </c>
      <c r="T482" t="s">
        <v>35</v>
      </c>
      <c r="U482">
        <v>1.25</v>
      </c>
      <c r="V482" t="s">
        <v>36</v>
      </c>
      <c r="W482" s="1">
        <v>45870</v>
      </c>
      <c r="X482">
        <v>2025</v>
      </c>
    </row>
    <row r="483" spans="1:24" x14ac:dyDescent="0.25">
      <c r="A483" s="1">
        <v>45888</v>
      </c>
      <c r="B483" t="s">
        <v>1651</v>
      </c>
      <c r="C483" t="s">
        <v>1652</v>
      </c>
      <c r="E483" t="s">
        <v>1653</v>
      </c>
      <c r="F483" t="s">
        <v>27</v>
      </c>
      <c r="G483" t="s">
        <v>28</v>
      </c>
      <c r="H483" t="s">
        <v>29</v>
      </c>
      <c r="I483" t="s">
        <v>30</v>
      </c>
      <c r="J483" t="s">
        <v>46</v>
      </c>
      <c r="L483" s="1">
        <v>45870</v>
      </c>
      <c r="M483" s="1">
        <v>45292</v>
      </c>
      <c r="O483">
        <v>17886092</v>
      </c>
      <c r="P483" t="s">
        <v>32</v>
      </c>
      <c r="Q483" t="s">
        <v>102</v>
      </c>
      <c r="R483">
        <v>8192</v>
      </c>
      <c r="S483" t="s">
        <v>51</v>
      </c>
      <c r="T483" t="s">
        <v>35</v>
      </c>
      <c r="U483">
        <v>2.5</v>
      </c>
      <c r="V483" t="s">
        <v>36</v>
      </c>
      <c r="W483" s="1">
        <v>45216</v>
      </c>
      <c r="X483">
        <v>2025</v>
      </c>
    </row>
    <row r="484" spans="1:24" x14ac:dyDescent="0.25">
      <c r="A484" s="1">
        <v>45888</v>
      </c>
      <c r="B484" t="s">
        <v>1654</v>
      </c>
      <c r="C484" t="s">
        <v>1655</v>
      </c>
      <c r="E484" t="s">
        <v>1656</v>
      </c>
      <c r="F484" t="s">
        <v>27</v>
      </c>
      <c r="G484" t="s">
        <v>28</v>
      </c>
      <c r="H484" t="s">
        <v>29</v>
      </c>
      <c r="I484" t="s">
        <v>30</v>
      </c>
      <c r="J484" t="s">
        <v>46</v>
      </c>
      <c r="L484" s="1">
        <v>45870</v>
      </c>
      <c r="M484" s="1">
        <v>45536</v>
      </c>
      <c r="O484">
        <v>17886092</v>
      </c>
      <c r="P484" t="s">
        <v>32</v>
      </c>
      <c r="Q484" t="s">
        <v>102</v>
      </c>
      <c r="R484">
        <v>8192</v>
      </c>
      <c r="S484" t="s">
        <v>34</v>
      </c>
      <c r="T484" t="s">
        <v>35</v>
      </c>
      <c r="U484">
        <v>3.75</v>
      </c>
      <c r="V484" t="s">
        <v>36</v>
      </c>
      <c r="W484" s="1">
        <v>45523</v>
      </c>
      <c r="X484">
        <v>2025</v>
      </c>
    </row>
    <row r="485" spans="1:24" x14ac:dyDescent="0.25">
      <c r="A485" s="1">
        <v>45888</v>
      </c>
      <c r="B485" t="s">
        <v>1657</v>
      </c>
      <c r="C485" t="s">
        <v>1658</v>
      </c>
      <c r="E485" t="s">
        <v>1659</v>
      </c>
      <c r="F485" t="s">
        <v>27</v>
      </c>
      <c r="G485" t="s">
        <v>28</v>
      </c>
      <c r="H485" t="s">
        <v>29</v>
      </c>
      <c r="I485" t="s">
        <v>30</v>
      </c>
      <c r="J485" t="s">
        <v>46</v>
      </c>
      <c r="L485" s="1">
        <v>45870</v>
      </c>
      <c r="M485" s="1">
        <v>45292</v>
      </c>
      <c r="O485">
        <v>17528908</v>
      </c>
      <c r="P485" t="s">
        <v>32</v>
      </c>
      <c r="Q485" t="s">
        <v>33</v>
      </c>
      <c r="R485">
        <v>8192</v>
      </c>
      <c r="S485" t="s">
        <v>51</v>
      </c>
      <c r="T485" t="s">
        <v>35</v>
      </c>
      <c r="U485">
        <v>31.92</v>
      </c>
      <c r="V485" t="s">
        <v>36</v>
      </c>
      <c r="W485" s="1">
        <v>45229</v>
      </c>
      <c r="X485">
        <v>2025</v>
      </c>
    </row>
    <row r="486" spans="1:24" x14ac:dyDescent="0.25">
      <c r="A486" s="1">
        <v>45888</v>
      </c>
      <c r="B486" t="s">
        <v>1660</v>
      </c>
      <c r="C486" t="s">
        <v>1661</v>
      </c>
      <c r="E486" t="s">
        <v>1662</v>
      </c>
      <c r="F486" t="s">
        <v>27</v>
      </c>
      <c r="G486" t="s">
        <v>28</v>
      </c>
      <c r="H486" t="s">
        <v>29</v>
      </c>
      <c r="I486" t="s">
        <v>30</v>
      </c>
      <c r="J486" t="s">
        <v>50</v>
      </c>
      <c r="L486" s="1">
        <v>45870</v>
      </c>
      <c r="M486" s="1">
        <v>45292</v>
      </c>
      <c r="O486">
        <v>17886092</v>
      </c>
      <c r="P486" t="s">
        <v>32</v>
      </c>
      <c r="Q486" t="s">
        <v>102</v>
      </c>
      <c r="R486">
        <v>8192</v>
      </c>
      <c r="S486" t="s">
        <v>51</v>
      </c>
      <c r="T486" t="s">
        <v>35</v>
      </c>
      <c r="U486">
        <v>2.5</v>
      </c>
      <c r="V486" t="s">
        <v>36</v>
      </c>
      <c r="W486" s="1">
        <v>45215</v>
      </c>
      <c r="X486">
        <v>2025</v>
      </c>
    </row>
    <row r="487" spans="1:24" x14ac:dyDescent="0.25">
      <c r="A487" s="1">
        <v>45888</v>
      </c>
      <c r="B487" t="s">
        <v>1663</v>
      </c>
      <c r="C487" t="s">
        <v>1664</v>
      </c>
      <c r="E487" t="s">
        <v>1665</v>
      </c>
      <c r="F487" t="s">
        <v>303</v>
      </c>
      <c r="G487" t="s">
        <v>28</v>
      </c>
      <c r="H487" t="s">
        <v>29</v>
      </c>
      <c r="I487" t="s">
        <v>304</v>
      </c>
      <c r="J487" t="s">
        <v>366</v>
      </c>
      <c r="L487" s="1">
        <v>45870</v>
      </c>
      <c r="M487" s="1">
        <v>45413</v>
      </c>
      <c r="O487">
        <v>8307933</v>
      </c>
      <c r="P487" t="s">
        <v>32</v>
      </c>
      <c r="Q487" t="s">
        <v>63</v>
      </c>
      <c r="R487">
        <v>8192</v>
      </c>
      <c r="S487" t="s">
        <v>34</v>
      </c>
      <c r="T487" t="s">
        <v>35</v>
      </c>
      <c r="U487">
        <v>29.83</v>
      </c>
      <c r="V487" t="s">
        <v>36</v>
      </c>
      <c r="W487" s="1">
        <v>45349</v>
      </c>
      <c r="X487">
        <v>2025</v>
      </c>
    </row>
    <row r="488" spans="1:24" x14ac:dyDescent="0.25">
      <c r="A488" s="1">
        <v>45888</v>
      </c>
      <c r="B488" t="s">
        <v>1666</v>
      </c>
      <c r="C488" t="s">
        <v>1667</v>
      </c>
      <c r="E488" t="s">
        <v>1668</v>
      </c>
      <c r="F488" t="s">
        <v>27</v>
      </c>
      <c r="G488" t="s">
        <v>28</v>
      </c>
      <c r="H488" t="s">
        <v>29</v>
      </c>
      <c r="I488" t="s">
        <v>30</v>
      </c>
      <c r="J488" t="s">
        <v>202</v>
      </c>
      <c r="L488" s="1">
        <v>45870</v>
      </c>
      <c r="M488" s="1">
        <v>44562</v>
      </c>
      <c r="O488">
        <v>20253958</v>
      </c>
      <c r="P488" t="s">
        <v>32</v>
      </c>
      <c r="Q488" t="s">
        <v>1669</v>
      </c>
      <c r="R488">
        <v>8192</v>
      </c>
      <c r="S488" t="s">
        <v>34</v>
      </c>
      <c r="T488" t="s">
        <v>35</v>
      </c>
      <c r="U488">
        <v>1.25</v>
      </c>
      <c r="V488" t="s">
        <v>36</v>
      </c>
      <c r="W488" s="1">
        <v>45809</v>
      </c>
      <c r="X488">
        <v>2025</v>
      </c>
    </row>
    <row r="489" spans="1:24" x14ac:dyDescent="0.25">
      <c r="A489" s="1">
        <v>45888</v>
      </c>
      <c r="B489" t="s">
        <v>1670</v>
      </c>
      <c r="C489" t="s">
        <v>1671</v>
      </c>
      <c r="E489" t="s">
        <v>1672</v>
      </c>
      <c r="F489" t="s">
        <v>27</v>
      </c>
      <c r="G489" t="s">
        <v>28</v>
      </c>
      <c r="H489" t="s">
        <v>29</v>
      </c>
      <c r="I489" t="s">
        <v>30</v>
      </c>
      <c r="J489" t="s">
        <v>46</v>
      </c>
      <c r="L489" s="1">
        <v>45870</v>
      </c>
      <c r="M489" s="1">
        <v>45292</v>
      </c>
      <c r="O489">
        <v>17886092</v>
      </c>
      <c r="P489" t="s">
        <v>32</v>
      </c>
      <c r="Q489" t="s">
        <v>102</v>
      </c>
      <c r="R489">
        <v>8192</v>
      </c>
      <c r="S489" t="s">
        <v>51</v>
      </c>
      <c r="T489" t="s">
        <v>35</v>
      </c>
      <c r="U489">
        <v>2.5</v>
      </c>
      <c r="V489" t="s">
        <v>36</v>
      </c>
      <c r="W489" s="1">
        <v>45246</v>
      </c>
      <c r="X489">
        <v>2025</v>
      </c>
    </row>
    <row r="490" spans="1:24" x14ac:dyDescent="0.25">
      <c r="A490" s="1">
        <v>45888</v>
      </c>
      <c r="B490" t="s">
        <v>1673</v>
      </c>
      <c r="C490" t="s">
        <v>1674</v>
      </c>
      <c r="E490" t="s">
        <v>1675</v>
      </c>
      <c r="F490" t="s">
        <v>27</v>
      </c>
      <c r="G490" t="s">
        <v>28</v>
      </c>
      <c r="H490" t="s">
        <v>29</v>
      </c>
      <c r="I490" t="s">
        <v>30</v>
      </c>
      <c r="J490" t="s">
        <v>46</v>
      </c>
      <c r="L490" s="1">
        <v>45870</v>
      </c>
      <c r="M490" s="1">
        <v>45292</v>
      </c>
      <c r="O490">
        <v>17886092</v>
      </c>
      <c r="P490" t="s">
        <v>32</v>
      </c>
      <c r="Q490" t="s">
        <v>102</v>
      </c>
      <c r="R490">
        <v>8192</v>
      </c>
      <c r="S490" t="s">
        <v>51</v>
      </c>
      <c r="T490" t="s">
        <v>35</v>
      </c>
      <c r="U490">
        <v>2.5</v>
      </c>
      <c r="V490" t="s">
        <v>36</v>
      </c>
      <c r="W490" s="1">
        <v>45246</v>
      </c>
      <c r="X490">
        <v>2025</v>
      </c>
    </row>
    <row r="491" spans="1:24" x14ac:dyDescent="0.25">
      <c r="A491" s="1">
        <v>45888</v>
      </c>
      <c r="B491" t="s">
        <v>1676</v>
      </c>
      <c r="C491" t="s">
        <v>1677</v>
      </c>
      <c r="E491" t="s">
        <v>1678</v>
      </c>
      <c r="F491" t="s">
        <v>27</v>
      </c>
      <c r="G491" t="s">
        <v>28</v>
      </c>
      <c r="H491" t="s">
        <v>29</v>
      </c>
      <c r="I491" t="s">
        <v>30</v>
      </c>
      <c r="J491" t="s">
        <v>46</v>
      </c>
      <c r="L491" s="1">
        <v>45870</v>
      </c>
      <c r="M491" s="1">
        <v>44562</v>
      </c>
      <c r="O491">
        <v>19606009</v>
      </c>
      <c r="P491" t="s">
        <v>32</v>
      </c>
      <c r="Q491" t="s">
        <v>42</v>
      </c>
      <c r="R491">
        <v>8192</v>
      </c>
      <c r="S491" t="s">
        <v>34</v>
      </c>
      <c r="T491" t="s">
        <v>35</v>
      </c>
      <c r="U491">
        <v>1.25</v>
      </c>
      <c r="V491" t="s">
        <v>36</v>
      </c>
      <c r="W491" s="1">
        <v>45870</v>
      </c>
      <c r="X491">
        <v>2025</v>
      </c>
    </row>
    <row r="492" spans="1:24" x14ac:dyDescent="0.25">
      <c r="A492" s="1">
        <v>45888</v>
      </c>
      <c r="B492" t="s">
        <v>1679</v>
      </c>
      <c r="C492" t="s">
        <v>1680</v>
      </c>
      <c r="E492" t="s">
        <v>1681</v>
      </c>
      <c r="F492" t="s">
        <v>27</v>
      </c>
      <c r="G492" t="s">
        <v>28</v>
      </c>
      <c r="H492" t="s">
        <v>29</v>
      </c>
      <c r="I492" t="s">
        <v>40</v>
      </c>
      <c r="J492" t="s">
        <v>46</v>
      </c>
      <c r="L492" s="1">
        <v>45870</v>
      </c>
      <c r="M492" s="1">
        <v>44287</v>
      </c>
      <c r="O492">
        <v>19606009</v>
      </c>
      <c r="P492" t="s">
        <v>32</v>
      </c>
      <c r="Q492" t="s">
        <v>42</v>
      </c>
      <c r="R492">
        <v>8192</v>
      </c>
      <c r="S492" t="s">
        <v>34</v>
      </c>
      <c r="T492" t="s">
        <v>35</v>
      </c>
      <c r="U492">
        <v>3.75</v>
      </c>
      <c r="V492" t="s">
        <v>36</v>
      </c>
      <c r="W492" s="1">
        <v>45352</v>
      </c>
      <c r="X492">
        <v>2025</v>
      </c>
    </row>
    <row r="493" spans="1:24" x14ac:dyDescent="0.25">
      <c r="A493" s="1">
        <v>45888</v>
      </c>
      <c r="B493" t="s">
        <v>1682</v>
      </c>
      <c r="C493" t="s">
        <v>1683</v>
      </c>
      <c r="E493" t="s">
        <v>1684</v>
      </c>
      <c r="F493" t="s">
        <v>27</v>
      </c>
      <c r="G493" t="s">
        <v>28</v>
      </c>
      <c r="H493" t="s">
        <v>29</v>
      </c>
      <c r="I493" t="s">
        <v>30</v>
      </c>
      <c r="J493" t="s">
        <v>31</v>
      </c>
      <c r="L493" s="1">
        <v>45870</v>
      </c>
      <c r="M493" s="1">
        <v>45292</v>
      </c>
      <c r="O493">
        <v>17886092</v>
      </c>
      <c r="P493" t="s">
        <v>32</v>
      </c>
      <c r="Q493" t="s">
        <v>102</v>
      </c>
      <c r="R493">
        <v>8192</v>
      </c>
      <c r="S493" t="s">
        <v>51</v>
      </c>
      <c r="T493" t="s">
        <v>35</v>
      </c>
      <c r="U493">
        <v>2.5</v>
      </c>
      <c r="V493" t="s">
        <v>36</v>
      </c>
      <c r="W493" s="1">
        <v>45223</v>
      </c>
      <c r="X493">
        <v>2025</v>
      </c>
    </row>
    <row r="494" spans="1:24" x14ac:dyDescent="0.25">
      <c r="A494" s="1">
        <v>45888</v>
      </c>
      <c r="B494" t="s">
        <v>1685</v>
      </c>
      <c r="C494" t="s">
        <v>1686</v>
      </c>
      <c r="E494" t="s">
        <v>1687</v>
      </c>
      <c r="F494" t="s">
        <v>27</v>
      </c>
      <c r="G494" t="s">
        <v>28</v>
      </c>
      <c r="H494" t="s">
        <v>29</v>
      </c>
      <c r="I494" t="s">
        <v>30</v>
      </c>
      <c r="J494" t="s">
        <v>674</v>
      </c>
      <c r="L494" s="1">
        <v>45870</v>
      </c>
      <c r="M494" s="1">
        <v>45383</v>
      </c>
      <c r="O494">
        <v>17528908</v>
      </c>
      <c r="P494" t="s">
        <v>32</v>
      </c>
      <c r="Q494" t="s">
        <v>33</v>
      </c>
      <c r="R494">
        <v>8192</v>
      </c>
      <c r="S494" t="s">
        <v>34</v>
      </c>
      <c r="T494" t="s">
        <v>35</v>
      </c>
      <c r="U494">
        <v>33.17</v>
      </c>
      <c r="V494" t="s">
        <v>36</v>
      </c>
      <c r="W494" s="1">
        <v>45369</v>
      </c>
      <c r="X494">
        <v>2025</v>
      </c>
    </row>
    <row r="495" spans="1:24" x14ac:dyDescent="0.25">
      <c r="A495" s="1">
        <v>45888</v>
      </c>
      <c r="B495" t="s">
        <v>1688</v>
      </c>
      <c r="C495" t="s">
        <v>1689</v>
      </c>
      <c r="E495" t="s">
        <v>1690</v>
      </c>
      <c r="F495" t="s">
        <v>27</v>
      </c>
      <c r="G495" t="s">
        <v>28</v>
      </c>
      <c r="H495" t="s">
        <v>29</v>
      </c>
      <c r="I495" t="s">
        <v>30</v>
      </c>
      <c r="J495" t="s">
        <v>50</v>
      </c>
      <c r="L495" s="1">
        <v>45870</v>
      </c>
      <c r="M495" s="1">
        <v>45292</v>
      </c>
      <c r="O495">
        <v>17886092</v>
      </c>
      <c r="P495" t="s">
        <v>32</v>
      </c>
      <c r="Q495" t="s">
        <v>102</v>
      </c>
      <c r="R495">
        <v>8192</v>
      </c>
      <c r="S495" t="s">
        <v>51</v>
      </c>
      <c r="T495" t="s">
        <v>35</v>
      </c>
      <c r="U495">
        <v>2.5</v>
      </c>
      <c r="V495" t="s">
        <v>36</v>
      </c>
      <c r="W495" s="1">
        <v>45245</v>
      </c>
      <c r="X495">
        <v>2025</v>
      </c>
    </row>
    <row r="496" spans="1:24" x14ac:dyDescent="0.25">
      <c r="A496" s="1">
        <v>45888</v>
      </c>
      <c r="B496" t="s">
        <v>1691</v>
      </c>
      <c r="C496" t="s">
        <v>1692</v>
      </c>
      <c r="E496" t="s">
        <v>1693</v>
      </c>
      <c r="F496" t="s">
        <v>27</v>
      </c>
      <c r="G496" t="s">
        <v>28</v>
      </c>
      <c r="H496" t="s">
        <v>29</v>
      </c>
      <c r="I496" t="s">
        <v>30</v>
      </c>
      <c r="J496" t="s">
        <v>46</v>
      </c>
      <c r="L496" s="1">
        <v>45870</v>
      </c>
      <c r="M496" s="1">
        <v>44562</v>
      </c>
      <c r="O496">
        <v>19606009</v>
      </c>
      <c r="P496" t="s">
        <v>32</v>
      </c>
      <c r="Q496" t="s">
        <v>42</v>
      </c>
      <c r="R496">
        <v>8192</v>
      </c>
      <c r="S496" t="s">
        <v>34</v>
      </c>
      <c r="T496" t="s">
        <v>35</v>
      </c>
      <c r="U496">
        <v>1.25</v>
      </c>
      <c r="V496" t="s">
        <v>36</v>
      </c>
      <c r="W496" s="1">
        <v>45839</v>
      </c>
      <c r="X496">
        <v>2025</v>
      </c>
    </row>
    <row r="497" spans="1:24" x14ac:dyDescent="0.25">
      <c r="A497" s="1">
        <v>45888</v>
      </c>
      <c r="B497" t="s">
        <v>1694</v>
      </c>
      <c r="C497" t="s">
        <v>1695</v>
      </c>
      <c r="E497" t="s">
        <v>1696</v>
      </c>
      <c r="F497" t="s">
        <v>27</v>
      </c>
      <c r="G497" t="s">
        <v>28</v>
      </c>
      <c r="H497" t="s">
        <v>127</v>
      </c>
      <c r="I497" t="s">
        <v>30</v>
      </c>
      <c r="J497" t="s">
        <v>128</v>
      </c>
      <c r="L497" s="1">
        <v>45870</v>
      </c>
      <c r="M497" s="1">
        <v>45292</v>
      </c>
      <c r="O497">
        <v>17886092</v>
      </c>
      <c r="P497" t="s">
        <v>32</v>
      </c>
      <c r="Q497" t="s">
        <v>102</v>
      </c>
      <c r="R497">
        <v>8192</v>
      </c>
      <c r="S497" t="s">
        <v>51</v>
      </c>
      <c r="T497" t="s">
        <v>35</v>
      </c>
      <c r="U497">
        <v>2.5</v>
      </c>
      <c r="V497" t="s">
        <v>36</v>
      </c>
      <c r="W497" s="1">
        <v>45229</v>
      </c>
      <c r="X497">
        <v>2025</v>
      </c>
    </row>
    <row r="498" spans="1:24" x14ac:dyDescent="0.25">
      <c r="A498" s="1">
        <v>45888</v>
      </c>
      <c r="B498" t="s">
        <v>1697</v>
      </c>
      <c r="C498" t="s">
        <v>1698</v>
      </c>
      <c r="E498" t="s">
        <v>1699</v>
      </c>
      <c r="F498" t="s">
        <v>1319</v>
      </c>
      <c r="G498" t="s">
        <v>28</v>
      </c>
      <c r="H498" t="s">
        <v>29</v>
      </c>
      <c r="I498" t="s">
        <v>445</v>
      </c>
      <c r="J498" t="s">
        <v>1700</v>
      </c>
      <c r="L498" s="1">
        <v>45870</v>
      </c>
      <c r="M498" s="1">
        <v>45536</v>
      </c>
      <c r="O498">
        <v>8307933</v>
      </c>
      <c r="P498" t="s">
        <v>32</v>
      </c>
      <c r="Q498" t="s">
        <v>63</v>
      </c>
      <c r="R498">
        <v>8192</v>
      </c>
      <c r="S498" t="s">
        <v>34</v>
      </c>
      <c r="T498" t="s">
        <v>35</v>
      </c>
      <c r="U498">
        <v>29.83</v>
      </c>
      <c r="V498" t="s">
        <v>36</v>
      </c>
      <c r="W498" s="1">
        <v>45526</v>
      </c>
      <c r="X498">
        <v>2025</v>
      </c>
    </row>
    <row r="499" spans="1:24" x14ac:dyDescent="0.25">
      <c r="A499" s="1">
        <v>45888</v>
      </c>
      <c r="B499" t="s">
        <v>1701</v>
      </c>
      <c r="C499" t="s">
        <v>1702</v>
      </c>
      <c r="E499" t="s">
        <v>1703</v>
      </c>
      <c r="F499" t="s">
        <v>27</v>
      </c>
      <c r="G499" t="s">
        <v>28</v>
      </c>
      <c r="H499" t="s">
        <v>29</v>
      </c>
      <c r="I499" t="s">
        <v>30</v>
      </c>
      <c r="J499" t="s">
        <v>46</v>
      </c>
      <c r="L499" s="1">
        <v>45870</v>
      </c>
      <c r="M499" s="1">
        <v>44927</v>
      </c>
      <c r="O499">
        <v>19606009</v>
      </c>
      <c r="P499" t="s">
        <v>32</v>
      </c>
      <c r="Q499" t="s">
        <v>42</v>
      </c>
      <c r="R499">
        <v>8192</v>
      </c>
      <c r="S499" t="s">
        <v>34</v>
      </c>
      <c r="T499" t="s">
        <v>35</v>
      </c>
      <c r="U499">
        <v>1.25</v>
      </c>
      <c r="V499" t="s">
        <v>36</v>
      </c>
      <c r="W499" s="1">
        <v>45839</v>
      </c>
      <c r="X499">
        <v>2025</v>
      </c>
    </row>
    <row r="500" spans="1:24" x14ac:dyDescent="0.25">
      <c r="A500" s="1">
        <v>45888</v>
      </c>
      <c r="B500" t="s">
        <v>1704</v>
      </c>
      <c r="C500" t="s">
        <v>1705</v>
      </c>
      <c r="E500" t="s">
        <v>1706</v>
      </c>
      <c r="F500" t="s">
        <v>27</v>
      </c>
      <c r="G500" t="s">
        <v>28</v>
      </c>
      <c r="H500" t="s">
        <v>29</v>
      </c>
      <c r="I500" t="s">
        <v>30</v>
      </c>
      <c r="J500" t="s">
        <v>790</v>
      </c>
      <c r="L500" s="1">
        <v>45870</v>
      </c>
      <c r="M500" s="1">
        <v>45292</v>
      </c>
      <c r="O500">
        <v>19861194</v>
      </c>
      <c r="P500" t="s">
        <v>247</v>
      </c>
      <c r="Q500" t="s">
        <v>755</v>
      </c>
      <c r="R500">
        <v>8192</v>
      </c>
      <c r="S500" t="s">
        <v>51</v>
      </c>
      <c r="T500" t="s">
        <v>35</v>
      </c>
      <c r="U500">
        <v>2.5</v>
      </c>
      <c r="V500" t="s">
        <v>36</v>
      </c>
      <c r="W500" s="1">
        <v>45259</v>
      </c>
      <c r="X500">
        <v>2025</v>
      </c>
    </row>
    <row r="501" spans="1:24" x14ac:dyDescent="0.25">
      <c r="A501" s="1">
        <v>45888</v>
      </c>
      <c r="B501" t="s">
        <v>1707</v>
      </c>
      <c r="C501" t="s">
        <v>1708</v>
      </c>
      <c r="E501" t="s">
        <v>1709</v>
      </c>
      <c r="F501" t="s">
        <v>27</v>
      </c>
      <c r="G501" t="s">
        <v>28</v>
      </c>
      <c r="H501" t="s">
        <v>29</v>
      </c>
      <c r="I501" t="s">
        <v>30</v>
      </c>
      <c r="J501" t="s">
        <v>790</v>
      </c>
      <c r="L501" s="1">
        <v>45870</v>
      </c>
      <c r="M501" s="1">
        <v>45292</v>
      </c>
      <c r="O501">
        <v>19861194</v>
      </c>
      <c r="P501" t="s">
        <v>247</v>
      </c>
      <c r="Q501" t="s">
        <v>755</v>
      </c>
      <c r="R501">
        <v>8192</v>
      </c>
      <c r="S501" t="s">
        <v>51</v>
      </c>
      <c r="T501" t="s">
        <v>35</v>
      </c>
      <c r="U501">
        <v>2.5</v>
      </c>
      <c r="V501" t="s">
        <v>36</v>
      </c>
      <c r="W501" s="1">
        <v>45259</v>
      </c>
      <c r="X501">
        <v>2025</v>
      </c>
    </row>
    <row r="502" spans="1:24" x14ac:dyDescent="0.25">
      <c r="A502" s="1">
        <v>45888</v>
      </c>
      <c r="B502" t="s">
        <v>1710</v>
      </c>
      <c r="C502" t="s">
        <v>1711</v>
      </c>
      <c r="E502" t="s">
        <v>1712</v>
      </c>
      <c r="F502" t="s">
        <v>27</v>
      </c>
      <c r="G502" t="s">
        <v>28</v>
      </c>
      <c r="H502" t="s">
        <v>29</v>
      </c>
      <c r="I502" t="s">
        <v>30</v>
      </c>
      <c r="J502" t="s">
        <v>31</v>
      </c>
      <c r="L502" s="1">
        <v>45870</v>
      </c>
      <c r="M502" s="1">
        <v>45627</v>
      </c>
      <c r="O502">
        <v>17528908</v>
      </c>
      <c r="P502" t="s">
        <v>32</v>
      </c>
      <c r="Q502" t="s">
        <v>33</v>
      </c>
      <c r="R502">
        <v>8192</v>
      </c>
      <c r="S502" t="s">
        <v>34</v>
      </c>
      <c r="T502" t="s">
        <v>35</v>
      </c>
      <c r="U502">
        <v>33.17</v>
      </c>
      <c r="V502" t="s">
        <v>36</v>
      </c>
      <c r="W502" s="1">
        <v>45581</v>
      </c>
      <c r="X502">
        <v>2025</v>
      </c>
    </row>
    <row r="503" spans="1:24" x14ac:dyDescent="0.25">
      <c r="A503" s="1">
        <v>45888</v>
      </c>
      <c r="B503" t="s">
        <v>1713</v>
      </c>
      <c r="C503" t="s">
        <v>1714</v>
      </c>
      <c r="E503" t="s">
        <v>1715</v>
      </c>
      <c r="F503" t="s">
        <v>74</v>
      </c>
      <c r="G503" t="s">
        <v>28</v>
      </c>
      <c r="H503" t="s">
        <v>29</v>
      </c>
      <c r="I503" t="s">
        <v>183</v>
      </c>
      <c r="J503" t="s">
        <v>927</v>
      </c>
      <c r="L503" s="1">
        <v>45870</v>
      </c>
      <c r="M503" s="1">
        <v>45474</v>
      </c>
      <c r="O503">
        <v>8307933</v>
      </c>
      <c r="P503" t="s">
        <v>32</v>
      </c>
      <c r="Q503" t="s">
        <v>63</v>
      </c>
      <c r="R503">
        <v>8192</v>
      </c>
      <c r="S503" t="s">
        <v>34</v>
      </c>
      <c r="T503" t="s">
        <v>35</v>
      </c>
      <c r="U503">
        <v>29.83</v>
      </c>
      <c r="V503" t="s">
        <v>36</v>
      </c>
      <c r="W503" s="1">
        <v>45451</v>
      </c>
      <c r="X503">
        <v>2025</v>
      </c>
    </row>
    <row r="504" spans="1:24" x14ac:dyDescent="0.25">
      <c r="A504" s="1">
        <v>45888</v>
      </c>
      <c r="B504" t="s">
        <v>1716</v>
      </c>
      <c r="C504" t="s">
        <v>1717</v>
      </c>
      <c r="E504" t="s">
        <v>1718</v>
      </c>
      <c r="F504" t="s">
        <v>27</v>
      </c>
      <c r="G504" t="s">
        <v>28</v>
      </c>
      <c r="H504" t="s">
        <v>29</v>
      </c>
      <c r="I504" t="s">
        <v>30</v>
      </c>
      <c r="J504" t="s">
        <v>156</v>
      </c>
      <c r="L504" s="1">
        <v>45870</v>
      </c>
      <c r="M504" s="1">
        <v>44927</v>
      </c>
      <c r="O504">
        <v>19606009</v>
      </c>
      <c r="P504" t="s">
        <v>32</v>
      </c>
      <c r="Q504" t="s">
        <v>42</v>
      </c>
      <c r="R504">
        <v>8192</v>
      </c>
      <c r="S504" t="s">
        <v>34</v>
      </c>
      <c r="T504" t="s">
        <v>35</v>
      </c>
      <c r="U504">
        <v>1.25</v>
      </c>
      <c r="V504" t="s">
        <v>36</v>
      </c>
      <c r="W504" s="1">
        <v>45839</v>
      </c>
      <c r="X504">
        <v>2025</v>
      </c>
    </row>
    <row r="505" spans="1:24" x14ac:dyDescent="0.25">
      <c r="A505" s="1">
        <v>45888</v>
      </c>
      <c r="B505" t="s">
        <v>1719</v>
      </c>
      <c r="C505" t="s">
        <v>1720</v>
      </c>
      <c r="E505" t="s">
        <v>1721</v>
      </c>
      <c r="F505" t="s">
        <v>27</v>
      </c>
      <c r="G505" t="s">
        <v>28</v>
      </c>
      <c r="H505" t="s">
        <v>29</v>
      </c>
      <c r="I505" t="s">
        <v>30</v>
      </c>
      <c r="J505" t="s">
        <v>50</v>
      </c>
      <c r="L505" s="1">
        <v>45870</v>
      </c>
      <c r="M505" s="1">
        <v>45261</v>
      </c>
      <c r="O505">
        <v>17886092</v>
      </c>
      <c r="P505" t="s">
        <v>32</v>
      </c>
      <c r="Q505" t="s">
        <v>102</v>
      </c>
      <c r="R505">
        <v>8192</v>
      </c>
      <c r="S505" t="s">
        <v>51</v>
      </c>
      <c r="T505" t="s">
        <v>35</v>
      </c>
      <c r="U505">
        <v>2.5</v>
      </c>
      <c r="V505" t="s">
        <v>36</v>
      </c>
      <c r="W505" s="1">
        <v>45210</v>
      </c>
      <c r="X505">
        <v>2025</v>
      </c>
    </row>
    <row r="506" spans="1:24" x14ac:dyDescent="0.25">
      <c r="A506" s="1">
        <v>45888</v>
      </c>
      <c r="B506" t="s">
        <v>1722</v>
      </c>
      <c r="C506" t="s">
        <v>1723</v>
      </c>
      <c r="E506" t="s">
        <v>1724</v>
      </c>
      <c r="F506" t="s">
        <v>759</v>
      </c>
      <c r="G506" t="s">
        <v>28</v>
      </c>
      <c r="H506" t="s">
        <v>29</v>
      </c>
      <c r="I506" t="s">
        <v>760</v>
      </c>
      <c r="J506" t="s">
        <v>1725</v>
      </c>
      <c r="L506" s="1">
        <v>45870</v>
      </c>
      <c r="M506" s="1">
        <v>45536</v>
      </c>
      <c r="O506">
        <v>8307933</v>
      </c>
      <c r="P506" t="s">
        <v>32</v>
      </c>
      <c r="Q506" t="s">
        <v>63</v>
      </c>
      <c r="R506">
        <v>8192</v>
      </c>
      <c r="S506" t="s">
        <v>34</v>
      </c>
      <c r="T506" t="s">
        <v>35</v>
      </c>
      <c r="U506">
        <v>29.83</v>
      </c>
      <c r="V506" t="s">
        <v>36</v>
      </c>
      <c r="W506" s="1">
        <v>45516</v>
      </c>
      <c r="X506">
        <v>2025</v>
      </c>
    </row>
    <row r="507" spans="1:24" x14ac:dyDescent="0.25">
      <c r="A507" s="1">
        <v>45888</v>
      </c>
      <c r="B507" t="s">
        <v>1726</v>
      </c>
      <c r="C507" t="s">
        <v>1727</v>
      </c>
      <c r="E507" t="s">
        <v>1728</v>
      </c>
      <c r="F507" t="s">
        <v>27</v>
      </c>
      <c r="G507" t="s">
        <v>28</v>
      </c>
      <c r="H507" t="s">
        <v>29</v>
      </c>
      <c r="I507" t="s">
        <v>30</v>
      </c>
      <c r="J507" t="s">
        <v>173</v>
      </c>
      <c r="L507" s="1">
        <v>45870</v>
      </c>
      <c r="M507" s="1">
        <v>45047</v>
      </c>
      <c r="O507">
        <v>8307933</v>
      </c>
      <c r="P507" t="s">
        <v>32</v>
      </c>
      <c r="Q507" t="s">
        <v>63</v>
      </c>
      <c r="R507">
        <v>8192</v>
      </c>
      <c r="S507" t="s">
        <v>51</v>
      </c>
      <c r="T507" t="s">
        <v>35</v>
      </c>
      <c r="U507">
        <v>31.92</v>
      </c>
      <c r="V507" t="s">
        <v>36</v>
      </c>
      <c r="W507" s="1">
        <v>44986</v>
      </c>
      <c r="X507">
        <v>2025</v>
      </c>
    </row>
    <row r="508" spans="1:24" x14ac:dyDescent="0.25">
      <c r="A508" s="1">
        <v>45888</v>
      </c>
      <c r="B508" t="s">
        <v>1729</v>
      </c>
      <c r="C508" t="s">
        <v>1730</v>
      </c>
      <c r="E508" t="s">
        <v>1731</v>
      </c>
      <c r="F508" t="s">
        <v>27</v>
      </c>
      <c r="G508" t="s">
        <v>28</v>
      </c>
      <c r="H508" t="s">
        <v>29</v>
      </c>
      <c r="I508" t="s">
        <v>30</v>
      </c>
      <c r="J508" t="s">
        <v>46</v>
      </c>
      <c r="L508" s="1">
        <v>45870</v>
      </c>
      <c r="M508" s="1">
        <v>44562</v>
      </c>
      <c r="O508">
        <v>19606009</v>
      </c>
      <c r="P508" t="s">
        <v>32</v>
      </c>
      <c r="Q508" t="s">
        <v>42</v>
      </c>
      <c r="R508">
        <v>8192</v>
      </c>
      <c r="S508" t="s">
        <v>34</v>
      </c>
      <c r="T508" t="s">
        <v>35</v>
      </c>
      <c r="U508">
        <v>1.25</v>
      </c>
      <c r="V508" t="s">
        <v>36</v>
      </c>
      <c r="W508" s="1">
        <v>45839</v>
      </c>
      <c r="X508">
        <v>2025</v>
      </c>
    </row>
    <row r="509" spans="1:24" x14ac:dyDescent="0.25">
      <c r="A509" s="1">
        <v>45888</v>
      </c>
      <c r="B509" t="s">
        <v>1732</v>
      </c>
      <c r="C509" t="s">
        <v>1733</v>
      </c>
      <c r="E509" t="s">
        <v>1734</v>
      </c>
      <c r="F509" t="s">
        <v>27</v>
      </c>
      <c r="G509" t="s">
        <v>28</v>
      </c>
      <c r="H509" t="s">
        <v>29</v>
      </c>
      <c r="I509" t="s">
        <v>30</v>
      </c>
      <c r="J509" t="s">
        <v>46</v>
      </c>
      <c r="L509" s="1">
        <v>45870</v>
      </c>
      <c r="M509" s="1">
        <v>44562</v>
      </c>
      <c r="O509">
        <v>19606009</v>
      </c>
      <c r="P509" t="s">
        <v>32</v>
      </c>
      <c r="Q509" t="s">
        <v>42</v>
      </c>
      <c r="R509">
        <v>8192</v>
      </c>
      <c r="S509" t="s">
        <v>34</v>
      </c>
      <c r="T509" t="s">
        <v>35</v>
      </c>
      <c r="U509">
        <v>1.25</v>
      </c>
      <c r="V509" t="s">
        <v>36</v>
      </c>
      <c r="W509" s="1">
        <v>45839</v>
      </c>
      <c r="X509">
        <v>2025</v>
      </c>
    </row>
    <row r="510" spans="1:24" x14ac:dyDescent="0.25">
      <c r="A510" s="1">
        <v>45888</v>
      </c>
      <c r="B510" t="s">
        <v>1735</v>
      </c>
      <c r="C510" t="s">
        <v>1736</v>
      </c>
      <c r="E510" t="s">
        <v>1737</v>
      </c>
      <c r="F510" t="s">
        <v>74</v>
      </c>
      <c r="G510" t="s">
        <v>28</v>
      </c>
      <c r="H510" t="s">
        <v>29</v>
      </c>
      <c r="I510" t="s">
        <v>61</v>
      </c>
      <c r="J510" t="s">
        <v>797</v>
      </c>
      <c r="L510" s="1">
        <v>45870</v>
      </c>
      <c r="M510" s="1">
        <v>45444</v>
      </c>
      <c r="O510">
        <v>8307933</v>
      </c>
      <c r="P510" t="s">
        <v>32</v>
      </c>
      <c r="Q510" t="s">
        <v>63</v>
      </c>
      <c r="R510">
        <v>8192</v>
      </c>
      <c r="S510" t="s">
        <v>34</v>
      </c>
      <c r="T510" t="s">
        <v>35</v>
      </c>
      <c r="U510">
        <v>29.83</v>
      </c>
      <c r="V510" t="s">
        <v>36</v>
      </c>
      <c r="W510" s="1">
        <v>45355</v>
      </c>
      <c r="X510">
        <v>2025</v>
      </c>
    </row>
    <row r="511" spans="1:24" x14ac:dyDescent="0.25">
      <c r="A511" s="1">
        <v>45888</v>
      </c>
      <c r="B511" t="s">
        <v>1738</v>
      </c>
      <c r="C511" t="s">
        <v>1739</v>
      </c>
      <c r="E511" t="s">
        <v>1740</v>
      </c>
      <c r="F511" t="s">
        <v>27</v>
      </c>
      <c r="G511" t="s">
        <v>28</v>
      </c>
      <c r="H511" t="s">
        <v>29</v>
      </c>
      <c r="I511" t="s">
        <v>30</v>
      </c>
      <c r="J511" t="s">
        <v>46</v>
      </c>
      <c r="L511" s="1">
        <v>45870</v>
      </c>
      <c r="M511" s="1">
        <v>45292</v>
      </c>
      <c r="O511">
        <v>17886092</v>
      </c>
      <c r="P511" t="s">
        <v>32</v>
      </c>
      <c r="Q511" t="s">
        <v>102</v>
      </c>
      <c r="R511">
        <v>8192</v>
      </c>
      <c r="S511" t="s">
        <v>51</v>
      </c>
      <c r="T511" t="s">
        <v>35</v>
      </c>
      <c r="U511">
        <v>2.5</v>
      </c>
      <c r="V511" t="s">
        <v>36</v>
      </c>
      <c r="W511" s="1">
        <v>45233</v>
      </c>
      <c r="X511">
        <v>2025</v>
      </c>
    </row>
    <row r="512" spans="1:24" x14ac:dyDescent="0.25">
      <c r="A512" s="1">
        <v>45888</v>
      </c>
      <c r="B512" t="s">
        <v>1741</v>
      </c>
      <c r="C512" t="s">
        <v>1742</v>
      </c>
      <c r="E512" t="s">
        <v>1743</v>
      </c>
      <c r="F512" t="s">
        <v>27</v>
      </c>
      <c r="G512" t="s">
        <v>28</v>
      </c>
      <c r="H512" t="s">
        <v>29</v>
      </c>
      <c r="I512" t="s">
        <v>30</v>
      </c>
      <c r="J512" t="s">
        <v>46</v>
      </c>
      <c r="L512" s="1">
        <v>45870</v>
      </c>
      <c r="M512" s="1">
        <v>45292</v>
      </c>
      <c r="O512">
        <v>17886092</v>
      </c>
      <c r="P512" t="s">
        <v>32</v>
      </c>
      <c r="Q512" t="s">
        <v>102</v>
      </c>
      <c r="R512">
        <v>8192</v>
      </c>
      <c r="S512" t="s">
        <v>51</v>
      </c>
      <c r="T512" t="s">
        <v>35</v>
      </c>
      <c r="U512">
        <v>2.5</v>
      </c>
      <c r="V512" t="s">
        <v>36</v>
      </c>
      <c r="W512" s="1">
        <v>45233</v>
      </c>
      <c r="X512">
        <v>2025</v>
      </c>
    </row>
    <row r="513" spans="1:24" x14ac:dyDescent="0.25">
      <c r="A513" s="1">
        <v>45888</v>
      </c>
      <c r="B513" t="s">
        <v>1744</v>
      </c>
      <c r="C513" t="s">
        <v>1745</v>
      </c>
      <c r="E513" t="s">
        <v>1746</v>
      </c>
      <c r="F513" t="s">
        <v>27</v>
      </c>
      <c r="G513" t="s">
        <v>28</v>
      </c>
      <c r="H513" t="s">
        <v>29</v>
      </c>
      <c r="I513" t="s">
        <v>40</v>
      </c>
      <c r="J513" t="s">
        <v>46</v>
      </c>
      <c r="L513" s="1">
        <v>45870</v>
      </c>
      <c r="M513" s="1">
        <v>44256</v>
      </c>
      <c r="O513">
        <v>19606009</v>
      </c>
      <c r="P513" t="s">
        <v>32</v>
      </c>
      <c r="Q513" t="s">
        <v>42</v>
      </c>
      <c r="R513">
        <v>8192</v>
      </c>
      <c r="S513" t="s">
        <v>34</v>
      </c>
      <c r="T513" t="s">
        <v>35</v>
      </c>
      <c r="U513">
        <v>1.25</v>
      </c>
      <c r="V513" t="s">
        <v>36</v>
      </c>
      <c r="W513" s="1">
        <v>45839</v>
      </c>
      <c r="X513">
        <v>2025</v>
      </c>
    </row>
    <row r="514" spans="1:24" x14ac:dyDescent="0.25">
      <c r="A514" s="1">
        <v>45888</v>
      </c>
      <c r="B514" t="s">
        <v>1747</v>
      </c>
      <c r="C514" t="s">
        <v>1748</v>
      </c>
      <c r="E514" t="s">
        <v>1749</v>
      </c>
      <c r="F514" t="s">
        <v>27</v>
      </c>
      <c r="G514" t="s">
        <v>28</v>
      </c>
      <c r="H514" t="s">
        <v>29</v>
      </c>
      <c r="I514" t="s">
        <v>30</v>
      </c>
      <c r="J514" t="s">
        <v>46</v>
      </c>
      <c r="L514" s="1">
        <v>45870</v>
      </c>
      <c r="M514" s="1">
        <v>44562</v>
      </c>
      <c r="O514">
        <v>17886092</v>
      </c>
      <c r="P514" t="s">
        <v>32</v>
      </c>
      <c r="Q514" t="s">
        <v>102</v>
      </c>
      <c r="R514">
        <v>8192</v>
      </c>
      <c r="S514" t="s">
        <v>34</v>
      </c>
      <c r="T514" t="s">
        <v>35</v>
      </c>
      <c r="U514">
        <v>3.75</v>
      </c>
      <c r="V514" t="s">
        <v>36</v>
      </c>
      <c r="W514" s="1">
        <v>45383</v>
      </c>
      <c r="X514">
        <v>2025</v>
      </c>
    </row>
    <row r="515" spans="1:24" x14ac:dyDescent="0.25">
      <c r="A515" s="1">
        <v>45888</v>
      </c>
      <c r="B515" t="s">
        <v>1750</v>
      </c>
      <c r="C515" t="s">
        <v>1751</v>
      </c>
      <c r="E515" t="s">
        <v>1752</v>
      </c>
      <c r="F515" t="s">
        <v>27</v>
      </c>
      <c r="G515" t="s">
        <v>28</v>
      </c>
      <c r="H515" t="s">
        <v>29</v>
      </c>
      <c r="I515" t="s">
        <v>30</v>
      </c>
      <c r="J515" t="s">
        <v>46</v>
      </c>
      <c r="L515" s="1">
        <v>45870</v>
      </c>
      <c r="M515" s="1">
        <v>44562</v>
      </c>
      <c r="O515">
        <v>19606009</v>
      </c>
      <c r="P515" t="s">
        <v>32</v>
      </c>
      <c r="Q515" t="s">
        <v>42</v>
      </c>
      <c r="R515">
        <v>8192</v>
      </c>
      <c r="S515" t="s">
        <v>34</v>
      </c>
      <c r="T515" t="s">
        <v>35</v>
      </c>
      <c r="U515">
        <v>1.25</v>
      </c>
      <c r="V515" t="s">
        <v>36</v>
      </c>
      <c r="W515" s="1">
        <v>45839</v>
      </c>
      <c r="X515">
        <v>2025</v>
      </c>
    </row>
    <row r="516" spans="1:24" x14ac:dyDescent="0.25">
      <c r="A516" s="1">
        <v>45888</v>
      </c>
      <c r="B516" t="s">
        <v>1753</v>
      </c>
      <c r="C516" t="s">
        <v>1754</v>
      </c>
      <c r="E516" t="s">
        <v>1755</v>
      </c>
      <c r="F516" t="s">
        <v>74</v>
      </c>
      <c r="G516" t="s">
        <v>28</v>
      </c>
      <c r="H516" t="s">
        <v>29</v>
      </c>
      <c r="I516" t="s">
        <v>61</v>
      </c>
      <c r="J516" t="s">
        <v>75</v>
      </c>
      <c r="L516" s="1">
        <v>45870</v>
      </c>
      <c r="M516" s="1">
        <v>45566</v>
      </c>
      <c r="O516">
        <v>9213293</v>
      </c>
      <c r="P516" t="s">
        <v>32</v>
      </c>
      <c r="Q516" t="s">
        <v>252</v>
      </c>
      <c r="R516">
        <v>8192</v>
      </c>
      <c r="S516" t="s">
        <v>34</v>
      </c>
      <c r="T516" t="s">
        <v>35</v>
      </c>
      <c r="U516">
        <v>29.83</v>
      </c>
      <c r="V516" t="s">
        <v>36</v>
      </c>
      <c r="W516" s="1">
        <v>45565</v>
      </c>
      <c r="X516">
        <v>2025</v>
      </c>
    </row>
    <row r="517" spans="1:24" x14ac:dyDescent="0.25">
      <c r="A517" s="1">
        <v>45888</v>
      </c>
      <c r="B517" t="s">
        <v>1756</v>
      </c>
      <c r="C517" t="s">
        <v>1757</v>
      </c>
      <c r="E517" t="s">
        <v>1758</v>
      </c>
      <c r="F517" t="s">
        <v>27</v>
      </c>
      <c r="G517" t="s">
        <v>28</v>
      </c>
      <c r="H517" t="s">
        <v>29</v>
      </c>
      <c r="I517" t="s">
        <v>40</v>
      </c>
      <c r="J517" t="s">
        <v>46</v>
      </c>
      <c r="L517" s="1">
        <v>45870</v>
      </c>
      <c r="M517" s="1">
        <v>44501</v>
      </c>
      <c r="O517">
        <v>19606009</v>
      </c>
      <c r="P517" t="s">
        <v>32</v>
      </c>
      <c r="Q517" t="s">
        <v>42</v>
      </c>
      <c r="R517">
        <v>8192</v>
      </c>
      <c r="S517" t="s">
        <v>34</v>
      </c>
      <c r="T517" t="s">
        <v>35</v>
      </c>
      <c r="U517">
        <v>1.25</v>
      </c>
      <c r="V517" t="s">
        <v>36</v>
      </c>
      <c r="W517" s="1">
        <v>45809</v>
      </c>
      <c r="X517">
        <v>2025</v>
      </c>
    </row>
    <row r="518" spans="1:24" x14ac:dyDescent="0.25">
      <c r="A518" s="1">
        <v>45888</v>
      </c>
      <c r="B518" t="s">
        <v>1759</v>
      </c>
      <c r="C518" t="s">
        <v>1760</v>
      </c>
      <c r="E518" t="s">
        <v>1761</v>
      </c>
      <c r="F518" t="s">
        <v>27</v>
      </c>
      <c r="G518" t="s">
        <v>28</v>
      </c>
      <c r="H518" t="s">
        <v>29</v>
      </c>
      <c r="I518" t="s">
        <v>30</v>
      </c>
      <c r="J518" t="s">
        <v>46</v>
      </c>
      <c r="L518" s="1">
        <v>45870</v>
      </c>
      <c r="M518" s="1">
        <v>44562</v>
      </c>
      <c r="O518">
        <v>19606009</v>
      </c>
      <c r="P518" t="s">
        <v>32</v>
      </c>
      <c r="Q518" t="s">
        <v>42</v>
      </c>
      <c r="R518">
        <v>8192</v>
      </c>
      <c r="S518" t="s">
        <v>34</v>
      </c>
      <c r="T518" t="s">
        <v>35</v>
      </c>
      <c r="U518">
        <v>1.25</v>
      </c>
      <c r="V518" t="s">
        <v>36</v>
      </c>
      <c r="W518" s="1">
        <v>45809</v>
      </c>
      <c r="X518">
        <v>2025</v>
      </c>
    </row>
    <row r="519" spans="1:24" x14ac:dyDescent="0.25">
      <c r="A519" s="1">
        <v>45888</v>
      </c>
      <c r="B519" t="s">
        <v>1762</v>
      </c>
      <c r="C519" t="s">
        <v>1763</v>
      </c>
      <c r="E519" t="s">
        <v>1764</v>
      </c>
      <c r="F519" t="s">
        <v>27</v>
      </c>
      <c r="G519" t="s">
        <v>28</v>
      </c>
      <c r="H519" t="s">
        <v>29</v>
      </c>
      <c r="I519" t="s">
        <v>30</v>
      </c>
      <c r="J519" t="s">
        <v>46</v>
      </c>
      <c r="L519" s="1">
        <v>45870</v>
      </c>
      <c r="M519" s="1">
        <v>45292</v>
      </c>
      <c r="O519">
        <v>19606009</v>
      </c>
      <c r="P519" t="s">
        <v>32</v>
      </c>
      <c r="Q519" t="s">
        <v>42</v>
      </c>
      <c r="R519">
        <v>8192</v>
      </c>
      <c r="S519" t="s">
        <v>51</v>
      </c>
      <c r="T519" t="s">
        <v>35</v>
      </c>
      <c r="U519">
        <v>2.5</v>
      </c>
      <c r="V519" t="s">
        <v>36</v>
      </c>
      <c r="W519" s="1">
        <v>45236</v>
      </c>
      <c r="X519">
        <v>2025</v>
      </c>
    </row>
    <row r="520" spans="1:24" x14ac:dyDescent="0.25">
      <c r="A520" s="1">
        <v>45888</v>
      </c>
      <c r="B520" t="s">
        <v>1765</v>
      </c>
      <c r="C520" t="s">
        <v>1766</v>
      </c>
      <c r="E520" t="s">
        <v>1767</v>
      </c>
      <c r="F520" t="s">
        <v>27</v>
      </c>
      <c r="G520" t="s">
        <v>28</v>
      </c>
      <c r="H520" t="s">
        <v>29</v>
      </c>
      <c r="I520" t="s">
        <v>30</v>
      </c>
      <c r="J520" t="s">
        <v>50</v>
      </c>
      <c r="L520" s="1">
        <v>45870</v>
      </c>
      <c r="M520" s="1">
        <v>45658</v>
      </c>
      <c r="O520">
        <v>17886092</v>
      </c>
      <c r="P520" t="s">
        <v>32</v>
      </c>
      <c r="Q520" t="s">
        <v>102</v>
      </c>
      <c r="R520">
        <v>8192</v>
      </c>
      <c r="S520" t="s">
        <v>51</v>
      </c>
      <c r="T520" t="s">
        <v>35</v>
      </c>
      <c r="U520">
        <v>2.5</v>
      </c>
      <c r="V520" t="s">
        <v>36</v>
      </c>
      <c r="W520" s="1">
        <v>45278</v>
      </c>
      <c r="X520">
        <v>2025</v>
      </c>
    </row>
    <row r="521" spans="1:24" x14ac:dyDescent="0.25">
      <c r="A521" s="1">
        <v>45888</v>
      </c>
      <c r="B521" t="s">
        <v>1768</v>
      </c>
      <c r="C521" t="s">
        <v>1769</v>
      </c>
      <c r="E521" t="s">
        <v>1770</v>
      </c>
      <c r="F521" t="s">
        <v>27</v>
      </c>
      <c r="G521" t="s">
        <v>28</v>
      </c>
      <c r="H521" t="s">
        <v>29</v>
      </c>
      <c r="I521" t="s">
        <v>30</v>
      </c>
      <c r="J521" t="s">
        <v>46</v>
      </c>
      <c r="L521" s="1">
        <v>45870</v>
      </c>
      <c r="M521" s="1">
        <v>44958</v>
      </c>
      <c r="O521">
        <v>19606009</v>
      </c>
      <c r="P521" t="s">
        <v>32</v>
      </c>
      <c r="Q521" t="s">
        <v>42</v>
      </c>
      <c r="R521">
        <v>8192</v>
      </c>
      <c r="S521" t="s">
        <v>34</v>
      </c>
      <c r="T521" t="s">
        <v>35</v>
      </c>
      <c r="U521">
        <v>1.25</v>
      </c>
      <c r="V521" t="s">
        <v>36</v>
      </c>
      <c r="W521" s="1">
        <v>45839</v>
      </c>
      <c r="X521">
        <v>2025</v>
      </c>
    </row>
    <row r="522" spans="1:24" x14ac:dyDescent="0.25">
      <c r="A522" s="1">
        <v>45888</v>
      </c>
      <c r="B522" t="s">
        <v>1771</v>
      </c>
      <c r="C522" t="s">
        <v>1772</v>
      </c>
      <c r="E522" t="s">
        <v>1773</v>
      </c>
      <c r="F522" t="s">
        <v>160</v>
      </c>
      <c r="G522" t="s">
        <v>28</v>
      </c>
      <c r="H522" t="s">
        <v>29</v>
      </c>
      <c r="I522" t="s">
        <v>161</v>
      </c>
      <c r="J522" t="s">
        <v>1774</v>
      </c>
      <c r="L522" s="1">
        <v>45870</v>
      </c>
      <c r="M522" s="1">
        <v>45597</v>
      </c>
      <c r="O522">
        <v>19396223</v>
      </c>
      <c r="P522" t="s">
        <v>32</v>
      </c>
      <c r="Q522" t="s">
        <v>1775</v>
      </c>
      <c r="R522">
        <v>8192</v>
      </c>
      <c r="S522" t="s">
        <v>34</v>
      </c>
      <c r="T522" t="s">
        <v>35</v>
      </c>
      <c r="U522">
        <v>29.83</v>
      </c>
      <c r="V522" t="s">
        <v>36</v>
      </c>
      <c r="W522" s="1">
        <v>45582</v>
      </c>
      <c r="X522">
        <v>2025</v>
      </c>
    </row>
    <row r="523" spans="1:24" x14ac:dyDescent="0.25">
      <c r="A523" s="1">
        <v>45888</v>
      </c>
      <c r="B523" t="s">
        <v>1776</v>
      </c>
      <c r="C523" t="s">
        <v>1777</v>
      </c>
      <c r="E523" t="s">
        <v>1778</v>
      </c>
      <c r="F523" t="s">
        <v>27</v>
      </c>
      <c r="G523" t="s">
        <v>28</v>
      </c>
      <c r="H523" t="s">
        <v>29</v>
      </c>
      <c r="I523" t="s">
        <v>30</v>
      </c>
      <c r="J523" t="s">
        <v>46</v>
      </c>
      <c r="L523" s="1">
        <v>45870</v>
      </c>
      <c r="M523" s="1">
        <v>45292</v>
      </c>
      <c r="O523">
        <v>19606009</v>
      </c>
      <c r="P523" t="s">
        <v>32</v>
      </c>
      <c r="Q523" t="s">
        <v>42</v>
      </c>
      <c r="R523">
        <v>8192</v>
      </c>
      <c r="S523" t="s">
        <v>51</v>
      </c>
      <c r="T523" t="s">
        <v>35</v>
      </c>
      <c r="U523">
        <v>2.5</v>
      </c>
      <c r="V523" t="s">
        <v>36</v>
      </c>
      <c r="W523" s="1">
        <v>45219</v>
      </c>
      <c r="X523">
        <v>2025</v>
      </c>
    </row>
    <row r="524" spans="1:24" x14ac:dyDescent="0.25">
      <c r="A524" s="1">
        <v>45888</v>
      </c>
      <c r="B524" t="s">
        <v>1779</v>
      </c>
      <c r="C524" t="s">
        <v>1780</v>
      </c>
      <c r="E524" t="s">
        <v>1781</v>
      </c>
      <c r="F524" t="s">
        <v>27</v>
      </c>
      <c r="G524" t="s">
        <v>28</v>
      </c>
      <c r="H524" t="s">
        <v>29</v>
      </c>
      <c r="I524" t="s">
        <v>30</v>
      </c>
      <c r="J524" t="s">
        <v>50</v>
      </c>
      <c r="L524" s="1">
        <v>45870</v>
      </c>
      <c r="M524" s="1">
        <v>45292</v>
      </c>
      <c r="O524">
        <v>17886092</v>
      </c>
      <c r="P524" t="s">
        <v>32</v>
      </c>
      <c r="Q524" t="s">
        <v>102</v>
      </c>
      <c r="R524">
        <v>8192</v>
      </c>
      <c r="S524" t="s">
        <v>51</v>
      </c>
      <c r="T524" t="s">
        <v>35</v>
      </c>
      <c r="U524">
        <v>2.5</v>
      </c>
      <c r="V524" t="s">
        <v>36</v>
      </c>
      <c r="W524" s="1">
        <v>45215</v>
      </c>
      <c r="X524">
        <v>2025</v>
      </c>
    </row>
    <row r="525" spans="1:24" x14ac:dyDescent="0.25">
      <c r="A525" s="1">
        <v>45888</v>
      </c>
      <c r="B525" t="s">
        <v>1782</v>
      </c>
      <c r="C525" t="s">
        <v>1783</v>
      </c>
      <c r="E525" t="s">
        <v>1784</v>
      </c>
      <c r="F525" t="s">
        <v>620</v>
      </c>
      <c r="G525" t="s">
        <v>28</v>
      </c>
      <c r="H525" t="s">
        <v>29</v>
      </c>
      <c r="I525" t="s">
        <v>161</v>
      </c>
      <c r="J525" t="s">
        <v>322</v>
      </c>
      <c r="L525" s="1">
        <v>45870</v>
      </c>
      <c r="M525" s="1">
        <v>45597</v>
      </c>
      <c r="O525">
        <v>8307933</v>
      </c>
      <c r="P525" t="s">
        <v>32</v>
      </c>
      <c r="Q525" t="s">
        <v>63</v>
      </c>
      <c r="R525">
        <v>8192</v>
      </c>
      <c r="S525" t="s">
        <v>34</v>
      </c>
      <c r="T525" t="s">
        <v>35</v>
      </c>
      <c r="U525">
        <v>29.83</v>
      </c>
      <c r="V525" t="s">
        <v>36</v>
      </c>
      <c r="W525" s="1">
        <v>45539</v>
      </c>
      <c r="X525">
        <v>2025</v>
      </c>
    </row>
    <row r="526" spans="1:24" x14ac:dyDescent="0.25">
      <c r="A526" s="1">
        <v>45888</v>
      </c>
      <c r="B526" t="s">
        <v>1785</v>
      </c>
      <c r="C526" t="s">
        <v>1786</v>
      </c>
      <c r="E526" t="s">
        <v>1787</v>
      </c>
      <c r="F526" t="s">
        <v>27</v>
      </c>
      <c r="G526" t="s">
        <v>28</v>
      </c>
      <c r="H526" t="s">
        <v>29</v>
      </c>
      <c r="I526" t="s">
        <v>30</v>
      </c>
      <c r="J526" t="s">
        <v>46</v>
      </c>
      <c r="L526" s="1">
        <v>45870</v>
      </c>
      <c r="M526" s="1">
        <v>44927</v>
      </c>
      <c r="O526">
        <v>19606009</v>
      </c>
      <c r="P526" t="s">
        <v>32</v>
      </c>
      <c r="Q526" t="s">
        <v>42</v>
      </c>
      <c r="R526">
        <v>8192</v>
      </c>
      <c r="S526" t="s">
        <v>34</v>
      </c>
      <c r="T526" t="s">
        <v>35</v>
      </c>
      <c r="U526">
        <v>1.25</v>
      </c>
      <c r="V526" t="s">
        <v>36</v>
      </c>
      <c r="W526" s="1">
        <v>45839</v>
      </c>
      <c r="X526">
        <v>2025</v>
      </c>
    </row>
    <row r="527" spans="1:24" x14ac:dyDescent="0.25">
      <c r="A527" s="1">
        <v>45888</v>
      </c>
      <c r="B527" t="s">
        <v>1788</v>
      </c>
      <c r="C527" t="s">
        <v>1789</v>
      </c>
      <c r="E527" t="s">
        <v>1790</v>
      </c>
      <c r="F527" t="s">
        <v>27</v>
      </c>
      <c r="G527" t="s">
        <v>28</v>
      </c>
      <c r="H527" t="s">
        <v>127</v>
      </c>
      <c r="I527" t="s">
        <v>30</v>
      </c>
      <c r="J527" t="s">
        <v>128</v>
      </c>
      <c r="L527" s="1">
        <v>45870</v>
      </c>
      <c r="M527" s="1">
        <v>45505</v>
      </c>
      <c r="O527">
        <v>17886092</v>
      </c>
      <c r="P527" t="s">
        <v>32</v>
      </c>
      <c r="Q527" t="s">
        <v>102</v>
      </c>
      <c r="R527">
        <v>8192</v>
      </c>
      <c r="S527" t="s">
        <v>34</v>
      </c>
      <c r="T527" t="s">
        <v>35</v>
      </c>
      <c r="U527">
        <v>3.75</v>
      </c>
      <c r="V527" t="s">
        <v>36</v>
      </c>
      <c r="W527" s="1">
        <v>45488</v>
      </c>
      <c r="X527">
        <v>2025</v>
      </c>
    </row>
    <row r="528" spans="1:24" x14ac:dyDescent="0.25">
      <c r="A528" s="1">
        <v>45888</v>
      </c>
      <c r="B528" t="s">
        <v>1791</v>
      </c>
      <c r="C528" t="s">
        <v>1792</v>
      </c>
      <c r="E528" t="s">
        <v>1793</v>
      </c>
      <c r="F528" t="s">
        <v>27</v>
      </c>
      <c r="G528" t="s">
        <v>28</v>
      </c>
      <c r="H528" t="s">
        <v>29</v>
      </c>
      <c r="I528" t="s">
        <v>30</v>
      </c>
      <c r="J528" t="s">
        <v>31</v>
      </c>
      <c r="L528" s="1">
        <v>45870</v>
      </c>
      <c r="M528" s="1">
        <v>45017</v>
      </c>
      <c r="O528">
        <v>19606009</v>
      </c>
      <c r="P528" t="s">
        <v>32</v>
      </c>
      <c r="Q528" t="s">
        <v>42</v>
      </c>
      <c r="R528">
        <v>8192</v>
      </c>
      <c r="S528" t="s">
        <v>34</v>
      </c>
      <c r="T528" t="s">
        <v>35</v>
      </c>
      <c r="U528">
        <v>1.25</v>
      </c>
      <c r="V528" t="s">
        <v>36</v>
      </c>
      <c r="W528" s="1">
        <v>45839</v>
      </c>
      <c r="X528">
        <v>2025</v>
      </c>
    </row>
    <row r="529" spans="1:24" x14ac:dyDescent="0.25">
      <c r="A529" s="1">
        <v>45888</v>
      </c>
      <c r="B529" t="s">
        <v>1794</v>
      </c>
      <c r="C529" t="s">
        <v>1795</v>
      </c>
      <c r="E529" t="s">
        <v>1796</v>
      </c>
      <c r="F529" t="s">
        <v>27</v>
      </c>
      <c r="G529" t="s">
        <v>28</v>
      </c>
      <c r="H529" t="s">
        <v>29</v>
      </c>
      <c r="I529" t="s">
        <v>30</v>
      </c>
      <c r="J529" t="s">
        <v>31</v>
      </c>
      <c r="L529" s="1">
        <v>45870</v>
      </c>
      <c r="M529" s="1">
        <v>45292</v>
      </c>
      <c r="O529">
        <v>17528908</v>
      </c>
      <c r="P529" t="s">
        <v>32</v>
      </c>
      <c r="Q529" t="s">
        <v>33</v>
      </c>
      <c r="R529">
        <v>8192</v>
      </c>
      <c r="S529" t="s">
        <v>51</v>
      </c>
      <c r="T529" t="s">
        <v>35</v>
      </c>
      <c r="U529">
        <v>31.92</v>
      </c>
      <c r="V529" t="s">
        <v>36</v>
      </c>
      <c r="W529" s="1">
        <v>45233</v>
      </c>
      <c r="X529">
        <v>2025</v>
      </c>
    </row>
    <row r="530" spans="1:24" x14ac:dyDescent="0.25">
      <c r="A530" s="1">
        <v>45888</v>
      </c>
      <c r="B530" t="s">
        <v>1797</v>
      </c>
      <c r="C530" t="s">
        <v>1798</v>
      </c>
      <c r="D530" t="s">
        <v>1799</v>
      </c>
      <c r="E530" t="s">
        <v>1800</v>
      </c>
      <c r="F530" t="s">
        <v>27</v>
      </c>
      <c r="G530" t="s">
        <v>28</v>
      </c>
      <c r="H530" t="s">
        <v>29</v>
      </c>
      <c r="I530" t="s">
        <v>273</v>
      </c>
      <c r="J530" t="s">
        <v>31</v>
      </c>
      <c r="L530" s="1">
        <v>45870</v>
      </c>
      <c r="M530" s="1">
        <v>43466</v>
      </c>
      <c r="O530">
        <v>19606009</v>
      </c>
      <c r="P530" t="s">
        <v>32</v>
      </c>
      <c r="Q530" t="s">
        <v>42</v>
      </c>
      <c r="R530">
        <v>8192</v>
      </c>
      <c r="S530" t="s">
        <v>34</v>
      </c>
      <c r="T530" t="s">
        <v>35</v>
      </c>
      <c r="U530">
        <v>1.25</v>
      </c>
      <c r="V530" t="s">
        <v>36</v>
      </c>
      <c r="W530" s="1">
        <v>45839</v>
      </c>
      <c r="X530">
        <v>2025</v>
      </c>
    </row>
    <row r="531" spans="1:24" x14ac:dyDescent="0.25">
      <c r="A531" s="1">
        <v>45888</v>
      </c>
      <c r="B531" t="s">
        <v>1801</v>
      </c>
      <c r="C531" t="s">
        <v>1802</v>
      </c>
      <c r="E531" t="s">
        <v>1803</v>
      </c>
      <c r="F531" t="s">
        <v>759</v>
      </c>
      <c r="G531" t="s">
        <v>28</v>
      </c>
      <c r="H531" t="s">
        <v>29</v>
      </c>
      <c r="I531" t="s">
        <v>760</v>
      </c>
      <c r="J531" t="s">
        <v>1804</v>
      </c>
      <c r="L531" s="1">
        <v>45870</v>
      </c>
      <c r="M531" s="1">
        <v>45444</v>
      </c>
      <c r="O531">
        <v>8307933</v>
      </c>
      <c r="P531" t="s">
        <v>32</v>
      </c>
      <c r="Q531" t="s">
        <v>63</v>
      </c>
      <c r="R531">
        <v>8192</v>
      </c>
      <c r="S531" t="s">
        <v>34</v>
      </c>
      <c r="T531" t="s">
        <v>35</v>
      </c>
      <c r="U531">
        <v>29.83</v>
      </c>
      <c r="V531" t="s">
        <v>36</v>
      </c>
      <c r="W531" s="1">
        <v>45433</v>
      </c>
      <c r="X531">
        <v>2025</v>
      </c>
    </row>
    <row r="532" spans="1:24" x14ac:dyDescent="0.25">
      <c r="A532" s="1">
        <v>45888</v>
      </c>
      <c r="B532" t="s">
        <v>1805</v>
      </c>
      <c r="C532" t="s">
        <v>1806</v>
      </c>
      <c r="E532" t="s">
        <v>1807</v>
      </c>
      <c r="F532" t="s">
        <v>27</v>
      </c>
      <c r="G532" t="s">
        <v>28</v>
      </c>
      <c r="H532" t="s">
        <v>29</v>
      </c>
      <c r="I532" t="s">
        <v>30</v>
      </c>
      <c r="J532" t="s">
        <v>46</v>
      </c>
      <c r="L532" s="1">
        <v>45870</v>
      </c>
      <c r="M532" s="1">
        <v>44562</v>
      </c>
      <c r="O532">
        <v>19606009</v>
      </c>
      <c r="P532" t="s">
        <v>32</v>
      </c>
      <c r="Q532" t="s">
        <v>42</v>
      </c>
      <c r="R532">
        <v>8192</v>
      </c>
      <c r="S532" t="s">
        <v>34</v>
      </c>
      <c r="T532" t="s">
        <v>35</v>
      </c>
      <c r="U532">
        <v>1.25</v>
      </c>
      <c r="V532" t="s">
        <v>36</v>
      </c>
      <c r="W532" s="1">
        <v>45809</v>
      </c>
      <c r="X532">
        <v>2025</v>
      </c>
    </row>
    <row r="533" spans="1:24" x14ac:dyDescent="0.25">
      <c r="A533" s="1">
        <v>45888</v>
      </c>
      <c r="B533" t="s">
        <v>1808</v>
      </c>
      <c r="C533" t="s">
        <v>1809</v>
      </c>
      <c r="E533" t="s">
        <v>1810</v>
      </c>
      <c r="F533" t="s">
        <v>27</v>
      </c>
      <c r="G533" t="s">
        <v>28</v>
      </c>
      <c r="H533" t="s">
        <v>29</v>
      </c>
      <c r="I533" t="s">
        <v>30</v>
      </c>
      <c r="J533" t="s">
        <v>46</v>
      </c>
      <c r="L533" s="1">
        <v>45870</v>
      </c>
      <c r="M533" s="1">
        <v>44562</v>
      </c>
      <c r="O533">
        <v>19606009</v>
      </c>
      <c r="P533" t="s">
        <v>32</v>
      </c>
      <c r="Q533" t="s">
        <v>42</v>
      </c>
      <c r="R533">
        <v>8192</v>
      </c>
      <c r="S533" t="s">
        <v>34</v>
      </c>
      <c r="T533" t="s">
        <v>35</v>
      </c>
      <c r="U533">
        <v>1.25</v>
      </c>
      <c r="V533" t="s">
        <v>36</v>
      </c>
      <c r="W533" s="1">
        <v>45809</v>
      </c>
      <c r="X533">
        <v>2025</v>
      </c>
    </row>
    <row r="534" spans="1:24" x14ac:dyDescent="0.25">
      <c r="A534" s="1">
        <v>45888</v>
      </c>
      <c r="B534" t="s">
        <v>1811</v>
      </c>
      <c r="C534" t="s">
        <v>1812</v>
      </c>
      <c r="E534" t="s">
        <v>1813</v>
      </c>
      <c r="F534" t="s">
        <v>759</v>
      </c>
      <c r="G534" t="s">
        <v>28</v>
      </c>
      <c r="H534" t="s">
        <v>29</v>
      </c>
      <c r="I534" t="s">
        <v>760</v>
      </c>
      <c r="J534" t="s">
        <v>1804</v>
      </c>
      <c r="L534" s="1">
        <v>45870</v>
      </c>
      <c r="M534" s="1">
        <v>45108</v>
      </c>
      <c r="O534">
        <v>8307933</v>
      </c>
      <c r="P534" t="s">
        <v>32</v>
      </c>
      <c r="Q534" t="s">
        <v>63</v>
      </c>
      <c r="R534">
        <v>8192</v>
      </c>
      <c r="S534" t="s">
        <v>51</v>
      </c>
      <c r="T534" t="s">
        <v>35</v>
      </c>
      <c r="U534">
        <v>28.58</v>
      </c>
      <c r="V534" t="s">
        <v>36</v>
      </c>
      <c r="W534" s="1">
        <v>45083</v>
      </c>
      <c r="X534">
        <v>2025</v>
      </c>
    </row>
    <row r="535" spans="1:24" x14ac:dyDescent="0.25">
      <c r="A535" s="1">
        <v>45888</v>
      </c>
      <c r="B535" t="s">
        <v>1814</v>
      </c>
      <c r="C535" t="s">
        <v>1815</v>
      </c>
      <c r="E535" t="s">
        <v>1816</v>
      </c>
      <c r="F535" t="s">
        <v>27</v>
      </c>
      <c r="G535" t="s">
        <v>28</v>
      </c>
      <c r="H535" t="s">
        <v>29</v>
      </c>
      <c r="I535" t="s">
        <v>30</v>
      </c>
      <c r="J535" t="s">
        <v>46</v>
      </c>
      <c r="L535" s="1">
        <v>45870</v>
      </c>
      <c r="M535" s="1">
        <v>44927</v>
      </c>
      <c r="O535">
        <v>19606009</v>
      </c>
      <c r="P535" t="s">
        <v>32</v>
      </c>
      <c r="Q535" t="s">
        <v>42</v>
      </c>
      <c r="R535">
        <v>8192</v>
      </c>
      <c r="S535" t="s">
        <v>34</v>
      </c>
      <c r="T535" t="s">
        <v>35</v>
      </c>
      <c r="U535">
        <v>1.25</v>
      </c>
      <c r="V535" t="s">
        <v>36</v>
      </c>
      <c r="W535" s="1">
        <v>45839</v>
      </c>
      <c r="X535">
        <v>2025</v>
      </c>
    </row>
    <row r="536" spans="1:24" x14ac:dyDescent="0.25">
      <c r="A536" s="1">
        <v>45888</v>
      </c>
      <c r="B536" t="s">
        <v>1817</v>
      </c>
      <c r="C536" t="s">
        <v>1818</v>
      </c>
      <c r="E536" t="s">
        <v>1819</v>
      </c>
      <c r="F536" t="s">
        <v>27</v>
      </c>
      <c r="G536" t="s">
        <v>28</v>
      </c>
      <c r="H536" t="s">
        <v>29</v>
      </c>
      <c r="I536" t="s">
        <v>30</v>
      </c>
      <c r="J536" t="s">
        <v>46</v>
      </c>
      <c r="L536" s="1">
        <v>45870</v>
      </c>
      <c r="M536" s="1">
        <v>44562</v>
      </c>
      <c r="O536">
        <v>19606009</v>
      </c>
      <c r="P536" t="s">
        <v>32</v>
      </c>
      <c r="Q536" t="s">
        <v>42</v>
      </c>
      <c r="R536">
        <v>8192</v>
      </c>
      <c r="S536" t="s">
        <v>34</v>
      </c>
      <c r="T536" t="s">
        <v>35</v>
      </c>
      <c r="U536">
        <v>1.25</v>
      </c>
      <c r="V536" t="s">
        <v>36</v>
      </c>
      <c r="W536" s="1">
        <v>45839</v>
      </c>
      <c r="X536">
        <v>2025</v>
      </c>
    </row>
    <row r="537" spans="1:24" x14ac:dyDescent="0.25">
      <c r="A537" s="1">
        <v>45888</v>
      </c>
      <c r="B537" t="s">
        <v>1820</v>
      </c>
      <c r="C537" t="s">
        <v>1821</v>
      </c>
      <c r="E537" t="s">
        <v>1822</v>
      </c>
      <c r="F537" t="s">
        <v>74</v>
      </c>
      <c r="G537" t="s">
        <v>402</v>
      </c>
      <c r="H537" t="s">
        <v>29</v>
      </c>
      <c r="I537" t="s">
        <v>183</v>
      </c>
      <c r="J537" t="s">
        <v>927</v>
      </c>
      <c r="L537" s="1">
        <v>45962</v>
      </c>
      <c r="M537" s="1">
        <v>45962</v>
      </c>
      <c r="O537">
        <v>9213293</v>
      </c>
      <c r="P537" t="s">
        <v>32</v>
      </c>
      <c r="Q537" t="s">
        <v>252</v>
      </c>
      <c r="R537">
        <v>8192</v>
      </c>
      <c r="S537" t="s">
        <v>34</v>
      </c>
      <c r="T537" t="s">
        <v>35</v>
      </c>
      <c r="U537">
        <v>73</v>
      </c>
      <c r="V537" t="s">
        <v>36</v>
      </c>
      <c r="W537" s="1">
        <v>45874</v>
      </c>
      <c r="X537">
        <v>2025</v>
      </c>
    </row>
    <row r="538" spans="1:24" x14ac:dyDescent="0.25">
      <c r="A538" s="1">
        <v>45888</v>
      </c>
      <c r="B538" t="s">
        <v>1823</v>
      </c>
      <c r="C538" t="s">
        <v>1824</v>
      </c>
      <c r="E538" t="s">
        <v>1825</v>
      </c>
      <c r="F538" t="s">
        <v>1319</v>
      </c>
      <c r="G538" t="s">
        <v>28</v>
      </c>
      <c r="H538" t="s">
        <v>29</v>
      </c>
      <c r="I538" t="s">
        <v>445</v>
      </c>
      <c r="J538" t="s">
        <v>1826</v>
      </c>
      <c r="L538" s="1">
        <v>45870</v>
      </c>
      <c r="M538" s="1">
        <v>45444</v>
      </c>
      <c r="O538">
        <v>8307933</v>
      </c>
      <c r="P538" t="s">
        <v>32</v>
      </c>
      <c r="Q538" t="s">
        <v>63</v>
      </c>
      <c r="R538">
        <v>8192</v>
      </c>
      <c r="S538" t="s">
        <v>34</v>
      </c>
      <c r="T538" t="s">
        <v>35</v>
      </c>
      <c r="U538">
        <v>29.83</v>
      </c>
      <c r="V538" t="s">
        <v>36</v>
      </c>
      <c r="W538" s="1">
        <v>45428</v>
      </c>
      <c r="X538">
        <v>2025</v>
      </c>
    </row>
    <row r="539" spans="1:24" x14ac:dyDescent="0.25">
      <c r="A539" s="1">
        <v>45888</v>
      </c>
      <c r="B539" t="s">
        <v>1827</v>
      </c>
      <c r="C539" t="s">
        <v>1828</v>
      </c>
      <c r="E539" t="s">
        <v>1829</v>
      </c>
      <c r="F539" t="s">
        <v>1319</v>
      </c>
      <c r="G539" t="s">
        <v>28</v>
      </c>
      <c r="H539" t="s">
        <v>29</v>
      </c>
      <c r="I539" t="s">
        <v>445</v>
      </c>
      <c r="J539" t="s">
        <v>1826</v>
      </c>
      <c r="L539" s="1">
        <v>45870</v>
      </c>
      <c r="M539" s="1">
        <v>45444</v>
      </c>
      <c r="O539">
        <v>8307933</v>
      </c>
      <c r="P539" t="s">
        <v>32</v>
      </c>
      <c r="Q539" t="s">
        <v>63</v>
      </c>
      <c r="R539">
        <v>8192</v>
      </c>
      <c r="S539" t="s">
        <v>34</v>
      </c>
      <c r="T539" t="s">
        <v>35</v>
      </c>
      <c r="U539">
        <v>29.83</v>
      </c>
      <c r="V539" t="s">
        <v>36</v>
      </c>
      <c r="W539" s="1">
        <v>45428</v>
      </c>
      <c r="X539">
        <v>2025</v>
      </c>
    </row>
    <row r="540" spans="1:24" x14ac:dyDescent="0.25">
      <c r="A540" s="1">
        <v>45888</v>
      </c>
      <c r="B540" t="s">
        <v>1830</v>
      </c>
      <c r="C540" t="s">
        <v>1831</v>
      </c>
      <c r="E540" t="s">
        <v>1832</v>
      </c>
      <c r="F540" t="s">
        <v>27</v>
      </c>
      <c r="G540" t="s">
        <v>28</v>
      </c>
      <c r="H540" t="s">
        <v>29</v>
      </c>
      <c r="I540" t="s">
        <v>30</v>
      </c>
      <c r="J540" t="s">
        <v>46</v>
      </c>
      <c r="L540" s="1">
        <v>45870</v>
      </c>
      <c r="M540" s="1">
        <v>44958</v>
      </c>
      <c r="O540">
        <v>19606009</v>
      </c>
      <c r="P540" t="s">
        <v>32</v>
      </c>
      <c r="Q540" t="s">
        <v>42</v>
      </c>
      <c r="R540">
        <v>8192</v>
      </c>
      <c r="S540" t="s">
        <v>34</v>
      </c>
      <c r="T540" t="s">
        <v>35</v>
      </c>
      <c r="U540">
        <v>1.25</v>
      </c>
      <c r="V540" t="s">
        <v>36</v>
      </c>
      <c r="W540" s="1">
        <v>45839</v>
      </c>
      <c r="X540">
        <v>2025</v>
      </c>
    </row>
    <row r="541" spans="1:24" x14ac:dyDescent="0.25">
      <c r="A541" s="1">
        <v>45888</v>
      </c>
      <c r="B541" t="s">
        <v>1833</v>
      </c>
      <c r="C541" t="s">
        <v>1834</v>
      </c>
      <c r="E541" t="s">
        <v>1835</v>
      </c>
      <c r="F541" t="s">
        <v>74</v>
      </c>
      <c r="G541" t="s">
        <v>28</v>
      </c>
      <c r="H541" t="s">
        <v>29</v>
      </c>
      <c r="I541" t="s">
        <v>61</v>
      </c>
      <c r="J541" t="s">
        <v>75</v>
      </c>
      <c r="L541" s="1">
        <v>45870</v>
      </c>
      <c r="M541" s="1">
        <v>45474</v>
      </c>
      <c r="O541">
        <v>2158366</v>
      </c>
      <c r="P541" t="s">
        <v>32</v>
      </c>
      <c r="Q541" t="s">
        <v>326</v>
      </c>
      <c r="R541">
        <v>8192</v>
      </c>
      <c r="S541" t="s">
        <v>34</v>
      </c>
      <c r="T541" t="s">
        <v>35</v>
      </c>
      <c r="U541">
        <v>29.83</v>
      </c>
      <c r="V541" t="s">
        <v>36</v>
      </c>
      <c r="W541" s="1">
        <v>45472</v>
      </c>
      <c r="X541">
        <v>2025</v>
      </c>
    </row>
    <row r="542" spans="1:24" x14ac:dyDescent="0.25">
      <c r="A542" s="1">
        <v>45888</v>
      </c>
      <c r="B542" t="s">
        <v>1836</v>
      </c>
      <c r="C542" t="s">
        <v>1837</v>
      </c>
      <c r="E542" t="s">
        <v>1838</v>
      </c>
      <c r="F542" t="s">
        <v>27</v>
      </c>
      <c r="G542" t="s">
        <v>28</v>
      </c>
      <c r="H542" t="s">
        <v>29</v>
      </c>
      <c r="I542" t="s">
        <v>40</v>
      </c>
      <c r="J542" t="s">
        <v>31</v>
      </c>
      <c r="L542" s="1">
        <v>45870</v>
      </c>
      <c r="M542" s="1">
        <v>43831</v>
      </c>
      <c r="O542">
        <v>19606009</v>
      </c>
      <c r="P542" t="s">
        <v>32</v>
      </c>
      <c r="Q542" t="s">
        <v>42</v>
      </c>
      <c r="R542">
        <v>8192</v>
      </c>
      <c r="S542" t="s">
        <v>34</v>
      </c>
      <c r="T542" t="s">
        <v>35</v>
      </c>
      <c r="U542">
        <v>1.25</v>
      </c>
      <c r="V542" t="s">
        <v>36</v>
      </c>
      <c r="W542" s="1">
        <v>45870</v>
      </c>
      <c r="X542">
        <v>2025</v>
      </c>
    </row>
    <row r="543" spans="1:24" x14ac:dyDescent="0.25">
      <c r="A543" s="1">
        <v>45888</v>
      </c>
      <c r="B543" t="s">
        <v>1839</v>
      </c>
      <c r="C543" t="s">
        <v>1840</v>
      </c>
      <c r="E543" t="s">
        <v>1841</v>
      </c>
      <c r="F543" t="s">
        <v>27</v>
      </c>
      <c r="G543" t="s">
        <v>28</v>
      </c>
      <c r="H543" t="s">
        <v>127</v>
      </c>
      <c r="I543" t="s">
        <v>30</v>
      </c>
      <c r="J543" t="s">
        <v>128</v>
      </c>
      <c r="L543" s="1">
        <v>45870</v>
      </c>
      <c r="M543" s="1">
        <v>45323</v>
      </c>
      <c r="O543">
        <v>17886092</v>
      </c>
      <c r="P543" t="s">
        <v>32</v>
      </c>
      <c r="Q543" t="s">
        <v>102</v>
      </c>
      <c r="R543">
        <v>8192</v>
      </c>
      <c r="S543" t="s">
        <v>51</v>
      </c>
      <c r="T543" t="s">
        <v>35</v>
      </c>
      <c r="U543">
        <v>2.5</v>
      </c>
      <c r="V543" t="s">
        <v>36</v>
      </c>
      <c r="W543" s="1">
        <v>45294</v>
      </c>
      <c r="X543">
        <v>2025</v>
      </c>
    </row>
    <row r="544" spans="1:24" x14ac:dyDescent="0.25">
      <c r="A544" s="1">
        <v>45888</v>
      </c>
      <c r="B544" t="s">
        <v>1842</v>
      </c>
      <c r="C544" t="s">
        <v>1843</v>
      </c>
      <c r="E544" t="s">
        <v>1844</v>
      </c>
      <c r="F544" t="s">
        <v>303</v>
      </c>
      <c r="G544" t="s">
        <v>1146</v>
      </c>
      <c r="H544" t="s">
        <v>29</v>
      </c>
      <c r="I544" t="s">
        <v>304</v>
      </c>
      <c r="J544" t="s">
        <v>1845</v>
      </c>
      <c r="L544" s="1">
        <v>45717</v>
      </c>
      <c r="M544" s="1">
        <v>45717</v>
      </c>
      <c r="N544" s="1">
        <v>45838</v>
      </c>
      <c r="O544">
        <v>15278437</v>
      </c>
      <c r="P544" t="s">
        <v>32</v>
      </c>
      <c r="Q544" t="s">
        <v>221</v>
      </c>
      <c r="R544">
        <v>8192</v>
      </c>
      <c r="S544" t="s">
        <v>34</v>
      </c>
      <c r="T544" t="s">
        <v>35</v>
      </c>
      <c r="U544">
        <v>-751</v>
      </c>
      <c r="V544" t="s">
        <v>1846</v>
      </c>
      <c r="W544" s="1">
        <v>45701</v>
      </c>
      <c r="X544">
        <v>2025</v>
      </c>
    </row>
    <row r="545" spans="1:24" x14ac:dyDescent="0.25">
      <c r="A545" s="1">
        <v>45888</v>
      </c>
      <c r="B545" t="s">
        <v>1842</v>
      </c>
      <c r="C545" t="s">
        <v>1843</v>
      </c>
      <c r="E545" t="s">
        <v>1844</v>
      </c>
      <c r="F545" t="s">
        <v>303</v>
      </c>
      <c r="G545" t="s">
        <v>1148</v>
      </c>
      <c r="H545" t="s">
        <v>29</v>
      </c>
      <c r="I545" t="s">
        <v>304</v>
      </c>
      <c r="J545" t="s">
        <v>1845</v>
      </c>
      <c r="L545" s="1">
        <v>45717</v>
      </c>
      <c r="M545" s="1">
        <v>45717</v>
      </c>
      <c r="N545" s="1">
        <v>45838</v>
      </c>
      <c r="O545">
        <v>15278437</v>
      </c>
      <c r="P545" t="s">
        <v>32</v>
      </c>
      <c r="Q545" t="s">
        <v>221</v>
      </c>
      <c r="R545">
        <v>8192</v>
      </c>
      <c r="S545" t="s">
        <v>34</v>
      </c>
      <c r="T545" t="s">
        <v>35</v>
      </c>
      <c r="U545">
        <v>250.33</v>
      </c>
      <c r="V545" t="s">
        <v>1846</v>
      </c>
      <c r="W545" s="1">
        <v>45701</v>
      </c>
      <c r="X545">
        <v>2025</v>
      </c>
    </row>
    <row r="546" spans="1:24" x14ac:dyDescent="0.25">
      <c r="A546" s="1">
        <v>45888</v>
      </c>
      <c r="B546" t="s">
        <v>1847</v>
      </c>
      <c r="C546" t="s">
        <v>1848</v>
      </c>
      <c r="E546" t="s">
        <v>1849</v>
      </c>
      <c r="F546" t="s">
        <v>27</v>
      </c>
      <c r="G546" t="s">
        <v>28</v>
      </c>
      <c r="H546" t="s">
        <v>29</v>
      </c>
      <c r="I546" t="s">
        <v>30</v>
      </c>
      <c r="J546" t="s">
        <v>1850</v>
      </c>
      <c r="L546" s="1">
        <v>45870</v>
      </c>
      <c r="M546" s="1">
        <v>45292</v>
      </c>
      <c r="O546">
        <v>17425766</v>
      </c>
      <c r="P546" t="s">
        <v>32</v>
      </c>
      <c r="Q546" t="s">
        <v>56</v>
      </c>
      <c r="R546">
        <v>8192</v>
      </c>
      <c r="S546" t="s">
        <v>51</v>
      </c>
      <c r="T546" t="s">
        <v>35</v>
      </c>
      <c r="U546">
        <v>31.92</v>
      </c>
      <c r="V546" t="s">
        <v>36</v>
      </c>
      <c r="W546" s="1">
        <v>45263</v>
      </c>
      <c r="X546">
        <v>2025</v>
      </c>
    </row>
    <row r="547" spans="1:24" x14ac:dyDescent="0.25">
      <c r="A547" s="1">
        <v>45888</v>
      </c>
      <c r="B547" t="s">
        <v>1851</v>
      </c>
      <c r="C547" t="s">
        <v>1852</v>
      </c>
      <c r="D547" t="s">
        <v>1853</v>
      </c>
      <c r="E547" t="s">
        <v>1854</v>
      </c>
      <c r="F547" t="s">
        <v>27</v>
      </c>
      <c r="G547" t="s">
        <v>28</v>
      </c>
      <c r="H547" t="s">
        <v>29</v>
      </c>
      <c r="I547" t="s">
        <v>273</v>
      </c>
      <c r="J547" t="s">
        <v>46</v>
      </c>
      <c r="L547" s="1">
        <v>45870</v>
      </c>
      <c r="M547" s="1">
        <v>43647</v>
      </c>
      <c r="O547">
        <v>17528908</v>
      </c>
      <c r="P547" t="s">
        <v>32</v>
      </c>
      <c r="Q547" t="s">
        <v>33</v>
      </c>
      <c r="R547">
        <v>8192</v>
      </c>
      <c r="S547" t="s">
        <v>34</v>
      </c>
      <c r="T547" t="s">
        <v>35</v>
      </c>
      <c r="U547">
        <v>33.17</v>
      </c>
      <c r="V547" t="s">
        <v>36</v>
      </c>
      <c r="W547" s="1">
        <v>45689</v>
      </c>
      <c r="X547">
        <v>2025</v>
      </c>
    </row>
    <row r="548" spans="1:24" x14ac:dyDescent="0.25">
      <c r="A548" s="1">
        <v>45888</v>
      </c>
      <c r="B548" t="s">
        <v>1855</v>
      </c>
      <c r="C548" t="s">
        <v>1856</v>
      </c>
      <c r="E548" t="s">
        <v>1857</v>
      </c>
      <c r="F548" t="s">
        <v>27</v>
      </c>
      <c r="G548" t="s">
        <v>28</v>
      </c>
      <c r="H548" t="s">
        <v>96</v>
      </c>
      <c r="J548" t="s">
        <v>613</v>
      </c>
      <c r="L548" s="1">
        <v>45870</v>
      </c>
      <c r="M548" s="1">
        <v>45658</v>
      </c>
      <c r="O548">
        <v>19606009</v>
      </c>
      <c r="P548" t="s">
        <v>32</v>
      </c>
      <c r="Q548" t="s">
        <v>42</v>
      </c>
      <c r="R548">
        <v>8192</v>
      </c>
      <c r="S548" t="s">
        <v>34</v>
      </c>
      <c r="T548" t="s">
        <v>35</v>
      </c>
      <c r="U548">
        <v>0.16</v>
      </c>
      <c r="V548" t="s">
        <v>36</v>
      </c>
      <c r="W548" s="1">
        <v>45518</v>
      </c>
      <c r="X548">
        <v>2025</v>
      </c>
    </row>
    <row r="549" spans="1:24" x14ac:dyDescent="0.25">
      <c r="A549" s="1">
        <v>45888</v>
      </c>
      <c r="B549" t="s">
        <v>1858</v>
      </c>
      <c r="C549" t="s">
        <v>1859</v>
      </c>
      <c r="D549" t="s">
        <v>1860</v>
      </c>
      <c r="E549" t="s">
        <v>1861</v>
      </c>
      <c r="F549" t="s">
        <v>27</v>
      </c>
      <c r="G549" t="s">
        <v>28</v>
      </c>
      <c r="H549" t="s">
        <v>29</v>
      </c>
      <c r="I549" t="s">
        <v>273</v>
      </c>
      <c r="J549" t="s">
        <v>46</v>
      </c>
      <c r="L549" s="1">
        <v>45870</v>
      </c>
      <c r="M549" s="1">
        <v>43525</v>
      </c>
      <c r="O549">
        <v>17886092</v>
      </c>
      <c r="P549" t="s">
        <v>32</v>
      </c>
      <c r="Q549" t="s">
        <v>102</v>
      </c>
      <c r="R549">
        <v>8192</v>
      </c>
      <c r="S549" t="s">
        <v>51</v>
      </c>
      <c r="T549" t="s">
        <v>35</v>
      </c>
      <c r="U549">
        <v>2.5</v>
      </c>
      <c r="V549" t="s">
        <v>36</v>
      </c>
      <c r="W549" s="1">
        <v>45231</v>
      </c>
      <c r="X549">
        <v>2025</v>
      </c>
    </row>
    <row r="550" spans="1:24" x14ac:dyDescent="0.25">
      <c r="A550" s="1">
        <v>45888</v>
      </c>
      <c r="B550" t="s">
        <v>1862</v>
      </c>
      <c r="C550" t="s">
        <v>1863</v>
      </c>
      <c r="E550" t="s">
        <v>1864</v>
      </c>
      <c r="F550" t="s">
        <v>27</v>
      </c>
      <c r="G550" t="s">
        <v>28</v>
      </c>
      <c r="H550" t="s">
        <v>127</v>
      </c>
      <c r="I550" t="s">
        <v>30</v>
      </c>
      <c r="J550" t="s">
        <v>128</v>
      </c>
      <c r="L550" s="1">
        <v>45870</v>
      </c>
      <c r="M550" s="1">
        <v>45292</v>
      </c>
      <c r="O550">
        <v>17886092</v>
      </c>
      <c r="P550" t="s">
        <v>32</v>
      </c>
      <c r="Q550" t="s">
        <v>102</v>
      </c>
      <c r="R550">
        <v>8192</v>
      </c>
      <c r="S550" t="s">
        <v>51</v>
      </c>
      <c r="T550" t="s">
        <v>35</v>
      </c>
      <c r="U550">
        <v>2.5</v>
      </c>
      <c r="V550" t="s">
        <v>36</v>
      </c>
      <c r="W550" s="1">
        <v>45264</v>
      </c>
      <c r="X550">
        <v>2025</v>
      </c>
    </row>
    <row r="551" spans="1:24" x14ac:dyDescent="0.25">
      <c r="A551" s="1">
        <v>45888</v>
      </c>
      <c r="B551" t="s">
        <v>1865</v>
      </c>
      <c r="C551" t="s">
        <v>1866</v>
      </c>
      <c r="E551" t="s">
        <v>1867</v>
      </c>
      <c r="F551" t="s">
        <v>27</v>
      </c>
      <c r="G551" t="s">
        <v>28</v>
      </c>
      <c r="H551" t="s">
        <v>29</v>
      </c>
      <c r="I551" t="s">
        <v>30</v>
      </c>
      <c r="J551" t="s">
        <v>70</v>
      </c>
      <c r="L551" s="1">
        <v>45870</v>
      </c>
      <c r="M551" s="1">
        <v>44835</v>
      </c>
      <c r="O551">
        <v>17528908</v>
      </c>
      <c r="P551" t="s">
        <v>32</v>
      </c>
      <c r="Q551" t="s">
        <v>33</v>
      </c>
      <c r="R551">
        <v>8192</v>
      </c>
      <c r="S551" t="s">
        <v>34</v>
      </c>
      <c r="T551" t="s">
        <v>35</v>
      </c>
      <c r="U551">
        <v>33.17</v>
      </c>
      <c r="V551" t="s">
        <v>36</v>
      </c>
      <c r="W551" s="1">
        <v>45717</v>
      </c>
      <c r="X551">
        <v>2025</v>
      </c>
    </row>
    <row r="552" spans="1:24" x14ac:dyDescent="0.25">
      <c r="A552" s="1">
        <v>45888</v>
      </c>
      <c r="B552" t="s">
        <v>1868</v>
      </c>
      <c r="C552" t="s">
        <v>1869</v>
      </c>
      <c r="E552" t="s">
        <v>1870</v>
      </c>
      <c r="F552" t="s">
        <v>27</v>
      </c>
      <c r="G552" t="s">
        <v>28</v>
      </c>
      <c r="H552" t="s">
        <v>29</v>
      </c>
      <c r="I552" t="s">
        <v>30</v>
      </c>
      <c r="J552" t="s">
        <v>1177</v>
      </c>
      <c r="L552" s="1">
        <v>45870</v>
      </c>
      <c r="M552" s="1">
        <v>45413</v>
      </c>
      <c r="O552">
        <v>17425766</v>
      </c>
      <c r="P552" t="s">
        <v>32</v>
      </c>
      <c r="Q552" t="s">
        <v>56</v>
      </c>
      <c r="R552">
        <v>8192</v>
      </c>
      <c r="S552" t="s">
        <v>34</v>
      </c>
      <c r="T552" t="s">
        <v>35</v>
      </c>
      <c r="U552">
        <v>33.17</v>
      </c>
      <c r="V552" t="s">
        <v>36</v>
      </c>
      <c r="W552" s="1">
        <v>45394</v>
      </c>
      <c r="X552">
        <v>2025</v>
      </c>
    </row>
    <row r="553" spans="1:24" x14ac:dyDescent="0.25">
      <c r="A553" s="1">
        <v>45888</v>
      </c>
      <c r="B553" t="s">
        <v>1871</v>
      </c>
      <c r="C553" t="s">
        <v>1872</v>
      </c>
      <c r="E553" t="s">
        <v>1873</v>
      </c>
      <c r="F553" t="s">
        <v>27</v>
      </c>
      <c r="G553" t="s">
        <v>28</v>
      </c>
      <c r="H553" t="s">
        <v>29</v>
      </c>
      <c r="I553" t="s">
        <v>30</v>
      </c>
      <c r="J553" t="s">
        <v>46</v>
      </c>
      <c r="L553" s="1">
        <v>45870</v>
      </c>
      <c r="M553" s="1">
        <v>45352</v>
      </c>
      <c r="O553">
        <v>17886092</v>
      </c>
      <c r="P553" t="s">
        <v>32</v>
      </c>
      <c r="Q553" t="s">
        <v>102</v>
      </c>
      <c r="R553">
        <v>8192</v>
      </c>
      <c r="S553" t="s">
        <v>34</v>
      </c>
      <c r="T553" t="s">
        <v>35</v>
      </c>
      <c r="U553">
        <v>3.75</v>
      </c>
      <c r="V553" t="s">
        <v>36</v>
      </c>
      <c r="W553" s="1">
        <v>45343</v>
      </c>
      <c r="X553">
        <v>2025</v>
      </c>
    </row>
    <row r="554" spans="1:24" x14ac:dyDescent="0.25">
      <c r="A554" s="1">
        <v>45888</v>
      </c>
      <c r="B554" t="s">
        <v>1874</v>
      </c>
      <c r="C554" t="s">
        <v>1875</v>
      </c>
      <c r="E554" t="s">
        <v>1876</v>
      </c>
      <c r="F554" t="s">
        <v>27</v>
      </c>
      <c r="G554" t="s">
        <v>28</v>
      </c>
      <c r="H554" t="s">
        <v>29</v>
      </c>
      <c r="I554" t="s">
        <v>30</v>
      </c>
      <c r="J554" t="s">
        <v>46</v>
      </c>
      <c r="L554" s="1">
        <v>45870</v>
      </c>
      <c r="M554" s="1">
        <v>45352</v>
      </c>
      <c r="O554">
        <v>17886092</v>
      </c>
      <c r="P554" t="s">
        <v>32</v>
      </c>
      <c r="Q554" t="s">
        <v>102</v>
      </c>
      <c r="R554">
        <v>8192</v>
      </c>
      <c r="S554" t="s">
        <v>34</v>
      </c>
      <c r="T554" t="s">
        <v>35</v>
      </c>
      <c r="U554">
        <v>3.75</v>
      </c>
      <c r="V554" t="s">
        <v>36</v>
      </c>
      <c r="W554" s="1">
        <v>45343</v>
      </c>
      <c r="X554">
        <v>2025</v>
      </c>
    </row>
    <row r="555" spans="1:24" x14ac:dyDescent="0.25">
      <c r="A555" s="1">
        <v>45888</v>
      </c>
      <c r="B555" t="s">
        <v>1877</v>
      </c>
      <c r="C555" t="s">
        <v>1878</v>
      </c>
      <c r="E555" t="s">
        <v>1879</v>
      </c>
      <c r="F555" t="s">
        <v>27</v>
      </c>
      <c r="G555" t="s">
        <v>28</v>
      </c>
      <c r="H555" t="s">
        <v>127</v>
      </c>
      <c r="I555" t="s">
        <v>30</v>
      </c>
      <c r="J555" t="s">
        <v>128</v>
      </c>
      <c r="L555" s="1">
        <v>45870</v>
      </c>
      <c r="M555" s="1">
        <v>44927</v>
      </c>
      <c r="O555">
        <v>19606009</v>
      </c>
      <c r="P555" t="s">
        <v>32</v>
      </c>
      <c r="Q555" t="s">
        <v>42</v>
      </c>
      <c r="R555">
        <v>8192</v>
      </c>
      <c r="S555" t="s">
        <v>34</v>
      </c>
      <c r="T555" t="s">
        <v>35</v>
      </c>
      <c r="U555">
        <v>1.25</v>
      </c>
      <c r="V555" t="s">
        <v>36</v>
      </c>
      <c r="W555" s="1">
        <v>45839</v>
      </c>
      <c r="X555">
        <v>2025</v>
      </c>
    </row>
    <row r="556" spans="1:24" x14ac:dyDescent="0.25">
      <c r="A556" s="1">
        <v>45888</v>
      </c>
      <c r="B556" t="s">
        <v>1880</v>
      </c>
      <c r="C556" t="s">
        <v>1881</v>
      </c>
      <c r="E556" t="s">
        <v>1882</v>
      </c>
      <c r="F556" t="s">
        <v>89</v>
      </c>
      <c r="G556" t="s">
        <v>28</v>
      </c>
      <c r="H556" t="s">
        <v>29</v>
      </c>
      <c r="I556" t="s">
        <v>183</v>
      </c>
      <c r="J556" t="s">
        <v>714</v>
      </c>
      <c r="L556" s="1">
        <v>45870</v>
      </c>
      <c r="M556" s="1">
        <v>45444</v>
      </c>
      <c r="O556">
        <v>8307933</v>
      </c>
      <c r="P556" t="s">
        <v>32</v>
      </c>
      <c r="Q556" t="s">
        <v>63</v>
      </c>
      <c r="R556">
        <v>8192</v>
      </c>
      <c r="S556" t="s">
        <v>34</v>
      </c>
      <c r="T556" t="s">
        <v>35</v>
      </c>
      <c r="U556">
        <v>29.83</v>
      </c>
      <c r="V556" t="s">
        <v>36</v>
      </c>
      <c r="W556" s="1">
        <v>45364</v>
      </c>
      <c r="X556">
        <v>2025</v>
      </c>
    </row>
    <row r="557" spans="1:24" x14ac:dyDescent="0.25">
      <c r="A557" s="1">
        <v>45888</v>
      </c>
      <c r="B557" t="s">
        <v>1883</v>
      </c>
      <c r="C557" t="s">
        <v>1884</v>
      </c>
      <c r="E557" t="s">
        <v>1885</v>
      </c>
      <c r="F557" t="s">
        <v>27</v>
      </c>
      <c r="G557" t="s">
        <v>28</v>
      </c>
      <c r="H557" t="s">
        <v>29</v>
      </c>
      <c r="I557" t="s">
        <v>30</v>
      </c>
      <c r="J557" t="s">
        <v>70</v>
      </c>
      <c r="L557" s="1">
        <v>45870</v>
      </c>
      <c r="M557" s="1">
        <v>45292</v>
      </c>
      <c r="O557">
        <v>17528908</v>
      </c>
      <c r="P557" t="s">
        <v>32</v>
      </c>
      <c r="Q557" t="s">
        <v>33</v>
      </c>
      <c r="R557">
        <v>8192</v>
      </c>
      <c r="S557" t="s">
        <v>51</v>
      </c>
      <c r="T557" t="s">
        <v>35</v>
      </c>
      <c r="U557">
        <v>31.92</v>
      </c>
      <c r="V557" t="s">
        <v>36</v>
      </c>
      <c r="W557" s="1">
        <v>45267</v>
      </c>
      <c r="X557">
        <v>2025</v>
      </c>
    </row>
    <row r="558" spans="1:24" x14ac:dyDescent="0.25">
      <c r="A558" s="1">
        <v>45888</v>
      </c>
      <c r="B558" t="s">
        <v>1886</v>
      </c>
      <c r="C558" t="s">
        <v>1887</v>
      </c>
      <c r="E558" t="s">
        <v>1888</v>
      </c>
      <c r="F558" t="s">
        <v>1145</v>
      </c>
      <c r="G558" t="s">
        <v>28</v>
      </c>
      <c r="H558" t="s">
        <v>29</v>
      </c>
      <c r="I558" t="s">
        <v>61</v>
      </c>
      <c r="J558" t="s">
        <v>1889</v>
      </c>
      <c r="L558" s="1">
        <v>45870</v>
      </c>
      <c r="M558" s="1">
        <v>45627</v>
      </c>
      <c r="O558">
        <v>19586992</v>
      </c>
      <c r="P558" t="s">
        <v>32</v>
      </c>
      <c r="Q558" t="s">
        <v>1890</v>
      </c>
      <c r="R558">
        <v>8192</v>
      </c>
      <c r="S558" t="s">
        <v>34</v>
      </c>
      <c r="T558" t="s">
        <v>35</v>
      </c>
      <c r="U558">
        <v>29.83</v>
      </c>
      <c r="V558" t="s">
        <v>36</v>
      </c>
      <c r="W558" s="1">
        <v>45611</v>
      </c>
      <c r="X558">
        <v>2025</v>
      </c>
    </row>
    <row r="559" spans="1:24" x14ac:dyDescent="0.25">
      <c r="A559" s="1">
        <v>45888</v>
      </c>
      <c r="B559" t="s">
        <v>1891</v>
      </c>
      <c r="C559" t="s">
        <v>1892</v>
      </c>
      <c r="E559" t="s">
        <v>1893</v>
      </c>
      <c r="F559" t="s">
        <v>27</v>
      </c>
      <c r="G559" t="s">
        <v>28</v>
      </c>
      <c r="H559" t="s">
        <v>29</v>
      </c>
      <c r="I559" t="s">
        <v>30</v>
      </c>
      <c r="J559" t="s">
        <v>31</v>
      </c>
      <c r="L559" s="1">
        <v>45870</v>
      </c>
      <c r="M559" s="1">
        <v>45231</v>
      </c>
      <c r="O559">
        <v>17528908</v>
      </c>
      <c r="P559" t="s">
        <v>32</v>
      </c>
      <c r="Q559" t="s">
        <v>33</v>
      </c>
      <c r="R559">
        <v>8192</v>
      </c>
      <c r="S559" t="s">
        <v>51</v>
      </c>
      <c r="T559" t="s">
        <v>35</v>
      </c>
      <c r="U559">
        <v>31.92</v>
      </c>
      <c r="V559" t="s">
        <v>36</v>
      </c>
      <c r="W559" s="1">
        <v>45222</v>
      </c>
      <c r="X559">
        <v>2025</v>
      </c>
    </row>
    <row r="560" spans="1:24" x14ac:dyDescent="0.25">
      <c r="A560" s="1">
        <v>45888</v>
      </c>
      <c r="B560" t="s">
        <v>1894</v>
      </c>
      <c r="C560" t="s">
        <v>1895</v>
      </c>
      <c r="E560" t="s">
        <v>1896</v>
      </c>
      <c r="F560" t="s">
        <v>27</v>
      </c>
      <c r="G560" t="s">
        <v>28</v>
      </c>
      <c r="H560" t="s">
        <v>29</v>
      </c>
      <c r="I560" t="s">
        <v>30</v>
      </c>
      <c r="J560" t="s">
        <v>330</v>
      </c>
      <c r="L560" s="1">
        <v>45870</v>
      </c>
      <c r="M560" s="1">
        <v>45323</v>
      </c>
      <c r="O560">
        <v>14936854</v>
      </c>
      <c r="P560" t="s">
        <v>247</v>
      </c>
      <c r="Q560" t="s">
        <v>248</v>
      </c>
      <c r="R560">
        <v>8192</v>
      </c>
      <c r="S560" t="s">
        <v>51</v>
      </c>
      <c r="T560" t="s">
        <v>35</v>
      </c>
      <c r="U560">
        <v>2.5</v>
      </c>
      <c r="V560" t="s">
        <v>36</v>
      </c>
      <c r="W560" s="1">
        <v>45311</v>
      </c>
      <c r="X560">
        <v>2025</v>
      </c>
    </row>
    <row r="561" spans="1:24" x14ac:dyDescent="0.25">
      <c r="A561" s="1">
        <v>45888</v>
      </c>
      <c r="B561" t="s">
        <v>1897</v>
      </c>
      <c r="C561" t="s">
        <v>1898</v>
      </c>
      <c r="E561" t="s">
        <v>1899</v>
      </c>
      <c r="F561" t="s">
        <v>27</v>
      </c>
      <c r="G561" t="s">
        <v>28</v>
      </c>
      <c r="H561" t="s">
        <v>29</v>
      </c>
      <c r="I561" t="s">
        <v>30</v>
      </c>
      <c r="J561" t="s">
        <v>31</v>
      </c>
      <c r="L561" s="1">
        <v>45870</v>
      </c>
      <c r="M561" s="1">
        <v>44927</v>
      </c>
      <c r="O561">
        <v>19606009</v>
      </c>
      <c r="P561" t="s">
        <v>32</v>
      </c>
      <c r="Q561" t="s">
        <v>42</v>
      </c>
      <c r="R561">
        <v>8192</v>
      </c>
      <c r="S561" t="s">
        <v>34</v>
      </c>
      <c r="T561" t="s">
        <v>35</v>
      </c>
      <c r="U561">
        <v>1.25</v>
      </c>
      <c r="V561" t="s">
        <v>36</v>
      </c>
      <c r="W561" s="1">
        <v>45870</v>
      </c>
      <c r="X561">
        <v>2025</v>
      </c>
    </row>
    <row r="562" spans="1:24" x14ac:dyDescent="0.25">
      <c r="A562" s="1">
        <v>45888</v>
      </c>
      <c r="B562" t="s">
        <v>1900</v>
      </c>
      <c r="C562" t="s">
        <v>1901</v>
      </c>
      <c r="E562" t="s">
        <v>1902</v>
      </c>
      <c r="F562" t="s">
        <v>27</v>
      </c>
      <c r="G562" t="s">
        <v>28</v>
      </c>
      <c r="H562" t="s">
        <v>29</v>
      </c>
      <c r="I562" t="s">
        <v>30</v>
      </c>
      <c r="J562" t="s">
        <v>31</v>
      </c>
      <c r="L562" s="1">
        <v>45870</v>
      </c>
      <c r="M562" s="1">
        <v>44927</v>
      </c>
      <c r="O562">
        <v>19606009</v>
      </c>
      <c r="P562" t="s">
        <v>32</v>
      </c>
      <c r="Q562" t="s">
        <v>42</v>
      </c>
      <c r="R562">
        <v>8192</v>
      </c>
      <c r="S562" t="s">
        <v>34</v>
      </c>
      <c r="T562" t="s">
        <v>35</v>
      </c>
      <c r="U562">
        <v>1.25</v>
      </c>
      <c r="V562" t="s">
        <v>36</v>
      </c>
      <c r="W562" s="1">
        <v>45870</v>
      </c>
      <c r="X562">
        <v>2025</v>
      </c>
    </row>
    <row r="563" spans="1:24" x14ac:dyDescent="0.25">
      <c r="A563" s="1">
        <v>45888</v>
      </c>
      <c r="B563" t="s">
        <v>1903</v>
      </c>
      <c r="C563" t="s">
        <v>1904</v>
      </c>
      <c r="E563" t="s">
        <v>1905</v>
      </c>
      <c r="F563" t="s">
        <v>234</v>
      </c>
      <c r="G563" t="s">
        <v>28</v>
      </c>
      <c r="H563" t="s">
        <v>29</v>
      </c>
      <c r="I563" t="s">
        <v>235</v>
      </c>
      <c r="J563" t="s">
        <v>1906</v>
      </c>
      <c r="L563" s="1">
        <v>45870</v>
      </c>
      <c r="M563" s="1">
        <v>45597</v>
      </c>
      <c r="O563">
        <v>8307933</v>
      </c>
      <c r="P563" t="s">
        <v>32</v>
      </c>
      <c r="Q563" t="s">
        <v>63</v>
      </c>
      <c r="R563">
        <v>8192</v>
      </c>
      <c r="S563" t="s">
        <v>34</v>
      </c>
      <c r="T563" t="s">
        <v>35</v>
      </c>
      <c r="U563">
        <v>29.83</v>
      </c>
      <c r="V563" t="s">
        <v>36</v>
      </c>
      <c r="W563" s="1">
        <v>45581</v>
      </c>
      <c r="X563">
        <v>2025</v>
      </c>
    </row>
    <row r="564" spans="1:24" x14ac:dyDescent="0.25">
      <c r="A564" s="1">
        <v>45888</v>
      </c>
      <c r="B564" t="s">
        <v>1907</v>
      </c>
      <c r="C564" t="s">
        <v>1908</v>
      </c>
      <c r="E564" t="s">
        <v>1909</v>
      </c>
      <c r="F564" t="s">
        <v>234</v>
      </c>
      <c r="G564" t="s">
        <v>28</v>
      </c>
      <c r="H564" t="s">
        <v>29</v>
      </c>
      <c r="I564" t="s">
        <v>235</v>
      </c>
      <c r="J564" t="s">
        <v>1906</v>
      </c>
      <c r="L564" s="1">
        <v>45870</v>
      </c>
      <c r="M564" s="1">
        <v>45536</v>
      </c>
      <c r="O564">
        <v>8307933</v>
      </c>
      <c r="P564" t="s">
        <v>32</v>
      </c>
      <c r="Q564" t="s">
        <v>63</v>
      </c>
      <c r="R564">
        <v>8192</v>
      </c>
      <c r="S564" t="s">
        <v>34</v>
      </c>
      <c r="T564" t="s">
        <v>35</v>
      </c>
      <c r="U564">
        <v>29.83</v>
      </c>
      <c r="V564" t="s">
        <v>36</v>
      </c>
      <c r="W564" s="1">
        <v>45526</v>
      </c>
      <c r="X564">
        <v>2025</v>
      </c>
    </row>
    <row r="565" spans="1:24" x14ac:dyDescent="0.25">
      <c r="A565" s="1">
        <v>45888</v>
      </c>
      <c r="B565" t="s">
        <v>1910</v>
      </c>
      <c r="C565" t="s">
        <v>1911</v>
      </c>
      <c r="E565" t="s">
        <v>1912</v>
      </c>
      <c r="F565" t="s">
        <v>111</v>
      </c>
      <c r="G565" t="s">
        <v>28</v>
      </c>
      <c r="H565" t="s">
        <v>29</v>
      </c>
      <c r="I565" t="s">
        <v>112</v>
      </c>
      <c r="J565" t="s">
        <v>472</v>
      </c>
      <c r="L565" s="1">
        <v>45870</v>
      </c>
      <c r="M565" s="1">
        <v>45292</v>
      </c>
      <c r="O565">
        <v>8307933</v>
      </c>
      <c r="P565" t="s">
        <v>32</v>
      </c>
      <c r="Q565" t="s">
        <v>63</v>
      </c>
      <c r="R565">
        <v>8192</v>
      </c>
      <c r="S565" t="s">
        <v>51</v>
      </c>
      <c r="T565" t="s">
        <v>35</v>
      </c>
      <c r="U565">
        <v>28.58</v>
      </c>
      <c r="V565" t="s">
        <v>36</v>
      </c>
      <c r="W565" s="1">
        <v>45260</v>
      </c>
      <c r="X565">
        <v>2025</v>
      </c>
    </row>
    <row r="566" spans="1:24" x14ac:dyDescent="0.25">
      <c r="A566" s="1">
        <v>45888</v>
      </c>
      <c r="B566" t="s">
        <v>1913</v>
      </c>
      <c r="C566" t="s">
        <v>1914</v>
      </c>
      <c r="E566" t="s">
        <v>1915</v>
      </c>
      <c r="F566" t="s">
        <v>27</v>
      </c>
      <c r="G566" t="s">
        <v>28</v>
      </c>
      <c r="H566" t="s">
        <v>127</v>
      </c>
      <c r="I566" t="s">
        <v>30</v>
      </c>
      <c r="J566" t="s">
        <v>128</v>
      </c>
      <c r="L566" s="1">
        <v>45870</v>
      </c>
      <c r="M566" s="1">
        <v>44958</v>
      </c>
      <c r="O566">
        <v>19606009</v>
      </c>
      <c r="P566" t="s">
        <v>32</v>
      </c>
      <c r="Q566" t="s">
        <v>42</v>
      </c>
      <c r="R566">
        <v>8192</v>
      </c>
      <c r="S566" t="s">
        <v>34</v>
      </c>
      <c r="T566" t="s">
        <v>35</v>
      </c>
      <c r="U566">
        <v>1.25</v>
      </c>
      <c r="V566" t="s">
        <v>36</v>
      </c>
      <c r="W566" s="1">
        <v>45839</v>
      </c>
      <c r="X566">
        <v>2025</v>
      </c>
    </row>
    <row r="567" spans="1:24" x14ac:dyDescent="0.25">
      <c r="A567" s="1">
        <v>45888</v>
      </c>
      <c r="B567" t="s">
        <v>1916</v>
      </c>
      <c r="C567" t="s">
        <v>1917</v>
      </c>
      <c r="E567" t="s">
        <v>1918</v>
      </c>
      <c r="F567" t="s">
        <v>74</v>
      </c>
      <c r="G567" t="s">
        <v>28</v>
      </c>
      <c r="H567" t="s">
        <v>29</v>
      </c>
      <c r="I567" t="s">
        <v>61</v>
      </c>
      <c r="J567" t="s">
        <v>75</v>
      </c>
      <c r="L567" s="1">
        <v>45870</v>
      </c>
      <c r="M567" s="1">
        <v>45536</v>
      </c>
      <c r="O567">
        <v>19645587</v>
      </c>
      <c r="P567" t="s">
        <v>32</v>
      </c>
      <c r="Q567" t="s">
        <v>76</v>
      </c>
      <c r="R567">
        <v>8192</v>
      </c>
      <c r="S567" t="s">
        <v>34</v>
      </c>
      <c r="T567" t="s">
        <v>35</v>
      </c>
      <c r="U567">
        <v>29.83</v>
      </c>
      <c r="V567" t="s">
        <v>36</v>
      </c>
      <c r="W567" s="1">
        <v>45525</v>
      </c>
      <c r="X567">
        <v>2025</v>
      </c>
    </row>
    <row r="568" spans="1:24" x14ac:dyDescent="0.25">
      <c r="A568" s="1">
        <v>45888</v>
      </c>
      <c r="B568" t="s">
        <v>1919</v>
      </c>
      <c r="C568" t="s">
        <v>1920</v>
      </c>
      <c r="E568" t="s">
        <v>1921</v>
      </c>
      <c r="F568" t="s">
        <v>27</v>
      </c>
      <c r="G568" t="s">
        <v>28</v>
      </c>
      <c r="H568" t="s">
        <v>29</v>
      </c>
      <c r="I568" t="s">
        <v>30</v>
      </c>
      <c r="J568" t="s">
        <v>46</v>
      </c>
      <c r="L568" s="1">
        <v>45870</v>
      </c>
      <c r="M568" s="1">
        <v>44927</v>
      </c>
      <c r="O568">
        <v>19606009</v>
      </c>
      <c r="P568" t="s">
        <v>32</v>
      </c>
      <c r="Q568" t="s">
        <v>42</v>
      </c>
      <c r="R568">
        <v>8192</v>
      </c>
      <c r="S568" t="s">
        <v>34</v>
      </c>
      <c r="T568" t="s">
        <v>35</v>
      </c>
      <c r="U568">
        <v>1.25</v>
      </c>
      <c r="V568" t="s">
        <v>36</v>
      </c>
      <c r="W568" s="1">
        <v>45809</v>
      </c>
      <c r="X568">
        <v>2025</v>
      </c>
    </row>
    <row r="569" spans="1:24" x14ac:dyDescent="0.25">
      <c r="A569" s="1">
        <v>45888</v>
      </c>
      <c r="B569" t="s">
        <v>1922</v>
      </c>
      <c r="C569" t="s">
        <v>1923</v>
      </c>
      <c r="E569" t="s">
        <v>1924</v>
      </c>
      <c r="F569" t="s">
        <v>27</v>
      </c>
      <c r="G569" t="s">
        <v>28</v>
      </c>
      <c r="H569" t="s">
        <v>29</v>
      </c>
      <c r="I569" t="s">
        <v>30</v>
      </c>
      <c r="J569" t="s">
        <v>46</v>
      </c>
      <c r="L569" s="1">
        <v>45870</v>
      </c>
      <c r="M569" s="1">
        <v>44927</v>
      </c>
      <c r="O569">
        <v>19606009</v>
      </c>
      <c r="P569" t="s">
        <v>32</v>
      </c>
      <c r="Q569" t="s">
        <v>42</v>
      </c>
      <c r="R569">
        <v>8192</v>
      </c>
      <c r="S569" t="s">
        <v>34</v>
      </c>
      <c r="T569" t="s">
        <v>35</v>
      </c>
      <c r="U569">
        <v>1.25</v>
      </c>
      <c r="V569" t="s">
        <v>36</v>
      </c>
      <c r="W569" s="1">
        <v>45809</v>
      </c>
      <c r="X569">
        <v>2025</v>
      </c>
    </row>
    <row r="570" spans="1:24" x14ac:dyDescent="0.25">
      <c r="A570" s="1">
        <v>45888</v>
      </c>
      <c r="B570" t="s">
        <v>1925</v>
      </c>
      <c r="C570" t="s">
        <v>1926</v>
      </c>
      <c r="E570" t="s">
        <v>1927</v>
      </c>
      <c r="F570" t="s">
        <v>27</v>
      </c>
      <c r="G570" t="s">
        <v>28</v>
      </c>
      <c r="H570" t="s">
        <v>29</v>
      </c>
      <c r="I570" t="s">
        <v>30</v>
      </c>
      <c r="J570" t="s">
        <v>50</v>
      </c>
      <c r="L570" s="1">
        <v>45870</v>
      </c>
      <c r="M570" s="1">
        <v>45292</v>
      </c>
      <c r="O570">
        <v>17886092</v>
      </c>
      <c r="P570" t="s">
        <v>32</v>
      </c>
      <c r="Q570" t="s">
        <v>102</v>
      </c>
      <c r="R570">
        <v>8192</v>
      </c>
      <c r="S570" t="s">
        <v>51</v>
      </c>
      <c r="T570" t="s">
        <v>35</v>
      </c>
      <c r="U570">
        <v>2.5</v>
      </c>
      <c r="V570" t="s">
        <v>36</v>
      </c>
      <c r="W570" s="1">
        <v>45266</v>
      </c>
      <c r="X570">
        <v>2025</v>
      </c>
    </row>
    <row r="571" spans="1:24" x14ac:dyDescent="0.25">
      <c r="A571" s="1">
        <v>45888</v>
      </c>
      <c r="B571" t="s">
        <v>1928</v>
      </c>
      <c r="C571" t="s">
        <v>1929</v>
      </c>
      <c r="E571" t="s">
        <v>1930</v>
      </c>
      <c r="F571" t="s">
        <v>1145</v>
      </c>
      <c r="G571" t="s">
        <v>28</v>
      </c>
      <c r="H571" t="s">
        <v>29</v>
      </c>
      <c r="I571" t="s">
        <v>61</v>
      </c>
      <c r="J571" t="s">
        <v>1931</v>
      </c>
      <c r="L571" s="1">
        <v>45870</v>
      </c>
      <c r="M571" s="1">
        <v>45597</v>
      </c>
      <c r="O571">
        <v>18581063</v>
      </c>
      <c r="P571" t="s">
        <v>32</v>
      </c>
      <c r="Q571" t="s">
        <v>1932</v>
      </c>
      <c r="R571">
        <v>8192</v>
      </c>
      <c r="S571" t="s">
        <v>34</v>
      </c>
      <c r="T571" t="s">
        <v>35</v>
      </c>
      <c r="U571">
        <v>29.83</v>
      </c>
      <c r="V571" t="s">
        <v>36</v>
      </c>
      <c r="W571" s="1">
        <v>45591</v>
      </c>
      <c r="X571">
        <v>2025</v>
      </c>
    </row>
    <row r="572" spans="1:24" x14ac:dyDescent="0.25">
      <c r="A572" s="1">
        <v>45888</v>
      </c>
      <c r="B572" t="s">
        <v>1933</v>
      </c>
      <c r="C572" t="s">
        <v>1934</v>
      </c>
      <c r="E572" t="s">
        <v>1935</v>
      </c>
      <c r="F572" t="s">
        <v>27</v>
      </c>
      <c r="G572" t="s">
        <v>28</v>
      </c>
      <c r="H572" t="s">
        <v>29</v>
      </c>
      <c r="I572" t="s">
        <v>30</v>
      </c>
      <c r="J572" t="s">
        <v>50</v>
      </c>
      <c r="L572" s="1">
        <v>45870</v>
      </c>
      <c r="M572" s="1">
        <v>45292</v>
      </c>
      <c r="O572">
        <v>17886092</v>
      </c>
      <c r="P572" t="s">
        <v>32</v>
      </c>
      <c r="Q572" t="s">
        <v>102</v>
      </c>
      <c r="R572">
        <v>8192</v>
      </c>
      <c r="S572" t="s">
        <v>51</v>
      </c>
      <c r="T572" t="s">
        <v>35</v>
      </c>
      <c r="U572">
        <v>2.5</v>
      </c>
      <c r="V572" t="s">
        <v>36</v>
      </c>
      <c r="W572" s="1">
        <v>45222</v>
      </c>
      <c r="X572">
        <v>2025</v>
      </c>
    </row>
    <row r="573" spans="1:24" x14ac:dyDescent="0.25">
      <c r="A573" s="1">
        <v>45888</v>
      </c>
      <c r="B573" t="s">
        <v>1936</v>
      </c>
      <c r="C573" t="s">
        <v>1937</v>
      </c>
      <c r="E573" t="s">
        <v>1938</v>
      </c>
      <c r="F573" t="s">
        <v>27</v>
      </c>
      <c r="G573" t="s">
        <v>28</v>
      </c>
      <c r="H573" t="s">
        <v>29</v>
      </c>
      <c r="I573" t="s">
        <v>30</v>
      </c>
      <c r="J573" t="s">
        <v>50</v>
      </c>
      <c r="L573" s="1">
        <v>45870</v>
      </c>
      <c r="M573" s="1">
        <v>45292</v>
      </c>
      <c r="O573">
        <v>17886092</v>
      </c>
      <c r="P573" t="s">
        <v>32</v>
      </c>
      <c r="Q573" t="s">
        <v>102</v>
      </c>
      <c r="R573">
        <v>8192</v>
      </c>
      <c r="S573" t="s">
        <v>51</v>
      </c>
      <c r="T573" t="s">
        <v>35</v>
      </c>
      <c r="U573">
        <v>2.5</v>
      </c>
      <c r="V573" t="s">
        <v>36</v>
      </c>
      <c r="W573" s="1">
        <v>45222</v>
      </c>
      <c r="X573">
        <v>2025</v>
      </c>
    </row>
    <row r="574" spans="1:24" x14ac:dyDescent="0.25">
      <c r="A574" s="1">
        <v>45888</v>
      </c>
      <c r="B574" t="s">
        <v>1939</v>
      </c>
      <c r="C574" t="s">
        <v>1940</v>
      </c>
      <c r="E574" t="s">
        <v>1941</v>
      </c>
      <c r="F574" t="s">
        <v>27</v>
      </c>
      <c r="G574" t="s">
        <v>28</v>
      </c>
      <c r="H574" t="s">
        <v>29</v>
      </c>
      <c r="I574" t="s">
        <v>40</v>
      </c>
      <c r="J574" t="s">
        <v>156</v>
      </c>
      <c r="L574" s="1">
        <v>45870</v>
      </c>
      <c r="M574" s="1">
        <v>43862</v>
      </c>
      <c r="O574">
        <v>19606009</v>
      </c>
      <c r="P574" t="s">
        <v>32</v>
      </c>
      <c r="Q574" t="s">
        <v>42</v>
      </c>
      <c r="R574">
        <v>8192</v>
      </c>
      <c r="S574" t="s">
        <v>34</v>
      </c>
      <c r="T574" t="s">
        <v>35</v>
      </c>
      <c r="U574">
        <v>1.25</v>
      </c>
      <c r="V574" t="s">
        <v>36</v>
      </c>
      <c r="W574" s="1">
        <v>45839</v>
      </c>
      <c r="X574">
        <v>2025</v>
      </c>
    </row>
    <row r="575" spans="1:24" x14ac:dyDescent="0.25">
      <c r="A575" s="1">
        <v>45888</v>
      </c>
      <c r="B575" t="s">
        <v>1942</v>
      </c>
      <c r="C575" t="s">
        <v>1943</v>
      </c>
      <c r="E575" t="s">
        <v>1944</v>
      </c>
      <c r="F575" t="s">
        <v>27</v>
      </c>
      <c r="G575" t="s">
        <v>28</v>
      </c>
      <c r="H575" t="s">
        <v>29</v>
      </c>
      <c r="I575" t="s">
        <v>30</v>
      </c>
      <c r="J575" t="s">
        <v>156</v>
      </c>
      <c r="L575" s="1">
        <v>45870</v>
      </c>
      <c r="M575" s="1">
        <v>45566</v>
      </c>
      <c r="O575">
        <v>17886092</v>
      </c>
      <c r="P575" t="s">
        <v>32</v>
      </c>
      <c r="Q575" t="s">
        <v>102</v>
      </c>
      <c r="R575">
        <v>8192</v>
      </c>
      <c r="S575" t="s">
        <v>34</v>
      </c>
      <c r="T575" t="s">
        <v>35</v>
      </c>
      <c r="U575">
        <v>3.75</v>
      </c>
      <c r="V575" t="s">
        <v>36</v>
      </c>
      <c r="W575" s="1">
        <v>45551</v>
      </c>
      <c r="X575">
        <v>2025</v>
      </c>
    </row>
    <row r="576" spans="1:24" x14ac:dyDescent="0.25">
      <c r="A576" s="1">
        <v>45888</v>
      </c>
      <c r="B576" t="s">
        <v>1945</v>
      </c>
      <c r="C576" t="s">
        <v>1946</v>
      </c>
      <c r="E576" t="s">
        <v>1947</v>
      </c>
      <c r="F576" t="s">
        <v>27</v>
      </c>
      <c r="G576" t="s">
        <v>28</v>
      </c>
      <c r="H576" t="s">
        <v>29</v>
      </c>
      <c r="I576" t="s">
        <v>30</v>
      </c>
      <c r="J576" t="s">
        <v>50</v>
      </c>
      <c r="L576" s="1">
        <v>45870</v>
      </c>
      <c r="M576" s="1">
        <v>45323</v>
      </c>
      <c r="O576">
        <v>17886092</v>
      </c>
      <c r="P576" t="s">
        <v>32</v>
      </c>
      <c r="Q576" t="s">
        <v>102</v>
      </c>
      <c r="R576">
        <v>8192</v>
      </c>
      <c r="S576" t="s">
        <v>51</v>
      </c>
      <c r="T576" t="s">
        <v>35</v>
      </c>
      <c r="U576">
        <v>2.5</v>
      </c>
      <c r="V576" t="s">
        <v>36</v>
      </c>
      <c r="W576" s="1">
        <v>45246</v>
      </c>
      <c r="X576">
        <v>2025</v>
      </c>
    </row>
    <row r="577" spans="1:24" x14ac:dyDescent="0.25">
      <c r="A577" s="1">
        <v>45888</v>
      </c>
      <c r="B577" t="s">
        <v>1948</v>
      </c>
      <c r="C577" t="s">
        <v>1949</v>
      </c>
      <c r="E577" t="s">
        <v>1950</v>
      </c>
      <c r="F577" t="s">
        <v>74</v>
      </c>
      <c r="G577" t="s">
        <v>28</v>
      </c>
      <c r="H577" t="s">
        <v>29</v>
      </c>
      <c r="I577" t="s">
        <v>61</v>
      </c>
      <c r="J577" t="s">
        <v>75</v>
      </c>
      <c r="L577" s="1">
        <v>45870</v>
      </c>
      <c r="M577" s="1">
        <v>45566</v>
      </c>
      <c r="O577">
        <v>19200754</v>
      </c>
      <c r="P577" t="s">
        <v>32</v>
      </c>
      <c r="Q577" t="s">
        <v>780</v>
      </c>
      <c r="R577">
        <v>8192</v>
      </c>
      <c r="S577" t="s">
        <v>34</v>
      </c>
      <c r="T577" t="s">
        <v>35</v>
      </c>
      <c r="U577">
        <v>29.83</v>
      </c>
      <c r="V577" t="s">
        <v>36</v>
      </c>
      <c r="W577" s="1">
        <v>45494</v>
      </c>
      <c r="X577">
        <v>2025</v>
      </c>
    </row>
    <row r="578" spans="1:24" x14ac:dyDescent="0.25">
      <c r="A578" s="1">
        <v>45888</v>
      </c>
      <c r="B578" t="s">
        <v>1951</v>
      </c>
      <c r="C578" t="s">
        <v>1952</v>
      </c>
      <c r="E578" t="s">
        <v>1953</v>
      </c>
      <c r="F578" t="s">
        <v>27</v>
      </c>
      <c r="G578" t="s">
        <v>28</v>
      </c>
      <c r="H578" t="s">
        <v>29</v>
      </c>
      <c r="I578" t="s">
        <v>30</v>
      </c>
      <c r="J578" t="s">
        <v>50</v>
      </c>
      <c r="L578" s="1">
        <v>45870</v>
      </c>
      <c r="M578" s="1">
        <v>45200</v>
      </c>
      <c r="O578">
        <v>17528908</v>
      </c>
      <c r="P578" t="s">
        <v>32</v>
      </c>
      <c r="Q578" t="s">
        <v>33</v>
      </c>
      <c r="R578">
        <v>8192</v>
      </c>
      <c r="S578" t="s">
        <v>51</v>
      </c>
      <c r="T578" t="s">
        <v>35</v>
      </c>
      <c r="U578">
        <v>31.92</v>
      </c>
      <c r="V578" t="s">
        <v>36</v>
      </c>
      <c r="W578" s="1">
        <v>45182</v>
      </c>
      <c r="X578">
        <v>2025</v>
      </c>
    </row>
    <row r="579" spans="1:24" x14ac:dyDescent="0.25">
      <c r="A579" s="1">
        <v>45888</v>
      </c>
      <c r="B579" t="s">
        <v>1954</v>
      </c>
      <c r="C579" t="s">
        <v>1955</v>
      </c>
      <c r="E579" t="s">
        <v>1956</v>
      </c>
      <c r="F579" t="s">
        <v>27</v>
      </c>
      <c r="G579" t="s">
        <v>28</v>
      </c>
      <c r="H579" t="s">
        <v>29</v>
      </c>
      <c r="I579" t="s">
        <v>30</v>
      </c>
      <c r="J579" t="s">
        <v>46</v>
      </c>
      <c r="L579" s="1">
        <v>45870</v>
      </c>
      <c r="M579" s="1">
        <v>44927</v>
      </c>
      <c r="O579">
        <v>19606009</v>
      </c>
      <c r="P579" t="s">
        <v>32</v>
      </c>
      <c r="Q579" t="s">
        <v>42</v>
      </c>
      <c r="R579">
        <v>8192</v>
      </c>
      <c r="S579" t="s">
        <v>34</v>
      </c>
      <c r="T579" t="s">
        <v>35</v>
      </c>
      <c r="U579">
        <v>1.25</v>
      </c>
      <c r="V579" t="s">
        <v>36</v>
      </c>
      <c r="W579" s="1">
        <v>45839</v>
      </c>
      <c r="X579">
        <v>2025</v>
      </c>
    </row>
    <row r="580" spans="1:24" x14ac:dyDescent="0.25">
      <c r="A580" s="1">
        <v>45888</v>
      </c>
      <c r="B580" t="s">
        <v>1957</v>
      </c>
      <c r="C580" t="s">
        <v>1958</v>
      </c>
      <c r="E580" t="s">
        <v>1959</v>
      </c>
      <c r="F580" t="s">
        <v>27</v>
      </c>
      <c r="G580" t="s">
        <v>28</v>
      </c>
      <c r="H580" t="s">
        <v>29</v>
      </c>
      <c r="I580" t="s">
        <v>30</v>
      </c>
      <c r="J580" t="s">
        <v>46</v>
      </c>
      <c r="L580" s="1">
        <v>45870</v>
      </c>
      <c r="M580" s="1">
        <v>45292</v>
      </c>
      <c r="O580">
        <v>17886092</v>
      </c>
      <c r="P580" t="s">
        <v>32</v>
      </c>
      <c r="Q580" t="s">
        <v>102</v>
      </c>
      <c r="R580">
        <v>8192</v>
      </c>
      <c r="S580" t="s">
        <v>51</v>
      </c>
      <c r="T580" t="s">
        <v>35</v>
      </c>
      <c r="U580">
        <v>2.5</v>
      </c>
      <c r="V580" t="s">
        <v>36</v>
      </c>
      <c r="W580" s="1">
        <v>45243</v>
      </c>
      <c r="X580">
        <v>2025</v>
      </c>
    </row>
    <row r="581" spans="1:24" x14ac:dyDescent="0.25">
      <c r="A581" s="1">
        <v>45888</v>
      </c>
      <c r="B581" t="s">
        <v>1960</v>
      </c>
      <c r="C581" t="s">
        <v>1961</v>
      </c>
      <c r="E581" t="s">
        <v>1962</v>
      </c>
      <c r="F581" t="s">
        <v>27</v>
      </c>
      <c r="G581" t="s">
        <v>28</v>
      </c>
      <c r="H581" t="s">
        <v>29</v>
      </c>
      <c r="I581" t="s">
        <v>40</v>
      </c>
      <c r="J581" t="s">
        <v>31</v>
      </c>
      <c r="L581" s="1">
        <v>45870</v>
      </c>
      <c r="M581" s="1">
        <v>44256</v>
      </c>
      <c r="O581">
        <v>19606009</v>
      </c>
      <c r="P581" t="s">
        <v>32</v>
      </c>
      <c r="Q581" t="s">
        <v>42</v>
      </c>
      <c r="R581">
        <v>8192</v>
      </c>
      <c r="S581" t="s">
        <v>34</v>
      </c>
      <c r="T581" t="s">
        <v>35</v>
      </c>
      <c r="U581">
        <v>1.25</v>
      </c>
      <c r="V581" t="s">
        <v>36</v>
      </c>
      <c r="W581" s="1">
        <v>45809</v>
      </c>
      <c r="X581">
        <v>2025</v>
      </c>
    </row>
    <row r="582" spans="1:24" x14ac:dyDescent="0.25">
      <c r="A582" s="1">
        <v>45888</v>
      </c>
      <c r="B582" t="s">
        <v>1963</v>
      </c>
      <c r="C582" t="s">
        <v>1964</v>
      </c>
      <c r="E582" t="s">
        <v>1965</v>
      </c>
      <c r="F582" t="s">
        <v>27</v>
      </c>
      <c r="G582" t="s">
        <v>28</v>
      </c>
      <c r="H582" t="s">
        <v>29</v>
      </c>
      <c r="I582" t="s">
        <v>40</v>
      </c>
      <c r="J582" t="s">
        <v>128</v>
      </c>
      <c r="L582" s="1">
        <v>45870</v>
      </c>
      <c r="M582" s="1">
        <v>43831</v>
      </c>
      <c r="O582">
        <v>19606009</v>
      </c>
      <c r="P582" t="s">
        <v>32</v>
      </c>
      <c r="Q582" t="s">
        <v>42</v>
      </c>
      <c r="R582">
        <v>8192</v>
      </c>
      <c r="S582" t="s">
        <v>34</v>
      </c>
      <c r="T582" t="s">
        <v>35</v>
      </c>
      <c r="U582">
        <v>1.25</v>
      </c>
      <c r="V582" t="s">
        <v>36</v>
      </c>
      <c r="W582" s="1">
        <v>45809</v>
      </c>
      <c r="X582">
        <v>2025</v>
      </c>
    </row>
    <row r="583" spans="1:24" x14ac:dyDescent="0.25">
      <c r="A583" s="1">
        <v>45888</v>
      </c>
      <c r="B583" t="s">
        <v>1966</v>
      </c>
      <c r="C583" t="s">
        <v>1967</v>
      </c>
      <c r="E583" t="s">
        <v>1968</v>
      </c>
      <c r="F583" t="s">
        <v>27</v>
      </c>
      <c r="G583" t="s">
        <v>28</v>
      </c>
      <c r="H583" t="s">
        <v>29</v>
      </c>
      <c r="I583" t="s">
        <v>30</v>
      </c>
      <c r="J583" t="s">
        <v>50</v>
      </c>
      <c r="L583" s="1">
        <v>45870</v>
      </c>
      <c r="M583" s="1">
        <v>44927</v>
      </c>
      <c r="O583">
        <v>17886092</v>
      </c>
      <c r="P583" t="s">
        <v>32</v>
      </c>
      <c r="Q583" t="s">
        <v>102</v>
      </c>
      <c r="R583">
        <v>8192</v>
      </c>
      <c r="S583" t="s">
        <v>34</v>
      </c>
      <c r="T583" t="s">
        <v>35</v>
      </c>
      <c r="U583">
        <v>1.25</v>
      </c>
      <c r="V583" t="s">
        <v>36</v>
      </c>
      <c r="W583" s="1">
        <v>45689</v>
      </c>
      <c r="X583">
        <v>2025</v>
      </c>
    </row>
    <row r="584" spans="1:24" x14ac:dyDescent="0.25">
      <c r="A584" s="1">
        <v>45888</v>
      </c>
      <c r="B584" t="s">
        <v>1969</v>
      </c>
      <c r="C584" t="s">
        <v>1970</v>
      </c>
      <c r="E584" t="s">
        <v>1971</v>
      </c>
      <c r="F584" t="s">
        <v>74</v>
      </c>
      <c r="G584" t="s">
        <v>28</v>
      </c>
      <c r="H584" t="s">
        <v>29</v>
      </c>
      <c r="I584" t="s">
        <v>61</v>
      </c>
      <c r="J584" t="s">
        <v>75</v>
      </c>
      <c r="L584" s="1">
        <v>45870</v>
      </c>
      <c r="M584" s="1">
        <v>45383</v>
      </c>
      <c r="O584">
        <v>8307933</v>
      </c>
      <c r="P584" t="s">
        <v>32</v>
      </c>
      <c r="Q584" t="s">
        <v>63</v>
      </c>
      <c r="R584">
        <v>8192</v>
      </c>
      <c r="S584" t="s">
        <v>51</v>
      </c>
      <c r="T584" t="s">
        <v>35</v>
      </c>
      <c r="U584">
        <v>28.58</v>
      </c>
      <c r="V584" t="s">
        <v>36</v>
      </c>
      <c r="W584" s="1">
        <v>45323</v>
      </c>
      <c r="X584">
        <v>2025</v>
      </c>
    </row>
    <row r="585" spans="1:24" x14ac:dyDescent="0.25">
      <c r="A585" s="1">
        <v>45888</v>
      </c>
      <c r="B585" t="s">
        <v>1972</v>
      </c>
      <c r="C585" t="s">
        <v>1973</v>
      </c>
      <c r="E585" t="s">
        <v>1974</v>
      </c>
      <c r="F585" t="s">
        <v>27</v>
      </c>
      <c r="G585" t="s">
        <v>28</v>
      </c>
      <c r="H585" t="s">
        <v>29</v>
      </c>
      <c r="I585" t="s">
        <v>30</v>
      </c>
      <c r="J585" t="s">
        <v>31</v>
      </c>
      <c r="L585" s="1">
        <v>45870</v>
      </c>
      <c r="M585" s="1">
        <v>45505</v>
      </c>
      <c r="O585">
        <v>17528908</v>
      </c>
      <c r="P585" t="s">
        <v>32</v>
      </c>
      <c r="Q585" t="s">
        <v>33</v>
      </c>
      <c r="R585">
        <v>8192</v>
      </c>
      <c r="S585" t="s">
        <v>34</v>
      </c>
      <c r="T585" t="s">
        <v>35</v>
      </c>
      <c r="U585">
        <v>33.17</v>
      </c>
      <c r="V585" t="s">
        <v>36</v>
      </c>
      <c r="W585" s="1">
        <v>45496</v>
      </c>
      <c r="X585">
        <v>2025</v>
      </c>
    </row>
    <row r="586" spans="1:24" x14ac:dyDescent="0.25">
      <c r="A586" s="1">
        <v>45888</v>
      </c>
      <c r="B586" t="s">
        <v>1975</v>
      </c>
      <c r="C586" t="s">
        <v>1976</v>
      </c>
      <c r="E586" t="s">
        <v>1977</v>
      </c>
      <c r="F586" t="s">
        <v>74</v>
      </c>
      <c r="G586" t="s">
        <v>28</v>
      </c>
      <c r="H586" t="s">
        <v>29</v>
      </c>
      <c r="I586" t="s">
        <v>61</v>
      </c>
      <c r="J586" t="s">
        <v>75</v>
      </c>
      <c r="L586" s="1">
        <v>45870</v>
      </c>
      <c r="M586" s="1">
        <v>45627</v>
      </c>
      <c r="O586">
        <v>2158366</v>
      </c>
      <c r="P586" t="s">
        <v>32</v>
      </c>
      <c r="Q586" t="s">
        <v>326</v>
      </c>
      <c r="R586">
        <v>8192</v>
      </c>
      <c r="S586" t="s">
        <v>34</v>
      </c>
      <c r="T586" t="s">
        <v>35</v>
      </c>
      <c r="U586">
        <v>29.83</v>
      </c>
      <c r="V586" t="s">
        <v>36</v>
      </c>
      <c r="W586" s="1">
        <v>45622</v>
      </c>
      <c r="X586">
        <v>2025</v>
      </c>
    </row>
    <row r="587" spans="1:24" x14ac:dyDescent="0.25">
      <c r="A587" s="1">
        <v>45888</v>
      </c>
      <c r="B587" t="s">
        <v>1978</v>
      </c>
      <c r="C587" t="s">
        <v>1979</v>
      </c>
      <c r="E587" t="s">
        <v>1980</v>
      </c>
      <c r="F587" t="s">
        <v>27</v>
      </c>
      <c r="G587" t="s">
        <v>28</v>
      </c>
      <c r="H587" t="s">
        <v>127</v>
      </c>
      <c r="I587" t="s">
        <v>30</v>
      </c>
      <c r="J587" t="s">
        <v>128</v>
      </c>
      <c r="L587" s="1">
        <v>45870</v>
      </c>
      <c r="M587" s="1">
        <v>45566</v>
      </c>
      <c r="O587">
        <v>17528908</v>
      </c>
      <c r="P587" t="s">
        <v>32</v>
      </c>
      <c r="Q587" t="s">
        <v>33</v>
      </c>
      <c r="R587">
        <v>8192</v>
      </c>
      <c r="S587" t="s">
        <v>34</v>
      </c>
      <c r="T587" t="s">
        <v>35</v>
      </c>
      <c r="U587">
        <v>33.17</v>
      </c>
      <c r="V587" t="s">
        <v>36</v>
      </c>
      <c r="W587" s="1">
        <v>45565</v>
      </c>
      <c r="X587">
        <v>2025</v>
      </c>
    </row>
    <row r="588" spans="1:24" x14ac:dyDescent="0.25">
      <c r="A588" s="1">
        <v>45888</v>
      </c>
      <c r="B588" t="s">
        <v>1981</v>
      </c>
      <c r="C588" t="s">
        <v>1982</v>
      </c>
      <c r="E588" t="s">
        <v>1983</v>
      </c>
      <c r="F588" t="s">
        <v>60</v>
      </c>
      <c r="G588" t="s">
        <v>28</v>
      </c>
      <c r="H588" t="s">
        <v>29</v>
      </c>
      <c r="I588" t="s">
        <v>61</v>
      </c>
      <c r="J588" t="s">
        <v>1984</v>
      </c>
      <c r="L588" s="1">
        <v>45870</v>
      </c>
      <c r="M588" s="1">
        <v>45566</v>
      </c>
      <c r="O588">
        <v>19586992</v>
      </c>
      <c r="P588" t="s">
        <v>32</v>
      </c>
      <c r="Q588" t="s">
        <v>1890</v>
      </c>
      <c r="R588">
        <v>8192</v>
      </c>
      <c r="S588" t="s">
        <v>34</v>
      </c>
      <c r="T588" t="s">
        <v>35</v>
      </c>
      <c r="U588">
        <v>29.83</v>
      </c>
      <c r="V588" t="s">
        <v>36</v>
      </c>
      <c r="W588" s="1">
        <v>45563</v>
      </c>
      <c r="X588">
        <v>2025</v>
      </c>
    </row>
    <row r="589" spans="1:24" x14ac:dyDescent="0.25">
      <c r="A589" s="1">
        <v>45888</v>
      </c>
      <c r="B589" t="s">
        <v>1985</v>
      </c>
      <c r="C589" t="s">
        <v>1986</v>
      </c>
      <c r="E589" t="s">
        <v>1987</v>
      </c>
      <c r="F589" t="s">
        <v>60</v>
      </c>
      <c r="G589" t="s">
        <v>28</v>
      </c>
      <c r="H589" t="s">
        <v>29</v>
      </c>
      <c r="I589" t="s">
        <v>61</v>
      </c>
      <c r="J589" t="s">
        <v>1984</v>
      </c>
      <c r="L589" s="1">
        <v>45870</v>
      </c>
      <c r="M589" s="1">
        <v>45566</v>
      </c>
      <c r="O589">
        <v>19586992</v>
      </c>
      <c r="P589" t="s">
        <v>32</v>
      </c>
      <c r="Q589" t="s">
        <v>1890</v>
      </c>
      <c r="R589">
        <v>8192</v>
      </c>
      <c r="S589" t="s">
        <v>34</v>
      </c>
      <c r="T589" t="s">
        <v>35</v>
      </c>
      <c r="U589">
        <v>29.83</v>
      </c>
      <c r="V589" t="s">
        <v>36</v>
      </c>
      <c r="W589" s="1">
        <v>45563</v>
      </c>
      <c r="X589">
        <v>2025</v>
      </c>
    </row>
    <row r="590" spans="1:24" x14ac:dyDescent="0.25">
      <c r="A590" s="1">
        <v>45888</v>
      </c>
      <c r="B590" t="s">
        <v>1988</v>
      </c>
      <c r="C590" t="s">
        <v>1989</v>
      </c>
      <c r="E590" t="s">
        <v>1990</v>
      </c>
      <c r="F590" t="s">
        <v>27</v>
      </c>
      <c r="G590" t="s">
        <v>28</v>
      </c>
      <c r="H590" t="s">
        <v>29</v>
      </c>
      <c r="I590" t="s">
        <v>30</v>
      </c>
      <c r="J590" t="s">
        <v>55</v>
      </c>
      <c r="L590" s="1">
        <v>45870</v>
      </c>
      <c r="M590" s="1">
        <v>45323</v>
      </c>
      <c r="O590">
        <v>17425766</v>
      </c>
      <c r="P590" t="s">
        <v>32</v>
      </c>
      <c r="Q590" t="s">
        <v>56</v>
      </c>
      <c r="R590">
        <v>8192</v>
      </c>
      <c r="S590" t="s">
        <v>51</v>
      </c>
      <c r="T590" t="s">
        <v>35</v>
      </c>
      <c r="U590">
        <v>31.92</v>
      </c>
      <c r="V590" t="s">
        <v>36</v>
      </c>
      <c r="W590" s="1">
        <v>45313</v>
      </c>
      <c r="X590">
        <v>2025</v>
      </c>
    </row>
    <row r="591" spans="1:24" x14ac:dyDescent="0.25">
      <c r="A591" s="1">
        <v>45888</v>
      </c>
      <c r="B591" t="s">
        <v>1991</v>
      </c>
      <c r="C591" t="s">
        <v>1992</v>
      </c>
      <c r="E591" t="s">
        <v>1993</v>
      </c>
      <c r="F591" t="s">
        <v>27</v>
      </c>
      <c r="G591" t="s">
        <v>28</v>
      </c>
      <c r="H591" t="s">
        <v>29</v>
      </c>
      <c r="I591" t="s">
        <v>30</v>
      </c>
      <c r="J591" t="s">
        <v>46</v>
      </c>
      <c r="L591" s="1">
        <v>45870</v>
      </c>
      <c r="M591" s="1">
        <v>45505</v>
      </c>
      <c r="O591">
        <v>17886092</v>
      </c>
      <c r="P591" t="s">
        <v>32</v>
      </c>
      <c r="Q591" t="s">
        <v>102</v>
      </c>
      <c r="R591">
        <v>8192</v>
      </c>
      <c r="S591" t="s">
        <v>34</v>
      </c>
      <c r="T591" t="s">
        <v>35</v>
      </c>
      <c r="U591">
        <v>3.75</v>
      </c>
      <c r="V591" t="s">
        <v>36</v>
      </c>
      <c r="W591" s="1">
        <v>45491</v>
      </c>
      <c r="X591">
        <v>2025</v>
      </c>
    </row>
    <row r="592" spans="1:24" x14ac:dyDescent="0.25">
      <c r="A592" s="1">
        <v>45888</v>
      </c>
      <c r="B592" t="s">
        <v>1994</v>
      </c>
      <c r="C592" t="s">
        <v>1995</v>
      </c>
      <c r="E592" t="s">
        <v>1996</v>
      </c>
      <c r="F592" t="s">
        <v>95</v>
      </c>
      <c r="G592" t="s">
        <v>28</v>
      </c>
      <c r="H592" t="s">
        <v>96</v>
      </c>
      <c r="J592" t="s">
        <v>97</v>
      </c>
      <c r="L592" s="1">
        <v>45870</v>
      </c>
      <c r="M592" s="1">
        <v>45658</v>
      </c>
      <c r="O592">
        <v>17425766</v>
      </c>
      <c r="P592" t="s">
        <v>32</v>
      </c>
      <c r="Q592" t="s">
        <v>56</v>
      </c>
      <c r="R592">
        <v>8192</v>
      </c>
      <c r="S592" t="s">
        <v>51</v>
      </c>
      <c r="T592" t="s">
        <v>35</v>
      </c>
      <c r="U592">
        <v>3.92</v>
      </c>
      <c r="V592" t="s">
        <v>36</v>
      </c>
      <c r="W592" s="1">
        <v>45194</v>
      </c>
      <c r="X592">
        <v>2025</v>
      </c>
    </row>
    <row r="593" spans="1:24" x14ac:dyDescent="0.25">
      <c r="A593" s="1">
        <v>45888</v>
      </c>
      <c r="B593" t="s">
        <v>1997</v>
      </c>
      <c r="C593" t="s">
        <v>1998</v>
      </c>
      <c r="E593" t="s">
        <v>1999</v>
      </c>
      <c r="F593" t="s">
        <v>2000</v>
      </c>
      <c r="G593" t="s">
        <v>28</v>
      </c>
      <c r="H593" t="s">
        <v>29</v>
      </c>
      <c r="I593" t="s">
        <v>235</v>
      </c>
      <c r="J593" t="s">
        <v>2001</v>
      </c>
      <c r="L593" s="1">
        <v>45870</v>
      </c>
      <c r="M593" s="1">
        <v>45292</v>
      </c>
      <c r="O593">
        <v>17425766</v>
      </c>
      <c r="P593" t="s">
        <v>32</v>
      </c>
      <c r="Q593" t="s">
        <v>56</v>
      </c>
      <c r="R593">
        <v>8192</v>
      </c>
      <c r="S593" t="s">
        <v>51</v>
      </c>
      <c r="T593" t="s">
        <v>35</v>
      </c>
      <c r="U593">
        <v>28.58</v>
      </c>
      <c r="V593" t="s">
        <v>36</v>
      </c>
      <c r="W593" s="1">
        <v>45215</v>
      </c>
      <c r="X593">
        <v>2025</v>
      </c>
    </row>
    <row r="594" spans="1:24" x14ac:dyDescent="0.25">
      <c r="A594" s="1">
        <v>45888</v>
      </c>
      <c r="B594" t="s">
        <v>2002</v>
      </c>
      <c r="C594" t="s">
        <v>2003</v>
      </c>
      <c r="E594" t="s">
        <v>2004</v>
      </c>
      <c r="F594" t="s">
        <v>27</v>
      </c>
      <c r="G594" t="s">
        <v>28</v>
      </c>
      <c r="H594" t="s">
        <v>29</v>
      </c>
      <c r="I594" t="s">
        <v>30</v>
      </c>
      <c r="J594" t="s">
        <v>50</v>
      </c>
      <c r="L594" s="1">
        <v>45870</v>
      </c>
      <c r="M594" s="1">
        <v>45597</v>
      </c>
      <c r="O594">
        <v>17528908</v>
      </c>
      <c r="P594" t="s">
        <v>32</v>
      </c>
      <c r="Q594" t="s">
        <v>33</v>
      </c>
      <c r="R594">
        <v>8192</v>
      </c>
      <c r="S594" t="s">
        <v>34</v>
      </c>
      <c r="T594" t="s">
        <v>35</v>
      </c>
      <c r="U594">
        <v>33.17</v>
      </c>
      <c r="V594" t="s">
        <v>36</v>
      </c>
      <c r="W594" s="1">
        <v>45566</v>
      </c>
      <c r="X594">
        <v>2025</v>
      </c>
    </row>
    <row r="595" spans="1:24" x14ac:dyDescent="0.25">
      <c r="A595" s="1">
        <v>45888</v>
      </c>
      <c r="B595" t="s">
        <v>2005</v>
      </c>
      <c r="C595" t="s">
        <v>2006</v>
      </c>
      <c r="E595" t="s">
        <v>2007</v>
      </c>
      <c r="F595" t="s">
        <v>27</v>
      </c>
      <c r="G595" t="s">
        <v>28</v>
      </c>
      <c r="H595" t="s">
        <v>29</v>
      </c>
      <c r="I595" t="s">
        <v>30</v>
      </c>
      <c r="J595" t="s">
        <v>46</v>
      </c>
      <c r="L595" s="1">
        <v>45870</v>
      </c>
      <c r="M595" s="1">
        <v>45047</v>
      </c>
      <c r="O595">
        <v>19606009</v>
      </c>
      <c r="P595" t="s">
        <v>32</v>
      </c>
      <c r="Q595" t="s">
        <v>42</v>
      </c>
      <c r="R595">
        <v>8192</v>
      </c>
      <c r="S595" t="s">
        <v>34</v>
      </c>
      <c r="T595" t="s">
        <v>35</v>
      </c>
      <c r="U595">
        <v>1.25</v>
      </c>
      <c r="V595" t="s">
        <v>36</v>
      </c>
      <c r="W595" s="1">
        <v>45839</v>
      </c>
      <c r="X595">
        <v>2025</v>
      </c>
    </row>
    <row r="596" spans="1:24" x14ac:dyDescent="0.25">
      <c r="A596" s="1">
        <v>45888</v>
      </c>
      <c r="B596" t="s">
        <v>2008</v>
      </c>
      <c r="C596" t="s">
        <v>2009</v>
      </c>
      <c r="E596" t="s">
        <v>2010</v>
      </c>
      <c r="F596" t="s">
        <v>27</v>
      </c>
      <c r="G596" t="s">
        <v>28</v>
      </c>
      <c r="H596" t="s">
        <v>29</v>
      </c>
      <c r="I596" t="s">
        <v>30</v>
      </c>
      <c r="J596" t="s">
        <v>46</v>
      </c>
      <c r="L596" s="1">
        <v>45870</v>
      </c>
      <c r="M596" s="1">
        <v>45292</v>
      </c>
      <c r="O596">
        <v>19606009</v>
      </c>
      <c r="P596" t="s">
        <v>32</v>
      </c>
      <c r="Q596" t="s">
        <v>42</v>
      </c>
      <c r="R596">
        <v>8192</v>
      </c>
      <c r="S596" t="s">
        <v>51</v>
      </c>
      <c r="T596" t="s">
        <v>35</v>
      </c>
      <c r="U596">
        <v>2.5</v>
      </c>
      <c r="V596" t="s">
        <v>36</v>
      </c>
      <c r="W596" s="1">
        <v>45238</v>
      </c>
      <c r="X596">
        <v>2025</v>
      </c>
    </row>
    <row r="597" spans="1:24" x14ac:dyDescent="0.25">
      <c r="A597" s="1">
        <v>45888</v>
      </c>
      <c r="B597" t="s">
        <v>2011</v>
      </c>
      <c r="C597" t="s">
        <v>2012</v>
      </c>
      <c r="E597" t="s">
        <v>2013</v>
      </c>
      <c r="F597" t="s">
        <v>27</v>
      </c>
      <c r="G597" t="s">
        <v>28</v>
      </c>
      <c r="H597" t="s">
        <v>29</v>
      </c>
      <c r="I597" t="s">
        <v>30</v>
      </c>
      <c r="J597" t="s">
        <v>156</v>
      </c>
      <c r="L597" s="1">
        <v>45870</v>
      </c>
      <c r="M597" s="1">
        <v>45597</v>
      </c>
      <c r="O597">
        <v>17886092</v>
      </c>
      <c r="P597" t="s">
        <v>32</v>
      </c>
      <c r="Q597" t="s">
        <v>102</v>
      </c>
      <c r="R597">
        <v>8192</v>
      </c>
      <c r="S597" t="s">
        <v>34</v>
      </c>
      <c r="T597" t="s">
        <v>35</v>
      </c>
      <c r="U597">
        <v>1.25</v>
      </c>
      <c r="V597" t="s">
        <v>36</v>
      </c>
      <c r="W597" s="1">
        <v>45593</v>
      </c>
      <c r="X597">
        <v>2025</v>
      </c>
    </row>
    <row r="598" spans="1:24" x14ac:dyDescent="0.25">
      <c r="A598" s="1">
        <v>45888</v>
      </c>
      <c r="B598" t="s">
        <v>2014</v>
      </c>
      <c r="C598" t="s">
        <v>2015</v>
      </c>
      <c r="E598" t="s">
        <v>2016</v>
      </c>
      <c r="F598" t="s">
        <v>27</v>
      </c>
      <c r="G598" t="s">
        <v>28</v>
      </c>
      <c r="H598" t="s">
        <v>29</v>
      </c>
      <c r="I598" t="s">
        <v>30</v>
      </c>
      <c r="J598" t="s">
        <v>202</v>
      </c>
      <c r="L598" s="1">
        <v>45870</v>
      </c>
      <c r="M598" s="1">
        <v>45292</v>
      </c>
      <c r="O598">
        <v>17886092</v>
      </c>
      <c r="P598" t="s">
        <v>32</v>
      </c>
      <c r="Q598" t="s">
        <v>102</v>
      </c>
      <c r="R598">
        <v>8192</v>
      </c>
      <c r="S598" t="s">
        <v>51</v>
      </c>
      <c r="T598" t="s">
        <v>35</v>
      </c>
      <c r="U598">
        <v>2.5</v>
      </c>
      <c r="V598" t="s">
        <v>36</v>
      </c>
      <c r="W598" s="1">
        <v>45238</v>
      </c>
      <c r="X598">
        <v>2025</v>
      </c>
    </row>
    <row r="599" spans="1:24" x14ac:dyDescent="0.25">
      <c r="A599" s="1">
        <v>45888</v>
      </c>
      <c r="B599" t="s">
        <v>2017</v>
      </c>
      <c r="C599" t="s">
        <v>2018</v>
      </c>
      <c r="E599" t="s">
        <v>2019</v>
      </c>
      <c r="F599" t="s">
        <v>27</v>
      </c>
      <c r="G599" t="s">
        <v>28</v>
      </c>
      <c r="H599" t="s">
        <v>29</v>
      </c>
      <c r="I599" t="s">
        <v>30</v>
      </c>
      <c r="J599" t="s">
        <v>31</v>
      </c>
      <c r="L599" s="1">
        <v>45870</v>
      </c>
      <c r="M599" s="1">
        <v>45231</v>
      </c>
      <c r="O599">
        <v>17528908</v>
      </c>
      <c r="P599" t="s">
        <v>32</v>
      </c>
      <c r="Q599" t="s">
        <v>33</v>
      </c>
      <c r="R599">
        <v>8192</v>
      </c>
      <c r="S599" t="s">
        <v>51</v>
      </c>
      <c r="T599" t="s">
        <v>35</v>
      </c>
      <c r="U599">
        <v>31.92</v>
      </c>
      <c r="V599" t="s">
        <v>36</v>
      </c>
      <c r="W599" s="1">
        <v>45210</v>
      </c>
      <c r="X599">
        <v>2025</v>
      </c>
    </row>
    <row r="600" spans="1:24" x14ac:dyDescent="0.25">
      <c r="A600" s="1">
        <v>45888</v>
      </c>
      <c r="B600" t="s">
        <v>2020</v>
      </c>
      <c r="C600" t="s">
        <v>2021</v>
      </c>
      <c r="E600" t="s">
        <v>2022</v>
      </c>
      <c r="F600" t="s">
        <v>27</v>
      </c>
      <c r="G600" t="s">
        <v>28</v>
      </c>
      <c r="H600" t="s">
        <v>29</v>
      </c>
      <c r="I600" t="s">
        <v>30</v>
      </c>
      <c r="J600" t="s">
        <v>46</v>
      </c>
      <c r="L600" s="1">
        <v>45870</v>
      </c>
      <c r="M600" s="1">
        <v>45292</v>
      </c>
      <c r="O600">
        <v>17886092</v>
      </c>
      <c r="P600" t="s">
        <v>32</v>
      </c>
      <c r="Q600" t="s">
        <v>102</v>
      </c>
      <c r="R600">
        <v>8192</v>
      </c>
      <c r="S600" t="s">
        <v>51</v>
      </c>
      <c r="T600" t="s">
        <v>35</v>
      </c>
      <c r="U600">
        <v>2.5</v>
      </c>
      <c r="V600" t="s">
        <v>36</v>
      </c>
      <c r="W600" s="1">
        <v>45229</v>
      </c>
      <c r="X600">
        <v>2025</v>
      </c>
    </row>
    <row r="601" spans="1:24" x14ac:dyDescent="0.25">
      <c r="A601" s="1">
        <v>45888</v>
      </c>
      <c r="B601" t="s">
        <v>2023</v>
      </c>
      <c r="C601" t="s">
        <v>2024</v>
      </c>
      <c r="E601" t="s">
        <v>2025</v>
      </c>
      <c r="F601" t="s">
        <v>74</v>
      </c>
      <c r="G601" t="s">
        <v>28</v>
      </c>
      <c r="H601" t="s">
        <v>29</v>
      </c>
      <c r="I601" t="s">
        <v>61</v>
      </c>
      <c r="J601" t="s">
        <v>75</v>
      </c>
      <c r="L601" s="1">
        <v>45870</v>
      </c>
      <c r="M601" s="1">
        <v>45292</v>
      </c>
      <c r="O601">
        <v>9213293</v>
      </c>
      <c r="P601" t="s">
        <v>32</v>
      </c>
      <c r="Q601" t="s">
        <v>252</v>
      </c>
      <c r="R601">
        <v>8192</v>
      </c>
      <c r="S601" t="s">
        <v>34</v>
      </c>
      <c r="T601" t="s">
        <v>35</v>
      </c>
      <c r="U601">
        <v>29.83</v>
      </c>
      <c r="V601" t="s">
        <v>36</v>
      </c>
      <c r="W601" s="1">
        <v>45658</v>
      </c>
      <c r="X601">
        <v>2025</v>
      </c>
    </row>
    <row r="602" spans="1:24" x14ac:dyDescent="0.25">
      <c r="A602" s="1">
        <v>45888</v>
      </c>
      <c r="B602" t="s">
        <v>2026</v>
      </c>
      <c r="C602" t="s">
        <v>2027</v>
      </c>
      <c r="E602" t="s">
        <v>2028</v>
      </c>
      <c r="F602" t="s">
        <v>27</v>
      </c>
      <c r="G602" t="s">
        <v>28</v>
      </c>
      <c r="H602" t="s">
        <v>29</v>
      </c>
      <c r="I602" t="s">
        <v>30</v>
      </c>
      <c r="J602" t="s">
        <v>46</v>
      </c>
      <c r="L602" s="1">
        <v>45870</v>
      </c>
      <c r="M602" s="1">
        <v>45444</v>
      </c>
      <c r="O602">
        <v>17886092</v>
      </c>
      <c r="P602" t="s">
        <v>32</v>
      </c>
      <c r="Q602" t="s">
        <v>102</v>
      </c>
      <c r="R602">
        <v>8192</v>
      </c>
      <c r="S602" t="s">
        <v>34</v>
      </c>
      <c r="T602" t="s">
        <v>35</v>
      </c>
      <c r="U602">
        <v>3.75</v>
      </c>
      <c r="V602" t="s">
        <v>36</v>
      </c>
      <c r="W602" s="1">
        <v>45379</v>
      </c>
      <c r="X602">
        <v>2025</v>
      </c>
    </row>
    <row r="603" spans="1:24" x14ac:dyDescent="0.25">
      <c r="A603" s="1">
        <v>45888</v>
      </c>
      <c r="B603" t="s">
        <v>2029</v>
      </c>
      <c r="C603" t="s">
        <v>2030</v>
      </c>
      <c r="E603" t="s">
        <v>2031</v>
      </c>
      <c r="F603" t="s">
        <v>27</v>
      </c>
      <c r="G603" t="s">
        <v>28</v>
      </c>
      <c r="H603" t="s">
        <v>29</v>
      </c>
      <c r="I603" t="s">
        <v>30</v>
      </c>
      <c r="J603" t="s">
        <v>46</v>
      </c>
      <c r="L603" s="1">
        <v>45870</v>
      </c>
      <c r="M603" s="1">
        <v>45261</v>
      </c>
      <c r="O603">
        <v>17886092</v>
      </c>
      <c r="P603" t="s">
        <v>32</v>
      </c>
      <c r="Q603" t="s">
        <v>102</v>
      </c>
      <c r="R603">
        <v>8192</v>
      </c>
      <c r="S603" t="s">
        <v>51</v>
      </c>
      <c r="T603" t="s">
        <v>35</v>
      </c>
      <c r="U603">
        <v>2.5</v>
      </c>
      <c r="V603" t="s">
        <v>36</v>
      </c>
      <c r="W603" s="1">
        <v>45246</v>
      </c>
      <c r="X603">
        <v>2025</v>
      </c>
    </row>
    <row r="604" spans="1:24" x14ac:dyDescent="0.25">
      <c r="A604" s="1">
        <v>45888</v>
      </c>
      <c r="B604" t="s">
        <v>2032</v>
      </c>
      <c r="C604" t="s">
        <v>2033</v>
      </c>
      <c r="E604" t="s">
        <v>2034</v>
      </c>
      <c r="F604" t="s">
        <v>27</v>
      </c>
      <c r="G604" t="s">
        <v>28</v>
      </c>
      <c r="H604" t="s">
        <v>29</v>
      </c>
      <c r="I604" t="s">
        <v>30</v>
      </c>
      <c r="J604" t="s">
        <v>46</v>
      </c>
      <c r="L604" s="1">
        <v>45870</v>
      </c>
      <c r="M604" s="1">
        <v>45261</v>
      </c>
      <c r="O604">
        <v>17886092</v>
      </c>
      <c r="P604" t="s">
        <v>32</v>
      </c>
      <c r="Q604" t="s">
        <v>102</v>
      </c>
      <c r="R604">
        <v>8192</v>
      </c>
      <c r="S604" t="s">
        <v>51</v>
      </c>
      <c r="T604" t="s">
        <v>35</v>
      </c>
      <c r="U604">
        <v>2.5</v>
      </c>
      <c r="V604" t="s">
        <v>36</v>
      </c>
      <c r="W604" s="1">
        <v>45246</v>
      </c>
      <c r="X604">
        <v>2025</v>
      </c>
    </row>
    <row r="605" spans="1:24" x14ac:dyDescent="0.25">
      <c r="A605" s="1">
        <v>45888</v>
      </c>
      <c r="B605" t="s">
        <v>2035</v>
      </c>
      <c r="C605" t="s">
        <v>2036</v>
      </c>
      <c r="E605" t="s">
        <v>2037</v>
      </c>
      <c r="F605" t="s">
        <v>2038</v>
      </c>
      <c r="G605" t="s">
        <v>28</v>
      </c>
      <c r="H605" t="s">
        <v>29</v>
      </c>
      <c r="I605" t="s">
        <v>235</v>
      </c>
      <c r="J605" t="s">
        <v>2039</v>
      </c>
      <c r="L605" s="1">
        <v>45870</v>
      </c>
      <c r="M605" s="1">
        <v>45536</v>
      </c>
      <c r="O605">
        <v>8307933</v>
      </c>
      <c r="P605" t="s">
        <v>32</v>
      </c>
      <c r="Q605" t="s">
        <v>63</v>
      </c>
      <c r="R605">
        <v>8192</v>
      </c>
      <c r="S605" t="s">
        <v>34</v>
      </c>
      <c r="T605" t="s">
        <v>35</v>
      </c>
      <c r="U605">
        <v>29.83</v>
      </c>
      <c r="V605" t="s">
        <v>36</v>
      </c>
      <c r="W605" s="1">
        <v>45525</v>
      </c>
      <c r="X605">
        <v>2025</v>
      </c>
    </row>
    <row r="606" spans="1:24" x14ac:dyDescent="0.25">
      <c r="A606" s="1">
        <v>45888</v>
      </c>
      <c r="B606" t="s">
        <v>2040</v>
      </c>
      <c r="C606" t="s">
        <v>2041</v>
      </c>
      <c r="E606" t="s">
        <v>2042</v>
      </c>
      <c r="F606" t="s">
        <v>303</v>
      </c>
      <c r="G606" t="s">
        <v>28</v>
      </c>
      <c r="H606" t="s">
        <v>29</v>
      </c>
      <c r="I606" t="s">
        <v>304</v>
      </c>
      <c r="J606" t="s">
        <v>2043</v>
      </c>
      <c r="L606" s="1">
        <v>45870</v>
      </c>
      <c r="M606" s="1">
        <v>45505</v>
      </c>
      <c r="O606">
        <v>16509456</v>
      </c>
      <c r="P606" t="s">
        <v>32</v>
      </c>
      <c r="Q606" t="s">
        <v>107</v>
      </c>
      <c r="R606">
        <v>8192</v>
      </c>
      <c r="S606" t="s">
        <v>34</v>
      </c>
      <c r="T606" t="s">
        <v>35</v>
      </c>
      <c r="U606">
        <v>29.83</v>
      </c>
      <c r="V606" t="s">
        <v>36</v>
      </c>
      <c r="W606" s="1">
        <v>45488</v>
      </c>
      <c r="X606">
        <v>2025</v>
      </c>
    </row>
    <row r="607" spans="1:24" x14ac:dyDescent="0.25">
      <c r="A607" s="1">
        <v>45888</v>
      </c>
      <c r="B607" t="s">
        <v>2044</v>
      </c>
      <c r="C607" t="s">
        <v>2045</v>
      </c>
      <c r="E607" t="s">
        <v>2046</v>
      </c>
      <c r="F607" t="s">
        <v>303</v>
      </c>
      <c r="G607" t="s">
        <v>28</v>
      </c>
      <c r="H607" t="s">
        <v>29</v>
      </c>
      <c r="I607" t="s">
        <v>304</v>
      </c>
      <c r="J607" t="s">
        <v>2047</v>
      </c>
      <c r="L607" s="1">
        <v>45870</v>
      </c>
      <c r="M607" s="1">
        <v>45627</v>
      </c>
      <c r="O607">
        <v>9079571</v>
      </c>
      <c r="P607" t="s">
        <v>32</v>
      </c>
      <c r="Q607" t="s">
        <v>98</v>
      </c>
      <c r="R607">
        <v>8192</v>
      </c>
      <c r="S607" t="s">
        <v>34</v>
      </c>
      <c r="T607" t="s">
        <v>35</v>
      </c>
      <c r="U607">
        <v>29.83</v>
      </c>
      <c r="V607" t="s">
        <v>36</v>
      </c>
      <c r="W607" s="1">
        <v>45581</v>
      </c>
      <c r="X607">
        <v>2025</v>
      </c>
    </row>
    <row r="608" spans="1:24" x14ac:dyDescent="0.25">
      <c r="A608" s="1">
        <v>45888</v>
      </c>
      <c r="B608" t="s">
        <v>2048</v>
      </c>
      <c r="C608" t="s">
        <v>2049</v>
      </c>
      <c r="E608" t="s">
        <v>2050</v>
      </c>
      <c r="F608" t="s">
        <v>74</v>
      </c>
      <c r="G608" t="s">
        <v>28</v>
      </c>
      <c r="H608" t="s">
        <v>29</v>
      </c>
      <c r="I608" t="s">
        <v>61</v>
      </c>
      <c r="J608" t="s">
        <v>75</v>
      </c>
      <c r="L608" s="1">
        <v>45870</v>
      </c>
      <c r="M608" s="1">
        <v>45597</v>
      </c>
      <c r="O608">
        <v>19681796</v>
      </c>
      <c r="P608" t="s">
        <v>32</v>
      </c>
      <c r="Q608" t="s">
        <v>2051</v>
      </c>
      <c r="R608">
        <v>8192</v>
      </c>
      <c r="S608" t="s">
        <v>34</v>
      </c>
      <c r="T608" t="s">
        <v>35</v>
      </c>
      <c r="U608">
        <v>29.83</v>
      </c>
      <c r="V608" t="s">
        <v>36</v>
      </c>
      <c r="W608" s="1">
        <v>45547</v>
      </c>
      <c r="X608">
        <v>2025</v>
      </c>
    </row>
    <row r="609" spans="1:24" x14ac:dyDescent="0.25">
      <c r="A609" s="1">
        <v>45888</v>
      </c>
      <c r="B609" t="s">
        <v>2052</v>
      </c>
      <c r="C609" t="s">
        <v>2053</v>
      </c>
      <c r="E609" t="s">
        <v>2054</v>
      </c>
      <c r="F609" t="s">
        <v>111</v>
      </c>
      <c r="G609" t="s">
        <v>28</v>
      </c>
      <c r="H609" t="s">
        <v>29</v>
      </c>
      <c r="I609" t="s">
        <v>112</v>
      </c>
      <c r="J609" t="s">
        <v>2055</v>
      </c>
      <c r="L609" s="1">
        <v>45870</v>
      </c>
      <c r="M609" s="1">
        <v>45505</v>
      </c>
      <c r="O609">
        <v>8307933</v>
      </c>
      <c r="P609" t="s">
        <v>32</v>
      </c>
      <c r="Q609" t="s">
        <v>63</v>
      </c>
      <c r="R609">
        <v>8192</v>
      </c>
      <c r="S609" t="s">
        <v>34</v>
      </c>
      <c r="T609" t="s">
        <v>35</v>
      </c>
      <c r="U609">
        <v>29.83</v>
      </c>
      <c r="V609" t="s">
        <v>36</v>
      </c>
      <c r="W609" s="1">
        <v>45469</v>
      </c>
      <c r="X609">
        <v>2025</v>
      </c>
    </row>
    <row r="610" spans="1:24" x14ac:dyDescent="0.25">
      <c r="A610" s="1">
        <v>45888</v>
      </c>
      <c r="B610" t="s">
        <v>2056</v>
      </c>
      <c r="C610" t="s">
        <v>2057</v>
      </c>
      <c r="E610" t="s">
        <v>2058</v>
      </c>
      <c r="F610" t="s">
        <v>27</v>
      </c>
      <c r="G610" t="s">
        <v>28</v>
      </c>
      <c r="H610" t="s">
        <v>29</v>
      </c>
      <c r="I610" t="s">
        <v>40</v>
      </c>
      <c r="J610" t="s">
        <v>70</v>
      </c>
      <c r="L610" s="1">
        <v>45870</v>
      </c>
      <c r="M610" s="1">
        <v>43831</v>
      </c>
      <c r="O610">
        <v>19606009</v>
      </c>
      <c r="P610" t="s">
        <v>32</v>
      </c>
      <c r="Q610" t="s">
        <v>42</v>
      </c>
      <c r="R610">
        <v>8192</v>
      </c>
      <c r="S610" t="s">
        <v>34</v>
      </c>
      <c r="T610" t="s">
        <v>35</v>
      </c>
      <c r="U610">
        <v>1.25</v>
      </c>
      <c r="V610" t="s">
        <v>36</v>
      </c>
      <c r="W610" s="1">
        <v>45870</v>
      </c>
      <c r="X610">
        <v>2025</v>
      </c>
    </row>
    <row r="611" spans="1:24" x14ac:dyDescent="0.25">
      <c r="A611" s="1">
        <v>45888</v>
      </c>
      <c r="B611" t="s">
        <v>2059</v>
      </c>
      <c r="C611" t="s">
        <v>2060</v>
      </c>
      <c r="E611" t="s">
        <v>2061</v>
      </c>
      <c r="F611" t="s">
        <v>27</v>
      </c>
      <c r="G611" t="s">
        <v>28</v>
      </c>
      <c r="H611" t="s">
        <v>29</v>
      </c>
      <c r="I611" t="s">
        <v>30</v>
      </c>
      <c r="J611" t="s">
        <v>46</v>
      </c>
      <c r="L611" s="1">
        <v>45870</v>
      </c>
      <c r="M611" s="1">
        <v>44927</v>
      </c>
      <c r="O611">
        <v>19606009</v>
      </c>
      <c r="P611" t="s">
        <v>32</v>
      </c>
      <c r="Q611" t="s">
        <v>42</v>
      </c>
      <c r="R611">
        <v>8192</v>
      </c>
      <c r="S611" t="s">
        <v>34</v>
      </c>
      <c r="T611" t="s">
        <v>35</v>
      </c>
      <c r="U611">
        <v>1.25</v>
      </c>
      <c r="V611" t="s">
        <v>36</v>
      </c>
      <c r="W611" s="1">
        <v>45870</v>
      </c>
      <c r="X611">
        <v>2025</v>
      </c>
    </row>
    <row r="612" spans="1:24" x14ac:dyDescent="0.25">
      <c r="A612" s="1">
        <v>45888</v>
      </c>
      <c r="B612" t="s">
        <v>2062</v>
      </c>
      <c r="C612" t="s">
        <v>2063</v>
      </c>
      <c r="E612" t="s">
        <v>2064</v>
      </c>
      <c r="F612" t="s">
        <v>27</v>
      </c>
      <c r="G612" t="s">
        <v>28</v>
      </c>
      <c r="H612" t="s">
        <v>29</v>
      </c>
      <c r="I612" t="s">
        <v>30</v>
      </c>
      <c r="J612" t="s">
        <v>50</v>
      </c>
      <c r="L612" s="1">
        <v>45870</v>
      </c>
      <c r="M612" s="1">
        <v>45383</v>
      </c>
      <c r="O612">
        <v>17528908</v>
      </c>
      <c r="P612" t="s">
        <v>32</v>
      </c>
      <c r="Q612" t="s">
        <v>33</v>
      </c>
      <c r="R612">
        <v>8192</v>
      </c>
      <c r="S612" t="s">
        <v>34</v>
      </c>
      <c r="T612" t="s">
        <v>35</v>
      </c>
      <c r="U612">
        <v>33.17</v>
      </c>
      <c r="V612" t="s">
        <v>36</v>
      </c>
      <c r="W612" s="1">
        <v>45380</v>
      </c>
      <c r="X612">
        <v>2025</v>
      </c>
    </row>
    <row r="613" spans="1:24" x14ac:dyDescent="0.25">
      <c r="A613" s="1">
        <v>45888</v>
      </c>
      <c r="B613" t="s">
        <v>2065</v>
      </c>
      <c r="C613" t="s">
        <v>2066</v>
      </c>
      <c r="E613" t="s">
        <v>2067</v>
      </c>
      <c r="F613" t="s">
        <v>27</v>
      </c>
      <c r="G613" t="s">
        <v>28</v>
      </c>
      <c r="H613" t="s">
        <v>29</v>
      </c>
      <c r="I613" t="s">
        <v>30</v>
      </c>
      <c r="J613" t="s">
        <v>46</v>
      </c>
      <c r="L613" s="1">
        <v>45870</v>
      </c>
      <c r="M613" s="1">
        <v>45383</v>
      </c>
      <c r="O613">
        <v>17886092</v>
      </c>
      <c r="P613" t="s">
        <v>32</v>
      </c>
      <c r="Q613" t="s">
        <v>102</v>
      </c>
      <c r="R613">
        <v>8192</v>
      </c>
      <c r="S613" t="s">
        <v>34</v>
      </c>
      <c r="T613" t="s">
        <v>35</v>
      </c>
      <c r="U613">
        <v>3.75</v>
      </c>
      <c r="V613" t="s">
        <v>36</v>
      </c>
      <c r="W613" s="1">
        <v>45345</v>
      </c>
      <c r="X613">
        <v>2025</v>
      </c>
    </row>
    <row r="614" spans="1:24" x14ac:dyDescent="0.25">
      <c r="A614" s="1">
        <v>45888</v>
      </c>
      <c r="B614" t="s">
        <v>2068</v>
      </c>
      <c r="C614" t="s">
        <v>2069</v>
      </c>
      <c r="E614" t="s">
        <v>2070</v>
      </c>
      <c r="F614" t="s">
        <v>620</v>
      </c>
      <c r="G614" t="s">
        <v>28</v>
      </c>
      <c r="H614" t="s">
        <v>29</v>
      </c>
      <c r="I614" t="s">
        <v>161</v>
      </c>
      <c r="J614" t="s">
        <v>322</v>
      </c>
      <c r="L614" s="1">
        <v>45870</v>
      </c>
      <c r="M614" s="1">
        <v>45597</v>
      </c>
      <c r="O614">
        <v>8307933</v>
      </c>
      <c r="P614" t="s">
        <v>32</v>
      </c>
      <c r="Q614" t="s">
        <v>63</v>
      </c>
      <c r="R614">
        <v>8192</v>
      </c>
      <c r="S614" t="s">
        <v>34</v>
      </c>
      <c r="T614" t="s">
        <v>35</v>
      </c>
      <c r="U614">
        <v>29.83</v>
      </c>
      <c r="V614" t="s">
        <v>36</v>
      </c>
      <c r="W614" s="1">
        <v>45524</v>
      </c>
      <c r="X614">
        <v>2025</v>
      </c>
    </row>
    <row r="615" spans="1:24" x14ac:dyDescent="0.25">
      <c r="A615" s="1">
        <v>45888</v>
      </c>
      <c r="B615" t="s">
        <v>2071</v>
      </c>
      <c r="C615" t="s">
        <v>2072</v>
      </c>
      <c r="E615" t="s">
        <v>2073</v>
      </c>
      <c r="F615" t="s">
        <v>27</v>
      </c>
      <c r="G615" t="s">
        <v>28</v>
      </c>
      <c r="H615" t="s">
        <v>29</v>
      </c>
      <c r="I615" t="s">
        <v>30</v>
      </c>
      <c r="J615" t="s">
        <v>156</v>
      </c>
      <c r="L615" s="1">
        <v>45870</v>
      </c>
      <c r="M615" s="1">
        <v>45139</v>
      </c>
      <c r="O615">
        <v>17528908</v>
      </c>
      <c r="P615" t="s">
        <v>32</v>
      </c>
      <c r="Q615" t="s">
        <v>33</v>
      </c>
      <c r="R615">
        <v>8192</v>
      </c>
      <c r="S615" t="s">
        <v>51</v>
      </c>
      <c r="T615" t="s">
        <v>35</v>
      </c>
      <c r="U615">
        <v>31.92</v>
      </c>
      <c r="V615" t="s">
        <v>36</v>
      </c>
      <c r="W615" s="1">
        <v>45127</v>
      </c>
      <c r="X615">
        <v>2025</v>
      </c>
    </row>
    <row r="616" spans="1:24" x14ac:dyDescent="0.25">
      <c r="A616" s="1">
        <v>45888</v>
      </c>
      <c r="B616" t="s">
        <v>2074</v>
      </c>
      <c r="C616" t="s">
        <v>2075</v>
      </c>
      <c r="E616" t="s">
        <v>2076</v>
      </c>
      <c r="F616" t="s">
        <v>27</v>
      </c>
      <c r="G616" t="s">
        <v>28</v>
      </c>
      <c r="H616" t="s">
        <v>29</v>
      </c>
      <c r="I616" t="s">
        <v>30</v>
      </c>
      <c r="J616" t="s">
        <v>46</v>
      </c>
      <c r="L616" s="1">
        <v>45870</v>
      </c>
      <c r="M616" s="1">
        <v>44743</v>
      </c>
      <c r="O616">
        <v>19606009</v>
      </c>
      <c r="P616" t="s">
        <v>32</v>
      </c>
      <c r="Q616" t="s">
        <v>42</v>
      </c>
      <c r="R616">
        <v>8192</v>
      </c>
      <c r="S616" t="s">
        <v>34</v>
      </c>
      <c r="T616" t="s">
        <v>35</v>
      </c>
      <c r="U616">
        <v>1.25</v>
      </c>
      <c r="V616" t="s">
        <v>36</v>
      </c>
      <c r="W616" s="1">
        <v>45839</v>
      </c>
      <c r="X616">
        <v>2025</v>
      </c>
    </row>
    <row r="617" spans="1:24" x14ac:dyDescent="0.25">
      <c r="A617" s="1">
        <v>45888</v>
      </c>
      <c r="B617" t="s">
        <v>2077</v>
      </c>
      <c r="C617" t="s">
        <v>2078</v>
      </c>
      <c r="E617" t="s">
        <v>2079</v>
      </c>
      <c r="F617" t="s">
        <v>27</v>
      </c>
      <c r="G617" t="s">
        <v>28</v>
      </c>
      <c r="H617" t="s">
        <v>127</v>
      </c>
      <c r="I617" t="s">
        <v>30</v>
      </c>
      <c r="J617" t="s">
        <v>128</v>
      </c>
      <c r="L617" s="1">
        <v>45870</v>
      </c>
      <c r="M617" s="1">
        <v>45292</v>
      </c>
      <c r="O617">
        <v>17886092</v>
      </c>
      <c r="P617" t="s">
        <v>32</v>
      </c>
      <c r="Q617" t="s">
        <v>102</v>
      </c>
      <c r="R617">
        <v>8192</v>
      </c>
      <c r="S617" t="s">
        <v>51</v>
      </c>
      <c r="T617" t="s">
        <v>35</v>
      </c>
      <c r="U617">
        <v>2.5</v>
      </c>
      <c r="V617" t="s">
        <v>36</v>
      </c>
      <c r="W617" s="1">
        <v>45232</v>
      </c>
      <c r="X617">
        <v>2025</v>
      </c>
    </row>
    <row r="618" spans="1:24" x14ac:dyDescent="0.25">
      <c r="A618" s="1">
        <v>45888</v>
      </c>
      <c r="B618" t="s">
        <v>2080</v>
      </c>
      <c r="C618" t="s">
        <v>2081</v>
      </c>
      <c r="E618" t="s">
        <v>2082</v>
      </c>
      <c r="F618" t="s">
        <v>27</v>
      </c>
      <c r="G618" t="s">
        <v>28</v>
      </c>
      <c r="H618" t="s">
        <v>127</v>
      </c>
      <c r="I618" t="s">
        <v>30</v>
      </c>
      <c r="J618" t="s">
        <v>128</v>
      </c>
      <c r="L618" s="1">
        <v>45870</v>
      </c>
      <c r="M618" s="1">
        <v>45292</v>
      </c>
      <c r="O618">
        <v>17886092</v>
      </c>
      <c r="P618" t="s">
        <v>32</v>
      </c>
      <c r="Q618" t="s">
        <v>102</v>
      </c>
      <c r="R618">
        <v>8192</v>
      </c>
      <c r="S618" t="s">
        <v>51</v>
      </c>
      <c r="T618" t="s">
        <v>35</v>
      </c>
      <c r="U618">
        <v>2.5</v>
      </c>
      <c r="V618" t="s">
        <v>36</v>
      </c>
      <c r="W618" s="1">
        <v>45232</v>
      </c>
      <c r="X618">
        <v>2025</v>
      </c>
    </row>
    <row r="619" spans="1:24" x14ac:dyDescent="0.25">
      <c r="A619" s="1">
        <v>45888</v>
      </c>
      <c r="B619" t="s">
        <v>2083</v>
      </c>
      <c r="C619" t="s">
        <v>2084</v>
      </c>
      <c r="E619" t="s">
        <v>2085</v>
      </c>
      <c r="F619" t="s">
        <v>27</v>
      </c>
      <c r="G619" t="s">
        <v>28</v>
      </c>
      <c r="H619" t="s">
        <v>29</v>
      </c>
      <c r="I619" t="s">
        <v>30</v>
      </c>
      <c r="J619" t="s">
        <v>70</v>
      </c>
      <c r="L619" s="1">
        <v>45870</v>
      </c>
      <c r="M619" s="1">
        <v>45231</v>
      </c>
      <c r="O619">
        <v>17886092</v>
      </c>
      <c r="P619" t="s">
        <v>32</v>
      </c>
      <c r="Q619" t="s">
        <v>102</v>
      </c>
      <c r="R619">
        <v>8192</v>
      </c>
      <c r="S619" t="s">
        <v>51</v>
      </c>
      <c r="T619" t="s">
        <v>35</v>
      </c>
      <c r="U619">
        <v>2.5</v>
      </c>
      <c r="V619" t="s">
        <v>36</v>
      </c>
      <c r="W619" s="1">
        <v>45217</v>
      </c>
      <c r="X619">
        <v>2025</v>
      </c>
    </row>
    <row r="620" spans="1:24" x14ac:dyDescent="0.25">
      <c r="A620" s="1">
        <v>45888</v>
      </c>
      <c r="B620" t="s">
        <v>2086</v>
      </c>
      <c r="C620" t="s">
        <v>2087</v>
      </c>
      <c r="E620" t="s">
        <v>2088</v>
      </c>
      <c r="F620" t="s">
        <v>27</v>
      </c>
      <c r="G620" t="s">
        <v>28</v>
      </c>
      <c r="H620" t="s">
        <v>29</v>
      </c>
      <c r="I620" t="s">
        <v>30</v>
      </c>
      <c r="J620" t="s">
        <v>1177</v>
      </c>
      <c r="L620" s="1">
        <v>45870</v>
      </c>
      <c r="M620" s="1">
        <v>45292</v>
      </c>
      <c r="O620">
        <v>17425766</v>
      </c>
      <c r="P620" t="s">
        <v>32</v>
      </c>
      <c r="Q620" t="s">
        <v>56</v>
      </c>
      <c r="R620">
        <v>8192</v>
      </c>
      <c r="S620" t="s">
        <v>51</v>
      </c>
      <c r="T620" t="s">
        <v>35</v>
      </c>
      <c r="U620">
        <v>31.92</v>
      </c>
      <c r="V620" t="s">
        <v>36</v>
      </c>
      <c r="W620" s="1">
        <v>45231</v>
      </c>
      <c r="X620">
        <v>2025</v>
      </c>
    </row>
    <row r="621" spans="1:24" x14ac:dyDescent="0.25">
      <c r="A621" s="1">
        <v>45888</v>
      </c>
      <c r="B621" t="s">
        <v>2089</v>
      </c>
      <c r="C621" t="s">
        <v>2090</v>
      </c>
      <c r="E621" t="s">
        <v>2091</v>
      </c>
      <c r="F621" t="s">
        <v>27</v>
      </c>
      <c r="G621" t="s">
        <v>28</v>
      </c>
      <c r="H621" t="s">
        <v>127</v>
      </c>
      <c r="I621" t="s">
        <v>30</v>
      </c>
      <c r="J621" t="s">
        <v>128</v>
      </c>
      <c r="L621" s="1">
        <v>45870</v>
      </c>
      <c r="M621" s="1">
        <v>45323</v>
      </c>
      <c r="O621">
        <v>17886092</v>
      </c>
      <c r="P621" t="s">
        <v>32</v>
      </c>
      <c r="Q621" t="s">
        <v>102</v>
      </c>
      <c r="R621">
        <v>8192</v>
      </c>
      <c r="S621" t="s">
        <v>51</v>
      </c>
      <c r="T621" t="s">
        <v>35</v>
      </c>
      <c r="U621">
        <v>2.5</v>
      </c>
      <c r="V621" t="s">
        <v>36</v>
      </c>
      <c r="W621" s="1">
        <v>45307</v>
      </c>
      <c r="X621">
        <v>2025</v>
      </c>
    </row>
    <row r="622" spans="1:24" x14ac:dyDescent="0.25">
      <c r="A622" s="1">
        <v>45888</v>
      </c>
      <c r="B622" t="s">
        <v>2092</v>
      </c>
      <c r="C622" t="s">
        <v>2093</v>
      </c>
      <c r="E622" t="s">
        <v>2094</v>
      </c>
      <c r="F622" t="s">
        <v>27</v>
      </c>
      <c r="G622" t="s">
        <v>28</v>
      </c>
      <c r="H622" t="s">
        <v>29</v>
      </c>
      <c r="I622" t="s">
        <v>40</v>
      </c>
      <c r="J622" t="s">
        <v>46</v>
      </c>
      <c r="L622" s="1">
        <v>45870</v>
      </c>
      <c r="M622" s="1">
        <v>44197</v>
      </c>
      <c r="O622">
        <v>19606009</v>
      </c>
      <c r="P622" t="s">
        <v>32</v>
      </c>
      <c r="Q622" t="s">
        <v>42</v>
      </c>
      <c r="R622">
        <v>8192</v>
      </c>
      <c r="S622" t="s">
        <v>34</v>
      </c>
      <c r="T622" t="s">
        <v>35</v>
      </c>
      <c r="U622">
        <v>1.25</v>
      </c>
      <c r="V622" t="s">
        <v>36</v>
      </c>
      <c r="W622" s="1">
        <v>45839</v>
      </c>
      <c r="X622">
        <v>2025</v>
      </c>
    </row>
    <row r="623" spans="1:24" x14ac:dyDescent="0.25">
      <c r="A623" s="1">
        <v>45888</v>
      </c>
      <c r="B623" t="s">
        <v>2095</v>
      </c>
      <c r="C623" t="s">
        <v>2096</v>
      </c>
      <c r="E623" t="s">
        <v>2097</v>
      </c>
      <c r="F623" t="s">
        <v>27</v>
      </c>
      <c r="G623" t="s">
        <v>28</v>
      </c>
      <c r="H623" t="s">
        <v>29</v>
      </c>
      <c r="I623" t="s">
        <v>30</v>
      </c>
      <c r="J623" t="s">
        <v>70</v>
      </c>
      <c r="L623" s="1">
        <v>45870</v>
      </c>
      <c r="M623" s="1">
        <v>45505</v>
      </c>
      <c r="O623">
        <v>17528908</v>
      </c>
      <c r="P623" t="s">
        <v>32</v>
      </c>
      <c r="Q623" t="s">
        <v>33</v>
      </c>
      <c r="R623">
        <v>8192</v>
      </c>
      <c r="S623" t="s">
        <v>34</v>
      </c>
      <c r="T623" t="s">
        <v>35</v>
      </c>
      <c r="U623">
        <v>33.17</v>
      </c>
      <c r="V623" t="s">
        <v>36</v>
      </c>
      <c r="W623" s="1">
        <v>45461</v>
      </c>
      <c r="X623">
        <v>2025</v>
      </c>
    </row>
    <row r="624" spans="1:24" x14ac:dyDescent="0.25">
      <c r="A624" s="1">
        <v>45888</v>
      </c>
      <c r="B624" t="s">
        <v>2098</v>
      </c>
      <c r="C624" t="s">
        <v>2099</v>
      </c>
      <c r="E624" t="s">
        <v>2100</v>
      </c>
      <c r="F624" t="s">
        <v>74</v>
      </c>
      <c r="G624" t="s">
        <v>28</v>
      </c>
      <c r="H624" t="s">
        <v>29</v>
      </c>
      <c r="I624" t="s">
        <v>61</v>
      </c>
      <c r="J624" t="s">
        <v>75</v>
      </c>
      <c r="L624" s="1">
        <v>45870</v>
      </c>
      <c r="M624" s="1">
        <v>45536</v>
      </c>
      <c r="O624">
        <v>19396223</v>
      </c>
      <c r="P624" t="s">
        <v>32</v>
      </c>
      <c r="Q624" t="s">
        <v>1775</v>
      </c>
      <c r="R624">
        <v>8192</v>
      </c>
      <c r="S624" t="s">
        <v>34</v>
      </c>
      <c r="T624" t="s">
        <v>35</v>
      </c>
      <c r="U624">
        <v>29.83</v>
      </c>
      <c r="V624" t="s">
        <v>36</v>
      </c>
      <c r="W624" s="1">
        <v>45533</v>
      </c>
      <c r="X624">
        <v>2025</v>
      </c>
    </row>
    <row r="625" spans="1:24" x14ac:dyDescent="0.25">
      <c r="A625" s="1">
        <v>45888</v>
      </c>
      <c r="B625" t="s">
        <v>2101</v>
      </c>
      <c r="C625" t="s">
        <v>2102</v>
      </c>
      <c r="E625" t="s">
        <v>2103</v>
      </c>
      <c r="F625" t="s">
        <v>1319</v>
      </c>
      <c r="G625" t="s">
        <v>28</v>
      </c>
      <c r="H625" t="s">
        <v>29</v>
      </c>
      <c r="I625" t="s">
        <v>445</v>
      </c>
      <c r="J625" t="s">
        <v>2104</v>
      </c>
      <c r="L625" s="1">
        <v>45870</v>
      </c>
      <c r="M625" s="1">
        <v>45536</v>
      </c>
      <c r="O625">
        <v>15278437</v>
      </c>
      <c r="P625" t="s">
        <v>32</v>
      </c>
      <c r="Q625" t="s">
        <v>221</v>
      </c>
      <c r="R625">
        <v>8192</v>
      </c>
      <c r="S625" t="s">
        <v>34</v>
      </c>
      <c r="T625" t="s">
        <v>35</v>
      </c>
      <c r="U625">
        <v>29.83</v>
      </c>
      <c r="V625" t="s">
        <v>36</v>
      </c>
      <c r="W625" s="1">
        <v>45505</v>
      </c>
      <c r="X625">
        <v>2025</v>
      </c>
    </row>
    <row r="626" spans="1:24" x14ac:dyDescent="0.25">
      <c r="A626" s="1">
        <v>45888</v>
      </c>
      <c r="B626" t="s">
        <v>2105</v>
      </c>
      <c r="C626" t="s">
        <v>2106</v>
      </c>
      <c r="E626" t="s">
        <v>2107</v>
      </c>
      <c r="F626" t="s">
        <v>27</v>
      </c>
      <c r="G626" t="s">
        <v>28</v>
      </c>
      <c r="H626" t="s">
        <v>29</v>
      </c>
      <c r="I626" t="s">
        <v>30</v>
      </c>
      <c r="J626" t="s">
        <v>31</v>
      </c>
      <c r="L626" s="1">
        <v>45870</v>
      </c>
      <c r="M626" s="1">
        <v>45536</v>
      </c>
      <c r="O626">
        <v>17886092</v>
      </c>
      <c r="P626" t="s">
        <v>32</v>
      </c>
      <c r="Q626" t="s">
        <v>102</v>
      </c>
      <c r="R626">
        <v>8192</v>
      </c>
      <c r="S626" t="s">
        <v>34</v>
      </c>
      <c r="T626" t="s">
        <v>35</v>
      </c>
      <c r="U626">
        <v>3.75</v>
      </c>
      <c r="V626" t="s">
        <v>36</v>
      </c>
      <c r="W626" s="1">
        <v>45461</v>
      </c>
      <c r="X626">
        <v>2025</v>
      </c>
    </row>
    <row r="627" spans="1:24" x14ac:dyDescent="0.25">
      <c r="A627" s="1">
        <v>45888</v>
      </c>
      <c r="B627" t="s">
        <v>2108</v>
      </c>
      <c r="C627" t="s">
        <v>2109</v>
      </c>
      <c r="E627" t="s">
        <v>2110</v>
      </c>
      <c r="F627" t="s">
        <v>111</v>
      </c>
      <c r="G627" t="s">
        <v>28</v>
      </c>
      <c r="H627" t="s">
        <v>29</v>
      </c>
      <c r="I627" t="s">
        <v>112</v>
      </c>
      <c r="J627" t="s">
        <v>1575</v>
      </c>
      <c r="L627" s="1">
        <v>45870</v>
      </c>
      <c r="M627" s="1">
        <v>45536</v>
      </c>
      <c r="O627">
        <v>19645587</v>
      </c>
      <c r="P627" t="s">
        <v>32</v>
      </c>
      <c r="Q627" t="s">
        <v>76</v>
      </c>
      <c r="R627">
        <v>8192</v>
      </c>
      <c r="S627" t="s">
        <v>34</v>
      </c>
      <c r="T627" t="s">
        <v>35</v>
      </c>
      <c r="U627">
        <v>29.83</v>
      </c>
      <c r="V627" t="s">
        <v>36</v>
      </c>
      <c r="W627" s="1">
        <v>45500</v>
      </c>
      <c r="X627">
        <v>2025</v>
      </c>
    </row>
    <row r="628" spans="1:24" x14ac:dyDescent="0.25">
      <c r="A628" s="1">
        <v>45888</v>
      </c>
      <c r="B628" t="s">
        <v>2111</v>
      </c>
      <c r="C628" t="s">
        <v>2112</v>
      </c>
      <c r="E628" t="s">
        <v>2113</v>
      </c>
      <c r="F628" t="s">
        <v>27</v>
      </c>
      <c r="G628" t="s">
        <v>28</v>
      </c>
      <c r="H628" t="s">
        <v>127</v>
      </c>
      <c r="I628" t="s">
        <v>30</v>
      </c>
      <c r="J628" t="s">
        <v>128</v>
      </c>
      <c r="L628" s="1">
        <v>45870</v>
      </c>
      <c r="M628" s="1">
        <v>45292</v>
      </c>
      <c r="O628">
        <v>17886092</v>
      </c>
      <c r="P628" t="s">
        <v>32</v>
      </c>
      <c r="Q628" t="s">
        <v>102</v>
      </c>
      <c r="R628">
        <v>8192</v>
      </c>
      <c r="S628" t="s">
        <v>51</v>
      </c>
      <c r="T628" t="s">
        <v>35</v>
      </c>
      <c r="U628">
        <v>2.5</v>
      </c>
      <c r="V628" t="s">
        <v>36</v>
      </c>
      <c r="W628" s="1">
        <v>45225</v>
      </c>
      <c r="X628">
        <v>2025</v>
      </c>
    </row>
    <row r="629" spans="1:24" x14ac:dyDescent="0.25">
      <c r="A629" s="1">
        <v>45888</v>
      </c>
      <c r="B629" t="s">
        <v>2114</v>
      </c>
      <c r="C629" t="s">
        <v>2115</v>
      </c>
      <c r="E629" t="s">
        <v>2116</v>
      </c>
      <c r="F629" t="s">
        <v>27</v>
      </c>
      <c r="G629" t="s">
        <v>28</v>
      </c>
      <c r="H629" t="s">
        <v>29</v>
      </c>
      <c r="I629" t="s">
        <v>30</v>
      </c>
      <c r="J629" t="s">
        <v>2117</v>
      </c>
      <c r="L629" s="1">
        <v>45870</v>
      </c>
      <c r="M629" s="1">
        <v>45566</v>
      </c>
      <c r="O629">
        <v>8307933</v>
      </c>
      <c r="P629" t="s">
        <v>32</v>
      </c>
      <c r="Q629" t="s">
        <v>63</v>
      </c>
      <c r="R629">
        <v>8192</v>
      </c>
      <c r="S629" t="s">
        <v>34</v>
      </c>
      <c r="T629" t="s">
        <v>35</v>
      </c>
      <c r="U629">
        <v>33.17</v>
      </c>
      <c r="V629" t="s">
        <v>36</v>
      </c>
      <c r="W629" s="1">
        <v>45475</v>
      </c>
      <c r="X629">
        <v>2025</v>
      </c>
    </row>
    <row r="630" spans="1:24" x14ac:dyDescent="0.25">
      <c r="A630" s="1">
        <v>45888</v>
      </c>
      <c r="B630" t="s">
        <v>2118</v>
      </c>
      <c r="C630" t="s">
        <v>2119</v>
      </c>
      <c r="D630" t="s">
        <v>2120</v>
      </c>
      <c r="E630" t="s">
        <v>2121</v>
      </c>
      <c r="F630" t="s">
        <v>74</v>
      </c>
      <c r="G630" t="s">
        <v>28</v>
      </c>
      <c r="H630" t="s">
        <v>29</v>
      </c>
      <c r="I630" t="s">
        <v>890</v>
      </c>
      <c r="J630" t="s">
        <v>797</v>
      </c>
      <c r="L630" s="1">
        <v>45870</v>
      </c>
      <c r="M630" s="1">
        <v>44256</v>
      </c>
      <c r="O630">
        <v>9213293</v>
      </c>
      <c r="P630" t="s">
        <v>32</v>
      </c>
      <c r="Q630" t="s">
        <v>252</v>
      </c>
      <c r="R630">
        <v>8192</v>
      </c>
      <c r="S630" t="s">
        <v>34</v>
      </c>
      <c r="T630" t="s">
        <v>35</v>
      </c>
      <c r="U630">
        <v>29.83</v>
      </c>
      <c r="V630" t="s">
        <v>36</v>
      </c>
      <c r="W630" s="1">
        <v>45748</v>
      </c>
      <c r="X630">
        <v>2025</v>
      </c>
    </row>
    <row r="631" spans="1:24" x14ac:dyDescent="0.25">
      <c r="A631" s="1">
        <v>45888</v>
      </c>
      <c r="B631" t="s">
        <v>2122</v>
      </c>
      <c r="C631" t="s">
        <v>2123</v>
      </c>
      <c r="E631" t="s">
        <v>2124</v>
      </c>
      <c r="F631" t="s">
        <v>27</v>
      </c>
      <c r="G631" t="s">
        <v>28</v>
      </c>
      <c r="H631" t="s">
        <v>29</v>
      </c>
      <c r="I631" t="s">
        <v>40</v>
      </c>
      <c r="J631" t="s">
        <v>46</v>
      </c>
      <c r="L631" s="1">
        <v>45870</v>
      </c>
      <c r="M631" s="1">
        <v>44197</v>
      </c>
      <c r="O631">
        <v>19606009</v>
      </c>
      <c r="P631" t="s">
        <v>32</v>
      </c>
      <c r="Q631" t="s">
        <v>42</v>
      </c>
      <c r="R631">
        <v>8192</v>
      </c>
      <c r="S631" t="s">
        <v>34</v>
      </c>
      <c r="T631" t="s">
        <v>35</v>
      </c>
      <c r="U631">
        <v>1.25</v>
      </c>
      <c r="V631" t="s">
        <v>36</v>
      </c>
      <c r="W631" s="1">
        <v>45870</v>
      </c>
      <c r="X631">
        <v>2025</v>
      </c>
    </row>
    <row r="632" spans="1:24" x14ac:dyDescent="0.25">
      <c r="A632" s="1">
        <v>45888</v>
      </c>
      <c r="B632" t="s">
        <v>2125</v>
      </c>
      <c r="C632" t="s">
        <v>2126</v>
      </c>
      <c r="E632" t="s">
        <v>2127</v>
      </c>
      <c r="F632" t="s">
        <v>27</v>
      </c>
      <c r="G632" t="s">
        <v>28</v>
      </c>
      <c r="H632" t="s">
        <v>29</v>
      </c>
      <c r="I632" t="s">
        <v>40</v>
      </c>
      <c r="J632" t="s">
        <v>46</v>
      </c>
      <c r="L632" s="1">
        <v>45870</v>
      </c>
      <c r="M632" s="1">
        <v>43831</v>
      </c>
      <c r="O632">
        <v>19606009</v>
      </c>
      <c r="P632" t="s">
        <v>32</v>
      </c>
      <c r="Q632" t="s">
        <v>42</v>
      </c>
      <c r="R632">
        <v>8192</v>
      </c>
      <c r="S632" t="s">
        <v>34</v>
      </c>
      <c r="T632" t="s">
        <v>35</v>
      </c>
      <c r="U632">
        <v>1.25</v>
      </c>
      <c r="V632" t="s">
        <v>36</v>
      </c>
      <c r="W632" s="1">
        <v>45870</v>
      </c>
      <c r="X632">
        <v>2025</v>
      </c>
    </row>
    <row r="633" spans="1:24" x14ac:dyDescent="0.25">
      <c r="A633" s="1">
        <v>45888</v>
      </c>
      <c r="B633" t="s">
        <v>2128</v>
      </c>
      <c r="C633" t="s">
        <v>2129</v>
      </c>
      <c r="E633" t="s">
        <v>2130</v>
      </c>
      <c r="F633" t="s">
        <v>27</v>
      </c>
      <c r="G633" t="s">
        <v>28</v>
      </c>
      <c r="H633" t="s">
        <v>29</v>
      </c>
      <c r="I633" t="s">
        <v>30</v>
      </c>
      <c r="J633" t="s">
        <v>46</v>
      </c>
      <c r="L633" s="1">
        <v>45870</v>
      </c>
      <c r="M633" s="1">
        <v>44927</v>
      </c>
      <c r="O633">
        <v>19606009</v>
      </c>
      <c r="P633" t="s">
        <v>32</v>
      </c>
      <c r="Q633" t="s">
        <v>42</v>
      </c>
      <c r="R633">
        <v>8192</v>
      </c>
      <c r="S633" t="s">
        <v>34</v>
      </c>
      <c r="T633" t="s">
        <v>35</v>
      </c>
      <c r="U633">
        <v>1.25</v>
      </c>
      <c r="V633" t="s">
        <v>36</v>
      </c>
      <c r="W633" s="1">
        <v>45870</v>
      </c>
      <c r="X633">
        <v>2025</v>
      </c>
    </row>
    <row r="634" spans="1:24" x14ac:dyDescent="0.25">
      <c r="A634" s="1">
        <v>45888</v>
      </c>
      <c r="B634" t="s">
        <v>2131</v>
      </c>
      <c r="C634" t="s">
        <v>2132</v>
      </c>
      <c r="E634" t="s">
        <v>2133</v>
      </c>
      <c r="F634" t="s">
        <v>27</v>
      </c>
      <c r="G634" t="s">
        <v>28</v>
      </c>
      <c r="H634" t="s">
        <v>29</v>
      </c>
      <c r="I634" t="s">
        <v>30</v>
      </c>
      <c r="J634" t="s">
        <v>31</v>
      </c>
      <c r="L634" s="1">
        <v>45870</v>
      </c>
      <c r="M634" s="1">
        <v>44986</v>
      </c>
      <c r="O634">
        <v>19606009</v>
      </c>
      <c r="P634" t="s">
        <v>32</v>
      </c>
      <c r="Q634" t="s">
        <v>42</v>
      </c>
      <c r="R634">
        <v>8192</v>
      </c>
      <c r="S634" t="s">
        <v>34</v>
      </c>
      <c r="T634" t="s">
        <v>35</v>
      </c>
      <c r="U634">
        <v>1.25</v>
      </c>
      <c r="V634" t="s">
        <v>36</v>
      </c>
      <c r="W634" s="1">
        <v>45809</v>
      </c>
      <c r="X634">
        <v>2025</v>
      </c>
    </row>
    <row r="635" spans="1:24" x14ac:dyDescent="0.25">
      <c r="A635" s="1">
        <v>45888</v>
      </c>
      <c r="B635" t="s">
        <v>2134</v>
      </c>
      <c r="C635" t="s">
        <v>2135</v>
      </c>
      <c r="E635" t="s">
        <v>2136</v>
      </c>
      <c r="F635" t="s">
        <v>27</v>
      </c>
      <c r="G635" t="s">
        <v>28</v>
      </c>
      <c r="H635" t="s">
        <v>29</v>
      </c>
      <c r="I635" t="s">
        <v>30</v>
      </c>
      <c r="J635" t="s">
        <v>31</v>
      </c>
      <c r="L635" s="1">
        <v>45870</v>
      </c>
      <c r="M635" s="1">
        <v>44774</v>
      </c>
      <c r="O635">
        <v>19606009</v>
      </c>
      <c r="P635" t="s">
        <v>32</v>
      </c>
      <c r="Q635" t="s">
        <v>42</v>
      </c>
      <c r="R635">
        <v>8192</v>
      </c>
      <c r="S635" t="s">
        <v>34</v>
      </c>
      <c r="T635" t="s">
        <v>35</v>
      </c>
      <c r="U635">
        <v>1.25</v>
      </c>
      <c r="V635" t="s">
        <v>36</v>
      </c>
      <c r="W635" s="1">
        <v>45809</v>
      </c>
      <c r="X635">
        <v>2025</v>
      </c>
    </row>
    <row r="636" spans="1:24" x14ac:dyDescent="0.25">
      <c r="A636" s="1">
        <v>45888</v>
      </c>
      <c r="B636" t="s">
        <v>2137</v>
      </c>
      <c r="C636" t="s">
        <v>2138</v>
      </c>
      <c r="E636" t="s">
        <v>2139</v>
      </c>
      <c r="F636" t="s">
        <v>27</v>
      </c>
      <c r="G636" t="s">
        <v>28</v>
      </c>
      <c r="H636" t="s">
        <v>96</v>
      </c>
      <c r="J636" t="s">
        <v>613</v>
      </c>
      <c r="L636" s="1">
        <v>45870</v>
      </c>
      <c r="M636" s="1">
        <v>45627</v>
      </c>
      <c r="O636">
        <v>16509456</v>
      </c>
      <c r="P636" t="s">
        <v>32</v>
      </c>
      <c r="Q636" t="s">
        <v>107</v>
      </c>
      <c r="R636">
        <v>8192</v>
      </c>
      <c r="S636" t="s">
        <v>34</v>
      </c>
      <c r="T636" t="s">
        <v>35</v>
      </c>
      <c r="U636">
        <v>4.33</v>
      </c>
      <c r="V636" t="s">
        <v>36</v>
      </c>
      <c r="W636" s="1">
        <v>45610</v>
      </c>
      <c r="X636">
        <v>2025</v>
      </c>
    </row>
    <row r="637" spans="1:24" x14ac:dyDescent="0.25">
      <c r="A637" s="1">
        <v>45888</v>
      </c>
      <c r="B637" t="s">
        <v>2140</v>
      </c>
      <c r="C637" t="s">
        <v>2141</v>
      </c>
      <c r="E637" t="s">
        <v>2142</v>
      </c>
      <c r="F637" t="s">
        <v>95</v>
      </c>
      <c r="G637" t="s">
        <v>28</v>
      </c>
      <c r="H637" t="s">
        <v>96</v>
      </c>
      <c r="J637" t="s">
        <v>97</v>
      </c>
      <c r="L637" s="1">
        <v>45870</v>
      </c>
      <c r="M637" s="1">
        <v>45536</v>
      </c>
      <c r="O637">
        <v>16202925</v>
      </c>
      <c r="P637" t="s">
        <v>32</v>
      </c>
      <c r="Q637" t="s">
        <v>1288</v>
      </c>
      <c r="R637">
        <v>8192</v>
      </c>
      <c r="S637" t="s">
        <v>34</v>
      </c>
      <c r="T637" t="s">
        <v>35</v>
      </c>
      <c r="U637">
        <v>4.33</v>
      </c>
      <c r="V637" t="s">
        <v>36</v>
      </c>
      <c r="W637" s="1">
        <v>45502</v>
      </c>
      <c r="X637">
        <v>2025</v>
      </c>
    </row>
    <row r="638" spans="1:24" x14ac:dyDescent="0.25">
      <c r="A638" s="1">
        <v>45888</v>
      </c>
      <c r="B638" t="s">
        <v>2143</v>
      </c>
      <c r="C638" t="s">
        <v>2144</v>
      </c>
      <c r="E638" t="s">
        <v>2145</v>
      </c>
      <c r="F638" t="s">
        <v>74</v>
      </c>
      <c r="G638" t="s">
        <v>28</v>
      </c>
      <c r="H638" t="s">
        <v>29</v>
      </c>
      <c r="I638" t="s">
        <v>61</v>
      </c>
      <c r="J638" t="s">
        <v>797</v>
      </c>
      <c r="L638" s="1">
        <v>45870</v>
      </c>
      <c r="M638" s="1">
        <v>45017</v>
      </c>
      <c r="O638">
        <v>8307933</v>
      </c>
      <c r="P638" t="s">
        <v>32</v>
      </c>
      <c r="Q638" t="s">
        <v>63</v>
      </c>
      <c r="R638">
        <v>8192</v>
      </c>
      <c r="S638" t="s">
        <v>51</v>
      </c>
      <c r="T638" t="s">
        <v>35</v>
      </c>
      <c r="U638">
        <v>28.58</v>
      </c>
      <c r="V638" t="s">
        <v>36</v>
      </c>
      <c r="W638" s="1">
        <v>44999</v>
      </c>
      <c r="X638">
        <v>2025</v>
      </c>
    </row>
    <row r="639" spans="1:24" x14ac:dyDescent="0.25">
      <c r="A639" s="1">
        <v>45888</v>
      </c>
      <c r="B639" t="s">
        <v>2146</v>
      </c>
      <c r="C639" t="s">
        <v>2147</v>
      </c>
      <c r="E639" t="s">
        <v>2148</v>
      </c>
      <c r="F639" t="s">
        <v>27</v>
      </c>
      <c r="G639" t="s">
        <v>28</v>
      </c>
      <c r="H639" t="s">
        <v>29</v>
      </c>
      <c r="I639" t="s">
        <v>30</v>
      </c>
      <c r="J639" t="s">
        <v>31</v>
      </c>
      <c r="L639" s="1">
        <v>45870</v>
      </c>
      <c r="M639" s="1">
        <v>45566</v>
      </c>
      <c r="O639">
        <v>18710070</v>
      </c>
      <c r="P639" t="s">
        <v>32</v>
      </c>
      <c r="Q639" t="s">
        <v>293</v>
      </c>
      <c r="R639">
        <v>8192</v>
      </c>
      <c r="S639" t="s">
        <v>34</v>
      </c>
      <c r="T639" t="s">
        <v>35</v>
      </c>
      <c r="U639">
        <v>33.17</v>
      </c>
      <c r="V639" t="s">
        <v>36</v>
      </c>
      <c r="W639" s="1">
        <v>45526</v>
      </c>
      <c r="X639">
        <v>2025</v>
      </c>
    </row>
    <row r="640" spans="1:24" x14ac:dyDescent="0.25">
      <c r="A640" s="1">
        <v>45888</v>
      </c>
      <c r="B640" t="s">
        <v>2149</v>
      </c>
      <c r="C640" t="s">
        <v>2150</v>
      </c>
      <c r="E640" t="s">
        <v>2151</v>
      </c>
      <c r="F640" t="s">
        <v>27</v>
      </c>
      <c r="G640" t="s">
        <v>28</v>
      </c>
      <c r="H640" t="s">
        <v>29</v>
      </c>
      <c r="I640" t="s">
        <v>30</v>
      </c>
      <c r="J640" t="s">
        <v>31</v>
      </c>
      <c r="L640" s="1">
        <v>45870</v>
      </c>
      <c r="M640" s="1">
        <v>45566</v>
      </c>
      <c r="O640">
        <v>18710070</v>
      </c>
      <c r="P640" t="s">
        <v>32</v>
      </c>
      <c r="Q640" t="s">
        <v>293</v>
      </c>
      <c r="R640">
        <v>8192</v>
      </c>
      <c r="S640" t="s">
        <v>34</v>
      </c>
      <c r="T640" t="s">
        <v>35</v>
      </c>
      <c r="U640">
        <v>33.17</v>
      </c>
      <c r="V640" t="s">
        <v>36</v>
      </c>
      <c r="W640" s="1">
        <v>45526</v>
      </c>
      <c r="X640">
        <v>2025</v>
      </c>
    </row>
    <row r="641" spans="1:24" x14ac:dyDescent="0.25">
      <c r="A641" s="1">
        <v>45888</v>
      </c>
      <c r="B641" t="s">
        <v>2152</v>
      </c>
      <c r="C641" t="s">
        <v>2153</v>
      </c>
      <c r="E641" t="s">
        <v>2154</v>
      </c>
      <c r="F641" t="s">
        <v>27</v>
      </c>
      <c r="G641" t="s">
        <v>28</v>
      </c>
      <c r="H641" t="s">
        <v>29</v>
      </c>
      <c r="I641" t="s">
        <v>30</v>
      </c>
      <c r="J641" t="s">
        <v>330</v>
      </c>
      <c r="L641" s="1">
        <v>45870</v>
      </c>
      <c r="M641" s="1">
        <v>45292</v>
      </c>
      <c r="O641">
        <v>18657307</v>
      </c>
      <c r="P641" t="s">
        <v>247</v>
      </c>
      <c r="Q641" t="s">
        <v>331</v>
      </c>
      <c r="R641">
        <v>8192</v>
      </c>
      <c r="S641" t="s">
        <v>34</v>
      </c>
      <c r="T641" t="s">
        <v>35</v>
      </c>
      <c r="U641">
        <v>3.75</v>
      </c>
      <c r="V641" t="s">
        <v>36</v>
      </c>
      <c r="W641" s="1">
        <v>45627</v>
      </c>
      <c r="X641">
        <v>2025</v>
      </c>
    </row>
    <row r="642" spans="1:24" x14ac:dyDescent="0.25">
      <c r="A642" s="1">
        <v>45888</v>
      </c>
      <c r="B642" t="s">
        <v>2155</v>
      </c>
      <c r="C642" t="s">
        <v>2156</v>
      </c>
      <c r="E642" t="s">
        <v>2157</v>
      </c>
      <c r="F642" t="s">
        <v>1145</v>
      </c>
      <c r="G642" t="s">
        <v>28</v>
      </c>
      <c r="H642" t="s">
        <v>29</v>
      </c>
      <c r="I642" t="s">
        <v>61</v>
      </c>
      <c r="J642" t="s">
        <v>1931</v>
      </c>
      <c r="L642" s="1">
        <v>45870</v>
      </c>
      <c r="M642" s="1">
        <v>44986</v>
      </c>
      <c r="O642">
        <v>8307933</v>
      </c>
      <c r="P642" t="s">
        <v>32</v>
      </c>
      <c r="Q642" t="s">
        <v>63</v>
      </c>
      <c r="R642">
        <v>8192</v>
      </c>
      <c r="S642" t="s">
        <v>51</v>
      </c>
      <c r="T642" t="s">
        <v>35</v>
      </c>
      <c r="U642">
        <v>28.58</v>
      </c>
      <c r="V642" t="s">
        <v>36</v>
      </c>
      <c r="W642" s="1">
        <v>44970</v>
      </c>
      <c r="X642">
        <v>2025</v>
      </c>
    </row>
    <row r="643" spans="1:24" x14ac:dyDescent="0.25">
      <c r="A643" s="1">
        <v>45888</v>
      </c>
      <c r="B643" t="s">
        <v>2158</v>
      </c>
      <c r="C643" t="s">
        <v>2159</v>
      </c>
      <c r="E643" t="s">
        <v>2160</v>
      </c>
      <c r="F643" t="s">
        <v>27</v>
      </c>
      <c r="G643" t="s">
        <v>28</v>
      </c>
      <c r="H643" t="s">
        <v>29</v>
      </c>
      <c r="I643" t="s">
        <v>40</v>
      </c>
      <c r="J643" t="s">
        <v>46</v>
      </c>
      <c r="L643" s="1">
        <v>45870</v>
      </c>
      <c r="M643" s="1">
        <v>43831</v>
      </c>
      <c r="O643">
        <v>19606009</v>
      </c>
      <c r="P643" t="s">
        <v>32</v>
      </c>
      <c r="Q643" t="s">
        <v>42</v>
      </c>
      <c r="R643">
        <v>8192</v>
      </c>
      <c r="S643" t="s">
        <v>34</v>
      </c>
      <c r="T643" t="s">
        <v>35</v>
      </c>
      <c r="U643">
        <v>1.25</v>
      </c>
      <c r="V643" t="s">
        <v>36</v>
      </c>
      <c r="W643" s="1">
        <v>45839</v>
      </c>
      <c r="X643">
        <v>2025</v>
      </c>
    </row>
    <row r="644" spans="1:24" x14ac:dyDescent="0.25">
      <c r="A644" s="1">
        <v>45888</v>
      </c>
      <c r="B644" t="s">
        <v>2161</v>
      </c>
      <c r="C644" t="s">
        <v>2162</v>
      </c>
      <c r="E644" t="s">
        <v>2163</v>
      </c>
      <c r="F644" t="s">
        <v>27</v>
      </c>
      <c r="G644" t="s">
        <v>28</v>
      </c>
      <c r="H644" t="s">
        <v>29</v>
      </c>
      <c r="I644" t="s">
        <v>30</v>
      </c>
      <c r="J644" t="s">
        <v>497</v>
      </c>
      <c r="L644" s="1">
        <v>45870</v>
      </c>
      <c r="M644" s="1">
        <v>45261</v>
      </c>
      <c r="O644">
        <v>17425766</v>
      </c>
      <c r="P644" t="s">
        <v>32</v>
      </c>
      <c r="Q644" t="s">
        <v>56</v>
      </c>
      <c r="R644">
        <v>8192</v>
      </c>
      <c r="S644" t="s">
        <v>51</v>
      </c>
      <c r="T644" t="s">
        <v>35</v>
      </c>
      <c r="U644">
        <v>31.92</v>
      </c>
      <c r="V644" t="s">
        <v>36</v>
      </c>
      <c r="W644" s="1">
        <v>45256</v>
      </c>
      <c r="X644">
        <v>2025</v>
      </c>
    </row>
    <row r="645" spans="1:24" x14ac:dyDescent="0.25">
      <c r="A645" s="1">
        <v>45888</v>
      </c>
      <c r="B645" t="s">
        <v>2164</v>
      </c>
      <c r="C645" t="s">
        <v>2165</v>
      </c>
      <c r="E645" t="s">
        <v>2166</v>
      </c>
      <c r="F645" t="s">
        <v>74</v>
      </c>
      <c r="G645" t="s">
        <v>28</v>
      </c>
      <c r="H645" t="s">
        <v>29</v>
      </c>
      <c r="I645" t="s">
        <v>61</v>
      </c>
      <c r="J645" t="s">
        <v>75</v>
      </c>
      <c r="L645" s="1">
        <v>45870</v>
      </c>
      <c r="M645" s="1">
        <v>45627</v>
      </c>
      <c r="O645">
        <v>7146581</v>
      </c>
      <c r="P645" t="s">
        <v>32</v>
      </c>
      <c r="Q645" t="s">
        <v>259</v>
      </c>
      <c r="R645">
        <v>8192</v>
      </c>
      <c r="S645" t="s">
        <v>34</v>
      </c>
      <c r="T645" t="s">
        <v>35</v>
      </c>
      <c r="U645">
        <v>29.83</v>
      </c>
      <c r="V645" t="s">
        <v>36</v>
      </c>
      <c r="W645" s="1">
        <v>45622</v>
      </c>
      <c r="X645">
        <v>2025</v>
      </c>
    </row>
    <row r="646" spans="1:24" x14ac:dyDescent="0.25">
      <c r="A646" s="1">
        <v>45888</v>
      </c>
      <c r="B646" t="s">
        <v>2167</v>
      </c>
      <c r="C646" t="s">
        <v>2168</v>
      </c>
      <c r="E646" t="s">
        <v>2169</v>
      </c>
      <c r="F646" t="s">
        <v>74</v>
      </c>
      <c r="G646" t="s">
        <v>28</v>
      </c>
      <c r="H646" t="s">
        <v>29</v>
      </c>
      <c r="I646" t="s">
        <v>61</v>
      </c>
      <c r="J646" t="s">
        <v>75</v>
      </c>
      <c r="L646" s="1">
        <v>45870</v>
      </c>
      <c r="M646" s="1">
        <v>45627</v>
      </c>
      <c r="O646">
        <v>7146581</v>
      </c>
      <c r="P646" t="s">
        <v>32</v>
      </c>
      <c r="Q646" t="s">
        <v>259</v>
      </c>
      <c r="R646">
        <v>8192</v>
      </c>
      <c r="S646" t="s">
        <v>34</v>
      </c>
      <c r="T646" t="s">
        <v>35</v>
      </c>
      <c r="U646">
        <v>29.83</v>
      </c>
      <c r="V646" t="s">
        <v>36</v>
      </c>
      <c r="W646" s="1">
        <v>45622</v>
      </c>
      <c r="X646">
        <v>2025</v>
      </c>
    </row>
    <row r="647" spans="1:24" x14ac:dyDescent="0.25">
      <c r="A647" s="1">
        <v>45888</v>
      </c>
      <c r="B647" t="s">
        <v>2170</v>
      </c>
      <c r="C647" t="s">
        <v>2171</v>
      </c>
      <c r="E647" t="s">
        <v>2172</v>
      </c>
      <c r="F647" t="s">
        <v>27</v>
      </c>
      <c r="G647" t="s">
        <v>28</v>
      </c>
      <c r="H647" t="s">
        <v>29</v>
      </c>
      <c r="I647" t="s">
        <v>30</v>
      </c>
      <c r="J647" t="s">
        <v>46</v>
      </c>
      <c r="L647" s="1">
        <v>45870</v>
      </c>
      <c r="M647" s="1">
        <v>45383</v>
      </c>
      <c r="O647">
        <v>17886092</v>
      </c>
      <c r="P647" t="s">
        <v>32</v>
      </c>
      <c r="Q647" t="s">
        <v>102</v>
      </c>
      <c r="R647">
        <v>8192</v>
      </c>
      <c r="S647" t="s">
        <v>34</v>
      </c>
      <c r="T647" t="s">
        <v>35</v>
      </c>
      <c r="U647">
        <v>3.75</v>
      </c>
      <c r="V647" t="s">
        <v>36</v>
      </c>
      <c r="W647" s="1">
        <v>45363</v>
      </c>
      <c r="X647">
        <v>2025</v>
      </c>
    </row>
    <row r="648" spans="1:24" x14ac:dyDescent="0.25">
      <c r="A648" s="1">
        <v>45888</v>
      </c>
      <c r="B648" t="s">
        <v>2173</v>
      </c>
      <c r="C648" t="s">
        <v>2174</v>
      </c>
      <c r="D648" t="s">
        <v>2175</v>
      </c>
      <c r="E648" t="s">
        <v>2176</v>
      </c>
      <c r="F648" t="s">
        <v>27</v>
      </c>
      <c r="G648" t="s">
        <v>28</v>
      </c>
      <c r="H648" t="s">
        <v>29</v>
      </c>
      <c r="I648" t="s">
        <v>273</v>
      </c>
      <c r="J648" t="s">
        <v>46</v>
      </c>
      <c r="L648" s="1">
        <v>45870</v>
      </c>
      <c r="M648" s="1">
        <v>43466</v>
      </c>
      <c r="O648">
        <v>19606009</v>
      </c>
      <c r="P648" t="s">
        <v>32</v>
      </c>
      <c r="Q648" t="s">
        <v>42</v>
      </c>
      <c r="R648">
        <v>8192</v>
      </c>
      <c r="S648" t="s">
        <v>34</v>
      </c>
      <c r="T648" t="s">
        <v>35</v>
      </c>
      <c r="U648">
        <v>3.75</v>
      </c>
      <c r="V648" t="s">
        <v>36</v>
      </c>
      <c r="W648" s="1">
        <v>45352</v>
      </c>
      <c r="X648">
        <v>2025</v>
      </c>
    </row>
    <row r="649" spans="1:24" x14ac:dyDescent="0.25">
      <c r="A649" s="1">
        <v>45888</v>
      </c>
      <c r="B649" t="s">
        <v>2177</v>
      </c>
      <c r="C649" t="s">
        <v>2178</v>
      </c>
      <c r="E649" t="s">
        <v>2179</v>
      </c>
      <c r="F649" t="s">
        <v>27</v>
      </c>
      <c r="G649" t="s">
        <v>28</v>
      </c>
      <c r="H649" t="s">
        <v>29</v>
      </c>
      <c r="I649" t="s">
        <v>40</v>
      </c>
      <c r="J649" t="s">
        <v>46</v>
      </c>
      <c r="L649" s="1">
        <v>45870</v>
      </c>
      <c r="M649" s="1">
        <v>44197</v>
      </c>
      <c r="O649">
        <v>19606009</v>
      </c>
      <c r="P649" t="s">
        <v>32</v>
      </c>
      <c r="Q649" t="s">
        <v>42</v>
      </c>
      <c r="R649">
        <v>8192</v>
      </c>
      <c r="S649" t="s">
        <v>34</v>
      </c>
      <c r="T649" t="s">
        <v>35</v>
      </c>
      <c r="U649">
        <v>1.25</v>
      </c>
      <c r="V649" t="s">
        <v>36</v>
      </c>
      <c r="W649" s="1">
        <v>45839</v>
      </c>
      <c r="X649">
        <v>2025</v>
      </c>
    </row>
    <row r="650" spans="1:24" x14ac:dyDescent="0.25">
      <c r="A650" s="1">
        <v>45888</v>
      </c>
      <c r="B650" t="s">
        <v>2180</v>
      </c>
      <c r="C650" t="s">
        <v>2181</v>
      </c>
      <c r="E650" t="s">
        <v>2182</v>
      </c>
      <c r="F650" t="s">
        <v>27</v>
      </c>
      <c r="G650" t="s">
        <v>28</v>
      </c>
      <c r="H650" t="s">
        <v>29</v>
      </c>
      <c r="I650" t="s">
        <v>30</v>
      </c>
      <c r="J650" t="s">
        <v>31</v>
      </c>
      <c r="L650" s="1">
        <v>45870</v>
      </c>
      <c r="M650" s="1">
        <v>45323</v>
      </c>
      <c r="O650">
        <v>19606009</v>
      </c>
      <c r="P650" t="s">
        <v>32</v>
      </c>
      <c r="Q650" t="s">
        <v>42</v>
      </c>
      <c r="R650">
        <v>8192</v>
      </c>
      <c r="S650" t="s">
        <v>51</v>
      </c>
      <c r="T650" t="s">
        <v>35</v>
      </c>
      <c r="U650">
        <v>2.5</v>
      </c>
      <c r="V650" t="s">
        <v>36</v>
      </c>
      <c r="W650" s="1">
        <v>45316</v>
      </c>
      <c r="X650">
        <v>2025</v>
      </c>
    </row>
    <row r="651" spans="1:24" x14ac:dyDescent="0.25">
      <c r="A651" s="1">
        <v>45888</v>
      </c>
      <c r="B651" t="s">
        <v>2183</v>
      </c>
      <c r="C651" t="s">
        <v>2184</v>
      </c>
      <c r="E651" t="s">
        <v>2185</v>
      </c>
      <c r="F651" t="s">
        <v>27</v>
      </c>
      <c r="G651" t="s">
        <v>28</v>
      </c>
      <c r="H651" t="s">
        <v>29</v>
      </c>
      <c r="I651" t="s">
        <v>40</v>
      </c>
      <c r="J651" t="s">
        <v>46</v>
      </c>
      <c r="L651" s="1">
        <v>45870</v>
      </c>
      <c r="M651" s="1">
        <v>44287</v>
      </c>
      <c r="O651">
        <v>19606009</v>
      </c>
      <c r="P651" t="s">
        <v>32</v>
      </c>
      <c r="Q651" t="s">
        <v>42</v>
      </c>
      <c r="R651">
        <v>8192</v>
      </c>
      <c r="S651" t="s">
        <v>34</v>
      </c>
      <c r="T651" t="s">
        <v>35</v>
      </c>
      <c r="U651">
        <v>1.25</v>
      </c>
      <c r="V651" t="s">
        <v>36</v>
      </c>
      <c r="W651" s="1">
        <v>45839</v>
      </c>
      <c r="X651">
        <v>2025</v>
      </c>
    </row>
    <row r="652" spans="1:24" x14ac:dyDescent="0.25">
      <c r="A652" s="1">
        <v>45888</v>
      </c>
      <c r="B652" t="s">
        <v>2186</v>
      </c>
      <c r="C652" t="s">
        <v>2187</v>
      </c>
      <c r="E652" t="s">
        <v>2188</v>
      </c>
      <c r="F652" t="s">
        <v>27</v>
      </c>
      <c r="G652" t="s">
        <v>28</v>
      </c>
      <c r="H652" t="s">
        <v>29</v>
      </c>
      <c r="I652" t="s">
        <v>30</v>
      </c>
      <c r="J652" t="s">
        <v>50</v>
      </c>
      <c r="L652" s="1">
        <v>45870</v>
      </c>
      <c r="M652" s="1">
        <v>45658</v>
      </c>
      <c r="O652">
        <v>17886092</v>
      </c>
      <c r="P652" t="s">
        <v>32</v>
      </c>
      <c r="Q652" t="s">
        <v>102</v>
      </c>
      <c r="R652">
        <v>8192</v>
      </c>
      <c r="S652" t="s">
        <v>34</v>
      </c>
      <c r="T652" t="s">
        <v>35</v>
      </c>
      <c r="U652">
        <v>3.75</v>
      </c>
      <c r="V652" t="s">
        <v>36</v>
      </c>
      <c r="W652" s="1">
        <v>45352</v>
      </c>
      <c r="X652">
        <v>2025</v>
      </c>
    </row>
    <row r="653" spans="1:24" x14ac:dyDescent="0.25">
      <c r="A653" s="1">
        <v>45888</v>
      </c>
      <c r="B653" t="s">
        <v>2189</v>
      </c>
      <c r="C653" t="s">
        <v>2190</v>
      </c>
      <c r="E653" t="s">
        <v>2191</v>
      </c>
      <c r="F653" t="s">
        <v>27</v>
      </c>
      <c r="G653" t="s">
        <v>28</v>
      </c>
      <c r="H653" t="s">
        <v>29</v>
      </c>
      <c r="I653" t="s">
        <v>30</v>
      </c>
      <c r="J653" t="s">
        <v>46</v>
      </c>
      <c r="L653" s="1">
        <v>45870</v>
      </c>
      <c r="M653" s="1">
        <v>45292</v>
      </c>
      <c r="O653">
        <v>17886092</v>
      </c>
      <c r="P653" t="s">
        <v>32</v>
      </c>
      <c r="Q653" t="s">
        <v>102</v>
      </c>
      <c r="R653">
        <v>8192</v>
      </c>
      <c r="S653" t="s">
        <v>51</v>
      </c>
      <c r="T653" t="s">
        <v>35</v>
      </c>
      <c r="U653">
        <v>2.5</v>
      </c>
      <c r="V653" t="s">
        <v>36</v>
      </c>
      <c r="W653" s="1">
        <v>45214</v>
      </c>
      <c r="X653">
        <v>2025</v>
      </c>
    </row>
    <row r="654" spans="1:24" x14ac:dyDescent="0.25">
      <c r="A654" s="1">
        <v>45888</v>
      </c>
      <c r="B654" t="s">
        <v>2192</v>
      </c>
      <c r="C654" t="s">
        <v>2193</v>
      </c>
      <c r="E654" t="s">
        <v>2194</v>
      </c>
      <c r="F654" t="s">
        <v>27</v>
      </c>
      <c r="G654" t="s">
        <v>28</v>
      </c>
      <c r="H654" t="s">
        <v>29</v>
      </c>
      <c r="I654" t="s">
        <v>30</v>
      </c>
      <c r="J654" t="s">
        <v>46</v>
      </c>
      <c r="L654" s="1">
        <v>45870</v>
      </c>
      <c r="M654" s="1">
        <v>45292</v>
      </c>
      <c r="O654">
        <v>17886092</v>
      </c>
      <c r="P654" t="s">
        <v>32</v>
      </c>
      <c r="Q654" t="s">
        <v>102</v>
      </c>
      <c r="R654">
        <v>8192</v>
      </c>
      <c r="S654" t="s">
        <v>51</v>
      </c>
      <c r="T654" t="s">
        <v>35</v>
      </c>
      <c r="U654">
        <v>2.5</v>
      </c>
      <c r="V654" t="s">
        <v>36</v>
      </c>
      <c r="W654" s="1">
        <v>45214</v>
      </c>
      <c r="X654">
        <v>2025</v>
      </c>
    </row>
    <row r="655" spans="1:24" x14ac:dyDescent="0.25">
      <c r="A655" s="1">
        <v>45888</v>
      </c>
      <c r="B655" t="s">
        <v>2195</v>
      </c>
      <c r="C655" t="s">
        <v>2196</v>
      </c>
      <c r="E655" t="s">
        <v>2197</v>
      </c>
      <c r="F655" t="s">
        <v>27</v>
      </c>
      <c r="G655" t="s">
        <v>28</v>
      </c>
      <c r="H655" t="s">
        <v>29</v>
      </c>
      <c r="I655" t="s">
        <v>30</v>
      </c>
      <c r="J655" t="s">
        <v>31</v>
      </c>
      <c r="L655" s="1">
        <v>45870</v>
      </c>
      <c r="M655" s="1">
        <v>44835</v>
      </c>
      <c r="O655">
        <v>19606009</v>
      </c>
      <c r="P655" t="s">
        <v>32</v>
      </c>
      <c r="Q655" t="s">
        <v>42</v>
      </c>
      <c r="R655">
        <v>8192</v>
      </c>
      <c r="S655" t="s">
        <v>34</v>
      </c>
      <c r="T655" t="s">
        <v>35</v>
      </c>
      <c r="U655">
        <v>1.25</v>
      </c>
      <c r="V655" t="s">
        <v>36</v>
      </c>
      <c r="W655" s="1">
        <v>45839</v>
      </c>
      <c r="X655">
        <v>2025</v>
      </c>
    </row>
    <row r="656" spans="1:24" x14ac:dyDescent="0.25">
      <c r="A656" s="1">
        <v>45888</v>
      </c>
      <c r="B656" t="s">
        <v>2198</v>
      </c>
      <c r="C656" t="s">
        <v>2199</v>
      </c>
      <c r="E656" t="s">
        <v>2200</v>
      </c>
      <c r="F656" t="s">
        <v>27</v>
      </c>
      <c r="G656" t="s">
        <v>28</v>
      </c>
      <c r="H656" t="s">
        <v>29</v>
      </c>
      <c r="I656" t="s">
        <v>30</v>
      </c>
      <c r="J656" t="s">
        <v>31</v>
      </c>
      <c r="L656" s="1">
        <v>45870</v>
      </c>
      <c r="M656" s="1">
        <v>44835</v>
      </c>
      <c r="O656">
        <v>19606009</v>
      </c>
      <c r="P656" t="s">
        <v>32</v>
      </c>
      <c r="Q656" t="s">
        <v>42</v>
      </c>
      <c r="R656">
        <v>8192</v>
      </c>
      <c r="S656" t="s">
        <v>34</v>
      </c>
      <c r="T656" t="s">
        <v>35</v>
      </c>
      <c r="U656">
        <v>1.25</v>
      </c>
      <c r="V656" t="s">
        <v>36</v>
      </c>
      <c r="W656" s="1">
        <v>45839</v>
      </c>
      <c r="X656">
        <v>2025</v>
      </c>
    </row>
    <row r="657" spans="1:24" x14ac:dyDescent="0.25">
      <c r="A657" s="1">
        <v>45888</v>
      </c>
      <c r="B657" t="s">
        <v>2201</v>
      </c>
      <c r="C657" t="s">
        <v>2202</v>
      </c>
      <c r="E657" t="s">
        <v>2203</v>
      </c>
      <c r="F657" t="s">
        <v>27</v>
      </c>
      <c r="G657" t="s">
        <v>28</v>
      </c>
      <c r="H657" t="s">
        <v>29</v>
      </c>
      <c r="I657" t="s">
        <v>30</v>
      </c>
      <c r="J657" t="s">
        <v>46</v>
      </c>
      <c r="L657" s="1">
        <v>45870</v>
      </c>
      <c r="M657" s="1">
        <v>45261</v>
      </c>
      <c r="O657">
        <v>17886092</v>
      </c>
      <c r="P657" t="s">
        <v>32</v>
      </c>
      <c r="Q657" t="s">
        <v>102</v>
      </c>
      <c r="R657">
        <v>8192</v>
      </c>
      <c r="S657" t="s">
        <v>51</v>
      </c>
      <c r="T657" t="s">
        <v>35</v>
      </c>
      <c r="U657">
        <v>2.5</v>
      </c>
      <c r="V657" t="s">
        <v>36</v>
      </c>
      <c r="W657" s="1">
        <v>45250</v>
      </c>
      <c r="X657">
        <v>2025</v>
      </c>
    </row>
    <row r="658" spans="1:24" x14ac:dyDescent="0.25">
      <c r="A658" s="1">
        <v>45888</v>
      </c>
      <c r="B658" t="s">
        <v>2204</v>
      </c>
      <c r="C658" t="s">
        <v>2205</v>
      </c>
      <c r="E658" t="s">
        <v>2206</v>
      </c>
      <c r="F658" t="s">
        <v>27</v>
      </c>
      <c r="G658" t="s">
        <v>28</v>
      </c>
      <c r="H658" t="s">
        <v>29</v>
      </c>
      <c r="I658" t="s">
        <v>30</v>
      </c>
      <c r="J658" t="s">
        <v>46</v>
      </c>
      <c r="L658" s="1">
        <v>45870</v>
      </c>
      <c r="M658" s="1">
        <v>44652</v>
      </c>
      <c r="O658">
        <v>19606009</v>
      </c>
      <c r="P658" t="s">
        <v>32</v>
      </c>
      <c r="Q658" t="s">
        <v>42</v>
      </c>
      <c r="R658">
        <v>8192</v>
      </c>
      <c r="S658" t="s">
        <v>51</v>
      </c>
      <c r="T658" t="s">
        <v>35</v>
      </c>
      <c r="U658">
        <v>2.5</v>
      </c>
      <c r="V658" t="s">
        <v>36</v>
      </c>
      <c r="W658" s="1">
        <v>45231</v>
      </c>
      <c r="X658">
        <v>2025</v>
      </c>
    </row>
    <row r="659" spans="1:24" x14ac:dyDescent="0.25">
      <c r="A659" s="1">
        <v>45888</v>
      </c>
      <c r="B659" t="s">
        <v>2207</v>
      </c>
      <c r="C659" t="s">
        <v>2208</v>
      </c>
      <c r="E659" t="s">
        <v>2209</v>
      </c>
      <c r="F659" t="s">
        <v>27</v>
      </c>
      <c r="G659" t="s">
        <v>28</v>
      </c>
      <c r="H659" t="s">
        <v>29</v>
      </c>
      <c r="I659" t="s">
        <v>30</v>
      </c>
      <c r="J659" t="s">
        <v>46</v>
      </c>
      <c r="L659" s="1">
        <v>45870</v>
      </c>
      <c r="M659" s="1">
        <v>44562</v>
      </c>
      <c r="O659">
        <v>19606009</v>
      </c>
      <c r="P659" t="s">
        <v>32</v>
      </c>
      <c r="Q659" t="s">
        <v>42</v>
      </c>
      <c r="R659">
        <v>8192</v>
      </c>
      <c r="S659" t="s">
        <v>51</v>
      </c>
      <c r="T659" t="s">
        <v>35</v>
      </c>
      <c r="U659">
        <v>2.5</v>
      </c>
      <c r="V659" t="s">
        <v>36</v>
      </c>
      <c r="W659" s="1">
        <v>45231</v>
      </c>
      <c r="X659">
        <v>2025</v>
      </c>
    </row>
    <row r="660" spans="1:24" x14ac:dyDescent="0.25">
      <c r="A660" s="1">
        <v>45888</v>
      </c>
      <c r="B660" t="s">
        <v>2210</v>
      </c>
      <c r="C660" t="s">
        <v>2211</v>
      </c>
      <c r="E660" t="s">
        <v>2212</v>
      </c>
      <c r="F660" t="s">
        <v>27</v>
      </c>
      <c r="G660" t="s">
        <v>28</v>
      </c>
      <c r="H660" t="s">
        <v>29</v>
      </c>
      <c r="I660" t="s">
        <v>30</v>
      </c>
      <c r="J660" t="s">
        <v>46</v>
      </c>
      <c r="L660" s="1">
        <v>45870</v>
      </c>
      <c r="M660" s="1">
        <v>45323</v>
      </c>
      <c r="O660">
        <v>17886092</v>
      </c>
      <c r="P660" t="s">
        <v>32</v>
      </c>
      <c r="Q660" t="s">
        <v>102</v>
      </c>
      <c r="R660">
        <v>8192</v>
      </c>
      <c r="S660" t="s">
        <v>51</v>
      </c>
      <c r="T660" t="s">
        <v>35</v>
      </c>
      <c r="U660">
        <v>2.5</v>
      </c>
      <c r="V660" t="s">
        <v>36</v>
      </c>
      <c r="W660" s="1">
        <v>45307</v>
      </c>
      <c r="X660">
        <v>2025</v>
      </c>
    </row>
    <row r="661" spans="1:24" x14ac:dyDescent="0.25">
      <c r="A661" s="1">
        <v>45888</v>
      </c>
      <c r="B661" t="s">
        <v>2213</v>
      </c>
      <c r="C661" t="s">
        <v>2214</v>
      </c>
      <c r="E661" t="s">
        <v>2215</v>
      </c>
      <c r="F661" t="s">
        <v>27</v>
      </c>
      <c r="G661" t="s">
        <v>28</v>
      </c>
      <c r="H661" t="s">
        <v>29</v>
      </c>
      <c r="I661" t="s">
        <v>30</v>
      </c>
      <c r="J661" t="s">
        <v>46</v>
      </c>
      <c r="L661" s="1">
        <v>45870</v>
      </c>
      <c r="M661" s="1">
        <v>45536</v>
      </c>
      <c r="O661">
        <v>17886092</v>
      </c>
      <c r="P661" t="s">
        <v>32</v>
      </c>
      <c r="Q661" t="s">
        <v>102</v>
      </c>
      <c r="R661">
        <v>8192</v>
      </c>
      <c r="S661" t="s">
        <v>34</v>
      </c>
      <c r="T661" t="s">
        <v>35</v>
      </c>
      <c r="U661">
        <v>3.75</v>
      </c>
      <c r="V661" t="s">
        <v>36</v>
      </c>
      <c r="W661" s="1">
        <v>45509</v>
      </c>
      <c r="X661">
        <v>2025</v>
      </c>
    </row>
    <row r="662" spans="1:24" x14ac:dyDescent="0.25">
      <c r="A662" s="1">
        <v>45888</v>
      </c>
      <c r="B662" t="s">
        <v>2216</v>
      </c>
      <c r="C662" t="s">
        <v>2217</v>
      </c>
      <c r="E662" t="s">
        <v>2218</v>
      </c>
      <c r="F662" t="s">
        <v>27</v>
      </c>
      <c r="G662" t="s">
        <v>28</v>
      </c>
      <c r="H662" t="s">
        <v>29</v>
      </c>
      <c r="I662" t="s">
        <v>30</v>
      </c>
      <c r="J662" t="s">
        <v>50</v>
      </c>
      <c r="L662" s="1">
        <v>45870</v>
      </c>
      <c r="M662" s="1">
        <v>45658</v>
      </c>
      <c r="O662">
        <v>19606009</v>
      </c>
      <c r="P662" t="s">
        <v>32</v>
      </c>
      <c r="Q662" t="s">
        <v>42</v>
      </c>
      <c r="R662">
        <v>8192</v>
      </c>
      <c r="S662" t="s">
        <v>34</v>
      </c>
      <c r="T662" t="s">
        <v>35</v>
      </c>
      <c r="U662">
        <v>1.25</v>
      </c>
      <c r="V662" t="s">
        <v>36</v>
      </c>
      <c r="W662" s="1">
        <v>45839</v>
      </c>
      <c r="X662">
        <v>2025</v>
      </c>
    </row>
    <row r="663" spans="1:24" x14ac:dyDescent="0.25">
      <c r="A663" s="1">
        <v>45888</v>
      </c>
      <c r="B663" t="s">
        <v>2219</v>
      </c>
      <c r="C663" t="s">
        <v>2220</v>
      </c>
      <c r="E663" t="s">
        <v>2221</v>
      </c>
      <c r="F663" t="s">
        <v>27</v>
      </c>
      <c r="G663" t="s">
        <v>28</v>
      </c>
      <c r="H663" t="s">
        <v>29</v>
      </c>
      <c r="I663" t="s">
        <v>30</v>
      </c>
      <c r="J663" t="s">
        <v>46</v>
      </c>
      <c r="L663" s="1">
        <v>45870</v>
      </c>
      <c r="M663" s="1">
        <v>45566</v>
      </c>
      <c r="O663">
        <v>17886092</v>
      </c>
      <c r="P663" t="s">
        <v>32</v>
      </c>
      <c r="Q663" t="s">
        <v>102</v>
      </c>
      <c r="R663">
        <v>8192</v>
      </c>
      <c r="S663" t="s">
        <v>34</v>
      </c>
      <c r="T663" t="s">
        <v>35</v>
      </c>
      <c r="U663">
        <v>3.75</v>
      </c>
      <c r="V663" t="s">
        <v>36</v>
      </c>
      <c r="W663" s="1">
        <v>45523</v>
      </c>
      <c r="X663">
        <v>2025</v>
      </c>
    </row>
    <row r="664" spans="1:24" x14ac:dyDescent="0.25">
      <c r="A664" s="1">
        <v>45888</v>
      </c>
      <c r="B664" t="s">
        <v>2222</v>
      </c>
      <c r="C664" t="s">
        <v>2223</v>
      </c>
      <c r="E664" t="s">
        <v>2224</v>
      </c>
      <c r="F664" t="s">
        <v>27</v>
      </c>
      <c r="G664" t="s">
        <v>28</v>
      </c>
      <c r="H664" t="s">
        <v>29</v>
      </c>
      <c r="I664" t="s">
        <v>30</v>
      </c>
      <c r="J664" t="s">
        <v>46</v>
      </c>
      <c r="L664" s="1">
        <v>45870</v>
      </c>
      <c r="M664" s="1">
        <v>44652</v>
      </c>
      <c r="O664">
        <v>19606009</v>
      </c>
      <c r="P664" t="s">
        <v>32</v>
      </c>
      <c r="Q664" t="s">
        <v>42</v>
      </c>
      <c r="R664">
        <v>8192</v>
      </c>
      <c r="S664" t="s">
        <v>51</v>
      </c>
      <c r="T664" t="s">
        <v>35</v>
      </c>
      <c r="U664">
        <v>2.5</v>
      </c>
      <c r="V664" t="s">
        <v>36</v>
      </c>
      <c r="W664" s="1">
        <v>45231</v>
      </c>
      <c r="X664">
        <v>2025</v>
      </c>
    </row>
    <row r="665" spans="1:24" x14ac:dyDescent="0.25">
      <c r="A665" s="1">
        <v>45888</v>
      </c>
      <c r="B665" t="s">
        <v>2225</v>
      </c>
      <c r="C665" t="s">
        <v>2226</v>
      </c>
      <c r="E665" t="s">
        <v>2227</v>
      </c>
      <c r="F665" t="s">
        <v>27</v>
      </c>
      <c r="G665" t="s">
        <v>28</v>
      </c>
      <c r="H665" t="s">
        <v>29</v>
      </c>
      <c r="I665" t="s">
        <v>30</v>
      </c>
      <c r="J665" t="s">
        <v>50</v>
      </c>
      <c r="L665" s="1">
        <v>45870</v>
      </c>
      <c r="M665" s="1">
        <v>45658</v>
      </c>
      <c r="O665">
        <v>19606009</v>
      </c>
      <c r="P665" t="s">
        <v>32</v>
      </c>
      <c r="Q665" t="s">
        <v>42</v>
      </c>
      <c r="R665">
        <v>8192</v>
      </c>
      <c r="S665" t="s">
        <v>51</v>
      </c>
      <c r="T665" t="s">
        <v>35</v>
      </c>
      <c r="U665">
        <v>2.5</v>
      </c>
      <c r="V665" t="s">
        <v>36</v>
      </c>
      <c r="W665" s="1">
        <v>45231</v>
      </c>
      <c r="X665">
        <v>2025</v>
      </c>
    </row>
    <row r="666" spans="1:24" x14ac:dyDescent="0.25">
      <c r="A666" s="1">
        <v>45888</v>
      </c>
      <c r="B666" t="s">
        <v>2228</v>
      </c>
      <c r="C666" t="s">
        <v>2229</v>
      </c>
      <c r="E666" t="s">
        <v>2230</v>
      </c>
      <c r="F666" t="s">
        <v>74</v>
      </c>
      <c r="G666" t="s">
        <v>28</v>
      </c>
      <c r="H666" t="s">
        <v>29</v>
      </c>
      <c r="I666" t="s">
        <v>61</v>
      </c>
      <c r="J666" t="s">
        <v>75</v>
      </c>
      <c r="L666" s="1">
        <v>45870</v>
      </c>
      <c r="M666" s="1">
        <v>45292</v>
      </c>
      <c r="O666">
        <v>8307933</v>
      </c>
      <c r="P666" t="s">
        <v>32</v>
      </c>
      <c r="Q666" t="s">
        <v>63</v>
      </c>
      <c r="R666">
        <v>8192</v>
      </c>
      <c r="S666" t="s">
        <v>51</v>
      </c>
      <c r="T666" t="s">
        <v>35</v>
      </c>
      <c r="U666">
        <v>28.58</v>
      </c>
      <c r="V666" t="s">
        <v>36</v>
      </c>
      <c r="W666" s="1">
        <v>45228</v>
      </c>
      <c r="X666">
        <v>2025</v>
      </c>
    </row>
    <row r="667" spans="1:24" x14ac:dyDescent="0.25">
      <c r="A667" s="1">
        <v>45888</v>
      </c>
      <c r="B667" t="s">
        <v>2231</v>
      </c>
      <c r="C667" t="s">
        <v>2232</v>
      </c>
      <c r="E667" t="s">
        <v>2233</v>
      </c>
      <c r="F667" t="s">
        <v>89</v>
      </c>
      <c r="G667" t="s">
        <v>28</v>
      </c>
      <c r="H667" t="s">
        <v>29</v>
      </c>
      <c r="I667" t="s">
        <v>90</v>
      </c>
      <c r="J667" t="s">
        <v>347</v>
      </c>
      <c r="L667" s="1">
        <v>45870</v>
      </c>
      <c r="M667" s="1">
        <v>45292</v>
      </c>
      <c r="O667">
        <v>13496370</v>
      </c>
      <c r="P667" t="s">
        <v>32</v>
      </c>
      <c r="Q667" t="s">
        <v>840</v>
      </c>
      <c r="R667">
        <v>8192</v>
      </c>
      <c r="S667" t="s">
        <v>51</v>
      </c>
      <c r="T667" t="s">
        <v>35</v>
      </c>
      <c r="U667">
        <v>28.58</v>
      </c>
      <c r="V667" t="s">
        <v>36</v>
      </c>
      <c r="W667" s="1">
        <v>45223</v>
      </c>
      <c r="X667">
        <v>2025</v>
      </c>
    </row>
    <row r="668" spans="1:24" x14ac:dyDescent="0.25">
      <c r="A668" s="1">
        <v>45888</v>
      </c>
      <c r="B668" t="s">
        <v>2234</v>
      </c>
      <c r="C668" t="s">
        <v>2235</v>
      </c>
      <c r="E668" t="s">
        <v>2236</v>
      </c>
      <c r="F668" t="s">
        <v>27</v>
      </c>
      <c r="G668" t="s">
        <v>28</v>
      </c>
      <c r="H668" t="s">
        <v>29</v>
      </c>
      <c r="I668" t="s">
        <v>30</v>
      </c>
      <c r="J668" t="s">
        <v>31</v>
      </c>
      <c r="L668" s="1">
        <v>45870</v>
      </c>
      <c r="M668" s="1">
        <v>44562</v>
      </c>
      <c r="O668">
        <v>19606009</v>
      </c>
      <c r="P668" t="s">
        <v>32</v>
      </c>
      <c r="Q668" t="s">
        <v>42</v>
      </c>
      <c r="R668">
        <v>8192</v>
      </c>
      <c r="S668" t="s">
        <v>34</v>
      </c>
      <c r="T668" t="s">
        <v>35</v>
      </c>
      <c r="U668">
        <v>1.25</v>
      </c>
      <c r="V668" t="s">
        <v>36</v>
      </c>
      <c r="W668" s="1">
        <v>45839</v>
      </c>
      <c r="X668">
        <v>2025</v>
      </c>
    </row>
    <row r="669" spans="1:24" x14ac:dyDescent="0.25">
      <c r="A669" s="1">
        <v>45888</v>
      </c>
      <c r="B669" t="s">
        <v>2237</v>
      </c>
      <c r="C669" t="s">
        <v>2238</v>
      </c>
      <c r="E669" t="s">
        <v>2239</v>
      </c>
      <c r="F669" t="s">
        <v>27</v>
      </c>
      <c r="G669" t="s">
        <v>28</v>
      </c>
      <c r="H669" t="s">
        <v>29</v>
      </c>
      <c r="I669" t="s">
        <v>30</v>
      </c>
      <c r="J669" t="s">
        <v>50</v>
      </c>
      <c r="L669" s="1">
        <v>45870</v>
      </c>
      <c r="M669" s="1">
        <v>45536</v>
      </c>
      <c r="O669">
        <v>17886092</v>
      </c>
      <c r="P669" t="s">
        <v>32</v>
      </c>
      <c r="Q669" t="s">
        <v>102</v>
      </c>
      <c r="R669">
        <v>8192</v>
      </c>
      <c r="S669" t="s">
        <v>34</v>
      </c>
      <c r="T669" t="s">
        <v>35</v>
      </c>
      <c r="U669">
        <v>3.75</v>
      </c>
      <c r="V669" t="s">
        <v>36</v>
      </c>
      <c r="W669" s="1">
        <v>45460</v>
      </c>
      <c r="X669">
        <v>2025</v>
      </c>
    </row>
    <row r="670" spans="1:24" x14ac:dyDescent="0.25">
      <c r="A670" s="1">
        <v>45888</v>
      </c>
      <c r="B670" t="s">
        <v>2240</v>
      </c>
      <c r="C670" t="s">
        <v>2241</v>
      </c>
      <c r="E670" t="s">
        <v>2242</v>
      </c>
      <c r="F670" t="s">
        <v>95</v>
      </c>
      <c r="G670" t="s">
        <v>28</v>
      </c>
      <c r="H670" t="s">
        <v>96</v>
      </c>
      <c r="J670" t="s">
        <v>97</v>
      </c>
      <c r="L670" s="1">
        <v>45870</v>
      </c>
      <c r="M670" s="1">
        <v>45444</v>
      </c>
      <c r="O670">
        <v>9079571</v>
      </c>
      <c r="P670" t="s">
        <v>32</v>
      </c>
      <c r="Q670" t="s">
        <v>98</v>
      </c>
      <c r="R670">
        <v>8192</v>
      </c>
      <c r="S670" t="s">
        <v>34</v>
      </c>
      <c r="T670" t="s">
        <v>35</v>
      </c>
      <c r="U670">
        <v>4.33</v>
      </c>
      <c r="V670" t="s">
        <v>36</v>
      </c>
      <c r="W670" s="1">
        <v>45440</v>
      </c>
      <c r="X670">
        <v>2025</v>
      </c>
    </row>
    <row r="671" spans="1:24" x14ac:dyDescent="0.25">
      <c r="A671" s="1">
        <v>45888</v>
      </c>
      <c r="B671" t="s">
        <v>2243</v>
      </c>
      <c r="C671" t="s">
        <v>2244</v>
      </c>
      <c r="E671" t="s">
        <v>2245</v>
      </c>
      <c r="F671" t="s">
        <v>27</v>
      </c>
      <c r="G671" t="s">
        <v>28</v>
      </c>
      <c r="H671" t="s">
        <v>127</v>
      </c>
      <c r="I671" t="s">
        <v>30</v>
      </c>
      <c r="J671" t="s">
        <v>128</v>
      </c>
      <c r="L671" s="1">
        <v>45870</v>
      </c>
      <c r="M671" s="1">
        <v>45292</v>
      </c>
      <c r="O671">
        <v>17528908</v>
      </c>
      <c r="P671" t="s">
        <v>32</v>
      </c>
      <c r="Q671" t="s">
        <v>33</v>
      </c>
      <c r="R671">
        <v>8192</v>
      </c>
      <c r="S671" t="s">
        <v>51</v>
      </c>
      <c r="T671" t="s">
        <v>35</v>
      </c>
      <c r="U671">
        <v>31.92</v>
      </c>
      <c r="V671" t="s">
        <v>36</v>
      </c>
      <c r="W671" s="1">
        <v>45254</v>
      </c>
      <c r="X671">
        <v>2025</v>
      </c>
    </row>
    <row r="672" spans="1:24" x14ac:dyDescent="0.25">
      <c r="A672" s="1">
        <v>45888</v>
      </c>
      <c r="B672" t="s">
        <v>2246</v>
      </c>
      <c r="C672" t="s">
        <v>2247</v>
      </c>
      <c r="E672" t="s">
        <v>2248</v>
      </c>
      <c r="F672" t="s">
        <v>27</v>
      </c>
      <c r="G672" t="s">
        <v>28</v>
      </c>
      <c r="H672" t="s">
        <v>29</v>
      </c>
      <c r="I672" t="s">
        <v>30</v>
      </c>
      <c r="J672" t="s">
        <v>46</v>
      </c>
      <c r="L672" s="1">
        <v>45870</v>
      </c>
      <c r="M672" s="1">
        <v>44562</v>
      </c>
      <c r="O672">
        <v>19606009</v>
      </c>
      <c r="P672" t="s">
        <v>32</v>
      </c>
      <c r="Q672" t="s">
        <v>42</v>
      </c>
      <c r="R672">
        <v>8192</v>
      </c>
      <c r="S672" t="s">
        <v>34</v>
      </c>
      <c r="T672" t="s">
        <v>35</v>
      </c>
      <c r="U672">
        <v>1.25</v>
      </c>
      <c r="V672" t="s">
        <v>36</v>
      </c>
      <c r="W672" s="1">
        <v>45839</v>
      </c>
      <c r="X672">
        <v>2025</v>
      </c>
    </row>
    <row r="673" spans="1:24" x14ac:dyDescent="0.25">
      <c r="A673" s="1">
        <v>45888</v>
      </c>
      <c r="B673" t="s">
        <v>2249</v>
      </c>
      <c r="C673" t="s">
        <v>2250</v>
      </c>
      <c r="E673" t="s">
        <v>2251</v>
      </c>
      <c r="F673" t="s">
        <v>74</v>
      </c>
      <c r="G673" t="s">
        <v>28</v>
      </c>
      <c r="H673" t="s">
        <v>29</v>
      </c>
      <c r="I673" t="s">
        <v>61</v>
      </c>
      <c r="J673" t="s">
        <v>75</v>
      </c>
      <c r="L673" s="1">
        <v>45870</v>
      </c>
      <c r="M673" s="1">
        <v>45597</v>
      </c>
      <c r="O673">
        <v>19645587</v>
      </c>
      <c r="P673" t="s">
        <v>32</v>
      </c>
      <c r="Q673" t="s">
        <v>76</v>
      </c>
      <c r="R673">
        <v>8192</v>
      </c>
      <c r="S673" t="s">
        <v>34</v>
      </c>
      <c r="T673" t="s">
        <v>35</v>
      </c>
      <c r="U673">
        <v>29.83</v>
      </c>
      <c r="V673" t="s">
        <v>36</v>
      </c>
      <c r="W673" s="1">
        <v>45572</v>
      </c>
      <c r="X673">
        <v>2025</v>
      </c>
    </row>
    <row r="674" spans="1:24" x14ac:dyDescent="0.25">
      <c r="A674" s="1">
        <v>45888</v>
      </c>
      <c r="B674" t="s">
        <v>2252</v>
      </c>
      <c r="C674" t="s">
        <v>2253</v>
      </c>
      <c r="E674" t="s">
        <v>2254</v>
      </c>
      <c r="F674" t="s">
        <v>1319</v>
      </c>
      <c r="G674" t="s">
        <v>402</v>
      </c>
      <c r="H674" t="s">
        <v>29</v>
      </c>
      <c r="I674" t="s">
        <v>445</v>
      </c>
      <c r="J674" t="s">
        <v>2255</v>
      </c>
      <c r="L674" s="1">
        <v>45901</v>
      </c>
      <c r="M674" s="1">
        <v>45901</v>
      </c>
      <c r="O674">
        <v>8814784</v>
      </c>
      <c r="P674" t="s">
        <v>32</v>
      </c>
      <c r="Q674" t="s">
        <v>2256</v>
      </c>
      <c r="R674">
        <v>8192</v>
      </c>
      <c r="S674" t="s">
        <v>34</v>
      </c>
      <c r="T674" t="s">
        <v>35</v>
      </c>
      <c r="U674">
        <v>146</v>
      </c>
      <c r="V674" t="s">
        <v>36</v>
      </c>
      <c r="W674" s="1">
        <v>45874</v>
      </c>
      <c r="X674">
        <v>2025</v>
      </c>
    </row>
    <row r="675" spans="1:24" x14ac:dyDescent="0.25">
      <c r="A675" s="1">
        <v>45888</v>
      </c>
      <c r="B675" t="s">
        <v>2257</v>
      </c>
      <c r="C675" t="s">
        <v>2258</v>
      </c>
      <c r="E675" t="s">
        <v>2259</v>
      </c>
      <c r="F675" t="s">
        <v>1319</v>
      </c>
      <c r="G675" t="s">
        <v>402</v>
      </c>
      <c r="H675" t="s">
        <v>29</v>
      </c>
      <c r="I675" t="s">
        <v>445</v>
      </c>
      <c r="J675" t="s">
        <v>2255</v>
      </c>
      <c r="L675" s="1">
        <v>45901</v>
      </c>
      <c r="M675" s="1">
        <v>45901</v>
      </c>
      <c r="O675">
        <v>8814784</v>
      </c>
      <c r="P675" t="s">
        <v>32</v>
      </c>
      <c r="Q675" t="s">
        <v>2256</v>
      </c>
      <c r="R675">
        <v>8192</v>
      </c>
      <c r="S675" t="s">
        <v>34</v>
      </c>
      <c r="T675" t="s">
        <v>35</v>
      </c>
      <c r="U675">
        <v>146</v>
      </c>
      <c r="V675" t="s">
        <v>36</v>
      </c>
      <c r="W675" s="1">
        <v>45874</v>
      </c>
      <c r="X675">
        <v>2025</v>
      </c>
    </row>
    <row r="676" spans="1:24" x14ac:dyDescent="0.25">
      <c r="A676" s="1">
        <v>45888</v>
      </c>
      <c r="B676" t="s">
        <v>2260</v>
      </c>
      <c r="C676" t="s">
        <v>2261</v>
      </c>
      <c r="E676" t="s">
        <v>2262</v>
      </c>
      <c r="F676" t="s">
        <v>27</v>
      </c>
      <c r="G676" t="s">
        <v>28</v>
      </c>
      <c r="H676" t="s">
        <v>29</v>
      </c>
      <c r="I676" t="s">
        <v>30</v>
      </c>
      <c r="J676" t="s">
        <v>70</v>
      </c>
      <c r="L676" s="1">
        <v>45870</v>
      </c>
      <c r="M676" s="1">
        <v>45627</v>
      </c>
      <c r="O676">
        <v>17886092</v>
      </c>
      <c r="P676" t="s">
        <v>32</v>
      </c>
      <c r="Q676" t="s">
        <v>102</v>
      </c>
      <c r="R676">
        <v>8192</v>
      </c>
      <c r="S676" t="s">
        <v>34</v>
      </c>
      <c r="T676" t="s">
        <v>35</v>
      </c>
      <c r="U676">
        <v>1.25</v>
      </c>
      <c r="V676" t="s">
        <v>36</v>
      </c>
      <c r="W676" s="1">
        <v>45615</v>
      </c>
      <c r="X676">
        <v>2025</v>
      </c>
    </row>
    <row r="677" spans="1:24" x14ac:dyDescent="0.25">
      <c r="A677" s="1">
        <v>45888</v>
      </c>
      <c r="B677" t="s">
        <v>2263</v>
      </c>
      <c r="C677" t="s">
        <v>2264</v>
      </c>
      <c r="E677" t="s">
        <v>2265</v>
      </c>
      <c r="F677" t="s">
        <v>27</v>
      </c>
      <c r="G677" t="s">
        <v>28</v>
      </c>
      <c r="H677" t="s">
        <v>29</v>
      </c>
      <c r="I677" t="s">
        <v>30</v>
      </c>
      <c r="J677" t="s">
        <v>46</v>
      </c>
      <c r="L677" s="1">
        <v>45870</v>
      </c>
      <c r="M677" s="1">
        <v>44805</v>
      </c>
      <c r="O677">
        <v>19606009</v>
      </c>
      <c r="P677" t="s">
        <v>32</v>
      </c>
      <c r="Q677" t="s">
        <v>42</v>
      </c>
      <c r="R677">
        <v>8192</v>
      </c>
      <c r="S677" t="s">
        <v>34</v>
      </c>
      <c r="T677" t="s">
        <v>35</v>
      </c>
      <c r="U677">
        <v>1.25</v>
      </c>
      <c r="V677" t="s">
        <v>36</v>
      </c>
      <c r="W677" s="1">
        <v>45839</v>
      </c>
      <c r="X677">
        <v>2025</v>
      </c>
    </row>
    <row r="678" spans="1:24" x14ac:dyDescent="0.25">
      <c r="A678" s="1">
        <v>45888</v>
      </c>
      <c r="B678" t="s">
        <v>2266</v>
      </c>
      <c r="C678" t="s">
        <v>2267</v>
      </c>
      <c r="E678" t="s">
        <v>2268</v>
      </c>
      <c r="F678" t="s">
        <v>27</v>
      </c>
      <c r="G678" t="s">
        <v>28</v>
      </c>
      <c r="H678" t="s">
        <v>29</v>
      </c>
      <c r="I678" t="s">
        <v>30</v>
      </c>
      <c r="J678" t="s">
        <v>2269</v>
      </c>
      <c r="L678" s="1">
        <v>45870</v>
      </c>
      <c r="M678" s="1">
        <v>45292</v>
      </c>
      <c r="O678">
        <v>17425766</v>
      </c>
      <c r="P678" t="s">
        <v>32</v>
      </c>
      <c r="Q678" t="s">
        <v>56</v>
      </c>
      <c r="R678">
        <v>8192</v>
      </c>
      <c r="S678" t="s">
        <v>51</v>
      </c>
      <c r="T678" t="s">
        <v>35</v>
      </c>
      <c r="U678">
        <v>31.92</v>
      </c>
      <c r="V678" t="s">
        <v>36</v>
      </c>
      <c r="W678" s="1">
        <v>45240</v>
      </c>
      <c r="X678">
        <v>2025</v>
      </c>
    </row>
    <row r="679" spans="1:24" x14ac:dyDescent="0.25">
      <c r="A679" s="1">
        <v>45888</v>
      </c>
      <c r="B679" t="s">
        <v>2270</v>
      </c>
      <c r="C679" t="s">
        <v>2271</v>
      </c>
      <c r="E679" t="s">
        <v>2272</v>
      </c>
      <c r="F679" t="s">
        <v>27</v>
      </c>
      <c r="G679" t="s">
        <v>28</v>
      </c>
      <c r="H679" t="s">
        <v>29</v>
      </c>
      <c r="I679" t="s">
        <v>30</v>
      </c>
      <c r="J679" t="s">
        <v>31</v>
      </c>
      <c r="L679" s="1">
        <v>45870</v>
      </c>
      <c r="M679" s="1">
        <v>45292</v>
      </c>
      <c r="O679">
        <v>17886092</v>
      </c>
      <c r="P679" t="s">
        <v>32</v>
      </c>
      <c r="Q679" t="s">
        <v>102</v>
      </c>
      <c r="R679">
        <v>8192</v>
      </c>
      <c r="S679" t="s">
        <v>51</v>
      </c>
      <c r="T679" t="s">
        <v>35</v>
      </c>
      <c r="U679">
        <v>2.5</v>
      </c>
      <c r="V679" t="s">
        <v>36</v>
      </c>
      <c r="W679" s="1">
        <v>45267</v>
      </c>
      <c r="X679">
        <v>2025</v>
      </c>
    </row>
    <row r="680" spans="1:24" x14ac:dyDescent="0.25">
      <c r="A680" s="1">
        <v>45888</v>
      </c>
      <c r="B680" t="s">
        <v>2273</v>
      </c>
      <c r="C680" t="s">
        <v>2274</v>
      </c>
      <c r="E680" t="s">
        <v>2275</v>
      </c>
      <c r="F680" t="s">
        <v>2276</v>
      </c>
      <c r="G680" t="s">
        <v>28</v>
      </c>
      <c r="H680" t="s">
        <v>29</v>
      </c>
      <c r="I680" t="s">
        <v>760</v>
      </c>
      <c r="J680" t="s">
        <v>2277</v>
      </c>
      <c r="L680" s="1">
        <v>45870</v>
      </c>
      <c r="M680" s="1">
        <v>45474</v>
      </c>
      <c r="O680">
        <v>2158366</v>
      </c>
      <c r="P680" t="s">
        <v>32</v>
      </c>
      <c r="Q680" t="s">
        <v>326</v>
      </c>
      <c r="R680">
        <v>8192</v>
      </c>
      <c r="S680" t="s">
        <v>34</v>
      </c>
      <c r="T680" t="s">
        <v>35</v>
      </c>
      <c r="U680">
        <v>29.83</v>
      </c>
      <c r="V680" t="s">
        <v>36</v>
      </c>
      <c r="W680" s="1">
        <v>45469</v>
      </c>
      <c r="X680">
        <v>2025</v>
      </c>
    </row>
    <row r="681" spans="1:24" x14ac:dyDescent="0.25">
      <c r="A681" s="1">
        <v>45888</v>
      </c>
      <c r="B681" t="s">
        <v>2278</v>
      </c>
      <c r="C681" t="s">
        <v>2279</v>
      </c>
      <c r="E681" t="s">
        <v>2280</v>
      </c>
      <c r="F681" t="s">
        <v>74</v>
      </c>
      <c r="G681" t="s">
        <v>28</v>
      </c>
      <c r="H681" t="s">
        <v>29</v>
      </c>
      <c r="I681" t="s">
        <v>61</v>
      </c>
      <c r="J681" t="s">
        <v>75</v>
      </c>
      <c r="L681" s="1">
        <v>45870</v>
      </c>
      <c r="M681" s="1">
        <v>45292</v>
      </c>
      <c r="O681">
        <v>9213293</v>
      </c>
      <c r="P681" t="s">
        <v>32</v>
      </c>
      <c r="Q681" t="s">
        <v>252</v>
      </c>
      <c r="R681">
        <v>8192</v>
      </c>
      <c r="S681" t="s">
        <v>34</v>
      </c>
      <c r="T681" t="s">
        <v>35</v>
      </c>
      <c r="U681">
        <v>29.83</v>
      </c>
      <c r="V681" t="s">
        <v>36</v>
      </c>
      <c r="W681" s="1">
        <v>45658</v>
      </c>
      <c r="X681">
        <v>2025</v>
      </c>
    </row>
    <row r="682" spans="1:24" x14ac:dyDescent="0.25">
      <c r="A682" s="1">
        <v>45888</v>
      </c>
      <c r="B682" t="s">
        <v>2281</v>
      </c>
      <c r="C682" t="s">
        <v>2282</v>
      </c>
      <c r="E682" t="s">
        <v>2283</v>
      </c>
      <c r="F682" t="s">
        <v>27</v>
      </c>
      <c r="G682" t="s">
        <v>28</v>
      </c>
      <c r="H682" t="s">
        <v>29</v>
      </c>
      <c r="I682" t="s">
        <v>30</v>
      </c>
      <c r="J682" t="s">
        <v>330</v>
      </c>
      <c r="L682" s="1">
        <v>45870</v>
      </c>
      <c r="M682" s="1">
        <v>45323</v>
      </c>
      <c r="O682">
        <v>14936854</v>
      </c>
      <c r="P682" t="s">
        <v>247</v>
      </c>
      <c r="Q682" t="s">
        <v>248</v>
      </c>
      <c r="R682">
        <v>8192</v>
      </c>
      <c r="S682" t="s">
        <v>51</v>
      </c>
      <c r="T682" t="s">
        <v>35</v>
      </c>
      <c r="U682">
        <v>2.5</v>
      </c>
      <c r="V682" t="s">
        <v>36</v>
      </c>
      <c r="W682" s="1">
        <v>45296</v>
      </c>
      <c r="X682">
        <v>2025</v>
      </c>
    </row>
    <row r="683" spans="1:24" x14ac:dyDescent="0.25">
      <c r="A683" s="1">
        <v>45888</v>
      </c>
      <c r="B683" t="s">
        <v>2284</v>
      </c>
      <c r="C683" t="s">
        <v>2285</v>
      </c>
      <c r="E683" t="s">
        <v>2286</v>
      </c>
      <c r="F683" t="s">
        <v>27</v>
      </c>
      <c r="G683" t="s">
        <v>28</v>
      </c>
      <c r="H683" t="s">
        <v>29</v>
      </c>
      <c r="I683" t="s">
        <v>30</v>
      </c>
      <c r="J683" t="s">
        <v>330</v>
      </c>
      <c r="L683" s="1">
        <v>45870</v>
      </c>
      <c r="M683" s="1">
        <v>45292</v>
      </c>
      <c r="O683">
        <v>14936854</v>
      </c>
      <c r="P683" t="s">
        <v>247</v>
      </c>
      <c r="Q683" t="s">
        <v>248</v>
      </c>
      <c r="R683">
        <v>8192</v>
      </c>
      <c r="S683" t="s">
        <v>51</v>
      </c>
      <c r="T683" t="s">
        <v>35</v>
      </c>
      <c r="U683">
        <v>2.5</v>
      </c>
      <c r="V683" t="s">
        <v>36</v>
      </c>
      <c r="W683" s="1">
        <v>45280</v>
      </c>
      <c r="X683">
        <v>2025</v>
      </c>
    </row>
    <row r="684" spans="1:24" x14ac:dyDescent="0.25">
      <c r="A684" s="1">
        <v>45888</v>
      </c>
      <c r="B684" t="s">
        <v>2287</v>
      </c>
      <c r="C684" t="s">
        <v>2288</v>
      </c>
      <c r="E684" t="s">
        <v>2289</v>
      </c>
      <c r="F684" t="s">
        <v>1145</v>
      </c>
      <c r="G684" t="s">
        <v>28</v>
      </c>
      <c r="H684" t="s">
        <v>29</v>
      </c>
      <c r="I684" t="s">
        <v>61</v>
      </c>
      <c r="J684" t="s">
        <v>1931</v>
      </c>
      <c r="L684" s="1">
        <v>45870</v>
      </c>
      <c r="M684" s="1">
        <v>45627</v>
      </c>
      <c r="O684">
        <v>18581063</v>
      </c>
      <c r="P684" t="s">
        <v>32</v>
      </c>
      <c r="Q684" t="s">
        <v>1932</v>
      </c>
      <c r="R684">
        <v>8192</v>
      </c>
      <c r="S684" t="s">
        <v>34</v>
      </c>
      <c r="T684" t="s">
        <v>35</v>
      </c>
      <c r="U684">
        <v>29.83</v>
      </c>
      <c r="V684" t="s">
        <v>36</v>
      </c>
      <c r="W684" s="1">
        <v>45600</v>
      </c>
      <c r="X684">
        <v>2025</v>
      </c>
    </row>
    <row r="685" spans="1:24" x14ac:dyDescent="0.25">
      <c r="A685" s="1">
        <v>45888</v>
      </c>
      <c r="B685" t="s">
        <v>2290</v>
      </c>
      <c r="C685" t="s">
        <v>2291</v>
      </c>
      <c r="E685" t="s">
        <v>2292</v>
      </c>
      <c r="F685" t="s">
        <v>27</v>
      </c>
      <c r="G685" t="s">
        <v>28</v>
      </c>
      <c r="H685" t="s">
        <v>29</v>
      </c>
      <c r="I685" t="s">
        <v>30</v>
      </c>
      <c r="J685" t="s">
        <v>31</v>
      </c>
      <c r="L685" s="1">
        <v>45870</v>
      </c>
      <c r="M685" s="1">
        <v>45292</v>
      </c>
      <c r="O685">
        <v>17886092</v>
      </c>
      <c r="P685" t="s">
        <v>32</v>
      </c>
      <c r="Q685" t="s">
        <v>102</v>
      </c>
      <c r="R685">
        <v>8192</v>
      </c>
      <c r="S685" t="s">
        <v>51</v>
      </c>
      <c r="T685" t="s">
        <v>35</v>
      </c>
      <c r="U685">
        <v>2.5</v>
      </c>
      <c r="V685" t="s">
        <v>36</v>
      </c>
      <c r="W685" s="1">
        <v>45232</v>
      </c>
      <c r="X685">
        <v>2025</v>
      </c>
    </row>
    <row r="686" spans="1:24" x14ac:dyDescent="0.25">
      <c r="A686" s="1">
        <v>45888</v>
      </c>
      <c r="B686" t="s">
        <v>2293</v>
      </c>
      <c r="C686" t="s">
        <v>2294</v>
      </c>
      <c r="E686" t="s">
        <v>2295</v>
      </c>
      <c r="F686" t="s">
        <v>27</v>
      </c>
      <c r="G686" t="s">
        <v>28</v>
      </c>
      <c r="H686" t="s">
        <v>29</v>
      </c>
      <c r="I686" t="s">
        <v>30</v>
      </c>
      <c r="J686" t="s">
        <v>46</v>
      </c>
      <c r="L686" s="1">
        <v>45870</v>
      </c>
      <c r="M686" s="1">
        <v>45292</v>
      </c>
      <c r="O686">
        <v>17886092</v>
      </c>
      <c r="P686" t="s">
        <v>32</v>
      </c>
      <c r="Q686" t="s">
        <v>102</v>
      </c>
      <c r="R686">
        <v>8192</v>
      </c>
      <c r="S686" t="s">
        <v>51</v>
      </c>
      <c r="T686" t="s">
        <v>35</v>
      </c>
      <c r="U686">
        <v>2.5</v>
      </c>
      <c r="V686" t="s">
        <v>36</v>
      </c>
      <c r="W686" s="1">
        <v>45258</v>
      </c>
      <c r="X686">
        <v>2025</v>
      </c>
    </row>
    <row r="687" spans="1:24" x14ac:dyDescent="0.25">
      <c r="A687" s="1">
        <v>45888</v>
      </c>
      <c r="B687" t="s">
        <v>2296</v>
      </c>
      <c r="C687" t="s">
        <v>2297</v>
      </c>
      <c r="E687" t="s">
        <v>2298</v>
      </c>
      <c r="F687" t="s">
        <v>27</v>
      </c>
      <c r="G687" t="s">
        <v>28</v>
      </c>
      <c r="H687" t="s">
        <v>29</v>
      </c>
      <c r="I687" t="s">
        <v>30</v>
      </c>
      <c r="J687" t="s">
        <v>31</v>
      </c>
      <c r="L687" s="1">
        <v>45870</v>
      </c>
      <c r="M687" s="1">
        <v>45261</v>
      </c>
      <c r="O687">
        <v>17528908</v>
      </c>
      <c r="P687" t="s">
        <v>32</v>
      </c>
      <c r="Q687" t="s">
        <v>33</v>
      </c>
      <c r="R687">
        <v>8192</v>
      </c>
      <c r="S687" t="s">
        <v>51</v>
      </c>
      <c r="T687" t="s">
        <v>35</v>
      </c>
      <c r="U687">
        <v>31.92</v>
      </c>
      <c r="V687" t="s">
        <v>36</v>
      </c>
      <c r="W687" s="1">
        <v>45246</v>
      </c>
      <c r="X687">
        <v>2025</v>
      </c>
    </row>
    <row r="688" spans="1:24" x14ac:dyDescent="0.25">
      <c r="A688" s="1">
        <v>45888</v>
      </c>
      <c r="B688" t="s">
        <v>2299</v>
      </c>
      <c r="C688" t="s">
        <v>2300</v>
      </c>
      <c r="E688" t="s">
        <v>2301</v>
      </c>
      <c r="F688" t="s">
        <v>27</v>
      </c>
      <c r="G688" t="s">
        <v>28</v>
      </c>
      <c r="H688" t="s">
        <v>127</v>
      </c>
      <c r="I688" t="s">
        <v>30</v>
      </c>
      <c r="J688" t="s">
        <v>128</v>
      </c>
      <c r="L688" s="1">
        <v>45870</v>
      </c>
      <c r="M688" s="1">
        <v>45352</v>
      </c>
      <c r="O688">
        <v>17886092</v>
      </c>
      <c r="P688" t="s">
        <v>32</v>
      </c>
      <c r="Q688" t="s">
        <v>102</v>
      </c>
      <c r="R688">
        <v>8192</v>
      </c>
      <c r="S688" t="s">
        <v>34</v>
      </c>
      <c r="T688" t="s">
        <v>35</v>
      </c>
      <c r="U688">
        <v>3.75</v>
      </c>
      <c r="V688" t="s">
        <v>36</v>
      </c>
      <c r="W688" s="1">
        <v>45344</v>
      </c>
      <c r="X688">
        <v>2025</v>
      </c>
    </row>
    <row r="689" spans="1:24" x14ac:dyDescent="0.25">
      <c r="A689" s="1">
        <v>45888</v>
      </c>
      <c r="B689" t="s">
        <v>2302</v>
      </c>
      <c r="C689" t="s">
        <v>2303</v>
      </c>
      <c r="E689" t="s">
        <v>2304</v>
      </c>
      <c r="F689" t="s">
        <v>346</v>
      </c>
      <c r="G689" t="s">
        <v>28</v>
      </c>
      <c r="H689" t="s">
        <v>29</v>
      </c>
      <c r="I689" t="s">
        <v>90</v>
      </c>
      <c r="J689" t="s">
        <v>2305</v>
      </c>
      <c r="L689" s="1">
        <v>45870</v>
      </c>
      <c r="M689" s="1">
        <v>45200</v>
      </c>
      <c r="O689">
        <v>8307933</v>
      </c>
      <c r="P689" t="s">
        <v>32</v>
      </c>
      <c r="Q689" t="s">
        <v>63</v>
      </c>
      <c r="R689">
        <v>8192</v>
      </c>
      <c r="S689" t="s">
        <v>51</v>
      </c>
      <c r="T689" t="s">
        <v>35</v>
      </c>
      <c r="U689">
        <v>28.58</v>
      </c>
      <c r="V689" t="s">
        <v>36</v>
      </c>
      <c r="W689" s="1">
        <v>45167</v>
      </c>
      <c r="X689">
        <v>2025</v>
      </c>
    </row>
    <row r="690" spans="1:24" x14ac:dyDescent="0.25">
      <c r="A690" s="1">
        <v>45888</v>
      </c>
      <c r="B690" t="s">
        <v>2306</v>
      </c>
      <c r="C690" t="s">
        <v>2307</v>
      </c>
      <c r="E690" t="s">
        <v>2308</v>
      </c>
      <c r="F690" t="s">
        <v>27</v>
      </c>
      <c r="G690" t="s">
        <v>28</v>
      </c>
      <c r="H690" t="s">
        <v>29</v>
      </c>
      <c r="I690" t="s">
        <v>30</v>
      </c>
      <c r="J690" t="s">
        <v>50</v>
      </c>
      <c r="L690" s="1">
        <v>45870</v>
      </c>
      <c r="M690" s="1">
        <v>44562</v>
      </c>
      <c r="O690">
        <v>19606009</v>
      </c>
      <c r="P690" t="s">
        <v>32</v>
      </c>
      <c r="Q690" t="s">
        <v>42</v>
      </c>
      <c r="R690">
        <v>8192</v>
      </c>
      <c r="S690" t="s">
        <v>34</v>
      </c>
      <c r="T690" t="s">
        <v>35</v>
      </c>
      <c r="U690">
        <v>1.25</v>
      </c>
      <c r="V690" t="s">
        <v>36</v>
      </c>
      <c r="W690" s="1">
        <v>45809</v>
      </c>
      <c r="X690">
        <v>2025</v>
      </c>
    </row>
    <row r="691" spans="1:24" x14ac:dyDescent="0.25">
      <c r="A691" s="1">
        <v>45888</v>
      </c>
      <c r="B691" t="s">
        <v>2309</v>
      </c>
      <c r="C691" t="s">
        <v>2310</v>
      </c>
      <c r="E691" t="s">
        <v>2311</v>
      </c>
      <c r="F691" t="s">
        <v>27</v>
      </c>
      <c r="G691" t="s">
        <v>28</v>
      </c>
      <c r="H691" t="s">
        <v>29</v>
      </c>
      <c r="I691" t="s">
        <v>30</v>
      </c>
      <c r="J691" t="s">
        <v>50</v>
      </c>
      <c r="L691" s="1">
        <v>45870</v>
      </c>
      <c r="M691" s="1">
        <v>44562</v>
      </c>
      <c r="O691">
        <v>19606009</v>
      </c>
      <c r="P691" t="s">
        <v>32</v>
      </c>
      <c r="Q691" t="s">
        <v>42</v>
      </c>
      <c r="R691">
        <v>8192</v>
      </c>
      <c r="S691" t="s">
        <v>34</v>
      </c>
      <c r="T691" t="s">
        <v>35</v>
      </c>
      <c r="U691">
        <v>1.25</v>
      </c>
      <c r="V691" t="s">
        <v>36</v>
      </c>
      <c r="W691" s="1">
        <v>45809</v>
      </c>
      <c r="X691">
        <v>2025</v>
      </c>
    </row>
    <row r="692" spans="1:24" x14ac:dyDescent="0.25">
      <c r="A692" s="1">
        <v>45888</v>
      </c>
      <c r="B692" t="s">
        <v>2312</v>
      </c>
      <c r="C692" t="s">
        <v>2313</v>
      </c>
      <c r="E692" t="s">
        <v>2314</v>
      </c>
      <c r="F692" t="s">
        <v>27</v>
      </c>
      <c r="G692" t="s">
        <v>28</v>
      </c>
      <c r="H692" t="s">
        <v>29</v>
      </c>
      <c r="I692" t="s">
        <v>30</v>
      </c>
      <c r="J692" t="s">
        <v>50</v>
      </c>
      <c r="L692" s="1">
        <v>45870</v>
      </c>
      <c r="M692" s="1">
        <v>45658</v>
      </c>
      <c r="O692">
        <v>17886092</v>
      </c>
      <c r="P692" t="s">
        <v>32</v>
      </c>
      <c r="Q692" t="s">
        <v>102</v>
      </c>
      <c r="R692">
        <v>8192</v>
      </c>
      <c r="S692" t="s">
        <v>51</v>
      </c>
      <c r="T692" t="s">
        <v>35</v>
      </c>
      <c r="U692">
        <v>2.5</v>
      </c>
      <c r="V692" t="s">
        <v>36</v>
      </c>
      <c r="W692" s="1">
        <v>45233</v>
      </c>
      <c r="X692">
        <v>2025</v>
      </c>
    </row>
    <row r="693" spans="1:24" x14ac:dyDescent="0.25">
      <c r="A693" s="1">
        <v>45888</v>
      </c>
      <c r="B693" t="s">
        <v>2315</v>
      </c>
      <c r="C693" t="s">
        <v>2316</v>
      </c>
      <c r="E693" t="s">
        <v>2317</v>
      </c>
      <c r="F693" t="s">
        <v>1319</v>
      </c>
      <c r="G693" t="s">
        <v>28</v>
      </c>
      <c r="H693" t="s">
        <v>29</v>
      </c>
      <c r="I693" t="s">
        <v>445</v>
      </c>
      <c r="J693" t="s">
        <v>2318</v>
      </c>
      <c r="L693" s="1">
        <v>45870</v>
      </c>
      <c r="M693" s="1">
        <v>45292</v>
      </c>
      <c r="O693">
        <v>8307933</v>
      </c>
      <c r="P693" t="s">
        <v>32</v>
      </c>
      <c r="Q693" t="s">
        <v>63</v>
      </c>
      <c r="R693">
        <v>8192</v>
      </c>
      <c r="S693" t="s">
        <v>51</v>
      </c>
      <c r="T693" t="s">
        <v>35</v>
      </c>
      <c r="U693">
        <v>28.58</v>
      </c>
      <c r="V693" t="s">
        <v>36</v>
      </c>
      <c r="W693" s="1">
        <v>45245</v>
      </c>
      <c r="X693">
        <v>2025</v>
      </c>
    </row>
    <row r="694" spans="1:24" x14ac:dyDescent="0.25">
      <c r="A694" s="1">
        <v>45888</v>
      </c>
      <c r="B694" t="s">
        <v>2319</v>
      </c>
      <c r="C694" t="s">
        <v>2320</v>
      </c>
      <c r="E694" t="s">
        <v>2321</v>
      </c>
      <c r="F694" t="s">
        <v>27</v>
      </c>
      <c r="G694" t="s">
        <v>28</v>
      </c>
      <c r="H694" t="s">
        <v>29</v>
      </c>
      <c r="I694" t="s">
        <v>30</v>
      </c>
      <c r="J694" t="s">
        <v>46</v>
      </c>
      <c r="L694" s="1">
        <v>45870</v>
      </c>
      <c r="M694" s="1">
        <v>45017</v>
      </c>
      <c r="O694">
        <v>19606009</v>
      </c>
      <c r="P694" t="s">
        <v>32</v>
      </c>
      <c r="Q694" t="s">
        <v>42</v>
      </c>
      <c r="R694">
        <v>8192</v>
      </c>
      <c r="S694" t="s">
        <v>34</v>
      </c>
      <c r="T694" t="s">
        <v>35</v>
      </c>
      <c r="U694">
        <v>1.25</v>
      </c>
      <c r="V694" t="s">
        <v>36</v>
      </c>
      <c r="W694" s="1">
        <v>45839</v>
      </c>
      <c r="X694">
        <v>2025</v>
      </c>
    </row>
    <row r="695" spans="1:24" x14ac:dyDescent="0.25">
      <c r="A695" s="1">
        <v>45888</v>
      </c>
      <c r="B695" t="s">
        <v>2322</v>
      </c>
      <c r="C695" t="s">
        <v>2323</v>
      </c>
      <c r="E695" t="s">
        <v>2324</v>
      </c>
      <c r="F695" t="s">
        <v>74</v>
      </c>
      <c r="G695" t="s">
        <v>28</v>
      </c>
      <c r="H695" t="s">
        <v>29</v>
      </c>
      <c r="I695" t="s">
        <v>61</v>
      </c>
      <c r="J695" t="s">
        <v>75</v>
      </c>
      <c r="L695" s="1">
        <v>45870</v>
      </c>
      <c r="M695" s="1">
        <v>45292</v>
      </c>
      <c r="O695">
        <v>8307933</v>
      </c>
      <c r="P695" t="s">
        <v>32</v>
      </c>
      <c r="Q695" t="s">
        <v>63</v>
      </c>
      <c r="R695">
        <v>8192</v>
      </c>
      <c r="S695" t="s">
        <v>51</v>
      </c>
      <c r="T695" t="s">
        <v>35</v>
      </c>
      <c r="U695">
        <v>28.58</v>
      </c>
      <c r="V695" t="s">
        <v>36</v>
      </c>
      <c r="W695" s="1">
        <v>45237</v>
      </c>
      <c r="X695">
        <v>2025</v>
      </c>
    </row>
    <row r="696" spans="1:24" x14ac:dyDescent="0.25">
      <c r="A696" s="1">
        <v>45888</v>
      </c>
      <c r="B696" t="s">
        <v>2325</v>
      </c>
      <c r="C696" t="s">
        <v>2326</v>
      </c>
      <c r="E696" t="s">
        <v>2327</v>
      </c>
      <c r="F696" t="s">
        <v>160</v>
      </c>
      <c r="G696" t="s">
        <v>28</v>
      </c>
      <c r="H696" t="s">
        <v>29</v>
      </c>
      <c r="I696" t="s">
        <v>161</v>
      </c>
      <c r="J696" t="s">
        <v>162</v>
      </c>
      <c r="L696" s="1">
        <v>45870</v>
      </c>
      <c r="M696" s="1">
        <v>45627</v>
      </c>
      <c r="O696">
        <v>6634327</v>
      </c>
      <c r="P696" t="s">
        <v>32</v>
      </c>
      <c r="Q696" t="s">
        <v>163</v>
      </c>
      <c r="R696">
        <v>8192</v>
      </c>
      <c r="S696" t="s">
        <v>34</v>
      </c>
      <c r="T696" t="s">
        <v>35</v>
      </c>
      <c r="U696">
        <v>29.83</v>
      </c>
      <c r="V696" t="s">
        <v>36</v>
      </c>
      <c r="W696" s="1">
        <v>45621</v>
      </c>
      <c r="X696">
        <v>2025</v>
      </c>
    </row>
    <row r="697" spans="1:24" x14ac:dyDescent="0.25">
      <c r="A697" s="1">
        <v>45888</v>
      </c>
      <c r="B697" t="s">
        <v>2328</v>
      </c>
      <c r="C697" t="s">
        <v>2329</v>
      </c>
      <c r="E697" t="s">
        <v>2330</v>
      </c>
      <c r="F697" t="s">
        <v>27</v>
      </c>
      <c r="G697" t="s">
        <v>28</v>
      </c>
      <c r="H697" t="s">
        <v>29</v>
      </c>
      <c r="I697" t="s">
        <v>30</v>
      </c>
      <c r="J697" t="s">
        <v>50</v>
      </c>
      <c r="L697" s="1">
        <v>45870</v>
      </c>
      <c r="M697" s="1">
        <v>45658</v>
      </c>
      <c r="O697">
        <v>19606009</v>
      </c>
      <c r="P697" t="s">
        <v>32</v>
      </c>
      <c r="Q697" t="s">
        <v>42</v>
      </c>
      <c r="R697">
        <v>8192</v>
      </c>
      <c r="S697" t="s">
        <v>34</v>
      </c>
      <c r="T697" t="s">
        <v>35</v>
      </c>
      <c r="U697">
        <v>1.25</v>
      </c>
      <c r="V697" t="s">
        <v>36</v>
      </c>
      <c r="W697" s="1">
        <v>45809</v>
      </c>
      <c r="X697">
        <v>2025</v>
      </c>
    </row>
    <row r="698" spans="1:24" x14ac:dyDescent="0.25">
      <c r="A698" s="1">
        <v>45888</v>
      </c>
      <c r="B698" t="s">
        <v>2331</v>
      </c>
      <c r="C698" t="s">
        <v>2332</v>
      </c>
      <c r="E698" t="s">
        <v>2333</v>
      </c>
      <c r="F698" t="s">
        <v>27</v>
      </c>
      <c r="G698" t="s">
        <v>28</v>
      </c>
      <c r="H698" t="s">
        <v>29</v>
      </c>
      <c r="I698" t="s">
        <v>30</v>
      </c>
      <c r="J698" t="s">
        <v>50</v>
      </c>
      <c r="L698" s="1">
        <v>45870</v>
      </c>
      <c r="M698" s="1">
        <v>45658</v>
      </c>
      <c r="O698">
        <v>19606009</v>
      </c>
      <c r="P698" t="s">
        <v>32</v>
      </c>
      <c r="Q698" t="s">
        <v>42</v>
      </c>
      <c r="R698">
        <v>8192</v>
      </c>
      <c r="S698" t="s">
        <v>34</v>
      </c>
      <c r="T698" t="s">
        <v>35</v>
      </c>
      <c r="U698">
        <v>1.25</v>
      </c>
      <c r="V698" t="s">
        <v>36</v>
      </c>
      <c r="W698" s="1">
        <v>45809</v>
      </c>
      <c r="X698">
        <v>2025</v>
      </c>
    </row>
    <row r="699" spans="1:24" x14ac:dyDescent="0.25">
      <c r="A699" s="1">
        <v>45888</v>
      </c>
      <c r="B699" t="s">
        <v>2334</v>
      </c>
      <c r="C699" t="s">
        <v>2335</v>
      </c>
      <c r="E699" t="s">
        <v>2336</v>
      </c>
      <c r="F699" t="s">
        <v>27</v>
      </c>
      <c r="G699" t="s">
        <v>28</v>
      </c>
      <c r="H699" t="s">
        <v>96</v>
      </c>
      <c r="J699" t="s">
        <v>613</v>
      </c>
      <c r="L699" s="1">
        <v>45870</v>
      </c>
      <c r="M699" s="1">
        <v>45292</v>
      </c>
      <c r="O699">
        <v>15278437</v>
      </c>
      <c r="P699" t="s">
        <v>32</v>
      </c>
      <c r="Q699" t="s">
        <v>221</v>
      </c>
      <c r="R699">
        <v>8192</v>
      </c>
      <c r="S699" t="s">
        <v>51</v>
      </c>
      <c r="T699" t="s">
        <v>35</v>
      </c>
      <c r="U699">
        <v>4.25</v>
      </c>
      <c r="V699" t="s">
        <v>36</v>
      </c>
      <c r="W699" s="1">
        <v>45236</v>
      </c>
      <c r="X699">
        <v>2025</v>
      </c>
    </row>
    <row r="700" spans="1:24" x14ac:dyDescent="0.25">
      <c r="A700" s="1">
        <v>45888</v>
      </c>
      <c r="B700" t="s">
        <v>2337</v>
      </c>
      <c r="C700" t="s">
        <v>2338</v>
      </c>
      <c r="E700" t="s">
        <v>2339</v>
      </c>
      <c r="F700" t="s">
        <v>1305</v>
      </c>
      <c r="G700" t="s">
        <v>28</v>
      </c>
      <c r="H700" t="s">
        <v>29</v>
      </c>
      <c r="I700" t="s">
        <v>161</v>
      </c>
      <c r="J700" t="s">
        <v>1306</v>
      </c>
      <c r="L700" s="1">
        <v>45870</v>
      </c>
      <c r="M700" s="1">
        <v>45292</v>
      </c>
      <c r="O700">
        <v>8307933</v>
      </c>
      <c r="P700" t="s">
        <v>32</v>
      </c>
      <c r="Q700" t="s">
        <v>63</v>
      </c>
      <c r="R700">
        <v>8192</v>
      </c>
      <c r="S700" t="s">
        <v>51</v>
      </c>
      <c r="T700" t="s">
        <v>35</v>
      </c>
      <c r="U700">
        <v>28.58</v>
      </c>
      <c r="V700" t="s">
        <v>36</v>
      </c>
      <c r="W700" s="1">
        <v>45257</v>
      </c>
      <c r="X700">
        <v>2025</v>
      </c>
    </row>
    <row r="701" spans="1:24" x14ac:dyDescent="0.25">
      <c r="A701" s="1">
        <v>45888</v>
      </c>
      <c r="B701" t="s">
        <v>2340</v>
      </c>
      <c r="C701" t="s">
        <v>2341</v>
      </c>
      <c r="E701" t="s">
        <v>2342</v>
      </c>
      <c r="F701" t="s">
        <v>27</v>
      </c>
      <c r="G701" t="s">
        <v>28</v>
      </c>
      <c r="H701" t="s">
        <v>29</v>
      </c>
      <c r="I701" t="s">
        <v>30</v>
      </c>
      <c r="J701" t="s">
        <v>70</v>
      </c>
      <c r="L701" s="1">
        <v>45870</v>
      </c>
      <c r="M701" s="1">
        <v>44927</v>
      </c>
      <c r="O701">
        <v>19606009</v>
      </c>
      <c r="P701" t="s">
        <v>32</v>
      </c>
      <c r="Q701" t="s">
        <v>42</v>
      </c>
      <c r="R701">
        <v>8192</v>
      </c>
      <c r="S701" t="s">
        <v>34</v>
      </c>
      <c r="T701" t="s">
        <v>35</v>
      </c>
      <c r="U701">
        <v>1.25</v>
      </c>
      <c r="V701" t="s">
        <v>36</v>
      </c>
      <c r="W701" s="1">
        <v>45870</v>
      </c>
      <c r="X701">
        <v>2025</v>
      </c>
    </row>
    <row r="702" spans="1:24" x14ac:dyDescent="0.25">
      <c r="A702" s="1">
        <v>45888</v>
      </c>
      <c r="B702" t="s">
        <v>2343</v>
      </c>
      <c r="C702" t="s">
        <v>2344</v>
      </c>
      <c r="E702" t="s">
        <v>2345</v>
      </c>
      <c r="F702" t="s">
        <v>303</v>
      </c>
      <c r="G702" t="s">
        <v>28</v>
      </c>
      <c r="H702" t="s">
        <v>29</v>
      </c>
      <c r="I702" t="s">
        <v>304</v>
      </c>
      <c r="J702" t="s">
        <v>366</v>
      </c>
      <c r="L702" s="1">
        <v>45870</v>
      </c>
      <c r="M702" s="1">
        <v>45170</v>
      </c>
      <c r="O702">
        <v>16509456</v>
      </c>
      <c r="P702" t="s">
        <v>32</v>
      </c>
      <c r="Q702" t="s">
        <v>107</v>
      </c>
      <c r="R702">
        <v>8192</v>
      </c>
      <c r="S702" t="s">
        <v>51</v>
      </c>
      <c r="T702" t="s">
        <v>35</v>
      </c>
      <c r="U702">
        <v>28.58</v>
      </c>
      <c r="V702" t="s">
        <v>36</v>
      </c>
      <c r="W702" s="1">
        <v>45146</v>
      </c>
      <c r="X702">
        <v>2025</v>
      </c>
    </row>
    <row r="703" spans="1:24" x14ac:dyDescent="0.25">
      <c r="A703" s="1">
        <v>45888</v>
      </c>
      <c r="B703" t="s">
        <v>2346</v>
      </c>
      <c r="C703" t="s">
        <v>2347</v>
      </c>
      <c r="E703" t="s">
        <v>2348</v>
      </c>
      <c r="F703" t="s">
        <v>27</v>
      </c>
      <c r="G703" t="s">
        <v>28</v>
      </c>
      <c r="H703" t="s">
        <v>29</v>
      </c>
      <c r="I703" t="s">
        <v>40</v>
      </c>
      <c r="J703" t="s">
        <v>46</v>
      </c>
      <c r="L703" s="1">
        <v>45870</v>
      </c>
      <c r="M703" s="1">
        <v>43862</v>
      </c>
      <c r="O703">
        <v>19606009</v>
      </c>
      <c r="P703" t="s">
        <v>32</v>
      </c>
      <c r="Q703" t="s">
        <v>42</v>
      </c>
      <c r="R703">
        <v>8192</v>
      </c>
      <c r="S703" t="s">
        <v>34</v>
      </c>
      <c r="T703" t="s">
        <v>35</v>
      </c>
      <c r="U703">
        <v>1.25</v>
      </c>
      <c r="V703" t="s">
        <v>36</v>
      </c>
      <c r="W703" s="1">
        <v>45839</v>
      </c>
      <c r="X703">
        <v>2025</v>
      </c>
    </row>
    <row r="704" spans="1:24" x14ac:dyDescent="0.25">
      <c r="A704" s="1">
        <v>45888</v>
      </c>
      <c r="B704" t="s">
        <v>2349</v>
      </c>
      <c r="C704" t="s">
        <v>2350</v>
      </c>
      <c r="E704" t="s">
        <v>2351</v>
      </c>
      <c r="F704" t="s">
        <v>27</v>
      </c>
      <c r="G704" t="s">
        <v>28</v>
      </c>
      <c r="H704" t="s">
        <v>29</v>
      </c>
      <c r="I704" t="s">
        <v>30</v>
      </c>
      <c r="J704" t="s">
        <v>46</v>
      </c>
      <c r="L704" s="1">
        <v>45870</v>
      </c>
      <c r="M704" s="1">
        <v>45292</v>
      </c>
      <c r="O704">
        <v>17886092</v>
      </c>
      <c r="P704" t="s">
        <v>32</v>
      </c>
      <c r="Q704" t="s">
        <v>102</v>
      </c>
      <c r="R704">
        <v>8192</v>
      </c>
      <c r="S704" t="s">
        <v>51</v>
      </c>
      <c r="T704" t="s">
        <v>35</v>
      </c>
      <c r="U704">
        <v>2.5</v>
      </c>
      <c r="V704" t="s">
        <v>36</v>
      </c>
      <c r="W704" s="1">
        <v>45245</v>
      </c>
      <c r="X704">
        <v>2025</v>
      </c>
    </row>
    <row r="705" spans="1:24" x14ac:dyDescent="0.25">
      <c r="A705" s="1">
        <v>45888</v>
      </c>
      <c r="B705" t="s">
        <v>2352</v>
      </c>
      <c r="C705" t="s">
        <v>2353</v>
      </c>
      <c r="E705" t="s">
        <v>2354</v>
      </c>
      <c r="F705" t="s">
        <v>27</v>
      </c>
      <c r="G705" t="s">
        <v>28</v>
      </c>
      <c r="H705" t="s">
        <v>29</v>
      </c>
      <c r="I705" t="s">
        <v>30</v>
      </c>
      <c r="J705" t="s">
        <v>31</v>
      </c>
      <c r="L705" s="1">
        <v>45870</v>
      </c>
      <c r="M705" s="1">
        <v>45323</v>
      </c>
      <c r="O705">
        <v>17528908</v>
      </c>
      <c r="P705" t="s">
        <v>32</v>
      </c>
      <c r="Q705" t="s">
        <v>33</v>
      </c>
      <c r="R705">
        <v>8192</v>
      </c>
      <c r="S705" t="s">
        <v>51</v>
      </c>
      <c r="T705" t="s">
        <v>35</v>
      </c>
      <c r="U705">
        <v>31.92</v>
      </c>
      <c r="V705" t="s">
        <v>36</v>
      </c>
      <c r="W705" s="1">
        <v>45293</v>
      </c>
      <c r="X705">
        <v>2025</v>
      </c>
    </row>
    <row r="706" spans="1:24" x14ac:dyDescent="0.25">
      <c r="A706" s="1">
        <v>45888</v>
      </c>
      <c r="B706" t="s">
        <v>2355</v>
      </c>
      <c r="C706" t="s">
        <v>2356</v>
      </c>
      <c r="E706" t="s">
        <v>2357</v>
      </c>
      <c r="F706" t="s">
        <v>27</v>
      </c>
      <c r="G706" t="s">
        <v>28</v>
      </c>
      <c r="H706" t="s">
        <v>29</v>
      </c>
      <c r="I706" t="s">
        <v>30</v>
      </c>
      <c r="J706" t="s">
        <v>70</v>
      </c>
      <c r="L706" s="1">
        <v>45870</v>
      </c>
      <c r="M706" s="1">
        <v>45292</v>
      </c>
      <c r="O706">
        <v>17528908</v>
      </c>
      <c r="P706" t="s">
        <v>32</v>
      </c>
      <c r="Q706" t="s">
        <v>33</v>
      </c>
      <c r="R706">
        <v>8192</v>
      </c>
      <c r="S706" t="s">
        <v>51</v>
      </c>
      <c r="T706" t="s">
        <v>35</v>
      </c>
      <c r="U706">
        <v>31.92</v>
      </c>
      <c r="V706" t="s">
        <v>36</v>
      </c>
      <c r="W706" s="1">
        <v>45239</v>
      </c>
      <c r="X706">
        <v>2025</v>
      </c>
    </row>
    <row r="707" spans="1:24" x14ac:dyDescent="0.25">
      <c r="A707" s="1">
        <v>45888</v>
      </c>
      <c r="B707" t="s">
        <v>2358</v>
      </c>
      <c r="C707" t="s">
        <v>2359</v>
      </c>
      <c r="E707" t="s">
        <v>2360</v>
      </c>
      <c r="F707" t="s">
        <v>27</v>
      </c>
      <c r="G707" t="s">
        <v>28</v>
      </c>
      <c r="H707" t="s">
        <v>29</v>
      </c>
      <c r="I707" t="s">
        <v>30</v>
      </c>
      <c r="J707" t="s">
        <v>55</v>
      </c>
      <c r="L707" s="1">
        <v>45870</v>
      </c>
      <c r="M707" s="1">
        <v>45505</v>
      </c>
      <c r="O707">
        <v>19278370</v>
      </c>
      <c r="P707" t="s">
        <v>32</v>
      </c>
      <c r="Q707" t="s">
        <v>1054</v>
      </c>
      <c r="R707">
        <v>8192</v>
      </c>
      <c r="S707" t="s">
        <v>34</v>
      </c>
      <c r="T707" t="s">
        <v>35</v>
      </c>
      <c r="U707">
        <v>33.17</v>
      </c>
      <c r="V707" t="s">
        <v>36</v>
      </c>
      <c r="W707" s="1">
        <v>45492</v>
      </c>
      <c r="X707">
        <v>2025</v>
      </c>
    </row>
    <row r="708" spans="1:24" x14ac:dyDescent="0.25">
      <c r="A708" s="1">
        <v>45888</v>
      </c>
      <c r="B708" t="s">
        <v>2361</v>
      </c>
      <c r="C708" t="s">
        <v>2362</v>
      </c>
      <c r="E708" t="s">
        <v>2363</v>
      </c>
      <c r="F708" t="s">
        <v>303</v>
      </c>
      <c r="G708" t="s">
        <v>28</v>
      </c>
      <c r="H708" t="s">
        <v>29</v>
      </c>
      <c r="I708" t="s">
        <v>304</v>
      </c>
      <c r="J708" t="s">
        <v>2364</v>
      </c>
      <c r="L708" s="1">
        <v>45870</v>
      </c>
      <c r="M708" s="1">
        <v>45231</v>
      </c>
      <c r="O708">
        <v>17528908</v>
      </c>
      <c r="P708" t="s">
        <v>32</v>
      </c>
      <c r="Q708" t="s">
        <v>33</v>
      </c>
      <c r="R708">
        <v>8192</v>
      </c>
      <c r="S708" t="s">
        <v>51</v>
      </c>
      <c r="T708" t="s">
        <v>35</v>
      </c>
      <c r="U708">
        <v>28.58</v>
      </c>
      <c r="V708" t="s">
        <v>36</v>
      </c>
      <c r="W708" s="1">
        <v>45225</v>
      </c>
      <c r="X708">
        <v>2025</v>
      </c>
    </row>
    <row r="709" spans="1:24" x14ac:dyDescent="0.25">
      <c r="A709" s="1">
        <v>45888</v>
      </c>
      <c r="B709" t="s">
        <v>2365</v>
      </c>
      <c r="C709" t="s">
        <v>2366</v>
      </c>
      <c r="E709" t="s">
        <v>2367</v>
      </c>
      <c r="F709" t="s">
        <v>27</v>
      </c>
      <c r="G709" t="s">
        <v>28</v>
      </c>
      <c r="H709" t="s">
        <v>29</v>
      </c>
      <c r="I709" t="s">
        <v>30</v>
      </c>
      <c r="J709" t="s">
        <v>46</v>
      </c>
      <c r="L709" s="1">
        <v>45870</v>
      </c>
      <c r="M709" s="1">
        <v>45292</v>
      </c>
      <c r="O709">
        <v>17886092</v>
      </c>
      <c r="P709" t="s">
        <v>32</v>
      </c>
      <c r="Q709" t="s">
        <v>102</v>
      </c>
      <c r="R709">
        <v>8192</v>
      </c>
      <c r="S709" t="s">
        <v>51</v>
      </c>
      <c r="T709" t="s">
        <v>35</v>
      </c>
      <c r="U709">
        <v>2.5</v>
      </c>
      <c r="V709" t="s">
        <v>36</v>
      </c>
      <c r="W709" s="1">
        <v>45265</v>
      </c>
      <c r="X709">
        <v>2025</v>
      </c>
    </row>
    <row r="710" spans="1:24" x14ac:dyDescent="0.25">
      <c r="A710" s="1">
        <v>45888</v>
      </c>
      <c r="B710" t="s">
        <v>2368</v>
      </c>
      <c r="C710" t="s">
        <v>2369</v>
      </c>
      <c r="E710" t="s">
        <v>2370</v>
      </c>
      <c r="F710" t="s">
        <v>27</v>
      </c>
      <c r="G710" t="s">
        <v>28</v>
      </c>
      <c r="H710" t="s">
        <v>29</v>
      </c>
      <c r="I710" t="s">
        <v>30</v>
      </c>
      <c r="J710" t="s">
        <v>202</v>
      </c>
      <c r="L710" s="1">
        <v>45870</v>
      </c>
      <c r="M710" s="1">
        <v>45200</v>
      </c>
      <c r="O710">
        <v>17528908</v>
      </c>
      <c r="P710" t="s">
        <v>32</v>
      </c>
      <c r="Q710" t="s">
        <v>33</v>
      </c>
      <c r="R710">
        <v>8192</v>
      </c>
      <c r="S710" t="s">
        <v>51</v>
      </c>
      <c r="T710" t="s">
        <v>35</v>
      </c>
      <c r="U710">
        <v>31.92</v>
      </c>
      <c r="V710" t="s">
        <v>36</v>
      </c>
      <c r="W710" s="1">
        <v>45198</v>
      </c>
      <c r="X710">
        <v>2025</v>
      </c>
    </row>
    <row r="711" spans="1:24" x14ac:dyDescent="0.25">
      <c r="A711" s="1">
        <v>45888</v>
      </c>
      <c r="B711" t="s">
        <v>2371</v>
      </c>
      <c r="C711" t="s">
        <v>2372</v>
      </c>
      <c r="E711" t="s">
        <v>2373</v>
      </c>
      <c r="F711" t="s">
        <v>27</v>
      </c>
      <c r="G711" t="s">
        <v>28</v>
      </c>
      <c r="H711" t="s">
        <v>29</v>
      </c>
      <c r="I711" t="s">
        <v>30</v>
      </c>
      <c r="J711" t="s">
        <v>202</v>
      </c>
      <c r="L711" s="1">
        <v>45870</v>
      </c>
      <c r="M711" s="1">
        <v>45200</v>
      </c>
      <c r="O711">
        <v>17528908</v>
      </c>
      <c r="P711" t="s">
        <v>32</v>
      </c>
      <c r="Q711" t="s">
        <v>33</v>
      </c>
      <c r="R711">
        <v>8192</v>
      </c>
      <c r="S711" t="s">
        <v>51</v>
      </c>
      <c r="T711" t="s">
        <v>35</v>
      </c>
      <c r="U711">
        <v>31.92</v>
      </c>
      <c r="V711" t="s">
        <v>36</v>
      </c>
      <c r="W711" s="1">
        <v>45198</v>
      </c>
      <c r="X711">
        <v>2025</v>
      </c>
    </row>
    <row r="712" spans="1:24" x14ac:dyDescent="0.25">
      <c r="A712" s="1">
        <v>45888</v>
      </c>
      <c r="B712" t="s">
        <v>2374</v>
      </c>
      <c r="C712" t="s">
        <v>2375</v>
      </c>
      <c r="E712" t="s">
        <v>2376</v>
      </c>
      <c r="F712" t="s">
        <v>27</v>
      </c>
      <c r="G712" t="s">
        <v>28</v>
      </c>
      <c r="H712" t="s">
        <v>29</v>
      </c>
      <c r="I712" t="s">
        <v>30</v>
      </c>
      <c r="J712" t="s">
        <v>46</v>
      </c>
      <c r="L712" s="1">
        <v>45870</v>
      </c>
      <c r="M712" s="1">
        <v>44562</v>
      </c>
      <c r="O712">
        <v>19606009</v>
      </c>
      <c r="P712" t="s">
        <v>32</v>
      </c>
      <c r="Q712" t="s">
        <v>42</v>
      </c>
      <c r="R712">
        <v>8192</v>
      </c>
      <c r="S712" t="s">
        <v>34</v>
      </c>
      <c r="T712" t="s">
        <v>35</v>
      </c>
      <c r="U712">
        <v>1.25</v>
      </c>
      <c r="V712" t="s">
        <v>36</v>
      </c>
      <c r="W712" s="1">
        <v>45870</v>
      </c>
      <c r="X712">
        <v>2025</v>
      </c>
    </row>
    <row r="713" spans="1:24" x14ac:dyDescent="0.25">
      <c r="A713" s="1">
        <v>45888</v>
      </c>
      <c r="B713" t="s">
        <v>2377</v>
      </c>
      <c r="C713" t="s">
        <v>2378</v>
      </c>
      <c r="E713" t="s">
        <v>2379</v>
      </c>
      <c r="F713" t="s">
        <v>27</v>
      </c>
      <c r="G713" t="s">
        <v>28</v>
      </c>
      <c r="H713" t="s">
        <v>29</v>
      </c>
      <c r="I713" t="s">
        <v>30</v>
      </c>
      <c r="J713" t="s">
        <v>46</v>
      </c>
      <c r="L713" s="1">
        <v>45870</v>
      </c>
      <c r="M713" s="1">
        <v>45292</v>
      </c>
      <c r="O713">
        <v>17886092</v>
      </c>
      <c r="P713" t="s">
        <v>32</v>
      </c>
      <c r="Q713" t="s">
        <v>102</v>
      </c>
      <c r="R713">
        <v>8192</v>
      </c>
      <c r="S713" t="s">
        <v>51</v>
      </c>
      <c r="T713" t="s">
        <v>35</v>
      </c>
      <c r="U713">
        <v>2.5</v>
      </c>
      <c r="V713" t="s">
        <v>36</v>
      </c>
      <c r="W713" s="1">
        <v>45265</v>
      </c>
      <c r="X713">
        <v>2025</v>
      </c>
    </row>
    <row r="714" spans="1:24" x14ac:dyDescent="0.25">
      <c r="A714" s="1">
        <v>45888</v>
      </c>
      <c r="B714" t="s">
        <v>2380</v>
      </c>
      <c r="C714" t="s">
        <v>2381</v>
      </c>
      <c r="E714" t="s">
        <v>2382</v>
      </c>
      <c r="F714" t="s">
        <v>27</v>
      </c>
      <c r="G714" t="s">
        <v>28</v>
      </c>
      <c r="H714" t="s">
        <v>29</v>
      </c>
      <c r="I714" t="s">
        <v>30</v>
      </c>
      <c r="J714" t="s">
        <v>46</v>
      </c>
      <c r="L714" s="1">
        <v>45870</v>
      </c>
      <c r="M714" s="1">
        <v>45047</v>
      </c>
      <c r="O714">
        <v>19562245</v>
      </c>
      <c r="P714" t="s">
        <v>32</v>
      </c>
      <c r="Q714" t="s">
        <v>1555</v>
      </c>
      <c r="R714">
        <v>8192</v>
      </c>
      <c r="S714" t="s">
        <v>51</v>
      </c>
      <c r="T714" t="s">
        <v>35</v>
      </c>
      <c r="U714">
        <v>31.92</v>
      </c>
      <c r="V714" t="s">
        <v>36</v>
      </c>
      <c r="W714" s="1">
        <v>45044</v>
      </c>
      <c r="X714">
        <v>2025</v>
      </c>
    </row>
    <row r="715" spans="1:24" x14ac:dyDescent="0.25">
      <c r="A715" s="1">
        <v>45888</v>
      </c>
      <c r="B715" t="s">
        <v>2383</v>
      </c>
      <c r="C715" t="s">
        <v>2384</v>
      </c>
      <c r="E715" t="s">
        <v>2385</v>
      </c>
      <c r="F715" t="s">
        <v>27</v>
      </c>
      <c r="G715" t="s">
        <v>28</v>
      </c>
      <c r="H715" t="s">
        <v>29</v>
      </c>
      <c r="I715" t="s">
        <v>30</v>
      </c>
      <c r="J715" t="s">
        <v>31</v>
      </c>
      <c r="L715" s="1">
        <v>45870</v>
      </c>
      <c r="M715" s="1">
        <v>45505</v>
      </c>
      <c r="O715">
        <v>17528908</v>
      </c>
      <c r="P715" t="s">
        <v>32</v>
      </c>
      <c r="Q715" t="s">
        <v>33</v>
      </c>
      <c r="R715">
        <v>8192</v>
      </c>
      <c r="S715" t="s">
        <v>34</v>
      </c>
      <c r="T715" t="s">
        <v>35</v>
      </c>
      <c r="U715">
        <v>33.17</v>
      </c>
      <c r="V715" t="s">
        <v>36</v>
      </c>
      <c r="W715" s="1">
        <v>45474</v>
      </c>
      <c r="X715">
        <v>2025</v>
      </c>
    </row>
    <row r="716" spans="1:24" x14ac:dyDescent="0.25">
      <c r="A716" s="1">
        <v>45888</v>
      </c>
      <c r="B716" t="s">
        <v>2386</v>
      </c>
      <c r="C716" t="s">
        <v>2387</v>
      </c>
      <c r="E716" t="s">
        <v>2388</v>
      </c>
      <c r="F716" t="s">
        <v>2389</v>
      </c>
      <c r="G716" t="s">
        <v>402</v>
      </c>
      <c r="H716" t="s">
        <v>29</v>
      </c>
      <c r="I716" t="s">
        <v>1286</v>
      </c>
      <c r="J716" t="s">
        <v>2390</v>
      </c>
      <c r="L716" s="1">
        <v>45901</v>
      </c>
      <c r="M716" s="1">
        <v>45901</v>
      </c>
      <c r="O716">
        <v>8307933</v>
      </c>
      <c r="P716" t="s">
        <v>32</v>
      </c>
      <c r="Q716" t="s">
        <v>63</v>
      </c>
      <c r="R716">
        <v>8192</v>
      </c>
      <c r="S716" t="s">
        <v>34</v>
      </c>
      <c r="T716" t="s">
        <v>35</v>
      </c>
      <c r="U716">
        <v>146</v>
      </c>
      <c r="V716" t="s">
        <v>36</v>
      </c>
      <c r="W716" s="1">
        <v>45870</v>
      </c>
      <c r="X716">
        <v>2025</v>
      </c>
    </row>
    <row r="717" spans="1:24" x14ac:dyDescent="0.25">
      <c r="A717" s="1">
        <v>45888</v>
      </c>
      <c r="B717" t="s">
        <v>2391</v>
      </c>
      <c r="C717" t="s">
        <v>2392</v>
      </c>
      <c r="E717" t="s">
        <v>2393</v>
      </c>
      <c r="F717" t="s">
        <v>74</v>
      </c>
      <c r="G717" t="s">
        <v>28</v>
      </c>
      <c r="H717" t="s">
        <v>29</v>
      </c>
      <c r="I717" t="s">
        <v>61</v>
      </c>
      <c r="J717" t="s">
        <v>2394</v>
      </c>
      <c r="L717" s="1">
        <v>45870</v>
      </c>
      <c r="M717" s="1">
        <v>44562</v>
      </c>
      <c r="O717">
        <v>9213293</v>
      </c>
      <c r="P717" t="s">
        <v>32</v>
      </c>
      <c r="Q717" t="s">
        <v>252</v>
      </c>
      <c r="R717">
        <v>8192</v>
      </c>
      <c r="S717" t="s">
        <v>34</v>
      </c>
      <c r="T717" t="s">
        <v>35</v>
      </c>
      <c r="U717">
        <v>29.83</v>
      </c>
      <c r="V717" t="s">
        <v>36</v>
      </c>
      <c r="W717" s="1">
        <v>45658</v>
      </c>
      <c r="X717">
        <v>2025</v>
      </c>
    </row>
    <row r="718" spans="1:24" x14ac:dyDescent="0.25">
      <c r="A718" s="1">
        <v>45888</v>
      </c>
      <c r="B718" t="s">
        <v>2395</v>
      </c>
      <c r="C718" t="s">
        <v>2396</v>
      </c>
      <c r="E718" t="s">
        <v>2397</v>
      </c>
      <c r="F718" t="s">
        <v>27</v>
      </c>
      <c r="G718" t="s">
        <v>28</v>
      </c>
      <c r="H718" t="s">
        <v>29</v>
      </c>
      <c r="I718" t="s">
        <v>30</v>
      </c>
      <c r="J718" t="s">
        <v>46</v>
      </c>
      <c r="L718" s="1">
        <v>45870</v>
      </c>
      <c r="M718" s="1">
        <v>45474</v>
      </c>
      <c r="O718">
        <v>17886092</v>
      </c>
      <c r="P718" t="s">
        <v>32</v>
      </c>
      <c r="Q718" t="s">
        <v>102</v>
      </c>
      <c r="R718">
        <v>8192</v>
      </c>
      <c r="S718" t="s">
        <v>34</v>
      </c>
      <c r="T718" t="s">
        <v>35</v>
      </c>
      <c r="U718">
        <v>3.75</v>
      </c>
      <c r="V718" t="s">
        <v>36</v>
      </c>
      <c r="W718" s="1">
        <v>45390</v>
      </c>
      <c r="X718">
        <v>2025</v>
      </c>
    </row>
    <row r="719" spans="1:24" x14ac:dyDescent="0.25">
      <c r="A719" s="1">
        <v>45888</v>
      </c>
      <c r="B719" t="s">
        <v>2398</v>
      </c>
      <c r="C719" t="s">
        <v>2399</v>
      </c>
      <c r="E719" t="s">
        <v>2400</v>
      </c>
      <c r="F719" t="s">
        <v>27</v>
      </c>
      <c r="G719" t="s">
        <v>28</v>
      </c>
      <c r="H719" t="s">
        <v>29</v>
      </c>
      <c r="I719" t="s">
        <v>40</v>
      </c>
      <c r="J719" t="s">
        <v>46</v>
      </c>
      <c r="L719" s="1">
        <v>45870</v>
      </c>
      <c r="M719" s="1">
        <v>43831</v>
      </c>
      <c r="O719">
        <v>19606009</v>
      </c>
      <c r="P719" t="s">
        <v>32</v>
      </c>
      <c r="Q719" t="s">
        <v>42</v>
      </c>
      <c r="R719">
        <v>8192</v>
      </c>
      <c r="S719" t="s">
        <v>34</v>
      </c>
      <c r="T719" t="s">
        <v>35</v>
      </c>
      <c r="U719">
        <v>1.25</v>
      </c>
      <c r="V719" t="s">
        <v>36</v>
      </c>
      <c r="W719" s="1">
        <v>45870</v>
      </c>
      <c r="X719">
        <v>2025</v>
      </c>
    </row>
    <row r="720" spans="1:24" x14ac:dyDescent="0.25">
      <c r="A720" s="1">
        <v>45888</v>
      </c>
      <c r="B720" t="s">
        <v>2401</v>
      </c>
      <c r="C720" t="s">
        <v>2402</v>
      </c>
      <c r="E720" t="s">
        <v>2403</v>
      </c>
      <c r="F720" t="s">
        <v>160</v>
      </c>
      <c r="G720" t="s">
        <v>28</v>
      </c>
      <c r="H720" t="s">
        <v>29</v>
      </c>
      <c r="I720" t="s">
        <v>161</v>
      </c>
      <c r="J720" t="s">
        <v>162</v>
      </c>
      <c r="L720" s="1">
        <v>45870</v>
      </c>
      <c r="M720" s="1">
        <v>45292</v>
      </c>
      <c r="O720">
        <v>16378851</v>
      </c>
      <c r="P720" t="s">
        <v>32</v>
      </c>
      <c r="Q720" t="s">
        <v>114</v>
      </c>
      <c r="R720">
        <v>8192</v>
      </c>
      <c r="S720" t="s">
        <v>51</v>
      </c>
      <c r="T720" t="s">
        <v>35</v>
      </c>
      <c r="U720">
        <v>28.58</v>
      </c>
      <c r="V720" t="s">
        <v>36</v>
      </c>
      <c r="W720" s="1">
        <v>45266</v>
      </c>
      <c r="X720">
        <v>2025</v>
      </c>
    </row>
    <row r="721" spans="1:24" x14ac:dyDescent="0.25">
      <c r="A721" s="1">
        <v>45888</v>
      </c>
      <c r="B721" t="s">
        <v>2404</v>
      </c>
      <c r="C721" t="s">
        <v>2405</v>
      </c>
      <c r="E721" t="s">
        <v>2406</v>
      </c>
      <c r="F721" t="s">
        <v>27</v>
      </c>
      <c r="G721" t="s">
        <v>28</v>
      </c>
      <c r="H721" t="s">
        <v>29</v>
      </c>
      <c r="I721" t="s">
        <v>30</v>
      </c>
      <c r="J721" t="s">
        <v>46</v>
      </c>
      <c r="L721" s="1">
        <v>45870</v>
      </c>
      <c r="M721" s="1">
        <v>45292</v>
      </c>
      <c r="O721">
        <v>17886092</v>
      </c>
      <c r="P721" t="s">
        <v>32</v>
      </c>
      <c r="Q721" t="s">
        <v>102</v>
      </c>
      <c r="R721">
        <v>8192</v>
      </c>
      <c r="S721" t="s">
        <v>51</v>
      </c>
      <c r="T721" t="s">
        <v>35</v>
      </c>
      <c r="U721">
        <v>2.5</v>
      </c>
      <c r="V721" t="s">
        <v>36</v>
      </c>
      <c r="W721" s="1">
        <v>45215</v>
      </c>
      <c r="X721">
        <v>2025</v>
      </c>
    </row>
    <row r="722" spans="1:24" x14ac:dyDescent="0.25">
      <c r="A722" s="1">
        <v>45888</v>
      </c>
      <c r="B722" t="s">
        <v>2407</v>
      </c>
      <c r="C722" t="s">
        <v>2408</v>
      </c>
      <c r="E722" t="s">
        <v>2409</v>
      </c>
      <c r="F722" t="s">
        <v>27</v>
      </c>
      <c r="G722" t="s">
        <v>28</v>
      </c>
      <c r="H722" t="s">
        <v>29</v>
      </c>
      <c r="I722" t="s">
        <v>30</v>
      </c>
      <c r="J722" t="s">
        <v>50</v>
      </c>
      <c r="L722" s="1">
        <v>45870</v>
      </c>
      <c r="M722" s="1">
        <v>45292</v>
      </c>
      <c r="O722">
        <v>17886092</v>
      </c>
      <c r="P722" t="s">
        <v>32</v>
      </c>
      <c r="Q722" t="s">
        <v>102</v>
      </c>
      <c r="R722">
        <v>8192</v>
      </c>
      <c r="S722" t="s">
        <v>51</v>
      </c>
      <c r="T722" t="s">
        <v>35</v>
      </c>
      <c r="U722">
        <v>2.5</v>
      </c>
      <c r="V722" t="s">
        <v>36</v>
      </c>
      <c r="W722" s="1">
        <v>45214</v>
      </c>
      <c r="X722">
        <v>2025</v>
      </c>
    </row>
    <row r="723" spans="1:24" x14ac:dyDescent="0.25">
      <c r="A723" s="1">
        <v>45888</v>
      </c>
      <c r="B723" t="s">
        <v>2410</v>
      </c>
      <c r="C723" t="s">
        <v>2411</v>
      </c>
      <c r="E723" t="s">
        <v>2412</v>
      </c>
      <c r="F723" t="s">
        <v>27</v>
      </c>
      <c r="G723" t="s">
        <v>28</v>
      </c>
      <c r="H723" t="s">
        <v>29</v>
      </c>
      <c r="I723" t="s">
        <v>30</v>
      </c>
      <c r="J723" t="s">
        <v>46</v>
      </c>
      <c r="L723" s="1">
        <v>45870</v>
      </c>
      <c r="M723" s="1">
        <v>45200</v>
      </c>
      <c r="O723">
        <v>17528908</v>
      </c>
      <c r="P723" t="s">
        <v>32</v>
      </c>
      <c r="Q723" t="s">
        <v>33</v>
      </c>
      <c r="R723">
        <v>8192</v>
      </c>
      <c r="S723" t="s">
        <v>51</v>
      </c>
      <c r="T723" t="s">
        <v>35</v>
      </c>
      <c r="U723">
        <v>31.92</v>
      </c>
      <c r="V723" t="s">
        <v>36</v>
      </c>
      <c r="W723" s="1">
        <v>45175</v>
      </c>
      <c r="X723">
        <v>2025</v>
      </c>
    </row>
    <row r="724" spans="1:24" x14ac:dyDescent="0.25">
      <c r="A724" s="1">
        <v>45888</v>
      </c>
      <c r="B724" t="s">
        <v>2413</v>
      </c>
      <c r="C724" t="s">
        <v>2414</v>
      </c>
      <c r="E724" t="s">
        <v>2415</v>
      </c>
      <c r="F724" t="s">
        <v>27</v>
      </c>
      <c r="G724" t="s">
        <v>28</v>
      </c>
      <c r="H724" t="s">
        <v>127</v>
      </c>
      <c r="I724" t="s">
        <v>30</v>
      </c>
      <c r="J724" t="s">
        <v>128</v>
      </c>
      <c r="L724" s="1">
        <v>45870</v>
      </c>
      <c r="M724" s="1">
        <v>45323</v>
      </c>
      <c r="O724">
        <v>17886092</v>
      </c>
      <c r="P724" t="s">
        <v>32</v>
      </c>
      <c r="Q724" t="s">
        <v>102</v>
      </c>
      <c r="R724">
        <v>8192</v>
      </c>
      <c r="S724" t="s">
        <v>51</v>
      </c>
      <c r="T724" t="s">
        <v>35</v>
      </c>
      <c r="U724">
        <v>2.5</v>
      </c>
      <c r="V724" t="s">
        <v>36</v>
      </c>
      <c r="W724" s="1">
        <v>45294</v>
      </c>
      <c r="X724">
        <v>2025</v>
      </c>
    </row>
    <row r="725" spans="1:24" x14ac:dyDescent="0.25">
      <c r="A725" s="1">
        <v>45888</v>
      </c>
      <c r="B725" t="s">
        <v>2416</v>
      </c>
      <c r="C725" t="s">
        <v>2417</v>
      </c>
      <c r="E725" t="s">
        <v>2418</v>
      </c>
      <c r="F725" t="s">
        <v>27</v>
      </c>
      <c r="G725" t="s">
        <v>28</v>
      </c>
      <c r="H725" t="s">
        <v>29</v>
      </c>
      <c r="I725" t="s">
        <v>30</v>
      </c>
      <c r="J725" t="s">
        <v>50</v>
      </c>
      <c r="L725" s="1">
        <v>45870</v>
      </c>
      <c r="M725" s="1">
        <v>45658</v>
      </c>
      <c r="O725">
        <v>17886092</v>
      </c>
      <c r="P725" t="s">
        <v>32</v>
      </c>
      <c r="Q725" t="s">
        <v>102</v>
      </c>
      <c r="R725">
        <v>8192</v>
      </c>
      <c r="S725" t="s">
        <v>34</v>
      </c>
      <c r="T725" t="s">
        <v>35</v>
      </c>
      <c r="U725">
        <v>3.75</v>
      </c>
      <c r="V725" t="s">
        <v>36</v>
      </c>
      <c r="W725" s="1">
        <v>45450</v>
      </c>
      <c r="X725">
        <v>2025</v>
      </c>
    </row>
    <row r="726" spans="1:24" x14ac:dyDescent="0.25">
      <c r="A726" s="1">
        <v>45888</v>
      </c>
      <c r="B726" t="s">
        <v>2419</v>
      </c>
      <c r="C726" t="s">
        <v>2420</v>
      </c>
      <c r="E726" t="s">
        <v>2421</v>
      </c>
      <c r="F726" t="s">
        <v>27</v>
      </c>
      <c r="G726" t="s">
        <v>28</v>
      </c>
      <c r="H726" t="s">
        <v>29</v>
      </c>
      <c r="I726" t="s">
        <v>30</v>
      </c>
      <c r="J726" t="s">
        <v>50</v>
      </c>
      <c r="L726" s="1">
        <v>45870</v>
      </c>
      <c r="M726" s="1">
        <v>45658</v>
      </c>
      <c r="O726">
        <v>17886092</v>
      </c>
      <c r="P726" t="s">
        <v>32</v>
      </c>
      <c r="Q726" t="s">
        <v>102</v>
      </c>
      <c r="R726">
        <v>8192</v>
      </c>
      <c r="S726" t="s">
        <v>51</v>
      </c>
      <c r="T726" t="s">
        <v>35</v>
      </c>
      <c r="U726">
        <v>2.5</v>
      </c>
      <c r="V726" t="s">
        <v>36</v>
      </c>
      <c r="W726" s="1">
        <v>45266</v>
      </c>
      <c r="X726">
        <v>2025</v>
      </c>
    </row>
    <row r="727" spans="1:24" x14ac:dyDescent="0.25">
      <c r="A727" s="1">
        <v>45888</v>
      </c>
      <c r="B727" t="s">
        <v>2422</v>
      </c>
      <c r="C727" t="s">
        <v>2423</v>
      </c>
      <c r="E727" t="s">
        <v>2424</v>
      </c>
      <c r="F727" t="s">
        <v>27</v>
      </c>
      <c r="G727" t="s">
        <v>28</v>
      </c>
      <c r="H727" t="s">
        <v>29</v>
      </c>
      <c r="I727" t="s">
        <v>30</v>
      </c>
      <c r="J727" t="s">
        <v>50</v>
      </c>
      <c r="L727" s="1">
        <v>45870</v>
      </c>
      <c r="M727" s="1">
        <v>45292</v>
      </c>
      <c r="O727">
        <v>17528908</v>
      </c>
      <c r="P727" t="s">
        <v>32</v>
      </c>
      <c r="Q727" t="s">
        <v>33</v>
      </c>
      <c r="R727">
        <v>8192</v>
      </c>
      <c r="S727" t="s">
        <v>51</v>
      </c>
      <c r="T727" t="s">
        <v>35</v>
      </c>
      <c r="U727">
        <v>31.92</v>
      </c>
      <c r="V727" t="s">
        <v>36</v>
      </c>
      <c r="W727" s="1">
        <v>45215</v>
      </c>
      <c r="X727">
        <v>2025</v>
      </c>
    </row>
    <row r="728" spans="1:24" x14ac:dyDescent="0.25">
      <c r="A728" s="1">
        <v>45888</v>
      </c>
      <c r="B728" t="s">
        <v>2425</v>
      </c>
      <c r="C728" t="s">
        <v>2426</v>
      </c>
      <c r="E728" t="s">
        <v>2427</v>
      </c>
      <c r="F728" t="s">
        <v>27</v>
      </c>
      <c r="G728" t="s">
        <v>28</v>
      </c>
      <c r="H728" t="s">
        <v>29</v>
      </c>
      <c r="I728" t="s">
        <v>30</v>
      </c>
      <c r="J728" t="s">
        <v>46</v>
      </c>
      <c r="L728" s="1">
        <v>45870</v>
      </c>
      <c r="M728" s="1">
        <v>45627</v>
      </c>
      <c r="O728">
        <v>17528908</v>
      </c>
      <c r="P728" t="s">
        <v>32</v>
      </c>
      <c r="Q728" t="s">
        <v>33</v>
      </c>
      <c r="R728">
        <v>8192</v>
      </c>
      <c r="S728" t="s">
        <v>34</v>
      </c>
      <c r="T728" t="s">
        <v>35</v>
      </c>
      <c r="U728">
        <v>33.17</v>
      </c>
      <c r="V728" t="s">
        <v>36</v>
      </c>
      <c r="W728" s="1">
        <v>45586</v>
      </c>
      <c r="X728">
        <v>2025</v>
      </c>
    </row>
    <row r="729" spans="1:24" x14ac:dyDescent="0.25">
      <c r="A729" s="1">
        <v>45888</v>
      </c>
      <c r="B729" t="s">
        <v>2428</v>
      </c>
      <c r="C729" t="s">
        <v>2429</v>
      </c>
      <c r="E729" t="s">
        <v>2430</v>
      </c>
      <c r="F729" t="s">
        <v>27</v>
      </c>
      <c r="G729" t="s">
        <v>28</v>
      </c>
      <c r="H729" t="s">
        <v>127</v>
      </c>
      <c r="I729" t="s">
        <v>30</v>
      </c>
      <c r="J729" t="s">
        <v>128</v>
      </c>
      <c r="L729" s="1">
        <v>45870</v>
      </c>
      <c r="M729" s="1">
        <v>44927</v>
      </c>
      <c r="O729">
        <v>19606009</v>
      </c>
      <c r="P729" t="s">
        <v>32</v>
      </c>
      <c r="Q729" t="s">
        <v>42</v>
      </c>
      <c r="R729">
        <v>8192</v>
      </c>
      <c r="S729" t="s">
        <v>34</v>
      </c>
      <c r="T729" t="s">
        <v>35</v>
      </c>
      <c r="U729">
        <v>1.25</v>
      </c>
      <c r="V729" t="s">
        <v>36</v>
      </c>
      <c r="W729" s="1">
        <v>45870</v>
      </c>
      <c r="X729">
        <v>2025</v>
      </c>
    </row>
    <row r="730" spans="1:24" x14ac:dyDescent="0.25">
      <c r="A730" s="1">
        <v>45888</v>
      </c>
      <c r="B730" t="s">
        <v>2431</v>
      </c>
      <c r="C730" t="s">
        <v>2432</v>
      </c>
      <c r="E730" t="s">
        <v>2433</v>
      </c>
      <c r="F730" t="s">
        <v>27</v>
      </c>
      <c r="G730" t="s">
        <v>28</v>
      </c>
      <c r="H730" t="s">
        <v>29</v>
      </c>
      <c r="I730" t="s">
        <v>30</v>
      </c>
      <c r="J730" t="s">
        <v>70</v>
      </c>
      <c r="L730" s="1">
        <v>45870</v>
      </c>
      <c r="M730" s="1">
        <v>45383</v>
      </c>
      <c r="O730">
        <v>17528908</v>
      </c>
      <c r="P730" t="s">
        <v>32</v>
      </c>
      <c r="Q730" t="s">
        <v>33</v>
      </c>
      <c r="R730">
        <v>8192</v>
      </c>
      <c r="S730" t="s">
        <v>34</v>
      </c>
      <c r="T730" t="s">
        <v>35</v>
      </c>
      <c r="U730">
        <v>33.17</v>
      </c>
      <c r="V730" t="s">
        <v>36</v>
      </c>
      <c r="W730" s="1">
        <v>45337</v>
      </c>
      <c r="X730">
        <v>2025</v>
      </c>
    </row>
    <row r="731" spans="1:24" x14ac:dyDescent="0.25">
      <c r="A731" s="1">
        <v>45888</v>
      </c>
      <c r="B731" t="s">
        <v>2434</v>
      </c>
      <c r="C731" t="s">
        <v>2435</v>
      </c>
      <c r="E731" t="s">
        <v>2436</v>
      </c>
      <c r="F731" t="s">
        <v>27</v>
      </c>
      <c r="G731" t="s">
        <v>28</v>
      </c>
      <c r="H731" t="s">
        <v>29</v>
      </c>
      <c r="I731" t="s">
        <v>30</v>
      </c>
      <c r="J731" t="s">
        <v>1134</v>
      </c>
      <c r="L731" s="1">
        <v>45870</v>
      </c>
      <c r="M731" s="1">
        <v>45323</v>
      </c>
      <c r="O731">
        <v>8307933</v>
      </c>
      <c r="P731" t="s">
        <v>32</v>
      </c>
      <c r="Q731" t="s">
        <v>63</v>
      </c>
      <c r="R731">
        <v>8192</v>
      </c>
      <c r="S731" t="s">
        <v>51</v>
      </c>
      <c r="T731" t="s">
        <v>35</v>
      </c>
      <c r="U731">
        <v>31.92</v>
      </c>
      <c r="V731" t="s">
        <v>36</v>
      </c>
      <c r="W731" s="1">
        <v>45308</v>
      </c>
      <c r="X731">
        <v>2025</v>
      </c>
    </row>
    <row r="732" spans="1:24" x14ac:dyDescent="0.25">
      <c r="A732" s="1">
        <v>45888</v>
      </c>
      <c r="B732" t="s">
        <v>2437</v>
      </c>
      <c r="C732" t="s">
        <v>2438</v>
      </c>
      <c r="E732" t="s">
        <v>2439</v>
      </c>
      <c r="F732" t="s">
        <v>27</v>
      </c>
      <c r="G732" t="s">
        <v>28</v>
      </c>
      <c r="H732" t="s">
        <v>127</v>
      </c>
      <c r="I732" t="s">
        <v>30</v>
      </c>
      <c r="J732" t="s">
        <v>128</v>
      </c>
      <c r="L732" s="1">
        <v>45870</v>
      </c>
      <c r="M732" s="1">
        <v>45658</v>
      </c>
      <c r="O732">
        <v>19278370</v>
      </c>
      <c r="P732" t="s">
        <v>32</v>
      </c>
      <c r="Q732" t="s">
        <v>1054</v>
      </c>
      <c r="R732">
        <v>8192</v>
      </c>
      <c r="S732" t="s">
        <v>51</v>
      </c>
      <c r="T732" t="s">
        <v>35</v>
      </c>
      <c r="U732">
        <v>31.92</v>
      </c>
      <c r="V732" t="s">
        <v>36</v>
      </c>
      <c r="W732" s="1">
        <v>45266</v>
      </c>
      <c r="X732">
        <v>2025</v>
      </c>
    </row>
    <row r="733" spans="1:24" x14ac:dyDescent="0.25">
      <c r="A733" s="1">
        <v>45888</v>
      </c>
      <c r="B733" t="s">
        <v>2440</v>
      </c>
      <c r="C733" t="s">
        <v>2441</v>
      </c>
      <c r="E733" t="s">
        <v>2442</v>
      </c>
      <c r="F733" t="s">
        <v>27</v>
      </c>
      <c r="G733" t="s">
        <v>28</v>
      </c>
      <c r="H733" t="s">
        <v>29</v>
      </c>
      <c r="I733" t="s">
        <v>30</v>
      </c>
      <c r="J733" t="s">
        <v>156</v>
      </c>
      <c r="L733" s="1">
        <v>45870</v>
      </c>
      <c r="M733" s="1">
        <v>45292</v>
      </c>
      <c r="O733">
        <v>19606009</v>
      </c>
      <c r="P733" t="s">
        <v>32</v>
      </c>
      <c r="Q733" t="s">
        <v>42</v>
      </c>
      <c r="R733">
        <v>8192</v>
      </c>
      <c r="S733" t="s">
        <v>51</v>
      </c>
      <c r="T733" t="s">
        <v>35</v>
      </c>
      <c r="U733">
        <v>2.5</v>
      </c>
      <c r="V733" t="s">
        <v>36</v>
      </c>
      <c r="W733" s="1">
        <v>45247</v>
      </c>
      <c r="X733">
        <v>2025</v>
      </c>
    </row>
    <row r="734" spans="1:24" x14ac:dyDescent="0.25">
      <c r="A734" s="1">
        <v>45888</v>
      </c>
      <c r="B734" t="s">
        <v>2443</v>
      </c>
      <c r="C734" t="s">
        <v>2444</v>
      </c>
      <c r="D734" t="s">
        <v>2445</v>
      </c>
      <c r="E734" t="s">
        <v>2446</v>
      </c>
      <c r="F734" t="s">
        <v>27</v>
      </c>
      <c r="G734" t="s">
        <v>28</v>
      </c>
      <c r="H734" t="s">
        <v>29</v>
      </c>
      <c r="I734" t="s">
        <v>152</v>
      </c>
      <c r="J734" t="s">
        <v>674</v>
      </c>
      <c r="L734" s="1">
        <v>45870</v>
      </c>
      <c r="M734" s="1">
        <v>40909</v>
      </c>
      <c r="O734">
        <v>17528908</v>
      </c>
      <c r="P734" t="s">
        <v>32</v>
      </c>
      <c r="Q734" t="s">
        <v>33</v>
      </c>
      <c r="R734">
        <v>8192</v>
      </c>
      <c r="S734" t="s">
        <v>34</v>
      </c>
      <c r="T734" t="s">
        <v>35</v>
      </c>
      <c r="U734">
        <v>33.17</v>
      </c>
      <c r="V734" t="s">
        <v>36</v>
      </c>
      <c r="W734" s="1">
        <v>45689</v>
      </c>
      <c r="X734">
        <v>2025</v>
      </c>
    </row>
    <row r="735" spans="1:24" x14ac:dyDescent="0.25">
      <c r="A735" s="1">
        <v>45888</v>
      </c>
      <c r="B735" t="s">
        <v>2447</v>
      </c>
      <c r="C735" t="s">
        <v>2448</v>
      </c>
      <c r="E735" t="s">
        <v>2449</v>
      </c>
      <c r="F735" t="s">
        <v>27</v>
      </c>
      <c r="G735" t="s">
        <v>28</v>
      </c>
      <c r="H735" t="s">
        <v>29</v>
      </c>
      <c r="I735" t="s">
        <v>30</v>
      </c>
      <c r="J735" t="s">
        <v>46</v>
      </c>
      <c r="L735" s="1">
        <v>45870</v>
      </c>
      <c r="M735" s="1">
        <v>45444</v>
      </c>
      <c r="O735">
        <v>17886092</v>
      </c>
      <c r="P735" t="s">
        <v>32</v>
      </c>
      <c r="Q735" t="s">
        <v>102</v>
      </c>
      <c r="R735">
        <v>8192</v>
      </c>
      <c r="S735" t="s">
        <v>34</v>
      </c>
      <c r="T735" t="s">
        <v>35</v>
      </c>
      <c r="U735">
        <v>3.75</v>
      </c>
      <c r="V735" t="s">
        <v>36</v>
      </c>
      <c r="W735" s="1">
        <v>45420</v>
      </c>
      <c r="X735">
        <v>2025</v>
      </c>
    </row>
    <row r="736" spans="1:24" x14ac:dyDescent="0.25">
      <c r="A736" s="1">
        <v>45888</v>
      </c>
      <c r="B736" t="s">
        <v>2450</v>
      </c>
      <c r="C736" t="s">
        <v>2451</v>
      </c>
      <c r="E736" t="s">
        <v>2452</v>
      </c>
      <c r="F736" t="s">
        <v>27</v>
      </c>
      <c r="G736" t="s">
        <v>28</v>
      </c>
      <c r="H736" t="s">
        <v>29</v>
      </c>
      <c r="I736" t="s">
        <v>30</v>
      </c>
      <c r="J736" t="s">
        <v>46</v>
      </c>
      <c r="L736" s="1">
        <v>45870</v>
      </c>
      <c r="M736" s="1">
        <v>44927</v>
      </c>
      <c r="O736">
        <v>19606009</v>
      </c>
      <c r="P736" t="s">
        <v>32</v>
      </c>
      <c r="Q736" t="s">
        <v>42</v>
      </c>
      <c r="R736">
        <v>8192</v>
      </c>
      <c r="S736" t="s">
        <v>34</v>
      </c>
      <c r="T736" t="s">
        <v>35</v>
      </c>
      <c r="U736">
        <v>1.25</v>
      </c>
      <c r="V736" t="s">
        <v>36</v>
      </c>
      <c r="W736" s="1">
        <v>45839</v>
      </c>
      <c r="X736">
        <v>2025</v>
      </c>
    </row>
    <row r="737" spans="1:24" x14ac:dyDescent="0.25">
      <c r="A737" s="1">
        <v>45888</v>
      </c>
      <c r="B737" t="s">
        <v>2453</v>
      </c>
      <c r="C737" t="s">
        <v>2454</v>
      </c>
      <c r="E737" t="s">
        <v>2455</v>
      </c>
      <c r="F737" t="s">
        <v>27</v>
      </c>
      <c r="G737" t="s">
        <v>28</v>
      </c>
      <c r="H737" t="s">
        <v>29</v>
      </c>
      <c r="I737" t="s">
        <v>40</v>
      </c>
      <c r="J737" t="s">
        <v>46</v>
      </c>
      <c r="L737" s="1">
        <v>45870</v>
      </c>
      <c r="M737" s="1">
        <v>44501</v>
      </c>
      <c r="O737">
        <v>19606009</v>
      </c>
      <c r="P737" t="s">
        <v>32</v>
      </c>
      <c r="Q737" t="s">
        <v>42</v>
      </c>
      <c r="R737">
        <v>8192</v>
      </c>
      <c r="S737" t="s">
        <v>34</v>
      </c>
      <c r="T737" t="s">
        <v>35</v>
      </c>
      <c r="U737">
        <v>1.25</v>
      </c>
      <c r="V737" t="s">
        <v>36</v>
      </c>
      <c r="W737" s="1">
        <v>45870</v>
      </c>
      <c r="X737">
        <v>2025</v>
      </c>
    </row>
    <row r="738" spans="1:24" x14ac:dyDescent="0.25">
      <c r="A738" s="1">
        <v>45888</v>
      </c>
      <c r="B738" t="s">
        <v>2456</v>
      </c>
      <c r="C738" t="s">
        <v>2457</v>
      </c>
      <c r="D738" t="s">
        <v>2458</v>
      </c>
      <c r="E738" t="s">
        <v>2459</v>
      </c>
      <c r="F738" t="s">
        <v>27</v>
      </c>
      <c r="G738" t="s">
        <v>28</v>
      </c>
      <c r="H738" t="s">
        <v>29</v>
      </c>
      <c r="I738" t="s">
        <v>273</v>
      </c>
      <c r="J738" t="s">
        <v>1134</v>
      </c>
      <c r="L738" s="1">
        <v>45870</v>
      </c>
      <c r="M738" s="1">
        <v>43800</v>
      </c>
      <c r="O738">
        <v>19606009</v>
      </c>
      <c r="P738" t="s">
        <v>32</v>
      </c>
      <c r="Q738" t="s">
        <v>42</v>
      </c>
      <c r="R738">
        <v>8192</v>
      </c>
      <c r="S738" t="s">
        <v>34</v>
      </c>
      <c r="T738" t="s">
        <v>35</v>
      </c>
      <c r="U738">
        <v>1.25</v>
      </c>
      <c r="V738" t="s">
        <v>36</v>
      </c>
      <c r="W738" s="1">
        <v>45839</v>
      </c>
      <c r="X738">
        <v>2025</v>
      </c>
    </row>
    <row r="739" spans="1:24" x14ac:dyDescent="0.25">
      <c r="A739" s="1">
        <v>45888</v>
      </c>
      <c r="B739" t="s">
        <v>2460</v>
      </c>
      <c r="C739" t="s">
        <v>2461</v>
      </c>
      <c r="E739" t="s">
        <v>2462</v>
      </c>
      <c r="F739" t="s">
        <v>111</v>
      </c>
      <c r="G739" t="s">
        <v>28</v>
      </c>
      <c r="H739" t="s">
        <v>29</v>
      </c>
      <c r="I739" t="s">
        <v>112</v>
      </c>
      <c r="J739" t="s">
        <v>861</v>
      </c>
      <c r="L739" s="1">
        <v>45870</v>
      </c>
      <c r="M739" s="1">
        <v>45292</v>
      </c>
      <c r="O739">
        <v>16378851</v>
      </c>
      <c r="P739" t="s">
        <v>32</v>
      </c>
      <c r="Q739" t="s">
        <v>114</v>
      </c>
      <c r="R739">
        <v>8192</v>
      </c>
      <c r="S739" t="s">
        <v>51</v>
      </c>
      <c r="T739" t="s">
        <v>35</v>
      </c>
      <c r="U739">
        <v>28.58</v>
      </c>
      <c r="V739" t="s">
        <v>36</v>
      </c>
      <c r="W739" s="1">
        <v>45264</v>
      </c>
      <c r="X739">
        <v>2025</v>
      </c>
    </row>
    <row r="740" spans="1:24" x14ac:dyDescent="0.25">
      <c r="A740" s="1">
        <v>45888</v>
      </c>
      <c r="B740" t="s">
        <v>2463</v>
      </c>
      <c r="C740" t="s">
        <v>2464</v>
      </c>
      <c r="D740" t="s">
        <v>2465</v>
      </c>
      <c r="E740" t="s">
        <v>2466</v>
      </c>
      <c r="F740" t="s">
        <v>27</v>
      </c>
      <c r="G740" t="s">
        <v>28</v>
      </c>
      <c r="H740" t="s">
        <v>29</v>
      </c>
      <c r="I740" t="s">
        <v>152</v>
      </c>
      <c r="J740" t="s">
        <v>46</v>
      </c>
      <c r="L740" s="1">
        <v>45870</v>
      </c>
      <c r="M740" s="1">
        <v>40909</v>
      </c>
      <c r="O740">
        <v>17886092</v>
      </c>
      <c r="P740" t="s">
        <v>32</v>
      </c>
      <c r="Q740" t="s">
        <v>102</v>
      </c>
      <c r="R740">
        <v>8192</v>
      </c>
      <c r="S740" t="s">
        <v>34</v>
      </c>
      <c r="T740" t="s">
        <v>35</v>
      </c>
      <c r="U740">
        <v>1.25</v>
      </c>
      <c r="V740" t="s">
        <v>36</v>
      </c>
      <c r="W740" s="1">
        <v>45658</v>
      </c>
      <c r="X740">
        <v>2025</v>
      </c>
    </row>
    <row r="741" spans="1:24" x14ac:dyDescent="0.25">
      <c r="A741" s="1">
        <v>45888</v>
      </c>
      <c r="B741" t="s">
        <v>2467</v>
      </c>
      <c r="C741" t="s">
        <v>2468</v>
      </c>
      <c r="E741" t="s">
        <v>2469</v>
      </c>
      <c r="F741" t="s">
        <v>27</v>
      </c>
      <c r="G741" t="s">
        <v>28</v>
      </c>
      <c r="H741" t="s">
        <v>127</v>
      </c>
      <c r="I741" t="s">
        <v>30</v>
      </c>
      <c r="J741" t="s">
        <v>128</v>
      </c>
      <c r="L741" s="1">
        <v>45870</v>
      </c>
      <c r="M741" s="1">
        <v>44562</v>
      </c>
      <c r="O741">
        <v>19606009</v>
      </c>
      <c r="P741" t="s">
        <v>32</v>
      </c>
      <c r="Q741" t="s">
        <v>42</v>
      </c>
      <c r="R741">
        <v>8192</v>
      </c>
      <c r="S741" t="s">
        <v>51</v>
      </c>
      <c r="T741" t="s">
        <v>35</v>
      </c>
      <c r="U741">
        <v>2.5</v>
      </c>
      <c r="V741" t="s">
        <v>36</v>
      </c>
      <c r="W741" s="1">
        <v>45231</v>
      </c>
      <c r="X741">
        <v>2025</v>
      </c>
    </row>
    <row r="742" spans="1:24" x14ac:dyDescent="0.25">
      <c r="A742" s="1">
        <v>45888</v>
      </c>
      <c r="B742" t="s">
        <v>2470</v>
      </c>
      <c r="C742" t="s">
        <v>2471</v>
      </c>
      <c r="E742" t="s">
        <v>2472</v>
      </c>
      <c r="F742" t="s">
        <v>27</v>
      </c>
      <c r="G742" t="s">
        <v>28</v>
      </c>
      <c r="H742" t="s">
        <v>29</v>
      </c>
      <c r="I742" t="s">
        <v>30</v>
      </c>
      <c r="J742" t="s">
        <v>46</v>
      </c>
      <c r="L742" s="1">
        <v>45870</v>
      </c>
      <c r="M742" s="1">
        <v>44562</v>
      </c>
      <c r="O742">
        <v>19606009</v>
      </c>
      <c r="P742" t="s">
        <v>32</v>
      </c>
      <c r="Q742" t="s">
        <v>42</v>
      </c>
      <c r="R742">
        <v>8192</v>
      </c>
      <c r="S742" t="s">
        <v>34</v>
      </c>
      <c r="T742" t="s">
        <v>35</v>
      </c>
      <c r="U742">
        <v>1.25</v>
      </c>
      <c r="V742" t="s">
        <v>36</v>
      </c>
      <c r="W742" s="1">
        <v>45839</v>
      </c>
      <c r="X742">
        <v>2025</v>
      </c>
    </row>
    <row r="743" spans="1:24" x14ac:dyDescent="0.25">
      <c r="A743" s="1">
        <v>45888</v>
      </c>
      <c r="B743" t="s">
        <v>2473</v>
      </c>
      <c r="C743" t="s">
        <v>2474</v>
      </c>
      <c r="E743" t="s">
        <v>2475</v>
      </c>
      <c r="F743" t="s">
        <v>27</v>
      </c>
      <c r="G743" t="s">
        <v>28</v>
      </c>
      <c r="H743" t="s">
        <v>29</v>
      </c>
      <c r="I743" t="s">
        <v>30</v>
      </c>
      <c r="J743" t="s">
        <v>31</v>
      </c>
      <c r="L743" s="1">
        <v>45870</v>
      </c>
      <c r="M743" s="1">
        <v>45292</v>
      </c>
      <c r="O743">
        <v>17528908</v>
      </c>
      <c r="P743" t="s">
        <v>32</v>
      </c>
      <c r="Q743" t="s">
        <v>33</v>
      </c>
      <c r="R743">
        <v>8192</v>
      </c>
      <c r="S743" t="s">
        <v>51</v>
      </c>
      <c r="T743" t="s">
        <v>35</v>
      </c>
      <c r="U743">
        <v>31.92</v>
      </c>
      <c r="V743" t="s">
        <v>36</v>
      </c>
      <c r="W743" s="1">
        <v>45266</v>
      </c>
      <c r="X743">
        <v>2025</v>
      </c>
    </row>
    <row r="744" spans="1:24" x14ac:dyDescent="0.25">
      <c r="A744" s="1">
        <v>45888</v>
      </c>
      <c r="B744" t="s">
        <v>2476</v>
      </c>
      <c r="C744" t="s">
        <v>2477</v>
      </c>
      <c r="E744" t="s">
        <v>2478</v>
      </c>
      <c r="F744" t="s">
        <v>27</v>
      </c>
      <c r="G744" t="s">
        <v>28</v>
      </c>
      <c r="H744" t="s">
        <v>29</v>
      </c>
      <c r="I744" t="s">
        <v>30</v>
      </c>
      <c r="J744" t="s">
        <v>31</v>
      </c>
      <c r="L744" s="1">
        <v>45870</v>
      </c>
      <c r="M744" s="1">
        <v>45292</v>
      </c>
      <c r="O744">
        <v>17886092</v>
      </c>
      <c r="P744" t="s">
        <v>32</v>
      </c>
      <c r="Q744" t="s">
        <v>102</v>
      </c>
      <c r="R744">
        <v>8192</v>
      </c>
      <c r="S744" t="s">
        <v>51</v>
      </c>
      <c r="T744" t="s">
        <v>35</v>
      </c>
      <c r="U744">
        <v>2.5</v>
      </c>
      <c r="V744" t="s">
        <v>36</v>
      </c>
      <c r="W744" s="1">
        <v>45274</v>
      </c>
      <c r="X744">
        <v>2025</v>
      </c>
    </row>
    <row r="745" spans="1:24" x14ac:dyDescent="0.25">
      <c r="A745" s="1">
        <v>45888</v>
      </c>
      <c r="B745" t="s">
        <v>2479</v>
      </c>
      <c r="C745" t="s">
        <v>2480</v>
      </c>
      <c r="E745" t="s">
        <v>2481</v>
      </c>
      <c r="F745" t="s">
        <v>27</v>
      </c>
      <c r="G745" t="s">
        <v>28</v>
      </c>
      <c r="H745" t="s">
        <v>29</v>
      </c>
      <c r="I745" t="s">
        <v>30</v>
      </c>
      <c r="J745" t="s">
        <v>31</v>
      </c>
      <c r="L745" s="1">
        <v>45870</v>
      </c>
      <c r="M745" s="1">
        <v>45292</v>
      </c>
      <c r="O745">
        <v>17886092</v>
      </c>
      <c r="P745" t="s">
        <v>32</v>
      </c>
      <c r="Q745" t="s">
        <v>102</v>
      </c>
      <c r="R745">
        <v>8192</v>
      </c>
      <c r="S745" t="s">
        <v>51</v>
      </c>
      <c r="T745" t="s">
        <v>35</v>
      </c>
      <c r="U745">
        <v>2.5</v>
      </c>
      <c r="V745" t="s">
        <v>36</v>
      </c>
      <c r="W745" s="1">
        <v>45274</v>
      </c>
      <c r="X745">
        <v>2025</v>
      </c>
    </row>
    <row r="746" spans="1:24" x14ac:dyDescent="0.25">
      <c r="A746" s="1">
        <v>45888</v>
      </c>
      <c r="B746" t="s">
        <v>2482</v>
      </c>
      <c r="C746" t="s">
        <v>2483</v>
      </c>
      <c r="E746" t="s">
        <v>2484</v>
      </c>
      <c r="F746" t="s">
        <v>27</v>
      </c>
      <c r="G746" t="s">
        <v>28</v>
      </c>
      <c r="H746" t="s">
        <v>29</v>
      </c>
      <c r="I746" t="s">
        <v>30</v>
      </c>
      <c r="J746" t="s">
        <v>55</v>
      </c>
      <c r="L746" s="1">
        <v>45870</v>
      </c>
      <c r="M746" s="1">
        <v>45292</v>
      </c>
      <c r="O746">
        <v>16509456</v>
      </c>
      <c r="P746" t="s">
        <v>32</v>
      </c>
      <c r="Q746" t="s">
        <v>107</v>
      </c>
      <c r="R746">
        <v>8192</v>
      </c>
      <c r="S746" t="s">
        <v>51</v>
      </c>
      <c r="T746" t="s">
        <v>35</v>
      </c>
      <c r="U746">
        <v>31.92</v>
      </c>
      <c r="V746" t="s">
        <v>36</v>
      </c>
      <c r="W746" s="1">
        <v>45229</v>
      </c>
      <c r="X746">
        <v>2025</v>
      </c>
    </row>
    <row r="747" spans="1:24" x14ac:dyDescent="0.25">
      <c r="A747" s="1">
        <v>45888</v>
      </c>
      <c r="B747" t="s">
        <v>2485</v>
      </c>
      <c r="C747" t="s">
        <v>2486</v>
      </c>
      <c r="E747" t="s">
        <v>2487</v>
      </c>
      <c r="F747" t="s">
        <v>27</v>
      </c>
      <c r="G747" t="s">
        <v>28</v>
      </c>
      <c r="H747" t="s">
        <v>29</v>
      </c>
      <c r="I747" t="s">
        <v>30</v>
      </c>
      <c r="J747" t="s">
        <v>156</v>
      </c>
      <c r="L747" s="1">
        <v>45870</v>
      </c>
      <c r="M747" s="1">
        <v>45323</v>
      </c>
      <c r="O747">
        <v>17528908</v>
      </c>
      <c r="P747" t="s">
        <v>32</v>
      </c>
      <c r="Q747" t="s">
        <v>33</v>
      </c>
      <c r="R747">
        <v>8192</v>
      </c>
      <c r="S747" t="s">
        <v>51</v>
      </c>
      <c r="T747" t="s">
        <v>35</v>
      </c>
      <c r="U747">
        <v>31.92</v>
      </c>
      <c r="V747" t="s">
        <v>36</v>
      </c>
      <c r="W747" s="1">
        <v>45293</v>
      </c>
      <c r="X747">
        <v>2025</v>
      </c>
    </row>
    <row r="748" spans="1:24" x14ac:dyDescent="0.25">
      <c r="A748" s="1">
        <v>45888</v>
      </c>
      <c r="B748" t="s">
        <v>2488</v>
      </c>
      <c r="C748" t="s">
        <v>2489</v>
      </c>
      <c r="E748" t="s">
        <v>2490</v>
      </c>
      <c r="F748" t="s">
        <v>27</v>
      </c>
      <c r="G748" t="s">
        <v>28</v>
      </c>
      <c r="H748" t="s">
        <v>29</v>
      </c>
      <c r="I748" t="s">
        <v>30</v>
      </c>
      <c r="J748" t="s">
        <v>46</v>
      </c>
      <c r="L748" s="1">
        <v>45870</v>
      </c>
      <c r="M748" s="1">
        <v>44682</v>
      </c>
      <c r="O748">
        <v>19606009</v>
      </c>
      <c r="P748" t="s">
        <v>32</v>
      </c>
      <c r="Q748" t="s">
        <v>42</v>
      </c>
      <c r="R748">
        <v>8192</v>
      </c>
      <c r="S748" t="s">
        <v>34</v>
      </c>
      <c r="T748" t="s">
        <v>35</v>
      </c>
      <c r="U748">
        <v>1.25</v>
      </c>
      <c r="V748" t="s">
        <v>36</v>
      </c>
      <c r="W748" s="1">
        <v>45839</v>
      </c>
      <c r="X748">
        <v>2025</v>
      </c>
    </row>
    <row r="749" spans="1:24" x14ac:dyDescent="0.25">
      <c r="A749" s="1">
        <v>45888</v>
      </c>
      <c r="B749" t="s">
        <v>2491</v>
      </c>
      <c r="C749" t="s">
        <v>2492</v>
      </c>
      <c r="E749" t="s">
        <v>2493</v>
      </c>
      <c r="F749" t="s">
        <v>27</v>
      </c>
      <c r="G749" t="s">
        <v>28</v>
      </c>
      <c r="H749" t="s">
        <v>29</v>
      </c>
      <c r="I749" t="s">
        <v>30</v>
      </c>
      <c r="J749" t="s">
        <v>46</v>
      </c>
      <c r="L749" s="1">
        <v>45870</v>
      </c>
      <c r="M749" s="1">
        <v>44562</v>
      </c>
      <c r="O749">
        <v>19606009</v>
      </c>
      <c r="P749" t="s">
        <v>32</v>
      </c>
      <c r="Q749" t="s">
        <v>42</v>
      </c>
      <c r="R749">
        <v>8192</v>
      </c>
      <c r="S749" t="s">
        <v>34</v>
      </c>
      <c r="T749" t="s">
        <v>35</v>
      </c>
      <c r="U749">
        <v>1.25</v>
      </c>
      <c r="V749" t="s">
        <v>36</v>
      </c>
      <c r="W749" s="1">
        <v>45839</v>
      </c>
      <c r="X749">
        <v>2025</v>
      </c>
    </row>
    <row r="750" spans="1:24" x14ac:dyDescent="0.25">
      <c r="A750" s="1">
        <v>45888</v>
      </c>
      <c r="B750" t="s">
        <v>2494</v>
      </c>
      <c r="C750" t="s">
        <v>2495</v>
      </c>
      <c r="E750" t="s">
        <v>2496</v>
      </c>
      <c r="F750" t="s">
        <v>27</v>
      </c>
      <c r="G750" t="s">
        <v>28</v>
      </c>
      <c r="H750" t="s">
        <v>29</v>
      </c>
      <c r="I750" t="s">
        <v>30</v>
      </c>
      <c r="J750" t="s">
        <v>202</v>
      </c>
      <c r="L750" s="1">
        <v>45870</v>
      </c>
      <c r="M750" s="1">
        <v>45413</v>
      </c>
      <c r="O750">
        <v>17886092</v>
      </c>
      <c r="P750" t="s">
        <v>32</v>
      </c>
      <c r="Q750" t="s">
        <v>102</v>
      </c>
      <c r="R750">
        <v>8192</v>
      </c>
      <c r="S750" t="s">
        <v>51</v>
      </c>
      <c r="T750" t="s">
        <v>35</v>
      </c>
      <c r="U750">
        <v>2.5</v>
      </c>
      <c r="V750" t="s">
        <v>36</v>
      </c>
      <c r="W750" s="1">
        <v>45265</v>
      </c>
      <c r="X750">
        <v>2025</v>
      </c>
    </row>
    <row r="751" spans="1:24" x14ac:dyDescent="0.25">
      <c r="A751" s="1">
        <v>45888</v>
      </c>
      <c r="B751" t="s">
        <v>2497</v>
      </c>
      <c r="C751" t="s">
        <v>2498</v>
      </c>
      <c r="E751" t="s">
        <v>2499</v>
      </c>
      <c r="F751" t="s">
        <v>27</v>
      </c>
      <c r="G751" t="s">
        <v>28</v>
      </c>
      <c r="H751" t="s">
        <v>29</v>
      </c>
      <c r="I751" t="s">
        <v>30</v>
      </c>
      <c r="J751" t="s">
        <v>46</v>
      </c>
      <c r="L751" s="1">
        <v>45870</v>
      </c>
      <c r="M751" s="1">
        <v>45292</v>
      </c>
      <c r="O751">
        <v>17886092</v>
      </c>
      <c r="P751" t="s">
        <v>32</v>
      </c>
      <c r="Q751" t="s">
        <v>102</v>
      </c>
      <c r="R751">
        <v>8192</v>
      </c>
      <c r="S751" t="s">
        <v>51</v>
      </c>
      <c r="T751" t="s">
        <v>35</v>
      </c>
      <c r="U751">
        <v>2.5</v>
      </c>
      <c r="V751" t="s">
        <v>36</v>
      </c>
      <c r="W751" s="1">
        <v>45215</v>
      </c>
      <c r="X751">
        <v>2025</v>
      </c>
    </row>
    <row r="752" spans="1:24" x14ac:dyDescent="0.25">
      <c r="A752" s="1">
        <v>45888</v>
      </c>
      <c r="B752" t="s">
        <v>2500</v>
      </c>
      <c r="C752" t="s">
        <v>2501</v>
      </c>
      <c r="E752" t="s">
        <v>2502</v>
      </c>
      <c r="F752" t="s">
        <v>27</v>
      </c>
      <c r="G752" t="s">
        <v>28</v>
      </c>
      <c r="H752" t="s">
        <v>29</v>
      </c>
      <c r="I752" t="s">
        <v>30</v>
      </c>
      <c r="J752" t="s">
        <v>46</v>
      </c>
      <c r="L752" s="1">
        <v>45870</v>
      </c>
      <c r="M752" s="1">
        <v>44562</v>
      </c>
      <c r="O752">
        <v>19606009</v>
      </c>
      <c r="P752" t="s">
        <v>32</v>
      </c>
      <c r="Q752" t="s">
        <v>42</v>
      </c>
      <c r="R752">
        <v>8192</v>
      </c>
      <c r="S752" t="s">
        <v>34</v>
      </c>
      <c r="T752" t="s">
        <v>35</v>
      </c>
      <c r="U752">
        <v>1.25</v>
      </c>
      <c r="V752" t="s">
        <v>36</v>
      </c>
      <c r="W752" s="1">
        <v>45870</v>
      </c>
      <c r="X752">
        <v>2025</v>
      </c>
    </row>
    <row r="753" spans="1:24" x14ac:dyDescent="0.25">
      <c r="A753" s="1">
        <v>45888</v>
      </c>
      <c r="B753" t="s">
        <v>2503</v>
      </c>
      <c r="C753" t="s">
        <v>2504</v>
      </c>
      <c r="E753" t="s">
        <v>2505</v>
      </c>
      <c r="F753" t="s">
        <v>27</v>
      </c>
      <c r="G753" t="s">
        <v>28</v>
      </c>
      <c r="H753" t="s">
        <v>29</v>
      </c>
      <c r="I753" t="s">
        <v>30</v>
      </c>
      <c r="J753" t="s">
        <v>31</v>
      </c>
      <c r="L753" s="1">
        <v>45870</v>
      </c>
      <c r="M753" s="1">
        <v>45323</v>
      </c>
      <c r="O753">
        <v>17886092</v>
      </c>
      <c r="P753" t="s">
        <v>32</v>
      </c>
      <c r="Q753" t="s">
        <v>102</v>
      </c>
      <c r="R753">
        <v>8192</v>
      </c>
      <c r="S753" t="s">
        <v>51</v>
      </c>
      <c r="T753" t="s">
        <v>35</v>
      </c>
      <c r="U753">
        <v>2.5</v>
      </c>
      <c r="V753" t="s">
        <v>36</v>
      </c>
      <c r="W753" s="1">
        <v>45303</v>
      </c>
      <c r="X753">
        <v>2025</v>
      </c>
    </row>
    <row r="754" spans="1:24" x14ac:dyDescent="0.25">
      <c r="A754" s="1">
        <v>45888</v>
      </c>
      <c r="B754" t="s">
        <v>2506</v>
      </c>
      <c r="C754" t="s">
        <v>2507</v>
      </c>
      <c r="E754" t="s">
        <v>2508</v>
      </c>
      <c r="F754" t="s">
        <v>27</v>
      </c>
      <c r="G754" t="s">
        <v>28</v>
      </c>
      <c r="H754" t="s">
        <v>29</v>
      </c>
      <c r="I754" t="s">
        <v>30</v>
      </c>
      <c r="J754" t="s">
        <v>46</v>
      </c>
      <c r="L754" s="1">
        <v>45870</v>
      </c>
      <c r="M754" s="1">
        <v>45292</v>
      </c>
      <c r="O754">
        <v>17886092</v>
      </c>
      <c r="P754" t="s">
        <v>32</v>
      </c>
      <c r="Q754" t="s">
        <v>102</v>
      </c>
      <c r="R754">
        <v>8192</v>
      </c>
      <c r="S754" t="s">
        <v>51</v>
      </c>
      <c r="T754" t="s">
        <v>35</v>
      </c>
      <c r="U754">
        <v>2.5</v>
      </c>
      <c r="V754" t="s">
        <v>36</v>
      </c>
      <c r="W754" s="1">
        <v>45264</v>
      </c>
      <c r="X754">
        <v>2025</v>
      </c>
    </row>
    <row r="755" spans="1:24" x14ac:dyDescent="0.25">
      <c r="A755" s="1">
        <v>45888</v>
      </c>
      <c r="B755" t="s">
        <v>2509</v>
      </c>
      <c r="C755" t="s">
        <v>2510</v>
      </c>
      <c r="E755" t="s">
        <v>2511</v>
      </c>
      <c r="F755" t="s">
        <v>27</v>
      </c>
      <c r="G755" t="s">
        <v>28</v>
      </c>
      <c r="H755" t="s">
        <v>29</v>
      </c>
      <c r="I755" t="s">
        <v>30</v>
      </c>
      <c r="J755" t="s">
        <v>46</v>
      </c>
      <c r="L755" s="1">
        <v>45870</v>
      </c>
      <c r="M755" s="1">
        <v>45292</v>
      </c>
      <c r="O755">
        <v>17886092</v>
      </c>
      <c r="P755" t="s">
        <v>32</v>
      </c>
      <c r="Q755" t="s">
        <v>102</v>
      </c>
      <c r="R755">
        <v>8192</v>
      </c>
      <c r="S755" t="s">
        <v>51</v>
      </c>
      <c r="T755" t="s">
        <v>35</v>
      </c>
      <c r="U755">
        <v>2.5</v>
      </c>
      <c r="V755" t="s">
        <v>36</v>
      </c>
      <c r="W755" s="1">
        <v>45264</v>
      </c>
      <c r="X755">
        <v>2025</v>
      </c>
    </row>
    <row r="756" spans="1:24" x14ac:dyDescent="0.25">
      <c r="A756" s="1">
        <v>45888</v>
      </c>
      <c r="B756" t="s">
        <v>2512</v>
      </c>
      <c r="C756" t="s">
        <v>2513</v>
      </c>
      <c r="E756" t="s">
        <v>2514</v>
      </c>
      <c r="F756" t="s">
        <v>1319</v>
      </c>
      <c r="G756" t="s">
        <v>28</v>
      </c>
      <c r="H756" t="s">
        <v>29</v>
      </c>
      <c r="I756" t="s">
        <v>445</v>
      </c>
      <c r="J756" t="s">
        <v>2104</v>
      </c>
      <c r="L756" s="1">
        <v>45870</v>
      </c>
      <c r="M756" s="1">
        <v>45383</v>
      </c>
      <c r="O756">
        <v>16378851</v>
      </c>
      <c r="P756" t="s">
        <v>32</v>
      </c>
      <c r="Q756" t="s">
        <v>114</v>
      </c>
      <c r="R756">
        <v>8192</v>
      </c>
      <c r="S756" t="s">
        <v>34</v>
      </c>
      <c r="T756" t="s">
        <v>35</v>
      </c>
      <c r="U756">
        <v>29.83</v>
      </c>
      <c r="V756" t="s">
        <v>36</v>
      </c>
      <c r="W756" s="1">
        <v>45382</v>
      </c>
      <c r="X756">
        <v>2025</v>
      </c>
    </row>
    <row r="757" spans="1:24" x14ac:dyDescent="0.25">
      <c r="A757" s="1">
        <v>45888</v>
      </c>
      <c r="B757" t="s">
        <v>2515</v>
      </c>
      <c r="C757" t="s">
        <v>2516</v>
      </c>
      <c r="E757" t="s">
        <v>2517</v>
      </c>
      <c r="F757" t="s">
        <v>27</v>
      </c>
      <c r="G757" t="s">
        <v>28</v>
      </c>
      <c r="H757" t="s">
        <v>29</v>
      </c>
      <c r="I757" t="s">
        <v>30</v>
      </c>
      <c r="J757" t="s">
        <v>1177</v>
      </c>
      <c r="L757" s="1">
        <v>45870</v>
      </c>
      <c r="M757" s="1">
        <v>45383</v>
      </c>
      <c r="O757">
        <v>17425766</v>
      </c>
      <c r="P757" t="s">
        <v>32</v>
      </c>
      <c r="Q757" t="s">
        <v>56</v>
      </c>
      <c r="R757">
        <v>8192</v>
      </c>
      <c r="S757" t="s">
        <v>34</v>
      </c>
      <c r="T757" t="s">
        <v>35</v>
      </c>
      <c r="U757">
        <v>33.17</v>
      </c>
      <c r="V757" t="s">
        <v>36</v>
      </c>
      <c r="W757" s="1">
        <v>45370</v>
      </c>
      <c r="X757">
        <v>2025</v>
      </c>
    </row>
    <row r="758" spans="1:24" x14ac:dyDescent="0.25">
      <c r="A758" s="1">
        <v>45888</v>
      </c>
      <c r="B758" t="s">
        <v>2518</v>
      </c>
      <c r="C758" t="s">
        <v>2519</v>
      </c>
      <c r="E758" t="s">
        <v>2520</v>
      </c>
      <c r="F758" t="s">
        <v>27</v>
      </c>
      <c r="G758" t="s">
        <v>28</v>
      </c>
      <c r="H758" t="s">
        <v>29</v>
      </c>
      <c r="I758" t="s">
        <v>30</v>
      </c>
      <c r="J758" t="s">
        <v>156</v>
      </c>
      <c r="L758" s="1">
        <v>45870</v>
      </c>
      <c r="M758" s="1">
        <v>45292</v>
      </c>
      <c r="O758">
        <v>19606009</v>
      </c>
      <c r="P758" t="s">
        <v>32</v>
      </c>
      <c r="Q758" t="s">
        <v>42</v>
      </c>
      <c r="R758">
        <v>8192</v>
      </c>
      <c r="S758" t="s">
        <v>51</v>
      </c>
      <c r="T758" t="s">
        <v>35</v>
      </c>
      <c r="U758">
        <v>2.5</v>
      </c>
      <c r="V758" t="s">
        <v>36</v>
      </c>
      <c r="W758" s="1">
        <v>45224</v>
      </c>
      <c r="X758">
        <v>2025</v>
      </c>
    </row>
    <row r="759" spans="1:24" x14ac:dyDescent="0.25">
      <c r="A759" s="1">
        <v>45888</v>
      </c>
      <c r="B759" t="s">
        <v>2521</v>
      </c>
      <c r="C759" t="s">
        <v>2522</v>
      </c>
      <c r="E759" t="s">
        <v>2523</v>
      </c>
      <c r="F759" t="s">
        <v>27</v>
      </c>
      <c r="G759" t="s">
        <v>28</v>
      </c>
      <c r="H759" t="s">
        <v>29</v>
      </c>
      <c r="I759" t="s">
        <v>30</v>
      </c>
      <c r="J759" t="s">
        <v>46</v>
      </c>
      <c r="L759" s="1">
        <v>45870</v>
      </c>
      <c r="M759" s="1">
        <v>45292</v>
      </c>
      <c r="O759">
        <v>17886092</v>
      </c>
      <c r="P759" t="s">
        <v>32</v>
      </c>
      <c r="Q759" t="s">
        <v>102</v>
      </c>
      <c r="R759">
        <v>8192</v>
      </c>
      <c r="S759" t="s">
        <v>51</v>
      </c>
      <c r="T759" t="s">
        <v>35</v>
      </c>
      <c r="U759">
        <v>2.5</v>
      </c>
      <c r="V759" t="s">
        <v>36</v>
      </c>
      <c r="W759" s="1">
        <v>45239</v>
      </c>
      <c r="X759">
        <v>2025</v>
      </c>
    </row>
    <row r="760" spans="1:24" x14ac:dyDescent="0.25">
      <c r="A760" s="1">
        <v>45888</v>
      </c>
      <c r="B760" t="s">
        <v>2524</v>
      </c>
      <c r="C760" t="s">
        <v>2525</v>
      </c>
      <c r="E760" t="s">
        <v>2526</v>
      </c>
      <c r="F760" t="s">
        <v>27</v>
      </c>
      <c r="G760" t="s">
        <v>28</v>
      </c>
      <c r="H760" t="s">
        <v>29</v>
      </c>
      <c r="I760" t="s">
        <v>40</v>
      </c>
      <c r="J760" t="s">
        <v>46</v>
      </c>
      <c r="L760" s="1">
        <v>45870</v>
      </c>
      <c r="M760" s="1">
        <v>44501</v>
      </c>
      <c r="O760">
        <v>19606009</v>
      </c>
      <c r="P760" t="s">
        <v>32</v>
      </c>
      <c r="Q760" t="s">
        <v>42</v>
      </c>
      <c r="R760">
        <v>8192</v>
      </c>
      <c r="S760" t="s">
        <v>34</v>
      </c>
      <c r="T760" t="s">
        <v>35</v>
      </c>
      <c r="U760">
        <v>1.25</v>
      </c>
      <c r="V760" t="s">
        <v>36</v>
      </c>
      <c r="W760" s="1">
        <v>45839</v>
      </c>
      <c r="X760">
        <v>2025</v>
      </c>
    </row>
    <row r="761" spans="1:24" x14ac:dyDescent="0.25">
      <c r="A761" s="1">
        <v>45888</v>
      </c>
      <c r="B761" t="s">
        <v>2527</v>
      </c>
      <c r="C761" t="s">
        <v>2528</v>
      </c>
      <c r="E761" t="s">
        <v>2529</v>
      </c>
      <c r="F761" t="s">
        <v>95</v>
      </c>
      <c r="G761" t="s">
        <v>28</v>
      </c>
      <c r="H761" t="s">
        <v>29</v>
      </c>
      <c r="I761" t="s">
        <v>1286</v>
      </c>
      <c r="J761" t="s">
        <v>1287</v>
      </c>
      <c r="L761" s="1">
        <v>45870</v>
      </c>
      <c r="M761" s="1">
        <v>45597</v>
      </c>
      <c r="O761">
        <v>5442438</v>
      </c>
      <c r="P761" t="s">
        <v>32</v>
      </c>
      <c r="Q761" t="s">
        <v>2530</v>
      </c>
      <c r="R761">
        <v>8192</v>
      </c>
      <c r="S761" t="s">
        <v>34</v>
      </c>
      <c r="T761" t="s">
        <v>35</v>
      </c>
      <c r="U761">
        <v>29.83</v>
      </c>
      <c r="V761" t="s">
        <v>36</v>
      </c>
      <c r="W761" s="1">
        <v>45586</v>
      </c>
      <c r="X761">
        <v>2025</v>
      </c>
    </row>
    <row r="762" spans="1:24" x14ac:dyDescent="0.25">
      <c r="A762" s="1">
        <v>45888</v>
      </c>
      <c r="B762" t="s">
        <v>2531</v>
      </c>
      <c r="C762" t="s">
        <v>2532</v>
      </c>
      <c r="E762" t="s">
        <v>2533</v>
      </c>
      <c r="F762" t="s">
        <v>27</v>
      </c>
      <c r="G762" t="s">
        <v>28</v>
      </c>
      <c r="H762" t="s">
        <v>29</v>
      </c>
      <c r="I762" t="s">
        <v>30</v>
      </c>
      <c r="J762" t="s">
        <v>50</v>
      </c>
      <c r="L762" s="1">
        <v>45870</v>
      </c>
      <c r="M762" s="1">
        <v>45658</v>
      </c>
      <c r="O762">
        <v>19606009</v>
      </c>
      <c r="P762" t="s">
        <v>32</v>
      </c>
      <c r="Q762" t="s">
        <v>42</v>
      </c>
      <c r="R762">
        <v>8192</v>
      </c>
      <c r="S762" t="s">
        <v>34</v>
      </c>
      <c r="T762" t="s">
        <v>35</v>
      </c>
      <c r="U762">
        <v>1.25</v>
      </c>
      <c r="V762" t="s">
        <v>36</v>
      </c>
      <c r="W762" s="1">
        <v>45839</v>
      </c>
      <c r="X762">
        <v>2025</v>
      </c>
    </row>
    <row r="763" spans="1:24" x14ac:dyDescent="0.25">
      <c r="A763" s="1">
        <v>45888</v>
      </c>
      <c r="B763" t="s">
        <v>2534</v>
      </c>
      <c r="C763" t="s">
        <v>2535</v>
      </c>
      <c r="E763" t="s">
        <v>2536</v>
      </c>
      <c r="F763" t="s">
        <v>1461</v>
      </c>
      <c r="G763" t="s">
        <v>28</v>
      </c>
      <c r="H763" t="s">
        <v>127</v>
      </c>
      <c r="I763" t="s">
        <v>112</v>
      </c>
      <c r="J763" t="s">
        <v>2537</v>
      </c>
      <c r="L763" s="1">
        <v>45870</v>
      </c>
      <c r="M763" s="1">
        <v>45292</v>
      </c>
      <c r="O763">
        <v>9213293</v>
      </c>
      <c r="P763" t="s">
        <v>32</v>
      </c>
      <c r="Q763" t="s">
        <v>252</v>
      </c>
      <c r="R763">
        <v>8192</v>
      </c>
      <c r="S763" t="s">
        <v>34</v>
      </c>
      <c r="T763" t="s">
        <v>35</v>
      </c>
      <c r="U763">
        <v>29.83</v>
      </c>
      <c r="V763" t="s">
        <v>36</v>
      </c>
      <c r="W763" s="1">
        <v>45658</v>
      </c>
      <c r="X763">
        <v>2025</v>
      </c>
    </row>
    <row r="764" spans="1:24" x14ac:dyDescent="0.25">
      <c r="A764" s="1">
        <v>45888</v>
      </c>
      <c r="B764" t="s">
        <v>2538</v>
      </c>
      <c r="C764" t="s">
        <v>2539</v>
      </c>
      <c r="E764" t="s">
        <v>2540</v>
      </c>
      <c r="F764" t="s">
        <v>27</v>
      </c>
      <c r="G764" t="s">
        <v>28</v>
      </c>
      <c r="H764" t="s">
        <v>29</v>
      </c>
      <c r="I764" t="s">
        <v>30</v>
      </c>
      <c r="J764" t="s">
        <v>31</v>
      </c>
      <c r="L764" s="1">
        <v>45870</v>
      </c>
      <c r="M764" s="1">
        <v>45383</v>
      </c>
      <c r="O764">
        <v>17528908</v>
      </c>
      <c r="P764" t="s">
        <v>32</v>
      </c>
      <c r="Q764" t="s">
        <v>33</v>
      </c>
      <c r="R764">
        <v>8192</v>
      </c>
      <c r="S764" t="s">
        <v>34</v>
      </c>
      <c r="T764" t="s">
        <v>35</v>
      </c>
      <c r="U764">
        <v>33.17</v>
      </c>
      <c r="V764" t="s">
        <v>36</v>
      </c>
      <c r="W764" s="1">
        <v>45348</v>
      </c>
      <c r="X764">
        <v>2025</v>
      </c>
    </row>
    <row r="765" spans="1:24" x14ac:dyDescent="0.25">
      <c r="A765" s="1">
        <v>45888</v>
      </c>
      <c r="B765" t="s">
        <v>2541</v>
      </c>
      <c r="C765" t="s">
        <v>2542</v>
      </c>
      <c r="E765" t="s">
        <v>2543</v>
      </c>
      <c r="F765" t="s">
        <v>74</v>
      </c>
      <c r="G765" t="s">
        <v>28</v>
      </c>
      <c r="H765" t="s">
        <v>29</v>
      </c>
      <c r="I765" t="s">
        <v>61</v>
      </c>
      <c r="J765" t="s">
        <v>75</v>
      </c>
      <c r="L765" s="1">
        <v>45870</v>
      </c>
      <c r="M765" s="1">
        <v>45597</v>
      </c>
      <c r="O765">
        <v>8307933</v>
      </c>
      <c r="P765" t="s">
        <v>32</v>
      </c>
      <c r="Q765" t="s">
        <v>63</v>
      </c>
      <c r="R765">
        <v>8192</v>
      </c>
      <c r="S765" t="s">
        <v>34</v>
      </c>
      <c r="T765" t="s">
        <v>35</v>
      </c>
      <c r="U765">
        <v>29.83</v>
      </c>
      <c r="V765" t="s">
        <v>36</v>
      </c>
      <c r="W765" s="1">
        <v>45596</v>
      </c>
      <c r="X765">
        <v>2025</v>
      </c>
    </row>
    <row r="766" spans="1:24" x14ac:dyDescent="0.25">
      <c r="A766" s="1">
        <v>45888</v>
      </c>
      <c r="B766" t="s">
        <v>2544</v>
      </c>
      <c r="C766" t="s">
        <v>2545</v>
      </c>
      <c r="E766" t="s">
        <v>2546</v>
      </c>
      <c r="F766" t="s">
        <v>74</v>
      </c>
      <c r="G766" t="s">
        <v>28</v>
      </c>
      <c r="H766" t="s">
        <v>29</v>
      </c>
      <c r="I766" t="s">
        <v>61</v>
      </c>
      <c r="J766" t="s">
        <v>75</v>
      </c>
      <c r="L766" s="1">
        <v>45870</v>
      </c>
      <c r="M766" s="1">
        <v>45597</v>
      </c>
      <c r="O766">
        <v>7146581</v>
      </c>
      <c r="P766" t="s">
        <v>32</v>
      </c>
      <c r="Q766" t="s">
        <v>259</v>
      </c>
      <c r="R766">
        <v>8192</v>
      </c>
      <c r="S766" t="s">
        <v>34</v>
      </c>
      <c r="T766" t="s">
        <v>35</v>
      </c>
      <c r="U766">
        <v>29.83</v>
      </c>
      <c r="V766" t="s">
        <v>36</v>
      </c>
      <c r="W766" s="1">
        <v>45548</v>
      </c>
      <c r="X766">
        <v>2025</v>
      </c>
    </row>
    <row r="767" spans="1:24" x14ac:dyDescent="0.25">
      <c r="A767" s="1">
        <v>45888</v>
      </c>
      <c r="B767" t="s">
        <v>2547</v>
      </c>
      <c r="C767" t="s">
        <v>2548</v>
      </c>
      <c r="E767" t="s">
        <v>2549</v>
      </c>
      <c r="F767" t="s">
        <v>27</v>
      </c>
      <c r="G767" t="s">
        <v>28</v>
      </c>
      <c r="H767" t="s">
        <v>29</v>
      </c>
      <c r="I767" t="s">
        <v>30</v>
      </c>
      <c r="J767" t="s">
        <v>46</v>
      </c>
      <c r="L767" s="1">
        <v>45870</v>
      </c>
      <c r="M767" s="1">
        <v>44958</v>
      </c>
      <c r="O767">
        <v>19606009</v>
      </c>
      <c r="P767" t="s">
        <v>32</v>
      </c>
      <c r="Q767" t="s">
        <v>42</v>
      </c>
      <c r="R767">
        <v>8192</v>
      </c>
      <c r="S767" t="s">
        <v>34</v>
      </c>
      <c r="T767" t="s">
        <v>35</v>
      </c>
      <c r="U767">
        <v>1.25</v>
      </c>
      <c r="V767" t="s">
        <v>36</v>
      </c>
      <c r="W767" s="1">
        <v>45870</v>
      </c>
      <c r="X767">
        <v>2025</v>
      </c>
    </row>
    <row r="768" spans="1:24" x14ac:dyDescent="0.25">
      <c r="A768" s="1">
        <v>45888</v>
      </c>
      <c r="B768" t="s">
        <v>2550</v>
      </c>
      <c r="C768" t="s">
        <v>2551</v>
      </c>
      <c r="E768" t="s">
        <v>2552</v>
      </c>
      <c r="F768" t="s">
        <v>234</v>
      </c>
      <c r="G768" t="s">
        <v>28</v>
      </c>
      <c r="H768" t="s">
        <v>29</v>
      </c>
      <c r="I768" t="s">
        <v>235</v>
      </c>
      <c r="J768" t="s">
        <v>1906</v>
      </c>
      <c r="L768" s="1">
        <v>45870</v>
      </c>
      <c r="M768" s="1">
        <v>45352</v>
      </c>
      <c r="O768">
        <v>8307933</v>
      </c>
      <c r="P768" t="s">
        <v>32</v>
      </c>
      <c r="Q768" t="s">
        <v>63</v>
      </c>
      <c r="R768">
        <v>8192</v>
      </c>
      <c r="S768" t="s">
        <v>51</v>
      </c>
      <c r="T768" t="s">
        <v>35</v>
      </c>
      <c r="U768">
        <v>28.58</v>
      </c>
      <c r="V768" t="s">
        <v>36</v>
      </c>
      <c r="W768" s="1">
        <v>45327</v>
      </c>
      <c r="X768">
        <v>2025</v>
      </c>
    </row>
    <row r="769" spans="1:24" x14ac:dyDescent="0.25">
      <c r="A769" s="1">
        <v>45888</v>
      </c>
      <c r="B769" t="s">
        <v>2553</v>
      </c>
      <c r="C769" t="s">
        <v>2554</v>
      </c>
      <c r="E769" t="s">
        <v>2555</v>
      </c>
      <c r="F769" t="s">
        <v>74</v>
      </c>
      <c r="G769" t="s">
        <v>28</v>
      </c>
      <c r="H769" t="s">
        <v>29</v>
      </c>
      <c r="I769" t="s">
        <v>61</v>
      </c>
      <c r="J769" t="s">
        <v>75</v>
      </c>
      <c r="L769" s="1">
        <v>45870</v>
      </c>
      <c r="M769" s="1">
        <v>45566</v>
      </c>
      <c r="O769">
        <v>16983460</v>
      </c>
      <c r="P769" t="s">
        <v>32</v>
      </c>
      <c r="Q769" t="s">
        <v>2556</v>
      </c>
      <c r="R769">
        <v>8192</v>
      </c>
      <c r="S769" t="s">
        <v>34</v>
      </c>
      <c r="T769" t="s">
        <v>35</v>
      </c>
      <c r="U769">
        <v>29.83</v>
      </c>
      <c r="V769" t="s">
        <v>36</v>
      </c>
      <c r="W769" s="1">
        <v>45558</v>
      </c>
      <c r="X769">
        <v>2025</v>
      </c>
    </row>
    <row r="770" spans="1:24" x14ac:dyDescent="0.25">
      <c r="A770" s="1">
        <v>45888</v>
      </c>
      <c r="B770" t="s">
        <v>2557</v>
      </c>
      <c r="C770" t="s">
        <v>2558</v>
      </c>
      <c r="E770" t="s">
        <v>2559</v>
      </c>
      <c r="F770" t="s">
        <v>27</v>
      </c>
      <c r="G770" t="s">
        <v>28</v>
      </c>
      <c r="H770" t="s">
        <v>29</v>
      </c>
      <c r="I770" t="s">
        <v>30</v>
      </c>
      <c r="J770" t="s">
        <v>46</v>
      </c>
      <c r="L770" s="1">
        <v>45870</v>
      </c>
      <c r="M770" s="1">
        <v>44927</v>
      </c>
      <c r="O770">
        <v>19606009</v>
      </c>
      <c r="P770" t="s">
        <v>32</v>
      </c>
      <c r="Q770" t="s">
        <v>42</v>
      </c>
      <c r="R770">
        <v>8192</v>
      </c>
      <c r="S770" t="s">
        <v>34</v>
      </c>
      <c r="T770" t="s">
        <v>35</v>
      </c>
      <c r="U770">
        <v>1.25</v>
      </c>
      <c r="V770" t="s">
        <v>36</v>
      </c>
      <c r="W770" s="1">
        <v>45870</v>
      </c>
      <c r="X770">
        <v>2025</v>
      </c>
    </row>
    <row r="771" spans="1:24" x14ac:dyDescent="0.25">
      <c r="A771" s="1">
        <v>45888</v>
      </c>
      <c r="B771" t="s">
        <v>2560</v>
      </c>
      <c r="C771" t="s">
        <v>2561</v>
      </c>
      <c r="E771" t="s">
        <v>2562</v>
      </c>
      <c r="F771" t="s">
        <v>234</v>
      </c>
      <c r="G771" t="s">
        <v>28</v>
      </c>
      <c r="H771" t="s">
        <v>29</v>
      </c>
      <c r="I771" t="s">
        <v>235</v>
      </c>
      <c r="J771" t="s">
        <v>1906</v>
      </c>
      <c r="L771" s="1">
        <v>45870</v>
      </c>
      <c r="M771" s="1">
        <v>45413</v>
      </c>
      <c r="O771">
        <v>8307933</v>
      </c>
      <c r="P771" t="s">
        <v>32</v>
      </c>
      <c r="Q771" t="s">
        <v>63</v>
      </c>
      <c r="R771">
        <v>8192</v>
      </c>
      <c r="S771" t="s">
        <v>34</v>
      </c>
      <c r="T771" t="s">
        <v>35</v>
      </c>
      <c r="U771">
        <v>29.83</v>
      </c>
      <c r="V771" t="s">
        <v>36</v>
      </c>
      <c r="W771" s="1">
        <v>45386</v>
      </c>
      <c r="X771">
        <v>2025</v>
      </c>
    </row>
    <row r="772" spans="1:24" x14ac:dyDescent="0.25">
      <c r="A772" s="1">
        <v>45888</v>
      </c>
      <c r="B772" t="s">
        <v>2563</v>
      </c>
      <c r="C772" t="s">
        <v>2564</v>
      </c>
      <c r="E772" t="s">
        <v>2565</v>
      </c>
      <c r="F772" t="s">
        <v>27</v>
      </c>
      <c r="G772" t="s">
        <v>28</v>
      </c>
      <c r="H772" t="s">
        <v>29</v>
      </c>
      <c r="I772" t="s">
        <v>30</v>
      </c>
      <c r="J772" t="s">
        <v>202</v>
      </c>
      <c r="L772" s="1">
        <v>45870</v>
      </c>
      <c r="M772" s="1">
        <v>45292</v>
      </c>
      <c r="O772">
        <v>17886092</v>
      </c>
      <c r="P772" t="s">
        <v>32</v>
      </c>
      <c r="Q772" t="s">
        <v>102</v>
      </c>
      <c r="R772">
        <v>8192</v>
      </c>
      <c r="S772" t="s">
        <v>51</v>
      </c>
      <c r="T772" t="s">
        <v>35</v>
      </c>
      <c r="U772">
        <v>2.5</v>
      </c>
      <c r="V772" t="s">
        <v>36</v>
      </c>
      <c r="W772" s="1">
        <v>45232</v>
      </c>
      <c r="X772">
        <v>2025</v>
      </c>
    </row>
    <row r="773" spans="1:24" x14ac:dyDescent="0.25">
      <c r="A773" s="1">
        <v>45888</v>
      </c>
      <c r="B773" t="s">
        <v>2566</v>
      </c>
      <c r="C773" t="s">
        <v>2567</v>
      </c>
      <c r="E773" t="s">
        <v>2568</v>
      </c>
      <c r="F773" t="s">
        <v>27</v>
      </c>
      <c r="G773" t="s">
        <v>28</v>
      </c>
      <c r="H773" t="s">
        <v>29</v>
      </c>
      <c r="I773" t="s">
        <v>30</v>
      </c>
      <c r="J773" t="s">
        <v>202</v>
      </c>
      <c r="L773" s="1">
        <v>45870</v>
      </c>
      <c r="M773" s="1">
        <v>45292</v>
      </c>
      <c r="O773">
        <v>17886092</v>
      </c>
      <c r="P773" t="s">
        <v>32</v>
      </c>
      <c r="Q773" t="s">
        <v>102</v>
      </c>
      <c r="R773">
        <v>8192</v>
      </c>
      <c r="S773" t="s">
        <v>51</v>
      </c>
      <c r="T773" t="s">
        <v>35</v>
      </c>
      <c r="U773">
        <v>2.5</v>
      </c>
      <c r="V773" t="s">
        <v>36</v>
      </c>
      <c r="W773" s="1">
        <v>45232</v>
      </c>
      <c r="X773">
        <v>2025</v>
      </c>
    </row>
    <row r="774" spans="1:24" x14ac:dyDescent="0.25">
      <c r="A774" s="1">
        <v>45888</v>
      </c>
      <c r="B774" t="s">
        <v>2569</v>
      </c>
      <c r="C774" t="s">
        <v>2570</v>
      </c>
      <c r="E774" t="s">
        <v>2571</v>
      </c>
      <c r="F774" t="s">
        <v>111</v>
      </c>
      <c r="G774" t="s">
        <v>28</v>
      </c>
      <c r="H774" t="s">
        <v>29</v>
      </c>
      <c r="I774" t="s">
        <v>112</v>
      </c>
      <c r="J774" t="s">
        <v>113</v>
      </c>
      <c r="L774" s="1">
        <v>45870</v>
      </c>
      <c r="M774" s="1">
        <v>45627</v>
      </c>
      <c r="O774">
        <v>16378851</v>
      </c>
      <c r="P774" t="s">
        <v>32</v>
      </c>
      <c r="Q774" t="s">
        <v>114</v>
      </c>
      <c r="R774">
        <v>8192</v>
      </c>
      <c r="S774" t="s">
        <v>34</v>
      </c>
      <c r="T774" t="s">
        <v>35</v>
      </c>
      <c r="U774">
        <v>29.83</v>
      </c>
      <c r="V774" t="s">
        <v>36</v>
      </c>
      <c r="W774" s="1">
        <v>45614</v>
      </c>
      <c r="X774">
        <v>2025</v>
      </c>
    </row>
    <row r="775" spans="1:24" x14ac:dyDescent="0.25">
      <c r="A775" s="1">
        <v>45888</v>
      </c>
      <c r="B775" t="s">
        <v>2572</v>
      </c>
      <c r="C775" t="s">
        <v>2573</v>
      </c>
      <c r="E775" t="s">
        <v>2574</v>
      </c>
      <c r="F775" t="s">
        <v>160</v>
      </c>
      <c r="G775" t="s">
        <v>28</v>
      </c>
      <c r="H775" t="s">
        <v>29</v>
      </c>
      <c r="I775" t="s">
        <v>161</v>
      </c>
      <c r="J775" t="s">
        <v>162</v>
      </c>
      <c r="L775" s="1">
        <v>45870</v>
      </c>
      <c r="M775" s="1">
        <v>45413</v>
      </c>
      <c r="O775">
        <v>16865615</v>
      </c>
      <c r="P775" t="s">
        <v>32</v>
      </c>
      <c r="Q775" t="s">
        <v>1579</v>
      </c>
      <c r="R775">
        <v>8192</v>
      </c>
      <c r="S775" t="s">
        <v>34</v>
      </c>
      <c r="T775" t="s">
        <v>35</v>
      </c>
      <c r="U775">
        <v>29.83</v>
      </c>
      <c r="V775" t="s">
        <v>36</v>
      </c>
      <c r="W775" s="1">
        <v>45408</v>
      </c>
      <c r="X775">
        <v>2025</v>
      </c>
    </row>
    <row r="776" spans="1:24" x14ac:dyDescent="0.25">
      <c r="A776" s="1">
        <v>45888</v>
      </c>
      <c r="B776" t="s">
        <v>2575</v>
      </c>
      <c r="C776" t="s">
        <v>2576</v>
      </c>
      <c r="E776" t="s">
        <v>2577</v>
      </c>
      <c r="F776" t="s">
        <v>27</v>
      </c>
      <c r="G776" t="s">
        <v>28</v>
      </c>
      <c r="H776" t="s">
        <v>29</v>
      </c>
      <c r="I776" t="s">
        <v>30</v>
      </c>
      <c r="J776" t="s">
        <v>46</v>
      </c>
      <c r="L776" s="1">
        <v>45870</v>
      </c>
      <c r="M776" s="1">
        <v>45444</v>
      </c>
      <c r="O776">
        <v>17886092</v>
      </c>
      <c r="P776" t="s">
        <v>32</v>
      </c>
      <c r="Q776" t="s">
        <v>102</v>
      </c>
      <c r="R776">
        <v>8192</v>
      </c>
      <c r="S776" t="s">
        <v>34</v>
      </c>
      <c r="T776" t="s">
        <v>35</v>
      </c>
      <c r="U776">
        <v>3.75</v>
      </c>
      <c r="V776" t="s">
        <v>36</v>
      </c>
      <c r="W776" s="1">
        <v>45390</v>
      </c>
      <c r="X776">
        <v>2025</v>
      </c>
    </row>
    <row r="777" spans="1:24" x14ac:dyDescent="0.25">
      <c r="A777" s="1">
        <v>45888</v>
      </c>
      <c r="B777" t="s">
        <v>2578</v>
      </c>
      <c r="C777" t="s">
        <v>2579</v>
      </c>
      <c r="E777" t="s">
        <v>2580</v>
      </c>
      <c r="F777" t="s">
        <v>74</v>
      </c>
      <c r="G777" t="s">
        <v>28</v>
      </c>
      <c r="H777" t="s">
        <v>29</v>
      </c>
      <c r="I777" t="s">
        <v>183</v>
      </c>
      <c r="J777" t="s">
        <v>240</v>
      </c>
      <c r="L777" s="1">
        <v>45870</v>
      </c>
      <c r="M777" s="1">
        <v>45292</v>
      </c>
      <c r="O777">
        <v>8307933</v>
      </c>
      <c r="P777" t="s">
        <v>32</v>
      </c>
      <c r="Q777" t="s">
        <v>63</v>
      </c>
      <c r="R777">
        <v>8192</v>
      </c>
      <c r="S777" t="s">
        <v>51</v>
      </c>
      <c r="T777" t="s">
        <v>35</v>
      </c>
      <c r="U777">
        <v>28.58</v>
      </c>
      <c r="V777" t="s">
        <v>36</v>
      </c>
      <c r="W777" s="1">
        <v>45257</v>
      </c>
      <c r="X777">
        <v>2025</v>
      </c>
    </row>
    <row r="778" spans="1:24" x14ac:dyDescent="0.25">
      <c r="A778" s="1">
        <v>45888</v>
      </c>
      <c r="B778" t="s">
        <v>2581</v>
      </c>
      <c r="C778" t="s">
        <v>2582</v>
      </c>
      <c r="E778" t="s">
        <v>2583</v>
      </c>
      <c r="F778" t="s">
        <v>303</v>
      </c>
      <c r="G778" t="s">
        <v>28</v>
      </c>
      <c r="H778" t="s">
        <v>29</v>
      </c>
      <c r="I778" t="s">
        <v>304</v>
      </c>
      <c r="J778" t="s">
        <v>2584</v>
      </c>
      <c r="L778" s="1">
        <v>45870</v>
      </c>
      <c r="M778" s="1">
        <v>45292</v>
      </c>
      <c r="O778">
        <v>17425766</v>
      </c>
      <c r="P778" t="s">
        <v>32</v>
      </c>
      <c r="Q778" t="s">
        <v>56</v>
      </c>
      <c r="R778">
        <v>8192</v>
      </c>
      <c r="S778" t="s">
        <v>51</v>
      </c>
      <c r="T778" t="s">
        <v>35</v>
      </c>
      <c r="U778">
        <v>28.58</v>
      </c>
      <c r="V778" t="s">
        <v>36</v>
      </c>
      <c r="W778" s="1">
        <v>45259</v>
      </c>
      <c r="X778">
        <v>2025</v>
      </c>
    </row>
    <row r="779" spans="1:24" x14ac:dyDescent="0.25">
      <c r="A779" s="1">
        <v>45888</v>
      </c>
      <c r="B779" t="s">
        <v>2585</v>
      </c>
      <c r="C779" t="s">
        <v>2586</v>
      </c>
      <c r="E779" t="s">
        <v>2587</v>
      </c>
      <c r="F779" t="s">
        <v>74</v>
      </c>
      <c r="G779" t="s">
        <v>28</v>
      </c>
      <c r="H779" t="s">
        <v>29</v>
      </c>
      <c r="I779" t="s">
        <v>61</v>
      </c>
      <c r="J779" t="s">
        <v>75</v>
      </c>
      <c r="L779" s="1">
        <v>45870</v>
      </c>
      <c r="M779" s="1">
        <v>45566</v>
      </c>
      <c r="O779">
        <v>19681796</v>
      </c>
      <c r="P779" t="s">
        <v>32</v>
      </c>
      <c r="Q779" t="s">
        <v>2051</v>
      </c>
      <c r="R779">
        <v>8192</v>
      </c>
      <c r="S779" t="s">
        <v>34</v>
      </c>
      <c r="T779" t="s">
        <v>35</v>
      </c>
      <c r="U779">
        <v>29.83</v>
      </c>
      <c r="V779" t="s">
        <v>36</v>
      </c>
      <c r="W779" s="1">
        <v>45551</v>
      </c>
      <c r="X779">
        <v>2025</v>
      </c>
    </row>
    <row r="780" spans="1:24" x14ac:dyDescent="0.25">
      <c r="A780" s="1">
        <v>45888</v>
      </c>
      <c r="B780" t="s">
        <v>2588</v>
      </c>
      <c r="C780" t="s">
        <v>2589</v>
      </c>
      <c r="E780" t="s">
        <v>2590</v>
      </c>
      <c r="F780" t="s">
        <v>89</v>
      </c>
      <c r="G780" t="s">
        <v>28</v>
      </c>
      <c r="H780" t="s">
        <v>29</v>
      </c>
      <c r="I780" t="s">
        <v>183</v>
      </c>
      <c r="J780" t="s">
        <v>714</v>
      </c>
      <c r="L780" s="1">
        <v>45870</v>
      </c>
      <c r="M780" s="1">
        <v>45352</v>
      </c>
      <c r="O780">
        <v>8307933</v>
      </c>
      <c r="P780" t="s">
        <v>32</v>
      </c>
      <c r="Q780" t="s">
        <v>63</v>
      </c>
      <c r="R780">
        <v>8192</v>
      </c>
      <c r="S780" t="s">
        <v>51</v>
      </c>
      <c r="T780" t="s">
        <v>35</v>
      </c>
      <c r="U780">
        <v>28.58</v>
      </c>
      <c r="V780" t="s">
        <v>36</v>
      </c>
      <c r="W780" s="1">
        <v>45280</v>
      </c>
      <c r="X780">
        <v>2025</v>
      </c>
    </row>
    <row r="781" spans="1:24" x14ac:dyDescent="0.25">
      <c r="A781" s="1">
        <v>45888</v>
      </c>
      <c r="B781" t="s">
        <v>2591</v>
      </c>
      <c r="C781" t="s">
        <v>2592</v>
      </c>
      <c r="E781" t="s">
        <v>2593</v>
      </c>
      <c r="F781" t="s">
        <v>89</v>
      </c>
      <c r="G781" t="s">
        <v>28</v>
      </c>
      <c r="H781" t="s">
        <v>29</v>
      </c>
      <c r="I781" t="s">
        <v>183</v>
      </c>
      <c r="J781" t="s">
        <v>714</v>
      </c>
      <c r="L781" s="1">
        <v>45870</v>
      </c>
      <c r="M781" s="1">
        <v>45323</v>
      </c>
      <c r="O781">
        <v>8307933</v>
      </c>
      <c r="P781" t="s">
        <v>32</v>
      </c>
      <c r="Q781" t="s">
        <v>63</v>
      </c>
      <c r="R781">
        <v>8192</v>
      </c>
      <c r="S781" t="s">
        <v>51</v>
      </c>
      <c r="T781" t="s">
        <v>35</v>
      </c>
      <c r="U781">
        <v>28.58</v>
      </c>
      <c r="V781" t="s">
        <v>36</v>
      </c>
      <c r="W781" s="1">
        <v>45280</v>
      </c>
      <c r="X781">
        <v>2025</v>
      </c>
    </row>
    <row r="782" spans="1:24" x14ac:dyDescent="0.25">
      <c r="A782" s="1">
        <v>45888</v>
      </c>
      <c r="B782" t="s">
        <v>2594</v>
      </c>
      <c r="C782" t="s">
        <v>2595</v>
      </c>
      <c r="E782" t="s">
        <v>2596</v>
      </c>
      <c r="F782" t="s">
        <v>74</v>
      </c>
      <c r="G782" t="s">
        <v>28</v>
      </c>
      <c r="H782" t="s">
        <v>29</v>
      </c>
      <c r="I782" t="s">
        <v>61</v>
      </c>
      <c r="J782" t="s">
        <v>75</v>
      </c>
      <c r="L782" s="1">
        <v>45870</v>
      </c>
      <c r="M782" s="1">
        <v>45566</v>
      </c>
      <c r="O782">
        <v>19681796</v>
      </c>
      <c r="P782" t="s">
        <v>32</v>
      </c>
      <c r="Q782" t="s">
        <v>2051</v>
      </c>
      <c r="R782">
        <v>8192</v>
      </c>
      <c r="S782" t="s">
        <v>34</v>
      </c>
      <c r="T782" t="s">
        <v>35</v>
      </c>
      <c r="U782">
        <v>29.83</v>
      </c>
      <c r="V782" t="s">
        <v>36</v>
      </c>
      <c r="W782" s="1">
        <v>45558</v>
      </c>
      <c r="X782">
        <v>2025</v>
      </c>
    </row>
    <row r="783" spans="1:24" x14ac:dyDescent="0.25">
      <c r="A783" s="1">
        <v>45888</v>
      </c>
      <c r="B783" t="s">
        <v>2597</v>
      </c>
      <c r="C783" t="s">
        <v>2598</v>
      </c>
      <c r="E783" t="s">
        <v>2599</v>
      </c>
      <c r="F783" t="s">
        <v>27</v>
      </c>
      <c r="G783" t="s">
        <v>28</v>
      </c>
      <c r="H783" t="s">
        <v>29</v>
      </c>
      <c r="I783" t="s">
        <v>30</v>
      </c>
      <c r="J783" t="s">
        <v>46</v>
      </c>
      <c r="L783" s="1">
        <v>45870</v>
      </c>
      <c r="M783" s="1">
        <v>45536</v>
      </c>
      <c r="O783">
        <v>17886092</v>
      </c>
      <c r="P783" t="s">
        <v>32</v>
      </c>
      <c r="Q783" t="s">
        <v>102</v>
      </c>
      <c r="R783">
        <v>8192</v>
      </c>
      <c r="S783" t="s">
        <v>34</v>
      </c>
      <c r="T783" t="s">
        <v>35</v>
      </c>
      <c r="U783">
        <v>3.75</v>
      </c>
      <c r="V783" t="s">
        <v>36</v>
      </c>
      <c r="W783" s="1">
        <v>45490</v>
      </c>
      <c r="X783">
        <v>2025</v>
      </c>
    </row>
    <row r="784" spans="1:24" x14ac:dyDescent="0.25">
      <c r="A784" s="1">
        <v>45888</v>
      </c>
      <c r="B784" t="s">
        <v>2600</v>
      </c>
      <c r="C784" t="s">
        <v>2601</v>
      </c>
      <c r="E784" t="s">
        <v>2602</v>
      </c>
      <c r="F784" t="s">
        <v>27</v>
      </c>
      <c r="G784" t="s">
        <v>28</v>
      </c>
      <c r="H784" t="s">
        <v>29</v>
      </c>
      <c r="I784" t="s">
        <v>30</v>
      </c>
      <c r="J784" t="s">
        <v>31</v>
      </c>
      <c r="L784" s="1">
        <v>45870</v>
      </c>
      <c r="M784" s="1">
        <v>45566</v>
      </c>
      <c r="O784">
        <v>17528908</v>
      </c>
      <c r="P784" t="s">
        <v>32</v>
      </c>
      <c r="Q784" t="s">
        <v>33</v>
      </c>
      <c r="R784">
        <v>8192</v>
      </c>
      <c r="S784" t="s">
        <v>34</v>
      </c>
      <c r="T784" t="s">
        <v>35</v>
      </c>
      <c r="U784">
        <v>33.17</v>
      </c>
      <c r="V784" t="s">
        <v>36</v>
      </c>
      <c r="W784" s="1">
        <v>45539</v>
      </c>
      <c r="X784">
        <v>2025</v>
      </c>
    </row>
    <row r="785" spans="1:24" x14ac:dyDescent="0.25">
      <c r="A785" s="1">
        <v>45888</v>
      </c>
      <c r="B785" t="s">
        <v>2603</v>
      </c>
      <c r="C785" t="s">
        <v>2604</v>
      </c>
      <c r="E785" t="s">
        <v>2605</v>
      </c>
      <c r="F785" t="s">
        <v>27</v>
      </c>
      <c r="G785" t="s">
        <v>28</v>
      </c>
      <c r="H785" t="s">
        <v>29</v>
      </c>
      <c r="I785" t="s">
        <v>30</v>
      </c>
      <c r="J785" t="s">
        <v>46</v>
      </c>
      <c r="L785" s="1">
        <v>45870</v>
      </c>
      <c r="M785" s="1">
        <v>45047</v>
      </c>
      <c r="O785">
        <v>19606009</v>
      </c>
      <c r="P785" t="s">
        <v>32</v>
      </c>
      <c r="Q785" t="s">
        <v>42</v>
      </c>
      <c r="R785">
        <v>8192</v>
      </c>
      <c r="S785" t="s">
        <v>34</v>
      </c>
      <c r="T785" t="s">
        <v>35</v>
      </c>
      <c r="U785">
        <v>1.25</v>
      </c>
      <c r="V785" t="s">
        <v>36</v>
      </c>
      <c r="W785" s="1">
        <v>45839</v>
      </c>
      <c r="X785">
        <v>2025</v>
      </c>
    </row>
    <row r="786" spans="1:24" x14ac:dyDescent="0.25">
      <c r="A786" s="1">
        <v>45888</v>
      </c>
      <c r="B786" t="s">
        <v>2606</v>
      </c>
      <c r="C786" t="s">
        <v>2607</v>
      </c>
      <c r="E786" t="s">
        <v>2608</v>
      </c>
      <c r="F786" t="s">
        <v>27</v>
      </c>
      <c r="G786" t="s">
        <v>28</v>
      </c>
      <c r="H786" t="s">
        <v>29</v>
      </c>
      <c r="I786" t="s">
        <v>30</v>
      </c>
      <c r="J786" t="s">
        <v>70</v>
      </c>
      <c r="L786" s="1">
        <v>45870</v>
      </c>
      <c r="M786" s="1">
        <v>45413</v>
      </c>
      <c r="O786">
        <v>17886092</v>
      </c>
      <c r="P786" t="s">
        <v>32</v>
      </c>
      <c r="Q786" t="s">
        <v>102</v>
      </c>
      <c r="R786">
        <v>8192</v>
      </c>
      <c r="S786" t="s">
        <v>34</v>
      </c>
      <c r="T786" t="s">
        <v>35</v>
      </c>
      <c r="U786">
        <v>3.75</v>
      </c>
      <c r="V786" t="s">
        <v>36</v>
      </c>
      <c r="W786" s="1">
        <v>45411</v>
      </c>
      <c r="X786">
        <v>2025</v>
      </c>
    </row>
    <row r="787" spans="1:24" x14ac:dyDescent="0.25">
      <c r="A787" s="1">
        <v>45888</v>
      </c>
      <c r="B787" t="s">
        <v>2609</v>
      </c>
      <c r="C787" t="s">
        <v>2610</v>
      </c>
      <c r="D787" t="s">
        <v>2611</v>
      </c>
      <c r="E787" t="s">
        <v>2612</v>
      </c>
      <c r="F787" t="s">
        <v>27</v>
      </c>
      <c r="G787" t="s">
        <v>28</v>
      </c>
      <c r="H787" t="s">
        <v>29</v>
      </c>
      <c r="I787" t="s">
        <v>273</v>
      </c>
      <c r="J787" t="s">
        <v>31</v>
      </c>
      <c r="L787" s="1">
        <v>45870</v>
      </c>
      <c r="M787" s="1">
        <v>43466</v>
      </c>
      <c r="O787">
        <v>19606009</v>
      </c>
      <c r="P787" t="s">
        <v>32</v>
      </c>
      <c r="Q787" t="s">
        <v>42</v>
      </c>
      <c r="R787">
        <v>8192</v>
      </c>
      <c r="S787" t="s">
        <v>34</v>
      </c>
      <c r="T787" t="s">
        <v>35</v>
      </c>
      <c r="U787">
        <v>1.25</v>
      </c>
      <c r="V787" t="s">
        <v>36</v>
      </c>
      <c r="W787" s="1">
        <v>45870</v>
      </c>
      <c r="X787">
        <v>2025</v>
      </c>
    </row>
    <row r="788" spans="1:24" x14ac:dyDescent="0.25">
      <c r="A788" s="1">
        <v>45888</v>
      </c>
      <c r="B788" t="s">
        <v>2613</v>
      </c>
      <c r="C788" t="s">
        <v>2614</v>
      </c>
      <c r="E788" t="s">
        <v>2615</v>
      </c>
      <c r="F788" t="s">
        <v>2616</v>
      </c>
      <c r="G788" t="s">
        <v>28</v>
      </c>
      <c r="H788" t="s">
        <v>29</v>
      </c>
      <c r="I788" t="s">
        <v>445</v>
      </c>
      <c r="J788" t="s">
        <v>2617</v>
      </c>
      <c r="L788" s="1">
        <v>45870</v>
      </c>
      <c r="M788" s="1">
        <v>45597</v>
      </c>
      <c r="O788">
        <v>8307933</v>
      </c>
      <c r="P788" t="s">
        <v>32</v>
      </c>
      <c r="Q788" t="s">
        <v>63</v>
      </c>
      <c r="R788">
        <v>8192</v>
      </c>
      <c r="S788" t="s">
        <v>34</v>
      </c>
      <c r="T788" t="s">
        <v>35</v>
      </c>
      <c r="U788">
        <v>29.83</v>
      </c>
      <c r="V788" t="s">
        <v>36</v>
      </c>
      <c r="W788" s="1">
        <v>45573</v>
      </c>
      <c r="X788">
        <v>2025</v>
      </c>
    </row>
    <row r="789" spans="1:24" x14ac:dyDescent="0.25">
      <c r="A789" s="1">
        <v>45888</v>
      </c>
      <c r="B789" t="s">
        <v>2618</v>
      </c>
      <c r="C789" t="s">
        <v>2619</v>
      </c>
      <c r="E789" t="s">
        <v>2620</v>
      </c>
      <c r="F789" t="s">
        <v>27</v>
      </c>
      <c r="G789" t="s">
        <v>28</v>
      </c>
      <c r="H789" t="s">
        <v>29</v>
      </c>
      <c r="I789" t="s">
        <v>30</v>
      </c>
      <c r="J789" t="s">
        <v>50</v>
      </c>
      <c r="L789" s="1">
        <v>45870</v>
      </c>
      <c r="M789" s="1">
        <v>45474</v>
      </c>
      <c r="O789">
        <v>17886092</v>
      </c>
      <c r="P789" t="s">
        <v>32</v>
      </c>
      <c r="Q789" t="s">
        <v>102</v>
      </c>
      <c r="R789">
        <v>8192</v>
      </c>
      <c r="S789" t="s">
        <v>34</v>
      </c>
      <c r="T789" t="s">
        <v>35</v>
      </c>
      <c r="U789">
        <v>3.75</v>
      </c>
      <c r="V789" t="s">
        <v>36</v>
      </c>
      <c r="W789" s="1">
        <v>45460</v>
      </c>
      <c r="X789">
        <v>2025</v>
      </c>
    </row>
    <row r="790" spans="1:24" x14ac:dyDescent="0.25">
      <c r="A790" s="1">
        <v>45888</v>
      </c>
      <c r="B790" t="s">
        <v>2621</v>
      </c>
      <c r="C790" t="s">
        <v>2622</v>
      </c>
      <c r="E790" t="s">
        <v>2623</v>
      </c>
      <c r="F790" t="s">
        <v>74</v>
      </c>
      <c r="G790" t="s">
        <v>28</v>
      </c>
      <c r="H790" t="s">
        <v>29</v>
      </c>
      <c r="I790" t="s">
        <v>61</v>
      </c>
      <c r="J790" t="s">
        <v>75</v>
      </c>
      <c r="L790" s="1">
        <v>45870</v>
      </c>
      <c r="M790" s="1">
        <v>45323</v>
      </c>
      <c r="O790">
        <v>8307933</v>
      </c>
      <c r="P790" t="s">
        <v>32</v>
      </c>
      <c r="Q790" t="s">
        <v>63</v>
      </c>
      <c r="R790">
        <v>8192</v>
      </c>
      <c r="S790" t="s">
        <v>51</v>
      </c>
      <c r="T790" t="s">
        <v>35</v>
      </c>
      <c r="U790">
        <v>28.58</v>
      </c>
      <c r="V790" t="s">
        <v>36</v>
      </c>
      <c r="W790" s="1">
        <v>45238</v>
      </c>
      <c r="X790">
        <v>2025</v>
      </c>
    </row>
    <row r="791" spans="1:24" x14ac:dyDescent="0.25">
      <c r="A791" s="1">
        <v>45888</v>
      </c>
      <c r="B791" t="s">
        <v>2624</v>
      </c>
      <c r="C791" t="s">
        <v>2625</v>
      </c>
      <c r="E791" t="s">
        <v>2626</v>
      </c>
      <c r="F791" t="s">
        <v>346</v>
      </c>
      <c r="G791" t="s">
        <v>28</v>
      </c>
      <c r="H791" t="s">
        <v>29</v>
      </c>
      <c r="I791" t="s">
        <v>90</v>
      </c>
      <c r="J791" t="s">
        <v>2305</v>
      </c>
      <c r="L791" s="1">
        <v>45870</v>
      </c>
      <c r="M791" s="1">
        <v>45352</v>
      </c>
      <c r="O791">
        <v>8307933</v>
      </c>
      <c r="P791" t="s">
        <v>32</v>
      </c>
      <c r="Q791" t="s">
        <v>63</v>
      </c>
      <c r="R791">
        <v>8192</v>
      </c>
      <c r="S791" t="s">
        <v>51</v>
      </c>
      <c r="T791" t="s">
        <v>35</v>
      </c>
      <c r="U791">
        <v>28.58</v>
      </c>
      <c r="V791" t="s">
        <v>36</v>
      </c>
      <c r="W791" s="1">
        <v>45304</v>
      </c>
      <c r="X791">
        <v>2025</v>
      </c>
    </row>
    <row r="792" spans="1:24" x14ac:dyDescent="0.25">
      <c r="A792" s="1">
        <v>45888</v>
      </c>
      <c r="B792" t="s">
        <v>2627</v>
      </c>
      <c r="C792" t="s">
        <v>2628</v>
      </c>
      <c r="E792" t="s">
        <v>2629</v>
      </c>
      <c r="F792" t="s">
        <v>74</v>
      </c>
      <c r="G792" t="s">
        <v>28</v>
      </c>
      <c r="H792" t="s">
        <v>29</v>
      </c>
      <c r="I792" t="s">
        <v>61</v>
      </c>
      <c r="J792" t="s">
        <v>75</v>
      </c>
      <c r="L792" s="1">
        <v>45870</v>
      </c>
      <c r="M792" s="1">
        <v>45292</v>
      </c>
      <c r="O792">
        <v>8307933</v>
      </c>
      <c r="P792" t="s">
        <v>32</v>
      </c>
      <c r="Q792" t="s">
        <v>63</v>
      </c>
      <c r="R792">
        <v>8192</v>
      </c>
      <c r="S792" t="s">
        <v>51</v>
      </c>
      <c r="T792" t="s">
        <v>35</v>
      </c>
      <c r="U792">
        <v>28.58</v>
      </c>
      <c r="V792" t="s">
        <v>36</v>
      </c>
      <c r="W792" s="1">
        <v>45238</v>
      </c>
      <c r="X792">
        <v>2025</v>
      </c>
    </row>
    <row r="793" spans="1:24" x14ac:dyDescent="0.25">
      <c r="A793" s="1">
        <v>45888</v>
      </c>
      <c r="B793" t="s">
        <v>2630</v>
      </c>
      <c r="C793" t="s">
        <v>2631</v>
      </c>
      <c r="E793" t="s">
        <v>2632</v>
      </c>
      <c r="F793" t="s">
        <v>27</v>
      </c>
      <c r="G793" t="s">
        <v>28</v>
      </c>
      <c r="H793" t="s">
        <v>127</v>
      </c>
      <c r="I793" t="s">
        <v>30</v>
      </c>
      <c r="J793" t="s">
        <v>128</v>
      </c>
      <c r="L793" s="1">
        <v>45870</v>
      </c>
      <c r="M793" s="1">
        <v>45292</v>
      </c>
      <c r="O793">
        <v>17886092</v>
      </c>
      <c r="P793" t="s">
        <v>32</v>
      </c>
      <c r="Q793" t="s">
        <v>102</v>
      </c>
      <c r="R793">
        <v>8192</v>
      </c>
      <c r="S793" t="s">
        <v>51</v>
      </c>
      <c r="T793" t="s">
        <v>35</v>
      </c>
      <c r="U793">
        <v>2.5</v>
      </c>
      <c r="V793" t="s">
        <v>36</v>
      </c>
      <c r="W793" s="1">
        <v>45247</v>
      </c>
      <c r="X793">
        <v>2025</v>
      </c>
    </row>
    <row r="794" spans="1:24" x14ac:dyDescent="0.25">
      <c r="A794" s="1">
        <v>45888</v>
      </c>
      <c r="B794" t="s">
        <v>2633</v>
      </c>
      <c r="C794" t="s">
        <v>2634</v>
      </c>
      <c r="E794" t="s">
        <v>2635</v>
      </c>
      <c r="F794" t="s">
        <v>27</v>
      </c>
      <c r="G794" t="s">
        <v>28</v>
      </c>
      <c r="H794" t="s">
        <v>29</v>
      </c>
      <c r="I794" t="s">
        <v>30</v>
      </c>
      <c r="J794" t="s">
        <v>46</v>
      </c>
      <c r="L794" s="1">
        <v>45870</v>
      </c>
      <c r="M794" s="1">
        <v>45352</v>
      </c>
      <c r="O794">
        <v>17886092</v>
      </c>
      <c r="P794" t="s">
        <v>32</v>
      </c>
      <c r="Q794" t="s">
        <v>102</v>
      </c>
      <c r="R794">
        <v>8192</v>
      </c>
      <c r="S794" t="s">
        <v>51</v>
      </c>
      <c r="T794" t="s">
        <v>35</v>
      </c>
      <c r="U794">
        <v>2.5</v>
      </c>
      <c r="V794" t="s">
        <v>36</v>
      </c>
      <c r="W794" s="1">
        <v>45295</v>
      </c>
      <c r="X794">
        <v>2025</v>
      </c>
    </row>
    <row r="795" spans="1:24" x14ac:dyDescent="0.25">
      <c r="A795" s="1">
        <v>45888</v>
      </c>
      <c r="B795" t="s">
        <v>2636</v>
      </c>
      <c r="C795" t="s">
        <v>2637</v>
      </c>
      <c r="E795" t="s">
        <v>2638</v>
      </c>
      <c r="F795" t="s">
        <v>27</v>
      </c>
      <c r="G795" t="s">
        <v>28</v>
      </c>
      <c r="H795" t="s">
        <v>29</v>
      </c>
      <c r="I795" t="s">
        <v>30</v>
      </c>
      <c r="J795" t="s">
        <v>46</v>
      </c>
      <c r="L795" s="1">
        <v>45870</v>
      </c>
      <c r="M795" s="1">
        <v>45292</v>
      </c>
      <c r="O795">
        <v>17886092</v>
      </c>
      <c r="P795" t="s">
        <v>32</v>
      </c>
      <c r="Q795" t="s">
        <v>102</v>
      </c>
      <c r="R795">
        <v>8192</v>
      </c>
      <c r="S795" t="s">
        <v>51</v>
      </c>
      <c r="T795" t="s">
        <v>35</v>
      </c>
      <c r="U795">
        <v>2.5</v>
      </c>
      <c r="V795" t="s">
        <v>36</v>
      </c>
      <c r="W795" s="1">
        <v>45251</v>
      </c>
      <c r="X795">
        <v>2025</v>
      </c>
    </row>
    <row r="796" spans="1:24" x14ac:dyDescent="0.25">
      <c r="A796" s="1">
        <v>45888</v>
      </c>
      <c r="B796" t="s">
        <v>2639</v>
      </c>
      <c r="C796" t="s">
        <v>2640</v>
      </c>
      <c r="E796" t="s">
        <v>2641</v>
      </c>
      <c r="F796" t="s">
        <v>27</v>
      </c>
      <c r="G796" t="s">
        <v>28</v>
      </c>
      <c r="H796" t="s">
        <v>29</v>
      </c>
      <c r="I796" t="s">
        <v>30</v>
      </c>
      <c r="J796" t="s">
        <v>46</v>
      </c>
      <c r="L796" s="1">
        <v>45870</v>
      </c>
      <c r="M796" s="1">
        <v>45566</v>
      </c>
      <c r="O796">
        <v>17886092</v>
      </c>
      <c r="P796" t="s">
        <v>32</v>
      </c>
      <c r="Q796" t="s">
        <v>102</v>
      </c>
      <c r="R796">
        <v>8192</v>
      </c>
      <c r="S796" t="s">
        <v>34</v>
      </c>
      <c r="T796" t="s">
        <v>35</v>
      </c>
      <c r="U796">
        <v>3.75</v>
      </c>
      <c r="V796" t="s">
        <v>36</v>
      </c>
      <c r="W796" s="1">
        <v>45544</v>
      </c>
      <c r="X796">
        <v>2025</v>
      </c>
    </row>
    <row r="797" spans="1:24" x14ac:dyDescent="0.25">
      <c r="A797" s="1">
        <v>45888</v>
      </c>
      <c r="B797" t="s">
        <v>2642</v>
      </c>
      <c r="C797" t="s">
        <v>2643</v>
      </c>
      <c r="E797" t="s">
        <v>2644</v>
      </c>
      <c r="F797" t="s">
        <v>27</v>
      </c>
      <c r="G797" t="s">
        <v>28</v>
      </c>
      <c r="H797" t="s">
        <v>127</v>
      </c>
      <c r="I797" t="s">
        <v>30</v>
      </c>
      <c r="J797" t="s">
        <v>128</v>
      </c>
      <c r="L797" s="1">
        <v>45870</v>
      </c>
      <c r="M797" s="1">
        <v>45505</v>
      </c>
      <c r="O797">
        <v>17528908</v>
      </c>
      <c r="P797" t="s">
        <v>32</v>
      </c>
      <c r="Q797" t="s">
        <v>33</v>
      </c>
      <c r="R797">
        <v>8192</v>
      </c>
      <c r="S797" t="s">
        <v>34</v>
      </c>
      <c r="T797" t="s">
        <v>35</v>
      </c>
      <c r="U797">
        <v>33.17</v>
      </c>
      <c r="V797" t="s">
        <v>36</v>
      </c>
      <c r="W797" s="1">
        <v>45482</v>
      </c>
      <c r="X797">
        <v>2025</v>
      </c>
    </row>
    <row r="798" spans="1:24" x14ac:dyDescent="0.25">
      <c r="A798" s="1">
        <v>45888</v>
      </c>
      <c r="B798" t="s">
        <v>2645</v>
      </c>
      <c r="C798" t="s">
        <v>2646</v>
      </c>
      <c r="E798" t="s">
        <v>2647</v>
      </c>
      <c r="F798" t="s">
        <v>27</v>
      </c>
      <c r="G798" t="s">
        <v>28</v>
      </c>
      <c r="H798" t="s">
        <v>29</v>
      </c>
      <c r="I798" t="s">
        <v>30</v>
      </c>
      <c r="J798" t="s">
        <v>46</v>
      </c>
      <c r="L798" s="1">
        <v>45870</v>
      </c>
      <c r="M798" s="1">
        <v>44805</v>
      </c>
      <c r="O798">
        <v>19606009</v>
      </c>
      <c r="P798" t="s">
        <v>32</v>
      </c>
      <c r="Q798" t="s">
        <v>42</v>
      </c>
      <c r="R798">
        <v>8192</v>
      </c>
      <c r="S798" t="s">
        <v>34</v>
      </c>
      <c r="T798" t="s">
        <v>35</v>
      </c>
      <c r="U798">
        <v>1.25</v>
      </c>
      <c r="V798" t="s">
        <v>36</v>
      </c>
      <c r="W798" s="1">
        <v>45839</v>
      </c>
      <c r="X798">
        <v>2025</v>
      </c>
    </row>
    <row r="799" spans="1:24" x14ac:dyDescent="0.25">
      <c r="A799" s="1">
        <v>45888</v>
      </c>
      <c r="B799" t="s">
        <v>2648</v>
      </c>
      <c r="C799" t="s">
        <v>2649</v>
      </c>
      <c r="E799" t="s">
        <v>2650</v>
      </c>
      <c r="F799" t="s">
        <v>27</v>
      </c>
      <c r="G799" t="s">
        <v>28</v>
      </c>
      <c r="H799" t="s">
        <v>29</v>
      </c>
      <c r="I799" t="s">
        <v>30</v>
      </c>
      <c r="J799" t="s">
        <v>156</v>
      </c>
      <c r="L799" s="1">
        <v>45870</v>
      </c>
      <c r="M799" s="1">
        <v>45566</v>
      </c>
      <c r="O799">
        <v>18710070</v>
      </c>
      <c r="P799" t="s">
        <v>32</v>
      </c>
      <c r="Q799" t="s">
        <v>293</v>
      </c>
      <c r="R799">
        <v>8192</v>
      </c>
      <c r="S799" t="s">
        <v>34</v>
      </c>
      <c r="T799" t="s">
        <v>35</v>
      </c>
      <c r="U799">
        <v>33.17</v>
      </c>
      <c r="V799" t="s">
        <v>36</v>
      </c>
      <c r="W799" s="1">
        <v>45490</v>
      </c>
      <c r="X799">
        <v>2025</v>
      </c>
    </row>
    <row r="800" spans="1:24" x14ac:dyDescent="0.25">
      <c r="A800" s="1">
        <v>45888</v>
      </c>
      <c r="B800" t="s">
        <v>2651</v>
      </c>
      <c r="C800" t="s">
        <v>2652</v>
      </c>
      <c r="E800" t="s">
        <v>2653</v>
      </c>
      <c r="F800" t="s">
        <v>2654</v>
      </c>
      <c r="G800" t="s">
        <v>28</v>
      </c>
      <c r="H800" t="s">
        <v>29</v>
      </c>
      <c r="I800" t="s">
        <v>61</v>
      </c>
      <c r="J800" t="s">
        <v>2655</v>
      </c>
      <c r="L800" s="1">
        <v>45870</v>
      </c>
      <c r="M800" s="1">
        <v>45536</v>
      </c>
      <c r="O800">
        <v>7146581</v>
      </c>
      <c r="P800" t="s">
        <v>32</v>
      </c>
      <c r="Q800" t="s">
        <v>259</v>
      </c>
      <c r="R800">
        <v>8192</v>
      </c>
      <c r="S800" t="s">
        <v>34</v>
      </c>
      <c r="T800" t="s">
        <v>35</v>
      </c>
      <c r="U800">
        <v>29.83</v>
      </c>
      <c r="V800" t="s">
        <v>36</v>
      </c>
      <c r="W800" s="1">
        <v>45533</v>
      </c>
      <c r="X800">
        <v>2025</v>
      </c>
    </row>
    <row r="801" spans="1:24" x14ac:dyDescent="0.25">
      <c r="A801" s="1">
        <v>45888</v>
      </c>
      <c r="B801" t="s">
        <v>2656</v>
      </c>
      <c r="C801" t="s">
        <v>2657</v>
      </c>
      <c r="E801" t="s">
        <v>2658</v>
      </c>
      <c r="F801" t="s">
        <v>27</v>
      </c>
      <c r="G801" t="s">
        <v>28</v>
      </c>
      <c r="H801" t="s">
        <v>29</v>
      </c>
      <c r="I801" t="s">
        <v>30</v>
      </c>
      <c r="J801" t="s">
        <v>70</v>
      </c>
      <c r="L801" s="1">
        <v>45870</v>
      </c>
      <c r="M801" s="1">
        <v>44562</v>
      </c>
      <c r="O801">
        <v>17528908</v>
      </c>
      <c r="P801" t="s">
        <v>32</v>
      </c>
      <c r="Q801" t="s">
        <v>33</v>
      </c>
      <c r="R801">
        <v>8192</v>
      </c>
      <c r="S801" t="s">
        <v>34</v>
      </c>
      <c r="T801" t="s">
        <v>35</v>
      </c>
      <c r="U801">
        <v>33.17</v>
      </c>
      <c r="V801" t="s">
        <v>36</v>
      </c>
      <c r="W801" s="1">
        <v>45444</v>
      </c>
      <c r="X801">
        <v>2025</v>
      </c>
    </row>
    <row r="802" spans="1:24" x14ac:dyDescent="0.25">
      <c r="A802" s="1">
        <v>45888</v>
      </c>
      <c r="B802" t="s">
        <v>2659</v>
      </c>
      <c r="C802" t="s">
        <v>2660</v>
      </c>
      <c r="E802" t="s">
        <v>2661</v>
      </c>
      <c r="F802" t="s">
        <v>27</v>
      </c>
      <c r="G802" t="s">
        <v>28</v>
      </c>
      <c r="H802" t="s">
        <v>29</v>
      </c>
      <c r="I802" t="s">
        <v>30</v>
      </c>
      <c r="J802" t="s">
        <v>46</v>
      </c>
      <c r="L802" s="1">
        <v>45870</v>
      </c>
      <c r="M802" s="1">
        <v>45323</v>
      </c>
      <c r="O802">
        <v>17886092</v>
      </c>
      <c r="P802" t="s">
        <v>32</v>
      </c>
      <c r="Q802" t="s">
        <v>102</v>
      </c>
      <c r="R802">
        <v>8192</v>
      </c>
      <c r="S802" t="s">
        <v>51</v>
      </c>
      <c r="T802" t="s">
        <v>35</v>
      </c>
      <c r="U802">
        <v>2.5</v>
      </c>
      <c r="V802" t="s">
        <v>36</v>
      </c>
      <c r="W802" s="1">
        <v>45273</v>
      </c>
      <c r="X802">
        <v>2025</v>
      </c>
    </row>
    <row r="803" spans="1:24" x14ac:dyDescent="0.25">
      <c r="A803" s="1">
        <v>45888</v>
      </c>
      <c r="B803" t="s">
        <v>2662</v>
      </c>
      <c r="C803" t="s">
        <v>2663</v>
      </c>
      <c r="E803" t="s">
        <v>2664</v>
      </c>
      <c r="F803" t="s">
        <v>27</v>
      </c>
      <c r="G803" t="s">
        <v>28</v>
      </c>
      <c r="H803" t="s">
        <v>29</v>
      </c>
      <c r="I803" t="s">
        <v>30</v>
      </c>
      <c r="J803" t="s">
        <v>46</v>
      </c>
      <c r="L803" s="1">
        <v>45870</v>
      </c>
      <c r="M803" s="1">
        <v>45323</v>
      </c>
      <c r="O803">
        <v>17886092</v>
      </c>
      <c r="P803" t="s">
        <v>32</v>
      </c>
      <c r="Q803" t="s">
        <v>102</v>
      </c>
      <c r="R803">
        <v>8192</v>
      </c>
      <c r="S803" t="s">
        <v>51</v>
      </c>
      <c r="T803" t="s">
        <v>35</v>
      </c>
      <c r="U803">
        <v>2.5</v>
      </c>
      <c r="V803" t="s">
        <v>36</v>
      </c>
      <c r="W803" s="1">
        <v>45273</v>
      </c>
      <c r="X803">
        <v>2025</v>
      </c>
    </row>
    <row r="804" spans="1:24" x14ac:dyDescent="0.25">
      <c r="A804" s="1">
        <v>45888</v>
      </c>
      <c r="B804" t="s">
        <v>2665</v>
      </c>
      <c r="C804" t="s">
        <v>2666</v>
      </c>
      <c r="E804" t="s">
        <v>2667</v>
      </c>
      <c r="F804" t="s">
        <v>27</v>
      </c>
      <c r="G804" t="s">
        <v>28</v>
      </c>
      <c r="H804" t="s">
        <v>29</v>
      </c>
      <c r="I804" t="s">
        <v>30</v>
      </c>
      <c r="J804" t="s">
        <v>50</v>
      </c>
      <c r="L804" s="1">
        <v>45870</v>
      </c>
      <c r="M804" s="1">
        <v>45292</v>
      </c>
      <c r="O804">
        <v>17886092</v>
      </c>
      <c r="P804" t="s">
        <v>32</v>
      </c>
      <c r="Q804" t="s">
        <v>102</v>
      </c>
      <c r="R804">
        <v>8192</v>
      </c>
      <c r="S804" t="s">
        <v>51</v>
      </c>
      <c r="T804" t="s">
        <v>35</v>
      </c>
      <c r="U804">
        <v>2.5</v>
      </c>
      <c r="V804" t="s">
        <v>36</v>
      </c>
      <c r="W804" s="1">
        <v>45245</v>
      </c>
      <c r="X804">
        <v>2025</v>
      </c>
    </row>
    <row r="805" spans="1:24" x14ac:dyDescent="0.25">
      <c r="A805" s="1">
        <v>45888</v>
      </c>
      <c r="B805" t="s">
        <v>2668</v>
      </c>
      <c r="C805" t="s">
        <v>2669</v>
      </c>
      <c r="E805" t="s">
        <v>2670</v>
      </c>
      <c r="F805" t="s">
        <v>27</v>
      </c>
      <c r="G805" t="s">
        <v>28</v>
      </c>
      <c r="H805" t="s">
        <v>29</v>
      </c>
      <c r="I805" t="s">
        <v>30</v>
      </c>
      <c r="J805" t="s">
        <v>46</v>
      </c>
      <c r="L805" s="1">
        <v>45870</v>
      </c>
      <c r="M805" s="1">
        <v>45323</v>
      </c>
      <c r="O805">
        <v>17886092</v>
      </c>
      <c r="P805" t="s">
        <v>32</v>
      </c>
      <c r="Q805" t="s">
        <v>102</v>
      </c>
      <c r="R805">
        <v>8192</v>
      </c>
      <c r="S805" t="s">
        <v>51</v>
      </c>
      <c r="T805" t="s">
        <v>35</v>
      </c>
      <c r="U805">
        <v>2.5</v>
      </c>
      <c r="V805" t="s">
        <v>36</v>
      </c>
      <c r="W805" s="1">
        <v>45316</v>
      </c>
      <c r="X805">
        <v>2025</v>
      </c>
    </row>
    <row r="806" spans="1:24" x14ac:dyDescent="0.25">
      <c r="A806" s="1">
        <v>45888</v>
      </c>
      <c r="B806" t="s">
        <v>2671</v>
      </c>
      <c r="C806" t="s">
        <v>2672</v>
      </c>
      <c r="E806" t="s">
        <v>2673</v>
      </c>
      <c r="F806" t="s">
        <v>27</v>
      </c>
      <c r="G806" t="s">
        <v>28</v>
      </c>
      <c r="H806" t="s">
        <v>29</v>
      </c>
      <c r="I806" t="s">
        <v>30</v>
      </c>
      <c r="J806" t="s">
        <v>156</v>
      </c>
      <c r="L806" s="1">
        <v>45870</v>
      </c>
      <c r="M806" s="1">
        <v>45323</v>
      </c>
      <c r="O806">
        <v>17886092</v>
      </c>
      <c r="P806" t="s">
        <v>32</v>
      </c>
      <c r="Q806" t="s">
        <v>102</v>
      </c>
      <c r="R806">
        <v>8192</v>
      </c>
      <c r="S806" t="s">
        <v>51</v>
      </c>
      <c r="T806" t="s">
        <v>35</v>
      </c>
      <c r="U806">
        <v>2.5</v>
      </c>
      <c r="V806" t="s">
        <v>36</v>
      </c>
      <c r="W806" s="1">
        <v>45299</v>
      </c>
      <c r="X806">
        <v>2025</v>
      </c>
    </row>
    <row r="807" spans="1:24" x14ac:dyDescent="0.25">
      <c r="A807" s="1">
        <v>45888</v>
      </c>
      <c r="B807" t="s">
        <v>2674</v>
      </c>
      <c r="C807" t="s">
        <v>2675</v>
      </c>
      <c r="D807" t="s">
        <v>2676</v>
      </c>
      <c r="E807" t="s">
        <v>2677</v>
      </c>
      <c r="F807" t="s">
        <v>27</v>
      </c>
      <c r="G807" t="s">
        <v>28</v>
      </c>
      <c r="H807" t="s">
        <v>29</v>
      </c>
      <c r="I807" t="s">
        <v>273</v>
      </c>
      <c r="J807" t="s">
        <v>70</v>
      </c>
      <c r="L807" s="1">
        <v>45870</v>
      </c>
      <c r="M807" s="1">
        <v>43466</v>
      </c>
      <c r="O807">
        <v>19606009</v>
      </c>
      <c r="P807" t="s">
        <v>32</v>
      </c>
      <c r="Q807" t="s">
        <v>42</v>
      </c>
      <c r="R807">
        <v>8192</v>
      </c>
      <c r="S807" t="s">
        <v>34</v>
      </c>
      <c r="T807" t="s">
        <v>35</v>
      </c>
      <c r="U807">
        <v>1.25</v>
      </c>
      <c r="V807" t="s">
        <v>36</v>
      </c>
      <c r="W807" s="1">
        <v>45839</v>
      </c>
      <c r="X807">
        <v>2025</v>
      </c>
    </row>
    <row r="808" spans="1:24" x14ac:dyDescent="0.25">
      <c r="A808" s="1">
        <v>45888</v>
      </c>
      <c r="B808" t="s">
        <v>2678</v>
      </c>
      <c r="C808" t="s">
        <v>2679</v>
      </c>
      <c r="E808" t="s">
        <v>2680</v>
      </c>
      <c r="F808" t="s">
        <v>27</v>
      </c>
      <c r="G808" t="s">
        <v>28</v>
      </c>
      <c r="H808" t="s">
        <v>29</v>
      </c>
      <c r="I808" t="s">
        <v>30</v>
      </c>
      <c r="J808" t="s">
        <v>46</v>
      </c>
      <c r="L808" s="1">
        <v>45870</v>
      </c>
      <c r="M808" s="1">
        <v>45474</v>
      </c>
      <c r="O808">
        <v>17886092</v>
      </c>
      <c r="P808" t="s">
        <v>32</v>
      </c>
      <c r="Q808" t="s">
        <v>102</v>
      </c>
      <c r="R808">
        <v>8192</v>
      </c>
      <c r="S808" t="s">
        <v>34</v>
      </c>
      <c r="T808" t="s">
        <v>35</v>
      </c>
      <c r="U808">
        <v>3.75</v>
      </c>
      <c r="V808" t="s">
        <v>36</v>
      </c>
      <c r="W808" s="1">
        <v>45434</v>
      </c>
      <c r="X808">
        <v>2025</v>
      </c>
    </row>
    <row r="809" spans="1:24" x14ac:dyDescent="0.25">
      <c r="A809" s="1">
        <v>45888</v>
      </c>
      <c r="B809" t="s">
        <v>2681</v>
      </c>
      <c r="C809" t="s">
        <v>2682</v>
      </c>
      <c r="E809" t="s">
        <v>2683</v>
      </c>
      <c r="F809" t="s">
        <v>27</v>
      </c>
      <c r="G809" t="s">
        <v>28</v>
      </c>
      <c r="H809" t="s">
        <v>29</v>
      </c>
      <c r="I809" t="s">
        <v>30</v>
      </c>
      <c r="J809" t="s">
        <v>46</v>
      </c>
      <c r="L809" s="1">
        <v>45870</v>
      </c>
      <c r="M809" s="1">
        <v>45474</v>
      </c>
      <c r="O809">
        <v>17886092</v>
      </c>
      <c r="P809" t="s">
        <v>32</v>
      </c>
      <c r="Q809" t="s">
        <v>102</v>
      </c>
      <c r="R809">
        <v>8192</v>
      </c>
      <c r="S809" t="s">
        <v>34</v>
      </c>
      <c r="T809" t="s">
        <v>35</v>
      </c>
      <c r="U809">
        <v>3.75</v>
      </c>
      <c r="V809" t="s">
        <v>36</v>
      </c>
      <c r="W809" s="1">
        <v>45462</v>
      </c>
      <c r="X809">
        <v>2025</v>
      </c>
    </row>
    <row r="810" spans="1:24" x14ac:dyDescent="0.25">
      <c r="A810" s="1">
        <v>45888</v>
      </c>
      <c r="B810" t="s">
        <v>2684</v>
      </c>
      <c r="C810" t="s">
        <v>2685</v>
      </c>
      <c r="E810" t="s">
        <v>2686</v>
      </c>
      <c r="F810" t="s">
        <v>27</v>
      </c>
      <c r="G810" t="s">
        <v>28</v>
      </c>
      <c r="H810" t="s">
        <v>29</v>
      </c>
      <c r="I810" t="s">
        <v>30</v>
      </c>
      <c r="J810" t="s">
        <v>46</v>
      </c>
      <c r="L810" s="1">
        <v>45870</v>
      </c>
      <c r="M810" s="1">
        <v>44835</v>
      </c>
      <c r="O810">
        <v>19606009</v>
      </c>
      <c r="P810" t="s">
        <v>32</v>
      </c>
      <c r="Q810" t="s">
        <v>42</v>
      </c>
      <c r="R810">
        <v>8192</v>
      </c>
      <c r="S810" t="s">
        <v>34</v>
      </c>
      <c r="T810" t="s">
        <v>35</v>
      </c>
      <c r="U810">
        <v>1.25</v>
      </c>
      <c r="V810" t="s">
        <v>36</v>
      </c>
      <c r="W810" s="1">
        <v>45809</v>
      </c>
      <c r="X810">
        <v>2025</v>
      </c>
    </row>
    <row r="811" spans="1:24" x14ac:dyDescent="0.25">
      <c r="A811" s="1">
        <v>45888</v>
      </c>
      <c r="B811" t="s">
        <v>2687</v>
      </c>
      <c r="C811" t="s">
        <v>2688</v>
      </c>
      <c r="E811" t="s">
        <v>2689</v>
      </c>
      <c r="F811" t="s">
        <v>27</v>
      </c>
      <c r="G811" t="s">
        <v>28</v>
      </c>
      <c r="H811" t="s">
        <v>29</v>
      </c>
      <c r="I811" t="s">
        <v>30</v>
      </c>
      <c r="J811" t="s">
        <v>46</v>
      </c>
      <c r="L811" s="1">
        <v>45870</v>
      </c>
      <c r="M811" s="1">
        <v>44835</v>
      </c>
      <c r="O811">
        <v>19606009</v>
      </c>
      <c r="P811" t="s">
        <v>32</v>
      </c>
      <c r="Q811" t="s">
        <v>42</v>
      </c>
      <c r="R811">
        <v>8192</v>
      </c>
      <c r="S811" t="s">
        <v>34</v>
      </c>
      <c r="T811" t="s">
        <v>35</v>
      </c>
      <c r="U811">
        <v>1.25</v>
      </c>
      <c r="V811" t="s">
        <v>36</v>
      </c>
      <c r="W811" s="1">
        <v>45809</v>
      </c>
      <c r="X811">
        <v>2025</v>
      </c>
    </row>
    <row r="812" spans="1:24" x14ac:dyDescent="0.25">
      <c r="A812" s="1">
        <v>45888</v>
      </c>
      <c r="B812" t="s">
        <v>2690</v>
      </c>
      <c r="C812" t="s">
        <v>2691</v>
      </c>
      <c r="E812" t="s">
        <v>2692</v>
      </c>
      <c r="F812" t="s">
        <v>27</v>
      </c>
      <c r="G812" t="s">
        <v>28</v>
      </c>
      <c r="H812" t="s">
        <v>29</v>
      </c>
      <c r="I812" t="s">
        <v>30</v>
      </c>
      <c r="J812" t="s">
        <v>46</v>
      </c>
      <c r="L812" s="1">
        <v>45870</v>
      </c>
      <c r="M812" s="1">
        <v>45292</v>
      </c>
      <c r="O812">
        <v>17886092</v>
      </c>
      <c r="P812" t="s">
        <v>32</v>
      </c>
      <c r="Q812" t="s">
        <v>102</v>
      </c>
      <c r="R812">
        <v>8192</v>
      </c>
      <c r="S812" t="s">
        <v>51</v>
      </c>
      <c r="T812" t="s">
        <v>35</v>
      </c>
      <c r="U812">
        <v>2.5</v>
      </c>
      <c r="V812" t="s">
        <v>36</v>
      </c>
      <c r="W812" s="1">
        <v>45215</v>
      </c>
      <c r="X812">
        <v>2025</v>
      </c>
    </row>
    <row r="813" spans="1:24" x14ac:dyDescent="0.25">
      <c r="A813" s="1">
        <v>45888</v>
      </c>
      <c r="B813" t="s">
        <v>2693</v>
      </c>
      <c r="C813" t="s">
        <v>2694</v>
      </c>
      <c r="E813" t="s">
        <v>2695</v>
      </c>
      <c r="F813" t="s">
        <v>27</v>
      </c>
      <c r="G813" t="s">
        <v>28</v>
      </c>
      <c r="H813" t="s">
        <v>29</v>
      </c>
      <c r="I813" t="s">
        <v>30</v>
      </c>
      <c r="J813" t="s">
        <v>46</v>
      </c>
      <c r="L813" s="1">
        <v>45870</v>
      </c>
      <c r="M813" s="1">
        <v>44986</v>
      </c>
      <c r="O813">
        <v>19606009</v>
      </c>
      <c r="P813" t="s">
        <v>32</v>
      </c>
      <c r="Q813" t="s">
        <v>42</v>
      </c>
      <c r="R813">
        <v>8192</v>
      </c>
      <c r="S813" t="s">
        <v>34</v>
      </c>
      <c r="T813" t="s">
        <v>35</v>
      </c>
      <c r="U813">
        <v>1.25</v>
      </c>
      <c r="V813" t="s">
        <v>36</v>
      </c>
      <c r="W813" s="1">
        <v>45839</v>
      </c>
      <c r="X813">
        <v>2025</v>
      </c>
    </row>
    <row r="814" spans="1:24" x14ac:dyDescent="0.25">
      <c r="A814" s="1">
        <v>45888</v>
      </c>
      <c r="B814" t="s">
        <v>2696</v>
      </c>
      <c r="C814" t="s">
        <v>2697</v>
      </c>
      <c r="E814" t="s">
        <v>2698</v>
      </c>
      <c r="F814" t="s">
        <v>27</v>
      </c>
      <c r="G814" t="s">
        <v>28</v>
      </c>
      <c r="H814" t="s">
        <v>29</v>
      </c>
      <c r="I814" t="s">
        <v>30</v>
      </c>
      <c r="J814" t="s">
        <v>202</v>
      </c>
      <c r="L814" s="1">
        <v>45870</v>
      </c>
      <c r="M814" s="1">
        <v>45627</v>
      </c>
      <c r="O814">
        <v>17528908</v>
      </c>
      <c r="P814" t="s">
        <v>32</v>
      </c>
      <c r="Q814" t="s">
        <v>33</v>
      </c>
      <c r="R814">
        <v>8192</v>
      </c>
      <c r="S814" t="s">
        <v>34</v>
      </c>
      <c r="T814" t="s">
        <v>35</v>
      </c>
      <c r="U814">
        <v>33.17</v>
      </c>
      <c r="V814" t="s">
        <v>36</v>
      </c>
      <c r="W814" s="1">
        <v>45610</v>
      </c>
      <c r="X814">
        <v>2025</v>
      </c>
    </row>
    <row r="815" spans="1:24" x14ac:dyDescent="0.25">
      <c r="A815" s="1">
        <v>45888</v>
      </c>
      <c r="B815" t="s">
        <v>2699</v>
      </c>
      <c r="C815" t="s">
        <v>2700</v>
      </c>
      <c r="E815" t="s">
        <v>2701</v>
      </c>
      <c r="F815" t="s">
        <v>27</v>
      </c>
      <c r="G815" t="s">
        <v>28</v>
      </c>
      <c r="H815" t="s">
        <v>29</v>
      </c>
      <c r="I815" t="s">
        <v>30</v>
      </c>
      <c r="J815" t="s">
        <v>46</v>
      </c>
      <c r="L815" s="1">
        <v>45870</v>
      </c>
      <c r="M815" s="1">
        <v>45292</v>
      </c>
      <c r="O815">
        <v>17886092</v>
      </c>
      <c r="P815" t="s">
        <v>32</v>
      </c>
      <c r="Q815" t="s">
        <v>102</v>
      </c>
      <c r="R815">
        <v>8192</v>
      </c>
      <c r="S815" t="s">
        <v>51</v>
      </c>
      <c r="T815" t="s">
        <v>35</v>
      </c>
      <c r="U815">
        <v>2.5</v>
      </c>
      <c r="V815" t="s">
        <v>36</v>
      </c>
      <c r="W815" s="1">
        <v>45224</v>
      </c>
      <c r="X815">
        <v>2025</v>
      </c>
    </row>
    <row r="816" spans="1:24" x14ac:dyDescent="0.25">
      <c r="A816" s="1">
        <v>45888</v>
      </c>
      <c r="B816" t="s">
        <v>2702</v>
      </c>
      <c r="C816" t="s">
        <v>2703</v>
      </c>
      <c r="E816" t="s">
        <v>2704</v>
      </c>
      <c r="F816" t="s">
        <v>74</v>
      </c>
      <c r="G816" t="s">
        <v>28</v>
      </c>
      <c r="H816" t="s">
        <v>29</v>
      </c>
      <c r="I816" t="s">
        <v>61</v>
      </c>
      <c r="J816" t="s">
        <v>75</v>
      </c>
      <c r="L816" s="1">
        <v>45870</v>
      </c>
      <c r="M816" s="1">
        <v>45627</v>
      </c>
      <c r="O816">
        <v>19396223</v>
      </c>
      <c r="P816" t="s">
        <v>32</v>
      </c>
      <c r="Q816" t="s">
        <v>1775</v>
      </c>
      <c r="R816">
        <v>8192</v>
      </c>
      <c r="S816" t="s">
        <v>34</v>
      </c>
      <c r="T816" t="s">
        <v>35</v>
      </c>
      <c r="U816">
        <v>29.83</v>
      </c>
      <c r="V816" t="s">
        <v>36</v>
      </c>
      <c r="W816" s="1">
        <v>45601</v>
      </c>
      <c r="X816">
        <v>2025</v>
      </c>
    </row>
    <row r="817" spans="1:24" x14ac:dyDescent="0.25">
      <c r="A817" s="1">
        <v>45888</v>
      </c>
      <c r="B817" t="s">
        <v>2705</v>
      </c>
      <c r="C817" t="s">
        <v>2706</v>
      </c>
      <c r="E817" t="s">
        <v>2707</v>
      </c>
      <c r="F817" t="s">
        <v>27</v>
      </c>
      <c r="G817" t="s">
        <v>28</v>
      </c>
      <c r="H817" t="s">
        <v>29</v>
      </c>
      <c r="I817" t="s">
        <v>30</v>
      </c>
      <c r="J817" t="s">
        <v>50</v>
      </c>
      <c r="L817" s="1">
        <v>45870</v>
      </c>
      <c r="M817" s="1">
        <v>45261</v>
      </c>
      <c r="O817">
        <v>17528908</v>
      </c>
      <c r="P817" t="s">
        <v>32</v>
      </c>
      <c r="Q817" t="s">
        <v>33</v>
      </c>
      <c r="R817">
        <v>8192</v>
      </c>
      <c r="S817" t="s">
        <v>51</v>
      </c>
      <c r="T817" t="s">
        <v>35</v>
      </c>
      <c r="U817">
        <v>31.92</v>
      </c>
      <c r="V817" t="s">
        <v>36</v>
      </c>
      <c r="W817" s="1">
        <v>45215</v>
      </c>
      <c r="X817">
        <v>2025</v>
      </c>
    </row>
    <row r="818" spans="1:24" x14ac:dyDescent="0.25">
      <c r="A818" s="1">
        <v>45888</v>
      </c>
      <c r="B818" t="s">
        <v>2708</v>
      </c>
      <c r="C818" t="s">
        <v>2709</v>
      </c>
      <c r="E818" t="s">
        <v>2710</v>
      </c>
      <c r="F818" t="s">
        <v>27</v>
      </c>
      <c r="G818" t="s">
        <v>28</v>
      </c>
      <c r="H818" t="s">
        <v>29</v>
      </c>
      <c r="I818" t="s">
        <v>30</v>
      </c>
      <c r="J818" t="s">
        <v>156</v>
      </c>
      <c r="L818" s="1">
        <v>45870</v>
      </c>
      <c r="M818" s="1">
        <v>45292</v>
      </c>
      <c r="O818">
        <v>17886092</v>
      </c>
      <c r="P818" t="s">
        <v>32</v>
      </c>
      <c r="Q818" t="s">
        <v>102</v>
      </c>
      <c r="R818">
        <v>8192</v>
      </c>
      <c r="S818" t="s">
        <v>51</v>
      </c>
      <c r="T818" t="s">
        <v>35</v>
      </c>
      <c r="U818">
        <v>2.5</v>
      </c>
      <c r="V818" t="s">
        <v>36</v>
      </c>
      <c r="W818" s="1">
        <v>45219</v>
      </c>
      <c r="X818">
        <v>2025</v>
      </c>
    </row>
    <row r="819" spans="1:24" x14ac:dyDescent="0.25">
      <c r="A819" s="1">
        <v>45888</v>
      </c>
      <c r="B819" t="s">
        <v>2711</v>
      </c>
      <c r="C819" t="s">
        <v>2712</v>
      </c>
      <c r="E819" t="s">
        <v>2713</v>
      </c>
      <c r="F819" t="s">
        <v>27</v>
      </c>
      <c r="G819" t="s">
        <v>28</v>
      </c>
      <c r="H819" t="s">
        <v>29</v>
      </c>
      <c r="I819" t="s">
        <v>30</v>
      </c>
      <c r="J819" t="s">
        <v>46</v>
      </c>
      <c r="L819" s="1">
        <v>45870</v>
      </c>
      <c r="M819" s="1">
        <v>45292</v>
      </c>
      <c r="O819">
        <v>17886092</v>
      </c>
      <c r="P819" t="s">
        <v>32</v>
      </c>
      <c r="Q819" t="s">
        <v>102</v>
      </c>
      <c r="R819">
        <v>8192</v>
      </c>
      <c r="S819" t="s">
        <v>51</v>
      </c>
      <c r="T819" t="s">
        <v>35</v>
      </c>
      <c r="U819">
        <v>2.5</v>
      </c>
      <c r="V819" t="s">
        <v>36</v>
      </c>
      <c r="W819" s="1">
        <v>45219</v>
      </c>
      <c r="X819">
        <v>2025</v>
      </c>
    </row>
    <row r="820" spans="1:24" x14ac:dyDescent="0.25">
      <c r="A820" s="1">
        <v>45888</v>
      </c>
      <c r="B820" t="s">
        <v>2714</v>
      </c>
      <c r="C820" t="s">
        <v>2715</v>
      </c>
      <c r="E820" t="s">
        <v>2716</v>
      </c>
      <c r="F820" t="s">
        <v>27</v>
      </c>
      <c r="G820" t="s">
        <v>28</v>
      </c>
      <c r="H820" t="s">
        <v>29</v>
      </c>
      <c r="I820" t="s">
        <v>30</v>
      </c>
      <c r="J820" t="s">
        <v>50</v>
      </c>
      <c r="L820" s="1">
        <v>45870</v>
      </c>
      <c r="M820" s="1">
        <v>45658</v>
      </c>
      <c r="O820">
        <v>17886092</v>
      </c>
      <c r="P820" t="s">
        <v>32</v>
      </c>
      <c r="Q820" t="s">
        <v>102</v>
      </c>
      <c r="R820">
        <v>8192</v>
      </c>
      <c r="S820" t="s">
        <v>51</v>
      </c>
      <c r="T820" t="s">
        <v>35</v>
      </c>
      <c r="U820">
        <v>2.5</v>
      </c>
      <c r="V820" t="s">
        <v>36</v>
      </c>
      <c r="W820" s="1">
        <v>45260</v>
      </c>
      <c r="X820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5F3AE-2B2B-4F65-900F-04ECDC2242FF}">
  <dimension ref="A1:R830"/>
  <sheetViews>
    <sheetView tabSelected="1" topLeftCell="A156" workbookViewId="0">
      <selection activeCell="B92" sqref="B92"/>
    </sheetView>
  </sheetViews>
  <sheetFormatPr defaultRowHeight="15" x14ac:dyDescent="0.25"/>
  <cols>
    <col min="1" max="1" width="17.28515625" bestFit="1" customWidth="1"/>
    <col min="2" max="2" width="17.28515625" customWidth="1"/>
    <col min="3" max="3" width="27.140625" customWidth="1"/>
    <col min="4" max="4" width="13.7109375" bestFit="1" customWidth="1"/>
    <col min="5" max="5" width="20.28515625" bestFit="1" customWidth="1"/>
    <col min="7" max="7" width="13.5703125" customWidth="1"/>
    <col min="8" max="8" width="13.5703125" bestFit="1" customWidth="1"/>
    <col min="11" max="11" width="24.28515625" bestFit="1" customWidth="1"/>
    <col min="14" max="14" width="21.140625" bestFit="1" customWidth="1"/>
    <col min="15" max="15" width="24.140625" bestFit="1" customWidth="1"/>
    <col min="16" max="16" width="24.7109375" bestFit="1" customWidth="1"/>
  </cols>
  <sheetData>
    <row r="1" spans="1:16" x14ac:dyDescent="0.25">
      <c r="A1" t="s">
        <v>1</v>
      </c>
      <c r="C1" t="s">
        <v>4</v>
      </c>
      <c r="D1" t="s">
        <v>5</v>
      </c>
      <c r="E1" t="s">
        <v>6</v>
      </c>
      <c r="F1" t="s">
        <v>7</v>
      </c>
      <c r="G1" t="s">
        <v>11</v>
      </c>
      <c r="H1" t="s">
        <v>12</v>
      </c>
      <c r="I1" t="s">
        <v>14</v>
      </c>
      <c r="J1" t="s">
        <v>15</v>
      </c>
      <c r="K1" t="s">
        <v>16</v>
      </c>
      <c r="L1" t="s">
        <v>20</v>
      </c>
    </row>
    <row r="2" spans="1:16" x14ac:dyDescent="0.25">
      <c r="A2" t="s">
        <v>1771</v>
      </c>
      <c r="B2" t="str">
        <f>CONCATENATE(A2,8)</f>
        <v>5PD0GC8NK198</v>
      </c>
      <c r="C2" t="s">
        <v>1773</v>
      </c>
      <c r="D2" t="s">
        <v>160</v>
      </c>
      <c r="E2" t="s">
        <v>28</v>
      </c>
      <c r="F2" t="s">
        <v>29</v>
      </c>
      <c r="G2" s="1">
        <v>45870</v>
      </c>
      <c r="H2" s="1">
        <v>45597</v>
      </c>
      <c r="I2">
        <v>19396223</v>
      </c>
      <c r="J2" t="s">
        <v>32</v>
      </c>
      <c r="K2" t="s">
        <v>1775</v>
      </c>
      <c r="L2">
        <v>29.83</v>
      </c>
      <c r="M2">
        <v>29.83</v>
      </c>
      <c r="N2" t="s">
        <v>2720</v>
      </c>
      <c r="O2" t="s">
        <v>2724</v>
      </c>
      <c r="P2" t="s">
        <v>3997</v>
      </c>
    </row>
    <row r="3" spans="1:16" x14ac:dyDescent="0.25">
      <c r="A3" t="s">
        <v>2098</v>
      </c>
      <c r="B3" t="str">
        <f>CONCATENATE(A3,8)</f>
        <v>8YX6KA1JQ598</v>
      </c>
      <c r="C3" t="s">
        <v>2100</v>
      </c>
      <c r="D3" t="s">
        <v>74</v>
      </c>
      <c r="E3" t="s">
        <v>28</v>
      </c>
      <c r="F3" t="s">
        <v>29</v>
      </c>
      <c r="G3" s="1">
        <v>45870</v>
      </c>
      <c r="H3" s="1">
        <v>45536</v>
      </c>
      <c r="I3">
        <v>19396223</v>
      </c>
      <c r="J3" t="s">
        <v>32</v>
      </c>
      <c r="K3" t="s">
        <v>1775</v>
      </c>
      <c r="L3">
        <v>29.83</v>
      </c>
      <c r="M3">
        <v>29.83</v>
      </c>
      <c r="N3" t="s">
        <v>2720</v>
      </c>
      <c r="O3" t="s">
        <v>2724</v>
      </c>
      <c r="P3" t="s">
        <v>4020</v>
      </c>
    </row>
    <row r="4" spans="1:16" x14ac:dyDescent="0.25">
      <c r="A4" t="s">
        <v>2702</v>
      </c>
      <c r="B4" t="str">
        <f>CONCATENATE(A4,8)</f>
        <v>7XC0CJ9QY008</v>
      </c>
      <c r="C4" t="s">
        <v>2704</v>
      </c>
      <c r="D4" t="s">
        <v>74</v>
      </c>
      <c r="E4" t="s">
        <v>28</v>
      </c>
      <c r="F4" t="s">
        <v>29</v>
      </c>
      <c r="G4" s="1">
        <v>45870</v>
      </c>
      <c r="H4" s="1">
        <v>45627</v>
      </c>
      <c r="I4">
        <v>19396223</v>
      </c>
      <c r="J4" t="s">
        <v>32</v>
      </c>
      <c r="K4" t="s">
        <v>1775</v>
      </c>
      <c r="L4">
        <v>29.83</v>
      </c>
      <c r="M4">
        <v>29.83</v>
      </c>
      <c r="N4" t="s">
        <v>2720</v>
      </c>
      <c r="O4" t="s">
        <v>2724</v>
      </c>
      <c r="P4" t="s">
        <v>4045</v>
      </c>
    </row>
    <row r="5" spans="1:16" x14ac:dyDescent="0.25">
      <c r="A5" t="s">
        <v>705</v>
      </c>
      <c r="B5" t="str">
        <f>CONCATENATE(A5,8)</f>
        <v>2FJ2HP3RJ238</v>
      </c>
      <c r="C5" t="s">
        <v>707</v>
      </c>
      <c r="D5" t="s">
        <v>27</v>
      </c>
      <c r="E5" t="s">
        <v>28</v>
      </c>
      <c r="F5" t="s">
        <v>29</v>
      </c>
      <c r="G5" s="1">
        <v>45870</v>
      </c>
      <c r="H5" s="1">
        <v>45292</v>
      </c>
      <c r="I5">
        <v>8971826</v>
      </c>
      <c r="J5" t="s">
        <v>32</v>
      </c>
      <c r="K5" t="s">
        <v>138</v>
      </c>
      <c r="L5">
        <v>31.92</v>
      </c>
      <c r="M5">
        <v>31.92</v>
      </c>
      <c r="N5" t="s">
        <v>2723</v>
      </c>
      <c r="O5" t="s">
        <v>2726</v>
      </c>
      <c r="P5" t="s">
        <v>3738</v>
      </c>
    </row>
    <row r="6" spans="1:16" x14ac:dyDescent="0.25">
      <c r="A6" t="s">
        <v>1149</v>
      </c>
      <c r="B6" t="str">
        <f>CONCATENATE(A6,8)</f>
        <v>1WX5T31AQ998</v>
      </c>
      <c r="C6" t="s">
        <v>1151</v>
      </c>
      <c r="D6" t="s">
        <v>27</v>
      </c>
      <c r="E6" t="s">
        <v>28</v>
      </c>
      <c r="F6" t="s">
        <v>29</v>
      </c>
      <c r="G6" s="1">
        <v>45870</v>
      </c>
      <c r="H6" s="1">
        <v>45292</v>
      </c>
      <c r="I6">
        <v>8971826</v>
      </c>
      <c r="J6" t="s">
        <v>32</v>
      </c>
      <c r="K6" t="s">
        <v>138</v>
      </c>
      <c r="L6">
        <v>31.92</v>
      </c>
      <c r="M6">
        <v>31.92</v>
      </c>
      <c r="N6" t="s">
        <v>2723</v>
      </c>
      <c r="O6" t="s">
        <v>2726</v>
      </c>
      <c r="P6" t="s">
        <v>3752</v>
      </c>
    </row>
    <row r="7" spans="1:16" x14ac:dyDescent="0.25">
      <c r="A7" t="s">
        <v>1155</v>
      </c>
      <c r="B7" t="str">
        <f>CONCATENATE(A7,8)</f>
        <v>1C35GW8FJ798</v>
      </c>
      <c r="C7" t="s">
        <v>1157</v>
      </c>
      <c r="D7" t="s">
        <v>27</v>
      </c>
      <c r="E7" t="s">
        <v>28</v>
      </c>
      <c r="F7" t="s">
        <v>29</v>
      </c>
      <c r="G7" s="1">
        <v>45870</v>
      </c>
      <c r="H7" s="1">
        <v>45292</v>
      </c>
      <c r="I7">
        <v>8971826</v>
      </c>
      <c r="J7" t="s">
        <v>32</v>
      </c>
      <c r="K7" t="s">
        <v>138</v>
      </c>
      <c r="L7">
        <v>31.92</v>
      </c>
      <c r="M7">
        <v>31.92</v>
      </c>
      <c r="N7" t="s">
        <v>2723</v>
      </c>
      <c r="O7" t="s">
        <v>2726</v>
      </c>
      <c r="P7" t="s">
        <v>3753</v>
      </c>
    </row>
    <row r="8" spans="1:16" x14ac:dyDescent="0.25">
      <c r="A8" t="s">
        <v>135</v>
      </c>
      <c r="B8" t="str">
        <f>CONCATENATE(A8,8)</f>
        <v>3CT4CK5FV798</v>
      </c>
      <c r="C8" t="s">
        <v>137</v>
      </c>
      <c r="D8" t="s">
        <v>27</v>
      </c>
      <c r="E8" t="s">
        <v>28</v>
      </c>
      <c r="F8" t="s">
        <v>29</v>
      </c>
      <c r="G8" s="1">
        <v>45870</v>
      </c>
      <c r="H8" s="1">
        <v>45566</v>
      </c>
      <c r="I8">
        <v>8971826</v>
      </c>
      <c r="J8" t="s">
        <v>32</v>
      </c>
      <c r="K8" t="s">
        <v>138</v>
      </c>
      <c r="L8">
        <v>33.17</v>
      </c>
      <c r="M8">
        <v>33.17</v>
      </c>
      <c r="N8" t="s">
        <v>2723</v>
      </c>
      <c r="O8" t="s">
        <v>2722</v>
      </c>
      <c r="P8" t="s">
        <v>3800</v>
      </c>
    </row>
    <row r="9" spans="1:16" x14ac:dyDescent="0.25">
      <c r="A9" t="s">
        <v>1270</v>
      </c>
      <c r="B9" t="str">
        <f>CONCATENATE(A9,8)</f>
        <v>9ND7KA5EP728</v>
      </c>
      <c r="C9" t="s">
        <v>1272</v>
      </c>
      <c r="D9" t="s">
        <v>74</v>
      </c>
      <c r="E9" t="s">
        <v>28</v>
      </c>
      <c r="F9" t="s">
        <v>29</v>
      </c>
      <c r="G9" s="1">
        <v>45870</v>
      </c>
      <c r="H9" s="1">
        <v>45566</v>
      </c>
      <c r="I9">
        <v>3475518</v>
      </c>
      <c r="J9" t="s">
        <v>32</v>
      </c>
      <c r="K9" t="s">
        <v>1273</v>
      </c>
      <c r="L9">
        <v>29.83</v>
      </c>
      <c r="M9">
        <v>29.83</v>
      </c>
      <c r="N9" t="s">
        <v>2720</v>
      </c>
      <c r="O9" t="s">
        <v>2724</v>
      </c>
      <c r="P9" t="s">
        <v>3978</v>
      </c>
    </row>
    <row r="10" spans="1:16" x14ac:dyDescent="0.25">
      <c r="A10" t="s">
        <v>1552</v>
      </c>
      <c r="B10" t="str">
        <f>CONCATENATE(A10,8)</f>
        <v>8GD5DR3DJ508</v>
      </c>
      <c r="C10" t="s">
        <v>1554</v>
      </c>
      <c r="D10" t="s">
        <v>27</v>
      </c>
      <c r="E10" t="s">
        <v>28</v>
      </c>
      <c r="F10" t="s">
        <v>29</v>
      </c>
      <c r="G10" s="1">
        <v>45870</v>
      </c>
      <c r="H10" s="1">
        <v>45078</v>
      </c>
      <c r="I10">
        <v>19562245</v>
      </c>
      <c r="J10" t="s">
        <v>32</v>
      </c>
      <c r="K10" t="s">
        <v>1555</v>
      </c>
      <c r="L10">
        <v>31.92</v>
      </c>
      <c r="M10">
        <v>31.92</v>
      </c>
      <c r="N10" t="s">
        <v>2723</v>
      </c>
      <c r="O10" t="s">
        <v>2726</v>
      </c>
      <c r="P10" t="s">
        <v>3768</v>
      </c>
    </row>
    <row r="11" spans="1:16" x14ac:dyDescent="0.25">
      <c r="A11" t="s">
        <v>2380</v>
      </c>
      <c r="B11" t="str">
        <f>CONCATENATE(A11,8)</f>
        <v>7JT3PP7XV008</v>
      </c>
      <c r="C11" t="s">
        <v>2382</v>
      </c>
      <c r="D11" t="s">
        <v>27</v>
      </c>
      <c r="E11" t="s">
        <v>28</v>
      </c>
      <c r="F11" t="s">
        <v>29</v>
      </c>
      <c r="G11" s="1">
        <v>45870</v>
      </c>
      <c r="H11" s="1">
        <v>45047</v>
      </c>
      <c r="I11">
        <v>19562245</v>
      </c>
      <c r="J11" t="s">
        <v>32</v>
      </c>
      <c r="K11" t="s">
        <v>1555</v>
      </c>
      <c r="L11">
        <v>31.92</v>
      </c>
      <c r="M11">
        <v>31.92</v>
      </c>
      <c r="N11" t="s">
        <v>2723</v>
      </c>
      <c r="O11" t="s">
        <v>2726</v>
      </c>
      <c r="P11" t="s">
        <v>3790</v>
      </c>
    </row>
    <row r="12" spans="1:16" x14ac:dyDescent="0.25">
      <c r="A12" t="s">
        <v>108</v>
      </c>
      <c r="B12" t="str">
        <f>CONCATENATE(A12,8)</f>
        <v>7NR2DD5GP838</v>
      </c>
      <c r="C12" t="s">
        <v>110</v>
      </c>
      <c r="D12" t="s">
        <v>111</v>
      </c>
      <c r="E12" t="s">
        <v>28</v>
      </c>
      <c r="F12" t="s">
        <v>29</v>
      </c>
      <c r="G12" s="1">
        <v>45870</v>
      </c>
      <c r="H12" s="1">
        <v>45323</v>
      </c>
      <c r="I12">
        <v>1706194</v>
      </c>
      <c r="J12" t="s">
        <v>32</v>
      </c>
      <c r="K12" t="s">
        <v>114</v>
      </c>
      <c r="L12">
        <v>28.58</v>
      </c>
      <c r="M12">
        <v>28.58</v>
      </c>
      <c r="N12" t="s">
        <v>2720</v>
      </c>
      <c r="O12" t="s">
        <v>2725</v>
      </c>
      <c r="P12" t="s">
        <v>3863</v>
      </c>
    </row>
    <row r="13" spans="1:16" x14ac:dyDescent="0.25">
      <c r="A13" t="s">
        <v>469</v>
      </c>
      <c r="B13" t="str">
        <f>CONCATENATE(A13,8)</f>
        <v>7RC0AX3XC318</v>
      </c>
      <c r="C13" t="s">
        <v>471</v>
      </c>
      <c r="D13" t="s">
        <v>111</v>
      </c>
      <c r="E13" t="s">
        <v>28</v>
      </c>
      <c r="F13" t="s">
        <v>29</v>
      </c>
      <c r="G13" s="1">
        <v>45870</v>
      </c>
      <c r="H13" s="1">
        <v>45323</v>
      </c>
      <c r="I13">
        <v>1706194</v>
      </c>
      <c r="J13" t="s">
        <v>32</v>
      </c>
      <c r="K13" t="s">
        <v>114</v>
      </c>
      <c r="L13">
        <v>28.58</v>
      </c>
      <c r="M13">
        <v>28.58</v>
      </c>
      <c r="N13" t="s">
        <v>2720</v>
      </c>
      <c r="O13" t="s">
        <v>2725</v>
      </c>
      <c r="P13" t="s">
        <v>3869</v>
      </c>
    </row>
    <row r="14" spans="1:16" x14ac:dyDescent="0.25">
      <c r="A14" t="s">
        <v>844</v>
      </c>
      <c r="B14" t="str">
        <f>CONCATENATE(A14,8)</f>
        <v>4WQ5HE7VF748</v>
      </c>
      <c r="C14" t="s">
        <v>846</v>
      </c>
      <c r="D14" t="s">
        <v>111</v>
      </c>
      <c r="E14" t="s">
        <v>28</v>
      </c>
      <c r="F14" t="s">
        <v>29</v>
      </c>
      <c r="G14" s="1">
        <v>45870</v>
      </c>
      <c r="H14" s="1">
        <v>45292</v>
      </c>
      <c r="I14">
        <v>1706194</v>
      </c>
      <c r="J14" t="s">
        <v>32</v>
      </c>
      <c r="K14" t="s">
        <v>114</v>
      </c>
      <c r="L14">
        <v>28.58</v>
      </c>
      <c r="M14">
        <v>28.58</v>
      </c>
      <c r="N14" t="s">
        <v>2720</v>
      </c>
      <c r="O14" t="s">
        <v>2725</v>
      </c>
      <c r="P14" t="s">
        <v>3880</v>
      </c>
    </row>
    <row r="15" spans="1:16" x14ac:dyDescent="0.25">
      <c r="A15" t="s">
        <v>2401</v>
      </c>
      <c r="B15" t="str">
        <f>CONCATENATE(A15,8)</f>
        <v>1CC2PY5TK988</v>
      </c>
      <c r="C15" t="s">
        <v>2403</v>
      </c>
      <c r="D15" t="s">
        <v>160</v>
      </c>
      <c r="E15" t="s">
        <v>28</v>
      </c>
      <c r="F15" t="s">
        <v>29</v>
      </c>
      <c r="G15" s="1">
        <v>45870</v>
      </c>
      <c r="H15" s="1">
        <v>45292</v>
      </c>
      <c r="I15">
        <v>1706194</v>
      </c>
      <c r="J15" t="s">
        <v>32</v>
      </c>
      <c r="K15" t="s">
        <v>114</v>
      </c>
      <c r="L15">
        <v>28.58</v>
      </c>
      <c r="M15">
        <v>28.58</v>
      </c>
      <c r="N15" t="s">
        <v>2720</v>
      </c>
      <c r="O15" t="s">
        <v>2725</v>
      </c>
      <c r="P15" t="s">
        <v>3925</v>
      </c>
    </row>
    <row r="16" spans="1:16" x14ac:dyDescent="0.25">
      <c r="A16" t="s">
        <v>2460</v>
      </c>
      <c r="B16" t="str">
        <f>CONCATENATE(A16,8)</f>
        <v>9CD6MW3FJ588</v>
      </c>
      <c r="C16" t="s">
        <v>2462</v>
      </c>
      <c r="D16" t="s">
        <v>111</v>
      </c>
      <c r="E16" t="s">
        <v>28</v>
      </c>
      <c r="F16" t="s">
        <v>29</v>
      </c>
      <c r="G16" s="1">
        <v>45870</v>
      </c>
      <c r="H16" s="1">
        <v>45292</v>
      </c>
      <c r="I16">
        <v>1706194</v>
      </c>
      <c r="J16" t="s">
        <v>32</v>
      </c>
      <c r="K16" t="s">
        <v>114</v>
      </c>
      <c r="L16">
        <v>28.58</v>
      </c>
      <c r="M16">
        <v>28.58</v>
      </c>
      <c r="N16" t="s">
        <v>2720</v>
      </c>
      <c r="O16" t="s">
        <v>2725</v>
      </c>
      <c r="P16" t="s">
        <v>3926</v>
      </c>
    </row>
    <row r="17" spans="1:16" x14ac:dyDescent="0.25">
      <c r="A17" t="s">
        <v>1187</v>
      </c>
      <c r="B17" t="str">
        <f>CONCATENATE(A17,8)</f>
        <v>9VM5TU1UN708</v>
      </c>
      <c r="C17" t="s">
        <v>1189</v>
      </c>
      <c r="D17" t="s">
        <v>234</v>
      </c>
      <c r="E17" t="s">
        <v>28</v>
      </c>
      <c r="F17" t="s">
        <v>29</v>
      </c>
      <c r="G17" s="1">
        <v>45870</v>
      </c>
      <c r="H17" s="1">
        <v>45566</v>
      </c>
      <c r="I17">
        <v>1706194</v>
      </c>
      <c r="J17" t="s">
        <v>32</v>
      </c>
      <c r="K17" t="s">
        <v>114</v>
      </c>
      <c r="L17">
        <v>29.83</v>
      </c>
      <c r="M17">
        <v>29.83</v>
      </c>
      <c r="N17" t="s">
        <v>2720</v>
      </c>
      <c r="O17" t="s">
        <v>2724</v>
      </c>
      <c r="P17" t="s">
        <v>3977</v>
      </c>
    </row>
    <row r="18" spans="1:16" x14ac:dyDescent="0.25">
      <c r="A18" t="s">
        <v>2512</v>
      </c>
      <c r="B18" t="str">
        <f>CONCATENATE(A18,8)</f>
        <v>8UJ3WP5CC078</v>
      </c>
      <c r="C18" t="s">
        <v>2514</v>
      </c>
      <c r="D18" t="s">
        <v>1319</v>
      </c>
      <c r="E18" t="s">
        <v>28</v>
      </c>
      <c r="F18" t="s">
        <v>29</v>
      </c>
      <c r="G18" s="1">
        <v>45870</v>
      </c>
      <c r="H18" s="1">
        <v>45383</v>
      </c>
      <c r="I18">
        <v>1706194</v>
      </c>
      <c r="J18" t="s">
        <v>32</v>
      </c>
      <c r="K18" t="s">
        <v>114</v>
      </c>
      <c r="L18">
        <v>29.83</v>
      </c>
      <c r="M18">
        <v>29.83</v>
      </c>
      <c r="N18" t="s">
        <v>2720</v>
      </c>
      <c r="O18" t="s">
        <v>2724</v>
      </c>
      <c r="P18" t="s">
        <v>4032</v>
      </c>
    </row>
    <row r="19" spans="1:16" x14ac:dyDescent="0.25">
      <c r="A19" t="s">
        <v>2569</v>
      </c>
      <c r="B19" t="str">
        <f>CONCATENATE(A19,8)</f>
        <v>9PT5J39UR958</v>
      </c>
      <c r="C19" t="s">
        <v>2571</v>
      </c>
      <c r="D19" t="s">
        <v>111</v>
      </c>
      <c r="E19" t="s">
        <v>28</v>
      </c>
      <c r="F19" t="s">
        <v>29</v>
      </c>
      <c r="G19" s="1">
        <v>45870</v>
      </c>
      <c r="H19" s="1">
        <v>45627</v>
      </c>
      <c r="I19">
        <v>1706194</v>
      </c>
      <c r="J19" t="s">
        <v>32</v>
      </c>
      <c r="K19" t="s">
        <v>114</v>
      </c>
      <c r="L19">
        <v>29.83</v>
      </c>
      <c r="M19">
        <v>29.83</v>
      </c>
      <c r="N19" t="s">
        <v>2720</v>
      </c>
      <c r="O19" t="s">
        <v>2724</v>
      </c>
      <c r="P19" t="s">
        <v>4039</v>
      </c>
    </row>
    <row r="20" spans="1:16" x14ac:dyDescent="0.25">
      <c r="A20" t="s">
        <v>924</v>
      </c>
      <c r="B20" t="str">
        <f>CONCATENATE(A20,8)</f>
        <v>9JY3TF3PV948</v>
      </c>
      <c r="C20" t="s">
        <v>926</v>
      </c>
      <c r="D20" t="s">
        <v>74</v>
      </c>
      <c r="E20" t="s">
        <v>28</v>
      </c>
      <c r="F20" t="s">
        <v>29</v>
      </c>
      <c r="G20" s="1">
        <v>45870</v>
      </c>
      <c r="H20" s="1">
        <v>45566</v>
      </c>
      <c r="I20">
        <v>18828278</v>
      </c>
      <c r="J20" t="s">
        <v>32</v>
      </c>
      <c r="K20" t="s">
        <v>928</v>
      </c>
      <c r="L20">
        <v>29.83</v>
      </c>
      <c r="M20">
        <v>29.83</v>
      </c>
      <c r="N20" t="s">
        <v>2720</v>
      </c>
      <c r="O20" t="s">
        <v>2724</v>
      </c>
      <c r="P20" t="s">
        <v>3970</v>
      </c>
    </row>
    <row r="21" spans="1:16" x14ac:dyDescent="0.25">
      <c r="A21" t="s">
        <v>1416</v>
      </c>
      <c r="B21" t="str">
        <f>CONCATENATE(A21,8)</f>
        <v>9U75DA6FR798</v>
      </c>
      <c r="C21" t="s">
        <v>1418</v>
      </c>
      <c r="D21" t="s">
        <v>27</v>
      </c>
      <c r="E21" t="s">
        <v>28</v>
      </c>
      <c r="F21" t="s">
        <v>29</v>
      </c>
      <c r="G21" s="1">
        <v>45870</v>
      </c>
      <c r="H21" s="1">
        <v>45597</v>
      </c>
      <c r="I21">
        <v>17425766</v>
      </c>
      <c r="J21" t="s">
        <v>32</v>
      </c>
      <c r="K21" t="s">
        <v>56</v>
      </c>
      <c r="L21">
        <v>33.17</v>
      </c>
      <c r="M21">
        <v>33.17</v>
      </c>
      <c r="N21" t="s">
        <v>2723</v>
      </c>
      <c r="O21" t="s">
        <v>2722</v>
      </c>
      <c r="P21" t="s">
        <v>3828</v>
      </c>
    </row>
    <row r="22" spans="1:16" x14ac:dyDescent="0.25">
      <c r="A22" t="s">
        <v>883</v>
      </c>
      <c r="B22" t="str">
        <f>CONCATENATE(A22,8)</f>
        <v>9TT5NR6XG708</v>
      </c>
      <c r="C22" t="s">
        <v>885</v>
      </c>
      <c r="D22" t="s">
        <v>27</v>
      </c>
      <c r="E22" t="s">
        <v>28</v>
      </c>
      <c r="F22" t="s">
        <v>29</v>
      </c>
      <c r="G22" s="1">
        <v>45870</v>
      </c>
      <c r="H22" s="1">
        <v>45566</v>
      </c>
      <c r="I22">
        <v>17425766</v>
      </c>
      <c r="J22" t="s">
        <v>32</v>
      </c>
      <c r="K22" t="s">
        <v>56</v>
      </c>
      <c r="L22">
        <v>33.17</v>
      </c>
      <c r="M22">
        <v>33.17</v>
      </c>
      <c r="N22" t="s">
        <v>2723</v>
      </c>
      <c r="O22" t="s">
        <v>2722</v>
      </c>
      <c r="P22" t="s">
        <v>3812</v>
      </c>
    </row>
    <row r="23" spans="1:16" x14ac:dyDescent="0.25">
      <c r="A23" t="s">
        <v>494</v>
      </c>
      <c r="B23" t="str">
        <f>CONCATENATE(A23,8)</f>
        <v>4YF9G36XJ398</v>
      </c>
      <c r="C23" t="s">
        <v>496</v>
      </c>
      <c r="D23" t="s">
        <v>27</v>
      </c>
      <c r="E23" t="s">
        <v>28</v>
      </c>
      <c r="F23" t="s">
        <v>29</v>
      </c>
      <c r="G23" s="1">
        <v>45870</v>
      </c>
      <c r="H23" s="1">
        <v>45474</v>
      </c>
      <c r="I23">
        <v>17425766</v>
      </c>
      <c r="J23" t="s">
        <v>32</v>
      </c>
      <c r="K23" t="s">
        <v>56</v>
      </c>
      <c r="L23">
        <v>33.17</v>
      </c>
      <c r="M23">
        <v>33.17</v>
      </c>
      <c r="N23" t="s">
        <v>2723</v>
      </c>
      <c r="O23" t="s">
        <v>2722</v>
      </c>
      <c r="P23" t="s">
        <v>3807</v>
      </c>
    </row>
    <row r="24" spans="1:16" x14ac:dyDescent="0.25">
      <c r="A24" t="s">
        <v>1868</v>
      </c>
      <c r="B24" t="str">
        <f>CONCATENATE(A24,8)</f>
        <v>9J73VE0JH118</v>
      </c>
      <c r="C24" t="s">
        <v>1870</v>
      </c>
      <c r="D24" t="s">
        <v>27</v>
      </c>
      <c r="E24" t="s">
        <v>28</v>
      </c>
      <c r="F24" t="s">
        <v>29</v>
      </c>
      <c r="G24" s="1">
        <v>45870</v>
      </c>
      <c r="H24" s="1">
        <v>45413</v>
      </c>
      <c r="I24" t="s">
        <v>4533</v>
      </c>
      <c r="J24" t="s">
        <v>32</v>
      </c>
      <c r="K24" t="s">
        <v>56</v>
      </c>
      <c r="L24">
        <v>33.17</v>
      </c>
      <c r="M24">
        <v>33.17</v>
      </c>
      <c r="N24" t="s">
        <v>2723</v>
      </c>
      <c r="O24" t="s">
        <v>2722</v>
      </c>
      <c r="P24" t="s">
        <v>3839</v>
      </c>
    </row>
    <row r="25" spans="1:16" x14ac:dyDescent="0.25">
      <c r="A25" t="s">
        <v>1045</v>
      </c>
      <c r="B25" t="str">
        <f>CONCATENATE(A25,8)</f>
        <v>6J81J64PK258</v>
      </c>
      <c r="C25" t="s">
        <v>1047</v>
      </c>
      <c r="D25" t="s">
        <v>27</v>
      </c>
      <c r="E25" t="s">
        <v>28</v>
      </c>
      <c r="F25" t="s">
        <v>29</v>
      </c>
      <c r="G25" s="1">
        <v>45870</v>
      </c>
      <c r="H25" s="1">
        <v>45383</v>
      </c>
      <c r="I25" t="s">
        <v>4533</v>
      </c>
      <c r="J25" t="s">
        <v>32</v>
      </c>
      <c r="K25" t="s">
        <v>56</v>
      </c>
      <c r="L25">
        <v>33.17</v>
      </c>
      <c r="M25">
        <v>33.17</v>
      </c>
      <c r="N25" t="s">
        <v>2723</v>
      </c>
      <c r="O25" t="s">
        <v>2722</v>
      </c>
      <c r="P25" t="s">
        <v>3814</v>
      </c>
    </row>
    <row r="26" spans="1:16" x14ac:dyDescent="0.25">
      <c r="A26" t="s">
        <v>2515</v>
      </c>
      <c r="B26" t="str">
        <f>CONCATENATE(A26,8)</f>
        <v>5KK6RR1EP588</v>
      </c>
      <c r="C26" t="s">
        <v>2517</v>
      </c>
      <c r="D26" t="s">
        <v>27</v>
      </c>
      <c r="E26" t="s">
        <v>28</v>
      </c>
      <c r="F26" t="s">
        <v>29</v>
      </c>
      <c r="G26" s="1">
        <v>45870</v>
      </c>
      <c r="H26" s="1">
        <v>45383</v>
      </c>
      <c r="I26" t="s">
        <v>4533</v>
      </c>
      <c r="J26" t="s">
        <v>32</v>
      </c>
      <c r="K26" t="s">
        <v>56</v>
      </c>
      <c r="L26">
        <v>33.17</v>
      </c>
      <c r="M26">
        <v>33.17</v>
      </c>
      <c r="N26" t="s">
        <v>2723</v>
      </c>
      <c r="O26" t="s">
        <v>2722</v>
      </c>
      <c r="P26" t="s">
        <v>3853</v>
      </c>
    </row>
    <row r="27" spans="1:16" x14ac:dyDescent="0.25">
      <c r="A27" t="s">
        <v>1988</v>
      </c>
      <c r="B27" t="str">
        <f>CONCATENATE(A27,8)</f>
        <v>9XX7D78QG628</v>
      </c>
      <c r="C27" t="s">
        <v>1990</v>
      </c>
      <c r="D27" t="s">
        <v>27</v>
      </c>
      <c r="E27" t="s">
        <v>28</v>
      </c>
      <c r="F27" t="s">
        <v>29</v>
      </c>
      <c r="G27" s="1">
        <v>45870</v>
      </c>
      <c r="H27" s="1">
        <v>45323</v>
      </c>
      <c r="I27" t="s">
        <v>4533</v>
      </c>
      <c r="J27" t="s">
        <v>32</v>
      </c>
      <c r="K27" t="s">
        <v>56</v>
      </c>
      <c r="L27">
        <v>31.92</v>
      </c>
      <c r="M27">
        <v>31.92</v>
      </c>
      <c r="N27" t="s">
        <v>2723</v>
      </c>
      <c r="O27" t="s">
        <v>2726</v>
      </c>
      <c r="P27" t="s">
        <v>3778</v>
      </c>
    </row>
    <row r="28" spans="1:16" x14ac:dyDescent="0.25">
      <c r="A28" t="s">
        <v>52</v>
      </c>
      <c r="B28" t="str">
        <f>CONCATENATE(A28,8)</f>
        <v>9MP6HW3DY498</v>
      </c>
      <c r="C28" t="s">
        <v>54</v>
      </c>
      <c r="D28" t="s">
        <v>27</v>
      </c>
      <c r="E28" t="s">
        <v>28</v>
      </c>
      <c r="F28" t="s">
        <v>29</v>
      </c>
      <c r="G28" s="1">
        <v>45870</v>
      </c>
      <c r="H28" s="1">
        <v>45292</v>
      </c>
      <c r="I28" t="s">
        <v>4533</v>
      </c>
      <c r="J28" t="s">
        <v>32</v>
      </c>
      <c r="K28" t="s">
        <v>56</v>
      </c>
      <c r="L28">
        <v>31.92</v>
      </c>
      <c r="M28">
        <v>31.92</v>
      </c>
      <c r="N28" t="s">
        <v>2723</v>
      </c>
      <c r="O28" t="s">
        <v>2726</v>
      </c>
      <c r="P28" t="s">
        <v>3719</v>
      </c>
    </row>
    <row r="29" spans="1:16" x14ac:dyDescent="0.25">
      <c r="A29" t="s">
        <v>787</v>
      </c>
      <c r="B29" t="str">
        <f>CONCATENATE(A29,8)</f>
        <v>3YC0AQ1JM488</v>
      </c>
      <c r="C29" t="s">
        <v>789</v>
      </c>
      <c r="D29" t="s">
        <v>27</v>
      </c>
      <c r="E29" t="s">
        <v>28</v>
      </c>
      <c r="F29" t="s">
        <v>29</v>
      </c>
      <c r="G29" s="1">
        <v>45870</v>
      </c>
      <c r="H29" s="1">
        <v>45292</v>
      </c>
      <c r="I29" t="s">
        <v>4533</v>
      </c>
      <c r="J29" t="s">
        <v>32</v>
      </c>
      <c r="K29" t="s">
        <v>56</v>
      </c>
      <c r="L29">
        <v>31.92</v>
      </c>
      <c r="M29">
        <v>31.92</v>
      </c>
      <c r="N29" t="s">
        <v>2723</v>
      </c>
      <c r="O29" t="s">
        <v>2726</v>
      </c>
      <c r="P29" t="s">
        <v>3739</v>
      </c>
    </row>
    <row r="30" spans="1:16" x14ac:dyDescent="0.25">
      <c r="A30" t="s">
        <v>1847</v>
      </c>
      <c r="B30" t="str">
        <f>CONCATENATE(A30,8)</f>
        <v>6H75T12MV528</v>
      </c>
      <c r="C30" t="s">
        <v>1849</v>
      </c>
      <c r="D30" t="s">
        <v>27</v>
      </c>
      <c r="E30" t="s">
        <v>28</v>
      </c>
      <c r="F30" t="s">
        <v>29</v>
      </c>
      <c r="G30" s="1">
        <v>45870</v>
      </c>
      <c r="H30" s="1">
        <v>45292</v>
      </c>
      <c r="I30" t="s">
        <v>4533</v>
      </c>
      <c r="J30" t="s">
        <v>32</v>
      </c>
      <c r="K30" t="s">
        <v>56</v>
      </c>
      <c r="L30">
        <v>31.92</v>
      </c>
      <c r="M30">
        <v>31.92</v>
      </c>
      <c r="N30" t="s">
        <v>2723</v>
      </c>
      <c r="O30" t="s">
        <v>2726</v>
      </c>
      <c r="P30" t="s">
        <v>3774</v>
      </c>
    </row>
    <row r="31" spans="1:16" x14ac:dyDescent="0.25">
      <c r="A31" t="s">
        <v>2086</v>
      </c>
      <c r="B31" t="str">
        <f>CONCATENATE(A31,8)</f>
        <v>3M87T61RQ598</v>
      </c>
      <c r="C31" t="s">
        <v>2088</v>
      </c>
      <c r="D31" t="s">
        <v>27</v>
      </c>
      <c r="E31" t="s">
        <v>28</v>
      </c>
      <c r="F31" t="s">
        <v>29</v>
      </c>
      <c r="G31" s="1">
        <v>45870</v>
      </c>
      <c r="H31" s="1">
        <v>45292</v>
      </c>
      <c r="I31" t="s">
        <v>4533</v>
      </c>
      <c r="J31" t="s">
        <v>32</v>
      </c>
      <c r="K31" t="s">
        <v>56</v>
      </c>
      <c r="L31">
        <v>31.92</v>
      </c>
      <c r="M31">
        <v>31.92</v>
      </c>
      <c r="N31" t="s">
        <v>2723</v>
      </c>
      <c r="O31" t="s">
        <v>2726</v>
      </c>
      <c r="P31" t="s">
        <v>3781</v>
      </c>
    </row>
    <row r="32" spans="1:16" x14ac:dyDescent="0.25">
      <c r="A32" t="s">
        <v>2266</v>
      </c>
      <c r="B32" t="str">
        <f>CONCATENATE(A32,8)</f>
        <v>8MP7N03NX578</v>
      </c>
      <c r="C32" t="s">
        <v>2268</v>
      </c>
      <c r="D32" t="s">
        <v>27</v>
      </c>
      <c r="E32" t="s">
        <v>28</v>
      </c>
      <c r="F32" t="s">
        <v>29</v>
      </c>
      <c r="G32" s="1">
        <v>45870</v>
      </c>
      <c r="H32" s="1">
        <v>45292</v>
      </c>
      <c r="I32" t="s">
        <v>4533</v>
      </c>
      <c r="J32" t="s">
        <v>32</v>
      </c>
      <c r="K32" t="s">
        <v>56</v>
      </c>
      <c r="L32">
        <v>31.92</v>
      </c>
      <c r="M32">
        <v>31.92</v>
      </c>
      <c r="N32" t="s">
        <v>2723</v>
      </c>
      <c r="O32" t="s">
        <v>2726</v>
      </c>
      <c r="P32" t="s">
        <v>3784</v>
      </c>
    </row>
    <row r="33" spans="1:16" x14ac:dyDescent="0.25">
      <c r="A33" t="s">
        <v>2161</v>
      </c>
      <c r="B33" t="str">
        <f>CONCATENATE(A33,8)</f>
        <v>8UM6M66KV648</v>
      </c>
      <c r="C33" t="s">
        <v>2163</v>
      </c>
      <c r="D33" t="s">
        <v>27</v>
      </c>
      <c r="E33" t="s">
        <v>28</v>
      </c>
      <c r="F33" t="s">
        <v>29</v>
      </c>
      <c r="G33" s="1">
        <v>45870</v>
      </c>
      <c r="H33" s="1">
        <v>45261</v>
      </c>
      <c r="I33" t="s">
        <v>4533</v>
      </c>
      <c r="J33" t="s">
        <v>32</v>
      </c>
      <c r="K33" t="s">
        <v>56</v>
      </c>
      <c r="L33">
        <v>31.92</v>
      </c>
      <c r="M33">
        <v>31.92</v>
      </c>
      <c r="N33" t="s">
        <v>2723</v>
      </c>
      <c r="O33" t="s">
        <v>2726</v>
      </c>
      <c r="P33" t="s">
        <v>3782</v>
      </c>
    </row>
    <row r="34" spans="1:16" x14ac:dyDescent="0.25">
      <c r="A34" t="s">
        <v>406</v>
      </c>
      <c r="B34" t="str">
        <f>CONCATENATE(A34,8)</f>
        <v>5T97R81KU538</v>
      </c>
      <c r="C34" t="s">
        <v>408</v>
      </c>
      <c r="D34" t="s">
        <v>303</v>
      </c>
      <c r="E34" t="s">
        <v>28</v>
      </c>
      <c r="F34" t="s">
        <v>29</v>
      </c>
      <c r="G34" s="1">
        <v>45870</v>
      </c>
      <c r="H34" s="1">
        <v>45292</v>
      </c>
      <c r="I34" t="s">
        <v>4533</v>
      </c>
      <c r="J34" t="s">
        <v>32</v>
      </c>
      <c r="K34" t="s">
        <v>56</v>
      </c>
      <c r="L34">
        <v>28.58</v>
      </c>
      <c r="M34">
        <v>28.58</v>
      </c>
      <c r="N34" t="s">
        <v>2720</v>
      </c>
      <c r="O34" t="s">
        <v>2725</v>
      </c>
      <c r="P34" t="s">
        <v>3867</v>
      </c>
    </row>
    <row r="35" spans="1:16" x14ac:dyDescent="0.25">
      <c r="A35" t="s">
        <v>480</v>
      </c>
      <c r="B35" t="str">
        <f>CONCATENATE(A35,8)</f>
        <v>6WA3V71DD818</v>
      </c>
      <c r="C35" t="s">
        <v>482</v>
      </c>
      <c r="D35" t="s">
        <v>303</v>
      </c>
      <c r="E35" t="s">
        <v>28</v>
      </c>
      <c r="F35" t="s">
        <v>29</v>
      </c>
      <c r="G35" s="1">
        <v>45870</v>
      </c>
      <c r="H35" s="1">
        <v>45292</v>
      </c>
      <c r="I35" t="s">
        <v>4533</v>
      </c>
      <c r="J35" t="s">
        <v>32</v>
      </c>
      <c r="K35" t="s">
        <v>56</v>
      </c>
      <c r="L35">
        <v>28.58</v>
      </c>
      <c r="M35">
        <v>28.58</v>
      </c>
      <c r="N35" t="s">
        <v>2720</v>
      </c>
      <c r="O35" t="s">
        <v>2725</v>
      </c>
      <c r="P35" t="s">
        <v>3870</v>
      </c>
    </row>
    <row r="36" spans="1:16" x14ac:dyDescent="0.25">
      <c r="A36" t="s">
        <v>484</v>
      </c>
      <c r="B36" t="str">
        <f>CONCATENATE(A36,8)</f>
        <v>5K81EA8QA178</v>
      </c>
      <c r="C36" t="s">
        <v>486</v>
      </c>
      <c r="D36" t="s">
        <v>303</v>
      </c>
      <c r="E36" t="s">
        <v>28</v>
      </c>
      <c r="F36" t="s">
        <v>29</v>
      </c>
      <c r="G36" s="1">
        <v>45870</v>
      </c>
      <c r="H36" s="1">
        <v>45292</v>
      </c>
      <c r="I36" t="s">
        <v>4533</v>
      </c>
      <c r="J36" t="s">
        <v>32</v>
      </c>
      <c r="K36" t="s">
        <v>56</v>
      </c>
      <c r="L36">
        <v>28.58</v>
      </c>
      <c r="M36">
        <v>28.58</v>
      </c>
      <c r="N36" t="s">
        <v>2720</v>
      </c>
      <c r="O36" t="s">
        <v>2725</v>
      </c>
      <c r="P36" t="s">
        <v>3871</v>
      </c>
    </row>
    <row r="37" spans="1:16" x14ac:dyDescent="0.25">
      <c r="A37" t="s">
        <v>1446</v>
      </c>
      <c r="B37" t="str">
        <f>CONCATENATE(A37,8)</f>
        <v>3A20VM2EG268</v>
      </c>
      <c r="C37" t="s">
        <v>1448</v>
      </c>
      <c r="D37" t="s">
        <v>910</v>
      </c>
      <c r="E37" t="s">
        <v>28</v>
      </c>
      <c r="F37" t="s">
        <v>29</v>
      </c>
      <c r="G37" s="1">
        <v>45870</v>
      </c>
      <c r="H37" s="1">
        <v>45292</v>
      </c>
      <c r="I37" t="s">
        <v>4533</v>
      </c>
      <c r="J37" t="s">
        <v>32</v>
      </c>
      <c r="K37" t="s">
        <v>56</v>
      </c>
      <c r="L37">
        <v>28.58</v>
      </c>
      <c r="M37">
        <v>28.58</v>
      </c>
      <c r="N37" t="s">
        <v>2720</v>
      </c>
      <c r="O37" t="s">
        <v>2725</v>
      </c>
      <c r="P37" t="s">
        <v>3902</v>
      </c>
    </row>
    <row r="38" spans="1:16" x14ac:dyDescent="0.25">
      <c r="A38" t="s">
        <v>1449</v>
      </c>
      <c r="B38" t="str">
        <f>CONCATENATE(A38,8)</f>
        <v>5EE2NR2GC238</v>
      </c>
      <c r="C38" t="s">
        <v>1451</v>
      </c>
      <c r="D38" t="s">
        <v>910</v>
      </c>
      <c r="E38" t="s">
        <v>28</v>
      </c>
      <c r="F38" t="s">
        <v>29</v>
      </c>
      <c r="G38" s="1">
        <v>45870</v>
      </c>
      <c r="H38" s="1">
        <v>45292</v>
      </c>
      <c r="I38" t="s">
        <v>4533</v>
      </c>
      <c r="J38" t="s">
        <v>32</v>
      </c>
      <c r="K38" t="s">
        <v>56</v>
      </c>
      <c r="L38">
        <v>28.58</v>
      </c>
      <c r="M38">
        <v>28.58</v>
      </c>
      <c r="N38" t="s">
        <v>2720</v>
      </c>
      <c r="O38" t="s">
        <v>2725</v>
      </c>
      <c r="P38" t="s">
        <v>3903</v>
      </c>
    </row>
    <row r="39" spans="1:16" x14ac:dyDescent="0.25">
      <c r="A39" t="s">
        <v>1641</v>
      </c>
      <c r="B39" t="str">
        <f>CONCATENATE(A39,8)</f>
        <v>2D55E33WY638</v>
      </c>
      <c r="C39" t="s">
        <v>1643</v>
      </c>
      <c r="D39" t="s">
        <v>303</v>
      </c>
      <c r="E39" t="s">
        <v>28</v>
      </c>
      <c r="F39" t="s">
        <v>29</v>
      </c>
      <c r="G39" s="1">
        <v>45870</v>
      </c>
      <c r="H39" s="1">
        <v>45292</v>
      </c>
      <c r="I39" t="s">
        <v>4533</v>
      </c>
      <c r="J39" t="s">
        <v>32</v>
      </c>
      <c r="K39" t="s">
        <v>56</v>
      </c>
      <c r="L39">
        <v>28.58</v>
      </c>
      <c r="M39">
        <v>28.58</v>
      </c>
      <c r="N39" t="s">
        <v>2720</v>
      </c>
      <c r="O39" t="s">
        <v>2725</v>
      </c>
      <c r="P39" t="s">
        <v>3910</v>
      </c>
    </row>
    <row r="40" spans="1:16" x14ac:dyDescent="0.25">
      <c r="A40" t="s">
        <v>1997</v>
      </c>
      <c r="B40" t="str">
        <f>CONCATENATE(A40,8)</f>
        <v>6KE7Y13DV678</v>
      </c>
      <c r="C40" t="s">
        <v>1999</v>
      </c>
      <c r="D40" t="s">
        <v>2000</v>
      </c>
      <c r="E40" t="s">
        <v>28</v>
      </c>
      <c r="F40" t="s">
        <v>29</v>
      </c>
      <c r="G40" s="1">
        <v>45870</v>
      </c>
      <c r="H40" s="1">
        <v>45292</v>
      </c>
      <c r="I40" t="s">
        <v>4533</v>
      </c>
      <c r="J40" t="s">
        <v>32</v>
      </c>
      <c r="K40" t="s">
        <v>56</v>
      </c>
      <c r="L40">
        <v>28.58</v>
      </c>
      <c r="M40">
        <v>28.58</v>
      </c>
      <c r="N40" t="s">
        <v>2720</v>
      </c>
      <c r="O40" t="s">
        <v>2725</v>
      </c>
      <c r="P40" t="s">
        <v>3914</v>
      </c>
    </row>
    <row r="41" spans="1:16" x14ac:dyDescent="0.25">
      <c r="A41" t="s">
        <v>2581</v>
      </c>
      <c r="B41" t="str">
        <f>CONCATENATE(A41,8)</f>
        <v>5M46GC1GG708</v>
      </c>
      <c r="C41" t="s">
        <v>2583</v>
      </c>
      <c r="D41" t="s">
        <v>303</v>
      </c>
      <c r="E41" t="s">
        <v>28</v>
      </c>
      <c r="F41" t="s">
        <v>29</v>
      </c>
      <c r="G41" s="1">
        <v>45870</v>
      </c>
      <c r="H41" s="1">
        <v>45292</v>
      </c>
      <c r="I41" t="s">
        <v>4533</v>
      </c>
      <c r="J41" t="s">
        <v>32</v>
      </c>
      <c r="K41" t="s">
        <v>56</v>
      </c>
      <c r="L41">
        <v>28.58</v>
      </c>
      <c r="M41">
        <v>28.58</v>
      </c>
      <c r="N41" t="s">
        <v>2720</v>
      </c>
      <c r="O41" t="s">
        <v>2725</v>
      </c>
      <c r="P41" t="s">
        <v>3929</v>
      </c>
    </row>
    <row r="42" spans="1:16" x14ac:dyDescent="0.25">
      <c r="A42" t="s">
        <v>907</v>
      </c>
      <c r="B42" t="str">
        <f>CONCATENATE(A42,8)</f>
        <v>4ND3UH5AW788</v>
      </c>
      <c r="C42" t="s">
        <v>909</v>
      </c>
      <c r="D42" t="s">
        <v>910</v>
      </c>
      <c r="E42" t="s">
        <v>28</v>
      </c>
      <c r="F42" t="s">
        <v>29</v>
      </c>
      <c r="G42" s="1">
        <v>45870</v>
      </c>
      <c r="H42" s="1">
        <v>45139</v>
      </c>
      <c r="I42" t="s">
        <v>4533</v>
      </c>
      <c r="J42" t="s">
        <v>32</v>
      </c>
      <c r="K42" t="s">
        <v>56</v>
      </c>
      <c r="L42">
        <v>28.58</v>
      </c>
      <c r="M42">
        <v>28.58</v>
      </c>
      <c r="N42" t="s">
        <v>2720</v>
      </c>
      <c r="O42" t="s">
        <v>2725</v>
      </c>
      <c r="P42" t="s">
        <v>3883</v>
      </c>
    </row>
    <row r="43" spans="1:16" x14ac:dyDescent="0.25">
      <c r="A43" t="s">
        <v>192</v>
      </c>
      <c r="B43" t="str">
        <f>CONCATENATE(A43,8)</f>
        <v>6NQ9VF9NJ188</v>
      </c>
      <c r="C43" t="s">
        <v>194</v>
      </c>
      <c r="D43" t="s">
        <v>74</v>
      </c>
      <c r="E43" t="s">
        <v>28</v>
      </c>
      <c r="F43" t="s">
        <v>29</v>
      </c>
      <c r="G43" s="1">
        <v>45870</v>
      </c>
      <c r="H43" s="1">
        <v>45536</v>
      </c>
      <c r="I43">
        <v>17301495</v>
      </c>
      <c r="J43" t="s">
        <v>32</v>
      </c>
      <c r="K43" t="s">
        <v>195</v>
      </c>
      <c r="L43">
        <v>29.83</v>
      </c>
      <c r="M43">
        <v>29.83</v>
      </c>
      <c r="N43" t="s">
        <v>2720</v>
      </c>
      <c r="O43" t="s">
        <v>2724</v>
      </c>
      <c r="P43" t="s">
        <v>3941</v>
      </c>
    </row>
    <row r="44" spans="1:16" x14ac:dyDescent="0.25">
      <c r="A44" t="s">
        <v>901</v>
      </c>
      <c r="B44" t="str">
        <f>CONCATENATE(A44,8)</f>
        <v>5CM3AQ5TC998</v>
      </c>
      <c r="C44" t="s">
        <v>903</v>
      </c>
      <c r="D44" t="s">
        <v>74</v>
      </c>
      <c r="E44" t="s">
        <v>28</v>
      </c>
      <c r="F44" t="s">
        <v>29</v>
      </c>
      <c r="G44" s="1">
        <v>45870</v>
      </c>
      <c r="H44" s="1">
        <v>45566</v>
      </c>
      <c r="I44">
        <v>17301495</v>
      </c>
      <c r="J44" t="s">
        <v>32</v>
      </c>
      <c r="K44" t="s">
        <v>195</v>
      </c>
      <c r="L44">
        <v>29.83</v>
      </c>
      <c r="M44">
        <v>29.83</v>
      </c>
      <c r="N44" t="s">
        <v>2720</v>
      </c>
      <c r="O44" t="s">
        <v>2724</v>
      </c>
      <c r="P44" t="s">
        <v>3968</v>
      </c>
    </row>
    <row r="45" spans="1:16" x14ac:dyDescent="0.25">
      <c r="A45" t="s">
        <v>1928</v>
      </c>
      <c r="B45" t="str">
        <f>CONCATENATE(A45,8)</f>
        <v>5UY6GW8DN688</v>
      </c>
      <c r="C45" t="s">
        <v>1930</v>
      </c>
      <c r="D45" t="s">
        <v>1145</v>
      </c>
      <c r="E45" t="s">
        <v>28</v>
      </c>
      <c r="F45" t="s">
        <v>29</v>
      </c>
      <c r="G45" s="1">
        <v>45870</v>
      </c>
      <c r="H45" s="1">
        <v>45597</v>
      </c>
      <c r="I45">
        <v>18581063</v>
      </c>
      <c r="J45" t="s">
        <v>32</v>
      </c>
      <c r="K45" t="s">
        <v>1932</v>
      </c>
      <c r="L45">
        <v>29.83</v>
      </c>
      <c r="M45">
        <v>29.83</v>
      </c>
      <c r="N45" t="s">
        <v>2720</v>
      </c>
      <c r="O45" t="s">
        <v>2724</v>
      </c>
      <c r="P45" t="s">
        <v>4008</v>
      </c>
    </row>
    <row r="46" spans="1:16" x14ac:dyDescent="0.25">
      <c r="A46" t="s">
        <v>2287</v>
      </c>
      <c r="B46" t="str">
        <f>CONCATENATE(A46,8)</f>
        <v>4TV1A53XF008</v>
      </c>
      <c r="C46" t="s">
        <v>2289</v>
      </c>
      <c r="D46" t="s">
        <v>1145</v>
      </c>
      <c r="E46" t="s">
        <v>28</v>
      </c>
      <c r="F46" t="s">
        <v>29</v>
      </c>
      <c r="G46" s="1">
        <v>45870</v>
      </c>
      <c r="H46" s="1">
        <v>45627</v>
      </c>
      <c r="I46">
        <v>18581063</v>
      </c>
      <c r="J46" t="s">
        <v>32</v>
      </c>
      <c r="K46" t="s">
        <v>1932</v>
      </c>
      <c r="L46">
        <v>29.83</v>
      </c>
      <c r="M46">
        <v>29.83</v>
      </c>
      <c r="N46" t="s">
        <v>2720</v>
      </c>
      <c r="O46" t="s">
        <v>2724</v>
      </c>
      <c r="P46" t="s">
        <v>4029</v>
      </c>
    </row>
    <row r="47" spans="1:16" x14ac:dyDescent="0.25">
      <c r="A47" t="s">
        <v>218</v>
      </c>
      <c r="B47" t="str">
        <f>CONCATENATE(A47,8)</f>
        <v>2PQ9H60MY298</v>
      </c>
      <c r="C47" t="s">
        <v>220</v>
      </c>
      <c r="D47" t="s">
        <v>27</v>
      </c>
      <c r="E47" t="s">
        <v>28</v>
      </c>
      <c r="F47" t="s">
        <v>29</v>
      </c>
      <c r="G47" s="1">
        <v>45870</v>
      </c>
      <c r="H47" s="1">
        <v>45292</v>
      </c>
      <c r="I47">
        <v>15278437</v>
      </c>
      <c r="J47" t="s">
        <v>32</v>
      </c>
      <c r="K47" t="s">
        <v>221</v>
      </c>
      <c r="L47">
        <v>31.92</v>
      </c>
      <c r="M47">
        <v>31.92</v>
      </c>
      <c r="N47" t="s">
        <v>2723</v>
      </c>
      <c r="O47" t="s">
        <v>2726</v>
      </c>
      <c r="P47" t="s">
        <v>3725</v>
      </c>
    </row>
    <row r="48" spans="1:16" x14ac:dyDescent="0.25">
      <c r="A48" t="s">
        <v>684</v>
      </c>
      <c r="B48" t="str">
        <f>CONCATENATE(A48,8)</f>
        <v>4XE4RT1GR858</v>
      </c>
      <c r="C48" t="s">
        <v>686</v>
      </c>
      <c r="D48" t="s">
        <v>27</v>
      </c>
      <c r="E48" t="s">
        <v>28</v>
      </c>
      <c r="F48" t="s">
        <v>29</v>
      </c>
      <c r="G48" s="1">
        <v>45870</v>
      </c>
      <c r="H48" s="1">
        <v>45323</v>
      </c>
      <c r="I48">
        <v>15278437</v>
      </c>
      <c r="J48" t="s">
        <v>32</v>
      </c>
      <c r="K48" t="s">
        <v>221</v>
      </c>
      <c r="L48">
        <v>31.92</v>
      </c>
      <c r="M48">
        <v>31.92</v>
      </c>
      <c r="N48" t="s">
        <v>2723</v>
      </c>
      <c r="O48" t="s">
        <v>2726</v>
      </c>
      <c r="P48" t="s">
        <v>3737</v>
      </c>
    </row>
    <row r="49" spans="1:17" x14ac:dyDescent="0.25">
      <c r="A49" t="s">
        <v>222</v>
      </c>
      <c r="B49" t="str">
        <f>CONCATENATE(A49,8)</f>
        <v>1NC2QM2VT848</v>
      </c>
      <c r="C49" t="s">
        <v>224</v>
      </c>
      <c r="D49" t="s">
        <v>27</v>
      </c>
      <c r="E49" t="s">
        <v>28</v>
      </c>
      <c r="F49" t="s">
        <v>29</v>
      </c>
      <c r="G49" s="1">
        <v>45870</v>
      </c>
      <c r="H49" s="1">
        <v>45536</v>
      </c>
      <c r="I49">
        <v>15278437</v>
      </c>
      <c r="J49" t="s">
        <v>32</v>
      </c>
      <c r="K49" t="s">
        <v>221</v>
      </c>
      <c r="L49">
        <v>33.17</v>
      </c>
      <c r="M49">
        <v>33.17</v>
      </c>
      <c r="N49" t="s">
        <v>2723</v>
      </c>
      <c r="O49" t="s">
        <v>2722</v>
      </c>
      <c r="P49" t="s">
        <v>3803</v>
      </c>
    </row>
    <row r="50" spans="1:17" x14ac:dyDescent="0.25">
      <c r="A50" s="4" t="s">
        <v>1842</v>
      </c>
      <c r="B50" s="4" t="str">
        <f>CONCATENATE(A50,7)</f>
        <v>1V02YH3AY087</v>
      </c>
      <c r="C50" s="4" t="s">
        <v>1844</v>
      </c>
      <c r="D50" s="4" t="s">
        <v>303</v>
      </c>
      <c r="E50" s="4" t="s">
        <v>1146</v>
      </c>
      <c r="F50" s="4" t="s">
        <v>29</v>
      </c>
      <c r="G50" s="5">
        <v>45717</v>
      </c>
      <c r="H50" s="5">
        <v>45717</v>
      </c>
      <c r="I50" s="4">
        <v>15278437</v>
      </c>
      <c r="J50" s="4" t="s">
        <v>32</v>
      </c>
      <c r="K50" s="4" t="s">
        <v>221</v>
      </c>
      <c r="L50" s="4">
        <v>-751</v>
      </c>
      <c r="M50" s="4">
        <v>-626</v>
      </c>
      <c r="N50" s="4" t="s">
        <v>2717</v>
      </c>
      <c r="O50" s="4" t="s">
        <v>2719</v>
      </c>
      <c r="P50" s="4" t="s">
        <v>3860</v>
      </c>
      <c r="Q50" s="4"/>
    </row>
    <row r="51" spans="1:17" x14ac:dyDescent="0.25">
      <c r="A51" s="4" t="s">
        <v>1842</v>
      </c>
      <c r="B51" s="4" t="str">
        <f>CONCATENATE(A51,7)</f>
        <v>1V02YH3AY087</v>
      </c>
      <c r="C51" s="4" t="s">
        <v>1844</v>
      </c>
      <c r="D51" s="4" t="s">
        <v>303</v>
      </c>
      <c r="E51" s="4" t="s">
        <v>1148</v>
      </c>
      <c r="F51" s="4" t="s">
        <v>29</v>
      </c>
      <c r="G51" s="5">
        <v>45717</v>
      </c>
      <c r="H51" s="5">
        <v>45717</v>
      </c>
      <c r="I51" s="4">
        <v>15278437</v>
      </c>
      <c r="J51" s="4" t="s">
        <v>32</v>
      </c>
      <c r="K51" s="4" t="s">
        <v>221</v>
      </c>
      <c r="L51" s="4">
        <v>250.33</v>
      </c>
      <c r="M51" s="4">
        <v>208.67</v>
      </c>
      <c r="N51" s="4" t="s">
        <v>2717</v>
      </c>
      <c r="O51" s="4" t="s">
        <v>2732</v>
      </c>
      <c r="P51" s="4" t="s">
        <v>3860</v>
      </c>
      <c r="Q51" s="4">
        <f>626/12*4</f>
        <v>208.66666666666666</v>
      </c>
    </row>
    <row r="52" spans="1:17" x14ac:dyDescent="0.25">
      <c r="A52" t="s">
        <v>1264</v>
      </c>
      <c r="B52" t="str">
        <f>CONCATENATE(A52,8)</f>
        <v>6AJ0T83TP378</v>
      </c>
      <c r="C52" t="s">
        <v>1266</v>
      </c>
      <c r="D52" t="s">
        <v>60</v>
      </c>
      <c r="E52" t="s">
        <v>28</v>
      </c>
      <c r="F52" t="s">
        <v>29</v>
      </c>
      <c r="G52" s="1">
        <v>45870</v>
      </c>
      <c r="H52" s="1">
        <v>44958</v>
      </c>
      <c r="I52">
        <v>15278437</v>
      </c>
      <c r="J52" t="s">
        <v>32</v>
      </c>
      <c r="K52" t="s">
        <v>221</v>
      </c>
      <c r="L52">
        <v>28.58</v>
      </c>
      <c r="M52">
        <v>28.58</v>
      </c>
      <c r="N52" t="s">
        <v>2720</v>
      </c>
      <c r="O52" t="s">
        <v>2725</v>
      </c>
      <c r="P52" t="s">
        <v>3896</v>
      </c>
    </row>
    <row r="53" spans="1:17" x14ac:dyDescent="0.25">
      <c r="A53" t="s">
        <v>2101</v>
      </c>
      <c r="B53" t="str">
        <f>CONCATENATE(A53,8)</f>
        <v>3C25F72XQ638</v>
      </c>
      <c r="C53" t="s">
        <v>2103</v>
      </c>
      <c r="D53" t="s">
        <v>1319</v>
      </c>
      <c r="E53" t="s">
        <v>28</v>
      </c>
      <c r="F53" t="s">
        <v>29</v>
      </c>
      <c r="G53" s="1">
        <v>45870</v>
      </c>
      <c r="H53" s="1">
        <v>45536</v>
      </c>
      <c r="I53">
        <v>15278437</v>
      </c>
      <c r="J53" t="s">
        <v>32</v>
      </c>
      <c r="K53" t="s">
        <v>221</v>
      </c>
      <c r="L53">
        <v>29.83</v>
      </c>
      <c r="M53">
        <v>29.83</v>
      </c>
      <c r="N53" t="s">
        <v>2720</v>
      </c>
      <c r="O53" t="s">
        <v>2724</v>
      </c>
      <c r="P53" t="s">
        <v>4021</v>
      </c>
    </row>
    <row r="54" spans="1:17" x14ac:dyDescent="0.25">
      <c r="A54" t="s">
        <v>323</v>
      </c>
      <c r="B54" t="str">
        <f>CONCATENATE(A54,8)</f>
        <v>9R23FX7KN718</v>
      </c>
      <c r="C54" t="s">
        <v>325</v>
      </c>
      <c r="D54" t="s">
        <v>74</v>
      </c>
      <c r="E54" t="s">
        <v>28</v>
      </c>
      <c r="F54" t="s">
        <v>29</v>
      </c>
      <c r="G54" s="1">
        <v>45870</v>
      </c>
      <c r="H54" s="1">
        <v>45566</v>
      </c>
      <c r="I54">
        <v>2158366</v>
      </c>
      <c r="J54" t="s">
        <v>32</v>
      </c>
      <c r="K54" t="s">
        <v>326</v>
      </c>
      <c r="L54">
        <v>29.83</v>
      </c>
      <c r="M54">
        <v>29.83</v>
      </c>
      <c r="N54" t="s">
        <v>2720</v>
      </c>
      <c r="O54" t="s">
        <v>2724</v>
      </c>
      <c r="P54" t="s">
        <v>3948</v>
      </c>
    </row>
    <row r="55" spans="1:17" x14ac:dyDescent="0.25">
      <c r="A55" t="s">
        <v>379</v>
      </c>
      <c r="B55" t="str">
        <f>CONCATENATE(A55,8)</f>
        <v>5VR3GE1JQ948</v>
      </c>
      <c r="C55" t="s">
        <v>381</v>
      </c>
      <c r="D55" t="s">
        <v>74</v>
      </c>
      <c r="E55" t="s">
        <v>28</v>
      </c>
      <c r="F55" t="s">
        <v>29</v>
      </c>
      <c r="G55" s="1">
        <v>45870</v>
      </c>
      <c r="H55" s="1">
        <v>45566</v>
      </c>
      <c r="I55">
        <v>2158366</v>
      </c>
      <c r="J55" t="s">
        <v>32</v>
      </c>
      <c r="K55" t="s">
        <v>326</v>
      </c>
      <c r="L55">
        <v>29.83</v>
      </c>
      <c r="M55">
        <v>29.83</v>
      </c>
      <c r="N55" t="s">
        <v>2720</v>
      </c>
      <c r="O55" t="s">
        <v>2724</v>
      </c>
      <c r="P55" t="s">
        <v>3953</v>
      </c>
    </row>
    <row r="56" spans="1:17" x14ac:dyDescent="0.25">
      <c r="A56" t="s">
        <v>586</v>
      </c>
      <c r="B56" t="str">
        <f>CONCATENATE(A56,8)</f>
        <v>5YW8FM4NQ208</v>
      </c>
      <c r="C56" t="s">
        <v>588</v>
      </c>
      <c r="D56" t="s">
        <v>74</v>
      </c>
      <c r="E56" t="s">
        <v>28</v>
      </c>
      <c r="F56" t="s">
        <v>29</v>
      </c>
      <c r="G56" s="1">
        <v>45870</v>
      </c>
      <c r="H56" s="1">
        <v>45597</v>
      </c>
      <c r="I56">
        <v>2158366</v>
      </c>
      <c r="J56" t="s">
        <v>32</v>
      </c>
      <c r="K56" t="s">
        <v>326</v>
      </c>
      <c r="L56">
        <v>29.83</v>
      </c>
      <c r="M56">
        <v>29.83</v>
      </c>
      <c r="N56" t="s">
        <v>2720</v>
      </c>
      <c r="O56" t="s">
        <v>2724</v>
      </c>
      <c r="P56" t="s">
        <v>3957</v>
      </c>
    </row>
    <row r="57" spans="1:17" x14ac:dyDescent="0.25">
      <c r="A57" t="s">
        <v>614</v>
      </c>
      <c r="B57" t="str">
        <f>CONCATENATE(A57,8)</f>
        <v>9RX0QH0TY168</v>
      </c>
      <c r="C57" t="s">
        <v>616</v>
      </c>
      <c r="D57" t="s">
        <v>74</v>
      </c>
      <c r="E57" t="s">
        <v>28</v>
      </c>
      <c r="F57" t="s">
        <v>29</v>
      </c>
      <c r="G57" s="1">
        <v>45870</v>
      </c>
      <c r="H57" s="1">
        <v>45566</v>
      </c>
      <c r="I57">
        <v>2158366</v>
      </c>
      <c r="J57" t="s">
        <v>32</v>
      </c>
      <c r="K57" t="s">
        <v>326</v>
      </c>
      <c r="L57">
        <v>29.83</v>
      </c>
      <c r="M57">
        <v>29.83</v>
      </c>
      <c r="N57" t="s">
        <v>2720</v>
      </c>
      <c r="O57" t="s">
        <v>2724</v>
      </c>
      <c r="P57" t="s">
        <v>3958</v>
      </c>
    </row>
    <row r="58" spans="1:17" x14ac:dyDescent="0.25">
      <c r="A58" t="s">
        <v>1833</v>
      </c>
      <c r="B58" t="str">
        <f>CONCATENATE(A58,8)</f>
        <v>8GM8TG6FW558</v>
      </c>
      <c r="C58" t="s">
        <v>1835</v>
      </c>
      <c r="D58" t="s">
        <v>74</v>
      </c>
      <c r="E58" t="s">
        <v>28</v>
      </c>
      <c r="F58" t="s">
        <v>29</v>
      </c>
      <c r="G58" s="1">
        <v>45870</v>
      </c>
      <c r="H58" s="1">
        <v>45474</v>
      </c>
      <c r="I58">
        <v>2158366</v>
      </c>
      <c r="J58" t="s">
        <v>32</v>
      </c>
      <c r="K58" t="s">
        <v>326</v>
      </c>
      <c r="L58">
        <v>29.83</v>
      </c>
      <c r="M58">
        <v>29.83</v>
      </c>
      <c r="N58" t="s">
        <v>2720</v>
      </c>
      <c r="O58" t="s">
        <v>2724</v>
      </c>
      <c r="P58" t="s">
        <v>4002</v>
      </c>
    </row>
    <row r="59" spans="1:17" x14ac:dyDescent="0.25">
      <c r="A59" t="s">
        <v>1975</v>
      </c>
      <c r="B59" t="str">
        <f>CONCATENATE(A59,8)</f>
        <v>9Y24VP8AP728</v>
      </c>
      <c r="C59" t="s">
        <v>1977</v>
      </c>
      <c r="D59" t="s">
        <v>74</v>
      </c>
      <c r="E59" t="s">
        <v>28</v>
      </c>
      <c r="F59" t="s">
        <v>29</v>
      </c>
      <c r="G59" s="1">
        <v>45870</v>
      </c>
      <c r="H59" s="1">
        <v>45627</v>
      </c>
      <c r="I59">
        <v>2158366</v>
      </c>
      <c r="J59" t="s">
        <v>32</v>
      </c>
      <c r="K59" t="s">
        <v>326</v>
      </c>
      <c r="L59">
        <v>29.83</v>
      </c>
      <c r="M59">
        <v>29.83</v>
      </c>
      <c r="N59" t="s">
        <v>2720</v>
      </c>
      <c r="O59" t="s">
        <v>2724</v>
      </c>
      <c r="P59" t="s">
        <v>4010</v>
      </c>
    </row>
    <row r="60" spans="1:17" x14ac:dyDescent="0.25">
      <c r="A60" t="s">
        <v>2273</v>
      </c>
      <c r="B60" t="str">
        <f>CONCATENATE(A60,8)</f>
        <v>2EQ7R26FW608</v>
      </c>
      <c r="C60" t="s">
        <v>2275</v>
      </c>
      <c r="D60" t="s">
        <v>2276</v>
      </c>
      <c r="E60" t="s">
        <v>28</v>
      </c>
      <c r="F60" t="s">
        <v>29</v>
      </c>
      <c r="G60" s="1">
        <v>45870</v>
      </c>
      <c r="H60" s="1">
        <v>45474</v>
      </c>
      <c r="I60">
        <v>2158366</v>
      </c>
      <c r="J60" t="s">
        <v>32</v>
      </c>
      <c r="K60" t="s">
        <v>326</v>
      </c>
      <c r="L60">
        <v>29.83</v>
      </c>
      <c r="M60">
        <v>29.83</v>
      </c>
      <c r="N60" t="s">
        <v>2720</v>
      </c>
      <c r="O60" t="s">
        <v>2724</v>
      </c>
      <c r="P60" t="s">
        <v>4027</v>
      </c>
    </row>
    <row r="61" spans="1:17" x14ac:dyDescent="0.25">
      <c r="A61" t="s">
        <v>256</v>
      </c>
      <c r="B61" t="str">
        <f>CONCATENATE(A61,8)</f>
        <v>5MJ5P27CD988</v>
      </c>
      <c r="C61" t="s">
        <v>258</v>
      </c>
      <c r="D61" t="s">
        <v>74</v>
      </c>
      <c r="E61" t="s">
        <v>28</v>
      </c>
      <c r="F61" t="s">
        <v>29</v>
      </c>
      <c r="G61" s="1">
        <v>45870</v>
      </c>
      <c r="H61" s="1">
        <v>45536</v>
      </c>
      <c r="I61">
        <v>7146581</v>
      </c>
      <c r="J61" t="s">
        <v>32</v>
      </c>
      <c r="K61" t="s">
        <v>259</v>
      </c>
      <c r="L61">
        <v>29.83</v>
      </c>
      <c r="M61">
        <v>29.83</v>
      </c>
      <c r="N61" t="s">
        <v>2720</v>
      </c>
      <c r="O61" t="s">
        <v>2724</v>
      </c>
      <c r="P61" t="s">
        <v>3945</v>
      </c>
    </row>
    <row r="62" spans="1:17" x14ac:dyDescent="0.25">
      <c r="A62" t="s">
        <v>425</v>
      </c>
      <c r="B62" t="str">
        <f>CONCATENATE(A62,8)</f>
        <v>7WF9AG1XF178</v>
      </c>
      <c r="C62" t="s">
        <v>427</v>
      </c>
      <c r="D62" t="s">
        <v>74</v>
      </c>
      <c r="E62" t="s">
        <v>28</v>
      </c>
      <c r="F62" t="s">
        <v>29</v>
      </c>
      <c r="G62" s="1">
        <v>45870</v>
      </c>
      <c r="H62" s="1">
        <v>45627</v>
      </c>
      <c r="I62">
        <v>7146581</v>
      </c>
      <c r="J62" t="s">
        <v>32</v>
      </c>
      <c r="K62" t="s">
        <v>259</v>
      </c>
      <c r="L62">
        <v>29.83</v>
      </c>
      <c r="M62">
        <v>29.83</v>
      </c>
      <c r="N62" t="s">
        <v>2720</v>
      </c>
      <c r="O62" t="s">
        <v>2724</v>
      </c>
      <c r="P62" t="s">
        <v>3954</v>
      </c>
    </row>
    <row r="63" spans="1:17" x14ac:dyDescent="0.25">
      <c r="A63" t="s">
        <v>561</v>
      </c>
      <c r="B63" t="str">
        <f>CONCATENATE(A63,8)</f>
        <v>3GE8AF9GG668</v>
      </c>
      <c r="C63" t="s">
        <v>563</v>
      </c>
      <c r="D63" t="s">
        <v>74</v>
      </c>
      <c r="E63" t="s">
        <v>28</v>
      </c>
      <c r="F63" t="s">
        <v>29</v>
      </c>
      <c r="G63" s="1">
        <v>45870</v>
      </c>
      <c r="H63" s="1">
        <v>45627</v>
      </c>
      <c r="I63">
        <v>7146581</v>
      </c>
      <c r="J63" t="s">
        <v>32</v>
      </c>
      <c r="K63" t="s">
        <v>259</v>
      </c>
      <c r="L63">
        <v>29.83</v>
      </c>
      <c r="M63">
        <v>29.83</v>
      </c>
      <c r="N63" t="s">
        <v>2720</v>
      </c>
      <c r="O63" t="s">
        <v>2724</v>
      </c>
      <c r="P63" t="s">
        <v>3956</v>
      </c>
    </row>
    <row r="64" spans="1:17" x14ac:dyDescent="0.25">
      <c r="A64" t="s">
        <v>1324</v>
      </c>
      <c r="B64" t="str">
        <f>CONCATENATE(A64,8)</f>
        <v>9WJ8QT1FH628</v>
      </c>
      <c r="C64" t="s">
        <v>1326</v>
      </c>
      <c r="D64" t="s">
        <v>74</v>
      </c>
      <c r="E64" t="s">
        <v>28</v>
      </c>
      <c r="F64" t="s">
        <v>29</v>
      </c>
      <c r="G64" s="1">
        <v>45870</v>
      </c>
      <c r="H64" s="1">
        <v>45536</v>
      </c>
      <c r="I64">
        <v>7146581</v>
      </c>
      <c r="J64" t="s">
        <v>32</v>
      </c>
      <c r="K64" t="s">
        <v>259</v>
      </c>
      <c r="L64">
        <v>29.83</v>
      </c>
      <c r="M64">
        <v>29.83</v>
      </c>
      <c r="N64" t="s">
        <v>2720</v>
      </c>
      <c r="O64" t="s">
        <v>2724</v>
      </c>
      <c r="P64" t="s">
        <v>3982</v>
      </c>
    </row>
    <row r="65" spans="1:16" x14ac:dyDescent="0.25">
      <c r="A65" t="s">
        <v>1419</v>
      </c>
      <c r="B65" t="str">
        <f>CONCATENATE(A65,8)</f>
        <v>2M85P52KM858</v>
      </c>
      <c r="C65" t="s">
        <v>1421</v>
      </c>
      <c r="D65" t="s">
        <v>74</v>
      </c>
      <c r="E65" t="s">
        <v>28</v>
      </c>
      <c r="F65" t="s">
        <v>29</v>
      </c>
      <c r="G65" s="1">
        <v>45870</v>
      </c>
      <c r="H65" s="1">
        <v>45536</v>
      </c>
      <c r="I65">
        <v>7146581</v>
      </c>
      <c r="J65" t="s">
        <v>32</v>
      </c>
      <c r="K65" t="s">
        <v>259</v>
      </c>
      <c r="L65">
        <v>29.83</v>
      </c>
      <c r="M65">
        <v>29.83</v>
      </c>
      <c r="N65" t="s">
        <v>2720</v>
      </c>
      <c r="O65" t="s">
        <v>2724</v>
      </c>
      <c r="P65" t="s">
        <v>3984</v>
      </c>
    </row>
    <row r="66" spans="1:16" x14ac:dyDescent="0.25">
      <c r="A66" t="s">
        <v>2164</v>
      </c>
      <c r="B66" t="str">
        <f>CONCATENATE(A66,8)</f>
        <v>9NE2RY0AV088</v>
      </c>
      <c r="C66" t="s">
        <v>2166</v>
      </c>
      <c r="D66" t="s">
        <v>74</v>
      </c>
      <c r="E66" t="s">
        <v>28</v>
      </c>
      <c r="F66" t="s">
        <v>29</v>
      </c>
      <c r="G66" s="1">
        <v>45870</v>
      </c>
      <c r="H66" s="1">
        <v>45627</v>
      </c>
      <c r="I66">
        <v>7146581</v>
      </c>
      <c r="J66" t="s">
        <v>32</v>
      </c>
      <c r="K66" t="s">
        <v>259</v>
      </c>
      <c r="L66">
        <v>29.83</v>
      </c>
      <c r="M66">
        <v>29.83</v>
      </c>
      <c r="N66" t="s">
        <v>2720</v>
      </c>
      <c r="O66" t="s">
        <v>2724</v>
      </c>
      <c r="P66" t="s">
        <v>4024</v>
      </c>
    </row>
    <row r="67" spans="1:16" x14ac:dyDescent="0.25">
      <c r="A67" t="s">
        <v>2167</v>
      </c>
      <c r="B67" t="str">
        <f>CONCATENATE(A67,8)</f>
        <v>5P51RR5QF808</v>
      </c>
      <c r="C67" t="s">
        <v>2169</v>
      </c>
      <c r="D67" t="s">
        <v>74</v>
      </c>
      <c r="E67" t="s">
        <v>28</v>
      </c>
      <c r="F67" t="s">
        <v>29</v>
      </c>
      <c r="G67" s="1">
        <v>45870</v>
      </c>
      <c r="H67" s="1">
        <v>45627</v>
      </c>
      <c r="I67">
        <v>7146581</v>
      </c>
      <c r="J67" t="s">
        <v>32</v>
      </c>
      <c r="K67" t="s">
        <v>259</v>
      </c>
      <c r="L67">
        <v>29.83</v>
      </c>
      <c r="M67">
        <v>29.83</v>
      </c>
      <c r="N67" t="s">
        <v>2720</v>
      </c>
      <c r="O67" t="s">
        <v>2724</v>
      </c>
      <c r="P67" t="s">
        <v>4025</v>
      </c>
    </row>
    <row r="68" spans="1:16" x14ac:dyDescent="0.25">
      <c r="A68" t="s">
        <v>2544</v>
      </c>
      <c r="B68" t="str">
        <f>CONCATENATE(A68,8)</f>
        <v>5Y06DQ8HM688</v>
      </c>
      <c r="C68" t="s">
        <v>2546</v>
      </c>
      <c r="D68" t="s">
        <v>74</v>
      </c>
      <c r="E68" t="s">
        <v>28</v>
      </c>
      <c r="F68" t="s">
        <v>29</v>
      </c>
      <c r="G68" s="1">
        <v>45870</v>
      </c>
      <c r="H68" s="1">
        <v>45597</v>
      </c>
      <c r="I68">
        <v>7146581</v>
      </c>
      <c r="J68" t="s">
        <v>32</v>
      </c>
      <c r="K68" t="s">
        <v>259</v>
      </c>
      <c r="L68">
        <v>29.83</v>
      </c>
      <c r="M68">
        <v>29.83</v>
      </c>
      <c r="N68" t="s">
        <v>2720</v>
      </c>
      <c r="O68" t="s">
        <v>2724</v>
      </c>
      <c r="P68" t="s">
        <v>4036</v>
      </c>
    </row>
    <row r="69" spans="1:16" x14ac:dyDescent="0.25">
      <c r="A69" t="s">
        <v>2651</v>
      </c>
      <c r="B69" t="str">
        <f>CONCATENATE(A69,8)</f>
        <v>7HT8EP2TF378</v>
      </c>
      <c r="C69" t="s">
        <v>2653</v>
      </c>
      <c r="D69" t="s">
        <v>2654</v>
      </c>
      <c r="E69" t="s">
        <v>28</v>
      </c>
      <c r="F69" t="s">
        <v>29</v>
      </c>
      <c r="G69" s="1">
        <v>45870</v>
      </c>
      <c r="H69" s="1">
        <v>45536</v>
      </c>
      <c r="I69">
        <v>7146581</v>
      </c>
      <c r="J69" t="s">
        <v>32</v>
      </c>
      <c r="K69" t="s">
        <v>259</v>
      </c>
      <c r="L69">
        <v>29.83</v>
      </c>
      <c r="M69">
        <v>29.83</v>
      </c>
      <c r="N69" t="s">
        <v>2720</v>
      </c>
      <c r="O69" t="s">
        <v>2724</v>
      </c>
      <c r="P69" t="s">
        <v>4044</v>
      </c>
    </row>
    <row r="70" spans="1:16" x14ac:dyDescent="0.25">
      <c r="A70" t="s">
        <v>1710</v>
      </c>
      <c r="B70" t="str">
        <f>CONCATENATE(A70,8)</f>
        <v>7XW0DA4MF398</v>
      </c>
      <c r="C70" t="s">
        <v>1712</v>
      </c>
      <c r="D70" t="s">
        <v>27</v>
      </c>
      <c r="E70" t="s">
        <v>28</v>
      </c>
      <c r="F70" t="s">
        <v>29</v>
      </c>
      <c r="G70" s="1">
        <v>45870</v>
      </c>
      <c r="H70" s="1">
        <v>45627</v>
      </c>
      <c r="I70">
        <v>17528908</v>
      </c>
      <c r="J70" t="s">
        <v>32</v>
      </c>
      <c r="K70" t="s">
        <v>33</v>
      </c>
      <c r="L70">
        <v>33.17</v>
      </c>
      <c r="M70">
        <v>33.17</v>
      </c>
      <c r="N70" t="s">
        <v>2723</v>
      </c>
      <c r="O70" t="s">
        <v>2722</v>
      </c>
      <c r="P70" t="s">
        <v>3836</v>
      </c>
    </row>
    <row r="71" spans="1:16" x14ac:dyDescent="0.25">
      <c r="A71" t="s">
        <v>2425</v>
      </c>
      <c r="B71" t="str">
        <f>CONCATENATE(A71,8)</f>
        <v>6HJ0NP2PK148</v>
      </c>
      <c r="C71" t="s">
        <v>2427</v>
      </c>
      <c r="D71" t="s">
        <v>27</v>
      </c>
      <c r="E71" t="s">
        <v>28</v>
      </c>
      <c r="F71" t="s">
        <v>29</v>
      </c>
      <c r="G71" s="1">
        <v>45870</v>
      </c>
      <c r="H71" s="1">
        <v>45627</v>
      </c>
      <c r="I71">
        <v>17528908</v>
      </c>
      <c r="J71" t="s">
        <v>32</v>
      </c>
      <c r="K71" t="s">
        <v>33</v>
      </c>
      <c r="L71">
        <v>33.17</v>
      </c>
      <c r="M71">
        <v>33.17</v>
      </c>
      <c r="N71" t="s">
        <v>2723</v>
      </c>
      <c r="O71" t="s">
        <v>2722</v>
      </c>
      <c r="P71" t="s">
        <v>3850</v>
      </c>
    </row>
    <row r="72" spans="1:16" x14ac:dyDescent="0.25">
      <c r="A72" t="s">
        <v>2696</v>
      </c>
      <c r="B72" t="str">
        <f>CONCATENATE(A72,8)</f>
        <v>3JC1E30KD128</v>
      </c>
      <c r="C72" t="s">
        <v>2698</v>
      </c>
      <c r="D72" t="s">
        <v>27</v>
      </c>
      <c r="E72" t="s">
        <v>28</v>
      </c>
      <c r="F72" t="s">
        <v>29</v>
      </c>
      <c r="G72" s="1">
        <v>45870</v>
      </c>
      <c r="H72" s="1">
        <v>45627</v>
      </c>
      <c r="I72">
        <v>17528908</v>
      </c>
      <c r="J72" t="s">
        <v>32</v>
      </c>
      <c r="K72" t="s">
        <v>33</v>
      </c>
      <c r="L72">
        <v>33.17</v>
      </c>
      <c r="M72">
        <v>33.17</v>
      </c>
      <c r="N72" t="s">
        <v>2723</v>
      </c>
      <c r="O72" t="s">
        <v>2722</v>
      </c>
      <c r="P72" t="s">
        <v>3859</v>
      </c>
    </row>
    <row r="73" spans="1:16" x14ac:dyDescent="0.25">
      <c r="A73" t="s">
        <v>774</v>
      </c>
      <c r="B73" t="str">
        <f>CONCATENATE(A73,8)</f>
        <v>4D74P93WW738</v>
      </c>
      <c r="C73" t="s">
        <v>776</v>
      </c>
      <c r="D73" t="s">
        <v>27</v>
      </c>
      <c r="E73" t="s">
        <v>28</v>
      </c>
      <c r="F73" t="s">
        <v>29</v>
      </c>
      <c r="G73" s="1">
        <v>45870</v>
      </c>
      <c r="H73" s="1">
        <v>45597</v>
      </c>
      <c r="I73">
        <v>17528908</v>
      </c>
      <c r="J73" t="s">
        <v>32</v>
      </c>
      <c r="K73" t="s">
        <v>33</v>
      </c>
      <c r="L73">
        <v>33.17</v>
      </c>
      <c r="M73">
        <v>33.17</v>
      </c>
      <c r="N73" t="s">
        <v>2723</v>
      </c>
      <c r="O73" t="s">
        <v>2722</v>
      </c>
      <c r="P73" t="s">
        <v>3811</v>
      </c>
    </row>
    <row r="74" spans="1:16" x14ac:dyDescent="0.25">
      <c r="A74" t="s">
        <v>2002</v>
      </c>
      <c r="B74" t="str">
        <f>CONCATENATE(A74,8)</f>
        <v>5M98C22JH648</v>
      </c>
      <c r="C74" t="s">
        <v>2004</v>
      </c>
      <c r="D74" t="s">
        <v>27</v>
      </c>
      <c r="E74" t="s">
        <v>28</v>
      </c>
      <c r="F74" t="s">
        <v>29</v>
      </c>
      <c r="G74" s="1">
        <v>45870</v>
      </c>
      <c r="H74" s="1">
        <v>45597</v>
      </c>
      <c r="I74">
        <v>17528908</v>
      </c>
      <c r="J74" t="s">
        <v>32</v>
      </c>
      <c r="K74" t="s">
        <v>33</v>
      </c>
      <c r="L74">
        <v>33.17</v>
      </c>
      <c r="M74">
        <v>33.17</v>
      </c>
      <c r="N74" t="s">
        <v>2723</v>
      </c>
      <c r="O74" t="s">
        <v>2722</v>
      </c>
      <c r="P74" t="s">
        <v>3842</v>
      </c>
    </row>
    <row r="75" spans="1:16" x14ac:dyDescent="0.25">
      <c r="A75" t="s">
        <v>1071</v>
      </c>
      <c r="B75" t="str">
        <f>CONCATENATE(A75,8)</f>
        <v>4UY7J83RP498</v>
      </c>
      <c r="C75" t="s">
        <v>1073</v>
      </c>
      <c r="D75" t="s">
        <v>27</v>
      </c>
      <c r="E75" t="s">
        <v>997</v>
      </c>
      <c r="F75" t="s">
        <v>29</v>
      </c>
      <c r="G75" s="1">
        <v>45839</v>
      </c>
      <c r="H75" s="1">
        <v>45566</v>
      </c>
      <c r="I75">
        <v>17528908</v>
      </c>
      <c r="J75" t="s">
        <v>32</v>
      </c>
      <c r="K75" t="s">
        <v>33</v>
      </c>
      <c r="L75">
        <v>-33.17</v>
      </c>
      <c r="M75">
        <v>-33.17</v>
      </c>
      <c r="N75" t="s">
        <v>2723</v>
      </c>
      <c r="O75" t="s">
        <v>2722</v>
      </c>
      <c r="P75" t="s">
        <v>3717</v>
      </c>
    </row>
    <row r="76" spans="1:16" x14ac:dyDescent="0.25">
      <c r="A76" t="s">
        <v>410</v>
      </c>
      <c r="B76" t="str">
        <f>CONCATENATE(A76,8)</f>
        <v>9QP4MM6KM998</v>
      </c>
      <c r="C76" t="s">
        <v>412</v>
      </c>
      <c r="D76" t="s">
        <v>27</v>
      </c>
      <c r="E76" t="s">
        <v>28</v>
      </c>
      <c r="F76" t="s">
        <v>29</v>
      </c>
      <c r="G76" s="1">
        <v>45870</v>
      </c>
      <c r="H76" s="1">
        <v>45566</v>
      </c>
      <c r="I76">
        <v>17528908</v>
      </c>
      <c r="J76" t="s">
        <v>32</v>
      </c>
      <c r="K76" t="s">
        <v>33</v>
      </c>
      <c r="L76">
        <v>33.17</v>
      </c>
      <c r="M76">
        <v>33.17</v>
      </c>
      <c r="N76" t="s">
        <v>2723</v>
      </c>
      <c r="O76" t="s">
        <v>2722</v>
      </c>
      <c r="P76" t="s">
        <v>3806</v>
      </c>
    </row>
    <row r="77" spans="1:16" x14ac:dyDescent="0.25">
      <c r="A77" t="s">
        <v>1598</v>
      </c>
      <c r="B77" t="str">
        <f>CONCATENATE(A77,8)</f>
        <v>4PJ7D61RD408</v>
      </c>
      <c r="C77" t="s">
        <v>1600</v>
      </c>
      <c r="D77" t="s">
        <v>27</v>
      </c>
      <c r="E77" t="s">
        <v>28</v>
      </c>
      <c r="F77" t="s">
        <v>29</v>
      </c>
      <c r="G77" s="1">
        <v>45870</v>
      </c>
      <c r="H77" s="1">
        <v>45566</v>
      </c>
      <c r="I77">
        <v>17528908</v>
      </c>
      <c r="J77" t="s">
        <v>32</v>
      </c>
      <c r="K77" t="s">
        <v>33</v>
      </c>
      <c r="L77">
        <v>33.17</v>
      </c>
      <c r="M77">
        <v>33.17</v>
      </c>
      <c r="N77" t="s">
        <v>2723</v>
      </c>
      <c r="O77" t="s">
        <v>2722</v>
      </c>
      <c r="P77" t="s">
        <v>3833</v>
      </c>
    </row>
    <row r="78" spans="1:16" x14ac:dyDescent="0.25">
      <c r="A78" t="s">
        <v>1978</v>
      </c>
      <c r="B78" t="str">
        <f>CONCATENATE(A78,8)</f>
        <v>2UT4YA6YQ958</v>
      </c>
      <c r="C78" t="s">
        <v>1980</v>
      </c>
      <c r="D78" t="s">
        <v>27</v>
      </c>
      <c r="E78" t="s">
        <v>28</v>
      </c>
      <c r="F78" t="s">
        <v>127</v>
      </c>
      <c r="G78" s="1">
        <v>45870</v>
      </c>
      <c r="H78" s="1">
        <v>45566</v>
      </c>
      <c r="I78">
        <v>17528908</v>
      </c>
      <c r="J78" t="s">
        <v>32</v>
      </c>
      <c r="K78" t="s">
        <v>33</v>
      </c>
      <c r="L78">
        <v>33.17</v>
      </c>
      <c r="M78">
        <v>33.17</v>
      </c>
      <c r="N78" t="s">
        <v>2723</v>
      </c>
      <c r="O78" t="s">
        <v>2722</v>
      </c>
      <c r="P78" t="s">
        <v>3841</v>
      </c>
    </row>
    <row r="79" spans="1:16" x14ac:dyDescent="0.25">
      <c r="A79" t="s">
        <v>2600</v>
      </c>
      <c r="B79" t="str">
        <f>CONCATENATE(A79,8)</f>
        <v>5KV4FE5YN748</v>
      </c>
      <c r="C79" t="s">
        <v>2602</v>
      </c>
      <c r="D79" t="s">
        <v>27</v>
      </c>
      <c r="E79" t="s">
        <v>28</v>
      </c>
      <c r="F79" t="s">
        <v>29</v>
      </c>
      <c r="G79" s="1">
        <v>45870</v>
      </c>
      <c r="H79" s="1">
        <v>45566</v>
      </c>
      <c r="I79">
        <v>17528908</v>
      </c>
      <c r="J79" t="s">
        <v>32</v>
      </c>
      <c r="K79" t="s">
        <v>33</v>
      </c>
      <c r="L79">
        <v>33.17</v>
      </c>
      <c r="M79">
        <v>33.17</v>
      </c>
      <c r="N79" t="s">
        <v>2723</v>
      </c>
      <c r="O79" t="s">
        <v>2722</v>
      </c>
      <c r="P79" t="s">
        <v>3855</v>
      </c>
    </row>
    <row r="80" spans="1:16" x14ac:dyDescent="0.25">
      <c r="A80" t="s">
        <v>1362</v>
      </c>
      <c r="B80" t="str">
        <f>CONCATENATE(A80,8)</f>
        <v>8E37DQ7XR558</v>
      </c>
      <c r="C80" t="s">
        <v>1364</v>
      </c>
      <c r="D80" t="s">
        <v>27</v>
      </c>
      <c r="E80" t="s">
        <v>28</v>
      </c>
      <c r="F80" t="s">
        <v>29</v>
      </c>
      <c r="G80" s="1">
        <v>45870</v>
      </c>
      <c r="H80" s="1">
        <v>45536</v>
      </c>
      <c r="I80">
        <v>17528908</v>
      </c>
      <c r="J80" t="s">
        <v>32</v>
      </c>
      <c r="K80" t="s">
        <v>33</v>
      </c>
      <c r="L80">
        <v>33.17</v>
      </c>
      <c r="M80">
        <v>33.17</v>
      </c>
      <c r="N80" t="s">
        <v>2723</v>
      </c>
      <c r="O80" t="s">
        <v>2722</v>
      </c>
      <c r="P80" t="s">
        <v>3824</v>
      </c>
    </row>
    <row r="81" spans="1:16" x14ac:dyDescent="0.25">
      <c r="A81" t="s">
        <v>24</v>
      </c>
      <c r="B81" t="str">
        <f>CONCATENATE(A81,8)</f>
        <v>8CY6V16PX758</v>
      </c>
      <c r="C81" t="s">
        <v>26</v>
      </c>
      <c r="D81" t="s">
        <v>27</v>
      </c>
      <c r="E81" t="s">
        <v>28</v>
      </c>
      <c r="F81" t="s">
        <v>29</v>
      </c>
      <c r="G81" s="1">
        <v>45870</v>
      </c>
      <c r="H81" s="1">
        <v>45505</v>
      </c>
      <c r="I81">
        <v>17528908</v>
      </c>
      <c r="J81" t="s">
        <v>32</v>
      </c>
      <c r="K81" t="s">
        <v>33</v>
      </c>
      <c r="L81">
        <v>33.17</v>
      </c>
      <c r="M81">
        <v>33.17</v>
      </c>
      <c r="N81" t="s">
        <v>2723</v>
      </c>
      <c r="O81" t="s">
        <v>2722</v>
      </c>
      <c r="P81" t="s">
        <v>3799</v>
      </c>
    </row>
    <row r="82" spans="1:16" x14ac:dyDescent="0.25">
      <c r="A82" t="s">
        <v>730</v>
      </c>
      <c r="B82" t="str">
        <f>CONCATENATE(A82,8)</f>
        <v>9PF2CH8EA138</v>
      </c>
      <c r="C82" t="s">
        <v>732</v>
      </c>
      <c r="D82" t="s">
        <v>27</v>
      </c>
      <c r="E82" t="s">
        <v>28</v>
      </c>
      <c r="F82" t="s">
        <v>29</v>
      </c>
      <c r="G82" s="1">
        <v>45870</v>
      </c>
      <c r="H82" s="1">
        <v>45505</v>
      </c>
      <c r="I82">
        <v>17528908</v>
      </c>
      <c r="J82" t="s">
        <v>32</v>
      </c>
      <c r="K82" t="s">
        <v>33</v>
      </c>
      <c r="L82">
        <v>33.17</v>
      </c>
      <c r="M82">
        <v>33.17</v>
      </c>
      <c r="N82" t="s">
        <v>2723</v>
      </c>
      <c r="O82" t="s">
        <v>2722</v>
      </c>
      <c r="P82" t="s">
        <v>3810</v>
      </c>
    </row>
    <row r="83" spans="1:16" x14ac:dyDescent="0.25">
      <c r="A83" t="s">
        <v>1972</v>
      </c>
      <c r="B83" t="str">
        <f>CONCATENATE(A83,8)</f>
        <v>7C09XN2RN388</v>
      </c>
      <c r="C83" t="s">
        <v>1974</v>
      </c>
      <c r="D83" t="s">
        <v>27</v>
      </c>
      <c r="E83" t="s">
        <v>28</v>
      </c>
      <c r="F83" t="s">
        <v>29</v>
      </c>
      <c r="G83" s="1">
        <v>45870</v>
      </c>
      <c r="H83" s="1">
        <v>45505</v>
      </c>
      <c r="I83">
        <v>17528908</v>
      </c>
      <c r="J83" t="s">
        <v>32</v>
      </c>
      <c r="K83" t="s">
        <v>33</v>
      </c>
      <c r="L83">
        <v>33.17</v>
      </c>
      <c r="M83">
        <v>33.17</v>
      </c>
      <c r="N83" t="s">
        <v>2723</v>
      </c>
      <c r="O83" t="s">
        <v>2722</v>
      </c>
      <c r="P83" t="s">
        <v>3840</v>
      </c>
    </row>
    <row r="84" spans="1:16" x14ac:dyDescent="0.25">
      <c r="A84" t="s">
        <v>2095</v>
      </c>
      <c r="B84" t="str">
        <f>CONCATENATE(A84,8)</f>
        <v>1PV6FA2WQ678</v>
      </c>
      <c r="C84" t="s">
        <v>2097</v>
      </c>
      <c r="D84" t="s">
        <v>27</v>
      </c>
      <c r="E84" t="s">
        <v>28</v>
      </c>
      <c r="F84" t="s">
        <v>29</v>
      </c>
      <c r="G84" s="1">
        <v>45870</v>
      </c>
      <c r="H84" s="1">
        <v>45505</v>
      </c>
      <c r="I84">
        <v>17528908</v>
      </c>
      <c r="J84" t="s">
        <v>32</v>
      </c>
      <c r="K84" t="s">
        <v>33</v>
      </c>
      <c r="L84">
        <v>33.17</v>
      </c>
      <c r="M84">
        <v>33.17</v>
      </c>
      <c r="N84" t="s">
        <v>2723</v>
      </c>
      <c r="O84" t="s">
        <v>2722</v>
      </c>
      <c r="P84" t="s">
        <v>3844</v>
      </c>
    </row>
    <row r="85" spans="1:16" x14ac:dyDescent="0.25">
      <c r="A85" t="s">
        <v>2383</v>
      </c>
      <c r="B85" t="str">
        <f>CONCATENATE(A85,8)</f>
        <v>8XC4XH8YY798</v>
      </c>
      <c r="C85" t="s">
        <v>2385</v>
      </c>
      <c r="D85" t="s">
        <v>27</v>
      </c>
      <c r="E85" t="s">
        <v>28</v>
      </c>
      <c r="F85" t="s">
        <v>29</v>
      </c>
      <c r="G85" s="1">
        <v>45870</v>
      </c>
      <c r="H85" s="1">
        <v>45505</v>
      </c>
      <c r="I85">
        <v>17528908</v>
      </c>
      <c r="J85" t="s">
        <v>32</v>
      </c>
      <c r="K85" t="s">
        <v>33</v>
      </c>
      <c r="L85">
        <v>33.17</v>
      </c>
      <c r="M85">
        <v>33.17</v>
      </c>
      <c r="N85" t="s">
        <v>2723</v>
      </c>
      <c r="O85" t="s">
        <v>2722</v>
      </c>
      <c r="P85" t="s">
        <v>3849</v>
      </c>
    </row>
    <row r="86" spans="1:16" x14ac:dyDescent="0.25">
      <c r="A86" t="s">
        <v>2642</v>
      </c>
      <c r="B86" t="str">
        <f>CONCATENATE(A86,8)</f>
        <v>3UK8J85JG628</v>
      </c>
      <c r="C86" t="s">
        <v>2644</v>
      </c>
      <c r="D86" t="s">
        <v>27</v>
      </c>
      <c r="E86" t="s">
        <v>28</v>
      </c>
      <c r="F86" t="s">
        <v>127</v>
      </c>
      <c r="G86" s="1">
        <v>45870</v>
      </c>
      <c r="H86" s="1">
        <v>45505</v>
      </c>
      <c r="I86">
        <v>17528908</v>
      </c>
      <c r="J86" t="s">
        <v>32</v>
      </c>
      <c r="K86" t="s">
        <v>33</v>
      </c>
      <c r="L86">
        <v>33.17</v>
      </c>
      <c r="M86">
        <v>33.17</v>
      </c>
      <c r="N86" t="s">
        <v>2723</v>
      </c>
      <c r="O86" t="s">
        <v>2722</v>
      </c>
      <c r="P86" t="s">
        <v>3856</v>
      </c>
    </row>
    <row r="87" spans="1:16" x14ac:dyDescent="0.25">
      <c r="A87" t="s">
        <v>167</v>
      </c>
      <c r="B87" t="str">
        <f>CONCATENATE(A87,8)</f>
        <v>3J91YY0MG038</v>
      </c>
      <c r="C87" t="s">
        <v>169</v>
      </c>
      <c r="D87" t="s">
        <v>27</v>
      </c>
      <c r="E87" t="s">
        <v>28</v>
      </c>
      <c r="F87" t="s">
        <v>29</v>
      </c>
      <c r="G87" s="1">
        <v>45870</v>
      </c>
      <c r="H87" s="1">
        <v>45474</v>
      </c>
      <c r="I87">
        <v>17528908</v>
      </c>
      <c r="J87" t="s">
        <v>32</v>
      </c>
      <c r="K87" t="s">
        <v>33</v>
      </c>
      <c r="L87">
        <v>33.17</v>
      </c>
      <c r="M87">
        <v>33.17</v>
      </c>
      <c r="N87" t="s">
        <v>2723</v>
      </c>
      <c r="O87" t="s">
        <v>2722</v>
      </c>
      <c r="P87" t="s">
        <v>3801</v>
      </c>
    </row>
    <row r="88" spans="1:16" x14ac:dyDescent="0.25">
      <c r="A88" t="s">
        <v>1365</v>
      </c>
      <c r="B88" t="str">
        <f>CONCATENATE(A88,8)</f>
        <v>5HQ2QP0RG268</v>
      </c>
      <c r="C88" t="s">
        <v>1367</v>
      </c>
      <c r="D88" t="s">
        <v>27</v>
      </c>
      <c r="E88" t="s">
        <v>28</v>
      </c>
      <c r="F88" t="s">
        <v>29</v>
      </c>
      <c r="G88" s="1">
        <v>45870</v>
      </c>
      <c r="H88" s="1">
        <v>45474</v>
      </c>
      <c r="I88">
        <v>17528908</v>
      </c>
      <c r="J88" t="s">
        <v>32</v>
      </c>
      <c r="K88" t="s">
        <v>33</v>
      </c>
      <c r="L88">
        <v>33.17</v>
      </c>
      <c r="M88">
        <v>33.17</v>
      </c>
      <c r="N88" t="s">
        <v>2723</v>
      </c>
      <c r="O88" t="s">
        <v>2722</v>
      </c>
      <c r="P88" t="s">
        <v>3825</v>
      </c>
    </row>
    <row r="89" spans="1:16" x14ac:dyDescent="0.25">
      <c r="A89" t="s">
        <v>1583</v>
      </c>
      <c r="B89" t="str">
        <f>CONCATENATE(A89,8)</f>
        <v>3DE0K32CU178</v>
      </c>
      <c r="C89" t="s">
        <v>1585</v>
      </c>
      <c r="D89" t="s">
        <v>27</v>
      </c>
      <c r="E89" t="s">
        <v>28</v>
      </c>
      <c r="F89" t="s">
        <v>29</v>
      </c>
      <c r="G89" s="1">
        <v>45870</v>
      </c>
      <c r="H89" s="1">
        <v>45474</v>
      </c>
      <c r="I89">
        <v>17528908</v>
      </c>
      <c r="J89" t="s">
        <v>32</v>
      </c>
      <c r="K89" t="s">
        <v>33</v>
      </c>
      <c r="L89">
        <v>33.17</v>
      </c>
      <c r="M89">
        <v>33.17</v>
      </c>
      <c r="N89" t="s">
        <v>2723</v>
      </c>
      <c r="O89" t="s">
        <v>2722</v>
      </c>
      <c r="P89" t="s">
        <v>3831</v>
      </c>
    </row>
    <row r="90" spans="1:16" x14ac:dyDescent="0.25">
      <c r="A90" t="s">
        <v>196</v>
      </c>
      <c r="B90" t="str">
        <f>CONCATENATE(A90,8)</f>
        <v>6U12U20QK988</v>
      </c>
      <c r="C90" t="s">
        <v>198</v>
      </c>
      <c r="D90" t="s">
        <v>27</v>
      </c>
      <c r="E90" t="s">
        <v>28</v>
      </c>
      <c r="F90" t="s">
        <v>29</v>
      </c>
      <c r="G90" s="1">
        <v>45870</v>
      </c>
      <c r="H90" s="1">
        <v>45444</v>
      </c>
      <c r="I90">
        <v>17528908</v>
      </c>
      <c r="J90" t="s">
        <v>32</v>
      </c>
      <c r="K90" t="s">
        <v>33</v>
      </c>
      <c r="L90">
        <v>33.17</v>
      </c>
      <c r="M90">
        <v>33.17</v>
      </c>
      <c r="N90" t="s">
        <v>2723</v>
      </c>
      <c r="O90" t="s">
        <v>2722</v>
      </c>
      <c r="P90" t="s">
        <v>3802</v>
      </c>
    </row>
    <row r="91" spans="1:16" x14ac:dyDescent="0.25">
      <c r="A91" t="s">
        <v>1391</v>
      </c>
      <c r="B91" t="str">
        <f>CONCATENATE(A91,8)</f>
        <v>2CT0AV8YA438</v>
      </c>
      <c r="C91" t="s">
        <v>1393</v>
      </c>
      <c r="D91" t="s">
        <v>27</v>
      </c>
      <c r="E91" t="s">
        <v>28</v>
      </c>
      <c r="F91" t="s">
        <v>29</v>
      </c>
      <c r="G91" s="1">
        <v>45870</v>
      </c>
      <c r="H91" s="1">
        <v>45444</v>
      </c>
      <c r="I91">
        <v>17528908</v>
      </c>
      <c r="J91" t="s">
        <v>32</v>
      </c>
      <c r="K91" t="s">
        <v>33</v>
      </c>
      <c r="L91">
        <v>33.17</v>
      </c>
      <c r="M91">
        <v>33.17</v>
      </c>
      <c r="N91" t="s">
        <v>2723</v>
      </c>
      <c r="O91" t="s">
        <v>2722</v>
      </c>
      <c r="P91" t="s">
        <v>3827</v>
      </c>
    </row>
    <row r="92" spans="1:16" x14ac:dyDescent="0.25">
      <c r="A92" t="s">
        <v>351</v>
      </c>
      <c r="B92" t="str">
        <f>CONCATENATE(A92,8)</f>
        <v>9DN7N71MJ368</v>
      </c>
      <c r="C92" t="s">
        <v>353</v>
      </c>
      <c r="D92" t="s">
        <v>27</v>
      </c>
      <c r="E92" t="s">
        <v>28</v>
      </c>
      <c r="F92" t="s">
        <v>29</v>
      </c>
      <c r="G92" s="1">
        <v>45870</v>
      </c>
      <c r="H92" s="1">
        <v>45413</v>
      </c>
      <c r="I92">
        <v>17528908</v>
      </c>
      <c r="J92" t="s">
        <v>32</v>
      </c>
      <c r="K92" t="s">
        <v>33</v>
      </c>
      <c r="L92">
        <v>33.17</v>
      </c>
      <c r="M92">
        <v>33.17</v>
      </c>
      <c r="N92" t="s">
        <v>2723</v>
      </c>
      <c r="O92" t="s">
        <v>2722</v>
      </c>
      <c r="P92" t="s">
        <v>3805</v>
      </c>
    </row>
    <row r="93" spans="1:16" x14ac:dyDescent="0.25">
      <c r="A93" t="s">
        <v>1385</v>
      </c>
      <c r="B93" t="str">
        <f>CONCATENATE(A93,8)</f>
        <v>8EE1KK0FN318</v>
      </c>
      <c r="C93" t="s">
        <v>1387</v>
      </c>
      <c r="D93" t="s">
        <v>27</v>
      </c>
      <c r="E93" t="s">
        <v>28</v>
      </c>
      <c r="F93" t="s">
        <v>29</v>
      </c>
      <c r="G93" s="1">
        <v>45870</v>
      </c>
      <c r="H93" s="1">
        <v>45413</v>
      </c>
      <c r="I93">
        <v>17528908</v>
      </c>
      <c r="J93" t="s">
        <v>32</v>
      </c>
      <c r="K93" t="s">
        <v>33</v>
      </c>
      <c r="L93">
        <v>33.17</v>
      </c>
      <c r="M93">
        <v>33.17</v>
      </c>
      <c r="N93" t="s">
        <v>2723</v>
      </c>
      <c r="O93" t="s">
        <v>2722</v>
      </c>
      <c r="P93" t="s">
        <v>3826</v>
      </c>
    </row>
    <row r="94" spans="1:16" x14ac:dyDescent="0.25">
      <c r="A94" t="s">
        <v>1625</v>
      </c>
      <c r="B94" t="str">
        <f>CONCATENATE(A94,8)</f>
        <v>4ER5WN9MU978</v>
      </c>
      <c r="C94" t="s">
        <v>1627</v>
      </c>
      <c r="D94" t="s">
        <v>27</v>
      </c>
      <c r="E94" t="s">
        <v>28</v>
      </c>
      <c r="F94" t="s">
        <v>127</v>
      </c>
      <c r="G94" s="1">
        <v>45870</v>
      </c>
      <c r="H94" s="1">
        <v>45413</v>
      </c>
      <c r="I94">
        <v>17528908</v>
      </c>
      <c r="J94" t="s">
        <v>32</v>
      </c>
      <c r="K94" t="s">
        <v>33</v>
      </c>
      <c r="L94">
        <v>33.17</v>
      </c>
      <c r="M94">
        <v>33.17</v>
      </c>
      <c r="N94" t="s">
        <v>2723</v>
      </c>
      <c r="O94" t="s">
        <v>2722</v>
      </c>
      <c r="P94" t="s">
        <v>3834</v>
      </c>
    </row>
    <row r="95" spans="1:16" x14ac:dyDescent="0.25">
      <c r="A95" t="s">
        <v>1230</v>
      </c>
      <c r="B95" t="str">
        <f>CONCATENATE(A95,8)</f>
        <v>5XG6CN0PK528</v>
      </c>
      <c r="C95" t="s">
        <v>1232</v>
      </c>
      <c r="D95" t="s">
        <v>27</v>
      </c>
      <c r="E95" t="s">
        <v>28</v>
      </c>
      <c r="F95" t="s">
        <v>29</v>
      </c>
      <c r="G95" s="1">
        <v>45870</v>
      </c>
      <c r="H95" s="1">
        <v>45383</v>
      </c>
      <c r="I95">
        <v>17528908</v>
      </c>
      <c r="J95" t="s">
        <v>32</v>
      </c>
      <c r="K95" t="s">
        <v>33</v>
      </c>
      <c r="L95">
        <v>31.92</v>
      </c>
      <c r="M95">
        <v>31.92</v>
      </c>
      <c r="N95" t="s">
        <v>2723</v>
      </c>
      <c r="O95" t="s">
        <v>2726</v>
      </c>
      <c r="P95" t="s">
        <v>3756</v>
      </c>
    </row>
    <row r="96" spans="1:16" x14ac:dyDescent="0.25">
      <c r="A96" t="s">
        <v>1233</v>
      </c>
      <c r="B96" t="str">
        <f>CONCATENATE(A96,8)</f>
        <v>6YY0WU3GM178</v>
      </c>
      <c r="C96" t="s">
        <v>1235</v>
      </c>
      <c r="D96" t="s">
        <v>27</v>
      </c>
      <c r="E96" t="s">
        <v>28</v>
      </c>
      <c r="F96" t="s">
        <v>29</v>
      </c>
      <c r="G96" s="1">
        <v>45870</v>
      </c>
      <c r="H96" s="1">
        <v>45383</v>
      </c>
      <c r="I96">
        <v>17528908</v>
      </c>
      <c r="J96" t="s">
        <v>32</v>
      </c>
      <c r="K96" t="s">
        <v>33</v>
      </c>
      <c r="L96">
        <v>31.92</v>
      </c>
      <c r="M96">
        <v>31.92</v>
      </c>
      <c r="N96" t="s">
        <v>2723</v>
      </c>
      <c r="O96" t="s">
        <v>2726</v>
      </c>
      <c r="P96" t="s">
        <v>3757</v>
      </c>
    </row>
    <row r="97" spans="1:16" x14ac:dyDescent="0.25">
      <c r="A97" t="s">
        <v>537</v>
      </c>
      <c r="B97" t="str">
        <f>CONCATENATE(A97,8)</f>
        <v>3M37QX9UH408</v>
      </c>
      <c r="C97" t="s">
        <v>539</v>
      </c>
      <c r="D97" t="s">
        <v>27</v>
      </c>
      <c r="E97" t="s">
        <v>28</v>
      </c>
      <c r="F97" t="s">
        <v>127</v>
      </c>
      <c r="G97" s="1">
        <v>45870</v>
      </c>
      <c r="H97" s="1">
        <v>45383</v>
      </c>
      <c r="I97">
        <v>17528908</v>
      </c>
      <c r="J97" t="s">
        <v>32</v>
      </c>
      <c r="K97" t="s">
        <v>33</v>
      </c>
      <c r="L97">
        <v>33.17</v>
      </c>
      <c r="M97">
        <v>33.17</v>
      </c>
      <c r="N97" t="s">
        <v>2723</v>
      </c>
      <c r="O97" t="s">
        <v>2722</v>
      </c>
      <c r="P97" t="s">
        <v>3809</v>
      </c>
    </row>
    <row r="98" spans="1:16" x14ac:dyDescent="0.25">
      <c r="A98" t="s">
        <v>1685</v>
      </c>
      <c r="B98" t="str">
        <f>CONCATENATE(A98,8)</f>
        <v>9X93TJ7VX768</v>
      </c>
      <c r="C98" t="s">
        <v>1687</v>
      </c>
      <c r="D98" t="s">
        <v>27</v>
      </c>
      <c r="E98" t="s">
        <v>28</v>
      </c>
      <c r="F98" t="s">
        <v>29</v>
      </c>
      <c r="G98" s="1">
        <v>45870</v>
      </c>
      <c r="H98" s="1">
        <v>45383</v>
      </c>
      <c r="I98">
        <v>17528908</v>
      </c>
      <c r="J98" t="s">
        <v>32</v>
      </c>
      <c r="K98" t="s">
        <v>33</v>
      </c>
      <c r="L98">
        <v>33.17</v>
      </c>
      <c r="M98">
        <v>33.17</v>
      </c>
      <c r="N98" t="s">
        <v>2723</v>
      </c>
      <c r="O98" t="s">
        <v>2722</v>
      </c>
      <c r="P98" t="s">
        <v>3835</v>
      </c>
    </row>
    <row r="99" spans="1:16" x14ac:dyDescent="0.25">
      <c r="A99" t="s">
        <v>2062</v>
      </c>
      <c r="B99" t="str">
        <f>CONCATENATE(A99,8)</f>
        <v>3T09NM2QX378</v>
      </c>
      <c r="C99" t="s">
        <v>2064</v>
      </c>
      <c r="D99" t="s">
        <v>27</v>
      </c>
      <c r="E99" t="s">
        <v>28</v>
      </c>
      <c r="F99" t="s">
        <v>29</v>
      </c>
      <c r="G99" s="1">
        <v>45870</v>
      </c>
      <c r="H99" s="1">
        <v>45383</v>
      </c>
      <c r="I99">
        <v>17528908</v>
      </c>
      <c r="J99" t="s">
        <v>32</v>
      </c>
      <c r="K99" t="s">
        <v>33</v>
      </c>
      <c r="L99">
        <v>33.17</v>
      </c>
      <c r="M99">
        <v>33.17</v>
      </c>
      <c r="N99" t="s">
        <v>2723</v>
      </c>
      <c r="O99" t="s">
        <v>2722</v>
      </c>
      <c r="P99" t="s">
        <v>3843</v>
      </c>
    </row>
    <row r="100" spans="1:16" x14ac:dyDescent="0.25">
      <c r="A100" t="s">
        <v>2431</v>
      </c>
      <c r="B100" t="str">
        <f>CONCATENATE(A100,8)</f>
        <v>5MX0WA5GU228</v>
      </c>
      <c r="C100" t="s">
        <v>2433</v>
      </c>
      <c r="D100" t="s">
        <v>27</v>
      </c>
      <c r="E100" t="s">
        <v>28</v>
      </c>
      <c r="F100" t="s">
        <v>29</v>
      </c>
      <c r="G100" s="1">
        <v>45870</v>
      </c>
      <c r="H100" s="1">
        <v>45383</v>
      </c>
      <c r="I100">
        <v>17528908</v>
      </c>
      <c r="J100" t="s">
        <v>32</v>
      </c>
      <c r="K100" t="s">
        <v>33</v>
      </c>
      <c r="L100">
        <v>33.17</v>
      </c>
      <c r="M100">
        <v>33.17</v>
      </c>
      <c r="N100" t="s">
        <v>2723</v>
      </c>
      <c r="O100" t="s">
        <v>2722</v>
      </c>
      <c r="P100" t="s">
        <v>3851</v>
      </c>
    </row>
    <row r="101" spans="1:16" x14ac:dyDescent="0.25">
      <c r="A101" t="s">
        <v>2538</v>
      </c>
      <c r="B101" t="str">
        <f>CONCATENATE(A101,8)</f>
        <v>8MH9WR3PF588</v>
      </c>
      <c r="C101" t="s">
        <v>2540</v>
      </c>
      <c r="D101" t="s">
        <v>27</v>
      </c>
      <c r="E101" t="s">
        <v>28</v>
      </c>
      <c r="F101" t="s">
        <v>29</v>
      </c>
      <c r="G101" s="1">
        <v>45870</v>
      </c>
      <c r="H101" s="1">
        <v>45383</v>
      </c>
      <c r="I101">
        <v>17528908</v>
      </c>
      <c r="J101" t="s">
        <v>32</v>
      </c>
      <c r="K101" t="s">
        <v>33</v>
      </c>
      <c r="L101">
        <v>33.17</v>
      </c>
      <c r="M101">
        <v>33.17</v>
      </c>
      <c r="N101" t="s">
        <v>2723</v>
      </c>
      <c r="O101" t="s">
        <v>2722</v>
      </c>
      <c r="P101" t="s">
        <v>3854</v>
      </c>
    </row>
    <row r="102" spans="1:16" x14ac:dyDescent="0.25">
      <c r="A102" t="s">
        <v>531</v>
      </c>
      <c r="B102" t="str">
        <f>CONCATENATE(A102,8)</f>
        <v>9C40HW9QR068</v>
      </c>
      <c r="C102" t="s">
        <v>533</v>
      </c>
      <c r="D102" t="s">
        <v>27</v>
      </c>
      <c r="E102" t="s">
        <v>28</v>
      </c>
      <c r="F102" t="s">
        <v>29</v>
      </c>
      <c r="G102" s="1">
        <v>45870</v>
      </c>
      <c r="H102" s="1">
        <v>45352</v>
      </c>
      <c r="I102">
        <v>17528908</v>
      </c>
      <c r="J102" t="s">
        <v>32</v>
      </c>
      <c r="K102" t="s">
        <v>33</v>
      </c>
      <c r="L102">
        <v>33.17</v>
      </c>
      <c r="M102">
        <v>33.17</v>
      </c>
      <c r="N102" t="s">
        <v>2723</v>
      </c>
      <c r="O102" t="s">
        <v>2722</v>
      </c>
      <c r="P102" t="s">
        <v>3808</v>
      </c>
    </row>
    <row r="103" spans="1:16" x14ac:dyDescent="0.25">
      <c r="A103" t="s">
        <v>912</v>
      </c>
      <c r="B103" t="str">
        <f>CONCATENATE(A103,8)</f>
        <v>4NM7HY3TT528</v>
      </c>
      <c r="C103" t="s">
        <v>914</v>
      </c>
      <c r="D103" t="s">
        <v>27</v>
      </c>
      <c r="E103" t="s">
        <v>28</v>
      </c>
      <c r="F103" t="s">
        <v>29</v>
      </c>
      <c r="G103" s="1">
        <v>45870</v>
      </c>
      <c r="H103" s="1">
        <v>45323</v>
      </c>
      <c r="I103">
        <v>17528908</v>
      </c>
      <c r="J103" t="s">
        <v>32</v>
      </c>
      <c r="K103" t="s">
        <v>33</v>
      </c>
      <c r="L103">
        <v>31.92</v>
      </c>
      <c r="M103">
        <v>31.92</v>
      </c>
      <c r="N103" t="s">
        <v>2723</v>
      </c>
      <c r="O103" t="s">
        <v>2726</v>
      </c>
      <c r="P103" t="s">
        <v>3743</v>
      </c>
    </row>
    <row r="104" spans="1:16" x14ac:dyDescent="0.25">
      <c r="A104" t="s">
        <v>1028</v>
      </c>
      <c r="B104" t="str">
        <f>CONCATENATE(A104,8)</f>
        <v>2M33VC6PH788</v>
      </c>
      <c r="C104" t="s">
        <v>1030</v>
      </c>
      <c r="D104" t="s">
        <v>27</v>
      </c>
      <c r="E104" t="s">
        <v>28</v>
      </c>
      <c r="F104" t="s">
        <v>29</v>
      </c>
      <c r="G104" s="1">
        <v>45870</v>
      </c>
      <c r="H104" s="1">
        <v>45323</v>
      </c>
      <c r="I104">
        <v>17528908</v>
      </c>
      <c r="J104" t="s">
        <v>32</v>
      </c>
      <c r="K104" t="s">
        <v>33</v>
      </c>
      <c r="L104">
        <v>31.92</v>
      </c>
      <c r="M104">
        <v>31.92</v>
      </c>
      <c r="N104" t="s">
        <v>2723</v>
      </c>
      <c r="O104" t="s">
        <v>2726</v>
      </c>
      <c r="P104" t="s">
        <v>3745</v>
      </c>
    </row>
    <row r="105" spans="1:16" x14ac:dyDescent="0.25">
      <c r="A105" t="s">
        <v>1128</v>
      </c>
      <c r="B105" t="str">
        <f>CONCATENATE(A105,8)</f>
        <v>2UT0KD4HV108</v>
      </c>
      <c r="C105" t="s">
        <v>1130</v>
      </c>
      <c r="D105" t="s">
        <v>27</v>
      </c>
      <c r="E105" t="s">
        <v>28</v>
      </c>
      <c r="F105" t="s">
        <v>29</v>
      </c>
      <c r="G105" s="1">
        <v>45870</v>
      </c>
      <c r="H105" s="1">
        <v>45323</v>
      </c>
      <c r="I105">
        <v>17528908</v>
      </c>
      <c r="J105" t="s">
        <v>32</v>
      </c>
      <c r="K105" t="s">
        <v>33</v>
      </c>
      <c r="L105">
        <v>31.92</v>
      </c>
      <c r="M105">
        <v>31.92</v>
      </c>
      <c r="N105" t="s">
        <v>2723</v>
      </c>
      <c r="O105" t="s">
        <v>2726</v>
      </c>
      <c r="P105" t="s">
        <v>3748</v>
      </c>
    </row>
    <row r="106" spans="1:16" x14ac:dyDescent="0.25">
      <c r="A106" t="s">
        <v>2352</v>
      </c>
      <c r="B106" t="str">
        <f>CONCATENATE(A106,8)</f>
        <v>8P03V88JW068</v>
      </c>
      <c r="C106" t="s">
        <v>2354</v>
      </c>
      <c r="D106" t="s">
        <v>27</v>
      </c>
      <c r="E106" t="s">
        <v>28</v>
      </c>
      <c r="F106" t="s">
        <v>29</v>
      </c>
      <c r="G106" s="1">
        <v>45870</v>
      </c>
      <c r="H106" s="1">
        <v>45323</v>
      </c>
      <c r="I106">
        <v>17528908</v>
      </c>
      <c r="J106" t="s">
        <v>32</v>
      </c>
      <c r="K106" t="s">
        <v>33</v>
      </c>
      <c r="L106">
        <v>31.92</v>
      </c>
      <c r="M106">
        <v>31.92</v>
      </c>
      <c r="N106" t="s">
        <v>2723</v>
      </c>
      <c r="O106" t="s">
        <v>2726</v>
      </c>
      <c r="P106" t="s">
        <v>3786</v>
      </c>
    </row>
    <row r="107" spans="1:16" x14ac:dyDescent="0.25">
      <c r="A107" t="s">
        <v>2485</v>
      </c>
      <c r="B107" t="str">
        <f>CONCATENATE(A107,8)</f>
        <v>1HQ1QU4EG968</v>
      </c>
      <c r="C107" t="s">
        <v>2487</v>
      </c>
      <c r="D107" t="s">
        <v>27</v>
      </c>
      <c r="E107" t="s">
        <v>28</v>
      </c>
      <c r="F107" t="s">
        <v>29</v>
      </c>
      <c r="G107" s="1">
        <v>45870</v>
      </c>
      <c r="H107" s="1">
        <v>45323</v>
      </c>
      <c r="I107">
        <v>17528908</v>
      </c>
      <c r="J107" t="s">
        <v>32</v>
      </c>
      <c r="K107" t="s">
        <v>33</v>
      </c>
      <c r="L107">
        <v>31.92</v>
      </c>
      <c r="M107">
        <v>31.92</v>
      </c>
      <c r="N107" t="s">
        <v>2723</v>
      </c>
      <c r="O107" t="s">
        <v>2726</v>
      </c>
      <c r="P107" t="s">
        <v>3797</v>
      </c>
    </row>
    <row r="108" spans="1:16" x14ac:dyDescent="0.25">
      <c r="A108" t="s">
        <v>47</v>
      </c>
      <c r="B108" t="str">
        <f>CONCATENATE(A108,8)</f>
        <v>4GJ2WJ7RX048</v>
      </c>
      <c r="C108" t="s">
        <v>49</v>
      </c>
      <c r="D108" t="s">
        <v>27</v>
      </c>
      <c r="E108" t="s">
        <v>28</v>
      </c>
      <c r="F108" t="s">
        <v>29</v>
      </c>
      <c r="G108" s="1">
        <v>45870</v>
      </c>
      <c r="H108" s="1">
        <v>45292</v>
      </c>
      <c r="I108">
        <v>17528908</v>
      </c>
      <c r="J108" t="s">
        <v>32</v>
      </c>
      <c r="K108" t="s">
        <v>33</v>
      </c>
      <c r="L108">
        <v>31.92</v>
      </c>
      <c r="M108">
        <v>31.92</v>
      </c>
      <c r="N108" t="s">
        <v>2723</v>
      </c>
      <c r="O108" t="s">
        <v>2726</v>
      </c>
      <c r="P108" t="s">
        <v>3718</v>
      </c>
    </row>
    <row r="109" spans="1:16" x14ac:dyDescent="0.25">
      <c r="A109" t="s">
        <v>80</v>
      </c>
      <c r="B109" t="str">
        <f>CONCATENATE(A109,8)</f>
        <v>6C60X81XK138</v>
      </c>
      <c r="C109" t="s">
        <v>82</v>
      </c>
      <c r="D109" t="s">
        <v>27</v>
      </c>
      <c r="E109" t="s">
        <v>28</v>
      </c>
      <c r="F109" t="s">
        <v>29</v>
      </c>
      <c r="G109" s="1">
        <v>45870</v>
      </c>
      <c r="H109" s="1">
        <v>45292</v>
      </c>
      <c r="I109">
        <v>17528908</v>
      </c>
      <c r="J109" t="s">
        <v>32</v>
      </c>
      <c r="K109" t="s">
        <v>33</v>
      </c>
      <c r="L109">
        <v>31.92</v>
      </c>
      <c r="M109">
        <v>31.92</v>
      </c>
      <c r="N109" t="s">
        <v>2723</v>
      </c>
      <c r="O109" t="s">
        <v>2726</v>
      </c>
      <c r="P109" t="s">
        <v>3721</v>
      </c>
    </row>
    <row r="110" spans="1:16" x14ac:dyDescent="0.25">
      <c r="A110" t="s">
        <v>124</v>
      </c>
      <c r="B110" t="str">
        <f>CONCATENATE(A110,8)</f>
        <v>6K34AV0WA728</v>
      </c>
      <c r="C110" t="s">
        <v>126</v>
      </c>
      <c r="D110" t="s">
        <v>27</v>
      </c>
      <c r="E110" t="s">
        <v>28</v>
      </c>
      <c r="F110" t="s">
        <v>127</v>
      </c>
      <c r="G110" s="1">
        <v>45870</v>
      </c>
      <c r="H110" s="1">
        <v>45292</v>
      </c>
      <c r="I110">
        <v>17528908</v>
      </c>
      <c r="J110" t="s">
        <v>32</v>
      </c>
      <c r="K110" t="s">
        <v>33</v>
      </c>
      <c r="L110">
        <v>31.92</v>
      </c>
      <c r="M110">
        <v>31.92</v>
      </c>
      <c r="N110" t="s">
        <v>2723</v>
      </c>
      <c r="O110" t="s">
        <v>2726</v>
      </c>
      <c r="P110" t="s">
        <v>3723</v>
      </c>
    </row>
    <row r="111" spans="1:16" x14ac:dyDescent="0.25">
      <c r="A111" t="s">
        <v>278</v>
      </c>
      <c r="B111" t="str">
        <f>CONCATENATE(A111,8)</f>
        <v>7KU6UG1MN448</v>
      </c>
      <c r="C111" t="s">
        <v>280</v>
      </c>
      <c r="D111" t="s">
        <v>27</v>
      </c>
      <c r="E111" t="s">
        <v>28</v>
      </c>
      <c r="F111" t="s">
        <v>29</v>
      </c>
      <c r="G111" s="1">
        <v>45870</v>
      </c>
      <c r="H111" s="1">
        <v>45292</v>
      </c>
      <c r="I111">
        <v>17528908</v>
      </c>
      <c r="J111" t="s">
        <v>32</v>
      </c>
      <c r="K111" t="s">
        <v>33</v>
      </c>
      <c r="L111">
        <v>31.92</v>
      </c>
      <c r="M111">
        <v>31.92</v>
      </c>
      <c r="N111" t="s">
        <v>2723</v>
      </c>
      <c r="O111" t="s">
        <v>2726</v>
      </c>
      <c r="P111" t="s">
        <v>3727</v>
      </c>
    </row>
    <row r="112" spans="1:16" x14ac:dyDescent="0.25">
      <c r="A112" t="s">
        <v>281</v>
      </c>
      <c r="B112" t="str">
        <f>CONCATENATE(A112,8)</f>
        <v>4WY1QT4JW058</v>
      </c>
      <c r="C112" t="s">
        <v>283</v>
      </c>
      <c r="D112" t="s">
        <v>27</v>
      </c>
      <c r="E112" t="s">
        <v>28</v>
      </c>
      <c r="F112" t="s">
        <v>29</v>
      </c>
      <c r="G112" s="1">
        <v>45870</v>
      </c>
      <c r="H112" s="1">
        <v>45292</v>
      </c>
      <c r="I112">
        <v>17528908</v>
      </c>
      <c r="J112" t="s">
        <v>32</v>
      </c>
      <c r="K112" t="s">
        <v>33</v>
      </c>
      <c r="L112">
        <v>31.92</v>
      </c>
      <c r="M112">
        <v>31.92</v>
      </c>
      <c r="N112" t="s">
        <v>2723</v>
      </c>
      <c r="O112" t="s">
        <v>2726</v>
      </c>
      <c r="P112" t="s">
        <v>3728</v>
      </c>
    </row>
    <row r="113" spans="1:16" x14ac:dyDescent="0.25">
      <c r="A113" t="s">
        <v>432</v>
      </c>
      <c r="B113" t="str">
        <f>CONCATENATE(A113,8)</f>
        <v>9VK9AM1FT418</v>
      </c>
      <c r="C113" t="s">
        <v>434</v>
      </c>
      <c r="D113" t="s">
        <v>27</v>
      </c>
      <c r="E113" t="s">
        <v>28</v>
      </c>
      <c r="F113" t="s">
        <v>29</v>
      </c>
      <c r="G113" s="1">
        <v>45870</v>
      </c>
      <c r="H113" s="1">
        <v>45292</v>
      </c>
      <c r="I113">
        <v>17528908</v>
      </c>
      <c r="J113" t="s">
        <v>32</v>
      </c>
      <c r="K113" t="s">
        <v>33</v>
      </c>
      <c r="L113">
        <v>31.92</v>
      </c>
      <c r="M113">
        <v>31.92</v>
      </c>
      <c r="N113" t="s">
        <v>2723</v>
      </c>
      <c r="O113" t="s">
        <v>2726</v>
      </c>
      <c r="P113" t="s">
        <v>3729</v>
      </c>
    </row>
    <row r="114" spans="1:16" x14ac:dyDescent="0.25">
      <c r="A114" t="s">
        <v>504</v>
      </c>
      <c r="B114" t="str">
        <f>CONCATENATE(A114,8)</f>
        <v>9H67CD6HT398</v>
      </c>
      <c r="C114" t="s">
        <v>506</v>
      </c>
      <c r="D114" t="s">
        <v>27</v>
      </c>
      <c r="E114" t="s">
        <v>28</v>
      </c>
      <c r="F114" t="s">
        <v>29</v>
      </c>
      <c r="G114" s="1">
        <v>45870</v>
      </c>
      <c r="H114" s="1">
        <v>45292</v>
      </c>
      <c r="I114">
        <v>17528908</v>
      </c>
      <c r="J114" t="s">
        <v>32</v>
      </c>
      <c r="K114" t="s">
        <v>33</v>
      </c>
      <c r="L114">
        <v>31.92</v>
      </c>
      <c r="M114">
        <v>31.92</v>
      </c>
      <c r="N114" t="s">
        <v>2723</v>
      </c>
      <c r="O114" t="s">
        <v>2726</v>
      </c>
      <c r="P114" t="s">
        <v>3730</v>
      </c>
    </row>
    <row r="115" spans="1:16" x14ac:dyDescent="0.25">
      <c r="A115" t="s">
        <v>513</v>
      </c>
      <c r="B115" t="str">
        <f>CONCATENATE(A115,8)</f>
        <v>1JR0UX8GW098</v>
      </c>
      <c r="C115" t="s">
        <v>515</v>
      </c>
      <c r="D115" t="s">
        <v>27</v>
      </c>
      <c r="E115" t="s">
        <v>28</v>
      </c>
      <c r="F115" t="s">
        <v>29</v>
      </c>
      <c r="G115" s="1">
        <v>45870</v>
      </c>
      <c r="H115" s="1">
        <v>45292</v>
      </c>
      <c r="I115">
        <v>17528908</v>
      </c>
      <c r="J115" t="s">
        <v>32</v>
      </c>
      <c r="K115" t="s">
        <v>33</v>
      </c>
      <c r="L115">
        <v>31.92</v>
      </c>
      <c r="M115">
        <v>31.92</v>
      </c>
      <c r="N115" t="s">
        <v>2723</v>
      </c>
      <c r="O115" t="s">
        <v>2726</v>
      </c>
      <c r="P115" t="s">
        <v>3732</v>
      </c>
    </row>
    <row r="116" spans="1:16" x14ac:dyDescent="0.25">
      <c r="A116" t="s">
        <v>662</v>
      </c>
      <c r="B116" t="str">
        <f>CONCATENATE(A116,8)</f>
        <v>8RY4GQ3MN808</v>
      </c>
      <c r="C116" t="s">
        <v>664</v>
      </c>
      <c r="D116" t="s">
        <v>27</v>
      </c>
      <c r="E116" t="s">
        <v>28</v>
      </c>
      <c r="F116" t="s">
        <v>29</v>
      </c>
      <c r="G116" s="1">
        <v>45870</v>
      </c>
      <c r="H116" s="1">
        <v>45292</v>
      </c>
      <c r="I116">
        <v>17528908</v>
      </c>
      <c r="J116" t="s">
        <v>32</v>
      </c>
      <c r="K116" t="s">
        <v>33</v>
      </c>
      <c r="L116">
        <v>31.92</v>
      </c>
      <c r="M116">
        <v>31.92</v>
      </c>
      <c r="N116" t="s">
        <v>2723</v>
      </c>
      <c r="O116" t="s">
        <v>2726</v>
      </c>
      <c r="P116" t="s">
        <v>3735</v>
      </c>
    </row>
    <row r="117" spans="1:16" x14ac:dyDescent="0.25">
      <c r="A117" t="s">
        <v>671</v>
      </c>
      <c r="B117" t="str">
        <f>CONCATENATE(A117,8)</f>
        <v>9YN2QG5AD818</v>
      </c>
      <c r="C117" t="s">
        <v>673</v>
      </c>
      <c r="D117" t="s">
        <v>27</v>
      </c>
      <c r="E117" t="s">
        <v>28</v>
      </c>
      <c r="F117" t="s">
        <v>29</v>
      </c>
      <c r="G117" s="1">
        <v>45870</v>
      </c>
      <c r="H117" s="1">
        <v>45292</v>
      </c>
      <c r="I117">
        <v>17528908</v>
      </c>
      <c r="J117" t="s">
        <v>32</v>
      </c>
      <c r="K117" t="s">
        <v>33</v>
      </c>
      <c r="L117">
        <v>31.92</v>
      </c>
      <c r="M117">
        <v>31.92</v>
      </c>
      <c r="N117" t="s">
        <v>2723</v>
      </c>
      <c r="O117" t="s">
        <v>2726</v>
      </c>
      <c r="P117" t="s">
        <v>3736</v>
      </c>
    </row>
    <row r="118" spans="1:16" x14ac:dyDescent="0.25">
      <c r="A118" t="s">
        <v>808</v>
      </c>
      <c r="B118" t="str">
        <f>CONCATENATE(A118,8)</f>
        <v>2JH3P85ED878</v>
      </c>
      <c r="C118" t="s">
        <v>810</v>
      </c>
      <c r="D118" t="s">
        <v>27</v>
      </c>
      <c r="E118" t="s">
        <v>28</v>
      </c>
      <c r="F118" t="s">
        <v>29</v>
      </c>
      <c r="G118" s="1">
        <v>45870</v>
      </c>
      <c r="H118" s="1">
        <v>45292</v>
      </c>
      <c r="I118">
        <v>17528908</v>
      </c>
      <c r="J118" t="s">
        <v>32</v>
      </c>
      <c r="K118" t="s">
        <v>33</v>
      </c>
      <c r="L118">
        <v>31.92</v>
      </c>
      <c r="M118">
        <v>31.92</v>
      </c>
      <c r="N118" t="s">
        <v>2723</v>
      </c>
      <c r="O118" t="s">
        <v>2726</v>
      </c>
      <c r="P118" t="s">
        <v>3740</v>
      </c>
    </row>
    <row r="119" spans="1:16" x14ac:dyDescent="0.25">
      <c r="A119" t="s">
        <v>1199</v>
      </c>
      <c r="B119" t="str">
        <f>CONCATENATE(A119,8)</f>
        <v>2KE3QD1CT768</v>
      </c>
      <c r="C119" t="s">
        <v>1201</v>
      </c>
      <c r="D119" t="s">
        <v>27</v>
      </c>
      <c r="E119" t="s">
        <v>28</v>
      </c>
      <c r="F119" t="s">
        <v>29</v>
      </c>
      <c r="G119" s="1">
        <v>45870</v>
      </c>
      <c r="H119" s="1">
        <v>45292</v>
      </c>
      <c r="I119">
        <v>17528908</v>
      </c>
      <c r="J119" t="s">
        <v>32</v>
      </c>
      <c r="K119" t="s">
        <v>33</v>
      </c>
      <c r="L119">
        <v>31.92</v>
      </c>
      <c r="M119">
        <v>31.92</v>
      </c>
      <c r="N119" t="s">
        <v>2723</v>
      </c>
      <c r="O119" t="s">
        <v>2726</v>
      </c>
      <c r="P119" t="s">
        <v>3754</v>
      </c>
    </row>
    <row r="120" spans="1:16" x14ac:dyDescent="0.25">
      <c r="A120" t="s">
        <v>1202</v>
      </c>
      <c r="B120" t="str">
        <f>CONCATENATE(A120,8)</f>
        <v>5A07JG2CH748</v>
      </c>
      <c r="C120" t="s">
        <v>1204</v>
      </c>
      <c r="D120" t="s">
        <v>27</v>
      </c>
      <c r="E120" t="s">
        <v>28</v>
      </c>
      <c r="F120" t="s">
        <v>29</v>
      </c>
      <c r="G120" s="1">
        <v>45870</v>
      </c>
      <c r="H120" s="1">
        <v>45292</v>
      </c>
      <c r="I120">
        <v>17528908</v>
      </c>
      <c r="J120" t="s">
        <v>32</v>
      </c>
      <c r="K120" t="s">
        <v>33</v>
      </c>
      <c r="L120">
        <v>31.92</v>
      </c>
      <c r="M120">
        <v>31.92</v>
      </c>
      <c r="N120" t="s">
        <v>2723</v>
      </c>
      <c r="O120" t="s">
        <v>2726</v>
      </c>
      <c r="P120" t="s">
        <v>3755</v>
      </c>
    </row>
    <row r="121" spans="1:16" x14ac:dyDescent="0.25">
      <c r="A121" t="s">
        <v>1239</v>
      </c>
      <c r="B121" t="str">
        <f>CONCATENATE(A121,8)</f>
        <v>1C08UJ4HQ218</v>
      </c>
      <c r="C121" t="s">
        <v>1241</v>
      </c>
      <c r="D121" t="s">
        <v>27</v>
      </c>
      <c r="E121" t="s">
        <v>28</v>
      </c>
      <c r="F121" t="s">
        <v>29</v>
      </c>
      <c r="G121" s="1">
        <v>45870</v>
      </c>
      <c r="H121" s="1">
        <v>45292</v>
      </c>
      <c r="I121">
        <v>17528908</v>
      </c>
      <c r="J121" t="s">
        <v>32</v>
      </c>
      <c r="K121" t="s">
        <v>33</v>
      </c>
      <c r="L121">
        <v>31.92</v>
      </c>
      <c r="M121">
        <v>31.92</v>
      </c>
      <c r="N121" t="s">
        <v>2723</v>
      </c>
      <c r="O121" t="s">
        <v>2726</v>
      </c>
      <c r="P121" t="s">
        <v>3758</v>
      </c>
    </row>
    <row r="122" spans="1:16" x14ac:dyDescent="0.25">
      <c r="A122" t="s">
        <v>1299</v>
      </c>
      <c r="B122" t="str">
        <f>CONCATENATE(A122,8)</f>
        <v>1AD1CG4XP128</v>
      </c>
      <c r="C122" t="s">
        <v>1301</v>
      </c>
      <c r="D122" t="s">
        <v>27</v>
      </c>
      <c r="E122" t="s">
        <v>28</v>
      </c>
      <c r="F122" t="s">
        <v>29</v>
      </c>
      <c r="G122" s="1">
        <v>45870</v>
      </c>
      <c r="H122" s="1">
        <v>45292</v>
      </c>
      <c r="I122">
        <v>17528908</v>
      </c>
      <c r="J122" t="s">
        <v>32</v>
      </c>
      <c r="K122" t="s">
        <v>33</v>
      </c>
      <c r="L122">
        <v>31.92</v>
      </c>
      <c r="M122">
        <v>31.92</v>
      </c>
      <c r="N122" t="s">
        <v>2723</v>
      </c>
      <c r="O122" t="s">
        <v>2726</v>
      </c>
      <c r="P122" t="s">
        <v>3760</v>
      </c>
    </row>
    <row r="123" spans="1:16" x14ac:dyDescent="0.25">
      <c r="A123" t="s">
        <v>1353</v>
      </c>
      <c r="B123" t="str">
        <f>CONCATENATE(A123,8)</f>
        <v>9T32D40EG878</v>
      </c>
      <c r="C123" t="s">
        <v>1355</v>
      </c>
      <c r="D123" t="s">
        <v>27</v>
      </c>
      <c r="E123" t="s">
        <v>28</v>
      </c>
      <c r="F123" t="s">
        <v>29</v>
      </c>
      <c r="G123" s="1">
        <v>45870</v>
      </c>
      <c r="H123" s="1">
        <v>45292</v>
      </c>
      <c r="I123">
        <v>17528908</v>
      </c>
      <c r="J123" t="s">
        <v>32</v>
      </c>
      <c r="K123" t="s">
        <v>33</v>
      </c>
      <c r="L123">
        <v>31.92</v>
      </c>
      <c r="M123">
        <v>31.92</v>
      </c>
      <c r="N123" t="s">
        <v>2723</v>
      </c>
      <c r="O123" t="s">
        <v>2726</v>
      </c>
      <c r="P123" t="s">
        <v>3761</v>
      </c>
    </row>
    <row r="124" spans="1:16" x14ac:dyDescent="0.25">
      <c r="A124" t="s">
        <v>1356</v>
      </c>
      <c r="B124" t="str">
        <f>CONCATENATE(A124,8)</f>
        <v>4X99W61WY278</v>
      </c>
      <c r="C124" t="s">
        <v>1358</v>
      </c>
      <c r="D124" t="s">
        <v>27</v>
      </c>
      <c r="E124" t="s">
        <v>28</v>
      </c>
      <c r="F124" t="s">
        <v>29</v>
      </c>
      <c r="G124" s="1">
        <v>45870</v>
      </c>
      <c r="H124" s="1">
        <v>45292</v>
      </c>
      <c r="I124">
        <v>17528908</v>
      </c>
      <c r="J124" t="s">
        <v>32</v>
      </c>
      <c r="K124" t="s">
        <v>33</v>
      </c>
      <c r="L124">
        <v>31.92</v>
      </c>
      <c r="M124">
        <v>31.92</v>
      </c>
      <c r="N124" t="s">
        <v>2723</v>
      </c>
      <c r="O124" t="s">
        <v>2726</v>
      </c>
      <c r="P124" t="s">
        <v>3762</v>
      </c>
    </row>
    <row r="125" spans="1:16" x14ac:dyDescent="0.25">
      <c r="A125" t="s">
        <v>1463</v>
      </c>
      <c r="B125" t="str">
        <f>CONCATENATE(A125,8)</f>
        <v>4M81DK3EQ998</v>
      </c>
      <c r="C125" t="s">
        <v>1465</v>
      </c>
      <c r="D125" t="s">
        <v>27</v>
      </c>
      <c r="E125" t="s">
        <v>28</v>
      </c>
      <c r="F125" t="s">
        <v>29</v>
      </c>
      <c r="G125" s="1">
        <v>45870</v>
      </c>
      <c r="H125" s="1">
        <v>45292</v>
      </c>
      <c r="I125">
        <v>17528908</v>
      </c>
      <c r="J125" t="s">
        <v>32</v>
      </c>
      <c r="K125" t="s">
        <v>33</v>
      </c>
      <c r="L125">
        <v>31.92</v>
      </c>
      <c r="M125">
        <v>31.92</v>
      </c>
      <c r="N125" t="s">
        <v>2723</v>
      </c>
      <c r="O125" t="s">
        <v>2726</v>
      </c>
      <c r="P125" t="s">
        <v>3765</v>
      </c>
    </row>
    <row r="126" spans="1:16" x14ac:dyDescent="0.25">
      <c r="A126" t="s">
        <v>1580</v>
      </c>
      <c r="B126" t="str">
        <f>CONCATENATE(A126,8)</f>
        <v>7UP1UC3DX088</v>
      </c>
      <c r="C126" t="s">
        <v>1582</v>
      </c>
      <c r="D126" t="s">
        <v>27</v>
      </c>
      <c r="E126" t="s">
        <v>28</v>
      </c>
      <c r="F126" t="s">
        <v>29</v>
      </c>
      <c r="G126" s="1">
        <v>45870</v>
      </c>
      <c r="H126" s="1">
        <v>45292</v>
      </c>
      <c r="I126">
        <v>17528908</v>
      </c>
      <c r="J126" t="s">
        <v>32</v>
      </c>
      <c r="K126" t="s">
        <v>33</v>
      </c>
      <c r="L126">
        <v>31.92</v>
      </c>
      <c r="M126">
        <v>31.92</v>
      </c>
      <c r="N126" t="s">
        <v>2723</v>
      </c>
      <c r="O126" t="s">
        <v>2726</v>
      </c>
      <c r="P126" t="s">
        <v>3769</v>
      </c>
    </row>
    <row r="127" spans="1:16" x14ac:dyDescent="0.25">
      <c r="A127" t="s">
        <v>1586</v>
      </c>
      <c r="B127" t="str">
        <f>CONCATENATE(A127,8)</f>
        <v>7KE2Y10RV888</v>
      </c>
      <c r="C127" t="s">
        <v>1588</v>
      </c>
      <c r="D127" t="s">
        <v>27</v>
      </c>
      <c r="E127" t="s">
        <v>28</v>
      </c>
      <c r="F127" t="s">
        <v>29</v>
      </c>
      <c r="G127" s="1">
        <v>45870</v>
      </c>
      <c r="H127" s="1">
        <v>45292</v>
      </c>
      <c r="I127">
        <v>17528908</v>
      </c>
      <c r="J127" t="s">
        <v>32</v>
      </c>
      <c r="K127" t="s">
        <v>33</v>
      </c>
      <c r="L127">
        <v>31.92</v>
      </c>
      <c r="M127">
        <v>31.92</v>
      </c>
      <c r="N127" t="s">
        <v>2723</v>
      </c>
      <c r="O127" t="s">
        <v>2726</v>
      </c>
      <c r="P127" t="s">
        <v>3770</v>
      </c>
    </row>
    <row r="128" spans="1:16" x14ac:dyDescent="0.25">
      <c r="A128" t="s">
        <v>1657</v>
      </c>
      <c r="B128" t="str">
        <f>CONCATENATE(A128,8)</f>
        <v>1CX9NW5JU228</v>
      </c>
      <c r="C128" t="s">
        <v>1659</v>
      </c>
      <c r="D128" t="s">
        <v>27</v>
      </c>
      <c r="E128" t="s">
        <v>28</v>
      </c>
      <c r="F128" t="s">
        <v>29</v>
      </c>
      <c r="G128" s="1">
        <v>45870</v>
      </c>
      <c r="H128" s="1">
        <v>45292</v>
      </c>
      <c r="I128">
        <v>17528908</v>
      </c>
      <c r="J128" t="s">
        <v>32</v>
      </c>
      <c r="K128" t="s">
        <v>33</v>
      </c>
      <c r="L128">
        <v>31.92</v>
      </c>
      <c r="M128">
        <v>31.92</v>
      </c>
      <c r="N128" t="s">
        <v>2723</v>
      </c>
      <c r="O128" t="s">
        <v>2726</v>
      </c>
      <c r="P128" t="s">
        <v>3771</v>
      </c>
    </row>
    <row r="129" spans="1:16" x14ac:dyDescent="0.25">
      <c r="A129" t="s">
        <v>1794</v>
      </c>
      <c r="B129" t="str">
        <f>CONCATENATE(A129,8)</f>
        <v>1VT3F20JP848</v>
      </c>
      <c r="C129" t="s">
        <v>1796</v>
      </c>
      <c r="D129" t="s">
        <v>27</v>
      </c>
      <c r="E129" t="s">
        <v>28</v>
      </c>
      <c r="F129" t="s">
        <v>29</v>
      </c>
      <c r="G129" s="1">
        <v>45870</v>
      </c>
      <c r="H129" s="1">
        <v>45292</v>
      </c>
      <c r="I129">
        <v>17528908</v>
      </c>
      <c r="J129" t="s">
        <v>32</v>
      </c>
      <c r="K129" t="s">
        <v>33</v>
      </c>
      <c r="L129">
        <v>31.92</v>
      </c>
      <c r="M129">
        <v>31.92</v>
      </c>
      <c r="N129" t="s">
        <v>2723</v>
      </c>
      <c r="O129" t="s">
        <v>2726</v>
      </c>
      <c r="P129" t="s">
        <v>3773</v>
      </c>
    </row>
    <row r="130" spans="1:16" x14ac:dyDescent="0.25">
      <c r="A130" t="s">
        <v>1883</v>
      </c>
      <c r="B130" t="str">
        <f>CONCATENATE(A130,8)</f>
        <v>8VD0TK2HR148</v>
      </c>
      <c r="C130" t="s">
        <v>1885</v>
      </c>
      <c r="D130" t="s">
        <v>27</v>
      </c>
      <c r="E130" t="s">
        <v>28</v>
      </c>
      <c r="F130" t="s">
        <v>29</v>
      </c>
      <c r="G130" s="1">
        <v>45870</v>
      </c>
      <c r="H130" s="1">
        <v>45292</v>
      </c>
      <c r="I130">
        <v>17528908</v>
      </c>
      <c r="J130" t="s">
        <v>32</v>
      </c>
      <c r="K130" t="s">
        <v>33</v>
      </c>
      <c r="L130">
        <v>31.92</v>
      </c>
      <c r="M130">
        <v>31.92</v>
      </c>
      <c r="N130" t="s">
        <v>2723</v>
      </c>
      <c r="O130" t="s">
        <v>2726</v>
      </c>
      <c r="P130" t="s">
        <v>3775</v>
      </c>
    </row>
    <row r="131" spans="1:16" x14ac:dyDescent="0.25">
      <c r="A131" t="s">
        <v>2243</v>
      </c>
      <c r="B131" t="str">
        <f>CONCATENATE(A131,8)</f>
        <v>8R60Y41KH018</v>
      </c>
      <c r="C131" t="s">
        <v>2245</v>
      </c>
      <c r="D131" t="s">
        <v>27</v>
      </c>
      <c r="E131" t="s">
        <v>28</v>
      </c>
      <c r="F131" t="s">
        <v>127</v>
      </c>
      <c r="G131" s="1">
        <v>45870</v>
      </c>
      <c r="H131" s="1">
        <v>45292</v>
      </c>
      <c r="I131">
        <v>17528908</v>
      </c>
      <c r="J131" t="s">
        <v>32</v>
      </c>
      <c r="K131" t="s">
        <v>33</v>
      </c>
      <c r="L131">
        <v>31.92</v>
      </c>
      <c r="M131">
        <v>31.92</v>
      </c>
      <c r="N131" t="s">
        <v>2723</v>
      </c>
      <c r="O131" t="s">
        <v>2726</v>
      </c>
      <c r="P131" t="s">
        <v>3783</v>
      </c>
    </row>
    <row r="132" spans="1:16" x14ac:dyDescent="0.25">
      <c r="A132" t="s">
        <v>2355</v>
      </c>
      <c r="B132" t="str">
        <f>CONCATENATE(A132,8)</f>
        <v>2PC7TG7TF548</v>
      </c>
      <c r="C132" t="s">
        <v>2357</v>
      </c>
      <c r="D132" t="s">
        <v>27</v>
      </c>
      <c r="E132" t="s">
        <v>28</v>
      </c>
      <c r="F132" t="s">
        <v>29</v>
      </c>
      <c r="G132" s="1">
        <v>45870</v>
      </c>
      <c r="H132" s="1">
        <v>45292</v>
      </c>
      <c r="I132">
        <v>17528908</v>
      </c>
      <c r="J132" t="s">
        <v>32</v>
      </c>
      <c r="K132" t="s">
        <v>33</v>
      </c>
      <c r="L132">
        <v>31.92</v>
      </c>
      <c r="M132">
        <v>31.92</v>
      </c>
      <c r="N132" t="s">
        <v>2723</v>
      </c>
      <c r="O132" t="s">
        <v>2726</v>
      </c>
      <c r="P132" t="s">
        <v>3787</v>
      </c>
    </row>
    <row r="133" spans="1:16" x14ac:dyDescent="0.25">
      <c r="A133" t="s">
        <v>2422</v>
      </c>
      <c r="B133" t="str">
        <f>CONCATENATE(A133,8)</f>
        <v>2EE5K73PH988</v>
      </c>
      <c r="C133" t="s">
        <v>2424</v>
      </c>
      <c r="D133" t="s">
        <v>27</v>
      </c>
      <c r="E133" t="s">
        <v>28</v>
      </c>
      <c r="F133" t="s">
        <v>29</v>
      </c>
      <c r="G133" s="1">
        <v>45870</v>
      </c>
      <c r="H133" s="1">
        <v>45292</v>
      </c>
      <c r="I133">
        <v>17528908</v>
      </c>
      <c r="J133" t="s">
        <v>32</v>
      </c>
      <c r="K133" t="s">
        <v>33</v>
      </c>
      <c r="L133">
        <v>31.92</v>
      </c>
      <c r="M133">
        <v>31.92</v>
      </c>
      <c r="N133" t="s">
        <v>2723</v>
      </c>
      <c r="O133" t="s">
        <v>2726</v>
      </c>
      <c r="P133" t="s">
        <v>3792</v>
      </c>
    </row>
    <row r="134" spans="1:16" x14ac:dyDescent="0.25">
      <c r="A134" t="s">
        <v>2473</v>
      </c>
      <c r="B134" t="str">
        <f>CONCATENATE(A134,8)</f>
        <v>6WA3V32PN198</v>
      </c>
      <c r="C134" t="s">
        <v>2475</v>
      </c>
      <c r="D134" t="s">
        <v>27</v>
      </c>
      <c r="E134" t="s">
        <v>28</v>
      </c>
      <c r="F134" t="s">
        <v>29</v>
      </c>
      <c r="G134" s="1">
        <v>45870</v>
      </c>
      <c r="H134" s="1">
        <v>45292</v>
      </c>
      <c r="I134">
        <v>17528908</v>
      </c>
      <c r="J134" t="s">
        <v>32</v>
      </c>
      <c r="K134" t="s">
        <v>33</v>
      </c>
      <c r="L134">
        <v>31.92</v>
      </c>
      <c r="M134">
        <v>31.92</v>
      </c>
      <c r="N134" t="s">
        <v>2723</v>
      </c>
      <c r="O134" t="s">
        <v>2726</v>
      </c>
      <c r="P134" t="s">
        <v>3795</v>
      </c>
    </row>
    <row r="135" spans="1:16" x14ac:dyDescent="0.25">
      <c r="A135" t="s">
        <v>1031</v>
      </c>
      <c r="B135" t="str">
        <f>CONCATENATE(A135,8)</f>
        <v>4PN2PX0RA008</v>
      </c>
      <c r="C135" t="s">
        <v>1033</v>
      </c>
      <c r="D135" t="s">
        <v>27</v>
      </c>
      <c r="E135" t="s">
        <v>28</v>
      </c>
      <c r="F135" t="s">
        <v>29</v>
      </c>
      <c r="G135" s="1">
        <v>45870</v>
      </c>
      <c r="H135" s="1">
        <v>45292</v>
      </c>
      <c r="I135">
        <v>17528908</v>
      </c>
      <c r="J135" t="s">
        <v>32</v>
      </c>
      <c r="K135" t="s">
        <v>33</v>
      </c>
      <c r="L135">
        <v>33.17</v>
      </c>
      <c r="M135">
        <v>33.17</v>
      </c>
      <c r="N135" t="s">
        <v>2723</v>
      </c>
      <c r="O135" t="s">
        <v>2722</v>
      </c>
      <c r="P135" t="s">
        <v>3813</v>
      </c>
    </row>
    <row r="136" spans="1:16" x14ac:dyDescent="0.25">
      <c r="A136" t="s">
        <v>67</v>
      </c>
      <c r="B136" t="str">
        <f>CONCATENATE(A136,8)</f>
        <v>7QD5N91JW788</v>
      </c>
      <c r="C136" t="s">
        <v>69</v>
      </c>
      <c r="D136" t="s">
        <v>27</v>
      </c>
      <c r="E136" t="s">
        <v>28</v>
      </c>
      <c r="F136" t="s">
        <v>29</v>
      </c>
      <c r="G136" s="1">
        <v>45870</v>
      </c>
      <c r="H136" s="1">
        <v>45261</v>
      </c>
      <c r="I136">
        <v>17528908</v>
      </c>
      <c r="J136" t="s">
        <v>32</v>
      </c>
      <c r="K136" t="s">
        <v>33</v>
      </c>
      <c r="L136">
        <v>31.92</v>
      </c>
      <c r="M136">
        <v>31.92</v>
      </c>
      <c r="N136" t="s">
        <v>2723</v>
      </c>
      <c r="O136" t="s">
        <v>2726</v>
      </c>
      <c r="P136" t="s">
        <v>3720</v>
      </c>
    </row>
    <row r="137" spans="1:16" x14ac:dyDescent="0.25">
      <c r="A137" t="s">
        <v>659</v>
      </c>
      <c r="B137" t="str">
        <f>CONCATENATE(A137,8)</f>
        <v>4VN7J87UR528</v>
      </c>
      <c r="C137" t="s">
        <v>661</v>
      </c>
      <c r="D137" t="s">
        <v>27</v>
      </c>
      <c r="E137" t="s">
        <v>28</v>
      </c>
      <c r="F137" t="s">
        <v>29</v>
      </c>
      <c r="G137" s="1">
        <v>45870</v>
      </c>
      <c r="H137" s="1">
        <v>45261</v>
      </c>
      <c r="I137">
        <v>17528908</v>
      </c>
      <c r="J137" t="s">
        <v>32</v>
      </c>
      <c r="K137" t="s">
        <v>33</v>
      </c>
      <c r="L137">
        <v>31.92</v>
      </c>
      <c r="M137">
        <v>31.92</v>
      </c>
      <c r="N137" t="s">
        <v>2723</v>
      </c>
      <c r="O137" t="s">
        <v>2726</v>
      </c>
      <c r="P137" t="s">
        <v>3734</v>
      </c>
    </row>
    <row r="138" spans="1:16" x14ac:dyDescent="0.25">
      <c r="A138" t="s">
        <v>1139</v>
      </c>
      <c r="B138" t="str">
        <f>CONCATENATE(A138,8)</f>
        <v>7Q20QV5JY398</v>
      </c>
      <c r="C138" t="s">
        <v>1141</v>
      </c>
      <c r="D138" t="s">
        <v>27</v>
      </c>
      <c r="E138" t="s">
        <v>28</v>
      </c>
      <c r="F138" t="s">
        <v>29</v>
      </c>
      <c r="G138" s="1">
        <v>45870</v>
      </c>
      <c r="H138" s="1">
        <v>45261</v>
      </c>
      <c r="I138">
        <v>17528908</v>
      </c>
      <c r="J138" t="s">
        <v>32</v>
      </c>
      <c r="K138" t="s">
        <v>33</v>
      </c>
      <c r="L138">
        <v>31.92</v>
      </c>
      <c r="M138">
        <v>31.92</v>
      </c>
      <c r="N138" t="s">
        <v>2723</v>
      </c>
      <c r="O138" t="s">
        <v>2726</v>
      </c>
      <c r="P138" t="s">
        <v>3751</v>
      </c>
    </row>
    <row r="139" spans="1:16" x14ac:dyDescent="0.25">
      <c r="A139" t="s">
        <v>1359</v>
      </c>
      <c r="B139" t="str">
        <f>CONCATENATE(A139,8)</f>
        <v>5FH3Y34WP868</v>
      </c>
      <c r="C139" t="s">
        <v>1361</v>
      </c>
      <c r="D139" t="s">
        <v>27</v>
      </c>
      <c r="E139" t="s">
        <v>28</v>
      </c>
      <c r="F139" t="s">
        <v>29</v>
      </c>
      <c r="G139" s="1">
        <v>45870</v>
      </c>
      <c r="H139" s="1">
        <v>45261</v>
      </c>
      <c r="I139">
        <v>17528908</v>
      </c>
      <c r="J139" t="s">
        <v>32</v>
      </c>
      <c r="K139" t="s">
        <v>33</v>
      </c>
      <c r="L139">
        <v>31.92</v>
      </c>
      <c r="M139">
        <v>31.92</v>
      </c>
      <c r="N139" t="s">
        <v>2723</v>
      </c>
      <c r="O139" t="s">
        <v>2726</v>
      </c>
      <c r="P139" t="s">
        <v>3763</v>
      </c>
    </row>
    <row r="140" spans="1:16" x14ac:dyDescent="0.25">
      <c r="A140" t="s">
        <v>1491</v>
      </c>
      <c r="B140" t="str">
        <f>CONCATENATE(A140,8)</f>
        <v>6NQ1F42XH978</v>
      </c>
      <c r="C140" t="s">
        <v>1493</v>
      </c>
      <c r="D140" t="s">
        <v>27</v>
      </c>
      <c r="E140" t="s">
        <v>28</v>
      </c>
      <c r="F140" t="s">
        <v>29</v>
      </c>
      <c r="G140" s="1">
        <v>45870</v>
      </c>
      <c r="H140" s="1">
        <v>45261</v>
      </c>
      <c r="I140">
        <v>17528908</v>
      </c>
      <c r="J140" t="s">
        <v>32</v>
      </c>
      <c r="K140" t="s">
        <v>33</v>
      </c>
      <c r="L140">
        <v>31.92</v>
      </c>
      <c r="M140">
        <v>31.92</v>
      </c>
      <c r="N140" t="s">
        <v>2723</v>
      </c>
      <c r="O140" t="s">
        <v>2726</v>
      </c>
      <c r="P140" t="s">
        <v>3766</v>
      </c>
    </row>
    <row r="141" spans="1:16" x14ac:dyDescent="0.25">
      <c r="A141" t="s">
        <v>2296</v>
      </c>
      <c r="B141" t="str">
        <f>CONCATENATE(A141,8)</f>
        <v>6JA6GP5PJ758</v>
      </c>
      <c r="C141" t="s">
        <v>2298</v>
      </c>
      <c r="D141" t="s">
        <v>27</v>
      </c>
      <c r="E141" t="s">
        <v>28</v>
      </c>
      <c r="F141" t="s">
        <v>29</v>
      </c>
      <c r="G141" s="1">
        <v>45870</v>
      </c>
      <c r="H141" s="1">
        <v>45261</v>
      </c>
      <c r="I141">
        <v>17528908</v>
      </c>
      <c r="J141" t="s">
        <v>32</v>
      </c>
      <c r="K141" t="s">
        <v>33</v>
      </c>
      <c r="L141">
        <v>31.92</v>
      </c>
      <c r="M141">
        <v>31.92</v>
      </c>
      <c r="N141" t="s">
        <v>2723</v>
      </c>
      <c r="O141" t="s">
        <v>2726</v>
      </c>
      <c r="P141" t="s">
        <v>3785</v>
      </c>
    </row>
    <row r="142" spans="1:16" x14ac:dyDescent="0.25">
      <c r="A142" t="s">
        <v>2705</v>
      </c>
      <c r="B142" t="str">
        <f>CONCATENATE(A142,8)</f>
        <v>3K19KA7NG558</v>
      </c>
      <c r="C142" t="s">
        <v>2707</v>
      </c>
      <c r="D142" t="s">
        <v>27</v>
      </c>
      <c r="E142" t="s">
        <v>28</v>
      </c>
      <c r="F142" t="s">
        <v>29</v>
      </c>
      <c r="G142" s="1">
        <v>45870</v>
      </c>
      <c r="H142" s="1">
        <v>45261</v>
      </c>
      <c r="I142">
        <v>17528908</v>
      </c>
      <c r="J142" t="s">
        <v>32</v>
      </c>
      <c r="K142" t="s">
        <v>33</v>
      </c>
      <c r="L142">
        <v>31.92</v>
      </c>
      <c r="M142">
        <v>31.92</v>
      </c>
      <c r="N142" t="s">
        <v>2723</v>
      </c>
      <c r="O142" t="s">
        <v>2726</v>
      </c>
      <c r="P142" t="s">
        <v>3798</v>
      </c>
    </row>
    <row r="143" spans="1:16" x14ac:dyDescent="0.25">
      <c r="A143" t="s">
        <v>598</v>
      </c>
      <c r="B143" t="str">
        <f>CONCATENATE(A143,8)</f>
        <v>2KJ6TA4WV628</v>
      </c>
      <c r="C143" t="s">
        <v>600</v>
      </c>
      <c r="D143" t="s">
        <v>27</v>
      </c>
      <c r="E143" t="s">
        <v>28</v>
      </c>
      <c r="F143" t="s">
        <v>29</v>
      </c>
      <c r="G143" s="1">
        <v>45870</v>
      </c>
      <c r="H143" s="1">
        <v>45231</v>
      </c>
      <c r="I143">
        <v>17528908</v>
      </c>
      <c r="J143" t="s">
        <v>32</v>
      </c>
      <c r="K143" t="s">
        <v>33</v>
      </c>
      <c r="L143">
        <v>31.92</v>
      </c>
      <c r="M143">
        <v>31.92</v>
      </c>
      <c r="N143" t="s">
        <v>2723</v>
      </c>
      <c r="O143" t="s">
        <v>2726</v>
      </c>
      <c r="P143" t="s">
        <v>3733</v>
      </c>
    </row>
    <row r="144" spans="1:16" x14ac:dyDescent="0.25">
      <c r="A144" t="s">
        <v>1257</v>
      </c>
      <c r="B144" t="str">
        <f>CONCATENATE(A144,8)</f>
        <v>8R67GE8QN458</v>
      </c>
      <c r="C144" t="s">
        <v>1259</v>
      </c>
      <c r="D144" t="s">
        <v>27</v>
      </c>
      <c r="E144" t="s">
        <v>28</v>
      </c>
      <c r="F144" t="s">
        <v>29</v>
      </c>
      <c r="G144" s="1">
        <v>45870</v>
      </c>
      <c r="H144" s="1">
        <v>45231</v>
      </c>
      <c r="I144">
        <v>17528908</v>
      </c>
      <c r="J144" t="s">
        <v>32</v>
      </c>
      <c r="K144" t="s">
        <v>33</v>
      </c>
      <c r="L144">
        <v>31.92</v>
      </c>
      <c r="M144">
        <v>31.92</v>
      </c>
      <c r="N144" t="s">
        <v>2723</v>
      </c>
      <c r="O144" t="s">
        <v>2726</v>
      </c>
      <c r="P144" t="s">
        <v>3759</v>
      </c>
    </row>
    <row r="145" spans="1:17" x14ac:dyDescent="0.25">
      <c r="A145" t="s">
        <v>1891</v>
      </c>
      <c r="B145" t="str">
        <f>CONCATENATE(A145,8)</f>
        <v>4CF3EH2EG088</v>
      </c>
      <c r="C145" t="s">
        <v>1893</v>
      </c>
      <c r="D145" t="s">
        <v>27</v>
      </c>
      <c r="E145" t="s">
        <v>28</v>
      </c>
      <c r="F145" t="s">
        <v>29</v>
      </c>
      <c r="G145" s="1">
        <v>45870</v>
      </c>
      <c r="H145" s="1">
        <v>45231</v>
      </c>
      <c r="I145">
        <v>17528908</v>
      </c>
      <c r="J145" t="s">
        <v>32</v>
      </c>
      <c r="K145" t="s">
        <v>33</v>
      </c>
      <c r="L145">
        <v>31.92</v>
      </c>
      <c r="M145">
        <v>31.92</v>
      </c>
      <c r="N145" t="s">
        <v>2723</v>
      </c>
      <c r="O145" t="s">
        <v>2726</v>
      </c>
      <c r="P145" t="s">
        <v>3776</v>
      </c>
    </row>
    <row r="146" spans="1:17" s="4" customFormat="1" x14ac:dyDescent="0.25">
      <c r="A146" t="s">
        <v>2017</v>
      </c>
      <c r="B146" t="str">
        <f>CONCATENATE(A146,8)</f>
        <v>8GA1VG1JK178</v>
      </c>
      <c r="C146" t="s">
        <v>2019</v>
      </c>
      <c r="D146" t="s">
        <v>27</v>
      </c>
      <c r="E146" t="s">
        <v>28</v>
      </c>
      <c r="F146" t="s">
        <v>29</v>
      </c>
      <c r="G146" s="1">
        <v>45870</v>
      </c>
      <c r="H146" s="1">
        <v>45231</v>
      </c>
      <c r="I146">
        <v>17528908</v>
      </c>
      <c r="J146" t="s">
        <v>32</v>
      </c>
      <c r="K146" t="s">
        <v>33</v>
      </c>
      <c r="L146">
        <v>31.92</v>
      </c>
      <c r="M146">
        <v>31.92</v>
      </c>
      <c r="N146" t="s">
        <v>2723</v>
      </c>
      <c r="O146" t="s">
        <v>2726</v>
      </c>
      <c r="P146" t="s">
        <v>3779</v>
      </c>
      <c r="Q146"/>
    </row>
    <row r="147" spans="1:17" s="4" customFormat="1" x14ac:dyDescent="0.25">
      <c r="A147" t="s">
        <v>826</v>
      </c>
      <c r="B147" t="str">
        <f>CONCATENATE(A147,8)</f>
        <v>8N53D79JC058</v>
      </c>
      <c r="C147" t="s">
        <v>828</v>
      </c>
      <c r="D147" t="s">
        <v>27</v>
      </c>
      <c r="E147" t="s">
        <v>28</v>
      </c>
      <c r="F147" t="s">
        <v>29</v>
      </c>
      <c r="G147" s="1">
        <v>45870</v>
      </c>
      <c r="H147" s="1">
        <v>45200</v>
      </c>
      <c r="I147">
        <v>17528908</v>
      </c>
      <c r="J147" t="s">
        <v>32</v>
      </c>
      <c r="K147" t="s">
        <v>33</v>
      </c>
      <c r="L147">
        <v>31.92</v>
      </c>
      <c r="M147">
        <v>31.92</v>
      </c>
      <c r="N147" t="s">
        <v>2723</v>
      </c>
      <c r="O147" t="s">
        <v>2726</v>
      </c>
      <c r="P147" t="s">
        <v>3741</v>
      </c>
      <c r="Q147"/>
    </row>
    <row r="148" spans="1:17" x14ac:dyDescent="0.25">
      <c r="A148" t="s">
        <v>874</v>
      </c>
      <c r="B148" t="str">
        <f>CONCATENATE(A148,8)</f>
        <v>7T38FJ8XA628</v>
      </c>
      <c r="C148" t="s">
        <v>876</v>
      </c>
      <c r="D148" t="s">
        <v>27</v>
      </c>
      <c r="E148" t="s">
        <v>28</v>
      </c>
      <c r="F148" t="s">
        <v>29</v>
      </c>
      <c r="G148" s="1">
        <v>45870</v>
      </c>
      <c r="H148" s="1">
        <v>45200</v>
      </c>
      <c r="I148">
        <v>17528908</v>
      </c>
      <c r="J148" t="s">
        <v>32</v>
      </c>
      <c r="K148" t="s">
        <v>33</v>
      </c>
      <c r="L148">
        <v>31.92</v>
      </c>
      <c r="M148">
        <v>31.92</v>
      </c>
      <c r="N148" t="s">
        <v>2723</v>
      </c>
      <c r="O148" t="s">
        <v>2726</v>
      </c>
      <c r="P148" t="s">
        <v>3742</v>
      </c>
    </row>
    <row r="149" spans="1:17" x14ac:dyDescent="0.25">
      <c r="A149" t="s">
        <v>1104</v>
      </c>
      <c r="B149" t="str">
        <f>CONCATENATE(A149,8)</f>
        <v>4VH4Q19GK638</v>
      </c>
      <c r="C149" t="s">
        <v>1106</v>
      </c>
      <c r="D149" t="s">
        <v>27</v>
      </c>
      <c r="E149" t="s">
        <v>28</v>
      </c>
      <c r="F149" t="s">
        <v>127</v>
      </c>
      <c r="G149" s="1">
        <v>45870</v>
      </c>
      <c r="H149" s="1">
        <v>45200</v>
      </c>
      <c r="I149">
        <v>17528908</v>
      </c>
      <c r="J149" t="s">
        <v>32</v>
      </c>
      <c r="K149" t="s">
        <v>33</v>
      </c>
      <c r="L149">
        <v>31.92</v>
      </c>
      <c r="M149">
        <v>31.92</v>
      </c>
      <c r="N149" t="s">
        <v>2723</v>
      </c>
      <c r="O149" t="s">
        <v>2726</v>
      </c>
      <c r="P149" t="s">
        <v>3747</v>
      </c>
    </row>
    <row r="150" spans="1:17" x14ac:dyDescent="0.25">
      <c r="A150" t="s">
        <v>1951</v>
      </c>
      <c r="B150" t="str">
        <f>CONCATENATE(A150,8)</f>
        <v>3CQ6CV6AU858</v>
      </c>
      <c r="C150" t="s">
        <v>1953</v>
      </c>
      <c r="D150" t="s">
        <v>27</v>
      </c>
      <c r="E150" t="s">
        <v>28</v>
      </c>
      <c r="F150" t="s">
        <v>29</v>
      </c>
      <c r="G150" s="1">
        <v>45870</v>
      </c>
      <c r="H150" s="1">
        <v>45200</v>
      </c>
      <c r="I150">
        <v>17528908</v>
      </c>
      <c r="J150" t="s">
        <v>32</v>
      </c>
      <c r="K150" t="s">
        <v>33</v>
      </c>
      <c r="L150">
        <v>31.92</v>
      </c>
      <c r="M150">
        <v>31.92</v>
      </c>
      <c r="N150" t="s">
        <v>2723</v>
      </c>
      <c r="O150" t="s">
        <v>2726</v>
      </c>
      <c r="P150" t="s">
        <v>3777</v>
      </c>
    </row>
    <row r="151" spans="1:17" x14ac:dyDescent="0.25">
      <c r="A151" t="s">
        <v>2368</v>
      </c>
      <c r="B151" t="str">
        <f>CONCATENATE(A151,8)</f>
        <v>8DW4FA5VD708</v>
      </c>
      <c r="C151" t="s">
        <v>2370</v>
      </c>
      <c r="D151" t="s">
        <v>27</v>
      </c>
      <c r="E151" t="s">
        <v>28</v>
      </c>
      <c r="F151" t="s">
        <v>29</v>
      </c>
      <c r="G151" s="1">
        <v>45870</v>
      </c>
      <c r="H151" s="1">
        <v>45200</v>
      </c>
      <c r="I151">
        <v>17528908</v>
      </c>
      <c r="J151" t="s">
        <v>32</v>
      </c>
      <c r="K151" t="s">
        <v>33</v>
      </c>
      <c r="L151">
        <v>31.92</v>
      </c>
      <c r="M151">
        <v>31.92</v>
      </c>
      <c r="N151" t="s">
        <v>2723</v>
      </c>
      <c r="O151" t="s">
        <v>2726</v>
      </c>
      <c r="P151" t="s">
        <v>3788</v>
      </c>
    </row>
    <row r="152" spans="1:17" x14ac:dyDescent="0.25">
      <c r="A152" t="s">
        <v>2371</v>
      </c>
      <c r="B152" t="str">
        <f>CONCATENATE(A152,8)</f>
        <v>4N12RU3ED018</v>
      </c>
      <c r="C152" t="s">
        <v>2373</v>
      </c>
      <c r="D152" t="s">
        <v>27</v>
      </c>
      <c r="E152" t="s">
        <v>28</v>
      </c>
      <c r="F152" t="s">
        <v>29</v>
      </c>
      <c r="G152" s="1">
        <v>45870</v>
      </c>
      <c r="H152" s="1">
        <v>45200</v>
      </c>
      <c r="I152">
        <v>17528908</v>
      </c>
      <c r="J152" t="s">
        <v>32</v>
      </c>
      <c r="K152" t="s">
        <v>33</v>
      </c>
      <c r="L152">
        <v>31.92</v>
      </c>
      <c r="M152">
        <v>31.92</v>
      </c>
      <c r="N152" t="s">
        <v>2723</v>
      </c>
      <c r="O152" t="s">
        <v>2726</v>
      </c>
      <c r="P152" t="s">
        <v>3789</v>
      </c>
    </row>
    <row r="153" spans="1:17" x14ac:dyDescent="0.25">
      <c r="A153" t="s">
        <v>2410</v>
      </c>
      <c r="B153" t="str">
        <f>CONCATENATE(A153,8)</f>
        <v>4KM3QM7MJ758</v>
      </c>
      <c r="C153" t="s">
        <v>2412</v>
      </c>
      <c r="D153" t="s">
        <v>27</v>
      </c>
      <c r="E153" t="s">
        <v>28</v>
      </c>
      <c r="F153" t="s">
        <v>29</v>
      </c>
      <c r="G153" s="1">
        <v>45870</v>
      </c>
      <c r="H153" s="1">
        <v>45200</v>
      </c>
      <c r="I153">
        <v>17528908</v>
      </c>
      <c r="J153" t="s">
        <v>32</v>
      </c>
      <c r="K153" t="s">
        <v>33</v>
      </c>
      <c r="L153">
        <v>31.92</v>
      </c>
      <c r="M153">
        <v>31.92</v>
      </c>
      <c r="N153" t="s">
        <v>2723</v>
      </c>
      <c r="O153" t="s">
        <v>2726</v>
      </c>
      <c r="P153" t="s">
        <v>3791</v>
      </c>
    </row>
    <row r="154" spans="1:17" x14ac:dyDescent="0.25">
      <c r="A154" t="s">
        <v>1025</v>
      </c>
      <c r="B154" t="str">
        <f>CONCATENATE(A154,8)</f>
        <v>9E37R36TH608</v>
      </c>
      <c r="C154" t="s">
        <v>1027</v>
      </c>
      <c r="D154" t="s">
        <v>27</v>
      </c>
      <c r="E154" t="s">
        <v>28</v>
      </c>
      <c r="F154" t="s">
        <v>29</v>
      </c>
      <c r="G154" s="1">
        <v>45870</v>
      </c>
      <c r="H154" s="1">
        <v>45170</v>
      </c>
      <c r="I154">
        <v>17528908</v>
      </c>
      <c r="J154" t="s">
        <v>32</v>
      </c>
      <c r="K154" t="s">
        <v>33</v>
      </c>
      <c r="L154">
        <v>31.92</v>
      </c>
      <c r="M154">
        <v>31.92</v>
      </c>
      <c r="N154" t="s">
        <v>2723</v>
      </c>
      <c r="O154" t="s">
        <v>2726</v>
      </c>
      <c r="P154" t="s">
        <v>3744</v>
      </c>
    </row>
    <row r="155" spans="1:17" x14ac:dyDescent="0.25">
      <c r="A155" t="s">
        <v>1494</v>
      </c>
      <c r="B155" t="str">
        <f>CONCATENATE(A155,8)</f>
        <v>5M81GP9GD108</v>
      </c>
      <c r="C155" t="s">
        <v>1496</v>
      </c>
      <c r="D155" t="s">
        <v>27</v>
      </c>
      <c r="E155" t="s">
        <v>28</v>
      </c>
      <c r="F155" t="s">
        <v>29</v>
      </c>
      <c r="G155" s="1">
        <v>45870</v>
      </c>
      <c r="H155" s="1">
        <v>45170</v>
      </c>
      <c r="I155">
        <v>17528908</v>
      </c>
      <c r="J155" t="s">
        <v>32</v>
      </c>
      <c r="K155" t="s">
        <v>33</v>
      </c>
      <c r="L155">
        <v>31.92</v>
      </c>
      <c r="M155">
        <v>31.92</v>
      </c>
      <c r="N155" t="s">
        <v>2723</v>
      </c>
      <c r="O155" t="s">
        <v>2726</v>
      </c>
      <c r="P155" t="s">
        <v>3767</v>
      </c>
    </row>
    <row r="156" spans="1:17" x14ac:dyDescent="0.25">
      <c r="A156" t="s">
        <v>260</v>
      </c>
      <c r="B156" t="str">
        <f>CONCATENATE(A156,8)</f>
        <v>2V80NY6VV238</v>
      </c>
      <c r="C156" t="s">
        <v>262</v>
      </c>
      <c r="D156" t="s">
        <v>27</v>
      </c>
      <c r="E156" t="s">
        <v>28</v>
      </c>
      <c r="F156" t="s">
        <v>29</v>
      </c>
      <c r="G156" s="1">
        <v>45870</v>
      </c>
      <c r="H156" s="1">
        <v>45139</v>
      </c>
      <c r="I156">
        <v>17528908</v>
      </c>
      <c r="J156" t="s">
        <v>32</v>
      </c>
      <c r="K156" t="s">
        <v>33</v>
      </c>
      <c r="L156">
        <v>31.92</v>
      </c>
      <c r="M156">
        <v>31.92</v>
      </c>
      <c r="N156" t="s">
        <v>2723</v>
      </c>
      <c r="O156" t="s">
        <v>2726</v>
      </c>
      <c r="P156" t="s">
        <v>3726</v>
      </c>
    </row>
    <row r="157" spans="1:17" x14ac:dyDescent="0.25">
      <c r="A157" t="s">
        <v>507</v>
      </c>
      <c r="B157" t="str">
        <f>CONCATENATE(A157,8)</f>
        <v>9XF1X65GQ058</v>
      </c>
      <c r="C157" t="s">
        <v>509</v>
      </c>
      <c r="D157" t="s">
        <v>27</v>
      </c>
      <c r="E157" t="s">
        <v>28</v>
      </c>
      <c r="F157" t="s">
        <v>29</v>
      </c>
      <c r="G157" s="1">
        <v>45870</v>
      </c>
      <c r="H157" s="1">
        <v>45139</v>
      </c>
      <c r="I157">
        <v>17528908</v>
      </c>
      <c r="J157" t="s">
        <v>32</v>
      </c>
      <c r="K157" t="s">
        <v>33</v>
      </c>
      <c r="L157">
        <v>31.92</v>
      </c>
      <c r="M157">
        <v>31.92</v>
      </c>
      <c r="N157" t="s">
        <v>2723</v>
      </c>
      <c r="O157" t="s">
        <v>2726</v>
      </c>
      <c r="P157" t="s">
        <v>3731</v>
      </c>
    </row>
    <row r="158" spans="1:17" x14ac:dyDescent="0.25">
      <c r="A158" t="s">
        <v>2071</v>
      </c>
      <c r="B158" t="str">
        <f>CONCATENATE(A158,8)</f>
        <v>9ED6CP6EA518</v>
      </c>
      <c r="C158" t="s">
        <v>2073</v>
      </c>
      <c r="D158" t="s">
        <v>27</v>
      </c>
      <c r="E158" t="s">
        <v>28</v>
      </c>
      <c r="F158" t="s">
        <v>29</v>
      </c>
      <c r="G158" s="1">
        <v>45870</v>
      </c>
      <c r="H158" s="1">
        <v>45139</v>
      </c>
      <c r="I158">
        <v>17528908</v>
      </c>
      <c r="J158" t="s">
        <v>32</v>
      </c>
      <c r="K158" t="s">
        <v>33</v>
      </c>
      <c r="L158">
        <v>31.92</v>
      </c>
      <c r="M158">
        <v>31.92</v>
      </c>
      <c r="N158" t="s">
        <v>2723</v>
      </c>
      <c r="O158" t="s">
        <v>2726</v>
      </c>
      <c r="P158" t="s">
        <v>3780</v>
      </c>
    </row>
    <row r="159" spans="1:17" x14ac:dyDescent="0.25">
      <c r="A159" t="s">
        <v>1592</v>
      </c>
      <c r="B159" t="str">
        <f>CONCATENATE(A159,8)</f>
        <v>8GJ6QU0TA658</v>
      </c>
      <c r="C159" t="s">
        <v>1594</v>
      </c>
      <c r="D159" t="s">
        <v>27</v>
      </c>
      <c r="E159" t="s">
        <v>28</v>
      </c>
      <c r="F159" t="s">
        <v>29</v>
      </c>
      <c r="G159" s="1">
        <v>45870</v>
      </c>
      <c r="H159" s="1">
        <v>44927</v>
      </c>
      <c r="I159">
        <v>17528908</v>
      </c>
      <c r="J159" t="s">
        <v>32</v>
      </c>
      <c r="K159" t="s">
        <v>33</v>
      </c>
      <c r="L159">
        <v>33.17</v>
      </c>
      <c r="M159">
        <v>33.17</v>
      </c>
      <c r="N159" t="s">
        <v>2723</v>
      </c>
      <c r="O159" t="s">
        <v>2722</v>
      </c>
      <c r="P159" t="s">
        <v>3832</v>
      </c>
    </row>
    <row r="160" spans="1:17" x14ac:dyDescent="0.25">
      <c r="A160" t="s">
        <v>1865</v>
      </c>
      <c r="B160" t="str">
        <f>CONCATENATE(A160,8)</f>
        <v>2YW9FN3NQ008</v>
      </c>
      <c r="C160" t="s">
        <v>1867</v>
      </c>
      <c r="D160" t="s">
        <v>27</v>
      </c>
      <c r="E160" t="s">
        <v>28</v>
      </c>
      <c r="F160" t="s">
        <v>29</v>
      </c>
      <c r="G160" s="1">
        <v>45870</v>
      </c>
      <c r="H160" s="1">
        <v>44835</v>
      </c>
      <c r="I160">
        <v>17528908</v>
      </c>
      <c r="J160" t="s">
        <v>32</v>
      </c>
      <c r="K160" t="s">
        <v>33</v>
      </c>
      <c r="L160">
        <v>33.17</v>
      </c>
      <c r="M160">
        <v>33.17</v>
      </c>
      <c r="N160" t="s">
        <v>2723</v>
      </c>
      <c r="O160" t="s">
        <v>2722</v>
      </c>
      <c r="P160" t="s">
        <v>3838</v>
      </c>
    </row>
    <row r="161" spans="1:16" x14ac:dyDescent="0.25">
      <c r="A161" t="s">
        <v>2656</v>
      </c>
      <c r="B161" t="str">
        <f>CONCATENATE(A161,8)</f>
        <v>6N74D62MC078</v>
      </c>
      <c r="C161" t="s">
        <v>2658</v>
      </c>
      <c r="D161" t="s">
        <v>27</v>
      </c>
      <c r="E161" t="s">
        <v>28</v>
      </c>
      <c r="F161" t="s">
        <v>29</v>
      </c>
      <c r="G161" s="1">
        <v>45870</v>
      </c>
      <c r="H161" s="1">
        <v>44562</v>
      </c>
      <c r="I161">
        <v>17528908</v>
      </c>
      <c r="J161" t="s">
        <v>32</v>
      </c>
      <c r="K161" t="s">
        <v>33</v>
      </c>
      <c r="L161">
        <v>33.17</v>
      </c>
      <c r="M161">
        <v>33.17</v>
      </c>
      <c r="N161" t="s">
        <v>2723</v>
      </c>
      <c r="O161" t="s">
        <v>2722</v>
      </c>
      <c r="P161" t="s">
        <v>3858</v>
      </c>
    </row>
    <row r="162" spans="1:16" x14ac:dyDescent="0.25">
      <c r="A162" t="s">
        <v>1227</v>
      </c>
      <c r="B162" t="str">
        <f>CONCATENATE(A162,8)</f>
        <v>2FM1VD8UJ958</v>
      </c>
      <c r="C162" t="s">
        <v>1229</v>
      </c>
      <c r="D162" t="s">
        <v>27</v>
      </c>
      <c r="E162" t="s">
        <v>28</v>
      </c>
      <c r="F162" t="s">
        <v>29</v>
      </c>
      <c r="G162" s="1">
        <v>45870</v>
      </c>
      <c r="H162" s="1">
        <v>44044</v>
      </c>
      <c r="I162">
        <v>17528908</v>
      </c>
      <c r="J162" t="s">
        <v>32</v>
      </c>
      <c r="K162" t="s">
        <v>33</v>
      </c>
      <c r="L162">
        <v>33.17</v>
      </c>
      <c r="M162">
        <v>33.17</v>
      </c>
      <c r="N162" t="s">
        <v>2723</v>
      </c>
      <c r="O162" t="s">
        <v>2722</v>
      </c>
      <c r="P162" t="s">
        <v>3819</v>
      </c>
    </row>
    <row r="163" spans="1:16" x14ac:dyDescent="0.25">
      <c r="A163" t="s">
        <v>1135</v>
      </c>
      <c r="B163" t="str">
        <f>CONCATENATE(A163,8)</f>
        <v>3Q43TT7FD958</v>
      </c>
      <c r="C163" t="s">
        <v>1138</v>
      </c>
      <c r="D163" t="s">
        <v>27</v>
      </c>
      <c r="E163" t="s">
        <v>28</v>
      </c>
      <c r="F163" t="s">
        <v>29</v>
      </c>
      <c r="G163" s="1">
        <v>45870</v>
      </c>
      <c r="H163" s="1">
        <v>43678</v>
      </c>
      <c r="I163">
        <v>17528908</v>
      </c>
      <c r="J163" t="s">
        <v>32</v>
      </c>
      <c r="K163" t="s">
        <v>33</v>
      </c>
      <c r="L163">
        <v>31.92</v>
      </c>
      <c r="M163">
        <v>31.92</v>
      </c>
      <c r="N163" t="s">
        <v>2723</v>
      </c>
      <c r="O163" t="s">
        <v>2726</v>
      </c>
      <c r="P163" t="s">
        <v>3750</v>
      </c>
    </row>
    <row r="164" spans="1:16" x14ac:dyDescent="0.25">
      <c r="A164" t="s">
        <v>1851</v>
      </c>
      <c r="B164" t="str">
        <f>CONCATENATE(A164,8)</f>
        <v>2UD8UA8UA218</v>
      </c>
      <c r="C164" t="s">
        <v>1854</v>
      </c>
      <c r="D164" t="s">
        <v>27</v>
      </c>
      <c r="E164" t="s">
        <v>28</v>
      </c>
      <c r="F164" t="s">
        <v>29</v>
      </c>
      <c r="G164" s="1">
        <v>45870</v>
      </c>
      <c r="H164" s="1">
        <v>43647</v>
      </c>
      <c r="I164">
        <v>17528908</v>
      </c>
      <c r="J164" t="s">
        <v>32</v>
      </c>
      <c r="K164" t="s">
        <v>33</v>
      </c>
      <c r="L164">
        <v>33.17</v>
      </c>
      <c r="M164">
        <v>33.17</v>
      </c>
      <c r="N164" t="s">
        <v>2723</v>
      </c>
      <c r="O164" t="s">
        <v>2722</v>
      </c>
      <c r="P164" t="s">
        <v>3837</v>
      </c>
    </row>
    <row r="165" spans="1:16" x14ac:dyDescent="0.25">
      <c r="A165" t="s">
        <v>1345</v>
      </c>
      <c r="B165" t="str">
        <f>CONCATENATE(A165,8)</f>
        <v>7GX0C77HN178</v>
      </c>
      <c r="C165" t="s">
        <v>1348</v>
      </c>
      <c r="D165" t="s">
        <v>27</v>
      </c>
      <c r="E165" t="s">
        <v>28</v>
      </c>
      <c r="F165" t="s">
        <v>29</v>
      </c>
      <c r="G165" s="1">
        <v>45870</v>
      </c>
      <c r="H165" s="1">
        <v>43466</v>
      </c>
      <c r="I165">
        <v>17528908</v>
      </c>
      <c r="J165" t="s">
        <v>32</v>
      </c>
      <c r="K165" t="s">
        <v>33</v>
      </c>
      <c r="L165">
        <v>33.17</v>
      </c>
      <c r="M165">
        <v>33.17</v>
      </c>
      <c r="N165" t="s">
        <v>2723</v>
      </c>
      <c r="O165" t="s">
        <v>2722</v>
      </c>
      <c r="P165" t="s">
        <v>3822</v>
      </c>
    </row>
    <row r="166" spans="1:16" x14ac:dyDescent="0.25">
      <c r="A166" t="s">
        <v>1349</v>
      </c>
      <c r="B166" t="str">
        <f>CONCATENATE(A166,8)</f>
        <v>4JY5F39DX658</v>
      </c>
      <c r="C166" t="s">
        <v>1352</v>
      </c>
      <c r="D166" t="s">
        <v>27</v>
      </c>
      <c r="E166" t="s">
        <v>28</v>
      </c>
      <c r="F166" t="s">
        <v>29</v>
      </c>
      <c r="G166" s="1">
        <v>45870</v>
      </c>
      <c r="H166" s="1">
        <v>43466</v>
      </c>
      <c r="I166">
        <v>17528908</v>
      </c>
      <c r="J166" t="s">
        <v>32</v>
      </c>
      <c r="K166" t="s">
        <v>33</v>
      </c>
      <c r="L166">
        <v>33.17</v>
      </c>
      <c r="M166">
        <v>33.17</v>
      </c>
      <c r="N166" t="s">
        <v>2723</v>
      </c>
      <c r="O166" t="s">
        <v>2722</v>
      </c>
      <c r="P166" t="s">
        <v>3823</v>
      </c>
    </row>
    <row r="167" spans="1:16" x14ac:dyDescent="0.25">
      <c r="A167" t="s">
        <v>2443</v>
      </c>
      <c r="B167" t="str">
        <f>CONCATENATE(A167,8)</f>
        <v>1D65CJ2JX638</v>
      </c>
      <c r="C167" t="s">
        <v>2446</v>
      </c>
      <c r="D167" t="s">
        <v>27</v>
      </c>
      <c r="E167" t="s">
        <v>28</v>
      </c>
      <c r="F167" t="s">
        <v>29</v>
      </c>
      <c r="G167" s="1">
        <v>45870</v>
      </c>
      <c r="H167" s="1">
        <v>40909</v>
      </c>
      <c r="I167">
        <v>17528908</v>
      </c>
      <c r="J167" t="s">
        <v>32</v>
      </c>
      <c r="K167" t="s">
        <v>33</v>
      </c>
      <c r="L167">
        <v>33.17</v>
      </c>
      <c r="M167">
        <v>33.17</v>
      </c>
      <c r="N167" t="s">
        <v>2723</v>
      </c>
      <c r="O167" t="s">
        <v>2722</v>
      </c>
      <c r="P167" t="s">
        <v>3852</v>
      </c>
    </row>
    <row r="168" spans="1:16" x14ac:dyDescent="0.25">
      <c r="A168" t="s">
        <v>336</v>
      </c>
      <c r="B168" t="str">
        <f>CONCATENATE(A168,8)</f>
        <v>8D67GM9FV418</v>
      </c>
      <c r="C168" t="s">
        <v>338</v>
      </c>
      <c r="D168" t="s">
        <v>303</v>
      </c>
      <c r="E168" t="s">
        <v>28</v>
      </c>
      <c r="F168" t="s">
        <v>29</v>
      </c>
      <c r="G168" s="1">
        <v>45870</v>
      </c>
      <c r="H168" s="1">
        <v>45597</v>
      </c>
      <c r="I168">
        <v>17528908</v>
      </c>
      <c r="J168" t="s">
        <v>32</v>
      </c>
      <c r="K168" t="s">
        <v>33</v>
      </c>
      <c r="L168">
        <v>29.83</v>
      </c>
      <c r="M168">
        <v>29.83</v>
      </c>
      <c r="N168" t="s">
        <v>2720</v>
      </c>
      <c r="O168" t="s">
        <v>2724</v>
      </c>
      <c r="P168" t="s">
        <v>3950</v>
      </c>
    </row>
    <row r="169" spans="1:16" x14ac:dyDescent="0.25">
      <c r="A169" t="s">
        <v>2361</v>
      </c>
      <c r="B169" t="str">
        <f>CONCATENATE(A169,8)</f>
        <v>8A50E16UG388</v>
      </c>
      <c r="C169" t="s">
        <v>2363</v>
      </c>
      <c r="D169" t="s">
        <v>303</v>
      </c>
      <c r="E169" t="s">
        <v>28</v>
      </c>
      <c r="F169" t="s">
        <v>29</v>
      </c>
      <c r="G169" s="1">
        <v>45870</v>
      </c>
      <c r="H169" s="1">
        <v>45231</v>
      </c>
      <c r="I169">
        <v>17528908</v>
      </c>
      <c r="J169" t="s">
        <v>32</v>
      </c>
      <c r="K169" t="s">
        <v>33</v>
      </c>
      <c r="L169">
        <v>28.58</v>
      </c>
      <c r="M169">
        <v>28.58</v>
      </c>
      <c r="N169" t="s">
        <v>2720</v>
      </c>
      <c r="O169" t="s">
        <v>2725</v>
      </c>
      <c r="P169" t="s">
        <v>3924</v>
      </c>
    </row>
    <row r="170" spans="1:16" x14ac:dyDescent="0.25">
      <c r="A170" t="s">
        <v>1167</v>
      </c>
      <c r="B170" t="str">
        <f>CONCATENATE(A170,8)</f>
        <v>2UF0R89NE068</v>
      </c>
      <c r="C170" t="s">
        <v>1169</v>
      </c>
      <c r="D170" t="s">
        <v>838</v>
      </c>
      <c r="E170" t="s">
        <v>28</v>
      </c>
      <c r="F170" t="s">
        <v>29</v>
      </c>
      <c r="G170" s="1">
        <v>45870</v>
      </c>
      <c r="H170" s="1">
        <v>45139</v>
      </c>
      <c r="I170">
        <v>17528908</v>
      </c>
      <c r="J170" t="s">
        <v>32</v>
      </c>
      <c r="K170" t="s">
        <v>33</v>
      </c>
      <c r="L170">
        <v>28.58</v>
      </c>
      <c r="M170">
        <v>28.58</v>
      </c>
      <c r="N170" t="s">
        <v>2720</v>
      </c>
      <c r="O170" t="s">
        <v>2725</v>
      </c>
      <c r="P170" t="s">
        <v>3892</v>
      </c>
    </row>
    <row r="171" spans="1:16" x14ac:dyDescent="0.25">
      <c r="A171" t="s">
        <v>2437</v>
      </c>
      <c r="B171" t="str">
        <f>CONCATENATE(A171,8)</f>
        <v>7UV3HV4QR788</v>
      </c>
      <c r="C171" t="s">
        <v>2439</v>
      </c>
      <c r="D171" t="s">
        <v>27</v>
      </c>
      <c r="E171" t="s">
        <v>28</v>
      </c>
      <c r="F171" t="s">
        <v>127</v>
      </c>
      <c r="G171" s="1">
        <v>45870</v>
      </c>
      <c r="H171" s="1">
        <v>45658</v>
      </c>
      <c r="I171">
        <v>19278370</v>
      </c>
      <c r="J171" t="s">
        <v>32</v>
      </c>
      <c r="K171" t="s">
        <v>1054</v>
      </c>
      <c r="L171">
        <v>31.92</v>
      </c>
      <c r="M171">
        <v>31.92</v>
      </c>
      <c r="N171" t="s">
        <v>2723</v>
      </c>
      <c r="O171" t="s">
        <v>2726</v>
      </c>
      <c r="P171" t="s">
        <v>3794</v>
      </c>
    </row>
    <row r="172" spans="1:16" x14ac:dyDescent="0.25">
      <c r="A172" t="s">
        <v>1051</v>
      </c>
      <c r="B172" t="str">
        <f>CONCATENATE(A172,8)</f>
        <v>9CE0MW6PF168</v>
      </c>
      <c r="C172" t="s">
        <v>1053</v>
      </c>
      <c r="D172" t="s">
        <v>27</v>
      </c>
      <c r="E172" t="s">
        <v>28</v>
      </c>
      <c r="F172" t="s">
        <v>29</v>
      </c>
      <c r="G172" s="1">
        <v>45870</v>
      </c>
      <c r="H172" s="1">
        <v>45474</v>
      </c>
      <c r="I172">
        <v>19278370</v>
      </c>
      <c r="J172" t="s">
        <v>32</v>
      </c>
      <c r="K172" t="s">
        <v>1054</v>
      </c>
      <c r="L172">
        <v>33.17</v>
      </c>
      <c r="M172">
        <v>33.17</v>
      </c>
      <c r="N172" t="s">
        <v>2723</v>
      </c>
      <c r="O172" t="s">
        <v>2722</v>
      </c>
      <c r="P172" t="s">
        <v>3815</v>
      </c>
    </row>
    <row r="173" spans="1:16" x14ac:dyDescent="0.25">
      <c r="A173" t="s">
        <v>1174</v>
      </c>
      <c r="B173" t="str">
        <f>CONCATENATE(A173,8)</f>
        <v>9ED4G65CJ988</v>
      </c>
      <c r="C173" t="s">
        <v>1176</v>
      </c>
      <c r="D173" t="s">
        <v>27</v>
      </c>
      <c r="E173" t="s">
        <v>28</v>
      </c>
      <c r="F173" t="s">
        <v>29</v>
      </c>
      <c r="G173" s="1">
        <v>45870</v>
      </c>
      <c r="H173" s="1">
        <v>45474</v>
      </c>
      <c r="I173">
        <v>19278370</v>
      </c>
      <c r="J173" t="s">
        <v>32</v>
      </c>
      <c r="K173" t="s">
        <v>1054</v>
      </c>
      <c r="L173">
        <v>33.17</v>
      </c>
      <c r="M173">
        <v>33.17</v>
      </c>
      <c r="N173" t="s">
        <v>2723</v>
      </c>
      <c r="O173" t="s">
        <v>2722</v>
      </c>
      <c r="P173" t="s">
        <v>3818</v>
      </c>
    </row>
    <row r="174" spans="1:16" x14ac:dyDescent="0.25">
      <c r="A174" t="s">
        <v>2358</v>
      </c>
      <c r="B174" t="str">
        <f>CONCATENATE(A174,8)</f>
        <v>6RQ5H56RU768</v>
      </c>
      <c r="C174" t="s">
        <v>2360</v>
      </c>
      <c r="D174" t="s">
        <v>27</v>
      </c>
      <c r="E174" t="s">
        <v>28</v>
      </c>
      <c r="F174" t="s">
        <v>29</v>
      </c>
      <c r="G174" s="1">
        <v>45870</v>
      </c>
      <c r="H174" s="1">
        <v>45505</v>
      </c>
      <c r="I174">
        <v>19278370</v>
      </c>
      <c r="J174" t="s">
        <v>32</v>
      </c>
      <c r="K174" t="s">
        <v>1054</v>
      </c>
      <c r="L174">
        <v>33.17</v>
      </c>
      <c r="M174">
        <v>33.17</v>
      </c>
      <c r="N174" t="s">
        <v>2723</v>
      </c>
      <c r="O174" t="s">
        <v>2722</v>
      </c>
      <c r="P174" t="s">
        <v>3848</v>
      </c>
    </row>
    <row r="175" spans="1:16" x14ac:dyDescent="0.25">
      <c r="A175" t="s">
        <v>1283</v>
      </c>
      <c r="B175" t="str">
        <f>CONCATENATE(A175,8)</f>
        <v>2AV1H32MJ028</v>
      </c>
      <c r="C175" t="s">
        <v>1285</v>
      </c>
      <c r="D175" t="s">
        <v>95</v>
      </c>
      <c r="E175" t="s">
        <v>28</v>
      </c>
      <c r="F175" t="s">
        <v>29</v>
      </c>
      <c r="G175" s="1">
        <v>45870</v>
      </c>
      <c r="H175" s="1">
        <v>45627</v>
      </c>
      <c r="I175">
        <v>16202925</v>
      </c>
      <c r="J175" t="s">
        <v>32</v>
      </c>
      <c r="K175" t="s">
        <v>1288</v>
      </c>
      <c r="L175">
        <v>29.83</v>
      </c>
      <c r="M175">
        <v>29.83</v>
      </c>
      <c r="N175" t="s">
        <v>2720</v>
      </c>
      <c r="O175" t="s">
        <v>2724</v>
      </c>
      <c r="P175" t="s">
        <v>3979</v>
      </c>
    </row>
    <row r="176" spans="1:16" x14ac:dyDescent="0.25">
      <c r="A176" t="s">
        <v>157</v>
      </c>
      <c r="B176" t="str">
        <f>CONCATENATE(A176,8)</f>
        <v>7WE3E55AH788</v>
      </c>
      <c r="C176" t="s">
        <v>159</v>
      </c>
      <c r="D176" t="s">
        <v>160</v>
      </c>
      <c r="E176" t="s">
        <v>28</v>
      </c>
      <c r="F176" t="s">
        <v>29</v>
      </c>
      <c r="G176" s="1">
        <v>45870</v>
      </c>
      <c r="H176" s="1">
        <v>45627</v>
      </c>
      <c r="I176">
        <v>6634327</v>
      </c>
      <c r="J176" t="s">
        <v>32</v>
      </c>
      <c r="K176" t="s">
        <v>163</v>
      </c>
      <c r="L176">
        <v>29.83</v>
      </c>
      <c r="M176">
        <v>29.83</v>
      </c>
      <c r="N176" t="s">
        <v>2720</v>
      </c>
      <c r="O176" t="s">
        <v>2724</v>
      </c>
      <c r="P176" t="s">
        <v>3939</v>
      </c>
    </row>
    <row r="177" spans="1:16" x14ac:dyDescent="0.25">
      <c r="A177" t="s">
        <v>1400</v>
      </c>
      <c r="B177" t="str">
        <f>CONCATENATE(A177,8)</f>
        <v>5G91A56CC008</v>
      </c>
      <c r="C177" t="s">
        <v>1402</v>
      </c>
      <c r="D177" t="s">
        <v>160</v>
      </c>
      <c r="E177" t="s">
        <v>28</v>
      </c>
      <c r="F177" t="s">
        <v>29</v>
      </c>
      <c r="G177" s="1">
        <v>45870</v>
      </c>
      <c r="H177" s="1">
        <v>45536</v>
      </c>
      <c r="I177">
        <v>6634327</v>
      </c>
      <c r="J177" t="s">
        <v>32</v>
      </c>
      <c r="K177" t="s">
        <v>163</v>
      </c>
      <c r="L177">
        <v>29.83</v>
      </c>
      <c r="M177">
        <v>29.83</v>
      </c>
      <c r="N177" t="s">
        <v>2720</v>
      </c>
      <c r="O177" t="s">
        <v>2724</v>
      </c>
      <c r="P177" t="s">
        <v>3983</v>
      </c>
    </row>
    <row r="178" spans="1:16" x14ac:dyDescent="0.25">
      <c r="A178" t="s">
        <v>2325</v>
      </c>
      <c r="B178" t="str">
        <f>CONCATENATE(A178,8)</f>
        <v>2WG2CX0PG198</v>
      </c>
      <c r="C178" t="s">
        <v>2327</v>
      </c>
      <c r="D178" t="s">
        <v>160</v>
      </c>
      <c r="E178" t="s">
        <v>28</v>
      </c>
      <c r="F178" t="s">
        <v>29</v>
      </c>
      <c r="G178" s="1">
        <v>45870</v>
      </c>
      <c r="H178" s="1">
        <v>45627</v>
      </c>
      <c r="I178">
        <v>6634327</v>
      </c>
      <c r="J178" t="s">
        <v>32</v>
      </c>
      <c r="K178" t="s">
        <v>163</v>
      </c>
      <c r="L178">
        <v>29.83</v>
      </c>
      <c r="M178">
        <v>29.83</v>
      </c>
      <c r="N178" t="s">
        <v>2720</v>
      </c>
      <c r="O178" t="s">
        <v>2724</v>
      </c>
      <c r="P178" t="s">
        <v>4030</v>
      </c>
    </row>
    <row r="179" spans="1:16" x14ac:dyDescent="0.25">
      <c r="A179" t="s">
        <v>2252</v>
      </c>
      <c r="B179" t="str">
        <f>CONCATENATE(A179,8)</f>
        <v>2K30RW7DW388</v>
      </c>
      <c r="C179" t="s">
        <v>2254</v>
      </c>
      <c r="D179" t="s">
        <v>1319</v>
      </c>
      <c r="E179" t="s">
        <v>402</v>
      </c>
      <c r="F179" t="s">
        <v>29</v>
      </c>
      <c r="G179" s="1">
        <v>45901</v>
      </c>
      <c r="H179" s="1">
        <v>45901</v>
      </c>
      <c r="I179">
        <v>8814784</v>
      </c>
      <c r="J179" t="s">
        <v>32</v>
      </c>
      <c r="K179" t="s">
        <v>2256</v>
      </c>
      <c r="L179">
        <v>146</v>
      </c>
      <c r="M179">
        <v>104.33</v>
      </c>
      <c r="N179" t="s">
        <v>2720</v>
      </c>
      <c r="O179" t="s">
        <v>2730</v>
      </c>
      <c r="P179" t="s">
        <v>4049</v>
      </c>
    </row>
    <row r="180" spans="1:16" x14ac:dyDescent="0.25">
      <c r="A180" t="s">
        <v>2257</v>
      </c>
      <c r="B180" t="str">
        <f>CONCATENATE(A180,8)</f>
        <v>4FW5GE4EH728</v>
      </c>
      <c r="C180" t="s">
        <v>2259</v>
      </c>
      <c r="D180" t="s">
        <v>1319</v>
      </c>
      <c r="E180" t="s">
        <v>402</v>
      </c>
      <c r="F180" t="s">
        <v>29</v>
      </c>
      <c r="G180" s="1">
        <v>45901</v>
      </c>
      <c r="H180" s="1">
        <v>45901</v>
      </c>
      <c r="I180">
        <v>8814784</v>
      </c>
      <c r="J180" t="s">
        <v>32</v>
      </c>
      <c r="K180" t="s">
        <v>2256</v>
      </c>
      <c r="L180">
        <v>146</v>
      </c>
      <c r="M180">
        <v>104.33</v>
      </c>
      <c r="N180" t="s">
        <v>2720</v>
      </c>
      <c r="O180" t="s">
        <v>2730</v>
      </c>
      <c r="P180" t="s">
        <v>4050</v>
      </c>
    </row>
    <row r="181" spans="1:16" x14ac:dyDescent="0.25">
      <c r="A181" t="s">
        <v>1842</v>
      </c>
      <c r="B181" t="str">
        <f>CONCATENATE(A181,88)</f>
        <v>1V02YH3AY0888</v>
      </c>
      <c r="C181" t="s">
        <v>1844</v>
      </c>
      <c r="D181" t="s">
        <v>303</v>
      </c>
      <c r="E181" t="s">
        <v>1146</v>
      </c>
      <c r="F181" t="s">
        <v>29</v>
      </c>
      <c r="G181" s="1">
        <v>45717</v>
      </c>
      <c r="H181" s="1">
        <v>45717</v>
      </c>
      <c r="I181">
        <v>20411454</v>
      </c>
      <c r="J181" t="s">
        <v>32</v>
      </c>
      <c r="K181" t="s">
        <v>4532</v>
      </c>
      <c r="L181">
        <v>-751</v>
      </c>
      <c r="M181">
        <v>-125</v>
      </c>
      <c r="N181" t="s">
        <v>2718</v>
      </c>
      <c r="P181" t="s">
        <v>3860</v>
      </c>
    </row>
    <row r="182" spans="1:16" x14ac:dyDescent="0.25">
      <c r="A182" t="s">
        <v>1142</v>
      </c>
      <c r="B182" t="str">
        <f>CONCATENATE(A182,88)</f>
        <v>8JT4G04XU7088</v>
      </c>
      <c r="C182" t="s">
        <v>1144</v>
      </c>
      <c r="D182" t="s">
        <v>1145</v>
      </c>
      <c r="E182" t="s">
        <v>1146</v>
      </c>
      <c r="F182" t="s">
        <v>29</v>
      </c>
      <c r="G182" s="1">
        <v>45717</v>
      </c>
      <c r="H182" s="1">
        <v>45717</v>
      </c>
      <c r="I182">
        <v>20411454</v>
      </c>
      <c r="J182" t="s">
        <v>32</v>
      </c>
      <c r="K182" t="s">
        <v>4532</v>
      </c>
      <c r="L182">
        <v>-365</v>
      </c>
      <c r="M182">
        <f>-125/12*10</f>
        <v>-104.16666666666666</v>
      </c>
      <c r="N182" t="s">
        <v>2718</v>
      </c>
      <c r="P182" t="s">
        <v>3861</v>
      </c>
    </row>
    <row r="183" spans="1:16" x14ac:dyDescent="0.25">
      <c r="A183" t="s">
        <v>1855</v>
      </c>
      <c r="B183" t="str">
        <f>CONCATENATE(A183,88)</f>
        <v>4ET9EE2XT5688</v>
      </c>
      <c r="C183" t="s">
        <v>1857</v>
      </c>
      <c r="D183" t="s">
        <v>27</v>
      </c>
      <c r="E183" t="s">
        <v>28</v>
      </c>
      <c r="F183" t="s">
        <v>96</v>
      </c>
      <c r="G183" s="1">
        <v>45870</v>
      </c>
      <c r="H183" s="1">
        <v>45658</v>
      </c>
      <c r="I183">
        <v>20411454</v>
      </c>
      <c r="J183" t="s">
        <v>32</v>
      </c>
      <c r="K183" t="s">
        <v>4532</v>
      </c>
      <c r="L183">
        <v>0.16</v>
      </c>
      <c r="M183">
        <v>0.16</v>
      </c>
      <c r="N183" t="s">
        <v>2718</v>
      </c>
      <c r="P183" t="s">
        <v>4053</v>
      </c>
    </row>
    <row r="184" spans="1:16" x14ac:dyDescent="0.25">
      <c r="A184" t="s">
        <v>37</v>
      </c>
      <c r="B184" t="str">
        <f>CONCATENATE(A184,88)</f>
        <v>2Q11HA0WY9988</v>
      </c>
      <c r="C184" t="s">
        <v>39</v>
      </c>
      <c r="D184" t="s">
        <v>27</v>
      </c>
      <c r="E184" t="s">
        <v>28</v>
      </c>
      <c r="F184" t="s">
        <v>29</v>
      </c>
      <c r="G184" s="1">
        <v>45870</v>
      </c>
      <c r="H184" s="1">
        <v>44044</v>
      </c>
      <c r="I184">
        <v>20411454</v>
      </c>
      <c r="J184" t="s">
        <v>32</v>
      </c>
      <c r="K184" t="s">
        <v>4532</v>
      </c>
      <c r="L184">
        <v>1.25</v>
      </c>
      <c r="M184">
        <v>1.25</v>
      </c>
      <c r="N184" t="s">
        <v>2718</v>
      </c>
      <c r="P184" t="s">
        <v>4054</v>
      </c>
    </row>
    <row r="185" spans="1:16" x14ac:dyDescent="0.25">
      <c r="A185" t="s">
        <v>43</v>
      </c>
      <c r="B185" t="str">
        <f>CONCATENATE(A185,88)</f>
        <v>9TC6YQ6JQ7288</v>
      </c>
      <c r="C185" t="s">
        <v>45</v>
      </c>
      <c r="D185" t="s">
        <v>27</v>
      </c>
      <c r="E185" t="s">
        <v>28</v>
      </c>
      <c r="F185" t="s">
        <v>29</v>
      </c>
      <c r="G185" s="1">
        <v>45870</v>
      </c>
      <c r="H185" s="1">
        <v>43922</v>
      </c>
      <c r="I185">
        <v>20411454</v>
      </c>
      <c r="J185" t="s">
        <v>32</v>
      </c>
      <c r="K185" t="s">
        <v>4532</v>
      </c>
      <c r="L185">
        <v>1.25</v>
      </c>
      <c r="M185">
        <v>1.25</v>
      </c>
      <c r="N185" t="s">
        <v>2718</v>
      </c>
      <c r="P185" t="s">
        <v>4055</v>
      </c>
    </row>
    <row r="186" spans="1:16" x14ac:dyDescent="0.25">
      <c r="A186" t="s">
        <v>64</v>
      </c>
      <c r="B186" t="str">
        <f>CONCATENATE(A186,88)</f>
        <v>2GY7QX5PT4288</v>
      </c>
      <c r="C186" t="s">
        <v>66</v>
      </c>
      <c r="D186" t="s">
        <v>27</v>
      </c>
      <c r="E186" t="s">
        <v>28</v>
      </c>
      <c r="F186" t="s">
        <v>29</v>
      </c>
      <c r="G186" s="1">
        <v>45870</v>
      </c>
      <c r="H186" s="1">
        <v>44562</v>
      </c>
      <c r="I186">
        <v>20411454</v>
      </c>
      <c r="J186" t="s">
        <v>32</v>
      </c>
      <c r="K186" t="s">
        <v>4532</v>
      </c>
      <c r="L186">
        <v>1.25</v>
      </c>
      <c r="M186">
        <v>1.25</v>
      </c>
      <c r="N186" t="s">
        <v>2718</v>
      </c>
      <c r="P186" t="s">
        <v>4056</v>
      </c>
    </row>
    <row r="187" spans="1:16" x14ac:dyDescent="0.25">
      <c r="A187" t="s">
        <v>83</v>
      </c>
      <c r="B187" t="str">
        <f>CONCATENATE(A187,88)</f>
        <v>5PG4HV7AG7988</v>
      </c>
      <c r="C187" t="s">
        <v>85</v>
      </c>
      <c r="D187" t="s">
        <v>27</v>
      </c>
      <c r="E187" t="s">
        <v>28</v>
      </c>
      <c r="F187" t="s">
        <v>29</v>
      </c>
      <c r="G187" s="1">
        <v>45870</v>
      </c>
      <c r="H187" s="1">
        <v>44562</v>
      </c>
      <c r="I187">
        <v>20411454</v>
      </c>
      <c r="J187" t="s">
        <v>32</v>
      </c>
      <c r="K187" t="s">
        <v>4532</v>
      </c>
      <c r="L187">
        <v>1.25</v>
      </c>
      <c r="M187">
        <v>1.25</v>
      </c>
      <c r="N187" t="s">
        <v>2718</v>
      </c>
      <c r="P187" t="s">
        <v>4057</v>
      </c>
    </row>
    <row r="188" spans="1:16" x14ac:dyDescent="0.25">
      <c r="A188" t="s">
        <v>115</v>
      </c>
      <c r="B188" t="str">
        <f>CONCATENATE(A188,88)</f>
        <v>1UF4YY7WC0388</v>
      </c>
      <c r="C188" t="s">
        <v>117</v>
      </c>
      <c r="D188" t="s">
        <v>27</v>
      </c>
      <c r="E188" t="s">
        <v>28</v>
      </c>
      <c r="F188" t="s">
        <v>29</v>
      </c>
      <c r="G188" s="1">
        <v>45870</v>
      </c>
      <c r="H188" s="1">
        <v>44562</v>
      </c>
      <c r="I188">
        <v>20411454</v>
      </c>
      <c r="J188" t="s">
        <v>32</v>
      </c>
      <c r="K188" t="s">
        <v>4532</v>
      </c>
      <c r="L188">
        <v>1.25</v>
      </c>
      <c r="M188">
        <v>1.25</v>
      </c>
      <c r="N188" t="s">
        <v>2718</v>
      </c>
      <c r="P188" t="s">
        <v>4058</v>
      </c>
    </row>
    <row r="189" spans="1:16" x14ac:dyDescent="0.25">
      <c r="A189" t="s">
        <v>118</v>
      </c>
      <c r="B189" t="str">
        <f>CONCATENATE(A189,88)</f>
        <v>3R70NF3WT3988</v>
      </c>
      <c r="C189" t="s">
        <v>120</v>
      </c>
      <c r="D189" t="s">
        <v>27</v>
      </c>
      <c r="E189" t="s">
        <v>28</v>
      </c>
      <c r="F189" t="s">
        <v>29</v>
      </c>
      <c r="G189" s="1">
        <v>45870</v>
      </c>
      <c r="H189" s="1">
        <v>44562</v>
      </c>
      <c r="I189">
        <v>20411454</v>
      </c>
      <c r="J189" t="s">
        <v>32</v>
      </c>
      <c r="K189" t="s">
        <v>4532</v>
      </c>
      <c r="L189">
        <v>1.25</v>
      </c>
      <c r="M189">
        <v>1.25</v>
      </c>
      <c r="N189" t="s">
        <v>2718</v>
      </c>
      <c r="P189" t="s">
        <v>4059</v>
      </c>
    </row>
    <row r="190" spans="1:16" x14ac:dyDescent="0.25">
      <c r="A190" t="s">
        <v>121</v>
      </c>
      <c r="B190" t="str">
        <f>CONCATENATE(A190,88)</f>
        <v>2PT6CN9YV7988</v>
      </c>
      <c r="C190" t="s">
        <v>123</v>
      </c>
      <c r="D190" t="s">
        <v>27</v>
      </c>
      <c r="E190" t="s">
        <v>28</v>
      </c>
      <c r="F190" t="s">
        <v>29</v>
      </c>
      <c r="G190" s="1">
        <v>45870</v>
      </c>
      <c r="H190" s="1">
        <v>43891</v>
      </c>
      <c r="I190">
        <v>20411454</v>
      </c>
      <c r="J190" t="s">
        <v>32</v>
      </c>
      <c r="K190" t="s">
        <v>4532</v>
      </c>
      <c r="L190">
        <v>1.25</v>
      </c>
      <c r="M190">
        <v>1.25</v>
      </c>
      <c r="N190" t="s">
        <v>2718</v>
      </c>
      <c r="P190" t="s">
        <v>4060</v>
      </c>
    </row>
    <row r="191" spans="1:16" x14ac:dyDescent="0.25">
      <c r="A191" t="s">
        <v>129</v>
      </c>
      <c r="B191" t="str">
        <f>CONCATENATE(A191,88)</f>
        <v>5KQ1H92WP0288</v>
      </c>
      <c r="C191" t="s">
        <v>131</v>
      </c>
      <c r="D191" t="s">
        <v>27</v>
      </c>
      <c r="E191" t="s">
        <v>28</v>
      </c>
      <c r="F191" t="s">
        <v>29</v>
      </c>
      <c r="G191" s="1">
        <v>45870</v>
      </c>
      <c r="H191" s="1">
        <v>44317</v>
      </c>
      <c r="I191">
        <v>20411454</v>
      </c>
      <c r="J191" t="s">
        <v>32</v>
      </c>
      <c r="K191" t="s">
        <v>4532</v>
      </c>
      <c r="L191">
        <v>1.25</v>
      </c>
      <c r="M191">
        <v>1.25</v>
      </c>
      <c r="N191" t="s">
        <v>2718</v>
      </c>
      <c r="P191" t="s">
        <v>4061</v>
      </c>
    </row>
    <row r="192" spans="1:16" x14ac:dyDescent="0.25">
      <c r="A192" t="s">
        <v>142</v>
      </c>
      <c r="B192" t="str">
        <f>CONCATENATE(A192,88)</f>
        <v>1K03GW8NH1588</v>
      </c>
      <c r="C192" t="s">
        <v>144</v>
      </c>
      <c r="D192" t="s">
        <v>27</v>
      </c>
      <c r="E192" t="s">
        <v>28</v>
      </c>
      <c r="F192" t="s">
        <v>29</v>
      </c>
      <c r="G192" s="1">
        <v>45870</v>
      </c>
      <c r="H192" s="1">
        <v>44927</v>
      </c>
      <c r="I192">
        <v>20411454</v>
      </c>
      <c r="J192" t="s">
        <v>32</v>
      </c>
      <c r="K192" t="s">
        <v>4532</v>
      </c>
      <c r="L192">
        <v>1.25</v>
      </c>
      <c r="M192">
        <v>1.25</v>
      </c>
      <c r="N192" t="s">
        <v>2718</v>
      </c>
      <c r="P192" t="s">
        <v>4062</v>
      </c>
    </row>
    <row r="193" spans="1:16" x14ac:dyDescent="0.25">
      <c r="A193" t="s">
        <v>145</v>
      </c>
      <c r="B193" t="str">
        <f>CONCATENATE(A193,88)</f>
        <v>8ET8UA3WQ3588</v>
      </c>
      <c r="C193" t="s">
        <v>147</v>
      </c>
      <c r="D193" t="s">
        <v>27</v>
      </c>
      <c r="E193" t="s">
        <v>28</v>
      </c>
      <c r="F193" t="s">
        <v>29</v>
      </c>
      <c r="G193" s="1">
        <v>45870</v>
      </c>
      <c r="H193" s="1">
        <v>44927</v>
      </c>
      <c r="I193">
        <v>20411454</v>
      </c>
      <c r="J193" t="s">
        <v>32</v>
      </c>
      <c r="K193" t="s">
        <v>4532</v>
      </c>
      <c r="L193">
        <v>1.25</v>
      </c>
      <c r="M193">
        <v>1.25</v>
      </c>
      <c r="N193" t="s">
        <v>2718</v>
      </c>
      <c r="P193" t="s">
        <v>4063</v>
      </c>
    </row>
    <row r="194" spans="1:16" x14ac:dyDescent="0.25">
      <c r="A194" t="s">
        <v>153</v>
      </c>
      <c r="B194" t="str">
        <f>CONCATENATE(A194,88)</f>
        <v>5WT2HD3GA1388</v>
      </c>
      <c r="C194" t="s">
        <v>155</v>
      </c>
      <c r="D194" t="s">
        <v>27</v>
      </c>
      <c r="E194" t="s">
        <v>28</v>
      </c>
      <c r="F194" t="s">
        <v>29</v>
      </c>
      <c r="G194" s="1">
        <v>45870</v>
      </c>
      <c r="H194" s="1">
        <v>44531</v>
      </c>
      <c r="I194">
        <v>20411454</v>
      </c>
      <c r="J194" t="s">
        <v>32</v>
      </c>
      <c r="K194" t="s">
        <v>4532</v>
      </c>
      <c r="L194">
        <v>1.25</v>
      </c>
      <c r="M194">
        <v>1.25</v>
      </c>
      <c r="N194" t="s">
        <v>2718</v>
      </c>
      <c r="P194" t="s">
        <v>4064</v>
      </c>
    </row>
    <row r="195" spans="1:16" x14ac:dyDescent="0.25">
      <c r="A195" t="s">
        <v>164</v>
      </c>
      <c r="B195" t="str">
        <f>CONCATENATE(A195,88)</f>
        <v>5NJ9T35XN4688</v>
      </c>
      <c r="C195" t="s">
        <v>166</v>
      </c>
      <c r="D195" t="s">
        <v>27</v>
      </c>
      <c r="E195" t="s">
        <v>28</v>
      </c>
      <c r="F195" t="s">
        <v>29</v>
      </c>
      <c r="G195" s="1">
        <v>45870</v>
      </c>
      <c r="H195" s="1">
        <v>44986</v>
      </c>
      <c r="I195">
        <v>20411454</v>
      </c>
      <c r="J195" t="s">
        <v>32</v>
      </c>
      <c r="K195" t="s">
        <v>4532</v>
      </c>
      <c r="L195">
        <v>1.25</v>
      </c>
      <c r="M195">
        <v>1.25</v>
      </c>
      <c r="N195" t="s">
        <v>2718</v>
      </c>
      <c r="P195" t="s">
        <v>4065</v>
      </c>
    </row>
    <row r="196" spans="1:16" x14ac:dyDescent="0.25">
      <c r="A196" t="s">
        <v>174</v>
      </c>
      <c r="B196" t="str">
        <f>CONCATENATE(A196,88)</f>
        <v>7N70MQ0RV4288</v>
      </c>
      <c r="C196" t="s">
        <v>176</v>
      </c>
      <c r="D196" t="s">
        <v>27</v>
      </c>
      <c r="E196" t="s">
        <v>28</v>
      </c>
      <c r="F196" t="s">
        <v>29</v>
      </c>
      <c r="G196" s="1">
        <v>45870</v>
      </c>
      <c r="H196" s="1">
        <v>44562</v>
      </c>
      <c r="I196">
        <v>20411454</v>
      </c>
      <c r="J196" t="s">
        <v>32</v>
      </c>
      <c r="K196" t="s">
        <v>4532</v>
      </c>
      <c r="L196">
        <v>1.25</v>
      </c>
      <c r="M196">
        <v>1.25</v>
      </c>
      <c r="N196" t="s">
        <v>2718</v>
      </c>
      <c r="P196" t="s">
        <v>4066</v>
      </c>
    </row>
    <row r="197" spans="1:16" x14ac:dyDescent="0.25">
      <c r="A197" t="s">
        <v>177</v>
      </c>
      <c r="B197" t="str">
        <f>CONCATENATE(A197,88)</f>
        <v>8VV9Q16AF4888</v>
      </c>
      <c r="C197" t="s">
        <v>179</v>
      </c>
      <c r="D197" t="s">
        <v>27</v>
      </c>
      <c r="E197" t="s">
        <v>28</v>
      </c>
      <c r="F197" t="s">
        <v>29</v>
      </c>
      <c r="G197" s="1">
        <v>45870</v>
      </c>
      <c r="H197" s="1">
        <v>45017</v>
      </c>
      <c r="I197">
        <v>20411454</v>
      </c>
      <c r="J197" t="s">
        <v>32</v>
      </c>
      <c r="K197" t="s">
        <v>4532</v>
      </c>
      <c r="L197">
        <v>1.25</v>
      </c>
      <c r="M197">
        <v>1.25</v>
      </c>
      <c r="N197" t="s">
        <v>2718</v>
      </c>
      <c r="P197" t="s">
        <v>4067</v>
      </c>
    </row>
    <row r="198" spans="1:16" x14ac:dyDescent="0.25">
      <c r="A198" t="s">
        <v>199</v>
      </c>
      <c r="B198" t="str">
        <f>CONCATENATE(A198,88)</f>
        <v>7RX0CD3YU1288</v>
      </c>
      <c r="C198" t="s">
        <v>201</v>
      </c>
      <c r="D198" t="s">
        <v>27</v>
      </c>
      <c r="E198" t="s">
        <v>28</v>
      </c>
      <c r="F198" t="s">
        <v>29</v>
      </c>
      <c r="G198" s="1">
        <v>45870</v>
      </c>
      <c r="H198" s="1">
        <v>44986</v>
      </c>
      <c r="I198">
        <v>20411454</v>
      </c>
      <c r="J198" t="s">
        <v>32</v>
      </c>
      <c r="K198" t="s">
        <v>4532</v>
      </c>
      <c r="L198">
        <v>1.25</v>
      </c>
      <c r="M198">
        <v>1.25</v>
      </c>
      <c r="N198" t="s">
        <v>2718</v>
      </c>
      <c r="P198" t="s">
        <v>4068</v>
      </c>
    </row>
    <row r="199" spans="1:16" x14ac:dyDescent="0.25">
      <c r="A199" t="s">
        <v>215</v>
      </c>
      <c r="B199" t="str">
        <f>CONCATENATE(A199,88)</f>
        <v>9QM8KA0AR3188</v>
      </c>
      <c r="C199" t="s">
        <v>217</v>
      </c>
      <c r="D199" t="s">
        <v>27</v>
      </c>
      <c r="E199" t="s">
        <v>28</v>
      </c>
      <c r="F199" t="s">
        <v>29</v>
      </c>
      <c r="G199" s="1">
        <v>45870</v>
      </c>
      <c r="H199" s="1">
        <v>44197</v>
      </c>
      <c r="I199">
        <v>20411454</v>
      </c>
      <c r="J199" t="s">
        <v>32</v>
      </c>
      <c r="K199" t="s">
        <v>4532</v>
      </c>
      <c r="L199">
        <v>1.25</v>
      </c>
      <c r="M199">
        <v>1.25</v>
      </c>
      <c r="N199" t="s">
        <v>2718</v>
      </c>
      <c r="P199" t="s">
        <v>4069</v>
      </c>
    </row>
    <row r="200" spans="1:16" x14ac:dyDescent="0.25">
      <c r="A200" t="s">
        <v>253</v>
      </c>
      <c r="B200" t="str">
        <f>CONCATENATE(A200,88)</f>
        <v>7Y09AP5JP5988</v>
      </c>
      <c r="C200" t="s">
        <v>255</v>
      </c>
      <c r="D200" t="s">
        <v>27</v>
      </c>
      <c r="E200" t="s">
        <v>28</v>
      </c>
      <c r="F200" t="s">
        <v>29</v>
      </c>
      <c r="G200" s="1">
        <v>45870</v>
      </c>
      <c r="H200" s="1">
        <v>44774</v>
      </c>
      <c r="I200">
        <v>20411454</v>
      </c>
      <c r="J200" t="s">
        <v>32</v>
      </c>
      <c r="K200" t="s">
        <v>4532</v>
      </c>
      <c r="L200">
        <v>1.25</v>
      </c>
      <c r="M200">
        <v>1.25</v>
      </c>
      <c r="N200" t="s">
        <v>2718</v>
      </c>
      <c r="P200" t="s">
        <v>4070</v>
      </c>
    </row>
    <row r="201" spans="1:16" x14ac:dyDescent="0.25">
      <c r="A201" t="s">
        <v>263</v>
      </c>
      <c r="B201" t="str">
        <f>CONCATENATE(A201,88)</f>
        <v>6E97QY1QP6988</v>
      </c>
      <c r="C201" t="s">
        <v>265</v>
      </c>
      <c r="D201" t="s">
        <v>27</v>
      </c>
      <c r="E201" t="s">
        <v>28</v>
      </c>
      <c r="F201" t="s">
        <v>127</v>
      </c>
      <c r="G201" s="1">
        <v>45870</v>
      </c>
      <c r="H201" s="1">
        <v>44562</v>
      </c>
      <c r="I201">
        <v>20411454</v>
      </c>
      <c r="J201" t="s">
        <v>32</v>
      </c>
      <c r="K201" t="s">
        <v>4532</v>
      </c>
      <c r="L201">
        <v>1.25</v>
      </c>
      <c r="M201">
        <v>1.25</v>
      </c>
      <c r="N201" t="s">
        <v>2718</v>
      </c>
      <c r="P201" t="s">
        <v>4071</v>
      </c>
    </row>
    <row r="202" spans="1:16" x14ac:dyDescent="0.25">
      <c r="A202" t="s">
        <v>269</v>
      </c>
      <c r="B202" t="str">
        <f>CONCATENATE(A202,88)</f>
        <v>6HY4XG1VC0988</v>
      </c>
      <c r="C202" t="s">
        <v>272</v>
      </c>
      <c r="D202" t="s">
        <v>27</v>
      </c>
      <c r="E202" t="s">
        <v>28</v>
      </c>
      <c r="F202" t="s">
        <v>29</v>
      </c>
      <c r="G202" s="1">
        <v>45870</v>
      </c>
      <c r="H202" s="1">
        <v>43466</v>
      </c>
      <c r="I202">
        <v>20411454</v>
      </c>
      <c r="J202" t="s">
        <v>32</v>
      </c>
      <c r="K202" t="s">
        <v>4532</v>
      </c>
      <c r="L202">
        <v>1.25</v>
      </c>
      <c r="M202">
        <v>1.25</v>
      </c>
      <c r="N202" t="s">
        <v>2718</v>
      </c>
      <c r="P202" t="s">
        <v>4072</v>
      </c>
    </row>
    <row r="203" spans="1:16" x14ac:dyDescent="0.25">
      <c r="A203" t="s">
        <v>274</v>
      </c>
      <c r="B203" t="str">
        <f>CONCATENATE(A203,88)</f>
        <v>5U36K14RJ7988</v>
      </c>
      <c r="C203" t="s">
        <v>277</v>
      </c>
      <c r="D203" t="s">
        <v>27</v>
      </c>
      <c r="E203" t="s">
        <v>28</v>
      </c>
      <c r="F203" t="s">
        <v>29</v>
      </c>
      <c r="G203" s="1">
        <v>45870</v>
      </c>
      <c r="H203" s="1">
        <v>43466</v>
      </c>
      <c r="I203">
        <v>20411454</v>
      </c>
      <c r="J203" t="s">
        <v>32</v>
      </c>
      <c r="K203" t="s">
        <v>4532</v>
      </c>
      <c r="L203">
        <v>1.25</v>
      </c>
      <c r="M203">
        <v>1.25</v>
      </c>
      <c r="N203" t="s">
        <v>2718</v>
      </c>
      <c r="P203" t="s">
        <v>4073</v>
      </c>
    </row>
    <row r="204" spans="1:16" x14ac:dyDescent="0.25">
      <c r="A204" t="s">
        <v>287</v>
      </c>
      <c r="B204" t="str">
        <f>CONCATENATE(A204,88)</f>
        <v>7X31JW6JW3888</v>
      </c>
      <c r="C204" t="s">
        <v>289</v>
      </c>
      <c r="D204" t="s">
        <v>27</v>
      </c>
      <c r="E204" t="s">
        <v>28</v>
      </c>
      <c r="F204" t="s">
        <v>29</v>
      </c>
      <c r="G204" s="1">
        <v>45870</v>
      </c>
      <c r="H204" s="1">
        <v>43831</v>
      </c>
      <c r="I204">
        <v>20411454</v>
      </c>
      <c r="J204" t="s">
        <v>32</v>
      </c>
      <c r="K204" t="s">
        <v>4532</v>
      </c>
      <c r="L204">
        <v>1.25</v>
      </c>
      <c r="M204">
        <v>1.25</v>
      </c>
      <c r="N204" t="s">
        <v>2718</v>
      </c>
      <c r="P204" t="s">
        <v>4074</v>
      </c>
    </row>
    <row r="205" spans="1:16" x14ac:dyDescent="0.25">
      <c r="A205" t="s">
        <v>306</v>
      </c>
      <c r="B205" t="str">
        <f>CONCATENATE(A205,88)</f>
        <v>6PA5JW7HJ5688</v>
      </c>
      <c r="C205" t="s">
        <v>308</v>
      </c>
      <c r="D205" t="s">
        <v>27</v>
      </c>
      <c r="E205" t="s">
        <v>28</v>
      </c>
      <c r="F205" t="s">
        <v>29</v>
      </c>
      <c r="G205" s="1">
        <v>45870</v>
      </c>
      <c r="H205" s="1">
        <v>44593</v>
      </c>
      <c r="I205">
        <v>20411454</v>
      </c>
      <c r="J205" t="s">
        <v>32</v>
      </c>
      <c r="K205" t="s">
        <v>4532</v>
      </c>
      <c r="L205">
        <v>1.25</v>
      </c>
      <c r="M205">
        <v>1.25</v>
      </c>
      <c r="N205" t="s">
        <v>2718</v>
      </c>
      <c r="P205" t="s">
        <v>4075</v>
      </c>
    </row>
    <row r="206" spans="1:16" x14ac:dyDescent="0.25">
      <c r="A206" t="s">
        <v>312</v>
      </c>
      <c r="B206" t="str">
        <f>CONCATENATE(A206,88)</f>
        <v>7N06X77MY5888</v>
      </c>
      <c r="C206" t="s">
        <v>314</v>
      </c>
      <c r="D206" t="s">
        <v>27</v>
      </c>
      <c r="E206" t="s">
        <v>28</v>
      </c>
      <c r="F206" t="s">
        <v>29</v>
      </c>
      <c r="G206" s="1">
        <v>45870</v>
      </c>
      <c r="H206" s="1">
        <v>44896</v>
      </c>
      <c r="I206">
        <v>20411454</v>
      </c>
      <c r="J206" t="s">
        <v>32</v>
      </c>
      <c r="K206" t="s">
        <v>4532</v>
      </c>
      <c r="L206">
        <v>1.25</v>
      </c>
      <c r="M206">
        <v>1.25</v>
      </c>
      <c r="N206" t="s">
        <v>2718</v>
      </c>
      <c r="P206" t="s">
        <v>4076</v>
      </c>
    </row>
    <row r="207" spans="1:16" x14ac:dyDescent="0.25">
      <c r="A207" t="s">
        <v>348</v>
      </c>
      <c r="B207" t="str">
        <f>CONCATENATE(A207,88)</f>
        <v>6T59RH6FV4988</v>
      </c>
      <c r="C207" t="s">
        <v>350</v>
      </c>
      <c r="D207" t="s">
        <v>27</v>
      </c>
      <c r="E207" t="s">
        <v>28</v>
      </c>
      <c r="F207" t="s">
        <v>29</v>
      </c>
      <c r="G207" s="1">
        <v>45870</v>
      </c>
      <c r="H207" s="1">
        <v>45658</v>
      </c>
      <c r="I207">
        <v>20411454</v>
      </c>
      <c r="J207" t="s">
        <v>32</v>
      </c>
      <c r="K207" t="s">
        <v>4532</v>
      </c>
      <c r="L207">
        <v>1.25</v>
      </c>
      <c r="M207">
        <v>1.25</v>
      </c>
      <c r="N207" t="s">
        <v>2718</v>
      </c>
      <c r="P207" t="s">
        <v>4077</v>
      </c>
    </row>
    <row r="208" spans="1:16" x14ac:dyDescent="0.25">
      <c r="A208" t="s">
        <v>370</v>
      </c>
      <c r="B208" t="str">
        <f>CONCATENATE(A208,88)</f>
        <v>4AJ9KV4YJ4388</v>
      </c>
      <c r="C208" t="s">
        <v>372</v>
      </c>
      <c r="D208" t="s">
        <v>27</v>
      </c>
      <c r="E208" t="s">
        <v>28</v>
      </c>
      <c r="F208" t="s">
        <v>127</v>
      </c>
      <c r="G208" s="1">
        <v>45870</v>
      </c>
      <c r="H208" s="1">
        <v>44562</v>
      </c>
      <c r="I208">
        <v>20411454</v>
      </c>
      <c r="J208" t="s">
        <v>32</v>
      </c>
      <c r="K208" t="s">
        <v>4532</v>
      </c>
      <c r="L208">
        <v>1.25</v>
      </c>
      <c r="M208">
        <v>1.25</v>
      </c>
      <c r="N208" t="s">
        <v>2718</v>
      </c>
      <c r="P208" t="s">
        <v>4078</v>
      </c>
    </row>
    <row r="209" spans="1:16" x14ac:dyDescent="0.25">
      <c r="A209" t="s">
        <v>373</v>
      </c>
      <c r="B209" t="str">
        <f>CONCATENATE(A209,88)</f>
        <v>4V49Q57JC3488</v>
      </c>
      <c r="C209" t="s">
        <v>375</v>
      </c>
      <c r="D209" t="s">
        <v>27</v>
      </c>
      <c r="E209" t="s">
        <v>28</v>
      </c>
      <c r="F209" t="s">
        <v>29</v>
      </c>
      <c r="G209" s="1">
        <v>45870</v>
      </c>
      <c r="H209" s="1">
        <v>45658</v>
      </c>
      <c r="I209">
        <v>20411454</v>
      </c>
      <c r="J209" t="s">
        <v>32</v>
      </c>
      <c r="K209" t="s">
        <v>4532</v>
      </c>
      <c r="L209">
        <v>1.25</v>
      </c>
      <c r="M209">
        <v>1.25</v>
      </c>
      <c r="N209" t="s">
        <v>2718</v>
      </c>
      <c r="P209" t="s">
        <v>4079</v>
      </c>
    </row>
    <row r="210" spans="1:16" x14ac:dyDescent="0.25">
      <c r="A210" t="s">
        <v>389</v>
      </c>
      <c r="B210" t="str">
        <f>CONCATENATE(A210,88)</f>
        <v>1UJ3W11WD6088</v>
      </c>
      <c r="C210" t="s">
        <v>391</v>
      </c>
      <c r="D210" t="s">
        <v>27</v>
      </c>
      <c r="E210" t="s">
        <v>28</v>
      </c>
      <c r="F210" t="s">
        <v>29</v>
      </c>
      <c r="G210" s="1">
        <v>45870</v>
      </c>
      <c r="H210" s="1">
        <v>44835</v>
      </c>
      <c r="I210">
        <v>20411454</v>
      </c>
      <c r="J210" t="s">
        <v>32</v>
      </c>
      <c r="K210" t="s">
        <v>4532</v>
      </c>
      <c r="L210">
        <v>1.25</v>
      </c>
      <c r="M210">
        <v>1.25</v>
      </c>
      <c r="N210" t="s">
        <v>2718</v>
      </c>
      <c r="P210" t="s">
        <v>4080</v>
      </c>
    </row>
    <row r="211" spans="1:16" x14ac:dyDescent="0.25">
      <c r="A211" t="s">
        <v>395</v>
      </c>
      <c r="B211" t="str">
        <f>CONCATENATE(A211,88)</f>
        <v>6JN7N34PV5588</v>
      </c>
      <c r="C211" t="s">
        <v>397</v>
      </c>
      <c r="D211" t="s">
        <v>27</v>
      </c>
      <c r="E211" t="s">
        <v>28</v>
      </c>
      <c r="F211" t="s">
        <v>29</v>
      </c>
      <c r="G211" s="1">
        <v>45870</v>
      </c>
      <c r="H211" s="1">
        <v>44927</v>
      </c>
      <c r="I211">
        <v>20411454</v>
      </c>
      <c r="J211" t="s">
        <v>32</v>
      </c>
      <c r="K211" t="s">
        <v>4532</v>
      </c>
      <c r="L211">
        <v>1.25</v>
      </c>
      <c r="M211">
        <v>1.25</v>
      </c>
      <c r="N211" t="s">
        <v>2718</v>
      </c>
      <c r="P211" t="s">
        <v>4081</v>
      </c>
    </row>
    <row r="212" spans="1:16" x14ac:dyDescent="0.25">
      <c r="A212" t="s">
        <v>416</v>
      </c>
      <c r="B212" t="str">
        <f>CONCATENATE(A212,88)</f>
        <v>6JR9JF7KV4088</v>
      </c>
      <c r="C212" t="s">
        <v>418</v>
      </c>
      <c r="D212" t="s">
        <v>27</v>
      </c>
      <c r="E212" t="s">
        <v>28</v>
      </c>
      <c r="F212" t="s">
        <v>29</v>
      </c>
      <c r="G212" s="1">
        <v>45870</v>
      </c>
      <c r="H212" s="1">
        <v>44562</v>
      </c>
      <c r="I212">
        <v>20411454</v>
      </c>
      <c r="J212" t="s">
        <v>32</v>
      </c>
      <c r="K212" t="s">
        <v>4532</v>
      </c>
      <c r="L212">
        <v>1.25</v>
      </c>
      <c r="M212">
        <v>1.25</v>
      </c>
      <c r="N212" t="s">
        <v>2718</v>
      </c>
      <c r="P212" t="s">
        <v>4082</v>
      </c>
    </row>
    <row r="213" spans="1:16" x14ac:dyDescent="0.25">
      <c r="A213" t="s">
        <v>419</v>
      </c>
      <c r="B213" t="str">
        <f>CONCATENATE(A213,88)</f>
        <v>8W29C06XU4688</v>
      </c>
      <c r="C213" t="s">
        <v>421</v>
      </c>
      <c r="D213" t="s">
        <v>27</v>
      </c>
      <c r="E213" t="s">
        <v>28</v>
      </c>
      <c r="F213" t="s">
        <v>29</v>
      </c>
      <c r="G213" s="1">
        <v>45870</v>
      </c>
      <c r="H213" s="1">
        <v>44866</v>
      </c>
      <c r="I213">
        <v>20411454</v>
      </c>
      <c r="J213" t="s">
        <v>32</v>
      </c>
      <c r="K213" t="s">
        <v>4532</v>
      </c>
      <c r="L213">
        <v>1.25</v>
      </c>
      <c r="M213">
        <v>1.25</v>
      </c>
      <c r="N213" t="s">
        <v>2718</v>
      </c>
      <c r="P213" t="s">
        <v>4083</v>
      </c>
    </row>
    <row r="214" spans="1:16" x14ac:dyDescent="0.25">
      <c r="A214" t="s">
        <v>422</v>
      </c>
      <c r="B214" t="str">
        <f>CONCATENATE(A214,88)</f>
        <v>1AP6N93GK6888</v>
      </c>
      <c r="C214" t="s">
        <v>424</v>
      </c>
      <c r="D214" t="s">
        <v>27</v>
      </c>
      <c r="E214" t="s">
        <v>28</v>
      </c>
      <c r="F214" t="s">
        <v>29</v>
      </c>
      <c r="G214" s="1">
        <v>45870</v>
      </c>
      <c r="H214" s="1">
        <v>45078</v>
      </c>
      <c r="I214">
        <v>20411454</v>
      </c>
      <c r="J214" t="s">
        <v>32</v>
      </c>
      <c r="K214" t="s">
        <v>4532</v>
      </c>
      <c r="L214">
        <v>1.25</v>
      </c>
      <c r="M214">
        <v>1.25</v>
      </c>
      <c r="N214" t="s">
        <v>2718</v>
      </c>
      <c r="P214" t="s">
        <v>4084</v>
      </c>
    </row>
    <row r="215" spans="1:16" x14ac:dyDescent="0.25">
      <c r="A215" t="s">
        <v>438</v>
      </c>
      <c r="B215" t="str">
        <f>CONCATENATE(A215,88)</f>
        <v>9RN4TH2DV9588</v>
      </c>
      <c r="C215" t="s">
        <v>440</v>
      </c>
      <c r="D215" t="s">
        <v>27</v>
      </c>
      <c r="E215" t="s">
        <v>28</v>
      </c>
      <c r="F215" t="s">
        <v>29</v>
      </c>
      <c r="G215" s="1">
        <v>45870</v>
      </c>
      <c r="H215" s="1">
        <v>44378</v>
      </c>
      <c r="I215">
        <v>20411454</v>
      </c>
      <c r="J215" t="s">
        <v>32</v>
      </c>
      <c r="K215" t="s">
        <v>4532</v>
      </c>
      <c r="L215">
        <v>1.25</v>
      </c>
      <c r="M215">
        <v>1.25</v>
      </c>
      <c r="N215" t="s">
        <v>2718</v>
      </c>
      <c r="P215" t="s">
        <v>4085</v>
      </c>
    </row>
    <row r="216" spans="1:16" x14ac:dyDescent="0.25">
      <c r="A216" t="s">
        <v>450</v>
      </c>
      <c r="B216" t="str">
        <f>CONCATENATE(A216,88)</f>
        <v>8UP9GD5RA3988</v>
      </c>
      <c r="C216" t="s">
        <v>452</v>
      </c>
      <c r="D216" t="s">
        <v>27</v>
      </c>
      <c r="E216" t="s">
        <v>28</v>
      </c>
      <c r="F216" t="s">
        <v>29</v>
      </c>
      <c r="G216" s="1">
        <v>45870</v>
      </c>
      <c r="H216" s="1">
        <v>45017</v>
      </c>
      <c r="I216">
        <v>20411454</v>
      </c>
      <c r="J216" t="s">
        <v>32</v>
      </c>
      <c r="K216" t="s">
        <v>4532</v>
      </c>
      <c r="L216">
        <v>1.25</v>
      </c>
      <c r="M216">
        <v>1.25</v>
      </c>
      <c r="N216" t="s">
        <v>2718</v>
      </c>
      <c r="P216" t="s">
        <v>4086</v>
      </c>
    </row>
    <row r="217" spans="1:16" x14ac:dyDescent="0.25">
      <c r="A217" t="s">
        <v>453</v>
      </c>
      <c r="B217" t="str">
        <f>CONCATENATE(A217,88)</f>
        <v>9PM9U60WY3788</v>
      </c>
      <c r="C217" t="s">
        <v>455</v>
      </c>
      <c r="D217" t="s">
        <v>27</v>
      </c>
      <c r="E217" t="s">
        <v>28</v>
      </c>
      <c r="F217" t="s">
        <v>29</v>
      </c>
      <c r="G217" s="1">
        <v>45870</v>
      </c>
      <c r="H217" s="1">
        <v>44562</v>
      </c>
      <c r="I217">
        <v>20411454</v>
      </c>
      <c r="J217" t="s">
        <v>32</v>
      </c>
      <c r="K217" t="s">
        <v>4532</v>
      </c>
      <c r="L217">
        <v>1.25</v>
      </c>
      <c r="M217">
        <v>1.25</v>
      </c>
      <c r="N217" t="s">
        <v>2718</v>
      </c>
      <c r="P217" t="s">
        <v>4087</v>
      </c>
    </row>
    <row r="218" spans="1:16" x14ac:dyDescent="0.25">
      <c r="A218" t="s">
        <v>456</v>
      </c>
      <c r="B218" t="str">
        <f>CONCATENATE(A218,88)</f>
        <v>5W27CX1RP7288</v>
      </c>
      <c r="C218" t="s">
        <v>458</v>
      </c>
      <c r="D218" t="s">
        <v>27</v>
      </c>
      <c r="E218" t="s">
        <v>28</v>
      </c>
      <c r="F218" t="s">
        <v>29</v>
      </c>
      <c r="G218" s="1">
        <v>45870</v>
      </c>
      <c r="H218" s="1">
        <v>44562</v>
      </c>
      <c r="I218">
        <v>20411454</v>
      </c>
      <c r="J218" t="s">
        <v>32</v>
      </c>
      <c r="K218" t="s">
        <v>4532</v>
      </c>
      <c r="L218">
        <v>1.25</v>
      </c>
      <c r="M218">
        <v>1.25</v>
      </c>
      <c r="N218" t="s">
        <v>2718</v>
      </c>
      <c r="P218" t="s">
        <v>4088</v>
      </c>
    </row>
    <row r="219" spans="1:16" x14ac:dyDescent="0.25">
      <c r="A219" t="s">
        <v>473</v>
      </c>
      <c r="B219" t="str">
        <f>CONCATENATE(A219,88)</f>
        <v>6KJ4QN3YM6588</v>
      </c>
      <c r="C219" t="s">
        <v>476</v>
      </c>
      <c r="D219" t="s">
        <v>27</v>
      </c>
      <c r="E219" t="s">
        <v>28</v>
      </c>
      <c r="F219" t="s">
        <v>29</v>
      </c>
      <c r="G219" s="1">
        <v>45870</v>
      </c>
      <c r="H219" s="1">
        <v>43678</v>
      </c>
      <c r="I219">
        <v>20411454</v>
      </c>
      <c r="J219" t="s">
        <v>32</v>
      </c>
      <c r="K219" t="s">
        <v>4532</v>
      </c>
      <c r="L219">
        <v>1.25</v>
      </c>
      <c r="M219">
        <v>1.25</v>
      </c>
      <c r="N219" t="s">
        <v>2718</v>
      </c>
      <c r="P219" t="s">
        <v>4089</v>
      </c>
    </row>
    <row r="220" spans="1:16" x14ac:dyDescent="0.25">
      <c r="A220" t="s">
        <v>477</v>
      </c>
      <c r="B220" t="str">
        <f>CONCATENATE(A220,88)</f>
        <v>4Y08XT5EU3488</v>
      </c>
      <c r="C220" t="s">
        <v>479</v>
      </c>
      <c r="D220" t="s">
        <v>27</v>
      </c>
      <c r="E220" t="s">
        <v>28</v>
      </c>
      <c r="F220" t="s">
        <v>29</v>
      </c>
      <c r="G220" s="1">
        <v>45870</v>
      </c>
      <c r="H220" s="1">
        <v>44927</v>
      </c>
      <c r="I220">
        <v>20411454</v>
      </c>
      <c r="J220" t="s">
        <v>32</v>
      </c>
      <c r="K220" t="s">
        <v>4532</v>
      </c>
      <c r="L220">
        <v>1.25</v>
      </c>
      <c r="M220">
        <v>1.25</v>
      </c>
      <c r="N220" t="s">
        <v>2718</v>
      </c>
      <c r="P220" t="s">
        <v>4090</v>
      </c>
    </row>
    <row r="221" spans="1:16" x14ac:dyDescent="0.25">
      <c r="A221" t="s">
        <v>510</v>
      </c>
      <c r="B221" t="str">
        <f>CONCATENATE(A221,88)</f>
        <v>5XQ1Y11UG0688</v>
      </c>
      <c r="C221" t="s">
        <v>512</v>
      </c>
      <c r="D221" t="s">
        <v>27</v>
      </c>
      <c r="E221" t="s">
        <v>28</v>
      </c>
      <c r="F221" t="s">
        <v>29</v>
      </c>
      <c r="G221" s="1">
        <v>45870</v>
      </c>
      <c r="H221" s="1">
        <v>44317</v>
      </c>
      <c r="I221">
        <v>20411454</v>
      </c>
      <c r="J221" t="s">
        <v>32</v>
      </c>
      <c r="K221" t="s">
        <v>4532</v>
      </c>
      <c r="L221">
        <v>1.25</v>
      </c>
      <c r="M221">
        <v>1.25</v>
      </c>
      <c r="N221" t="s">
        <v>2718</v>
      </c>
      <c r="P221" t="s">
        <v>4091</v>
      </c>
    </row>
    <row r="222" spans="1:16" x14ac:dyDescent="0.25">
      <c r="A222" t="s">
        <v>525</v>
      </c>
      <c r="B222" t="str">
        <f>CONCATENATE(A222,88)</f>
        <v>6J83EA8NJ7488</v>
      </c>
      <c r="C222" t="s">
        <v>527</v>
      </c>
      <c r="D222" t="s">
        <v>27</v>
      </c>
      <c r="E222" t="s">
        <v>28</v>
      </c>
      <c r="F222" t="s">
        <v>29</v>
      </c>
      <c r="G222" s="1">
        <v>45870</v>
      </c>
      <c r="H222" s="1">
        <v>44562</v>
      </c>
      <c r="I222">
        <v>20411454</v>
      </c>
      <c r="J222" t="s">
        <v>32</v>
      </c>
      <c r="K222" t="s">
        <v>4532</v>
      </c>
      <c r="L222">
        <v>1.25</v>
      </c>
      <c r="M222">
        <v>1.25</v>
      </c>
      <c r="N222" t="s">
        <v>2718</v>
      </c>
      <c r="P222" t="s">
        <v>4092</v>
      </c>
    </row>
    <row r="223" spans="1:16" x14ac:dyDescent="0.25">
      <c r="A223" t="s">
        <v>528</v>
      </c>
      <c r="B223" t="str">
        <f>CONCATENATE(A223,88)</f>
        <v>2UG9PG4PE3788</v>
      </c>
      <c r="C223" t="s">
        <v>530</v>
      </c>
      <c r="D223" t="s">
        <v>27</v>
      </c>
      <c r="E223" t="s">
        <v>28</v>
      </c>
      <c r="F223" t="s">
        <v>29</v>
      </c>
      <c r="G223" s="1">
        <v>45870</v>
      </c>
      <c r="H223" s="1">
        <v>44562</v>
      </c>
      <c r="I223">
        <v>20411454</v>
      </c>
      <c r="J223" t="s">
        <v>32</v>
      </c>
      <c r="K223" t="s">
        <v>4532</v>
      </c>
      <c r="L223">
        <v>1.25</v>
      </c>
      <c r="M223">
        <v>1.25</v>
      </c>
      <c r="N223" t="s">
        <v>2718</v>
      </c>
      <c r="P223" t="s">
        <v>4093</v>
      </c>
    </row>
    <row r="224" spans="1:16" x14ac:dyDescent="0.25">
      <c r="A224" t="s">
        <v>540</v>
      </c>
      <c r="B224" t="str">
        <f>CONCATENATE(A224,88)</f>
        <v>9EM1M61UF9288</v>
      </c>
      <c r="C224" t="s">
        <v>542</v>
      </c>
      <c r="D224" t="s">
        <v>27</v>
      </c>
      <c r="E224" t="s">
        <v>28</v>
      </c>
      <c r="F224" t="s">
        <v>29</v>
      </c>
      <c r="G224" s="1">
        <v>45870</v>
      </c>
      <c r="H224" s="1">
        <v>45658</v>
      </c>
      <c r="I224">
        <v>20411454</v>
      </c>
      <c r="J224" t="s">
        <v>32</v>
      </c>
      <c r="K224" t="s">
        <v>4532</v>
      </c>
      <c r="L224">
        <v>1.25</v>
      </c>
      <c r="M224">
        <v>1.25</v>
      </c>
      <c r="N224" t="s">
        <v>2718</v>
      </c>
      <c r="P224" t="s">
        <v>4094</v>
      </c>
    </row>
    <row r="225" spans="1:16" x14ac:dyDescent="0.25">
      <c r="A225" t="s">
        <v>543</v>
      </c>
      <c r="B225" t="str">
        <f>CONCATENATE(A225,88)</f>
        <v>1GQ4HK8WW9888</v>
      </c>
      <c r="C225" t="s">
        <v>545</v>
      </c>
      <c r="D225" t="s">
        <v>27</v>
      </c>
      <c r="E225" t="s">
        <v>28</v>
      </c>
      <c r="F225" t="s">
        <v>29</v>
      </c>
      <c r="G225" s="1">
        <v>45870</v>
      </c>
      <c r="H225" s="1">
        <v>44562</v>
      </c>
      <c r="I225">
        <v>20411454</v>
      </c>
      <c r="J225" t="s">
        <v>32</v>
      </c>
      <c r="K225" t="s">
        <v>4532</v>
      </c>
      <c r="L225">
        <v>1.25</v>
      </c>
      <c r="M225">
        <v>1.25</v>
      </c>
      <c r="N225" t="s">
        <v>2718</v>
      </c>
      <c r="P225" t="s">
        <v>4095</v>
      </c>
    </row>
    <row r="226" spans="1:16" x14ac:dyDescent="0.25">
      <c r="A226" t="s">
        <v>546</v>
      </c>
      <c r="B226" t="str">
        <f>CONCATENATE(A226,88)</f>
        <v>7U34PH5NR7588</v>
      </c>
      <c r="C226" t="s">
        <v>548</v>
      </c>
      <c r="D226" t="s">
        <v>27</v>
      </c>
      <c r="E226" t="s">
        <v>28</v>
      </c>
      <c r="F226" t="s">
        <v>29</v>
      </c>
      <c r="G226" s="1">
        <v>45870</v>
      </c>
      <c r="H226" s="1">
        <v>44562</v>
      </c>
      <c r="I226">
        <v>20411454</v>
      </c>
      <c r="J226" t="s">
        <v>32</v>
      </c>
      <c r="K226" t="s">
        <v>4532</v>
      </c>
      <c r="L226">
        <v>1.25</v>
      </c>
      <c r="M226">
        <v>1.25</v>
      </c>
      <c r="N226" t="s">
        <v>2718</v>
      </c>
      <c r="P226" t="s">
        <v>4096</v>
      </c>
    </row>
    <row r="227" spans="1:16" x14ac:dyDescent="0.25">
      <c r="A227" t="s">
        <v>549</v>
      </c>
      <c r="B227" t="str">
        <f>CONCATENATE(A227,88)</f>
        <v>7KH9VW0JR1088</v>
      </c>
      <c r="C227" t="s">
        <v>551</v>
      </c>
      <c r="D227" t="s">
        <v>27</v>
      </c>
      <c r="E227" t="s">
        <v>28</v>
      </c>
      <c r="F227" t="s">
        <v>29</v>
      </c>
      <c r="G227" s="1">
        <v>45870</v>
      </c>
      <c r="H227" s="1">
        <v>44562</v>
      </c>
      <c r="I227">
        <v>20411454</v>
      </c>
      <c r="J227" t="s">
        <v>32</v>
      </c>
      <c r="K227" t="s">
        <v>4532</v>
      </c>
      <c r="L227">
        <v>1.25</v>
      </c>
      <c r="M227">
        <v>1.25</v>
      </c>
      <c r="N227" t="s">
        <v>2718</v>
      </c>
      <c r="P227" t="s">
        <v>4097</v>
      </c>
    </row>
    <row r="228" spans="1:16" x14ac:dyDescent="0.25">
      <c r="A228" t="s">
        <v>555</v>
      </c>
      <c r="B228" t="str">
        <f>CONCATENATE(A228,88)</f>
        <v>6V66M16FR5088</v>
      </c>
      <c r="C228" t="s">
        <v>557</v>
      </c>
      <c r="D228" t="s">
        <v>27</v>
      </c>
      <c r="E228" t="s">
        <v>28</v>
      </c>
      <c r="F228" t="s">
        <v>29</v>
      </c>
      <c r="G228" s="1">
        <v>45870</v>
      </c>
      <c r="H228" s="1">
        <v>45658</v>
      </c>
      <c r="I228">
        <v>20411454</v>
      </c>
      <c r="J228" t="s">
        <v>32</v>
      </c>
      <c r="K228" t="s">
        <v>4532</v>
      </c>
      <c r="L228">
        <v>1.25</v>
      </c>
      <c r="M228">
        <v>1.25</v>
      </c>
      <c r="N228" t="s">
        <v>2718</v>
      </c>
      <c r="P228" t="s">
        <v>4098</v>
      </c>
    </row>
    <row r="229" spans="1:16" x14ac:dyDescent="0.25">
      <c r="A229" t="s">
        <v>558</v>
      </c>
      <c r="B229" t="str">
        <f>CONCATENATE(A229,88)</f>
        <v>9DX5DR2NA5788</v>
      </c>
      <c r="C229" t="s">
        <v>560</v>
      </c>
      <c r="D229" t="s">
        <v>27</v>
      </c>
      <c r="E229" t="s">
        <v>28</v>
      </c>
      <c r="F229" t="s">
        <v>29</v>
      </c>
      <c r="G229" s="1">
        <v>45870</v>
      </c>
      <c r="H229" s="1">
        <v>45658</v>
      </c>
      <c r="I229">
        <v>20411454</v>
      </c>
      <c r="J229" t="s">
        <v>32</v>
      </c>
      <c r="K229" t="s">
        <v>4532</v>
      </c>
      <c r="L229">
        <v>1.25</v>
      </c>
      <c r="M229">
        <v>1.25</v>
      </c>
      <c r="N229" t="s">
        <v>2718</v>
      </c>
      <c r="P229" t="s">
        <v>4099</v>
      </c>
    </row>
    <row r="230" spans="1:16" x14ac:dyDescent="0.25">
      <c r="A230" t="s">
        <v>564</v>
      </c>
      <c r="B230" t="str">
        <f>CONCATENATE(A230,88)</f>
        <v>3QW7MU4TA4688</v>
      </c>
      <c r="C230" t="s">
        <v>566</v>
      </c>
      <c r="D230" t="s">
        <v>27</v>
      </c>
      <c r="E230" t="s">
        <v>28</v>
      </c>
      <c r="F230" t="s">
        <v>29</v>
      </c>
      <c r="G230" s="1">
        <v>45870</v>
      </c>
      <c r="H230" s="1">
        <v>44652</v>
      </c>
      <c r="I230">
        <v>20411454</v>
      </c>
      <c r="J230" t="s">
        <v>32</v>
      </c>
      <c r="K230" t="s">
        <v>4532</v>
      </c>
      <c r="L230">
        <v>1.25</v>
      </c>
      <c r="M230">
        <v>1.25</v>
      </c>
      <c r="N230" t="s">
        <v>2718</v>
      </c>
      <c r="P230" t="s">
        <v>4100</v>
      </c>
    </row>
    <row r="231" spans="1:16" x14ac:dyDescent="0.25">
      <c r="A231" t="s">
        <v>567</v>
      </c>
      <c r="B231" t="str">
        <f>CONCATENATE(A231,88)</f>
        <v>5QC0AF4HW3788</v>
      </c>
      <c r="C231" t="s">
        <v>569</v>
      </c>
      <c r="D231" t="s">
        <v>27</v>
      </c>
      <c r="E231" t="s">
        <v>28</v>
      </c>
      <c r="F231" t="s">
        <v>29</v>
      </c>
      <c r="G231" s="1">
        <v>45870</v>
      </c>
      <c r="H231" s="1">
        <v>44927</v>
      </c>
      <c r="I231">
        <v>20411454</v>
      </c>
      <c r="J231" t="s">
        <v>32</v>
      </c>
      <c r="K231" t="s">
        <v>4532</v>
      </c>
      <c r="L231">
        <v>1.25</v>
      </c>
      <c r="M231">
        <v>1.25</v>
      </c>
      <c r="N231" t="s">
        <v>2718</v>
      </c>
      <c r="P231" t="s">
        <v>4101</v>
      </c>
    </row>
    <row r="232" spans="1:16" x14ac:dyDescent="0.25">
      <c r="A232" t="s">
        <v>574</v>
      </c>
      <c r="B232" t="str">
        <f>CONCATENATE(A232,88)</f>
        <v>2GX6NR7PU5288</v>
      </c>
      <c r="C232" t="s">
        <v>576</v>
      </c>
      <c r="D232" t="s">
        <v>27</v>
      </c>
      <c r="E232" t="s">
        <v>28</v>
      </c>
      <c r="F232" t="s">
        <v>29</v>
      </c>
      <c r="G232" s="1">
        <v>45870</v>
      </c>
      <c r="H232" s="1">
        <v>44378</v>
      </c>
      <c r="I232">
        <v>20411454</v>
      </c>
      <c r="J232" t="s">
        <v>32</v>
      </c>
      <c r="K232" t="s">
        <v>4532</v>
      </c>
      <c r="L232">
        <v>1.25</v>
      </c>
      <c r="M232">
        <v>1.25</v>
      </c>
      <c r="N232" t="s">
        <v>2718</v>
      </c>
      <c r="P232" t="s">
        <v>4102</v>
      </c>
    </row>
    <row r="233" spans="1:16" x14ac:dyDescent="0.25">
      <c r="A233" t="s">
        <v>595</v>
      </c>
      <c r="B233" t="str">
        <f>CONCATENATE(A233,88)</f>
        <v>9EY2PH9ET2188</v>
      </c>
      <c r="C233" t="s">
        <v>597</v>
      </c>
      <c r="D233" t="s">
        <v>27</v>
      </c>
      <c r="E233" t="s">
        <v>28</v>
      </c>
      <c r="F233" t="s">
        <v>29</v>
      </c>
      <c r="G233" s="1">
        <v>45870</v>
      </c>
      <c r="H233" s="1">
        <v>44927</v>
      </c>
      <c r="I233">
        <v>20411454</v>
      </c>
      <c r="J233" t="s">
        <v>32</v>
      </c>
      <c r="K233" t="s">
        <v>4532</v>
      </c>
      <c r="L233">
        <v>1.25</v>
      </c>
      <c r="M233">
        <v>1.25</v>
      </c>
      <c r="N233" t="s">
        <v>2718</v>
      </c>
      <c r="P233" t="s">
        <v>4103</v>
      </c>
    </row>
    <row r="234" spans="1:16" x14ac:dyDescent="0.25">
      <c r="A234" t="s">
        <v>601</v>
      </c>
      <c r="B234" t="str">
        <f>CONCATENATE(A234,88)</f>
        <v>1FJ4EG7MQ9888</v>
      </c>
      <c r="C234" t="s">
        <v>603</v>
      </c>
      <c r="D234" t="s">
        <v>27</v>
      </c>
      <c r="E234" t="s">
        <v>28</v>
      </c>
      <c r="F234" t="s">
        <v>29</v>
      </c>
      <c r="G234" s="1">
        <v>45870</v>
      </c>
      <c r="H234" s="1">
        <v>44562</v>
      </c>
      <c r="I234">
        <v>20411454</v>
      </c>
      <c r="J234" t="s">
        <v>32</v>
      </c>
      <c r="K234" t="s">
        <v>4532</v>
      </c>
      <c r="L234">
        <v>1.25</v>
      </c>
      <c r="M234">
        <v>1.25</v>
      </c>
      <c r="N234" t="s">
        <v>2718</v>
      </c>
      <c r="P234" t="s">
        <v>4104</v>
      </c>
    </row>
    <row r="235" spans="1:16" x14ac:dyDescent="0.25">
      <c r="A235" t="s">
        <v>607</v>
      </c>
      <c r="B235" t="str">
        <f>CONCATENATE(A235,88)</f>
        <v>2UJ3P71AA7688</v>
      </c>
      <c r="C235" t="s">
        <v>609</v>
      </c>
      <c r="D235" t="s">
        <v>27</v>
      </c>
      <c r="E235" t="s">
        <v>28</v>
      </c>
      <c r="F235" t="s">
        <v>29</v>
      </c>
      <c r="G235" s="1">
        <v>45870</v>
      </c>
      <c r="H235" s="1">
        <v>44927</v>
      </c>
      <c r="I235">
        <v>20411454</v>
      </c>
      <c r="J235" t="s">
        <v>32</v>
      </c>
      <c r="K235" t="s">
        <v>4532</v>
      </c>
      <c r="L235">
        <v>1.25</v>
      </c>
      <c r="M235">
        <v>1.25</v>
      </c>
      <c r="N235" t="s">
        <v>2718</v>
      </c>
      <c r="P235" t="s">
        <v>4105</v>
      </c>
    </row>
    <row r="236" spans="1:16" x14ac:dyDescent="0.25">
      <c r="A236" t="s">
        <v>627</v>
      </c>
      <c r="B236" t="str">
        <f>CONCATENATE(A236,88)</f>
        <v>7CR9X01MC1388</v>
      </c>
      <c r="C236" t="s">
        <v>629</v>
      </c>
      <c r="D236" t="s">
        <v>27</v>
      </c>
      <c r="E236" t="s">
        <v>28</v>
      </c>
      <c r="F236" t="s">
        <v>29</v>
      </c>
      <c r="G236" s="1">
        <v>45870</v>
      </c>
      <c r="H236" s="1">
        <v>44805</v>
      </c>
      <c r="I236">
        <v>20411454</v>
      </c>
      <c r="J236" t="s">
        <v>32</v>
      </c>
      <c r="K236" t="s">
        <v>4532</v>
      </c>
      <c r="L236">
        <v>1.25</v>
      </c>
      <c r="M236">
        <v>1.25</v>
      </c>
      <c r="N236" t="s">
        <v>2718</v>
      </c>
      <c r="P236" t="s">
        <v>4106</v>
      </c>
    </row>
    <row r="237" spans="1:16" x14ac:dyDescent="0.25">
      <c r="A237" t="s">
        <v>630</v>
      </c>
      <c r="B237" t="str">
        <f>CONCATENATE(A237,88)</f>
        <v>6T41FH6KY1288</v>
      </c>
      <c r="C237" t="s">
        <v>632</v>
      </c>
      <c r="D237" t="s">
        <v>27</v>
      </c>
      <c r="E237" t="s">
        <v>28</v>
      </c>
      <c r="F237" t="s">
        <v>29</v>
      </c>
      <c r="G237" s="1">
        <v>45870</v>
      </c>
      <c r="H237" s="1">
        <v>44805</v>
      </c>
      <c r="I237">
        <v>20411454</v>
      </c>
      <c r="J237" t="s">
        <v>32</v>
      </c>
      <c r="K237" t="s">
        <v>4532</v>
      </c>
      <c r="L237">
        <v>1.25</v>
      </c>
      <c r="M237">
        <v>1.25</v>
      </c>
      <c r="N237" t="s">
        <v>2718</v>
      </c>
      <c r="P237" t="s">
        <v>4107</v>
      </c>
    </row>
    <row r="238" spans="1:16" x14ac:dyDescent="0.25">
      <c r="A238" t="s">
        <v>639</v>
      </c>
      <c r="B238" t="str">
        <f>CONCATENATE(A238,88)</f>
        <v>8YX3X15UY9688</v>
      </c>
      <c r="C238" t="s">
        <v>641</v>
      </c>
      <c r="D238" t="s">
        <v>27</v>
      </c>
      <c r="E238" t="s">
        <v>28</v>
      </c>
      <c r="F238" t="s">
        <v>29</v>
      </c>
      <c r="G238" s="1">
        <v>45870</v>
      </c>
      <c r="H238" s="1">
        <v>44652</v>
      </c>
      <c r="I238">
        <v>20411454</v>
      </c>
      <c r="J238" t="s">
        <v>32</v>
      </c>
      <c r="K238" t="s">
        <v>4532</v>
      </c>
      <c r="L238">
        <v>1.25</v>
      </c>
      <c r="M238">
        <v>1.25</v>
      </c>
      <c r="N238" t="s">
        <v>2718</v>
      </c>
      <c r="P238" t="s">
        <v>4108</v>
      </c>
    </row>
    <row r="239" spans="1:16" x14ac:dyDescent="0.25">
      <c r="A239" t="s">
        <v>653</v>
      </c>
      <c r="B239" t="str">
        <f>CONCATENATE(A239,88)</f>
        <v>4UN6CW0EA5988</v>
      </c>
      <c r="C239" t="s">
        <v>655</v>
      </c>
      <c r="D239" t="s">
        <v>27</v>
      </c>
      <c r="E239" t="s">
        <v>28</v>
      </c>
      <c r="F239" t="s">
        <v>29</v>
      </c>
      <c r="G239" s="1">
        <v>45870</v>
      </c>
      <c r="H239" s="1">
        <v>45078</v>
      </c>
      <c r="I239">
        <v>20411454</v>
      </c>
      <c r="J239" t="s">
        <v>32</v>
      </c>
      <c r="K239" t="s">
        <v>4532</v>
      </c>
      <c r="L239">
        <v>1.25</v>
      </c>
      <c r="M239">
        <v>1.25</v>
      </c>
      <c r="N239" t="s">
        <v>2718</v>
      </c>
      <c r="P239" t="s">
        <v>4109</v>
      </c>
    </row>
    <row r="240" spans="1:16" x14ac:dyDescent="0.25">
      <c r="A240" t="s">
        <v>675</v>
      </c>
      <c r="B240" t="str">
        <f>CONCATENATE(A240,88)</f>
        <v>4GG5AG9CX8288</v>
      </c>
      <c r="C240" t="s">
        <v>677</v>
      </c>
      <c r="D240" t="s">
        <v>27</v>
      </c>
      <c r="E240" t="s">
        <v>28</v>
      </c>
      <c r="F240" t="s">
        <v>29</v>
      </c>
      <c r="G240" s="1">
        <v>45870</v>
      </c>
      <c r="H240" s="1">
        <v>44166</v>
      </c>
      <c r="I240">
        <v>20411454</v>
      </c>
      <c r="J240" t="s">
        <v>32</v>
      </c>
      <c r="K240" t="s">
        <v>4532</v>
      </c>
      <c r="L240">
        <v>1.25</v>
      </c>
      <c r="M240">
        <v>1.25</v>
      </c>
      <c r="N240" t="s">
        <v>2718</v>
      </c>
      <c r="P240" t="s">
        <v>4110</v>
      </c>
    </row>
    <row r="241" spans="1:16" x14ac:dyDescent="0.25">
      <c r="A241" t="s">
        <v>678</v>
      </c>
      <c r="B241" t="str">
        <f>CONCATENATE(A241,88)</f>
        <v>2D06Y23HE8288</v>
      </c>
      <c r="C241" t="s">
        <v>680</v>
      </c>
      <c r="D241" t="s">
        <v>27</v>
      </c>
      <c r="E241" t="s">
        <v>28</v>
      </c>
      <c r="F241" t="s">
        <v>29</v>
      </c>
      <c r="G241" s="1">
        <v>45870</v>
      </c>
      <c r="H241" s="1">
        <v>44197</v>
      </c>
      <c r="I241">
        <v>20411454</v>
      </c>
      <c r="J241" t="s">
        <v>32</v>
      </c>
      <c r="K241" t="s">
        <v>4532</v>
      </c>
      <c r="L241">
        <v>1.25</v>
      </c>
      <c r="M241">
        <v>1.25</v>
      </c>
      <c r="N241" t="s">
        <v>2718</v>
      </c>
      <c r="P241" t="s">
        <v>4111</v>
      </c>
    </row>
    <row r="242" spans="1:16" x14ac:dyDescent="0.25">
      <c r="A242" t="s">
        <v>681</v>
      </c>
      <c r="B242" t="str">
        <f>CONCATENATE(A242,88)</f>
        <v>8GX9WC8NT3188</v>
      </c>
      <c r="C242" t="s">
        <v>683</v>
      </c>
      <c r="D242" t="s">
        <v>27</v>
      </c>
      <c r="E242" t="s">
        <v>28</v>
      </c>
      <c r="F242" t="s">
        <v>29</v>
      </c>
      <c r="G242" s="1">
        <v>45870</v>
      </c>
      <c r="H242" s="1">
        <v>44774</v>
      </c>
      <c r="I242">
        <v>20411454</v>
      </c>
      <c r="J242" t="s">
        <v>32</v>
      </c>
      <c r="K242" t="s">
        <v>4532</v>
      </c>
      <c r="L242">
        <v>1.25</v>
      </c>
      <c r="M242">
        <v>1.25</v>
      </c>
      <c r="N242" t="s">
        <v>2718</v>
      </c>
      <c r="P242" t="s">
        <v>4112</v>
      </c>
    </row>
    <row r="243" spans="1:16" x14ac:dyDescent="0.25">
      <c r="A243" t="s">
        <v>687</v>
      </c>
      <c r="B243" t="str">
        <f>CONCATENATE(A243,88)</f>
        <v>4WQ0M85VT0588</v>
      </c>
      <c r="C243" t="s">
        <v>689</v>
      </c>
      <c r="D243" t="s">
        <v>27</v>
      </c>
      <c r="E243" t="s">
        <v>28</v>
      </c>
      <c r="F243" t="s">
        <v>29</v>
      </c>
      <c r="G243" s="1">
        <v>45870</v>
      </c>
      <c r="H243" s="1">
        <v>44958</v>
      </c>
      <c r="I243">
        <v>20411454</v>
      </c>
      <c r="J243" t="s">
        <v>32</v>
      </c>
      <c r="K243" t="s">
        <v>4532</v>
      </c>
      <c r="L243">
        <v>1.25</v>
      </c>
      <c r="M243">
        <v>1.25</v>
      </c>
      <c r="N243" t="s">
        <v>2718</v>
      </c>
      <c r="P243" t="s">
        <v>4113</v>
      </c>
    </row>
    <row r="244" spans="1:16" x14ac:dyDescent="0.25">
      <c r="A244" t="s">
        <v>696</v>
      </c>
      <c r="B244" t="str">
        <f>CONCATENATE(A244,88)</f>
        <v>7HY5HV0HC7988</v>
      </c>
      <c r="C244" t="s">
        <v>698</v>
      </c>
      <c r="D244" t="s">
        <v>27</v>
      </c>
      <c r="E244" t="s">
        <v>28</v>
      </c>
      <c r="F244" t="s">
        <v>29</v>
      </c>
      <c r="G244" s="1">
        <v>45870</v>
      </c>
      <c r="H244" s="1">
        <v>44927</v>
      </c>
      <c r="I244">
        <v>20411454</v>
      </c>
      <c r="J244" t="s">
        <v>32</v>
      </c>
      <c r="K244" t="s">
        <v>4532</v>
      </c>
      <c r="L244">
        <v>1.25</v>
      </c>
      <c r="M244">
        <v>1.25</v>
      </c>
      <c r="N244" t="s">
        <v>2718</v>
      </c>
      <c r="P244" t="s">
        <v>4114</v>
      </c>
    </row>
    <row r="245" spans="1:16" x14ac:dyDescent="0.25">
      <c r="A245" t="s">
        <v>699</v>
      </c>
      <c r="B245" t="str">
        <f>CONCATENATE(A245,88)</f>
        <v>1JY8EU7XT6288</v>
      </c>
      <c r="C245" t="s">
        <v>701</v>
      </c>
      <c r="D245" t="s">
        <v>27</v>
      </c>
      <c r="E245" t="s">
        <v>28</v>
      </c>
      <c r="F245" t="s">
        <v>29</v>
      </c>
      <c r="G245" s="1">
        <v>45870</v>
      </c>
      <c r="H245" s="1">
        <v>44562</v>
      </c>
      <c r="I245">
        <v>20411454</v>
      </c>
      <c r="J245" t="s">
        <v>32</v>
      </c>
      <c r="K245" t="s">
        <v>4532</v>
      </c>
      <c r="L245">
        <v>1.25</v>
      </c>
      <c r="M245">
        <v>1.25</v>
      </c>
      <c r="N245" t="s">
        <v>2718</v>
      </c>
      <c r="P245" t="s">
        <v>4115</v>
      </c>
    </row>
    <row r="246" spans="1:16" x14ac:dyDescent="0.25">
      <c r="A246" t="s">
        <v>708</v>
      </c>
      <c r="B246" t="str">
        <f>CONCATENATE(A246,88)</f>
        <v>1FN6YW2GH5588</v>
      </c>
      <c r="C246" t="s">
        <v>710</v>
      </c>
      <c r="D246" t="s">
        <v>27</v>
      </c>
      <c r="E246" t="s">
        <v>28</v>
      </c>
      <c r="F246" t="s">
        <v>29</v>
      </c>
      <c r="G246" s="1">
        <v>45870</v>
      </c>
      <c r="H246" s="1">
        <v>44866</v>
      </c>
      <c r="I246">
        <v>20411454</v>
      </c>
      <c r="J246" t="s">
        <v>32</v>
      </c>
      <c r="K246" t="s">
        <v>4532</v>
      </c>
      <c r="L246">
        <v>1.25</v>
      </c>
      <c r="M246">
        <v>1.25</v>
      </c>
      <c r="N246" t="s">
        <v>2718</v>
      </c>
      <c r="P246" t="s">
        <v>4116</v>
      </c>
    </row>
    <row r="247" spans="1:16" x14ac:dyDescent="0.25">
      <c r="A247" t="s">
        <v>715</v>
      </c>
      <c r="B247" t="str">
        <f>CONCATENATE(A247,88)</f>
        <v>3U15X95MU8488</v>
      </c>
      <c r="C247" t="s">
        <v>717</v>
      </c>
      <c r="D247" t="s">
        <v>27</v>
      </c>
      <c r="E247" t="s">
        <v>28</v>
      </c>
      <c r="F247" t="s">
        <v>29</v>
      </c>
      <c r="G247" s="1">
        <v>45870</v>
      </c>
      <c r="H247" s="1">
        <v>44593</v>
      </c>
      <c r="I247">
        <v>20411454</v>
      </c>
      <c r="J247" t="s">
        <v>32</v>
      </c>
      <c r="K247" t="s">
        <v>4532</v>
      </c>
      <c r="L247">
        <v>1.25</v>
      </c>
      <c r="M247">
        <v>1.25</v>
      </c>
      <c r="N247" t="s">
        <v>2718</v>
      </c>
      <c r="P247" t="s">
        <v>4117</v>
      </c>
    </row>
    <row r="248" spans="1:16" x14ac:dyDescent="0.25">
      <c r="A248" t="s">
        <v>718</v>
      </c>
      <c r="B248" t="str">
        <f>CONCATENATE(A248,88)</f>
        <v>4HQ7G09JK7988</v>
      </c>
      <c r="C248" t="s">
        <v>720</v>
      </c>
      <c r="D248" t="s">
        <v>27</v>
      </c>
      <c r="E248" t="s">
        <v>28</v>
      </c>
      <c r="F248" t="s">
        <v>29</v>
      </c>
      <c r="G248" s="1">
        <v>45870</v>
      </c>
      <c r="H248" s="1">
        <v>45597</v>
      </c>
      <c r="I248">
        <v>20411454</v>
      </c>
      <c r="J248" t="s">
        <v>32</v>
      </c>
      <c r="K248" t="s">
        <v>4532</v>
      </c>
      <c r="L248">
        <v>1.25</v>
      </c>
      <c r="M248">
        <v>1.25</v>
      </c>
      <c r="N248" t="s">
        <v>2718</v>
      </c>
      <c r="P248" t="s">
        <v>4118</v>
      </c>
    </row>
    <row r="249" spans="1:16" x14ac:dyDescent="0.25">
      <c r="A249" t="s">
        <v>727</v>
      </c>
      <c r="B249" t="str">
        <f>CONCATENATE(A249,88)</f>
        <v>6X06DT2PY5088</v>
      </c>
      <c r="C249" t="s">
        <v>729</v>
      </c>
      <c r="D249" t="s">
        <v>27</v>
      </c>
      <c r="E249" t="s">
        <v>28</v>
      </c>
      <c r="F249" t="s">
        <v>29</v>
      </c>
      <c r="G249" s="1">
        <v>45870</v>
      </c>
      <c r="H249" s="1">
        <v>44927</v>
      </c>
      <c r="I249">
        <v>20411454</v>
      </c>
      <c r="J249" t="s">
        <v>32</v>
      </c>
      <c r="K249" t="s">
        <v>4532</v>
      </c>
      <c r="L249">
        <v>1.25</v>
      </c>
      <c r="M249">
        <v>1.25</v>
      </c>
      <c r="N249" t="s">
        <v>2718</v>
      </c>
      <c r="P249" t="s">
        <v>4119</v>
      </c>
    </row>
    <row r="250" spans="1:16" x14ac:dyDescent="0.25">
      <c r="A250" t="s">
        <v>737</v>
      </c>
      <c r="B250" t="str">
        <f>CONCATENATE(A250,88)</f>
        <v>7VY8KG8UA3088</v>
      </c>
      <c r="C250" t="s">
        <v>739</v>
      </c>
      <c r="D250" t="s">
        <v>27</v>
      </c>
      <c r="E250" t="s">
        <v>28</v>
      </c>
      <c r="F250" t="s">
        <v>29</v>
      </c>
      <c r="G250" s="1">
        <v>45870</v>
      </c>
      <c r="H250" s="1">
        <v>44743</v>
      </c>
      <c r="I250">
        <v>20411454</v>
      </c>
      <c r="J250" t="s">
        <v>32</v>
      </c>
      <c r="K250" t="s">
        <v>4532</v>
      </c>
      <c r="L250">
        <v>1.25</v>
      </c>
      <c r="M250">
        <v>1.25</v>
      </c>
      <c r="N250" t="s">
        <v>2718</v>
      </c>
      <c r="P250" t="s">
        <v>4120</v>
      </c>
    </row>
    <row r="251" spans="1:16" x14ac:dyDescent="0.25">
      <c r="A251" t="s">
        <v>740</v>
      </c>
      <c r="B251" t="str">
        <f>CONCATENATE(A251,88)</f>
        <v>8G88U84EJ5488</v>
      </c>
      <c r="C251" t="s">
        <v>742</v>
      </c>
      <c r="D251" t="s">
        <v>27</v>
      </c>
      <c r="E251" t="s">
        <v>28</v>
      </c>
      <c r="F251" t="s">
        <v>29</v>
      </c>
      <c r="G251" s="1">
        <v>45870</v>
      </c>
      <c r="H251" s="1">
        <v>44562</v>
      </c>
      <c r="I251">
        <v>20411454</v>
      </c>
      <c r="J251" t="s">
        <v>32</v>
      </c>
      <c r="K251" t="s">
        <v>4532</v>
      </c>
      <c r="L251">
        <v>1.25</v>
      </c>
      <c r="M251">
        <v>1.25</v>
      </c>
      <c r="N251" t="s">
        <v>2718</v>
      </c>
      <c r="P251" t="s">
        <v>4121</v>
      </c>
    </row>
    <row r="252" spans="1:16" x14ac:dyDescent="0.25">
      <c r="A252" t="s">
        <v>743</v>
      </c>
      <c r="B252" t="str">
        <f>CONCATENATE(A252,88)</f>
        <v>8MM3YC9WG7388</v>
      </c>
      <c r="C252" t="s">
        <v>745</v>
      </c>
      <c r="D252" t="s">
        <v>27</v>
      </c>
      <c r="E252" t="s">
        <v>28</v>
      </c>
      <c r="F252" t="s">
        <v>29</v>
      </c>
      <c r="G252" s="1">
        <v>45870</v>
      </c>
      <c r="H252" s="1">
        <v>44562</v>
      </c>
      <c r="I252">
        <v>20411454</v>
      </c>
      <c r="J252" t="s">
        <v>32</v>
      </c>
      <c r="K252" t="s">
        <v>4532</v>
      </c>
      <c r="L252">
        <v>1.25</v>
      </c>
      <c r="M252">
        <v>1.25</v>
      </c>
      <c r="N252" t="s">
        <v>2718</v>
      </c>
      <c r="P252" t="s">
        <v>4122</v>
      </c>
    </row>
    <row r="253" spans="1:16" x14ac:dyDescent="0.25">
      <c r="A253" t="s">
        <v>746</v>
      </c>
      <c r="B253" t="str">
        <f>CONCATENATE(A253,88)</f>
        <v>1QK5C60CU7288</v>
      </c>
      <c r="C253" t="s">
        <v>748</v>
      </c>
      <c r="D253" t="s">
        <v>27</v>
      </c>
      <c r="E253" t="s">
        <v>28</v>
      </c>
      <c r="F253" t="s">
        <v>29</v>
      </c>
      <c r="G253" s="1">
        <v>45870</v>
      </c>
      <c r="H253" s="1">
        <v>44562</v>
      </c>
      <c r="I253">
        <v>20411454</v>
      </c>
      <c r="J253" t="s">
        <v>32</v>
      </c>
      <c r="K253" t="s">
        <v>4532</v>
      </c>
      <c r="L253">
        <v>1.25</v>
      </c>
      <c r="M253">
        <v>1.25</v>
      </c>
      <c r="N253" t="s">
        <v>2718</v>
      </c>
      <c r="P253" t="s">
        <v>4123</v>
      </c>
    </row>
    <row r="254" spans="1:16" x14ac:dyDescent="0.25">
      <c r="A254" t="s">
        <v>765</v>
      </c>
      <c r="B254" t="str">
        <f>CONCATENATE(A254,88)</f>
        <v>3KC2UA5JX8088</v>
      </c>
      <c r="C254" t="s">
        <v>767</v>
      </c>
      <c r="D254" t="s">
        <v>27</v>
      </c>
      <c r="E254" t="s">
        <v>28</v>
      </c>
      <c r="F254" t="s">
        <v>29</v>
      </c>
      <c r="G254" s="1">
        <v>45870</v>
      </c>
      <c r="H254" s="1">
        <v>44743</v>
      </c>
      <c r="I254">
        <v>20411454</v>
      </c>
      <c r="J254" t="s">
        <v>32</v>
      </c>
      <c r="K254" t="s">
        <v>4532</v>
      </c>
      <c r="L254">
        <v>1.25</v>
      </c>
      <c r="M254">
        <v>1.25</v>
      </c>
      <c r="N254" t="s">
        <v>2718</v>
      </c>
      <c r="P254" t="s">
        <v>4124</v>
      </c>
    </row>
    <row r="255" spans="1:16" x14ac:dyDescent="0.25">
      <c r="A255" t="s">
        <v>802</v>
      </c>
      <c r="B255" t="str">
        <f>CONCATENATE(A255,88)</f>
        <v>6T02PU1RY2888</v>
      </c>
      <c r="C255" t="s">
        <v>804</v>
      </c>
      <c r="D255" t="s">
        <v>27</v>
      </c>
      <c r="E255" t="s">
        <v>28</v>
      </c>
      <c r="F255" t="s">
        <v>29</v>
      </c>
      <c r="G255" s="1">
        <v>45870</v>
      </c>
      <c r="H255" s="1">
        <v>44562</v>
      </c>
      <c r="I255">
        <v>20411454</v>
      </c>
      <c r="J255" t="s">
        <v>32</v>
      </c>
      <c r="K255" t="s">
        <v>4532</v>
      </c>
      <c r="L255">
        <v>1.25</v>
      </c>
      <c r="M255">
        <v>1.25</v>
      </c>
      <c r="N255" t="s">
        <v>2718</v>
      </c>
      <c r="P255" t="s">
        <v>4125</v>
      </c>
    </row>
    <row r="256" spans="1:16" x14ac:dyDescent="0.25">
      <c r="A256" t="s">
        <v>805</v>
      </c>
      <c r="B256" t="str">
        <f>CONCATENATE(A256,88)</f>
        <v>8G17XP0AP4188</v>
      </c>
      <c r="C256" t="s">
        <v>807</v>
      </c>
      <c r="D256" t="s">
        <v>27</v>
      </c>
      <c r="E256" t="s">
        <v>28</v>
      </c>
      <c r="F256" t="s">
        <v>29</v>
      </c>
      <c r="G256" s="1">
        <v>45870</v>
      </c>
      <c r="H256" s="1">
        <v>44986</v>
      </c>
      <c r="I256">
        <v>20411454</v>
      </c>
      <c r="J256" t="s">
        <v>32</v>
      </c>
      <c r="K256" t="s">
        <v>4532</v>
      </c>
      <c r="L256">
        <v>1.25</v>
      </c>
      <c r="M256">
        <v>1.25</v>
      </c>
      <c r="N256" t="s">
        <v>2718</v>
      </c>
      <c r="P256" t="s">
        <v>4126</v>
      </c>
    </row>
    <row r="257" spans="1:16" x14ac:dyDescent="0.25">
      <c r="A257" t="s">
        <v>817</v>
      </c>
      <c r="B257" t="str">
        <f>CONCATENATE(A257,88)</f>
        <v>5Y33VH5UT0688</v>
      </c>
      <c r="C257" t="s">
        <v>819</v>
      </c>
      <c r="D257" t="s">
        <v>27</v>
      </c>
      <c r="E257" t="s">
        <v>28</v>
      </c>
      <c r="F257" t="s">
        <v>29</v>
      </c>
      <c r="G257" s="1">
        <v>45870</v>
      </c>
      <c r="H257" s="1">
        <v>44958</v>
      </c>
      <c r="I257">
        <v>20411454</v>
      </c>
      <c r="J257" t="s">
        <v>32</v>
      </c>
      <c r="K257" t="s">
        <v>4532</v>
      </c>
      <c r="L257">
        <v>1.25</v>
      </c>
      <c r="M257">
        <v>1.25</v>
      </c>
      <c r="N257" t="s">
        <v>2718</v>
      </c>
      <c r="P257" t="s">
        <v>4127</v>
      </c>
    </row>
    <row r="258" spans="1:16" x14ac:dyDescent="0.25">
      <c r="A258" t="s">
        <v>855</v>
      </c>
      <c r="B258" t="str">
        <f>CONCATENATE(A258,88)</f>
        <v>7Y48JQ3QP6488</v>
      </c>
      <c r="C258" t="s">
        <v>857</v>
      </c>
      <c r="D258" t="s">
        <v>27</v>
      </c>
      <c r="E258" t="s">
        <v>28</v>
      </c>
      <c r="F258" t="s">
        <v>29</v>
      </c>
      <c r="G258" s="1">
        <v>45870</v>
      </c>
      <c r="H258" s="1">
        <v>44986</v>
      </c>
      <c r="I258">
        <v>20411454</v>
      </c>
      <c r="J258" t="s">
        <v>32</v>
      </c>
      <c r="K258" t="s">
        <v>4532</v>
      </c>
      <c r="L258">
        <v>1.25</v>
      </c>
      <c r="M258">
        <v>1.25</v>
      </c>
      <c r="N258" t="s">
        <v>2718</v>
      </c>
      <c r="P258" t="s">
        <v>4128</v>
      </c>
    </row>
    <row r="259" spans="1:16" x14ac:dyDescent="0.25">
      <c r="A259" t="s">
        <v>868</v>
      </c>
      <c r="B259" t="str">
        <f>CONCATENATE(A259,88)</f>
        <v>9JC7G35DH4688</v>
      </c>
      <c r="C259" t="s">
        <v>870</v>
      </c>
      <c r="D259" t="s">
        <v>27</v>
      </c>
      <c r="E259" t="s">
        <v>28</v>
      </c>
      <c r="F259" t="s">
        <v>29</v>
      </c>
      <c r="G259" s="1">
        <v>45870</v>
      </c>
      <c r="H259" s="1">
        <v>44197</v>
      </c>
      <c r="I259">
        <v>20411454</v>
      </c>
      <c r="J259" t="s">
        <v>32</v>
      </c>
      <c r="K259" t="s">
        <v>4532</v>
      </c>
      <c r="L259">
        <v>1.25</v>
      </c>
      <c r="M259">
        <v>1.25</v>
      </c>
      <c r="N259" t="s">
        <v>2718</v>
      </c>
      <c r="P259" t="s">
        <v>4129</v>
      </c>
    </row>
    <row r="260" spans="1:16" x14ac:dyDescent="0.25">
      <c r="A260" t="s">
        <v>871</v>
      </c>
      <c r="B260" t="str">
        <f>CONCATENATE(A260,88)</f>
        <v>8HX0K63NG1288</v>
      </c>
      <c r="C260" t="s">
        <v>873</v>
      </c>
      <c r="D260" t="s">
        <v>27</v>
      </c>
      <c r="E260" t="s">
        <v>28</v>
      </c>
      <c r="F260" t="s">
        <v>29</v>
      </c>
      <c r="G260" s="1">
        <v>45870</v>
      </c>
      <c r="H260" s="1">
        <v>44197</v>
      </c>
      <c r="I260">
        <v>20411454</v>
      </c>
      <c r="J260" t="s">
        <v>32</v>
      </c>
      <c r="K260" t="s">
        <v>4532</v>
      </c>
      <c r="L260">
        <v>1.25</v>
      </c>
      <c r="M260">
        <v>1.25</v>
      </c>
      <c r="N260" t="s">
        <v>2718</v>
      </c>
      <c r="P260" t="s">
        <v>4130</v>
      </c>
    </row>
    <row r="261" spans="1:16" x14ac:dyDescent="0.25">
      <c r="A261" t="s">
        <v>904</v>
      </c>
      <c r="B261" t="str">
        <f>CONCATENATE(A261,88)</f>
        <v>2KH6TT9WW5288</v>
      </c>
      <c r="C261" t="s">
        <v>906</v>
      </c>
      <c r="D261" t="s">
        <v>27</v>
      </c>
      <c r="E261" t="s">
        <v>28</v>
      </c>
      <c r="F261" t="s">
        <v>29</v>
      </c>
      <c r="G261" s="1">
        <v>45870</v>
      </c>
      <c r="H261" s="1">
        <v>44562</v>
      </c>
      <c r="I261">
        <v>20411454</v>
      </c>
      <c r="J261" t="s">
        <v>32</v>
      </c>
      <c r="K261" t="s">
        <v>4532</v>
      </c>
      <c r="L261">
        <v>1.25</v>
      </c>
      <c r="M261">
        <v>1.25</v>
      </c>
      <c r="N261" t="s">
        <v>2718</v>
      </c>
      <c r="P261" t="s">
        <v>4131</v>
      </c>
    </row>
    <row r="262" spans="1:16" x14ac:dyDescent="0.25">
      <c r="A262" t="s">
        <v>932</v>
      </c>
      <c r="B262" t="str">
        <f>CONCATENATE(A262,88)</f>
        <v>2UC7A49YH6588</v>
      </c>
      <c r="C262" t="s">
        <v>934</v>
      </c>
      <c r="D262" t="s">
        <v>27</v>
      </c>
      <c r="E262" t="s">
        <v>28</v>
      </c>
      <c r="F262" t="s">
        <v>29</v>
      </c>
      <c r="G262" s="1">
        <v>45870</v>
      </c>
      <c r="H262" s="1">
        <v>44986</v>
      </c>
      <c r="I262">
        <v>20411454</v>
      </c>
      <c r="J262" t="s">
        <v>32</v>
      </c>
      <c r="K262" t="s">
        <v>4532</v>
      </c>
      <c r="L262">
        <v>1.25</v>
      </c>
      <c r="M262">
        <v>1.25</v>
      </c>
      <c r="N262" t="s">
        <v>2718</v>
      </c>
      <c r="P262" t="s">
        <v>4132</v>
      </c>
    </row>
    <row r="263" spans="1:16" x14ac:dyDescent="0.25">
      <c r="A263" t="s">
        <v>935</v>
      </c>
      <c r="B263" t="str">
        <f>CONCATENATE(A263,88)</f>
        <v>7AH4AE4TQ9788</v>
      </c>
      <c r="C263" t="s">
        <v>937</v>
      </c>
      <c r="D263" t="s">
        <v>27</v>
      </c>
      <c r="E263" t="s">
        <v>28</v>
      </c>
      <c r="F263" t="s">
        <v>29</v>
      </c>
      <c r="G263" s="1">
        <v>45870</v>
      </c>
      <c r="H263" s="1">
        <v>45658</v>
      </c>
      <c r="I263">
        <v>20411454</v>
      </c>
      <c r="J263" t="s">
        <v>32</v>
      </c>
      <c r="K263" t="s">
        <v>4532</v>
      </c>
      <c r="L263">
        <v>1.25</v>
      </c>
      <c r="M263">
        <v>1.25</v>
      </c>
      <c r="N263" t="s">
        <v>2718</v>
      </c>
      <c r="P263" t="s">
        <v>4133</v>
      </c>
    </row>
    <row r="264" spans="1:16" x14ac:dyDescent="0.25">
      <c r="A264" t="s">
        <v>951</v>
      </c>
      <c r="B264" t="str">
        <f>CONCATENATE(A264,88)</f>
        <v>4T75QR4WW9288</v>
      </c>
      <c r="C264" t="s">
        <v>953</v>
      </c>
      <c r="D264" t="s">
        <v>27</v>
      </c>
      <c r="E264" t="s">
        <v>28</v>
      </c>
      <c r="F264" t="s">
        <v>29</v>
      </c>
      <c r="G264" s="1">
        <v>45870</v>
      </c>
      <c r="H264" s="1">
        <v>44866</v>
      </c>
      <c r="I264">
        <v>20411454</v>
      </c>
      <c r="J264" t="s">
        <v>32</v>
      </c>
      <c r="K264" t="s">
        <v>4532</v>
      </c>
      <c r="L264">
        <v>1.25</v>
      </c>
      <c r="M264">
        <v>1.25</v>
      </c>
      <c r="N264" t="s">
        <v>2718</v>
      </c>
      <c r="P264" t="s">
        <v>4134</v>
      </c>
    </row>
    <row r="265" spans="1:16" x14ac:dyDescent="0.25">
      <c r="A265" t="s">
        <v>964</v>
      </c>
      <c r="B265" t="str">
        <f>CONCATENATE(A265,88)</f>
        <v>8J98A91VP6988</v>
      </c>
      <c r="C265" t="s">
        <v>966</v>
      </c>
      <c r="D265" t="s">
        <v>27</v>
      </c>
      <c r="E265" t="s">
        <v>28</v>
      </c>
      <c r="F265" t="s">
        <v>29</v>
      </c>
      <c r="G265" s="1">
        <v>45870</v>
      </c>
      <c r="H265" s="1">
        <v>44562</v>
      </c>
      <c r="I265">
        <v>20411454</v>
      </c>
      <c r="J265" t="s">
        <v>32</v>
      </c>
      <c r="K265" t="s">
        <v>4532</v>
      </c>
      <c r="L265">
        <v>1.25</v>
      </c>
      <c r="M265">
        <v>1.25</v>
      </c>
      <c r="N265" t="s">
        <v>2718</v>
      </c>
      <c r="P265" t="s">
        <v>4135</v>
      </c>
    </row>
    <row r="266" spans="1:16" x14ac:dyDescent="0.25">
      <c r="A266" t="s">
        <v>967</v>
      </c>
      <c r="B266" t="str">
        <f>CONCATENATE(A266,88)</f>
        <v>7F36EK5EA8288</v>
      </c>
      <c r="C266" t="s">
        <v>969</v>
      </c>
      <c r="D266" t="s">
        <v>27</v>
      </c>
      <c r="E266" t="s">
        <v>28</v>
      </c>
      <c r="F266" t="s">
        <v>29</v>
      </c>
      <c r="G266" s="1">
        <v>45870</v>
      </c>
      <c r="H266" s="1">
        <v>44562</v>
      </c>
      <c r="I266">
        <v>20411454</v>
      </c>
      <c r="J266" t="s">
        <v>32</v>
      </c>
      <c r="K266" t="s">
        <v>4532</v>
      </c>
      <c r="L266">
        <v>1.25</v>
      </c>
      <c r="M266">
        <v>1.25</v>
      </c>
      <c r="N266" t="s">
        <v>2718</v>
      </c>
      <c r="P266" t="s">
        <v>4136</v>
      </c>
    </row>
    <row r="267" spans="1:16" x14ac:dyDescent="0.25">
      <c r="A267" t="s">
        <v>970</v>
      </c>
      <c r="B267" t="str">
        <f>CONCATENATE(A267,88)</f>
        <v>7H60WA5MR9088</v>
      </c>
      <c r="C267" t="s">
        <v>972</v>
      </c>
      <c r="D267" t="s">
        <v>27</v>
      </c>
      <c r="E267" t="s">
        <v>28</v>
      </c>
      <c r="F267" t="s">
        <v>29</v>
      </c>
      <c r="G267" s="1">
        <v>45870</v>
      </c>
      <c r="H267" s="1">
        <v>44927</v>
      </c>
      <c r="I267">
        <v>20411454</v>
      </c>
      <c r="J267" t="s">
        <v>32</v>
      </c>
      <c r="K267" t="s">
        <v>4532</v>
      </c>
      <c r="L267">
        <v>1.25</v>
      </c>
      <c r="M267">
        <v>1.25</v>
      </c>
      <c r="N267" t="s">
        <v>2718</v>
      </c>
      <c r="P267" t="s">
        <v>4137</v>
      </c>
    </row>
    <row r="268" spans="1:16" x14ac:dyDescent="0.25">
      <c r="A268" t="s">
        <v>976</v>
      </c>
      <c r="B268" t="str">
        <f>CONCATENATE(A268,88)</f>
        <v>9RG2D06NY1388</v>
      </c>
      <c r="C268" t="s">
        <v>979</v>
      </c>
      <c r="D268" t="s">
        <v>27</v>
      </c>
      <c r="E268" t="s">
        <v>28</v>
      </c>
      <c r="F268" t="s">
        <v>29</v>
      </c>
      <c r="G268" s="1">
        <v>45870</v>
      </c>
      <c r="H268" s="1">
        <v>41640</v>
      </c>
      <c r="I268">
        <v>20411454</v>
      </c>
      <c r="J268" t="s">
        <v>32</v>
      </c>
      <c r="K268" t="s">
        <v>4532</v>
      </c>
      <c r="L268">
        <v>1.25</v>
      </c>
      <c r="M268">
        <v>1.25</v>
      </c>
      <c r="N268" t="s">
        <v>2718</v>
      </c>
      <c r="P268" t="s">
        <v>4138</v>
      </c>
    </row>
    <row r="269" spans="1:16" x14ac:dyDescent="0.25">
      <c r="A269" t="s">
        <v>987</v>
      </c>
      <c r="B269" t="str">
        <f>CONCATENATE(A269,88)</f>
        <v>9M79YF8NN1688</v>
      </c>
      <c r="C269" t="s">
        <v>989</v>
      </c>
      <c r="D269" t="s">
        <v>27</v>
      </c>
      <c r="E269" t="s">
        <v>28</v>
      </c>
      <c r="F269" t="s">
        <v>29</v>
      </c>
      <c r="G269" s="1">
        <v>45870</v>
      </c>
      <c r="H269" s="1">
        <v>44256</v>
      </c>
      <c r="I269">
        <v>20411454</v>
      </c>
      <c r="J269" t="s">
        <v>32</v>
      </c>
      <c r="K269" t="s">
        <v>4532</v>
      </c>
      <c r="L269">
        <v>1.25</v>
      </c>
      <c r="M269">
        <v>1.25</v>
      </c>
      <c r="N269" t="s">
        <v>2718</v>
      </c>
      <c r="P269" t="s">
        <v>4139</v>
      </c>
    </row>
    <row r="270" spans="1:16" x14ac:dyDescent="0.25">
      <c r="A270" t="s">
        <v>990</v>
      </c>
      <c r="B270" t="str">
        <f>CONCATENATE(A270,88)</f>
        <v>1CU8JJ7TU5988</v>
      </c>
      <c r="C270" t="s">
        <v>993</v>
      </c>
      <c r="D270" t="s">
        <v>27</v>
      </c>
      <c r="E270" t="s">
        <v>28</v>
      </c>
      <c r="F270" t="s">
        <v>29</v>
      </c>
      <c r="G270" s="1">
        <v>45870</v>
      </c>
      <c r="H270" s="1">
        <v>43466</v>
      </c>
      <c r="I270">
        <v>20411454</v>
      </c>
      <c r="J270" t="s">
        <v>32</v>
      </c>
      <c r="K270" t="s">
        <v>4532</v>
      </c>
      <c r="L270">
        <v>1.25</v>
      </c>
      <c r="M270">
        <v>1.25</v>
      </c>
      <c r="N270" t="s">
        <v>2718</v>
      </c>
      <c r="P270" t="s">
        <v>4140</v>
      </c>
    </row>
    <row r="271" spans="1:16" x14ac:dyDescent="0.25">
      <c r="A271" t="s">
        <v>998</v>
      </c>
      <c r="B271" t="str">
        <f>CONCATENATE(A271,88)</f>
        <v>5YT6NF3ED8488</v>
      </c>
      <c r="C271" t="s">
        <v>1001</v>
      </c>
      <c r="D271" t="s">
        <v>27</v>
      </c>
      <c r="E271" t="s">
        <v>28</v>
      </c>
      <c r="F271" t="s">
        <v>29</v>
      </c>
      <c r="G271" s="1">
        <v>45870</v>
      </c>
      <c r="H271" s="1">
        <v>43466</v>
      </c>
      <c r="I271">
        <v>20411454</v>
      </c>
      <c r="J271" t="s">
        <v>32</v>
      </c>
      <c r="K271" t="s">
        <v>4532</v>
      </c>
      <c r="L271">
        <v>1.25</v>
      </c>
      <c r="M271">
        <v>1.25</v>
      </c>
      <c r="N271" t="s">
        <v>2718</v>
      </c>
      <c r="P271" t="s">
        <v>4141</v>
      </c>
    </row>
    <row r="272" spans="1:16" x14ac:dyDescent="0.25">
      <c r="A272" t="s">
        <v>1002</v>
      </c>
      <c r="B272" t="str">
        <f>CONCATENATE(A272,88)</f>
        <v>5KJ7UK6FR5988</v>
      </c>
      <c r="C272" t="s">
        <v>1005</v>
      </c>
      <c r="D272" t="s">
        <v>27</v>
      </c>
      <c r="E272" t="s">
        <v>28</v>
      </c>
      <c r="F272" t="s">
        <v>29</v>
      </c>
      <c r="G272" s="1">
        <v>45870</v>
      </c>
      <c r="H272" s="1">
        <v>43466</v>
      </c>
      <c r="I272">
        <v>20411454</v>
      </c>
      <c r="J272" t="s">
        <v>32</v>
      </c>
      <c r="K272" t="s">
        <v>4532</v>
      </c>
      <c r="L272">
        <v>1.25</v>
      </c>
      <c r="M272">
        <v>1.25</v>
      </c>
      <c r="N272" t="s">
        <v>2718</v>
      </c>
      <c r="P272" t="s">
        <v>4142</v>
      </c>
    </row>
    <row r="273" spans="1:16" x14ac:dyDescent="0.25">
      <c r="A273" t="s">
        <v>1012</v>
      </c>
      <c r="B273" t="str">
        <f>CONCATENATE(A273,88)</f>
        <v>5H15KE4FH5688</v>
      </c>
      <c r="C273" t="s">
        <v>1014</v>
      </c>
      <c r="D273" t="s">
        <v>27</v>
      </c>
      <c r="E273" t="s">
        <v>28</v>
      </c>
      <c r="F273" t="s">
        <v>29</v>
      </c>
      <c r="G273" s="1">
        <v>45870</v>
      </c>
      <c r="H273" s="1">
        <v>44927</v>
      </c>
      <c r="I273">
        <v>20411454</v>
      </c>
      <c r="J273" t="s">
        <v>32</v>
      </c>
      <c r="K273" t="s">
        <v>4532</v>
      </c>
      <c r="L273">
        <v>1.25</v>
      </c>
      <c r="M273">
        <v>1.25</v>
      </c>
      <c r="N273" t="s">
        <v>2718</v>
      </c>
      <c r="P273" t="s">
        <v>4143</v>
      </c>
    </row>
    <row r="274" spans="1:16" x14ac:dyDescent="0.25">
      <c r="A274" t="s">
        <v>1019</v>
      </c>
      <c r="B274" t="str">
        <f>CONCATENATE(A274,88)</f>
        <v>6QF4X41CP9388</v>
      </c>
      <c r="C274" t="s">
        <v>1021</v>
      </c>
      <c r="D274" t="s">
        <v>27</v>
      </c>
      <c r="E274" t="s">
        <v>28</v>
      </c>
      <c r="F274" t="s">
        <v>127</v>
      </c>
      <c r="G274" s="1">
        <v>45870</v>
      </c>
      <c r="H274" s="1">
        <v>45597</v>
      </c>
      <c r="I274">
        <v>20411454</v>
      </c>
      <c r="J274" t="s">
        <v>32</v>
      </c>
      <c r="K274" t="s">
        <v>4532</v>
      </c>
      <c r="L274">
        <v>1.25</v>
      </c>
      <c r="M274">
        <v>1.25</v>
      </c>
      <c r="N274" t="s">
        <v>2718</v>
      </c>
      <c r="P274" t="s">
        <v>4144</v>
      </c>
    </row>
    <row r="275" spans="1:16" x14ac:dyDescent="0.25">
      <c r="A275" t="s">
        <v>1022</v>
      </c>
      <c r="B275" t="str">
        <f>CONCATENATE(A275,88)</f>
        <v>8QX1NF6NG0188</v>
      </c>
      <c r="C275" t="s">
        <v>1024</v>
      </c>
      <c r="D275" t="s">
        <v>27</v>
      </c>
      <c r="E275" t="s">
        <v>28</v>
      </c>
      <c r="F275" t="s">
        <v>29</v>
      </c>
      <c r="G275" s="1">
        <v>45870</v>
      </c>
      <c r="H275" s="1">
        <v>44593</v>
      </c>
      <c r="I275">
        <v>20411454</v>
      </c>
      <c r="J275" t="s">
        <v>32</v>
      </c>
      <c r="K275" t="s">
        <v>4532</v>
      </c>
      <c r="L275">
        <v>1.25</v>
      </c>
      <c r="M275">
        <v>1.25</v>
      </c>
      <c r="N275" t="s">
        <v>2718</v>
      </c>
      <c r="P275" t="s">
        <v>4145</v>
      </c>
    </row>
    <row r="276" spans="1:16" x14ac:dyDescent="0.25">
      <c r="A276" t="s">
        <v>1083</v>
      </c>
      <c r="B276" t="str">
        <f>CONCATENATE(A276,88)</f>
        <v>1VC0MY5GX9088</v>
      </c>
      <c r="C276" t="s">
        <v>1085</v>
      </c>
      <c r="D276" t="s">
        <v>27</v>
      </c>
      <c r="E276" t="s">
        <v>28</v>
      </c>
      <c r="F276" t="s">
        <v>29</v>
      </c>
      <c r="G276" s="1">
        <v>45870</v>
      </c>
      <c r="H276" s="1">
        <v>44501</v>
      </c>
      <c r="I276">
        <v>20411454</v>
      </c>
      <c r="J276" t="s">
        <v>32</v>
      </c>
      <c r="K276" t="s">
        <v>4532</v>
      </c>
      <c r="L276">
        <v>1.25</v>
      </c>
      <c r="M276">
        <v>1.25</v>
      </c>
      <c r="N276" t="s">
        <v>2718</v>
      </c>
      <c r="P276" t="s">
        <v>4146</v>
      </c>
    </row>
    <row r="277" spans="1:16" x14ac:dyDescent="0.25">
      <c r="A277" t="s">
        <v>1086</v>
      </c>
      <c r="B277" t="str">
        <f>CONCATENATE(A277,88)</f>
        <v>8AQ4FV7YJ8088</v>
      </c>
      <c r="C277" t="s">
        <v>1088</v>
      </c>
      <c r="D277" t="s">
        <v>27</v>
      </c>
      <c r="E277" t="s">
        <v>28</v>
      </c>
      <c r="F277" t="s">
        <v>29</v>
      </c>
      <c r="G277" s="1">
        <v>45870</v>
      </c>
      <c r="H277" s="1">
        <v>44652</v>
      </c>
      <c r="I277">
        <v>20411454</v>
      </c>
      <c r="J277" t="s">
        <v>32</v>
      </c>
      <c r="K277" t="s">
        <v>4532</v>
      </c>
      <c r="L277">
        <v>1.25</v>
      </c>
      <c r="M277">
        <v>1.25</v>
      </c>
      <c r="N277" t="s">
        <v>2718</v>
      </c>
      <c r="P277" t="s">
        <v>4147</v>
      </c>
    </row>
    <row r="278" spans="1:16" x14ac:dyDescent="0.25">
      <c r="A278" t="s">
        <v>1101</v>
      </c>
      <c r="B278" t="str">
        <f>CONCATENATE(A278,88)</f>
        <v>6DG4XX5NQ8688</v>
      </c>
      <c r="C278" t="s">
        <v>1103</v>
      </c>
      <c r="D278" t="s">
        <v>27</v>
      </c>
      <c r="E278" t="s">
        <v>28</v>
      </c>
      <c r="F278" t="s">
        <v>29</v>
      </c>
      <c r="G278" s="1">
        <v>45870</v>
      </c>
      <c r="H278" s="1">
        <v>44197</v>
      </c>
      <c r="I278">
        <v>20411454</v>
      </c>
      <c r="J278" t="s">
        <v>32</v>
      </c>
      <c r="K278" t="s">
        <v>4532</v>
      </c>
      <c r="L278">
        <v>1.25</v>
      </c>
      <c r="M278">
        <v>1.25</v>
      </c>
      <c r="N278" t="s">
        <v>2718</v>
      </c>
      <c r="P278" t="s">
        <v>4148</v>
      </c>
    </row>
    <row r="279" spans="1:16" x14ac:dyDescent="0.25">
      <c r="A279" t="s">
        <v>1110</v>
      </c>
      <c r="B279" t="str">
        <f>CONCATENATE(A279,88)</f>
        <v>3HV0Q98AF0088</v>
      </c>
      <c r="C279" t="s">
        <v>1112</v>
      </c>
      <c r="D279" t="s">
        <v>27</v>
      </c>
      <c r="E279" t="s">
        <v>28</v>
      </c>
      <c r="F279" t="s">
        <v>29</v>
      </c>
      <c r="G279" s="1">
        <v>45870</v>
      </c>
      <c r="H279" s="1">
        <v>44927</v>
      </c>
      <c r="I279">
        <v>20411454</v>
      </c>
      <c r="J279" t="s">
        <v>32</v>
      </c>
      <c r="K279" t="s">
        <v>4532</v>
      </c>
      <c r="L279">
        <v>1.25</v>
      </c>
      <c r="M279">
        <v>1.25</v>
      </c>
      <c r="N279" t="s">
        <v>2718</v>
      </c>
      <c r="P279" t="s">
        <v>4149</v>
      </c>
    </row>
    <row r="280" spans="1:16" x14ac:dyDescent="0.25">
      <c r="A280" t="s">
        <v>1116</v>
      </c>
      <c r="B280" t="str">
        <f>CONCATENATE(A280,88)</f>
        <v>5TN5YV1XR7288</v>
      </c>
      <c r="C280" t="s">
        <v>1118</v>
      </c>
      <c r="D280" t="s">
        <v>27</v>
      </c>
      <c r="E280" t="s">
        <v>28</v>
      </c>
      <c r="F280" t="s">
        <v>29</v>
      </c>
      <c r="G280" s="1">
        <v>45870</v>
      </c>
      <c r="H280" s="1">
        <v>45658</v>
      </c>
      <c r="I280">
        <v>20411454</v>
      </c>
      <c r="J280" t="s">
        <v>32</v>
      </c>
      <c r="K280" t="s">
        <v>4532</v>
      </c>
      <c r="L280">
        <v>1.25</v>
      </c>
      <c r="M280">
        <v>1.25</v>
      </c>
      <c r="N280" t="s">
        <v>2718</v>
      </c>
      <c r="P280" t="s">
        <v>4150</v>
      </c>
    </row>
    <row r="281" spans="1:16" x14ac:dyDescent="0.25">
      <c r="A281" t="s">
        <v>1158</v>
      </c>
      <c r="B281" t="str">
        <f>CONCATENATE(A281,88)</f>
        <v>2R63DK8KJ1188</v>
      </c>
      <c r="C281" t="s">
        <v>1160</v>
      </c>
      <c r="D281" t="s">
        <v>27</v>
      </c>
      <c r="E281" t="s">
        <v>28</v>
      </c>
      <c r="F281" t="s">
        <v>29</v>
      </c>
      <c r="G281" s="1">
        <v>45870</v>
      </c>
      <c r="H281" s="1">
        <v>44562</v>
      </c>
      <c r="I281">
        <v>20411454</v>
      </c>
      <c r="J281" t="s">
        <v>32</v>
      </c>
      <c r="K281" t="s">
        <v>4532</v>
      </c>
      <c r="L281">
        <v>1.25</v>
      </c>
      <c r="M281">
        <v>1.25</v>
      </c>
      <c r="N281" t="s">
        <v>2718</v>
      </c>
      <c r="P281" t="s">
        <v>4151</v>
      </c>
    </row>
    <row r="282" spans="1:16" x14ac:dyDescent="0.25">
      <c r="A282" t="s">
        <v>1161</v>
      </c>
      <c r="B282" t="str">
        <f>CONCATENATE(A282,88)</f>
        <v>3J53NE3XF6088</v>
      </c>
      <c r="C282" t="s">
        <v>1163</v>
      </c>
      <c r="D282" t="s">
        <v>27</v>
      </c>
      <c r="E282" t="s">
        <v>28</v>
      </c>
      <c r="F282" t="s">
        <v>29</v>
      </c>
      <c r="G282" s="1">
        <v>45870</v>
      </c>
      <c r="H282" s="1">
        <v>44562</v>
      </c>
      <c r="I282">
        <v>20411454</v>
      </c>
      <c r="J282" t="s">
        <v>32</v>
      </c>
      <c r="K282" t="s">
        <v>4532</v>
      </c>
      <c r="L282">
        <v>1.25</v>
      </c>
      <c r="M282">
        <v>1.25</v>
      </c>
      <c r="N282" t="s">
        <v>2718</v>
      </c>
      <c r="P282" t="s">
        <v>4152</v>
      </c>
    </row>
    <row r="283" spans="1:16" x14ac:dyDescent="0.25">
      <c r="A283" t="s">
        <v>1211</v>
      </c>
      <c r="B283" t="str">
        <f>CONCATENATE(A283,88)</f>
        <v>8X93P99AR9188</v>
      </c>
      <c r="C283" t="s">
        <v>1214</v>
      </c>
      <c r="D283" t="s">
        <v>27</v>
      </c>
      <c r="E283" t="s">
        <v>28</v>
      </c>
      <c r="F283" t="s">
        <v>29</v>
      </c>
      <c r="G283" s="1">
        <v>45870</v>
      </c>
      <c r="H283" s="1">
        <v>40909</v>
      </c>
      <c r="I283">
        <v>20411454</v>
      </c>
      <c r="J283" t="s">
        <v>32</v>
      </c>
      <c r="K283" t="s">
        <v>4532</v>
      </c>
      <c r="L283">
        <v>1.25</v>
      </c>
      <c r="M283">
        <v>1.25</v>
      </c>
      <c r="N283" t="s">
        <v>2718</v>
      </c>
      <c r="P283" t="s">
        <v>4153</v>
      </c>
    </row>
    <row r="284" spans="1:16" x14ac:dyDescent="0.25">
      <c r="A284" t="s">
        <v>1215</v>
      </c>
      <c r="B284" t="str">
        <f>CONCATENATE(A284,88)</f>
        <v>4R32HC9YH9088</v>
      </c>
      <c r="C284" t="s">
        <v>1218</v>
      </c>
      <c r="D284" t="s">
        <v>27</v>
      </c>
      <c r="E284" t="s">
        <v>28</v>
      </c>
      <c r="F284" t="s">
        <v>29</v>
      </c>
      <c r="G284" s="1">
        <v>45870</v>
      </c>
      <c r="H284" s="1">
        <v>40909</v>
      </c>
      <c r="I284">
        <v>20411454</v>
      </c>
      <c r="J284" t="s">
        <v>32</v>
      </c>
      <c r="K284" t="s">
        <v>4532</v>
      </c>
      <c r="L284">
        <v>1.25</v>
      </c>
      <c r="M284">
        <v>1.25</v>
      </c>
      <c r="N284" t="s">
        <v>2718</v>
      </c>
      <c r="P284" t="s">
        <v>4154</v>
      </c>
    </row>
    <row r="285" spans="1:16" x14ac:dyDescent="0.25">
      <c r="A285" t="s">
        <v>1267</v>
      </c>
      <c r="B285" t="str">
        <f>CONCATENATE(A285,88)</f>
        <v>3CR8PU3MC2388</v>
      </c>
      <c r="C285" t="s">
        <v>1269</v>
      </c>
      <c r="D285" t="s">
        <v>27</v>
      </c>
      <c r="E285" t="s">
        <v>28</v>
      </c>
      <c r="F285" t="s">
        <v>29</v>
      </c>
      <c r="G285" s="1">
        <v>45870</v>
      </c>
      <c r="H285" s="1">
        <v>44958</v>
      </c>
      <c r="I285">
        <v>20411454</v>
      </c>
      <c r="J285" t="s">
        <v>32</v>
      </c>
      <c r="K285" t="s">
        <v>4532</v>
      </c>
      <c r="L285">
        <v>1.25</v>
      </c>
      <c r="M285">
        <v>1.25</v>
      </c>
      <c r="N285" t="s">
        <v>2718</v>
      </c>
      <c r="P285" t="s">
        <v>4155</v>
      </c>
    </row>
    <row r="286" spans="1:16" x14ac:dyDescent="0.25">
      <c r="A286" t="s">
        <v>1289</v>
      </c>
      <c r="B286" t="str">
        <f>CONCATENATE(A286,88)</f>
        <v>8AX2W50MC7088</v>
      </c>
      <c r="C286" t="s">
        <v>1291</v>
      </c>
      <c r="D286" t="s">
        <v>27</v>
      </c>
      <c r="E286" t="s">
        <v>28</v>
      </c>
      <c r="F286" t="s">
        <v>127</v>
      </c>
      <c r="G286" s="1">
        <v>45870</v>
      </c>
      <c r="H286" s="1">
        <v>44805</v>
      </c>
      <c r="I286">
        <v>20411454</v>
      </c>
      <c r="J286" t="s">
        <v>32</v>
      </c>
      <c r="K286" t="s">
        <v>4532</v>
      </c>
      <c r="L286">
        <v>1.25</v>
      </c>
      <c r="M286">
        <v>1.25</v>
      </c>
      <c r="N286" t="s">
        <v>2718</v>
      </c>
      <c r="P286" t="s">
        <v>4156</v>
      </c>
    </row>
    <row r="287" spans="1:16" x14ac:dyDescent="0.25">
      <c r="A287" t="s">
        <v>1368</v>
      </c>
      <c r="B287" t="str">
        <f>CONCATENATE(A287,88)</f>
        <v>8UF4UM0NE7688</v>
      </c>
      <c r="C287" t="s">
        <v>1370</v>
      </c>
      <c r="D287" t="s">
        <v>27</v>
      </c>
      <c r="E287" t="s">
        <v>28</v>
      </c>
      <c r="F287" t="s">
        <v>29</v>
      </c>
      <c r="G287" s="1">
        <v>45870</v>
      </c>
      <c r="H287" s="1">
        <v>43831</v>
      </c>
      <c r="I287">
        <v>20411454</v>
      </c>
      <c r="J287" t="s">
        <v>32</v>
      </c>
      <c r="K287" t="s">
        <v>4532</v>
      </c>
      <c r="L287">
        <v>1.25</v>
      </c>
      <c r="M287">
        <v>1.25</v>
      </c>
      <c r="N287" t="s">
        <v>2718</v>
      </c>
      <c r="P287" t="s">
        <v>4157</v>
      </c>
    </row>
    <row r="288" spans="1:16" x14ac:dyDescent="0.25">
      <c r="A288" t="s">
        <v>1397</v>
      </c>
      <c r="B288" t="str">
        <f>CONCATENATE(A288,88)</f>
        <v>8DF7TP9WP6488</v>
      </c>
      <c r="C288" t="s">
        <v>1399</v>
      </c>
      <c r="D288" t="s">
        <v>27</v>
      </c>
      <c r="E288" t="s">
        <v>28</v>
      </c>
      <c r="F288" t="s">
        <v>29</v>
      </c>
      <c r="G288" s="1">
        <v>45870</v>
      </c>
      <c r="H288" s="1">
        <v>45047</v>
      </c>
      <c r="I288">
        <v>20411454</v>
      </c>
      <c r="J288" t="s">
        <v>32</v>
      </c>
      <c r="K288" t="s">
        <v>4532</v>
      </c>
      <c r="L288">
        <v>1.25</v>
      </c>
      <c r="M288">
        <v>1.25</v>
      </c>
      <c r="N288" t="s">
        <v>2718</v>
      </c>
      <c r="P288" t="s">
        <v>4158</v>
      </c>
    </row>
    <row r="289" spans="1:16" x14ac:dyDescent="0.25">
      <c r="A289" t="s">
        <v>1407</v>
      </c>
      <c r="B289" t="str">
        <f>CONCATENATE(A289,88)</f>
        <v>7Q87NC4WC4888</v>
      </c>
      <c r="C289" t="s">
        <v>1409</v>
      </c>
      <c r="D289" t="s">
        <v>27</v>
      </c>
      <c r="E289" t="s">
        <v>28</v>
      </c>
      <c r="F289" t="s">
        <v>29</v>
      </c>
      <c r="G289" s="1">
        <v>45870</v>
      </c>
      <c r="H289" s="1">
        <v>44927</v>
      </c>
      <c r="I289">
        <v>20411454</v>
      </c>
      <c r="J289" t="s">
        <v>32</v>
      </c>
      <c r="K289" t="s">
        <v>4532</v>
      </c>
      <c r="L289">
        <v>1.25</v>
      </c>
      <c r="M289">
        <v>1.25</v>
      </c>
      <c r="N289" t="s">
        <v>2718</v>
      </c>
      <c r="P289" t="s">
        <v>4159</v>
      </c>
    </row>
    <row r="290" spans="1:16" x14ac:dyDescent="0.25">
      <c r="A290" t="s">
        <v>1413</v>
      </c>
      <c r="B290" t="str">
        <f>CONCATENATE(A290,88)</f>
        <v>2CT5PG6WU4088</v>
      </c>
      <c r="C290" t="s">
        <v>1415</v>
      </c>
      <c r="D290" t="s">
        <v>27</v>
      </c>
      <c r="E290" t="s">
        <v>28</v>
      </c>
      <c r="F290" t="s">
        <v>29</v>
      </c>
      <c r="G290" s="1">
        <v>45870</v>
      </c>
      <c r="H290" s="1">
        <v>45017</v>
      </c>
      <c r="I290">
        <v>20411454</v>
      </c>
      <c r="J290" t="s">
        <v>32</v>
      </c>
      <c r="K290" t="s">
        <v>4532</v>
      </c>
      <c r="L290">
        <v>1.25</v>
      </c>
      <c r="M290">
        <v>1.25</v>
      </c>
      <c r="N290" t="s">
        <v>2718</v>
      </c>
      <c r="P290" t="s">
        <v>4160</v>
      </c>
    </row>
    <row r="291" spans="1:16" x14ac:dyDescent="0.25">
      <c r="A291" t="s">
        <v>1428</v>
      </c>
      <c r="B291" t="str">
        <f>CONCATENATE(A291,88)</f>
        <v>2JH3XM9VF1988</v>
      </c>
      <c r="C291" t="s">
        <v>1430</v>
      </c>
      <c r="D291" t="s">
        <v>27</v>
      </c>
      <c r="E291" t="s">
        <v>28</v>
      </c>
      <c r="F291" t="s">
        <v>29</v>
      </c>
      <c r="G291" s="1">
        <v>45870</v>
      </c>
      <c r="H291" s="1">
        <v>43922</v>
      </c>
      <c r="I291">
        <v>20411454</v>
      </c>
      <c r="J291" t="s">
        <v>32</v>
      </c>
      <c r="K291" t="s">
        <v>4532</v>
      </c>
      <c r="L291">
        <v>1.25</v>
      </c>
      <c r="M291">
        <v>1.25</v>
      </c>
      <c r="N291" t="s">
        <v>2718</v>
      </c>
      <c r="P291" t="s">
        <v>4161</v>
      </c>
    </row>
    <row r="292" spans="1:16" x14ac:dyDescent="0.25">
      <c r="A292" t="s">
        <v>1431</v>
      </c>
      <c r="B292" t="str">
        <f>CONCATENATE(A292,88)</f>
        <v>9CA9MR6JE5288</v>
      </c>
      <c r="C292" t="s">
        <v>1433</v>
      </c>
      <c r="D292" t="s">
        <v>27</v>
      </c>
      <c r="E292" t="s">
        <v>28</v>
      </c>
      <c r="F292" t="s">
        <v>29</v>
      </c>
      <c r="G292" s="1">
        <v>45870</v>
      </c>
      <c r="H292" s="1">
        <v>43922</v>
      </c>
      <c r="I292">
        <v>20411454</v>
      </c>
      <c r="J292" t="s">
        <v>32</v>
      </c>
      <c r="K292" t="s">
        <v>4532</v>
      </c>
      <c r="L292">
        <v>1.25</v>
      </c>
      <c r="M292">
        <v>1.25</v>
      </c>
      <c r="N292" t="s">
        <v>2718</v>
      </c>
      <c r="P292" t="s">
        <v>4162</v>
      </c>
    </row>
    <row r="293" spans="1:16" x14ac:dyDescent="0.25">
      <c r="A293" t="s">
        <v>1437</v>
      </c>
      <c r="B293" t="str">
        <f>CONCATENATE(A293,88)</f>
        <v>5H74YV3VD6888</v>
      </c>
      <c r="C293" t="s">
        <v>1439</v>
      </c>
      <c r="D293" t="s">
        <v>27</v>
      </c>
      <c r="E293" t="s">
        <v>28</v>
      </c>
      <c r="F293" t="s">
        <v>29</v>
      </c>
      <c r="G293" s="1">
        <v>45870</v>
      </c>
      <c r="H293" s="1">
        <v>44621</v>
      </c>
      <c r="I293">
        <v>20411454</v>
      </c>
      <c r="J293" t="s">
        <v>32</v>
      </c>
      <c r="K293" t="s">
        <v>4532</v>
      </c>
      <c r="L293">
        <v>1.25</v>
      </c>
      <c r="M293">
        <v>1.25</v>
      </c>
      <c r="N293" t="s">
        <v>2718</v>
      </c>
      <c r="P293" t="s">
        <v>4163</v>
      </c>
    </row>
    <row r="294" spans="1:16" x14ac:dyDescent="0.25">
      <c r="A294" t="s">
        <v>1440</v>
      </c>
      <c r="B294" t="str">
        <f>CONCATENATE(A294,88)</f>
        <v>9AM2V99XT2188</v>
      </c>
      <c r="C294" t="s">
        <v>1442</v>
      </c>
      <c r="D294" t="s">
        <v>27</v>
      </c>
      <c r="E294" t="s">
        <v>28</v>
      </c>
      <c r="F294" t="s">
        <v>29</v>
      </c>
      <c r="G294" s="1">
        <v>45870</v>
      </c>
      <c r="H294" s="1">
        <v>44562</v>
      </c>
      <c r="I294">
        <v>20411454</v>
      </c>
      <c r="J294" t="s">
        <v>32</v>
      </c>
      <c r="K294" t="s">
        <v>4532</v>
      </c>
      <c r="L294">
        <v>1.25</v>
      </c>
      <c r="M294">
        <v>1.25</v>
      </c>
      <c r="N294" t="s">
        <v>2718</v>
      </c>
      <c r="P294" t="s">
        <v>4164</v>
      </c>
    </row>
    <row r="295" spans="1:16" x14ac:dyDescent="0.25">
      <c r="A295" t="s">
        <v>1452</v>
      </c>
      <c r="B295" t="str">
        <f>CONCATENATE(A295,88)</f>
        <v>4WM7PW3MA4888</v>
      </c>
      <c r="C295" t="s">
        <v>1454</v>
      </c>
      <c r="D295" t="s">
        <v>27</v>
      </c>
      <c r="E295" t="s">
        <v>28</v>
      </c>
      <c r="F295" t="s">
        <v>29</v>
      </c>
      <c r="G295" s="1">
        <v>45870</v>
      </c>
      <c r="H295" s="1">
        <v>45627</v>
      </c>
      <c r="I295">
        <v>20411454</v>
      </c>
      <c r="J295" t="s">
        <v>32</v>
      </c>
      <c r="K295" t="s">
        <v>4532</v>
      </c>
      <c r="L295">
        <v>1.25</v>
      </c>
      <c r="M295">
        <v>1.25</v>
      </c>
      <c r="N295" t="s">
        <v>2718</v>
      </c>
      <c r="P295" t="s">
        <v>4165</v>
      </c>
    </row>
    <row r="296" spans="1:16" x14ac:dyDescent="0.25">
      <c r="A296" t="s">
        <v>1469</v>
      </c>
      <c r="B296" t="str">
        <f>CONCATENATE(A296,88)</f>
        <v>1K90A62RC3888</v>
      </c>
      <c r="C296" t="s">
        <v>1471</v>
      </c>
      <c r="D296" t="s">
        <v>27</v>
      </c>
      <c r="E296" t="s">
        <v>28</v>
      </c>
      <c r="F296" t="s">
        <v>29</v>
      </c>
      <c r="G296" s="1">
        <v>45870</v>
      </c>
      <c r="H296" s="1">
        <v>44621</v>
      </c>
      <c r="I296">
        <v>20411454</v>
      </c>
      <c r="J296" t="s">
        <v>32</v>
      </c>
      <c r="K296" t="s">
        <v>4532</v>
      </c>
      <c r="L296">
        <v>1.25</v>
      </c>
      <c r="M296">
        <v>1.25</v>
      </c>
      <c r="N296" t="s">
        <v>2718</v>
      </c>
      <c r="P296" t="s">
        <v>4166</v>
      </c>
    </row>
    <row r="297" spans="1:16" x14ac:dyDescent="0.25">
      <c r="A297" t="s">
        <v>1479</v>
      </c>
      <c r="B297" t="str">
        <f>CONCATENATE(A297,88)</f>
        <v>2UP0K94HY1088</v>
      </c>
      <c r="C297" t="s">
        <v>1481</v>
      </c>
      <c r="D297" t="s">
        <v>27</v>
      </c>
      <c r="E297" t="s">
        <v>28</v>
      </c>
      <c r="F297" t="s">
        <v>29</v>
      </c>
      <c r="G297" s="1">
        <v>45870</v>
      </c>
      <c r="H297" s="1">
        <v>44927</v>
      </c>
      <c r="I297">
        <v>20411454</v>
      </c>
      <c r="J297" t="s">
        <v>32</v>
      </c>
      <c r="K297" t="s">
        <v>4532</v>
      </c>
      <c r="L297">
        <v>1.25</v>
      </c>
      <c r="M297">
        <v>1.25</v>
      </c>
      <c r="N297" t="s">
        <v>2718</v>
      </c>
      <c r="P297" t="s">
        <v>4167</v>
      </c>
    </row>
    <row r="298" spans="1:16" x14ac:dyDescent="0.25">
      <c r="A298" t="s">
        <v>1497</v>
      </c>
      <c r="B298" t="str">
        <f>CONCATENATE(A298,88)</f>
        <v>2E81VN1EG3188</v>
      </c>
      <c r="C298" t="s">
        <v>1499</v>
      </c>
      <c r="D298" t="s">
        <v>27</v>
      </c>
      <c r="E298" t="s">
        <v>28</v>
      </c>
      <c r="F298" t="s">
        <v>29</v>
      </c>
      <c r="G298" s="1">
        <v>45870</v>
      </c>
      <c r="H298" s="1">
        <v>44562</v>
      </c>
      <c r="I298">
        <v>20411454</v>
      </c>
      <c r="J298" t="s">
        <v>32</v>
      </c>
      <c r="K298" t="s">
        <v>4532</v>
      </c>
      <c r="L298">
        <v>1.25</v>
      </c>
      <c r="M298">
        <v>1.25</v>
      </c>
      <c r="N298" t="s">
        <v>2718</v>
      </c>
      <c r="P298" t="s">
        <v>4168</v>
      </c>
    </row>
    <row r="299" spans="1:16" x14ac:dyDescent="0.25">
      <c r="A299" t="s">
        <v>1503</v>
      </c>
      <c r="B299" t="str">
        <f>CONCATENATE(A299,88)</f>
        <v>9H33U95PD8388</v>
      </c>
      <c r="C299" t="s">
        <v>1505</v>
      </c>
      <c r="D299" t="s">
        <v>27</v>
      </c>
      <c r="E299" t="s">
        <v>28</v>
      </c>
      <c r="F299" t="s">
        <v>29</v>
      </c>
      <c r="G299" s="1">
        <v>45870</v>
      </c>
      <c r="H299" s="1">
        <v>44682</v>
      </c>
      <c r="I299">
        <v>20411454</v>
      </c>
      <c r="J299" t="s">
        <v>32</v>
      </c>
      <c r="K299" t="s">
        <v>4532</v>
      </c>
      <c r="L299">
        <v>1.25</v>
      </c>
      <c r="M299">
        <v>1.25</v>
      </c>
      <c r="N299" t="s">
        <v>2718</v>
      </c>
      <c r="P299" t="s">
        <v>4169</v>
      </c>
    </row>
    <row r="300" spans="1:16" x14ac:dyDescent="0.25">
      <c r="A300" t="s">
        <v>1506</v>
      </c>
      <c r="B300" t="str">
        <f>CONCATENATE(A300,88)</f>
        <v>1RP4AT3PF0388</v>
      </c>
      <c r="C300" t="s">
        <v>1508</v>
      </c>
      <c r="D300" t="s">
        <v>27</v>
      </c>
      <c r="E300" t="s">
        <v>28</v>
      </c>
      <c r="F300" t="s">
        <v>29</v>
      </c>
      <c r="G300" s="1">
        <v>45870</v>
      </c>
      <c r="H300" s="1">
        <v>44986</v>
      </c>
      <c r="I300">
        <v>20411454</v>
      </c>
      <c r="J300" t="s">
        <v>32</v>
      </c>
      <c r="K300" t="s">
        <v>4532</v>
      </c>
      <c r="L300">
        <v>1.25</v>
      </c>
      <c r="M300">
        <v>1.25</v>
      </c>
      <c r="N300" t="s">
        <v>2718</v>
      </c>
      <c r="P300" t="s">
        <v>4170</v>
      </c>
    </row>
    <row r="301" spans="1:16" x14ac:dyDescent="0.25">
      <c r="A301" t="s">
        <v>1516</v>
      </c>
      <c r="B301" t="str">
        <f>CONCATENATE(A301,88)</f>
        <v>5JW8FC1KV3288</v>
      </c>
      <c r="C301" t="s">
        <v>1518</v>
      </c>
      <c r="D301" t="s">
        <v>27</v>
      </c>
      <c r="E301" t="s">
        <v>28</v>
      </c>
      <c r="F301" t="s">
        <v>29</v>
      </c>
      <c r="G301" s="1">
        <v>45870</v>
      </c>
      <c r="H301" s="1">
        <v>44927</v>
      </c>
      <c r="I301">
        <v>20411454</v>
      </c>
      <c r="J301" t="s">
        <v>32</v>
      </c>
      <c r="K301" t="s">
        <v>4532</v>
      </c>
      <c r="L301">
        <v>1.25</v>
      </c>
      <c r="M301">
        <v>1.25</v>
      </c>
      <c r="N301" t="s">
        <v>2718</v>
      </c>
      <c r="P301" t="s">
        <v>4171</v>
      </c>
    </row>
    <row r="302" spans="1:16" x14ac:dyDescent="0.25">
      <c r="A302" t="s">
        <v>1522</v>
      </c>
      <c r="B302" t="str">
        <f>CONCATENATE(A302,88)</f>
        <v>4E52HM9UM2388</v>
      </c>
      <c r="C302" t="s">
        <v>1524</v>
      </c>
      <c r="D302" t="s">
        <v>27</v>
      </c>
      <c r="E302" t="s">
        <v>28</v>
      </c>
      <c r="F302" t="s">
        <v>29</v>
      </c>
      <c r="G302" s="1">
        <v>45870</v>
      </c>
      <c r="H302" s="1">
        <v>44197</v>
      </c>
      <c r="I302">
        <v>20411454</v>
      </c>
      <c r="J302" t="s">
        <v>32</v>
      </c>
      <c r="K302" t="s">
        <v>4532</v>
      </c>
      <c r="L302">
        <v>1.25</v>
      </c>
      <c r="M302">
        <v>1.25</v>
      </c>
      <c r="N302" t="s">
        <v>2718</v>
      </c>
      <c r="P302" t="s">
        <v>4172</v>
      </c>
    </row>
    <row r="303" spans="1:16" x14ac:dyDescent="0.25">
      <c r="A303" t="s">
        <v>1528</v>
      </c>
      <c r="B303" t="str">
        <f>CONCATENATE(A303,88)</f>
        <v>1XY8TQ3DF3288</v>
      </c>
      <c r="C303" t="s">
        <v>1530</v>
      </c>
      <c r="D303" t="s">
        <v>27</v>
      </c>
      <c r="E303" t="s">
        <v>28</v>
      </c>
      <c r="F303" t="s">
        <v>29</v>
      </c>
      <c r="G303" s="1">
        <v>45870</v>
      </c>
      <c r="H303" s="1">
        <v>44562</v>
      </c>
      <c r="I303">
        <v>20411454</v>
      </c>
      <c r="J303" t="s">
        <v>32</v>
      </c>
      <c r="K303" t="s">
        <v>4532</v>
      </c>
      <c r="L303">
        <v>1.25</v>
      </c>
      <c r="M303">
        <v>1.25</v>
      </c>
      <c r="N303" t="s">
        <v>2718</v>
      </c>
      <c r="P303" t="s">
        <v>4173</v>
      </c>
    </row>
    <row r="304" spans="1:16" x14ac:dyDescent="0.25">
      <c r="A304" t="s">
        <v>1549</v>
      </c>
      <c r="B304" t="str">
        <f>CONCATENATE(A304,88)</f>
        <v>5C79NN0JH2288</v>
      </c>
      <c r="C304" t="s">
        <v>1551</v>
      </c>
      <c r="D304" t="s">
        <v>27</v>
      </c>
      <c r="E304" t="s">
        <v>28</v>
      </c>
      <c r="F304" t="s">
        <v>29</v>
      </c>
      <c r="G304" s="1">
        <v>45870</v>
      </c>
      <c r="H304" s="1">
        <v>45017</v>
      </c>
      <c r="I304">
        <v>20411454</v>
      </c>
      <c r="J304" t="s">
        <v>32</v>
      </c>
      <c r="K304" t="s">
        <v>4532</v>
      </c>
      <c r="L304">
        <v>1.25</v>
      </c>
      <c r="M304">
        <v>1.25</v>
      </c>
      <c r="N304" t="s">
        <v>2718</v>
      </c>
      <c r="P304" t="s">
        <v>4174</v>
      </c>
    </row>
    <row r="305" spans="1:16" x14ac:dyDescent="0.25">
      <c r="A305" t="s">
        <v>1556</v>
      </c>
      <c r="B305" t="str">
        <f>CONCATENATE(A305,88)</f>
        <v>4EE1FN7UH9088</v>
      </c>
      <c r="C305" t="s">
        <v>1558</v>
      </c>
      <c r="D305" t="s">
        <v>27</v>
      </c>
      <c r="E305" t="s">
        <v>28</v>
      </c>
      <c r="F305" t="s">
        <v>29</v>
      </c>
      <c r="G305" s="1">
        <v>45870</v>
      </c>
      <c r="H305" s="1">
        <v>44562</v>
      </c>
      <c r="I305">
        <v>20411454</v>
      </c>
      <c r="J305" t="s">
        <v>32</v>
      </c>
      <c r="K305" t="s">
        <v>4532</v>
      </c>
      <c r="L305">
        <v>1.25</v>
      </c>
      <c r="M305">
        <v>1.25</v>
      </c>
      <c r="N305" t="s">
        <v>2718</v>
      </c>
      <c r="P305" t="s">
        <v>4175</v>
      </c>
    </row>
    <row r="306" spans="1:16" x14ac:dyDescent="0.25">
      <c r="A306" t="s">
        <v>1559</v>
      </c>
      <c r="B306" t="str">
        <f>CONCATENATE(A306,88)</f>
        <v>8QE1G40JV0888</v>
      </c>
      <c r="C306" t="s">
        <v>1561</v>
      </c>
      <c r="D306" t="s">
        <v>27</v>
      </c>
      <c r="E306" t="s">
        <v>28</v>
      </c>
      <c r="F306" t="s">
        <v>29</v>
      </c>
      <c r="G306" s="1">
        <v>45870</v>
      </c>
      <c r="H306" s="1">
        <v>44562</v>
      </c>
      <c r="I306">
        <v>20411454</v>
      </c>
      <c r="J306" t="s">
        <v>32</v>
      </c>
      <c r="K306" t="s">
        <v>4532</v>
      </c>
      <c r="L306">
        <v>1.25</v>
      </c>
      <c r="M306">
        <v>1.25</v>
      </c>
      <c r="N306" t="s">
        <v>2718</v>
      </c>
      <c r="P306" t="s">
        <v>4176</v>
      </c>
    </row>
    <row r="307" spans="1:16" x14ac:dyDescent="0.25">
      <c r="A307" t="s">
        <v>1613</v>
      </c>
      <c r="B307" t="str">
        <f>CONCATENATE(A307,88)</f>
        <v>5XN3HP3YN9988</v>
      </c>
      <c r="C307" t="s">
        <v>1615</v>
      </c>
      <c r="D307" t="s">
        <v>27</v>
      </c>
      <c r="E307" t="s">
        <v>28</v>
      </c>
      <c r="F307" t="s">
        <v>29</v>
      </c>
      <c r="G307" s="1">
        <v>45870</v>
      </c>
      <c r="H307" s="1">
        <v>44197</v>
      </c>
      <c r="I307">
        <v>20411454</v>
      </c>
      <c r="J307" t="s">
        <v>32</v>
      </c>
      <c r="K307" t="s">
        <v>4532</v>
      </c>
      <c r="L307">
        <v>1.25</v>
      </c>
      <c r="M307">
        <v>1.25</v>
      </c>
      <c r="N307" t="s">
        <v>2718</v>
      </c>
      <c r="P307" t="s">
        <v>4177</v>
      </c>
    </row>
    <row r="308" spans="1:16" x14ac:dyDescent="0.25">
      <c r="A308" t="s">
        <v>1635</v>
      </c>
      <c r="B308" t="str">
        <f>CONCATENATE(A308,88)</f>
        <v>8YV8QT9HT6888</v>
      </c>
      <c r="C308" t="s">
        <v>1637</v>
      </c>
      <c r="D308" t="s">
        <v>27</v>
      </c>
      <c r="E308" t="s">
        <v>28</v>
      </c>
      <c r="F308" t="s">
        <v>29</v>
      </c>
      <c r="G308" s="1">
        <v>45870</v>
      </c>
      <c r="H308" s="1">
        <v>44927</v>
      </c>
      <c r="I308">
        <v>20411454</v>
      </c>
      <c r="J308" t="s">
        <v>32</v>
      </c>
      <c r="K308" t="s">
        <v>4532</v>
      </c>
      <c r="L308">
        <v>1.25</v>
      </c>
      <c r="M308">
        <v>1.25</v>
      </c>
      <c r="N308" t="s">
        <v>2718</v>
      </c>
      <c r="P308" t="s">
        <v>4178</v>
      </c>
    </row>
    <row r="309" spans="1:16" x14ac:dyDescent="0.25">
      <c r="A309" t="s">
        <v>1638</v>
      </c>
      <c r="B309" t="str">
        <f>CONCATENATE(A309,88)</f>
        <v>3JP1QU7DV1688</v>
      </c>
      <c r="C309" t="s">
        <v>1640</v>
      </c>
      <c r="D309" t="s">
        <v>27</v>
      </c>
      <c r="E309" t="s">
        <v>28</v>
      </c>
      <c r="F309" t="s">
        <v>29</v>
      </c>
      <c r="G309" s="1">
        <v>45870</v>
      </c>
      <c r="H309" s="1">
        <v>44927</v>
      </c>
      <c r="I309">
        <v>20411454</v>
      </c>
      <c r="J309" t="s">
        <v>32</v>
      </c>
      <c r="K309" t="s">
        <v>4532</v>
      </c>
      <c r="L309">
        <v>1.25</v>
      </c>
      <c r="M309">
        <v>1.25</v>
      </c>
      <c r="N309" t="s">
        <v>2718</v>
      </c>
      <c r="P309" t="s">
        <v>4179</v>
      </c>
    </row>
    <row r="310" spans="1:16" x14ac:dyDescent="0.25">
      <c r="A310" t="s">
        <v>1648</v>
      </c>
      <c r="B310" t="str">
        <f>CONCATENATE(A310,88)</f>
        <v>4DR2DC3EJ8988</v>
      </c>
      <c r="C310" t="s">
        <v>1650</v>
      </c>
      <c r="D310" t="s">
        <v>27</v>
      </c>
      <c r="E310" t="s">
        <v>28</v>
      </c>
      <c r="F310" t="s">
        <v>29</v>
      </c>
      <c r="G310" s="1">
        <v>45870</v>
      </c>
      <c r="H310" s="1">
        <v>44562</v>
      </c>
      <c r="I310">
        <v>20411454</v>
      </c>
      <c r="J310" t="s">
        <v>32</v>
      </c>
      <c r="K310" t="s">
        <v>4532</v>
      </c>
      <c r="L310">
        <v>1.25</v>
      </c>
      <c r="M310">
        <v>1.25</v>
      </c>
      <c r="N310" t="s">
        <v>2718</v>
      </c>
      <c r="P310" t="s">
        <v>4180</v>
      </c>
    </row>
    <row r="311" spans="1:16" x14ac:dyDescent="0.25">
      <c r="A311" t="s">
        <v>1666</v>
      </c>
      <c r="B311" t="str">
        <f>CONCATENATE(A311,88)</f>
        <v>7NW9H46UJ3388</v>
      </c>
      <c r="C311" t="s">
        <v>1668</v>
      </c>
      <c r="D311" t="s">
        <v>27</v>
      </c>
      <c r="E311" t="s">
        <v>28</v>
      </c>
      <c r="F311" t="s">
        <v>29</v>
      </c>
      <c r="G311" s="1">
        <v>45870</v>
      </c>
      <c r="H311" s="1">
        <v>44562</v>
      </c>
      <c r="I311">
        <v>20411454</v>
      </c>
      <c r="J311" t="s">
        <v>32</v>
      </c>
      <c r="K311" t="s">
        <v>4532</v>
      </c>
      <c r="L311">
        <v>1.25</v>
      </c>
      <c r="M311">
        <v>1.25</v>
      </c>
      <c r="N311" t="s">
        <v>2718</v>
      </c>
      <c r="P311" t="s">
        <v>4181</v>
      </c>
    </row>
    <row r="312" spans="1:16" x14ac:dyDescent="0.25">
      <c r="A312" t="s">
        <v>1676</v>
      </c>
      <c r="B312" t="str">
        <f>CONCATENATE(A312,88)</f>
        <v>9P69FY2FM2488</v>
      </c>
      <c r="C312" t="s">
        <v>1678</v>
      </c>
      <c r="D312" t="s">
        <v>27</v>
      </c>
      <c r="E312" t="s">
        <v>28</v>
      </c>
      <c r="F312" t="s">
        <v>29</v>
      </c>
      <c r="G312" s="1">
        <v>45870</v>
      </c>
      <c r="H312" s="1">
        <v>44562</v>
      </c>
      <c r="I312">
        <v>20411454</v>
      </c>
      <c r="J312" t="s">
        <v>32</v>
      </c>
      <c r="K312" t="s">
        <v>4532</v>
      </c>
      <c r="L312">
        <v>1.25</v>
      </c>
      <c r="M312">
        <v>1.25</v>
      </c>
      <c r="N312" t="s">
        <v>2718</v>
      </c>
      <c r="P312" t="s">
        <v>4182</v>
      </c>
    </row>
    <row r="313" spans="1:16" x14ac:dyDescent="0.25">
      <c r="A313" t="s">
        <v>1691</v>
      </c>
      <c r="B313" t="str">
        <f>CONCATENATE(A313,88)</f>
        <v>1CT2X04CR8688</v>
      </c>
      <c r="C313" t="s">
        <v>1693</v>
      </c>
      <c r="D313" t="s">
        <v>27</v>
      </c>
      <c r="E313" t="s">
        <v>28</v>
      </c>
      <c r="F313" t="s">
        <v>29</v>
      </c>
      <c r="G313" s="1">
        <v>45870</v>
      </c>
      <c r="H313" s="1">
        <v>44562</v>
      </c>
      <c r="I313">
        <v>20411454</v>
      </c>
      <c r="J313" t="s">
        <v>32</v>
      </c>
      <c r="K313" t="s">
        <v>4532</v>
      </c>
      <c r="L313">
        <v>1.25</v>
      </c>
      <c r="M313">
        <v>1.25</v>
      </c>
      <c r="N313" t="s">
        <v>2718</v>
      </c>
      <c r="P313" t="s">
        <v>4183</v>
      </c>
    </row>
    <row r="314" spans="1:16" x14ac:dyDescent="0.25">
      <c r="A314" t="s">
        <v>1701</v>
      </c>
      <c r="B314" t="str">
        <f>CONCATENATE(A314,88)</f>
        <v>2NT7HV3TM5288</v>
      </c>
      <c r="C314" t="s">
        <v>1703</v>
      </c>
      <c r="D314" t="s">
        <v>27</v>
      </c>
      <c r="E314" t="s">
        <v>28</v>
      </c>
      <c r="F314" t="s">
        <v>29</v>
      </c>
      <c r="G314" s="1">
        <v>45870</v>
      </c>
      <c r="H314" s="1">
        <v>44927</v>
      </c>
      <c r="I314">
        <v>20411454</v>
      </c>
      <c r="J314" t="s">
        <v>32</v>
      </c>
      <c r="K314" t="s">
        <v>4532</v>
      </c>
      <c r="L314">
        <v>1.25</v>
      </c>
      <c r="M314">
        <v>1.25</v>
      </c>
      <c r="N314" t="s">
        <v>2718</v>
      </c>
      <c r="P314" t="s">
        <v>4184</v>
      </c>
    </row>
    <row r="315" spans="1:16" x14ac:dyDescent="0.25">
      <c r="A315" t="s">
        <v>1716</v>
      </c>
      <c r="B315" t="str">
        <f>CONCATENATE(A315,88)</f>
        <v>4G09G53CR3288</v>
      </c>
      <c r="C315" t="s">
        <v>1718</v>
      </c>
      <c r="D315" t="s">
        <v>27</v>
      </c>
      <c r="E315" t="s">
        <v>28</v>
      </c>
      <c r="F315" t="s">
        <v>29</v>
      </c>
      <c r="G315" s="1">
        <v>45870</v>
      </c>
      <c r="H315" s="1">
        <v>44927</v>
      </c>
      <c r="I315">
        <v>20411454</v>
      </c>
      <c r="J315" t="s">
        <v>32</v>
      </c>
      <c r="K315" t="s">
        <v>4532</v>
      </c>
      <c r="L315">
        <v>1.25</v>
      </c>
      <c r="M315">
        <v>1.25</v>
      </c>
      <c r="N315" t="s">
        <v>2718</v>
      </c>
      <c r="P315" t="s">
        <v>4185</v>
      </c>
    </row>
    <row r="316" spans="1:16" x14ac:dyDescent="0.25">
      <c r="A316" t="s">
        <v>1729</v>
      </c>
      <c r="B316" t="str">
        <f>CONCATENATE(A316,88)</f>
        <v>6TW4XM5NM0488</v>
      </c>
      <c r="C316" t="s">
        <v>1731</v>
      </c>
      <c r="D316" t="s">
        <v>27</v>
      </c>
      <c r="E316" t="s">
        <v>28</v>
      </c>
      <c r="F316" t="s">
        <v>29</v>
      </c>
      <c r="G316" s="1">
        <v>45870</v>
      </c>
      <c r="H316" s="1">
        <v>44562</v>
      </c>
      <c r="I316">
        <v>20411454</v>
      </c>
      <c r="J316" t="s">
        <v>32</v>
      </c>
      <c r="K316" t="s">
        <v>4532</v>
      </c>
      <c r="L316">
        <v>1.25</v>
      </c>
      <c r="M316">
        <v>1.25</v>
      </c>
      <c r="N316" t="s">
        <v>2718</v>
      </c>
      <c r="P316" t="s">
        <v>4186</v>
      </c>
    </row>
    <row r="317" spans="1:16" x14ac:dyDescent="0.25">
      <c r="A317" t="s">
        <v>1732</v>
      </c>
      <c r="B317" t="str">
        <f>CONCATENATE(A317,88)</f>
        <v>3A13KF4KC9188</v>
      </c>
      <c r="C317" t="s">
        <v>1734</v>
      </c>
      <c r="D317" t="s">
        <v>27</v>
      </c>
      <c r="E317" t="s">
        <v>28</v>
      </c>
      <c r="F317" t="s">
        <v>29</v>
      </c>
      <c r="G317" s="1">
        <v>45870</v>
      </c>
      <c r="H317" s="1">
        <v>44562</v>
      </c>
      <c r="I317">
        <v>20411454</v>
      </c>
      <c r="J317" t="s">
        <v>32</v>
      </c>
      <c r="K317" t="s">
        <v>4532</v>
      </c>
      <c r="L317">
        <v>1.25</v>
      </c>
      <c r="M317">
        <v>1.25</v>
      </c>
      <c r="N317" t="s">
        <v>2718</v>
      </c>
      <c r="P317" t="s">
        <v>4187</v>
      </c>
    </row>
    <row r="318" spans="1:16" x14ac:dyDescent="0.25">
      <c r="A318" t="s">
        <v>1744</v>
      </c>
      <c r="B318" t="str">
        <f>CONCATENATE(A318,88)</f>
        <v>5V61T80YC2688</v>
      </c>
      <c r="C318" t="s">
        <v>1746</v>
      </c>
      <c r="D318" t="s">
        <v>27</v>
      </c>
      <c r="E318" t="s">
        <v>28</v>
      </c>
      <c r="F318" t="s">
        <v>29</v>
      </c>
      <c r="G318" s="1">
        <v>45870</v>
      </c>
      <c r="H318" s="1">
        <v>44256</v>
      </c>
      <c r="I318">
        <v>20411454</v>
      </c>
      <c r="J318" t="s">
        <v>32</v>
      </c>
      <c r="K318" t="s">
        <v>4532</v>
      </c>
      <c r="L318">
        <v>1.25</v>
      </c>
      <c r="M318">
        <v>1.25</v>
      </c>
      <c r="N318" t="s">
        <v>2718</v>
      </c>
      <c r="P318" t="s">
        <v>4188</v>
      </c>
    </row>
    <row r="319" spans="1:16" x14ac:dyDescent="0.25">
      <c r="A319" t="s">
        <v>1750</v>
      </c>
      <c r="B319" t="str">
        <f>CONCATENATE(A319,88)</f>
        <v>9TK1J79AK2588</v>
      </c>
      <c r="C319" t="s">
        <v>1752</v>
      </c>
      <c r="D319" t="s">
        <v>27</v>
      </c>
      <c r="E319" t="s">
        <v>28</v>
      </c>
      <c r="F319" t="s">
        <v>29</v>
      </c>
      <c r="G319" s="1">
        <v>45870</v>
      </c>
      <c r="H319" s="1">
        <v>44562</v>
      </c>
      <c r="I319">
        <v>20411454</v>
      </c>
      <c r="J319" t="s">
        <v>32</v>
      </c>
      <c r="K319" t="s">
        <v>4532</v>
      </c>
      <c r="L319">
        <v>1.25</v>
      </c>
      <c r="M319">
        <v>1.25</v>
      </c>
      <c r="N319" t="s">
        <v>2718</v>
      </c>
      <c r="P319" t="s">
        <v>4189</v>
      </c>
    </row>
    <row r="320" spans="1:16" x14ac:dyDescent="0.25">
      <c r="A320" t="s">
        <v>1756</v>
      </c>
      <c r="B320" t="str">
        <f>CONCATENATE(A320,88)</f>
        <v>4U30P64XQ1488</v>
      </c>
      <c r="C320" t="s">
        <v>1758</v>
      </c>
      <c r="D320" t="s">
        <v>27</v>
      </c>
      <c r="E320" t="s">
        <v>28</v>
      </c>
      <c r="F320" t="s">
        <v>29</v>
      </c>
      <c r="G320" s="1">
        <v>45870</v>
      </c>
      <c r="H320" s="1">
        <v>44501</v>
      </c>
      <c r="I320">
        <v>20411454</v>
      </c>
      <c r="J320" t="s">
        <v>32</v>
      </c>
      <c r="K320" t="s">
        <v>4532</v>
      </c>
      <c r="L320">
        <v>1.25</v>
      </c>
      <c r="M320">
        <v>1.25</v>
      </c>
      <c r="N320" t="s">
        <v>2718</v>
      </c>
      <c r="P320" t="s">
        <v>4190</v>
      </c>
    </row>
    <row r="321" spans="1:16" x14ac:dyDescent="0.25">
      <c r="A321" t="s">
        <v>1759</v>
      </c>
      <c r="B321" t="str">
        <f>CONCATENATE(A321,88)</f>
        <v>7GG9R95GE5688</v>
      </c>
      <c r="C321" t="s">
        <v>1761</v>
      </c>
      <c r="D321" t="s">
        <v>27</v>
      </c>
      <c r="E321" t="s">
        <v>28</v>
      </c>
      <c r="F321" t="s">
        <v>29</v>
      </c>
      <c r="G321" s="1">
        <v>45870</v>
      </c>
      <c r="H321" s="1">
        <v>44562</v>
      </c>
      <c r="I321">
        <v>20411454</v>
      </c>
      <c r="J321" t="s">
        <v>32</v>
      </c>
      <c r="K321" t="s">
        <v>4532</v>
      </c>
      <c r="L321">
        <v>1.25</v>
      </c>
      <c r="M321">
        <v>1.25</v>
      </c>
      <c r="N321" t="s">
        <v>2718</v>
      </c>
      <c r="P321" t="s">
        <v>4191</v>
      </c>
    </row>
    <row r="322" spans="1:16" x14ac:dyDescent="0.25">
      <c r="A322" t="s">
        <v>1768</v>
      </c>
      <c r="B322" t="str">
        <f>CONCATENATE(A322,88)</f>
        <v>6MX3WC1DQ7988</v>
      </c>
      <c r="C322" t="s">
        <v>1770</v>
      </c>
      <c r="D322" t="s">
        <v>27</v>
      </c>
      <c r="E322" t="s">
        <v>28</v>
      </c>
      <c r="F322" t="s">
        <v>29</v>
      </c>
      <c r="G322" s="1">
        <v>45870</v>
      </c>
      <c r="H322" s="1">
        <v>44958</v>
      </c>
      <c r="I322">
        <v>20411454</v>
      </c>
      <c r="J322" t="s">
        <v>32</v>
      </c>
      <c r="K322" t="s">
        <v>4532</v>
      </c>
      <c r="L322">
        <v>1.25</v>
      </c>
      <c r="M322">
        <v>1.25</v>
      </c>
      <c r="N322" t="s">
        <v>2718</v>
      </c>
      <c r="P322" t="s">
        <v>4192</v>
      </c>
    </row>
    <row r="323" spans="1:16" x14ac:dyDescent="0.25">
      <c r="A323" t="s">
        <v>1785</v>
      </c>
      <c r="B323" t="str">
        <f>CONCATENATE(A323,88)</f>
        <v>3AX1Y60AH3388</v>
      </c>
      <c r="C323" t="s">
        <v>1787</v>
      </c>
      <c r="D323" t="s">
        <v>27</v>
      </c>
      <c r="E323" t="s">
        <v>28</v>
      </c>
      <c r="F323" t="s">
        <v>29</v>
      </c>
      <c r="G323" s="1">
        <v>45870</v>
      </c>
      <c r="H323" s="1">
        <v>44927</v>
      </c>
      <c r="I323">
        <v>20411454</v>
      </c>
      <c r="J323" t="s">
        <v>32</v>
      </c>
      <c r="K323" t="s">
        <v>4532</v>
      </c>
      <c r="L323">
        <v>1.25</v>
      </c>
      <c r="M323">
        <v>1.25</v>
      </c>
      <c r="N323" t="s">
        <v>2718</v>
      </c>
      <c r="P323" t="s">
        <v>4193</v>
      </c>
    </row>
    <row r="324" spans="1:16" x14ac:dyDescent="0.25">
      <c r="A324" t="s">
        <v>1791</v>
      </c>
      <c r="B324" t="str">
        <f>CONCATENATE(A324,88)</f>
        <v>4Q13C47WY9988</v>
      </c>
      <c r="C324" t="s">
        <v>1793</v>
      </c>
      <c r="D324" t="s">
        <v>27</v>
      </c>
      <c r="E324" t="s">
        <v>28</v>
      </c>
      <c r="F324" t="s">
        <v>29</v>
      </c>
      <c r="G324" s="1">
        <v>45870</v>
      </c>
      <c r="H324" s="1">
        <v>45017</v>
      </c>
      <c r="I324">
        <v>20411454</v>
      </c>
      <c r="J324" t="s">
        <v>32</v>
      </c>
      <c r="K324" t="s">
        <v>4532</v>
      </c>
      <c r="L324">
        <v>1.25</v>
      </c>
      <c r="M324">
        <v>1.25</v>
      </c>
      <c r="N324" t="s">
        <v>2718</v>
      </c>
      <c r="P324" t="s">
        <v>4194</v>
      </c>
    </row>
    <row r="325" spans="1:16" x14ac:dyDescent="0.25">
      <c r="A325" t="s">
        <v>1797</v>
      </c>
      <c r="B325" t="str">
        <f>CONCATENATE(A325,88)</f>
        <v>5X47J49EA6388</v>
      </c>
      <c r="C325" t="s">
        <v>1800</v>
      </c>
      <c r="D325" t="s">
        <v>27</v>
      </c>
      <c r="E325" t="s">
        <v>28</v>
      </c>
      <c r="F325" t="s">
        <v>29</v>
      </c>
      <c r="G325" s="1">
        <v>45870</v>
      </c>
      <c r="H325" s="1">
        <v>43466</v>
      </c>
      <c r="I325">
        <v>20411454</v>
      </c>
      <c r="J325" t="s">
        <v>32</v>
      </c>
      <c r="K325" t="s">
        <v>4532</v>
      </c>
      <c r="L325">
        <v>1.25</v>
      </c>
      <c r="M325">
        <v>1.25</v>
      </c>
      <c r="N325" t="s">
        <v>2718</v>
      </c>
      <c r="P325" t="s">
        <v>4195</v>
      </c>
    </row>
    <row r="326" spans="1:16" x14ac:dyDescent="0.25">
      <c r="A326" t="s">
        <v>1805</v>
      </c>
      <c r="B326" t="str">
        <f>CONCATENATE(A326,88)</f>
        <v>8F01U22VH1588</v>
      </c>
      <c r="C326" t="s">
        <v>1807</v>
      </c>
      <c r="D326" t="s">
        <v>27</v>
      </c>
      <c r="E326" t="s">
        <v>28</v>
      </c>
      <c r="F326" t="s">
        <v>29</v>
      </c>
      <c r="G326" s="1">
        <v>45870</v>
      </c>
      <c r="H326" s="1">
        <v>44562</v>
      </c>
      <c r="I326">
        <v>20411454</v>
      </c>
      <c r="J326" t="s">
        <v>32</v>
      </c>
      <c r="K326" t="s">
        <v>4532</v>
      </c>
      <c r="L326">
        <v>1.25</v>
      </c>
      <c r="M326">
        <v>1.25</v>
      </c>
      <c r="N326" t="s">
        <v>2718</v>
      </c>
      <c r="P326" t="s">
        <v>4196</v>
      </c>
    </row>
    <row r="327" spans="1:16" x14ac:dyDescent="0.25">
      <c r="A327" t="s">
        <v>1808</v>
      </c>
      <c r="B327" t="str">
        <f>CONCATENATE(A327,88)</f>
        <v>8DD8A09NV6688</v>
      </c>
      <c r="C327" t="s">
        <v>1810</v>
      </c>
      <c r="D327" t="s">
        <v>27</v>
      </c>
      <c r="E327" t="s">
        <v>28</v>
      </c>
      <c r="F327" t="s">
        <v>29</v>
      </c>
      <c r="G327" s="1">
        <v>45870</v>
      </c>
      <c r="H327" s="1">
        <v>44562</v>
      </c>
      <c r="I327">
        <v>20411454</v>
      </c>
      <c r="J327" t="s">
        <v>32</v>
      </c>
      <c r="K327" t="s">
        <v>4532</v>
      </c>
      <c r="L327">
        <v>1.25</v>
      </c>
      <c r="M327">
        <v>1.25</v>
      </c>
      <c r="N327" t="s">
        <v>2718</v>
      </c>
      <c r="P327" t="s">
        <v>4197</v>
      </c>
    </row>
    <row r="328" spans="1:16" x14ac:dyDescent="0.25">
      <c r="A328" t="s">
        <v>1814</v>
      </c>
      <c r="B328" t="str">
        <f>CONCATENATE(A328,88)</f>
        <v>3X73H74PR0088</v>
      </c>
      <c r="C328" t="s">
        <v>1816</v>
      </c>
      <c r="D328" t="s">
        <v>27</v>
      </c>
      <c r="E328" t="s">
        <v>28</v>
      </c>
      <c r="F328" t="s">
        <v>29</v>
      </c>
      <c r="G328" s="1">
        <v>45870</v>
      </c>
      <c r="H328" s="1">
        <v>44927</v>
      </c>
      <c r="I328">
        <v>20411454</v>
      </c>
      <c r="J328" t="s">
        <v>32</v>
      </c>
      <c r="K328" t="s">
        <v>4532</v>
      </c>
      <c r="L328">
        <v>1.25</v>
      </c>
      <c r="M328">
        <v>1.25</v>
      </c>
      <c r="N328" t="s">
        <v>2718</v>
      </c>
      <c r="P328" t="s">
        <v>4198</v>
      </c>
    </row>
    <row r="329" spans="1:16" x14ac:dyDescent="0.25">
      <c r="A329" t="s">
        <v>1817</v>
      </c>
      <c r="B329" t="str">
        <f>CONCATENATE(A329,88)</f>
        <v>4A67NF5XW4288</v>
      </c>
      <c r="C329" t="s">
        <v>1819</v>
      </c>
      <c r="D329" t="s">
        <v>27</v>
      </c>
      <c r="E329" t="s">
        <v>28</v>
      </c>
      <c r="F329" t="s">
        <v>29</v>
      </c>
      <c r="G329" s="1">
        <v>45870</v>
      </c>
      <c r="H329" s="1">
        <v>44562</v>
      </c>
      <c r="I329">
        <v>20411454</v>
      </c>
      <c r="J329" t="s">
        <v>32</v>
      </c>
      <c r="K329" t="s">
        <v>4532</v>
      </c>
      <c r="L329">
        <v>1.25</v>
      </c>
      <c r="M329">
        <v>1.25</v>
      </c>
      <c r="N329" t="s">
        <v>2718</v>
      </c>
      <c r="P329" t="s">
        <v>4199</v>
      </c>
    </row>
    <row r="330" spans="1:16" x14ac:dyDescent="0.25">
      <c r="A330" t="s">
        <v>1830</v>
      </c>
      <c r="B330" t="str">
        <f>CONCATENATE(A330,88)</f>
        <v>5F04WU9GH9488</v>
      </c>
      <c r="C330" t="s">
        <v>1832</v>
      </c>
      <c r="D330" t="s">
        <v>27</v>
      </c>
      <c r="E330" t="s">
        <v>28</v>
      </c>
      <c r="F330" t="s">
        <v>29</v>
      </c>
      <c r="G330" s="1">
        <v>45870</v>
      </c>
      <c r="H330" s="1">
        <v>44958</v>
      </c>
      <c r="I330">
        <v>20411454</v>
      </c>
      <c r="J330" t="s">
        <v>32</v>
      </c>
      <c r="K330" t="s">
        <v>4532</v>
      </c>
      <c r="L330">
        <v>1.25</v>
      </c>
      <c r="M330">
        <v>1.25</v>
      </c>
      <c r="N330" t="s">
        <v>2718</v>
      </c>
      <c r="P330" t="s">
        <v>4200</v>
      </c>
    </row>
    <row r="331" spans="1:16" x14ac:dyDescent="0.25">
      <c r="A331" t="s">
        <v>1836</v>
      </c>
      <c r="B331" t="str">
        <f>CONCATENATE(A331,88)</f>
        <v>9F66F36QR7088</v>
      </c>
      <c r="C331" t="s">
        <v>1838</v>
      </c>
      <c r="D331" t="s">
        <v>27</v>
      </c>
      <c r="E331" t="s">
        <v>28</v>
      </c>
      <c r="F331" t="s">
        <v>29</v>
      </c>
      <c r="G331" s="1">
        <v>45870</v>
      </c>
      <c r="H331" s="1">
        <v>43831</v>
      </c>
      <c r="I331">
        <v>20411454</v>
      </c>
      <c r="J331" t="s">
        <v>32</v>
      </c>
      <c r="K331" t="s">
        <v>4532</v>
      </c>
      <c r="L331">
        <v>1.25</v>
      </c>
      <c r="M331">
        <v>1.25</v>
      </c>
      <c r="N331" t="s">
        <v>2718</v>
      </c>
      <c r="P331" t="s">
        <v>4201</v>
      </c>
    </row>
    <row r="332" spans="1:16" x14ac:dyDescent="0.25">
      <c r="A332" t="s">
        <v>1877</v>
      </c>
      <c r="B332" t="str">
        <f>CONCATENATE(A332,88)</f>
        <v>4TR3FW1GJ8988</v>
      </c>
      <c r="C332" t="s">
        <v>1879</v>
      </c>
      <c r="D332" t="s">
        <v>27</v>
      </c>
      <c r="E332" t="s">
        <v>28</v>
      </c>
      <c r="F332" t="s">
        <v>127</v>
      </c>
      <c r="G332" s="1">
        <v>45870</v>
      </c>
      <c r="H332" s="1">
        <v>44927</v>
      </c>
      <c r="I332">
        <v>20411454</v>
      </c>
      <c r="J332" t="s">
        <v>32</v>
      </c>
      <c r="K332" t="s">
        <v>4532</v>
      </c>
      <c r="L332">
        <v>1.25</v>
      </c>
      <c r="M332">
        <v>1.25</v>
      </c>
      <c r="N332" t="s">
        <v>2718</v>
      </c>
      <c r="P332" t="s">
        <v>4202</v>
      </c>
    </row>
    <row r="333" spans="1:16" x14ac:dyDescent="0.25">
      <c r="A333" t="s">
        <v>1897</v>
      </c>
      <c r="B333" t="str">
        <f>CONCATENATE(A333,88)</f>
        <v>3UC2NX6YG0588</v>
      </c>
      <c r="C333" t="s">
        <v>1899</v>
      </c>
      <c r="D333" t="s">
        <v>27</v>
      </c>
      <c r="E333" t="s">
        <v>28</v>
      </c>
      <c r="F333" t="s">
        <v>29</v>
      </c>
      <c r="G333" s="1">
        <v>45870</v>
      </c>
      <c r="H333" s="1">
        <v>44927</v>
      </c>
      <c r="I333">
        <v>20411454</v>
      </c>
      <c r="J333" t="s">
        <v>32</v>
      </c>
      <c r="K333" t="s">
        <v>4532</v>
      </c>
      <c r="L333">
        <v>1.25</v>
      </c>
      <c r="M333">
        <v>1.25</v>
      </c>
      <c r="N333" t="s">
        <v>2718</v>
      </c>
      <c r="P333" t="s">
        <v>4203</v>
      </c>
    </row>
    <row r="334" spans="1:16" x14ac:dyDescent="0.25">
      <c r="A334" t="s">
        <v>1900</v>
      </c>
      <c r="B334" t="str">
        <f>CONCATENATE(A334,88)</f>
        <v>3M97W01UA2088</v>
      </c>
      <c r="C334" t="s">
        <v>1902</v>
      </c>
      <c r="D334" t="s">
        <v>27</v>
      </c>
      <c r="E334" t="s">
        <v>28</v>
      </c>
      <c r="F334" t="s">
        <v>29</v>
      </c>
      <c r="G334" s="1">
        <v>45870</v>
      </c>
      <c r="H334" s="1">
        <v>44927</v>
      </c>
      <c r="I334">
        <v>20411454</v>
      </c>
      <c r="J334" t="s">
        <v>32</v>
      </c>
      <c r="K334" t="s">
        <v>4532</v>
      </c>
      <c r="L334">
        <v>1.25</v>
      </c>
      <c r="M334">
        <v>1.25</v>
      </c>
      <c r="N334" t="s">
        <v>2718</v>
      </c>
      <c r="P334" t="s">
        <v>4204</v>
      </c>
    </row>
    <row r="335" spans="1:16" x14ac:dyDescent="0.25">
      <c r="A335" t="s">
        <v>1913</v>
      </c>
      <c r="B335" t="str">
        <f>CONCATENATE(A335,88)</f>
        <v>5VJ5EM8YN5688</v>
      </c>
      <c r="C335" t="s">
        <v>1915</v>
      </c>
      <c r="D335" t="s">
        <v>27</v>
      </c>
      <c r="E335" t="s">
        <v>28</v>
      </c>
      <c r="F335" t="s">
        <v>127</v>
      </c>
      <c r="G335" s="1">
        <v>45870</v>
      </c>
      <c r="H335" s="1">
        <v>44958</v>
      </c>
      <c r="I335">
        <v>20411454</v>
      </c>
      <c r="J335" t="s">
        <v>32</v>
      </c>
      <c r="K335" t="s">
        <v>4532</v>
      </c>
      <c r="L335">
        <v>1.25</v>
      </c>
      <c r="M335">
        <v>1.25</v>
      </c>
      <c r="N335" t="s">
        <v>2718</v>
      </c>
      <c r="P335" t="s">
        <v>4205</v>
      </c>
    </row>
    <row r="336" spans="1:16" x14ac:dyDescent="0.25">
      <c r="A336" t="s">
        <v>1919</v>
      </c>
      <c r="B336" t="str">
        <f>CONCATENATE(A336,88)</f>
        <v>1VA8JC2GY4088</v>
      </c>
      <c r="C336" t="s">
        <v>1921</v>
      </c>
      <c r="D336" t="s">
        <v>27</v>
      </c>
      <c r="E336" t="s">
        <v>28</v>
      </c>
      <c r="F336" t="s">
        <v>29</v>
      </c>
      <c r="G336" s="1">
        <v>45870</v>
      </c>
      <c r="H336" s="1">
        <v>44927</v>
      </c>
      <c r="I336">
        <v>20411454</v>
      </c>
      <c r="J336" t="s">
        <v>32</v>
      </c>
      <c r="K336" t="s">
        <v>4532</v>
      </c>
      <c r="L336">
        <v>1.25</v>
      </c>
      <c r="M336">
        <v>1.25</v>
      </c>
      <c r="N336" t="s">
        <v>2718</v>
      </c>
      <c r="P336" t="s">
        <v>4206</v>
      </c>
    </row>
    <row r="337" spans="1:16" x14ac:dyDescent="0.25">
      <c r="A337" t="s">
        <v>1922</v>
      </c>
      <c r="B337" t="str">
        <f>CONCATENATE(A337,88)</f>
        <v>5AP3Y85UK0888</v>
      </c>
      <c r="C337" t="s">
        <v>1924</v>
      </c>
      <c r="D337" t="s">
        <v>27</v>
      </c>
      <c r="E337" t="s">
        <v>28</v>
      </c>
      <c r="F337" t="s">
        <v>29</v>
      </c>
      <c r="G337" s="1">
        <v>45870</v>
      </c>
      <c r="H337" s="1">
        <v>44927</v>
      </c>
      <c r="I337">
        <v>20411454</v>
      </c>
      <c r="J337" t="s">
        <v>32</v>
      </c>
      <c r="K337" t="s">
        <v>4532</v>
      </c>
      <c r="L337">
        <v>1.25</v>
      </c>
      <c r="M337">
        <v>1.25</v>
      </c>
      <c r="N337" t="s">
        <v>2718</v>
      </c>
      <c r="P337" t="s">
        <v>4207</v>
      </c>
    </row>
    <row r="338" spans="1:16" x14ac:dyDescent="0.25">
      <c r="A338" t="s">
        <v>1939</v>
      </c>
      <c r="B338" t="str">
        <f>CONCATENATE(A338,88)</f>
        <v>3NT2TY7KF9788</v>
      </c>
      <c r="C338" t="s">
        <v>1941</v>
      </c>
      <c r="D338" t="s">
        <v>27</v>
      </c>
      <c r="E338" t="s">
        <v>28</v>
      </c>
      <c r="F338" t="s">
        <v>29</v>
      </c>
      <c r="G338" s="1">
        <v>45870</v>
      </c>
      <c r="H338" s="1">
        <v>43862</v>
      </c>
      <c r="I338">
        <v>20411454</v>
      </c>
      <c r="J338" t="s">
        <v>32</v>
      </c>
      <c r="K338" t="s">
        <v>4532</v>
      </c>
      <c r="L338">
        <v>1.25</v>
      </c>
      <c r="M338">
        <v>1.25</v>
      </c>
      <c r="N338" t="s">
        <v>2718</v>
      </c>
      <c r="P338" t="s">
        <v>4208</v>
      </c>
    </row>
    <row r="339" spans="1:16" x14ac:dyDescent="0.25">
      <c r="A339" t="s">
        <v>1954</v>
      </c>
      <c r="B339" t="str">
        <f>CONCATENATE(A339,88)</f>
        <v>4CC2MU0QJ9788</v>
      </c>
      <c r="C339" t="s">
        <v>1956</v>
      </c>
      <c r="D339" t="s">
        <v>27</v>
      </c>
      <c r="E339" t="s">
        <v>28</v>
      </c>
      <c r="F339" t="s">
        <v>29</v>
      </c>
      <c r="G339" s="1">
        <v>45870</v>
      </c>
      <c r="H339" s="1">
        <v>44927</v>
      </c>
      <c r="I339">
        <v>20411454</v>
      </c>
      <c r="J339" t="s">
        <v>32</v>
      </c>
      <c r="K339" t="s">
        <v>4532</v>
      </c>
      <c r="L339">
        <v>1.25</v>
      </c>
      <c r="M339">
        <v>1.25</v>
      </c>
      <c r="N339" t="s">
        <v>2718</v>
      </c>
      <c r="P339" t="s">
        <v>4209</v>
      </c>
    </row>
    <row r="340" spans="1:16" x14ac:dyDescent="0.25">
      <c r="A340" t="s">
        <v>1960</v>
      </c>
      <c r="B340" t="str">
        <f>CONCATENATE(A340,88)</f>
        <v>6YX5XG0VP6888</v>
      </c>
      <c r="C340" t="s">
        <v>1962</v>
      </c>
      <c r="D340" t="s">
        <v>27</v>
      </c>
      <c r="E340" t="s">
        <v>28</v>
      </c>
      <c r="F340" t="s">
        <v>29</v>
      </c>
      <c r="G340" s="1">
        <v>45870</v>
      </c>
      <c r="H340" s="1">
        <v>44256</v>
      </c>
      <c r="I340">
        <v>20411454</v>
      </c>
      <c r="J340" t="s">
        <v>32</v>
      </c>
      <c r="K340" t="s">
        <v>4532</v>
      </c>
      <c r="L340">
        <v>1.25</v>
      </c>
      <c r="M340">
        <v>1.25</v>
      </c>
      <c r="N340" t="s">
        <v>2718</v>
      </c>
      <c r="P340" t="s">
        <v>4210</v>
      </c>
    </row>
    <row r="341" spans="1:16" x14ac:dyDescent="0.25">
      <c r="A341" t="s">
        <v>1963</v>
      </c>
      <c r="B341" t="str">
        <f>CONCATENATE(A341,88)</f>
        <v>2NP6E96FQ8288</v>
      </c>
      <c r="C341" t="s">
        <v>1965</v>
      </c>
      <c r="D341" t="s">
        <v>27</v>
      </c>
      <c r="E341" t="s">
        <v>28</v>
      </c>
      <c r="F341" t="s">
        <v>29</v>
      </c>
      <c r="G341" s="1">
        <v>45870</v>
      </c>
      <c r="H341" s="1">
        <v>43831</v>
      </c>
      <c r="I341">
        <v>20411454</v>
      </c>
      <c r="J341" t="s">
        <v>32</v>
      </c>
      <c r="K341" t="s">
        <v>4532</v>
      </c>
      <c r="L341">
        <v>1.25</v>
      </c>
      <c r="M341">
        <v>1.25</v>
      </c>
      <c r="N341" t="s">
        <v>2718</v>
      </c>
      <c r="P341" t="s">
        <v>4211</v>
      </c>
    </row>
    <row r="342" spans="1:16" x14ac:dyDescent="0.25">
      <c r="A342" t="s">
        <v>1966</v>
      </c>
      <c r="B342" t="str">
        <f>CONCATENATE(A342,88)</f>
        <v>6YR9PM1QC3388</v>
      </c>
      <c r="C342" t="s">
        <v>1968</v>
      </c>
      <c r="D342" t="s">
        <v>27</v>
      </c>
      <c r="E342" t="s">
        <v>28</v>
      </c>
      <c r="F342" t="s">
        <v>29</v>
      </c>
      <c r="G342" s="1">
        <v>45870</v>
      </c>
      <c r="H342" s="1">
        <v>44927</v>
      </c>
      <c r="I342">
        <v>20411454</v>
      </c>
      <c r="J342" t="s">
        <v>32</v>
      </c>
      <c r="K342" t="s">
        <v>4532</v>
      </c>
      <c r="L342">
        <v>1.25</v>
      </c>
      <c r="M342">
        <v>1.25</v>
      </c>
      <c r="N342" t="s">
        <v>2718</v>
      </c>
      <c r="P342" t="s">
        <v>4212</v>
      </c>
    </row>
    <row r="343" spans="1:16" x14ac:dyDescent="0.25">
      <c r="A343" t="s">
        <v>2005</v>
      </c>
      <c r="B343" t="str">
        <f>CONCATENATE(A343,88)</f>
        <v>9QM6CF7HM6788</v>
      </c>
      <c r="C343" t="s">
        <v>2007</v>
      </c>
      <c r="D343" t="s">
        <v>27</v>
      </c>
      <c r="E343" t="s">
        <v>28</v>
      </c>
      <c r="F343" t="s">
        <v>29</v>
      </c>
      <c r="G343" s="1">
        <v>45870</v>
      </c>
      <c r="H343" s="1">
        <v>45047</v>
      </c>
      <c r="I343">
        <v>20411454</v>
      </c>
      <c r="J343" t="s">
        <v>32</v>
      </c>
      <c r="K343" t="s">
        <v>4532</v>
      </c>
      <c r="L343">
        <v>1.25</v>
      </c>
      <c r="M343">
        <v>1.25</v>
      </c>
      <c r="N343" t="s">
        <v>2718</v>
      </c>
      <c r="P343" t="s">
        <v>4213</v>
      </c>
    </row>
    <row r="344" spans="1:16" x14ac:dyDescent="0.25">
      <c r="A344" t="s">
        <v>2011</v>
      </c>
      <c r="B344" t="str">
        <f>CONCATENATE(A344,88)</f>
        <v>8GR2Q44FR9588</v>
      </c>
      <c r="C344" t="s">
        <v>2013</v>
      </c>
      <c r="D344" t="s">
        <v>27</v>
      </c>
      <c r="E344" t="s">
        <v>28</v>
      </c>
      <c r="F344" t="s">
        <v>29</v>
      </c>
      <c r="G344" s="1">
        <v>45870</v>
      </c>
      <c r="H344" s="1">
        <v>45597</v>
      </c>
      <c r="I344">
        <v>20411454</v>
      </c>
      <c r="J344" t="s">
        <v>32</v>
      </c>
      <c r="K344" t="s">
        <v>4532</v>
      </c>
      <c r="L344">
        <v>1.25</v>
      </c>
      <c r="M344">
        <v>1.25</v>
      </c>
      <c r="N344" t="s">
        <v>2718</v>
      </c>
      <c r="P344" t="s">
        <v>4214</v>
      </c>
    </row>
    <row r="345" spans="1:16" x14ac:dyDescent="0.25">
      <c r="A345" t="s">
        <v>2056</v>
      </c>
      <c r="B345" t="str">
        <f>CONCATENATE(A345,88)</f>
        <v>2WD7H66NJ6888</v>
      </c>
      <c r="C345" t="s">
        <v>2058</v>
      </c>
      <c r="D345" t="s">
        <v>27</v>
      </c>
      <c r="E345" t="s">
        <v>28</v>
      </c>
      <c r="F345" t="s">
        <v>29</v>
      </c>
      <c r="G345" s="1">
        <v>45870</v>
      </c>
      <c r="H345" s="1">
        <v>43831</v>
      </c>
      <c r="I345">
        <v>20411454</v>
      </c>
      <c r="J345" t="s">
        <v>32</v>
      </c>
      <c r="K345" t="s">
        <v>4532</v>
      </c>
      <c r="L345">
        <v>1.25</v>
      </c>
      <c r="M345">
        <v>1.25</v>
      </c>
      <c r="N345" t="s">
        <v>2718</v>
      </c>
      <c r="P345" t="s">
        <v>4215</v>
      </c>
    </row>
    <row r="346" spans="1:16" x14ac:dyDescent="0.25">
      <c r="A346" t="s">
        <v>2059</v>
      </c>
      <c r="B346" t="str">
        <f>CONCATENATE(A346,88)</f>
        <v>6XU4KC0JF8888</v>
      </c>
      <c r="C346" t="s">
        <v>2061</v>
      </c>
      <c r="D346" t="s">
        <v>27</v>
      </c>
      <c r="E346" t="s">
        <v>28</v>
      </c>
      <c r="F346" t="s">
        <v>29</v>
      </c>
      <c r="G346" s="1">
        <v>45870</v>
      </c>
      <c r="H346" s="1">
        <v>44927</v>
      </c>
      <c r="I346">
        <v>20411454</v>
      </c>
      <c r="J346" t="s">
        <v>32</v>
      </c>
      <c r="K346" t="s">
        <v>4532</v>
      </c>
      <c r="L346">
        <v>1.25</v>
      </c>
      <c r="M346">
        <v>1.25</v>
      </c>
      <c r="N346" t="s">
        <v>2718</v>
      </c>
      <c r="P346" t="s">
        <v>4216</v>
      </c>
    </row>
    <row r="347" spans="1:16" x14ac:dyDescent="0.25">
      <c r="A347" t="s">
        <v>2074</v>
      </c>
      <c r="B347" t="str">
        <f>CONCATENATE(A347,88)</f>
        <v>7XX1H32CG3188</v>
      </c>
      <c r="C347" t="s">
        <v>2076</v>
      </c>
      <c r="D347" t="s">
        <v>27</v>
      </c>
      <c r="E347" t="s">
        <v>28</v>
      </c>
      <c r="F347" t="s">
        <v>29</v>
      </c>
      <c r="G347" s="1">
        <v>45870</v>
      </c>
      <c r="H347" s="1">
        <v>44743</v>
      </c>
      <c r="I347">
        <v>20411454</v>
      </c>
      <c r="J347" t="s">
        <v>32</v>
      </c>
      <c r="K347" t="s">
        <v>4532</v>
      </c>
      <c r="L347">
        <v>1.25</v>
      </c>
      <c r="M347">
        <v>1.25</v>
      </c>
      <c r="N347" t="s">
        <v>2718</v>
      </c>
      <c r="P347" t="s">
        <v>4217</v>
      </c>
    </row>
    <row r="348" spans="1:16" x14ac:dyDescent="0.25">
      <c r="A348" t="s">
        <v>2092</v>
      </c>
      <c r="B348" t="str">
        <f>CONCATENATE(A348,88)</f>
        <v>1V27GF9WE3488</v>
      </c>
      <c r="C348" t="s">
        <v>2094</v>
      </c>
      <c r="D348" t="s">
        <v>27</v>
      </c>
      <c r="E348" t="s">
        <v>28</v>
      </c>
      <c r="F348" t="s">
        <v>29</v>
      </c>
      <c r="G348" s="1">
        <v>45870</v>
      </c>
      <c r="H348" s="1">
        <v>44197</v>
      </c>
      <c r="I348">
        <v>20411454</v>
      </c>
      <c r="J348" t="s">
        <v>32</v>
      </c>
      <c r="K348" t="s">
        <v>4532</v>
      </c>
      <c r="L348">
        <v>1.25</v>
      </c>
      <c r="M348">
        <v>1.25</v>
      </c>
      <c r="N348" t="s">
        <v>2718</v>
      </c>
      <c r="P348" t="s">
        <v>4218</v>
      </c>
    </row>
    <row r="349" spans="1:16" x14ac:dyDescent="0.25">
      <c r="A349" t="s">
        <v>2122</v>
      </c>
      <c r="B349" t="str">
        <f>CONCATENATE(A349,88)</f>
        <v>5G95AP3AE7188</v>
      </c>
      <c r="C349" t="s">
        <v>2124</v>
      </c>
      <c r="D349" t="s">
        <v>27</v>
      </c>
      <c r="E349" t="s">
        <v>28</v>
      </c>
      <c r="F349" t="s">
        <v>29</v>
      </c>
      <c r="G349" s="1">
        <v>45870</v>
      </c>
      <c r="H349" s="1">
        <v>44197</v>
      </c>
      <c r="I349">
        <v>20411454</v>
      </c>
      <c r="J349" t="s">
        <v>32</v>
      </c>
      <c r="K349" t="s">
        <v>4532</v>
      </c>
      <c r="L349">
        <v>1.25</v>
      </c>
      <c r="M349">
        <v>1.25</v>
      </c>
      <c r="N349" t="s">
        <v>2718</v>
      </c>
      <c r="P349" t="s">
        <v>4219</v>
      </c>
    </row>
    <row r="350" spans="1:16" x14ac:dyDescent="0.25">
      <c r="A350" t="s">
        <v>2125</v>
      </c>
      <c r="B350" t="str">
        <f>CONCATENATE(A350,88)</f>
        <v>1W14C98JU7588</v>
      </c>
      <c r="C350" t="s">
        <v>2127</v>
      </c>
      <c r="D350" t="s">
        <v>27</v>
      </c>
      <c r="E350" t="s">
        <v>28</v>
      </c>
      <c r="F350" t="s">
        <v>29</v>
      </c>
      <c r="G350" s="1">
        <v>45870</v>
      </c>
      <c r="H350" s="1">
        <v>43831</v>
      </c>
      <c r="I350">
        <v>20411454</v>
      </c>
      <c r="J350" t="s">
        <v>32</v>
      </c>
      <c r="K350" t="s">
        <v>4532</v>
      </c>
      <c r="L350">
        <v>1.25</v>
      </c>
      <c r="M350">
        <v>1.25</v>
      </c>
      <c r="N350" t="s">
        <v>2718</v>
      </c>
      <c r="P350" t="s">
        <v>4220</v>
      </c>
    </row>
    <row r="351" spans="1:16" x14ac:dyDescent="0.25">
      <c r="A351" t="s">
        <v>2128</v>
      </c>
      <c r="B351" t="str">
        <f>CONCATENATE(A351,88)</f>
        <v>9E09YM5JU2488</v>
      </c>
      <c r="C351" t="s">
        <v>2130</v>
      </c>
      <c r="D351" t="s">
        <v>27</v>
      </c>
      <c r="E351" t="s">
        <v>28</v>
      </c>
      <c r="F351" t="s">
        <v>29</v>
      </c>
      <c r="G351" s="1">
        <v>45870</v>
      </c>
      <c r="H351" s="1">
        <v>44927</v>
      </c>
      <c r="I351">
        <v>20411454</v>
      </c>
      <c r="J351" t="s">
        <v>32</v>
      </c>
      <c r="K351" t="s">
        <v>4532</v>
      </c>
      <c r="L351">
        <v>1.25</v>
      </c>
      <c r="M351">
        <v>1.25</v>
      </c>
      <c r="N351" t="s">
        <v>2718</v>
      </c>
      <c r="P351" t="s">
        <v>4221</v>
      </c>
    </row>
    <row r="352" spans="1:16" x14ac:dyDescent="0.25">
      <c r="A352" t="s">
        <v>2131</v>
      </c>
      <c r="B352" t="str">
        <f>CONCATENATE(A352,88)</f>
        <v>2WG8MY3GA5488</v>
      </c>
      <c r="C352" t="s">
        <v>2133</v>
      </c>
      <c r="D352" t="s">
        <v>27</v>
      </c>
      <c r="E352" t="s">
        <v>28</v>
      </c>
      <c r="F352" t="s">
        <v>29</v>
      </c>
      <c r="G352" s="1">
        <v>45870</v>
      </c>
      <c r="H352" s="1">
        <v>44986</v>
      </c>
      <c r="I352">
        <v>20411454</v>
      </c>
      <c r="J352" t="s">
        <v>32</v>
      </c>
      <c r="K352" t="s">
        <v>4532</v>
      </c>
      <c r="L352">
        <v>1.25</v>
      </c>
      <c r="M352">
        <v>1.25</v>
      </c>
      <c r="N352" t="s">
        <v>2718</v>
      </c>
      <c r="P352" t="s">
        <v>4222</v>
      </c>
    </row>
    <row r="353" spans="1:16" x14ac:dyDescent="0.25">
      <c r="A353" t="s">
        <v>2134</v>
      </c>
      <c r="B353" t="str">
        <f>CONCATENATE(A353,88)</f>
        <v>6RF6TD6AG6088</v>
      </c>
      <c r="C353" t="s">
        <v>2136</v>
      </c>
      <c r="D353" t="s">
        <v>27</v>
      </c>
      <c r="E353" t="s">
        <v>28</v>
      </c>
      <c r="F353" t="s">
        <v>29</v>
      </c>
      <c r="G353" s="1">
        <v>45870</v>
      </c>
      <c r="H353" s="1">
        <v>44774</v>
      </c>
      <c r="I353">
        <v>20411454</v>
      </c>
      <c r="J353" t="s">
        <v>32</v>
      </c>
      <c r="K353" t="s">
        <v>4532</v>
      </c>
      <c r="L353">
        <v>1.25</v>
      </c>
      <c r="M353">
        <v>1.25</v>
      </c>
      <c r="N353" t="s">
        <v>2718</v>
      </c>
      <c r="P353" t="s">
        <v>4223</v>
      </c>
    </row>
    <row r="354" spans="1:16" x14ac:dyDescent="0.25">
      <c r="A354" t="s">
        <v>2158</v>
      </c>
      <c r="B354" t="str">
        <f>CONCATENATE(A354,88)</f>
        <v>1R83VY1YH0288</v>
      </c>
      <c r="C354" t="s">
        <v>2160</v>
      </c>
      <c r="D354" t="s">
        <v>27</v>
      </c>
      <c r="E354" t="s">
        <v>28</v>
      </c>
      <c r="F354" t="s">
        <v>29</v>
      </c>
      <c r="G354" s="1">
        <v>45870</v>
      </c>
      <c r="H354" s="1">
        <v>43831</v>
      </c>
      <c r="I354">
        <v>20411454</v>
      </c>
      <c r="J354" t="s">
        <v>32</v>
      </c>
      <c r="K354" t="s">
        <v>4532</v>
      </c>
      <c r="L354">
        <v>1.25</v>
      </c>
      <c r="M354">
        <v>1.25</v>
      </c>
      <c r="N354" t="s">
        <v>2718</v>
      </c>
      <c r="P354" t="s">
        <v>4224</v>
      </c>
    </row>
    <row r="355" spans="1:16" x14ac:dyDescent="0.25">
      <c r="A355" t="s">
        <v>2177</v>
      </c>
      <c r="B355" t="str">
        <f>CONCATENATE(A355,88)</f>
        <v>2TY9NA2XF5288</v>
      </c>
      <c r="C355" t="s">
        <v>2179</v>
      </c>
      <c r="D355" t="s">
        <v>27</v>
      </c>
      <c r="E355" t="s">
        <v>28</v>
      </c>
      <c r="F355" t="s">
        <v>29</v>
      </c>
      <c r="G355" s="1">
        <v>45870</v>
      </c>
      <c r="H355" s="1">
        <v>44197</v>
      </c>
      <c r="I355">
        <v>20411454</v>
      </c>
      <c r="J355" t="s">
        <v>32</v>
      </c>
      <c r="K355" t="s">
        <v>4532</v>
      </c>
      <c r="L355">
        <v>1.25</v>
      </c>
      <c r="M355">
        <v>1.25</v>
      </c>
      <c r="N355" t="s">
        <v>2718</v>
      </c>
      <c r="P355" t="s">
        <v>4225</v>
      </c>
    </row>
    <row r="356" spans="1:16" x14ac:dyDescent="0.25">
      <c r="A356" t="s">
        <v>2183</v>
      </c>
      <c r="B356" t="str">
        <f>CONCATENATE(A356,88)</f>
        <v>8NX1XJ1FC9088</v>
      </c>
      <c r="C356" t="s">
        <v>2185</v>
      </c>
      <c r="D356" t="s">
        <v>27</v>
      </c>
      <c r="E356" t="s">
        <v>28</v>
      </c>
      <c r="F356" t="s">
        <v>29</v>
      </c>
      <c r="G356" s="1">
        <v>45870</v>
      </c>
      <c r="H356" s="1">
        <v>44287</v>
      </c>
      <c r="I356">
        <v>20411454</v>
      </c>
      <c r="J356" t="s">
        <v>32</v>
      </c>
      <c r="K356" t="s">
        <v>4532</v>
      </c>
      <c r="L356">
        <v>1.25</v>
      </c>
      <c r="M356">
        <v>1.25</v>
      </c>
      <c r="N356" t="s">
        <v>2718</v>
      </c>
      <c r="P356" t="s">
        <v>4226</v>
      </c>
    </row>
    <row r="357" spans="1:16" x14ac:dyDescent="0.25">
      <c r="A357" t="s">
        <v>2195</v>
      </c>
      <c r="B357" t="str">
        <f>CONCATENATE(A357,88)</f>
        <v>8GN6J03RF4388</v>
      </c>
      <c r="C357" t="s">
        <v>2197</v>
      </c>
      <c r="D357" t="s">
        <v>27</v>
      </c>
      <c r="E357" t="s">
        <v>28</v>
      </c>
      <c r="F357" t="s">
        <v>29</v>
      </c>
      <c r="G357" s="1">
        <v>45870</v>
      </c>
      <c r="H357" s="1">
        <v>44835</v>
      </c>
      <c r="I357">
        <v>20411454</v>
      </c>
      <c r="J357" t="s">
        <v>32</v>
      </c>
      <c r="K357" t="s">
        <v>4532</v>
      </c>
      <c r="L357">
        <v>1.25</v>
      </c>
      <c r="M357">
        <v>1.25</v>
      </c>
      <c r="N357" t="s">
        <v>2718</v>
      </c>
      <c r="P357" t="s">
        <v>4227</v>
      </c>
    </row>
    <row r="358" spans="1:16" x14ac:dyDescent="0.25">
      <c r="A358" t="s">
        <v>2198</v>
      </c>
      <c r="B358" t="str">
        <f>CONCATENATE(A358,88)</f>
        <v>3VP0PX5PM4888</v>
      </c>
      <c r="C358" t="s">
        <v>2200</v>
      </c>
      <c r="D358" t="s">
        <v>27</v>
      </c>
      <c r="E358" t="s">
        <v>28</v>
      </c>
      <c r="F358" t="s">
        <v>29</v>
      </c>
      <c r="G358" s="1">
        <v>45870</v>
      </c>
      <c r="H358" s="1">
        <v>44835</v>
      </c>
      <c r="I358">
        <v>20411454</v>
      </c>
      <c r="J358" t="s">
        <v>32</v>
      </c>
      <c r="K358" t="s">
        <v>4532</v>
      </c>
      <c r="L358">
        <v>1.25</v>
      </c>
      <c r="M358">
        <v>1.25</v>
      </c>
      <c r="N358" t="s">
        <v>2718</v>
      </c>
      <c r="P358" t="s">
        <v>4228</v>
      </c>
    </row>
    <row r="359" spans="1:16" x14ac:dyDescent="0.25">
      <c r="A359" t="s">
        <v>2216</v>
      </c>
      <c r="B359" t="str">
        <f>CONCATENATE(A359,88)</f>
        <v>2TJ2CV5AM0588</v>
      </c>
      <c r="C359" t="s">
        <v>2218</v>
      </c>
      <c r="D359" t="s">
        <v>27</v>
      </c>
      <c r="E359" t="s">
        <v>28</v>
      </c>
      <c r="F359" t="s">
        <v>29</v>
      </c>
      <c r="G359" s="1">
        <v>45870</v>
      </c>
      <c r="H359" s="1">
        <v>45658</v>
      </c>
      <c r="I359">
        <v>20411454</v>
      </c>
      <c r="J359" t="s">
        <v>32</v>
      </c>
      <c r="K359" t="s">
        <v>4532</v>
      </c>
      <c r="L359">
        <v>1.25</v>
      </c>
      <c r="M359">
        <v>1.25</v>
      </c>
      <c r="N359" t="s">
        <v>2718</v>
      </c>
      <c r="P359" t="s">
        <v>4229</v>
      </c>
    </row>
    <row r="360" spans="1:16" x14ac:dyDescent="0.25">
      <c r="A360" t="s">
        <v>2234</v>
      </c>
      <c r="B360" t="str">
        <f>CONCATENATE(A360,88)</f>
        <v>1CT4T68MA6388</v>
      </c>
      <c r="C360" t="s">
        <v>2236</v>
      </c>
      <c r="D360" t="s">
        <v>27</v>
      </c>
      <c r="E360" t="s">
        <v>28</v>
      </c>
      <c r="F360" t="s">
        <v>29</v>
      </c>
      <c r="G360" s="1">
        <v>45870</v>
      </c>
      <c r="H360" s="1">
        <v>44562</v>
      </c>
      <c r="I360">
        <v>20411454</v>
      </c>
      <c r="J360" t="s">
        <v>32</v>
      </c>
      <c r="K360" t="s">
        <v>4532</v>
      </c>
      <c r="L360">
        <v>1.25</v>
      </c>
      <c r="M360">
        <v>1.25</v>
      </c>
      <c r="N360" t="s">
        <v>2718</v>
      </c>
      <c r="P360" t="s">
        <v>4230</v>
      </c>
    </row>
    <row r="361" spans="1:16" x14ac:dyDescent="0.25">
      <c r="A361" t="s">
        <v>2246</v>
      </c>
      <c r="B361" t="str">
        <f>CONCATENATE(A361,88)</f>
        <v>5U66T88JK4388</v>
      </c>
      <c r="C361" t="s">
        <v>2248</v>
      </c>
      <c r="D361" t="s">
        <v>27</v>
      </c>
      <c r="E361" t="s">
        <v>28</v>
      </c>
      <c r="F361" t="s">
        <v>29</v>
      </c>
      <c r="G361" s="1">
        <v>45870</v>
      </c>
      <c r="H361" s="1">
        <v>44562</v>
      </c>
      <c r="I361">
        <v>20411454</v>
      </c>
      <c r="J361" t="s">
        <v>32</v>
      </c>
      <c r="K361" t="s">
        <v>4532</v>
      </c>
      <c r="L361">
        <v>1.25</v>
      </c>
      <c r="M361">
        <v>1.25</v>
      </c>
      <c r="N361" t="s">
        <v>2718</v>
      </c>
      <c r="P361" t="s">
        <v>4231</v>
      </c>
    </row>
    <row r="362" spans="1:16" x14ac:dyDescent="0.25">
      <c r="A362" t="s">
        <v>2260</v>
      </c>
      <c r="B362" t="str">
        <f>CONCATENATE(A362,88)</f>
        <v>7AT7Y37DF7688</v>
      </c>
      <c r="C362" t="s">
        <v>2262</v>
      </c>
      <c r="D362" t="s">
        <v>27</v>
      </c>
      <c r="E362" t="s">
        <v>28</v>
      </c>
      <c r="F362" t="s">
        <v>29</v>
      </c>
      <c r="G362" s="1">
        <v>45870</v>
      </c>
      <c r="H362" s="1">
        <v>45627</v>
      </c>
      <c r="I362">
        <v>20411454</v>
      </c>
      <c r="J362" t="s">
        <v>32</v>
      </c>
      <c r="K362" t="s">
        <v>4532</v>
      </c>
      <c r="L362">
        <v>1.25</v>
      </c>
      <c r="M362">
        <v>1.25</v>
      </c>
      <c r="N362" t="s">
        <v>2718</v>
      </c>
      <c r="P362" t="s">
        <v>4232</v>
      </c>
    </row>
    <row r="363" spans="1:16" x14ac:dyDescent="0.25">
      <c r="A363" t="s">
        <v>2263</v>
      </c>
      <c r="B363" t="str">
        <f>CONCATENATE(A363,88)</f>
        <v>9X26RK4DC6288</v>
      </c>
      <c r="C363" t="s">
        <v>2265</v>
      </c>
      <c r="D363" t="s">
        <v>27</v>
      </c>
      <c r="E363" t="s">
        <v>28</v>
      </c>
      <c r="F363" t="s">
        <v>29</v>
      </c>
      <c r="G363" s="1">
        <v>45870</v>
      </c>
      <c r="H363" s="1">
        <v>44805</v>
      </c>
      <c r="I363">
        <v>20411454</v>
      </c>
      <c r="J363" t="s">
        <v>32</v>
      </c>
      <c r="K363" t="s">
        <v>4532</v>
      </c>
      <c r="L363">
        <v>1.25</v>
      </c>
      <c r="M363">
        <v>1.25</v>
      </c>
      <c r="N363" t="s">
        <v>2718</v>
      </c>
      <c r="P363" t="s">
        <v>4233</v>
      </c>
    </row>
    <row r="364" spans="1:16" x14ac:dyDescent="0.25">
      <c r="A364" t="s">
        <v>2306</v>
      </c>
      <c r="B364" t="str">
        <f>CONCATENATE(A364,88)</f>
        <v>4U64YV7UH9188</v>
      </c>
      <c r="C364" t="s">
        <v>2308</v>
      </c>
      <c r="D364" t="s">
        <v>27</v>
      </c>
      <c r="E364" t="s">
        <v>28</v>
      </c>
      <c r="F364" t="s">
        <v>29</v>
      </c>
      <c r="G364" s="1">
        <v>45870</v>
      </c>
      <c r="H364" s="1">
        <v>44562</v>
      </c>
      <c r="I364">
        <v>20411454</v>
      </c>
      <c r="J364" t="s">
        <v>32</v>
      </c>
      <c r="K364" t="s">
        <v>4532</v>
      </c>
      <c r="L364">
        <v>1.25</v>
      </c>
      <c r="M364">
        <v>1.25</v>
      </c>
      <c r="N364" t="s">
        <v>2718</v>
      </c>
      <c r="P364" t="s">
        <v>4234</v>
      </c>
    </row>
    <row r="365" spans="1:16" x14ac:dyDescent="0.25">
      <c r="A365" t="s">
        <v>2309</v>
      </c>
      <c r="B365" t="str">
        <f>CONCATENATE(A365,88)</f>
        <v>9KK3PT7DN7788</v>
      </c>
      <c r="C365" t="s">
        <v>2311</v>
      </c>
      <c r="D365" t="s">
        <v>27</v>
      </c>
      <c r="E365" t="s">
        <v>28</v>
      </c>
      <c r="F365" t="s">
        <v>29</v>
      </c>
      <c r="G365" s="1">
        <v>45870</v>
      </c>
      <c r="H365" s="1">
        <v>44562</v>
      </c>
      <c r="I365">
        <v>20411454</v>
      </c>
      <c r="J365" t="s">
        <v>32</v>
      </c>
      <c r="K365" t="s">
        <v>4532</v>
      </c>
      <c r="L365">
        <v>1.25</v>
      </c>
      <c r="M365">
        <v>1.25</v>
      </c>
      <c r="N365" t="s">
        <v>2718</v>
      </c>
      <c r="P365" t="s">
        <v>4235</v>
      </c>
    </row>
    <row r="366" spans="1:16" x14ac:dyDescent="0.25">
      <c r="A366" t="s">
        <v>2319</v>
      </c>
      <c r="B366" t="str">
        <f>CONCATENATE(A366,88)</f>
        <v>6TM3CR2KN7088</v>
      </c>
      <c r="C366" t="s">
        <v>2321</v>
      </c>
      <c r="D366" t="s">
        <v>27</v>
      </c>
      <c r="E366" t="s">
        <v>28</v>
      </c>
      <c r="F366" t="s">
        <v>29</v>
      </c>
      <c r="G366" s="1">
        <v>45870</v>
      </c>
      <c r="H366" s="1">
        <v>45017</v>
      </c>
      <c r="I366">
        <v>20411454</v>
      </c>
      <c r="J366" t="s">
        <v>32</v>
      </c>
      <c r="K366" t="s">
        <v>4532</v>
      </c>
      <c r="L366">
        <v>1.25</v>
      </c>
      <c r="M366">
        <v>1.25</v>
      </c>
      <c r="N366" t="s">
        <v>2718</v>
      </c>
      <c r="P366" t="s">
        <v>4236</v>
      </c>
    </row>
    <row r="367" spans="1:16" x14ac:dyDescent="0.25">
      <c r="A367" t="s">
        <v>2328</v>
      </c>
      <c r="B367" t="str">
        <f>CONCATENATE(A367,88)</f>
        <v>5DE9P90VV1088</v>
      </c>
      <c r="C367" t="s">
        <v>2330</v>
      </c>
      <c r="D367" t="s">
        <v>27</v>
      </c>
      <c r="E367" t="s">
        <v>28</v>
      </c>
      <c r="F367" t="s">
        <v>29</v>
      </c>
      <c r="G367" s="1">
        <v>45870</v>
      </c>
      <c r="H367" s="1">
        <v>45658</v>
      </c>
      <c r="I367">
        <v>20411454</v>
      </c>
      <c r="J367" t="s">
        <v>32</v>
      </c>
      <c r="K367" t="s">
        <v>4532</v>
      </c>
      <c r="L367">
        <v>1.25</v>
      </c>
      <c r="M367">
        <v>1.25</v>
      </c>
      <c r="N367" t="s">
        <v>2718</v>
      </c>
      <c r="P367" t="s">
        <v>4237</v>
      </c>
    </row>
    <row r="368" spans="1:16" x14ac:dyDescent="0.25">
      <c r="A368" t="s">
        <v>2331</v>
      </c>
      <c r="B368" t="str">
        <f>CONCATENATE(A368,88)</f>
        <v>5KQ2NW9WQ1288</v>
      </c>
      <c r="C368" t="s">
        <v>2333</v>
      </c>
      <c r="D368" t="s">
        <v>27</v>
      </c>
      <c r="E368" t="s">
        <v>28</v>
      </c>
      <c r="F368" t="s">
        <v>29</v>
      </c>
      <c r="G368" s="1">
        <v>45870</v>
      </c>
      <c r="H368" s="1">
        <v>45658</v>
      </c>
      <c r="I368">
        <v>20411454</v>
      </c>
      <c r="J368" t="s">
        <v>32</v>
      </c>
      <c r="K368" t="s">
        <v>4532</v>
      </c>
      <c r="L368">
        <v>1.25</v>
      </c>
      <c r="M368">
        <v>1.25</v>
      </c>
      <c r="N368" t="s">
        <v>2718</v>
      </c>
      <c r="P368" t="s">
        <v>4238</v>
      </c>
    </row>
    <row r="369" spans="1:16" x14ac:dyDescent="0.25">
      <c r="A369" t="s">
        <v>2340</v>
      </c>
      <c r="B369" t="str">
        <f>CONCATENATE(A369,88)</f>
        <v>6VU2DF0FJ8188</v>
      </c>
      <c r="C369" t="s">
        <v>2342</v>
      </c>
      <c r="D369" t="s">
        <v>27</v>
      </c>
      <c r="E369" t="s">
        <v>28</v>
      </c>
      <c r="F369" t="s">
        <v>29</v>
      </c>
      <c r="G369" s="1">
        <v>45870</v>
      </c>
      <c r="H369" s="1">
        <v>44927</v>
      </c>
      <c r="I369">
        <v>20411454</v>
      </c>
      <c r="J369" t="s">
        <v>32</v>
      </c>
      <c r="K369" t="s">
        <v>4532</v>
      </c>
      <c r="L369">
        <v>1.25</v>
      </c>
      <c r="M369">
        <v>1.25</v>
      </c>
      <c r="N369" t="s">
        <v>2718</v>
      </c>
      <c r="P369" t="s">
        <v>4239</v>
      </c>
    </row>
    <row r="370" spans="1:16" x14ac:dyDescent="0.25">
      <c r="A370" t="s">
        <v>2346</v>
      </c>
      <c r="B370" t="str">
        <f>CONCATENATE(A370,88)</f>
        <v>5VH2TW2UR8088</v>
      </c>
      <c r="C370" t="s">
        <v>2348</v>
      </c>
      <c r="D370" t="s">
        <v>27</v>
      </c>
      <c r="E370" t="s">
        <v>28</v>
      </c>
      <c r="F370" t="s">
        <v>29</v>
      </c>
      <c r="G370" s="1">
        <v>45870</v>
      </c>
      <c r="H370" s="1">
        <v>43862</v>
      </c>
      <c r="I370">
        <v>20411454</v>
      </c>
      <c r="J370" t="s">
        <v>32</v>
      </c>
      <c r="K370" t="s">
        <v>4532</v>
      </c>
      <c r="L370">
        <v>1.25</v>
      </c>
      <c r="M370">
        <v>1.25</v>
      </c>
      <c r="N370" t="s">
        <v>2718</v>
      </c>
      <c r="P370" t="s">
        <v>4240</v>
      </c>
    </row>
    <row r="371" spans="1:16" x14ac:dyDescent="0.25">
      <c r="A371" t="s">
        <v>2374</v>
      </c>
      <c r="B371" t="str">
        <f>CONCATENATE(A371,88)</f>
        <v>4YG4P09AJ9188</v>
      </c>
      <c r="C371" t="s">
        <v>2376</v>
      </c>
      <c r="D371" t="s">
        <v>27</v>
      </c>
      <c r="E371" t="s">
        <v>28</v>
      </c>
      <c r="F371" t="s">
        <v>29</v>
      </c>
      <c r="G371" s="1">
        <v>45870</v>
      </c>
      <c r="H371" s="1">
        <v>44562</v>
      </c>
      <c r="I371">
        <v>20411454</v>
      </c>
      <c r="J371" t="s">
        <v>32</v>
      </c>
      <c r="K371" t="s">
        <v>4532</v>
      </c>
      <c r="L371">
        <v>1.25</v>
      </c>
      <c r="M371">
        <v>1.25</v>
      </c>
      <c r="N371" t="s">
        <v>2718</v>
      </c>
      <c r="P371" t="s">
        <v>4241</v>
      </c>
    </row>
    <row r="372" spans="1:16" x14ac:dyDescent="0.25">
      <c r="A372" t="s">
        <v>2398</v>
      </c>
      <c r="B372" t="str">
        <f>CONCATENATE(A372,88)</f>
        <v>3AU9YD6QD2688</v>
      </c>
      <c r="C372" t="s">
        <v>2400</v>
      </c>
      <c r="D372" t="s">
        <v>27</v>
      </c>
      <c r="E372" t="s">
        <v>28</v>
      </c>
      <c r="F372" t="s">
        <v>29</v>
      </c>
      <c r="G372" s="1">
        <v>45870</v>
      </c>
      <c r="H372" s="1">
        <v>43831</v>
      </c>
      <c r="I372">
        <v>20411454</v>
      </c>
      <c r="J372" t="s">
        <v>32</v>
      </c>
      <c r="K372" t="s">
        <v>4532</v>
      </c>
      <c r="L372">
        <v>1.25</v>
      </c>
      <c r="M372">
        <v>1.25</v>
      </c>
      <c r="N372" t="s">
        <v>2718</v>
      </c>
      <c r="P372" t="s">
        <v>4242</v>
      </c>
    </row>
    <row r="373" spans="1:16" x14ac:dyDescent="0.25">
      <c r="A373" t="s">
        <v>2428</v>
      </c>
      <c r="B373" t="str">
        <f>CONCATENATE(A373,88)</f>
        <v>4GF3F64PK9188</v>
      </c>
      <c r="C373" t="s">
        <v>2430</v>
      </c>
      <c r="D373" t="s">
        <v>27</v>
      </c>
      <c r="E373" t="s">
        <v>28</v>
      </c>
      <c r="F373" t="s">
        <v>127</v>
      </c>
      <c r="G373" s="1">
        <v>45870</v>
      </c>
      <c r="H373" s="1">
        <v>44927</v>
      </c>
      <c r="I373">
        <v>20411454</v>
      </c>
      <c r="J373" t="s">
        <v>32</v>
      </c>
      <c r="K373" t="s">
        <v>4532</v>
      </c>
      <c r="L373">
        <v>1.25</v>
      </c>
      <c r="M373">
        <v>1.25</v>
      </c>
      <c r="N373" t="s">
        <v>2718</v>
      </c>
      <c r="P373" t="s">
        <v>4243</v>
      </c>
    </row>
    <row r="374" spans="1:16" x14ac:dyDescent="0.25">
      <c r="A374" t="s">
        <v>2450</v>
      </c>
      <c r="B374" t="str">
        <f>CONCATENATE(A374,88)</f>
        <v>7NX5EA0HK8488</v>
      </c>
      <c r="C374" t="s">
        <v>2452</v>
      </c>
      <c r="D374" t="s">
        <v>27</v>
      </c>
      <c r="E374" t="s">
        <v>28</v>
      </c>
      <c r="F374" t="s">
        <v>29</v>
      </c>
      <c r="G374" s="1">
        <v>45870</v>
      </c>
      <c r="H374" s="1">
        <v>44927</v>
      </c>
      <c r="I374">
        <v>20411454</v>
      </c>
      <c r="J374" t="s">
        <v>32</v>
      </c>
      <c r="K374" t="s">
        <v>4532</v>
      </c>
      <c r="L374">
        <v>1.25</v>
      </c>
      <c r="M374">
        <v>1.25</v>
      </c>
      <c r="N374" t="s">
        <v>2718</v>
      </c>
      <c r="P374" t="s">
        <v>4244</v>
      </c>
    </row>
    <row r="375" spans="1:16" x14ac:dyDescent="0.25">
      <c r="A375" t="s">
        <v>2453</v>
      </c>
      <c r="B375" t="str">
        <f>CONCATENATE(A375,88)</f>
        <v>3Q53NT6TC0588</v>
      </c>
      <c r="C375" t="s">
        <v>2455</v>
      </c>
      <c r="D375" t="s">
        <v>27</v>
      </c>
      <c r="E375" t="s">
        <v>28</v>
      </c>
      <c r="F375" t="s">
        <v>29</v>
      </c>
      <c r="G375" s="1">
        <v>45870</v>
      </c>
      <c r="H375" s="1">
        <v>44501</v>
      </c>
      <c r="I375">
        <v>20411454</v>
      </c>
      <c r="J375" t="s">
        <v>32</v>
      </c>
      <c r="K375" t="s">
        <v>4532</v>
      </c>
      <c r="L375">
        <v>1.25</v>
      </c>
      <c r="M375">
        <v>1.25</v>
      </c>
      <c r="N375" t="s">
        <v>2718</v>
      </c>
      <c r="P375" t="s">
        <v>4245</v>
      </c>
    </row>
    <row r="376" spans="1:16" x14ac:dyDescent="0.25">
      <c r="A376" t="s">
        <v>2456</v>
      </c>
      <c r="B376" t="str">
        <f>CONCATENATE(A376,88)</f>
        <v>6FP9GQ1EK1088</v>
      </c>
      <c r="C376" t="s">
        <v>2459</v>
      </c>
      <c r="D376" t="s">
        <v>27</v>
      </c>
      <c r="E376" t="s">
        <v>28</v>
      </c>
      <c r="F376" t="s">
        <v>29</v>
      </c>
      <c r="G376" s="1">
        <v>45870</v>
      </c>
      <c r="H376" s="1">
        <v>43800</v>
      </c>
      <c r="I376">
        <v>20411454</v>
      </c>
      <c r="J376" t="s">
        <v>32</v>
      </c>
      <c r="K376" t="s">
        <v>4532</v>
      </c>
      <c r="L376">
        <v>1.25</v>
      </c>
      <c r="M376">
        <v>1.25</v>
      </c>
      <c r="N376" t="s">
        <v>2718</v>
      </c>
      <c r="P376" t="s">
        <v>4246</v>
      </c>
    </row>
    <row r="377" spans="1:16" x14ac:dyDescent="0.25">
      <c r="A377" t="s">
        <v>2463</v>
      </c>
      <c r="B377" t="str">
        <f>CONCATENATE(A377,88)</f>
        <v>4TM6X68EM7788</v>
      </c>
      <c r="C377" t="s">
        <v>2466</v>
      </c>
      <c r="D377" t="s">
        <v>27</v>
      </c>
      <c r="E377" t="s">
        <v>28</v>
      </c>
      <c r="F377" t="s">
        <v>29</v>
      </c>
      <c r="G377" s="1">
        <v>45870</v>
      </c>
      <c r="H377" s="1">
        <v>40909</v>
      </c>
      <c r="I377">
        <v>20411454</v>
      </c>
      <c r="J377" t="s">
        <v>32</v>
      </c>
      <c r="K377" t="s">
        <v>4532</v>
      </c>
      <c r="L377">
        <v>1.25</v>
      </c>
      <c r="M377">
        <v>1.25</v>
      </c>
      <c r="N377" t="s">
        <v>2718</v>
      </c>
      <c r="P377" t="s">
        <v>4247</v>
      </c>
    </row>
    <row r="378" spans="1:16" x14ac:dyDescent="0.25">
      <c r="A378" t="s">
        <v>2470</v>
      </c>
      <c r="B378" t="str">
        <f>CONCATENATE(A378,88)</f>
        <v>3QQ3Y30EF7588</v>
      </c>
      <c r="C378" t="s">
        <v>2472</v>
      </c>
      <c r="D378" t="s">
        <v>27</v>
      </c>
      <c r="E378" t="s">
        <v>28</v>
      </c>
      <c r="F378" t="s">
        <v>29</v>
      </c>
      <c r="G378" s="1">
        <v>45870</v>
      </c>
      <c r="H378" s="1">
        <v>44562</v>
      </c>
      <c r="I378">
        <v>20411454</v>
      </c>
      <c r="J378" t="s">
        <v>32</v>
      </c>
      <c r="K378" t="s">
        <v>4532</v>
      </c>
      <c r="L378">
        <v>1.25</v>
      </c>
      <c r="M378">
        <v>1.25</v>
      </c>
      <c r="N378" t="s">
        <v>2718</v>
      </c>
      <c r="P378" t="s">
        <v>4248</v>
      </c>
    </row>
    <row r="379" spans="1:16" x14ac:dyDescent="0.25">
      <c r="A379" t="s">
        <v>2488</v>
      </c>
      <c r="B379" t="str">
        <f>CONCATENATE(A379,88)</f>
        <v>2N31T61XF2688</v>
      </c>
      <c r="C379" t="s">
        <v>2490</v>
      </c>
      <c r="D379" t="s">
        <v>27</v>
      </c>
      <c r="E379" t="s">
        <v>28</v>
      </c>
      <c r="F379" t="s">
        <v>29</v>
      </c>
      <c r="G379" s="1">
        <v>45870</v>
      </c>
      <c r="H379" s="1">
        <v>44682</v>
      </c>
      <c r="I379">
        <v>20411454</v>
      </c>
      <c r="J379" t="s">
        <v>32</v>
      </c>
      <c r="K379" t="s">
        <v>4532</v>
      </c>
      <c r="L379">
        <v>1.25</v>
      </c>
      <c r="M379">
        <v>1.25</v>
      </c>
      <c r="N379" t="s">
        <v>2718</v>
      </c>
      <c r="P379" t="s">
        <v>4249</v>
      </c>
    </row>
    <row r="380" spans="1:16" x14ac:dyDescent="0.25">
      <c r="A380" t="s">
        <v>2491</v>
      </c>
      <c r="B380" t="str">
        <f>CONCATENATE(A380,88)</f>
        <v>6XC6A79JW4788</v>
      </c>
      <c r="C380" t="s">
        <v>2493</v>
      </c>
      <c r="D380" t="s">
        <v>27</v>
      </c>
      <c r="E380" t="s">
        <v>28</v>
      </c>
      <c r="F380" t="s">
        <v>29</v>
      </c>
      <c r="G380" s="1">
        <v>45870</v>
      </c>
      <c r="H380" s="1">
        <v>44562</v>
      </c>
      <c r="I380">
        <v>20411454</v>
      </c>
      <c r="J380" t="s">
        <v>32</v>
      </c>
      <c r="K380" t="s">
        <v>4532</v>
      </c>
      <c r="L380">
        <v>1.25</v>
      </c>
      <c r="M380">
        <v>1.25</v>
      </c>
      <c r="N380" t="s">
        <v>2718</v>
      </c>
      <c r="P380" t="s">
        <v>4250</v>
      </c>
    </row>
    <row r="381" spans="1:16" x14ac:dyDescent="0.25">
      <c r="A381" t="s">
        <v>2500</v>
      </c>
      <c r="B381" t="str">
        <f>CONCATENATE(A381,88)</f>
        <v>3FW2KD6RD9088</v>
      </c>
      <c r="C381" t="s">
        <v>2502</v>
      </c>
      <c r="D381" t="s">
        <v>27</v>
      </c>
      <c r="E381" t="s">
        <v>28</v>
      </c>
      <c r="F381" t="s">
        <v>29</v>
      </c>
      <c r="G381" s="1">
        <v>45870</v>
      </c>
      <c r="H381" s="1">
        <v>44562</v>
      </c>
      <c r="I381">
        <v>20411454</v>
      </c>
      <c r="J381" t="s">
        <v>32</v>
      </c>
      <c r="K381" t="s">
        <v>4532</v>
      </c>
      <c r="L381">
        <v>1.25</v>
      </c>
      <c r="M381">
        <v>1.25</v>
      </c>
      <c r="N381" t="s">
        <v>2718</v>
      </c>
      <c r="P381" t="s">
        <v>4251</v>
      </c>
    </row>
    <row r="382" spans="1:16" x14ac:dyDescent="0.25">
      <c r="A382" t="s">
        <v>2524</v>
      </c>
      <c r="B382" t="str">
        <f>CONCATENATE(A382,88)</f>
        <v>5A30D32CD1488</v>
      </c>
      <c r="C382" t="s">
        <v>2526</v>
      </c>
      <c r="D382" t="s">
        <v>27</v>
      </c>
      <c r="E382" t="s">
        <v>28</v>
      </c>
      <c r="F382" t="s">
        <v>29</v>
      </c>
      <c r="G382" s="1">
        <v>45870</v>
      </c>
      <c r="H382" s="1">
        <v>44501</v>
      </c>
      <c r="I382">
        <v>20411454</v>
      </c>
      <c r="J382" t="s">
        <v>32</v>
      </c>
      <c r="K382" t="s">
        <v>4532</v>
      </c>
      <c r="L382">
        <v>1.25</v>
      </c>
      <c r="M382">
        <v>1.25</v>
      </c>
      <c r="N382" t="s">
        <v>2718</v>
      </c>
      <c r="P382" t="s">
        <v>4252</v>
      </c>
    </row>
    <row r="383" spans="1:16" x14ac:dyDescent="0.25">
      <c r="A383" t="s">
        <v>2531</v>
      </c>
      <c r="B383" t="str">
        <f>CONCATENATE(A383,88)</f>
        <v>7Y26YM3AJ3088</v>
      </c>
      <c r="C383" t="s">
        <v>2533</v>
      </c>
      <c r="D383" t="s">
        <v>27</v>
      </c>
      <c r="E383" t="s">
        <v>28</v>
      </c>
      <c r="F383" t="s">
        <v>29</v>
      </c>
      <c r="G383" s="1">
        <v>45870</v>
      </c>
      <c r="H383" s="1">
        <v>45658</v>
      </c>
      <c r="I383">
        <v>20411454</v>
      </c>
      <c r="J383" t="s">
        <v>32</v>
      </c>
      <c r="K383" t="s">
        <v>4532</v>
      </c>
      <c r="L383">
        <v>1.25</v>
      </c>
      <c r="M383">
        <v>1.25</v>
      </c>
      <c r="N383" t="s">
        <v>2718</v>
      </c>
      <c r="P383" t="s">
        <v>4253</v>
      </c>
    </row>
    <row r="384" spans="1:16" x14ac:dyDescent="0.25">
      <c r="A384" t="s">
        <v>2547</v>
      </c>
      <c r="B384" t="str">
        <f>CONCATENATE(A384,88)</f>
        <v>1MG9VF9JA4488</v>
      </c>
      <c r="C384" t="s">
        <v>2549</v>
      </c>
      <c r="D384" t="s">
        <v>27</v>
      </c>
      <c r="E384" t="s">
        <v>28</v>
      </c>
      <c r="F384" t="s">
        <v>29</v>
      </c>
      <c r="G384" s="1">
        <v>45870</v>
      </c>
      <c r="H384" s="1">
        <v>44958</v>
      </c>
      <c r="I384">
        <v>20411454</v>
      </c>
      <c r="J384" t="s">
        <v>32</v>
      </c>
      <c r="K384" t="s">
        <v>4532</v>
      </c>
      <c r="L384">
        <v>1.25</v>
      </c>
      <c r="M384">
        <v>1.25</v>
      </c>
      <c r="N384" t="s">
        <v>2718</v>
      </c>
      <c r="P384" t="s">
        <v>4254</v>
      </c>
    </row>
    <row r="385" spans="1:16" x14ac:dyDescent="0.25">
      <c r="A385" t="s">
        <v>2557</v>
      </c>
      <c r="B385" t="str">
        <f>CONCATENATE(A385,88)</f>
        <v>2FC9YN8GT4488</v>
      </c>
      <c r="C385" t="s">
        <v>2559</v>
      </c>
      <c r="D385" t="s">
        <v>27</v>
      </c>
      <c r="E385" t="s">
        <v>28</v>
      </c>
      <c r="F385" t="s">
        <v>29</v>
      </c>
      <c r="G385" s="1">
        <v>45870</v>
      </c>
      <c r="H385" s="1">
        <v>44927</v>
      </c>
      <c r="I385">
        <v>20411454</v>
      </c>
      <c r="J385" t="s">
        <v>32</v>
      </c>
      <c r="K385" t="s">
        <v>4532</v>
      </c>
      <c r="L385">
        <v>1.25</v>
      </c>
      <c r="M385">
        <v>1.25</v>
      </c>
      <c r="N385" t="s">
        <v>2718</v>
      </c>
      <c r="P385" t="s">
        <v>4255</v>
      </c>
    </row>
    <row r="386" spans="1:16" x14ac:dyDescent="0.25">
      <c r="A386" t="s">
        <v>2603</v>
      </c>
      <c r="B386" t="str">
        <f>CONCATENATE(A386,88)</f>
        <v>5Y60E38YH2188</v>
      </c>
      <c r="C386" t="s">
        <v>2605</v>
      </c>
      <c r="D386" t="s">
        <v>27</v>
      </c>
      <c r="E386" t="s">
        <v>28</v>
      </c>
      <c r="F386" t="s">
        <v>29</v>
      </c>
      <c r="G386" s="1">
        <v>45870</v>
      </c>
      <c r="H386" s="1">
        <v>45047</v>
      </c>
      <c r="I386">
        <v>20411454</v>
      </c>
      <c r="J386" t="s">
        <v>32</v>
      </c>
      <c r="K386" t="s">
        <v>4532</v>
      </c>
      <c r="L386">
        <v>1.25</v>
      </c>
      <c r="M386">
        <v>1.25</v>
      </c>
      <c r="N386" t="s">
        <v>2718</v>
      </c>
      <c r="P386" t="s">
        <v>4256</v>
      </c>
    </row>
    <row r="387" spans="1:16" x14ac:dyDescent="0.25">
      <c r="A387" t="s">
        <v>2609</v>
      </c>
      <c r="B387" t="str">
        <f>CONCATENATE(A387,88)</f>
        <v>3ED8E43TC2288</v>
      </c>
      <c r="C387" t="s">
        <v>2612</v>
      </c>
      <c r="D387" t="s">
        <v>27</v>
      </c>
      <c r="E387" t="s">
        <v>28</v>
      </c>
      <c r="F387" t="s">
        <v>29</v>
      </c>
      <c r="G387" s="1">
        <v>45870</v>
      </c>
      <c r="H387" s="1">
        <v>43466</v>
      </c>
      <c r="I387">
        <v>20411454</v>
      </c>
      <c r="J387" t="s">
        <v>32</v>
      </c>
      <c r="K387" t="s">
        <v>4532</v>
      </c>
      <c r="L387">
        <v>1.25</v>
      </c>
      <c r="M387">
        <v>1.25</v>
      </c>
      <c r="N387" t="s">
        <v>2718</v>
      </c>
      <c r="P387" t="s">
        <v>4257</v>
      </c>
    </row>
    <row r="388" spans="1:16" x14ac:dyDescent="0.25">
      <c r="A388" t="s">
        <v>2645</v>
      </c>
      <c r="B388" t="str">
        <f>CONCATENATE(A388,88)</f>
        <v>3NV9H34XD2788</v>
      </c>
      <c r="C388" t="s">
        <v>2647</v>
      </c>
      <c r="D388" t="s">
        <v>27</v>
      </c>
      <c r="E388" t="s">
        <v>28</v>
      </c>
      <c r="F388" t="s">
        <v>29</v>
      </c>
      <c r="G388" s="1">
        <v>45870</v>
      </c>
      <c r="H388" s="1">
        <v>44805</v>
      </c>
      <c r="I388">
        <v>20411454</v>
      </c>
      <c r="J388" t="s">
        <v>32</v>
      </c>
      <c r="K388" t="s">
        <v>4532</v>
      </c>
      <c r="L388">
        <v>1.25</v>
      </c>
      <c r="M388">
        <v>1.25</v>
      </c>
      <c r="N388" t="s">
        <v>2718</v>
      </c>
      <c r="P388" t="s">
        <v>4258</v>
      </c>
    </row>
    <row r="389" spans="1:16" x14ac:dyDescent="0.25">
      <c r="A389" t="s">
        <v>2674</v>
      </c>
      <c r="B389" t="str">
        <f>CONCATENATE(A389,88)</f>
        <v>7PF5E01DK5188</v>
      </c>
      <c r="C389" t="s">
        <v>2677</v>
      </c>
      <c r="D389" t="s">
        <v>27</v>
      </c>
      <c r="E389" t="s">
        <v>28</v>
      </c>
      <c r="F389" t="s">
        <v>29</v>
      </c>
      <c r="G389" s="1">
        <v>45870</v>
      </c>
      <c r="H389" s="1">
        <v>43466</v>
      </c>
      <c r="I389">
        <v>20411454</v>
      </c>
      <c r="J389" t="s">
        <v>32</v>
      </c>
      <c r="K389" t="s">
        <v>4532</v>
      </c>
      <c r="L389">
        <v>1.25</v>
      </c>
      <c r="M389">
        <v>1.25</v>
      </c>
      <c r="N389" t="s">
        <v>2718</v>
      </c>
      <c r="P389" t="s">
        <v>4259</v>
      </c>
    </row>
    <row r="390" spans="1:16" x14ac:dyDescent="0.25">
      <c r="A390" t="s">
        <v>2684</v>
      </c>
      <c r="B390" t="str">
        <f>CONCATENATE(A390,88)</f>
        <v>9VN8JW4NK3788</v>
      </c>
      <c r="C390" t="s">
        <v>2686</v>
      </c>
      <c r="D390" t="s">
        <v>27</v>
      </c>
      <c r="E390" t="s">
        <v>28</v>
      </c>
      <c r="F390" t="s">
        <v>29</v>
      </c>
      <c r="G390" s="1">
        <v>45870</v>
      </c>
      <c r="H390" s="1">
        <v>44835</v>
      </c>
      <c r="I390">
        <v>20411454</v>
      </c>
      <c r="J390" t="s">
        <v>32</v>
      </c>
      <c r="K390" t="s">
        <v>4532</v>
      </c>
      <c r="L390">
        <v>1.25</v>
      </c>
      <c r="M390">
        <v>1.25</v>
      </c>
      <c r="N390" t="s">
        <v>2718</v>
      </c>
      <c r="P390" t="s">
        <v>4260</v>
      </c>
    </row>
    <row r="391" spans="1:16" x14ac:dyDescent="0.25">
      <c r="A391" t="s">
        <v>2687</v>
      </c>
      <c r="B391" t="str">
        <f>CONCATENATE(A391,88)</f>
        <v>9F58XM3FY3388</v>
      </c>
      <c r="C391" t="s">
        <v>2689</v>
      </c>
      <c r="D391" t="s">
        <v>27</v>
      </c>
      <c r="E391" t="s">
        <v>28</v>
      </c>
      <c r="F391" t="s">
        <v>29</v>
      </c>
      <c r="G391" s="1">
        <v>45870</v>
      </c>
      <c r="H391" s="1">
        <v>44835</v>
      </c>
      <c r="I391">
        <v>20411454</v>
      </c>
      <c r="J391" t="s">
        <v>32</v>
      </c>
      <c r="K391" t="s">
        <v>4532</v>
      </c>
      <c r="L391">
        <v>1.25</v>
      </c>
      <c r="M391">
        <v>1.25</v>
      </c>
      <c r="N391" t="s">
        <v>2718</v>
      </c>
      <c r="P391" t="s">
        <v>4261</v>
      </c>
    </row>
    <row r="392" spans="1:16" x14ac:dyDescent="0.25">
      <c r="A392" t="s">
        <v>2693</v>
      </c>
      <c r="B392" t="str">
        <f>CONCATENATE(A392,88)</f>
        <v>2XR3NJ9DP1288</v>
      </c>
      <c r="C392" t="s">
        <v>2695</v>
      </c>
      <c r="D392" t="s">
        <v>27</v>
      </c>
      <c r="E392" t="s">
        <v>28</v>
      </c>
      <c r="F392" t="s">
        <v>29</v>
      </c>
      <c r="G392" s="1">
        <v>45870</v>
      </c>
      <c r="H392" s="1">
        <v>44986</v>
      </c>
      <c r="I392">
        <v>20411454</v>
      </c>
      <c r="J392" t="s">
        <v>32</v>
      </c>
      <c r="K392" t="s">
        <v>4532</v>
      </c>
      <c r="L392">
        <v>1.25</v>
      </c>
      <c r="M392">
        <v>1.25</v>
      </c>
      <c r="N392" t="s">
        <v>2718</v>
      </c>
      <c r="P392" t="s">
        <v>4262</v>
      </c>
    </row>
    <row r="393" spans="1:16" x14ac:dyDescent="0.25">
      <c r="A393" t="s">
        <v>99</v>
      </c>
      <c r="B393" t="str">
        <f>CONCATENATE(A393,88)</f>
        <v>1CF2U50WM0188</v>
      </c>
      <c r="C393" t="s">
        <v>101</v>
      </c>
      <c r="D393" t="s">
        <v>27</v>
      </c>
      <c r="E393" t="s">
        <v>28</v>
      </c>
      <c r="F393" t="s">
        <v>29</v>
      </c>
      <c r="G393" s="1">
        <v>45870</v>
      </c>
      <c r="H393" s="1">
        <v>45658</v>
      </c>
      <c r="I393">
        <v>20411454</v>
      </c>
      <c r="J393" t="s">
        <v>32</v>
      </c>
      <c r="K393" t="s">
        <v>4532</v>
      </c>
      <c r="L393">
        <v>2.5</v>
      </c>
      <c r="M393">
        <v>2.5</v>
      </c>
      <c r="N393" t="s">
        <v>2718</v>
      </c>
      <c r="P393" t="s">
        <v>4263</v>
      </c>
    </row>
    <row r="394" spans="1:16" x14ac:dyDescent="0.25">
      <c r="A394" t="s">
        <v>132</v>
      </c>
      <c r="B394" t="str">
        <f>CONCATENATE(A394,88)</f>
        <v>9QF6G73NM5288</v>
      </c>
      <c r="C394" t="s">
        <v>134</v>
      </c>
      <c r="D394" t="s">
        <v>27</v>
      </c>
      <c r="E394" t="s">
        <v>28</v>
      </c>
      <c r="F394" t="s">
        <v>29</v>
      </c>
      <c r="G394" s="1">
        <v>45870</v>
      </c>
      <c r="H394" s="1">
        <v>45292</v>
      </c>
      <c r="I394">
        <v>20411454</v>
      </c>
      <c r="J394" t="s">
        <v>32</v>
      </c>
      <c r="K394" t="s">
        <v>4532</v>
      </c>
      <c r="L394">
        <v>2.5</v>
      </c>
      <c r="M394">
        <v>2.5</v>
      </c>
      <c r="N394" t="s">
        <v>2718</v>
      </c>
      <c r="P394" t="s">
        <v>4264</v>
      </c>
    </row>
    <row r="395" spans="1:16" x14ac:dyDescent="0.25">
      <c r="A395" t="s">
        <v>139</v>
      </c>
      <c r="B395" t="str">
        <f>CONCATENATE(A395,88)</f>
        <v>5R19YQ7DT4488</v>
      </c>
      <c r="C395" t="s">
        <v>141</v>
      </c>
      <c r="D395" t="s">
        <v>27</v>
      </c>
      <c r="E395" t="s">
        <v>28</v>
      </c>
      <c r="F395" t="s">
        <v>29</v>
      </c>
      <c r="G395" s="1">
        <v>45870</v>
      </c>
      <c r="H395" s="1">
        <v>45292</v>
      </c>
      <c r="I395">
        <v>20411454</v>
      </c>
      <c r="J395" t="s">
        <v>32</v>
      </c>
      <c r="K395" t="s">
        <v>4532</v>
      </c>
      <c r="L395">
        <v>2.5</v>
      </c>
      <c r="M395">
        <v>2.5</v>
      </c>
      <c r="N395" t="s">
        <v>2718</v>
      </c>
      <c r="P395" t="s">
        <v>4265</v>
      </c>
    </row>
    <row r="396" spans="1:16" x14ac:dyDescent="0.25">
      <c r="A396" t="s">
        <v>148</v>
      </c>
      <c r="B396" t="str">
        <f>CONCATENATE(A396,88)</f>
        <v>2JX9P33CW4488</v>
      </c>
      <c r="C396" t="s">
        <v>151</v>
      </c>
      <c r="D396" t="s">
        <v>27</v>
      </c>
      <c r="E396" t="s">
        <v>28</v>
      </c>
      <c r="F396" t="s">
        <v>29</v>
      </c>
      <c r="G396" s="1">
        <v>45870</v>
      </c>
      <c r="H396" s="1">
        <v>37987</v>
      </c>
      <c r="I396">
        <v>20411454</v>
      </c>
      <c r="J396" t="s">
        <v>32</v>
      </c>
      <c r="K396" t="s">
        <v>4532</v>
      </c>
      <c r="L396">
        <v>2.5</v>
      </c>
      <c r="M396">
        <v>2.5</v>
      </c>
      <c r="N396" t="s">
        <v>2718</v>
      </c>
      <c r="P396" t="s">
        <v>4266</v>
      </c>
    </row>
    <row r="397" spans="1:16" x14ac:dyDescent="0.25">
      <c r="A397" t="s">
        <v>203</v>
      </c>
      <c r="B397" t="str">
        <f>CONCATENATE(A397,88)</f>
        <v>1NM9K61ER4188</v>
      </c>
      <c r="C397" t="s">
        <v>205</v>
      </c>
      <c r="D397" t="s">
        <v>27</v>
      </c>
      <c r="E397" t="s">
        <v>28</v>
      </c>
      <c r="F397" t="s">
        <v>29</v>
      </c>
      <c r="G397" s="1">
        <v>45870</v>
      </c>
      <c r="H397" s="1">
        <v>45292</v>
      </c>
      <c r="I397">
        <v>20411454</v>
      </c>
      <c r="J397" t="s">
        <v>32</v>
      </c>
      <c r="K397" t="s">
        <v>4532</v>
      </c>
      <c r="L397">
        <v>2.5</v>
      </c>
      <c r="M397">
        <v>2.5</v>
      </c>
      <c r="N397" t="s">
        <v>2718</v>
      </c>
      <c r="P397" t="s">
        <v>4267</v>
      </c>
    </row>
    <row r="398" spans="1:16" x14ac:dyDescent="0.25">
      <c r="A398" t="s">
        <v>206</v>
      </c>
      <c r="B398" t="str">
        <f>CONCATENATE(A398,88)</f>
        <v>5YK6T80PG8288</v>
      </c>
      <c r="C398" t="s">
        <v>208</v>
      </c>
      <c r="D398" t="s">
        <v>27</v>
      </c>
      <c r="E398" t="s">
        <v>28</v>
      </c>
      <c r="F398" t="s">
        <v>29</v>
      </c>
      <c r="G398" s="1">
        <v>45870</v>
      </c>
      <c r="H398" s="1">
        <v>45292</v>
      </c>
      <c r="I398">
        <v>20411454</v>
      </c>
      <c r="J398" t="s">
        <v>32</v>
      </c>
      <c r="K398" t="s">
        <v>4532</v>
      </c>
      <c r="L398">
        <v>2.5</v>
      </c>
      <c r="M398">
        <v>2.5</v>
      </c>
      <c r="N398" t="s">
        <v>2718</v>
      </c>
      <c r="P398" t="s">
        <v>4268</v>
      </c>
    </row>
    <row r="399" spans="1:16" x14ac:dyDescent="0.25">
      <c r="A399" t="s">
        <v>209</v>
      </c>
      <c r="B399" t="str">
        <f>CONCATENATE(A399,88)</f>
        <v>1UY8H82YV2488</v>
      </c>
      <c r="C399" t="s">
        <v>211</v>
      </c>
      <c r="D399" t="s">
        <v>27</v>
      </c>
      <c r="E399" t="s">
        <v>28</v>
      </c>
      <c r="F399" t="s">
        <v>29</v>
      </c>
      <c r="G399" s="1">
        <v>45870</v>
      </c>
      <c r="H399" s="1">
        <v>45292</v>
      </c>
      <c r="I399">
        <v>20411454</v>
      </c>
      <c r="J399" t="s">
        <v>32</v>
      </c>
      <c r="K399" t="s">
        <v>4532</v>
      </c>
      <c r="L399">
        <v>2.5</v>
      </c>
      <c r="M399">
        <v>2.5</v>
      </c>
      <c r="N399" t="s">
        <v>2718</v>
      </c>
      <c r="P399" t="s">
        <v>4269</v>
      </c>
    </row>
    <row r="400" spans="1:16" x14ac:dyDescent="0.25">
      <c r="A400" t="s">
        <v>212</v>
      </c>
      <c r="B400" t="str">
        <f>CONCATENATE(A400,88)</f>
        <v>2UN6AF0HD5188</v>
      </c>
      <c r="C400" t="s">
        <v>214</v>
      </c>
      <c r="D400" t="s">
        <v>27</v>
      </c>
      <c r="E400" t="s">
        <v>28</v>
      </c>
      <c r="F400" t="s">
        <v>29</v>
      </c>
      <c r="G400" s="1">
        <v>45870</v>
      </c>
      <c r="H400" s="1">
        <v>45292</v>
      </c>
      <c r="I400">
        <v>20411454</v>
      </c>
      <c r="J400" t="s">
        <v>32</v>
      </c>
      <c r="K400" t="s">
        <v>4532</v>
      </c>
      <c r="L400">
        <v>2.5</v>
      </c>
      <c r="M400">
        <v>2.5</v>
      </c>
      <c r="N400" t="s">
        <v>2718</v>
      </c>
      <c r="P400" t="s">
        <v>4270</v>
      </c>
    </row>
    <row r="401" spans="1:16" x14ac:dyDescent="0.25">
      <c r="A401" t="s">
        <v>225</v>
      </c>
      <c r="B401" t="str">
        <f>CONCATENATE(A401,88)</f>
        <v>5KE1VF1PT3688</v>
      </c>
      <c r="C401" t="s">
        <v>227</v>
      </c>
      <c r="D401" t="s">
        <v>27</v>
      </c>
      <c r="E401" t="s">
        <v>28</v>
      </c>
      <c r="F401" t="s">
        <v>29</v>
      </c>
      <c r="G401" s="1">
        <v>45870</v>
      </c>
      <c r="H401" s="1">
        <v>45200</v>
      </c>
      <c r="I401">
        <v>20411454</v>
      </c>
      <c r="J401" t="s">
        <v>32</v>
      </c>
      <c r="K401" t="s">
        <v>4532</v>
      </c>
      <c r="L401">
        <v>2.5</v>
      </c>
      <c r="M401">
        <v>2.5</v>
      </c>
      <c r="N401" t="s">
        <v>2718</v>
      </c>
      <c r="P401" t="s">
        <v>4271</v>
      </c>
    </row>
    <row r="402" spans="1:16" x14ac:dyDescent="0.25">
      <c r="A402" t="s">
        <v>228</v>
      </c>
      <c r="B402" t="str">
        <f>CONCATENATE(A402,88)</f>
        <v>6RC6DK6YD5288</v>
      </c>
      <c r="C402" t="s">
        <v>230</v>
      </c>
      <c r="D402" t="s">
        <v>27</v>
      </c>
      <c r="E402" t="s">
        <v>28</v>
      </c>
      <c r="F402" t="s">
        <v>29</v>
      </c>
      <c r="G402" s="1">
        <v>45870</v>
      </c>
      <c r="H402" s="1">
        <v>45292</v>
      </c>
      <c r="I402">
        <v>20411454</v>
      </c>
      <c r="J402" t="s">
        <v>32</v>
      </c>
      <c r="K402" t="s">
        <v>4532</v>
      </c>
      <c r="L402">
        <v>2.5</v>
      </c>
      <c r="M402">
        <v>2.5</v>
      </c>
      <c r="N402" t="s">
        <v>2718</v>
      </c>
      <c r="P402" t="s">
        <v>4272</v>
      </c>
    </row>
    <row r="403" spans="1:16" x14ac:dyDescent="0.25">
      <c r="A403" t="s">
        <v>241</v>
      </c>
      <c r="B403" t="str">
        <f>CONCATENATE(A403,88)</f>
        <v>9Y59YN1RP5588</v>
      </c>
      <c r="C403" t="s">
        <v>243</v>
      </c>
      <c r="D403" t="s">
        <v>244</v>
      </c>
      <c r="E403" t="s">
        <v>28</v>
      </c>
      <c r="F403" t="s">
        <v>29</v>
      </c>
      <c r="G403" s="1">
        <v>45870</v>
      </c>
      <c r="H403" s="1">
        <v>45323</v>
      </c>
      <c r="I403">
        <v>20411454</v>
      </c>
      <c r="J403" t="s">
        <v>247</v>
      </c>
      <c r="K403" t="s">
        <v>4532</v>
      </c>
      <c r="L403">
        <v>2.5</v>
      </c>
      <c r="M403">
        <v>2.5</v>
      </c>
      <c r="N403" t="s">
        <v>2718</v>
      </c>
      <c r="P403" t="s">
        <v>4273</v>
      </c>
    </row>
    <row r="404" spans="1:16" x14ac:dyDescent="0.25">
      <c r="A404" t="s">
        <v>294</v>
      </c>
      <c r="B404" t="str">
        <f>CONCATENATE(A404,88)</f>
        <v>3MX2F24DQ8988</v>
      </c>
      <c r="C404" t="s">
        <v>296</v>
      </c>
      <c r="D404" t="s">
        <v>27</v>
      </c>
      <c r="E404" t="s">
        <v>28</v>
      </c>
      <c r="F404" t="s">
        <v>29</v>
      </c>
      <c r="G404" s="1">
        <v>45870</v>
      </c>
      <c r="H404" s="1">
        <v>45292</v>
      </c>
      <c r="I404">
        <v>20411454</v>
      </c>
      <c r="J404" t="s">
        <v>32</v>
      </c>
      <c r="K404" t="s">
        <v>4532</v>
      </c>
      <c r="L404">
        <v>2.5</v>
      </c>
      <c r="M404">
        <v>2.5</v>
      </c>
      <c r="N404" t="s">
        <v>2718</v>
      </c>
      <c r="P404" t="s">
        <v>4274</v>
      </c>
    </row>
    <row r="405" spans="1:16" x14ac:dyDescent="0.25">
      <c r="A405" t="s">
        <v>297</v>
      </c>
      <c r="B405" t="str">
        <f>CONCATENATE(A405,88)</f>
        <v>5FV2CE4HN0588</v>
      </c>
      <c r="C405" t="s">
        <v>299</v>
      </c>
      <c r="D405" t="s">
        <v>27</v>
      </c>
      <c r="E405" t="s">
        <v>28</v>
      </c>
      <c r="F405" t="s">
        <v>29</v>
      </c>
      <c r="G405" s="1">
        <v>45870</v>
      </c>
      <c r="H405" s="1">
        <v>45292</v>
      </c>
      <c r="I405">
        <v>20411454</v>
      </c>
      <c r="J405" t="s">
        <v>32</v>
      </c>
      <c r="K405" t="s">
        <v>4532</v>
      </c>
      <c r="L405">
        <v>2.5</v>
      </c>
      <c r="M405">
        <v>2.5</v>
      </c>
      <c r="N405" t="s">
        <v>2718</v>
      </c>
      <c r="P405" t="s">
        <v>4275</v>
      </c>
    </row>
    <row r="406" spans="1:16" x14ac:dyDescent="0.25">
      <c r="A406" t="s">
        <v>315</v>
      </c>
      <c r="B406" t="str">
        <f>CONCATENATE(A406,88)</f>
        <v>7MY8TU2AM2788</v>
      </c>
      <c r="C406" t="s">
        <v>317</v>
      </c>
      <c r="D406" t="s">
        <v>27</v>
      </c>
      <c r="E406" t="s">
        <v>28</v>
      </c>
      <c r="F406" t="s">
        <v>29</v>
      </c>
      <c r="G406" s="1">
        <v>45870</v>
      </c>
      <c r="H406" s="1">
        <v>45231</v>
      </c>
      <c r="I406">
        <v>20411454</v>
      </c>
      <c r="J406" t="s">
        <v>32</v>
      </c>
      <c r="K406" t="s">
        <v>4532</v>
      </c>
      <c r="L406">
        <v>2.5</v>
      </c>
      <c r="M406">
        <v>2.5</v>
      </c>
      <c r="N406" t="s">
        <v>2718</v>
      </c>
      <c r="P406" t="s">
        <v>4276</v>
      </c>
    </row>
    <row r="407" spans="1:16" x14ac:dyDescent="0.25">
      <c r="A407" t="s">
        <v>340</v>
      </c>
      <c r="B407" t="str">
        <f>CONCATENATE(A407,88)</f>
        <v>1AE5XP4NQ6488</v>
      </c>
      <c r="C407" t="s">
        <v>342</v>
      </c>
      <c r="D407" t="s">
        <v>27</v>
      </c>
      <c r="E407" t="s">
        <v>28</v>
      </c>
      <c r="F407" t="s">
        <v>29</v>
      </c>
      <c r="G407" s="1">
        <v>45870</v>
      </c>
      <c r="H407" s="1">
        <v>45292</v>
      </c>
      <c r="I407">
        <v>20411454</v>
      </c>
      <c r="J407" t="s">
        <v>32</v>
      </c>
      <c r="K407" t="s">
        <v>4532</v>
      </c>
      <c r="L407">
        <v>2.5</v>
      </c>
      <c r="M407">
        <v>2.5</v>
      </c>
      <c r="N407" t="s">
        <v>2718</v>
      </c>
      <c r="P407" t="s">
        <v>4277</v>
      </c>
    </row>
    <row r="408" spans="1:16" x14ac:dyDescent="0.25">
      <c r="A408" t="s">
        <v>354</v>
      </c>
      <c r="B408" t="str">
        <f>CONCATENATE(A408,88)</f>
        <v>8NA6HG8QQ8188</v>
      </c>
      <c r="C408" t="s">
        <v>356</v>
      </c>
      <c r="D408" t="s">
        <v>27</v>
      </c>
      <c r="E408" t="s">
        <v>28</v>
      </c>
      <c r="F408" t="s">
        <v>29</v>
      </c>
      <c r="G408" s="1">
        <v>45870</v>
      </c>
      <c r="H408" s="1">
        <v>44075</v>
      </c>
      <c r="I408">
        <v>20411454</v>
      </c>
      <c r="J408" t="s">
        <v>32</v>
      </c>
      <c r="K408" t="s">
        <v>4532</v>
      </c>
      <c r="L408">
        <v>2.5</v>
      </c>
      <c r="M408">
        <v>2.5</v>
      </c>
      <c r="N408" t="s">
        <v>2718</v>
      </c>
      <c r="P408" t="s">
        <v>4278</v>
      </c>
    </row>
    <row r="409" spans="1:16" x14ac:dyDescent="0.25">
      <c r="A409" t="s">
        <v>357</v>
      </c>
      <c r="B409" t="str">
        <f>CONCATENATE(A409,88)</f>
        <v>9EY2TP7RT0188</v>
      </c>
      <c r="C409" t="s">
        <v>359</v>
      </c>
      <c r="D409" t="s">
        <v>27</v>
      </c>
      <c r="E409" t="s">
        <v>28</v>
      </c>
      <c r="F409" t="s">
        <v>29</v>
      </c>
      <c r="G409" s="1">
        <v>45870</v>
      </c>
      <c r="H409" s="1">
        <v>45292</v>
      </c>
      <c r="I409">
        <v>20411454</v>
      </c>
      <c r="J409" t="s">
        <v>32</v>
      </c>
      <c r="K409" t="s">
        <v>4532</v>
      </c>
      <c r="L409">
        <v>2.5</v>
      </c>
      <c r="M409">
        <v>2.5</v>
      </c>
      <c r="N409" t="s">
        <v>2718</v>
      </c>
      <c r="P409" t="s">
        <v>4279</v>
      </c>
    </row>
    <row r="410" spans="1:16" x14ac:dyDescent="0.25">
      <c r="A410" t="s">
        <v>360</v>
      </c>
      <c r="B410" t="str">
        <f>CONCATENATE(A410,88)</f>
        <v>8PV3MN8MT7988</v>
      </c>
      <c r="C410" t="s">
        <v>362</v>
      </c>
      <c r="D410" t="s">
        <v>27</v>
      </c>
      <c r="E410" t="s">
        <v>28</v>
      </c>
      <c r="F410" t="s">
        <v>29</v>
      </c>
      <c r="G410" s="1">
        <v>45870</v>
      </c>
      <c r="H410" s="1">
        <v>45292</v>
      </c>
      <c r="I410">
        <v>20411454</v>
      </c>
      <c r="J410" t="s">
        <v>32</v>
      </c>
      <c r="K410" t="s">
        <v>4532</v>
      </c>
      <c r="L410">
        <v>2.5</v>
      </c>
      <c r="M410">
        <v>2.5</v>
      </c>
      <c r="N410" t="s">
        <v>2718</v>
      </c>
      <c r="P410" t="s">
        <v>4280</v>
      </c>
    </row>
    <row r="411" spans="1:16" x14ac:dyDescent="0.25">
      <c r="A411" t="s">
        <v>367</v>
      </c>
      <c r="B411" t="str">
        <f>CONCATENATE(A411,88)</f>
        <v>4Y98ET4QH6488</v>
      </c>
      <c r="C411" t="s">
        <v>369</v>
      </c>
      <c r="D411" t="s">
        <v>27</v>
      </c>
      <c r="E411" t="s">
        <v>28</v>
      </c>
      <c r="F411" t="s">
        <v>29</v>
      </c>
      <c r="G411" s="1">
        <v>45870</v>
      </c>
      <c r="H411" s="1">
        <v>45231</v>
      </c>
      <c r="I411">
        <v>20411454</v>
      </c>
      <c r="J411" t="s">
        <v>32</v>
      </c>
      <c r="K411" t="s">
        <v>4532</v>
      </c>
      <c r="L411">
        <v>2.5</v>
      </c>
      <c r="M411">
        <v>2.5</v>
      </c>
      <c r="N411" t="s">
        <v>2718</v>
      </c>
      <c r="P411" t="s">
        <v>4281</v>
      </c>
    </row>
    <row r="412" spans="1:16" x14ac:dyDescent="0.25">
      <c r="A412" t="s">
        <v>376</v>
      </c>
      <c r="B412" t="str">
        <f>CONCATENATE(A412,88)</f>
        <v>5X55DN3RA9388</v>
      </c>
      <c r="C412" t="s">
        <v>378</v>
      </c>
      <c r="D412" t="s">
        <v>27</v>
      </c>
      <c r="E412" t="s">
        <v>28</v>
      </c>
      <c r="F412" t="s">
        <v>29</v>
      </c>
      <c r="G412" s="1">
        <v>45870</v>
      </c>
      <c r="H412" s="1">
        <v>45170</v>
      </c>
      <c r="I412">
        <v>20411454</v>
      </c>
      <c r="J412" t="s">
        <v>247</v>
      </c>
      <c r="K412" t="s">
        <v>4532</v>
      </c>
      <c r="L412">
        <v>2.5</v>
      </c>
      <c r="M412">
        <v>2.5</v>
      </c>
      <c r="N412" t="s">
        <v>2718</v>
      </c>
      <c r="P412" t="s">
        <v>4282</v>
      </c>
    </row>
    <row r="413" spans="1:16" x14ac:dyDescent="0.25">
      <c r="A413" t="s">
        <v>382</v>
      </c>
      <c r="B413" t="str">
        <f>CONCATENATE(A413,88)</f>
        <v>5WJ1A14TE1088</v>
      </c>
      <c r="C413" t="s">
        <v>384</v>
      </c>
      <c r="D413" t="s">
        <v>27</v>
      </c>
      <c r="E413" t="s">
        <v>28</v>
      </c>
      <c r="F413" t="s">
        <v>29</v>
      </c>
      <c r="G413" s="1">
        <v>45870</v>
      </c>
      <c r="H413" s="1">
        <v>45292</v>
      </c>
      <c r="I413">
        <v>20411454</v>
      </c>
      <c r="J413" t="s">
        <v>32</v>
      </c>
      <c r="K413" t="s">
        <v>4532</v>
      </c>
      <c r="L413">
        <v>2.5</v>
      </c>
      <c r="M413">
        <v>2.5</v>
      </c>
      <c r="N413" t="s">
        <v>2718</v>
      </c>
      <c r="P413" t="s">
        <v>4283</v>
      </c>
    </row>
    <row r="414" spans="1:16" x14ac:dyDescent="0.25">
      <c r="A414" t="s">
        <v>385</v>
      </c>
      <c r="B414" t="str">
        <f>CONCATENATE(A414,88)</f>
        <v>5FR6QA5TP5388</v>
      </c>
      <c r="C414" t="s">
        <v>388</v>
      </c>
      <c r="D414" t="s">
        <v>27</v>
      </c>
      <c r="E414" t="s">
        <v>28</v>
      </c>
      <c r="F414" t="s">
        <v>29</v>
      </c>
      <c r="G414" s="1">
        <v>45870</v>
      </c>
      <c r="H414" s="1">
        <v>41000</v>
      </c>
      <c r="I414">
        <v>20411454</v>
      </c>
      <c r="J414" t="s">
        <v>32</v>
      </c>
      <c r="K414" t="s">
        <v>4532</v>
      </c>
      <c r="L414">
        <v>2.5</v>
      </c>
      <c r="M414">
        <v>2.5</v>
      </c>
      <c r="N414" t="s">
        <v>2718</v>
      </c>
      <c r="P414" t="s">
        <v>4284</v>
      </c>
    </row>
    <row r="415" spans="1:16" x14ac:dyDescent="0.25">
      <c r="A415" t="s">
        <v>413</v>
      </c>
      <c r="B415" t="str">
        <f>CONCATENATE(A415,88)</f>
        <v>3QR6QH7QP5388</v>
      </c>
      <c r="C415" t="s">
        <v>415</v>
      </c>
      <c r="D415" t="s">
        <v>27</v>
      </c>
      <c r="E415" t="s">
        <v>28</v>
      </c>
      <c r="F415" t="s">
        <v>29</v>
      </c>
      <c r="G415" s="1">
        <v>45870</v>
      </c>
      <c r="H415" s="1">
        <v>45261</v>
      </c>
      <c r="I415">
        <v>20411454</v>
      </c>
      <c r="J415" t="s">
        <v>32</v>
      </c>
      <c r="K415" t="s">
        <v>4532</v>
      </c>
      <c r="L415">
        <v>2.5</v>
      </c>
      <c r="M415">
        <v>2.5</v>
      </c>
      <c r="N415" t="s">
        <v>2718</v>
      </c>
      <c r="P415" t="s">
        <v>4285</v>
      </c>
    </row>
    <row r="416" spans="1:16" x14ac:dyDescent="0.25">
      <c r="A416" t="s">
        <v>429</v>
      </c>
      <c r="B416" t="str">
        <f>CONCATENATE(A416,88)</f>
        <v>5FY0KN2QE3188</v>
      </c>
      <c r="C416" t="s">
        <v>431</v>
      </c>
      <c r="D416" t="s">
        <v>27</v>
      </c>
      <c r="E416" t="s">
        <v>28</v>
      </c>
      <c r="F416" t="s">
        <v>29</v>
      </c>
      <c r="G416" s="1">
        <v>45870</v>
      </c>
      <c r="H416" s="1">
        <v>45292</v>
      </c>
      <c r="I416">
        <v>20411454</v>
      </c>
      <c r="J416" t="s">
        <v>32</v>
      </c>
      <c r="K416" t="s">
        <v>4532</v>
      </c>
      <c r="L416">
        <v>2.5</v>
      </c>
      <c r="M416">
        <v>2.5</v>
      </c>
      <c r="N416" t="s">
        <v>2718</v>
      </c>
      <c r="P416" t="s">
        <v>4286</v>
      </c>
    </row>
    <row r="417" spans="1:16" x14ac:dyDescent="0.25">
      <c r="A417" t="s">
        <v>435</v>
      </c>
      <c r="B417" t="str">
        <f>CONCATENATE(A417,88)</f>
        <v>1D51FR1WY1388</v>
      </c>
      <c r="C417" t="s">
        <v>437</v>
      </c>
      <c r="D417" t="s">
        <v>27</v>
      </c>
      <c r="E417" t="s">
        <v>28</v>
      </c>
      <c r="F417" t="s">
        <v>29</v>
      </c>
      <c r="G417" s="1">
        <v>45870</v>
      </c>
      <c r="H417" s="1">
        <v>45292</v>
      </c>
      <c r="I417">
        <v>20411454</v>
      </c>
      <c r="J417" t="s">
        <v>32</v>
      </c>
      <c r="K417" t="s">
        <v>4532</v>
      </c>
      <c r="L417">
        <v>2.5</v>
      </c>
      <c r="M417">
        <v>2.5</v>
      </c>
      <c r="N417" t="s">
        <v>2718</v>
      </c>
      <c r="P417" t="s">
        <v>4287</v>
      </c>
    </row>
    <row r="418" spans="1:16" x14ac:dyDescent="0.25">
      <c r="A418" t="s">
        <v>463</v>
      </c>
      <c r="B418" t="str">
        <f>CONCATENATE(A418,88)</f>
        <v>5YR5WG0DD9388</v>
      </c>
      <c r="C418" t="s">
        <v>465</v>
      </c>
      <c r="D418" t="s">
        <v>27</v>
      </c>
      <c r="E418" t="s">
        <v>28</v>
      </c>
      <c r="F418" t="s">
        <v>29</v>
      </c>
      <c r="G418" s="1">
        <v>45870</v>
      </c>
      <c r="H418" s="1">
        <v>45292</v>
      </c>
      <c r="I418">
        <v>20411454</v>
      </c>
      <c r="J418" t="s">
        <v>32</v>
      </c>
      <c r="K418" t="s">
        <v>4532</v>
      </c>
      <c r="L418">
        <v>2.5</v>
      </c>
      <c r="M418">
        <v>2.5</v>
      </c>
      <c r="N418" t="s">
        <v>2718</v>
      </c>
      <c r="P418" t="s">
        <v>4288</v>
      </c>
    </row>
    <row r="419" spans="1:16" x14ac:dyDescent="0.25">
      <c r="A419" t="s">
        <v>466</v>
      </c>
      <c r="B419" t="str">
        <f>CONCATENATE(A419,88)</f>
        <v>4CJ4TD9KH8288</v>
      </c>
      <c r="C419" t="s">
        <v>468</v>
      </c>
      <c r="D419" t="s">
        <v>27</v>
      </c>
      <c r="E419" t="s">
        <v>28</v>
      </c>
      <c r="F419" t="s">
        <v>29</v>
      </c>
      <c r="G419" s="1">
        <v>45870</v>
      </c>
      <c r="H419" s="1">
        <v>45261</v>
      </c>
      <c r="I419">
        <v>20411454</v>
      </c>
      <c r="J419" t="s">
        <v>32</v>
      </c>
      <c r="K419" t="s">
        <v>4532</v>
      </c>
      <c r="L419">
        <v>2.5</v>
      </c>
      <c r="M419">
        <v>2.5</v>
      </c>
      <c r="N419" t="s">
        <v>2718</v>
      </c>
      <c r="P419" t="s">
        <v>4289</v>
      </c>
    </row>
    <row r="420" spans="1:16" x14ac:dyDescent="0.25">
      <c r="A420" t="s">
        <v>498</v>
      </c>
      <c r="B420" t="str">
        <f>CONCATENATE(A420,88)</f>
        <v>5DC0NE3UQ4288</v>
      </c>
      <c r="C420" t="s">
        <v>500</v>
      </c>
      <c r="D420" t="s">
        <v>27</v>
      </c>
      <c r="E420" t="s">
        <v>28</v>
      </c>
      <c r="F420" t="s">
        <v>127</v>
      </c>
      <c r="G420" s="1">
        <v>45870</v>
      </c>
      <c r="H420" s="1">
        <v>45292</v>
      </c>
      <c r="I420">
        <v>20411454</v>
      </c>
      <c r="J420" t="s">
        <v>32</v>
      </c>
      <c r="K420" t="s">
        <v>4532</v>
      </c>
      <c r="L420">
        <v>2.5</v>
      </c>
      <c r="M420">
        <v>2.5</v>
      </c>
      <c r="N420" t="s">
        <v>2718</v>
      </c>
      <c r="P420" t="s">
        <v>4290</v>
      </c>
    </row>
    <row r="421" spans="1:16" x14ac:dyDescent="0.25">
      <c r="A421" t="s">
        <v>522</v>
      </c>
      <c r="B421" t="str">
        <f>CONCATENATE(A421,88)</f>
        <v>8EF8U17FY3288</v>
      </c>
      <c r="C421" t="s">
        <v>524</v>
      </c>
      <c r="D421" t="s">
        <v>27</v>
      </c>
      <c r="E421" t="s">
        <v>28</v>
      </c>
      <c r="F421" t="s">
        <v>29</v>
      </c>
      <c r="G421" s="1">
        <v>45870</v>
      </c>
      <c r="H421" s="1">
        <v>45323</v>
      </c>
      <c r="I421">
        <v>20411454</v>
      </c>
      <c r="J421" t="s">
        <v>32</v>
      </c>
      <c r="K421" t="s">
        <v>4532</v>
      </c>
      <c r="L421">
        <v>2.5</v>
      </c>
      <c r="M421">
        <v>2.5</v>
      </c>
      <c r="N421" t="s">
        <v>2718</v>
      </c>
      <c r="P421" t="s">
        <v>4291</v>
      </c>
    </row>
    <row r="422" spans="1:16" x14ac:dyDescent="0.25">
      <c r="A422" t="s">
        <v>534</v>
      </c>
      <c r="B422" t="str">
        <f>CONCATENATE(A422,88)</f>
        <v>6EJ1FH2FH2188</v>
      </c>
      <c r="C422" t="s">
        <v>536</v>
      </c>
      <c r="D422" t="s">
        <v>27</v>
      </c>
      <c r="E422" t="s">
        <v>28</v>
      </c>
      <c r="F422" t="s">
        <v>127</v>
      </c>
      <c r="G422" s="1">
        <v>45870</v>
      </c>
      <c r="H422" s="1">
        <v>45292</v>
      </c>
      <c r="I422">
        <v>20411454</v>
      </c>
      <c r="J422" t="s">
        <v>32</v>
      </c>
      <c r="K422" t="s">
        <v>4532</v>
      </c>
      <c r="L422">
        <v>2.5</v>
      </c>
      <c r="M422">
        <v>2.5</v>
      </c>
      <c r="N422" t="s">
        <v>2718</v>
      </c>
      <c r="P422" t="s">
        <v>4292</v>
      </c>
    </row>
    <row r="423" spans="1:16" x14ac:dyDescent="0.25">
      <c r="A423" t="s">
        <v>552</v>
      </c>
      <c r="B423" t="str">
        <f>CONCATENATE(A423,88)</f>
        <v>9G64A52DM9388</v>
      </c>
      <c r="C423" t="s">
        <v>554</v>
      </c>
      <c r="D423" t="s">
        <v>27</v>
      </c>
      <c r="E423" t="s">
        <v>28</v>
      </c>
      <c r="F423" t="s">
        <v>29</v>
      </c>
      <c r="G423" s="1">
        <v>45870</v>
      </c>
      <c r="H423" s="1">
        <v>45658</v>
      </c>
      <c r="I423">
        <v>20411454</v>
      </c>
      <c r="J423" t="s">
        <v>32</v>
      </c>
      <c r="K423" t="s">
        <v>4532</v>
      </c>
      <c r="L423">
        <v>2.5</v>
      </c>
      <c r="M423">
        <v>2.5</v>
      </c>
      <c r="N423" t="s">
        <v>2718</v>
      </c>
      <c r="P423" t="s">
        <v>4293</v>
      </c>
    </row>
    <row r="424" spans="1:16" x14ac:dyDescent="0.25">
      <c r="A424" t="s">
        <v>577</v>
      </c>
      <c r="B424" t="str">
        <f>CONCATENATE(A424,88)</f>
        <v>4DY0NW1JG0388</v>
      </c>
      <c r="C424" t="s">
        <v>579</v>
      </c>
      <c r="D424" t="s">
        <v>27</v>
      </c>
      <c r="E424" t="s">
        <v>28</v>
      </c>
      <c r="F424" t="s">
        <v>29</v>
      </c>
      <c r="G424" s="1">
        <v>45870</v>
      </c>
      <c r="H424" s="1">
        <v>45292</v>
      </c>
      <c r="I424">
        <v>20411454</v>
      </c>
      <c r="J424" t="s">
        <v>32</v>
      </c>
      <c r="K424" t="s">
        <v>4532</v>
      </c>
      <c r="L424">
        <v>2.5</v>
      </c>
      <c r="M424">
        <v>2.5</v>
      </c>
      <c r="N424" t="s">
        <v>2718</v>
      </c>
      <c r="P424" t="s">
        <v>4294</v>
      </c>
    </row>
    <row r="425" spans="1:16" x14ac:dyDescent="0.25">
      <c r="A425" t="s">
        <v>583</v>
      </c>
      <c r="B425" t="str">
        <f>CONCATENATE(A425,88)</f>
        <v>9DT7MY9CG4888</v>
      </c>
      <c r="C425" t="s">
        <v>585</v>
      </c>
      <c r="D425" t="s">
        <v>27</v>
      </c>
      <c r="E425" t="s">
        <v>28</v>
      </c>
      <c r="F425" t="s">
        <v>29</v>
      </c>
      <c r="G425" s="1">
        <v>45870</v>
      </c>
      <c r="H425" s="1">
        <v>45323</v>
      </c>
      <c r="I425">
        <v>20411454</v>
      </c>
      <c r="J425" t="s">
        <v>32</v>
      </c>
      <c r="K425" t="s">
        <v>4532</v>
      </c>
      <c r="L425">
        <v>2.5</v>
      </c>
      <c r="M425">
        <v>2.5</v>
      </c>
      <c r="N425" t="s">
        <v>2718</v>
      </c>
      <c r="P425" t="s">
        <v>4295</v>
      </c>
    </row>
    <row r="426" spans="1:16" x14ac:dyDescent="0.25">
      <c r="A426" t="s">
        <v>589</v>
      </c>
      <c r="B426" t="str">
        <f>CONCATENATE(A426,88)</f>
        <v>9EJ6JG8UH8288</v>
      </c>
      <c r="C426" t="s">
        <v>591</v>
      </c>
      <c r="D426" t="s">
        <v>27</v>
      </c>
      <c r="E426" t="s">
        <v>28</v>
      </c>
      <c r="F426" t="s">
        <v>29</v>
      </c>
      <c r="G426" s="1">
        <v>45870</v>
      </c>
      <c r="H426" s="1">
        <v>45292</v>
      </c>
      <c r="I426">
        <v>20411454</v>
      </c>
      <c r="J426" t="s">
        <v>32</v>
      </c>
      <c r="K426" t="s">
        <v>4532</v>
      </c>
      <c r="L426">
        <v>2.5</v>
      </c>
      <c r="M426">
        <v>2.5</v>
      </c>
      <c r="N426" t="s">
        <v>2718</v>
      </c>
      <c r="P426" t="s">
        <v>4296</v>
      </c>
    </row>
    <row r="427" spans="1:16" x14ac:dyDescent="0.25">
      <c r="A427" t="s">
        <v>604</v>
      </c>
      <c r="B427" t="str">
        <f>CONCATENATE(A427,88)</f>
        <v>4UX5VX4DP5888</v>
      </c>
      <c r="C427" t="s">
        <v>606</v>
      </c>
      <c r="D427" t="s">
        <v>27</v>
      </c>
      <c r="E427" t="s">
        <v>28</v>
      </c>
      <c r="F427" t="s">
        <v>127</v>
      </c>
      <c r="G427" s="1">
        <v>45870</v>
      </c>
      <c r="H427" s="1">
        <v>45292</v>
      </c>
      <c r="I427">
        <v>20411454</v>
      </c>
      <c r="J427" t="s">
        <v>32</v>
      </c>
      <c r="K427" t="s">
        <v>4532</v>
      </c>
      <c r="L427">
        <v>2.5</v>
      </c>
      <c r="M427">
        <v>2.5</v>
      </c>
      <c r="N427" t="s">
        <v>2718</v>
      </c>
      <c r="P427" t="s">
        <v>4297</v>
      </c>
    </row>
    <row r="428" spans="1:16" x14ac:dyDescent="0.25">
      <c r="A428" t="s">
        <v>633</v>
      </c>
      <c r="B428" t="str">
        <f>CONCATENATE(A428,88)</f>
        <v>3YD3XN3DE9488</v>
      </c>
      <c r="C428" t="s">
        <v>635</v>
      </c>
      <c r="D428" t="s">
        <v>27</v>
      </c>
      <c r="E428" t="s">
        <v>28</v>
      </c>
      <c r="F428" t="s">
        <v>29</v>
      </c>
      <c r="G428" s="1">
        <v>45870</v>
      </c>
      <c r="H428" s="1">
        <v>45292</v>
      </c>
      <c r="I428">
        <v>20411454</v>
      </c>
      <c r="J428" t="s">
        <v>32</v>
      </c>
      <c r="K428" t="s">
        <v>4532</v>
      </c>
      <c r="L428">
        <v>2.5</v>
      </c>
      <c r="M428">
        <v>2.5</v>
      </c>
      <c r="N428" t="s">
        <v>2718</v>
      </c>
      <c r="P428" t="s">
        <v>4298</v>
      </c>
    </row>
    <row r="429" spans="1:16" x14ac:dyDescent="0.25">
      <c r="A429" t="s">
        <v>636</v>
      </c>
      <c r="B429" t="str">
        <f>CONCATENATE(A429,88)</f>
        <v>2F40QH2WE2688</v>
      </c>
      <c r="C429" t="s">
        <v>638</v>
      </c>
      <c r="D429" t="s">
        <v>27</v>
      </c>
      <c r="E429" t="s">
        <v>28</v>
      </c>
      <c r="F429" t="s">
        <v>29</v>
      </c>
      <c r="G429" s="1">
        <v>45870</v>
      </c>
      <c r="H429" s="1">
        <v>45261</v>
      </c>
      <c r="I429">
        <v>20411454</v>
      </c>
      <c r="J429" t="s">
        <v>32</v>
      </c>
      <c r="K429" t="s">
        <v>4532</v>
      </c>
      <c r="L429">
        <v>2.5</v>
      </c>
      <c r="M429">
        <v>2.5</v>
      </c>
      <c r="N429" t="s">
        <v>2718</v>
      </c>
      <c r="P429" t="s">
        <v>4299</v>
      </c>
    </row>
    <row r="430" spans="1:16" x14ac:dyDescent="0.25">
      <c r="A430" t="s">
        <v>646</v>
      </c>
      <c r="B430" t="str">
        <f>CONCATENATE(A430,88)</f>
        <v>6V00J05JG2488</v>
      </c>
      <c r="C430" t="s">
        <v>648</v>
      </c>
      <c r="D430" t="s">
        <v>27</v>
      </c>
      <c r="E430" t="s">
        <v>28</v>
      </c>
      <c r="F430" t="s">
        <v>127</v>
      </c>
      <c r="G430" s="1">
        <v>45870</v>
      </c>
      <c r="H430" s="1">
        <v>45292</v>
      </c>
      <c r="I430">
        <v>20411454</v>
      </c>
      <c r="J430" t="s">
        <v>32</v>
      </c>
      <c r="K430" t="s">
        <v>4532</v>
      </c>
      <c r="L430">
        <v>2.5</v>
      </c>
      <c r="M430">
        <v>2.5</v>
      </c>
      <c r="N430" t="s">
        <v>2718</v>
      </c>
      <c r="P430" t="s">
        <v>4300</v>
      </c>
    </row>
    <row r="431" spans="1:16" x14ac:dyDescent="0.25">
      <c r="A431" t="s">
        <v>665</v>
      </c>
      <c r="B431" t="str">
        <f>CONCATENATE(A431,88)</f>
        <v>9K63C42ET0988</v>
      </c>
      <c r="C431" t="s">
        <v>667</v>
      </c>
      <c r="D431" t="s">
        <v>27</v>
      </c>
      <c r="E431" t="s">
        <v>28</v>
      </c>
      <c r="F431" t="s">
        <v>29</v>
      </c>
      <c r="G431" s="1">
        <v>45870</v>
      </c>
      <c r="H431" s="1">
        <v>45323</v>
      </c>
      <c r="I431">
        <v>20411454</v>
      </c>
      <c r="J431" t="s">
        <v>32</v>
      </c>
      <c r="K431" t="s">
        <v>4532</v>
      </c>
      <c r="L431">
        <v>2.5</v>
      </c>
      <c r="M431">
        <v>2.5</v>
      </c>
      <c r="N431" t="s">
        <v>2718</v>
      </c>
      <c r="P431" t="s">
        <v>4301</v>
      </c>
    </row>
    <row r="432" spans="1:16" x14ac:dyDescent="0.25">
      <c r="A432" t="s">
        <v>668</v>
      </c>
      <c r="B432" t="str">
        <f>CONCATENATE(A432,88)</f>
        <v>2KU4GR3QF8888</v>
      </c>
      <c r="C432" t="s">
        <v>670</v>
      </c>
      <c r="D432" t="s">
        <v>27</v>
      </c>
      <c r="E432" t="s">
        <v>28</v>
      </c>
      <c r="F432" t="s">
        <v>29</v>
      </c>
      <c r="G432" s="1">
        <v>45870</v>
      </c>
      <c r="H432" s="1">
        <v>45292</v>
      </c>
      <c r="I432">
        <v>20411454</v>
      </c>
      <c r="J432" t="s">
        <v>32</v>
      </c>
      <c r="K432" t="s">
        <v>4532</v>
      </c>
      <c r="L432">
        <v>2.5</v>
      </c>
      <c r="M432">
        <v>2.5</v>
      </c>
      <c r="N432" t="s">
        <v>2718</v>
      </c>
      <c r="P432" t="s">
        <v>4302</v>
      </c>
    </row>
    <row r="433" spans="1:16" x14ac:dyDescent="0.25">
      <c r="A433" t="s">
        <v>690</v>
      </c>
      <c r="B433" t="str">
        <f>CONCATENATE(A433,88)</f>
        <v>2EQ6FR9MV6788</v>
      </c>
      <c r="C433" t="s">
        <v>692</v>
      </c>
      <c r="D433" t="s">
        <v>27</v>
      </c>
      <c r="E433" t="s">
        <v>28</v>
      </c>
      <c r="F433" t="s">
        <v>29</v>
      </c>
      <c r="G433" s="1">
        <v>45870</v>
      </c>
      <c r="H433" s="1">
        <v>45292</v>
      </c>
      <c r="I433">
        <v>20411454</v>
      </c>
      <c r="J433" t="s">
        <v>32</v>
      </c>
      <c r="K433" t="s">
        <v>4532</v>
      </c>
      <c r="L433">
        <v>2.5</v>
      </c>
      <c r="M433">
        <v>2.5</v>
      </c>
      <c r="N433" t="s">
        <v>2718</v>
      </c>
      <c r="P433" t="s">
        <v>4303</v>
      </c>
    </row>
    <row r="434" spans="1:16" x14ac:dyDescent="0.25">
      <c r="A434" t="s">
        <v>693</v>
      </c>
      <c r="B434" t="str">
        <f>CONCATENATE(A434,88)</f>
        <v>1RP0TP8MC2188</v>
      </c>
      <c r="C434" t="s">
        <v>695</v>
      </c>
      <c r="D434" t="s">
        <v>27</v>
      </c>
      <c r="E434" t="s">
        <v>28</v>
      </c>
      <c r="F434" t="s">
        <v>29</v>
      </c>
      <c r="G434" s="1">
        <v>45870</v>
      </c>
      <c r="H434" s="1">
        <v>45292</v>
      </c>
      <c r="I434">
        <v>20411454</v>
      </c>
      <c r="J434" t="s">
        <v>32</v>
      </c>
      <c r="K434" t="s">
        <v>4532</v>
      </c>
      <c r="L434">
        <v>2.5</v>
      </c>
      <c r="M434">
        <v>2.5</v>
      </c>
      <c r="N434" t="s">
        <v>2718</v>
      </c>
      <c r="P434" t="s">
        <v>4304</v>
      </c>
    </row>
    <row r="435" spans="1:16" x14ac:dyDescent="0.25">
      <c r="A435" t="s">
        <v>721</v>
      </c>
      <c r="B435" t="str">
        <f>CONCATENATE(A435,88)</f>
        <v>6AN3UR7GM7888</v>
      </c>
      <c r="C435" t="s">
        <v>723</v>
      </c>
      <c r="D435" t="s">
        <v>27</v>
      </c>
      <c r="E435" t="s">
        <v>28</v>
      </c>
      <c r="F435" t="s">
        <v>29</v>
      </c>
      <c r="G435" s="1">
        <v>45870</v>
      </c>
      <c r="H435" s="1">
        <v>45292</v>
      </c>
      <c r="I435">
        <v>20411454</v>
      </c>
      <c r="J435" t="s">
        <v>32</v>
      </c>
      <c r="K435" t="s">
        <v>4532</v>
      </c>
      <c r="L435">
        <v>2.5</v>
      </c>
      <c r="M435">
        <v>2.5</v>
      </c>
      <c r="N435" t="s">
        <v>2718</v>
      </c>
      <c r="P435" t="s">
        <v>4305</v>
      </c>
    </row>
    <row r="436" spans="1:16" x14ac:dyDescent="0.25">
      <c r="A436" t="s">
        <v>724</v>
      </c>
      <c r="B436" t="str">
        <f>CONCATENATE(A436,88)</f>
        <v>3YY2VY3NU0288</v>
      </c>
      <c r="C436" t="s">
        <v>726</v>
      </c>
      <c r="D436" t="s">
        <v>27</v>
      </c>
      <c r="E436" t="s">
        <v>28</v>
      </c>
      <c r="F436" t="s">
        <v>29</v>
      </c>
      <c r="G436" s="1">
        <v>45870</v>
      </c>
      <c r="H436" s="1">
        <v>45292</v>
      </c>
      <c r="I436">
        <v>20411454</v>
      </c>
      <c r="J436" t="s">
        <v>32</v>
      </c>
      <c r="K436" t="s">
        <v>4532</v>
      </c>
      <c r="L436">
        <v>2.5</v>
      </c>
      <c r="M436">
        <v>2.5</v>
      </c>
      <c r="N436" t="s">
        <v>2718</v>
      </c>
      <c r="P436" t="s">
        <v>4306</v>
      </c>
    </row>
    <row r="437" spans="1:16" x14ac:dyDescent="0.25">
      <c r="A437" t="s">
        <v>733</v>
      </c>
      <c r="B437" t="str">
        <f>CONCATENATE(A437,88)</f>
        <v>8K29XN8YE1488</v>
      </c>
      <c r="C437" t="s">
        <v>736</v>
      </c>
      <c r="D437" t="s">
        <v>27</v>
      </c>
      <c r="E437" t="s">
        <v>28</v>
      </c>
      <c r="F437" t="s">
        <v>29</v>
      </c>
      <c r="G437" s="1">
        <v>45870</v>
      </c>
      <c r="H437" s="1">
        <v>41640</v>
      </c>
      <c r="I437">
        <v>20411454</v>
      </c>
      <c r="J437" t="s">
        <v>32</v>
      </c>
      <c r="K437" t="s">
        <v>4532</v>
      </c>
      <c r="L437">
        <v>2.5</v>
      </c>
      <c r="M437">
        <v>2.5</v>
      </c>
      <c r="N437" t="s">
        <v>2718</v>
      </c>
      <c r="P437" t="s">
        <v>4307</v>
      </c>
    </row>
    <row r="438" spans="1:16" x14ac:dyDescent="0.25">
      <c r="A438" t="s">
        <v>752</v>
      </c>
      <c r="B438" t="str">
        <f>CONCATENATE(A438,88)</f>
        <v>6PD9P37QC3288</v>
      </c>
      <c r="C438" t="s">
        <v>754</v>
      </c>
      <c r="D438" t="s">
        <v>27</v>
      </c>
      <c r="E438" t="s">
        <v>28</v>
      </c>
      <c r="F438" t="s">
        <v>29</v>
      </c>
      <c r="G438" s="1">
        <v>45870</v>
      </c>
      <c r="H438" s="1">
        <v>45292</v>
      </c>
      <c r="I438">
        <v>20411454</v>
      </c>
      <c r="J438" t="s">
        <v>247</v>
      </c>
      <c r="K438" t="s">
        <v>4532</v>
      </c>
      <c r="L438">
        <v>2.5</v>
      </c>
      <c r="M438">
        <v>2.5</v>
      </c>
      <c r="N438" t="s">
        <v>2718</v>
      </c>
      <c r="P438" t="s">
        <v>4308</v>
      </c>
    </row>
    <row r="439" spans="1:16" x14ac:dyDescent="0.25">
      <c r="A439" t="s">
        <v>762</v>
      </c>
      <c r="B439" t="str">
        <f>CONCATENATE(A439,88)</f>
        <v>5FJ8NX6EJ5388</v>
      </c>
      <c r="C439" t="s">
        <v>764</v>
      </c>
      <c r="D439" t="s">
        <v>27</v>
      </c>
      <c r="E439" t="s">
        <v>28</v>
      </c>
      <c r="F439" t="s">
        <v>127</v>
      </c>
      <c r="G439" s="1">
        <v>45870</v>
      </c>
      <c r="H439" s="1">
        <v>45292</v>
      </c>
      <c r="I439">
        <v>20411454</v>
      </c>
      <c r="J439" t="s">
        <v>32</v>
      </c>
      <c r="K439" t="s">
        <v>4532</v>
      </c>
      <c r="L439">
        <v>2.5</v>
      </c>
      <c r="M439">
        <v>2.5</v>
      </c>
      <c r="N439" t="s">
        <v>2718</v>
      </c>
      <c r="P439" t="s">
        <v>4309</v>
      </c>
    </row>
    <row r="440" spans="1:16" x14ac:dyDescent="0.25">
      <c r="A440" t="s">
        <v>784</v>
      </c>
      <c r="B440" t="str">
        <f>CONCATENATE(A440,88)</f>
        <v>4P74AC6PG7188</v>
      </c>
      <c r="C440" t="s">
        <v>786</v>
      </c>
      <c r="D440" t="s">
        <v>27</v>
      </c>
      <c r="E440" t="s">
        <v>28</v>
      </c>
      <c r="F440" t="s">
        <v>29</v>
      </c>
      <c r="G440" s="1">
        <v>45870</v>
      </c>
      <c r="H440" s="1">
        <v>45292</v>
      </c>
      <c r="I440">
        <v>20411454</v>
      </c>
      <c r="J440" t="s">
        <v>32</v>
      </c>
      <c r="K440" t="s">
        <v>4532</v>
      </c>
      <c r="L440">
        <v>2.5</v>
      </c>
      <c r="M440">
        <v>2.5</v>
      </c>
      <c r="N440" t="s">
        <v>2718</v>
      </c>
      <c r="P440" t="s">
        <v>4310</v>
      </c>
    </row>
    <row r="441" spans="1:16" x14ac:dyDescent="0.25">
      <c r="A441" t="s">
        <v>791</v>
      </c>
      <c r="B441" t="str">
        <f>CONCATENATE(A441,88)</f>
        <v>7GQ1TM5VV3788</v>
      </c>
      <c r="C441" t="s">
        <v>793</v>
      </c>
      <c r="D441" t="s">
        <v>27</v>
      </c>
      <c r="E441" t="s">
        <v>28</v>
      </c>
      <c r="F441" t="s">
        <v>29</v>
      </c>
      <c r="G441" s="1">
        <v>45870</v>
      </c>
      <c r="H441" s="1">
        <v>45261</v>
      </c>
      <c r="I441">
        <v>20411454</v>
      </c>
      <c r="J441" t="s">
        <v>32</v>
      </c>
      <c r="K441" t="s">
        <v>4532</v>
      </c>
      <c r="L441">
        <v>2.5</v>
      </c>
      <c r="M441">
        <v>2.5</v>
      </c>
      <c r="N441" t="s">
        <v>2718</v>
      </c>
      <c r="P441" t="s">
        <v>4311</v>
      </c>
    </row>
    <row r="442" spans="1:16" x14ac:dyDescent="0.25">
      <c r="A442" t="s">
        <v>799</v>
      </c>
      <c r="B442" t="str">
        <f>CONCATENATE(A442,88)</f>
        <v>7TF4K49KN7388</v>
      </c>
      <c r="C442" t="s">
        <v>801</v>
      </c>
      <c r="D442" t="s">
        <v>27</v>
      </c>
      <c r="E442" t="s">
        <v>28</v>
      </c>
      <c r="F442" t="s">
        <v>29</v>
      </c>
      <c r="G442" s="1">
        <v>45870</v>
      </c>
      <c r="H442" s="1">
        <v>45231</v>
      </c>
      <c r="I442">
        <v>20411454</v>
      </c>
      <c r="J442" t="s">
        <v>32</v>
      </c>
      <c r="K442" t="s">
        <v>4532</v>
      </c>
      <c r="L442">
        <v>2.5</v>
      </c>
      <c r="M442">
        <v>2.5</v>
      </c>
      <c r="N442" t="s">
        <v>2718</v>
      </c>
      <c r="P442" t="s">
        <v>4312</v>
      </c>
    </row>
    <row r="443" spans="1:16" x14ac:dyDescent="0.25">
      <c r="A443" t="s">
        <v>811</v>
      </c>
      <c r="B443" t="str">
        <f>CONCATENATE(A443,88)</f>
        <v>6T29J00MD3388</v>
      </c>
      <c r="C443" t="s">
        <v>813</v>
      </c>
      <c r="D443" t="s">
        <v>27</v>
      </c>
      <c r="E443" t="s">
        <v>28</v>
      </c>
      <c r="F443" t="s">
        <v>29</v>
      </c>
      <c r="G443" s="1">
        <v>45870</v>
      </c>
      <c r="H443" s="1">
        <v>45292</v>
      </c>
      <c r="I443">
        <v>20411454</v>
      </c>
      <c r="J443" t="s">
        <v>32</v>
      </c>
      <c r="K443" t="s">
        <v>4532</v>
      </c>
      <c r="L443">
        <v>2.5</v>
      </c>
      <c r="M443">
        <v>2.5</v>
      </c>
      <c r="N443" t="s">
        <v>2718</v>
      </c>
      <c r="P443" t="s">
        <v>4313</v>
      </c>
    </row>
    <row r="444" spans="1:16" x14ac:dyDescent="0.25">
      <c r="A444" t="s">
        <v>820</v>
      </c>
      <c r="B444" t="str">
        <f>CONCATENATE(A444,88)</f>
        <v>6F33MF7DA1188</v>
      </c>
      <c r="C444" t="s">
        <v>822</v>
      </c>
      <c r="D444" t="s">
        <v>27</v>
      </c>
      <c r="E444" t="s">
        <v>28</v>
      </c>
      <c r="F444" t="s">
        <v>29</v>
      </c>
      <c r="G444" s="1">
        <v>45870</v>
      </c>
      <c r="H444" s="1">
        <v>45658</v>
      </c>
      <c r="I444">
        <v>20411454</v>
      </c>
      <c r="J444" t="s">
        <v>32</v>
      </c>
      <c r="K444" t="s">
        <v>4532</v>
      </c>
      <c r="L444">
        <v>2.5</v>
      </c>
      <c r="M444">
        <v>2.5</v>
      </c>
      <c r="N444" t="s">
        <v>2718</v>
      </c>
      <c r="P444" t="s">
        <v>4314</v>
      </c>
    </row>
    <row r="445" spans="1:16" x14ac:dyDescent="0.25">
      <c r="A445" t="s">
        <v>832</v>
      </c>
      <c r="B445" t="str">
        <f>CONCATENATE(A445,88)</f>
        <v>5M43G51DH0988</v>
      </c>
      <c r="C445" t="s">
        <v>834</v>
      </c>
      <c r="D445" t="s">
        <v>27</v>
      </c>
      <c r="E445" t="s">
        <v>28</v>
      </c>
      <c r="F445" t="s">
        <v>29</v>
      </c>
      <c r="G445" s="1">
        <v>45870</v>
      </c>
      <c r="H445" s="1">
        <v>45231</v>
      </c>
      <c r="I445">
        <v>20411454</v>
      </c>
      <c r="J445" t="s">
        <v>32</v>
      </c>
      <c r="K445" t="s">
        <v>4532</v>
      </c>
      <c r="L445">
        <v>2.5</v>
      </c>
      <c r="M445">
        <v>2.5</v>
      </c>
      <c r="N445" t="s">
        <v>2718</v>
      </c>
      <c r="P445" t="s">
        <v>4315</v>
      </c>
    </row>
    <row r="446" spans="1:16" x14ac:dyDescent="0.25">
      <c r="A446" t="s">
        <v>841</v>
      </c>
      <c r="B446" t="str">
        <f>CONCATENATE(A446,88)</f>
        <v>7J02TF6EW9688</v>
      </c>
      <c r="C446" t="s">
        <v>843</v>
      </c>
      <c r="D446" t="s">
        <v>27</v>
      </c>
      <c r="E446" t="s">
        <v>28</v>
      </c>
      <c r="F446" t="s">
        <v>29</v>
      </c>
      <c r="G446" s="1">
        <v>45870</v>
      </c>
      <c r="H446" s="1">
        <v>45170</v>
      </c>
      <c r="I446">
        <v>20411454</v>
      </c>
      <c r="J446" t="s">
        <v>247</v>
      </c>
      <c r="K446" t="s">
        <v>4532</v>
      </c>
      <c r="L446">
        <v>2.5</v>
      </c>
      <c r="M446">
        <v>2.5</v>
      </c>
      <c r="N446" t="s">
        <v>2718</v>
      </c>
      <c r="P446" t="s">
        <v>4316</v>
      </c>
    </row>
    <row r="447" spans="1:16" x14ac:dyDescent="0.25">
      <c r="A447" t="s">
        <v>862</v>
      </c>
      <c r="B447" t="str">
        <f>CONCATENATE(A447,88)</f>
        <v>3NG2YH0TT9088</v>
      </c>
      <c r="C447" t="s">
        <v>864</v>
      </c>
      <c r="D447" t="s">
        <v>27</v>
      </c>
      <c r="E447" t="s">
        <v>28</v>
      </c>
      <c r="F447" t="s">
        <v>29</v>
      </c>
      <c r="G447" s="1">
        <v>45870</v>
      </c>
      <c r="H447" s="1">
        <v>45292</v>
      </c>
      <c r="I447">
        <v>20411454</v>
      </c>
      <c r="J447" t="s">
        <v>32</v>
      </c>
      <c r="K447" t="s">
        <v>4532</v>
      </c>
      <c r="L447">
        <v>2.5</v>
      </c>
      <c r="M447">
        <v>2.5</v>
      </c>
      <c r="N447" t="s">
        <v>2718</v>
      </c>
      <c r="P447" t="s">
        <v>4317</v>
      </c>
    </row>
    <row r="448" spans="1:16" x14ac:dyDescent="0.25">
      <c r="A448" t="s">
        <v>865</v>
      </c>
      <c r="B448" t="str">
        <f>CONCATENATE(A448,88)</f>
        <v>1A02TA5XY9088</v>
      </c>
      <c r="C448" t="s">
        <v>867</v>
      </c>
      <c r="D448" t="s">
        <v>27</v>
      </c>
      <c r="E448" t="s">
        <v>28</v>
      </c>
      <c r="F448" t="s">
        <v>29</v>
      </c>
      <c r="G448" s="1">
        <v>45870</v>
      </c>
      <c r="H448" s="1">
        <v>45292</v>
      </c>
      <c r="I448">
        <v>20411454</v>
      </c>
      <c r="J448" t="s">
        <v>32</v>
      </c>
      <c r="K448" t="s">
        <v>4532</v>
      </c>
      <c r="L448">
        <v>2.5</v>
      </c>
      <c r="M448">
        <v>2.5</v>
      </c>
      <c r="N448" t="s">
        <v>2718</v>
      </c>
      <c r="P448" t="s">
        <v>4318</v>
      </c>
    </row>
    <row r="449" spans="1:16" x14ac:dyDescent="0.25">
      <c r="A449" t="s">
        <v>894</v>
      </c>
      <c r="B449" t="str">
        <f>CONCATENATE(A449,88)</f>
        <v>1D63X87QT1988</v>
      </c>
      <c r="C449" t="s">
        <v>896</v>
      </c>
      <c r="D449" t="s">
        <v>27</v>
      </c>
      <c r="E449" t="s">
        <v>28</v>
      </c>
      <c r="F449" t="s">
        <v>29</v>
      </c>
      <c r="G449" s="1">
        <v>45870</v>
      </c>
      <c r="H449" s="1">
        <v>45323</v>
      </c>
      <c r="I449">
        <v>20411454</v>
      </c>
      <c r="J449" t="s">
        <v>32</v>
      </c>
      <c r="K449" t="s">
        <v>4532</v>
      </c>
      <c r="L449">
        <v>2.5</v>
      </c>
      <c r="M449">
        <v>2.5</v>
      </c>
      <c r="N449" t="s">
        <v>2718</v>
      </c>
      <c r="P449" t="s">
        <v>4319</v>
      </c>
    </row>
    <row r="450" spans="1:16" x14ac:dyDescent="0.25">
      <c r="A450" t="s">
        <v>921</v>
      </c>
      <c r="B450" t="str">
        <f>CONCATENATE(A450,88)</f>
        <v>9E87JA5JK4588</v>
      </c>
      <c r="C450" t="s">
        <v>923</v>
      </c>
      <c r="D450" t="s">
        <v>27</v>
      </c>
      <c r="E450" t="s">
        <v>28</v>
      </c>
      <c r="F450" t="s">
        <v>29</v>
      </c>
      <c r="G450" s="1">
        <v>45870</v>
      </c>
      <c r="H450" s="1">
        <v>45292</v>
      </c>
      <c r="I450">
        <v>20411454</v>
      </c>
      <c r="J450" t="s">
        <v>32</v>
      </c>
      <c r="K450" t="s">
        <v>4532</v>
      </c>
      <c r="L450">
        <v>2.5</v>
      </c>
      <c r="M450">
        <v>2.5</v>
      </c>
      <c r="N450" t="s">
        <v>2718</v>
      </c>
      <c r="P450" t="s">
        <v>4320</v>
      </c>
    </row>
    <row r="451" spans="1:16" x14ac:dyDescent="0.25">
      <c r="A451" t="s">
        <v>929</v>
      </c>
      <c r="B451" t="str">
        <f>CONCATENATE(A451,88)</f>
        <v>3CR6KD3DU5788</v>
      </c>
      <c r="C451" t="s">
        <v>931</v>
      </c>
      <c r="D451" t="s">
        <v>27</v>
      </c>
      <c r="E451" t="s">
        <v>28</v>
      </c>
      <c r="F451" t="s">
        <v>29</v>
      </c>
      <c r="G451" s="1">
        <v>45870</v>
      </c>
      <c r="H451" s="1">
        <v>45292</v>
      </c>
      <c r="I451">
        <v>20411454</v>
      </c>
      <c r="J451" t="s">
        <v>247</v>
      </c>
      <c r="K451" t="s">
        <v>4532</v>
      </c>
      <c r="L451">
        <v>2.5</v>
      </c>
      <c r="M451">
        <v>2.5</v>
      </c>
      <c r="N451" t="s">
        <v>2718</v>
      </c>
      <c r="P451" t="s">
        <v>4321</v>
      </c>
    </row>
    <row r="452" spans="1:16" x14ac:dyDescent="0.25">
      <c r="A452" t="s">
        <v>948</v>
      </c>
      <c r="B452" t="str">
        <f>CONCATENATE(A452,88)</f>
        <v>9NF3JP6CV7988</v>
      </c>
      <c r="C452" t="s">
        <v>950</v>
      </c>
      <c r="D452" t="s">
        <v>27</v>
      </c>
      <c r="E452" t="s">
        <v>28</v>
      </c>
      <c r="F452" t="s">
        <v>29</v>
      </c>
      <c r="G452" s="1">
        <v>45870</v>
      </c>
      <c r="H452" s="1">
        <v>45200</v>
      </c>
      <c r="I452">
        <v>20411454</v>
      </c>
      <c r="J452" t="s">
        <v>32</v>
      </c>
      <c r="K452" t="s">
        <v>4532</v>
      </c>
      <c r="L452">
        <v>2.5</v>
      </c>
      <c r="M452">
        <v>2.5</v>
      </c>
      <c r="N452" t="s">
        <v>2718</v>
      </c>
      <c r="P452" t="s">
        <v>4322</v>
      </c>
    </row>
    <row r="453" spans="1:16" x14ac:dyDescent="0.25">
      <c r="A453" t="s">
        <v>973</v>
      </c>
      <c r="B453" t="str">
        <f>CONCATENATE(A453,88)</f>
        <v>7VA5G43FR6288</v>
      </c>
      <c r="C453" t="s">
        <v>975</v>
      </c>
      <c r="D453" t="s">
        <v>27</v>
      </c>
      <c r="E453" t="s">
        <v>28</v>
      </c>
      <c r="F453" t="s">
        <v>29</v>
      </c>
      <c r="G453" s="1">
        <v>45870</v>
      </c>
      <c r="H453" s="1">
        <v>45658</v>
      </c>
      <c r="I453">
        <v>20411454</v>
      </c>
      <c r="J453" t="s">
        <v>32</v>
      </c>
      <c r="K453" t="s">
        <v>4532</v>
      </c>
      <c r="L453">
        <v>2.5</v>
      </c>
      <c r="M453">
        <v>2.5</v>
      </c>
      <c r="N453" t="s">
        <v>2718</v>
      </c>
      <c r="P453" t="s">
        <v>4323</v>
      </c>
    </row>
    <row r="454" spans="1:16" x14ac:dyDescent="0.25">
      <c r="A454" t="s">
        <v>980</v>
      </c>
      <c r="B454" t="str">
        <f>CONCATENATE(A454,88)</f>
        <v>7RN9G43TX2788</v>
      </c>
      <c r="C454" t="s">
        <v>982</v>
      </c>
      <c r="D454" t="s">
        <v>27</v>
      </c>
      <c r="E454" t="s">
        <v>28</v>
      </c>
      <c r="F454" t="s">
        <v>29</v>
      </c>
      <c r="G454" s="1">
        <v>45870</v>
      </c>
      <c r="H454" s="1">
        <v>45017</v>
      </c>
      <c r="I454">
        <v>20411454</v>
      </c>
      <c r="J454" t="s">
        <v>32</v>
      </c>
      <c r="K454" t="s">
        <v>4532</v>
      </c>
      <c r="L454">
        <v>2.5</v>
      </c>
      <c r="M454">
        <v>2.5</v>
      </c>
      <c r="N454" t="s">
        <v>2718</v>
      </c>
      <c r="P454" t="s">
        <v>4324</v>
      </c>
    </row>
    <row r="455" spans="1:16" x14ac:dyDescent="0.25">
      <c r="A455" t="s">
        <v>1006</v>
      </c>
      <c r="B455" t="str">
        <f>CONCATENATE(A455,88)</f>
        <v>5PE6MG8MH8888</v>
      </c>
      <c r="C455" t="s">
        <v>1008</v>
      </c>
      <c r="D455" t="s">
        <v>27</v>
      </c>
      <c r="E455" t="s">
        <v>28</v>
      </c>
      <c r="F455" t="s">
        <v>29</v>
      </c>
      <c r="G455" s="1">
        <v>45870</v>
      </c>
      <c r="H455" s="1">
        <v>45292</v>
      </c>
      <c r="I455">
        <v>20411454</v>
      </c>
      <c r="J455" t="s">
        <v>32</v>
      </c>
      <c r="K455" t="s">
        <v>4532</v>
      </c>
      <c r="L455">
        <v>2.5</v>
      </c>
      <c r="M455">
        <v>2.5</v>
      </c>
      <c r="N455" t="s">
        <v>2718</v>
      </c>
      <c r="P455" t="s">
        <v>4325</v>
      </c>
    </row>
    <row r="456" spans="1:16" x14ac:dyDescent="0.25">
      <c r="A456" t="s">
        <v>1009</v>
      </c>
      <c r="B456" t="str">
        <f>CONCATENATE(A456,88)</f>
        <v>6QE2PJ7TR8588</v>
      </c>
      <c r="C456" t="s">
        <v>1011</v>
      </c>
      <c r="D456" t="s">
        <v>27</v>
      </c>
      <c r="E456" t="s">
        <v>28</v>
      </c>
      <c r="F456" t="s">
        <v>29</v>
      </c>
      <c r="G456" s="1">
        <v>45870</v>
      </c>
      <c r="H456" s="1">
        <v>45292</v>
      </c>
      <c r="I456">
        <v>20411454</v>
      </c>
      <c r="J456" t="s">
        <v>32</v>
      </c>
      <c r="K456" t="s">
        <v>4532</v>
      </c>
      <c r="L456">
        <v>2.5</v>
      </c>
      <c r="M456">
        <v>2.5</v>
      </c>
      <c r="N456" t="s">
        <v>2718</v>
      </c>
      <c r="P456" t="s">
        <v>4326</v>
      </c>
    </row>
    <row r="457" spans="1:16" x14ac:dyDescent="0.25">
      <c r="A457" t="s">
        <v>1042</v>
      </c>
      <c r="B457" t="str">
        <f>CONCATENATE(A457,88)</f>
        <v>3KK1UD4NM9688</v>
      </c>
      <c r="C457" t="s">
        <v>1044</v>
      </c>
      <c r="D457" t="s">
        <v>27</v>
      </c>
      <c r="E457" t="s">
        <v>28</v>
      </c>
      <c r="F457" t="s">
        <v>29</v>
      </c>
      <c r="G457" s="1">
        <v>45870</v>
      </c>
      <c r="H457" s="1">
        <v>45292</v>
      </c>
      <c r="I457">
        <v>20411454</v>
      </c>
      <c r="J457" t="s">
        <v>32</v>
      </c>
      <c r="K457" t="s">
        <v>4532</v>
      </c>
      <c r="L457">
        <v>2.5</v>
      </c>
      <c r="M457">
        <v>2.5</v>
      </c>
      <c r="N457" t="s">
        <v>2718</v>
      </c>
      <c r="P457" t="s">
        <v>4327</v>
      </c>
    </row>
    <row r="458" spans="1:16" x14ac:dyDescent="0.25">
      <c r="A458" t="s">
        <v>1048</v>
      </c>
      <c r="B458" t="str">
        <f>CONCATENATE(A458,88)</f>
        <v>8YV3AA9GQ1788</v>
      </c>
      <c r="C458" t="s">
        <v>1050</v>
      </c>
      <c r="D458" t="s">
        <v>27</v>
      </c>
      <c r="E458" t="s">
        <v>28</v>
      </c>
      <c r="F458" t="s">
        <v>29</v>
      </c>
      <c r="G458" s="1">
        <v>45870</v>
      </c>
      <c r="H458" s="1">
        <v>45658</v>
      </c>
      <c r="I458">
        <v>20411454</v>
      </c>
      <c r="J458" t="s">
        <v>32</v>
      </c>
      <c r="K458" t="s">
        <v>4532</v>
      </c>
      <c r="L458">
        <v>2.5</v>
      </c>
      <c r="M458">
        <v>2.5</v>
      </c>
      <c r="N458" t="s">
        <v>2718</v>
      </c>
      <c r="P458" t="s">
        <v>4328</v>
      </c>
    </row>
    <row r="459" spans="1:16" x14ac:dyDescent="0.25">
      <c r="A459" t="s">
        <v>1055</v>
      </c>
      <c r="B459" t="str">
        <f>CONCATENATE(A459,88)</f>
        <v>5JR6V11RU4788</v>
      </c>
      <c r="C459" t="s">
        <v>1057</v>
      </c>
      <c r="D459" t="s">
        <v>27</v>
      </c>
      <c r="E459" t="s">
        <v>28</v>
      </c>
      <c r="F459" t="s">
        <v>29</v>
      </c>
      <c r="G459" s="1">
        <v>45870</v>
      </c>
      <c r="H459" s="1">
        <v>45261</v>
      </c>
      <c r="I459">
        <v>20411454</v>
      </c>
      <c r="J459" t="s">
        <v>32</v>
      </c>
      <c r="K459" t="s">
        <v>4532</v>
      </c>
      <c r="L459">
        <v>2.5</v>
      </c>
      <c r="M459">
        <v>2.5</v>
      </c>
      <c r="N459" t="s">
        <v>2718</v>
      </c>
      <c r="P459" t="s">
        <v>4329</v>
      </c>
    </row>
    <row r="460" spans="1:16" x14ac:dyDescent="0.25">
      <c r="A460" t="s">
        <v>1058</v>
      </c>
      <c r="B460" t="str">
        <f>CONCATENATE(A460,88)</f>
        <v>6QJ8RR7CQ1088</v>
      </c>
      <c r="C460" t="s">
        <v>1060</v>
      </c>
      <c r="D460" t="s">
        <v>27</v>
      </c>
      <c r="E460" t="s">
        <v>28</v>
      </c>
      <c r="F460" t="s">
        <v>29</v>
      </c>
      <c r="G460" s="1">
        <v>45870</v>
      </c>
      <c r="H460" s="1">
        <v>45292</v>
      </c>
      <c r="I460">
        <v>20411454</v>
      </c>
      <c r="J460" t="s">
        <v>32</v>
      </c>
      <c r="K460" t="s">
        <v>4532</v>
      </c>
      <c r="L460">
        <v>2.5</v>
      </c>
      <c r="M460">
        <v>2.5</v>
      </c>
      <c r="N460" t="s">
        <v>2718</v>
      </c>
      <c r="P460" t="s">
        <v>4330</v>
      </c>
    </row>
    <row r="461" spans="1:16" x14ac:dyDescent="0.25">
      <c r="A461" t="s">
        <v>1061</v>
      </c>
      <c r="B461" t="str">
        <f>CONCATENATE(A461,88)</f>
        <v>7XP5Q37HJ8788</v>
      </c>
      <c r="C461" t="s">
        <v>1063</v>
      </c>
      <c r="D461" t="s">
        <v>27</v>
      </c>
      <c r="E461" t="s">
        <v>28</v>
      </c>
      <c r="F461" t="s">
        <v>29</v>
      </c>
      <c r="G461" s="1">
        <v>45870</v>
      </c>
      <c r="H461" s="1">
        <v>45292</v>
      </c>
      <c r="I461">
        <v>20411454</v>
      </c>
      <c r="J461" t="s">
        <v>32</v>
      </c>
      <c r="K461" t="s">
        <v>4532</v>
      </c>
      <c r="L461">
        <v>2.5</v>
      </c>
      <c r="M461">
        <v>2.5</v>
      </c>
      <c r="N461" t="s">
        <v>2718</v>
      </c>
      <c r="P461" t="s">
        <v>4331</v>
      </c>
    </row>
    <row r="462" spans="1:16" x14ac:dyDescent="0.25">
      <c r="A462" t="s">
        <v>1068</v>
      </c>
      <c r="B462" t="str">
        <f>CONCATENATE(A462,88)</f>
        <v>7XJ2QK8WP2788</v>
      </c>
      <c r="C462" t="s">
        <v>1070</v>
      </c>
      <c r="D462" t="s">
        <v>27</v>
      </c>
      <c r="E462" t="s">
        <v>28</v>
      </c>
      <c r="F462" t="s">
        <v>29</v>
      </c>
      <c r="G462" s="1">
        <v>45870</v>
      </c>
      <c r="H462" s="1">
        <v>45261</v>
      </c>
      <c r="I462">
        <v>20411454</v>
      </c>
      <c r="J462" t="s">
        <v>32</v>
      </c>
      <c r="K462" t="s">
        <v>4532</v>
      </c>
      <c r="L462">
        <v>2.5</v>
      </c>
      <c r="M462">
        <v>2.5</v>
      </c>
      <c r="N462" t="s">
        <v>2718</v>
      </c>
      <c r="P462" t="s">
        <v>4332</v>
      </c>
    </row>
    <row r="463" spans="1:16" x14ac:dyDescent="0.25">
      <c r="A463" t="s">
        <v>1077</v>
      </c>
      <c r="B463" t="str">
        <f>CONCATENATE(A463,88)</f>
        <v>1G08E00XN5988</v>
      </c>
      <c r="C463" t="s">
        <v>1079</v>
      </c>
      <c r="D463" t="s">
        <v>27</v>
      </c>
      <c r="E463" t="s">
        <v>28</v>
      </c>
      <c r="F463" t="s">
        <v>29</v>
      </c>
      <c r="G463" s="1">
        <v>45870</v>
      </c>
      <c r="H463" s="1">
        <v>45292</v>
      </c>
      <c r="I463">
        <v>20411454</v>
      </c>
      <c r="J463" t="s">
        <v>32</v>
      </c>
      <c r="K463" t="s">
        <v>4532</v>
      </c>
      <c r="L463">
        <v>2.5</v>
      </c>
      <c r="M463">
        <v>2.5</v>
      </c>
      <c r="N463" t="s">
        <v>2718</v>
      </c>
      <c r="P463" t="s">
        <v>4333</v>
      </c>
    </row>
    <row r="464" spans="1:16" x14ac:dyDescent="0.25">
      <c r="A464" t="s">
        <v>1095</v>
      </c>
      <c r="B464" t="str">
        <f>CONCATENATE(A464,88)</f>
        <v>8UW4AD2GU7188</v>
      </c>
      <c r="C464" t="s">
        <v>1097</v>
      </c>
      <c r="D464" t="s">
        <v>27</v>
      </c>
      <c r="E464" t="s">
        <v>28</v>
      </c>
      <c r="F464" t="s">
        <v>29</v>
      </c>
      <c r="G464" s="1">
        <v>45870</v>
      </c>
      <c r="H464" s="1">
        <v>45658</v>
      </c>
      <c r="I464">
        <v>20411454</v>
      </c>
      <c r="J464" t="s">
        <v>32</v>
      </c>
      <c r="K464" t="s">
        <v>4532</v>
      </c>
      <c r="L464">
        <v>2.5</v>
      </c>
      <c r="M464">
        <v>2.5</v>
      </c>
      <c r="N464" t="s">
        <v>2718</v>
      </c>
      <c r="P464" t="s">
        <v>4334</v>
      </c>
    </row>
    <row r="465" spans="1:16" x14ac:dyDescent="0.25">
      <c r="A465" t="s">
        <v>1113</v>
      </c>
      <c r="B465" t="str">
        <f>CONCATENATE(A465,88)</f>
        <v>6W82XE4JM2688</v>
      </c>
      <c r="C465" t="s">
        <v>1115</v>
      </c>
      <c r="D465" t="s">
        <v>27</v>
      </c>
      <c r="E465" t="s">
        <v>28</v>
      </c>
      <c r="F465" t="s">
        <v>29</v>
      </c>
      <c r="G465" s="1">
        <v>45870</v>
      </c>
      <c r="H465" s="1">
        <v>45292</v>
      </c>
      <c r="I465">
        <v>20411454</v>
      </c>
      <c r="J465" t="s">
        <v>32</v>
      </c>
      <c r="K465" t="s">
        <v>4532</v>
      </c>
      <c r="L465">
        <v>2.5</v>
      </c>
      <c r="M465">
        <v>2.5</v>
      </c>
      <c r="N465" t="s">
        <v>2718</v>
      </c>
      <c r="P465" t="s">
        <v>4335</v>
      </c>
    </row>
    <row r="466" spans="1:16" x14ac:dyDescent="0.25">
      <c r="A466" t="s">
        <v>1119</v>
      </c>
      <c r="B466" t="str">
        <f>CONCATENATE(A466,88)</f>
        <v>7C80W65AK4588</v>
      </c>
      <c r="C466" t="s">
        <v>1121</v>
      </c>
      <c r="D466" t="s">
        <v>27</v>
      </c>
      <c r="E466" t="s">
        <v>28</v>
      </c>
      <c r="F466" t="s">
        <v>29</v>
      </c>
      <c r="G466" s="1">
        <v>45870</v>
      </c>
      <c r="H466" s="1">
        <v>45292</v>
      </c>
      <c r="I466">
        <v>20411454</v>
      </c>
      <c r="J466" t="s">
        <v>32</v>
      </c>
      <c r="K466" t="s">
        <v>4532</v>
      </c>
      <c r="L466">
        <v>2.5</v>
      </c>
      <c r="M466">
        <v>2.5</v>
      </c>
      <c r="N466" t="s">
        <v>2718</v>
      </c>
      <c r="P466" t="s">
        <v>4336</v>
      </c>
    </row>
    <row r="467" spans="1:16" x14ac:dyDescent="0.25">
      <c r="A467" t="s">
        <v>1125</v>
      </c>
      <c r="B467" t="str">
        <f>CONCATENATE(A467,88)</f>
        <v>7R47MT0UU4788</v>
      </c>
      <c r="C467" t="s">
        <v>1127</v>
      </c>
      <c r="D467" t="s">
        <v>27</v>
      </c>
      <c r="E467" t="s">
        <v>28</v>
      </c>
      <c r="F467" t="s">
        <v>29</v>
      </c>
      <c r="G467" s="1">
        <v>45870</v>
      </c>
      <c r="H467" s="1">
        <v>45292</v>
      </c>
      <c r="I467">
        <v>20411454</v>
      </c>
      <c r="J467" t="s">
        <v>32</v>
      </c>
      <c r="K467" t="s">
        <v>4532</v>
      </c>
      <c r="L467">
        <v>2.5</v>
      </c>
      <c r="M467">
        <v>2.5</v>
      </c>
      <c r="N467" t="s">
        <v>2718</v>
      </c>
      <c r="P467" t="s">
        <v>4337</v>
      </c>
    </row>
    <row r="468" spans="1:16" x14ac:dyDescent="0.25">
      <c r="A468" t="s">
        <v>1152</v>
      </c>
      <c r="B468" t="str">
        <f>CONCATENATE(A468,88)</f>
        <v>3NJ6CV6TV7288</v>
      </c>
      <c r="C468" t="s">
        <v>1154</v>
      </c>
      <c r="D468" t="s">
        <v>27</v>
      </c>
      <c r="E468" t="s">
        <v>28</v>
      </c>
      <c r="F468" t="s">
        <v>29</v>
      </c>
      <c r="G468" s="1">
        <v>45870</v>
      </c>
      <c r="H468" s="1">
        <v>45292</v>
      </c>
      <c r="I468">
        <v>20411454</v>
      </c>
      <c r="J468" t="s">
        <v>32</v>
      </c>
      <c r="K468" t="s">
        <v>4532</v>
      </c>
      <c r="L468">
        <v>2.5</v>
      </c>
      <c r="M468">
        <v>2.5</v>
      </c>
      <c r="N468" t="s">
        <v>2718</v>
      </c>
      <c r="P468" t="s">
        <v>4338</v>
      </c>
    </row>
    <row r="469" spans="1:16" x14ac:dyDescent="0.25">
      <c r="A469" t="s">
        <v>1181</v>
      </c>
      <c r="B469" t="str">
        <f>CONCATENATE(A469,88)</f>
        <v>8M25YE7JR5488</v>
      </c>
      <c r="C469" t="s">
        <v>1183</v>
      </c>
      <c r="D469" t="s">
        <v>27</v>
      </c>
      <c r="E469" t="s">
        <v>28</v>
      </c>
      <c r="F469" t="s">
        <v>29</v>
      </c>
      <c r="G469" s="1">
        <v>45870</v>
      </c>
      <c r="H469" s="1">
        <v>45292</v>
      </c>
      <c r="I469">
        <v>20411454</v>
      </c>
      <c r="J469" t="s">
        <v>32</v>
      </c>
      <c r="K469" t="s">
        <v>4532</v>
      </c>
      <c r="L469">
        <v>2.5</v>
      </c>
      <c r="M469">
        <v>2.5</v>
      </c>
      <c r="N469" t="s">
        <v>2718</v>
      </c>
      <c r="P469" t="s">
        <v>4339</v>
      </c>
    </row>
    <row r="470" spans="1:16" x14ac:dyDescent="0.25">
      <c r="A470" t="s">
        <v>1184</v>
      </c>
      <c r="B470" t="str">
        <f>CONCATENATE(A470,88)</f>
        <v>1PD9N19WH3788</v>
      </c>
      <c r="C470" t="s">
        <v>1186</v>
      </c>
      <c r="D470" t="s">
        <v>27</v>
      </c>
      <c r="E470" t="s">
        <v>28</v>
      </c>
      <c r="F470" t="s">
        <v>127</v>
      </c>
      <c r="G470" s="1">
        <v>45870</v>
      </c>
      <c r="H470" s="1">
        <v>45323</v>
      </c>
      <c r="I470">
        <v>20411454</v>
      </c>
      <c r="J470" t="s">
        <v>32</v>
      </c>
      <c r="K470" t="s">
        <v>4532</v>
      </c>
      <c r="L470">
        <v>2.5</v>
      </c>
      <c r="M470">
        <v>2.5</v>
      </c>
      <c r="N470" t="s">
        <v>2718</v>
      </c>
      <c r="P470" t="s">
        <v>4340</v>
      </c>
    </row>
    <row r="471" spans="1:16" x14ac:dyDescent="0.25">
      <c r="A471" t="s">
        <v>1193</v>
      </c>
      <c r="B471" t="str">
        <f>CONCATENATE(A471,88)</f>
        <v>2P74FP4QH8288</v>
      </c>
      <c r="C471" t="s">
        <v>1195</v>
      </c>
      <c r="D471" t="s">
        <v>27</v>
      </c>
      <c r="E471" t="s">
        <v>28</v>
      </c>
      <c r="F471" t="s">
        <v>29</v>
      </c>
      <c r="G471" s="1">
        <v>45870</v>
      </c>
      <c r="H471" s="1">
        <v>45292</v>
      </c>
      <c r="I471">
        <v>20411454</v>
      </c>
      <c r="J471" t="s">
        <v>32</v>
      </c>
      <c r="K471" t="s">
        <v>4532</v>
      </c>
      <c r="L471">
        <v>2.5</v>
      </c>
      <c r="M471">
        <v>2.5</v>
      </c>
      <c r="N471" t="s">
        <v>2718</v>
      </c>
      <c r="P471" t="s">
        <v>4341</v>
      </c>
    </row>
    <row r="472" spans="1:16" x14ac:dyDescent="0.25">
      <c r="A472" t="s">
        <v>1205</v>
      </c>
      <c r="B472" t="str">
        <f>CONCATENATE(A472,88)</f>
        <v>6N77HW4KA4688</v>
      </c>
      <c r="C472" t="s">
        <v>1207</v>
      </c>
      <c r="D472" t="s">
        <v>27</v>
      </c>
      <c r="E472" t="s">
        <v>28</v>
      </c>
      <c r="F472" t="s">
        <v>29</v>
      </c>
      <c r="G472" s="1">
        <v>45870</v>
      </c>
      <c r="H472" s="1">
        <v>45292</v>
      </c>
      <c r="I472">
        <v>20411454</v>
      </c>
      <c r="J472" t="s">
        <v>32</v>
      </c>
      <c r="K472" t="s">
        <v>4532</v>
      </c>
      <c r="L472">
        <v>2.5</v>
      </c>
      <c r="M472">
        <v>2.5</v>
      </c>
      <c r="N472" t="s">
        <v>2718</v>
      </c>
      <c r="P472" t="s">
        <v>4342</v>
      </c>
    </row>
    <row r="473" spans="1:16" x14ac:dyDescent="0.25">
      <c r="A473" t="s">
        <v>1208</v>
      </c>
      <c r="B473" t="str">
        <f>CONCATENATE(A473,88)</f>
        <v>6YE2M08AM8188</v>
      </c>
      <c r="C473" t="s">
        <v>1210</v>
      </c>
      <c r="D473" t="s">
        <v>27</v>
      </c>
      <c r="E473" t="s">
        <v>28</v>
      </c>
      <c r="F473" t="s">
        <v>127</v>
      </c>
      <c r="G473" s="1">
        <v>45870</v>
      </c>
      <c r="H473" s="1">
        <v>45292</v>
      </c>
      <c r="I473">
        <v>20411454</v>
      </c>
      <c r="J473" t="s">
        <v>32</v>
      </c>
      <c r="K473" t="s">
        <v>4532</v>
      </c>
      <c r="L473">
        <v>2.5</v>
      </c>
      <c r="M473">
        <v>2.5</v>
      </c>
      <c r="N473" t="s">
        <v>2718</v>
      </c>
      <c r="P473" t="s">
        <v>4343</v>
      </c>
    </row>
    <row r="474" spans="1:16" x14ac:dyDescent="0.25">
      <c r="A474" t="s">
        <v>1236</v>
      </c>
      <c r="B474" t="str">
        <f>CONCATENATE(A474,88)</f>
        <v>9FR6FC7RN5288</v>
      </c>
      <c r="C474" t="s">
        <v>1238</v>
      </c>
      <c r="D474" t="s">
        <v>27</v>
      </c>
      <c r="E474" t="s">
        <v>28</v>
      </c>
      <c r="F474" t="s">
        <v>29</v>
      </c>
      <c r="G474" s="1">
        <v>45870</v>
      </c>
      <c r="H474" s="1">
        <v>45292</v>
      </c>
      <c r="I474">
        <v>20411454</v>
      </c>
      <c r="J474" t="s">
        <v>32</v>
      </c>
      <c r="K474" t="s">
        <v>4532</v>
      </c>
      <c r="L474">
        <v>2.5</v>
      </c>
      <c r="M474">
        <v>2.5</v>
      </c>
      <c r="N474" t="s">
        <v>2718</v>
      </c>
      <c r="P474" t="s">
        <v>4344</v>
      </c>
    </row>
    <row r="475" spans="1:16" x14ac:dyDescent="0.25">
      <c r="A475" t="s">
        <v>1242</v>
      </c>
      <c r="B475" t="str">
        <f>CONCATENATE(A475,88)</f>
        <v>8CE5CW9PF7688</v>
      </c>
      <c r="C475" t="s">
        <v>1244</v>
      </c>
      <c r="D475" t="s">
        <v>27</v>
      </c>
      <c r="E475" t="s">
        <v>28</v>
      </c>
      <c r="F475" t="s">
        <v>29</v>
      </c>
      <c r="G475" s="1">
        <v>45870</v>
      </c>
      <c r="H475" s="1">
        <v>45231</v>
      </c>
      <c r="I475">
        <v>20411454</v>
      </c>
      <c r="J475" t="s">
        <v>32</v>
      </c>
      <c r="K475" t="s">
        <v>4532</v>
      </c>
      <c r="L475">
        <v>2.5</v>
      </c>
      <c r="M475">
        <v>2.5</v>
      </c>
      <c r="N475" t="s">
        <v>2718</v>
      </c>
      <c r="P475" t="s">
        <v>4345</v>
      </c>
    </row>
    <row r="476" spans="1:16" x14ac:dyDescent="0.25">
      <c r="A476" t="s">
        <v>1251</v>
      </c>
      <c r="B476" t="str">
        <f>CONCATENATE(A476,88)</f>
        <v>9Q60X10NW1288</v>
      </c>
      <c r="C476" t="s">
        <v>1253</v>
      </c>
      <c r="D476" t="s">
        <v>27</v>
      </c>
      <c r="E476" t="s">
        <v>28</v>
      </c>
      <c r="F476" t="s">
        <v>29</v>
      </c>
      <c r="G476" s="1">
        <v>45870</v>
      </c>
      <c r="H476" s="1">
        <v>45292</v>
      </c>
      <c r="I476">
        <v>20411454</v>
      </c>
      <c r="J476" t="s">
        <v>32</v>
      </c>
      <c r="K476" t="s">
        <v>4532</v>
      </c>
      <c r="L476">
        <v>2.5</v>
      </c>
      <c r="M476">
        <v>2.5</v>
      </c>
      <c r="N476" t="s">
        <v>2718</v>
      </c>
      <c r="P476" t="s">
        <v>4346</v>
      </c>
    </row>
    <row r="477" spans="1:16" x14ac:dyDescent="0.25">
      <c r="A477" t="s">
        <v>1254</v>
      </c>
      <c r="B477" t="str">
        <f>CONCATENATE(A477,88)</f>
        <v>1MJ1KU5HH2288</v>
      </c>
      <c r="C477" t="s">
        <v>1256</v>
      </c>
      <c r="D477" t="s">
        <v>27</v>
      </c>
      <c r="E477" t="s">
        <v>28</v>
      </c>
      <c r="F477" t="s">
        <v>29</v>
      </c>
      <c r="G477" s="1">
        <v>45870</v>
      </c>
      <c r="H477" s="1">
        <v>45292</v>
      </c>
      <c r="I477">
        <v>20411454</v>
      </c>
      <c r="J477" t="s">
        <v>32</v>
      </c>
      <c r="K477" t="s">
        <v>4532</v>
      </c>
      <c r="L477">
        <v>2.5</v>
      </c>
      <c r="M477">
        <v>2.5</v>
      </c>
      <c r="N477" t="s">
        <v>2718</v>
      </c>
      <c r="P477" t="s">
        <v>4347</v>
      </c>
    </row>
    <row r="478" spans="1:16" x14ac:dyDescent="0.25">
      <c r="A478" t="s">
        <v>1274</v>
      </c>
      <c r="B478" t="str">
        <f>CONCATENATE(A478,88)</f>
        <v>6M49R99GG1088</v>
      </c>
      <c r="C478" t="s">
        <v>1276</v>
      </c>
      <c r="D478" t="s">
        <v>27</v>
      </c>
      <c r="E478" t="s">
        <v>28</v>
      </c>
      <c r="F478" t="s">
        <v>29</v>
      </c>
      <c r="G478" s="1">
        <v>45870</v>
      </c>
      <c r="H478" s="1">
        <v>45323</v>
      </c>
      <c r="I478">
        <v>20411454</v>
      </c>
      <c r="J478" t="s">
        <v>32</v>
      </c>
      <c r="K478" t="s">
        <v>4532</v>
      </c>
      <c r="L478">
        <v>2.5</v>
      </c>
      <c r="M478">
        <v>2.5</v>
      </c>
      <c r="N478" t="s">
        <v>2718</v>
      </c>
      <c r="P478" t="s">
        <v>4348</v>
      </c>
    </row>
    <row r="479" spans="1:16" x14ac:dyDescent="0.25">
      <c r="A479" t="s">
        <v>1280</v>
      </c>
      <c r="B479" t="str">
        <f>CONCATENATE(A479,88)</f>
        <v>5G18WV9WK2888</v>
      </c>
      <c r="C479" t="s">
        <v>1282</v>
      </c>
      <c r="D479" t="s">
        <v>27</v>
      </c>
      <c r="E479" t="s">
        <v>28</v>
      </c>
      <c r="F479" t="s">
        <v>29</v>
      </c>
      <c r="G479" s="1">
        <v>45870</v>
      </c>
      <c r="H479" s="1">
        <v>45292</v>
      </c>
      <c r="I479">
        <v>20411454</v>
      </c>
      <c r="J479" t="s">
        <v>32</v>
      </c>
      <c r="K479" t="s">
        <v>4532</v>
      </c>
      <c r="L479">
        <v>2.5</v>
      </c>
      <c r="M479">
        <v>2.5</v>
      </c>
      <c r="N479" t="s">
        <v>2718</v>
      </c>
      <c r="P479" t="s">
        <v>4349</v>
      </c>
    </row>
    <row r="480" spans="1:16" x14ac:dyDescent="0.25">
      <c r="A480" t="s">
        <v>1313</v>
      </c>
      <c r="B480" t="str">
        <f>CONCATENATE(A480,88)</f>
        <v>4FJ2F78DU8188</v>
      </c>
      <c r="C480" t="s">
        <v>1315</v>
      </c>
      <c r="D480" t="s">
        <v>27</v>
      </c>
      <c r="E480" t="s">
        <v>28</v>
      </c>
      <c r="F480" t="s">
        <v>29</v>
      </c>
      <c r="G480" s="1">
        <v>45870</v>
      </c>
      <c r="H480" s="1">
        <v>45292</v>
      </c>
      <c r="I480">
        <v>20411454</v>
      </c>
      <c r="J480" t="s">
        <v>32</v>
      </c>
      <c r="K480" t="s">
        <v>4532</v>
      </c>
      <c r="L480">
        <v>2.5</v>
      </c>
      <c r="M480">
        <v>2.5</v>
      </c>
      <c r="N480" t="s">
        <v>2718</v>
      </c>
      <c r="P480" t="s">
        <v>4350</v>
      </c>
    </row>
    <row r="481" spans="1:16" x14ac:dyDescent="0.25">
      <c r="A481" t="s">
        <v>1327</v>
      </c>
      <c r="B481" t="str">
        <f>CONCATENATE(A481,88)</f>
        <v>5KM8JQ9VR6188</v>
      </c>
      <c r="C481" t="s">
        <v>1329</v>
      </c>
      <c r="D481" t="s">
        <v>27</v>
      </c>
      <c r="E481" t="s">
        <v>28</v>
      </c>
      <c r="F481" t="s">
        <v>29</v>
      </c>
      <c r="G481" s="1">
        <v>45870</v>
      </c>
      <c r="H481" s="1">
        <v>45323</v>
      </c>
      <c r="I481">
        <v>20411454</v>
      </c>
      <c r="J481" t="s">
        <v>32</v>
      </c>
      <c r="K481" t="s">
        <v>4532</v>
      </c>
      <c r="L481">
        <v>2.5</v>
      </c>
      <c r="M481">
        <v>2.5</v>
      </c>
      <c r="N481" t="s">
        <v>2718</v>
      </c>
      <c r="P481" t="s">
        <v>4351</v>
      </c>
    </row>
    <row r="482" spans="1:16" x14ac:dyDescent="0.25">
      <c r="A482" t="s">
        <v>1339</v>
      </c>
      <c r="B482" t="str">
        <f>CONCATENATE(A482,88)</f>
        <v>3V12JU5TD0188</v>
      </c>
      <c r="C482" t="s">
        <v>1341</v>
      </c>
      <c r="D482" t="s">
        <v>27</v>
      </c>
      <c r="E482" t="s">
        <v>28</v>
      </c>
      <c r="F482" t="s">
        <v>29</v>
      </c>
      <c r="G482" s="1">
        <v>45870</v>
      </c>
      <c r="H482" s="1">
        <v>45292</v>
      </c>
      <c r="I482">
        <v>20411454</v>
      </c>
      <c r="J482" t="s">
        <v>32</v>
      </c>
      <c r="K482" t="s">
        <v>4532</v>
      </c>
      <c r="L482">
        <v>2.5</v>
      </c>
      <c r="M482">
        <v>2.5</v>
      </c>
      <c r="N482" t="s">
        <v>2718</v>
      </c>
      <c r="P482" t="s">
        <v>4352</v>
      </c>
    </row>
    <row r="483" spans="1:16" x14ac:dyDescent="0.25">
      <c r="A483" t="s">
        <v>1342</v>
      </c>
      <c r="B483" t="str">
        <f>CONCATENATE(A483,88)</f>
        <v>4GC6HP2CD8288</v>
      </c>
      <c r="C483" t="s">
        <v>1344</v>
      </c>
      <c r="D483" t="s">
        <v>27</v>
      </c>
      <c r="E483" t="s">
        <v>28</v>
      </c>
      <c r="F483" t="s">
        <v>29</v>
      </c>
      <c r="G483" s="1">
        <v>45870</v>
      </c>
      <c r="H483" s="1">
        <v>45292</v>
      </c>
      <c r="I483">
        <v>20411454</v>
      </c>
      <c r="J483" t="s">
        <v>32</v>
      </c>
      <c r="K483" t="s">
        <v>4532</v>
      </c>
      <c r="L483">
        <v>2.5</v>
      </c>
      <c r="M483">
        <v>2.5</v>
      </c>
      <c r="N483" t="s">
        <v>2718</v>
      </c>
      <c r="P483" t="s">
        <v>4353</v>
      </c>
    </row>
    <row r="484" spans="1:16" x14ac:dyDescent="0.25">
      <c r="A484" t="s">
        <v>1371</v>
      </c>
      <c r="B484" t="str">
        <f>CONCATENATE(A484,88)</f>
        <v>7DY7CF1WG5388</v>
      </c>
      <c r="C484" t="s">
        <v>1373</v>
      </c>
      <c r="D484" t="s">
        <v>27</v>
      </c>
      <c r="E484" t="s">
        <v>28</v>
      </c>
      <c r="F484" t="s">
        <v>29</v>
      </c>
      <c r="G484" s="1">
        <v>45870</v>
      </c>
      <c r="H484" s="1">
        <v>45658</v>
      </c>
      <c r="I484">
        <v>20411454</v>
      </c>
      <c r="J484" t="s">
        <v>32</v>
      </c>
      <c r="K484" t="s">
        <v>4532</v>
      </c>
      <c r="L484">
        <v>2.5</v>
      </c>
      <c r="M484">
        <v>2.5</v>
      </c>
      <c r="N484" t="s">
        <v>2718</v>
      </c>
      <c r="P484" t="s">
        <v>4354</v>
      </c>
    </row>
    <row r="485" spans="1:16" x14ac:dyDescent="0.25">
      <c r="A485" t="s">
        <v>1374</v>
      </c>
      <c r="B485" t="str">
        <f>CONCATENATE(A485,88)</f>
        <v>4NX6YC8XA8788</v>
      </c>
      <c r="C485" t="s">
        <v>1376</v>
      </c>
      <c r="D485" t="s">
        <v>27</v>
      </c>
      <c r="E485" t="s">
        <v>28</v>
      </c>
      <c r="F485" t="s">
        <v>29</v>
      </c>
      <c r="G485" s="1">
        <v>45870</v>
      </c>
      <c r="H485" s="1">
        <v>45292</v>
      </c>
      <c r="I485">
        <v>20411454</v>
      </c>
      <c r="J485" t="s">
        <v>32</v>
      </c>
      <c r="K485" t="s">
        <v>4532</v>
      </c>
      <c r="L485">
        <v>2.5</v>
      </c>
      <c r="M485">
        <v>2.5</v>
      </c>
      <c r="N485" t="s">
        <v>2718</v>
      </c>
      <c r="P485" t="s">
        <v>4355</v>
      </c>
    </row>
    <row r="486" spans="1:16" x14ac:dyDescent="0.25">
      <c r="A486" t="s">
        <v>1404</v>
      </c>
      <c r="B486" t="str">
        <f>CONCATENATE(A486,88)</f>
        <v>9CN5DC1NW8588</v>
      </c>
      <c r="C486" t="s">
        <v>1406</v>
      </c>
      <c r="D486" t="s">
        <v>27</v>
      </c>
      <c r="E486" t="s">
        <v>28</v>
      </c>
      <c r="F486" t="s">
        <v>29</v>
      </c>
      <c r="G486" s="1">
        <v>45870</v>
      </c>
      <c r="H486" s="1">
        <v>45292</v>
      </c>
      <c r="I486">
        <v>20411454</v>
      </c>
      <c r="J486" t="s">
        <v>32</v>
      </c>
      <c r="K486" t="s">
        <v>4532</v>
      </c>
      <c r="L486">
        <v>2.5</v>
      </c>
      <c r="M486">
        <v>2.5</v>
      </c>
      <c r="N486" t="s">
        <v>2718</v>
      </c>
      <c r="P486" t="s">
        <v>4356</v>
      </c>
    </row>
    <row r="487" spans="1:16" x14ac:dyDescent="0.25">
      <c r="A487" t="s">
        <v>1476</v>
      </c>
      <c r="B487" t="str">
        <f>CONCATENATE(A487,88)</f>
        <v>3GF8UP3QG3088</v>
      </c>
      <c r="C487" t="s">
        <v>1478</v>
      </c>
      <c r="D487" t="s">
        <v>27</v>
      </c>
      <c r="E487" t="s">
        <v>28</v>
      </c>
      <c r="F487" t="s">
        <v>29</v>
      </c>
      <c r="G487" s="1">
        <v>45870</v>
      </c>
      <c r="H487" s="1">
        <v>45231</v>
      </c>
      <c r="I487">
        <v>20411454</v>
      </c>
      <c r="J487" t="s">
        <v>32</v>
      </c>
      <c r="K487" t="s">
        <v>4532</v>
      </c>
      <c r="L487">
        <v>2.5</v>
      </c>
      <c r="M487">
        <v>2.5</v>
      </c>
      <c r="N487" t="s">
        <v>2718</v>
      </c>
      <c r="P487" t="s">
        <v>4357</v>
      </c>
    </row>
    <row r="488" spans="1:16" x14ac:dyDescent="0.25">
      <c r="A488" t="s">
        <v>1482</v>
      </c>
      <c r="B488" t="str">
        <f>CONCATENATE(A488,88)</f>
        <v>7T26TH7WW5088</v>
      </c>
      <c r="C488" t="s">
        <v>1484</v>
      </c>
      <c r="D488" t="s">
        <v>27</v>
      </c>
      <c r="E488" t="s">
        <v>28</v>
      </c>
      <c r="F488" t="s">
        <v>29</v>
      </c>
      <c r="G488" s="1">
        <v>45870</v>
      </c>
      <c r="H488" s="1">
        <v>45658</v>
      </c>
      <c r="I488">
        <v>20411454</v>
      </c>
      <c r="J488" t="s">
        <v>32</v>
      </c>
      <c r="K488" t="s">
        <v>4532</v>
      </c>
      <c r="L488">
        <v>2.5</v>
      </c>
      <c r="M488">
        <v>2.5</v>
      </c>
      <c r="N488" t="s">
        <v>2718</v>
      </c>
      <c r="P488" t="s">
        <v>4358</v>
      </c>
    </row>
    <row r="489" spans="1:16" x14ac:dyDescent="0.25">
      <c r="A489" t="s">
        <v>1488</v>
      </c>
      <c r="B489" t="str">
        <f>CONCATENATE(A489,88)</f>
        <v>6PM1EM9HX3688</v>
      </c>
      <c r="C489" t="s">
        <v>1490</v>
      </c>
      <c r="D489" t="s">
        <v>27</v>
      </c>
      <c r="E489" t="s">
        <v>28</v>
      </c>
      <c r="F489" t="s">
        <v>29</v>
      </c>
      <c r="G489" s="1">
        <v>45870</v>
      </c>
      <c r="H489" s="1">
        <v>45292</v>
      </c>
      <c r="I489">
        <v>20411454</v>
      </c>
      <c r="J489" t="s">
        <v>32</v>
      </c>
      <c r="K489" t="s">
        <v>4532</v>
      </c>
      <c r="L489">
        <v>2.5</v>
      </c>
      <c r="M489">
        <v>2.5</v>
      </c>
      <c r="N489" t="s">
        <v>2718</v>
      </c>
      <c r="P489" t="s">
        <v>4359</v>
      </c>
    </row>
    <row r="490" spans="1:16" x14ac:dyDescent="0.25">
      <c r="A490" t="s">
        <v>1509</v>
      </c>
      <c r="B490" t="str">
        <f>CONCATENATE(A490,88)</f>
        <v>4P67TK0XR6788</v>
      </c>
      <c r="C490" t="s">
        <v>1511</v>
      </c>
      <c r="D490" t="s">
        <v>27</v>
      </c>
      <c r="E490" t="s">
        <v>28</v>
      </c>
      <c r="F490" t="s">
        <v>29</v>
      </c>
      <c r="G490" s="1">
        <v>45870</v>
      </c>
      <c r="H490" s="1">
        <v>45323</v>
      </c>
      <c r="I490">
        <v>20411454</v>
      </c>
      <c r="J490" t="s">
        <v>32</v>
      </c>
      <c r="K490" t="s">
        <v>4532</v>
      </c>
      <c r="L490">
        <v>2.5</v>
      </c>
      <c r="M490">
        <v>2.5</v>
      </c>
      <c r="N490" t="s">
        <v>2718</v>
      </c>
      <c r="P490" t="s">
        <v>4360</v>
      </c>
    </row>
    <row r="491" spans="1:16" x14ac:dyDescent="0.25">
      <c r="A491" t="s">
        <v>1531</v>
      </c>
      <c r="B491" t="str">
        <f>CONCATENATE(A491,88)</f>
        <v>6FW9NY2KD1888</v>
      </c>
      <c r="C491" t="s">
        <v>1533</v>
      </c>
      <c r="D491" t="s">
        <v>27</v>
      </c>
      <c r="E491" t="s">
        <v>28</v>
      </c>
      <c r="F491" t="s">
        <v>29</v>
      </c>
      <c r="G491" s="1">
        <v>45870</v>
      </c>
      <c r="H491" s="1">
        <v>45200</v>
      </c>
      <c r="I491">
        <v>20411454</v>
      </c>
      <c r="J491" t="s">
        <v>32</v>
      </c>
      <c r="K491" t="s">
        <v>4532</v>
      </c>
      <c r="L491">
        <v>2.5</v>
      </c>
      <c r="M491">
        <v>2.5</v>
      </c>
      <c r="N491" t="s">
        <v>2718</v>
      </c>
      <c r="P491" t="s">
        <v>4361</v>
      </c>
    </row>
    <row r="492" spans="1:16" x14ac:dyDescent="0.25">
      <c r="A492" t="s">
        <v>1534</v>
      </c>
      <c r="B492" t="str">
        <f>CONCATENATE(A492,88)</f>
        <v>1Q02R16AE0188</v>
      </c>
      <c r="C492" t="s">
        <v>1536</v>
      </c>
      <c r="D492" t="s">
        <v>27</v>
      </c>
      <c r="E492" t="s">
        <v>28</v>
      </c>
      <c r="F492" t="s">
        <v>29</v>
      </c>
      <c r="G492" s="1">
        <v>45870</v>
      </c>
      <c r="H492" s="1">
        <v>44593</v>
      </c>
      <c r="I492">
        <v>20411454</v>
      </c>
      <c r="J492" t="s">
        <v>32</v>
      </c>
      <c r="K492" t="s">
        <v>4532</v>
      </c>
      <c r="L492">
        <v>2.5</v>
      </c>
      <c r="M492">
        <v>2.5</v>
      </c>
      <c r="N492" t="s">
        <v>2718</v>
      </c>
      <c r="P492" t="s">
        <v>4362</v>
      </c>
    </row>
    <row r="493" spans="1:16" x14ac:dyDescent="0.25">
      <c r="A493" t="s">
        <v>1540</v>
      </c>
      <c r="B493" t="str">
        <f>CONCATENATE(A493,88)</f>
        <v>5UD8V40HC4288</v>
      </c>
      <c r="C493" t="s">
        <v>1542</v>
      </c>
      <c r="D493" t="s">
        <v>27</v>
      </c>
      <c r="E493" t="s">
        <v>28</v>
      </c>
      <c r="F493" t="s">
        <v>29</v>
      </c>
      <c r="G493" s="1">
        <v>45870</v>
      </c>
      <c r="H493" s="1">
        <v>45292</v>
      </c>
      <c r="I493">
        <v>20411454</v>
      </c>
      <c r="J493" t="s">
        <v>32</v>
      </c>
      <c r="K493" t="s">
        <v>4532</v>
      </c>
      <c r="L493">
        <v>2.5</v>
      </c>
      <c r="M493">
        <v>2.5</v>
      </c>
      <c r="N493" t="s">
        <v>2718</v>
      </c>
      <c r="P493" t="s">
        <v>4363</v>
      </c>
    </row>
    <row r="494" spans="1:16" x14ac:dyDescent="0.25">
      <c r="A494" t="s">
        <v>1543</v>
      </c>
      <c r="B494" t="str">
        <f>CONCATENATE(A494,88)</f>
        <v>2UE7HQ1TJ3988</v>
      </c>
      <c r="C494" t="s">
        <v>1545</v>
      </c>
      <c r="D494" t="s">
        <v>27</v>
      </c>
      <c r="E494" t="s">
        <v>28</v>
      </c>
      <c r="F494" t="s">
        <v>29</v>
      </c>
      <c r="G494" s="1">
        <v>45870</v>
      </c>
      <c r="H494" s="1">
        <v>45292</v>
      </c>
      <c r="I494">
        <v>20411454</v>
      </c>
      <c r="J494" t="s">
        <v>32</v>
      </c>
      <c r="K494" t="s">
        <v>4532</v>
      </c>
      <c r="L494">
        <v>2.5</v>
      </c>
      <c r="M494">
        <v>2.5</v>
      </c>
      <c r="N494" t="s">
        <v>2718</v>
      </c>
      <c r="P494" t="s">
        <v>4364</v>
      </c>
    </row>
    <row r="495" spans="1:16" x14ac:dyDescent="0.25">
      <c r="A495" t="s">
        <v>1589</v>
      </c>
      <c r="B495" t="str">
        <f>CONCATENATE(A495,88)</f>
        <v>6F86E62DU4288</v>
      </c>
      <c r="C495" t="s">
        <v>1591</v>
      </c>
      <c r="D495" t="s">
        <v>27</v>
      </c>
      <c r="E495" t="s">
        <v>28</v>
      </c>
      <c r="F495" t="s">
        <v>29</v>
      </c>
      <c r="G495" s="1">
        <v>45870</v>
      </c>
      <c r="H495" s="1">
        <v>45292</v>
      </c>
      <c r="I495">
        <v>20411454</v>
      </c>
      <c r="J495" t="s">
        <v>32</v>
      </c>
      <c r="K495" t="s">
        <v>4532</v>
      </c>
      <c r="L495">
        <v>2.5</v>
      </c>
      <c r="M495">
        <v>2.5</v>
      </c>
      <c r="N495" t="s">
        <v>2718</v>
      </c>
      <c r="P495" t="s">
        <v>4365</v>
      </c>
    </row>
    <row r="496" spans="1:16" x14ac:dyDescent="0.25">
      <c r="A496" t="s">
        <v>1607</v>
      </c>
      <c r="B496" t="str">
        <f>CONCATENATE(A496,88)</f>
        <v>5A49DW0AA4388</v>
      </c>
      <c r="C496" t="s">
        <v>1609</v>
      </c>
      <c r="D496" t="s">
        <v>27</v>
      </c>
      <c r="E496" t="s">
        <v>28</v>
      </c>
      <c r="F496" t="s">
        <v>29</v>
      </c>
      <c r="G496" s="1">
        <v>45870</v>
      </c>
      <c r="H496" s="1">
        <v>45292</v>
      </c>
      <c r="I496">
        <v>20411454</v>
      </c>
      <c r="J496" t="s">
        <v>32</v>
      </c>
      <c r="K496" t="s">
        <v>4532</v>
      </c>
      <c r="L496">
        <v>2.5</v>
      </c>
      <c r="M496">
        <v>2.5</v>
      </c>
      <c r="N496" t="s">
        <v>2718</v>
      </c>
      <c r="P496" t="s">
        <v>4366</v>
      </c>
    </row>
    <row r="497" spans="1:16" x14ac:dyDescent="0.25">
      <c r="A497" t="s">
        <v>1610</v>
      </c>
      <c r="B497" t="str">
        <f>CONCATENATE(A497,88)</f>
        <v>4AV7Q66KH3188</v>
      </c>
      <c r="C497" t="s">
        <v>1612</v>
      </c>
      <c r="D497" t="s">
        <v>27</v>
      </c>
      <c r="E497" t="s">
        <v>28</v>
      </c>
      <c r="F497" t="s">
        <v>29</v>
      </c>
      <c r="G497" s="1">
        <v>45870</v>
      </c>
      <c r="H497" s="1">
        <v>45658</v>
      </c>
      <c r="I497">
        <v>20411454</v>
      </c>
      <c r="J497" t="s">
        <v>32</v>
      </c>
      <c r="K497" t="s">
        <v>4532</v>
      </c>
      <c r="L497">
        <v>2.5</v>
      </c>
      <c r="M497">
        <v>2.5</v>
      </c>
      <c r="N497" t="s">
        <v>2718</v>
      </c>
      <c r="P497" t="s">
        <v>4367</v>
      </c>
    </row>
    <row r="498" spans="1:16" x14ac:dyDescent="0.25">
      <c r="A498" t="s">
        <v>1616</v>
      </c>
      <c r="B498" t="str">
        <f>CONCATENATE(A498,88)</f>
        <v>2WR2FJ7WT9688</v>
      </c>
      <c r="C498" t="s">
        <v>1618</v>
      </c>
      <c r="D498" t="s">
        <v>27</v>
      </c>
      <c r="E498" t="s">
        <v>28</v>
      </c>
      <c r="F498" t="s">
        <v>29</v>
      </c>
      <c r="G498" s="1">
        <v>45870</v>
      </c>
      <c r="H498" s="1">
        <v>45292</v>
      </c>
      <c r="I498">
        <v>20411454</v>
      </c>
      <c r="J498" t="s">
        <v>32</v>
      </c>
      <c r="K498" t="s">
        <v>4532</v>
      </c>
      <c r="L498">
        <v>2.5</v>
      </c>
      <c r="M498">
        <v>2.5</v>
      </c>
      <c r="N498" t="s">
        <v>2718</v>
      </c>
      <c r="P498" t="s">
        <v>4368</v>
      </c>
    </row>
    <row r="499" spans="1:16" x14ac:dyDescent="0.25">
      <c r="A499" t="s">
        <v>1622</v>
      </c>
      <c r="B499" t="str">
        <f>CONCATENATE(A499,88)</f>
        <v>5EW4HF1NQ7888</v>
      </c>
      <c r="C499" t="s">
        <v>1624</v>
      </c>
      <c r="D499" t="s">
        <v>27</v>
      </c>
      <c r="E499" t="s">
        <v>28</v>
      </c>
      <c r="F499" t="s">
        <v>29</v>
      </c>
      <c r="G499" s="1">
        <v>45870</v>
      </c>
      <c r="H499" s="1">
        <v>45292</v>
      </c>
      <c r="I499">
        <v>20411454</v>
      </c>
      <c r="J499" t="s">
        <v>32</v>
      </c>
      <c r="K499" t="s">
        <v>4532</v>
      </c>
      <c r="L499">
        <v>2.5</v>
      </c>
      <c r="M499">
        <v>2.5</v>
      </c>
      <c r="N499" t="s">
        <v>2718</v>
      </c>
      <c r="P499" t="s">
        <v>4369</v>
      </c>
    </row>
    <row r="500" spans="1:16" x14ac:dyDescent="0.25">
      <c r="A500" t="s">
        <v>1645</v>
      </c>
      <c r="B500" t="str">
        <f>CONCATENATE(A500,88)</f>
        <v>3U33FQ8NR8588</v>
      </c>
      <c r="C500" t="s">
        <v>1647</v>
      </c>
      <c r="D500" t="s">
        <v>27</v>
      </c>
      <c r="E500" t="s">
        <v>28</v>
      </c>
      <c r="F500" t="s">
        <v>29</v>
      </c>
      <c r="G500" s="1">
        <v>45870</v>
      </c>
      <c r="H500" s="1">
        <v>45292</v>
      </c>
      <c r="I500">
        <v>20411454</v>
      </c>
      <c r="J500" t="s">
        <v>32</v>
      </c>
      <c r="K500" t="s">
        <v>4532</v>
      </c>
      <c r="L500">
        <v>2.5</v>
      </c>
      <c r="M500">
        <v>2.5</v>
      </c>
      <c r="N500" t="s">
        <v>2718</v>
      </c>
      <c r="P500" t="s">
        <v>4370</v>
      </c>
    </row>
    <row r="501" spans="1:16" x14ac:dyDescent="0.25">
      <c r="A501" t="s">
        <v>1651</v>
      </c>
      <c r="B501" t="str">
        <f>CONCATENATE(A501,88)</f>
        <v>2RP7Y29YC6188</v>
      </c>
      <c r="C501" t="s">
        <v>1653</v>
      </c>
      <c r="D501" t="s">
        <v>27</v>
      </c>
      <c r="E501" t="s">
        <v>28</v>
      </c>
      <c r="F501" t="s">
        <v>29</v>
      </c>
      <c r="G501" s="1">
        <v>45870</v>
      </c>
      <c r="H501" s="1">
        <v>45292</v>
      </c>
      <c r="I501">
        <v>20411454</v>
      </c>
      <c r="J501" t="s">
        <v>32</v>
      </c>
      <c r="K501" t="s">
        <v>4532</v>
      </c>
      <c r="L501">
        <v>2.5</v>
      </c>
      <c r="M501">
        <v>2.5</v>
      </c>
      <c r="N501" t="s">
        <v>2718</v>
      </c>
      <c r="P501" t="s">
        <v>4371</v>
      </c>
    </row>
    <row r="502" spans="1:16" x14ac:dyDescent="0.25">
      <c r="A502" t="s">
        <v>1660</v>
      </c>
      <c r="B502" t="str">
        <f>CONCATENATE(A502,88)</f>
        <v>1UQ0JE6EX1988</v>
      </c>
      <c r="C502" t="s">
        <v>1662</v>
      </c>
      <c r="D502" t="s">
        <v>27</v>
      </c>
      <c r="E502" t="s">
        <v>28</v>
      </c>
      <c r="F502" t="s">
        <v>29</v>
      </c>
      <c r="G502" s="1">
        <v>45870</v>
      </c>
      <c r="H502" s="1">
        <v>45292</v>
      </c>
      <c r="I502">
        <v>20411454</v>
      </c>
      <c r="J502" t="s">
        <v>32</v>
      </c>
      <c r="K502" t="s">
        <v>4532</v>
      </c>
      <c r="L502">
        <v>2.5</v>
      </c>
      <c r="M502">
        <v>2.5</v>
      </c>
      <c r="N502" t="s">
        <v>2718</v>
      </c>
      <c r="P502" t="s">
        <v>4372</v>
      </c>
    </row>
    <row r="503" spans="1:16" x14ac:dyDescent="0.25">
      <c r="A503" t="s">
        <v>1670</v>
      </c>
      <c r="B503" t="str">
        <f>CONCATENATE(A503,88)</f>
        <v>3DK0JY7DQ4888</v>
      </c>
      <c r="C503" t="s">
        <v>1672</v>
      </c>
      <c r="D503" t="s">
        <v>27</v>
      </c>
      <c r="E503" t="s">
        <v>28</v>
      </c>
      <c r="F503" t="s">
        <v>29</v>
      </c>
      <c r="G503" s="1">
        <v>45870</v>
      </c>
      <c r="H503" s="1">
        <v>45292</v>
      </c>
      <c r="I503">
        <v>20411454</v>
      </c>
      <c r="J503" t="s">
        <v>32</v>
      </c>
      <c r="K503" t="s">
        <v>4532</v>
      </c>
      <c r="L503">
        <v>2.5</v>
      </c>
      <c r="M503">
        <v>2.5</v>
      </c>
      <c r="N503" t="s">
        <v>2718</v>
      </c>
      <c r="P503" t="s">
        <v>4373</v>
      </c>
    </row>
    <row r="504" spans="1:16" x14ac:dyDescent="0.25">
      <c r="A504" t="s">
        <v>1673</v>
      </c>
      <c r="B504" t="str">
        <f>CONCATENATE(A504,88)</f>
        <v>5P88NK9EH6388</v>
      </c>
      <c r="C504" t="s">
        <v>1675</v>
      </c>
      <c r="D504" t="s">
        <v>27</v>
      </c>
      <c r="E504" t="s">
        <v>28</v>
      </c>
      <c r="F504" t="s">
        <v>29</v>
      </c>
      <c r="G504" s="1">
        <v>45870</v>
      </c>
      <c r="H504" s="1">
        <v>45292</v>
      </c>
      <c r="I504">
        <v>20411454</v>
      </c>
      <c r="J504" t="s">
        <v>32</v>
      </c>
      <c r="K504" t="s">
        <v>4532</v>
      </c>
      <c r="L504">
        <v>2.5</v>
      </c>
      <c r="M504">
        <v>2.5</v>
      </c>
      <c r="N504" t="s">
        <v>2718</v>
      </c>
      <c r="P504" t="s">
        <v>4374</v>
      </c>
    </row>
    <row r="505" spans="1:16" x14ac:dyDescent="0.25">
      <c r="A505" t="s">
        <v>1682</v>
      </c>
      <c r="B505" t="str">
        <f>CONCATENATE(A505,88)</f>
        <v>4C64J60WE6088</v>
      </c>
      <c r="C505" t="s">
        <v>1684</v>
      </c>
      <c r="D505" t="s">
        <v>27</v>
      </c>
      <c r="E505" t="s">
        <v>28</v>
      </c>
      <c r="F505" t="s">
        <v>29</v>
      </c>
      <c r="G505" s="1">
        <v>45870</v>
      </c>
      <c r="H505" s="1">
        <v>45292</v>
      </c>
      <c r="I505">
        <v>20411454</v>
      </c>
      <c r="J505" t="s">
        <v>32</v>
      </c>
      <c r="K505" t="s">
        <v>4532</v>
      </c>
      <c r="L505">
        <v>2.5</v>
      </c>
      <c r="M505">
        <v>2.5</v>
      </c>
      <c r="N505" t="s">
        <v>2718</v>
      </c>
      <c r="P505" t="s">
        <v>4375</v>
      </c>
    </row>
    <row r="506" spans="1:16" x14ac:dyDescent="0.25">
      <c r="A506" t="s">
        <v>1688</v>
      </c>
      <c r="B506" t="str">
        <f>CONCATENATE(A506,88)</f>
        <v>4NY9PG1EE5188</v>
      </c>
      <c r="C506" t="s">
        <v>1690</v>
      </c>
      <c r="D506" t="s">
        <v>27</v>
      </c>
      <c r="E506" t="s">
        <v>28</v>
      </c>
      <c r="F506" t="s">
        <v>29</v>
      </c>
      <c r="G506" s="1">
        <v>45870</v>
      </c>
      <c r="H506" s="1">
        <v>45292</v>
      </c>
      <c r="I506">
        <v>20411454</v>
      </c>
      <c r="J506" t="s">
        <v>32</v>
      </c>
      <c r="K506" t="s">
        <v>4532</v>
      </c>
      <c r="L506">
        <v>2.5</v>
      </c>
      <c r="M506">
        <v>2.5</v>
      </c>
      <c r="N506" t="s">
        <v>2718</v>
      </c>
      <c r="P506" t="s">
        <v>4376</v>
      </c>
    </row>
    <row r="507" spans="1:16" x14ac:dyDescent="0.25">
      <c r="A507" t="s">
        <v>1694</v>
      </c>
      <c r="B507" t="str">
        <f>CONCATENATE(A507,88)</f>
        <v>6CJ0JU6KW0388</v>
      </c>
      <c r="C507" t="s">
        <v>1696</v>
      </c>
      <c r="D507" t="s">
        <v>27</v>
      </c>
      <c r="E507" t="s">
        <v>28</v>
      </c>
      <c r="F507" t="s">
        <v>127</v>
      </c>
      <c r="G507" s="1">
        <v>45870</v>
      </c>
      <c r="H507" s="1">
        <v>45292</v>
      </c>
      <c r="I507">
        <v>20411454</v>
      </c>
      <c r="J507" t="s">
        <v>32</v>
      </c>
      <c r="K507" t="s">
        <v>4532</v>
      </c>
      <c r="L507">
        <v>2.5</v>
      </c>
      <c r="M507">
        <v>2.5</v>
      </c>
      <c r="N507" t="s">
        <v>2718</v>
      </c>
      <c r="P507" t="s">
        <v>4377</v>
      </c>
    </row>
    <row r="508" spans="1:16" x14ac:dyDescent="0.25">
      <c r="A508" t="s">
        <v>1704</v>
      </c>
      <c r="B508" t="str">
        <f>CONCATENATE(A508,88)</f>
        <v>8YT2C01UT2788</v>
      </c>
      <c r="C508" t="s">
        <v>1706</v>
      </c>
      <c r="D508" t="s">
        <v>27</v>
      </c>
      <c r="E508" t="s">
        <v>28</v>
      </c>
      <c r="F508" t="s">
        <v>29</v>
      </c>
      <c r="G508" s="1">
        <v>45870</v>
      </c>
      <c r="H508" s="1">
        <v>45292</v>
      </c>
      <c r="I508">
        <v>20411454</v>
      </c>
      <c r="J508" t="s">
        <v>247</v>
      </c>
      <c r="K508" t="s">
        <v>4532</v>
      </c>
      <c r="L508">
        <v>2.5</v>
      </c>
      <c r="M508">
        <v>2.5</v>
      </c>
      <c r="N508" t="s">
        <v>2718</v>
      </c>
      <c r="P508" t="s">
        <v>4378</v>
      </c>
    </row>
    <row r="509" spans="1:16" x14ac:dyDescent="0.25">
      <c r="A509" t="s">
        <v>1707</v>
      </c>
      <c r="B509" t="str">
        <f>CONCATENATE(A509,88)</f>
        <v>1NX4T31ND9988</v>
      </c>
      <c r="C509" t="s">
        <v>1709</v>
      </c>
      <c r="D509" t="s">
        <v>27</v>
      </c>
      <c r="E509" t="s">
        <v>28</v>
      </c>
      <c r="F509" t="s">
        <v>29</v>
      </c>
      <c r="G509" s="1">
        <v>45870</v>
      </c>
      <c r="H509" s="1">
        <v>45292</v>
      </c>
      <c r="I509">
        <v>20411454</v>
      </c>
      <c r="J509" t="s">
        <v>247</v>
      </c>
      <c r="K509" t="s">
        <v>4532</v>
      </c>
      <c r="L509">
        <v>2.5</v>
      </c>
      <c r="M509">
        <v>2.5</v>
      </c>
      <c r="N509" t="s">
        <v>2718</v>
      </c>
      <c r="P509" t="s">
        <v>4379</v>
      </c>
    </row>
    <row r="510" spans="1:16" x14ac:dyDescent="0.25">
      <c r="A510" t="s">
        <v>1719</v>
      </c>
      <c r="B510" t="str">
        <f>CONCATENATE(A510,88)</f>
        <v>9J40Y16AP0488</v>
      </c>
      <c r="C510" t="s">
        <v>1721</v>
      </c>
      <c r="D510" t="s">
        <v>27</v>
      </c>
      <c r="E510" t="s">
        <v>28</v>
      </c>
      <c r="F510" t="s">
        <v>29</v>
      </c>
      <c r="G510" s="1">
        <v>45870</v>
      </c>
      <c r="H510" s="1">
        <v>45261</v>
      </c>
      <c r="I510">
        <v>20411454</v>
      </c>
      <c r="J510" t="s">
        <v>32</v>
      </c>
      <c r="K510" t="s">
        <v>4532</v>
      </c>
      <c r="L510">
        <v>2.5</v>
      </c>
      <c r="M510">
        <v>2.5</v>
      </c>
      <c r="N510" t="s">
        <v>2718</v>
      </c>
      <c r="P510" t="s">
        <v>4380</v>
      </c>
    </row>
    <row r="511" spans="1:16" x14ac:dyDescent="0.25">
      <c r="A511" t="s">
        <v>1738</v>
      </c>
      <c r="B511" t="str">
        <f>CONCATENATE(A511,88)</f>
        <v>3DR4Y63VH9088</v>
      </c>
      <c r="C511" t="s">
        <v>1740</v>
      </c>
      <c r="D511" t="s">
        <v>27</v>
      </c>
      <c r="E511" t="s">
        <v>28</v>
      </c>
      <c r="F511" t="s">
        <v>29</v>
      </c>
      <c r="G511" s="1">
        <v>45870</v>
      </c>
      <c r="H511" s="1">
        <v>45292</v>
      </c>
      <c r="I511">
        <v>20411454</v>
      </c>
      <c r="J511" t="s">
        <v>32</v>
      </c>
      <c r="K511" t="s">
        <v>4532</v>
      </c>
      <c r="L511">
        <v>2.5</v>
      </c>
      <c r="M511">
        <v>2.5</v>
      </c>
      <c r="N511" t="s">
        <v>2718</v>
      </c>
      <c r="P511" t="s">
        <v>4381</v>
      </c>
    </row>
    <row r="512" spans="1:16" x14ac:dyDescent="0.25">
      <c r="A512" t="s">
        <v>1741</v>
      </c>
      <c r="B512" t="str">
        <f>CONCATENATE(A512,88)</f>
        <v>4JJ1CH2ME1088</v>
      </c>
      <c r="C512" t="s">
        <v>1743</v>
      </c>
      <c r="D512" t="s">
        <v>27</v>
      </c>
      <c r="E512" t="s">
        <v>28</v>
      </c>
      <c r="F512" t="s">
        <v>29</v>
      </c>
      <c r="G512" s="1">
        <v>45870</v>
      </c>
      <c r="H512" s="1">
        <v>45292</v>
      </c>
      <c r="I512">
        <v>20411454</v>
      </c>
      <c r="J512" t="s">
        <v>32</v>
      </c>
      <c r="K512" t="s">
        <v>4532</v>
      </c>
      <c r="L512">
        <v>2.5</v>
      </c>
      <c r="M512">
        <v>2.5</v>
      </c>
      <c r="N512" t="s">
        <v>2718</v>
      </c>
      <c r="P512" t="s">
        <v>4382</v>
      </c>
    </row>
    <row r="513" spans="1:16" x14ac:dyDescent="0.25">
      <c r="A513" t="s">
        <v>1762</v>
      </c>
      <c r="B513" t="str">
        <f>CONCATENATE(A513,88)</f>
        <v>8WH4MN8CF7988</v>
      </c>
      <c r="C513" t="s">
        <v>1764</v>
      </c>
      <c r="D513" t="s">
        <v>27</v>
      </c>
      <c r="E513" t="s">
        <v>28</v>
      </c>
      <c r="F513" t="s">
        <v>29</v>
      </c>
      <c r="G513" s="1">
        <v>45870</v>
      </c>
      <c r="H513" s="1">
        <v>45292</v>
      </c>
      <c r="I513">
        <v>20411454</v>
      </c>
      <c r="J513" t="s">
        <v>32</v>
      </c>
      <c r="K513" t="s">
        <v>4532</v>
      </c>
      <c r="L513">
        <v>2.5</v>
      </c>
      <c r="M513">
        <v>2.5</v>
      </c>
      <c r="N513" t="s">
        <v>2718</v>
      </c>
      <c r="P513" t="s">
        <v>4383</v>
      </c>
    </row>
    <row r="514" spans="1:16" x14ac:dyDescent="0.25">
      <c r="A514" t="s">
        <v>1765</v>
      </c>
      <c r="B514" t="str">
        <f>CONCATENATE(A514,88)</f>
        <v>2F15AQ9KX5888</v>
      </c>
      <c r="C514" t="s">
        <v>1767</v>
      </c>
      <c r="D514" t="s">
        <v>27</v>
      </c>
      <c r="E514" t="s">
        <v>28</v>
      </c>
      <c r="F514" t="s">
        <v>29</v>
      </c>
      <c r="G514" s="1">
        <v>45870</v>
      </c>
      <c r="H514" s="1">
        <v>45658</v>
      </c>
      <c r="I514">
        <v>20411454</v>
      </c>
      <c r="J514" t="s">
        <v>32</v>
      </c>
      <c r="K514" t="s">
        <v>4532</v>
      </c>
      <c r="L514">
        <v>2.5</v>
      </c>
      <c r="M514">
        <v>2.5</v>
      </c>
      <c r="N514" t="s">
        <v>2718</v>
      </c>
      <c r="P514" t="s">
        <v>4384</v>
      </c>
    </row>
    <row r="515" spans="1:16" x14ac:dyDescent="0.25">
      <c r="A515" t="s">
        <v>1776</v>
      </c>
      <c r="B515" t="str">
        <f>CONCATENATE(A515,88)</f>
        <v>3RQ5Y22RU5688</v>
      </c>
      <c r="C515" t="s">
        <v>1778</v>
      </c>
      <c r="D515" t="s">
        <v>27</v>
      </c>
      <c r="E515" t="s">
        <v>28</v>
      </c>
      <c r="F515" t="s">
        <v>29</v>
      </c>
      <c r="G515" s="1">
        <v>45870</v>
      </c>
      <c r="H515" s="1">
        <v>45292</v>
      </c>
      <c r="I515">
        <v>20411454</v>
      </c>
      <c r="J515" t="s">
        <v>32</v>
      </c>
      <c r="K515" t="s">
        <v>4532</v>
      </c>
      <c r="L515">
        <v>2.5</v>
      </c>
      <c r="M515">
        <v>2.5</v>
      </c>
      <c r="N515" t="s">
        <v>2718</v>
      </c>
      <c r="P515" t="s">
        <v>4385</v>
      </c>
    </row>
    <row r="516" spans="1:16" x14ac:dyDescent="0.25">
      <c r="A516" t="s">
        <v>1779</v>
      </c>
      <c r="B516" t="str">
        <f>CONCATENATE(A516,88)</f>
        <v>2NU2G28EJ9188</v>
      </c>
      <c r="C516" t="s">
        <v>1781</v>
      </c>
      <c r="D516" t="s">
        <v>27</v>
      </c>
      <c r="E516" t="s">
        <v>28</v>
      </c>
      <c r="F516" t="s">
        <v>29</v>
      </c>
      <c r="G516" s="1">
        <v>45870</v>
      </c>
      <c r="H516" s="1">
        <v>45292</v>
      </c>
      <c r="I516">
        <v>20411454</v>
      </c>
      <c r="J516" t="s">
        <v>32</v>
      </c>
      <c r="K516" t="s">
        <v>4532</v>
      </c>
      <c r="L516">
        <v>2.5</v>
      </c>
      <c r="M516">
        <v>2.5</v>
      </c>
      <c r="N516" t="s">
        <v>2718</v>
      </c>
      <c r="P516" t="s">
        <v>4386</v>
      </c>
    </row>
    <row r="517" spans="1:16" x14ac:dyDescent="0.25">
      <c r="A517" t="s">
        <v>1839</v>
      </c>
      <c r="B517" t="str">
        <f>CONCATENATE(A517,88)</f>
        <v>5HX2T35FM2688</v>
      </c>
      <c r="C517" t="s">
        <v>1841</v>
      </c>
      <c r="D517" t="s">
        <v>27</v>
      </c>
      <c r="E517" t="s">
        <v>28</v>
      </c>
      <c r="F517" t="s">
        <v>127</v>
      </c>
      <c r="G517" s="1">
        <v>45870</v>
      </c>
      <c r="H517" s="1">
        <v>45323</v>
      </c>
      <c r="I517">
        <v>20411454</v>
      </c>
      <c r="J517" t="s">
        <v>32</v>
      </c>
      <c r="K517" t="s">
        <v>4532</v>
      </c>
      <c r="L517">
        <v>2.5</v>
      </c>
      <c r="M517">
        <v>2.5</v>
      </c>
      <c r="N517" t="s">
        <v>2718</v>
      </c>
      <c r="P517" t="s">
        <v>4387</v>
      </c>
    </row>
    <row r="518" spans="1:16" x14ac:dyDescent="0.25">
      <c r="A518" t="s">
        <v>1858</v>
      </c>
      <c r="B518" t="str">
        <f>CONCATENATE(A518,88)</f>
        <v>1XF4JV0VR8688</v>
      </c>
      <c r="C518" t="s">
        <v>1861</v>
      </c>
      <c r="D518" t="s">
        <v>27</v>
      </c>
      <c r="E518" t="s">
        <v>28</v>
      </c>
      <c r="F518" t="s">
        <v>29</v>
      </c>
      <c r="G518" s="1">
        <v>45870</v>
      </c>
      <c r="H518" s="1">
        <v>43525</v>
      </c>
      <c r="I518">
        <v>20411454</v>
      </c>
      <c r="J518" t="s">
        <v>32</v>
      </c>
      <c r="K518" t="s">
        <v>4532</v>
      </c>
      <c r="L518">
        <v>2.5</v>
      </c>
      <c r="M518">
        <v>2.5</v>
      </c>
      <c r="N518" t="s">
        <v>2718</v>
      </c>
      <c r="P518" t="s">
        <v>4388</v>
      </c>
    </row>
    <row r="519" spans="1:16" x14ac:dyDescent="0.25">
      <c r="A519" t="s">
        <v>1862</v>
      </c>
      <c r="B519" t="str">
        <f>CONCATENATE(A519,88)</f>
        <v>5GH5F22GC8688</v>
      </c>
      <c r="C519" t="s">
        <v>1864</v>
      </c>
      <c r="D519" t="s">
        <v>27</v>
      </c>
      <c r="E519" t="s">
        <v>28</v>
      </c>
      <c r="F519" t="s">
        <v>127</v>
      </c>
      <c r="G519" s="1">
        <v>45870</v>
      </c>
      <c r="H519" s="1">
        <v>45292</v>
      </c>
      <c r="I519">
        <v>20411454</v>
      </c>
      <c r="J519" t="s">
        <v>32</v>
      </c>
      <c r="K519" t="s">
        <v>4532</v>
      </c>
      <c r="L519">
        <v>2.5</v>
      </c>
      <c r="M519">
        <v>2.5</v>
      </c>
      <c r="N519" t="s">
        <v>2718</v>
      </c>
      <c r="P519" t="s">
        <v>4389</v>
      </c>
    </row>
    <row r="520" spans="1:16" x14ac:dyDescent="0.25">
      <c r="A520" t="s">
        <v>1894</v>
      </c>
      <c r="B520" t="str">
        <f>CONCATENATE(A520,88)</f>
        <v>5PY2UV4HW0588</v>
      </c>
      <c r="C520" t="s">
        <v>1896</v>
      </c>
      <c r="D520" t="s">
        <v>27</v>
      </c>
      <c r="E520" t="s">
        <v>28</v>
      </c>
      <c r="F520" t="s">
        <v>29</v>
      </c>
      <c r="G520" s="1">
        <v>45870</v>
      </c>
      <c r="H520" s="1">
        <v>45323</v>
      </c>
      <c r="I520">
        <v>20411454</v>
      </c>
      <c r="J520" t="s">
        <v>247</v>
      </c>
      <c r="K520" t="s">
        <v>4532</v>
      </c>
      <c r="L520">
        <v>2.5</v>
      </c>
      <c r="M520">
        <v>2.5</v>
      </c>
      <c r="N520" t="s">
        <v>2718</v>
      </c>
      <c r="P520" t="s">
        <v>4390</v>
      </c>
    </row>
    <row r="521" spans="1:16" x14ac:dyDescent="0.25">
      <c r="A521" t="s">
        <v>1925</v>
      </c>
      <c r="B521" t="str">
        <f>CONCATENATE(A521,88)</f>
        <v>1W52FD3FM1388</v>
      </c>
      <c r="C521" t="s">
        <v>1927</v>
      </c>
      <c r="D521" t="s">
        <v>27</v>
      </c>
      <c r="E521" t="s">
        <v>28</v>
      </c>
      <c r="F521" t="s">
        <v>29</v>
      </c>
      <c r="G521" s="1">
        <v>45870</v>
      </c>
      <c r="H521" s="1">
        <v>45292</v>
      </c>
      <c r="I521">
        <v>20411454</v>
      </c>
      <c r="J521" t="s">
        <v>32</v>
      </c>
      <c r="K521" t="s">
        <v>4532</v>
      </c>
      <c r="L521">
        <v>2.5</v>
      </c>
      <c r="M521">
        <v>2.5</v>
      </c>
      <c r="N521" t="s">
        <v>2718</v>
      </c>
      <c r="P521" t="s">
        <v>4391</v>
      </c>
    </row>
    <row r="522" spans="1:16" x14ac:dyDescent="0.25">
      <c r="A522" t="s">
        <v>1933</v>
      </c>
      <c r="B522" t="str">
        <f>CONCATENATE(A522,88)</f>
        <v>7D35AP1JC7388</v>
      </c>
      <c r="C522" t="s">
        <v>1935</v>
      </c>
      <c r="D522" t="s">
        <v>27</v>
      </c>
      <c r="E522" t="s">
        <v>28</v>
      </c>
      <c r="F522" t="s">
        <v>29</v>
      </c>
      <c r="G522" s="1">
        <v>45870</v>
      </c>
      <c r="H522" s="1">
        <v>45292</v>
      </c>
      <c r="I522">
        <v>20411454</v>
      </c>
      <c r="J522" t="s">
        <v>32</v>
      </c>
      <c r="K522" t="s">
        <v>4532</v>
      </c>
      <c r="L522">
        <v>2.5</v>
      </c>
      <c r="M522">
        <v>2.5</v>
      </c>
      <c r="N522" t="s">
        <v>2718</v>
      </c>
      <c r="P522" t="s">
        <v>4392</v>
      </c>
    </row>
    <row r="523" spans="1:16" x14ac:dyDescent="0.25">
      <c r="A523" t="s">
        <v>1936</v>
      </c>
      <c r="B523" t="str">
        <f>CONCATENATE(A523,88)</f>
        <v>9X45A53RA7388</v>
      </c>
      <c r="C523" t="s">
        <v>1938</v>
      </c>
      <c r="D523" t="s">
        <v>27</v>
      </c>
      <c r="E523" t="s">
        <v>28</v>
      </c>
      <c r="F523" t="s">
        <v>29</v>
      </c>
      <c r="G523" s="1">
        <v>45870</v>
      </c>
      <c r="H523" s="1">
        <v>45292</v>
      </c>
      <c r="I523">
        <v>20411454</v>
      </c>
      <c r="J523" t="s">
        <v>32</v>
      </c>
      <c r="K523" t="s">
        <v>4532</v>
      </c>
      <c r="L523">
        <v>2.5</v>
      </c>
      <c r="M523">
        <v>2.5</v>
      </c>
      <c r="N523" t="s">
        <v>2718</v>
      </c>
      <c r="P523" t="s">
        <v>4393</v>
      </c>
    </row>
    <row r="524" spans="1:16" x14ac:dyDescent="0.25">
      <c r="A524" t="s">
        <v>1945</v>
      </c>
      <c r="B524" t="str">
        <f>CONCATENATE(A524,88)</f>
        <v>8P70Y81AR1988</v>
      </c>
      <c r="C524" t="s">
        <v>1947</v>
      </c>
      <c r="D524" t="s">
        <v>27</v>
      </c>
      <c r="E524" t="s">
        <v>28</v>
      </c>
      <c r="F524" t="s">
        <v>29</v>
      </c>
      <c r="G524" s="1">
        <v>45870</v>
      </c>
      <c r="H524" s="1">
        <v>45323</v>
      </c>
      <c r="I524">
        <v>20411454</v>
      </c>
      <c r="J524" t="s">
        <v>32</v>
      </c>
      <c r="K524" t="s">
        <v>4532</v>
      </c>
      <c r="L524">
        <v>2.5</v>
      </c>
      <c r="M524">
        <v>2.5</v>
      </c>
      <c r="N524" t="s">
        <v>2718</v>
      </c>
      <c r="P524" t="s">
        <v>4394</v>
      </c>
    </row>
    <row r="525" spans="1:16" x14ac:dyDescent="0.25">
      <c r="A525" t="s">
        <v>1957</v>
      </c>
      <c r="B525" t="str">
        <f>CONCATENATE(A525,88)</f>
        <v>7F10M05KJ0788</v>
      </c>
      <c r="C525" t="s">
        <v>1959</v>
      </c>
      <c r="D525" t="s">
        <v>27</v>
      </c>
      <c r="E525" t="s">
        <v>28</v>
      </c>
      <c r="F525" t="s">
        <v>29</v>
      </c>
      <c r="G525" s="1">
        <v>45870</v>
      </c>
      <c r="H525" s="1">
        <v>45292</v>
      </c>
      <c r="I525">
        <v>20411454</v>
      </c>
      <c r="J525" t="s">
        <v>32</v>
      </c>
      <c r="K525" t="s">
        <v>4532</v>
      </c>
      <c r="L525">
        <v>2.5</v>
      </c>
      <c r="M525">
        <v>2.5</v>
      </c>
      <c r="N525" t="s">
        <v>2718</v>
      </c>
      <c r="P525" t="s">
        <v>4395</v>
      </c>
    </row>
    <row r="526" spans="1:16" x14ac:dyDescent="0.25">
      <c r="A526" t="s">
        <v>2008</v>
      </c>
      <c r="B526" t="str">
        <f>CONCATENATE(A526,88)</f>
        <v>7MF5RK4JC6488</v>
      </c>
      <c r="C526" t="s">
        <v>2010</v>
      </c>
      <c r="D526" t="s">
        <v>27</v>
      </c>
      <c r="E526" t="s">
        <v>28</v>
      </c>
      <c r="F526" t="s">
        <v>29</v>
      </c>
      <c r="G526" s="1">
        <v>45870</v>
      </c>
      <c r="H526" s="1">
        <v>45292</v>
      </c>
      <c r="I526">
        <v>20411454</v>
      </c>
      <c r="J526" t="s">
        <v>32</v>
      </c>
      <c r="K526" t="s">
        <v>4532</v>
      </c>
      <c r="L526">
        <v>2.5</v>
      </c>
      <c r="M526">
        <v>2.5</v>
      </c>
      <c r="N526" t="s">
        <v>2718</v>
      </c>
      <c r="P526" t="s">
        <v>4396</v>
      </c>
    </row>
    <row r="527" spans="1:16" x14ac:dyDescent="0.25">
      <c r="A527" t="s">
        <v>2014</v>
      </c>
      <c r="B527" t="str">
        <f>CONCATENATE(A527,88)</f>
        <v>6D55JT2GT8088</v>
      </c>
      <c r="C527" t="s">
        <v>2016</v>
      </c>
      <c r="D527" t="s">
        <v>27</v>
      </c>
      <c r="E527" t="s">
        <v>28</v>
      </c>
      <c r="F527" t="s">
        <v>29</v>
      </c>
      <c r="G527" s="1">
        <v>45870</v>
      </c>
      <c r="H527" s="1">
        <v>45292</v>
      </c>
      <c r="I527">
        <v>20411454</v>
      </c>
      <c r="J527" t="s">
        <v>32</v>
      </c>
      <c r="K527" t="s">
        <v>4532</v>
      </c>
      <c r="L527">
        <v>2.5</v>
      </c>
      <c r="M527">
        <v>2.5</v>
      </c>
      <c r="N527" t="s">
        <v>2718</v>
      </c>
      <c r="P527" t="s">
        <v>4397</v>
      </c>
    </row>
    <row r="528" spans="1:16" x14ac:dyDescent="0.25">
      <c r="A528" t="s">
        <v>2020</v>
      </c>
      <c r="B528" t="str">
        <f>CONCATENATE(A528,88)</f>
        <v>5W38W95KT4688</v>
      </c>
      <c r="C528" t="s">
        <v>2022</v>
      </c>
      <c r="D528" t="s">
        <v>27</v>
      </c>
      <c r="E528" t="s">
        <v>28</v>
      </c>
      <c r="F528" t="s">
        <v>29</v>
      </c>
      <c r="G528" s="1">
        <v>45870</v>
      </c>
      <c r="H528" s="1">
        <v>45292</v>
      </c>
      <c r="I528">
        <v>20411454</v>
      </c>
      <c r="J528" t="s">
        <v>32</v>
      </c>
      <c r="K528" t="s">
        <v>4532</v>
      </c>
      <c r="L528">
        <v>2.5</v>
      </c>
      <c r="M528">
        <v>2.5</v>
      </c>
      <c r="N528" t="s">
        <v>2718</v>
      </c>
      <c r="P528" t="s">
        <v>4398</v>
      </c>
    </row>
    <row r="529" spans="1:16" x14ac:dyDescent="0.25">
      <c r="A529" t="s">
        <v>2029</v>
      </c>
      <c r="B529" t="str">
        <f>CONCATENATE(A529,88)</f>
        <v>5N78U28JA6588</v>
      </c>
      <c r="C529" t="s">
        <v>2031</v>
      </c>
      <c r="D529" t="s">
        <v>27</v>
      </c>
      <c r="E529" t="s">
        <v>28</v>
      </c>
      <c r="F529" t="s">
        <v>29</v>
      </c>
      <c r="G529" s="1">
        <v>45870</v>
      </c>
      <c r="H529" s="1">
        <v>45261</v>
      </c>
      <c r="I529">
        <v>20411454</v>
      </c>
      <c r="J529" t="s">
        <v>32</v>
      </c>
      <c r="K529" t="s">
        <v>4532</v>
      </c>
      <c r="L529">
        <v>2.5</v>
      </c>
      <c r="M529">
        <v>2.5</v>
      </c>
      <c r="N529" t="s">
        <v>2718</v>
      </c>
      <c r="P529" t="s">
        <v>4399</v>
      </c>
    </row>
    <row r="530" spans="1:16" x14ac:dyDescent="0.25">
      <c r="A530" t="s">
        <v>2032</v>
      </c>
      <c r="B530" t="str">
        <f>CONCATENATE(A530,88)</f>
        <v>8MU4KH5CT8888</v>
      </c>
      <c r="C530" t="s">
        <v>2034</v>
      </c>
      <c r="D530" t="s">
        <v>27</v>
      </c>
      <c r="E530" t="s">
        <v>28</v>
      </c>
      <c r="F530" t="s">
        <v>29</v>
      </c>
      <c r="G530" s="1">
        <v>45870</v>
      </c>
      <c r="H530" s="1">
        <v>45261</v>
      </c>
      <c r="I530">
        <v>20411454</v>
      </c>
      <c r="J530" t="s">
        <v>32</v>
      </c>
      <c r="K530" t="s">
        <v>4532</v>
      </c>
      <c r="L530">
        <v>2.5</v>
      </c>
      <c r="M530">
        <v>2.5</v>
      </c>
      <c r="N530" t="s">
        <v>2718</v>
      </c>
      <c r="P530" t="s">
        <v>4400</v>
      </c>
    </row>
    <row r="531" spans="1:16" x14ac:dyDescent="0.25">
      <c r="A531" t="s">
        <v>2077</v>
      </c>
      <c r="B531" t="str">
        <f>CONCATENATE(A531,88)</f>
        <v>3YX6RM8UA8688</v>
      </c>
      <c r="C531" t="s">
        <v>2079</v>
      </c>
      <c r="D531" t="s">
        <v>27</v>
      </c>
      <c r="E531" t="s">
        <v>28</v>
      </c>
      <c r="F531" t="s">
        <v>127</v>
      </c>
      <c r="G531" s="1">
        <v>45870</v>
      </c>
      <c r="H531" s="1">
        <v>45292</v>
      </c>
      <c r="I531">
        <v>20411454</v>
      </c>
      <c r="J531" t="s">
        <v>32</v>
      </c>
      <c r="K531" t="s">
        <v>4532</v>
      </c>
      <c r="L531">
        <v>2.5</v>
      </c>
      <c r="M531">
        <v>2.5</v>
      </c>
      <c r="N531" t="s">
        <v>2718</v>
      </c>
      <c r="P531" t="s">
        <v>4401</v>
      </c>
    </row>
    <row r="532" spans="1:16" x14ac:dyDescent="0.25">
      <c r="A532" t="s">
        <v>2080</v>
      </c>
      <c r="B532" t="str">
        <f>CONCATENATE(A532,88)</f>
        <v>1WJ7F61AE4988</v>
      </c>
      <c r="C532" t="s">
        <v>2082</v>
      </c>
      <c r="D532" t="s">
        <v>27</v>
      </c>
      <c r="E532" t="s">
        <v>28</v>
      </c>
      <c r="F532" t="s">
        <v>127</v>
      </c>
      <c r="G532" s="1">
        <v>45870</v>
      </c>
      <c r="H532" s="1">
        <v>45292</v>
      </c>
      <c r="I532">
        <v>20411454</v>
      </c>
      <c r="J532" t="s">
        <v>32</v>
      </c>
      <c r="K532" t="s">
        <v>4532</v>
      </c>
      <c r="L532">
        <v>2.5</v>
      </c>
      <c r="M532">
        <v>2.5</v>
      </c>
      <c r="N532" t="s">
        <v>2718</v>
      </c>
      <c r="P532" t="s">
        <v>4402</v>
      </c>
    </row>
    <row r="533" spans="1:16" x14ac:dyDescent="0.25">
      <c r="A533" t="s">
        <v>2083</v>
      </c>
      <c r="B533" t="str">
        <f>CONCATENATE(A533,88)</f>
        <v>3FX9EV4TH1388</v>
      </c>
      <c r="C533" t="s">
        <v>2085</v>
      </c>
      <c r="D533" t="s">
        <v>27</v>
      </c>
      <c r="E533" t="s">
        <v>28</v>
      </c>
      <c r="F533" t="s">
        <v>29</v>
      </c>
      <c r="G533" s="1">
        <v>45870</v>
      </c>
      <c r="H533" s="1">
        <v>45231</v>
      </c>
      <c r="I533">
        <v>20411454</v>
      </c>
      <c r="J533" t="s">
        <v>32</v>
      </c>
      <c r="K533" t="s">
        <v>4532</v>
      </c>
      <c r="L533">
        <v>2.5</v>
      </c>
      <c r="M533">
        <v>2.5</v>
      </c>
      <c r="N533" t="s">
        <v>2718</v>
      </c>
      <c r="P533" t="s">
        <v>4403</v>
      </c>
    </row>
    <row r="534" spans="1:16" x14ac:dyDescent="0.25">
      <c r="A534" t="s">
        <v>2089</v>
      </c>
      <c r="B534" t="str">
        <f>CONCATENATE(A534,88)</f>
        <v>3XQ2R28HH9788</v>
      </c>
      <c r="C534" t="s">
        <v>2091</v>
      </c>
      <c r="D534" t="s">
        <v>27</v>
      </c>
      <c r="E534" t="s">
        <v>28</v>
      </c>
      <c r="F534" t="s">
        <v>127</v>
      </c>
      <c r="G534" s="1">
        <v>45870</v>
      </c>
      <c r="H534" s="1">
        <v>45323</v>
      </c>
      <c r="I534">
        <v>20411454</v>
      </c>
      <c r="J534" t="s">
        <v>32</v>
      </c>
      <c r="K534" t="s">
        <v>4532</v>
      </c>
      <c r="L534">
        <v>2.5</v>
      </c>
      <c r="M534">
        <v>2.5</v>
      </c>
      <c r="N534" t="s">
        <v>2718</v>
      </c>
      <c r="P534" t="s">
        <v>4404</v>
      </c>
    </row>
    <row r="535" spans="1:16" x14ac:dyDescent="0.25">
      <c r="A535" t="s">
        <v>2111</v>
      </c>
      <c r="B535" t="str">
        <f>CONCATENATE(A535,88)</f>
        <v>5D40GM8FX2188</v>
      </c>
      <c r="C535" t="s">
        <v>2113</v>
      </c>
      <c r="D535" t="s">
        <v>27</v>
      </c>
      <c r="E535" t="s">
        <v>28</v>
      </c>
      <c r="F535" t="s">
        <v>127</v>
      </c>
      <c r="G535" s="1">
        <v>45870</v>
      </c>
      <c r="H535" s="1">
        <v>45292</v>
      </c>
      <c r="I535">
        <v>20411454</v>
      </c>
      <c r="J535" t="s">
        <v>32</v>
      </c>
      <c r="K535" t="s">
        <v>4532</v>
      </c>
      <c r="L535">
        <v>2.5</v>
      </c>
      <c r="M535">
        <v>2.5</v>
      </c>
      <c r="N535" t="s">
        <v>2718</v>
      </c>
      <c r="P535" t="s">
        <v>4405</v>
      </c>
    </row>
    <row r="536" spans="1:16" x14ac:dyDescent="0.25">
      <c r="A536" t="s">
        <v>2180</v>
      </c>
      <c r="B536" t="str">
        <f>CONCATENATE(A536,88)</f>
        <v>2DC6YR9UQ8288</v>
      </c>
      <c r="C536" t="s">
        <v>2182</v>
      </c>
      <c r="D536" t="s">
        <v>27</v>
      </c>
      <c r="E536" t="s">
        <v>28</v>
      </c>
      <c r="F536" t="s">
        <v>29</v>
      </c>
      <c r="G536" s="1">
        <v>45870</v>
      </c>
      <c r="H536" s="1">
        <v>45323</v>
      </c>
      <c r="I536">
        <v>20411454</v>
      </c>
      <c r="J536" t="s">
        <v>32</v>
      </c>
      <c r="K536" t="s">
        <v>4532</v>
      </c>
      <c r="L536">
        <v>2.5</v>
      </c>
      <c r="M536">
        <v>2.5</v>
      </c>
      <c r="N536" t="s">
        <v>2718</v>
      </c>
      <c r="P536" t="s">
        <v>4406</v>
      </c>
    </row>
    <row r="537" spans="1:16" x14ac:dyDescent="0.25">
      <c r="A537" t="s">
        <v>2189</v>
      </c>
      <c r="B537" t="str">
        <f>CONCATENATE(A537,88)</f>
        <v>4P21NH7KJ9888</v>
      </c>
      <c r="C537" t="s">
        <v>2191</v>
      </c>
      <c r="D537" t="s">
        <v>27</v>
      </c>
      <c r="E537" t="s">
        <v>28</v>
      </c>
      <c r="F537" t="s">
        <v>29</v>
      </c>
      <c r="G537" s="1">
        <v>45870</v>
      </c>
      <c r="H537" s="1">
        <v>45292</v>
      </c>
      <c r="I537">
        <v>20411454</v>
      </c>
      <c r="J537" t="s">
        <v>32</v>
      </c>
      <c r="K537" t="s">
        <v>4532</v>
      </c>
      <c r="L537">
        <v>2.5</v>
      </c>
      <c r="M537">
        <v>2.5</v>
      </c>
      <c r="N537" t="s">
        <v>2718</v>
      </c>
      <c r="P537" t="s">
        <v>4407</v>
      </c>
    </row>
    <row r="538" spans="1:16" x14ac:dyDescent="0.25">
      <c r="A538" t="s">
        <v>2192</v>
      </c>
      <c r="B538" t="str">
        <f>CONCATENATE(A538,88)</f>
        <v>2FY9H61VJ4588</v>
      </c>
      <c r="C538" t="s">
        <v>2194</v>
      </c>
      <c r="D538" t="s">
        <v>27</v>
      </c>
      <c r="E538" t="s">
        <v>28</v>
      </c>
      <c r="F538" t="s">
        <v>29</v>
      </c>
      <c r="G538" s="1">
        <v>45870</v>
      </c>
      <c r="H538" s="1">
        <v>45292</v>
      </c>
      <c r="I538">
        <v>20411454</v>
      </c>
      <c r="J538" t="s">
        <v>32</v>
      </c>
      <c r="K538" t="s">
        <v>4532</v>
      </c>
      <c r="L538">
        <v>2.5</v>
      </c>
      <c r="M538">
        <v>2.5</v>
      </c>
      <c r="N538" t="s">
        <v>2718</v>
      </c>
      <c r="P538" t="s">
        <v>4408</v>
      </c>
    </row>
    <row r="539" spans="1:16" x14ac:dyDescent="0.25">
      <c r="A539" t="s">
        <v>2201</v>
      </c>
      <c r="B539" t="str">
        <f>CONCATENATE(A539,88)</f>
        <v>4TV0AJ8KE9088</v>
      </c>
      <c r="C539" t="s">
        <v>2203</v>
      </c>
      <c r="D539" t="s">
        <v>27</v>
      </c>
      <c r="E539" t="s">
        <v>28</v>
      </c>
      <c r="F539" t="s">
        <v>29</v>
      </c>
      <c r="G539" s="1">
        <v>45870</v>
      </c>
      <c r="H539" s="1">
        <v>45261</v>
      </c>
      <c r="I539">
        <v>20411454</v>
      </c>
      <c r="J539" t="s">
        <v>32</v>
      </c>
      <c r="K539" t="s">
        <v>4532</v>
      </c>
      <c r="L539">
        <v>2.5</v>
      </c>
      <c r="M539">
        <v>2.5</v>
      </c>
      <c r="N539" t="s">
        <v>2718</v>
      </c>
      <c r="P539" t="s">
        <v>4409</v>
      </c>
    </row>
    <row r="540" spans="1:16" x14ac:dyDescent="0.25">
      <c r="A540" t="s">
        <v>2204</v>
      </c>
      <c r="B540" t="str">
        <f>CONCATENATE(A540,88)</f>
        <v>6H91V21TX0688</v>
      </c>
      <c r="C540" t="s">
        <v>2206</v>
      </c>
      <c r="D540" t="s">
        <v>27</v>
      </c>
      <c r="E540" t="s">
        <v>28</v>
      </c>
      <c r="F540" t="s">
        <v>29</v>
      </c>
      <c r="G540" s="1">
        <v>45870</v>
      </c>
      <c r="H540" s="1">
        <v>44652</v>
      </c>
      <c r="I540">
        <v>20411454</v>
      </c>
      <c r="J540" t="s">
        <v>32</v>
      </c>
      <c r="K540" t="s">
        <v>4532</v>
      </c>
      <c r="L540">
        <v>2.5</v>
      </c>
      <c r="M540">
        <v>2.5</v>
      </c>
      <c r="N540" t="s">
        <v>2718</v>
      </c>
      <c r="P540" t="s">
        <v>4410</v>
      </c>
    </row>
    <row r="541" spans="1:16" x14ac:dyDescent="0.25">
      <c r="A541" t="s">
        <v>2207</v>
      </c>
      <c r="B541" t="str">
        <f>CONCATENATE(A541,88)</f>
        <v>9EC7PU1AK5788</v>
      </c>
      <c r="C541" t="s">
        <v>2209</v>
      </c>
      <c r="D541" t="s">
        <v>27</v>
      </c>
      <c r="E541" t="s">
        <v>28</v>
      </c>
      <c r="F541" t="s">
        <v>29</v>
      </c>
      <c r="G541" s="1">
        <v>45870</v>
      </c>
      <c r="H541" s="1">
        <v>44562</v>
      </c>
      <c r="I541">
        <v>20411454</v>
      </c>
      <c r="J541" t="s">
        <v>32</v>
      </c>
      <c r="K541" t="s">
        <v>4532</v>
      </c>
      <c r="L541">
        <v>2.5</v>
      </c>
      <c r="M541">
        <v>2.5</v>
      </c>
      <c r="N541" t="s">
        <v>2718</v>
      </c>
      <c r="P541" t="s">
        <v>4411</v>
      </c>
    </row>
    <row r="542" spans="1:16" x14ac:dyDescent="0.25">
      <c r="A542" t="s">
        <v>2210</v>
      </c>
      <c r="B542" t="str">
        <f>CONCATENATE(A542,88)</f>
        <v>6DT5RQ7JN5388</v>
      </c>
      <c r="C542" t="s">
        <v>2212</v>
      </c>
      <c r="D542" t="s">
        <v>27</v>
      </c>
      <c r="E542" t="s">
        <v>28</v>
      </c>
      <c r="F542" t="s">
        <v>29</v>
      </c>
      <c r="G542" s="1">
        <v>45870</v>
      </c>
      <c r="H542" s="1">
        <v>45323</v>
      </c>
      <c r="I542">
        <v>20411454</v>
      </c>
      <c r="J542" t="s">
        <v>32</v>
      </c>
      <c r="K542" t="s">
        <v>4532</v>
      </c>
      <c r="L542">
        <v>2.5</v>
      </c>
      <c r="M542">
        <v>2.5</v>
      </c>
      <c r="N542" t="s">
        <v>2718</v>
      </c>
      <c r="P542" t="s">
        <v>4412</v>
      </c>
    </row>
    <row r="543" spans="1:16" x14ac:dyDescent="0.25">
      <c r="A543" t="s">
        <v>2222</v>
      </c>
      <c r="B543" t="str">
        <f>CONCATENATE(A543,88)</f>
        <v>3CU4YC4TU7988</v>
      </c>
      <c r="C543" t="s">
        <v>2224</v>
      </c>
      <c r="D543" t="s">
        <v>27</v>
      </c>
      <c r="E543" t="s">
        <v>28</v>
      </c>
      <c r="F543" t="s">
        <v>29</v>
      </c>
      <c r="G543" s="1">
        <v>45870</v>
      </c>
      <c r="H543" s="1">
        <v>44652</v>
      </c>
      <c r="I543">
        <v>20411454</v>
      </c>
      <c r="J543" t="s">
        <v>32</v>
      </c>
      <c r="K543" t="s">
        <v>4532</v>
      </c>
      <c r="L543">
        <v>2.5</v>
      </c>
      <c r="M543">
        <v>2.5</v>
      </c>
      <c r="N543" t="s">
        <v>2718</v>
      </c>
      <c r="P543" t="s">
        <v>4413</v>
      </c>
    </row>
    <row r="544" spans="1:16" x14ac:dyDescent="0.25">
      <c r="A544" t="s">
        <v>2225</v>
      </c>
      <c r="B544" t="str">
        <f>CONCATENATE(A544,88)</f>
        <v>5N67NX5ER4088</v>
      </c>
      <c r="C544" t="s">
        <v>2227</v>
      </c>
      <c r="D544" t="s">
        <v>27</v>
      </c>
      <c r="E544" t="s">
        <v>28</v>
      </c>
      <c r="F544" t="s">
        <v>29</v>
      </c>
      <c r="G544" s="1">
        <v>45870</v>
      </c>
      <c r="H544" s="1">
        <v>45658</v>
      </c>
      <c r="I544">
        <v>20411454</v>
      </c>
      <c r="J544" t="s">
        <v>32</v>
      </c>
      <c r="K544" t="s">
        <v>4532</v>
      </c>
      <c r="L544">
        <v>2.5</v>
      </c>
      <c r="M544">
        <v>2.5</v>
      </c>
      <c r="N544" t="s">
        <v>2718</v>
      </c>
      <c r="P544" t="s">
        <v>4414</v>
      </c>
    </row>
    <row r="545" spans="1:16" x14ac:dyDescent="0.25">
      <c r="A545" t="s">
        <v>2270</v>
      </c>
      <c r="B545" t="str">
        <f>CONCATENATE(A545,88)</f>
        <v>8TE9TY5CR2588</v>
      </c>
      <c r="C545" t="s">
        <v>2272</v>
      </c>
      <c r="D545" t="s">
        <v>27</v>
      </c>
      <c r="E545" t="s">
        <v>28</v>
      </c>
      <c r="F545" t="s">
        <v>29</v>
      </c>
      <c r="G545" s="1">
        <v>45870</v>
      </c>
      <c r="H545" s="1">
        <v>45292</v>
      </c>
      <c r="I545">
        <v>20411454</v>
      </c>
      <c r="J545" t="s">
        <v>32</v>
      </c>
      <c r="K545" t="s">
        <v>4532</v>
      </c>
      <c r="L545">
        <v>2.5</v>
      </c>
      <c r="M545">
        <v>2.5</v>
      </c>
      <c r="N545" t="s">
        <v>2718</v>
      </c>
      <c r="P545" t="s">
        <v>4415</v>
      </c>
    </row>
    <row r="546" spans="1:16" x14ac:dyDescent="0.25">
      <c r="A546" t="s">
        <v>2281</v>
      </c>
      <c r="B546" t="str">
        <f>CONCATENATE(A546,88)</f>
        <v>8QM8T21VM3788</v>
      </c>
      <c r="C546" t="s">
        <v>2283</v>
      </c>
      <c r="D546" t="s">
        <v>27</v>
      </c>
      <c r="E546" t="s">
        <v>28</v>
      </c>
      <c r="F546" t="s">
        <v>29</v>
      </c>
      <c r="G546" s="1">
        <v>45870</v>
      </c>
      <c r="H546" s="1">
        <v>45323</v>
      </c>
      <c r="I546">
        <v>20411454</v>
      </c>
      <c r="J546" t="s">
        <v>247</v>
      </c>
      <c r="K546" t="s">
        <v>4532</v>
      </c>
      <c r="L546">
        <v>2.5</v>
      </c>
      <c r="M546">
        <v>2.5</v>
      </c>
      <c r="N546" t="s">
        <v>2718</v>
      </c>
      <c r="P546" t="s">
        <v>4416</v>
      </c>
    </row>
    <row r="547" spans="1:16" x14ac:dyDescent="0.25">
      <c r="A547" t="s">
        <v>2284</v>
      </c>
      <c r="B547" t="str">
        <f>CONCATENATE(A547,88)</f>
        <v>2NU6NM3HN5488</v>
      </c>
      <c r="C547" t="s">
        <v>2286</v>
      </c>
      <c r="D547" t="s">
        <v>27</v>
      </c>
      <c r="E547" t="s">
        <v>28</v>
      </c>
      <c r="F547" t="s">
        <v>29</v>
      </c>
      <c r="G547" s="1">
        <v>45870</v>
      </c>
      <c r="H547" s="1">
        <v>45292</v>
      </c>
      <c r="I547">
        <v>20411454</v>
      </c>
      <c r="J547" t="s">
        <v>247</v>
      </c>
      <c r="K547" t="s">
        <v>4532</v>
      </c>
      <c r="L547">
        <v>2.5</v>
      </c>
      <c r="M547">
        <v>2.5</v>
      </c>
      <c r="N547" t="s">
        <v>2718</v>
      </c>
      <c r="P547" t="s">
        <v>4417</v>
      </c>
    </row>
    <row r="548" spans="1:16" x14ac:dyDescent="0.25">
      <c r="A548" t="s">
        <v>2290</v>
      </c>
      <c r="B548" t="str">
        <f>CONCATENATE(A548,88)</f>
        <v>2VW1A00AE3888</v>
      </c>
      <c r="C548" t="s">
        <v>2292</v>
      </c>
      <c r="D548" t="s">
        <v>27</v>
      </c>
      <c r="E548" t="s">
        <v>28</v>
      </c>
      <c r="F548" t="s">
        <v>29</v>
      </c>
      <c r="G548" s="1">
        <v>45870</v>
      </c>
      <c r="H548" s="1">
        <v>45292</v>
      </c>
      <c r="I548">
        <v>20411454</v>
      </c>
      <c r="J548" t="s">
        <v>32</v>
      </c>
      <c r="K548" t="s">
        <v>4532</v>
      </c>
      <c r="L548">
        <v>2.5</v>
      </c>
      <c r="M548">
        <v>2.5</v>
      </c>
      <c r="N548" t="s">
        <v>2718</v>
      </c>
      <c r="P548" t="s">
        <v>4418</v>
      </c>
    </row>
    <row r="549" spans="1:16" x14ac:dyDescent="0.25">
      <c r="A549" t="s">
        <v>2293</v>
      </c>
      <c r="B549" t="str">
        <f>CONCATENATE(A549,88)</f>
        <v>8DR4E50HP9288</v>
      </c>
      <c r="C549" t="s">
        <v>2295</v>
      </c>
      <c r="D549" t="s">
        <v>27</v>
      </c>
      <c r="E549" t="s">
        <v>28</v>
      </c>
      <c r="F549" t="s">
        <v>29</v>
      </c>
      <c r="G549" s="1">
        <v>45870</v>
      </c>
      <c r="H549" s="1">
        <v>45292</v>
      </c>
      <c r="I549">
        <v>20411454</v>
      </c>
      <c r="J549" t="s">
        <v>32</v>
      </c>
      <c r="K549" t="s">
        <v>4532</v>
      </c>
      <c r="L549">
        <v>2.5</v>
      </c>
      <c r="M549">
        <v>2.5</v>
      </c>
      <c r="N549" t="s">
        <v>2718</v>
      </c>
      <c r="P549" t="s">
        <v>4419</v>
      </c>
    </row>
    <row r="550" spans="1:16" x14ac:dyDescent="0.25">
      <c r="A550" t="s">
        <v>2312</v>
      </c>
      <c r="B550" t="str">
        <f>CONCATENATE(A550,88)</f>
        <v>6V88D98WW4488</v>
      </c>
      <c r="C550" t="s">
        <v>2314</v>
      </c>
      <c r="D550" t="s">
        <v>27</v>
      </c>
      <c r="E550" t="s">
        <v>28</v>
      </c>
      <c r="F550" t="s">
        <v>29</v>
      </c>
      <c r="G550" s="1">
        <v>45870</v>
      </c>
      <c r="H550" s="1">
        <v>45658</v>
      </c>
      <c r="I550">
        <v>20411454</v>
      </c>
      <c r="J550" t="s">
        <v>32</v>
      </c>
      <c r="K550" t="s">
        <v>4532</v>
      </c>
      <c r="L550">
        <v>2.5</v>
      </c>
      <c r="M550">
        <v>2.5</v>
      </c>
      <c r="N550" t="s">
        <v>2718</v>
      </c>
      <c r="P550" t="s">
        <v>4420</v>
      </c>
    </row>
    <row r="551" spans="1:16" x14ac:dyDescent="0.25">
      <c r="A551" t="s">
        <v>2349</v>
      </c>
      <c r="B551" t="str">
        <f>CONCATENATE(A551,88)</f>
        <v>2QP9UR8PK1088</v>
      </c>
      <c r="C551" t="s">
        <v>2351</v>
      </c>
      <c r="D551" t="s">
        <v>27</v>
      </c>
      <c r="E551" t="s">
        <v>28</v>
      </c>
      <c r="F551" t="s">
        <v>29</v>
      </c>
      <c r="G551" s="1">
        <v>45870</v>
      </c>
      <c r="H551" s="1">
        <v>45292</v>
      </c>
      <c r="I551">
        <v>20411454</v>
      </c>
      <c r="J551" t="s">
        <v>32</v>
      </c>
      <c r="K551" t="s">
        <v>4532</v>
      </c>
      <c r="L551">
        <v>2.5</v>
      </c>
      <c r="M551">
        <v>2.5</v>
      </c>
      <c r="N551" t="s">
        <v>2718</v>
      </c>
      <c r="P551" t="s">
        <v>4421</v>
      </c>
    </row>
    <row r="552" spans="1:16" x14ac:dyDescent="0.25">
      <c r="A552" t="s">
        <v>2365</v>
      </c>
      <c r="B552" t="str">
        <f>CONCATENATE(A552,88)</f>
        <v>3AP2HG5MR2288</v>
      </c>
      <c r="C552" t="s">
        <v>2367</v>
      </c>
      <c r="D552" t="s">
        <v>27</v>
      </c>
      <c r="E552" t="s">
        <v>28</v>
      </c>
      <c r="F552" t="s">
        <v>29</v>
      </c>
      <c r="G552" s="1">
        <v>45870</v>
      </c>
      <c r="H552" s="1">
        <v>45292</v>
      </c>
      <c r="I552">
        <v>20411454</v>
      </c>
      <c r="J552" t="s">
        <v>32</v>
      </c>
      <c r="K552" t="s">
        <v>4532</v>
      </c>
      <c r="L552">
        <v>2.5</v>
      </c>
      <c r="M552">
        <v>2.5</v>
      </c>
      <c r="N552" t="s">
        <v>2718</v>
      </c>
      <c r="P552" t="s">
        <v>4422</v>
      </c>
    </row>
    <row r="553" spans="1:16" x14ac:dyDescent="0.25">
      <c r="A553" t="s">
        <v>2377</v>
      </c>
      <c r="B553" t="str">
        <f>CONCATENATE(A553,88)</f>
        <v>2XT2JN5DN1288</v>
      </c>
      <c r="C553" t="s">
        <v>2379</v>
      </c>
      <c r="D553" t="s">
        <v>27</v>
      </c>
      <c r="E553" t="s">
        <v>28</v>
      </c>
      <c r="F553" t="s">
        <v>29</v>
      </c>
      <c r="G553" s="1">
        <v>45870</v>
      </c>
      <c r="H553" s="1">
        <v>45292</v>
      </c>
      <c r="I553">
        <v>20411454</v>
      </c>
      <c r="J553" t="s">
        <v>32</v>
      </c>
      <c r="K553" t="s">
        <v>4532</v>
      </c>
      <c r="L553">
        <v>2.5</v>
      </c>
      <c r="M553">
        <v>2.5</v>
      </c>
      <c r="N553" t="s">
        <v>2718</v>
      </c>
      <c r="P553" t="s">
        <v>4423</v>
      </c>
    </row>
    <row r="554" spans="1:16" x14ac:dyDescent="0.25">
      <c r="A554" t="s">
        <v>2404</v>
      </c>
      <c r="B554" t="str">
        <f>CONCATENATE(A554,88)</f>
        <v>9QR7YG6CH2088</v>
      </c>
      <c r="C554" t="s">
        <v>2406</v>
      </c>
      <c r="D554" t="s">
        <v>27</v>
      </c>
      <c r="E554" t="s">
        <v>28</v>
      </c>
      <c r="F554" t="s">
        <v>29</v>
      </c>
      <c r="G554" s="1">
        <v>45870</v>
      </c>
      <c r="H554" s="1">
        <v>45292</v>
      </c>
      <c r="I554">
        <v>20411454</v>
      </c>
      <c r="J554" t="s">
        <v>32</v>
      </c>
      <c r="K554" t="s">
        <v>4532</v>
      </c>
      <c r="L554">
        <v>2.5</v>
      </c>
      <c r="M554">
        <v>2.5</v>
      </c>
      <c r="N554" t="s">
        <v>2718</v>
      </c>
      <c r="P554" t="s">
        <v>4424</v>
      </c>
    </row>
    <row r="555" spans="1:16" x14ac:dyDescent="0.25">
      <c r="A555" t="s">
        <v>2407</v>
      </c>
      <c r="B555" t="str">
        <f>CONCATENATE(A555,88)</f>
        <v>9T27M61QG4688</v>
      </c>
      <c r="C555" t="s">
        <v>2409</v>
      </c>
      <c r="D555" t="s">
        <v>27</v>
      </c>
      <c r="E555" t="s">
        <v>28</v>
      </c>
      <c r="F555" t="s">
        <v>29</v>
      </c>
      <c r="G555" s="1">
        <v>45870</v>
      </c>
      <c r="H555" s="1">
        <v>45292</v>
      </c>
      <c r="I555">
        <v>20411454</v>
      </c>
      <c r="J555" t="s">
        <v>32</v>
      </c>
      <c r="K555" t="s">
        <v>4532</v>
      </c>
      <c r="L555">
        <v>2.5</v>
      </c>
      <c r="M555">
        <v>2.5</v>
      </c>
      <c r="N555" t="s">
        <v>2718</v>
      </c>
      <c r="P555" t="s">
        <v>4425</v>
      </c>
    </row>
    <row r="556" spans="1:16" x14ac:dyDescent="0.25">
      <c r="A556" t="s">
        <v>2413</v>
      </c>
      <c r="B556" t="str">
        <f>CONCATENATE(A556,88)</f>
        <v>6KC6EM6TY6988</v>
      </c>
      <c r="C556" t="s">
        <v>2415</v>
      </c>
      <c r="D556" t="s">
        <v>27</v>
      </c>
      <c r="E556" t="s">
        <v>28</v>
      </c>
      <c r="F556" t="s">
        <v>127</v>
      </c>
      <c r="G556" s="1">
        <v>45870</v>
      </c>
      <c r="H556" s="1">
        <v>45323</v>
      </c>
      <c r="I556">
        <v>20411454</v>
      </c>
      <c r="J556" t="s">
        <v>32</v>
      </c>
      <c r="K556" t="s">
        <v>4532</v>
      </c>
      <c r="L556">
        <v>2.5</v>
      </c>
      <c r="M556">
        <v>2.5</v>
      </c>
      <c r="N556" t="s">
        <v>2718</v>
      </c>
      <c r="P556" t="s">
        <v>4426</v>
      </c>
    </row>
    <row r="557" spans="1:16" x14ac:dyDescent="0.25">
      <c r="A557" t="s">
        <v>2419</v>
      </c>
      <c r="B557" t="str">
        <f>CONCATENATE(A557,88)</f>
        <v>3HA2MX5PA1088</v>
      </c>
      <c r="C557" t="s">
        <v>2421</v>
      </c>
      <c r="D557" t="s">
        <v>27</v>
      </c>
      <c r="E557" t="s">
        <v>28</v>
      </c>
      <c r="F557" t="s">
        <v>29</v>
      </c>
      <c r="G557" s="1">
        <v>45870</v>
      </c>
      <c r="H557" s="1">
        <v>45658</v>
      </c>
      <c r="I557">
        <v>20411454</v>
      </c>
      <c r="J557" t="s">
        <v>32</v>
      </c>
      <c r="K557" t="s">
        <v>4532</v>
      </c>
      <c r="L557">
        <v>2.5</v>
      </c>
      <c r="M557">
        <v>2.5</v>
      </c>
      <c r="N557" t="s">
        <v>2718</v>
      </c>
      <c r="P557" t="s">
        <v>4427</v>
      </c>
    </row>
    <row r="558" spans="1:16" x14ac:dyDescent="0.25">
      <c r="A558" t="s">
        <v>2440</v>
      </c>
      <c r="B558" t="str">
        <f>CONCATENATE(A558,88)</f>
        <v>4CP1PQ7QW1788</v>
      </c>
      <c r="C558" t="s">
        <v>2442</v>
      </c>
      <c r="D558" t="s">
        <v>27</v>
      </c>
      <c r="E558" t="s">
        <v>28</v>
      </c>
      <c r="F558" t="s">
        <v>29</v>
      </c>
      <c r="G558" s="1">
        <v>45870</v>
      </c>
      <c r="H558" s="1">
        <v>45292</v>
      </c>
      <c r="I558">
        <v>20411454</v>
      </c>
      <c r="J558" t="s">
        <v>32</v>
      </c>
      <c r="K558" t="s">
        <v>4532</v>
      </c>
      <c r="L558">
        <v>2.5</v>
      </c>
      <c r="M558">
        <v>2.5</v>
      </c>
      <c r="N558" t="s">
        <v>2718</v>
      </c>
      <c r="P558" t="s">
        <v>4428</v>
      </c>
    </row>
    <row r="559" spans="1:16" x14ac:dyDescent="0.25">
      <c r="A559" t="s">
        <v>2467</v>
      </c>
      <c r="B559" t="str">
        <f>CONCATENATE(A559,88)</f>
        <v>6NC4JK4RQ6288</v>
      </c>
      <c r="C559" t="s">
        <v>2469</v>
      </c>
      <c r="D559" t="s">
        <v>27</v>
      </c>
      <c r="E559" t="s">
        <v>28</v>
      </c>
      <c r="F559" t="s">
        <v>127</v>
      </c>
      <c r="G559" s="1">
        <v>45870</v>
      </c>
      <c r="H559" s="1">
        <v>44562</v>
      </c>
      <c r="I559">
        <v>20411454</v>
      </c>
      <c r="J559" t="s">
        <v>32</v>
      </c>
      <c r="K559" t="s">
        <v>4532</v>
      </c>
      <c r="L559">
        <v>2.5</v>
      </c>
      <c r="M559">
        <v>2.5</v>
      </c>
      <c r="N559" t="s">
        <v>2718</v>
      </c>
      <c r="P559" t="s">
        <v>4429</v>
      </c>
    </row>
    <row r="560" spans="1:16" x14ac:dyDescent="0.25">
      <c r="A560" t="s">
        <v>2476</v>
      </c>
      <c r="B560" t="str">
        <f>CONCATENATE(A560,88)</f>
        <v>6AR6G82YN6288</v>
      </c>
      <c r="C560" t="s">
        <v>2478</v>
      </c>
      <c r="D560" t="s">
        <v>27</v>
      </c>
      <c r="E560" t="s">
        <v>28</v>
      </c>
      <c r="F560" t="s">
        <v>29</v>
      </c>
      <c r="G560" s="1">
        <v>45870</v>
      </c>
      <c r="H560" s="1">
        <v>45292</v>
      </c>
      <c r="I560">
        <v>20411454</v>
      </c>
      <c r="J560" t="s">
        <v>32</v>
      </c>
      <c r="K560" t="s">
        <v>4532</v>
      </c>
      <c r="L560">
        <v>2.5</v>
      </c>
      <c r="M560">
        <v>2.5</v>
      </c>
      <c r="N560" t="s">
        <v>2718</v>
      </c>
      <c r="P560" t="s">
        <v>4430</v>
      </c>
    </row>
    <row r="561" spans="1:16" x14ac:dyDescent="0.25">
      <c r="A561" t="s">
        <v>2479</v>
      </c>
      <c r="B561" t="str">
        <f>CONCATENATE(A561,88)</f>
        <v>8TV4D61PC0688</v>
      </c>
      <c r="C561" t="s">
        <v>2481</v>
      </c>
      <c r="D561" t="s">
        <v>27</v>
      </c>
      <c r="E561" t="s">
        <v>28</v>
      </c>
      <c r="F561" t="s">
        <v>29</v>
      </c>
      <c r="G561" s="1">
        <v>45870</v>
      </c>
      <c r="H561" s="1">
        <v>45292</v>
      </c>
      <c r="I561">
        <v>20411454</v>
      </c>
      <c r="J561" t="s">
        <v>32</v>
      </c>
      <c r="K561" t="s">
        <v>4532</v>
      </c>
      <c r="L561">
        <v>2.5</v>
      </c>
      <c r="M561">
        <v>2.5</v>
      </c>
      <c r="N561" t="s">
        <v>2718</v>
      </c>
      <c r="P561" t="s">
        <v>4431</v>
      </c>
    </row>
    <row r="562" spans="1:16" x14ac:dyDescent="0.25">
      <c r="A562" t="s">
        <v>2494</v>
      </c>
      <c r="B562" t="str">
        <f>CONCATENATE(A562,88)</f>
        <v>7WR2P27UC9388</v>
      </c>
      <c r="C562" t="s">
        <v>2496</v>
      </c>
      <c r="D562" t="s">
        <v>27</v>
      </c>
      <c r="E562" t="s">
        <v>28</v>
      </c>
      <c r="F562" t="s">
        <v>29</v>
      </c>
      <c r="G562" s="1">
        <v>45870</v>
      </c>
      <c r="H562" s="1">
        <v>45413</v>
      </c>
      <c r="I562">
        <v>20411454</v>
      </c>
      <c r="J562" t="s">
        <v>32</v>
      </c>
      <c r="K562" t="s">
        <v>4532</v>
      </c>
      <c r="L562">
        <v>2.5</v>
      </c>
      <c r="M562">
        <v>2.5</v>
      </c>
      <c r="N562" t="s">
        <v>2718</v>
      </c>
      <c r="P562" t="s">
        <v>4432</v>
      </c>
    </row>
    <row r="563" spans="1:16" x14ac:dyDescent="0.25">
      <c r="A563" t="s">
        <v>2497</v>
      </c>
      <c r="B563" t="str">
        <f>CONCATENATE(A563,88)</f>
        <v>1JW4WU3AX9388</v>
      </c>
      <c r="C563" t="s">
        <v>2499</v>
      </c>
      <c r="D563" t="s">
        <v>27</v>
      </c>
      <c r="E563" t="s">
        <v>28</v>
      </c>
      <c r="F563" t="s">
        <v>29</v>
      </c>
      <c r="G563" s="1">
        <v>45870</v>
      </c>
      <c r="H563" s="1">
        <v>45292</v>
      </c>
      <c r="I563">
        <v>20411454</v>
      </c>
      <c r="J563" t="s">
        <v>32</v>
      </c>
      <c r="K563" t="s">
        <v>4532</v>
      </c>
      <c r="L563">
        <v>2.5</v>
      </c>
      <c r="M563">
        <v>2.5</v>
      </c>
      <c r="N563" t="s">
        <v>2718</v>
      </c>
      <c r="P563" t="s">
        <v>4433</v>
      </c>
    </row>
    <row r="564" spans="1:16" x14ac:dyDescent="0.25">
      <c r="A564" t="s">
        <v>2503</v>
      </c>
      <c r="B564" t="str">
        <f>CONCATENATE(A564,88)</f>
        <v>1W16U54XW8688</v>
      </c>
      <c r="C564" t="s">
        <v>2505</v>
      </c>
      <c r="D564" t="s">
        <v>27</v>
      </c>
      <c r="E564" t="s">
        <v>28</v>
      </c>
      <c r="F564" t="s">
        <v>29</v>
      </c>
      <c r="G564" s="1">
        <v>45870</v>
      </c>
      <c r="H564" s="1">
        <v>45323</v>
      </c>
      <c r="I564">
        <v>20411454</v>
      </c>
      <c r="J564" t="s">
        <v>32</v>
      </c>
      <c r="K564" t="s">
        <v>4532</v>
      </c>
      <c r="L564">
        <v>2.5</v>
      </c>
      <c r="M564">
        <v>2.5</v>
      </c>
      <c r="N564" t="s">
        <v>2718</v>
      </c>
      <c r="P564" t="s">
        <v>4434</v>
      </c>
    </row>
    <row r="565" spans="1:16" x14ac:dyDescent="0.25">
      <c r="A565" t="s">
        <v>2506</v>
      </c>
      <c r="B565" t="str">
        <f>CONCATENATE(A565,88)</f>
        <v>7HK5HJ1YT6188</v>
      </c>
      <c r="C565" t="s">
        <v>2508</v>
      </c>
      <c r="D565" t="s">
        <v>27</v>
      </c>
      <c r="E565" t="s">
        <v>28</v>
      </c>
      <c r="F565" t="s">
        <v>29</v>
      </c>
      <c r="G565" s="1">
        <v>45870</v>
      </c>
      <c r="H565" s="1">
        <v>45292</v>
      </c>
      <c r="I565">
        <v>20411454</v>
      </c>
      <c r="J565" t="s">
        <v>32</v>
      </c>
      <c r="K565" t="s">
        <v>4532</v>
      </c>
      <c r="L565">
        <v>2.5</v>
      </c>
      <c r="M565">
        <v>2.5</v>
      </c>
      <c r="N565" t="s">
        <v>2718</v>
      </c>
      <c r="P565" t="s">
        <v>4435</v>
      </c>
    </row>
    <row r="566" spans="1:16" x14ac:dyDescent="0.25">
      <c r="A566" t="s">
        <v>2509</v>
      </c>
      <c r="B566" t="str">
        <f>CONCATENATE(A566,88)</f>
        <v>4AD3N86WN7188</v>
      </c>
      <c r="C566" t="s">
        <v>2511</v>
      </c>
      <c r="D566" t="s">
        <v>27</v>
      </c>
      <c r="E566" t="s">
        <v>28</v>
      </c>
      <c r="F566" t="s">
        <v>29</v>
      </c>
      <c r="G566" s="1">
        <v>45870</v>
      </c>
      <c r="H566" s="1">
        <v>45292</v>
      </c>
      <c r="I566">
        <v>20411454</v>
      </c>
      <c r="J566" t="s">
        <v>32</v>
      </c>
      <c r="K566" t="s">
        <v>4532</v>
      </c>
      <c r="L566">
        <v>2.5</v>
      </c>
      <c r="M566">
        <v>2.5</v>
      </c>
      <c r="N566" t="s">
        <v>2718</v>
      </c>
      <c r="P566" t="s">
        <v>4436</v>
      </c>
    </row>
    <row r="567" spans="1:16" x14ac:dyDescent="0.25">
      <c r="A567" t="s">
        <v>2518</v>
      </c>
      <c r="B567" t="str">
        <f>CONCATENATE(A567,88)</f>
        <v>5YU6JP5QA8388</v>
      </c>
      <c r="C567" t="s">
        <v>2520</v>
      </c>
      <c r="D567" t="s">
        <v>27</v>
      </c>
      <c r="E567" t="s">
        <v>28</v>
      </c>
      <c r="F567" t="s">
        <v>29</v>
      </c>
      <c r="G567" s="1">
        <v>45870</v>
      </c>
      <c r="H567" s="1">
        <v>45292</v>
      </c>
      <c r="I567">
        <v>20411454</v>
      </c>
      <c r="J567" t="s">
        <v>32</v>
      </c>
      <c r="K567" t="s">
        <v>4532</v>
      </c>
      <c r="L567">
        <v>2.5</v>
      </c>
      <c r="M567">
        <v>2.5</v>
      </c>
      <c r="N567" t="s">
        <v>2718</v>
      </c>
      <c r="P567" t="s">
        <v>4437</v>
      </c>
    </row>
    <row r="568" spans="1:16" x14ac:dyDescent="0.25">
      <c r="A568" t="s">
        <v>2521</v>
      </c>
      <c r="B568" t="str">
        <f>CONCATENATE(A568,88)</f>
        <v>7R63D17KJ1188</v>
      </c>
      <c r="C568" t="s">
        <v>2523</v>
      </c>
      <c r="D568" t="s">
        <v>27</v>
      </c>
      <c r="E568" t="s">
        <v>28</v>
      </c>
      <c r="F568" t="s">
        <v>29</v>
      </c>
      <c r="G568" s="1">
        <v>45870</v>
      </c>
      <c r="H568" s="1">
        <v>45292</v>
      </c>
      <c r="I568">
        <v>20411454</v>
      </c>
      <c r="J568" t="s">
        <v>32</v>
      </c>
      <c r="K568" t="s">
        <v>4532</v>
      </c>
      <c r="L568">
        <v>2.5</v>
      </c>
      <c r="M568">
        <v>2.5</v>
      </c>
      <c r="N568" t="s">
        <v>2718</v>
      </c>
      <c r="P568" t="s">
        <v>4438</v>
      </c>
    </row>
    <row r="569" spans="1:16" x14ac:dyDescent="0.25">
      <c r="A569" t="s">
        <v>2563</v>
      </c>
      <c r="B569" t="str">
        <f>CONCATENATE(A569,88)</f>
        <v>2Y99HW6XQ5988</v>
      </c>
      <c r="C569" t="s">
        <v>2565</v>
      </c>
      <c r="D569" t="s">
        <v>27</v>
      </c>
      <c r="E569" t="s">
        <v>28</v>
      </c>
      <c r="F569" t="s">
        <v>29</v>
      </c>
      <c r="G569" s="1">
        <v>45870</v>
      </c>
      <c r="H569" s="1">
        <v>45292</v>
      </c>
      <c r="I569">
        <v>20411454</v>
      </c>
      <c r="J569" t="s">
        <v>32</v>
      </c>
      <c r="K569" t="s">
        <v>4532</v>
      </c>
      <c r="L569">
        <v>2.5</v>
      </c>
      <c r="M569">
        <v>2.5</v>
      </c>
      <c r="N569" t="s">
        <v>2718</v>
      </c>
      <c r="P569" t="s">
        <v>4439</v>
      </c>
    </row>
    <row r="570" spans="1:16" x14ac:dyDescent="0.25">
      <c r="A570" t="s">
        <v>2566</v>
      </c>
      <c r="B570" t="str">
        <f>CONCATENATE(A570,88)</f>
        <v>2X36TY1WV5888</v>
      </c>
      <c r="C570" t="s">
        <v>2568</v>
      </c>
      <c r="D570" t="s">
        <v>27</v>
      </c>
      <c r="E570" t="s">
        <v>28</v>
      </c>
      <c r="F570" t="s">
        <v>29</v>
      </c>
      <c r="G570" s="1">
        <v>45870</v>
      </c>
      <c r="H570" s="1">
        <v>45292</v>
      </c>
      <c r="I570">
        <v>20411454</v>
      </c>
      <c r="J570" t="s">
        <v>32</v>
      </c>
      <c r="K570" t="s">
        <v>4532</v>
      </c>
      <c r="L570">
        <v>2.5</v>
      </c>
      <c r="M570">
        <v>2.5</v>
      </c>
      <c r="N570" t="s">
        <v>2718</v>
      </c>
      <c r="P570" t="s">
        <v>4440</v>
      </c>
    </row>
    <row r="571" spans="1:16" x14ac:dyDescent="0.25">
      <c r="A571" t="s">
        <v>2630</v>
      </c>
      <c r="B571" t="str">
        <f>CONCATENATE(A571,88)</f>
        <v>1EH4P54QF6988</v>
      </c>
      <c r="C571" t="s">
        <v>2632</v>
      </c>
      <c r="D571" t="s">
        <v>27</v>
      </c>
      <c r="E571" t="s">
        <v>28</v>
      </c>
      <c r="F571" t="s">
        <v>127</v>
      </c>
      <c r="G571" s="1">
        <v>45870</v>
      </c>
      <c r="H571" s="1">
        <v>45292</v>
      </c>
      <c r="I571">
        <v>20411454</v>
      </c>
      <c r="J571" t="s">
        <v>32</v>
      </c>
      <c r="K571" t="s">
        <v>4532</v>
      </c>
      <c r="L571">
        <v>2.5</v>
      </c>
      <c r="M571">
        <v>2.5</v>
      </c>
      <c r="N571" t="s">
        <v>2718</v>
      </c>
      <c r="P571" t="s">
        <v>4441</v>
      </c>
    </row>
    <row r="572" spans="1:16" x14ac:dyDescent="0.25">
      <c r="A572" t="s">
        <v>2633</v>
      </c>
      <c r="B572" t="str">
        <f>CONCATENATE(A572,88)</f>
        <v>2AT8Q95MM5288</v>
      </c>
      <c r="C572" t="s">
        <v>2635</v>
      </c>
      <c r="D572" t="s">
        <v>27</v>
      </c>
      <c r="E572" t="s">
        <v>28</v>
      </c>
      <c r="F572" t="s">
        <v>29</v>
      </c>
      <c r="G572" s="1">
        <v>45870</v>
      </c>
      <c r="H572" s="1">
        <v>45352</v>
      </c>
      <c r="I572">
        <v>20411454</v>
      </c>
      <c r="J572" t="s">
        <v>32</v>
      </c>
      <c r="K572" t="s">
        <v>4532</v>
      </c>
      <c r="L572">
        <v>2.5</v>
      </c>
      <c r="M572">
        <v>2.5</v>
      </c>
      <c r="N572" t="s">
        <v>2718</v>
      </c>
      <c r="P572" t="s">
        <v>4442</v>
      </c>
    </row>
    <row r="573" spans="1:16" x14ac:dyDescent="0.25">
      <c r="A573" t="s">
        <v>2636</v>
      </c>
      <c r="B573" t="str">
        <f>CONCATENATE(A573,88)</f>
        <v>5MD8K37FA5188</v>
      </c>
      <c r="C573" t="s">
        <v>2638</v>
      </c>
      <c r="D573" t="s">
        <v>27</v>
      </c>
      <c r="E573" t="s">
        <v>28</v>
      </c>
      <c r="F573" t="s">
        <v>29</v>
      </c>
      <c r="G573" s="1">
        <v>45870</v>
      </c>
      <c r="H573" s="1">
        <v>45292</v>
      </c>
      <c r="I573">
        <v>20411454</v>
      </c>
      <c r="J573" t="s">
        <v>32</v>
      </c>
      <c r="K573" t="s">
        <v>4532</v>
      </c>
      <c r="L573">
        <v>2.5</v>
      </c>
      <c r="M573">
        <v>2.5</v>
      </c>
      <c r="N573" t="s">
        <v>2718</v>
      </c>
      <c r="P573" t="s">
        <v>4443</v>
      </c>
    </row>
    <row r="574" spans="1:16" x14ac:dyDescent="0.25">
      <c r="A574" t="s">
        <v>2659</v>
      </c>
      <c r="B574" t="str">
        <f>CONCATENATE(A574,88)</f>
        <v>7TD6U00GX4988</v>
      </c>
      <c r="C574" t="s">
        <v>2661</v>
      </c>
      <c r="D574" t="s">
        <v>27</v>
      </c>
      <c r="E574" t="s">
        <v>28</v>
      </c>
      <c r="F574" t="s">
        <v>29</v>
      </c>
      <c r="G574" s="1">
        <v>45870</v>
      </c>
      <c r="H574" s="1">
        <v>45323</v>
      </c>
      <c r="I574">
        <v>20411454</v>
      </c>
      <c r="J574" t="s">
        <v>32</v>
      </c>
      <c r="K574" t="s">
        <v>4532</v>
      </c>
      <c r="L574">
        <v>2.5</v>
      </c>
      <c r="M574">
        <v>2.5</v>
      </c>
      <c r="N574" t="s">
        <v>2718</v>
      </c>
      <c r="P574" t="s">
        <v>4444</v>
      </c>
    </row>
    <row r="575" spans="1:16" x14ac:dyDescent="0.25">
      <c r="A575" t="s">
        <v>2662</v>
      </c>
      <c r="B575" t="str">
        <f>CONCATENATE(A575,88)</f>
        <v>5AJ4Q44HR8988</v>
      </c>
      <c r="C575" t="s">
        <v>2664</v>
      </c>
      <c r="D575" t="s">
        <v>27</v>
      </c>
      <c r="E575" t="s">
        <v>28</v>
      </c>
      <c r="F575" t="s">
        <v>29</v>
      </c>
      <c r="G575" s="1">
        <v>45870</v>
      </c>
      <c r="H575" s="1">
        <v>45323</v>
      </c>
      <c r="I575">
        <v>20411454</v>
      </c>
      <c r="J575" t="s">
        <v>32</v>
      </c>
      <c r="K575" t="s">
        <v>4532</v>
      </c>
      <c r="L575">
        <v>2.5</v>
      </c>
      <c r="M575">
        <v>2.5</v>
      </c>
      <c r="N575" t="s">
        <v>2718</v>
      </c>
      <c r="P575" t="s">
        <v>4445</v>
      </c>
    </row>
    <row r="576" spans="1:16" x14ac:dyDescent="0.25">
      <c r="A576" t="s">
        <v>2665</v>
      </c>
      <c r="B576" t="str">
        <f>CONCATENATE(A576,88)</f>
        <v>3T22JY3PF0588</v>
      </c>
      <c r="C576" t="s">
        <v>2667</v>
      </c>
      <c r="D576" t="s">
        <v>27</v>
      </c>
      <c r="E576" t="s">
        <v>28</v>
      </c>
      <c r="F576" t="s">
        <v>29</v>
      </c>
      <c r="G576" s="1">
        <v>45870</v>
      </c>
      <c r="H576" s="1">
        <v>45292</v>
      </c>
      <c r="I576">
        <v>20411454</v>
      </c>
      <c r="J576" t="s">
        <v>32</v>
      </c>
      <c r="K576" t="s">
        <v>4532</v>
      </c>
      <c r="L576">
        <v>2.5</v>
      </c>
      <c r="M576">
        <v>2.5</v>
      </c>
      <c r="N576" t="s">
        <v>2718</v>
      </c>
      <c r="P576" t="s">
        <v>4446</v>
      </c>
    </row>
    <row r="577" spans="1:16" x14ac:dyDescent="0.25">
      <c r="A577" t="s">
        <v>2668</v>
      </c>
      <c r="B577" t="str">
        <f>CONCATENATE(A577,88)</f>
        <v>5J48PQ0JK6188</v>
      </c>
      <c r="C577" t="s">
        <v>2670</v>
      </c>
      <c r="D577" t="s">
        <v>27</v>
      </c>
      <c r="E577" t="s">
        <v>28</v>
      </c>
      <c r="F577" t="s">
        <v>29</v>
      </c>
      <c r="G577" s="1">
        <v>45870</v>
      </c>
      <c r="H577" s="1">
        <v>45323</v>
      </c>
      <c r="I577">
        <v>20411454</v>
      </c>
      <c r="J577" t="s">
        <v>32</v>
      </c>
      <c r="K577" t="s">
        <v>4532</v>
      </c>
      <c r="L577">
        <v>2.5</v>
      </c>
      <c r="M577">
        <v>2.5</v>
      </c>
      <c r="N577" t="s">
        <v>2718</v>
      </c>
      <c r="P577" t="s">
        <v>4447</v>
      </c>
    </row>
    <row r="578" spans="1:16" x14ac:dyDescent="0.25">
      <c r="A578" t="s">
        <v>2671</v>
      </c>
      <c r="B578" t="str">
        <f>CONCATENATE(A578,88)</f>
        <v>9TH2EU7XR7088</v>
      </c>
      <c r="C578" t="s">
        <v>2673</v>
      </c>
      <c r="D578" t="s">
        <v>27</v>
      </c>
      <c r="E578" t="s">
        <v>28</v>
      </c>
      <c r="F578" t="s">
        <v>29</v>
      </c>
      <c r="G578" s="1">
        <v>45870</v>
      </c>
      <c r="H578" s="1">
        <v>45323</v>
      </c>
      <c r="I578">
        <v>20411454</v>
      </c>
      <c r="J578" t="s">
        <v>32</v>
      </c>
      <c r="K578" t="s">
        <v>4532</v>
      </c>
      <c r="L578">
        <v>2.5</v>
      </c>
      <c r="M578">
        <v>2.5</v>
      </c>
      <c r="N578" t="s">
        <v>2718</v>
      </c>
      <c r="P578" t="s">
        <v>4448</v>
      </c>
    </row>
    <row r="579" spans="1:16" x14ac:dyDescent="0.25">
      <c r="A579" t="s">
        <v>2690</v>
      </c>
      <c r="B579" t="str">
        <f>CONCATENATE(A579,88)</f>
        <v>7RJ0DK6QY1588</v>
      </c>
      <c r="C579" t="s">
        <v>2692</v>
      </c>
      <c r="D579" t="s">
        <v>27</v>
      </c>
      <c r="E579" t="s">
        <v>28</v>
      </c>
      <c r="F579" t="s">
        <v>29</v>
      </c>
      <c r="G579" s="1">
        <v>45870</v>
      </c>
      <c r="H579" s="1">
        <v>45292</v>
      </c>
      <c r="I579">
        <v>20411454</v>
      </c>
      <c r="J579" t="s">
        <v>32</v>
      </c>
      <c r="K579" t="s">
        <v>4532</v>
      </c>
      <c r="L579">
        <v>2.5</v>
      </c>
      <c r="M579">
        <v>2.5</v>
      </c>
      <c r="N579" t="s">
        <v>2718</v>
      </c>
      <c r="P579" t="s">
        <v>4449</v>
      </c>
    </row>
    <row r="580" spans="1:16" x14ac:dyDescent="0.25">
      <c r="A580" t="s">
        <v>2699</v>
      </c>
      <c r="B580" t="str">
        <f>CONCATENATE(A580,88)</f>
        <v>7T78PU2CY5588</v>
      </c>
      <c r="C580" t="s">
        <v>2701</v>
      </c>
      <c r="D580" t="s">
        <v>27</v>
      </c>
      <c r="E580" t="s">
        <v>28</v>
      </c>
      <c r="F580" t="s">
        <v>29</v>
      </c>
      <c r="G580" s="1">
        <v>45870</v>
      </c>
      <c r="H580" s="1">
        <v>45292</v>
      </c>
      <c r="I580">
        <v>20411454</v>
      </c>
      <c r="J580" t="s">
        <v>32</v>
      </c>
      <c r="K580" t="s">
        <v>4532</v>
      </c>
      <c r="L580">
        <v>2.5</v>
      </c>
      <c r="M580">
        <v>2.5</v>
      </c>
      <c r="N580" t="s">
        <v>2718</v>
      </c>
      <c r="P580" t="s">
        <v>4450</v>
      </c>
    </row>
    <row r="581" spans="1:16" x14ac:dyDescent="0.25">
      <c r="A581" t="s">
        <v>2708</v>
      </c>
      <c r="B581" t="str">
        <f>CONCATENATE(A581,88)</f>
        <v>5EH4DU5UE6088</v>
      </c>
      <c r="C581" t="s">
        <v>2710</v>
      </c>
      <c r="D581" t="s">
        <v>27</v>
      </c>
      <c r="E581" t="s">
        <v>28</v>
      </c>
      <c r="F581" t="s">
        <v>29</v>
      </c>
      <c r="G581" s="1">
        <v>45870</v>
      </c>
      <c r="H581" s="1">
        <v>45292</v>
      </c>
      <c r="I581">
        <v>20411454</v>
      </c>
      <c r="J581" t="s">
        <v>32</v>
      </c>
      <c r="K581" t="s">
        <v>4532</v>
      </c>
      <c r="L581">
        <v>2.5</v>
      </c>
      <c r="M581">
        <v>2.5</v>
      </c>
      <c r="N581" t="s">
        <v>2718</v>
      </c>
      <c r="P581" t="s">
        <v>4451</v>
      </c>
    </row>
    <row r="582" spans="1:16" x14ac:dyDescent="0.25">
      <c r="A582" t="s">
        <v>2711</v>
      </c>
      <c r="B582" t="str">
        <f>CONCATENATE(A582,88)</f>
        <v>4PD8EG6EJ4088</v>
      </c>
      <c r="C582" t="s">
        <v>2713</v>
      </c>
      <c r="D582" t="s">
        <v>27</v>
      </c>
      <c r="E582" t="s">
        <v>28</v>
      </c>
      <c r="F582" t="s">
        <v>29</v>
      </c>
      <c r="G582" s="1">
        <v>45870</v>
      </c>
      <c r="H582" s="1">
        <v>45292</v>
      </c>
      <c r="I582">
        <v>20411454</v>
      </c>
      <c r="J582" t="s">
        <v>32</v>
      </c>
      <c r="K582" t="s">
        <v>4532</v>
      </c>
      <c r="L582">
        <v>2.5</v>
      </c>
      <c r="M582">
        <v>2.5</v>
      </c>
      <c r="N582" t="s">
        <v>2718</v>
      </c>
      <c r="P582" t="s">
        <v>4452</v>
      </c>
    </row>
    <row r="583" spans="1:16" x14ac:dyDescent="0.25">
      <c r="A583" t="s">
        <v>2714</v>
      </c>
      <c r="B583" t="str">
        <f>CONCATENATE(A583,88)</f>
        <v>5JK4WR7CX6588</v>
      </c>
      <c r="C583" t="s">
        <v>2716</v>
      </c>
      <c r="D583" t="s">
        <v>27</v>
      </c>
      <c r="E583" t="s">
        <v>28</v>
      </c>
      <c r="F583" t="s">
        <v>29</v>
      </c>
      <c r="G583" s="1">
        <v>45870</v>
      </c>
      <c r="H583" s="1">
        <v>45658</v>
      </c>
      <c r="I583">
        <v>20411454</v>
      </c>
      <c r="J583" t="s">
        <v>32</v>
      </c>
      <c r="K583" t="s">
        <v>4532</v>
      </c>
      <c r="L583">
        <v>2.5</v>
      </c>
      <c r="M583">
        <v>2.5</v>
      </c>
      <c r="N583" t="s">
        <v>2718</v>
      </c>
      <c r="P583" t="s">
        <v>4453</v>
      </c>
    </row>
    <row r="584" spans="1:16" x14ac:dyDescent="0.25">
      <c r="A584" t="s">
        <v>266</v>
      </c>
      <c r="B584" t="str">
        <f>CONCATENATE(A584,88)</f>
        <v>3F39VK2UD5488</v>
      </c>
      <c r="C584" t="s">
        <v>268</v>
      </c>
      <c r="D584" t="s">
        <v>27</v>
      </c>
      <c r="E584" t="s">
        <v>28</v>
      </c>
      <c r="F584" t="s">
        <v>29</v>
      </c>
      <c r="G584" s="1">
        <v>45870</v>
      </c>
      <c r="H584" s="1">
        <v>45444</v>
      </c>
      <c r="I584">
        <v>20411454</v>
      </c>
      <c r="J584" t="s">
        <v>32</v>
      </c>
      <c r="K584" t="s">
        <v>4532</v>
      </c>
      <c r="L584">
        <v>3.75</v>
      </c>
      <c r="M584">
        <v>3.75</v>
      </c>
      <c r="N584" t="s">
        <v>2718</v>
      </c>
      <c r="P584" t="s">
        <v>4454</v>
      </c>
    </row>
    <row r="585" spans="1:16" x14ac:dyDescent="0.25">
      <c r="A585" t="s">
        <v>284</v>
      </c>
      <c r="B585" t="str">
        <f>CONCATENATE(A585,88)</f>
        <v>1N91WQ2JW1588</v>
      </c>
      <c r="C585" t="s">
        <v>286</v>
      </c>
      <c r="D585" t="s">
        <v>27</v>
      </c>
      <c r="E585" t="s">
        <v>28</v>
      </c>
      <c r="F585" t="s">
        <v>29</v>
      </c>
      <c r="G585" s="1">
        <v>45870</v>
      </c>
      <c r="H585" s="1">
        <v>45413</v>
      </c>
      <c r="I585">
        <v>20411454</v>
      </c>
      <c r="J585" t="s">
        <v>32</v>
      </c>
      <c r="K585" t="s">
        <v>4532</v>
      </c>
      <c r="L585">
        <v>3.75</v>
      </c>
      <c r="M585">
        <v>3.75</v>
      </c>
      <c r="N585" t="s">
        <v>2718</v>
      </c>
      <c r="P585" t="s">
        <v>4455</v>
      </c>
    </row>
    <row r="586" spans="1:16" x14ac:dyDescent="0.25">
      <c r="A586" t="s">
        <v>309</v>
      </c>
      <c r="B586" t="str">
        <f>CONCATENATE(A586,88)</f>
        <v>3FP7YQ8XK6788</v>
      </c>
      <c r="C586" t="s">
        <v>311</v>
      </c>
      <c r="D586" t="s">
        <v>27</v>
      </c>
      <c r="E586" t="s">
        <v>28</v>
      </c>
      <c r="F586" t="s">
        <v>29</v>
      </c>
      <c r="G586" s="1">
        <v>45870</v>
      </c>
      <c r="H586" s="1">
        <v>45536</v>
      </c>
      <c r="I586">
        <v>20411454</v>
      </c>
      <c r="J586" t="s">
        <v>32</v>
      </c>
      <c r="K586" t="s">
        <v>4532</v>
      </c>
      <c r="L586">
        <v>3.75</v>
      </c>
      <c r="M586">
        <v>3.75</v>
      </c>
      <c r="N586" t="s">
        <v>2718</v>
      </c>
      <c r="P586" t="s">
        <v>4456</v>
      </c>
    </row>
    <row r="587" spans="1:16" x14ac:dyDescent="0.25">
      <c r="A587" t="s">
        <v>327</v>
      </c>
      <c r="B587" t="str">
        <f>CONCATENATE(A587,88)</f>
        <v>3XH3T09EM0488</v>
      </c>
      <c r="C587" t="s">
        <v>329</v>
      </c>
      <c r="D587" t="s">
        <v>27</v>
      </c>
      <c r="E587" t="s">
        <v>28</v>
      </c>
      <c r="F587" t="s">
        <v>29</v>
      </c>
      <c r="G587" s="1">
        <v>45870</v>
      </c>
      <c r="H587" s="1">
        <v>45566</v>
      </c>
      <c r="I587">
        <v>20411454</v>
      </c>
      <c r="J587" t="s">
        <v>247</v>
      </c>
      <c r="K587" t="s">
        <v>4532</v>
      </c>
      <c r="L587">
        <v>3.75</v>
      </c>
      <c r="M587">
        <v>3.75</v>
      </c>
      <c r="N587" t="s">
        <v>2718</v>
      </c>
      <c r="P587" t="s">
        <v>4457</v>
      </c>
    </row>
    <row r="588" spans="1:16" x14ac:dyDescent="0.25">
      <c r="A588" t="s">
        <v>447</v>
      </c>
      <c r="B588" t="str">
        <f>CONCATENATE(A588,88)</f>
        <v>3ND0YF7FX2088</v>
      </c>
      <c r="C588" t="s">
        <v>449</v>
      </c>
      <c r="D588" t="s">
        <v>27</v>
      </c>
      <c r="E588" t="s">
        <v>28</v>
      </c>
      <c r="F588" t="s">
        <v>29</v>
      </c>
      <c r="G588" s="1">
        <v>45870</v>
      </c>
      <c r="H588" s="1">
        <v>45413</v>
      </c>
      <c r="I588">
        <v>20411454</v>
      </c>
      <c r="J588" t="s">
        <v>32</v>
      </c>
      <c r="K588" t="s">
        <v>4532</v>
      </c>
      <c r="L588">
        <v>3.75</v>
      </c>
      <c r="M588">
        <v>3.75</v>
      </c>
      <c r="N588" t="s">
        <v>2718</v>
      </c>
      <c r="P588" t="s">
        <v>4458</v>
      </c>
    </row>
    <row r="589" spans="1:16" x14ac:dyDescent="0.25">
      <c r="A589" t="s">
        <v>580</v>
      </c>
      <c r="B589" t="str">
        <f>CONCATENATE(A589,88)</f>
        <v>3V05NH2HF5388</v>
      </c>
      <c r="C589" t="s">
        <v>582</v>
      </c>
      <c r="D589" t="s">
        <v>27</v>
      </c>
      <c r="E589" t="s">
        <v>28</v>
      </c>
      <c r="F589" t="s">
        <v>29</v>
      </c>
      <c r="G589" s="1">
        <v>45870</v>
      </c>
      <c r="H589" s="1">
        <v>45383</v>
      </c>
      <c r="I589">
        <v>20411454</v>
      </c>
      <c r="J589" t="s">
        <v>32</v>
      </c>
      <c r="K589" t="s">
        <v>4532</v>
      </c>
      <c r="L589">
        <v>3.75</v>
      </c>
      <c r="M589">
        <v>3.75</v>
      </c>
      <c r="N589" t="s">
        <v>2718</v>
      </c>
      <c r="P589" t="s">
        <v>4459</v>
      </c>
    </row>
    <row r="590" spans="1:16" x14ac:dyDescent="0.25">
      <c r="A590" t="s">
        <v>621</v>
      </c>
      <c r="B590" t="str">
        <f>CONCATENATE(A590,88)</f>
        <v>8M54GP2HN9388</v>
      </c>
      <c r="C590" t="s">
        <v>623</v>
      </c>
      <c r="D590" t="s">
        <v>27</v>
      </c>
      <c r="E590" t="s">
        <v>28</v>
      </c>
      <c r="F590" t="s">
        <v>29</v>
      </c>
      <c r="G590" s="1">
        <v>45870</v>
      </c>
      <c r="H590" s="1">
        <v>45658</v>
      </c>
      <c r="I590">
        <v>20411454</v>
      </c>
      <c r="J590" t="s">
        <v>32</v>
      </c>
      <c r="K590" t="s">
        <v>4532</v>
      </c>
      <c r="L590">
        <v>3.75</v>
      </c>
      <c r="M590">
        <v>3.75</v>
      </c>
      <c r="N590" t="s">
        <v>2718</v>
      </c>
      <c r="P590" t="s">
        <v>4460</v>
      </c>
    </row>
    <row r="591" spans="1:16" x14ac:dyDescent="0.25">
      <c r="A591" t="s">
        <v>656</v>
      </c>
      <c r="B591" t="str">
        <f>CONCATENATE(A591,88)</f>
        <v>6MH5R99ND9788</v>
      </c>
      <c r="C591" t="s">
        <v>658</v>
      </c>
      <c r="D591" t="s">
        <v>27</v>
      </c>
      <c r="E591" t="s">
        <v>28</v>
      </c>
      <c r="F591" t="s">
        <v>29</v>
      </c>
      <c r="G591" s="1">
        <v>45870</v>
      </c>
      <c r="H591" s="1">
        <v>45474</v>
      </c>
      <c r="I591">
        <v>20411454</v>
      </c>
      <c r="J591" t="s">
        <v>32</v>
      </c>
      <c r="K591" t="s">
        <v>4532</v>
      </c>
      <c r="L591">
        <v>3.75</v>
      </c>
      <c r="M591">
        <v>3.75</v>
      </c>
      <c r="N591" t="s">
        <v>2718</v>
      </c>
      <c r="P591" t="s">
        <v>4461</v>
      </c>
    </row>
    <row r="592" spans="1:16" x14ac:dyDescent="0.25">
      <c r="A592" t="s">
        <v>702</v>
      </c>
      <c r="B592" t="str">
        <f>CONCATENATE(A592,88)</f>
        <v>3JY7FR0RM3788</v>
      </c>
      <c r="C592" t="s">
        <v>704</v>
      </c>
      <c r="D592" t="s">
        <v>27</v>
      </c>
      <c r="E592" t="s">
        <v>28</v>
      </c>
      <c r="F592" t="s">
        <v>29</v>
      </c>
      <c r="G592" s="1">
        <v>45870</v>
      </c>
      <c r="H592" s="1">
        <v>45444</v>
      </c>
      <c r="I592">
        <v>20411454</v>
      </c>
      <c r="J592" t="s">
        <v>32</v>
      </c>
      <c r="K592" t="s">
        <v>4532</v>
      </c>
      <c r="L592">
        <v>3.75</v>
      </c>
      <c r="M592">
        <v>3.75</v>
      </c>
      <c r="N592" t="s">
        <v>2718</v>
      </c>
      <c r="P592" t="s">
        <v>4462</v>
      </c>
    </row>
    <row r="593" spans="1:16" x14ac:dyDescent="0.25">
      <c r="A593" t="s">
        <v>823</v>
      </c>
      <c r="B593" t="str">
        <f>CONCATENATE(A593,88)</f>
        <v>9FD6GC4QP6288</v>
      </c>
      <c r="C593" t="s">
        <v>825</v>
      </c>
      <c r="D593" t="s">
        <v>27</v>
      </c>
      <c r="E593" t="s">
        <v>28</v>
      </c>
      <c r="F593" t="s">
        <v>29</v>
      </c>
      <c r="G593" s="1">
        <v>45870</v>
      </c>
      <c r="H593" s="1">
        <v>45474</v>
      </c>
      <c r="I593">
        <v>20411454</v>
      </c>
      <c r="J593" t="s">
        <v>32</v>
      </c>
      <c r="K593" t="s">
        <v>4532</v>
      </c>
      <c r="L593">
        <v>3.75</v>
      </c>
      <c r="M593">
        <v>3.75</v>
      </c>
      <c r="N593" t="s">
        <v>2718</v>
      </c>
      <c r="P593" t="s">
        <v>4463</v>
      </c>
    </row>
    <row r="594" spans="1:16" x14ac:dyDescent="0.25">
      <c r="A594" t="s">
        <v>829</v>
      </c>
      <c r="B594" t="str">
        <f>CONCATENATE(A594,88)</f>
        <v>9XP1E86RF9488</v>
      </c>
      <c r="C594" t="s">
        <v>831</v>
      </c>
      <c r="D594" t="s">
        <v>27</v>
      </c>
      <c r="E594" t="s">
        <v>28</v>
      </c>
      <c r="F594" t="s">
        <v>29</v>
      </c>
      <c r="G594" s="1">
        <v>45870</v>
      </c>
      <c r="H594" s="1">
        <v>45658</v>
      </c>
      <c r="I594">
        <v>20411454</v>
      </c>
      <c r="J594" t="s">
        <v>32</v>
      </c>
      <c r="K594" t="s">
        <v>4532</v>
      </c>
      <c r="L594">
        <v>3.75</v>
      </c>
      <c r="M594">
        <v>3.75</v>
      </c>
      <c r="N594" t="s">
        <v>2718</v>
      </c>
      <c r="P594" t="s">
        <v>4464</v>
      </c>
    </row>
    <row r="595" spans="1:16" x14ac:dyDescent="0.25">
      <c r="A595" t="s">
        <v>852</v>
      </c>
      <c r="B595" t="str">
        <f>CONCATENATE(A595,88)</f>
        <v>7V69VC9AE4788</v>
      </c>
      <c r="C595" t="s">
        <v>854</v>
      </c>
      <c r="D595" t="s">
        <v>27</v>
      </c>
      <c r="E595" t="s">
        <v>28</v>
      </c>
      <c r="F595" t="s">
        <v>127</v>
      </c>
      <c r="G595" s="1">
        <v>45870</v>
      </c>
      <c r="H595" s="1">
        <v>45505</v>
      </c>
      <c r="I595">
        <v>20411454</v>
      </c>
      <c r="J595" t="s">
        <v>32</v>
      </c>
      <c r="K595" t="s">
        <v>4532</v>
      </c>
      <c r="L595">
        <v>3.75</v>
      </c>
      <c r="M595">
        <v>3.75</v>
      </c>
      <c r="N595" t="s">
        <v>2718</v>
      </c>
      <c r="P595" t="s">
        <v>4465</v>
      </c>
    </row>
    <row r="596" spans="1:16" x14ac:dyDescent="0.25">
      <c r="A596" t="s">
        <v>877</v>
      </c>
      <c r="B596" t="str">
        <f>CONCATENATE(A596,88)</f>
        <v>2VT5C63WE8588</v>
      </c>
      <c r="C596" t="s">
        <v>879</v>
      </c>
      <c r="D596" t="s">
        <v>27</v>
      </c>
      <c r="E596" t="s">
        <v>28</v>
      </c>
      <c r="F596" t="s">
        <v>29</v>
      </c>
      <c r="G596" s="1">
        <v>45870</v>
      </c>
      <c r="H596" s="1">
        <v>45505</v>
      </c>
      <c r="I596">
        <v>20411454</v>
      </c>
      <c r="J596" t="s">
        <v>32</v>
      </c>
      <c r="K596" t="s">
        <v>4532</v>
      </c>
      <c r="L596">
        <v>3.75</v>
      </c>
      <c r="M596">
        <v>3.75</v>
      </c>
      <c r="N596" t="s">
        <v>2718</v>
      </c>
      <c r="P596" t="s">
        <v>4466</v>
      </c>
    </row>
    <row r="597" spans="1:16" x14ac:dyDescent="0.25">
      <c r="A597" t="s">
        <v>880</v>
      </c>
      <c r="B597" t="str">
        <f>CONCATENATE(A597,88)</f>
        <v>1D22HJ0CH0788</v>
      </c>
      <c r="C597" t="s">
        <v>882</v>
      </c>
      <c r="D597" t="s">
        <v>27</v>
      </c>
      <c r="E597" t="s">
        <v>28</v>
      </c>
      <c r="F597" t="s">
        <v>29</v>
      </c>
      <c r="G597" s="1">
        <v>45870</v>
      </c>
      <c r="H597" s="1">
        <v>45658</v>
      </c>
      <c r="I597">
        <v>20411454</v>
      </c>
      <c r="J597" t="s">
        <v>32</v>
      </c>
      <c r="K597" t="s">
        <v>4532</v>
      </c>
      <c r="L597">
        <v>3.75</v>
      </c>
      <c r="M597">
        <v>3.75</v>
      </c>
      <c r="N597" t="s">
        <v>2718</v>
      </c>
      <c r="P597" t="s">
        <v>4467</v>
      </c>
    </row>
    <row r="598" spans="1:16" x14ac:dyDescent="0.25">
      <c r="A598" t="s">
        <v>938</v>
      </c>
      <c r="B598" t="str">
        <f>CONCATENATE(A598,88)</f>
        <v>3MX1X87JV1388</v>
      </c>
      <c r="C598" t="s">
        <v>940</v>
      </c>
      <c r="D598" t="s">
        <v>27</v>
      </c>
      <c r="E598" t="s">
        <v>28</v>
      </c>
      <c r="F598" t="s">
        <v>29</v>
      </c>
      <c r="G598" s="1">
        <v>45870</v>
      </c>
      <c r="H598" s="1">
        <v>45474</v>
      </c>
      <c r="I598">
        <v>20411454</v>
      </c>
      <c r="J598" t="s">
        <v>32</v>
      </c>
      <c r="K598" t="s">
        <v>4532</v>
      </c>
      <c r="L598">
        <v>3.75</v>
      </c>
      <c r="M598">
        <v>3.75</v>
      </c>
      <c r="N598" t="s">
        <v>2718</v>
      </c>
      <c r="P598" t="s">
        <v>4468</v>
      </c>
    </row>
    <row r="599" spans="1:16" x14ac:dyDescent="0.25">
      <c r="A599" t="s">
        <v>941</v>
      </c>
      <c r="B599" t="str">
        <f>CONCATENATE(A599,88)</f>
        <v>5HP1K23VK1888</v>
      </c>
      <c r="C599" t="s">
        <v>943</v>
      </c>
      <c r="D599" t="s">
        <v>27</v>
      </c>
      <c r="E599" t="s">
        <v>28</v>
      </c>
      <c r="F599" t="s">
        <v>29</v>
      </c>
      <c r="G599" s="1">
        <v>45870</v>
      </c>
      <c r="H599" s="1">
        <v>45566</v>
      </c>
      <c r="I599">
        <v>20411454</v>
      </c>
      <c r="J599" t="s">
        <v>32</v>
      </c>
      <c r="K599" t="s">
        <v>4532</v>
      </c>
      <c r="L599">
        <v>3.75</v>
      </c>
      <c r="M599">
        <v>3.75</v>
      </c>
      <c r="N599" t="s">
        <v>2718</v>
      </c>
      <c r="P599" t="s">
        <v>4469</v>
      </c>
    </row>
    <row r="600" spans="1:16" x14ac:dyDescent="0.25">
      <c r="A600" t="s">
        <v>944</v>
      </c>
      <c r="B600" t="str">
        <f>CONCATENATE(A600,88)</f>
        <v>5MP7WQ3AW3788</v>
      </c>
      <c r="C600" t="s">
        <v>947</v>
      </c>
      <c r="D600" t="s">
        <v>27</v>
      </c>
      <c r="E600" t="s">
        <v>28</v>
      </c>
      <c r="F600" t="s">
        <v>29</v>
      </c>
      <c r="G600" s="1">
        <v>45870</v>
      </c>
      <c r="H600" s="1">
        <v>43678</v>
      </c>
      <c r="I600">
        <v>20411454</v>
      </c>
      <c r="J600" t="s">
        <v>32</v>
      </c>
      <c r="K600" t="s">
        <v>4532</v>
      </c>
      <c r="L600">
        <v>3.75</v>
      </c>
      <c r="M600">
        <v>3.75</v>
      </c>
      <c r="N600" t="s">
        <v>2718</v>
      </c>
      <c r="P600" t="s">
        <v>4470</v>
      </c>
    </row>
    <row r="601" spans="1:16" x14ac:dyDescent="0.25">
      <c r="A601" t="s">
        <v>1122</v>
      </c>
      <c r="B601" t="str">
        <f>CONCATENATE(A601,88)</f>
        <v>7QA0WA6FV1588</v>
      </c>
      <c r="C601" t="s">
        <v>1124</v>
      </c>
      <c r="D601" t="s">
        <v>27</v>
      </c>
      <c r="E601" t="s">
        <v>28</v>
      </c>
      <c r="F601" t="s">
        <v>29</v>
      </c>
      <c r="G601" s="1">
        <v>45870</v>
      </c>
      <c r="H601" s="1">
        <v>45413</v>
      </c>
      <c r="I601">
        <v>20411454</v>
      </c>
      <c r="J601" t="s">
        <v>32</v>
      </c>
      <c r="K601" t="s">
        <v>4532</v>
      </c>
      <c r="L601">
        <v>3.75</v>
      </c>
      <c r="M601">
        <v>3.75</v>
      </c>
      <c r="N601" t="s">
        <v>2718</v>
      </c>
      <c r="P601" t="s">
        <v>4471</v>
      </c>
    </row>
    <row r="602" spans="1:16" x14ac:dyDescent="0.25">
      <c r="A602" t="s">
        <v>1164</v>
      </c>
      <c r="B602" t="str">
        <f>CONCATENATE(A602,88)</f>
        <v>7FM0MQ1AQ2988</v>
      </c>
      <c r="C602" t="s">
        <v>1166</v>
      </c>
      <c r="D602" t="s">
        <v>27</v>
      </c>
      <c r="E602" t="s">
        <v>28</v>
      </c>
      <c r="F602" t="s">
        <v>29</v>
      </c>
      <c r="G602" s="1">
        <v>45870</v>
      </c>
      <c r="H602" s="1">
        <v>45413</v>
      </c>
      <c r="I602">
        <v>20411454</v>
      </c>
      <c r="J602" t="s">
        <v>32</v>
      </c>
      <c r="K602" t="s">
        <v>4532</v>
      </c>
      <c r="L602">
        <v>3.75</v>
      </c>
      <c r="M602">
        <v>3.75</v>
      </c>
      <c r="N602" t="s">
        <v>2718</v>
      </c>
      <c r="P602" t="s">
        <v>4472</v>
      </c>
    </row>
    <row r="603" spans="1:16" x14ac:dyDescent="0.25">
      <c r="A603" t="s">
        <v>1190</v>
      </c>
      <c r="B603" t="str">
        <f>CONCATENATE(A603,88)</f>
        <v>2VE7DH6FN4288</v>
      </c>
      <c r="C603" t="s">
        <v>1192</v>
      </c>
      <c r="D603" t="s">
        <v>27</v>
      </c>
      <c r="E603" t="s">
        <v>28</v>
      </c>
      <c r="F603" t="s">
        <v>29</v>
      </c>
      <c r="G603" s="1">
        <v>45870</v>
      </c>
      <c r="H603" s="1">
        <v>45566</v>
      </c>
      <c r="I603">
        <v>20411454</v>
      </c>
      <c r="J603" t="s">
        <v>32</v>
      </c>
      <c r="K603" t="s">
        <v>4532</v>
      </c>
      <c r="L603">
        <v>3.75</v>
      </c>
      <c r="M603">
        <v>3.75</v>
      </c>
      <c r="N603" t="s">
        <v>2718</v>
      </c>
      <c r="P603" t="s">
        <v>4473</v>
      </c>
    </row>
    <row r="604" spans="1:16" x14ac:dyDescent="0.25">
      <c r="A604" t="s">
        <v>1196</v>
      </c>
      <c r="B604" t="str">
        <f>CONCATENATE(A604,88)</f>
        <v>4XF8RJ1PX5188</v>
      </c>
      <c r="C604" t="s">
        <v>1198</v>
      </c>
      <c r="D604" t="s">
        <v>27</v>
      </c>
      <c r="E604" t="s">
        <v>28</v>
      </c>
      <c r="F604" t="s">
        <v>29</v>
      </c>
      <c r="G604" s="1">
        <v>45870</v>
      </c>
      <c r="H604" s="1">
        <v>45444</v>
      </c>
      <c r="I604">
        <v>20411454</v>
      </c>
      <c r="J604" t="s">
        <v>32</v>
      </c>
      <c r="K604" t="s">
        <v>4532</v>
      </c>
      <c r="L604">
        <v>3.75</v>
      </c>
      <c r="M604">
        <v>3.75</v>
      </c>
      <c r="N604" t="s">
        <v>2718</v>
      </c>
      <c r="P604" t="s">
        <v>4474</v>
      </c>
    </row>
    <row r="605" spans="1:16" x14ac:dyDescent="0.25">
      <c r="A605" t="s">
        <v>1277</v>
      </c>
      <c r="B605" t="str">
        <f>CONCATENATE(A605,88)</f>
        <v>2R73EH3MJ9288</v>
      </c>
      <c r="C605" t="s">
        <v>1279</v>
      </c>
      <c r="D605" t="s">
        <v>27</v>
      </c>
      <c r="E605" t="s">
        <v>28</v>
      </c>
      <c r="F605" t="s">
        <v>29</v>
      </c>
      <c r="G605" s="1">
        <v>45870</v>
      </c>
      <c r="H605" s="1">
        <v>45505</v>
      </c>
      <c r="I605">
        <v>20411454</v>
      </c>
      <c r="J605" t="s">
        <v>32</v>
      </c>
      <c r="K605" t="s">
        <v>4532</v>
      </c>
      <c r="L605">
        <v>3.75</v>
      </c>
      <c r="M605">
        <v>3.75</v>
      </c>
      <c r="N605" t="s">
        <v>2718</v>
      </c>
      <c r="P605" t="s">
        <v>4475</v>
      </c>
    </row>
    <row r="606" spans="1:16" x14ac:dyDescent="0.25">
      <c r="A606" t="s">
        <v>1292</v>
      </c>
      <c r="B606" t="str">
        <f>CONCATENATE(A606,88)</f>
        <v>8E98U89GG5388</v>
      </c>
      <c r="C606" t="s">
        <v>1294</v>
      </c>
      <c r="D606" t="s">
        <v>27</v>
      </c>
      <c r="E606" t="s">
        <v>28</v>
      </c>
      <c r="F606" t="s">
        <v>29</v>
      </c>
      <c r="G606" s="1">
        <v>45870</v>
      </c>
      <c r="H606" s="1">
        <v>45413</v>
      </c>
      <c r="I606">
        <v>20411454</v>
      </c>
      <c r="J606" t="s">
        <v>32</v>
      </c>
      <c r="K606" t="s">
        <v>4532</v>
      </c>
      <c r="L606">
        <v>3.75</v>
      </c>
      <c r="M606">
        <v>3.75</v>
      </c>
      <c r="N606" t="s">
        <v>2718</v>
      </c>
      <c r="P606" t="s">
        <v>4476</v>
      </c>
    </row>
    <row r="607" spans="1:16" x14ac:dyDescent="0.25">
      <c r="A607" t="s">
        <v>1307</v>
      </c>
      <c r="B607" t="str">
        <f>CONCATENATE(A607,88)</f>
        <v>8QE2HN4AP9288</v>
      </c>
      <c r="C607" t="s">
        <v>1309</v>
      </c>
      <c r="D607" t="s">
        <v>27</v>
      </c>
      <c r="E607" t="s">
        <v>28</v>
      </c>
      <c r="F607" t="s">
        <v>29</v>
      </c>
      <c r="G607" s="1">
        <v>45870</v>
      </c>
      <c r="H607" s="1">
        <v>45383</v>
      </c>
      <c r="I607">
        <v>20411454</v>
      </c>
      <c r="J607" t="s">
        <v>32</v>
      </c>
      <c r="K607" t="s">
        <v>4532</v>
      </c>
      <c r="L607">
        <v>3.75</v>
      </c>
      <c r="M607">
        <v>3.75</v>
      </c>
      <c r="N607" t="s">
        <v>2718</v>
      </c>
      <c r="P607" t="s">
        <v>4477</v>
      </c>
    </row>
    <row r="608" spans="1:16" x14ac:dyDescent="0.25">
      <c r="A608" t="s">
        <v>1310</v>
      </c>
      <c r="B608" t="str">
        <f>CONCATENATE(A608,88)</f>
        <v>5AG3VU4MT9088</v>
      </c>
      <c r="C608" t="s">
        <v>1312</v>
      </c>
      <c r="D608" t="s">
        <v>27</v>
      </c>
      <c r="E608" t="s">
        <v>28</v>
      </c>
      <c r="F608" t="s">
        <v>29</v>
      </c>
      <c r="G608" s="1">
        <v>45870</v>
      </c>
      <c r="H608" s="1">
        <v>45383</v>
      </c>
      <c r="I608">
        <v>20411454</v>
      </c>
      <c r="J608" t="s">
        <v>32</v>
      </c>
      <c r="K608" t="s">
        <v>4532</v>
      </c>
      <c r="L608">
        <v>3.75</v>
      </c>
      <c r="M608">
        <v>3.75</v>
      </c>
      <c r="N608" t="s">
        <v>2718</v>
      </c>
      <c r="P608" t="s">
        <v>4478</v>
      </c>
    </row>
    <row r="609" spans="1:16" x14ac:dyDescent="0.25">
      <c r="A609" t="s">
        <v>1330</v>
      </c>
      <c r="B609" t="str">
        <f>CONCATENATE(A609,88)</f>
        <v>6C37PM0KP7388</v>
      </c>
      <c r="C609" t="s">
        <v>1332</v>
      </c>
      <c r="D609" t="s">
        <v>27</v>
      </c>
      <c r="E609" t="s">
        <v>28</v>
      </c>
      <c r="F609" t="s">
        <v>29</v>
      </c>
      <c r="G609" s="1">
        <v>45870</v>
      </c>
      <c r="H609" s="1">
        <v>45444</v>
      </c>
      <c r="I609">
        <v>20411454</v>
      </c>
      <c r="J609" t="s">
        <v>32</v>
      </c>
      <c r="K609" t="s">
        <v>4532</v>
      </c>
      <c r="L609">
        <v>3.75</v>
      </c>
      <c r="M609">
        <v>3.75</v>
      </c>
      <c r="N609" t="s">
        <v>2718</v>
      </c>
      <c r="P609" t="s">
        <v>4479</v>
      </c>
    </row>
    <row r="610" spans="1:16" x14ac:dyDescent="0.25">
      <c r="A610" t="s">
        <v>1388</v>
      </c>
      <c r="B610" t="str">
        <f>CONCATENATE(A610,88)</f>
        <v>2CF7H33XG6088</v>
      </c>
      <c r="C610" t="s">
        <v>1390</v>
      </c>
      <c r="D610" t="s">
        <v>27</v>
      </c>
      <c r="E610" t="s">
        <v>28</v>
      </c>
      <c r="F610" t="s">
        <v>29</v>
      </c>
      <c r="G610" s="1">
        <v>45870</v>
      </c>
      <c r="H610" s="1">
        <v>45658</v>
      </c>
      <c r="I610">
        <v>20411454</v>
      </c>
      <c r="J610" t="s">
        <v>32</v>
      </c>
      <c r="K610" t="s">
        <v>4532</v>
      </c>
      <c r="L610">
        <v>3.75</v>
      </c>
      <c r="M610">
        <v>3.75</v>
      </c>
      <c r="N610" t="s">
        <v>2718</v>
      </c>
      <c r="P610" t="s">
        <v>4480</v>
      </c>
    </row>
    <row r="611" spans="1:16" x14ac:dyDescent="0.25">
      <c r="A611" t="s">
        <v>1410</v>
      </c>
      <c r="B611" t="str">
        <f>CONCATENATE(A611,88)</f>
        <v>3X95V27VX5688</v>
      </c>
      <c r="C611" t="s">
        <v>1412</v>
      </c>
      <c r="D611" t="s">
        <v>27</v>
      </c>
      <c r="E611" t="s">
        <v>28</v>
      </c>
      <c r="F611" t="s">
        <v>29</v>
      </c>
      <c r="G611" s="1">
        <v>45870</v>
      </c>
      <c r="H611" s="1">
        <v>45352</v>
      </c>
      <c r="I611">
        <v>20411454</v>
      </c>
      <c r="J611" t="s">
        <v>32</v>
      </c>
      <c r="K611" t="s">
        <v>4532</v>
      </c>
      <c r="L611">
        <v>3.75</v>
      </c>
      <c r="M611">
        <v>3.75</v>
      </c>
      <c r="N611" t="s">
        <v>2718</v>
      </c>
      <c r="P611" t="s">
        <v>4481</v>
      </c>
    </row>
    <row r="612" spans="1:16" x14ac:dyDescent="0.25">
      <c r="A612" t="s">
        <v>1455</v>
      </c>
      <c r="B612" t="str">
        <f>CONCATENATE(A612,88)</f>
        <v>3RC3CR8JM8988</v>
      </c>
      <c r="C612" t="s">
        <v>1457</v>
      </c>
      <c r="D612" t="s">
        <v>27</v>
      </c>
      <c r="E612" t="s">
        <v>28</v>
      </c>
      <c r="F612" t="s">
        <v>29</v>
      </c>
      <c r="G612" s="1">
        <v>45870</v>
      </c>
      <c r="H612" s="1">
        <v>45536</v>
      </c>
      <c r="I612">
        <v>20411454</v>
      </c>
      <c r="J612" t="s">
        <v>32</v>
      </c>
      <c r="K612" t="s">
        <v>4532</v>
      </c>
      <c r="L612">
        <v>3.75</v>
      </c>
      <c r="M612">
        <v>3.75</v>
      </c>
      <c r="N612" t="s">
        <v>2718</v>
      </c>
      <c r="P612" t="s">
        <v>4482</v>
      </c>
    </row>
    <row r="613" spans="1:16" x14ac:dyDescent="0.25">
      <c r="A613" t="s">
        <v>1466</v>
      </c>
      <c r="B613" t="str">
        <f>CONCATENATE(A613,88)</f>
        <v>8C73AW7XK0388</v>
      </c>
      <c r="C613" t="s">
        <v>1468</v>
      </c>
      <c r="D613" t="s">
        <v>27</v>
      </c>
      <c r="E613" t="s">
        <v>28</v>
      </c>
      <c r="F613" t="s">
        <v>29</v>
      </c>
      <c r="G613" s="1">
        <v>45870</v>
      </c>
      <c r="H613" s="1">
        <v>45536</v>
      </c>
      <c r="I613">
        <v>20411454</v>
      </c>
      <c r="J613" t="s">
        <v>32</v>
      </c>
      <c r="K613" t="s">
        <v>4532</v>
      </c>
      <c r="L613">
        <v>3.75</v>
      </c>
      <c r="M613">
        <v>3.75</v>
      </c>
      <c r="N613" t="s">
        <v>2718</v>
      </c>
      <c r="P613" t="s">
        <v>4483</v>
      </c>
    </row>
    <row r="614" spans="1:16" x14ac:dyDescent="0.25">
      <c r="A614" t="s">
        <v>1500</v>
      </c>
      <c r="B614" t="str">
        <f>CONCATENATE(A614,88)</f>
        <v>5K19TP6EA5988</v>
      </c>
      <c r="C614" t="s">
        <v>1502</v>
      </c>
      <c r="D614" t="s">
        <v>27</v>
      </c>
      <c r="E614" t="s">
        <v>28</v>
      </c>
      <c r="F614" t="s">
        <v>29</v>
      </c>
      <c r="G614" s="1">
        <v>45870</v>
      </c>
      <c r="H614" s="1">
        <v>45597</v>
      </c>
      <c r="I614">
        <v>20411454</v>
      </c>
      <c r="J614" t="s">
        <v>32</v>
      </c>
      <c r="K614" t="s">
        <v>4532</v>
      </c>
      <c r="L614">
        <v>3.75</v>
      </c>
      <c r="M614">
        <v>3.75</v>
      </c>
      <c r="N614" t="s">
        <v>2718</v>
      </c>
      <c r="P614" t="s">
        <v>4484</v>
      </c>
    </row>
    <row r="615" spans="1:16" x14ac:dyDescent="0.25">
      <c r="A615" t="s">
        <v>1525</v>
      </c>
      <c r="B615" t="str">
        <f>CONCATENATE(A615,88)</f>
        <v>3QD8P54FT3588</v>
      </c>
      <c r="C615" t="s">
        <v>1527</v>
      </c>
      <c r="D615" t="s">
        <v>27</v>
      </c>
      <c r="E615" t="s">
        <v>28</v>
      </c>
      <c r="F615" t="s">
        <v>29</v>
      </c>
      <c r="G615" s="1">
        <v>45870</v>
      </c>
      <c r="H615" s="1">
        <v>45505</v>
      </c>
      <c r="I615">
        <v>20411454</v>
      </c>
      <c r="J615" t="s">
        <v>32</v>
      </c>
      <c r="K615" t="s">
        <v>4532</v>
      </c>
      <c r="L615">
        <v>3.75</v>
      </c>
      <c r="M615">
        <v>3.75</v>
      </c>
      <c r="N615" t="s">
        <v>2718</v>
      </c>
      <c r="P615" t="s">
        <v>4485</v>
      </c>
    </row>
    <row r="616" spans="1:16" x14ac:dyDescent="0.25">
      <c r="A616" t="s">
        <v>1537</v>
      </c>
      <c r="B616" t="str">
        <f>CONCATENATE(A616,88)</f>
        <v>2XN7V29RG4488</v>
      </c>
      <c r="C616" t="s">
        <v>1539</v>
      </c>
      <c r="D616" t="s">
        <v>27</v>
      </c>
      <c r="E616" t="s">
        <v>28</v>
      </c>
      <c r="F616" t="s">
        <v>127</v>
      </c>
      <c r="G616" s="1">
        <v>45870</v>
      </c>
      <c r="H616" s="1">
        <v>45597</v>
      </c>
      <c r="I616">
        <v>20411454</v>
      </c>
      <c r="J616" t="s">
        <v>32</v>
      </c>
      <c r="K616" t="s">
        <v>4532</v>
      </c>
      <c r="L616">
        <v>3.75</v>
      </c>
      <c r="M616">
        <v>3.75</v>
      </c>
      <c r="N616" t="s">
        <v>2718</v>
      </c>
      <c r="P616" t="s">
        <v>4486</v>
      </c>
    </row>
    <row r="617" spans="1:16" x14ac:dyDescent="0.25">
      <c r="A617" t="s">
        <v>1601</v>
      </c>
      <c r="B617" t="str">
        <f>CONCATENATE(A617,88)</f>
        <v>6RJ8P24FD6788</v>
      </c>
      <c r="C617" t="s">
        <v>1603</v>
      </c>
      <c r="D617" t="s">
        <v>27</v>
      </c>
      <c r="E617" t="s">
        <v>28</v>
      </c>
      <c r="F617" t="s">
        <v>29</v>
      </c>
      <c r="G617" s="1">
        <v>45870</v>
      </c>
      <c r="H617" s="1">
        <v>45658</v>
      </c>
      <c r="I617">
        <v>20411454</v>
      </c>
      <c r="J617" t="s">
        <v>32</v>
      </c>
      <c r="K617" t="s">
        <v>4532</v>
      </c>
      <c r="L617">
        <v>3.75</v>
      </c>
      <c r="M617">
        <v>3.75</v>
      </c>
      <c r="N617" t="s">
        <v>2718</v>
      </c>
      <c r="P617" t="s">
        <v>4487</v>
      </c>
    </row>
    <row r="618" spans="1:16" x14ac:dyDescent="0.25">
      <c r="A618" t="s">
        <v>1604</v>
      </c>
      <c r="B618" t="str">
        <f>CONCATENATE(A618,88)</f>
        <v>5NV6WM2JD6688</v>
      </c>
      <c r="C618" t="s">
        <v>1606</v>
      </c>
      <c r="D618" t="s">
        <v>27</v>
      </c>
      <c r="E618" t="s">
        <v>28</v>
      </c>
      <c r="F618" t="s">
        <v>29</v>
      </c>
      <c r="G618" s="1">
        <v>45870</v>
      </c>
      <c r="H618" s="1">
        <v>45444</v>
      </c>
      <c r="I618">
        <v>20411454</v>
      </c>
      <c r="J618" t="s">
        <v>32</v>
      </c>
      <c r="K618" t="s">
        <v>4532</v>
      </c>
      <c r="L618">
        <v>3.75</v>
      </c>
      <c r="M618">
        <v>3.75</v>
      </c>
      <c r="N618" t="s">
        <v>2718</v>
      </c>
      <c r="P618" t="s">
        <v>4488</v>
      </c>
    </row>
    <row r="619" spans="1:16" x14ac:dyDescent="0.25">
      <c r="A619" t="s">
        <v>1619</v>
      </c>
      <c r="B619" t="str">
        <f>CONCATENATE(A619,88)</f>
        <v>4VP5R20FP6188</v>
      </c>
      <c r="C619" t="s">
        <v>1621</v>
      </c>
      <c r="D619" t="s">
        <v>27</v>
      </c>
      <c r="E619" t="s">
        <v>28</v>
      </c>
      <c r="F619" t="s">
        <v>29</v>
      </c>
      <c r="G619" s="1">
        <v>45870</v>
      </c>
      <c r="H619" s="1">
        <v>45505</v>
      </c>
      <c r="I619">
        <v>20411454</v>
      </c>
      <c r="J619" t="s">
        <v>32</v>
      </c>
      <c r="K619" t="s">
        <v>4532</v>
      </c>
      <c r="L619">
        <v>3.75</v>
      </c>
      <c r="M619">
        <v>3.75</v>
      </c>
      <c r="N619" t="s">
        <v>2718</v>
      </c>
      <c r="P619" t="s">
        <v>4489</v>
      </c>
    </row>
    <row r="620" spans="1:16" x14ac:dyDescent="0.25">
      <c r="A620" t="s">
        <v>1632</v>
      </c>
      <c r="B620" t="str">
        <f>CONCATENATE(A620,88)</f>
        <v>8CQ3JV9AT9588</v>
      </c>
      <c r="C620" t="s">
        <v>1634</v>
      </c>
      <c r="D620" t="s">
        <v>27</v>
      </c>
      <c r="E620" t="s">
        <v>28</v>
      </c>
      <c r="F620" t="s">
        <v>29</v>
      </c>
      <c r="G620" s="1">
        <v>45870</v>
      </c>
      <c r="H620" s="1">
        <v>45505</v>
      </c>
      <c r="I620">
        <v>20411454</v>
      </c>
      <c r="J620" t="s">
        <v>32</v>
      </c>
      <c r="K620" t="s">
        <v>4532</v>
      </c>
      <c r="L620">
        <v>3.75</v>
      </c>
      <c r="M620">
        <v>3.75</v>
      </c>
      <c r="N620" t="s">
        <v>2718</v>
      </c>
      <c r="P620" t="s">
        <v>4490</v>
      </c>
    </row>
    <row r="621" spans="1:16" x14ac:dyDescent="0.25">
      <c r="A621" t="s">
        <v>1654</v>
      </c>
      <c r="B621" t="str">
        <f>CONCATENATE(A621,88)</f>
        <v>2N77KM1WA6588</v>
      </c>
      <c r="C621" t="s">
        <v>1656</v>
      </c>
      <c r="D621" t="s">
        <v>27</v>
      </c>
      <c r="E621" t="s">
        <v>28</v>
      </c>
      <c r="F621" t="s">
        <v>29</v>
      </c>
      <c r="G621" s="1">
        <v>45870</v>
      </c>
      <c r="H621" s="1">
        <v>45536</v>
      </c>
      <c r="I621">
        <v>20411454</v>
      </c>
      <c r="J621" t="s">
        <v>32</v>
      </c>
      <c r="K621" t="s">
        <v>4532</v>
      </c>
      <c r="L621">
        <v>3.75</v>
      </c>
      <c r="M621">
        <v>3.75</v>
      </c>
      <c r="N621" t="s">
        <v>2718</v>
      </c>
      <c r="P621" t="s">
        <v>4491</v>
      </c>
    </row>
    <row r="622" spans="1:16" x14ac:dyDescent="0.25">
      <c r="A622" t="s">
        <v>1679</v>
      </c>
      <c r="B622" t="str">
        <f>CONCATENATE(A622,88)</f>
        <v>9V87W77WW4488</v>
      </c>
      <c r="C622" t="s">
        <v>1681</v>
      </c>
      <c r="D622" t="s">
        <v>27</v>
      </c>
      <c r="E622" t="s">
        <v>28</v>
      </c>
      <c r="F622" t="s">
        <v>29</v>
      </c>
      <c r="G622" s="1">
        <v>45870</v>
      </c>
      <c r="H622" s="1">
        <v>44287</v>
      </c>
      <c r="I622">
        <v>20411454</v>
      </c>
      <c r="J622" t="s">
        <v>32</v>
      </c>
      <c r="K622" t="s">
        <v>4532</v>
      </c>
      <c r="L622">
        <v>3.75</v>
      </c>
      <c r="M622">
        <v>3.75</v>
      </c>
      <c r="N622" t="s">
        <v>2718</v>
      </c>
      <c r="P622" t="s">
        <v>4492</v>
      </c>
    </row>
    <row r="623" spans="1:16" x14ac:dyDescent="0.25">
      <c r="A623" t="s">
        <v>1747</v>
      </c>
      <c r="B623" t="str">
        <f>CONCATENATE(A623,88)</f>
        <v>4X42HK8WF9788</v>
      </c>
      <c r="C623" t="s">
        <v>1749</v>
      </c>
      <c r="D623" t="s">
        <v>27</v>
      </c>
      <c r="E623" t="s">
        <v>28</v>
      </c>
      <c r="F623" t="s">
        <v>29</v>
      </c>
      <c r="G623" s="1">
        <v>45870</v>
      </c>
      <c r="H623" s="1">
        <v>44562</v>
      </c>
      <c r="I623">
        <v>20411454</v>
      </c>
      <c r="J623" t="s">
        <v>32</v>
      </c>
      <c r="K623" t="s">
        <v>4532</v>
      </c>
      <c r="L623">
        <v>3.75</v>
      </c>
      <c r="M623">
        <v>3.75</v>
      </c>
      <c r="N623" t="s">
        <v>2718</v>
      </c>
      <c r="P623" t="s">
        <v>4493</v>
      </c>
    </row>
    <row r="624" spans="1:16" x14ac:dyDescent="0.25">
      <c r="A624" t="s">
        <v>1788</v>
      </c>
      <c r="B624" t="str">
        <f>CONCATENATE(A624,88)</f>
        <v>6J52DP5UT9888</v>
      </c>
      <c r="C624" t="s">
        <v>1790</v>
      </c>
      <c r="D624" t="s">
        <v>27</v>
      </c>
      <c r="E624" t="s">
        <v>28</v>
      </c>
      <c r="F624" t="s">
        <v>127</v>
      </c>
      <c r="G624" s="1">
        <v>45870</v>
      </c>
      <c r="H624" s="1">
        <v>45505</v>
      </c>
      <c r="I624">
        <v>20411454</v>
      </c>
      <c r="J624" t="s">
        <v>32</v>
      </c>
      <c r="K624" t="s">
        <v>4532</v>
      </c>
      <c r="L624">
        <v>3.75</v>
      </c>
      <c r="M624">
        <v>3.75</v>
      </c>
      <c r="N624" t="s">
        <v>2718</v>
      </c>
      <c r="P624" t="s">
        <v>4494</v>
      </c>
    </row>
    <row r="625" spans="1:16" x14ac:dyDescent="0.25">
      <c r="A625" t="s">
        <v>1871</v>
      </c>
      <c r="B625" t="str">
        <f>CONCATENATE(A625,88)</f>
        <v>6MH7X95HX5388</v>
      </c>
      <c r="C625" t="s">
        <v>1873</v>
      </c>
      <c r="D625" t="s">
        <v>27</v>
      </c>
      <c r="E625" t="s">
        <v>28</v>
      </c>
      <c r="F625" t="s">
        <v>29</v>
      </c>
      <c r="G625" s="1">
        <v>45870</v>
      </c>
      <c r="H625" s="1">
        <v>45352</v>
      </c>
      <c r="I625">
        <v>20411454</v>
      </c>
      <c r="J625" t="s">
        <v>32</v>
      </c>
      <c r="K625" t="s">
        <v>4532</v>
      </c>
      <c r="L625">
        <v>3.75</v>
      </c>
      <c r="M625">
        <v>3.75</v>
      </c>
      <c r="N625" t="s">
        <v>2718</v>
      </c>
      <c r="P625" t="s">
        <v>4495</v>
      </c>
    </row>
    <row r="626" spans="1:16" x14ac:dyDescent="0.25">
      <c r="A626" t="s">
        <v>1874</v>
      </c>
      <c r="B626" t="str">
        <f>CONCATENATE(A626,88)</f>
        <v>4JK9FD8TC2888</v>
      </c>
      <c r="C626" t="s">
        <v>1876</v>
      </c>
      <c r="D626" t="s">
        <v>27</v>
      </c>
      <c r="E626" t="s">
        <v>28</v>
      </c>
      <c r="F626" t="s">
        <v>29</v>
      </c>
      <c r="G626" s="1">
        <v>45870</v>
      </c>
      <c r="H626" s="1">
        <v>45352</v>
      </c>
      <c r="I626">
        <v>20411454</v>
      </c>
      <c r="J626" t="s">
        <v>32</v>
      </c>
      <c r="K626" t="s">
        <v>4532</v>
      </c>
      <c r="L626">
        <v>3.75</v>
      </c>
      <c r="M626">
        <v>3.75</v>
      </c>
      <c r="N626" t="s">
        <v>2718</v>
      </c>
      <c r="P626" t="s">
        <v>4496</v>
      </c>
    </row>
    <row r="627" spans="1:16" x14ac:dyDescent="0.25">
      <c r="A627" t="s">
        <v>1942</v>
      </c>
      <c r="B627" t="str">
        <f>CONCATENATE(A627,88)</f>
        <v>4W53A67EF7088</v>
      </c>
      <c r="C627" t="s">
        <v>1944</v>
      </c>
      <c r="D627" t="s">
        <v>27</v>
      </c>
      <c r="E627" t="s">
        <v>28</v>
      </c>
      <c r="F627" t="s">
        <v>29</v>
      </c>
      <c r="G627" s="1">
        <v>45870</v>
      </c>
      <c r="H627" s="1">
        <v>45566</v>
      </c>
      <c r="I627">
        <v>20411454</v>
      </c>
      <c r="J627" t="s">
        <v>32</v>
      </c>
      <c r="K627" t="s">
        <v>4532</v>
      </c>
      <c r="L627">
        <v>3.75</v>
      </c>
      <c r="M627">
        <v>3.75</v>
      </c>
      <c r="N627" t="s">
        <v>2718</v>
      </c>
      <c r="P627" t="s">
        <v>4497</v>
      </c>
    </row>
    <row r="628" spans="1:16" x14ac:dyDescent="0.25">
      <c r="A628" t="s">
        <v>1991</v>
      </c>
      <c r="B628" t="str">
        <f>CONCATENATE(A628,88)</f>
        <v>9E39JQ0GP4388</v>
      </c>
      <c r="C628" t="s">
        <v>1993</v>
      </c>
      <c r="D628" t="s">
        <v>27</v>
      </c>
      <c r="E628" t="s">
        <v>28</v>
      </c>
      <c r="F628" t="s">
        <v>29</v>
      </c>
      <c r="G628" s="1">
        <v>45870</v>
      </c>
      <c r="H628" s="1">
        <v>45505</v>
      </c>
      <c r="I628">
        <v>20411454</v>
      </c>
      <c r="J628" t="s">
        <v>32</v>
      </c>
      <c r="K628" t="s">
        <v>4532</v>
      </c>
      <c r="L628">
        <v>3.75</v>
      </c>
      <c r="M628">
        <v>3.75</v>
      </c>
      <c r="N628" t="s">
        <v>2718</v>
      </c>
      <c r="P628" t="s">
        <v>4498</v>
      </c>
    </row>
    <row r="629" spans="1:16" x14ac:dyDescent="0.25">
      <c r="A629" t="s">
        <v>2026</v>
      </c>
      <c r="B629" t="str">
        <f>CONCATENATE(A629,88)</f>
        <v>6Y98KV3KP3988</v>
      </c>
      <c r="C629" t="s">
        <v>2028</v>
      </c>
      <c r="D629" t="s">
        <v>27</v>
      </c>
      <c r="E629" t="s">
        <v>28</v>
      </c>
      <c r="F629" t="s">
        <v>29</v>
      </c>
      <c r="G629" s="1">
        <v>45870</v>
      </c>
      <c r="H629" s="1">
        <v>45444</v>
      </c>
      <c r="I629">
        <v>20411454</v>
      </c>
      <c r="J629" t="s">
        <v>32</v>
      </c>
      <c r="K629" t="s">
        <v>4532</v>
      </c>
      <c r="L629">
        <v>3.75</v>
      </c>
      <c r="M629">
        <v>3.75</v>
      </c>
      <c r="N629" t="s">
        <v>2718</v>
      </c>
      <c r="P629" t="s">
        <v>4499</v>
      </c>
    </row>
    <row r="630" spans="1:16" x14ac:dyDescent="0.25">
      <c r="A630" t="s">
        <v>2065</v>
      </c>
      <c r="B630" t="str">
        <f>CONCATENATE(A630,88)</f>
        <v>6RP5EM0RV9688</v>
      </c>
      <c r="C630" t="s">
        <v>2067</v>
      </c>
      <c r="D630" t="s">
        <v>27</v>
      </c>
      <c r="E630" t="s">
        <v>28</v>
      </c>
      <c r="F630" t="s">
        <v>29</v>
      </c>
      <c r="G630" s="1">
        <v>45870</v>
      </c>
      <c r="H630" s="1">
        <v>45383</v>
      </c>
      <c r="I630">
        <v>20411454</v>
      </c>
      <c r="J630" t="s">
        <v>32</v>
      </c>
      <c r="K630" t="s">
        <v>4532</v>
      </c>
      <c r="L630">
        <v>3.75</v>
      </c>
      <c r="M630">
        <v>3.75</v>
      </c>
      <c r="N630" t="s">
        <v>2718</v>
      </c>
      <c r="P630" t="s">
        <v>4500</v>
      </c>
    </row>
    <row r="631" spans="1:16" x14ac:dyDescent="0.25">
      <c r="A631" t="s">
        <v>2105</v>
      </c>
      <c r="B631" t="str">
        <f>CONCATENATE(A631,88)</f>
        <v>3CE0N42FH1888</v>
      </c>
      <c r="C631" t="s">
        <v>2107</v>
      </c>
      <c r="D631" t="s">
        <v>27</v>
      </c>
      <c r="E631" t="s">
        <v>28</v>
      </c>
      <c r="F631" t="s">
        <v>29</v>
      </c>
      <c r="G631" s="1">
        <v>45870</v>
      </c>
      <c r="H631" s="1">
        <v>45536</v>
      </c>
      <c r="I631">
        <v>20411454</v>
      </c>
      <c r="J631" t="s">
        <v>32</v>
      </c>
      <c r="K631" t="s">
        <v>4532</v>
      </c>
      <c r="L631">
        <v>3.75</v>
      </c>
      <c r="M631">
        <v>3.75</v>
      </c>
      <c r="N631" t="s">
        <v>2718</v>
      </c>
      <c r="P631" t="s">
        <v>4501</v>
      </c>
    </row>
    <row r="632" spans="1:16" x14ac:dyDescent="0.25">
      <c r="A632" t="s">
        <v>2152</v>
      </c>
      <c r="B632" t="str">
        <f>CONCATENATE(A632,88)</f>
        <v>2D88T77GP3088</v>
      </c>
      <c r="C632" t="s">
        <v>2154</v>
      </c>
      <c r="D632" t="s">
        <v>27</v>
      </c>
      <c r="E632" t="s">
        <v>28</v>
      </c>
      <c r="F632" t="s">
        <v>29</v>
      </c>
      <c r="G632" s="1">
        <v>45870</v>
      </c>
      <c r="H632" s="1">
        <v>45292</v>
      </c>
      <c r="I632">
        <v>20411454</v>
      </c>
      <c r="J632" t="s">
        <v>247</v>
      </c>
      <c r="K632" t="s">
        <v>4532</v>
      </c>
      <c r="L632">
        <v>3.75</v>
      </c>
      <c r="M632">
        <v>3.75</v>
      </c>
      <c r="N632" t="s">
        <v>2718</v>
      </c>
      <c r="P632" t="s">
        <v>4502</v>
      </c>
    </row>
    <row r="633" spans="1:16" x14ac:dyDescent="0.25">
      <c r="A633" t="s">
        <v>2170</v>
      </c>
      <c r="B633" t="str">
        <f>CONCATENATE(A633,88)</f>
        <v>6PE9JJ1AK3988</v>
      </c>
      <c r="C633" t="s">
        <v>2172</v>
      </c>
      <c r="D633" t="s">
        <v>27</v>
      </c>
      <c r="E633" t="s">
        <v>28</v>
      </c>
      <c r="F633" t="s">
        <v>29</v>
      </c>
      <c r="G633" s="1">
        <v>45870</v>
      </c>
      <c r="H633" s="1">
        <v>45383</v>
      </c>
      <c r="I633">
        <v>20411454</v>
      </c>
      <c r="J633" t="s">
        <v>32</v>
      </c>
      <c r="K633" t="s">
        <v>4532</v>
      </c>
      <c r="L633">
        <v>3.75</v>
      </c>
      <c r="M633">
        <v>3.75</v>
      </c>
      <c r="N633" t="s">
        <v>2718</v>
      </c>
      <c r="P633" t="s">
        <v>4503</v>
      </c>
    </row>
    <row r="634" spans="1:16" x14ac:dyDescent="0.25">
      <c r="A634" t="s">
        <v>2173</v>
      </c>
      <c r="B634" t="str">
        <f>CONCATENATE(A634,88)</f>
        <v>9JR5QQ6CD6488</v>
      </c>
      <c r="C634" t="s">
        <v>2176</v>
      </c>
      <c r="D634" t="s">
        <v>27</v>
      </c>
      <c r="E634" t="s">
        <v>28</v>
      </c>
      <c r="F634" t="s">
        <v>29</v>
      </c>
      <c r="G634" s="1">
        <v>45870</v>
      </c>
      <c r="H634" s="1">
        <v>43466</v>
      </c>
      <c r="I634">
        <v>20411454</v>
      </c>
      <c r="J634" t="s">
        <v>32</v>
      </c>
      <c r="K634" t="s">
        <v>4532</v>
      </c>
      <c r="L634">
        <v>3.75</v>
      </c>
      <c r="M634">
        <v>3.75</v>
      </c>
      <c r="N634" t="s">
        <v>2718</v>
      </c>
      <c r="P634" t="s">
        <v>4504</v>
      </c>
    </row>
    <row r="635" spans="1:16" x14ac:dyDescent="0.25">
      <c r="A635" t="s">
        <v>2186</v>
      </c>
      <c r="B635" t="str">
        <f>CONCATENATE(A635,88)</f>
        <v>6N04CM4GF6388</v>
      </c>
      <c r="C635" t="s">
        <v>2188</v>
      </c>
      <c r="D635" t="s">
        <v>27</v>
      </c>
      <c r="E635" t="s">
        <v>28</v>
      </c>
      <c r="F635" t="s">
        <v>29</v>
      </c>
      <c r="G635" s="1">
        <v>45870</v>
      </c>
      <c r="H635" s="1">
        <v>45658</v>
      </c>
      <c r="I635">
        <v>20411454</v>
      </c>
      <c r="J635" t="s">
        <v>32</v>
      </c>
      <c r="K635" t="s">
        <v>4532</v>
      </c>
      <c r="L635">
        <v>3.75</v>
      </c>
      <c r="M635">
        <v>3.75</v>
      </c>
      <c r="N635" t="s">
        <v>2718</v>
      </c>
      <c r="P635" t="s">
        <v>4505</v>
      </c>
    </row>
    <row r="636" spans="1:16" x14ac:dyDescent="0.25">
      <c r="A636" t="s">
        <v>2213</v>
      </c>
      <c r="B636" t="str">
        <f>CONCATENATE(A636,88)</f>
        <v>4T55TV8NC7488</v>
      </c>
      <c r="C636" t="s">
        <v>2215</v>
      </c>
      <c r="D636" t="s">
        <v>27</v>
      </c>
      <c r="E636" t="s">
        <v>28</v>
      </c>
      <c r="F636" t="s">
        <v>29</v>
      </c>
      <c r="G636" s="1">
        <v>45870</v>
      </c>
      <c r="H636" s="1">
        <v>45536</v>
      </c>
      <c r="I636">
        <v>20411454</v>
      </c>
      <c r="J636" t="s">
        <v>32</v>
      </c>
      <c r="K636" t="s">
        <v>4532</v>
      </c>
      <c r="L636">
        <v>3.75</v>
      </c>
      <c r="M636">
        <v>3.75</v>
      </c>
      <c r="N636" t="s">
        <v>2718</v>
      </c>
      <c r="P636" t="s">
        <v>4506</v>
      </c>
    </row>
    <row r="637" spans="1:16" x14ac:dyDescent="0.25">
      <c r="A637" t="s">
        <v>2219</v>
      </c>
      <c r="B637" t="str">
        <f>CONCATENATE(A637,88)</f>
        <v>6Q75AC8RY8488</v>
      </c>
      <c r="C637" t="s">
        <v>2221</v>
      </c>
      <c r="D637" t="s">
        <v>27</v>
      </c>
      <c r="E637" t="s">
        <v>28</v>
      </c>
      <c r="F637" t="s">
        <v>29</v>
      </c>
      <c r="G637" s="1">
        <v>45870</v>
      </c>
      <c r="H637" s="1">
        <v>45566</v>
      </c>
      <c r="I637">
        <v>20411454</v>
      </c>
      <c r="J637" t="s">
        <v>32</v>
      </c>
      <c r="K637" t="s">
        <v>4532</v>
      </c>
      <c r="L637">
        <v>3.75</v>
      </c>
      <c r="M637">
        <v>3.75</v>
      </c>
      <c r="N637" t="s">
        <v>2718</v>
      </c>
      <c r="P637" t="s">
        <v>4507</v>
      </c>
    </row>
    <row r="638" spans="1:16" x14ac:dyDescent="0.25">
      <c r="A638" t="s">
        <v>2237</v>
      </c>
      <c r="B638" t="str">
        <f>CONCATENATE(A638,88)</f>
        <v>4N91GT1PC9988</v>
      </c>
      <c r="C638" t="s">
        <v>2239</v>
      </c>
      <c r="D638" t="s">
        <v>27</v>
      </c>
      <c r="E638" t="s">
        <v>28</v>
      </c>
      <c r="F638" t="s">
        <v>29</v>
      </c>
      <c r="G638" s="1">
        <v>45870</v>
      </c>
      <c r="H638" s="1">
        <v>45536</v>
      </c>
      <c r="I638">
        <v>20411454</v>
      </c>
      <c r="J638" t="s">
        <v>32</v>
      </c>
      <c r="K638" t="s">
        <v>4532</v>
      </c>
      <c r="L638">
        <v>3.75</v>
      </c>
      <c r="M638">
        <v>3.75</v>
      </c>
      <c r="N638" t="s">
        <v>2718</v>
      </c>
      <c r="P638" t="s">
        <v>4508</v>
      </c>
    </row>
    <row r="639" spans="1:16" x14ac:dyDescent="0.25">
      <c r="A639" t="s">
        <v>2299</v>
      </c>
      <c r="B639" t="str">
        <f>CONCATENATE(A639,88)</f>
        <v>2W84FG2TH6388</v>
      </c>
      <c r="C639" t="s">
        <v>2301</v>
      </c>
      <c r="D639" t="s">
        <v>27</v>
      </c>
      <c r="E639" t="s">
        <v>28</v>
      </c>
      <c r="F639" t="s">
        <v>127</v>
      </c>
      <c r="G639" s="1">
        <v>45870</v>
      </c>
      <c r="H639" s="1">
        <v>45352</v>
      </c>
      <c r="I639">
        <v>20411454</v>
      </c>
      <c r="J639" t="s">
        <v>32</v>
      </c>
      <c r="K639" t="s">
        <v>4532</v>
      </c>
      <c r="L639">
        <v>3.75</v>
      </c>
      <c r="M639">
        <v>3.75</v>
      </c>
      <c r="N639" t="s">
        <v>2718</v>
      </c>
      <c r="P639" t="s">
        <v>4509</v>
      </c>
    </row>
    <row r="640" spans="1:16" x14ac:dyDescent="0.25">
      <c r="A640" t="s">
        <v>2395</v>
      </c>
      <c r="B640" t="str">
        <f>CONCATENATE(A640,88)</f>
        <v>1QJ4Q62RM6588</v>
      </c>
      <c r="C640" t="s">
        <v>2397</v>
      </c>
      <c r="D640" t="s">
        <v>27</v>
      </c>
      <c r="E640" t="s">
        <v>28</v>
      </c>
      <c r="F640" t="s">
        <v>29</v>
      </c>
      <c r="G640" s="1">
        <v>45870</v>
      </c>
      <c r="H640" s="1">
        <v>45474</v>
      </c>
      <c r="I640">
        <v>20411454</v>
      </c>
      <c r="J640" t="s">
        <v>32</v>
      </c>
      <c r="K640" t="s">
        <v>4532</v>
      </c>
      <c r="L640">
        <v>3.75</v>
      </c>
      <c r="M640">
        <v>3.75</v>
      </c>
      <c r="N640" t="s">
        <v>2718</v>
      </c>
      <c r="P640" t="s">
        <v>4510</v>
      </c>
    </row>
    <row r="641" spans="1:16" x14ac:dyDescent="0.25">
      <c r="A641" t="s">
        <v>2416</v>
      </c>
      <c r="B641" t="str">
        <f>CONCATENATE(A641,88)</f>
        <v>6D94YJ2JV9388</v>
      </c>
      <c r="C641" t="s">
        <v>2418</v>
      </c>
      <c r="D641" t="s">
        <v>27</v>
      </c>
      <c r="E641" t="s">
        <v>28</v>
      </c>
      <c r="F641" t="s">
        <v>29</v>
      </c>
      <c r="G641" s="1">
        <v>45870</v>
      </c>
      <c r="H641" s="1">
        <v>45658</v>
      </c>
      <c r="I641">
        <v>20411454</v>
      </c>
      <c r="J641" t="s">
        <v>32</v>
      </c>
      <c r="K641" t="s">
        <v>4532</v>
      </c>
      <c r="L641">
        <v>3.75</v>
      </c>
      <c r="M641">
        <v>3.75</v>
      </c>
      <c r="N641" t="s">
        <v>2718</v>
      </c>
      <c r="P641" t="s">
        <v>4511</v>
      </c>
    </row>
    <row r="642" spans="1:16" x14ac:dyDescent="0.25">
      <c r="A642" t="s">
        <v>2447</v>
      </c>
      <c r="B642" t="str">
        <f>CONCATENATE(A642,88)</f>
        <v>5XE3FW9VT0688</v>
      </c>
      <c r="C642" t="s">
        <v>2449</v>
      </c>
      <c r="D642" t="s">
        <v>27</v>
      </c>
      <c r="E642" t="s">
        <v>28</v>
      </c>
      <c r="F642" t="s">
        <v>29</v>
      </c>
      <c r="G642" s="1">
        <v>45870</v>
      </c>
      <c r="H642" s="1">
        <v>45444</v>
      </c>
      <c r="I642">
        <v>20411454</v>
      </c>
      <c r="J642" t="s">
        <v>32</v>
      </c>
      <c r="K642" t="s">
        <v>4532</v>
      </c>
      <c r="L642">
        <v>3.75</v>
      </c>
      <c r="M642">
        <v>3.75</v>
      </c>
      <c r="N642" t="s">
        <v>2718</v>
      </c>
      <c r="P642" t="s">
        <v>4512</v>
      </c>
    </row>
    <row r="643" spans="1:16" x14ac:dyDescent="0.25">
      <c r="A643" t="s">
        <v>2575</v>
      </c>
      <c r="B643" t="str">
        <f>CONCATENATE(A643,88)</f>
        <v>4D80KX6UU0288</v>
      </c>
      <c r="C643" t="s">
        <v>2577</v>
      </c>
      <c r="D643" t="s">
        <v>27</v>
      </c>
      <c r="E643" t="s">
        <v>28</v>
      </c>
      <c r="F643" t="s">
        <v>29</v>
      </c>
      <c r="G643" s="1">
        <v>45870</v>
      </c>
      <c r="H643" s="1">
        <v>45444</v>
      </c>
      <c r="I643">
        <v>20411454</v>
      </c>
      <c r="J643" t="s">
        <v>32</v>
      </c>
      <c r="K643" t="s">
        <v>4532</v>
      </c>
      <c r="L643">
        <v>3.75</v>
      </c>
      <c r="M643">
        <v>3.75</v>
      </c>
      <c r="N643" t="s">
        <v>2718</v>
      </c>
      <c r="P643" t="s">
        <v>4513</v>
      </c>
    </row>
    <row r="644" spans="1:16" x14ac:dyDescent="0.25">
      <c r="A644" t="s">
        <v>2597</v>
      </c>
      <c r="B644" t="str">
        <f>CONCATENATE(A644,88)</f>
        <v>4N37DF5RV3088</v>
      </c>
      <c r="C644" t="s">
        <v>2599</v>
      </c>
      <c r="D644" t="s">
        <v>27</v>
      </c>
      <c r="E644" t="s">
        <v>28</v>
      </c>
      <c r="F644" t="s">
        <v>29</v>
      </c>
      <c r="G644" s="1">
        <v>45870</v>
      </c>
      <c r="H644" s="1">
        <v>45536</v>
      </c>
      <c r="I644">
        <v>20411454</v>
      </c>
      <c r="J644" t="s">
        <v>32</v>
      </c>
      <c r="K644" t="s">
        <v>4532</v>
      </c>
      <c r="L644">
        <v>3.75</v>
      </c>
      <c r="M644">
        <v>3.75</v>
      </c>
      <c r="N644" t="s">
        <v>2718</v>
      </c>
      <c r="P644" t="s">
        <v>4514</v>
      </c>
    </row>
    <row r="645" spans="1:16" x14ac:dyDescent="0.25">
      <c r="A645" t="s">
        <v>2606</v>
      </c>
      <c r="B645" t="str">
        <f>CONCATENATE(A645,88)</f>
        <v>5VH9DM6NQ2788</v>
      </c>
      <c r="C645" t="s">
        <v>2608</v>
      </c>
      <c r="D645" t="s">
        <v>27</v>
      </c>
      <c r="E645" t="s">
        <v>28</v>
      </c>
      <c r="F645" t="s">
        <v>29</v>
      </c>
      <c r="G645" s="1">
        <v>45870</v>
      </c>
      <c r="H645" s="1">
        <v>45413</v>
      </c>
      <c r="I645">
        <v>20411454</v>
      </c>
      <c r="J645" t="s">
        <v>32</v>
      </c>
      <c r="K645" t="s">
        <v>4532</v>
      </c>
      <c r="L645">
        <v>3.75</v>
      </c>
      <c r="M645">
        <v>3.75</v>
      </c>
      <c r="N645" t="s">
        <v>2718</v>
      </c>
      <c r="P645" t="s">
        <v>4515</v>
      </c>
    </row>
    <row r="646" spans="1:16" x14ac:dyDescent="0.25">
      <c r="A646" t="s">
        <v>2618</v>
      </c>
      <c r="B646" t="str">
        <f>CONCATENATE(A646,88)</f>
        <v>4G57KF1PF4088</v>
      </c>
      <c r="C646" t="s">
        <v>2620</v>
      </c>
      <c r="D646" t="s">
        <v>27</v>
      </c>
      <c r="E646" t="s">
        <v>28</v>
      </c>
      <c r="F646" t="s">
        <v>29</v>
      </c>
      <c r="G646" s="1">
        <v>45870</v>
      </c>
      <c r="H646" s="1">
        <v>45474</v>
      </c>
      <c r="I646">
        <v>20411454</v>
      </c>
      <c r="J646" t="s">
        <v>32</v>
      </c>
      <c r="K646" t="s">
        <v>4532</v>
      </c>
      <c r="L646">
        <v>3.75</v>
      </c>
      <c r="M646">
        <v>3.75</v>
      </c>
      <c r="N646" t="s">
        <v>2718</v>
      </c>
      <c r="P646" t="s">
        <v>4516</v>
      </c>
    </row>
    <row r="647" spans="1:16" x14ac:dyDescent="0.25">
      <c r="A647" t="s">
        <v>2639</v>
      </c>
      <c r="B647" t="str">
        <f>CONCATENATE(A647,88)</f>
        <v>8UN8VK2DY2888</v>
      </c>
      <c r="C647" t="s">
        <v>2641</v>
      </c>
      <c r="D647" t="s">
        <v>27</v>
      </c>
      <c r="E647" t="s">
        <v>28</v>
      </c>
      <c r="F647" t="s">
        <v>29</v>
      </c>
      <c r="G647" s="1">
        <v>45870</v>
      </c>
      <c r="H647" s="1">
        <v>45566</v>
      </c>
      <c r="I647">
        <v>20411454</v>
      </c>
      <c r="J647" t="s">
        <v>32</v>
      </c>
      <c r="K647" t="s">
        <v>4532</v>
      </c>
      <c r="L647">
        <v>3.75</v>
      </c>
      <c r="M647">
        <v>3.75</v>
      </c>
      <c r="N647" t="s">
        <v>2718</v>
      </c>
      <c r="P647" t="s">
        <v>4517</v>
      </c>
    </row>
    <row r="648" spans="1:16" x14ac:dyDescent="0.25">
      <c r="A648" t="s">
        <v>2678</v>
      </c>
      <c r="B648" t="str">
        <f>CONCATENATE(A648,88)</f>
        <v>1G08XF7GV5588</v>
      </c>
      <c r="C648" t="s">
        <v>2680</v>
      </c>
      <c r="D648" t="s">
        <v>27</v>
      </c>
      <c r="E648" t="s">
        <v>28</v>
      </c>
      <c r="F648" t="s">
        <v>29</v>
      </c>
      <c r="G648" s="1">
        <v>45870</v>
      </c>
      <c r="H648" s="1">
        <v>45474</v>
      </c>
      <c r="I648">
        <v>20411454</v>
      </c>
      <c r="J648" t="s">
        <v>32</v>
      </c>
      <c r="K648" t="s">
        <v>4532</v>
      </c>
      <c r="L648">
        <v>3.75</v>
      </c>
      <c r="M648">
        <v>3.75</v>
      </c>
      <c r="N648" t="s">
        <v>2718</v>
      </c>
      <c r="P648" t="s">
        <v>4518</v>
      </c>
    </row>
    <row r="649" spans="1:16" x14ac:dyDescent="0.25">
      <c r="A649" t="s">
        <v>2681</v>
      </c>
      <c r="B649" t="str">
        <f>CONCATENATE(A649,88)</f>
        <v>3D08VC1AJ2688</v>
      </c>
      <c r="C649" t="s">
        <v>2683</v>
      </c>
      <c r="D649" t="s">
        <v>27</v>
      </c>
      <c r="E649" t="s">
        <v>28</v>
      </c>
      <c r="F649" t="s">
        <v>29</v>
      </c>
      <c r="G649" s="1">
        <v>45870</v>
      </c>
      <c r="H649" s="1">
        <v>45474</v>
      </c>
      <c r="I649">
        <v>20411454</v>
      </c>
      <c r="J649" t="s">
        <v>32</v>
      </c>
      <c r="K649" t="s">
        <v>4532</v>
      </c>
      <c r="L649">
        <v>3.75</v>
      </c>
      <c r="M649">
        <v>3.75</v>
      </c>
      <c r="N649" t="s">
        <v>2718</v>
      </c>
      <c r="P649" t="s">
        <v>4519</v>
      </c>
    </row>
    <row r="650" spans="1:16" x14ac:dyDescent="0.25">
      <c r="A650" t="s">
        <v>624</v>
      </c>
      <c r="B650" t="str">
        <f>CONCATENATE(A650,88)</f>
        <v>4U52XD4HG0088</v>
      </c>
      <c r="C650" t="s">
        <v>626</v>
      </c>
      <c r="D650" t="s">
        <v>95</v>
      </c>
      <c r="E650" t="s">
        <v>28</v>
      </c>
      <c r="F650" t="s">
        <v>96</v>
      </c>
      <c r="G650" s="1">
        <v>45870</v>
      </c>
      <c r="H650" s="1">
        <v>45658</v>
      </c>
      <c r="I650">
        <v>20411454</v>
      </c>
      <c r="J650" t="s">
        <v>32</v>
      </c>
      <c r="K650" t="s">
        <v>4532</v>
      </c>
      <c r="L650">
        <v>3.92</v>
      </c>
      <c r="M650">
        <v>3.92</v>
      </c>
      <c r="N650" t="s">
        <v>2718</v>
      </c>
      <c r="P650" t="s">
        <v>4520</v>
      </c>
    </row>
    <row r="651" spans="1:16" x14ac:dyDescent="0.25">
      <c r="A651" t="s">
        <v>814</v>
      </c>
      <c r="B651" t="str">
        <f>CONCATENATE(A651,88)</f>
        <v>6YM5MG8QV5488</v>
      </c>
      <c r="C651" t="s">
        <v>816</v>
      </c>
      <c r="D651" t="s">
        <v>95</v>
      </c>
      <c r="E651" t="s">
        <v>28</v>
      </c>
      <c r="F651" t="s">
        <v>96</v>
      </c>
      <c r="G651" s="1">
        <v>45870</v>
      </c>
      <c r="H651" s="1">
        <v>45658</v>
      </c>
      <c r="I651">
        <v>20411454</v>
      </c>
      <c r="J651" t="s">
        <v>32</v>
      </c>
      <c r="K651" t="s">
        <v>4532</v>
      </c>
      <c r="L651">
        <v>3.92</v>
      </c>
      <c r="M651">
        <v>3.92</v>
      </c>
      <c r="N651" t="s">
        <v>2718</v>
      </c>
      <c r="P651" t="s">
        <v>4521</v>
      </c>
    </row>
    <row r="652" spans="1:16" x14ac:dyDescent="0.25">
      <c r="A652" t="s">
        <v>1295</v>
      </c>
      <c r="B652" t="str">
        <f>CONCATENATE(A652,88)</f>
        <v>6A67YH1GE5888</v>
      </c>
      <c r="C652" t="s">
        <v>1297</v>
      </c>
      <c r="D652" t="s">
        <v>27</v>
      </c>
      <c r="E652" t="s">
        <v>28</v>
      </c>
      <c r="F652" t="s">
        <v>96</v>
      </c>
      <c r="G652" s="1">
        <v>45870</v>
      </c>
      <c r="H652" s="1">
        <v>45658</v>
      </c>
      <c r="I652">
        <v>20411454</v>
      </c>
      <c r="J652" t="s">
        <v>32</v>
      </c>
      <c r="K652" t="s">
        <v>4532</v>
      </c>
      <c r="L652">
        <v>3.92</v>
      </c>
      <c r="M652">
        <v>3.92</v>
      </c>
      <c r="N652" t="s">
        <v>2718</v>
      </c>
      <c r="P652" t="s">
        <v>4522</v>
      </c>
    </row>
    <row r="653" spans="1:16" x14ac:dyDescent="0.25">
      <c r="A653" t="s">
        <v>1381</v>
      </c>
      <c r="B653" t="str">
        <f>CONCATENATE(A653,88)</f>
        <v>6E19GK0TK3088</v>
      </c>
      <c r="C653" t="s">
        <v>1383</v>
      </c>
      <c r="D653" t="s">
        <v>160</v>
      </c>
      <c r="E653" t="s">
        <v>28</v>
      </c>
      <c r="F653" t="s">
        <v>96</v>
      </c>
      <c r="G653" s="1">
        <v>45870</v>
      </c>
      <c r="H653" s="1">
        <v>45261</v>
      </c>
      <c r="I653">
        <v>20411454</v>
      </c>
      <c r="J653" t="s">
        <v>32</v>
      </c>
      <c r="K653" t="s">
        <v>4532</v>
      </c>
      <c r="L653">
        <v>3.92</v>
      </c>
      <c r="M653">
        <v>3.92</v>
      </c>
      <c r="N653" t="s">
        <v>2718</v>
      </c>
      <c r="P653" t="s">
        <v>4523</v>
      </c>
    </row>
    <row r="654" spans="1:16" x14ac:dyDescent="0.25">
      <c r="A654" t="s">
        <v>1994</v>
      </c>
      <c r="B654" t="str">
        <f>CONCATENATE(A654,88)</f>
        <v>8YV4KH2GQ7788</v>
      </c>
      <c r="C654" t="s">
        <v>1996</v>
      </c>
      <c r="D654" t="s">
        <v>95</v>
      </c>
      <c r="E654" t="s">
        <v>28</v>
      </c>
      <c r="F654" t="s">
        <v>96</v>
      </c>
      <c r="G654" s="1">
        <v>45870</v>
      </c>
      <c r="H654" s="1">
        <v>45658</v>
      </c>
      <c r="I654">
        <v>20411454</v>
      </c>
      <c r="J654" t="s">
        <v>32</v>
      </c>
      <c r="K654" t="s">
        <v>4532</v>
      </c>
      <c r="L654">
        <v>3.92</v>
      </c>
      <c r="M654">
        <v>3.92</v>
      </c>
      <c r="N654" t="s">
        <v>2718</v>
      </c>
      <c r="P654" t="s">
        <v>4524</v>
      </c>
    </row>
    <row r="655" spans="1:16" x14ac:dyDescent="0.25">
      <c r="A655" t="s">
        <v>2334</v>
      </c>
      <c r="B655" t="str">
        <f>CONCATENATE(A655,88)</f>
        <v>6Q11TF6UH3688</v>
      </c>
      <c r="C655" t="s">
        <v>2336</v>
      </c>
      <c r="D655" t="s">
        <v>27</v>
      </c>
      <c r="E655" t="s">
        <v>28</v>
      </c>
      <c r="F655" t="s">
        <v>96</v>
      </c>
      <c r="G655" s="1">
        <v>45870</v>
      </c>
      <c r="H655" s="1">
        <v>45292</v>
      </c>
      <c r="I655">
        <v>20411454</v>
      </c>
      <c r="J655" t="s">
        <v>32</v>
      </c>
      <c r="K655" t="s">
        <v>4532</v>
      </c>
      <c r="L655">
        <v>4.25</v>
      </c>
      <c r="M655">
        <v>4.25</v>
      </c>
      <c r="N655" t="s">
        <v>2718</v>
      </c>
      <c r="P655" t="s">
        <v>4525</v>
      </c>
    </row>
    <row r="656" spans="1:16" x14ac:dyDescent="0.25">
      <c r="A656" t="s">
        <v>92</v>
      </c>
      <c r="B656" t="str">
        <f>CONCATENATE(A656,88)</f>
        <v>3HJ6PD8GP6788</v>
      </c>
      <c r="C656" t="s">
        <v>94</v>
      </c>
      <c r="D656" t="s">
        <v>95</v>
      </c>
      <c r="E656" t="s">
        <v>28</v>
      </c>
      <c r="F656" t="s">
        <v>96</v>
      </c>
      <c r="G656" s="1">
        <v>45870</v>
      </c>
      <c r="H656" s="1">
        <v>45658</v>
      </c>
      <c r="I656">
        <v>20411454</v>
      </c>
      <c r="J656" t="s">
        <v>32</v>
      </c>
      <c r="K656" t="s">
        <v>4532</v>
      </c>
      <c r="L656">
        <v>4.33</v>
      </c>
      <c r="M656">
        <v>4.33</v>
      </c>
      <c r="N656" t="s">
        <v>2718</v>
      </c>
      <c r="P656" t="s">
        <v>4526</v>
      </c>
    </row>
    <row r="657" spans="1:17" x14ac:dyDescent="0.25">
      <c r="A657" t="s">
        <v>610</v>
      </c>
      <c r="B657" t="str">
        <f>CONCATENATE(A657,88)</f>
        <v>6T28VR3JA6188</v>
      </c>
      <c r="C657" t="s">
        <v>612</v>
      </c>
      <c r="D657" t="s">
        <v>27</v>
      </c>
      <c r="E657" t="s">
        <v>28</v>
      </c>
      <c r="F657" t="s">
        <v>96</v>
      </c>
      <c r="G657" s="1">
        <v>45870</v>
      </c>
      <c r="H657" s="1">
        <v>45536</v>
      </c>
      <c r="I657">
        <v>20411454</v>
      </c>
      <c r="J657" t="s">
        <v>32</v>
      </c>
      <c r="K657" t="s">
        <v>4532</v>
      </c>
      <c r="L657">
        <v>4.33</v>
      </c>
      <c r="M657">
        <v>4.33</v>
      </c>
      <c r="N657" t="s">
        <v>2718</v>
      </c>
      <c r="P657" t="s">
        <v>4527</v>
      </c>
    </row>
    <row r="658" spans="1:17" x14ac:dyDescent="0.25">
      <c r="A658" t="s">
        <v>1377</v>
      </c>
      <c r="B658" t="str">
        <f>CONCATENATE(A658,88)</f>
        <v>8EF6F18QH6988</v>
      </c>
      <c r="C658" t="s">
        <v>1379</v>
      </c>
      <c r="D658" t="s">
        <v>74</v>
      </c>
      <c r="E658" t="s">
        <v>28</v>
      </c>
      <c r="F658" t="s">
        <v>96</v>
      </c>
      <c r="G658" s="1">
        <v>45870</v>
      </c>
      <c r="H658" s="1">
        <v>45505</v>
      </c>
      <c r="I658">
        <v>20411454</v>
      </c>
      <c r="J658" t="s">
        <v>32</v>
      </c>
      <c r="K658" t="s">
        <v>4532</v>
      </c>
      <c r="L658">
        <v>4.33</v>
      </c>
      <c r="M658">
        <v>4.33</v>
      </c>
      <c r="N658" t="s">
        <v>2718</v>
      </c>
      <c r="P658" t="s">
        <v>4528</v>
      </c>
    </row>
    <row r="659" spans="1:17" x14ac:dyDescent="0.25">
      <c r="A659" t="s">
        <v>2137</v>
      </c>
      <c r="B659" t="str">
        <f>CONCATENATE(A659,88)</f>
        <v>2GC1QD3MM9988</v>
      </c>
      <c r="C659" t="s">
        <v>2139</v>
      </c>
      <c r="D659" t="s">
        <v>27</v>
      </c>
      <c r="E659" t="s">
        <v>28</v>
      </c>
      <c r="F659" t="s">
        <v>96</v>
      </c>
      <c r="G659" s="1">
        <v>45870</v>
      </c>
      <c r="H659" s="1">
        <v>45627</v>
      </c>
      <c r="I659">
        <v>20411454</v>
      </c>
      <c r="J659" t="s">
        <v>32</v>
      </c>
      <c r="K659" t="s">
        <v>4532</v>
      </c>
      <c r="L659">
        <v>4.33</v>
      </c>
      <c r="M659">
        <v>4.33</v>
      </c>
      <c r="N659" t="s">
        <v>2718</v>
      </c>
      <c r="P659" t="s">
        <v>4529</v>
      </c>
    </row>
    <row r="660" spans="1:17" x14ac:dyDescent="0.25">
      <c r="A660" t="s">
        <v>2140</v>
      </c>
      <c r="B660" t="str">
        <f>CONCATENATE(A660,88)</f>
        <v>4YV6CG3MV8188</v>
      </c>
      <c r="C660" t="s">
        <v>2142</v>
      </c>
      <c r="D660" t="s">
        <v>95</v>
      </c>
      <c r="E660" t="s">
        <v>28</v>
      </c>
      <c r="F660" t="s">
        <v>96</v>
      </c>
      <c r="G660" s="1">
        <v>45870</v>
      </c>
      <c r="H660" s="1">
        <v>45536</v>
      </c>
      <c r="I660">
        <v>20411454</v>
      </c>
      <c r="J660" t="s">
        <v>32</v>
      </c>
      <c r="K660" t="s">
        <v>4532</v>
      </c>
      <c r="L660">
        <v>4.33</v>
      </c>
      <c r="M660">
        <v>4.33</v>
      </c>
      <c r="N660" t="s">
        <v>2718</v>
      </c>
      <c r="P660" t="s">
        <v>4530</v>
      </c>
    </row>
    <row r="661" spans="1:17" x14ac:dyDescent="0.25">
      <c r="A661" t="s">
        <v>2240</v>
      </c>
      <c r="B661" t="str">
        <f>CONCATENATE(A661,88)</f>
        <v>8J06PE0JQ5188</v>
      </c>
      <c r="C661" t="s">
        <v>2242</v>
      </c>
      <c r="D661" t="s">
        <v>95</v>
      </c>
      <c r="E661" t="s">
        <v>28</v>
      </c>
      <c r="F661" t="s">
        <v>96</v>
      </c>
      <c r="G661" s="1">
        <v>45870</v>
      </c>
      <c r="H661" s="1">
        <v>45444</v>
      </c>
      <c r="I661">
        <v>20411454</v>
      </c>
      <c r="J661" t="s">
        <v>32</v>
      </c>
      <c r="K661" t="s">
        <v>4532</v>
      </c>
      <c r="L661">
        <v>4.33</v>
      </c>
      <c r="M661">
        <v>4.33</v>
      </c>
      <c r="N661" t="s">
        <v>2718</v>
      </c>
      <c r="P661" t="s">
        <v>4531</v>
      </c>
    </row>
    <row r="662" spans="1:17" x14ac:dyDescent="0.25">
      <c r="A662" t="s">
        <v>1820</v>
      </c>
      <c r="B662" t="str">
        <f>CONCATENATE(A662,88)</f>
        <v>9WP9CE3JV3688</v>
      </c>
      <c r="C662" t="s">
        <v>1822</v>
      </c>
      <c r="D662" t="s">
        <v>74</v>
      </c>
      <c r="E662" t="s">
        <v>402</v>
      </c>
      <c r="F662" t="s">
        <v>29</v>
      </c>
      <c r="G662" s="1">
        <v>45962</v>
      </c>
      <c r="H662" s="1">
        <v>45962</v>
      </c>
      <c r="I662">
        <v>20411454</v>
      </c>
      <c r="J662" t="s">
        <v>32</v>
      </c>
      <c r="K662" t="s">
        <v>4532</v>
      </c>
      <c r="L662">
        <v>73</v>
      </c>
      <c r="M662">
        <v>20.83</v>
      </c>
      <c r="N662" t="s">
        <v>2718</v>
      </c>
      <c r="P662" t="s">
        <v>4046</v>
      </c>
      <c r="Q662">
        <f>125/12*2</f>
        <v>20.833333333333332</v>
      </c>
    </row>
    <row r="663" spans="1:17" x14ac:dyDescent="0.25">
      <c r="A663" s="2" t="s">
        <v>441</v>
      </c>
      <c r="B663" t="str">
        <f>CONCATENATE(A663,88)</f>
        <v>8HF4NU5CQ9488</v>
      </c>
      <c r="C663" s="2" t="s">
        <v>443</v>
      </c>
      <c r="D663" s="2" t="s">
        <v>444</v>
      </c>
      <c r="E663" s="2" t="s">
        <v>402</v>
      </c>
      <c r="F663" s="2" t="s">
        <v>29</v>
      </c>
      <c r="G663" s="3">
        <v>45901</v>
      </c>
      <c r="H663" s="3">
        <v>45901</v>
      </c>
      <c r="I663">
        <v>20411454</v>
      </c>
      <c r="J663" s="2" t="s">
        <v>32</v>
      </c>
      <c r="K663" t="s">
        <v>4532</v>
      </c>
      <c r="L663" s="2">
        <v>146</v>
      </c>
      <c r="M663" s="2">
        <v>41.67</v>
      </c>
      <c r="N663" s="2" t="s">
        <v>2718</v>
      </c>
      <c r="O663" s="2"/>
      <c r="P663" s="2" t="s">
        <v>4047</v>
      </c>
      <c r="Q663" s="2">
        <f>125/12*4</f>
        <v>41.666666666666664</v>
      </c>
    </row>
    <row r="664" spans="1:17" x14ac:dyDescent="0.25">
      <c r="A664" s="2" t="s">
        <v>642</v>
      </c>
      <c r="B664" t="str">
        <f>CONCATENATE(A664,88)</f>
        <v>9UA5XN4RM6888</v>
      </c>
      <c r="C664" s="2" t="s">
        <v>644</v>
      </c>
      <c r="D664" s="2" t="s">
        <v>74</v>
      </c>
      <c r="E664" s="2" t="s">
        <v>402</v>
      </c>
      <c r="F664" s="2" t="s">
        <v>29</v>
      </c>
      <c r="G664" s="3">
        <v>45901</v>
      </c>
      <c r="H664" s="3">
        <v>45901</v>
      </c>
      <c r="I664">
        <v>20411454</v>
      </c>
      <c r="J664" s="2" t="s">
        <v>32</v>
      </c>
      <c r="K664" t="s">
        <v>4532</v>
      </c>
      <c r="L664" s="2">
        <v>146</v>
      </c>
      <c r="M664" s="2">
        <v>41.67</v>
      </c>
      <c r="N664" s="2" t="s">
        <v>2718</v>
      </c>
      <c r="O664" s="2"/>
      <c r="P664" s="2" t="s">
        <v>4048</v>
      </c>
      <c r="Q664" s="2"/>
    </row>
    <row r="665" spans="1:17" x14ac:dyDescent="0.25">
      <c r="A665" s="2" t="s">
        <v>2252</v>
      </c>
      <c r="B665" t="str">
        <f>CONCATENATE(A665,88)</f>
        <v>2K30RW7DW3888</v>
      </c>
      <c r="C665" s="2" t="s">
        <v>2254</v>
      </c>
      <c r="D665" s="2" t="s">
        <v>1319</v>
      </c>
      <c r="E665" s="2" t="s">
        <v>402</v>
      </c>
      <c r="F665" s="2" t="s">
        <v>29</v>
      </c>
      <c r="G665" s="3">
        <v>45901</v>
      </c>
      <c r="H665" s="3">
        <v>45901</v>
      </c>
      <c r="I665">
        <v>20411454</v>
      </c>
      <c r="J665" s="2" t="s">
        <v>32</v>
      </c>
      <c r="K665" t="s">
        <v>4532</v>
      </c>
      <c r="L665" s="2">
        <v>146</v>
      </c>
      <c r="M665" s="2">
        <v>41.67</v>
      </c>
      <c r="N665" s="2" t="s">
        <v>2718</v>
      </c>
      <c r="O665" s="2"/>
      <c r="P665" s="2" t="s">
        <v>4049</v>
      </c>
      <c r="Q665" s="2"/>
    </row>
    <row r="666" spans="1:17" x14ac:dyDescent="0.25">
      <c r="A666" s="2" t="s">
        <v>2257</v>
      </c>
      <c r="B666" t="str">
        <f>CONCATENATE(A666,88)</f>
        <v>4FW5GE4EH7288</v>
      </c>
      <c r="C666" s="2" t="s">
        <v>2259</v>
      </c>
      <c r="D666" s="2" t="s">
        <v>1319</v>
      </c>
      <c r="E666" s="2" t="s">
        <v>402</v>
      </c>
      <c r="F666" s="2" t="s">
        <v>29</v>
      </c>
      <c r="G666" s="3">
        <v>45901</v>
      </c>
      <c r="H666" s="3">
        <v>45901</v>
      </c>
      <c r="I666">
        <v>20411454</v>
      </c>
      <c r="J666" s="2" t="s">
        <v>32</v>
      </c>
      <c r="K666" t="s">
        <v>4532</v>
      </c>
      <c r="L666" s="2">
        <v>146</v>
      </c>
      <c r="M666" s="2">
        <v>41.67</v>
      </c>
      <c r="N666" s="2" t="s">
        <v>2718</v>
      </c>
      <c r="O666" s="2"/>
      <c r="P666" s="2" t="s">
        <v>4050</v>
      </c>
      <c r="Q666" s="2"/>
    </row>
    <row r="667" spans="1:17" x14ac:dyDescent="0.25">
      <c r="A667" s="2" t="s">
        <v>2386</v>
      </c>
      <c r="B667" t="str">
        <f>CONCATENATE(A667,88)</f>
        <v>5X80ED2AT4188</v>
      </c>
      <c r="C667" s="2" t="s">
        <v>2388</v>
      </c>
      <c r="D667" s="2" t="s">
        <v>2389</v>
      </c>
      <c r="E667" s="2" t="s">
        <v>402</v>
      </c>
      <c r="F667" s="2" t="s">
        <v>29</v>
      </c>
      <c r="G667" s="3">
        <v>45901</v>
      </c>
      <c r="H667" s="3">
        <v>45901</v>
      </c>
      <c r="I667">
        <v>20411454</v>
      </c>
      <c r="J667" s="2" t="s">
        <v>32</v>
      </c>
      <c r="K667" t="s">
        <v>4532</v>
      </c>
      <c r="L667" s="2">
        <v>146</v>
      </c>
      <c r="M667" s="2">
        <v>41.67</v>
      </c>
      <c r="N667" s="2" t="s">
        <v>2718</v>
      </c>
      <c r="O667" s="2"/>
      <c r="P667" s="2" t="s">
        <v>4051</v>
      </c>
      <c r="Q667" s="2"/>
    </row>
    <row r="668" spans="1:17" x14ac:dyDescent="0.25">
      <c r="A668" s="2" t="s">
        <v>398</v>
      </c>
      <c r="B668" t="str">
        <f>CONCATENATE(A668,88)</f>
        <v>4HF9PJ3AU3088</v>
      </c>
      <c r="C668" s="2" t="s">
        <v>400</v>
      </c>
      <c r="D668" s="2" t="s">
        <v>401</v>
      </c>
      <c r="E668" s="2" t="s">
        <v>402</v>
      </c>
      <c r="F668" s="2" t="s">
        <v>29</v>
      </c>
      <c r="G668" s="3">
        <v>45870</v>
      </c>
      <c r="H668" s="3">
        <v>45870</v>
      </c>
      <c r="I668">
        <v>20411454</v>
      </c>
      <c r="J668" s="2" t="s">
        <v>32</v>
      </c>
      <c r="K668" t="s">
        <v>4532</v>
      </c>
      <c r="L668" s="2">
        <v>182.5</v>
      </c>
      <c r="M668" s="2">
        <v>52.08</v>
      </c>
      <c r="N668" s="2" t="s">
        <v>2718</v>
      </c>
      <c r="O668" s="2"/>
      <c r="P668" s="2" t="s">
        <v>4052</v>
      </c>
      <c r="Q668" s="2">
        <f>125/12*5</f>
        <v>52.083333333333329</v>
      </c>
    </row>
    <row r="669" spans="1:17" x14ac:dyDescent="0.25">
      <c r="A669" s="2" t="s">
        <v>1142</v>
      </c>
      <c r="B669" t="str">
        <f>CONCATENATE(A669,88)</f>
        <v>8JT4G04XU7088</v>
      </c>
      <c r="C669" s="2" t="s">
        <v>1144</v>
      </c>
      <c r="D669" s="2" t="s">
        <v>1145</v>
      </c>
      <c r="E669" s="2" t="s">
        <v>1148</v>
      </c>
      <c r="F669" s="2" t="s">
        <v>29</v>
      </c>
      <c r="G669" s="3">
        <v>45717</v>
      </c>
      <c r="H669" s="3">
        <v>45717</v>
      </c>
      <c r="I669">
        <v>20411454</v>
      </c>
      <c r="J669" s="2" t="s">
        <v>32</v>
      </c>
      <c r="K669" t="s">
        <v>4532</v>
      </c>
      <c r="L669" s="2">
        <v>182.5</v>
      </c>
      <c r="M669" s="2">
        <v>52.08</v>
      </c>
      <c r="N669" s="2" t="s">
        <v>2718</v>
      </c>
      <c r="O669" s="2"/>
      <c r="P669" s="2" t="s">
        <v>3861</v>
      </c>
      <c r="Q669" s="2"/>
    </row>
    <row r="670" spans="1:17" x14ac:dyDescent="0.25">
      <c r="A670" t="s">
        <v>1842</v>
      </c>
      <c r="B670" t="str">
        <f>CONCATENATE(A670,88)</f>
        <v>1V02YH3AY0888</v>
      </c>
      <c r="C670" t="s">
        <v>1844</v>
      </c>
      <c r="D670" t="s">
        <v>303</v>
      </c>
      <c r="E670" t="s">
        <v>1148</v>
      </c>
      <c r="F670" t="s">
        <v>29</v>
      </c>
      <c r="G670" s="1">
        <v>45717</v>
      </c>
      <c r="H670" s="1">
        <v>45717</v>
      </c>
      <c r="I670">
        <v>20411454</v>
      </c>
      <c r="J670" t="s">
        <v>32</v>
      </c>
      <c r="K670" t="s">
        <v>4532</v>
      </c>
      <c r="L670">
        <v>250.33</v>
      </c>
      <c r="M670">
        <v>41.66</v>
      </c>
      <c r="N670" s="2" t="s">
        <v>2718</v>
      </c>
      <c r="P670" t="s">
        <v>3860</v>
      </c>
      <c r="Q670">
        <f>125/12*4</f>
        <v>41.666666666666664</v>
      </c>
    </row>
    <row r="671" spans="1:17" x14ac:dyDescent="0.25">
      <c r="A671" t="s">
        <v>2527</v>
      </c>
      <c r="B671" t="str">
        <f>CONCATENATE(A671,8)</f>
        <v>2KR6A85CG678</v>
      </c>
      <c r="C671" t="s">
        <v>2529</v>
      </c>
      <c r="D671" t="s">
        <v>95</v>
      </c>
      <c r="E671" t="s">
        <v>28</v>
      </c>
      <c r="F671" t="s">
        <v>29</v>
      </c>
      <c r="G671" s="1">
        <v>45870</v>
      </c>
      <c r="H671" s="1">
        <v>45597</v>
      </c>
      <c r="I671">
        <v>5442438</v>
      </c>
      <c r="J671" t="s">
        <v>32</v>
      </c>
      <c r="K671" t="s">
        <v>2530</v>
      </c>
      <c r="L671">
        <v>29.83</v>
      </c>
      <c r="M671">
        <v>29.83</v>
      </c>
      <c r="N671" t="s">
        <v>2720</v>
      </c>
      <c r="O671" t="s">
        <v>2724</v>
      </c>
      <c r="P671" t="s">
        <v>4033</v>
      </c>
    </row>
    <row r="672" spans="1:17" x14ac:dyDescent="0.25">
      <c r="A672" t="s">
        <v>290</v>
      </c>
      <c r="B672" t="str">
        <f>CONCATENATE(A672,8)</f>
        <v>6HA0UV6FW268</v>
      </c>
      <c r="C672" t="s">
        <v>292</v>
      </c>
      <c r="D672" t="s">
        <v>27</v>
      </c>
      <c r="E672" t="s">
        <v>28</v>
      </c>
      <c r="F672" t="s">
        <v>29</v>
      </c>
      <c r="G672" s="1">
        <v>45870</v>
      </c>
      <c r="H672" s="1">
        <v>45505</v>
      </c>
      <c r="I672">
        <v>18710070</v>
      </c>
      <c r="J672" t="s">
        <v>32</v>
      </c>
      <c r="K672" t="s">
        <v>293</v>
      </c>
      <c r="L672">
        <v>33.17</v>
      </c>
      <c r="M672">
        <v>33.17</v>
      </c>
      <c r="N672" t="s">
        <v>2723</v>
      </c>
      <c r="O672" t="s">
        <v>2722</v>
      </c>
      <c r="P672" t="s">
        <v>3804</v>
      </c>
    </row>
    <row r="673" spans="1:16" x14ac:dyDescent="0.25">
      <c r="A673" t="s">
        <v>1098</v>
      </c>
      <c r="B673" t="str">
        <f>CONCATENATE(A673,8)</f>
        <v>9HM3FD6YR718</v>
      </c>
      <c r="C673" t="s">
        <v>1100</v>
      </c>
      <c r="D673" t="s">
        <v>27</v>
      </c>
      <c r="E673" t="s">
        <v>28</v>
      </c>
      <c r="F673" t="s">
        <v>29</v>
      </c>
      <c r="G673" s="1">
        <v>45870</v>
      </c>
      <c r="H673" s="1">
        <v>45474</v>
      </c>
      <c r="I673">
        <v>18710070</v>
      </c>
      <c r="J673" t="s">
        <v>32</v>
      </c>
      <c r="K673" t="s">
        <v>293</v>
      </c>
      <c r="L673">
        <v>33.17</v>
      </c>
      <c r="M673">
        <v>33.17</v>
      </c>
      <c r="N673" t="s">
        <v>2723</v>
      </c>
      <c r="O673" t="s">
        <v>2722</v>
      </c>
      <c r="P673" t="s">
        <v>3816</v>
      </c>
    </row>
    <row r="674" spans="1:16" x14ac:dyDescent="0.25">
      <c r="A674" t="s">
        <v>1245</v>
      </c>
      <c r="B674" t="str">
        <f>CONCATENATE(A674,8)</f>
        <v>5PT1EK3GQ058</v>
      </c>
      <c r="C674" t="s">
        <v>1247</v>
      </c>
      <c r="D674" t="s">
        <v>27</v>
      </c>
      <c r="E674" t="s">
        <v>28</v>
      </c>
      <c r="F674" t="s">
        <v>29</v>
      </c>
      <c r="G674" s="1">
        <v>45870</v>
      </c>
      <c r="H674" s="1">
        <v>45536</v>
      </c>
      <c r="I674">
        <v>18710070</v>
      </c>
      <c r="J674" t="s">
        <v>32</v>
      </c>
      <c r="K674" t="s">
        <v>293</v>
      </c>
      <c r="L674">
        <v>33.17</v>
      </c>
      <c r="M674">
        <v>33.17</v>
      </c>
      <c r="N674" t="s">
        <v>2723</v>
      </c>
      <c r="O674" t="s">
        <v>2722</v>
      </c>
      <c r="P674" t="s">
        <v>3820</v>
      </c>
    </row>
    <row r="675" spans="1:16" x14ac:dyDescent="0.25">
      <c r="A675" t="s">
        <v>1248</v>
      </c>
      <c r="B675" t="str">
        <f>CONCATENATE(A675,8)</f>
        <v>7F51UN9FY038</v>
      </c>
      <c r="C675" t="s">
        <v>1250</v>
      </c>
      <c r="D675" t="s">
        <v>27</v>
      </c>
      <c r="E675" t="s">
        <v>28</v>
      </c>
      <c r="F675" t="s">
        <v>29</v>
      </c>
      <c r="G675" s="1">
        <v>45870</v>
      </c>
      <c r="H675" s="1">
        <v>45536</v>
      </c>
      <c r="I675">
        <v>18710070</v>
      </c>
      <c r="J675" t="s">
        <v>32</v>
      </c>
      <c r="K675" t="s">
        <v>293</v>
      </c>
      <c r="L675">
        <v>33.17</v>
      </c>
      <c r="M675">
        <v>33.17</v>
      </c>
      <c r="N675" t="s">
        <v>2723</v>
      </c>
      <c r="O675" t="s">
        <v>2722</v>
      </c>
      <c r="P675" t="s">
        <v>3821</v>
      </c>
    </row>
    <row r="676" spans="1:16" x14ac:dyDescent="0.25">
      <c r="A676" t="s">
        <v>1434</v>
      </c>
      <c r="B676" t="str">
        <f>CONCATENATE(A676,8)</f>
        <v>3QQ0E40ER048</v>
      </c>
      <c r="C676" t="s">
        <v>1436</v>
      </c>
      <c r="D676" t="s">
        <v>27</v>
      </c>
      <c r="E676" t="s">
        <v>28</v>
      </c>
      <c r="F676" t="s">
        <v>29</v>
      </c>
      <c r="G676" s="1">
        <v>45870</v>
      </c>
      <c r="H676" s="1">
        <v>45566</v>
      </c>
      <c r="I676">
        <v>18710070</v>
      </c>
      <c r="J676" t="s">
        <v>32</v>
      </c>
      <c r="K676" t="s">
        <v>293</v>
      </c>
      <c r="L676">
        <v>33.17</v>
      </c>
      <c r="M676">
        <v>33.17</v>
      </c>
      <c r="N676" t="s">
        <v>2723</v>
      </c>
      <c r="O676" t="s">
        <v>2722</v>
      </c>
      <c r="P676" t="s">
        <v>3829</v>
      </c>
    </row>
    <row r="677" spans="1:16" x14ac:dyDescent="0.25">
      <c r="A677" t="s">
        <v>2146</v>
      </c>
      <c r="B677" t="str">
        <f>CONCATENATE(A677,8)</f>
        <v>8UK5W45AY768</v>
      </c>
      <c r="C677" t="s">
        <v>2148</v>
      </c>
      <c r="D677" t="s">
        <v>27</v>
      </c>
      <c r="E677" t="s">
        <v>28</v>
      </c>
      <c r="F677" t="s">
        <v>29</v>
      </c>
      <c r="G677" s="1">
        <v>45870</v>
      </c>
      <c r="H677" s="1">
        <v>45566</v>
      </c>
      <c r="I677">
        <v>18710070</v>
      </c>
      <c r="J677" t="s">
        <v>32</v>
      </c>
      <c r="K677" t="s">
        <v>293</v>
      </c>
      <c r="L677">
        <v>33.17</v>
      </c>
      <c r="M677">
        <v>33.17</v>
      </c>
      <c r="N677" t="s">
        <v>2723</v>
      </c>
      <c r="O677" t="s">
        <v>2722</v>
      </c>
      <c r="P677" t="s">
        <v>3846</v>
      </c>
    </row>
    <row r="678" spans="1:16" x14ac:dyDescent="0.25">
      <c r="A678" t="s">
        <v>2149</v>
      </c>
      <c r="B678" t="str">
        <f>CONCATENATE(A678,8)</f>
        <v>5E80J70RF118</v>
      </c>
      <c r="C678" t="s">
        <v>2151</v>
      </c>
      <c r="D678" t="s">
        <v>27</v>
      </c>
      <c r="E678" t="s">
        <v>28</v>
      </c>
      <c r="F678" t="s">
        <v>29</v>
      </c>
      <c r="G678" s="1">
        <v>45870</v>
      </c>
      <c r="H678" s="1">
        <v>45566</v>
      </c>
      <c r="I678">
        <v>18710070</v>
      </c>
      <c r="J678" t="s">
        <v>32</v>
      </c>
      <c r="K678" t="s">
        <v>293</v>
      </c>
      <c r="L678">
        <v>33.17</v>
      </c>
      <c r="M678">
        <v>33.17</v>
      </c>
      <c r="N678" t="s">
        <v>2723</v>
      </c>
      <c r="O678" t="s">
        <v>2722</v>
      </c>
      <c r="P678" t="s">
        <v>3847</v>
      </c>
    </row>
    <row r="679" spans="1:16" x14ac:dyDescent="0.25">
      <c r="A679" t="s">
        <v>2648</v>
      </c>
      <c r="B679" t="str">
        <f>CONCATENATE(A679,8)</f>
        <v>4F80EQ5TV438</v>
      </c>
      <c r="C679" t="s">
        <v>2650</v>
      </c>
      <c r="D679" t="s">
        <v>27</v>
      </c>
      <c r="E679" t="s">
        <v>28</v>
      </c>
      <c r="F679" t="s">
        <v>29</v>
      </c>
      <c r="G679" s="1">
        <v>45870</v>
      </c>
      <c r="H679" s="1">
        <v>45566</v>
      </c>
      <c r="I679">
        <v>18710070</v>
      </c>
      <c r="J679" t="s">
        <v>32</v>
      </c>
      <c r="K679" t="s">
        <v>293</v>
      </c>
      <c r="L679">
        <v>33.17</v>
      </c>
      <c r="M679">
        <v>33.17</v>
      </c>
      <c r="N679" t="s">
        <v>2723</v>
      </c>
      <c r="O679" t="s">
        <v>2722</v>
      </c>
      <c r="P679" t="s">
        <v>3857</v>
      </c>
    </row>
    <row r="680" spans="1:16" x14ac:dyDescent="0.25">
      <c r="A680" t="s">
        <v>1576</v>
      </c>
      <c r="B680" t="str">
        <f>CONCATENATE(A680,8)</f>
        <v>5NU3J33JD868</v>
      </c>
      <c r="C680" t="s">
        <v>1578</v>
      </c>
      <c r="D680" t="s">
        <v>74</v>
      </c>
      <c r="E680" t="s">
        <v>28</v>
      </c>
      <c r="F680" t="s">
        <v>29</v>
      </c>
      <c r="G680" s="1">
        <v>45870</v>
      </c>
      <c r="H680" s="1">
        <v>45627</v>
      </c>
      <c r="I680">
        <v>16865615</v>
      </c>
      <c r="J680" t="s">
        <v>32</v>
      </c>
      <c r="K680" t="s">
        <v>1579</v>
      </c>
      <c r="L680">
        <v>29.83</v>
      </c>
      <c r="M680">
        <v>29.83</v>
      </c>
      <c r="N680" t="s">
        <v>2720</v>
      </c>
      <c r="O680" t="s">
        <v>2724</v>
      </c>
      <c r="P680" t="s">
        <v>3988</v>
      </c>
    </row>
    <row r="681" spans="1:16" x14ac:dyDescent="0.25">
      <c r="A681" t="s">
        <v>2572</v>
      </c>
      <c r="B681" t="str">
        <f>CONCATENATE(A681,8)</f>
        <v>3Y81P74VN378</v>
      </c>
      <c r="C681" t="s">
        <v>2574</v>
      </c>
      <c r="D681" t="s">
        <v>160</v>
      </c>
      <c r="E681" t="s">
        <v>28</v>
      </c>
      <c r="F681" t="s">
        <v>29</v>
      </c>
      <c r="G681" s="1">
        <v>45870</v>
      </c>
      <c r="H681" s="1">
        <v>45413</v>
      </c>
      <c r="I681">
        <v>16865615</v>
      </c>
      <c r="J681" t="s">
        <v>32</v>
      </c>
      <c r="K681" t="s">
        <v>1579</v>
      </c>
      <c r="L681">
        <v>29.83</v>
      </c>
      <c r="M681">
        <v>29.83</v>
      </c>
      <c r="N681" t="s">
        <v>2720</v>
      </c>
      <c r="O681" t="s">
        <v>2724</v>
      </c>
      <c r="P681" t="s">
        <v>4040</v>
      </c>
    </row>
    <row r="682" spans="1:16" x14ac:dyDescent="0.25">
      <c r="A682" t="s">
        <v>249</v>
      </c>
      <c r="B682" t="str">
        <f>CONCATENATE(A682,8)</f>
        <v>5XX2HM5JC088</v>
      </c>
      <c r="C682" t="s">
        <v>251</v>
      </c>
      <c r="D682" t="s">
        <v>74</v>
      </c>
      <c r="E682" t="s">
        <v>28</v>
      </c>
      <c r="F682" t="s">
        <v>29</v>
      </c>
      <c r="G682" s="1">
        <v>45870</v>
      </c>
      <c r="H682" s="1">
        <v>45566</v>
      </c>
      <c r="I682">
        <v>9213293</v>
      </c>
      <c r="J682" t="s">
        <v>32</v>
      </c>
      <c r="K682" t="s">
        <v>252</v>
      </c>
      <c r="L682">
        <v>29.83</v>
      </c>
      <c r="M682">
        <v>29.83</v>
      </c>
      <c r="N682" t="s">
        <v>2720</v>
      </c>
      <c r="O682" t="s">
        <v>2724</v>
      </c>
      <c r="P682" t="s">
        <v>3944</v>
      </c>
    </row>
    <row r="683" spans="1:16" x14ac:dyDescent="0.25">
      <c r="A683" t="s">
        <v>363</v>
      </c>
      <c r="B683" t="str">
        <f>CONCATENATE(A683,8)</f>
        <v>2GV4JY5JR988</v>
      </c>
      <c r="C683" t="s">
        <v>365</v>
      </c>
      <c r="D683" t="s">
        <v>303</v>
      </c>
      <c r="E683" t="s">
        <v>28</v>
      </c>
      <c r="F683" t="s">
        <v>29</v>
      </c>
      <c r="G683" s="1">
        <v>45870</v>
      </c>
      <c r="H683" s="1">
        <v>45292</v>
      </c>
      <c r="I683">
        <v>9213293</v>
      </c>
      <c r="J683" t="s">
        <v>32</v>
      </c>
      <c r="K683" t="s">
        <v>252</v>
      </c>
      <c r="L683">
        <v>29.83</v>
      </c>
      <c r="M683">
        <v>29.83</v>
      </c>
      <c r="N683" t="s">
        <v>2720</v>
      </c>
      <c r="O683" t="s">
        <v>2724</v>
      </c>
      <c r="P683" t="s">
        <v>3952</v>
      </c>
    </row>
    <row r="684" spans="1:16" x14ac:dyDescent="0.25">
      <c r="A684" t="s">
        <v>501</v>
      </c>
      <c r="B684" t="str">
        <f>CONCATENATE(A684,8)</f>
        <v>5GR3Y10GT868</v>
      </c>
      <c r="C684" t="s">
        <v>503</v>
      </c>
      <c r="D684" t="s">
        <v>74</v>
      </c>
      <c r="E684" t="s">
        <v>28</v>
      </c>
      <c r="F684" t="s">
        <v>29</v>
      </c>
      <c r="G684" s="1">
        <v>45870</v>
      </c>
      <c r="H684" s="1">
        <v>45292</v>
      </c>
      <c r="I684">
        <v>9213293</v>
      </c>
      <c r="J684" t="s">
        <v>32</v>
      </c>
      <c r="K684" t="s">
        <v>252</v>
      </c>
      <c r="L684">
        <v>29.83</v>
      </c>
      <c r="M684">
        <v>29.83</v>
      </c>
      <c r="N684" t="s">
        <v>2720</v>
      </c>
      <c r="O684" t="s">
        <v>2724</v>
      </c>
      <c r="P684" t="s">
        <v>3955</v>
      </c>
    </row>
    <row r="685" spans="1:16" x14ac:dyDescent="0.25">
      <c r="A685" t="s">
        <v>749</v>
      </c>
      <c r="B685" t="str">
        <f>CONCATENATE(A685,8)</f>
        <v>6AH9PE3FR578</v>
      </c>
      <c r="C685" t="s">
        <v>751</v>
      </c>
      <c r="D685" t="s">
        <v>303</v>
      </c>
      <c r="E685" t="s">
        <v>28</v>
      </c>
      <c r="F685" t="s">
        <v>29</v>
      </c>
      <c r="G685" s="1">
        <v>45870</v>
      </c>
      <c r="H685" s="1">
        <v>45292</v>
      </c>
      <c r="I685">
        <v>9213293</v>
      </c>
      <c r="J685" t="s">
        <v>32</v>
      </c>
      <c r="K685" t="s">
        <v>252</v>
      </c>
      <c r="L685">
        <v>29.83</v>
      </c>
      <c r="M685">
        <v>29.83</v>
      </c>
      <c r="N685" t="s">
        <v>2720</v>
      </c>
      <c r="O685" t="s">
        <v>2724</v>
      </c>
      <c r="P685" t="s">
        <v>3960</v>
      </c>
    </row>
    <row r="686" spans="1:16" x14ac:dyDescent="0.25">
      <c r="A686" t="s">
        <v>858</v>
      </c>
      <c r="B686" t="str">
        <f>CONCATENATE(A686,8)</f>
        <v>1XX2E57VM068</v>
      </c>
      <c r="C686" t="s">
        <v>860</v>
      </c>
      <c r="D686" t="s">
        <v>111</v>
      </c>
      <c r="E686" t="s">
        <v>28</v>
      </c>
      <c r="F686" t="s">
        <v>29</v>
      </c>
      <c r="G686" s="1">
        <v>45870</v>
      </c>
      <c r="H686" s="1">
        <v>45536</v>
      </c>
      <c r="I686">
        <v>9213293</v>
      </c>
      <c r="J686" t="s">
        <v>32</v>
      </c>
      <c r="K686" t="s">
        <v>252</v>
      </c>
      <c r="L686">
        <v>29.83</v>
      </c>
      <c r="M686">
        <v>29.83</v>
      </c>
      <c r="N686" t="s">
        <v>2720</v>
      </c>
      <c r="O686" t="s">
        <v>2724</v>
      </c>
      <c r="P686" t="s">
        <v>3965</v>
      </c>
    </row>
    <row r="687" spans="1:16" x14ac:dyDescent="0.25">
      <c r="A687" t="s">
        <v>983</v>
      </c>
      <c r="B687" t="str">
        <f>CONCATENATE(A687,8)</f>
        <v>9W13DA6AM098</v>
      </c>
      <c r="C687" t="s">
        <v>986</v>
      </c>
      <c r="D687" t="s">
        <v>74</v>
      </c>
      <c r="E687" t="s">
        <v>28</v>
      </c>
      <c r="F687" t="s">
        <v>29</v>
      </c>
      <c r="G687" s="1">
        <v>45870</v>
      </c>
      <c r="H687" s="1">
        <v>44136</v>
      </c>
      <c r="I687">
        <v>9213293</v>
      </c>
      <c r="J687" t="s">
        <v>32</v>
      </c>
      <c r="K687" t="s">
        <v>252</v>
      </c>
      <c r="L687">
        <v>29.83</v>
      </c>
      <c r="M687">
        <v>29.83</v>
      </c>
      <c r="N687" t="s">
        <v>2720</v>
      </c>
      <c r="O687" t="s">
        <v>2724</v>
      </c>
      <c r="P687" t="s">
        <v>3971</v>
      </c>
    </row>
    <row r="688" spans="1:16" x14ac:dyDescent="0.25">
      <c r="A688" t="s">
        <v>1074</v>
      </c>
      <c r="B688" t="str">
        <f>CONCATENATE(A688,8)</f>
        <v>3FG1AU1JQ068</v>
      </c>
      <c r="C688" t="s">
        <v>1076</v>
      </c>
      <c r="D688" t="s">
        <v>74</v>
      </c>
      <c r="E688" t="s">
        <v>28</v>
      </c>
      <c r="F688" t="s">
        <v>29</v>
      </c>
      <c r="G688" s="1">
        <v>45870</v>
      </c>
      <c r="H688" s="1">
        <v>45597</v>
      </c>
      <c r="I688">
        <v>9213293</v>
      </c>
      <c r="J688" t="s">
        <v>32</v>
      </c>
      <c r="K688" t="s">
        <v>252</v>
      </c>
      <c r="L688">
        <v>29.83</v>
      </c>
      <c r="M688">
        <v>29.83</v>
      </c>
      <c r="N688" t="s">
        <v>2720</v>
      </c>
      <c r="O688" t="s">
        <v>2724</v>
      </c>
      <c r="P688" t="s">
        <v>3973</v>
      </c>
    </row>
    <row r="689" spans="1:17" x14ac:dyDescent="0.25">
      <c r="A689" t="s">
        <v>1089</v>
      </c>
      <c r="B689" t="str">
        <f>CONCATENATE(A689,8)</f>
        <v>9Q39NR7AV108</v>
      </c>
      <c r="C689" t="s">
        <v>1091</v>
      </c>
      <c r="D689" t="s">
        <v>74</v>
      </c>
      <c r="E689" t="s">
        <v>28</v>
      </c>
      <c r="F689" t="s">
        <v>29</v>
      </c>
      <c r="G689" s="1">
        <v>45870</v>
      </c>
      <c r="H689" s="1">
        <v>45627</v>
      </c>
      <c r="I689">
        <v>9213293</v>
      </c>
      <c r="J689" t="s">
        <v>32</v>
      </c>
      <c r="K689" t="s">
        <v>252</v>
      </c>
      <c r="L689">
        <v>29.83</v>
      </c>
      <c r="M689">
        <v>29.83</v>
      </c>
      <c r="N689" t="s">
        <v>2720</v>
      </c>
      <c r="O689" t="s">
        <v>2724</v>
      </c>
      <c r="P689" t="s">
        <v>3974</v>
      </c>
    </row>
    <row r="690" spans="1:17" x14ac:dyDescent="0.25">
      <c r="A690" t="s">
        <v>1485</v>
      </c>
      <c r="B690" t="str">
        <f>CONCATENATE(A690,8)</f>
        <v>2M16NW0CW578</v>
      </c>
      <c r="C690" t="s">
        <v>1487</v>
      </c>
      <c r="D690" t="s">
        <v>74</v>
      </c>
      <c r="E690" t="s">
        <v>28</v>
      </c>
      <c r="F690" t="s">
        <v>29</v>
      </c>
      <c r="G690" s="1">
        <v>45870</v>
      </c>
      <c r="H690" s="1">
        <v>45627</v>
      </c>
      <c r="I690">
        <v>9213293</v>
      </c>
      <c r="J690" t="s">
        <v>32</v>
      </c>
      <c r="K690" t="s">
        <v>252</v>
      </c>
      <c r="L690">
        <v>29.83</v>
      </c>
      <c r="M690">
        <v>29.83</v>
      </c>
      <c r="N690" t="s">
        <v>2720</v>
      </c>
      <c r="O690" t="s">
        <v>2724</v>
      </c>
      <c r="P690" t="s">
        <v>3985</v>
      </c>
    </row>
    <row r="691" spans="1:17" x14ac:dyDescent="0.25">
      <c r="A691" t="s">
        <v>1512</v>
      </c>
      <c r="B691" t="str">
        <f>CONCATENATE(A691,8)</f>
        <v>1PD2UX0FE148</v>
      </c>
      <c r="C691" t="s">
        <v>1514</v>
      </c>
      <c r="D691" t="s">
        <v>89</v>
      </c>
      <c r="E691" t="s">
        <v>28</v>
      </c>
      <c r="F691" t="s">
        <v>29</v>
      </c>
      <c r="G691" s="1">
        <v>45870</v>
      </c>
      <c r="H691" s="1">
        <v>45444</v>
      </c>
      <c r="I691">
        <v>9213293</v>
      </c>
      <c r="J691" t="s">
        <v>32</v>
      </c>
      <c r="K691" t="s">
        <v>252</v>
      </c>
      <c r="L691">
        <v>29.83</v>
      </c>
      <c r="M691">
        <v>29.83</v>
      </c>
      <c r="N691" t="s">
        <v>2720</v>
      </c>
      <c r="O691" t="s">
        <v>2724</v>
      </c>
      <c r="P691" t="s">
        <v>3986</v>
      </c>
    </row>
    <row r="692" spans="1:17" x14ac:dyDescent="0.25">
      <c r="A692" t="s">
        <v>1753</v>
      </c>
      <c r="B692" t="str">
        <f>CONCATENATE(A692,8)</f>
        <v>2YJ0UV9PW338</v>
      </c>
      <c r="C692" t="s">
        <v>1755</v>
      </c>
      <c r="D692" t="s">
        <v>74</v>
      </c>
      <c r="E692" t="s">
        <v>28</v>
      </c>
      <c r="F692" t="s">
        <v>29</v>
      </c>
      <c r="G692" s="1">
        <v>45870</v>
      </c>
      <c r="H692" s="1">
        <v>45566</v>
      </c>
      <c r="I692">
        <v>9213293</v>
      </c>
      <c r="J692" t="s">
        <v>32</v>
      </c>
      <c r="K692" t="s">
        <v>252</v>
      </c>
      <c r="L692">
        <v>29.83</v>
      </c>
      <c r="M692">
        <v>29.83</v>
      </c>
      <c r="N692" t="s">
        <v>2720</v>
      </c>
      <c r="O692" t="s">
        <v>2724</v>
      </c>
      <c r="P692" t="s">
        <v>3996</v>
      </c>
    </row>
    <row r="693" spans="1:17" x14ac:dyDescent="0.25">
      <c r="A693" t="s">
        <v>2023</v>
      </c>
      <c r="B693" t="str">
        <f>CONCATENATE(A693,8)</f>
        <v>8VA3UF4XV758</v>
      </c>
      <c r="C693" t="s">
        <v>2025</v>
      </c>
      <c r="D693" t="s">
        <v>74</v>
      </c>
      <c r="E693" t="s">
        <v>28</v>
      </c>
      <c r="F693" t="s">
        <v>29</v>
      </c>
      <c r="G693" s="1">
        <v>45870</v>
      </c>
      <c r="H693" s="1">
        <v>45292</v>
      </c>
      <c r="I693">
        <v>9213293</v>
      </c>
      <c r="J693" t="s">
        <v>32</v>
      </c>
      <c r="K693" t="s">
        <v>252</v>
      </c>
      <c r="L693">
        <v>29.83</v>
      </c>
      <c r="M693">
        <v>29.83</v>
      </c>
      <c r="N693" t="s">
        <v>2720</v>
      </c>
      <c r="O693" t="s">
        <v>2724</v>
      </c>
      <c r="P693" t="s">
        <v>4013</v>
      </c>
    </row>
    <row r="694" spans="1:17" x14ac:dyDescent="0.25">
      <c r="A694" t="s">
        <v>2118</v>
      </c>
      <c r="B694" t="str">
        <f>CONCATENATE(A694,8)</f>
        <v>3JJ7JC8AY748</v>
      </c>
      <c r="C694" t="s">
        <v>2121</v>
      </c>
      <c r="D694" t="s">
        <v>74</v>
      </c>
      <c r="E694" t="s">
        <v>28</v>
      </c>
      <c r="F694" t="s">
        <v>29</v>
      </c>
      <c r="G694" s="1">
        <v>45870</v>
      </c>
      <c r="H694" s="1">
        <v>44256</v>
      </c>
      <c r="I694">
        <v>9213293</v>
      </c>
      <c r="J694" t="s">
        <v>32</v>
      </c>
      <c r="K694" t="s">
        <v>252</v>
      </c>
      <c r="L694">
        <v>29.83</v>
      </c>
      <c r="M694">
        <v>29.83</v>
      </c>
      <c r="N694" t="s">
        <v>2720</v>
      </c>
      <c r="O694" t="s">
        <v>2724</v>
      </c>
      <c r="P694" t="s">
        <v>4023</v>
      </c>
    </row>
    <row r="695" spans="1:17" x14ac:dyDescent="0.25">
      <c r="A695" t="s">
        <v>2278</v>
      </c>
      <c r="B695" t="str">
        <f>CONCATENATE(A695,8)</f>
        <v>9ER8FE5VC238</v>
      </c>
      <c r="C695" t="s">
        <v>2280</v>
      </c>
      <c r="D695" t="s">
        <v>74</v>
      </c>
      <c r="E695" t="s">
        <v>28</v>
      </c>
      <c r="F695" t="s">
        <v>29</v>
      </c>
      <c r="G695" s="1">
        <v>45870</v>
      </c>
      <c r="H695" s="1">
        <v>45292</v>
      </c>
      <c r="I695">
        <v>9213293</v>
      </c>
      <c r="J695" t="s">
        <v>32</v>
      </c>
      <c r="K695" t="s">
        <v>252</v>
      </c>
      <c r="L695">
        <v>29.83</v>
      </c>
      <c r="M695">
        <v>29.83</v>
      </c>
      <c r="N695" t="s">
        <v>2720</v>
      </c>
      <c r="O695" t="s">
        <v>2724</v>
      </c>
      <c r="P695" t="s">
        <v>4028</v>
      </c>
    </row>
    <row r="696" spans="1:17" x14ac:dyDescent="0.25">
      <c r="A696" t="s">
        <v>2391</v>
      </c>
      <c r="B696" t="str">
        <f>CONCATENATE(A696,8)</f>
        <v>9X87NU0CP608</v>
      </c>
      <c r="C696" t="s">
        <v>2393</v>
      </c>
      <c r="D696" t="s">
        <v>74</v>
      </c>
      <c r="E696" t="s">
        <v>28</v>
      </c>
      <c r="F696" t="s">
        <v>29</v>
      </c>
      <c r="G696" s="1">
        <v>45870</v>
      </c>
      <c r="H696" s="1">
        <v>44562</v>
      </c>
      <c r="I696">
        <v>9213293</v>
      </c>
      <c r="J696" t="s">
        <v>32</v>
      </c>
      <c r="K696" t="s">
        <v>252</v>
      </c>
      <c r="L696">
        <v>29.83</v>
      </c>
      <c r="M696">
        <v>29.83</v>
      </c>
      <c r="N696" t="s">
        <v>2720</v>
      </c>
      <c r="O696" t="s">
        <v>2724</v>
      </c>
      <c r="P696" t="s">
        <v>4031</v>
      </c>
    </row>
    <row r="697" spans="1:17" x14ac:dyDescent="0.25">
      <c r="A697" t="s">
        <v>2534</v>
      </c>
      <c r="B697" t="str">
        <f>CONCATENATE(A697,8)</f>
        <v>6HJ1CX2CK348</v>
      </c>
      <c r="C697" t="s">
        <v>2536</v>
      </c>
      <c r="D697" t="s">
        <v>1461</v>
      </c>
      <c r="E697" t="s">
        <v>28</v>
      </c>
      <c r="F697" t="s">
        <v>127</v>
      </c>
      <c r="G697" s="1">
        <v>45870</v>
      </c>
      <c r="H697" s="1">
        <v>45292</v>
      </c>
      <c r="I697">
        <v>9213293</v>
      </c>
      <c r="J697" t="s">
        <v>32</v>
      </c>
      <c r="K697" t="s">
        <v>252</v>
      </c>
      <c r="L697">
        <v>29.83</v>
      </c>
      <c r="M697">
        <v>29.83</v>
      </c>
      <c r="N697" t="s">
        <v>2720</v>
      </c>
      <c r="O697" t="s">
        <v>2724</v>
      </c>
      <c r="P697" t="s">
        <v>4034</v>
      </c>
    </row>
    <row r="698" spans="1:17" x14ac:dyDescent="0.25">
      <c r="A698" t="s">
        <v>1820</v>
      </c>
      <c r="B698" t="str">
        <f>CONCATENATE(A698,8)</f>
        <v>9WP9CE3JV368</v>
      </c>
      <c r="C698" t="s">
        <v>1822</v>
      </c>
      <c r="D698" t="s">
        <v>74</v>
      </c>
      <c r="E698" t="s">
        <v>402</v>
      </c>
      <c r="F698" t="s">
        <v>29</v>
      </c>
      <c r="G698" s="1">
        <v>45962</v>
      </c>
      <c r="H698" s="1">
        <v>45962</v>
      </c>
      <c r="I698">
        <v>9213293</v>
      </c>
      <c r="J698" t="s">
        <v>32</v>
      </c>
      <c r="K698" t="s">
        <v>252</v>
      </c>
      <c r="L698">
        <v>73</v>
      </c>
      <c r="M698">
        <v>52.17</v>
      </c>
      <c r="N698" t="s">
        <v>2720</v>
      </c>
      <c r="O698" t="s">
        <v>2729</v>
      </c>
      <c r="P698" t="s">
        <v>4046</v>
      </c>
      <c r="Q698">
        <f>313/12*2</f>
        <v>52.166666666666664</v>
      </c>
    </row>
    <row r="699" spans="1:17" x14ac:dyDescent="0.25">
      <c r="A699" t="s">
        <v>71</v>
      </c>
      <c r="B699" t="str">
        <f>CONCATENATE(A699,8)</f>
        <v>9UT1K12YQ258</v>
      </c>
      <c r="C699" t="s">
        <v>73</v>
      </c>
      <c r="D699" t="s">
        <v>74</v>
      </c>
      <c r="E699" t="s">
        <v>28</v>
      </c>
      <c r="F699" t="s">
        <v>29</v>
      </c>
      <c r="G699" s="1">
        <v>45870</v>
      </c>
      <c r="H699" s="1">
        <v>45505</v>
      </c>
      <c r="I699">
        <v>19645587</v>
      </c>
      <c r="J699" t="s">
        <v>32</v>
      </c>
      <c r="K699" t="s">
        <v>76</v>
      </c>
      <c r="L699">
        <v>29.83</v>
      </c>
      <c r="M699">
        <v>29.83</v>
      </c>
      <c r="N699" t="s">
        <v>2720</v>
      </c>
      <c r="O699" t="s">
        <v>2724</v>
      </c>
      <c r="P699" t="s">
        <v>3936</v>
      </c>
    </row>
    <row r="700" spans="1:17" x14ac:dyDescent="0.25">
      <c r="A700" t="s">
        <v>77</v>
      </c>
      <c r="B700" t="str">
        <f>CONCATENATE(A700,8)</f>
        <v>9WQ2RR2XV178</v>
      </c>
      <c r="C700" t="s">
        <v>79</v>
      </c>
      <c r="D700" t="s">
        <v>74</v>
      </c>
      <c r="E700" t="s">
        <v>28</v>
      </c>
      <c r="F700" t="s">
        <v>29</v>
      </c>
      <c r="G700" s="1">
        <v>45870</v>
      </c>
      <c r="H700" s="1">
        <v>45505</v>
      </c>
      <c r="I700">
        <v>19645587</v>
      </c>
      <c r="J700" t="s">
        <v>32</v>
      </c>
      <c r="K700" t="s">
        <v>76</v>
      </c>
      <c r="L700">
        <v>29.83</v>
      </c>
      <c r="M700">
        <v>29.83</v>
      </c>
      <c r="N700" t="s">
        <v>2720</v>
      </c>
      <c r="O700" t="s">
        <v>2724</v>
      </c>
      <c r="P700" t="s">
        <v>3937</v>
      </c>
    </row>
    <row r="701" spans="1:17" x14ac:dyDescent="0.25">
      <c r="A701" t="s">
        <v>1916</v>
      </c>
      <c r="B701" t="str">
        <f>CONCATENATE(A701,8)</f>
        <v>5EW7H87EU318</v>
      </c>
      <c r="C701" t="s">
        <v>1918</v>
      </c>
      <c r="D701" t="s">
        <v>74</v>
      </c>
      <c r="E701" t="s">
        <v>28</v>
      </c>
      <c r="F701" t="s">
        <v>29</v>
      </c>
      <c r="G701" s="1">
        <v>45870</v>
      </c>
      <c r="H701" s="1">
        <v>45536</v>
      </c>
      <c r="I701">
        <v>19645587</v>
      </c>
      <c r="J701" t="s">
        <v>32</v>
      </c>
      <c r="K701" t="s">
        <v>76</v>
      </c>
      <c r="L701">
        <v>29.83</v>
      </c>
      <c r="M701">
        <v>29.83</v>
      </c>
      <c r="N701" t="s">
        <v>2720</v>
      </c>
      <c r="O701" t="s">
        <v>2724</v>
      </c>
      <c r="P701" t="s">
        <v>4007</v>
      </c>
    </row>
    <row r="702" spans="1:17" x14ac:dyDescent="0.25">
      <c r="A702" t="s">
        <v>2108</v>
      </c>
      <c r="B702" t="str">
        <f>CONCATENATE(A702,8)</f>
        <v>3UA2FK8TN198</v>
      </c>
      <c r="C702" t="s">
        <v>2110</v>
      </c>
      <c r="D702" t="s">
        <v>111</v>
      </c>
      <c r="E702" t="s">
        <v>28</v>
      </c>
      <c r="F702" t="s">
        <v>29</v>
      </c>
      <c r="G702" s="1">
        <v>45870</v>
      </c>
      <c r="H702" s="1">
        <v>45536</v>
      </c>
      <c r="I702">
        <v>19645587</v>
      </c>
      <c r="J702" t="s">
        <v>32</v>
      </c>
      <c r="K702" t="s">
        <v>76</v>
      </c>
      <c r="L702">
        <v>29.83</v>
      </c>
      <c r="M702">
        <v>29.83</v>
      </c>
      <c r="N702" t="s">
        <v>2720</v>
      </c>
      <c r="O702" t="s">
        <v>2724</v>
      </c>
      <c r="P702" t="s">
        <v>4022</v>
      </c>
    </row>
    <row r="703" spans="1:17" x14ac:dyDescent="0.25">
      <c r="A703" t="s">
        <v>2249</v>
      </c>
      <c r="B703" t="str">
        <f>CONCATENATE(A703,8)</f>
        <v>9XF4P56WT978</v>
      </c>
      <c r="C703" t="s">
        <v>2251</v>
      </c>
      <c r="D703" t="s">
        <v>74</v>
      </c>
      <c r="E703" t="s">
        <v>28</v>
      </c>
      <c r="F703" t="s">
        <v>29</v>
      </c>
      <c r="G703" s="1">
        <v>45870</v>
      </c>
      <c r="H703" s="1">
        <v>45597</v>
      </c>
      <c r="I703">
        <v>19645587</v>
      </c>
      <c r="J703" t="s">
        <v>32</v>
      </c>
      <c r="K703" t="s">
        <v>76</v>
      </c>
      <c r="L703">
        <v>29.83</v>
      </c>
      <c r="M703">
        <v>29.83</v>
      </c>
      <c r="N703" t="s">
        <v>2720</v>
      </c>
      <c r="O703" t="s">
        <v>2724</v>
      </c>
      <c r="P703" t="s">
        <v>4026</v>
      </c>
    </row>
    <row r="704" spans="1:17" x14ac:dyDescent="0.25">
      <c r="A704" t="s">
        <v>1472</v>
      </c>
      <c r="B704" t="str">
        <f>CONCATENATE(A704,8)</f>
        <v>3WQ1MN5KV278</v>
      </c>
      <c r="C704" t="s">
        <v>1474</v>
      </c>
      <c r="D704" t="s">
        <v>27</v>
      </c>
      <c r="E704" t="s">
        <v>28</v>
      </c>
      <c r="F704" t="s">
        <v>29</v>
      </c>
      <c r="G704" s="1">
        <v>45870</v>
      </c>
      <c r="H704" s="1">
        <v>45352</v>
      </c>
      <c r="I704">
        <v>18406006</v>
      </c>
      <c r="J704" t="s">
        <v>32</v>
      </c>
      <c r="K704" t="s">
        <v>1475</v>
      </c>
      <c r="L704">
        <v>33.17</v>
      </c>
      <c r="M704">
        <v>33.17</v>
      </c>
      <c r="N704" t="s">
        <v>2723</v>
      </c>
      <c r="O704" t="s">
        <v>2722</v>
      </c>
      <c r="P704" t="s">
        <v>3830</v>
      </c>
    </row>
    <row r="705" spans="1:16" x14ac:dyDescent="0.25">
      <c r="A705" t="s">
        <v>516</v>
      </c>
      <c r="B705" t="str">
        <f>CONCATENATE(A705,8)</f>
        <v>9T79PP9YW438</v>
      </c>
      <c r="C705" t="s">
        <v>518</v>
      </c>
      <c r="D705" t="s">
        <v>519</v>
      </c>
      <c r="E705" t="s">
        <v>28</v>
      </c>
      <c r="F705" t="s">
        <v>29</v>
      </c>
      <c r="G705" s="1">
        <v>45870</v>
      </c>
      <c r="H705" s="1">
        <v>45383</v>
      </c>
      <c r="I705">
        <v>16509456</v>
      </c>
      <c r="J705" t="s">
        <v>32</v>
      </c>
      <c r="K705" t="s">
        <v>107</v>
      </c>
      <c r="L705">
        <v>36.67</v>
      </c>
      <c r="M705">
        <v>36.67</v>
      </c>
      <c r="N705" t="s">
        <v>2727</v>
      </c>
      <c r="O705" t="s">
        <v>2728</v>
      </c>
      <c r="P705" t="s">
        <v>3716</v>
      </c>
    </row>
    <row r="706" spans="1:16" x14ac:dyDescent="0.25">
      <c r="A706" t="s">
        <v>103</v>
      </c>
      <c r="B706" t="str">
        <f>CONCATENATE(A706,8)</f>
        <v>4CK4WW3TD998</v>
      </c>
      <c r="C706" t="s">
        <v>105</v>
      </c>
      <c r="D706" t="s">
        <v>27</v>
      </c>
      <c r="E706" t="s">
        <v>28</v>
      </c>
      <c r="F706" t="s">
        <v>29</v>
      </c>
      <c r="G706" s="1">
        <v>45870</v>
      </c>
      <c r="H706" s="1">
        <v>45047</v>
      </c>
      <c r="I706">
        <v>16509456</v>
      </c>
      <c r="J706" t="s">
        <v>32</v>
      </c>
      <c r="K706" t="s">
        <v>107</v>
      </c>
      <c r="L706">
        <v>31.92</v>
      </c>
      <c r="M706">
        <v>31.92</v>
      </c>
      <c r="N706" t="s">
        <v>2723</v>
      </c>
      <c r="O706" t="s">
        <v>2726</v>
      </c>
      <c r="P706" t="s">
        <v>3722</v>
      </c>
    </row>
    <row r="707" spans="1:16" x14ac:dyDescent="0.25">
      <c r="A707" t="s">
        <v>1092</v>
      </c>
      <c r="B707" t="str">
        <f>CONCATENATE(A707,8)</f>
        <v>3C09RQ3CV358</v>
      </c>
      <c r="C707" t="s">
        <v>1094</v>
      </c>
      <c r="D707" t="s">
        <v>27</v>
      </c>
      <c r="E707" t="s">
        <v>28</v>
      </c>
      <c r="F707" t="s">
        <v>29</v>
      </c>
      <c r="G707" s="1">
        <v>45870</v>
      </c>
      <c r="H707" s="1">
        <v>45323</v>
      </c>
      <c r="I707">
        <v>16509456</v>
      </c>
      <c r="J707" t="s">
        <v>32</v>
      </c>
      <c r="K707" t="s">
        <v>107</v>
      </c>
      <c r="L707">
        <v>31.92</v>
      </c>
      <c r="M707">
        <v>31.92</v>
      </c>
      <c r="N707" t="s">
        <v>2723</v>
      </c>
      <c r="O707" t="s">
        <v>2726</v>
      </c>
      <c r="P707" t="s">
        <v>3746</v>
      </c>
    </row>
    <row r="708" spans="1:16" x14ac:dyDescent="0.25">
      <c r="A708" t="s">
        <v>2482</v>
      </c>
      <c r="B708" t="str">
        <f>CONCATENATE(A708,8)</f>
        <v>2TF5G83DR768</v>
      </c>
      <c r="C708" t="s">
        <v>2484</v>
      </c>
      <c r="D708" t="s">
        <v>27</v>
      </c>
      <c r="E708" t="s">
        <v>28</v>
      </c>
      <c r="F708" t="s">
        <v>29</v>
      </c>
      <c r="G708" s="1">
        <v>45870</v>
      </c>
      <c r="H708" s="1">
        <v>45292</v>
      </c>
      <c r="I708">
        <v>16509456</v>
      </c>
      <c r="J708" t="s">
        <v>32</v>
      </c>
      <c r="K708" t="s">
        <v>107</v>
      </c>
      <c r="L708">
        <v>31.92</v>
      </c>
      <c r="M708">
        <v>31.92</v>
      </c>
      <c r="N708" t="s">
        <v>2723</v>
      </c>
      <c r="O708" t="s">
        <v>2726</v>
      </c>
      <c r="P708" t="s">
        <v>3796</v>
      </c>
    </row>
    <row r="709" spans="1:16" x14ac:dyDescent="0.25">
      <c r="A709" t="s">
        <v>1171</v>
      </c>
      <c r="B709" t="str">
        <f>CONCATENATE(A709,8)</f>
        <v>8W34JQ3YH988</v>
      </c>
      <c r="C709" t="s">
        <v>1173</v>
      </c>
      <c r="D709" t="s">
        <v>27</v>
      </c>
      <c r="E709" t="s">
        <v>28</v>
      </c>
      <c r="F709" t="s">
        <v>29</v>
      </c>
      <c r="G709" s="1">
        <v>45870</v>
      </c>
      <c r="H709" s="1">
        <v>45566</v>
      </c>
      <c r="I709">
        <v>16509456</v>
      </c>
      <c r="J709" t="s">
        <v>32</v>
      </c>
      <c r="K709" t="s">
        <v>107</v>
      </c>
      <c r="L709">
        <v>33.17</v>
      </c>
      <c r="M709">
        <v>33.17</v>
      </c>
      <c r="N709" t="s">
        <v>2723</v>
      </c>
      <c r="O709" t="s">
        <v>2722</v>
      </c>
      <c r="P709" t="s">
        <v>3817</v>
      </c>
    </row>
    <row r="710" spans="1:16" x14ac:dyDescent="0.25">
      <c r="A710" t="s">
        <v>2343</v>
      </c>
      <c r="B710" t="str">
        <f>CONCATENATE(A710,8)</f>
        <v>4J14DA0FW878</v>
      </c>
      <c r="C710" t="s">
        <v>2345</v>
      </c>
      <c r="D710" t="s">
        <v>303</v>
      </c>
      <c r="E710" t="s">
        <v>28</v>
      </c>
      <c r="F710" t="s">
        <v>29</v>
      </c>
      <c r="G710" s="1">
        <v>45870</v>
      </c>
      <c r="H710" s="1">
        <v>45170</v>
      </c>
      <c r="I710">
        <v>16509456</v>
      </c>
      <c r="J710" t="s">
        <v>32</v>
      </c>
      <c r="K710" t="s">
        <v>107</v>
      </c>
      <c r="L710">
        <v>28.58</v>
      </c>
      <c r="M710">
        <v>28.58</v>
      </c>
      <c r="N710" t="s">
        <v>2720</v>
      </c>
      <c r="O710" t="s">
        <v>2725</v>
      </c>
      <c r="P710" t="s">
        <v>3923</v>
      </c>
    </row>
    <row r="711" spans="1:16" x14ac:dyDescent="0.25">
      <c r="A711" t="s">
        <v>2040</v>
      </c>
      <c r="B711" t="str">
        <f>CONCATENATE(A711,8)</f>
        <v>7J07A51RW368</v>
      </c>
      <c r="C711" t="s">
        <v>2042</v>
      </c>
      <c r="D711" t="s">
        <v>303</v>
      </c>
      <c r="E711" t="s">
        <v>28</v>
      </c>
      <c r="F711" t="s">
        <v>29</v>
      </c>
      <c r="G711" s="1">
        <v>45870</v>
      </c>
      <c r="H711" s="1">
        <v>45505</v>
      </c>
      <c r="I711">
        <v>16509456</v>
      </c>
      <c r="J711" t="s">
        <v>32</v>
      </c>
      <c r="K711" t="s">
        <v>107</v>
      </c>
      <c r="L711">
        <v>29.83</v>
      </c>
      <c r="M711">
        <v>29.83</v>
      </c>
      <c r="N711" t="s">
        <v>2720</v>
      </c>
      <c r="O711" t="s">
        <v>2724</v>
      </c>
      <c r="P711" t="s">
        <v>4015</v>
      </c>
    </row>
    <row r="712" spans="1:16" x14ac:dyDescent="0.25">
      <c r="A712" t="s">
        <v>2044</v>
      </c>
      <c r="B712" t="str">
        <f>CONCATENATE(A712,8)</f>
        <v>2JN9K33XD518</v>
      </c>
      <c r="C712" t="s">
        <v>2046</v>
      </c>
      <c r="D712" t="s">
        <v>303</v>
      </c>
      <c r="E712" t="s">
        <v>28</v>
      </c>
      <c r="F712" t="s">
        <v>29</v>
      </c>
      <c r="G712" s="1">
        <v>45870</v>
      </c>
      <c r="H712" s="1">
        <v>45627</v>
      </c>
      <c r="I712">
        <v>9079571</v>
      </c>
      <c r="J712" t="s">
        <v>32</v>
      </c>
      <c r="K712" t="s">
        <v>98</v>
      </c>
      <c r="L712">
        <v>29.83</v>
      </c>
      <c r="M712">
        <v>29.83</v>
      </c>
      <c r="N712" t="s">
        <v>2720</v>
      </c>
      <c r="O712" t="s">
        <v>2724</v>
      </c>
      <c r="P712" t="s">
        <v>4016</v>
      </c>
    </row>
    <row r="713" spans="1:16" x14ac:dyDescent="0.25">
      <c r="A713" t="s">
        <v>2553</v>
      </c>
      <c r="B713" t="str">
        <f>CONCATENATE(A713,8)</f>
        <v>1XJ1U96DJ238</v>
      </c>
      <c r="C713" t="s">
        <v>2555</v>
      </c>
      <c r="D713" t="s">
        <v>74</v>
      </c>
      <c r="E713" t="s">
        <v>28</v>
      </c>
      <c r="F713" t="s">
        <v>29</v>
      </c>
      <c r="G713" s="1">
        <v>45870</v>
      </c>
      <c r="H713" s="1">
        <v>45566</v>
      </c>
      <c r="I713">
        <v>16983460</v>
      </c>
      <c r="J713" t="s">
        <v>32</v>
      </c>
      <c r="K713" t="s">
        <v>2556</v>
      </c>
      <c r="L713">
        <v>29.83</v>
      </c>
      <c r="M713">
        <v>29.83</v>
      </c>
      <c r="N713" t="s">
        <v>2720</v>
      </c>
      <c r="O713" t="s">
        <v>2724</v>
      </c>
      <c r="P713" t="s">
        <v>4037</v>
      </c>
    </row>
    <row r="714" spans="1:16" x14ac:dyDescent="0.25">
      <c r="A714" t="s">
        <v>777</v>
      </c>
      <c r="B714" t="str">
        <f>CONCATENATE(A714,8)</f>
        <v>1P13MU5KW178</v>
      </c>
      <c r="C714" t="s">
        <v>779</v>
      </c>
      <c r="D714" t="s">
        <v>74</v>
      </c>
      <c r="E714" t="s">
        <v>28</v>
      </c>
      <c r="F714" t="s">
        <v>29</v>
      </c>
      <c r="G714" s="1">
        <v>45870</v>
      </c>
      <c r="H714" s="1">
        <v>45505</v>
      </c>
      <c r="I714">
        <v>19200754</v>
      </c>
      <c r="J714" t="s">
        <v>32</v>
      </c>
      <c r="K714" t="s">
        <v>780</v>
      </c>
      <c r="L714">
        <v>29.83</v>
      </c>
      <c r="M714">
        <v>29.83</v>
      </c>
      <c r="N714" t="s">
        <v>2720</v>
      </c>
      <c r="O714" t="s">
        <v>2724</v>
      </c>
      <c r="P714" t="s">
        <v>3962</v>
      </c>
    </row>
    <row r="715" spans="1:16" x14ac:dyDescent="0.25">
      <c r="A715" t="s">
        <v>781</v>
      </c>
      <c r="B715" t="str">
        <f>CONCATENATE(A715,8)</f>
        <v>6NX9G27WK358</v>
      </c>
      <c r="C715" t="s">
        <v>783</v>
      </c>
      <c r="D715" t="s">
        <v>74</v>
      </c>
      <c r="E715" t="s">
        <v>28</v>
      </c>
      <c r="F715" t="s">
        <v>29</v>
      </c>
      <c r="G715" s="1">
        <v>45870</v>
      </c>
      <c r="H715" s="1">
        <v>45505</v>
      </c>
      <c r="I715">
        <v>19200754</v>
      </c>
      <c r="J715" t="s">
        <v>32</v>
      </c>
      <c r="K715" t="s">
        <v>780</v>
      </c>
      <c r="L715">
        <v>29.83</v>
      </c>
      <c r="M715">
        <v>29.83</v>
      </c>
      <c r="N715" t="s">
        <v>2720</v>
      </c>
      <c r="O715" t="s">
        <v>2724</v>
      </c>
      <c r="P715" t="s">
        <v>3963</v>
      </c>
    </row>
    <row r="716" spans="1:16" x14ac:dyDescent="0.25">
      <c r="A716" t="s">
        <v>886</v>
      </c>
      <c r="B716" t="str">
        <f>CONCATENATE(A716,8)</f>
        <v>7YW8NX5WR598</v>
      </c>
      <c r="C716" t="s">
        <v>889</v>
      </c>
      <c r="D716" t="s">
        <v>74</v>
      </c>
      <c r="E716" t="s">
        <v>28</v>
      </c>
      <c r="F716" t="s">
        <v>29</v>
      </c>
      <c r="G716" s="1">
        <v>45870</v>
      </c>
      <c r="H716" s="1">
        <v>43831</v>
      </c>
      <c r="I716">
        <v>19200754</v>
      </c>
      <c r="J716" t="s">
        <v>32</v>
      </c>
      <c r="K716" t="s">
        <v>780</v>
      </c>
      <c r="L716">
        <v>29.83</v>
      </c>
      <c r="M716">
        <v>29.83</v>
      </c>
      <c r="N716" t="s">
        <v>2720</v>
      </c>
      <c r="O716" t="s">
        <v>2724</v>
      </c>
      <c r="P716" t="s">
        <v>3966</v>
      </c>
    </row>
    <row r="717" spans="1:16" x14ac:dyDescent="0.25">
      <c r="A717" t="s">
        <v>1948</v>
      </c>
      <c r="B717" t="str">
        <f>CONCATENATE(A717,8)</f>
        <v>8R31TK0YN128</v>
      </c>
      <c r="C717" t="s">
        <v>1950</v>
      </c>
      <c r="D717" t="s">
        <v>74</v>
      </c>
      <c r="E717" t="s">
        <v>28</v>
      </c>
      <c r="F717" t="s">
        <v>29</v>
      </c>
      <c r="G717" s="1">
        <v>45870</v>
      </c>
      <c r="H717" s="1">
        <v>45566</v>
      </c>
      <c r="I717">
        <v>19200754</v>
      </c>
      <c r="J717" t="s">
        <v>32</v>
      </c>
      <c r="K717" t="s">
        <v>780</v>
      </c>
      <c r="L717">
        <v>29.83</v>
      </c>
      <c r="M717">
        <v>29.83</v>
      </c>
      <c r="N717" t="s">
        <v>2720</v>
      </c>
      <c r="O717" t="s">
        <v>2724</v>
      </c>
      <c r="P717" t="s">
        <v>4009</v>
      </c>
    </row>
    <row r="718" spans="1:16" x14ac:dyDescent="0.25">
      <c r="A718" t="s">
        <v>1886</v>
      </c>
      <c r="B718" t="str">
        <f>CONCATENATE(A718,8)</f>
        <v>8PA1XE3QE928</v>
      </c>
      <c r="C718" t="s">
        <v>1888</v>
      </c>
      <c r="D718" t="s">
        <v>1145</v>
      </c>
      <c r="E718" t="s">
        <v>28</v>
      </c>
      <c r="F718" t="s">
        <v>29</v>
      </c>
      <c r="G718" s="1">
        <v>45870</v>
      </c>
      <c r="H718" s="1">
        <v>45627</v>
      </c>
      <c r="I718">
        <v>19586992</v>
      </c>
      <c r="J718" t="s">
        <v>32</v>
      </c>
      <c r="K718" t="s">
        <v>1890</v>
      </c>
      <c r="L718">
        <v>29.83</v>
      </c>
      <c r="M718">
        <v>29.83</v>
      </c>
      <c r="N718" t="s">
        <v>2720</v>
      </c>
      <c r="O718" t="s">
        <v>2724</v>
      </c>
      <c r="P718" t="s">
        <v>4004</v>
      </c>
    </row>
    <row r="719" spans="1:16" x14ac:dyDescent="0.25">
      <c r="A719" t="s">
        <v>1981</v>
      </c>
      <c r="B719" t="str">
        <f>CONCATENATE(A719,8)</f>
        <v>8FE2PK7FQ948</v>
      </c>
      <c r="C719" t="s">
        <v>1983</v>
      </c>
      <c r="D719" t="s">
        <v>60</v>
      </c>
      <c r="E719" t="s">
        <v>28</v>
      </c>
      <c r="F719" t="s">
        <v>29</v>
      </c>
      <c r="G719" s="1">
        <v>45870</v>
      </c>
      <c r="H719" s="1">
        <v>45566</v>
      </c>
      <c r="I719">
        <v>19586992</v>
      </c>
      <c r="J719" t="s">
        <v>32</v>
      </c>
      <c r="K719" t="s">
        <v>1890</v>
      </c>
      <c r="L719">
        <v>29.83</v>
      </c>
      <c r="M719">
        <v>29.83</v>
      </c>
      <c r="N719" t="s">
        <v>2720</v>
      </c>
      <c r="O719" t="s">
        <v>2724</v>
      </c>
      <c r="P719" t="s">
        <v>4011</v>
      </c>
    </row>
    <row r="720" spans="1:16" x14ac:dyDescent="0.25">
      <c r="A720" t="s">
        <v>1985</v>
      </c>
      <c r="B720" t="str">
        <f>CONCATENATE(A720,8)</f>
        <v>8HW9N61FC378</v>
      </c>
      <c r="C720" t="s">
        <v>1987</v>
      </c>
      <c r="D720" t="s">
        <v>60</v>
      </c>
      <c r="E720" t="s">
        <v>28</v>
      </c>
      <c r="F720" t="s">
        <v>29</v>
      </c>
      <c r="G720" s="1">
        <v>45870</v>
      </c>
      <c r="H720" s="1">
        <v>45566</v>
      </c>
      <c r="I720">
        <v>19586992</v>
      </c>
      <c r="J720" t="s">
        <v>32</v>
      </c>
      <c r="K720" t="s">
        <v>1890</v>
      </c>
      <c r="L720">
        <v>29.83</v>
      </c>
      <c r="M720">
        <v>29.83</v>
      </c>
      <c r="N720" t="s">
        <v>2720</v>
      </c>
      <c r="O720" t="s">
        <v>2724</v>
      </c>
      <c r="P720" t="s">
        <v>4012</v>
      </c>
    </row>
    <row r="721" spans="1:17" x14ac:dyDescent="0.25">
      <c r="A721" t="s">
        <v>1142</v>
      </c>
      <c r="B721" t="str">
        <f>CONCATENATE(A721,8)</f>
        <v>8JT4G04XU708</v>
      </c>
      <c r="C721" t="s">
        <v>1144</v>
      </c>
      <c r="D721" t="s">
        <v>1145</v>
      </c>
      <c r="E721" t="s">
        <v>1146</v>
      </c>
      <c r="F721" t="s">
        <v>29</v>
      </c>
      <c r="G721" s="1">
        <v>45717</v>
      </c>
      <c r="H721" s="1">
        <v>45717</v>
      </c>
      <c r="I721">
        <v>21104854</v>
      </c>
      <c r="J721" t="s">
        <v>32</v>
      </c>
      <c r="K721" t="s">
        <v>335</v>
      </c>
      <c r="L721">
        <v>-365</v>
      </c>
      <c r="M721">
        <f>-313/12*10</f>
        <v>-260.83333333333331</v>
      </c>
      <c r="N721" t="s">
        <v>2720</v>
      </c>
      <c r="O721" t="s">
        <v>2721</v>
      </c>
      <c r="P721" t="s">
        <v>3861</v>
      </c>
    </row>
    <row r="722" spans="1:17" x14ac:dyDescent="0.25">
      <c r="A722" t="s">
        <v>332</v>
      </c>
      <c r="B722" t="str">
        <f>CONCATENATE(A722,8)</f>
        <v>9N60HK1RT108</v>
      </c>
      <c r="C722" t="s">
        <v>334</v>
      </c>
      <c r="D722" t="s">
        <v>74</v>
      </c>
      <c r="E722" t="s">
        <v>28</v>
      </c>
      <c r="F722" t="s">
        <v>29</v>
      </c>
      <c r="G722" s="1">
        <v>45870</v>
      </c>
      <c r="H722" s="1">
        <v>45566</v>
      </c>
      <c r="I722">
        <v>21104854</v>
      </c>
      <c r="J722" t="s">
        <v>32</v>
      </c>
      <c r="K722" t="s">
        <v>335</v>
      </c>
      <c r="L722">
        <v>29.83</v>
      </c>
      <c r="M722">
        <v>29.83</v>
      </c>
      <c r="N722" t="s">
        <v>2720</v>
      </c>
      <c r="O722" t="s">
        <v>2724</v>
      </c>
      <c r="P722" t="s">
        <v>3949</v>
      </c>
    </row>
    <row r="723" spans="1:17" x14ac:dyDescent="0.25">
      <c r="A723" t="s">
        <v>1142</v>
      </c>
      <c r="B723" t="str">
        <f>CONCATENATE(A723,8)</f>
        <v>8JT4G04XU708</v>
      </c>
      <c r="C723" t="s">
        <v>1144</v>
      </c>
      <c r="D723" t="s">
        <v>1145</v>
      </c>
      <c r="E723" t="s">
        <v>1148</v>
      </c>
      <c r="F723" t="s">
        <v>29</v>
      </c>
      <c r="G723" s="1">
        <v>45717</v>
      </c>
      <c r="H723" s="1">
        <v>45717</v>
      </c>
      <c r="I723">
        <v>21104854</v>
      </c>
      <c r="J723" t="s">
        <v>32</v>
      </c>
      <c r="K723" t="s">
        <v>335</v>
      </c>
      <c r="L723">
        <v>182.5</v>
      </c>
      <c r="M723">
        <v>130.41999999999999</v>
      </c>
      <c r="N723" t="s">
        <v>2720</v>
      </c>
      <c r="O723" t="s">
        <v>2731</v>
      </c>
      <c r="P723" t="s">
        <v>3861</v>
      </c>
      <c r="Q723">
        <f>626/12*3</f>
        <v>156.5</v>
      </c>
    </row>
    <row r="724" spans="1:17" x14ac:dyDescent="0.25">
      <c r="A724" t="s">
        <v>2048</v>
      </c>
      <c r="B724" t="str">
        <f>CONCATENATE(A724,8)</f>
        <v>9TY0TH2CJ058</v>
      </c>
      <c r="C724" t="s">
        <v>2050</v>
      </c>
      <c r="D724" t="s">
        <v>74</v>
      </c>
      <c r="E724" t="s">
        <v>28</v>
      </c>
      <c r="F724" t="s">
        <v>29</v>
      </c>
      <c r="G724" s="1">
        <v>45870</v>
      </c>
      <c r="H724" s="1">
        <v>45597</v>
      </c>
      <c r="I724">
        <v>19681796</v>
      </c>
      <c r="J724" t="s">
        <v>32</v>
      </c>
      <c r="K724" t="s">
        <v>2051</v>
      </c>
      <c r="L724">
        <v>29.83</v>
      </c>
      <c r="M724">
        <v>29.83</v>
      </c>
      <c r="N724" t="s">
        <v>2720</v>
      </c>
      <c r="O724" t="s">
        <v>2724</v>
      </c>
      <c r="P724" t="s">
        <v>4017</v>
      </c>
    </row>
    <row r="725" spans="1:17" x14ac:dyDescent="0.25">
      <c r="A725" t="s">
        <v>2585</v>
      </c>
      <c r="B725" t="str">
        <f>CONCATENATE(A725,8)</f>
        <v>8XJ9AH9DJ138</v>
      </c>
      <c r="C725" t="s">
        <v>2587</v>
      </c>
      <c r="D725" t="s">
        <v>74</v>
      </c>
      <c r="E725" t="s">
        <v>28</v>
      </c>
      <c r="F725" t="s">
        <v>29</v>
      </c>
      <c r="G725" s="1">
        <v>45870</v>
      </c>
      <c r="H725" s="1">
        <v>45566</v>
      </c>
      <c r="I725">
        <v>19681796</v>
      </c>
      <c r="J725" t="s">
        <v>32</v>
      </c>
      <c r="K725" t="s">
        <v>2051</v>
      </c>
      <c r="L725">
        <v>29.83</v>
      </c>
      <c r="M725">
        <v>29.83</v>
      </c>
      <c r="N725" t="s">
        <v>2720</v>
      </c>
      <c r="O725" t="s">
        <v>2724</v>
      </c>
      <c r="P725" t="s">
        <v>4041</v>
      </c>
    </row>
    <row r="726" spans="1:17" x14ac:dyDescent="0.25">
      <c r="A726" t="s">
        <v>2594</v>
      </c>
      <c r="B726" t="str">
        <f>CONCATENATE(A726,8)</f>
        <v>5QE7WQ3VU378</v>
      </c>
      <c r="C726" t="s">
        <v>2596</v>
      </c>
      <c r="D726" t="s">
        <v>74</v>
      </c>
      <c r="E726" t="s">
        <v>28</v>
      </c>
      <c r="F726" t="s">
        <v>29</v>
      </c>
      <c r="G726" s="1">
        <v>45870</v>
      </c>
      <c r="H726" s="1">
        <v>45566</v>
      </c>
      <c r="I726">
        <v>19681796</v>
      </c>
      <c r="J726" t="s">
        <v>32</v>
      </c>
      <c r="K726" t="s">
        <v>2051</v>
      </c>
      <c r="L726">
        <v>29.83</v>
      </c>
      <c r="M726">
        <v>29.83</v>
      </c>
      <c r="N726" t="s">
        <v>2720</v>
      </c>
      <c r="O726" t="s">
        <v>2724</v>
      </c>
      <c r="P726" t="s">
        <v>4042</v>
      </c>
    </row>
    <row r="727" spans="1:17" x14ac:dyDescent="0.25">
      <c r="A727" t="s">
        <v>170</v>
      </c>
      <c r="B727" t="str">
        <f>CONCATENATE(A727,8)</f>
        <v>2F16C21QX408</v>
      </c>
      <c r="C727" t="s">
        <v>172</v>
      </c>
      <c r="D727" t="s">
        <v>27</v>
      </c>
      <c r="E727" t="s">
        <v>28</v>
      </c>
      <c r="F727" t="s">
        <v>29</v>
      </c>
      <c r="G727" s="1">
        <v>45870</v>
      </c>
      <c r="H727" s="1">
        <v>44986</v>
      </c>
      <c r="I727">
        <v>8307933</v>
      </c>
      <c r="J727" t="s">
        <v>32</v>
      </c>
      <c r="K727" t="s">
        <v>63</v>
      </c>
      <c r="L727">
        <v>31.92</v>
      </c>
      <c r="M727">
        <v>31.92</v>
      </c>
      <c r="N727" t="s">
        <v>2723</v>
      </c>
      <c r="O727" t="s">
        <v>2726</v>
      </c>
      <c r="P727" t="s">
        <v>3724</v>
      </c>
    </row>
    <row r="728" spans="1:17" x14ac:dyDescent="0.25">
      <c r="A728" t="s">
        <v>1131</v>
      </c>
      <c r="B728" t="str">
        <f>CONCATENATE(A728,8)</f>
        <v>9CH9HK8XJ328</v>
      </c>
      <c r="C728" t="s">
        <v>1133</v>
      </c>
      <c r="D728" t="s">
        <v>27</v>
      </c>
      <c r="E728" t="s">
        <v>28</v>
      </c>
      <c r="F728" t="s">
        <v>29</v>
      </c>
      <c r="G728" s="1">
        <v>45870</v>
      </c>
      <c r="H728" s="1">
        <v>45323</v>
      </c>
      <c r="I728">
        <v>8307933</v>
      </c>
      <c r="J728" t="s">
        <v>32</v>
      </c>
      <c r="K728" t="s">
        <v>63</v>
      </c>
      <c r="L728">
        <v>31.92</v>
      </c>
      <c r="M728">
        <v>31.92</v>
      </c>
      <c r="N728" t="s">
        <v>2723</v>
      </c>
      <c r="O728" t="s">
        <v>2726</v>
      </c>
      <c r="P728" t="s">
        <v>3749</v>
      </c>
    </row>
    <row r="729" spans="1:17" x14ac:dyDescent="0.25">
      <c r="A729" t="s">
        <v>1394</v>
      </c>
      <c r="B729" t="str">
        <f>CONCATENATE(A729,8)</f>
        <v>1K31HV6KC338</v>
      </c>
      <c r="C729" t="s">
        <v>1396</v>
      </c>
      <c r="D729" t="s">
        <v>27</v>
      </c>
      <c r="E729" t="s">
        <v>28</v>
      </c>
      <c r="F729" t="s">
        <v>29</v>
      </c>
      <c r="G729" s="1">
        <v>45870</v>
      </c>
      <c r="H729" s="1">
        <v>45200</v>
      </c>
      <c r="I729">
        <v>8307933</v>
      </c>
      <c r="J729" t="s">
        <v>32</v>
      </c>
      <c r="K729" t="s">
        <v>63</v>
      </c>
      <c r="L729">
        <v>31.92</v>
      </c>
      <c r="M729">
        <v>31.92</v>
      </c>
      <c r="N729" t="s">
        <v>2723</v>
      </c>
      <c r="O729" t="s">
        <v>2726</v>
      </c>
      <c r="P729" t="s">
        <v>3764</v>
      </c>
    </row>
    <row r="730" spans="1:17" x14ac:dyDescent="0.25">
      <c r="A730" t="s">
        <v>1726</v>
      </c>
      <c r="B730" t="str">
        <f>CONCATENATE(A730,8)</f>
        <v>4WW4W91JY958</v>
      </c>
      <c r="C730" t="s">
        <v>1728</v>
      </c>
      <c r="D730" t="s">
        <v>27</v>
      </c>
      <c r="E730" t="s">
        <v>28</v>
      </c>
      <c r="F730" t="s">
        <v>29</v>
      </c>
      <c r="G730" s="1">
        <v>45870</v>
      </c>
      <c r="H730" s="1">
        <v>45047</v>
      </c>
      <c r="I730">
        <v>8307933</v>
      </c>
      <c r="J730" t="s">
        <v>32</v>
      </c>
      <c r="K730" t="s">
        <v>63</v>
      </c>
      <c r="L730">
        <v>31.92</v>
      </c>
      <c r="M730">
        <v>31.92</v>
      </c>
      <c r="N730" t="s">
        <v>2723</v>
      </c>
      <c r="O730" t="s">
        <v>2726</v>
      </c>
      <c r="P730" t="s">
        <v>3772</v>
      </c>
    </row>
    <row r="731" spans="1:17" x14ac:dyDescent="0.25">
      <c r="A731" t="s">
        <v>2434</v>
      </c>
      <c r="B731" t="str">
        <f>CONCATENATE(A731,8)</f>
        <v>3TQ5V04KJ508</v>
      </c>
      <c r="C731" t="s">
        <v>2436</v>
      </c>
      <c r="D731" t="s">
        <v>27</v>
      </c>
      <c r="E731" t="s">
        <v>28</v>
      </c>
      <c r="F731" t="s">
        <v>29</v>
      </c>
      <c r="G731" s="1">
        <v>45870</v>
      </c>
      <c r="H731" s="1">
        <v>45323</v>
      </c>
      <c r="I731">
        <v>8307933</v>
      </c>
      <c r="J731" t="s">
        <v>32</v>
      </c>
      <c r="K731" t="s">
        <v>63</v>
      </c>
      <c r="L731">
        <v>31.92</v>
      </c>
      <c r="M731">
        <v>31.92</v>
      </c>
      <c r="N731" t="s">
        <v>2723</v>
      </c>
      <c r="O731" t="s">
        <v>2726</v>
      </c>
      <c r="P731" t="s">
        <v>3793</v>
      </c>
    </row>
    <row r="732" spans="1:17" x14ac:dyDescent="0.25">
      <c r="A732" t="s">
        <v>2114</v>
      </c>
      <c r="B732" t="str">
        <f>CONCATENATE(A732,8)</f>
        <v>4UG8ER0AD468</v>
      </c>
      <c r="C732" t="s">
        <v>2116</v>
      </c>
      <c r="D732" t="s">
        <v>27</v>
      </c>
      <c r="E732" t="s">
        <v>28</v>
      </c>
      <c r="F732" t="s">
        <v>29</v>
      </c>
      <c r="G732" s="1">
        <v>45870</v>
      </c>
      <c r="H732" s="1">
        <v>45566</v>
      </c>
      <c r="I732">
        <v>8307933</v>
      </c>
      <c r="J732" t="s">
        <v>32</v>
      </c>
      <c r="K732" t="s">
        <v>63</v>
      </c>
      <c r="L732">
        <v>33.17</v>
      </c>
      <c r="M732">
        <v>33.17</v>
      </c>
      <c r="N732" t="s">
        <v>2723</v>
      </c>
      <c r="O732" t="s">
        <v>2722</v>
      </c>
      <c r="P732" t="s">
        <v>3845</v>
      </c>
    </row>
    <row r="733" spans="1:17" x14ac:dyDescent="0.25">
      <c r="A733" t="s">
        <v>994</v>
      </c>
      <c r="B733" t="str">
        <f>CONCATENATE(A733,8)</f>
        <v>9HA9GR9AY008</v>
      </c>
      <c r="C733" t="s">
        <v>996</v>
      </c>
      <c r="D733" t="s">
        <v>444</v>
      </c>
      <c r="E733" t="s">
        <v>997</v>
      </c>
      <c r="F733" t="s">
        <v>29</v>
      </c>
      <c r="G733" s="1">
        <v>45839</v>
      </c>
      <c r="H733" s="1">
        <v>45536</v>
      </c>
      <c r="I733">
        <v>8307933</v>
      </c>
      <c r="J733" t="s">
        <v>32</v>
      </c>
      <c r="K733" t="s">
        <v>63</v>
      </c>
      <c r="L733">
        <v>-29.83</v>
      </c>
      <c r="M733">
        <v>-29.83</v>
      </c>
      <c r="N733" t="s">
        <v>2720</v>
      </c>
      <c r="O733" t="s">
        <v>2724</v>
      </c>
      <c r="P733" t="s">
        <v>3862</v>
      </c>
    </row>
    <row r="734" spans="1:17" x14ac:dyDescent="0.25">
      <c r="A734" t="s">
        <v>180</v>
      </c>
      <c r="B734" t="str">
        <f>CONCATENATE(A734,8)</f>
        <v>7WH1HW4KD278</v>
      </c>
      <c r="C734" t="s">
        <v>182</v>
      </c>
      <c r="D734" t="s">
        <v>89</v>
      </c>
      <c r="E734" t="s">
        <v>28</v>
      </c>
      <c r="F734" t="s">
        <v>29</v>
      </c>
      <c r="G734" s="1">
        <v>45870</v>
      </c>
      <c r="H734" s="1">
        <v>45261</v>
      </c>
      <c r="I734">
        <v>8307933</v>
      </c>
      <c r="J734" t="s">
        <v>32</v>
      </c>
      <c r="K734" t="s">
        <v>63</v>
      </c>
      <c r="L734">
        <v>28.58</v>
      </c>
      <c r="M734">
        <v>28.58</v>
      </c>
      <c r="N734" t="s">
        <v>2720</v>
      </c>
      <c r="O734" t="s">
        <v>2725</v>
      </c>
      <c r="P734" t="s">
        <v>3864</v>
      </c>
    </row>
    <row r="735" spans="1:17" x14ac:dyDescent="0.25">
      <c r="A735" t="s">
        <v>185</v>
      </c>
      <c r="B735" t="str">
        <f>CONCATENATE(A735,8)</f>
        <v>2CJ2CU8JH218</v>
      </c>
      <c r="C735" t="s">
        <v>187</v>
      </c>
      <c r="D735" t="s">
        <v>60</v>
      </c>
      <c r="E735" t="s">
        <v>28</v>
      </c>
      <c r="F735" t="s">
        <v>29</v>
      </c>
      <c r="G735" s="1">
        <v>45870</v>
      </c>
      <c r="H735" s="1">
        <v>45261</v>
      </c>
      <c r="I735">
        <v>8307933</v>
      </c>
      <c r="J735" t="s">
        <v>32</v>
      </c>
      <c r="K735" t="s">
        <v>63</v>
      </c>
      <c r="L735">
        <v>28.58</v>
      </c>
      <c r="M735">
        <v>28.58</v>
      </c>
      <c r="N735" t="s">
        <v>2720</v>
      </c>
      <c r="O735" t="s">
        <v>2725</v>
      </c>
      <c r="P735" t="s">
        <v>3865</v>
      </c>
    </row>
    <row r="736" spans="1:17" x14ac:dyDescent="0.25">
      <c r="A736" t="s">
        <v>392</v>
      </c>
      <c r="B736" t="str">
        <f>CONCATENATE(A736,8)</f>
        <v>5FN3JX1EM908</v>
      </c>
      <c r="C736" t="s">
        <v>394</v>
      </c>
      <c r="D736" t="s">
        <v>60</v>
      </c>
      <c r="E736" t="s">
        <v>28</v>
      </c>
      <c r="F736" t="s">
        <v>29</v>
      </c>
      <c r="G736" s="1">
        <v>45870</v>
      </c>
      <c r="H736" s="1">
        <v>45292</v>
      </c>
      <c r="I736">
        <v>8307933</v>
      </c>
      <c r="J736" t="s">
        <v>32</v>
      </c>
      <c r="K736" t="s">
        <v>63</v>
      </c>
      <c r="L736">
        <v>28.58</v>
      </c>
      <c r="M736">
        <v>28.58</v>
      </c>
      <c r="N736" t="s">
        <v>2720</v>
      </c>
      <c r="O736" t="s">
        <v>2725</v>
      </c>
      <c r="P736" t="s">
        <v>3866</v>
      </c>
    </row>
    <row r="737" spans="1:16" x14ac:dyDescent="0.25">
      <c r="A737" t="s">
        <v>459</v>
      </c>
      <c r="B737" t="str">
        <f>CONCATENATE(A737,8)</f>
        <v>2PK0QX0DF418</v>
      </c>
      <c r="C737" t="s">
        <v>461</v>
      </c>
      <c r="D737" t="s">
        <v>234</v>
      </c>
      <c r="E737" t="s">
        <v>28</v>
      </c>
      <c r="F737" t="s">
        <v>29</v>
      </c>
      <c r="G737" s="1">
        <v>45870</v>
      </c>
      <c r="H737" s="1">
        <v>45231</v>
      </c>
      <c r="I737">
        <v>8307933</v>
      </c>
      <c r="J737" t="s">
        <v>32</v>
      </c>
      <c r="K737" t="s">
        <v>63</v>
      </c>
      <c r="L737">
        <v>28.58</v>
      </c>
      <c r="M737">
        <v>28.58</v>
      </c>
      <c r="N737" t="s">
        <v>2720</v>
      </c>
      <c r="O737" t="s">
        <v>2725</v>
      </c>
      <c r="P737" t="s">
        <v>3868</v>
      </c>
    </row>
    <row r="738" spans="1:16" x14ac:dyDescent="0.25">
      <c r="A738" t="s">
        <v>487</v>
      </c>
      <c r="B738" t="str">
        <f>CONCATENATE(A738,8)</f>
        <v>9R19MV1QT348</v>
      </c>
      <c r="C738" t="s">
        <v>489</v>
      </c>
      <c r="D738" t="s">
        <v>346</v>
      </c>
      <c r="E738" t="s">
        <v>28</v>
      </c>
      <c r="F738" t="s">
        <v>29</v>
      </c>
      <c r="G738" s="1">
        <v>45870</v>
      </c>
      <c r="H738" s="1">
        <v>45292</v>
      </c>
      <c r="I738">
        <v>8307933</v>
      </c>
      <c r="J738" t="s">
        <v>32</v>
      </c>
      <c r="K738" t="s">
        <v>63</v>
      </c>
      <c r="L738">
        <v>28.58</v>
      </c>
      <c r="M738">
        <v>28.58</v>
      </c>
      <c r="N738" t="s">
        <v>2720</v>
      </c>
      <c r="O738" t="s">
        <v>2725</v>
      </c>
      <c r="P738" t="s">
        <v>3872</v>
      </c>
    </row>
    <row r="739" spans="1:16" x14ac:dyDescent="0.25">
      <c r="A739" t="s">
        <v>491</v>
      </c>
      <c r="B739" t="str">
        <f>CONCATENATE(A739,8)</f>
        <v>2XK8X40RJ648</v>
      </c>
      <c r="C739" t="s">
        <v>493</v>
      </c>
      <c r="D739" t="s">
        <v>346</v>
      </c>
      <c r="E739" t="s">
        <v>28</v>
      </c>
      <c r="F739" t="s">
        <v>29</v>
      </c>
      <c r="G739" s="1">
        <v>45870</v>
      </c>
      <c r="H739" s="1">
        <v>45292</v>
      </c>
      <c r="I739">
        <v>8307933</v>
      </c>
      <c r="J739" t="s">
        <v>32</v>
      </c>
      <c r="K739" t="s">
        <v>63</v>
      </c>
      <c r="L739">
        <v>28.58</v>
      </c>
      <c r="M739">
        <v>28.58</v>
      </c>
      <c r="N739" t="s">
        <v>2720</v>
      </c>
      <c r="O739" t="s">
        <v>2725</v>
      </c>
      <c r="P739" t="s">
        <v>3873</v>
      </c>
    </row>
    <row r="740" spans="1:16" x14ac:dyDescent="0.25">
      <c r="A740" t="s">
        <v>570</v>
      </c>
      <c r="B740" t="str">
        <f>CONCATENATE(A740,8)</f>
        <v>6U08KP1HM508</v>
      </c>
      <c r="C740" t="s">
        <v>572</v>
      </c>
      <c r="D740" t="s">
        <v>303</v>
      </c>
      <c r="E740" t="s">
        <v>28</v>
      </c>
      <c r="F740" t="s">
        <v>29</v>
      </c>
      <c r="G740" s="1">
        <v>45870</v>
      </c>
      <c r="H740" s="1">
        <v>45352</v>
      </c>
      <c r="I740">
        <v>8307933</v>
      </c>
      <c r="J740" t="s">
        <v>32</v>
      </c>
      <c r="K740" t="s">
        <v>63</v>
      </c>
      <c r="L740">
        <v>28.58</v>
      </c>
      <c r="M740">
        <v>28.58</v>
      </c>
      <c r="N740" t="s">
        <v>2720</v>
      </c>
      <c r="O740" t="s">
        <v>2725</v>
      </c>
      <c r="P740" t="s">
        <v>3874</v>
      </c>
    </row>
    <row r="741" spans="1:16" x14ac:dyDescent="0.25">
      <c r="A741" t="s">
        <v>592</v>
      </c>
      <c r="B741" t="str">
        <f>CONCATENATE(A741,8)</f>
        <v>9U61E22HJ028</v>
      </c>
      <c r="C741" t="s">
        <v>594</v>
      </c>
      <c r="D741" t="s">
        <v>89</v>
      </c>
      <c r="E741" t="s">
        <v>28</v>
      </c>
      <c r="F741" t="s">
        <v>29</v>
      </c>
      <c r="G741" s="1">
        <v>45870</v>
      </c>
      <c r="H741" s="1">
        <v>45108</v>
      </c>
      <c r="I741">
        <v>8307933</v>
      </c>
      <c r="J741" t="s">
        <v>32</v>
      </c>
      <c r="K741" t="s">
        <v>63</v>
      </c>
      <c r="L741">
        <v>28.58</v>
      </c>
      <c r="M741">
        <v>28.58</v>
      </c>
      <c r="N741" t="s">
        <v>2720</v>
      </c>
      <c r="O741" t="s">
        <v>2725</v>
      </c>
      <c r="P741" t="s">
        <v>3875</v>
      </c>
    </row>
    <row r="742" spans="1:16" x14ac:dyDescent="0.25">
      <c r="A742" t="s">
        <v>711</v>
      </c>
      <c r="B742" t="str">
        <f>CONCATENATE(A742,8)</f>
        <v>3C06FW9JR728</v>
      </c>
      <c r="C742" t="s">
        <v>713</v>
      </c>
      <c r="D742" t="s">
        <v>89</v>
      </c>
      <c r="E742" t="s">
        <v>28</v>
      </c>
      <c r="F742" t="s">
        <v>29</v>
      </c>
      <c r="G742" s="1">
        <v>45870</v>
      </c>
      <c r="H742" s="1">
        <v>45170</v>
      </c>
      <c r="I742">
        <v>8307933</v>
      </c>
      <c r="J742" t="s">
        <v>32</v>
      </c>
      <c r="K742" t="s">
        <v>63</v>
      </c>
      <c r="L742">
        <v>28.58</v>
      </c>
      <c r="M742">
        <v>28.58</v>
      </c>
      <c r="N742" t="s">
        <v>2720</v>
      </c>
      <c r="O742" t="s">
        <v>2725</v>
      </c>
      <c r="P742" t="s">
        <v>3876</v>
      </c>
    </row>
    <row r="743" spans="1:16" x14ac:dyDescent="0.25">
      <c r="A743" t="s">
        <v>768</v>
      </c>
      <c r="B743" t="str">
        <f>CONCATENATE(A743,8)</f>
        <v>4C12GP5FM098</v>
      </c>
      <c r="C743" t="s">
        <v>770</v>
      </c>
      <c r="D743" t="s">
        <v>74</v>
      </c>
      <c r="E743" t="s">
        <v>28</v>
      </c>
      <c r="F743" t="s">
        <v>29</v>
      </c>
      <c r="G743" s="1">
        <v>45870</v>
      </c>
      <c r="H743" s="1">
        <v>45231</v>
      </c>
      <c r="I743">
        <v>8307933</v>
      </c>
      <c r="J743" t="s">
        <v>32</v>
      </c>
      <c r="K743" t="s">
        <v>63</v>
      </c>
      <c r="L743">
        <v>28.58</v>
      </c>
      <c r="M743">
        <v>28.58</v>
      </c>
      <c r="N743" t="s">
        <v>2720</v>
      </c>
      <c r="O743" t="s">
        <v>2725</v>
      </c>
      <c r="P743" t="s">
        <v>3877</v>
      </c>
    </row>
    <row r="744" spans="1:16" x14ac:dyDescent="0.25">
      <c r="A744" t="s">
        <v>771</v>
      </c>
      <c r="B744" t="str">
        <f>CONCATENATE(A744,8)</f>
        <v>6Y65FT8JF798</v>
      </c>
      <c r="C744" t="s">
        <v>773</v>
      </c>
      <c r="D744" t="s">
        <v>74</v>
      </c>
      <c r="E744" t="s">
        <v>28</v>
      </c>
      <c r="F744" t="s">
        <v>29</v>
      </c>
      <c r="G744" s="1">
        <v>45870</v>
      </c>
      <c r="H744" s="1">
        <v>45231</v>
      </c>
      <c r="I744">
        <v>8307933</v>
      </c>
      <c r="J744" t="s">
        <v>32</v>
      </c>
      <c r="K744" t="s">
        <v>63</v>
      </c>
      <c r="L744">
        <v>28.58</v>
      </c>
      <c r="M744">
        <v>28.58</v>
      </c>
      <c r="N744" t="s">
        <v>2720</v>
      </c>
      <c r="O744" t="s">
        <v>2725</v>
      </c>
      <c r="P744" t="s">
        <v>3878</v>
      </c>
    </row>
    <row r="745" spans="1:16" x14ac:dyDescent="0.25">
      <c r="A745" t="s">
        <v>848</v>
      </c>
      <c r="B745" t="str">
        <f>CONCATENATE(A745,8)</f>
        <v>3RE5VX1FG778</v>
      </c>
      <c r="C745" t="s">
        <v>850</v>
      </c>
      <c r="D745" t="s">
        <v>303</v>
      </c>
      <c r="E745" t="s">
        <v>28</v>
      </c>
      <c r="F745" t="s">
        <v>29</v>
      </c>
      <c r="G745" s="1">
        <v>45870</v>
      </c>
      <c r="H745" s="1">
        <v>45170</v>
      </c>
      <c r="I745">
        <v>8307933</v>
      </c>
      <c r="J745" t="s">
        <v>32</v>
      </c>
      <c r="K745" t="s">
        <v>63</v>
      </c>
      <c r="L745">
        <v>28.58</v>
      </c>
      <c r="M745">
        <v>28.58</v>
      </c>
      <c r="N745" t="s">
        <v>2720</v>
      </c>
      <c r="O745" t="s">
        <v>2725</v>
      </c>
      <c r="P745" t="s">
        <v>3881</v>
      </c>
    </row>
    <row r="746" spans="1:16" x14ac:dyDescent="0.25">
      <c r="A746" t="s">
        <v>891</v>
      </c>
      <c r="B746" t="str">
        <f>CONCATENATE(A746,8)</f>
        <v>7MT0G84HY328</v>
      </c>
      <c r="C746" t="s">
        <v>893</v>
      </c>
      <c r="D746" t="s">
        <v>74</v>
      </c>
      <c r="E746" t="s">
        <v>28</v>
      </c>
      <c r="F746" t="s">
        <v>29</v>
      </c>
      <c r="G746" s="1">
        <v>45870</v>
      </c>
      <c r="H746" s="1">
        <v>45292</v>
      </c>
      <c r="I746">
        <v>8307933</v>
      </c>
      <c r="J746" t="s">
        <v>32</v>
      </c>
      <c r="K746" t="s">
        <v>63</v>
      </c>
      <c r="L746">
        <v>28.58</v>
      </c>
      <c r="M746">
        <v>28.58</v>
      </c>
      <c r="N746" t="s">
        <v>2720</v>
      </c>
      <c r="O746" t="s">
        <v>2725</v>
      </c>
      <c r="P746" t="s">
        <v>3882</v>
      </c>
    </row>
    <row r="747" spans="1:16" x14ac:dyDescent="0.25">
      <c r="A747" t="s">
        <v>918</v>
      </c>
      <c r="B747" t="str">
        <f>CONCATENATE(A747,8)</f>
        <v>5V18R66YJ568</v>
      </c>
      <c r="C747" t="s">
        <v>920</v>
      </c>
      <c r="D747" t="s">
        <v>620</v>
      </c>
      <c r="E747" t="s">
        <v>28</v>
      </c>
      <c r="F747" t="s">
        <v>29</v>
      </c>
      <c r="G747" s="1">
        <v>45870</v>
      </c>
      <c r="H747" s="1">
        <v>45292</v>
      </c>
      <c r="I747">
        <v>8307933</v>
      </c>
      <c r="J747" t="s">
        <v>32</v>
      </c>
      <c r="K747" t="s">
        <v>63</v>
      </c>
      <c r="L747">
        <v>28.58</v>
      </c>
      <c r="M747">
        <v>28.58</v>
      </c>
      <c r="N747" t="s">
        <v>2720</v>
      </c>
      <c r="O747" t="s">
        <v>2725</v>
      </c>
      <c r="P747" t="s">
        <v>3884</v>
      </c>
    </row>
    <row r="748" spans="1:16" x14ac:dyDescent="0.25">
      <c r="A748" t="s">
        <v>954</v>
      </c>
      <c r="B748" t="str">
        <f>CONCATENATE(A748,8)</f>
        <v>1VT7UP9JP648</v>
      </c>
      <c r="C748" t="s">
        <v>956</v>
      </c>
      <c r="D748" t="s">
        <v>74</v>
      </c>
      <c r="E748" t="s">
        <v>28</v>
      </c>
      <c r="F748" t="s">
        <v>29</v>
      </c>
      <c r="G748" s="1">
        <v>45870</v>
      </c>
      <c r="H748" s="1">
        <v>45017</v>
      </c>
      <c r="I748">
        <v>8307933</v>
      </c>
      <c r="J748" t="s">
        <v>32</v>
      </c>
      <c r="K748" t="s">
        <v>63</v>
      </c>
      <c r="L748">
        <v>28.58</v>
      </c>
      <c r="M748">
        <v>28.58</v>
      </c>
      <c r="N748" t="s">
        <v>2720</v>
      </c>
      <c r="O748" t="s">
        <v>2725</v>
      </c>
      <c r="P748" t="s">
        <v>3885</v>
      </c>
    </row>
    <row r="749" spans="1:16" x14ac:dyDescent="0.25">
      <c r="A749" t="s">
        <v>957</v>
      </c>
      <c r="B749" t="str">
        <f>CONCATENATE(A749,8)</f>
        <v>4E74U55PQ888</v>
      </c>
      <c r="C749" t="s">
        <v>959</v>
      </c>
      <c r="D749" t="s">
        <v>444</v>
      </c>
      <c r="E749" t="s">
        <v>28</v>
      </c>
      <c r="F749" t="s">
        <v>29</v>
      </c>
      <c r="G749" s="1">
        <v>45870</v>
      </c>
      <c r="H749" s="1">
        <v>45170</v>
      </c>
      <c r="I749">
        <v>8307933</v>
      </c>
      <c r="J749" t="s">
        <v>32</v>
      </c>
      <c r="K749" t="s">
        <v>63</v>
      </c>
      <c r="L749">
        <v>28.58</v>
      </c>
      <c r="M749">
        <v>28.58</v>
      </c>
      <c r="N749" t="s">
        <v>2720</v>
      </c>
      <c r="O749" t="s">
        <v>2725</v>
      </c>
      <c r="P749" t="s">
        <v>3886</v>
      </c>
    </row>
    <row r="750" spans="1:16" x14ac:dyDescent="0.25">
      <c r="A750" t="s">
        <v>961</v>
      </c>
      <c r="B750" t="str">
        <f>CONCATENATE(A750,8)</f>
        <v>5G97EH3NE618</v>
      </c>
      <c r="C750" t="s">
        <v>963</v>
      </c>
      <c r="D750" t="s">
        <v>444</v>
      </c>
      <c r="E750" t="s">
        <v>28</v>
      </c>
      <c r="F750" t="s">
        <v>29</v>
      </c>
      <c r="G750" s="1">
        <v>45870</v>
      </c>
      <c r="H750" s="1">
        <v>45017</v>
      </c>
      <c r="I750">
        <v>8307933</v>
      </c>
      <c r="J750" t="s">
        <v>32</v>
      </c>
      <c r="K750" t="s">
        <v>63</v>
      </c>
      <c r="L750">
        <v>28.58</v>
      </c>
      <c r="M750">
        <v>28.58</v>
      </c>
      <c r="N750" t="s">
        <v>2720</v>
      </c>
      <c r="O750" t="s">
        <v>2725</v>
      </c>
      <c r="P750" t="s">
        <v>3887</v>
      </c>
    </row>
    <row r="751" spans="1:16" x14ac:dyDescent="0.25">
      <c r="A751" t="s">
        <v>1034</v>
      </c>
      <c r="B751" t="str">
        <f>CONCATENATE(A751,8)</f>
        <v>7QN6PF7HK678</v>
      </c>
      <c r="C751" t="s">
        <v>1036</v>
      </c>
      <c r="D751" t="s">
        <v>346</v>
      </c>
      <c r="E751" t="s">
        <v>28</v>
      </c>
      <c r="F751" t="s">
        <v>29</v>
      </c>
      <c r="G751" s="1">
        <v>45870</v>
      </c>
      <c r="H751" s="1">
        <v>45170</v>
      </c>
      <c r="I751">
        <v>8307933</v>
      </c>
      <c r="J751" t="s">
        <v>32</v>
      </c>
      <c r="K751" t="s">
        <v>63</v>
      </c>
      <c r="L751">
        <v>28.58</v>
      </c>
      <c r="M751">
        <v>28.58</v>
      </c>
      <c r="N751" t="s">
        <v>2720</v>
      </c>
      <c r="O751" t="s">
        <v>2725</v>
      </c>
      <c r="P751" t="s">
        <v>3888</v>
      </c>
    </row>
    <row r="752" spans="1:16" x14ac:dyDescent="0.25">
      <c r="A752" t="s">
        <v>1038</v>
      </c>
      <c r="B752" t="str">
        <f>CONCATENATE(A752,8)</f>
        <v>8K56YP2WX428</v>
      </c>
      <c r="C752" t="s">
        <v>1040</v>
      </c>
      <c r="D752" t="s">
        <v>234</v>
      </c>
      <c r="E752" t="s">
        <v>28</v>
      </c>
      <c r="F752" t="s">
        <v>29</v>
      </c>
      <c r="G752" s="1">
        <v>45870</v>
      </c>
      <c r="H752" s="1">
        <v>45323</v>
      </c>
      <c r="I752">
        <v>8307933</v>
      </c>
      <c r="J752" t="s">
        <v>32</v>
      </c>
      <c r="K752" t="s">
        <v>63</v>
      </c>
      <c r="L752">
        <v>28.58</v>
      </c>
      <c r="M752">
        <v>28.58</v>
      </c>
      <c r="N752" t="s">
        <v>2720</v>
      </c>
      <c r="O752" t="s">
        <v>2725</v>
      </c>
      <c r="P752" t="s">
        <v>3889</v>
      </c>
    </row>
    <row r="753" spans="1:16" x14ac:dyDescent="0.25">
      <c r="A753" t="s">
        <v>1064</v>
      </c>
      <c r="B753" t="str">
        <f>CONCATENATE(A753,8)</f>
        <v>6VC2WU1YV968</v>
      </c>
      <c r="C753" t="s">
        <v>1066</v>
      </c>
      <c r="D753" t="s">
        <v>89</v>
      </c>
      <c r="E753" t="s">
        <v>28</v>
      </c>
      <c r="F753" t="s">
        <v>29</v>
      </c>
      <c r="G753" s="1">
        <v>45870</v>
      </c>
      <c r="H753" s="1">
        <v>45323</v>
      </c>
      <c r="I753">
        <v>8307933</v>
      </c>
      <c r="J753" t="s">
        <v>32</v>
      </c>
      <c r="K753" t="s">
        <v>63</v>
      </c>
      <c r="L753">
        <v>28.58</v>
      </c>
      <c r="M753">
        <v>28.58</v>
      </c>
      <c r="N753" t="s">
        <v>2720</v>
      </c>
      <c r="O753" t="s">
        <v>2725</v>
      </c>
      <c r="P753" t="s">
        <v>3890</v>
      </c>
    </row>
    <row r="754" spans="1:16" x14ac:dyDescent="0.25">
      <c r="A754" t="s">
        <v>1080</v>
      </c>
      <c r="B754" t="str">
        <f>CONCATENATE(A754,8)</f>
        <v>9XQ4MV0FR648</v>
      </c>
      <c r="C754" t="s">
        <v>1082</v>
      </c>
      <c r="D754" t="s">
        <v>74</v>
      </c>
      <c r="E754" t="s">
        <v>28</v>
      </c>
      <c r="F754" t="s">
        <v>29</v>
      </c>
      <c r="G754" s="1">
        <v>45870</v>
      </c>
      <c r="H754" s="1">
        <v>45292</v>
      </c>
      <c r="I754">
        <v>8307933</v>
      </c>
      <c r="J754" t="s">
        <v>32</v>
      </c>
      <c r="K754" t="s">
        <v>63</v>
      </c>
      <c r="L754">
        <v>28.58</v>
      </c>
      <c r="M754">
        <v>28.58</v>
      </c>
      <c r="N754" t="s">
        <v>2720</v>
      </c>
      <c r="O754" t="s">
        <v>2725</v>
      </c>
      <c r="P754" t="s">
        <v>3891</v>
      </c>
    </row>
    <row r="755" spans="1:16" x14ac:dyDescent="0.25">
      <c r="A755" t="s">
        <v>1219</v>
      </c>
      <c r="B755" t="str">
        <f>CONCATENATE(A755,8)</f>
        <v>8A84CW2KU828</v>
      </c>
      <c r="C755" t="s">
        <v>1221</v>
      </c>
      <c r="D755" t="s">
        <v>1222</v>
      </c>
      <c r="E755" t="s">
        <v>28</v>
      </c>
      <c r="F755" t="s">
        <v>29</v>
      </c>
      <c r="G755" s="1">
        <v>45870</v>
      </c>
      <c r="H755" s="1">
        <v>44986</v>
      </c>
      <c r="I755">
        <v>8307933</v>
      </c>
      <c r="J755" t="s">
        <v>32</v>
      </c>
      <c r="K755" t="s">
        <v>63</v>
      </c>
      <c r="L755">
        <v>28.58</v>
      </c>
      <c r="M755">
        <v>28.58</v>
      </c>
      <c r="N755" t="s">
        <v>2720</v>
      </c>
      <c r="O755" t="s">
        <v>2725</v>
      </c>
      <c r="P755" t="s">
        <v>3893</v>
      </c>
    </row>
    <row r="756" spans="1:16" x14ac:dyDescent="0.25">
      <c r="A756" t="s">
        <v>1224</v>
      </c>
      <c r="B756" t="str">
        <f>CONCATENATE(A756,8)</f>
        <v>7T14MP5EX988</v>
      </c>
      <c r="C756" t="s">
        <v>1226</v>
      </c>
      <c r="D756" t="s">
        <v>1222</v>
      </c>
      <c r="E756" t="s">
        <v>28</v>
      </c>
      <c r="F756" t="s">
        <v>29</v>
      </c>
      <c r="G756" s="1">
        <v>45870</v>
      </c>
      <c r="H756" s="1">
        <v>45170</v>
      </c>
      <c r="I756">
        <v>8307933</v>
      </c>
      <c r="J756" t="s">
        <v>32</v>
      </c>
      <c r="K756" t="s">
        <v>63</v>
      </c>
      <c r="L756">
        <v>28.58</v>
      </c>
      <c r="M756">
        <v>28.58</v>
      </c>
      <c r="N756" t="s">
        <v>2720</v>
      </c>
      <c r="O756" t="s">
        <v>2725</v>
      </c>
      <c r="P756" t="s">
        <v>3894</v>
      </c>
    </row>
    <row r="757" spans="1:16" x14ac:dyDescent="0.25">
      <c r="A757" t="s">
        <v>1260</v>
      </c>
      <c r="B757" t="str">
        <f>CONCATENATE(A757,8)</f>
        <v>4JE2M19GH188</v>
      </c>
      <c r="C757" t="s">
        <v>1262</v>
      </c>
      <c r="D757" t="s">
        <v>60</v>
      </c>
      <c r="E757" t="s">
        <v>28</v>
      </c>
      <c r="F757" t="s">
        <v>29</v>
      </c>
      <c r="G757" s="1">
        <v>45870</v>
      </c>
      <c r="H757" s="1">
        <v>45047</v>
      </c>
      <c r="I757">
        <v>8307933</v>
      </c>
      <c r="J757" t="s">
        <v>32</v>
      </c>
      <c r="K757" t="s">
        <v>63</v>
      </c>
      <c r="L757">
        <v>28.58</v>
      </c>
      <c r="M757">
        <v>28.58</v>
      </c>
      <c r="N757" t="s">
        <v>2720</v>
      </c>
      <c r="O757" t="s">
        <v>2725</v>
      </c>
      <c r="P757" t="s">
        <v>3895</v>
      </c>
    </row>
    <row r="758" spans="1:16" x14ac:dyDescent="0.25">
      <c r="A758" t="s">
        <v>1316</v>
      </c>
      <c r="B758" t="str">
        <f>CONCATENATE(A758,8)</f>
        <v>2NV8JR5XD378</v>
      </c>
      <c r="C758" t="s">
        <v>1318</v>
      </c>
      <c r="D758" t="s">
        <v>1319</v>
      </c>
      <c r="E758" t="s">
        <v>28</v>
      </c>
      <c r="F758" t="s">
        <v>29</v>
      </c>
      <c r="G758" s="1">
        <v>45870</v>
      </c>
      <c r="H758" s="1">
        <v>45292</v>
      </c>
      <c r="I758">
        <v>8307933</v>
      </c>
      <c r="J758" t="s">
        <v>32</v>
      </c>
      <c r="K758" t="s">
        <v>63</v>
      </c>
      <c r="L758">
        <v>28.58</v>
      </c>
      <c r="M758">
        <v>28.58</v>
      </c>
      <c r="N758" t="s">
        <v>2720</v>
      </c>
      <c r="O758" t="s">
        <v>2725</v>
      </c>
      <c r="P758" t="s">
        <v>3897</v>
      </c>
    </row>
    <row r="759" spans="1:16" x14ac:dyDescent="0.25">
      <c r="A759" t="s">
        <v>1333</v>
      </c>
      <c r="B759" t="str">
        <f>CONCATENATE(A759,8)</f>
        <v>9X06AC0XA898</v>
      </c>
      <c r="C759" t="s">
        <v>1335</v>
      </c>
      <c r="D759" t="s">
        <v>1336</v>
      </c>
      <c r="E759" t="s">
        <v>28</v>
      </c>
      <c r="F759" t="s">
        <v>29</v>
      </c>
      <c r="G759" s="1">
        <v>45870</v>
      </c>
      <c r="H759" s="1">
        <v>45200</v>
      </c>
      <c r="I759">
        <v>8307933</v>
      </c>
      <c r="J759" t="s">
        <v>32</v>
      </c>
      <c r="K759" t="s">
        <v>63</v>
      </c>
      <c r="L759">
        <v>28.58</v>
      </c>
      <c r="M759">
        <v>28.58</v>
      </c>
      <c r="N759" t="s">
        <v>2720</v>
      </c>
      <c r="O759" t="s">
        <v>2725</v>
      </c>
      <c r="P759" t="s">
        <v>3898</v>
      </c>
    </row>
    <row r="760" spans="1:16" x14ac:dyDescent="0.25">
      <c r="A760" t="s">
        <v>1422</v>
      </c>
      <c r="B760" t="str">
        <f>CONCATENATE(A760,8)</f>
        <v>3YG0E95EC258</v>
      </c>
      <c r="C760" t="s">
        <v>1424</v>
      </c>
      <c r="D760" t="s">
        <v>74</v>
      </c>
      <c r="E760" t="s">
        <v>28</v>
      </c>
      <c r="F760" t="s">
        <v>29</v>
      </c>
      <c r="G760" s="1">
        <v>45870</v>
      </c>
      <c r="H760" s="1">
        <v>45292</v>
      </c>
      <c r="I760">
        <v>8307933</v>
      </c>
      <c r="J760" t="s">
        <v>32</v>
      </c>
      <c r="K760" t="s">
        <v>63</v>
      </c>
      <c r="L760">
        <v>28.58</v>
      </c>
      <c r="M760">
        <v>28.58</v>
      </c>
      <c r="N760" t="s">
        <v>2720</v>
      </c>
      <c r="O760" t="s">
        <v>2725</v>
      </c>
      <c r="P760" t="s">
        <v>3899</v>
      </c>
    </row>
    <row r="761" spans="1:16" x14ac:dyDescent="0.25">
      <c r="A761" t="s">
        <v>1425</v>
      </c>
      <c r="B761" t="str">
        <f>CONCATENATE(A761,8)</f>
        <v>4V66HK8AD478</v>
      </c>
      <c r="C761" t="s">
        <v>1427</v>
      </c>
      <c r="D761" t="s">
        <v>74</v>
      </c>
      <c r="E761" t="s">
        <v>28</v>
      </c>
      <c r="F761" t="s">
        <v>29</v>
      </c>
      <c r="G761" s="1">
        <v>45870</v>
      </c>
      <c r="H761" s="1">
        <v>45292</v>
      </c>
      <c r="I761">
        <v>8307933</v>
      </c>
      <c r="J761" t="s">
        <v>32</v>
      </c>
      <c r="K761" t="s">
        <v>63</v>
      </c>
      <c r="L761">
        <v>28.58</v>
      </c>
      <c r="M761">
        <v>28.58</v>
      </c>
      <c r="N761" t="s">
        <v>2720</v>
      </c>
      <c r="O761" t="s">
        <v>2725</v>
      </c>
      <c r="P761" t="s">
        <v>3900</v>
      </c>
    </row>
    <row r="762" spans="1:16" x14ac:dyDescent="0.25">
      <c r="A762" t="s">
        <v>1443</v>
      </c>
      <c r="B762" t="str">
        <f>CONCATENATE(A762,8)</f>
        <v>5N74YU2JY058</v>
      </c>
      <c r="C762" t="s">
        <v>1445</v>
      </c>
      <c r="D762" t="s">
        <v>74</v>
      </c>
      <c r="E762" t="s">
        <v>28</v>
      </c>
      <c r="F762" t="s">
        <v>29</v>
      </c>
      <c r="G762" s="1">
        <v>45870</v>
      </c>
      <c r="H762" s="1">
        <v>45017</v>
      </c>
      <c r="I762">
        <v>8307933</v>
      </c>
      <c r="J762" t="s">
        <v>32</v>
      </c>
      <c r="K762" t="s">
        <v>63</v>
      </c>
      <c r="L762">
        <v>28.58</v>
      </c>
      <c r="M762">
        <v>28.58</v>
      </c>
      <c r="N762" t="s">
        <v>2720</v>
      </c>
      <c r="O762" t="s">
        <v>2725</v>
      </c>
      <c r="P762" t="s">
        <v>3901</v>
      </c>
    </row>
    <row r="763" spans="1:16" x14ac:dyDescent="0.25">
      <c r="A763" t="s">
        <v>1458</v>
      </c>
      <c r="B763" t="str">
        <f>CONCATENATE(A763,8)</f>
        <v>8DG3VD2WN048</v>
      </c>
      <c r="C763" t="s">
        <v>1460</v>
      </c>
      <c r="D763" t="s">
        <v>1461</v>
      </c>
      <c r="E763" t="s">
        <v>28</v>
      </c>
      <c r="F763" t="s">
        <v>29</v>
      </c>
      <c r="G763" s="1">
        <v>45870</v>
      </c>
      <c r="H763" s="1">
        <v>45139</v>
      </c>
      <c r="I763">
        <v>8307933</v>
      </c>
      <c r="J763" t="s">
        <v>32</v>
      </c>
      <c r="K763" t="s">
        <v>63</v>
      </c>
      <c r="L763">
        <v>28.58</v>
      </c>
      <c r="M763">
        <v>28.58</v>
      </c>
      <c r="N763" t="s">
        <v>2720</v>
      </c>
      <c r="O763" t="s">
        <v>2725</v>
      </c>
      <c r="P763" t="s">
        <v>3904</v>
      </c>
    </row>
    <row r="764" spans="1:16" x14ac:dyDescent="0.25">
      <c r="A764" t="s">
        <v>1546</v>
      </c>
      <c r="B764" t="str">
        <f>CONCATENATE(A764,8)</f>
        <v>7DU4Y41MD668</v>
      </c>
      <c r="C764" t="s">
        <v>1548</v>
      </c>
      <c r="D764" t="s">
        <v>346</v>
      </c>
      <c r="E764" t="s">
        <v>28</v>
      </c>
      <c r="F764" t="s">
        <v>29</v>
      </c>
      <c r="G764" s="1">
        <v>45870</v>
      </c>
      <c r="H764" s="1">
        <v>45292</v>
      </c>
      <c r="I764">
        <v>8307933</v>
      </c>
      <c r="J764" t="s">
        <v>32</v>
      </c>
      <c r="K764" t="s">
        <v>63</v>
      </c>
      <c r="L764">
        <v>28.58</v>
      </c>
      <c r="M764">
        <v>28.58</v>
      </c>
      <c r="N764" t="s">
        <v>2720</v>
      </c>
      <c r="O764" t="s">
        <v>2725</v>
      </c>
      <c r="P764" t="s">
        <v>3905</v>
      </c>
    </row>
    <row r="765" spans="1:16" x14ac:dyDescent="0.25">
      <c r="A765" t="s">
        <v>1562</v>
      </c>
      <c r="B765" t="str">
        <f>CONCATENATE(A765,8)</f>
        <v>1Q93V50TW158</v>
      </c>
      <c r="C765" t="s">
        <v>1564</v>
      </c>
      <c r="D765" t="s">
        <v>111</v>
      </c>
      <c r="E765" t="s">
        <v>28</v>
      </c>
      <c r="F765" t="s">
        <v>29</v>
      </c>
      <c r="G765" s="1">
        <v>45870</v>
      </c>
      <c r="H765" s="1">
        <v>45292</v>
      </c>
      <c r="I765">
        <v>8307933</v>
      </c>
      <c r="J765" t="s">
        <v>32</v>
      </c>
      <c r="K765" t="s">
        <v>63</v>
      </c>
      <c r="L765">
        <v>28.58</v>
      </c>
      <c r="M765">
        <v>28.58</v>
      </c>
      <c r="N765" t="s">
        <v>2720</v>
      </c>
      <c r="O765" t="s">
        <v>2725</v>
      </c>
      <c r="P765" t="s">
        <v>3906</v>
      </c>
    </row>
    <row r="766" spans="1:16" x14ac:dyDescent="0.25">
      <c r="A766" t="s">
        <v>1566</v>
      </c>
      <c r="B766" t="str">
        <f>CONCATENATE(A766,8)</f>
        <v>8Q02AJ3DF038</v>
      </c>
      <c r="C766" t="s">
        <v>1568</v>
      </c>
      <c r="D766" t="s">
        <v>74</v>
      </c>
      <c r="E766" t="s">
        <v>28</v>
      </c>
      <c r="F766" t="s">
        <v>29</v>
      </c>
      <c r="G766" s="1">
        <v>45870</v>
      </c>
      <c r="H766" s="1">
        <v>45323</v>
      </c>
      <c r="I766">
        <v>8307933</v>
      </c>
      <c r="J766" t="s">
        <v>32</v>
      </c>
      <c r="K766" t="s">
        <v>63</v>
      </c>
      <c r="L766">
        <v>28.58</v>
      </c>
      <c r="M766">
        <v>28.58</v>
      </c>
      <c r="N766" t="s">
        <v>2720</v>
      </c>
      <c r="O766" t="s">
        <v>2725</v>
      </c>
      <c r="P766" t="s">
        <v>3907</v>
      </c>
    </row>
    <row r="767" spans="1:16" x14ac:dyDescent="0.25">
      <c r="A767" t="s">
        <v>1569</v>
      </c>
      <c r="B767" t="str">
        <f>CONCATENATE(A767,8)</f>
        <v>2VY6KX3GF628</v>
      </c>
      <c r="C767" t="s">
        <v>1571</v>
      </c>
      <c r="D767" t="s">
        <v>74</v>
      </c>
      <c r="E767" t="s">
        <v>28</v>
      </c>
      <c r="F767" t="s">
        <v>29</v>
      </c>
      <c r="G767" s="1">
        <v>45870</v>
      </c>
      <c r="H767" s="1">
        <v>45292</v>
      </c>
      <c r="I767">
        <v>8307933</v>
      </c>
      <c r="J767" t="s">
        <v>32</v>
      </c>
      <c r="K767" t="s">
        <v>63</v>
      </c>
      <c r="L767">
        <v>28.58</v>
      </c>
      <c r="M767">
        <v>28.58</v>
      </c>
      <c r="N767" t="s">
        <v>2720</v>
      </c>
      <c r="O767" t="s">
        <v>2725</v>
      </c>
      <c r="P767" t="s">
        <v>3908</v>
      </c>
    </row>
    <row r="768" spans="1:16" x14ac:dyDescent="0.25">
      <c r="A768" t="s">
        <v>1572</v>
      </c>
      <c r="B768" t="str">
        <f>CONCATENATE(A768,8)</f>
        <v>9QT7TC4CM328</v>
      </c>
      <c r="C768" t="s">
        <v>1574</v>
      </c>
      <c r="D768" t="s">
        <v>111</v>
      </c>
      <c r="E768" t="s">
        <v>28</v>
      </c>
      <c r="F768" t="s">
        <v>29</v>
      </c>
      <c r="G768" s="1">
        <v>45870</v>
      </c>
      <c r="H768" s="1">
        <v>45292</v>
      </c>
      <c r="I768">
        <v>8307933</v>
      </c>
      <c r="J768" t="s">
        <v>32</v>
      </c>
      <c r="K768" t="s">
        <v>63</v>
      </c>
      <c r="L768">
        <v>28.58</v>
      </c>
      <c r="M768">
        <v>28.58</v>
      </c>
      <c r="N768" t="s">
        <v>2720</v>
      </c>
      <c r="O768" t="s">
        <v>2725</v>
      </c>
      <c r="P768" t="s">
        <v>3909</v>
      </c>
    </row>
    <row r="769" spans="1:16" x14ac:dyDescent="0.25">
      <c r="A769" t="s">
        <v>1811</v>
      </c>
      <c r="B769" t="str">
        <f>CONCATENATE(A769,8)</f>
        <v>9D25MN1WD538</v>
      </c>
      <c r="C769" t="s">
        <v>1813</v>
      </c>
      <c r="D769" t="s">
        <v>759</v>
      </c>
      <c r="E769" t="s">
        <v>28</v>
      </c>
      <c r="F769" t="s">
        <v>29</v>
      </c>
      <c r="G769" s="1">
        <v>45870</v>
      </c>
      <c r="H769" s="1">
        <v>45108</v>
      </c>
      <c r="I769">
        <v>8307933</v>
      </c>
      <c r="J769" t="s">
        <v>32</v>
      </c>
      <c r="K769" t="s">
        <v>63</v>
      </c>
      <c r="L769">
        <v>28.58</v>
      </c>
      <c r="M769">
        <v>28.58</v>
      </c>
      <c r="N769" t="s">
        <v>2720</v>
      </c>
      <c r="O769" t="s">
        <v>2725</v>
      </c>
      <c r="P769" t="s">
        <v>3911</v>
      </c>
    </row>
    <row r="770" spans="1:16" x14ac:dyDescent="0.25">
      <c r="A770" t="s">
        <v>1910</v>
      </c>
      <c r="B770" t="str">
        <f>CONCATENATE(A770,8)</f>
        <v>8PT8E70VT568</v>
      </c>
      <c r="C770" t="s">
        <v>1912</v>
      </c>
      <c r="D770" t="s">
        <v>111</v>
      </c>
      <c r="E770" t="s">
        <v>28</v>
      </c>
      <c r="F770" t="s">
        <v>29</v>
      </c>
      <c r="G770" s="1">
        <v>45870</v>
      </c>
      <c r="H770" s="1">
        <v>45292</v>
      </c>
      <c r="I770">
        <v>8307933</v>
      </c>
      <c r="J770" t="s">
        <v>32</v>
      </c>
      <c r="K770" t="s">
        <v>63</v>
      </c>
      <c r="L770">
        <v>28.58</v>
      </c>
      <c r="M770">
        <v>28.58</v>
      </c>
      <c r="N770" t="s">
        <v>2720</v>
      </c>
      <c r="O770" t="s">
        <v>2725</v>
      </c>
      <c r="P770" t="s">
        <v>3912</v>
      </c>
    </row>
    <row r="771" spans="1:16" x14ac:dyDescent="0.25">
      <c r="A771" t="s">
        <v>1969</v>
      </c>
      <c r="B771" t="str">
        <f>CONCATENATE(A771,8)</f>
        <v>5KN7A44AK668</v>
      </c>
      <c r="C771" t="s">
        <v>1971</v>
      </c>
      <c r="D771" t="s">
        <v>74</v>
      </c>
      <c r="E771" t="s">
        <v>28</v>
      </c>
      <c r="F771" t="s">
        <v>29</v>
      </c>
      <c r="G771" s="1">
        <v>45870</v>
      </c>
      <c r="H771" s="1">
        <v>45383</v>
      </c>
      <c r="I771">
        <v>8307933</v>
      </c>
      <c r="J771" t="s">
        <v>32</v>
      </c>
      <c r="K771" t="s">
        <v>63</v>
      </c>
      <c r="L771">
        <v>28.58</v>
      </c>
      <c r="M771">
        <v>28.58</v>
      </c>
      <c r="N771" t="s">
        <v>2720</v>
      </c>
      <c r="O771" t="s">
        <v>2725</v>
      </c>
      <c r="P771" t="s">
        <v>3913</v>
      </c>
    </row>
    <row r="772" spans="1:16" x14ac:dyDescent="0.25">
      <c r="A772" t="s">
        <v>2143</v>
      </c>
      <c r="B772" t="str">
        <f>CONCATENATE(A772,8)</f>
        <v>3NA0RW3FY908</v>
      </c>
      <c r="C772" t="s">
        <v>2145</v>
      </c>
      <c r="D772" t="s">
        <v>74</v>
      </c>
      <c r="E772" t="s">
        <v>28</v>
      </c>
      <c r="F772" t="s">
        <v>29</v>
      </c>
      <c r="G772" s="1">
        <v>45870</v>
      </c>
      <c r="H772" s="1">
        <v>45017</v>
      </c>
      <c r="I772">
        <v>8307933</v>
      </c>
      <c r="J772" t="s">
        <v>32</v>
      </c>
      <c r="K772" t="s">
        <v>63</v>
      </c>
      <c r="L772">
        <v>28.58</v>
      </c>
      <c r="M772">
        <v>28.58</v>
      </c>
      <c r="N772" t="s">
        <v>2720</v>
      </c>
      <c r="O772" t="s">
        <v>2725</v>
      </c>
      <c r="P772" t="s">
        <v>3915</v>
      </c>
    </row>
    <row r="773" spans="1:16" x14ac:dyDescent="0.25">
      <c r="A773" t="s">
        <v>2155</v>
      </c>
      <c r="B773" t="str">
        <f>CONCATENATE(A773,8)</f>
        <v>2H26V84UH678</v>
      </c>
      <c r="C773" t="s">
        <v>2157</v>
      </c>
      <c r="D773" t="s">
        <v>1145</v>
      </c>
      <c r="E773" t="s">
        <v>28</v>
      </c>
      <c r="F773" t="s">
        <v>29</v>
      </c>
      <c r="G773" s="1">
        <v>45870</v>
      </c>
      <c r="H773" s="1">
        <v>44986</v>
      </c>
      <c r="I773">
        <v>8307933</v>
      </c>
      <c r="J773" t="s">
        <v>32</v>
      </c>
      <c r="K773" t="s">
        <v>63</v>
      </c>
      <c r="L773">
        <v>28.58</v>
      </c>
      <c r="M773">
        <v>28.58</v>
      </c>
      <c r="N773" t="s">
        <v>2720</v>
      </c>
      <c r="O773" t="s">
        <v>2725</v>
      </c>
      <c r="P773" t="s">
        <v>3916</v>
      </c>
    </row>
    <row r="774" spans="1:16" x14ac:dyDescent="0.25">
      <c r="A774" t="s">
        <v>2228</v>
      </c>
      <c r="B774" t="str">
        <f>CONCATENATE(A774,8)</f>
        <v>1U74J60JK938</v>
      </c>
      <c r="C774" t="s">
        <v>2230</v>
      </c>
      <c r="D774" t="s">
        <v>74</v>
      </c>
      <c r="E774" t="s">
        <v>28</v>
      </c>
      <c r="F774" t="s">
        <v>29</v>
      </c>
      <c r="G774" s="1">
        <v>45870</v>
      </c>
      <c r="H774" s="1">
        <v>45292</v>
      </c>
      <c r="I774">
        <v>8307933</v>
      </c>
      <c r="J774" t="s">
        <v>32</v>
      </c>
      <c r="K774" t="s">
        <v>63</v>
      </c>
      <c r="L774">
        <v>28.58</v>
      </c>
      <c r="M774">
        <v>28.58</v>
      </c>
      <c r="N774" t="s">
        <v>2720</v>
      </c>
      <c r="O774" t="s">
        <v>2725</v>
      </c>
      <c r="P774" t="s">
        <v>3917</v>
      </c>
    </row>
    <row r="775" spans="1:16" x14ac:dyDescent="0.25">
      <c r="A775" t="s">
        <v>2302</v>
      </c>
      <c r="B775" t="str">
        <f>CONCATENATE(A775,8)</f>
        <v>9F31JM2QW108</v>
      </c>
      <c r="C775" t="s">
        <v>2304</v>
      </c>
      <c r="D775" t="s">
        <v>346</v>
      </c>
      <c r="E775" t="s">
        <v>28</v>
      </c>
      <c r="F775" t="s">
        <v>29</v>
      </c>
      <c r="G775" s="1">
        <v>45870</v>
      </c>
      <c r="H775" s="1">
        <v>45200</v>
      </c>
      <c r="I775">
        <v>8307933</v>
      </c>
      <c r="J775" t="s">
        <v>32</v>
      </c>
      <c r="K775" t="s">
        <v>63</v>
      </c>
      <c r="L775">
        <v>28.58</v>
      </c>
      <c r="M775">
        <v>28.58</v>
      </c>
      <c r="N775" t="s">
        <v>2720</v>
      </c>
      <c r="O775" t="s">
        <v>2725</v>
      </c>
      <c r="P775" t="s">
        <v>3919</v>
      </c>
    </row>
    <row r="776" spans="1:16" x14ac:dyDescent="0.25">
      <c r="A776" t="s">
        <v>2315</v>
      </c>
      <c r="B776" t="str">
        <f>CONCATENATE(A776,8)</f>
        <v>4EG3A78JC058</v>
      </c>
      <c r="C776" t="s">
        <v>2317</v>
      </c>
      <c r="D776" t="s">
        <v>1319</v>
      </c>
      <c r="E776" t="s">
        <v>28</v>
      </c>
      <c r="F776" t="s">
        <v>29</v>
      </c>
      <c r="G776" s="1">
        <v>45870</v>
      </c>
      <c r="H776" s="1">
        <v>45292</v>
      </c>
      <c r="I776">
        <v>8307933</v>
      </c>
      <c r="J776" t="s">
        <v>32</v>
      </c>
      <c r="K776" t="s">
        <v>63</v>
      </c>
      <c r="L776">
        <v>28.58</v>
      </c>
      <c r="M776">
        <v>28.58</v>
      </c>
      <c r="N776" t="s">
        <v>2720</v>
      </c>
      <c r="O776" t="s">
        <v>2725</v>
      </c>
      <c r="P776" t="s">
        <v>3920</v>
      </c>
    </row>
    <row r="777" spans="1:16" x14ac:dyDescent="0.25">
      <c r="A777" t="s">
        <v>2322</v>
      </c>
      <c r="B777" t="str">
        <f>CONCATENATE(A777,8)</f>
        <v>6UH0HX6PD378</v>
      </c>
      <c r="C777" t="s">
        <v>2324</v>
      </c>
      <c r="D777" t="s">
        <v>74</v>
      </c>
      <c r="E777" t="s">
        <v>28</v>
      </c>
      <c r="F777" t="s">
        <v>29</v>
      </c>
      <c r="G777" s="1">
        <v>45870</v>
      </c>
      <c r="H777" s="1">
        <v>45292</v>
      </c>
      <c r="I777">
        <v>8307933</v>
      </c>
      <c r="J777" t="s">
        <v>32</v>
      </c>
      <c r="K777" t="s">
        <v>63</v>
      </c>
      <c r="L777">
        <v>28.58</v>
      </c>
      <c r="M777">
        <v>28.58</v>
      </c>
      <c r="N777" t="s">
        <v>2720</v>
      </c>
      <c r="O777" t="s">
        <v>2725</v>
      </c>
      <c r="P777" t="s">
        <v>3921</v>
      </c>
    </row>
    <row r="778" spans="1:16" x14ac:dyDescent="0.25">
      <c r="A778" t="s">
        <v>2337</v>
      </c>
      <c r="B778" t="str">
        <f>CONCATENATE(A778,8)</f>
        <v>5RY6T26DV548</v>
      </c>
      <c r="C778" t="s">
        <v>2339</v>
      </c>
      <c r="D778" t="s">
        <v>1305</v>
      </c>
      <c r="E778" t="s">
        <v>28</v>
      </c>
      <c r="F778" t="s">
        <v>29</v>
      </c>
      <c r="G778" s="1">
        <v>45870</v>
      </c>
      <c r="H778" s="1">
        <v>45292</v>
      </c>
      <c r="I778">
        <v>8307933</v>
      </c>
      <c r="J778" t="s">
        <v>32</v>
      </c>
      <c r="K778" t="s">
        <v>63</v>
      </c>
      <c r="L778">
        <v>28.58</v>
      </c>
      <c r="M778">
        <v>28.58</v>
      </c>
      <c r="N778" t="s">
        <v>2720</v>
      </c>
      <c r="O778" t="s">
        <v>2725</v>
      </c>
      <c r="P778" t="s">
        <v>3922</v>
      </c>
    </row>
    <row r="779" spans="1:16" x14ac:dyDescent="0.25">
      <c r="A779" t="s">
        <v>2550</v>
      </c>
      <c r="B779" t="str">
        <f>CONCATENATE(A779,8)</f>
        <v>9QE5R68JV988</v>
      </c>
      <c r="C779" t="s">
        <v>2552</v>
      </c>
      <c r="D779" t="s">
        <v>234</v>
      </c>
      <c r="E779" t="s">
        <v>28</v>
      </c>
      <c r="F779" t="s">
        <v>29</v>
      </c>
      <c r="G779" s="1">
        <v>45870</v>
      </c>
      <c r="H779" s="1">
        <v>45352</v>
      </c>
      <c r="I779">
        <v>8307933</v>
      </c>
      <c r="J779" t="s">
        <v>32</v>
      </c>
      <c r="K779" t="s">
        <v>63</v>
      </c>
      <c r="L779">
        <v>28.58</v>
      </c>
      <c r="M779">
        <v>28.58</v>
      </c>
      <c r="N779" t="s">
        <v>2720</v>
      </c>
      <c r="O779" t="s">
        <v>2725</v>
      </c>
      <c r="P779" t="s">
        <v>3927</v>
      </c>
    </row>
    <row r="780" spans="1:16" x14ac:dyDescent="0.25">
      <c r="A780" t="s">
        <v>2578</v>
      </c>
      <c r="B780" t="str">
        <f>CONCATENATE(A780,8)</f>
        <v>5JU4MH7QC658</v>
      </c>
      <c r="C780" t="s">
        <v>2580</v>
      </c>
      <c r="D780" t="s">
        <v>74</v>
      </c>
      <c r="E780" t="s">
        <v>28</v>
      </c>
      <c r="F780" t="s">
        <v>29</v>
      </c>
      <c r="G780" s="1">
        <v>45870</v>
      </c>
      <c r="H780" s="1">
        <v>45292</v>
      </c>
      <c r="I780">
        <v>8307933</v>
      </c>
      <c r="J780" t="s">
        <v>32</v>
      </c>
      <c r="K780" t="s">
        <v>63</v>
      </c>
      <c r="L780">
        <v>28.58</v>
      </c>
      <c r="M780">
        <v>28.58</v>
      </c>
      <c r="N780" t="s">
        <v>2720</v>
      </c>
      <c r="O780" t="s">
        <v>2725</v>
      </c>
      <c r="P780" t="s">
        <v>3928</v>
      </c>
    </row>
    <row r="781" spans="1:16" x14ac:dyDescent="0.25">
      <c r="A781" t="s">
        <v>2588</v>
      </c>
      <c r="B781" t="str">
        <f>CONCATENATE(A781,8)</f>
        <v>7TM4D17JR918</v>
      </c>
      <c r="C781" t="s">
        <v>2590</v>
      </c>
      <c r="D781" t="s">
        <v>89</v>
      </c>
      <c r="E781" t="s">
        <v>28</v>
      </c>
      <c r="F781" t="s">
        <v>29</v>
      </c>
      <c r="G781" s="1">
        <v>45870</v>
      </c>
      <c r="H781" s="1">
        <v>45352</v>
      </c>
      <c r="I781">
        <v>8307933</v>
      </c>
      <c r="J781" t="s">
        <v>32</v>
      </c>
      <c r="K781" t="s">
        <v>63</v>
      </c>
      <c r="L781">
        <v>28.58</v>
      </c>
      <c r="M781">
        <v>28.58</v>
      </c>
      <c r="N781" t="s">
        <v>2720</v>
      </c>
      <c r="O781" t="s">
        <v>2725</v>
      </c>
      <c r="P781" t="s">
        <v>3930</v>
      </c>
    </row>
    <row r="782" spans="1:16" x14ac:dyDescent="0.25">
      <c r="A782" t="s">
        <v>2591</v>
      </c>
      <c r="B782" t="str">
        <f>CONCATENATE(A782,8)</f>
        <v>7W19NC9EQ128</v>
      </c>
      <c r="C782" t="s">
        <v>2593</v>
      </c>
      <c r="D782" t="s">
        <v>89</v>
      </c>
      <c r="E782" t="s">
        <v>28</v>
      </c>
      <c r="F782" t="s">
        <v>29</v>
      </c>
      <c r="G782" s="1">
        <v>45870</v>
      </c>
      <c r="H782" s="1">
        <v>45323</v>
      </c>
      <c r="I782">
        <v>8307933</v>
      </c>
      <c r="J782" t="s">
        <v>32</v>
      </c>
      <c r="K782" t="s">
        <v>63</v>
      </c>
      <c r="L782">
        <v>28.58</v>
      </c>
      <c r="M782">
        <v>28.58</v>
      </c>
      <c r="N782" t="s">
        <v>2720</v>
      </c>
      <c r="O782" t="s">
        <v>2725</v>
      </c>
      <c r="P782" t="s">
        <v>3931</v>
      </c>
    </row>
    <row r="783" spans="1:16" x14ac:dyDescent="0.25">
      <c r="A783" t="s">
        <v>2621</v>
      </c>
      <c r="B783" t="str">
        <f>CONCATENATE(A783,8)</f>
        <v>2MN8GV7JF238</v>
      </c>
      <c r="C783" t="s">
        <v>2623</v>
      </c>
      <c r="D783" t="s">
        <v>74</v>
      </c>
      <c r="E783" t="s">
        <v>28</v>
      </c>
      <c r="F783" t="s">
        <v>29</v>
      </c>
      <c r="G783" s="1">
        <v>45870</v>
      </c>
      <c r="H783" s="1">
        <v>45323</v>
      </c>
      <c r="I783">
        <v>8307933</v>
      </c>
      <c r="J783" t="s">
        <v>32</v>
      </c>
      <c r="K783" t="s">
        <v>63</v>
      </c>
      <c r="L783">
        <v>28.58</v>
      </c>
      <c r="M783">
        <v>28.58</v>
      </c>
      <c r="N783" t="s">
        <v>2720</v>
      </c>
      <c r="O783" t="s">
        <v>2725</v>
      </c>
      <c r="P783" t="s">
        <v>3932</v>
      </c>
    </row>
    <row r="784" spans="1:16" x14ac:dyDescent="0.25">
      <c r="A784" t="s">
        <v>2624</v>
      </c>
      <c r="B784" t="str">
        <f>CONCATENATE(A784,8)</f>
        <v>1R80XV3QK058</v>
      </c>
      <c r="C784" t="s">
        <v>2626</v>
      </c>
      <c r="D784" t="s">
        <v>346</v>
      </c>
      <c r="E784" t="s">
        <v>28</v>
      </c>
      <c r="F784" t="s">
        <v>29</v>
      </c>
      <c r="G784" s="1">
        <v>45870</v>
      </c>
      <c r="H784" s="1">
        <v>45352</v>
      </c>
      <c r="I784">
        <v>8307933</v>
      </c>
      <c r="J784" t="s">
        <v>32</v>
      </c>
      <c r="K784" t="s">
        <v>63</v>
      </c>
      <c r="L784">
        <v>28.58</v>
      </c>
      <c r="M784">
        <v>28.58</v>
      </c>
      <c r="N784" t="s">
        <v>2720</v>
      </c>
      <c r="O784" t="s">
        <v>2725</v>
      </c>
      <c r="P784" t="s">
        <v>3933</v>
      </c>
    </row>
    <row r="785" spans="1:16" x14ac:dyDescent="0.25">
      <c r="A785" t="s">
        <v>2627</v>
      </c>
      <c r="B785" t="str">
        <f>CONCATENATE(A785,8)</f>
        <v>8KG4NA6HX018</v>
      </c>
      <c r="C785" t="s">
        <v>2629</v>
      </c>
      <c r="D785" t="s">
        <v>74</v>
      </c>
      <c r="E785" t="s">
        <v>28</v>
      </c>
      <c r="F785" t="s">
        <v>29</v>
      </c>
      <c r="G785" s="1">
        <v>45870</v>
      </c>
      <c r="H785" s="1">
        <v>45292</v>
      </c>
      <c r="I785">
        <v>8307933</v>
      </c>
      <c r="J785" t="s">
        <v>32</v>
      </c>
      <c r="K785" t="s">
        <v>63</v>
      </c>
      <c r="L785">
        <v>28.58</v>
      </c>
      <c r="M785">
        <v>28.58</v>
      </c>
      <c r="N785" t="s">
        <v>2720</v>
      </c>
      <c r="O785" t="s">
        <v>2725</v>
      </c>
      <c r="P785" t="s">
        <v>3934</v>
      </c>
    </row>
    <row r="786" spans="1:16" x14ac:dyDescent="0.25">
      <c r="A786" t="s">
        <v>57</v>
      </c>
      <c r="B786" t="str">
        <f>CONCATENATE(A786,8)</f>
        <v>7Y83UC3NH028</v>
      </c>
      <c r="C786" t="s">
        <v>59</v>
      </c>
      <c r="D786" t="s">
        <v>60</v>
      </c>
      <c r="E786" t="s">
        <v>28</v>
      </c>
      <c r="F786" t="s">
        <v>29</v>
      </c>
      <c r="G786" s="1">
        <v>45870</v>
      </c>
      <c r="H786" s="1">
        <v>45505</v>
      </c>
      <c r="I786">
        <v>8307933</v>
      </c>
      <c r="J786" t="s">
        <v>32</v>
      </c>
      <c r="K786" t="s">
        <v>63</v>
      </c>
      <c r="L786">
        <v>29.83</v>
      </c>
      <c r="M786">
        <v>29.83</v>
      </c>
      <c r="N786" t="s">
        <v>2720</v>
      </c>
      <c r="O786" t="s">
        <v>2724</v>
      </c>
      <c r="P786" t="s">
        <v>3935</v>
      </c>
    </row>
    <row r="787" spans="1:16" x14ac:dyDescent="0.25">
      <c r="A787" t="s">
        <v>86</v>
      </c>
      <c r="B787" t="str">
        <f>CONCATENATE(A787,8)</f>
        <v>3JJ8KP5DA368</v>
      </c>
      <c r="C787" t="s">
        <v>88</v>
      </c>
      <c r="D787" t="s">
        <v>89</v>
      </c>
      <c r="E787" t="s">
        <v>28</v>
      </c>
      <c r="F787" t="s">
        <v>29</v>
      </c>
      <c r="G787" s="1">
        <v>45870</v>
      </c>
      <c r="H787" s="1">
        <v>45505</v>
      </c>
      <c r="I787">
        <v>8307933</v>
      </c>
      <c r="J787" t="s">
        <v>32</v>
      </c>
      <c r="K787" t="s">
        <v>63</v>
      </c>
      <c r="L787">
        <v>29.83</v>
      </c>
      <c r="M787">
        <v>29.83</v>
      </c>
      <c r="N787" t="s">
        <v>2720</v>
      </c>
      <c r="O787" t="s">
        <v>2724</v>
      </c>
      <c r="P787" t="s">
        <v>3938</v>
      </c>
    </row>
    <row r="788" spans="1:16" x14ac:dyDescent="0.25">
      <c r="A788" t="s">
        <v>189</v>
      </c>
      <c r="B788" t="str">
        <f>CONCATENATE(A788,8)</f>
        <v>7WV2VT9MR288</v>
      </c>
      <c r="C788" t="s">
        <v>191</v>
      </c>
      <c r="D788" t="s">
        <v>74</v>
      </c>
      <c r="E788" t="s">
        <v>28</v>
      </c>
      <c r="F788" t="s">
        <v>29</v>
      </c>
      <c r="G788" s="1">
        <v>45870</v>
      </c>
      <c r="H788" s="1">
        <v>45505</v>
      </c>
      <c r="I788">
        <v>8307933</v>
      </c>
      <c r="J788" t="s">
        <v>32</v>
      </c>
      <c r="K788" t="s">
        <v>63</v>
      </c>
      <c r="L788">
        <v>29.83</v>
      </c>
      <c r="M788">
        <v>29.83</v>
      </c>
      <c r="N788" t="s">
        <v>2720</v>
      </c>
      <c r="O788" t="s">
        <v>2724</v>
      </c>
      <c r="P788" t="s">
        <v>3940</v>
      </c>
    </row>
    <row r="789" spans="1:16" x14ac:dyDescent="0.25">
      <c r="A789" t="s">
        <v>231</v>
      </c>
      <c r="B789" t="str">
        <f>CONCATENATE(A789,8)</f>
        <v>6VG8DT1AR278</v>
      </c>
      <c r="C789" t="s">
        <v>233</v>
      </c>
      <c r="D789" t="s">
        <v>234</v>
      </c>
      <c r="E789" t="s">
        <v>28</v>
      </c>
      <c r="F789" t="s">
        <v>29</v>
      </c>
      <c r="G789" s="1">
        <v>45870</v>
      </c>
      <c r="H789" s="1">
        <v>45566</v>
      </c>
      <c r="I789">
        <v>8307933</v>
      </c>
      <c r="J789" t="s">
        <v>32</v>
      </c>
      <c r="K789" t="s">
        <v>63</v>
      </c>
      <c r="L789">
        <v>29.83</v>
      </c>
      <c r="M789">
        <v>29.83</v>
      </c>
      <c r="N789" t="s">
        <v>2720</v>
      </c>
      <c r="O789" t="s">
        <v>2724</v>
      </c>
      <c r="P789" t="s">
        <v>3942</v>
      </c>
    </row>
    <row r="790" spans="1:16" x14ac:dyDescent="0.25">
      <c r="A790" t="s">
        <v>237</v>
      </c>
      <c r="B790" t="str">
        <f>CONCATENATE(A790,8)</f>
        <v>2K15C15QJ678</v>
      </c>
      <c r="C790" t="s">
        <v>239</v>
      </c>
      <c r="D790" t="s">
        <v>89</v>
      </c>
      <c r="E790" t="s">
        <v>28</v>
      </c>
      <c r="F790" t="s">
        <v>29</v>
      </c>
      <c r="G790" s="1">
        <v>45870</v>
      </c>
      <c r="H790" s="1">
        <v>45505</v>
      </c>
      <c r="I790">
        <v>8307933</v>
      </c>
      <c r="J790" t="s">
        <v>32</v>
      </c>
      <c r="K790" t="s">
        <v>63</v>
      </c>
      <c r="L790">
        <v>29.83</v>
      </c>
      <c r="M790">
        <v>29.83</v>
      </c>
      <c r="N790" t="s">
        <v>2720</v>
      </c>
      <c r="O790" t="s">
        <v>2724</v>
      </c>
      <c r="P790" t="s">
        <v>3943</v>
      </c>
    </row>
    <row r="791" spans="1:16" x14ac:dyDescent="0.25">
      <c r="A791" t="s">
        <v>300</v>
      </c>
      <c r="B791" t="str">
        <f>CONCATENATE(A791,8)</f>
        <v>8AN6H85DJ468</v>
      </c>
      <c r="C791" t="s">
        <v>302</v>
      </c>
      <c r="D791" t="s">
        <v>303</v>
      </c>
      <c r="E791" t="s">
        <v>28</v>
      </c>
      <c r="F791" t="s">
        <v>29</v>
      </c>
      <c r="G791" s="1">
        <v>45870</v>
      </c>
      <c r="H791" s="1">
        <v>45566</v>
      </c>
      <c r="I791">
        <v>8307933</v>
      </c>
      <c r="J791" t="s">
        <v>32</v>
      </c>
      <c r="K791" t="s">
        <v>63</v>
      </c>
      <c r="L791">
        <v>29.83</v>
      </c>
      <c r="M791">
        <v>29.83</v>
      </c>
      <c r="N791" t="s">
        <v>2720</v>
      </c>
      <c r="O791" t="s">
        <v>2724</v>
      </c>
      <c r="P791" t="s">
        <v>3946</v>
      </c>
    </row>
    <row r="792" spans="1:16" x14ac:dyDescent="0.25">
      <c r="A792" t="s">
        <v>318</v>
      </c>
      <c r="B792" t="str">
        <f>CONCATENATE(A792,8)</f>
        <v>6V40VM0GY028</v>
      </c>
      <c r="C792" t="s">
        <v>320</v>
      </c>
      <c r="D792" t="s">
        <v>321</v>
      </c>
      <c r="E792" t="s">
        <v>28</v>
      </c>
      <c r="F792" t="s">
        <v>29</v>
      </c>
      <c r="G792" s="1">
        <v>45870</v>
      </c>
      <c r="H792" s="1">
        <v>45413</v>
      </c>
      <c r="I792">
        <v>8307933</v>
      </c>
      <c r="J792" t="s">
        <v>32</v>
      </c>
      <c r="K792" t="s">
        <v>63</v>
      </c>
      <c r="L792">
        <v>29.83</v>
      </c>
      <c r="M792">
        <v>29.83</v>
      </c>
      <c r="N792" t="s">
        <v>2720</v>
      </c>
      <c r="O792" t="s">
        <v>2724</v>
      </c>
      <c r="P792" t="s">
        <v>3947</v>
      </c>
    </row>
    <row r="793" spans="1:16" x14ac:dyDescent="0.25">
      <c r="A793" t="s">
        <v>343</v>
      </c>
      <c r="B793" t="str">
        <f>CONCATENATE(A793,8)</f>
        <v>2RM5DX5FY978</v>
      </c>
      <c r="C793" t="s">
        <v>345</v>
      </c>
      <c r="D793" t="s">
        <v>346</v>
      </c>
      <c r="E793" t="s">
        <v>28</v>
      </c>
      <c r="F793" t="s">
        <v>29</v>
      </c>
      <c r="G793" s="1">
        <v>45870</v>
      </c>
      <c r="H793" s="1">
        <v>45566</v>
      </c>
      <c r="I793">
        <v>8307933</v>
      </c>
      <c r="J793" t="s">
        <v>32</v>
      </c>
      <c r="K793" t="s">
        <v>63</v>
      </c>
      <c r="L793">
        <v>29.83</v>
      </c>
      <c r="M793">
        <v>29.83</v>
      </c>
      <c r="N793" t="s">
        <v>2720</v>
      </c>
      <c r="O793" t="s">
        <v>2724</v>
      </c>
      <c r="P793" t="s">
        <v>3951</v>
      </c>
    </row>
    <row r="794" spans="1:16" x14ac:dyDescent="0.25">
      <c r="A794" t="s">
        <v>617</v>
      </c>
      <c r="B794" t="str">
        <f>CONCATENATE(A794,8)</f>
        <v>3PE2YN6VF268</v>
      </c>
      <c r="C794" t="s">
        <v>619</v>
      </c>
      <c r="D794" t="s">
        <v>620</v>
      </c>
      <c r="E794" t="s">
        <v>28</v>
      </c>
      <c r="F794" t="s">
        <v>29</v>
      </c>
      <c r="G794" s="1">
        <v>45870</v>
      </c>
      <c r="H794" s="1">
        <v>45597</v>
      </c>
      <c r="I794">
        <v>8307933</v>
      </c>
      <c r="J794" t="s">
        <v>32</v>
      </c>
      <c r="K794" t="s">
        <v>63</v>
      </c>
      <c r="L794">
        <v>29.83</v>
      </c>
      <c r="M794">
        <v>29.83</v>
      </c>
      <c r="N794" t="s">
        <v>2720</v>
      </c>
      <c r="O794" t="s">
        <v>2724</v>
      </c>
      <c r="P794" t="s">
        <v>3959</v>
      </c>
    </row>
    <row r="795" spans="1:16" x14ac:dyDescent="0.25">
      <c r="A795" t="s">
        <v>756</v>
      </c>
      <c r="B795" t="str">
        <f>CONCATENATE(A795,8)</f>
        <v>3GD3XX3NC018</v>
      </c>
      <c r="C795" t="s">
        <v>758</v>
      </c>
      <c r="D795" t="s">
        <v>759</v>
      </c>
      <c r="E795" t="s">
        <v>28</v>
      </c>
      <c r="F795" t="s">
        <v>29</v>
      </c>
      <c r="G795" s="1">
        <v>45870</v>
      </c>
      <c r="H795" s="1">
        <v>45566</v>
      </c>
      <c r="I795">
        <v>8307933</v>
      </c>
      <c r="J795" t="s">
        <v>32</v>
      </c>
      <c r="K795" t="s">
        <v>63</v>
      </c>
      <c r="L795">
        <v>29.83</v>
      </c>
      <c r="M795">
        <v>29.83</v>
      </c>
      <c r="N795" t="s">
        <v>2720</v>
      </c>
      <c r="O795" t="s">
        <v>2724</v>
      </c>
      <c r="P795" t="s">
        <v>3961</v>
      </c>
    </row>
    <row r="796" spans="1:16" x14ac:dyDescent="0.25">
      <c r="A796" t="s">
        <v>897</v>
      </c>
      <c r="B796" t="str">
        <f>CONCATENATE(A796,8)</f>
        <v>1P73VW9EJ738</v>
      </c>
      <c r="C796" t="s">
        <v>899</v>
      </c>
      <c r="D796" t="s">
        <v>759</v>
      </c>
      <c r="E796" t="s">
        <v>28</v>
      </c>
      <c r="F796" t="s">
        <v>29</v>
      </c>
      <c r="G796" s="1">
        <v>45870</v>
      </c>
      <c r="H796" s="1">
        <v>45505</v>
      </c>
      <c r="I796">
        <v>8307933</v>
      </c>
      <c r="J796" t="s">
        <v>32</v>
      </c>
      <c r="K796" t="s">
        <v>63</v>
      </c>
      <c r="L796">
        <v>29.83</v>
      </c>
      <c r="M796">
        <v>29.83</v>
      </c>
      <c r="N796" t="s">
        <v>2720</v>
      </c>
      <c r="O796" t="s">
        <v>2724</v>
      </c>
      <c r="P796" t="s">
        <v>3967</v>
      </c>
    </row>
    <row r="797" spans="1:16" x14ac:dyDescent="0.25">
      <c r="A797" t="s">
        <v>915</v>
      </c>
      <c r="B797" t="str">
        <f>CONCATENATE(A797,8)</f>
        <v>6KV9GT7WE008</v>
      </c>
      <c r="C797" t="s">
        <v>917</v>
      </c>
      <c r="D797" t="s">
        <v>74</v>
      </c>
      <c r="E797" t="s">
        <v>28</v>
      </c>
      <c r="F797" t="s">
        <v>29</v>
      </c>
      <c r="G797" s="1">
        <v>45870</v>
      </c>
      <c r="H797" s="1">
        <v>45566</v>
      </c>
      <c r="I797">
        <v>8307933</v>
      </c>
      <c r="J797" t="s">
        <v>32</v>
      </c>
      <c r="K797" t="s">
        <v>63</v>
      </c>
      <c r="L797">
        <v>29.83</v>
      </c>
      <c r="M797">
        <v>29.83</v>
      </c>
      <c r="N797" t="s">
        <v>2720</v>
      </c>
      <c r="O797" t="s">
        <v>2724</v>
      </c>
      <c r="P797" t="s">
        <v>3969</v>
      </c>
    </row>
    <row r="798" spans="1:16" x14ac:dyDescent="0.25">
      <c r="A798" t="s">
        <v>1015</v>
      </c>
      <c r="B798" t="str">
        <f>CONCATENATE(A798,8)</f>
        <v>6KT6F07NF668</v>
      </c>
      <c r="C798" t="s">
        <v>1017</v>
      </c>
      <c r="D798" t="s">
        <v>346</v>
      </c>
      <c r="E798" t="s">
        <v>28</v>
      </c>
      <c r="F798" t="s">
        <v>29</v>
      </c>
      <c r="G798" s="1">
        <v>45870</v>
      </c>
      <c r="H798" s="1">
        <v>45413</v>
      </c>
      <c r="I798">
        <v>8307933</v>
      </c>
      <c r="J798" t="s">
        <v>32</v>
      </c>
      <c r="K798" t="s">
        <v>63</v>
      </c>
      <c r="L798">
        <v>29.83</v>
      </c>
      <c r="M798">
        <v>29.83</v>
      </c>
      <c r="N798" t="s">
        <v>2720</v>
      </c>
      <c r="O798" t="s">
        <v>2724</v>
      </c>
      <c r="P798" t="s">
        <v>3972</v>
      </c>
    </row>
    <row r="799" spans="1:16" x14ac:dyDescent="0.25">
      <c r="A799" t="s">
        <v>1107</v>
      </c>
      <c r="B799" t="str">
        <f>CONCATENATE(A799,8)</f>
        <v>7GT0VR8FC248</v>
      </c>
      <c r="C799" t="s">
        <v>1109</v>
      </c>
      <c r="D799" t="s">
        <v>74</v>
      </c>
      <c r="E799" t="s">
        <v>28</v>
      </c>
      <c r="F799" t="s">
        <v>29</v>
      </c>
      <c r="G799" s="1">
        <v>45870</v>
      </c>
      <c r="H799" s="1">
        <v>45383</v>
      </c>
      <c r="I799">
        <v>8307933</v>
      </c>
      <c r="J799" t="s">
        <v>32</v>
      </c>
      <c r="K799" t="s">
        <v>63</v>
      </c>
      <c r="L799">
        <v>29.83</v>
      </c>
      <c r="M799">
        <v>29.83</v>
      </c>
      <c r="N799" t="s">
        <v>2720</v>
      </c>
      <c r="O799" t="s">
        <v>2724</v>
      </c>
      <c r="P799" t="s">
        <v>3975</v>
      </c>
    </row>
    <row r="800" spans="1:16" x14ac:dyDescent="0.25">
      <c r="A800" t="s">
        <v>1178</v>
      </c>
      <c r="B800" t="str">
        <f>CONCATENATE(A800,8)</f>
        <v>4HV7JV3AJ728</v>
      </c>
      <c r="C800" t="s">
        <v>1180</v>
      </c>
      <c r="D800" t="s">
        <v>74</v>
      </c>
      <c r="E800" t="s">
        <v>28</v>
      </c>
      <c r="F800" t="s">
        <v>29</v>
      </c>
      <c r="G800" s="1">
        <v>45870</v>
      </c>
      <c r="H800" s="1">
        <v>45383</v>
      </c>
      <c r="I800">
        <v>8307933</v>
      </c>
      <c r="J800" t="s">
        <v>32</v>
      </c>
      <c r="K800" t="s">
        <v>63</v>
      </c>
      <c r="L800">
        <v>29.83</v>
      </c>
      <c r="M800">
        <v>29.83</v>
      </c>
      <c r="N800" t="s">
        <v>2720</v>
      </c>
      <c r="O800" t="s">
        <v>2724</v>
      </c>
      <c r="P800" t="s">
        <v>3976</v>
      </c>
    </row>
    <row r="801" spans="1:16" x14ac:dyDescent="0.25">
      <c r="A801" t="s">
        <v>1302</v>
      </c>
      <c r="B801" t="str">
        <f>CONCATENATE(A801,8)</f>
        <v>3P06WR4UU648</v>
      </c>
      <c r="C801" t="s">
        <v>1304</v>
      </c>
      <c r="D801" t="s">
        <v>1305</v>
      </c>
      <c r="E801" t="s">
        <v>28</v>
      </c>
      <c r="F801" t="s">
        <v>29</v>
      </c>
      <c r="G801" s="1">
        <v>45870</v>
      </c>
      <c r="H801" s="1">
        <v>45474</v>
      </c>
      <c r="I801">
        <v>8307933</v>
      </c>
      <c r="J801" t="s">
        <v>32</v>
      </c>
      <c r="K801" t="s">
        <v>63</v>
      </c>
      <c r="L801">
        <v>29.83</v>
      </c>
      <c r="M801">
        <v>29.83</v>
      </c>
      <c r="N801" t="s">
        <v>2720</v>
      </c>
      <c r="O801" t="s">
        <v>2724</v>
      </c>
      <c r="P801" t="s">
        <v>3980</v>
      </c>
    </row>
    <row r="802" spans="1:16" x14ac:dyDescent="0.25">
      <c r="A802" t="s">
        <v>1321</v>
      </c>
      <c r="B802" t="str">
        <f>CONCATENATE(A802,8)</f>
        <v>6XV9U80YG298</v>
      </c>
      <c r="C802" t="s">
        <v>1323</v>
      </c>
      <c r="D802" t="s">
        <v>74</v>
      </c>
      <c r="E802" t="s">
        <v>28</v>
      </c>
      <c r="F802" t="s">
        <v>29</v>
      </c>
      <c r="G802" s="1">
        <v>45870</v>
      </c>
      <c r="H802" s="1">
        <v>45383</v>
      </c>
      <c r="I802">
        <v>8307933</v>
      </c>
      <c r="J802" t="s">
        <v>32</v>
      </c>
      <c r="K802" t="s">
        <v>63</v>
      </c>
      <c r="L802">
        <v>29.83</v>
      </c>
      <c r="M802">
        <v>29.83</v>
      </c>
      <c r="N802" t="s">
        <v>2720</v>
      </c>
      <c r="O802" t="s">
        <v>2724</v>
      </c>
      <c r="P802" t="s">
        <v>3981</v>
      </c>
    </row>
    <row r="803" spans="1:16" x14ac:dyDescent="0.25">
      <c r="A803" t="s">
        <v>1519</v>
      </c>
      <c r="B803" t="str">
        <f>CONCATENATE(A803,8)</f>
        <v>6NH2D86RW018</v>
      </c>
      <c r="C803" t="s">
        <v>1521</v>
      </c>
      <c r="D803" t="s">
        <v>74</v>
      </c>
      <c r="E803" t="s">
        <v>28</v>
      </c>
      <c r="F803" t="s">
        <v>29</v>
      </c>
      <c r="G803" s="1">
        <v>45870</v>
      </c>
      <c r="H803" s="1">
        <v>45566</v>
      </c>
      <c r="I803">
        <v>8307933</v>
      </c>
      <c r="J803" t="s">
        <v>32</v>
      </c>
      <c r="K803" t="s">
        <v>63</v>
      </c>
      <c r="L803">
        <v>29.83</v>
      </c>
      <c r="M803">
        <v>29.83</v>
      </c>
      <c r="N803" t="s">
        <v>2720</v>
      </c>
      <c r="O803" t="s">
        <v>2724</v>
      </c>
      <c r="P803" t="s">
        <v>3987</v>
      </c>
    </row>
    <row r="804" spans="1:16" x14ac:dyDescent="0.25">
      <c r="A804" t="s">
        <v>1595</v>
      </c>
      <c r="B804" t="str">
        <f>CONCATENATE(A804,8)</f>
        <v>6U93AA6QM778</v>
      </c>
      <c r="C804" t="s">
        <v>1597</v>
      </c>
      <c r="D804" t="s">
        <v>74</v>
      </c>
      <c r="E804" t="s">
        <v>28</v>
      </c>
      <c r="F804" t="s">
        <v>29</v>
      </c>
      <c r="G804" s="1">
        <v>45870</v>
      </c>
      <c r="H804" s="1">
        <v>45505</v>
      </c>
      <c r="I804">
        <v>8307933</v>
      </c>
      <c r="J804" t="s">
        <v>32</v>
      </c>
      <c r="K804" t="s">
        <v>63</v>
      </c>
      <c r="L804">
        <v>29.83</v>
      </c>
      <c r="M804">
        <v>29.83</v>
      </c>
      <c r="N804" t="s">
        <v>2720</v>
      </c>
      <c r="O804" t="s">
        <v>2724</v>
      </c>
      <c r="P804" t="s">
        <v>3989</v>
      </c>
    </row>
    <row r="805" spans="1:16" x14ac:dyDescent="0.25">
      <c r="A805" t="s">
        <v>1628</v>
      </c>
      <c r="B805" t="str">
        <f>CONCATENATE(A805,8)</f>
        <v>2UX3P85HP908</v>
      </c>
      <c r="C805" t="s">
        <v>1630</v>
      </c>
      <c r="D805" t="s">
        <v>1145</v>
      </c>
      <c r="E805" t="s">
        <v>28</v>
      </c>
      <c r="F805" t="s">
        <v>29</v>
      </c>
      <c r="G805" s="1">
        <v>45870</v>
      </c>
      <c r="H805" s="1">
        <v>45383</v>
      </c>
      <c r="I805">
        <v>8307933</v>
      </c>
      <c r="J805" t="s">
        <v>32</v>
      </c>
      <c r="K805" t="s">
        <v>63</v>
      </c>
      <c r="L805">
        <v>29.83</v>
      </c>
      <c r="M805">
        <v>29.83</v>
      </c>
      <c r="N805" t="s">
        <v>2720</v>
      </c>
      <c r="O805" t="s">
        <v>2724</v>
      </c>
      <c r="P805" t="s">
        <v>3990</v>
      </c>
    </row>
    <row r="806" spans="1:16" x14ac:dyDescent="0.25">
      <c r="A806" t="s">
        <v>1663</v>
      </c>
      <c r="B806" t="str">
        <f>CONCATENATE(A806,8)</f>
        <v>2WE1DM6AH288</v>
      </c>
      <c r="C806" t="s">
        <v>1665</v>
      </c>
      <c r="D806" t="s">
        <v>303</v>
      </c>
      <c r="E806" t="s">
        <v>28</v>
      </c>
      <c r="F806" t="s">
        <v>29</v>
      </c>
      <c r="G806" s="1">
        <v>45870</v>
      </c>
      <c r="H806" s="1">
        <v>45413</v>
      </c>
      <c r="I806">
        <v>8307933</v>
      </c>
      <c r="J806" t="s">
        <v>32</v>
      </c>
      <c r="K806" t="s">
        <v>63</v>
      </c>
      <c r="L806">
        <v>29.83</v>
      </c>
      <c r="M806">
        <v>29.83</v>
      </c>
      <c r="N806" t="s">
        <v>2720</v>
      </c>
      <c r="O806" t="s">
        <v>2724</v>
      </c>
      <c r="P806" t="s">
        <v>3991</v>
      </c>
    </row>
    <row r="807" spans="1:16" x14ac:dyDescent="0.25">
      <c r="A807" t="s">
        <v>1697</v>
      </c>
      <c r="B807" t="str">
        <f>CONCATENATE(A807,8)</f>
        <v>1CT6X89NC548</v>
      </c>
      <c r="C807" t="s">
        <v>1699</v>
      </c>
      <c r="D807" t="s">
        <v>1319</v>
      </c>
      <c r="E807" t="s">
        <v>28</v>
      </c>
      <c r="F807" t="s">
        <v>29</v>
      </c>
      <c r="G807" s="1">
        <v>45870</v>
      </c>
      <c r="H807" s="1">
        <v>45536</v>
      </c>
      <c r="I807">
        <v>8307933</v>
      </c>
      <c r="J807" t="s">
        <v>32</v>
      </c>
      <c r="K807" t="s">
        <v>63</v>
      </c>
      <c r="L807">
        <v>29.83</v>
      </c>
      <c r="M807">
        <v>29.83</v>
      </c>
      <c r="N807" t="s">
        <v>2720</v>
      </c>
      <c r="O807" t="s">
        <v>2724</v>
      </c>
      <c r="P807" t="s">
        <v>3992</v>
      </c>
    </row>
    <row r="808" spans="1:16" x14ac:dyDescent="0.25">
      <c r="A808" t="s">
        <v>1713</v>
      </c>
      <c r="B808" t="str">
        <f>CONCATENATE(A808,8)</f>
        <v>6C53HC1XN038</v>
      </c>
      <c r="C808" t="s">
        <v>1715</v>
      </c>
      <c r="D808" t="s">
        <v>74</v>
      </c>
      <c r="E808" t="s">
        <v>28</v>
      </c>
      <c r="F808" t="s">
        <v>29</v>
      </c>
      <c r="G808" s="1">
        <v>45870</v>
      </c>
      <c r="H808" s="1">
        <v>45474</v>
      </c>
      <c r="I808">
        <v>8307933</v>
      </c>
      <c r="J808" t="s">
        <v>32</v>
      </c>
      <c r="K808" t="s">
        <v>63</v>
      </c>
      <c r="L808">
        <v>29.83</v>
      </c>
      <c r="M808">
        <v>29.83</v>
      </c>
      <c r="N808" t="s">
        <v>2720</v>
      </c>
      <c r="O808" t="s">
        <v>2724</v>
      </c>
      <c r="P808" t="s">
        <v>3993</v>
      </c>
    </row>
    <row r="809" spans="1:16" x14ac:dyDescent="0.25">
      <c r="A809" t="s">
        <v>1722</v>
      </c>
      <c r="B809" t="str">
        <f>CONCATENATE(A809,8)</f>
        <v>2N51GH0RU208</v>
      </c>
      <c r="C809" t="s">
        <v>1724</v>
      </c>
      <c r="D809" t="s">
        <v>759</v>
      </c>
      <c r="E809" t="s">
        <v>28</v>
      </c>
      <c r="F809" t="s">
        <v>29</v>
      </c>
      <c r="G809" s="1">
        <v>45870</v>
      </c>
      <c r="H809" s="1">
        <v>45536</v>
      </c>
      <c r="I809">
        <v>8307933</v>
      </c>
      <c r="J809" t="s">
        <v>32</v>
      </c>
      <c r="K809" t="s">
        <v>63</v>
      </c>
      <c r="L809">
        <v>29.83</v>
      </c>
      <c r="M809">
        <v>29.83</v>
      </c>
      <c r="N809" t="s">
        <v>2720</v>
      </c>
      <c r="O809" t="s">
        <v>2724</v>
      </c>
      <c r="P809" t="s">
        <v>3994</v>
      </c>
    </row>
    <row r="810" spans="1:16" x14ac:dyDescent="0.25">
      <c r="A810" t="s">
        <v>1735</v>
      </c>
      <c r="B810" t="str">
        <f>CONCATENATE(A810,8)</f>
        <v>6GR9UD3PV308</v>
      </c>
      <c r="C810" t="s">
        <v>1737</v>
      </c>
      <c r="D810" t="s">
        <v>74</v>
      </c>
      <c r="E810" t="s">
        <v>28</v>
      </c>
      <c r="F810" t="s">
        <v>29</v>
      </c>
      <c r="G810" s="1">
        <v>45870</v>
      </c>
      <c r="H810" s="1">
        <v>45444</v>
      </c>
      <c r="I810">
        <v>8307933</v>
      </c>
      <c r="J810" t="s">
        <v>32</v>
      </c>
      <c r="K810" t="s">
        <v>63</v>
      </c>
      <c r="L810">
        <v>29.83</v>
      </c>
      <c r="M810">
        <v>29.83</v>
      </c>
      <c r="N810" t="s">
        <v>2720</v>
      </c>
      <c r="O810" t="s">
        <v>2724</v>
      </c>
      <c r="P810" t="s">
        <v>3995</v>
      </c>
    </row>
    <row r="811" spans="1:16" x14ac:dyDescent="0.25">
      <c r="A811" t="s">
        <v>1782</v>
      </c>
      <c r="B811" t="str">
        <f>CONCATENATE(A811,8)</f>
        <v>2GX1UY3CQ008</v>
      </c>
      <c r="C811" t="s">
        <v>1784</v>
      </c>
      <c r="D811" t="s">
        <v>620</v>
      </c>
      <c r="E811" t="s">
        <v>28</v>
      </c>
      <c r="F811" t="s">
        <v>29</v>
      </c>
      <c r="G811" s="1">
        <v>45870</v>
      </c>
      <c r="H811" s="1">
        <v>45597</v>
      </c>
      <c r="I811">
        <v>8307933</v>
      </c>
      <c r="J811" t="s">
        <v>32</v>
      </c>
      <c r="K811" t="s">
        <v>63</v>
      </c>
      <c r="L811">
        <v>29.83</v>
      </c>
      <c r="M811">
        <v>29.83</v>
      </c>
      <c r="N811" t="s">
        <v>2720</v>
      </c>
      <c r="O811" t="s">
        <v>2724</v>
      </c>
      <c r="P811" t="s">
        <v>3998</v>
      </c>
    </row>
    <row r="812" spans="1:16" x14ac:dyDescent="0.25">
      <c r="A812" t="s">
        <v>1801</v>
      </c>
      <c r="B812" t="str">
        <f>CONCATENATE(A812,8)</f>
        <v>2NU6MK9FF308</v>
      </c>
      <c r="C812" t="s">
        <v>1803</v>
      </c>
      <c r="D812" t="s">
        <v>759</v>
      </c>
      <c r="E812" t="s">
        <v>28</v>
      </c>
      <c r="F812" t="s">
        <v>29</v>
      </c>
      <c r="G812" s="1">
        <v>45870</v>
      </c>
      <c r="H812" s="1">
        <v>45444</v>
      </c>
      <c r="I812">
        <v>8307933</v>
      </c>
      <c r="J812" t="s">
        <v>32</v>
      </c>
      <c r="K812" t="s">
        <v>63</v>
      </c>
      <c r="L812">
        <v>29.83</v>
      </c>
      <c r="M812">
        <v>29.83</v>
      </c>
      <c r="N812" t="s">
        <v>2720</v>
      </c>
      <c r="O812" t="s">
        <v>2724</v>
      </c>
      <c r="P812" t="s">
        <v>3999</v>
      </c>
    </row>
    <row r="813" spans="1:16" x14ac:dyDescent="0.25">
      <c r="A813" t="s">
        <v>1823</v>
      </c>
      <c r="B813" t="str">
        <f>CONCATENATE(A813,8)</f>
        <v>5TJ2UJ5KR008</v>
      </c>
      <c r="C813" t="s">
        <v>1825</v>
      </c>
      <c r="D813" t="s">
        <v>1319</v>
      </c>
      <c r="E813" t="s">
        <v>28</v>
      </c>
      <c r="F813" t="s">
        <v>29</v>
      </c>
      <c r="G813" s="1">
        <v>45870</v>
      </c>
      <c r="H813" s="1">
        <v>45444</v>
      </c>
      <c r="I813">
        <v>8307933</v>
      </c>
      <c r="J813" t="s">
        <v>32</v>
      </c>
      <c r="K813" t="s">
        <v>63</v>
      </c>
      <c r="L813">
        <v>29.83</v>
      </c>
      <c r="M813">
        <v>29.83</v>
      </c>
      <c r="N813" t="s">
        <v>2720</v>
      </c>
      <c r="O813" t="s">
        <v>2724</v>
      </c>
      <c r="P813" t="s">
        <v>4000</v>
      </c>
    </row>
    <row r="814" spans="1:16" x14ac:dyDescent="0.25">
      <c r="A814" t="s">
        <v>1827</v>
      </c>
      <c r="B814" t="str">
        <f>CONCATENATE(A814,8)</f>
        <v>1F53FK9QT608</v>
      </c>
      <c r="C814" t="s">
        <v>1829</v>
      </c>
      <c r="D814" t="s">
        <v>1319</v>
      </c>
      <c r="E814" t="s">
        <v>28</v>
      </c>
      <c r="F814" t="s">
        <v>29</v>
      </c>
      <c r="G814" s="1">
        <v>45870</v>
      </c>
      <c r="H814" s="1">
        <v>45444</v>
      </c>
      <c r="I814">
        <v>8307933</v>
      </c>
      <c r="J814" t="s">
        <v>32</v>
      </c>
      <c r="K814" t="s">
        <v>63</v>
      </c>
      <c r="L814">
        <v>29.83</v>
      </c>
      <c r="M814">
        <v>29.83</v>
      </c>
      <c r="N814" t="s">
        <v>2720</v>
      </c>
      <c r="O814" t="s">
        <v>2724</v>
      </c>
      <c r="P814" t="s">
        <v>4001</v>
      </c>
    </row>
    <row r="815" spans="1:16" x14ac:dyDescent="0.25">
      <c r="A815" t="s">
        <v>1880</v>
      </c>
      <c r="B815" t="str">
        <f>CONCATENATE(A815,8)</f>
        <v>4DY7EG1CA488</v>
      </c>
      <c r="C815" t="s">
        <v>1882</v>
      </c>
      <c r="D815" t="s">
        <v>89</v>
      </c>
      <c r="E815" t="s">
        <v>28</v>
      </c>
      <c r="F815" t="s">
        <v>29</v>
      </c>
      <c r="G815" s="1">
        <v>45870</v>
      </c>
      <c r="H815" s="1">
        <v>45444</v>
      </c>
      <c r="I815">
        <v>8307933</v>
      </c>
      <c r="J815" t="s">
        <v>32</v>
      </c>
      <c r="K815" t="s">
        <v>63</v>
      </c>
      <c r="L815">
        <v>29.83</v>
      </c>
      <c r="M815">
        <v>29.83</v>
      </c>
      <c r="N815" t="s">
        <v>2720</v>
      </c>
      <c r="O815" t="s">
        <v>2724</v>
      </c>
      <c r="P815" t="s">
        <v>4003</v>
      </c>
    </row>
    <row r="816" spans="1:16" x14ac:dyDescent="0.25">
      <c r="A816" t="s">
        <v>1903</v>
      </c>
      <c r="B816" t="str">
        <f>CONCATENATE(A816,8)</f>
        <v>3DG7N96DT788</v>
      </c>
      <c r="C816" t="s">
        <v>1905</v>
      </c>
      <c r="D816" t="s">
        <v>234</v>
      </c>
      <c r="E816" t="s">
        <v>28</v>
      </c>
      <c r="F816" t="s">
        <v>29</v>
      </c>
      <c r="G816" s="1">
        <v>45870</v>
      </c>
      <c r="H816" s="1">
        <v>45597</v>
      </c>
      <c r="I816">
        <v>8307933</v>
      </c>
      <c r="J816" t="s">
        <v>32</v>
      </c>
      <c r="K816" t="s">
        <v>63</v>
      </c>
      <c r="L816">
        <v>29.83</v>
      </c>
      <c r="M816">
        <v>29.83</v>
      </c>
      <c r="N816" t="s">
        <v>2720</v>
      </c>
      <c r="O816" t="s">
        <v>2724</v>
      </c>
      <c r="P816" t="s">
        <v>4005</v>
      </c>
    </row>
    <row r="817" spans="1:18" x14ac:dyDescent="0.25">
      <c r="A817" t="s">
        <v>1907</v>
      </c>
      <c r="B817" t="str">
        <f>CONCATENATE(A817,8)</f>
        <v>9VU3EJ7XD868</v>
      </c>
      <c r="C817" t="s">
        <v>1909</v>
      </c>
      <c r="D817" t="s">
        <v>234</v>
      </c>
      <c r="E817" t="s">
        <v>28</v>
      </c>
      <c r="F817" t="s">
        <v>29</v>
      </c>
      <c r="G817" s="1">
        <v>45870</v>
      </c>
      <c r="H817" s="1">
        <v>45536</v>
      </c>
      <c r="I817">
        <v>8307933</v>
      </c>
      <c r="J817" t="s">
        <v>32</v>
      </c>
      <c r="K817" t="s">
        <v>63</v>
      </c>
      <c r="L817">
        <v>29.83</v>
      </c>
      <c r="M817">
        <v>29.83</v>
      </c>
      <c r="N817" t="s">
        <v>2720</v>
      </c>
      <c r="O817" t="s">
        <v>2724</v>
      </c>
      <c r="P817" t="s">
        <v>4006</v>
      </c>
    </row>
    <row r="818" spans="1:18" x14ac:dyDescent="0.25">
      <c r="A818" t="s">
        <v>2035</v>
      </c>
      <c r="B818" t="str">
        <f>CONCATENATE(A818,8)</f>
        <v>2NC1HA2JU258</v>
      </c>
      <c r="C818" t="s">
        <v>2037</v>
      </c>
      <c r="D818" t="s">
        <v>2038</v>
      </c>
      <c r="E818" t="s">
        <v>28</v>
      </c>
      <c r="F818" t="s">
        <v>29</v>
      </c>
      <c r="G818" s="1">
        <v>45870</v>
      </c>
      <c r="H818" s="1">
        <v>45536</v>
      </c>
      <c r="I818">
        <v>8307933</v>
      </c>
      <c r="J818" t="s">
        <v>32</v>
      </c>
      <c r="K818" t="s">
        <v>63</v>
      </c>
      <c r="L818">
        <v>29.83</v>
      </c>
      <c r="M818">
        <v>29.83</v>
      </c>
      <c r="N818" t="s">
        <v>2720</v>
      </c>
      <c r="O818" t="s">
        <v>2724</v>
      </c>
      <c r="P818" t="s">
        <v>4014</v>
      </c>
    </row>
    <row r="819" spans="1:18" x14ac:dyDescent="0.25">
      <c r="A819" t="s">
        <v>2052</v>
      </c>
      <c r="B819" t="str">
        <f>CONCATENATE(A819,8)</f>
        <v>7U74XU0PN068</v>
      </c>
      <c r="C819" t="s">
        <v>2054</v>
      </c>
      <c r="D819" t="s">
        <v>111</v>
      </c>
      <c r="E819" t="s">
        <v>28</v>
      </c>
      <c r="F819" t="s">
        <v>29</v>
      </c>
      <c r="G819" s="1">
        <v>45870</v>
      </c>
      <c r="H819" s="1">
        <v>45505</v>
      </c>
      <c r="I819">
        <v>8307933</v>
      </c>
      <c r="J819" t="s">
        <v>32</v>
      </c>
      <c r="K819" t="s">
        <v>63</v>
      </c>
      <c r="L819">
        <v>29.83</v>
      </c>
      <c r="M819">
        <v>29.83</v>
      </c>
      <c r="N819" t="s">
        <v>2720</v>
      </c>
      <c r="O819" t="s">
        <v>2724</v>
      </c>
      <c r="P819" t="s">
        <v>4018</v>
      </c>
    </row>
    <row r="820" spans="1:18" s="2" customFormat="1" x14ac:dyDescent="0.25">
      <c r="A820" t="s">
        <v>2068</v>
      </c>
      <c r="B820" t="str">
        <f>CONCATENATE(A820,8)</f>
        <v>5N57QH8MF478</v>
      </c>
      <c r="C820" t="s">
        <v>2070</v>
      </c>
      <c r="D820" t="s">
        <v>620</v>
      </c>
      <c r="E820" t="s">
        <v>28</v>
      </c>
      <c r="F820" t="s">
        <v>29</v>
      </c>
      <c r="G820" s="1">
        <v>45870</v>
      </c>
      <c r="H820" s="1">
        <v>45597</v>
      </c>
      <c r="I820">
        <v>8307933</v>
      </c>
      <c r="J820" t="s">
        <v>32</v>
      </c>
      <c r="K820" t="s">
        <v>63</v>
      </c>
      <c r="L820">
        <v>29.83</v>
      </c>
      <c r="M820">
        <v>29.83</v>
      </c>
      <c r="N820" t="s">
        <v>2720</v>
      </c>
      <c r="O820" t="s">
        <v>2724</v>
      </c>
      <c r="P820" t="s">
        <v>4019</v>
      </c>
      <c r="Q820"/>
      <c r="R820"/>
    </row>
    <row r="821" spans="1:18" s="2" customFormat="1" x14ac:dyDescent="0.25">
      <c r="A821" t="s">
        <v>2541</v>
      </c>
      <c r="B821" t="str">
        <f>CONCATENATE(A821,8)</f>
        <v>2WV9E99WQ568</v>
      </c>
      <c r="C821" t="s">
        <v>2543</v>
      </c>
      <c r="D821" t="s">
        <v>74</v>
      </c>
      <c r="E821" t="s">
        <v>28</v>
      </c>
      <c r="F821" t="s">
        <v>29</v>
      </c>
      <c r="G821" s="1">
        <v>45870</v>
      </c>
      <c r="H821" s="1">
        <v>45597</v>
      </c>
      <c r="I821">
        <v>8307933</v>
      </c>
      <c r="J821" t="s">
        <v>32</v>
      </c>
      <c r="K821" t="s">
        <v>63</v>
      </c>
      <c r="L821">
        <v>29.83</v>
      </c>
      <c r="M821">
        <v>29.83</v>
      </c>
      <c r="N821" t="s">
        <v>2720</v>
      </c>
      <c r="O821" t="s">
        <v>2724</v>
      </c>
      <c r="P821" t="s">
        <v>4035</v>
      </c>
      <c r="Q821"/>
      <c r="R821"/>
    </row>
    <row r="822" spans="1:18" s="2" customFormat="1" x14ac:dyDescent="0.25">
      <c r="A822" t="s">
        <v>2560</v>
      </c>
      <c r="B822" t="str">
        <f>CONCATENATE(A822,8)</f>
        <v>1EK7DC4UC508</v>
      </c>
      <c r="C822" t="s">
        <v>2562</v>
      </c>
      <c r="D822" t="s">
        <v>234</v>
      </c>
      <c r="E822" t="s">
        <v>28</v>
      </c>
      <c r="F822" t="s">
        <v>29</v>
      </c>
      <c r="G822" s="1">
        <v>45870</v>
      </c>
      <c r="H822" s="1">
        <v>45413</v>
      </c>
      <c r="I822">
        <v>8307933</v>
      </c>
      <c r="J822" t="s">
        <v>32</v>
      </c>
      <c r="K822" t="s">
        <v>63</v>
      </c>
      <c r="L822">
        <v>29.83</v>
      </c>
      <c r="M822">
        <v>29.83</v>
      </c>
      <c r="N822" t="s">
        <v>2720</v>
      </c>
      <c r="O822" t="s">
        <v>2724</v>
      </c>
      <c r="P822" t="s">
        <v>4038</v>
      </c>
      <c r="Q822"/>
      <c r="R822"/>
    </row>
    <row r="823" spans="1:18" s="2" customFormat="1" x14ac:dyDescent="0.25">
      <c r="A823" t="s">
        <v>2613</v>
      </c>
      <c r="B823" t="str">
        <f>CONCATENATE(A823,8)</f>
        <v>6TR0JN8XN228</v>
      </c>
      <c r="C823" t="s">
        <v>2615</v>
      </c>
      <c r="D823" t="s">
        <v>2616</v>
      </c>
      <c r="E823" t="s">
        <v>28</v>
      </c>
      <c r="F823" t="s">
        <v>29</v>
      </c>
      <c r="G823" s="1">
        <v>45870</v>
      </c>
      <c r="H823" s="1">
        <v>45597</v>
      </c>
      <c r="I823">
        <v>8307933</v>
      </c>
      <c r="J823" t="s">
        <v>32</v>
      </c>
      <c r="K823" t="s">
        <v>63</v>
      </c>
      <c r="L823">
        <v>29.83</v>
      </c>
      <c r="M823">
        <v>29.83</v>
      </c>
      <c r="N823" t="s">
        <v>2720</v>
      </c>
      <c r="O823" t="s">
        <v>2724</v>
      </c>
      <c r="P823" t="s">
        <v>4043</v>
      </c>
      <c r="Q823"/>
    </row>
    <row r="824" spans="1:18" s="2" customFormat="1" x14ac:dyDescent="0.25">
      <c r="A824" t="s">
        <v>441</v>
      </c>
      <c r="B824" t="str">
        <f>CONCATENATE(A824,8)</f>
        <v>8HF4NU5CQ948</v>
      </c>
      <c r="C824" t="s">
        <v>443</v>
      </c>
      <c r="D824" t="s">
        <v>444</v>
      </c>
      <c r="E824" t="s">
        <v>402</v>
      </c>
      <c r="F824" t="s">
        <v>29</v>
      </c>
      <c r="G824" s="1">
        <v>45901</v>
      </c>
      <c r="H824" s="1">
        <v>45901</v>
      </c>
      <c r="I824">
        <v>8307933</v>
      </c>
      <c r="J824" t="s">
        <v>32</v>
      </c>
      <c r="K824" t="s">
        <v>63</v>
      </c>
      <c r="L824">
        <v>146</v>
      </c>
      <c r="M824">
        <v>104.33</v>
      </c>
      <c r="N824" t="s">
        <v>2720</v>
      </c>
      <c r="O824" t="s">
        <v>2730</v>
      </c>
      <c r="P824" t="s">
        <v>4047</v>
      </c>
      <c r="Q824">
        <f>313/12*4</f>
        <v>104.33333333333333</v>
      </c>
    </row>
    <row r="825" spans="1:18" x14ac:dyDescent="0.25">
      <c r="A825" t="s">
        <v>642</v>
      </c>
      <c r="B825" t="str">
        <f>CONCATENATE(A825,8)</f>
        <v>9UA5XN4RM688</v>
      </c>
      <c r="C825" t="s">
        <v>644</v>
      </c>
      <c r="D825" t="s">
        <v>74</v>
      </c>
      <c r="E825" t="s">
        <v>402</v>
      </c>
      <c r="F825" t="s">
        <v>29</v>
      </c>
      <c r="G825" s="1">
        <v>45901</v>
      </c>
      <c r="H825" s="1">
        <v>45901</v>
      </c>
      <c r="I825">
        <v>8307933</v>
      </c>
      <c r="J825" t="s">
        <v>32</v>
      </c>
      <c r="K825" t="s">
        <v>63</v>
      </c>
      <c r="L825">
        <v>146</v>
      </c>
      <c r="M825">
        <v>104.33</v>
      </c>
      <c r="N825" t="s">
        <v>2720</v>
      </c>
      <c r="O825" t="s">
        <v>2730</v>
      </c>
      <c r="P825" t="s">
        <v>4048</v>
      </c>
      <c r="R825" s="2"/>
    </row>
    <row r="826" spans="1:18" x14ac:dyDescent="0.25">
      <c r="A826" t="s">
        <v>2386</v>
      </c>
      <c r="B826" t="str">
        <f>CONCATENATE(A826,8)</f>
        <v>5X80ED2AT418</v>
      </c>
      <c r="C826" t="s">
        <v>2388</v>
      </c>
      <c r="D826" t="s">
        <v>2389</v>
      </c>
      <c r="E826" t="s">
        <v>402</v>
      </c>
      <c r="F826" t="s">
        <v>29</v>
      </c>
      <c r="G826" s="1">
        <v>45901</v>
      </c>
      <c r="H826" s="1">
        <v>45901</v>
      </c>
      <c r="I826">
        <v>8307933</v>
      </c>
      <c r="J826" t="s">
        <v>32</v>
      </c>
      <c r="K826" t="s">
        <v>63</v>
      </c>
      <c r="L826">
        <v>146</v>
      </c>
      <c r="M826">
        <v>104.33</v>
      </c>
      <c r="N826" t="s">
        <v>2720</v>
      </c>
      <c r="O826" t="s">
        <v>2730</v>
      </c>
      <c r="P826" t="s">
        <v>4051</v>
      </c>
      <c r="R826" s="2"/>
    </row>
    <row r="827" spans="1:18" s="2" customFormat="1" x14ac:dyDescent="0.25">
      <c r="A827" t="s">
        <v>794</v>
      </c>
      <c r="B827" t="str">
        <f>CONCATENATE(A827,8)</f>
        <v>5TU2V64AN248</v>
      </c>
      <c r="C827" t="s">
        <v>796</v>
      </c>
      <c r="D827" t="s">
        <v>74</v>
      </c>
      <c r="E827" t="s">
        <v>28</v>
      </c>
      <c r="F827" t="s">
        <v>29</v>
      </c>
      <c r="G827" s="1">
        <v>45870</v>
      </c>
      <c r="H827" s="1">
        <v>45536</v>
      </c>
      <c r="I827">
        <v>20212926</v>
      </c>
      <c r="J827" t="s">
        <v>32</v>
      </c>
      <c r="K827" t="s">
        <v>798</v>
      </c>
      <c r="L827">
        <v>29.83</v>
      </c>
      <c r="M827">
        <v>29.83</v>
      </c>
      <c r="N827" t="s">
        <v>2720</v>
      </c>
      <c r="O827" t="s">
        <v>2724</v>
      </c>
      <c r="P827" t="s">
        <v>3964</v>
      </c>
      <c r="Q827"/>
    </row>
    <row r="828" spans="1:18" s="2" customFormat="1" x14ac:dyDescent="0.25">
      <c r="A828" t="s">
        <v>835</v>
      </c>
      <c r="B828" t="str">
        <f>CONCATENATE(A828,8)</f>
        <v>7TM3AN7XT728</v>
      </c>
      <c r="C828" t="s">
        <v>837</v>
      </c>
      <c r="D828" t="s">
        <v>838</v>
      </c>
      <c r="E828" t="s">
        <v>28</v>
      </c>
      <c r="F828" t="s">
        <v>29</v>
      </c>
      <c r="G828" s="1">
        <v>45870</v>
      </c>
      <c r="H828" s="1">
        <v>45292</v>
      </c>
      <c r="I828">
        <v>13496370</v>
      </c>
      <c r="J828" t="s">
        <v>32</v>
      </c>
      <c r="K828" t="s">
        <v>840</v>
      </c>
      <c r="L828">
        <v>28.58</v>
      </c>
      <c r="M828">
        <v>28.58</v>
      </c>
      <c r="N828" t="s">
        <v>2720</v>
      </c>
      <c r="O828" t="s">
        <v>2725</v>
      </c>
      <c r="P828" t="s">
        <v>3879</v>
      </c>
      <c r="Q828"/>
    </row>
    <row r="829" spans="1:18" x14ac:dyDescent="0.25">
      <c r="A829" t="s">
        <v>2231</v>
      </c>
      <c r="B829" t="str">
        <f>CONCATENATE(A829,8)</f>
        <v>3A14U01DG958</v>
      </c>
      <c r="C829" t="s">
        <v>2233</v>
      </c>
      <c r="D829" t="s">
        <v>89</v>
      </c>
      <c r="E829" t="s">
        <v>28</v>
      </c>
      <c r="F829" t="s">
        <v>29</v>
      </c>
      <c r="G829" s="1">
        <v>45870</v>
      </c>
      <c r="H829" s="1">
        <v>45292</v>
      </c>
      <c r="I829">
        <v>13496370</v>
      </c>
      <c r="J829" t="s">
        <v>32</v>
      </c>
      <c r="K829" t="s">
        <v>840</v>
      </c>
      <c r="L829">
        <v>28.58</v>
      </c>
      <c r="M829">
        <v>28.58</v>
      </c>
      <c r="N829" t="s">
        <v>2720</v>
      </c>
      <c r="O829" t="s">
        <v>2725</v>
      </c>
      <c r="P829" t="s">
        <v>3918</v>
      </c>
      <c r="R829" s="2"/>
    </row>
    <row r="830" spans="1:18" x14ac:dyDescent="0.25">
      <c r="A830" t="s">
        <v>398</v>
      </c>
      <c r="B830" t="str">
        <f>CONCATENATE(A830,8)</f>
        <v>4HF9PJ3AU308</v>
      </c>
      <c r="C830" t="s">
        <v>400</v>
      </c>
      <c r="D830" t="s">
        <v>401</v>
      </c>
      <c r="E830" t="s">
        <v>402</v>
      </c>
      <c r="F830" t="s">
        <v>29</v>
      </c>
      <c r="G830" s="1">
        <v>45870</v>
      </c>
      <c r="H830" s="1">
        <v>45870</v>
      </c>
      <c r="I830">
        <v>18754354</v>
      </c>
      <c r="J830" t="s">
        <v>32</v>
      </c>
      <c r="K830" t="s">
        <v>405</v>
      </c>
      <c r="L830">
        <v>182.5</v>
      </c>
      <c r="M830">
        <v>130.41999999999999</v>
      </c>
      <c r="N830" t="s">
        <v>2720</v>
      </c>
      <c r="O830" t="s">
        <v>2731</v>
      </c>
      <c r="P830" t="s">
        <v>4052</v>
      </c>
      <c r="Q830">
        <f>313/12*5</f>
        <v>130.41666666666666</v>
      </c>
    </row>
  </sheetData>
  <sortState xmlns:xlrd2="http://schemas.microsoft.com/office/spreadsheetml/2017/richdata2" ref="A2:S830">
    <sortCondition ref="N2:N83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B250C-5DDC-43ED-ABC4-1C0F1DD3FB2A}">
  <dimension ref="A1:D829"/>
  <sheetViews>
    <sheetView topLeftCell="A790" workbookViewId="0">
      <selection activeCell="D1" sqref="D1:D829"/>
    </sheetView>
  </sheetViews>
  <sheetFormatPr defaultRowHeight="15" x14ac:dyDescent="0.25"/>
  <cols>
    <col min="1" max="1" width="56.42578125" bestFit="1" customWidth="1"/>
    <col min="4" max="4" width="17" bestFit="1" customWidth="1"/>
  </cols>
  <sheetData>
    <row r="1" spans="1:4" x14ac:dyDescent="0.25">
      <c r="A1" t="s">
        <v>2733</v>
      </c>
      <c r="B1" t="s">
        <v>2734</v>
      </c>
      <c r="C1" t="s">
        <v>2735</v>
      </c>
      <c r="D1" t="str">
        <f>CONCATENATE(C1, " ",A1)</f>
        <v>KEVIN CORTRIGHT</v>
      </c>
    </row>
    <row r="2" spans="1:4" x14ac:dyDescent="0.25">
      <c r="A2" t="s">
        <v>2736</v>
      </c>
      <c r="B2" t="s">
        <v>2737</v>
      </c>
      <c r="C2" t="s">
        <v>2738</v>
      </c>
      <c r="D2" t="str">
        <f t="shared" ref="D2:D65" si="0">CONCATENATE(C2, " ",A2)</f>
        <v>BANK JANI</v>
      </c>
    </row>
    <row r="3" spans="1:4" x14ac:dyDescent="0.25">
      <c r="A3" t="s">
        <v>2739</v>
      </c>
      <c r="B3" t="s">
        <v>2740</v>
      </c>
      <c r="C3" t="s">
        <v>2741</v>
      </c>
      <c r="D3" t="str">
        <f t="shared" si="0"/>
        <v>JEFFREY ALLISON</v>
      </c>
    </row>
    <row r="4" spans="1:4" x14ac:dyDescent="0.25">
      <c r="A4" t="s">
        <v>2742</v>
      </c>
      <c r="B4" t="s">
        <v>2743</v>
      </c>
      <c r="C4" t="s">
        <v>2744</v>
      </c>
      <c r="D4" t="str">
        <f t="shared" si="0"/>
        <v>GARY AMES</v>
      </c>
    </row>
    <row r="5" spans="1:4" x14ac:dyDescent="0.25">
      <c r="A5" t="s">
        <v>2745</v>
      </c>
      <c r="B5" t="s">
        <v>2743</v>
      </c>
      <c r="C5" t="s">
        <v>2746</v>
      </c>
      <c r="D5" t="str">
        <f t="shared" si="0"/>
        <v>SANDRA ANDERSON</v>
      </c>
    </row>
    <row r="6" spans="1:4" x14ac:dyDescent="0.25">
      <c r="A6" t="s">
        <v>2747</v>
      </c>
      <c r="B6" t="s">
        <v>2748</v>
      </c>
      <c r="C6" t="s">
        <v>2749</v>
      </c>
      <c r="D6" t="str">
        <f t="shared" si="0"/>
        <v>MARY ARELT</v>
      </c>
    </row>
    <row r="7" spans="1:4" x14ac:dyDescent="0.25">
      <c r="A7" t="s">
        <v>2750</v>
      </c>
      <c r="B7" t="s">
        <v>2751</v>
      </c>
      <c r="C7" t="s">
        <v>2752</v>
      </c>
      <c r="D7" t="str">
        <f t="shared" si="0"/>
        <v>TERRE BAKER</v>
      </c>
    </row>
    <row r="8" spans="1:4" x14ac:dyDescent="0.25">
      <c r="A8" t="s">
        <v>2753</v>
      </c>
      <c r="B8" t="s">
        <v>2754</v>
      </c>
      <c r="C8" t="s">
        <v>2755</v>
      </c>
      <c r="D8" t="str">
        <f t="shared" si="0"/>
        <v>CHRISTI BARBER</v>
      </c>
    </row>
    <row r="9" spans="1:4" x14ac:dyDescent="0.25">
      <c r="A9" t="s">
        <v>2756</v>
      </c>
      <c r="B9" t="s">
        <v>2751</v>
      </c>
      <c r="C9" t="s">
        <v>2757</v>
      </c>
      <c r="D9" t="str">
        <f t="shared" si="0"/>
        <v>EDWARD BELCHER</v>
      </c>
    </row>
    <row r="10" spans="1:4" x14ac:dyDescent="0.25">
      <c r="A10" t="s">
        <v>2758</v>
      </c>
      <c r="B10" t="s">
        <v>2751</v>
      </c>
      <c r="C10" t="s">
        <v>2759</v>
      </c>
      <c r="D10" t="str">
        <f t="shared" si="0"/>
        <v>SUSAN BLESSINGTON</v>
      </c>
    </row>
    <row r="11" spans="1:4" x14ac:dyDescent="0.25">
      <c r="A11" t="s">
        <v>2760</v>
      </c>
      <c r="B11" t="s">
        <v>2761</v>
      </c>
      <c r="C11" t="s">
        <v>2762</v>
      </c>
      <c r="D11" t="str">
        <f t="shared" si="0"/>
        <v>THOMAS BOTT</v>
      </c>
    </row>
    <row r="12" spans="1:4" x14ac:dyDescent="0.25">
      <c r="A12" t="s">
        <v>2763</v>
      </c>
      <c r="B12" t="s">
        <v>2764</v>
      </c>
      <c r="C12" t="s">
        <v>2765</v>
      </c>
      <c r="D12" t="str">
        <f t="shared" si="0"/>
        <v>JOHN BRADLEY</v>
      </c>
    </row>
    <row r="13" spans="1:4" x14ac:dyDescent="0.25">
      <c r="A13" t="s">
        <v>2763</v>
      </c>
      <c r="B13" t="s">
        <v>2766</v>
      </c>
      <c r="C13" t="s">
        <v>2767</v>
      </c>
      <c r="D13" t="str">
        <f t="shared" si="0"/>
        <v>TARA BRADLEY</v>
      </c>
    </row>
    <row r="14" spans="1:4" x14ac:dyDescent="0.25">
      <c r="A14" t="s">
        <v>2768</v>
      </c>
      <c r="B14" t="s">
        <v>2769</v>
      </c>
      <c r="C14" t="s">
        <v>2770</v>
      </c>
      <c r="D14" t="str">
        <f t="shared" si="0"/>
        <v>NANCY CLARK</v>
      </c>
    </row>
    <row r="15" spans="1:4" x14ac:dyDescent="0.25">
      <c r="A15" t="s">
        <v>2771</v>
      </c>
      <c r="B15" t="s">
        <v>2761</v>
      </c>
      <c r="C15" t="s">
        <v>2772</v>
      </c>
      <c r="D15" t="str">
        <f t="shared" si="0"/>
        <v>SCOTT CONBOY</v>
      </c>
    </row>
    <row r="16" spans="1:4" x14ac:dyDescent="0.25">
      <c r="A16" t="s">
        <v>2773</v>
      </c>
      <c r="C16" t="s">
        <v>2774</v>
      </c>
      <c r="D16" t="str">
        <f t="shared" si="0"/>
        <v>LISA CONNERS</v>
      </c>
    </row>
    <row r="17" spans="1:4" x14ac:dyDescent="0.25">
      <c r="A17" t="s">
        <v>2775</v>
      </c>
      <c r="B17" t="s">
        <v>2776</v>
      </c>
      <c r="C17" t="s">
        <v>2777</v>
      </c>
      <c r="D17" t="str">
        <f t="shared" si="0"/>
        <v>FRANCIS CORBETT</v>
      </c>
    </row>
    <row r="18" spans="1:4" x14ac:dyDescent="0.25">
      <c r="A18" t="s">
        <v>2778</v>
      </c>
      <c r="B18" t="s">
        <v>2754</v>
      </c>
      <c r="C18" t="s">
        <v>2779</v>
      </c>
      <c r="D18" t="str">
        <f t="shared" si="0"/>
        <v>JAMES DEWEY</v>
      </c>
    </row>
    <row r="19" spans="1:4" x14ac:dyDescent="0.25">
      <c r="A19" t="s">
        <v>2780</v>
      </c>
      <c r="B19" t="s">
        <v>2740</v>
      </c>
      <c r="C19" t="s">
        <v>2781</v>
      </c>
      <c r="D19" t="str">
        <f t="shared" si="0"/>
        <v>LORETTA DULSKI</v>
      </c>
    </row>
    <row r="20" spans="1:4" x14ac:dyDescent="0.25">
      <c r="A20" t="s">
        <v>2780</v>
      </c>
      <c r="B20" t="s">
        <v>2764</v>
      </c>
      <c r="C20" t="s">
        <v>2782</v>
      </c>
      <c r="D20" t="str">
        <f t="shared" si="0"/>
        <v>MEGAN DULSKI</v>
      </c>
    </row>
    <row r="21" spans="1:4" x14ac:dyDescent="0.25">
      <c r="A21" t="s">
        <v>2783</v>
      </c>
      <c r="B21" t="s">
        <v>2764</v>
      </c>
      <c r="C21" t="s">
        <v>2759</v>
      </c>
      <c r="D21" t="str">
        <f t="shared" si="0"/>
        <v>SUSAN DURSO</v>
      </c>
    </row>
    <row r="22" spans="1:4" x14ac:dyDescent="0.25">
      <c r="A22" t="s">
        <v>2784</v>
      </c>
      <c r="B22" t="s">
        <v>2754</v>
      </c>
      <c r="C22" t="s">
        <v>2785</v>
      </c>
      <c r="D22" t="str">
        <f t="shared" si="0"/>
        <v>PAUL EFFRIG</v>
      </c>
    </row>
    <row r="23" spans="1:4" x14ac:dyDescent="0.25">
      <c r="A23" t="s">
        <v>2786</v>
      </c>
      <c r="B23" t="s">
        <v>2743</v>
      </c>
      <c r="C23" t="s">
        <v>2770</v>
      </c>
      <c r="D23" t="str">
        <f t="shared" si="0"/>
        <v>NANCY EVANS</v>
      </c>
    </row>
    <row r="24" spans="1:4" x14ac:dyDescent="0.25">
      <c r="A24" t="s">
        <v>2787</v>
      </c>
      <c r="B24" t="s">
        <v>2751</v>
      </c>
      <c r="C24" t="s">
        <v>2788</v>
      </c>
      <c r="D24" t="str">
        <f t="shared" si="0"/>
        <v>MARGARET FROST</v>
      </c>
    </row>
    <row r="25" spans="1:4" x14ac:dyDescent="0.25">
      <c r="A25" t="s">
        <v>2789</v>
      </c>
      <c r="B25" t="s">
        <v>2764</v>
      </c>
      <c r="C25" t="s">
        <v>2790</v>
      </c>
      <c r="D25" t="str">
        <f t="shared" si="0"/>
        <v>DOROTHY GARDNER</v>
      </c>
    </row>
    <row r="26" spans="1:4" x14ac:dyDescent="0.25">
      <c r="A26" t="s">
        <v>2791</v>
      </c>
      <c r="B26" t="s">
        <v>2751</v>
      </c>
      <c r="C26" t="s">
        <v>2792</v>
      </c>
      <c r="D26" t="str">
        <f t="shared" si="0"/>
        <v>DARLENE GIBSON</v>
      </c>
    </row>
    <row r="27" spans="1:4" x14ac:dyDescent="0.25">
      <c r="A27" t="s">
        <v>2793</v>
      </c>
      <c r="B27" t="s">
        <v>2748</v>
      </c>
      <c r="C27" t="s">
        <v>2794</v>
      </c>
      <c r="D27" t="str">
        <f t="shared" si="0"/>
        <v>JAYNE GREEN</v>
      </c>
    </row>
    <row r="28" spans="1:4" x14ac:dyDescent="0.25">
      <c r="A28" t="s">
        <v>2795</v>
      </c>
      <c r="B28" t="s">
        <v>2776</v>
      </c>
      <c r="C28" t="s">
        <v>2796</v>
      </c>
      <c r="D28" t="str">
        <f t="shared" si="0"/>
        <v>WILLIAM HABERMAN</v>
      </c>
    </row>
    <row r="29" spans="1:4" x14ac:dyDescent="0.25">
      <c r="A29" t="s">
        <v>2797</v>
      </c>
      <c r="B29" t="s">
        <v>2751</v>
      </c>
      <c r="C29" t="s">
        <v>2798</v>
      </c>
      <c r="D29" t="str">
        <f t="shared" si="0"/>
        <v>ROSEMARY HORVWALT</v>
      </c>
    </row>
    <row r="30" spans="1:4" x14ac:dyDescent="0.25">
      <c r="A30" t="s">
        <v>2799</v>
      </c>
      <c r="B30" t="s">
        <v>2754</v>
      </c>
      <c r="C30" t="s">
        <v>2800</v>
      </c>
      <c r="D30" t="str">
        <f t="shared" si="0"/>
        <v>STEVEN HORWITZ</v>
      </c>
    </row>
    <row r="31" spans="1:4" x14ac:dyDescent="0.25">
      <c r="A31" t="s">
        <v>2765</v>
      </c>
      <c r="B31" t="s">
        <v>2761</v>
      </c>
      <c r="C31" t="s">
        <v>2801</v>
      </c>
      <c r="D31" t="str">
        <f t="shared" si="0"/>
        <v>KRIS JOHN</v>
      </c>
    </row>
    <row r="32" spans="1:4" x14ac:dyDescent="0.25">
      <c r="A32" t="s">
        <v>2802</v>
      </c>
      <c r="B32" t="s">
        <v>2754</v>
      </c>
      <c r="C32" t="s">
        <v>2803</v>
      </c>
      <c r="D32" t="str">
        <f t="shared" si="0"/>
        <v>BUSTER JONES</v>
      </c>
    </row>
    <row r="33" spans="1:4" x14ac:dyDescent="0.25">
      <c r="A33" t="s">
        <v>2804</v>
      </c>
      <c r="B33" t="s">
        <v>2805</v>
      </c>
      <c r="C33" t="s">
        <v>2735</v>
      </c>
      <c r="D33" t="str">
        <f t="shared" si="0"/>
        <v>KEVIN KELLY</v>
      </c>
    </row>
    <row r="34" spans="1:4" x14ac:dyDescent="0.25">
      <c r="A34" t="s">
        <v>2804</v>
      </c>
      <c r="B34" t="s">
        <v>2743</v>
      </c>
      <c r="C34" t="s">
        <v>2806</v>
      </c>
      <c r="D34" t="str">
        <f t="shared" si="0"/>
        <v>DIANA KELLY</v>
      </c>
    </row>
    <row r="35" spans="1:4" x14ac:dyDescent="0.25">
      <c r="A35" t="s">
        <v>2804</v>
      </c>
      <c r="C35" t="s">
        <v>2762</v>
      </c>
      <c r="D35" t="str">
        <f t="shared" si="0"/>
        <v>THOMAS KELLY</v>
      </c>
    </row>
    <row r="36" spans="1:4" x14ac:dyDescent="0.25">
      <c r="A36" t="s">
        <v>2807</v>
      </c>
      <c r="B36" t="s">
        <v>2769</v>
      </c>
      <c r="C36" t="s">
        <v>2808</v>
      </c>
      <c r="D36" t="str">
        <f t="shared" si="0"/>
        <v>WENDY KENDALL</v>
      </c>
    </row>
    <row r="37" spans="1:4" x14ac:dyDescent="0.25">
      <c r="A37" t="s">
        <v>2809</v>
      </c>
      <c r="B37" t="s">
        <v>2805</v>
      </c>
      <c r="C37" t="s">
        <v>2810</v>
      </c>
      <c r="D37" t="str">
        <f t="shared" si="0"/>
        <v>BEVERLY KENNEDY</v>
      </c>
    </row>
    <row r="38" spans="1:4" x14ac:dyDescent="0.25">
      <c r="A38" t="s">
        <v>2809</v>
      </c>
      <c r="B38" t="s">
        <v>2743</v>
      </c>
      <c r="C38" t="s">
        <v>2811</v>
      </c>
      <c r="D38" t="str">
        <f t="shared" si="0"/>
        <v>GLEN KENNEDY</v>
      </c>
    </row>
    <row r="39" spans="1:4" x14ac:dyDescent="0.25">
      <c r="A39" t="s">
        <v>2812</v>
      </c>
      <c r="B39" t="s">
        <v>2813</v>
      </c>
      <c r="C39" t="s">
        <v>2779</v>
      </c>
      <c r="D39" t="str">
        <f t="shared" si="0"/>
        <v>JAMES KLINEFELTER</v>
      </c>
    </row>
    <row r="40" spans="1:4" x14ac:dyDescent="0.25">
      <c r="A40" t="s">
        <v>2812</v>
      </c>
      <c r="B40" t="s">
        <v>2764</v>
      </c>
      <c r="C40" t="s">
        <v>2749</v>
      </c>
      <c r="D40" t="str">
        <f t="shared" si="0"/>
        <v>MARY KLINEFELTER</v>
      </c>
    </row>
    <row r="41" spans="1:4" x14ac:dyDescent="0.25">
      <c r="A41" t="s">
        <v>2814</v>
      </c>
      <c r="B41" t="s">
        <v>2743</v>
      </c>
      <c r="C41" t="s">
        <v>2815</v>
      </c>
      <c r="D41" t="str">
        <f t="shared" si="0"/>
        <v>ALAN KOMM</v>
      </c>
    </row>
    <row r="42" spans="1:4" x14ac:dyDescent="0.25">
      <c r="A42" t="s">
        <v>2814</v>
      </c>
      <c r="B42" t="s">
        <v>2764</v>
      </c>
      <c r="C42" t="s">
        <v>2816</v>
      </c>
      <c r="D42" t="str">
        <f t="shared" si="0"/>
        <v>LINDA KOMM</v>
      </c>
    </row>
    <row r="43" spans="1:4" x14ac:dyDescent="0.25">
      <c r="A43" t="s">
        <v>2817</v>
      </c>
      <c r="B43" t="s">
        <v>2818</v>
      </c>
      <c r="C43" t="s">
        <v>2819</v>
      </c>
      <c r="D43" t="str">
        <f t="shared" si="0"/>
        <v>CHRISTINE KONTOMANOLI</v>
      </c>
    </row>
    <row r="44" spans="1:4" x14ac:dyDescent="0.25">
      <c r="A44" t="s">
        <v>2820</v>
      </c>
      <c r="B44" t="s">
        <v>2754</v>
      </c>
      <c r="C44" t="s">
        <v>2796</v>
      </c>
      <c r="D44" t="str">
        <f t="shared" si="0"/>
        <v>WILLIAM KROBOT</v>
      </c>
    </row>
    <row r="45" spans="1:4" x14ac:dyDescent="0.25">
      <c r="A45" t="s">
        <v>2821</v>
      </c>
      <c r="B45" t="s">
        <v>2764</v>
      </c>
      <c r="C45" t="s">
        <v>2822</v>
      </c>
      <c r="D45" t="str">
        <f t="shared" si="0"/>
        <v>LAWANDA LANE</v>
      </c>
    </row>
    <row r="46" spans="1:4" x14ac:dyDescent="0.25">
      <c r="A46" t="s">
        <v>2823</v>
      </c>
      <c r="B46" t="s">
        <v>2764</v>
      </c>
      <c r="C46" t="s">
        <v>2824</v>
      </c>
      <c r="D46" t="str">
        <f t="shared" si="0"/>
        <v>DENISE LIMMER</v>
      </c>
    </row>
    <row r="47" spans="1:4" x14ac:dyDescent="0.25">
      <c r="A47" t="s">
        <v>2823</v>
      </c>
      <c r="B47" t="s">
        <v>2769</v>
      </c>
      <c r="C47" t="s">
        <v>2825</v>
      </c>
      <c r="D47" t="str">
        <f t="shared" si="0"/>
        <v>KENNETH LIMMER</v>
      </c>
    </row>
    <row r="48" spans="1:4" x14ac:dyDescent="0.25">
      <c r="A48" t="s">
        <v>2826</v>
      </c>
      <c r="B48" t="s">
        <v>2827</v>
      </c>
      <c r="C48" t="s">
        <v>2762</v>
      </c>
      <c r="D48" t="str">
        <f t="shared" si="0"/>
        <v>THOMAS LINK</v>
      </c>
    </row>
    <row r="49" spans="1:4" x14ac:dyDescent="0.25">
      <c r="A49" t="s">
        <v>2828</v>
      </c>
      <c r="C49" t="s">
        <v>2829</v>
      </c>
      <c r="D49" t="str">
        <f t="shared" si="0"/>
        <v>CHARLENE MACAVAGE</v>
      </c>
    </row>
    <row r="50" spans="1:4" x14ac:dyDescent="0.25">
      <c r="A50" t="s">
        <v>2830</v>
      </c>
      <c r="B50" t="s">
        <v>2754</v>
      </c>
      <c r="C50" t="s">
        <v>2831</v>
      </c>
      <c r="D50" t="str">
        <f t="shared" si="0"/>
        <v>DENNIS MARTIN</v>
      </c>
    </row>
    <row r="51" spans="1:4" x14ac:dyDescent="0.25">
      <c r="A51" t="s">
        <v>2832</v>
      </c>
      <c r="B51" t="s">
        <v>2805</v>
      </c>
      <c r="C51" t="s">
        <v>2833</v>
      </c>
      <c r="D51" t="str">
        <f t="shared" si="0"/>
        <v>DONNA MAZZA</v>
      </c>
    </row>
    <row r="52" spans="1:4" x14ac:dyDescent="0.25">
      <c r="A52" t="s">
        <v>2834</v>
      </c>
      <c r="B52" t="s">
        <v>2751</v>
      </c>
      <c r="C52" t="s">
        <v>2835</v>
      </c>
      <c r="D52" t="str">
        <f t="shared" si="0"/>
        <v>LEA MAZZETTI</v>
      </c>
    </row>
    <row r="53" spans="1:4" x14ac:dyDescent="0.25">
      <c r="A53" t="s">
        <v>2836</v>
      </c>
      <c r="B53" t="s">
        <v>2743</v>
      </c>
      <c r="C53" t="s">
        <v>2837</v>
      </c>
      <c r="D53" t="str">
        <f t="shared" si="0"/>
        <v>JANET MCLELLAN</v>
      </c>
    </row>
    <row r="54" spans="1:4" x14ac:dyDescent="0.25">
      <c r="A54" t="s">
        <v>2838</v>
      </c>
      <c r="B54" t="s">
        <v>2776</v>
      </c>
      <c r="C54" t="s">
        <v>2839</v>
      </c>
      <c r="D54" t="str">
        <f t="shared" si="0"/>
        <v>DAVID MICHLER</v>
      </c>
    </row>
    <row r="55" spans="1:4" x14ac:dyDescent="0.25">
      <c r="A55" t="s">
        <v>2840</v>
      </c>
      <c r="B55" t="s">
        <v>2761</v>
      </c>
      <c r="C55" t="s">
        <v>2841</v>
      </c>
      <c r="D55" t="str">
        <f t="shared" si="0"/>
        <v>ROBERT MIDDLETON</v>
      </c>
    </row>
    <row r="56" spans="1:4" x14ac:dyDescent="0.25">
      <c r="A56" t="s">
        <v>2842</v>
      </c>
      <c r="B56" t="s">
        <v>2751</v>
      </c>
      <c r="C56" t="s">
        <v>2843</v>
      </c>
      <c r="D56" t="str">
        <f t="shared" si="0"/>
        <v>CATHY MORRIDA</v>
      </c>
    </row>
    <row r="57" spans="1:4" x14ac:dyDescent="0.25">
      <c r="A57" t="s">
        <v>2844</v>
      </c>
      <c r="B57" t="s">
        <v>2754</v>
      </c>
      <c r="C57" t="s">
        <v>2845</v>
      </c>
      <c r="D57" t="str">
        <f t="shared" si="0"/>
        <v>RICHARD NEY</v>
      </c>
    </row>
    <row r="58" spans="1:4" x14ac:dyDescent="0.25">
      <c r="A58" t="s">
        <v>2846</v>
      </c>
      <c r="B58" t="s">
        <v>2751</v>
      </c>
      <c r="C58" t="s">
        <v>2765</v>
      </c>
      <c r="D58" t="str">
        <f t="shared" si="0"/>
        <v>JOHN PAPSO</v>
      </c>
    </row>
    <row r="59" spans="1:4" x14ac:dyDescent="0.25">
      <c r="A59" t="s">
        <v>2847</v>
      </c>
      <c r="B59" t="s">
        <v>2805</v>
      </c>
      <c r="C59" t="s">
        <v>2762</v>
      </c>
      <c r="D59" t="str">
        <f t="shared" si="0"/>
        <v>THOMAS PEARLINGI</v>
      </c>
    </row>
    <row r="60" spans="1:4" x14ac:dyDescent="0.25">
      <c r="A60" t="s">
        <v>2848</v>
      </c>
      <c r="B60" t="s">
        <v>2849</v>
      </c>
      <c r="C60" t="s">
        <v>2841</v>
      </c>
      <c r="D60" t="str">
        <f t="shared" si="0"/>
        <v>ROBERT PETERS</v>
      </c>
    </row>
    <row r="61" spans="1:4" x14ac:dyDescent="0.25">
      <c r="A61" t="s">
        <v>2850</v>
      </c>
      <c r="B61" t="s">
        <v>2805</v>
      </c>
      <c r="C61" t="s">
        <v>2851</v>
      </c>
      <c r="D61" t="str">
        <f t="shared" si="0"/>
        <v>TIMOTHY PETERSON</v>
      </c>
    </row>
    <row r="62" spans="1:4" x14ac:dyDescent="0.25">
      <c r="A62" t="s">
        <v>2852</v>
      </c>
      <c r="B62" t="s">
        <v>2805</v>
      </c>
      <c r="C62" t="s">
        <v>2853</v>
      </c>
      <c r="D62" t="str">
        <f t="shared" si="0"/>
        <v>CAROL POLITE</v>
      </c>
    </row>
    <row r="63" spans="1:4" x14ac:dyDescent="0.25">
      <c r="A63" t="s">
        <v>2854</v>
      </c>
      <c r="C63" t="s">
        <v>2855</v>
      </c>
      <c r="D63" t="str">
        <f t="shared" si="0"/>
        <v>JACK PROTESTO</v>
      </c>
    </row>
    <row r="64" spans="1:4" x14ac:dyDescent="0.25">
      <c r="A64" t="s">
        <v>2856</v>
      </c>
      <c r="B64" t="s">
        <v>2849</v>
      </c>
      <c r="C64" t="s">
        <v>2857</v>
      </c>
      <c r="D64" t="str">
        <f t="shared" si="0"/>
        <v>FRANK RAY</v>
      </c>
    </row>
    <row r="65" spans="1:4" x14ac:dyDescent="0.25">
      <c r="A65" t="s">
        <v>2858</v>
      </c>
      <c r="B65" t="s">
        <v>2743</v>
      </c>
      <c r="C65" t="s">
        <v>2859</v>
      </c>
      <c r="D65" t="str">
        <f t="shared" si="0"/>
        <v>SARA ROBISON</v>
      </c>
    </row>
    <row r="66" spans="1:4" x14ac:dyDescent="0.25">
      <c r="A66" t="s">
        <v>2860</v>
      </c>
      <c r="B66" t="s">
        <v>2751</v>
      </c>
      <c r="C66" t="s">
        <v>2861</v>
      </c>
      <c r="D66" t="str">
        <f t="shared" ref="D66:D129" si="1">CONCATENATE(C66, " ",A66)</f>
        <v>KATHLEEN ROGALSKI</v>
      </c>
    </row>
    <row r="67" spans="1:4" x14ac:dyDescent="0.25">
      <c r="A67" t="s">
        <v>2862</v>
      </c>
      <c r="B67" t="s">
        <v>2737</v>
      </c>
      <c r="C67" t="s">
        <v>2863</v>
      </c>
      <c r="D67" t="str">
        <f t="shared" si="1"/>
        <v>CHRISTOPHER SAWYER</v>
      </c>
    </row>
    <row r="68" spans="1:4" x14ac:dyDescent="0.25">
      <c r="A68" t="s">
        <v>2864</v>
      </c>
      <c r="B68" t="s">
        <v>2751</v>
      </c>
      <c r="C68" t="s">
        <v>2865</v>
      </c>
      <c r="D68" t="str">
        <f t="shared" si="1"/>
        <v>MARK SHEFTIC</v>
      </c>
    </row>
    <row r="69" spans="1:4" x14ac:dyDescent="0.25">
      <c r="A69" t="s">
        <v>2866</v>
      </c>
      <c r="C69" t="s">
        <v>2779</v>
      </c>
      <c r="D69" t="str">
        <f t="shared" si="1"/>
        <v>JAMES SIEGFRIED</v>
      </c>
    </row>
    <row r="70" spans="1:4" x14ac:dyDescent="0.25">
      <c r="A70" t="s">
        <v>2867</v>
      </c>
      <c r="B70" t="s">
        <v>2754</v>
      </c>
      <c r="C70" t="s">
        <v>2779</v>
      </c>
      <c r="D70" t="str">
        <f t="shared" si="1"/>
        <v>JAMES SLANEY</v>
      </c>
    </row>
    <row r="71" spans="1:4" x14ac:dyDescent="0.25">
      <c r="A71" t="s">
        <v>2868</v>
      </c>
      <c r="B71" t="s">
        <v>2751</v>
      </c>
      <c r="C71" t="s">
        <v>2869</v>
      </c>
      <c r="D71" t="str">
        <f t="shared" si="1"/>
        <v>SONIA STEIN</v>
      </c>
    </row>
    <row r="72" spans="1:4" x14ac:dyDescent="0.25">
      <c r="A72" t="s">
        <v>2870</v>
      </c>
      <c r="B72" t="s">
        <v>2751</v>
      </c>
      <c r="C72" t="s">
        <v>2865</v>
      </c>
      <c r="D72" t="str">
        <f t="shared" si="1"/>
        <v>MARK STEPHENS</v>
      </c>
    </row>
    <row r="73" spans="1:4" x14ac:dyDescent="0.25">
      <c r="A73" t="s">
        <v>2871</v>
      </c>
      <c r="B73" t="s">
        <v>2761</v>
      </c>
      <c r="C73" t="s">
        <v>2872</v>
      </c>
      <c r="D73" t="str">
        <f t="shared" si="1"/>
        <v>KIM STEWART</v>
      </c>
    </row>
    <row r="74" spans="1:4" x14ac:dyDescent="0.25">
      <c r="A74" t="s">
        <v>2871</v>
      </c>
      <c r="B74" t="s">
        <v>2818</v>
      </c>
      <c r="C74" t="s">
        <v>2873</v>
      </c>
      <c r="D74" t="str">
        <f t="shared" si="1"/>
        <v>REGIS STEWART</v>
      </c>
    </row>
    <row r="75" spans="1:4" x14ac:dyDescent="0.25">
      <c r="A75" t="s">
        <v>2871</v>
      </c>
      <c r="C75" t="s">
        <v>2874</v>
      </c>
      <c r="D75" t="str">
        <f t="shared" si="1"/>
        <v>MARCIA STEWART</v>
      </c>
    </row>
    <row r="76" spans="1:4" x14ac:dyDescent="0.25">
      <c r="A76" t="s">
        <v>2875</v>
      </c>
      <c r="B76" t="s">
        <v>2751</v>
      </c>
      <c r="C76" t="s">
        <v>2788</v>
      </c>
      <c r="D76" t="str">
        <f t="shared" si="1"/>
        <v>MARGARET SUTY</v>
      </c>
    </row>
    <row r="77" spans="1:4" x14ac:dyDescent="0.25">
      <c r="A77" t="s">
        <v>2876</v>
      </c>
      <c r="B77" t="s">
        <v>2805</v>
      </c>
      <c r="C77" t="s">
        <v>2877</v>
      </c>
      <c r="D77" t="str">
        <f t="shared" si="1"/>
        <v>DONALD SZYJKO</v>
      </c>
    </row>
    <row r="78" spans="1:4" x14ac:dyDescent="0.25">
      <c r="A78" t="s">
        <v>2878</v>
      </c>
      <c r="B78" t="s">
        <v>2761</v>
      </c>
      <c r="C78" t="s">
        <v>2863</v>
      </c>
      <c r="D78" t="str">
        <f t="shared" si="1"/>
        <v>CHRISTOPHER TALBOT</v>
      </c>
    </row>
    <row r="79" spans="1:4" x14ac:dyDescent="0.25">
      <c r="A79" t="s">
        <v>2879</v>
      </c>
      <c r="C79" t="s">
        <v>2880</v>
      </c>
      <c r="D79" t="str">
        <f t="shared" si="1"/>
        <v>JENNIFER TALOTTA</v>
      </c>
    </row>
    <row r="80" spans="1:4" x14ac:dyDescent="0.25">
      <c r="A80" t="s">
        <v>2881</v>
      </c>
      <c r="B80" t="s">
        <v>2805</v>
      </c>
      <c r="C80" t="s">
        <v>2882</v>
      </c>
      <c r="D80" t="str">
        <f t="shared" si="1"/>
        <v>KAREN TORRE</v>
      </c>
    </row>
    <row r="81" spans="1:4" x14ac:dyDescent="0.25">
      <c r="A81" t="s">
        <v>2883</v>
      </c>
      <c r="B81" t="s">
        <v>2884</v>
      </c>
      <c r="C81" t="s">
        <v>2749</v>
      </c>
      <c r="D81" t="str">
        <f t="shared" si="1"/>
        <v>MARY TOWNSEND</v>
      </c>
    </row>
    <row r="82" spans="1:4" x14ac:dyDescent="0.25">
      <c r="A82" t="s">
        <v>2885</v>
      </c>
      <c r="B82" t="s">
        <v>2751</v>
      </c>
      <c r="C82" t="s">
        <v>2886</v>
      </c>
      <c r="D82" t="str">
        <f t="shared" si="1"/>
        <v>SALLY TRAUTMAN</v>
      </c>
    </row>
    <row r="83" spans="1:4" x14ac:dyDescent="0.25">
      <c r="A83" t="s">
        <v>2887</v>
      </c>
      <c r="B83" t="s">
        <v>2805</v>
      </c>
      <c r="C83" t="s">
        <v>2845</v>
      </c>
      <c r="D83" t="str">
        <f t="shared" si="1"/>
        <v>RICHARD ZELENKO</v>
      </c>
    </row>
    <row r="84" spans="1:4" x14ac:dyDescent="0.25">
      <c r="A84" t="s">
        <v>2888</v>
      </c>
      <c r="B84" t="s">
        <v>2743</v>
      </c>
      <c r="C84" t="s">
        <v>2889</v>
      </c>
      <c r="D84" t="str">
        <f t="shared" si="1"/>
        <v>ANITA ADAMS</v>
      </c>
    </row>
    <row r="85" spans="1:4" x14ac:dyDescent="0.25">
      <c r="A85" t="s">
        <v>2890</v>
      </c>
      <c r="B85" t="s">
        <v>2813</v>
      </c>
      <c r="C85" t="s">
        <v>2891</v>
      </c>
      <c r="D85" t="str">
        <f t="shared" si="1"/>
        <v>MARTHA BEARDMORE</v>
      </c>
    </row>
    <row r="86" spans="1:4" x14ac:dyDescent="0.25">
      <c r="A86" t="s">
        <v>2892</v>
      </c>
      <c r="B86" t="s">
        <v>2751</v>
      </c>
      <c r="C86" t="s">
        <v>2893</v>
      </c>
      <c r="D86" t="str">
        <f t="shared" si="1"/>
        <v>LOIS BEGGS</v>
      </c>
    </row>
    <row r="87" spans="1:4" x14ac:dyDescent="0.25">
      <c r="A87" t="s">
        <v>2894</v>
      </c>
      <c r="B87" t="s">
        <v>2764</v>
      </c>
      <c r="C87" t="s">
        <v>2895</v>
      </c>
      <c r="D87" t="str">
        <f t="shared" si="1"/>
        <v>JOY BILAK</v>
      </c>
    </row>
    <row r="88" spans="1:4" x14ac:dyDescent="0.25">
      <c r="A88" t="s">
        <v>2758</v>
      </c>
      <c r="B88" t="s">
        <v>2896</v>
      </c>
      <c r="C88" t="s">
        <v>2779</v>
      </c>
      <c r="D88" t="str">
        <f t="shared" si="1"/>
        <v>JAMES BLESSINGTON</v>
      </c>
    </row>
    <row r="89" spans="1:4" x14ac:dyDescent="0.25">
      <c r="A89" t="s">
        <v>2897</v>
      </c>
      <c r="B89" t="s">
        <v>2751</v>
      </c>
      <c r="C89" t="s">
        <v>2765</v>
      </c>
      <c r="D89" t="str">
        <f t="shared" si="1"/>
        <v>JOHN BRENCHAK</v>
      </c>
    </row>
    <row r="90" spans="1:4" x14ac:dyDescent="0.25">
      <c r="A90" t="s">
        <v>2898</v>
      </c>
      <c r="B90" t="s">
        <v>2849</v>
      </c>
      <c r="C90" t="s">
        <v>2899</v>
      </c>
      <c r="D90" t="str">
        <f t="shared" si="1"/>
        <v>RONALD BURLEIGH</v>
      </c>
    </row>
    <row r="91" spans="1:4" x14ac:dyDescent="0.25">
      <c r="A91" t="s">
        <v>2900</v>
      </c>
      <c r="B91" t="s">
        <v>2805</v>
      </c>
      <c r="C91" t="s">
        <v>2901</v>
      </c>
      <c r="D91" t="str">
        <f t="shared" si="1"/>
        <v>DEBORAH CHILENSKY</v>
      </c>
    </row>
    <row r="92" spans="1:4" x14ac:dyDescent="0.25">
      <c r="A92" t="s">
        <v>2902</v>
      </c>
      <c r="C92" t="s">
        <v>2861</v>
      </c>
      <c r="D92" t="str">
        <f t="shared" si="1"/>
        <v>KATHLEEN COLBURN</v>
      </c>
    </row>
    <row r="93" spans="1:4" x14ac:dyDescent="0.25">
      <c r="A93" t="s">
        <v>2903</v>
      </c>
      <c r="B93" t="s">
        <v>2737</v>
      </c>
      <c r="C93" t="s">
        <v>2839</v>
      </c>
      <c r="D93" t="str">
        <f t="shared" si="1"/>
        <v>DAVID COURTNEY</v>
      </c>
    </row>
    <row r="94" spans="1:4" x14ac:dyDescent="0.25">
      <c r="A94" t="s">
        <v>2904</v>
      </c>
      <c r="C94" t="s">
        <v>2861</v>
      </c>
      <c r="D94" t="str">
        <f t="shared" si="1"/>
        <v>KATHLEEN CRADDOCK</v>
      </c>
    </row>
    <row r="95" spans="1:4" x14ac:dyDescent="0.25">
      <c r="A95" t="s">
        <v>2905</v>
      </c>
      <c r="B95" t="s">
        <v>2751</v>
      </c>
      <c r="C95" t="s">
        <v>2906</v>
      </c>
      <c r="D95" t="str">
        <f t="shared" si="1"/>
        <v>CYNTHIA FEESER</v>
      </c>
    </row>
    <row r="96" spans="1:4" x14ac:dyDescent="0.25">
      <c r="A96" t="s">
        <v>2907</v>
      </c>
      <c r="B96" t="s">
        <v>2743</v>
      </c>
      <c r="C96" t="s">
        <v>2746</v>
      </c>
      <c r="D96" t="str">
        <f t="shared" si="1"/>
        <v>SANDRA FODSE</v>
      </c>
    </row>
    <row r="97" spans="1:4" x14ac:dyDescent="0.25">
      <c r="A97" t="s">
        <v>2908</v>
      </c>
      <c r="C97" t="s">
        <v>2909</v>
      </c>
      <c r="D97" t="str">
        <f t="shared" si="1"/>
        <v>THERESA GREENNAGH</v>
      </c>
    </row>
    <row r="98" spans="1:4" x14ac:dyDescent="0.25">
      <c r="A98" t="s">
        <v>2910</v>
      </c>
      <c r="B98" t="s">
        <v>2743</v>
      </c>
      <c r="C98" t="s">
        <v>2911</v>
      </c>
      <c r="D98" t="str">
        <f t="shared" si="1"/>
        <v>PHYLLIS HOWARD</v>
      </c>
    </row>
    <row r="99" spans="1:4" x14ac:dyDescent="0.25">
      <c r="A99" t="s">
        <v>2912</v>
      </c>
      <c r="B99" t="s">
        <v>2751</v>
      </c>
      <c r="C99" t="s">
        <v>2779</v>
      </c>
      <c r="D99" t="str">
        <f t="shared" si="1"/>
        <v>JAMES HUCKER</v>
      </c>
    </row>
    <row r="100" spans="1:4" x14ac:dyDescent="0.25">
      <c r="A100" t="s">
        <v>2913</v>
      </c>
      <c r="B100" t="s">
        <v>2914</v>
      </c>
      <c r="C100" t="s">
        <v>2915</v>
      </c>
      <c r="D100" t="str">
        <f t="shared" si="1"/>
        <v>LAURIE HURWITZ</v>
      </c>
    </row>
    <row r="101" spans="1:4" x14ac:dyDescent="0.25">
      <c r="A101" t="s">
        <v>2916</v>
      </c>
      <c r="B101" t="s">
        <v>2805</v>
      </c>
      <c r="C101" t="s">
        <v>2770</v>
      </c>
      <c r="D101" t="str">
        <f t="shared" si="1"/>
        <v>NANCY JOHNSON</v>
      </c>
    </row>
    <row r="102" spans="1:4" x14ac:dyDescent="0.25">
      <c r="A102" t="s">
        <v>2917</v>
      </c>
      <c r="B102" t="s">
        <v>2761</v>
      </c>
      <c r="C102" t="s">
        <v>2865</v>
      </c>
      <c r="D102" t="str">
        <f t="shared" si="1"/>
        <v>MARK KESSLER</v>
      </c>
    </row>
    <row r="103" spans="1:4" x14ac:dyDescent="0.25">
      <c r="A103" t="s">
        <v>2918</v>
      </c>
      <c r="B103" t="s">
        <v>2818</v>
      </c>
      <c r="C103" t="s">
        <v>2919</v>
      </c>
      <c r="D103" t="str">
        <f t="shared" si="1"/>
        <v>BEEBEE KHODABUKUS</v>
      </c>
    </row>
    <row r="104" spans="1:4" x14ac:dyDescent="0.25">
      <c r="A104" t="s">
        <v>2920</v>
      </c>
      <c r="B104" t="s">
        <v>2751</v>
      </c>
      <c r="C104" t="s">
        <v>2921</v>
      </c>
      <c r="D104" t="str">
        <f t="shared" si="1"/>
        <v>JOSEPH KOLODZIEJCZYK</v>
      </c>
    </row>
    <row r="105" spans="1:4" x14ac:dyDescent="0.25">
      <c r="A105" t="s">
        <v>2922</v>
      </c>
      <c r="B105" t="s">
        <v>2751</v>
      </c>
      <c r="C105" t="s">
        <v>2923</v>
      </c>
      <c r="D105" t="str">
        <f t="shared" si="1"/>
        <v>PATRICIA KRAUSE</v>
      </c>
    </row>
    <row r="106" spans="1:4" x14ac:dyDescent="0.25">
      <c r="A106" t="s">
        <v>2922</v>
      </c>
      <c r="B106" t="s">
        <v>2813</v>
      </c>
      <c r="C106" t="s">
        <v>2741</v>
      </c>
      <c r="D106" t="str">
        <f t="shared" si="1"/>
        <v>JEFFREY KRAUSE</v>
      </c>
    </row>
    <row r="107" spans="1:4" x14ac:dyDescent="0.25">
      <c r="A107" t="s">
        <v>2924</v>
      </c>
      <c r="C107" t="s">
        <v>2925</v>
      </c>
      <c r="D107" t="str">
        <f t="shared" si="1"/>
        <v>ELIZABE LIEBERT</v>
      </c>
    </row>
    <row r="108" spans="1:4" x14ac:dyDescent="0.25">
      <c r="A108" t="s">
        <v>2924</v>
      </c>
      <c r="C108" t="s">
        <v>2845</v>
      </c>
      <c r="D108" t="str">
        <f t="shared" si="1"/>
        <v>RICHARD LIEBERT</v>
      </c>
    </row>
    <row r="109" spans="1:4" x14ac:dyDescent="0.25">
      <c r="A109" t="s">
        <v>2826</v>
      </c>
      <c r="B109" t="s">
        <v>2743</v>
      </c>
      <c r="C109" t="s">
        <v>2926</v>
      </c>
      <c r="D109" t="str">
        <f t="shared" si="1"/>
        <v>SHARON LINK</v>
      </c>
    </row>
    <row r="110" spans="1:4" x14ac:dyDescent="0.25">
      <c r="A110" t="s">
        <v>2927</v>
      </c>
      <c r="B110" t="s">
        <v>2928</v>
      </c>
      <c r="C110" t="s">
        <v>2929</v>
      </c>
      <c r="D110" t="str">
        <f t="shared" si="1"/>
        <v>NORINE LISCHY</v>
      </c>
    </row>
    <row r="111" spans="1:4" x14ac:dyDescent="0.25">
      <c r="A111" t="s">
        <v>2930</v>
      </c>
      <c r="B111" t="s">
        <v>2743</v>
      </c>
      <c r="C111" t="s">
        <v>2833</v>
      </c>
      <c r="D111" t="str">
        <f t="shared" si="1"/>
        <v>DONNA LUPI</v>
      </c>
    </row>
    <row r="112" spans="1:4" x14ac:dyDescent="0.25">
      <c r="A112" t="s">
        <v>2931</v>
      </c>
      <c r="B112" t="s">
        <v>2764</v>
      </c>
      <c r="C112" t="s">
        <v>2932</v>
      </c>
      <c r="D112" t="str">
        <f t="shared" si="1"/>
        <v>TINA LYNCH</v>
      </c>
    </row>
    <row r="113" spans="1:4" x14ac:dyDescent="0.25">
      <c r="A113" t="s">
        <v>2933</v>
      </c>
      <c r="C113" t="s">
        <v>2779</v>
      </c>
      <c r="D113" t="str">
        <f t="shared" si="1"/>
        <v>JAMES MALLON</v>
      </c>
    </row>
    <row r="114" spans="1:4" x14ac:dyDescent="0.25">
      <c r="A114" t="s">
        <v>2934</v>
      </c>
      <c r="B114" t="s">
        <v>2751</v>
      </c>
      <c r="C114" t="s">
        <v>2935</v>
      </c>
      <c r="D114" t="str">
        <f t="shared" si="1"/>
        <v>REBECCA MANKO</v>
      </c>
    </row>
    <row r="115" spans="1:4" x14ac:dyDescent="0.25">
      <c r="A115" t="s">
        <v>2936</v>
      </c>
      <c r="B115" t="s">
        <v>2805</v>
      </c>
      <c r="C115" t="s">
        <v>2937</v>
      </c>
      <c r="D115" t="str">
        <f t="shared" si="1"/>
        <v>VICTOR MASTANDREA</v>
      </c>
    </row>
    <row r="116" spans="1:4" x14ac:dyDescent="0.25">
      <c r="A116" t="s">
        <v>2838</v>
      </c>
      <c r="C116" t="s">
        <v>2938</v>
      </c>
      <c r="D116" t="str">
        <f t="shared" si="1"/>
        <v>RUTH MICHLER</v>
      </c>
    </row>
    <row r="117" spans="1:4" x14ac:dyDescent="0.25">
      <c r="A117" t="s">
        <v>2939</v>
      </c>
      <c r="B117" t="s">
        <v>2805</v>
      </c>
      <c r="C117" t="s">
        <v>2926</v>
      </c>
      <c r="D117" t="str">
        <f t="shared" si="1"/>
        <v>SHARON MIHALEK</v>
      </c>
    </row>
    <row r="118" spans="1:4" x14ac:dyDescent="0.25">
      <c r="A118" t="s">
        <v>2940</v>
      </c>
      <c r="B118" t="s">
        <v>2827</v>
      </c>
      <c r="C118" t="s">
        <v>2901</v>
      </c>
      <c r="D118" t="str">
        <f t="shared" si="1"/>
        <v>DEBORAH MIHALKO</v>
      </c>
    </row>
    <row r="119" spans="1:4" x14ac:dyDescent="0.25">
      <c r="A119" t="s">
        <v>2941</v>
      </c>
      <c r="B119" t="s">
        <v>2849</v>
      </c>
      <c r="C119" t="s">
        <v>2779</v>
      </c>
      <c r="D119" t="str">
        <f t="shared" si="1"/>
        <v>JAMES MISSENDA</v>
      </c>
    </row>
    <row r="120" spans="1:4" x14ac:dyDescent="0.25">
      <c r="A120" t="s">
        <v>2942</v>
      </c>
      <c r="B120" t="s">
        <v>2737</v>
      </c>
      <c r="C120" t="s">
        <v>2943</v>
      </c>
      <c r="D120" t="str">
        <f t="shared" si="1"/>
        <v>MARCELO MURILLO</v>
      </c>
    </row>
    <row r="121" spans="1:4" x14ac:dyDescent="0.25">
      <c r="A121" t="s">
        <v>2944</v>
      </c>
      <c r="B121" t="s">
        <v>2896</v>
      </c>
      <c r="C121" t="s">
        <v>2945</v>
      </c>
      <c r="D121" t="str">
        <f t="shared" si="1"/>
        <v>POLLY NEISER</v>
      </c>
    </row>
    <row r="122" spans="1:4" x14ac:dyDescent="0.25">
      <c r="A122" t="s">
        <v>2946</v>
      </c>
      <c r="C122" t="s">
        <v>2947</v>
      </c>
      <c r="D122" t="str">
        <f t="shared" si="1"/>
        <v>JUDITH PEAVORNICK</v>
      </c>
    </row>
    <row r="123" spans="1:4" x14ac:dyDescent="0.25">
      <c r="A123" t="s">
        <v>2948</v>
      </c>
      <c r="B123" t="s">
        <v>2751</v>
      </c>
      <c r="C123" t="s">
        <v>2901</v>
      </c>
      <c r="D123" t="str">
        <f t="shared" si="1"/>
        <v>DEBORAH PEGHER</v>
      </c>
    </row>
    <row r="124" spans="1:4" x14ac:dyDescent="0.25">
      <c r="A124" t="s">
        <v>2949</v>
      </c>
      <c r="B124" t="s">
        <v>2769</v>
      </c>
      <c r="C124" t="s">
        <v>2741</v>
      </c>
      <c r="D124" t="str">
        <f t="shared" si="1"/>
        <v>JEFFREY PEIFFER</v>
      </c>
    </row>
    <row r="125" spans="1:4" x14ac:dyDescent="0.25">
      <c r="A125" t="s">
        <v>2950</v>
      </c>
      <c r="B125" t="s">
        <v>2764</v>
      </c>
      <c r="C125" t="s">
        <v>2951</v>
      </c>
      <c r="D125" t="str">
        <f t="shared" si="1"/>
        <v>PETER PRIBILA</v>
      </c>
    </row>
    <row r="126" spans="1:4" x14ac:dyDescent="0.25">
      <c r="A126" t="s">
        <v>2952</v>
      </c>
      <c r="B126" t="s">
        <v>2805</v>
      </c>
      <c r="C126" t="s">
        <v>2953</v>
      </c>
      <c r="D126" t="str">
        <f t="shared" si="1"/>
        <v>VICTORIA PRIGG</v>
      </c>
    </row>
    <row r="127" spans="1:4" x14ac:dyDescent="0.25">
      <c r="A127" t="s">
        <v>2954</v>
      </c>
      <c r="B127" t="s">
        <v>2751</v>
      </c>
      <c r="C127" t="s">
        <v>2741</v>
      </c>
      <c r="D127" t="str">
        <f t="shared" si="1"/>
        <v>JEFFREY RAGAZZINI</v>
      </c>
    </row>
    <row r="128" spans="1:4" x14ac:dyDescent="0.25">
      <c r="A128" t="s">
        <v>2955</v>
      </c>
      <c r="B128" t="s">
        <v>2813</v>
      </c>
      <c r="C128" t="s">
        <v>2877</v>
      </c>
      <c r="D128" t="str">
        <f t="shared" si="1"/>
        <v>DONALD ROBINSON</v>
      </c>
    </row>
    <row r="129" spans="1:4" x14ac:dyDescent="0.25">
      <c r="A129" t="s">
        <v>2956</v>
      </c>
      <c r="B129" t="s">
        <v>2813</v>
      </c>
      <c r="C129" t="s">
        <v>2957</v>
      </c>
      <c r="D129" t="str">
        <f t="shared" si="1"/>
        <v>ANTHONY ROMEO</v>
      </c>
    </row>
    <row r="130" spans="1:4" x14ac:dyDescent="0.25">
      <c r="A130" t="s">
        <v>2958</v>
      </c>
      <c r="B130" t="s">
        <v>2896</v>
      </c>
      <c r="C130" t="s">
        <v>2749</v>
      </c>
      <c r="D130" t="str">
        <f t="shared" ref="D130:D193" si="2">CONCATENATE(C130, " ",A130)</f>
        <v>MARY RUCH</v>
      </c>
    </row>
    <row r="131" spans="1:4" x14ac:dyDescent="0.25">
      <c r="A131" t="s">
        <v>2959</v>
      </c>
      <c r="B131" t="s">
        <v>2764</v>
      </c>
      <c r="C131" t="s">
        <v>2926</v>
      </c>
      <c r="D131" t="str">
        <f t="shared" si="2"/>
        <v>SHARON SAMKO</v>
      </c>
    </row>
    <row r="132" spans="1:4" x14ac:dyDescent="0.25">
      <c r="A132" t="s">
        <v>2959</v>
      </c>
      <c r="B132" t="s">
        <v>2776</v>
      </c>
      <c r="C132" t="s">
        <v>2796</v>
      </c>
      <c r="D132" t="str">
        <f t="shared" si="2"/>
        <v>WILLIAM SAMKO</v>
      </c>
    </row>
    <row r="133" spans="1:4" x14ac:dyDescent="0.25">
      <c r="A133" t="s">
        <v>2870</v>
      </c>
      <c r="B133" t="s">
        <v>2818</v>
      </c>
      <c r="C133" t="s">
        <v>2893</v>
      </c>
      <c r="D133" t="str">
        <f t="shared" si="2"/>
        <v>LOIS STEPHENS</v>
      </c>
    </row>
    <row r="134" spans="1:4" x14ac:dyDescent="0.25">
      <c r="A134" t="s">
        <v>2960</v>
      </c>
      <c r="B134" t="s">
        <v>2827</v>
      </c>
      <c r="C134" t="s">
        <v>2961</v>
      </c>
      <c r="D134" t="str">
        <f t="shared" si="2"/>
        <v>BARBARA STOICA</v>
      </c>
    </row>
    <row r="135" spans="1:4" x14ac:dyDescent="0.25">
      <c r="A135" t="s">
        <v>2876</v>
      </c>
      <c r="B135" t="s">
        <v>2896</v>
      </c>
      <c r="C135" t="s">
        <v>2816</v>
      </c>
      <c r="D135" t="str">
        <f t="shared" si="2"/>
        <v>LINDA SZYJKO</v>
      </c>
    </row>
    <row r="136" spans="1:4" x14ac:dyDescent="0.25">
      <c r="A136" t="s">
        <v>2962</v>
      </c>
      <c r="B136" t="s">
        <v>2764</v>
      </c>
      <c r="C136" t="s">
        <v>2921</v>
      </c>
      <c r="D136" t="str">
        <f t="shared" si="2"/>
        <v>JOSEPH TAGUE</v>
      </c>
    </row>
    <row r="137" spans="1:4" x14ac:dyDescent="0.25">
      <c r="A137" t="s">
        <v>2963</v>
      </c>
      <c r="C137" t="s">
        <v>2861</v>
      </c>
      <c r="D137" t="str">
        <f t="shared" si="2"/>
        <v>KATHLEEN TENNYSON</v>
      </c>
    </row>
    <row r="138" spans="1:4" x14ac:dyDescent="0.25">
      <c r="A138" t="s">
        <v>2964</v>
      </c>
      <c r="B138" t="s">
        <v>2764</v>
      </c>
      <c r="C138" t="s">
        <v>2965</v>
      </c>
      <c r="D138" t="str">
        <f t="shared" si="2"/>
        <v>JARED VANETT</v>
      </c>
    </row>
    <row r="139" spans="1:4" x14ac:dyDescent="0.25">
      <c r="A139" t="s">
        <v>2966</v>
      </c>
      <c r="B139" t="s">
        <v>2743</v>
      </c>
      <c r="C139" t="s">
        <v>2841</v>
      </c>
      <c r="D139" t="str">
        <f t="shared" si="2"/>
        <v>ROBERT VINCENTI</v>
      </c>
    </row>
    <row r="140" spans="1:4" x14ac:dyDescent="0.25">
      <c r="A140" t="s">
        <v>2967</v>
      </c>
      <c r="B140" t="s">
        <v>2754</v>
      </c>
      <c r="C140" t="s">
        <v>2837</v>
      </c>
      <c r="D140" t="str">
        <f t="shared" si="2"/>
        <v>JANET WIKERT</v>
      </c>
    </row>
    <row r="141" spans="1:4" x14ac:dyDescent="0.25">
      <c r="A141" t="s">
        <v>2968</v>
      </c>
      <c r="B141" t="s">
        <v>2737</v>
      </c>
      <c r="C141" t="s">
        <v>2839</v>
      </c>
      <c r="D141" t="str">
        <f t="shared" si="2"/>
        <v>DAVID WOITASZEK</v>
      </c>
    </row>
    <row r="142" spans="1:4" x14ac:dyDescent="0.25">
      <c r="A142" t="s">
        <v>2969</v>
      </c>
      <c r="C142" t="s">
        <v>2970</v>
      </c>
      <c r="D142" t="str">
        <f t="shared" si="2"/>
        <v>CHARLES WOLNI</v>
      </c>
    </row>
    <row r="143" spans="1:4" x14ac:dyDescent="0.25">
      <c r="A143" t="s">
        <v>2971</v>
      </c>
      <c r="C143" t="s">
        <v>2972</v>
      </c>
      <c r="D143" t="str">
        <f t="shared" si="2"/>
        <v>HEMA WOODWARD</v>
      </c>
    </row>
    <row r="144" spans="1:4" x14ac:dyDescent="0.25">
      <c r="A144" t="s">
        <v>2973</v>
      </c>
      <c r="B144" t="s">
        <v>2751</v>
      </c>
      <c r="C144" t="s">
        <v>2974</v>
      </c>
      <c r="D144" t="str">
        <f t="shared" si="2"/>
        <v>MARIAN YUROSKY</v>
      </c>
    </row>
    <row r="145" spans="1:4" x14ac:dyDescent="0.25">
      <c r="A145" s="4" t="s">
        <v>2975</v>
      </c>
      <c r="B145" t="s">
        <v>2976</v>
      </c>
      <c r="C145" t="s">
        <v>2977</v>
      </c>
      <c r="D145" t="str">
        <f t="shared" si="2"/>
        <v>TODD PAYNTER</v>
      </c>
    </row>
    <row r="146" spans="1:4" x14ac:dyDescent="0.25">
      <c r="A146" s="4" t="s">
        <v>2975</v>
      </c>
      <c r="B146" t="s">
        <v>2976</v>
      </c>
      <c r="C146" t="s">
        <v>2977</v>
      </c>
      <c r="D146" t="str">
        <f t="shared" si="2"/>
        <v>TODD PAYNTER</v>
      </c>
    </row>
    <row r="147" spans="1:4" x14ac:dyDescent="0.25">
      <c r="A147" t="s">
        <v>2809</v>
      </c>
      <c r="B147" t="s">
        <v>2737</v>
      </c>
      <c r="C147" t="s">
        <v>2845</v>
      </c>
      <c r="D147" t="str">
        <f t="shared" si="2"/>
        <v>RICHARD KENNEDY</v>
      </c>
    </row>
    <row r="148" spans="1:4" x14ac:dyDescent="0.25">
      <c r="A148" t="s">
        <v>2978</v>
      </c>
      <c r="B148" t="s">
        <v>2740</v>
      </c>
      <c r="C148" t="s">
        <v>2759</v>
      </c>
      <c r="D148" t="str">
        <f t="shared" si="2"/>
        <v>SUSAN HOEPPNER</v>
      </c>
    </row>
    <row r="149" spans="1:4" x14ac:dyDescent="0.25">
      <c r="A149" t="s">
        <v>2750</v>
      </c>
      <c r="B149" t="s">
        <v>2743</v>
      </c>
      <c r="C149" t="s">
        <v>2744</v>
      </c>
      <c r="D149" t="str">
        <f t="shared" si="2"/>
        <v>GARY BAKER</v>
      </c>
    </row>
    <row r="150" spans="1:4" x14ac:dyDescent="0.25">
      <c r="A150" t="s">
        <v>2979</v>
      </c>
      <c r="C150" t="s">
        <v>2980</v>
      </c>
      <c r="D150" t="str">
        <f t="shared" si="2"/>
        <v>MICHAEL BERENDZEN</v>
      </c>
    </row>
    <row r="151" spans="1:4" x14ac:dyDescent="0.25">
      <c r="A151" t="s">
        <v>2981</v>
      </c>
      <c r="B151" t="s">
        <v>2751</v>
      </c>
      <c r="C151" t="s">
        <v>2749</v>
      </c>
      <c r="D151" t="str">
        <f t="shared" si="2"/>
        <v>MARY BERGER</v>
      </c>
    </row>
    <row r="152" spans="1:4" x14ac:dyDescent="0.25">
      <c r="A152" t="s">
        <v>2982</v>
      </c>
      <c r="B152" t="s">
        <v>2734</v>
      </c>
      <c r="C152" t="s">
        <v>2980</v>
      </c>
      <c r="D152" t="str">
        <f t="shared" si="2"/>
        <v>MICHAEL CARTER</v>
      </c>
    </row>
    <row r="153" spans="1:4" x14ac:dyDescent="0.25">
      <c r="A153" t="s">
        <v>2983</v>
      </c>
      <c r="B153" t="s">
        <v>2776</v>
      </c>
      <c r="C153" t="s">
        <v>2984</v>
      </c>
      <c r="D153" t="str">
        <f t="shared" si="2"/>
        <v>SUNANTA CHIANG</v>
      </c>
    </row>
    <row r="154" spans="1:4" x14ac:dyDescent="0.25">
      <c r="A154" t="s">
        <v>2985</v>
      </c>
      <c r="B154" t="s">
        <v>2849</v>
      </c>
      <c r="C154" t="s">
        <v>2986</v>
      </c>
      <c r="D154" t="str">
        <f t="shared" si="2"/>
        <v>ROGER CLAYTON</v>
      </c>
    </row>
    <row r="155" spans="1:4" x14ac:dyDescent="0.25">
      <c r="A155" t="s">
        <v>2987</v>
      </c>
      <c r="B155" t="s">
        <v>2805</v>
      </c>
      <c r="C155" t="s">
        <v>2735</v>
      </c>
      <c r="D155" t="str">
        <f t="shared" si="2"/>
        <v>KEVIN CLOUD</v>
      </c>
    </row>
    <row r="156" spans="1:4" x14ac:dyDescent="0.25">
      <c r="A156" t="s">
        <v>2988</v>
      </c>
      <c r="C156" t="s">
        <v>2839</v>
      </c>
      <c r="D156" t="str">
        <f t="shared" si="2"/>
        <v>DAVID COHEN</v>
      </c>
    </row>
    <row r="157" spans="1:4" x14ac:dyDescent="0.25">
      <c r="A157" t="s">
        <v>2988</v>
      </c>
      <c r="C157" t="s">
        <v>2989</v>
      </c>
      <c r="D157" t="str">
        <f t="shared" si="2"/>
        <v>RINA COHEN</v>
      </c>
    </row>
    <row r="158" spans="1:4" x14ac:dyDescent="0.25">
      <c r="A158" t="s">
        <v>2990</v>
      </c>
      <c r="B158" t="s">
        <v>2764</v>
      </c>
      <c r="C158" t="s">
        <v>2991</v>
      </c>
      <c r="D158" t="str">
        <f t="shared" si="2"/>
        <v>GREGORY COIA</v>
      </c>
    </row>
    <row r="159" spans="1:4" x14ac:dyDescent="0.25">
      <c r="A159" t="s">
        <v>2990</v>
      </c>
      <c r="B159" t="s">
        <v>2764</v>
      </c>
      <c r="C159" t="s">
        <v>2932</v>
      </c>
      <c r="D159" t="str">
        <f t="shared" si="2"/>
        <v>TINA COIA</v>
      </c>
    </row>
    <row r="160" spans="1:4" x14ac:dyDescent="0.25">
      <c r="A160" t="s">
        <v>2992</v>
      </c>
      <c r="B160" t="s">
        <v>2734</v>
      </c>
      <c r="C160" t="s">
        <v>2993</v>
      </c>
      <c r="D160" t="str">
        <f t="shared" si="2"/>
        <v>DOUGLAS DALEY</v>
      </c>
    </row>
    <row r="161" spans="1:4" x14ac:dyDescent="0.25">
      <c r="A161" t="s">
        <v>2994</v>
      </c>
      <c r="C161" t="s">
        <v>2995</v>
      </c>
      <c r="D161" t="str">
        <f t="shared" si="2"/>
        <v>JAYE DAVIS</v>
      </c>
    </row>
    <row r="162" spans="1:4" x14ac:dyDescent="0.25">
      <c r="A162" t="s">
        <v>2996</v>
      </c>
      <c r="B162" t="s">
        <v>2818</v>
      </c>
      <c r="C162" t="s">
        <v>2997</v>
      </c>
      <c r="D162" t="str">
        <f t="shared" si="2"/>
        <v>LYDIA EVERS</v>
      </c>
    </row>
    <row r="163" spans="1:4" x14ac:dyDescent="0.25">
      <c r="A163" t="s">
        <v>2998</v>
      </c>
      <c r="B163" t="s">
        <v>2743</v>
      </c>
      <c r="C163" t="s">
        <v>2980</v>
      </c>
      <c r="D163" t="str">
        <f t="shared" si="2"/>
        <v>MICHAEL FLOYD</v>
      </c>
    </row>
    <row r="164" spans="1:4" x14ac:dyDescent="0.25">
      <c r="A164" t="s">
        <v>2998</v>
      </c>
      <c r="B164" t="s">
        <v>2754</v>
      </c>
      <c r="C164" t="s">
        <v>2961</v>
      </c>
      <c r="D164" t="str">
        <f t="shared" si="2"/>
        <v>BARBARA FLOYD</v>
      </c>
    </row>
    <row r="165" spans="1:4" x14ac:dyDescent="0.25">
      <c r="A165" t="s">
        <v>2999</v>
      </c>
      <c r="B165" t="s">
        <v>2776</v>
      </c>
      <c r="C165" t="s">
        <v>3000</v>
      </c>
      <c r="D165" t="str">
        <f t="shared" si="2"/>
        <v>DANNY GOFF</v>
      </c>
    </row>
    <row r="166" spans="1:4" x14ac:dyDescent="0.25">
      <c r="A166" t="s">
        <v>3001</v>
      </c>
      <c r="B166" t="s">
        <v>2776</v>
      </c>
      <c r="C166" t="s">
        <v>3002</v>
      </c>
      <c r="D166" t="str">
        <f t="shared" si="2"/>
        <v>EUGENE GONZALEZ</v>
      </c>
    </row>
    <row r="167" spans="1:4" x14ac:dyDescent="0.25">
      <c r="A167" t="s">
        <v>3001</v>
      </c>
      <c r="C167" t="s">
        <v>3003</v>
      </c>
      <c r="D167" t="str">
        <f t="shared" si="2"/>
        <v>JESUS GONZALEZ</v>
      </c>
    </row>
    <row r="168" spans="1:4" x14ac:dyDescent="0.25">
      <c r="A168" t="s">
        <v>3004</v>
      </c>
      <c r="B168" t="s">
        <v>2813</v>
      </c>
      <c r="C168" t="s">
        <v>2980</v>
      </c>
      <c r="D168" t="str">
        <f t="shared" si="2"/>
        <v>MICHAEL GRIZZARD</v>
      </c>
    </row>
    <row r="169" spans="1:4" x14ac:dyDescent="0.25">
      <c r="A169" t="s">
        <v>3005</v>
      </c>
      <c r="C169" t="s">
        <v>3006</v>
      </c>
      <c r="D169" t="str">
        <f t="shared" si="2"/>
        <v>ROSA GUZMAN</v>
      </c>
    </row>
    <row r="170" spans="1:4" x14ac:dyDescent="0.25">
      <c r="A170" t="s">
        <v>3007</v>
      </c>
      <c r="B170" t="s">
        <v>2743</v>
      </c>
      <c r="C170" t="s">
        <v>3008</v>
      </c>
      <c r="D170" t="str">
        <f t="shared" si="2"/>
        <v>RANDAL HAKL</v>
      </c>
    </row>
    <row r="171" spans="1:4" x14ac:dyDescent="0.25">
      <c r="A171" t="s">
        <v>3009</v>
      </c>
      <c r="B171" t="s">
        <v>2761</v>
      </c>
      <c r="C171" t="s">
        <v>2921</v>
      </c>
      <c r="D171" t="str">
        <f t="shared" si="2"/>
        <v>JOSEPH HENNINGER</v>
      </c>
    </row>
    <row r="172" spans="1:4" x14ac:dyDescent="0.25">
      <c r="A172" t="s">
        <v>3010</v>
      </c>
      <c r="B172" t="s">
        <v>2896</v>
      </c>
      <c r="C172" t="s">
        <v>2816</v>
      </c>
      <c r="D172" t="str">
        <f t="shared" si="2"/>
        <v>LINDA HERRICK</v>
      </c>
    </row>
    <row r="173" spans="1:4" x14ac:dyDescent="0.25">
      <c r="A173" t="s">
        <v>3010</v>
      </c>
      <c r="B173" t="s">
        <v>2849</v>
      </c>
      <c r="C173" t="s">
        <v>2851</v>
      </c>
      <c r="D173" t="str">
        <f t="shared" si="2"/>
        <v>TIMOTHY HERRICK</v>
      </c>
    </row>
    <row r="174" spans="1:4" x14ac:dyDescent="0.25">
      <c r="A174" t="s">
        <v>2910</v>
      </c>
      <c r="B174" t="s">
        <v>2754</v>
      </c>
      <c r="C174" t="s">
        <v>3011</v>
      </c>
      <c r="D174" t="str">
        <f t="shared" si="2"/>
        <v>DARRELL HOWARD</v>
      </c>
    </row>
    <row r="175" spans="1:4" x14ac:dyDescent="0.25">
      <c r="A175" t="s">
        <v>3012</v>
      </c>
      <c r="B175" t="s">
        <v>2743</v>
      </c>
      <c r="C175" t="s">
        <v>3013</v>
      </c>
      <c r="D175" t="str">
        <f t="shared" si="2"/>
        <v>GAYLORD HOYT</v>
      </c>
    </row>
    <row r="176" spans="1:4" x14ac:dyDescent="0.25">
      <c r="A176" t="s">
        <v>3014</v>
      </c>
      <c r="B176" t="s">
        <v>2769</v>
      </c>
      <c r="C176" t="s">
        <v>3015</v>
      </c>
      <c r="D176" t="str">
        <f t="shared" si="2"/>
        <v>KATHY JACKSON</v>
      </c>
    </row>
    <row r="177" spans="1:4" x14ac:dyDescent="0.25">
      <c r="A177" t="s">
        <v>3016</v>
      </c>
      <c r="B177" t="s">
        <v>2761</v>
      </c>
      <c r="C177" t="s">
        <v>2765</v>
      </c>
      <c r="D177" t="str">
        <f t="shared" si="2"/>
        <v>JOHN JENSEN</v>
      </c>
    </row>
    <row r="178" spans="1:4" x14ac:dyDescent="0.25">
      <c r="A178" t="s">
        <v>3017</v>
      </c>
      <c r="B178" t="s">
        <v>2743</v>
      </c>
      <c r="C178" t="s">
        <v>2986</v>
      </c>
      <c r="D178" t="str">
        <f t="shared" si="2"/>
        <v>ROGER KERR</v>
      </c>
    </row>
    <row r="179" spans="1:4" x14ac:dyDescent="0.25">
      <c r="A179" t="s">
        <v>3018</v>
      </c>
      <c r="B179" t="s">
        <v>2751</v>
      </c>
      <c r="C179" t="s">
        <v>3019</v>
      </c>
      <c r="D179" t="str">
        <f t="shared" si="2"/>
        <v>JEFFERY KOLLER</v>
      </c>
    </row>
    <row r="180" spans="1:4" x14ac:dyDescent="0.25">
      <c r="A180" t="s">
        <v>3018</v>
      </c>
      <c r="B180" t="s">
        <v>2805</v>
      </c>
      <c r="C180" t="s">
        <v>2759</v>
      </c>
      <c r="D180" t="str">
        <f t="shared" si="2"/>
        <v>SUSAN KOLLER</v>
      </c>
    </row>
    <row r="181" spans="1:4" x14ac:dyDescent="0.25">
      <c r="A181" t="s">
        <v>3020</v>
      </c>
      <c r="B181" t="s">
        <v>2761</v>
      </c>
      <c r="C181" t="s">
        <v>2977</v>
      </c>
      <c r="D181" t="str">
        <f t="shared" si="2"/>
        <v>TODD KROM</v>
      </c>
    </row>
    <row r="182" spans="1:4" x14ac:dyDescent="0.25">
      <c r="A182" t="s">
        <v>3020</v>
      </c>
      <c r="B182" t="s">
        <v>2743</v>
      </c>
      <c r="C182" t="s">
        <v>2863</v>
      </c>
      <c r="D182" t="str">
        <f t="shared" si="2"/>
        <v>CHRISTOPHER KROM</v>
      </c>
    </row>
    <row r="183" spans="1:4" x14ac:dyDescent="0.25">
      <c r="A183" t="s">
        <v>3021</v>
      </c>
      <c r="B183" t="s">
        <v>2928</v>
      </c>
      <c r="C183" t="s">
        <v>2861</v>
      </c>
      <c r="D183" t="str">
        <f t="shared" si="2"/>
        <v>KATHLEEN LEEDS</v>
      </c>
    </row>
    <row r="184" spans="1:4" x14ac:dyDescent="0.25">
      <c r="A184" t="s">
        <v>3022</v>
      </c>
      <c r="B184" t="s">
        <v>2743</v>
      </c>
      <c r="C184" t="s">
        <v>3023</v>
      </c>
      <c r="D184" t="str">
        <f t="shared" si="2"/>
        <v>CHARENE LEVIN</v>
      </c>
    </row>
    <row r="185" spans="1:4" x14ac:dyDescent="0.25">
      <c r="A185" t="s">
        <v>3024</v>
      </c>
      <c r="B185" t="s">
        <v>2818</v>
      </c>
      <c r="C185" t="s">
        <v>3025</v>
      </c>
      <c r="D185" t="str">
        <f t="shared" si="2"/>
        <v>STEPHEN MANFREDA</v>
      </c>
    </row>
    <row r="186" spans="1:4" x14ac:dyDescent="0.25">
      <c r="A186" t="s">
        <v>3024</v>
      </c>
      <c r="B186" t="s">
        <v>2776</v>
      </c>
      <c r="C186" t="s">
        <v>3026</v>
      </c>
      <c r="D186" t="str">
        <f t="shared" si="2"/>
        <v>NICK MANFREDA</v>
      </c>
    </row>
    <row r="187" spans="1:4" x14ac:dyDescent="0.25">
      <c r="A187" t="s">
        <v>3027</v>
      </c>
      <c r="C187" t="s">
        <v>3028</v>
      </c>
      <c r="D187" t="str">
        <f t="shared" si="2"/>
        <v>ELWOOD MARKSBERRY</v>
      </c>
    </row>
    <row r="188" spans="1:4" x14ac:dyDescent="0.25">
      <c r="A188" t="s">
        <v>3029</v>
      </c>
      <c r="B188" t="s">
        <v>2976</v>
      </c>
      <c r="C188" t="s">
        <v>2997</v>
      </c>
      <c r="D188" t="str">
        <f t="shared" si="2"/>
        <v>LYDIA MARRERO</v>
      </c>
    </row>
    <row r="189" spans="1:4" x14ac:dyDescent="0.25">
      <c r="A189" t="s">
        <v>3029</v>
      </c>
      <c r="C189" t="s">
        <v>3030</v>
      </c>
      <c r="D189" t="str">
        <f t="shared" si="2"/>
        <v>HARRY MARRERO</v>
      </c>
    </row>
    <row r="190" spans="1:4" x14ac:dyDescent="0.25">
      <c r="A190" t="s">
        <v>2830</v>
      </c>
      <c r="B190" t="s">
        <v>2761</v>
      </c>
      <c r="C190" t="s">
        <v>2749</v>
      </c>
      <c r="D190" t="str">
        <f t="shared" si="2"/>
        <v>MARY MARTIN</v>
      </c>
    </row>
    <row r="191" spans="1:4" x14ac:dyDescent="0.25">
      <c r="A191" t="s">
        <v>3031</v>
      </c>
      <c r="B191" t="s">
        <v>2751</v>
      </c>
      <c r="C191" t="s">
        <v>2906</v>
      </c>
      <c r="D191" t="str">
        <f t="shared" si="2"/>
        <v>CYNTHIA MCINTYRE</v>
      </c>
    </row>
    <row r="192" spans="1:4" x14ac:dyDescent="0.25">
      <c r="A192" t="s">
        <v>3032</v>
      </c>
      <c r="B192" t="s">
        <v>2813</v>
      </c>
      <c r="C192" t="s">
        <v>2899</v>
      </c>
      <c r="D192" t="str">
        <f t="shared" si="2"/>
        <v>RONALD MEAD</v>
      </c>
    </row>
    <row r="193" spans="1:4" x14ac:dyDescent="0.25">
      <c r="A193" t="s">
        <v>3033</v>
      </c>
      <c r="B193" t="s">
        <v>2751</v>
      </c>
      <c r="C193" t="s">
        <v>2853</v>
      </c>
      <c r="D193" t="str">
        <f t="shared" si="2"/>
        <v>CAROL MENDENHALL</v>
      </c>
    </row>
    <row r="194" spans="1:4" x14ac:dyDescent="0.25">
      <c r="A194" t="s">
        <v>3033</v>
      </c>
      <c r="B194" t="s">
        <v>2754</v>
      </c>
      <c r="C194" t="s">
        <v>2845</v>
      </c>
      <c r="D194" t="str">
        <f t="shared" ref="D194:D257" si="3">CONCATENATE(C194, " ",A194)</f>
        <v>RICHARD MENDENHALL</v>
      </c>
    </row>
    <row r="195" spans="1:4" x14ac:dyDescent="0.25">
      <c r="A195" t="s">
        <v>3034</v>
      </c>
      <c r="B195" t="s">
        <v>2734</v>
      </c>
      <c r="C195" t="s">
        <v>3035</v>
      </c>
      <c r="D195" t="str">
        <f t="shared" si="3"/>
        <v>DAN MERCER</v>
      </c>
    </row>
    <row r="196" spans="1:4" x14ac:dyDescent="0.25">
      <c r="A196" t="s">
        <v>3036</v>
      </c>
      <c r="B196" t="s">
        <v>2813</v>
      </c>
      <c r="C196" t="s">
        <v>3037</v>
      </c>
      <c r="D196" t="str">
        <f t="shared" si="3"/>
        <v>CONSTANCE MOORE</v>
      </c>
    </row>
    <row r="197" spans="1:4" x14ac:dyDescent="0.25">
      <c r="A197" t="s">
        <v>3038</v>
      </c>
      <c r="B197" t="s">
        <v>2748</v>
      </c>
      <c r="C197" t="s">
        <v>2765</v>
      </c>
      <c r="D197" t="str">
        <f t="shared" si="3"/>
        <v>JOHN PARK</v>
      </c>
    </row>
    <row r="198" spans="1:4" x14ac:dyDescent="0.25">
      <c r="A198" t="s">
        <v>3039</v>
      </c>
      <c r="B198" t="s">
        <v>2743</v>
      </c>
      <c r="C198" t="s">
        <v>3040</v>
      </c>
      <c r="D198" t="str">
        <f t="shared" si="3"/>
        <v>CHERYL PHILLIPS</v>
      </c>
    </row>
    <row r="199" spans="1:4" x14ac:dyDescent="0.25">
      <c r="A199" t="s">
        <v>3041</v>
      </c>
      <c r="B199" t="s">
        <v>2754</v>
      </c>
      <c r="C199" t="s">
        <v>2762</v>
      </c>
      <c r="D199" t="str">
        <f t="shared" si="3"/>
        <v>THOMAS POWER</v>
      </c>
    </row>
    <row r="200" spans="1:4" x14ac:dyDescent="0.25">
      <c r="A200" t="s">
        <v>3042</v>
      </c>
      <c r="B200" t="s">
        <v>2734</v>
      </c>
      <c r="C200" t="s">
        <v>3043</v>
      </c>
      <c r="D200" t="str">
        <f t="shared" si="3"/>
        <v>ALLAN PURYEAR</v>
      </c>
    </row>
    <row r="201" spans="1:4" x14ac:dyDescent="0.25">
      <c r="A201" t="s">
        <v>3044</v>
      </c>
      <c r="B201" t="s">
        <v>2805</v>
      </c>
      <c r="C201" t="s">
        <v>2796</v>
      </c>
      <c r="D201" t="str">
        <f t="shared" si="3"/>
        <v>WILLIAM SADOWSKI</v>
      </c>
    </row>
    <row r="202" spans="1:4" x14ac:dyDescent="0.25">
      <c r="A202" t="s">
        <v>3045</v>
      </c>
      <c r="B202" t="s">
        <v>2764</v>
      </c>
      <c r="C202" t="s">
        <v>3046</v>
      </c>
      <c r="D202" t="str">
        <f t="shared" si="3"/>
        <v>TALLI SARGENT</v>
      </c>
    </row>
    <row r="203" spans="1:4" x14ac:dyDescent="0.25">
      <c r="A203" t="s">
        <v>3047</v>
      </c>
      <c r="B203" t="s">
        <v>2764</v>
      </c>
      <c r="C203" t="s">
        <v>3048</v>
      </c>
      <c r="D203" t="str">
        <f t="shared" si="3"/>
        <v>ROSE SERVEDIO</v>
      </c>
    </row>
    <row r="204" spans="1:4" x14ac:dyDescent="0.25">
      <c r="A204" t="s">
        <v>3049</v>
      </c>
      <c r="B204" t="s">
        <v>2734</v>
      </c>
      <c r="C204" t="s">
        <v>2765</v>
      </c>
      <c r="D204" t="str">
        <f t="shared" si="3"/>
        <v>JOHN SHACKELFORD</v>
      </c>
    </row>
    <row r="205" spans="1:4" x14ac:dyDescent="0.25">
      <c r="A205" t="s">
        <v>3050</v>
      </c>
      <c r="B205" t="s">
        <v>2743</v>
      </c>
      <c r="C205" t="s">
        <v>2744</v>
      </c>
      <c r="D205" t="str">
        <f t="shared" si="3"/>
        <v>GARY SMITH</v>
      </c>
    </row>
    <row r="206" spans="1:4" x14ac:dyDescent="0.25">
      <c r="A206" t="s">
        <v>3051</v>
      </c>
      <c r="B206" t="s">
        <v>2805</v>
      </c>
      <c r="C206" t="s">
        <v>3052</v>
      </c>
      <c r="D206" t="str">
        <f t="shared" si="3"/>
        <v>PAMELA SOAVE</v>
      </c>
    </row>
    <row r="207" spans="1:4" x14ac:dyDescent="0.25">
      <c r="A207" t="s">
        <v>3053</v>
      </c>
      <c r="C207" t="s">
        <v>3054</v>
      </c>
      <c r="D207" t="str">
        <f t="shared" si="3"/>
        <v>TOULA SPANOS</v>
      </c>
    </row>
    <row r="208" spans="1:4" x14ac:dyDescent="0.25">
      <c r="A208" t="s">
        <v>3055</v>
      </c>
      <c r="B208" t="s">
        <v>2761</v>
      </c>
      <c r="C208" t="s">
        <v>3056</v>
      </c>
      <c r="D208" t="str">
        <f t="shared" si="3"/>
        <v>CONNIE SPIER</v>
      </c>
    </row>
    <row r="209" spans="1:4" x14ac:dyDescent="0.25">
      <c r="A209" t="s">
        <v>3057</v>
      </c>
      <c r="B209" t="s">
        <v>2764</v>
      </c>
      <c r="C209" t="s">
        <v>3058</v>
      </c>
      <c r="D209" t="str">
        <f t="shared" si="3"/>
        <v>IRENE STANKO</v>
      </c>
    </row>
    <row r="210" spans="1:4" x14ac:dyDescent="0.25">
      <c r="A210" t="s">
        <v>3059</v>
      </c>
      <c r="B210" t="s">
        <v>2805</v>
      </c>
      <c r="C210" t="s">
        <v>2845</v>
      </c>
      <c r="D210" t="str">
        <f t="shared" si="3"/>
        <v>RICHARD STEVENS</v>
      </c>
    </row>
    <row r="211" spans="1:4" x14ac:dyDescent="0.25">
      <c r="A211" t="s">
        <v>3060</v>
      </c>
      <c r="B211" t="s">
        <v>2761</v>
      </c>
      <c r="C211" t="s">
        <v>2762</v>
      </c>
      <c r="D211" t="str">
        <f t="shared" si="3"/>
        <v>THOMAS SULLIVAN</v>
      </c>
    </row>
    <row r="212" spans="1:4" x14ac:dyDescent="0.25">
      <c r="A212" t="s">
        <v>3061</v>
      </c>
      <c r="B212" t="s">
        <v>3062</v>
      </c>
      <c r="C212" t="s">
        <v>2749</v>
      </c>
      <c r="D212" t="str">
        <f t="shared" si="3"/>
        <v>MARY TIEMAN</v>
      </c>
    </row>
    <row r="213" spans="1:4" x14ac:dyDescent="0.25">
      <c r="A213" t="s">
        <v>3063</v>
      </c>
      <c r="B213" t="s">
        <v>2743</v>
      </c>
      <c r="C213" t="s">
        <v>3064</v>
      </c>
      <c r="D213" t="str">
        <f t="shared" si="3"/>
        <v>TAMMY WALKER</v>
      </c>
    </row>
    <row r="214" spans="1:4" x14ac:dyDescent="0.25">
      <c r="A214" t="s">
        <v>3065</v>
      </c>
      <c r="B214" t="s">
        <v>2751</v>
      </c>
      <c r="C214" t="s">
        <v>2796</v>
      </c>
      <c r="D214" t="str">
        <f t="shared" si="3"/>
        <v>WILLIAM WEIS</v>
      </c>
    </row>
    <row r="215" spans="1:4" x14ac:dyDescent="0.25">
      <c r="A215" t="s">
        <v>3066</v>
      </c>
      <c r="B215" t="s">
        <v>2884</v>
      </c>
      <c r="C215" t="s">
        <v>3067</v>
      </c>
      <c r="D215" t="str">
        <f t="shared" si="3"/>
        <v>RICARDO WEISZ</v>
      </c>
    </row>
    <row r="216" spans="1:4" x14ac:dyDescent="0.25">
      <c r="A216" t="s">
        <v>3068</v>
      </c>
      <c r="B216" t="s">
        <v>2896</v>
      </c>
      <c r="C216" t="s">
        <v>2961</v>
      </c>
      <c r="D216" t="str">
        <f t="shared" si="3"/>
        <v>BARBARA WERNIG</v>
      </c>
    </row>
    <row r="217" spans="1:4" x14ac:dyDescent="0.25">
      <c r="A217" t="s">
        <v>3068</v>
      </c>
      <c r="B217" t="s">
        <v>2754</v>
      </c>
      <c r="C217" t="s">
        <v>2839</v>
      </c>
      <c r="D217" t="str">
        <f t="shared" si="3"/>
        <v>DAVID WERNIG</v>
      </c>
    </row>
    <row r="218" spans="1:4" x14ac:dyDescent="0.25">
      <c r="A218" t="s">
        <v>3069</v>
      </c>
      <c r="B218" t="s">
        <v>2764</v>
      </c>
      <c r="C218" t="s">
        <v>3070</v>
      </c>
      <c r="D218" t="str">
        <f t="shared" si="3"/>
        <v>ELIZABETH WILSON</v>
      </c>
    </row>
    <row r="219" spans="1:4" x14ac:dyDescent="0.25">
      <c r="A219" t="s">
        <v>3069</v>
      </c>
      <c r="B219" t="s">
        <v>2754</v>
      </c>
      <c r="C219" t="s">
        <v>3071</v>
      </c>
      <c r="D219" t="str">
        <f t="shared" si="3"/>
        <v>MADGLINE WILSON</v>
      </c>
    </row>
    <row r="220" spans="1:4" x14ac:dyDescent="0.25">
      <c r="A220" t="s">
        <v>3069</v>
      </c>
      <c r="C220" t="s">
        <v>2865</v>
      </c>
      <c r="D220" t="str">
        <f t="shared" si="3"/>
        <v>MARK WILSON</v>
      </c>
    </row>
    <row r="221" spans="1:4" x14ac:dyDescent="0.25">
      <c r="A221" t="s">
        <v>2745</v>
      </c>
      <c r="B221" t="s">
        <v>2761</v>
      </c>
      <c r="C221" t="s">
        <v>3072</v>
      </c>
      <c r="D221" t="str">
        <f t="shared" si="3"/>
        <v>WALLACE ANDERSON</v>
      </c>
    </row>
    <row r="222" spans="1:4" x14ac:dyDescent="0.25">
      <c r="A222" t="s">
        <v>3073</v>
      </c>
      <c r="B222" t="s">
        <v>2818</v>
      </c>
      <c r="C222" t="s">
        <v>3074</v>
      </c>
      <c r="D222" t="str">
        <f t="shared" si="3"/>
        <v>PAULA ANGELINI</v>
      </c>
    </row>
    <row r="223" spans="1:4" x14ac:dyDescent="0.25">
      <c r="A223" t="s">
        <v>3073</v>
      </c>
      <c r="B223" t="s">
        <v>2764</v>
      </c>
      <c r="C223" t="s">
        <v>3075</v>
      </c>
      <c r="D223" t="str">
        <f t="shared" si="3"/>
        <v>PHILIP ANGELINI</v>
      </c>
    </row>
    <row r="224" spans="1:4" x14ac:dyDescent="0.25">
      <c r="A224" t="s">
        <v>3076</v>
      </c>
      <c r="B224" t="s">
        <v>2813</v>
      </c>
      <c r="C224" t="s">
        <v>3077</v>
      </c>
      <c r="D224" t="str">
        <f t="shared" si="3"/>
        <v>KENNY ASHLOCK</v>
      </c>
    </row>
    <row r="225" spans="1:4" x14ac:dyDescent="0.25">
      <c r="A225" t="s">
        <v>3078</v>
      </c>
      <c r="C225" t="s">
        <v>3079</v>
      </c>
      <c r="D225" t="str">
        <f t="shared" si="3"/>
        <v>LAURALEE BEERMAN</v>
      </c>
    </row>
    <row r="226" spans="1:4" x14ac:dyDescent="0.25">
      <c r="A226" t="s">
        <v>3080</v>
      </c>
      <c r="B226" t="s">
        <v>2805</v>
      </c>
      <c r="C226" t="s">
        <v>2759</v>
      </c>
      <c r="D226" t="str">
        <f t="shared" si="3"/>
        <v>SUSAN BETTENHAUSEN</v>
      </c>
    </row>
    <row r="227" spans="1:4" x14ac:dyDescent="0.25">
      <c r="A227" t="s">
        <v>3081</v>
      </c>
      <c r="B227" t="s">
        <v>2754</v>
      </c>
      <c r="C227" t="s">
        <v>2980</v>
      </c>
      <c r="D227" t="str">
        <f t="shared" si="3"/>
        <v>MICHAEL BIESCHKE</v>
      </c>
    </row>
    <row r="228" spans="1:4" x14ac:dyDescent="0.25">
      <c r="A228" t="s">
        <v>3082</v>
      </c>
      <c r="B228" t="s">
        <v>2754</v>
      </c>
      <c r="C228" t="s">
        <v>3083</v>
      </c>
      <c r="D228" t="str">
        <f t="shared" si="3"/>
        <v>DOLORES BOLDEN</v>
      </c>
    </row>
    <row r="229" spans="1:4" x14ac:dyDescent="0.25">
      <c r="A229" t="s">
        <v>3084</v>
      </c>
      <c r="B229" t="s">
        <v>2754</v>
      </c>
      <c r="C229" t="s">
        <v>2839</v>
      </c>
      <c r="D229" t="str">
        <f t="shared" si="3"/>
        <v>DAVID BOLFING</v>
      </c>
    </row>
    <row r="230" spans="1:4" x14ac:dyDescent="0.25">
      <c r="A230" t="s">
        <v>3085</v>
      </c>
      <c r="B230" t="s">
        <v>2813</v>
      </c>
      <c r="C230" t="s">
        <v>3086</v>
      </c>
      <c r="D230" t="str">
        <f t="shared" si="3"/>
        <v>SONYA BOOKER</v>
      </c>
    </row>
    <row r="231" spans="1:4" x14ac:dyDescent="0.25">
      <c r="A231" t="s">
        <v>3087</v>
      </c>
      <c r="C231" t="s">
        <v>2806</v>
      </c>
      <c r="D231" t="str">
        <f t="shared" si="3"/>
        <v>DIANA BORJON</v>
      </c>
    </row>
    <row r="232" spans="1:4" x14ac:dyDescent="0.25">
      <c r="A232" t="s">
        <v>3088</v>
      </c>
      <c r="B232" t="s">
        <v>2761</v>
      </c>
      <c r="C232" t="s">
        <v>3070</v>
      </c>
      <c r="D232" t="str">
        <f t="shared" si="3"/>
        <v>ELIZABETH BRIDGES</v>
      </c>
    </row>
    <row r="233" spans="1:4" x14ac:dyDescent="0.25">
      <c r="A233" t="s">
        <v>3089</v>
      </c>
      <c r="B233" t="s">
        <v>2764</v>
      </c>
      <c r="C233" t="s">
        <v>3090</v>
      </c>
      <c r="D233" t="str">
        <f t="shared" si="3"/>
        <v>SHEILA BROWN</v>
      </c>
    </row>
    <row r="234" spans="1:4" x14ac:dyDescent="0.25">
      <c r="A234" t="s">
        <v>3089</v>
      </c>
      <c r="B234" t="s">
        <v>2769</v>
      </c>
      <c r="C234" t="s">
        <v>2796</v>
      </c>
      <c r="D234" t="str">
        <f t="shared" si="3"/>
        <v>WILLIAM BROWN</v>
      </c>
    </row>
    <row r="235" spans="1:4" x14ac:dyDescent="0.25">
      <c r="A235" t="s">
        <v>3091</v>
      </c>
      <c r="B235" t="s">
        <v>2751</v>
      </c>
      <c r="C235" t="s">
        <v>3092</v>
      </c>
      <c r="D235" t="str">
        <f t="shared" si="3"/>
        <v>LORI BRYNICZKA</v>
      </c>
    </row>
    <row r="236" spans="1:4" x14ac:dyDescent="0.25">
      <c r="A236" t="s">
        <v>3093</v>
      </c>
      <c r="B236" t="s">
        <v>2761</v>
      </c>
      <c r="C236" t="s">
        <v>2857</v>
      </c>
      <c r="D236" t="str">
        <f t="shared" si="3"/>
        <v>FRANK BUCK</v>
      </c>
    </row>
    <row r="237" spans="1:4" x14ac:dyDescent="0.25">
      <c r="A237" t="s">
        <v>3094</v>
      </c>
      <c r="B237" t="s">
        <v>2813</v>
      </c>
      <c r="C237" t="s">
        <v>2980</v>
      </c>
      <c r="D237" t="str">
        <f t="shared" si="3"/>
        <v>MICHAEL BULL</v>
      </c>
    </row>
    <row r="238" spans="1:4" x14ac:dyDescent="0.25">
      <c r="A238" t="s">
        <v>3095</v>
      </c>
      <c r="B238" t="s">
        <v>2805</v>
      </c>
      <c r="C238" t="s">
        <v>2923</v>
      </c>
      <c r="D238" t="str">
        <f t="shared" si="3"/>
        <v>PATRICIA BYRD</v>
      </c>
    </row>
    <row r="239" spans="1:4" x14ac:dyDescent="0.25">
      <c r="A239" t="s">
        <v>3096</v>
      </c>
      <c r="B239" t="s">
        <v>2764</v>
      </c>
      <c r="C239" t="s">
        <v>2909</v>
      </c>
      <c r="D239" t="str">
        <f t="shared" si="3"/>
        <v>THERESA CARDIN</v>
      </c>
    </row>
    <row r="240" spans="1:4" x14ac:dyDescent="0.25">
      <c r="A240" t="s">
        <v>3097</v>
      </c>
      <c r="B240" t="s">
        <v>2769</v>
      </c>
      <c r="C240" t="s">
        <v>3098</v>
      </c>
      <c r="D240" t="str">
        <f t="shared" si="3"/>
        <v>ELISE CLANCY</v>
      </c>
    </row>
    <row r="241" spans="1:4" x14ac:dyDescent="0.25">
      <c r="A241" t="s">
        <v>3099</v>
      </c>
      <c r="B241" t="s">
        <v>2769</v>
      </c>
      <c r="C241" t="s">
        <v>2845</v>
      </c>
      <c r="D241" t="str">
        <f t="shared" si="3"/>
        <v>RICHARD COMBEN</v>
      </c>
    </row>
    <row r="242" spans="1:4" x14ac:dyDescent="0.25">
      <c r="A242" t="s">
        <v>3100</v>
      </c>
      <c r="B242" t="s">
        <v>2743</v>
      </c>
      <c r="C242" t="s">
        <v>2779</v>
      </c>
      <c r="D242" t="str">
        <f t="shared" si="3"/>
        <v>JAMES CROUT</v>
      </c>
    </row>
    <row r="243" spans="1:4" x14ac:dyDescent="0.25">
      <c r="A243" t="s">
        <v>3101</v>
      </c>
      <c r="B243" t="s">
        <v>2805</v>
      </c>
      <c r="C243" t="s">
        <v>3102</v>
      </c>
      <c r="D243" t="str">
        <f t="shared" si="3"/>
        <v>MARILYN DAVIDSON</v>
      </c>
    </row>
    <row r="244" spans="1:4" x14ac:dyDescent="0.25">
      <c r="A244" t="s">
        <v>3103</v>
      </c>
      <c r="B244" t="s">
        <v>2813</v>
      </c>
      <c r="C244" t="s">
        <v>2796</v>
      </c>
      <c r="D244" t="str">
        <f t="shared" si="3"/>
        <v>WILLIAM DOBLER</v>
      </c>
    </row>
    <row r="245" spans="1:4" x14ac:dyDescent="0.25">
      <c r="A245" t="s">
        <v>3104</v>
      </c>
      <c r="B245" t="s">
        <v>2751</v>
      </c>
      <c r="C245" t="s">
        <v>2772</v>
      </c>
      <c r="D245" t="str">
        <f t="shared" si="3"/>
        <v>SCOTT DOLGE</v>
      </c>
    </row>
    <row r="246" spans="1:4" x14ac:dyDescent="0.25">
      <c r="A246" t="s">
        <v>3105</v>
      </c>
      <c r="B246" t="s">
        <v>2976</v>
      </c>
      <c r="C246" t="s">
        <v>2779</v>
      </c>
      <c r="D246" t="str">
        <f t="shared" si="3"/>
        <v>JAMES FILITTO</v>
      </c>
    </row>
    <row r="247" spans="1:4" x14ac:dyDescent="0.25">
      <c r="A247" t="s">
        <v>3106</v>
      </c>
      <c r="B247" t="s">
        <v>2751</v>
      </c>
      <c r="C247" t="s">
        <v>3092</v>
      </c>
      <c r="D247" t="str">
        <f t="shared" si="3"/>
        <v>LORI FITZ</v>
      </c>
    </row>
    <row r="248" spans="1:4" x14ac:dyDescent="0.25">
      <c r="A248" t="s">
        <v>3107</v>
      </c>
      <c r="C248" t="s">
        <v>3108</v>
      </c>
      <c r="D248" t="str">
        <f t="shared" si="3"/>
        <v>BILLY FONG</v>
      </c>
    </row>
    <row r="249" spans="1:4" x14ac:dyDescent="0.25">
      <c r="A249" t="s">
        <v>3107</v>
      </c>
      <c r="C249" t="s">
        <v>3109</v>
      </c>
      <c r="D249" t="str">
        <f t="shared" si="3"/>
        <v>GUADALUPE FONG</v>
      </c>
    </row>
    <row r="250" spans="1:4" x14ac:dyDescent="0.25">
      <c r="A250" t="s">
        <v>3110</v>
      </c>
      <c r="C250" t="s">
        <v>3111</v>
      </c>
      <c r="D250" t="str">
        <f t="shared" si="3"/>
        <v>ADOLFO GALARZA</v>
      </c>
    </row>
    <row r="251" spans="1:4" x14ac:dyDescent="0.25">
      <c r="A251" t="s">
        <v>3112</v>
      </c>
      <c r="B251" t="s">
        <v>2764</v>
      </c>
      <c r="C251" t="s">
        <v>3113</v>
      </c>
      <c r="D251" t="str">
        <f t="shared" si="3"/>
        <v>ANN GORDON</v>
      </c>
    </row>
    <row r="252" spans="1:4" x14ac:dyDescent="0.25">
      <c r="A252" t="s">
        <v>3114</v>
      </c>
      <c r="C252" t="s">
        <v>3115</v>
      </c>
      <c r="D252" t="str">
        <f t="shared" si="3"/>
        <v>EVELYN GRIFFITHS</v>
      </c>
    </row>
    <row r="253" spans="1:4" x14ac:dyDescent="0.25">
      <c r="A253" t="s">
        <v>3117</v>
      </c>
      <c r="B253" t="s">
        <v>2754</v>
      </c>
      <c r="C253" t="s">
        <v>2825</v>
      </c>
      <c r="D253" t="str">
        <f t="shared" si="3"/>
        <v>KENNETH GRUDOWSKI</v>
      </c>
    </row>
    <row r="254" spans="1:4" x14ac:dyDescent="0.25">
      <c r="A254" t="s">
        <v>3118</v>
      </c>
      <c r="C254" t="s">
        <v>3003</v>
      </c>
      <c r="D254" t="str">
        <f t="shared" si="3"/>
        <v>JESUS GUILLEN</v>
      </c>
    </row>
    <row r="255" spans="1:4" x14ac:dyDescent="0.25">
      <c r="A255" t="s">
        <v>3119</v>
      </c>
      <c r="C255" t="s">
        <v>2882</v>
      </c>
      <c r="D255" t="str">
        <f t="shared" si="3"/>
        <v>KAREN HADAWAY</v>
      </c>
    </row>
    <row r="256" spans="1:4" x14ac:dyDescent="0.25">
      <c r="A256" t="s">
        <v>3120</v>
      </c>
      <c r="C256" t="s">
        <v>3121</v>
      </c>
      <c r="D256" t="str">
        <f t="shared" si="3"/>
        <v>CHIANITA HARRELL</v>
      </c>
    </row>
    <row r="257" spans="1:4" x14ac:dyDescent="0.25">
      <c r="A257" t="s">
        <v>3122</v>
      </c>
      <c r="C257" t="s">
        <v>2841</v>
      </c>
      <c r="D257" t="str">
        <f t="shared" si="3"/>
        <v>ROBERT HNAT</v>
      </c>
    </row>
    <row r="258" spans="1:4" x14ac:dyDescent="0.25">
      <c r="A258" t="s">
        <v>3123</v>
      </c>
      <c r="B258" t="s">
        <v>2751</v>
      </c>
      <c r="C258" t="s">
        <v>2772</v>
      </c>
      <c r="D258" t="str">
        <f t="shared" ref="D258:D321" si="4">CONCATENATE(C258, " ",A258)</f>
        <v>SCOTT HOLTON</v>
      </c>
    </row>
    <row r="259" spans="1:4" x14ac:dyDescent="0.25">
      <c r="A259" t="s">
        <v>3124</v>
      </c>
      <c r="C259" t="s">
        <v>2788</v>
      </c>
      <c r="D259" t="str">
        <f t="shared" si="4"/>
        <v>MARGARET JEDRZEJCZAK</v>
      </c>
    </row>
    <row r="260" spans="1:4" x14ac:dyDescent="0.25">
      <c r="A260" t="s">
        <v>3125</v>
      </c>
      <c r="B260" t="s">
        <v>2754</v>
      </c>
      <c r="C260" t="s">
        <v>3126</v>
      </c>
      <c r="D260" t="str">
        <f t="shared" si="4"/>
        <v>MARIBEL JIMENEZ</v>
      </c>
    </row>
    <row r="261" spans="1:4" x14ac:dyDescent="0.25">
      <c r="A261" t="s">
        <v>2802</v>
      </c>
      <c r="B261" t="s">
        <v>2754</v>
      </c>
      <c r="C261" t="s">
        <v>3037</v>
      </c>
      <c r="D261" t="str">
        <f t="shared" si="4"/>
        <v>CONSTANCE JONES</v>
      </c>
    </row>
    <row r="262" spans="1:4" x14ac:dyDescent="0.25">
      <c r="A262" t="s">
        <v>3127</v>
      </c>
      <c r="B262" t="s">
        <v>2743</v>
      </c>
      <c r="C262" t="s">
        <v>3128</v>
      </c>
      <c r="D262" t="str">
        <f t="shared" si="4"/>
        <v>CHERI KILEY</v>
      </c>
    </row>
    <row r="263" spans="1:4" x14ac:dyDescent="0.25">
      <c r="A263" t="s">
        <v>3129</v>
      </c>
      <c r="B263" t="s">
        <v>2751</v>
      </c>
      <c r="C263" t="s">
        <v>3130</v>
      </c>
      <c r="D263" t="str">
        <f t="shared" si="4"/>
        <v>ROY KIMBROUGH</v>
      </c>
    </row>
    <row r="264" spans="1:4" x14ac:dyDescent="0.25">
      <c r="A264" t="s">
        <v>3131</v>
      </c>
      <c r="B264" t="s">
        <v>2751</v>
      </c>
      <c r="C264" t="s">
        <v>3132</v>
      </c>
      <c r="D264" t="str">
        <f t="shared" si="4"/>
        <v>COLLEEN KUHNS</v>
      </c>
    </row>
    <row r="265" spans="1:4" x14ac:dyDescent="0.25">
      <c r="A265" t="s">
        <v>3133</v>
      </c>
      <c r="B265" t="s">
        <v>2827</v>
      </c>
      <c r="C265" t="s">
        <v>3134</v>
      </c>
      <c r="D265" t="str">
        <f t="shared" si="4"/>
        <v>LIZA LACOSTA</v>
      </c>
    </row>
    <row r="266" spans="1:4" x14ac:dyDescent="0.25">
      <c r="A266" t="s">
        <v>3135</v>
      </c>
      <c r="B266" t="s">
        <v>2827</v>
      </c>
      <c r="C266" t="s">
        <v>2759</v>
      </c>
      <c r="D266" t="str">
        <f t="shared" si="4"/>
        <v>SUSAN LARGEN</v>
      </c>
    </row>
    <row r="267" spans="1:4" x14ac:dyDescent="0.25">
      <c r="A267" t="s">
        <v>3136</v>
      </c>
      <c r="B267" t="s">
        <v>2743</v>
      </c>
      <c r="C267" t="s">
        <v>3137</v>
      </c>
      <c r="D267" t="str">
        <f t="shared" si="4"/>
        <v>RANDALL LEEHAN</v>
      </c>
    </row>
    <row r="268" spans="1:4" x14ac:dyDescent="0.25">
      <c r="A268" t="s">
        <v>3138</v>
      </c>
      <c r="B268" t="s">
        <v>2734</v>
      </c>
      <c r="C268" t="s">
        <v>2993</v>
      </c>
      <c r="D268" t="str">
        <f t="shared" si="4"/>
        <v>DOUGLAS LEIN</v>
      </c>
    </row>
    <row r="269" spans="1:4" x14ac:dyDescent="0.25">
      <c r="A269" t="s">
        <v>3139</v>
      </c>
      <c r="B269" t="s">
        <v>2849</v>
      </c>
      <c r="C269" t="s">
        <v>3140</v>
      </c>
      <c r="D269" t="str">
        <f t="shared" si="4"/>
        <v>KEITH MACPHAIL</v>
      </c>
    </row>
    <row r="270" spans="1:4" x14ac:dyDescent="0.25">
      <c r="A270" t="s">
        <v>3141</v>
      </c>
      <c r="C270" t="s">
        <v>2951</v>
      </c>
      <c r="D270" t="str">
        <f t="shared" si="4"/>
        <v>PETER MALONE</v>
      </c>
    </row>
    <row r="271" spans="1:4" x14ac:dyDescent="0.25">
      <c r="A271" t="s">
        <v>3142</v>
      </c>
      <c r="B271" t="s">
        <v>2813</v>
      </c>
      <c r="C271" t="s">
        <v>3143</v>
      </c>
      <c r="D271" t="str">
        <f t="shared" si="4"/>
        <v>KATHERINE MAY</v>
      </c>
    </row>
    <row r="272" spans="1:4" x14ac:dyDescent="0.25">
      <c r="A272" t="s">
        <v>3144</v>
      </c>
      <c r="B272" t="s">
        <v>2884</v>
      </c>
      <c r="C272" t="s">
        <v>3145</v>
      </c>
      <c r="D272" t="str">
        <f t="shared" si="4"/>
        <v>DORIS MCCONNELL</v>
      </c>
    </row>
    <row r="273" spans="1:4" x14ac:dyDescent="0.25">
      <c r="A273" t="s">
        <v>3146</v>
      </c>
      <c r="B273" t="s">
        <v>2764</v>
      </c>
      <c r="C273" t="s">
        <v>3147</v>
      </c>
      <c r="D273" t="str">
        <f t="shared" si="4"/>
        <v>JIM MCDONALD</v>
      </c>
    </row>
    <row r="274" spans="1:4" x14ac:dyDescent="0.25">
      <c r="A274" t="s">
        <v>3148</v>
      </c>
      <c r="B274" t="s">
        <v>2805</v>
      </c>
      <c r="C274" t="s">
        <v>2899</v>
      </c>
      <c r="D274" t="str">
        <f t="shared" si="4"/>
        <v>RONALD MESHENBERG</v>
      </c>
    </row>
    <row r="275" spans="1:4" x14ac:dyDescent="0.25">
      <c r="A275" t="s">
        <v>3149</v>
      </c>
      <c r="B275" t="s">
        <v>2827</v>
      </c>
      <c r="C275" t="s">
        <v>2816</v>
      </c>
      <c r="D275" t="str">
        <f t="shared" si="4"/>
        <v>LINDA MIHALKA</v>
      </c>
    </row>
    <row r="276" spans="1:4" x14ac:dyDescent="0.25">
      <c r="A276" t="s">
        <v>3150</v>
      </c>
      <c r="B276" t="s">
        <v>2743</v>
      </c>
      <c r="C276" t="s">
        <v>2759</v>
      </c>
      <c r="D276" t="str">
        <f t="shared" si="4"/>
        <v>SUSAN MOLNOR</v>
      </c>
    </row>
    <row r="277" spans="1:4" x14ac:dyDescent="0.25">
      <c r="A277" t="s">
        <v>3151</v>
      </c>
      <c r="B277" t="s">
        <v>2813</v>
      </c>
      <c r="C277" t="s">
        <v>2772</v>
      </c>
      <c r="D277" t="str">
        <f t="shared" si="4"/>
        <v>SCOTT MORRIS</v>
      </c>
    </row>
    <row r="278" spans="1:4" x14ac:dyDescent="0.25">
      <c r="A278" t="s">
        <v>3152</v>
      </c>
      <c r="B278" t="s">
        <v>2813</v>
      </c>
      <c r="C278" t="s">
        <v>2785</v>
      </c>
      <c r="D278" t="str">
        <f t="shared" si="4"/>
        <v>PAUL MYRICK</v>
      </c>
    </row>
    <row r="279" spans="1:4" x14ac:dyDescent="0.25">
      <c r="A279" t="s">
        <v>3153</v>
      </c>
      <c r="B279" t="s">
        <v>2743</v>
      </c>
      <c r="C279" t="s">
        <v>3092</v>
      </c>
      <c r="D279" t="str">
        <f t="shared" si="4"/>
        <v>LORI NELSON</v>
      </c>
    </row>
    <row r="280" spans="1:4" x14ac:dyDescent="0.25">
      <c r="A280" t="s">
        <v>2844</v>
      </c>
      <c r="B280" t="s">
        <v>2743</v>
      </c>
      <c r="C280" t="s">
        <v>3154</v>
      </c>
      <c r="D280" t="str">
        <f t="shared" si="4"/>
        <v>TERRY NEY</v>
      </c>
    </row>
    <row r="281" spans="1:4" x14ac:dyDescent="0.25">
      <c r="A281" t="s">
        <v>3155</v>
      </c>
      <c r="C281" t="s">
        <v>2899</v>
      </c>
      <c r="D281" t="str">
        <f t="shared" si="4"/>
        <v>RONALD NIEMER</v>
      </c>
    </row>
    <row r="282" spans="1:4" x14ac:dyDescent="0.25">
      <c r="A282" t="s">
        <v>3156</v>
      </c>
      <c r="B282" t="s">
        <v>2743</v>
      </c>
      <c r="C282" t="s">
        <v>3157</v>
      </c>
      <c r="D282" t="str">
        <f t="shared" si="4"/>
        <v>PEGGY OBRIEN</v>
      </c>
    </row>
    <row r="283" spans="1:4" x14ac:dyDescent="0.25">
      <c r="A283" t="s">
        <v>3158</v>
      </c>
      <c r="B283" t="s">
        <v>2761</v>
      </c>
      <c r="C283" t="s">
        <v>3127</v>
      </c>
      <c r="D283" t="str">
        <f t="shared" si="4"/>
        <v>KILEY ORTIZ</v>
      </c>
    </row>
    <row r="284" spans="1:4" x14ac:dyDescent="0.25">
      <c r="A284" t="s">
        <v>3159</v>
      </c>
      <c r="B284" t="s">
        <v>2776</v>
      </c>
      <c r="C284" t="s">
        <v>2765</v>
      </c>
      <c r="D284" t="str">
        <f t="shared" si="4"/>
        <v>JOHN OSTERKAMP</v>
      </c>
    </row>
    <row r="285" spans="1:4" x14ac:dyDescent="0.25">
      <c r="A285" t="s">
        <v>3038</v>
      </c>
      <c r="B285" t="s">
        <v>2751</v>
      </c>
      <c r="C285" t="s">
        <v>3160</v>
      </c>
      <c r="D285" t="str">
        <f t="shared" si="4"/>
        <v>LESLIE PARK</v>
      </c>
    </row>
    <row r="286" spans="1:4" x14ac:dyDescent="0.25">
      <c r="A286" t="s">
        <v>3161</v>
      </c>
      <c r="B286" t="s">
        <v>2751</v>
      </c>
      <c r="C286" t="s">
        <v>2855</v>
      </c>
      <c r="D286" t="str">
        <f t="shared" si="4"/>
        <v>JACK PARROTT</v>
      </c>
    </row>
    <row r="287" spans="1:4" x14ac:dyDescent="0.25">
      <c r="A287" t="s">
        <v>3161</v>
      </c>
      <c r="B287" t="s">
        <v>2813</v>
      </c>
      <c r="C287" t="s">
        <v>3162</v>
      </c>
      <c r="D287" t="str">
        <f t="shared" si="4"/>
        <v>MILLIE PARROTT</v>
      </c>
    </row>
    <row r="288" spans="1:4" x14ac:dyDescent="0.25">
      <c r="A288" t="s">
        <v>3163</v>
      </c>
      <c r="B288" t="s">
        <v>2849</v>
      </c>
      <c r="C288" t="s">
        <v>3164</v>
      </c>
      <c r="D288" t="str">
        <f t="shared" si="4"/>
        <v>KIRBY PASCUS</v>
      </c>
    </row>
    <row r="289" spans="1:4" x14ac:dyDescent="0.25">
      <c r="A289" t="s">
        <v>3165</v>
      </c>
      <c r="B289" t="s">
        <v>2754</v>
      </c>
      <c r="C289" t="s">
        <v>3166</v>
      </c>
      <c r="D289" t="str">
        <f t="shared" si="4"/>
        <v>DANIEL PESTKA</v>
      </c>
    </row>
    <row r="290" spans="1:4" x14ac:dyDescent="0.25">
      <c r="A290" t="s">
        <v>2850</v>
      </c>
      <c r="B290" t="s">
        <v>2805</v>
      </c>
      <c r="C290" t="s">
        <v>2991</v>
      </c>
      <c r="D290" t="str">
        <f t="shared" si="4"/>
        <v>GREGORY PETERSON</v>
      </c>
    </row>
    <row r="291" spans="1:4" x14ac:dyDescent="0.25">
      <c r="A291" t="s">
        <v>3167</v>
      </c>
      <c r="B291" t="s">
        <v>2751</v>
      </c>
      <c r="C291" t="s">
        <v>2986</v>
      </c>
      <c r="D291" t="str">
        <f t="shared" si="4"/>
        <v>ROGER PHELPS</v>
      </c>
    </row>
    <row r="292" spans="1:4" x14ac:dyDescent="0.25">
      <c r="A292" t="s">
        <v>3167</v>
      </c>
      <c r="B292" t="s">
        <v>2754</v>
      </c>
      <c r="C292" t="s">
        <v>3168</v>
      </c>
      <c r="D292" t="str">
        <f t="shared" si="4"/>
        <v>LILLIAN PHELPS</v>
      </c>
    </row>
    <row r="293" spans="1:4" x14ac:dyDescent="0.25">
      <c r="A293" t="s">
        <v>3169</v>
      </c>
      <c r="B293" t="s">
        <v>2764</v>
      </c>
      <c r="C293" t="s">
        <v>3170</v>
      </c>
      <c r="D293" t="str">
        <f t="shared" si="4"/>
        <v>CHRISTOPHE PICCOLI</v>
      </c>
    </row>
    <row r="294" spans="1:4" x14ac:dyDescent="0.25">
      <c r="A294" t="s">
        <v>3171</v>
      </c>
      <c r="B294" t="s">
        <v>2751</v>
      </c>
      <c r="C294" t="s">
        <v>3172</v>
      </c>
      <c r="D294" t="str">
        <f t="shared" si="4"/>
        <v>TERESE PINTA</v>
      </c>
    </row>
    <row r="295" spans="1:4" x14ac:dyDescent="0.25">
      <c r="A295" t="s">
        <v>3173</v>
      </c>
      <c r="B295" t="s">
        <v>2764</v>
      </c>
      <c r="C295" t="s">
        <v>2861</v>
      </c>
      <c r="D295" t="str">
        <f t="shared" si="4"/>
        <v>KATHLEEN PLOCHARSKI</v>
      </c>
    </row>
    <row r="296" spans="1:4" x14ac:dyDescent="0.25">
      <c r="A296" t="s">
        <v>3174</v>
      </c>
      <c r="B296" t="s">
        <v>2761</v>
      </c>
      <c r="C296" t="s">
        <v>3175</v>
      </c>
      <c r="D296" t="str">
        <f t="shared" si="4"/>
        <v>TIM PRICE</v>
      </c>
    </row>
    <row r="297" spans="1:4" x14ac:dyDescent="0.25">
      <c r="A297" t="s">
        <v>3176</v>
      </c>
      <c r="B297" t="s">
        <v>2813</v>
      </c>
      <c r="C297" t="s">
        <v>2765</v>
      </c>
      <c r="D297" t="str">
        <f t="shared" si="4"/>
        <v>JOHN PRINZ</v>
      </c>
    </row>
    <row r="298" spans="1:4" x14ac:dyDescent="0.25">
      <c r="A298" t="s">
        <v>3176</v>
      </c>
      <c r="B298" t="s">
        <v>2764</v>
      </c>
      <c r="C298" t="s">
        <v>2909</v>
      </c>
      <c r="D298" t="str">
        <f t="shared" si="4"/>
        <v>THERESA PRINZ</v>
      </c>
    </row>
    <row r="299" spans="1:4" x14ac:dyDescent="0.25">
      <c r="A299" t="s">
        <v>3177</v>
      </c>
      <c r="B299" t="s">
        <v>2849</v>
      </c>
      <c r="C299" t="s">
        <v>3178</v>
      </c>
      <c r="D299" t="str">
        <f t="shared" si="4"/>
        <v>DEAN REED</v>
      </c>
    </row>
    <row r="300" spans="1:4" x14ac:dyDescent="0.25">
      <c r="A300" t="s">
        <v>3179</v>
      </c>
      <c r="B300" t="s">
        <v>2896</v>
      </c>
      <c r="C300" t="s">
        <v>3180</v>
      </c>
      <c r="D300" t="str">
        <f t="shared" si="4"/>
        <v>BARRY RHOADES</v>
      </c>
    </row>
    <row r="301" spans="1:4" x14ac:dyDescent="0.25">
      <c r="A301" t="s">
        <v>3181</v>
      </c>
      <c r="B301" t="s">
        <v>2743</v>
      </c>
      <c r="C301" t="s">
        <v>3070</v>
      </c>
      <c r="D301" t="str">
        <f t="shared" si="4"/>
        <v>ELIZABETH RICHTER</v>
      </c>
    </row>
    <row r="302" spans="1:4" x14ac:dyDescent="0.25">
      <c r="A302" t="s">
        <v>3182</v>
      </c>
      <c r="B302" t="s">
        <v>2751</v>
      </c>
      <c r="C302" t="s">
        <v>2947</v>
      </c>
      <c r="D302" t="str">
        <f t="shared" si="4"/>
        <v>JUDITH RIDDLEBERGER</v>
      </c>
    </row>
    <row r="303" spans="1:4" x14ac:dyDescent="0.25">
      <c r="A303" t="s">
        <v>3183</v>
      </c>
      <c r="B303" t="s">
        <v>2764</v>
      </c>
      <c r="C303" t="s">
        <v>3184</v>
      </c>
      <c r="D303" t="str">
        <f t="shared" si="4"/>
        <v>RACHEL RIEDLER</v>
      </c>
    </row>
    <row r="304" spans="1:4" x14ac:dyDescent="0.25">
      <c r="A304" t="s">
        <v>3185</v>
      </c>
      <c r="B304" t="s">
        <v>2769</v>
      </c>
      <c r="C304" t="s">
        <v>3186</v>
      </c>
      <c r="D304" t="str">
        <f t="shared" si="4"/>
        <v>RENEE RITCHEY</v>
      </c>
    </row>
    <row r="305" spans="1:4" x14ac:dyDescent="0.25">
      <c r="A305" t="s">
        <v>2955</v>
      </c>
      <c r="B305" t="s">
        <v>2754</v>
      </c>
      <c r="C305" t="s">
        <v>3187</v>
      </c>
      <c r="D305" t="str">
        <f t="shared" si="4"/>
        <v>ROXANN ROBINSON</v>
      </c>
    </row>
    <row r="306" spans="1:4" x14ac:dyDescent="0.25">
      <c r="A306" t="s">
        <v>3188</v>
      </c>
      <c r="C306" t="s">
        <v>3074</v>
      </c>
      <c r="D306" t="str">
        <f t="shared" si="4"/>
        <v>PAULA ROPPO</v>
      </c>
    </row>
    <row r="307" spans="1:4" x14ac:dyDescent="0.25">
      <c r="A307" t="s">
        <v>3189</v>
      </c>
      <c r="B307" t="s">
        <v>2754</v>
      </c>
      <c r="C307" t="s">
        <v>3190</v>
      </c>
      <c r="D307" t="str">
        <f t="shared" si="4"/>
        <v>JULIA ROSS</v>
      </c>
    </row>
    <row r="308" spans="1:4" x14ac:dyDescent="0.25">
      <c r="A308" t="s">
        <v>3191</v>
      </c>
      <c r="B308" t="s">
        <v>2805</v>
      </c>
      <c r="C308" t="s">
        <v>2833</v>
      </c>
      <c r="D308" t="str">
        <f t="shared" si="4"/>
        <v>DONNA ROUSSARIE</v>
      </c>
    </row>
    <row r="309" spans="1:4" x14ac:dyDescent="0.25">
      <c r="A309" t="s">
        <v>3192</v>
      </c>
      <c r="C309" t="s">
        <v>3193</v>
      </c>
      <c r="D309" t="str">
        <f t="shared" si="4"/>
        <v>MARILOU RUSIANA</v>
      </c>
    </row>
    <row r="310" spans="1:4" x14ac:dyDescent="0.25">
      <c r="A310" t="s">
        <v>3194</v>
      </c>
      <c r="B310" t="s">
        <v>2764</v>
      </c>
      <c r="C310" t="s">
        <v>2757</v>
      </c>
      <c r="D310" t="str">
        <f t="shared" si="4"/>
        <v>EDWARD SCHAEFER</v>
      </c>
    </row>
    <row r="311" spans="1:4" x14ac:dyDescent="0.25">
      <c r="A311" t="s">
        <v>3194</v>
      </c>
      <c r="B311" t="s">
        <v>2764</v>
      </c>
      <c r="C311" t="s">
        <v>2923</v>
      </c>
      <c r="D311" t="str">
        <f t="shared" si="4"/>
        <v>PATRICIA SCHAEFER</v>
      </c>
    </row>
    <row r="312" spans="1:4" x14ac:dyDescent="0.25">
      <c r="A312" t="s">
        <v>3195</v>
      </c>
      <c r="C312" t="s">
        <v>3196</v>
      </c>
      <c r="D312" t="str">
        <f t="shared" si="4"/>
        <v>NAOMI SHERIDAN</v>
      </c>
    </row>
    <row r="313" spans="1:4" x14ac:dyDescent="0.25">
      <c r="A313" t="s">
        <v>3197</v>
      </c>
      <c r="B313" t="s">
        <v>2805</v>
      </c>
      <c r="C313" t="s">
        <v>3198</v>
      </c>
      <c r="D313" t="str">
        <f t="shared" si="4"/>
        <v>CYNDIE SIMMONS</v>
      </c>
    </row>
    <row r="314" spans="1:4" x14ac:dyDescent="0.25">
      <c r="A314" t="s">
        <v>3199</v>
      </c>
      <c r="B314" t="s">
        <v>2751</v>
      </c>
      <c r="C314" t="s">
        <v>3112</v>
      </c>
      <c r="D314" t="str">
        <f t="shared" si="4"/>
        <v>GORDON SINCLAIR</v>
      </c>
    </row>
    <row r="315" spans="1:4" x14ac:dyDescent="0.25">
      <c r="A315" t="s">
        <v>3200</v>
      </c>
      <c r="B315" t="s">
        <v>2743</v>
      </c>
      <c r="C315" t="s">
        <v>3201</v>
      </c>
      <c r="D315" t="str">
        <f t="shared" si="4"/>
        <v>VICKI SKINNER</v>
      </c>
    </row>
    <row r="316" spans="1:4" x14ac:dyDescent="0.25">
      <c r="A316" t="s">
        <v>3202</v>
      </c>
      <c r="B316" t="s">
        <v>2743</v>
      </c>
      <c r="C316" t="s">
        <v>3203</v>
      </c>
      <c r="D316" t="str">
        <f t="shared" si="4"/>
        <v>ALISON SPARKS</v>
      </c>
    </row>
    <row r="317" spans="1:4" x14ac:dyDescent="0.25">
      <c r="A317" t="s">
        <v>3204</v>
      </c>
      <c r="B317" t="s">
        <v>2751</v>
      </c>
      <c r="C317" t="s">
        <v>2792</v>
      </c>
      <c r="D317" t="str">
        <f t="shared" si="4"/>
        <v>DARLENE STRAMA</v>
      </c>
    </row>
    <row r="318" spans="1:4" x14ac:dyDescent="0.25">
      <c r="A318" t="s">
        <v>3205</v>
      </c>
      <c r="C318" t="s">
        <v>3206</v>
      </c>
      <c r="D318" t="str">
        <f t="shared" si="4"/>
        <v>ABEL VAN</v>
      </c>
    </row>
    <row r="319" spans="1:4" x14ac:dyDescent="0.25">
      <c r="A319" t="s">
        <v>3207</v>
      </c>
      <c r="C319" t="s">
        <v>3208</v>
      </c>
      <c r="D319" t="str">
        <f t="shared" si="4"/>
        <v>ELENI VETTAS</v>
      </c>
    </row>
    <row r="320" spans="1:4" x14ac:dyDescent="0.25">
      <c r="A320" t="s">
        <v>3209</v>
      </c>
      <c r="B320" t="s">
        <v>3210</v>
      </c>
      <c r="C320" t="s">
        <v>3211</v>
      </c>
      <c r="D320" t="str">
        <f t="shared" si="4"/>
        <v>FRANCISCO VILLA</v>
      </c>
    </row>
    <row r="321" spans="1:4" x14ac:dyDescent="0.25">
      <c r="A321" t="s">
        <v>3212</v>
      </c>
      <c r="B321" t="s">
        <v>2737</v>
      </c>
      <c r="C321" t="s">
        <v>2765</v>
      </c>
      <c r="D321" t="str">
        <f t="shared" si="4"/>
        <v>JOHN VLAHOS</v>
      </c>
    </row>
    <row r="322" spans="1:4" x14ac:dyDescent="0.25">
      <c r="A322" t="s">
        <v>3213</v>
      </c>
      <c r="B322" t="s">
        <v>2751</v>
      </c>
      <c r="C322" t="s">
        <v>2865</v>
      </c>
      <c r="D322" t="str">
        <f t="shared" ref="D322:D385" si="5">CONCATENATE(C322, " ",A322)</f>
        <v>MARK WACHOWICZ</v>
      </c>
    </row>
    <row r="323" spans="1:4" x14ac:dyDescent="0.25">
      <c r="A323" t="s">
        <v>3214</v>
      </c>
      <c r="B323" t="s">
        <v>2764</v>
      </c>
      <c r="C323" t="s">
        <v>2772</v>
      </c>
      <c r="D323" t="str">
        <f t="shared" si="5"/>
        <v>SCOTT WALLACH</v>
      </c>
    </row>
    <row r="324" spans="1:4" x14ac:dyDescent="0.25">
      <c r="A324" t="s">
        <v>3215</v>
      </c>
      <c r="B324" t="s">
        <v>2751</v>
      </c>
      <c r="C324" t="s">
        <v>2923</v>
      </c>
      <c r="D324" t="str">
        <f t="shared" si="5"/>
        <v>PATRICIA WATSON</v>
      </c>
    </row>
    <row r="325" spans="1:4" x14ac:dyDescent="0.25">
      <c r="A325" t="s">
        <v>3216</v>
      </c>
      <c r="B325" t="s">
        <v>2740</v>
      </c>
      <c r="C325" t="s">
        <v>2749</v>
      </c>
      <c r="D325" t="str">
        <f t="shared" si="5"/>
        <v>MARY WEATHERSTONE</v>
      </c>
    </row>
    <row r="326" spans="1:4" x14ac:dyDescent="0.25">
      <c r="A326" t="s">
        <v>3217</v>
      </c>
      <c r="B326" t="s">
        <v>2769</v>
      </c>
      <c r="C326" t="s">
        <v>2765</v>
      </c>
      <c r="D326" t="str">
        <f t="shared" si="5"/>
        <v>JOHN WEBSTER</v>
      </c>
    </row>
    <row r="327" spans="1:4" x14ac:dyDescent="0.25">
      <c r="A327" t="s">
        <v>3218</v>
      </c>
      <c r="B327" t="s">
        <v>2764</v>
      </c>
      <c r="C327" t="s">
        <v>2762</v>
      </c>
      <c r="D327" t="str">
        <f t="shared" si="5"/>
        <v>THOMAS WELCH</v>
      </c>
    </row>
    <row r="328" spans="1:4" x14ac:dyDescent="0.25">
      <c r="A328" t="s">
        <v>3219</v>
      </c>
      <c r="B328" t="s">
        <v>2805</v>
      </c>
      <c r="C328" t="s">
        <v>3220</v>
      </c>
      <c r="D328" t="str">
        <f t="shared" si="5"/>
        <v>RAYMOND WHALEN</v>
      </c>
    </row>
    <row r="329" spans="1:4" x14ac:dyDescent="0.25">
      <c r="A329" t="s">
        <v>3221</v>
      </c>
      <c r="B329" t="s">
        <v>2743</v>
      </c>
      <c r="C329" t="s">
        <v>3222</v>
      </c>
      <c r="D329" t="str">
        <f t="shared" si="5"/>
        <v>RUSSELL WILLIFORD</v>
      </c>
    </row>
    <row r="330" spans="1:4" x14ac:dyDescent="0.25">
      <c r="A330" t="s">
        <v>3223</v>
      </c>
      <c r="B330" t="s">
        <v>2761</v>
      </c>
      <c r="C330" t="s">
        <v>2770</v>
      </c>
      <c r="D330" t="str">
        <f t="shared" si="5"/>
        <v>NANCY WONG</v>
      </c>
    </row>
    <row r="331" spans="1:4" x14ac:dyDescent="0.25">
      <c r="A331" t="s">
        <v>3224</v>
      </c>
      <c r="C331" t="s">
        <v>2961</v>
      </c>
      <c r="D331" t="str">
        <f t="shared" si="5"/>
        <v>BARBARA ZEJER</v>
      </c>
    </row>
    <row r="332" spans="1:4" x14ac:dyDescent="0.25">
      <c r="A332" t="s">
        <v>3225</v>
      </c>
      <c r="B332" t="s">
        <v>2743</v>
      </c>
      <c r="C332" t="s">
        <v>2909</v>
      </c>
      <c r="D332" t="str">
        <f t="shared" si="5"/>
        <v>THERESA PARKS</v>
      </c>
    </row>
    <row r="333" spans="1:4" x14ac:dyDescent="0.25">
      <c r="A333" t="s">
        <v>2768</v>
      </c>
      <c r="C333" t="s">
        <v>3226</v>
      </c>
      <c r="D333" t="str">
        <f t="shared" si="5"/>
        <v>DONNY CLARK</v>
      </c>
    </row>
    <row r="334" spans="1:4" x14ac:dyDescent="0.25">
      <c r="A334" t="s">
        <v>3227</v>
      </c>
      <c r="B334" t="s">
        <v>2805</v>
      </c>
      <c r="C334" t="s">
        <v>3228</v>
      </c>
      <c r="D334" t="str">
        <f t="shared" si="5"/>
        <v>PATRICK DOWDLE</v>
      </c>
    </row>
    <row r="335" spans="1:4" x14ac:dyDescent="0.25">
      <c r="A335" t="s">
        <v>3229</v>
      </c>
      <c r="B335" t="s">
        <v>2751</v>
      </c>
      <c r="C335" t="s">
        <v>2779</v>
      </c>
      <c r="D335" t="str">
        <f t="shared" si="5"/>
        <v>JAMES SHIPLETT</v>
      </c>
    </row>
    <row r="336" spans="1:4" x14ac:dyDescent="0.25">
      <c r="A336" t="s">
        <v>3229</v>
      </c>
      <c r="B336" t="s">
        <v>2805</v>
      </c>
      <c r="C336" t="s">
        <v>3230</v>
      </c>
      <c r="D336" t="str">
        <f t="shared" si="5"/>
        <v>LAURA SHIPLETT</v>
      </c>
    </row>
    <row r="337" spans="1:4" x14ac:dyDescent="0.25">
      <c r="A337" t="s">
        <v>3231</v>
      </c>
      <c r="B337" t="s">
        <v>2751</v>
      </c>
      <c r="C337" t="s">
        <v>3232</v>
      </c>
      <c r="D337" t="str">
        <f t="shared" si="5"/>
        <v>CRAIG STONE</v>
      </c>
    </row>
    <row r="338" spans="1:4" x14ac:dyDescent="0.25">
      <c r="A338" t="s">
        <v>3233</v>
      </c>
      <c r="B338" t="s">
        <v>3234</v>
      </c>
      <c r="C338" t="s">
        <v>3235</v>
      </c>
      <c r="D338" t="str">
        <f t="shared" si="5"/>
        <v>KATHRYN CHAPPELL</v>
      </c>
    </row>
    <row r="339" spans="1:4" x14ac:dyDescent="0.25">
      <c r="A339" t="s">
        <v>2809</v>
      </c>
      <c r="B339" t="s">
        <v>2737</v>
      </c>
      <c r="C339" t="s">
        <v>2845</v>
      </c>
      <c r="D339" t="str">
        <f t="shared" si="5"/>
        <v>RICHARD KENNEDY</v>
      </c>
    </row>
    <row r="340" spans="1:4" x14ac:dyDescent="0.25">
      <c r="A340" t="s">
        <v>2975</v>
      </c>
      <c r="B340" t="s">
        <v>2976</v>
      </c>
      <c r="C340" t="s">
        <v>2977</v>
      </c>
      <c r="D340" t="str">
        <f t="shared" si="5"/>
        <v>TODD PAYNTER</v>
      </c>
    </row>
    <row r="341" spans="1:4" x14ac:dyDescent="0.25">
      <c r="A341" t="s">
        <v>2809</v>
      </c>
      <c r="B341" t="s">
        <v>2737</v>
      </c>
      <c r="C341" t="s">
        <v>2845</v>
      </c>
      <c r="D341" t="str">
        <f t="shared" si="5"/>
        <v>RICHARD KENNEDY</v>
      </c>
    </row>
    <row r="342" spans="1:4" x14ac:dyDescent="0.25">
      <c r="A342" t="s">
        <v>3236</v>
      </c>
      <c r="C342" t="s">
        <v>3237</v>
      </c>
      <c r="D342" t="str">
        <f t="shared" si="5"/>
        <v>ROSEMARIE PECK</v>
      </c>
    </row>
    <row r="343" spans="1:4" x14ac:dyDescent="0.25">
      <c r="A343" t="s">
        <v>3238</v>
      </c>
      <c r="B343" t="s">
        <v>2734</v>
      </c>
      <c r="C343" t="s">
        <v>3154</v>
      </c>
      <c r="D343" t="str">
        <f t="shared" si="5"/>
        <v>TERRY ALBECK</v>
      </c>
    </row>
    <row r="344" spans="1:4" x14ac:dyDescent="0.25">
      <c r="A344" t="s">
        <v>3043</v>
      </c>
      <c r="B344" t="s">
        <v>2769</v>
      </c>
      <c r="C344" t="s">
        <v>2741</v>
      </c>
      <c r="D344" t="str">
        <f t="shared" si="5"/>
        <v>JEFFREY ALLAN</v>
      </c>
    </row>
    <row r="345" spans="1:4" x14ac:dyDescent="0.25">
      <c r="A345" t="s">
        <v>2745</v>
      </c>
      <c r="B345" t="s">
        <v>2737</v>
      </c>
      <c r="C345" t="s">
        <v>3239</v>
      </c>
      <c r="D345" t="str">
        <f t="shared" si="5"/>
        <v>CLIFFORD ANDERSON</v>
      </c>
    </row>
    <row r="346" spans="1:4" x14ac:dyDescent="0.25">
      <c r="A346" t="s">
        <v>3240</v>
      </c>
      <c r="B346" t="s">
        <v>2764</v>
      </c>
      <c r="C346" t="s">
        <v>2816</v>
      </c>
      <c r="D346" t="str">
        <f t="shared" si="5"/>
        <v>LINDA ARMSTRONG</v>
      </c>
    </row>
    <row r="347" spans="1:4" x14ac:dyDescent="0.25">
      <c r="A347" t="s">
        <v>3241</v>
      </c>
      <c r="B347" t="s">
        <v>2734</v>
      </c>
      <c r="C347" t="s">
        <v>3242</v>
      </c>
      <c r="D347" t="str">
        <f t="shared" si="5"/>
        <v>EARL BALENTINE</v>
      </c>
    </row>
    <row r="348" spans="1:4" x14ac:dyDescent="0.25">
      <c r="A348" t="s">
        <v>3243</v>
      </c>
      <c r="B348" t="s">
        <v>2827</v>
      </c>
      <c r="C348" t="s">
        <v>3244</v>
      </c>
      <c r="D348" t="str">
        <f t="shared" si="5"/>
        <v>JOANNE BAPTISTE</v>
      </c>
    </row>
    <row r="349" spans="1:4" x14ac:dyDescent="0.25">
      <c r="A349" t="s">
        <v>3243</v>
      </c>
      <c r="B349" t="s">
        <v>2754</v>
      </c>
      <c r="C349" t="s">
        <v>2845</v>
      </c>
      <c r="D349" t="str">
        <f t="shared" si="5"/>
        <v>RICHARD BAPTISTE</v>
      </c>
    </row>
    <row r="350" spans="1:4" x14ac:dyDescent="0.25">
      <c r="A350" t="s">
        <v>3245</v>
      </c>
      <c r="B350" t="s">
        <v>2751</v>
      </c>
      <c r="C350" t="s">
        <v>3246</v>
      </c>
      <c r="D350" t="str">
        <f t="shared" si="5"/>
        <v>DEBRA BARRALL</v>
      </c>
    </row>
    <row r="351" spans="1:4" x14ac:dyDescent="0.25">
      <c r="A351" t="s">
        <v>3247</v>
      </c>
      <c r="B351" t="s">
        <v>2743</v>
      </c>
      <c r="C351" t="s">
        <v>3248</v>
      </c>
      <c r="D351" t="str">
        <f t="shared" si="5"/>
        <v>SUZEE BEBLO</v>
      </c>
    </row>
    <row r="352" spans="1:4" x14ac:dyDescent="0.25">
      <c r="A352" t="s">
        <v>3247</v>
      </c>
      <c r="B352" t="s">
        <v>2849</v>
      </c>
      <c r="C352" t="s">
        <v>2815</v>
      </c>
      <c r="D352" t="str">
        <f t="shared" si="5"/>
        <v>ALAN BEBLO</v>
      </c>
    </row>
    <row r="353" spans="1:4" x14ac:dyDescent="0.25">
      <c r="A353" t="s">
        <v>3249</v>
      </c>
      <c r="C353" t="s">
        <v>3250</v>
      </c>
      <c r="D353" t="str">
        <f t="shared" si="5"/>
        <v>REBA BECKER</v>
      </c>
    </row>
    <row r="354" spans="1:4" x14ac:dyDescent="0.25">
      <c r="A354" t="s">
        <v>3251</v>
      </c>
      <c r="B354" t="s">
        <v>2827</v>
      </c>
      <c r="C354" t="s">
        <v>2788</v>
      </c>
      <c r="D354" t="str">
        <f t="shared" si="5"/>
        <v>MARGARET BEERS</v>
      </c>
    </row>
    <row r="355" spans="1:4" x14ac:dyDescent="0.25">
      <c r="A355" t="s">
        <v>3252</v>
      </c>
      <c r="B355" t="s">
        <v>2764</v>
      </c>
      <c r="C355" t="s">
        <v>2831</v>
      </c>
      <c r="D355" t="str">
        <f t="shared" si="5"/>
        <v>DENNIS BELL</v>
      </c>
    </row>
    <row r="356" spans="1:4" x14ac:dyDescent="0.25">
      <c r="A356" t="s">
        <v>3253</v>
      </c>
      <c r="B356" t="s">
        <v>2827</v>
      </c>
      <c r="C356" t="s">
        <v>3254</v>
      </c>
      <c r="D356" t="str">
        <f t="shared" si="5"/>
        <v>JONATHAN BENETAS</v>
      </c>
    </row>
    <row r="357" spans="1:4" x14ac:dyDescent="0.25">
      <c r="A357" t="s">
        <v>3255</v>
      </c>
      <c r="C357" t="s">
        <v>2762</v>
      </c>
      <c r="D357" t="str">
        <f t="shared" si="5"/>
        <v>THOMAS BISHOP</v>
      </c>
    </row>
    <row r="358" spans="1:4" x14ac:dyDescent="0.25">
      <c r="A358" t="s">
        <v>3256</v>
      </c>
      <c r="B358" t="s">
        <v>2805</v>
      </c>
      <c r="C358" t="s">
        <v>2765</v>
      </c>
      <c r="D358" t="str">
        <f t="shared" si="5"/>
        <v>JOHN BLAZOSKY</v>
      </c>
    </row>
    <row r="359" spans="1:4" x14ac:dyDescent="0.25">
      <c r="A359" t="s">
        <v>3257</v>
      </c>
      <c r="B359" t="s">
        <v>2751</v>
      </c>
      <c r="C359" t="s">
        <v>2762</v>
      </c>
      <c r="D359" t="str">
        <f t="shared" si="5"/>
        <v>THOMAS BORCZ</v>
      </c>
    </row>
    <row r="360" spans="1:4" x14ac:dyDescent="0.25">
      <c r="A360" t="s">
        <v>3258</v>
      </c>
      <c r="B360" t="s">
        <v>2805</v>
      </c>
      <c r="C360" t="s">
        <v>3259</v>
      </c>
      <c r="D360" t="str">
        <f t="shared" si="5"/>
        <v>DARCEE BOWSER</v>
      </c>
    </row>
    <row r="361" spans="1:4" x14ac:dyDescent="0.25">
      <c r="A361" t="s">
        <v>3260</v>
      </c>
      <c r="C361" t="s">
        <v>3261</v>
      </c>
      <c r="D361" t="str">
        <f t="shared" si="5"/>
        <v>CARL BRACKEN</v>
      </c>
    </row>
    <row r="362" spans="1:4" x14ac:dyDescent="0.25">
      <c r="A362" t="s">
        <v>3260</v>
      </c>
      <c r="C362" t="s">
        <v>3262</v>
      </c>
      <c r="D362" t="str">
        <f t="shared" si="5"/>
        <v>GRACE BRACKEN</v>
      </c>
    </row>
    <row r="363" spans="1:4" x14ac:dyDescent="0.25">
      <c r="A363" t="s">
        <v>3263</v>
      </c>
      <c r="B363" t="s">
        <v>2751</v>
      </c>
      <c r="C363" t="s">
        <v>2865</v>
      </c>
      <c r="D363" t="str">
        <f t="shared" si="5"/>
        <v>MARK BRANTHOOVER</v>
      </c>
    </row>
    <row r="364" spans="1:4" x14ac:dyDescent="0.25">
      <c r="A364" t="s">
        <v>3264</v>
      </c>
      <c r="B364" t="s">
        <v>2813</v>
      </c>
      <c r="C364" t="s">
        <v>3265</v>
      </c>
      <c r="D364" t="str">
        <f t="shared" si="5"/>
        <v>GERALD BRNA</v>
      </c>
    </row>
    <row r="365" spans="1:4" x14ac:dyDescent="0.25">
      <c r="A365" t="s">
        <v>3089</v>
      </c>
      <c r="B365" t="s">
        <v>2751</v>
      </c>
      <c r="C365" t="s">
        <v>2841</v>
      </c>
      <c r="D365" t="str">
        <f t="shared" si="5"/>
        <v>ROBERT BROWN</v>
      </c>
    </row>
    <row r="366" spans="1:4" x14ac:dyDescent="0.25">
      <c r="A366" t="s">
        <v>3266</v>
      </c>
      <c r="B366" t="s">
        <v>2754</v>
      </c>
      <c r="C366" t="s">
        <v>3267</v>
      </c>
      <c r="D366" t="str">
        <f t="shared" si="5"/>
        <v>NICHOLAS BURKA</v>
      </c>
    </row>
    <row r="367" spans="1:4" x14ac:dyDescent="0.25">
      <c r="A367" t="s">
        <v>3268</v>
      </c>
      <c r="B367" t="s">
        <v>2751</v>
      </c>
      <c r="C367" t="s">
        <v>2921</v>
      </c>
      <c r="D367" t="str">
        <f t="shared" si="5"/>
        <v>JOSEPH CALAMUSA</v>
      </c>
    </row>
    <row r="368" spans="1:4" x14ac:dyDescent="0.25">
      <c r="A368" t="s">
        <v>3268</v>
      </c>
      <c r="B368" t="s">
        <v>2751</v>
      </c>
      <c r="C368" t="s">
        <v>3269</v>
      </c>
      <c r="D368" t="str">
        <f t="shared" si="5"/>
        <v>TERESA CALAMUSA</v>
      </c>
    </row>
    <row r="369" spans="1:4" x14ac:dyDescent="0.25">
      <c r="A369" t="s">
        <v>3270</v>
      </c>
      <c r="B369" t="s">
        <v>2805</v>
      </c>
      <c r="C369" t="s">
        <v>2816</v>
      </c>
      <c r="D369" t="str">
        <f t="shared" si="5"/>
        <v>LINDA CARSON</v>
      </c>
    </row>
    <row r="370" spans="1:4" x14ac:dyDescent="0.25">
      <c r="A370" t="s">
        <v>3271</v>
      </c>
      <c r="B370" t="s">
        <v>2751</v>
      </c>
      <c r="C370" t="s">
        <v>2923</v>
      </c>
      <c r="D370" t="str">
        <f t="shared" si="5"/>
        <v>PATRICIA CHAFFIN</v>
      </c>
    </row>
    <row r="371" spans="1:4" x14ac:dyDescent="0.25">
      <c r="A371" t="s">
        <v>3272</v>
      </c>
      <c r="B371" t="s">
        <v>2743</v>
      </c>
      <c r="C371" t="s">
        <v>2841</v>
      </c>
      <c r="D371" t="str">
        <f t="shared" si="5"/>
        <v>ROBERT CHRISTY</v>
      </c>
    </row>
    <row r="372" spans="1:4" x14ac:dyDescent="0.25">
      <c r="A372" t="s">
        <v>3272</v>
      </c>
      <c r="B372" t="s">
        <v>2764</v>
      </c>
      <c r="C372" t="s">
        <v>3242</v>
      </c>
      <c r="D372" t="str">
        <f t="shared" si="5"/>
        <v>EARL CHRISTY</v>
      </c>
    </row>
    <row r="373" spans="1:4" x14ac:dyDescent="0.25">
      <c r="A373" t="s">
        <v>3273</v>
      </c>
      <c r="B373" t="s">
        <v>2743</v>
      </c>
      <c r="C373" t="s">
        <v>2865</v>
      </c>
      <c r="D373" t="str">
        <f t="shared" si="5"/>
        <v>MARK CIESIELSKI</v>
      </c>
    </row>
    <row r="374" spans="1:4" x14ac:dyDescent="0.25">
      <c r="A374" t="s">
        <v>2768</v>
      </c>
      <c r="B374" t="s">
        <v>2734</v>
      </c>
      <c r="C374" t="s">
        <v>3242</v>
      </c>
      <c r="D374" t="str">
        <f t="shared" si="5"/>
        <v>EARL CLARK</v>
      </c>
    </row>
    <row r="375" spans="1:4" x14ac:dyDescent="0.25">
      <c r="A375" t="s">
        <v>3274</v>
      </c>
      <c r="B375" t="s">
        <v>2754</v>
      </c>
      <c r="C375" t="s">
        <v>2762</v>
      </c>
      <c r="D375" t="str">
        <f t="shared" si="5"/>
        <v>THOMAS CLAY</v>
      </c>
    </row>
    <row r="376" spans="1:4" x14ac:dyDescent="0.25">
      <c r="A376" t="s">
        <v>3275</v>
      </c>
      <c r="B376" t="s">
        <v>2761</v>
      </c>
      <c r="C376" t="s">
        <v>2825</v>
      </c>
      <c r="D376" t="str">
        <f t="shared" si="5"/>
        <v>KENNETH CLAYPOOLE</v>
      </c>
    </row>
    <row r="377" spans="1:4" x14ac:dyDescent="0.25">
      <c r="A377" t="s">
        <v>3275</v>
      </c>
      <c r="B377" t="s">
        <v>3234</v>
      </c>
      <c r="C377" t="s">
        <v>2938</v>
      </c>
      <c r="D377" t="str">
        <f t="shared" si="5"/>
        <v>RUTH CLAYPOOLE</v>
      </c>
    </row>
    <row r="378" spans="1:4" x14ac:dyDescent="0.25">
      <c r="A378" t="s">
        <v>3276</v>
      </c>
      <c r="C378" t="s">
        <v>2845</v>
      </c>
      <c r="D378" t="str">
        <f t="shared" si="5"/>
        <v>RICHARD CLOUSE</v>
      </c>
    </row>
    <row r="379" spans="1:4" x14ac:dyDescent="0.25">
      <c r="A379" t="s">
        <v>3277</v>
      </c>
      <c r="B379" t="s">
        <v>2754</v>
      </c>
      <c r="C379" t="s">
        <v>3278</v>
      </c>
      <c r="D379" t="str">
        <f t="shared" si="5"/>
        <v>KIMBERLY COBLENTZ</v>
      </c>
    </row>
    <row r="380" spans="1:4" x14ac:dyDescent="0.25">
      <c r="A380" t="s">
        <v>3279</v>
      </c>
      <c r="B380" t="s">
        <v>2737</v>
      </c>
      <c r="C380" t="s">
        <v>3280</v>
      </c>
      <c r="D380" t="str">
        <f t="shared" si="5"/>
        <v>CLAUDIA CONTE</v>
      </c>
    </row>
    <row r="381" spans="1:4" x14ac:dyDescent="0.25">
      <c r="A381" t="s">
        <v>3281</v>
      </c>
      <c r="B381" t="s">
        <v>2751</v>
      </c>
      <c r="C381" t="s">
        <v>3282</v>
      </c>
      <c r="D381" t="str">
        <f t="shared" si="5"/>
        <v>GLENDA COUGHENOUR</v>
      </c>
    </row>
    <row r="382" spans="1:4" x14ac:dyDescent="0.25">
      <c r="A382" t="s">
        <v>3281</v>
      </c>
      <c r="B382" t="s">
        <v>2761</v>
      </c>
      <c r="C382" t="s">
        <v>2845</v>
      </c>
      <c r="D382" t="str">
        <f t="shared" si="5"/>
        <v>RICHARD COUGHENOUR</v>
      </c>
    </row>
    <row r="383" spans="1:4" x14ac:dyDescent="0.25">
      <c r="A383" t="s">
        <v>3232</v>
      </c>
      <c r="B383" t="s">
        <v>2976</v>
      </c>
      <c r="C383" t="s">
        <v>2970</v>
      </c>
      <c r="D383" t="str">
        <f t="shared" si="5"/>
        <v>CHARLES CRAIG</v>
      </c>
    </row>
    <row r="384" spans="1:4" x14ac:dyDescent="0.25">
      <c r="A384" t="s">
        <v>3283</v>
      </c>
      <c r="B384" t="s">
        <v>2805</v>
      </c>
      <c r="C384" t="s">
        <v>2961</v>
      </c>
      <c r="D384" t="str">
        <f t="shared" si="5"/>
        <v>BARBARA CRANE</v>
      </c>
    </row>
    <row r="385" spans="1:4" x14ac:dyDescent="0.25">
      <c r="A385" t="s">
        <v>3283</v>
      </c>
      <c r="B385" t="s">
        <v>2743</v>
      </c>
      <c r="C385" t="s">
        <v>2741</v>
      </c>
      <c r="D385" t="str">
        <f t="shared" si="5"/>
        <v>JEFFREY CRANE</v>
      </c>
    </row>
    <row r="386" spans="1:4" x14ac:dyDescent="0.25">
      <c r="A386" t="s">
        <v>3284</v>
      </c>
      <c r="B386" t="s">
        <v>2751</v>
      </c>
      <c r="C386" t="s">
        <v>3285</v>
      </c>
      <c r="D386" t="str">
        <f t="shared" ref="D386:D449" si="6">CONCATENATE(C386, " ",A386)</f>
        <v>GEORGE CRAVEN</v>
      </c>
    </row>
    <row r="387" spans="1:4" x14ac:dyDescent="0.25">
      <c r="A387" t="s">
        <v>3286</v>
      </c>
      <c r="B387" t="s">
        <v>2751</v>
      </c>
      <c r="C387" t="s">
        <v>2851</v>
      </c>
      <c r="D387" t="str">
        <f t="shared" si="6"/>
        <v>TIMOTHY CRIDER</v>
      </c>
    </row>
    <row r="388" spans="1:4" x14ac:dyDescent="0.25">
      <c r="A388" t="s">
        <v>3286</v>
      </c>
      <c r="B388" t="s">
        <v>2769</v>
      </c>
      <c r="C388" t="s">
        <v>2746</v>
      </c>
      <c r="D388" t="str">
        <f t="shared" si="6"/>
        <v>SANDRA CRIDER</v>
      </c>
    </row>
    <row r="389" spans="1:4" x14ac:dyDescent="0.25">
      <c r="A389" t="s">
        <v>3287</v>
      </c>
      <c r="B389" t="s">
        <v>2743</v>
      </c>
      <c r="C389" t="s">
        <v>2759</v>
      </c>
      <c r="D389" t="str">
        <f t="shared" si="6"/>
        <v>SUSAN CUPPS</v>
      </c>
    </row>
    <row r="390" spans="1:4" x14ac:dyDescent="0.25">
      <c r="A390" t="s">
        <v>3287</v>
      </c>
      <c r="B390" t="s">
        <v>2754</v>
      </c>
      <c r="C390" t="s">
        <v>3265</v>
      </c>
      <c r="D390" t="str">
        <f t="shared" si="6"/>
        <v>GERALD CUPPS</v>
      </c>
    </row>
    <row r="391" spans="1:4" x14ac:dyDescent="0.25">
      <c r="A391" t="s">
        <v>3288</v>
      </c>
      <c r="C391" t="s">
        <v>3244</v>
      </c>
      <c r="D391" t="str">
        <f t="shared" si="6"/>
        <v>JOANNE DALUISIO</v>
      </c>
    </row>
    <row r="392" spans="1:4" x14ac:dyDescent="0.25">
      <c r="A392" t="s">
        <v>3289</v>
      </c>
      <c r="B392" t="s">
        <v>2764</v>
      </c>
      <c r="C392" t="s">
        <v>3290</v>
      </c>
      <c r="D392" t="str">
        <f t="shared" si="6"/>
        <v>JANICE DEMARTINI</v>
      </c>
    </row>
    <row r="393" spans="1:4" x14ac:dyDescent="0.25">
      <c r="A393" t="s">
        <v>3291</v>
      </c>
      <c r="B393" t="s">
        <v>2743</v>
      </c>
      <c r="C393" t="s">
        <v>2788</v>
      </c>
      <c r="D393" t="str">
        <f t="shared" si="6"/>
        <v>MARGARET DICKMAN</v>
      </c>
    </row>
    <row r="394" spans="1:4" x14ac:dyDescent="0.25">
      <c r="A394" t="s">
        <v>3292</v>
      </c>
      <c r="B394" t="s">
        <v>2764</v>
      </c>
      <c r="C394" t="s">
        <v>3293</v>
      </c>
      <c r="D394" t="str">
        <f t="shared" si="6"/>
        <v>ANNA DICKSON</v>
      </c>
    </row>
    <row r="395" spans="1:4" x14ac:dyDescent="0.25">
      <c r="A395" t="s">
        <v>3294</v>
      </c>
      <c r="B395" t="s">
        <v>2740</v>
      </c>
      <c r="C395" t="s">
        <v>3295</v>
      </c>
      <c r="D395" t="str">
        <f t="shared" si="6"/>
        <v>CORNELIUS DORCY</v>
      </c>
    </row>
    <row r="396" spans="1:4" x14ac:dyDescent="0.25">
      <c r="A396" t="s">
        <v>3294</v>
      </c>
      <c r="B396" t="s">
        <v>2805</v>
      </c>
      <c r="C396" t="s">
        <v>3052</v>
      </c>
      <c r="D396" t="str">
        <f t="shared" si="6"/>
        <v>PAMELA DORCY</v>
      </c>
    </row>
    <row r="397" spans="1:4" x14ac:dyDescent="0.25">
      <c r="A397" t="s">
        <v>3296</v>
      </c>
      <c r="B397" t="s">
        <v>2896</v>
      </c>
      <c r="C397" t="s">
        <v>3297</v>
      </c>
      <c r="D397" t="str">
        <f t="shared" si="6"/>
        <v>JOLINDA DOUTHETT</v>
      </c>
    </row>
    <row r="398" spans="1:4" x14ac:dyDescent="0.25">
      <c r="A398" t="s">
        <v>3298</v>
      </c>
      <c r="B398" t="s">
        <v>2754</v>
      </c>
      <c r="C398" t="s">
        <v>2779</v>
      </c>
      <c r="D398" t="str">
        <f t="shared" si="6"/>
        <v>JAMES DUDEK</v>
      </c>
    </row>
    <row r="399" spans="1:4" x14ac:dyDescent="0.25">
      <c r="A399" t="s">
        <v>3299</v>
      </c>
      <c r="B399" t="s">
        <v>2743</v>
      </c>
      <c r="C399" t="s">
        <v>2785</v>
      </c>
      <c r="D399" t="str">
        <f t="shared" si="6"/>
        <v>PAUL EDGERTON</v>
      </c>
    </row>
    <row r="400" spans="1:4" x14ac:dyDescent="0.25">
      <c r="A400" t="s">
        <v>3299</v>
      </c>
      <c r="C400" t="s">
        <v>2816</v>
      </c>
      <c r="D400" t="str">
        <f t="shared" si="6"/>
        <v>LINDA EDGERTON</v>
      </c>
    </row>
    <row r="401" spans="1:4" x14ac:dyDescent="0.25">
      <c r="A401" t="s">
        <v>3300</v>
      </c>
      <c r="B401" t="s">
        <v>2805</v>
      </c>
      <c r="C401" t="s">
        <v>2741</v>
      </c>
      <c r="D401" t="str">
        <f t="shared" si="6"/>
        <v>JEFFREY EDWARDS</v>
      </c>
    </row>
    <row r="402" spans="1:4" x14ac:dyDescent="0.25">
      <c r="A402" t="s">
        <v>3301</v>
      </c>
      <c r="B402" t="s">
        <v>2769</v>
      </c>
      <c r="C402" t="s">
        <v>2841</v>
      </c>
      <c r="D402" t="str">
        <f t="shared" si="6"/>
        <v>ROBERT EMIGH</v>
      </c>
    </row>
    <row r="403" spans="1:4" x14ac:dyDescent="0.25">
      <c r="A403" t="s">
        <v>3302</v>
      </c>
      <c r="B403" t="s">
        <v>2764</v>
      </c>
      <c r="C403" t="s">
        <v>3303</v>
      </c>
      <c r="D403" t="str">
        <f t="shared" si="6"/>
        <v>SHIRLEY ERWIN</v>
      </c>
    </row>
    <row r="404" spans="1:4" x14ac:dyDescent="0.25">
      <c r="A404" t="s">
        <v>3304</v>
      </c>
      <c r="B404" t="s">
        <v>2764</v>
      </c>
      <c r="C404" t="s">
        <v>2816</v>
      </c>
      <c r="D404" t="str">
        <f t="shared" si="6"/>
        <v>LINDA EURY</v>
      </c>
    </row>
    <row r="405" spans="1:4" x14ac:dyDescent="0.25">
      <c r="A405" t="s">
        <v>2786</v>
      </c>
      <c r="B405" t="s">
        <v>2754</v>
      </c>
      <c r="C405" t="s">
        <v>3002</v>
      </c>
      <c r="D405" t="str">
        <f t="shared" si="6"/>
        <v>EUGENE EVANS</v>
      </c>
    </row>
    <row r="406" spans="1:4" x14ac:dyDescent="0.25">
      <c r="A406" t="s">
        <v>3305</v>
      </c>
      <c r="B406" t="s">
        <v>2827</v>
      </c>
      <c r="C406" t="s">
        <v>2779</v>
      </c>
      <c r="D406" t="str">
        <f t="shared" si="6"/>
        <v>JAMES FAGAN</v>
      </c>
    </row>
    <row r="407" spans="1:4" x14ac:dyDescent="0.25">
      <c r="A407" t="s">
        <v>3306</v>
      </c>
      <c r="B407" t="s">
        <v>2737</v>
      </c>
      <c r="C407" t="s">
        <v>3307</v>
      </c>
      <c r="D407" t="str">
        <f t="shared" si="6"/>
        <v>WILFRED FAHRNEY</v>
      </c>
    </row>
    <row r="408" spans="1:4" x14ac:dyDescent="0.25">
      <c r="A408" t="s">
        <v>3308</v>
      </c>
      <c r="B408" t="s">
        <v>2805</v>
      </c>
      <c r="C408" t="s">
        <v>2757</v>
      </c>
      <c r="D408" t="str">
        <f t="shared" si="6"/>
        <v>EDWARD FANTUZZO</v>
      </c>
    </row>
    <row r="409" spans="1:4" x14ac:dyDescent="0.25">
      <c r="A409" t="s">
        <v>3309</v>
      </c>
      <c r="B409" t="s">
        <v>2751</v>
      </c>
      <c r="C409" t="s">
        <v>2991</v>
      </c>
      <c r="D409" t="str">
        <f t="shared" si="6"/>
        <v>GREGORY FERDINANDSEN</v>
      </c>
    </row>
    <row r="410" spans="1:4" x14ac:dyDescent="0.25">
      <c r="A410" t="s">
        <v>3309</v>
      </c>
      <c r="B410" t="s">
        <v>2896</v>
      </c>
      <c r="C410" t="s">
        <v>2749</v>
      </c>
      <c r="D410" t="str">
        <f t="shared" si="6"/>
        <v>MARY FERDINANDSEN</v>
      </c>
    </row>
    <row r="411" spans="1:4" x14ac:dyDescent="0.25">
      <c r="A411" t="s">
        <v>3309</v>
      </c>
      <c r="B411" t="s">
        <v>2764</v>
      </c>
      <c r="C411" t="s">
        <v>2980</v>
      </c>
      <c r="D411" t="str">
        <f t="shared" si="6"/>
        <v>MICHAEL FERDINANDSEN</v>
      </c>
    </row>
    <row r="412" spans="1:4" x14ac:dyDescent="0.25">
      <c r="A412" t="s">
        <v>3310</v>
      </c>
      <c r="B412" t="s">
        <v>2761</v>
      </c>
      <c r="C412" t="s">
        <v>3311</v>
      </c>
      <c r="D412" t="str">
        <f t="shared" si="6"/>
        <v>HELEN FERGUSON</v>
      </c>
    </row>
    <row r="413" spans="1:4" x14ac:dyDescent="0.25">
      <c r="A413" t="s">
        <v>3312</v>
      </c>
      <c r="B413" t="s">
        <v>2751</v>
      </c>
      <c r="C413" t="s">
        <v>2851</v>
      </c>
      <c r="D413" t="str">
        <f t="shared" si="6"/>
        <v>TIMOTHY FLANIGAN</v>
      </c>
    </row>
    <row r="414" spans="1:4" x14ac:dyDescent="0.25">
      <c r="A414" t="s">
        <v>3313</v>
      </c>
      <c r="B414" t="s">
        <v>2764</v>
      </c>
      <c r="C414" t="s">
        <v>3314</v>
      </c>
      <c r="D414" t="str">
        <f t="shared" si="6"/>
        <v>ROBIN GALL</v>
      </c>
    </row>
    <row r="415" spans="1:4" x14ac:dyDescent="0.25">
      <c r="A415" t="s">
        <v>3315</v>
      </c>
      <c r="B415" t="s">
        <v>2743</v>
      </c>
      <c r="C415" t="s">
        <v>2735</v>
      </c>
      <c r="D415" t="str">
        <f t="shared" si="6"/>
        <v>KEVIN GALLAGHER</v>
      </c>
    </row>
    <row r="416" spans="1:4" x14ac:dyDescent="0.25">
      <c r="A416" t="s">
        <v>3316</v>
      </c>
      <c r="B416" t="s">
        <v>2743</v>
      </c>
      <c r="C416" t="s">
        <v>3290</v>
      </c>
      <c r="D416" t="str">
        <f t="shared" si="6"/>
        <v>JANICE GAWLIK</v>
      </c>
    </row>
    <row r="417" spans="1:4" x14ac:dyDescent="0.25">
      <c r="A417" t="s">
        <v>3112</v>
      </c>
      <c r="B417" t="s">
        <v>2743</v>
      </c>
      <c r="C417" t="s">
        <v>2749</v>
      </c>
      <c r="D417" t="str">
        <f t="shared" si="6"/>
        <v>MARY GORDON</v>
      </c>
    </row>
    <row r="418" spans="1:4" x14ac:dyDescent="0.25">
      <c r="A418" t="s">
        <v>3317</v>
      </c>
      <c r="B418" t="s">
        <v>2748</v>
      </c>
      <c r="C418" t="s">
        <v>3318</v>
      </c>
      <c r="D418" t="str">
        <f t="shared" si="6"/>
        <v>NORMAN GRAHAM</v>
      </c>
    </row>
    <row r="419" spans="1:4" x14ac:dyDescent="0.25">
      <c r="A419" t="s">
        <v>3317</v>
      </c>
      <c r="B419" t="s">
        <v>2743</v>
      </c>
      <c r="C419" t="s">
        <v>3319</v>
      </c>
      <c r="D419" t="str">
        <f t="shared" si="6"/>
        <v>STELLA GRAHAM</v>
      </c>
    </row>
    <row r="420" spans="1:4" x14ac:dyDescent="0.25">
      <c r="A420" t="s">
        <v>3320</v>
      </c>
      <c r="B420" t="s">
        <v>2805</v>
      </c>
      <c r="C420" t="s">
        <v>2899</v>
      </c>
      <c r="D420" t="str">
        <f t="shared" si="6"/>
        <v>RONALD GUINEY</v>
      </c>
    </row>
    <row r="421" spans="1:4" x14ac:dyDescent="0.25">
      <c r="A421" t="s">
        <v>3321</v>
      </c>
      <c r="B421" t="s">
        <v>2884</v>
      </c>
      <c r="C421" t="s">
        <v>2796</v>
      </c>
      <c r="D421" t="str">
        <f t="shared" si="6"/>
        <v>WILLIAM HARTSHORN</v>
      </c>
    </row>
    <row r="422" spans="1:4" x14ac:dyDescent="0.25">
      <c r="A422" t="s">
        <v>3322</v>
      </c>
      <c r="B422" t="s">
        <v>2751</v>
      </c>
      <c r="C422" t="s">
        <v>3323</v>
      </c>
      <c r="D422" t="str">
        <f t="shared" si="6"/>
        <v>BETSY HARVEY</v>
      </c>
    </row>
    <row r="423" spans="1:4" x14ac:dyDescent="0.25">
      <c r="A423" t="s">
        <v>3324</v>
      </c>
      <c r="B423" t="s">
        <v>2743</v>
      </c>
      <c r="C423" t="s">
        <v>3201</v>
      </c>
      <c r="D423" t="str">
        <f t="shared" si="6"/>
        <v>VICKI HEFFERAN</v>
      </c>
    </row>
    <row r="424" spans="1:4" x14ac:dyDescent="0.25">
      <c r="A424" t="s">
        <v>3325</v>
      </c>
      <c r="B424" t="s">
        <v>2896</v>
      </c>
      <c r="C424" t="s">
        <v>2993</v>
      </c>
      <c r="D424" t="str">
        <f t="shared" si="6"/>
        <v>DOUGLAS HERVEY</v>
      </c>
    </row>
    <row r="425" spans="1:4" x14ac:dyDescent="0.25">
      <c r="A425" t="s">
        <v>3325</v>
      </c>
      <c r="C425" t="s">
        <v>3326</v>
      </c>
      <c r="D425" t="str">
        <f t="shared" si="6"/>
        <v>CAROLYN HERVEY</v>
      </c>
    </row>
    <row r="426" spans="1:4" x14ac:dyDescent="0.25">
      <c r="A426" t="s">
        <v>3327</v>
      </c>
      <c r="B426" t="s">
        <v>2761</v>
      </c>
      <c r="C426" t="s">
        <v>2785</v>
      </c>
      <c r="D426" t="str">
        <f t="shared" si="6"/>
        <v>PAUL HICKOK</v>
      </c>
    </row>
    <row r="427" spans="1:4" x14ac:dyDescent="0.25">
      <c r="A427" t="s">
        <v>3328</v>
      </c>
      <c r="C427" t="s">
        <v>2882</v>
      </c>
      <c r="D427" t="str">
        <f t="shared" si="6"/>
        <v>KAREN HILLIARD</v>
      </c>
    </row>
    <row r="428" spans="1:4" x14ac:dyDescent="0.25">
      <c r="A428" t="s">
        <v>3329</v>
      </c>
      <c r="B428" t="s">
        <v>2805</v>
      </c>
      <c r="C428" t="s">
        <v>3330</v>
      </c>
      <c r="D428" t="str">
        <f t="shared" si="6"/>
        <v>DENA HOCHBEIN</v>
      </c>
    </row>
    <row r="429" spans="1:4" x14ac:dyDescent="0.25">
      <c r="A429" t="s">
        <v>3329</v>
      </c>
      <c r="C429" t="s">
        <v>2796</v>
      </c>
      <c r="D429" t="str">
        <f t="shared" si="6"/>
        <v>WILLIAM HOCHBEIN</v>
      </c>
    </row>
    <row r="430" spans="1:4" x14ac:dyDescent="0.25">
      <c r="A430" t="s">
        <v>3331</v>
      </c>
      <c r="C430" t="s">
        <v>2921</v>
      </c>
      <c r="D430" t="str">
        <f t="shared" si="6"/>
        <v>JOSEPH HOFFMAN</v>
      </c>
    </row>
    <row r="431" spans="1:4" x14ac:dyDescent="0.25">
      <c r="A431" t="s">
        <v>3331</v>
      </c>
      <c r="C431" t="s">
        <v>2953</v>
      </c>
      <c r="D431" t="str">
        <f t="shared" si="6"/>
        <v>VICTORIA HOFFMAN</v>
      </c>
    </row>
    <row r="432" spans="1:4" x14ac:dyDescent="0.25">
      <c r="A432" t="s">
        <v>3332</v>
      </c>
      <c r="B432" t="s">
        <v>2764</v>
      </c>
      <c r="C432" t="s">
        <v>2845</v>
      </c>
      <c r="D432" t="str">
        <f t="shared" si="6"/>
        <v>RICHARD HOLSTINE</v>
      </c>
    </row>
    <row r="433" spans="1:4" x14ac:dyDescent="0.25">
      <c r="A433" t="s">
        <v>3333</v>
      </c>
      <c r="B433" t="s">
        <v>2813</v>
      </c>
      <c r="C433" t="s">
        <v>2800</v>
      </c>
      <c r="D433" t="str">
        <f t="shared" si="6"/>
        <v>STEVEN HOMISON</v>
      </c>
    </row>
    <row r="434" spans="1:4" x14ac:dyDescent="0.25">
      <c r="A434" t="s">
        <v>3334</v>
      </c>
      <c r="B434" t="s">
        <v>2737</v>
      </c>
      <c r="C434" t="s">
        <v>3335</v>
      </c>
      <c r="D434" t="str">
        <f t="shared" si="6"/>
        <v>DAVENA HOPSON</v>
      </c>
    </row>
    <row r="435" spans="1:4" x14ac:dyDescent="0.25">
      <c r="A435" t="s">
        <v>3336</v>
      </c>
      <c r="B435" t="s">
        <v>2813</v>
      </c>
      <c r="C435" t="s">
        <v>3337</v>
      </c>
      <c r="D435" t="str">
        <f t="shared" si="6"/>
        <v>EDDIE JEWART</v>
      </c>
    </row>
    <row r="436" spans="1:4" x14ac:dyDescent="0.25">
      <c r="A436" t="s">
        <v>3336</v>
      </c>
      <c r="B436" t="s">
        <v>2813</v>
      </c>
      <c r="C436" t="s">
        <v>3052</v>
      </c>
      <c r="D436" t="str">
        <f t="shared" si="6"/>
        <v>PAMELA JEWART</v>
      </c>
    </row>
    <row r="437" spans="1:4" x14ac:dyDescent="0.25">
      <c r="A437" t="s">
        <v>2802</v>
      </c>
      <c r="B437" t="s">
        <v>2805</v>
      </c>
      <c r="C437" t="s">
        <v>2810</v>
      </c>
      <c r="D437" t="str">
        <f t="shared" si="6"/>
        <v>BEVERLY JONES</v>
      </c>
    </row>
    <row r="438" spans="1:4" x14ac:dyDescent="0.25">
      <c r="A438" t="s">
        <v>3338</v>
      </c>
      <c r="B438" t="s">
        <v>2734</v>
      </c>
      <c r="C438" t="s">
        <v>2970</v>
      </c>
      <c r="D438" t="str">
        <f t="shared" si="6"/>
        <v>CHARLES JORDAN</v>
      </c>
    </row>
    <row r="439" spans="1:4" x14ac:dyDescent="0.25">
      <c r="A439" t="s">
        <v>3339</v>
      </c>
      <c r="B439" t="s">
        <v>2743</v>
      </c>
      <c r="C439" t="s">
        <v>2910</v>
      </c>
      <c r="D439" t="str">
        <f t="shared" si="6"/>
        <v>HOWARD KAMERER</v>
      </c>
    </row>
    <row r="440" spans="1:4" x14ac:dyDescent="0.25">
      <c r="A440" t="s">
        <v>3340</v>
      </c>
      <c r="B440" t="s">
        <v>2813</v>
      </c>
      <c r="C440" t="s">
        <v>3341</v>
      </c>
      <c r="D440" t="str">
        <f t="shared" si="6"/>
        <v>EUNICE KENTON</v>
      </c>
    </row>
    <row r="441" spans="1:4" x14ac:dyDescent="0.25">
      <c r="A441" t="s">
        <v>3340</v>
      </c>
      <c r="B441" t="s">
        <v>2761</v>
      </c>
      <c r="C441" t="s">
        <v>3342</v>
      </c>
      <c r="D441" t="str">
        <f t="shared" si="6"/>
        <v>HOBART KENTON</v>
      </c>
    </row>
    <row r="442" spans="1:4" x14ac:dyDescent="0.25">
      <c r="A442" t="s">
        <v>3343</v>
      </c>
      <c r="C442" t="s">
        <v>3344</v>
      </c>
      <c r="D442" t="str">
        <f t="shared" si="6"/>
        <v>DOMINICA KOCHMAR</v>
      </c>
    </row>
    <row r="443" spans="1:4" x14ac:dyDescent="0.25">
      <c r="A443" t="s">
        <v>3343</v>
      </c>
      <c r="C443" t="s">
        <v>3265</v>
      </c>
      <c r="D443" t="str">
        <f t="shared" si="6"/>
        <v>GERALD KOCHMAR</v>
      </c>
    </row>
    <row r="444" spans="1:4" x14ac:dyDescent="0.25">
      <c r="A444" t="s">
        <v>3345</v>
      </c>
      <c r="B444" t="s">
        <v>2769</v>
      </c>
      <c r="C444" t="s">
        <v>2882</v>
      </c>
      <c r="D444" t="str">
        <f t="shared" si="6"/>
        <v>KAREN KROPF</v>
      </c>
    </row>
    <row r="445" spans="1:4" x14ac:dyDescent="0.25">
      <c r="A445" t="s">
        <v>3346</v>
      </c>
      <c r="B445" t="s">
        <v>2754</v>
      </c>
      <c r="C445" t="s">
        <v>3347</v>
      </c>
      <c r="D445" t="str">
        <f t="shared" si="6"/>
        <v>LLOYD LAKE</v>
      </c>
    </row>
    <row r="446" spans="1:4" x14ac:dyDescent="0.25">
      <c r="A446" t="s">
        <v>3348</v>
      </c>
      <c r="C446" t="s">
        <v>3237</v>
      </c>
      <c r="D446" t="str">
        <f t="shared" si="6"/>
        <v>ROSEMARIE LOKER</v>
      </c>
    </row>
    <row r="447" spans="1:4" x14ac:dyDescent="0.25">
      <c r="A447" t="s">
        <v>3349</v>
      </c>
      <c r="B447" t="s">
        <v>2751</v>
      </c>
      <c r="C447" t="s">
        <v>2819</v>
      </c>
      <c r="D447" t="str">
        <f t="shared" si="6"/>
        <v>CHRISTINE MACGREGOR</v>
      </c>
    </row>
    <row r="448" spans="1:4" x14ac:dyDescent="0.25">
      <c r="A448" t="s">
        <v>3350</v>
      </c>
      <c r="B448" t="s">
        <v>2805</v>
      </c>
      <c r="C448" t="s">
        <v>3166</v>
      </c>
      <c r="D448" t="str">
        <f t="shared" si="6"/>
        <v>DANIEL MAGILL</v>
      </c>
    </row>
    <row r="449" spans="1:4" x14ac:dyDescent="0.25">
      <c r="A449" t="s">
        <v>3351</v>
      </c>
      <c r="B449" t="s">
        <v>2764</v>
      </c>
      <c r="C449" t="s">
        <v>2774</v>
      </c>
      <c r="D449" t="str">
        <f t="shared" si="6"/>
        <v>LISA MAJESKY</v>
      </c>
    </row>
    <row r="450" spans="1:4" x14ac:dyDescent="0.25">
      <c r="A450" t="s">
        <v>3352</v>
      </c>
      <c r="B450" t="s">
        <v>2737</v>
      </c>
      <c r="C450" t="s">
        <v>2845</v>
      </c>
      <c r="D450" t="str">
        <f t="shared" ref="D450:D513" si="7">CONCATENATE(C450, " ",A450)</f>
        <v>RICHARD MANGUS</v>
      </c>
    </row>
    <row r="451" spans="1:4" x14ac:dyDescent="0.25">
      <c r="A451" t="s">
        <v>3352</v>
      </c>
      <c r="B451" t="s">
        <v>2743</v>
      </c>
      <c r="C451" t="s">
        <v>2909</v>
      </c>
      <c r="D451" t="str">
        <f t="shared" si="7"/>
        <v>THERESA MANGUS</v>
      </c>
    </row>
    <row r="452" spans="1:4" x14ac:dyDescent="0.25">
      <c r="A452" t="s">
        <v>3353</v>
      </c>
      <c r="B452" t="s">
        <v>2805</v>
      </c>
      <c r="C452" t="s">
        <v>3354</v>
      </c>
      <c r="D452" t="str">
        <f t="shared" si="7"/>
        <v>TERRI MARBURGER</v>
      </c>
    </row>
    <row r="453" spans="1:4" x14ac:dyDescent="0.25">
      <c r="A453" t="s">
        <v>3355</v>
      </c>
      <c r="C453" t="s">
        <v>3356</v>
      </c>
      <c r="D453" t="str">
        <f t="shared" si="7"/>
        <v>GAYLE MARETTI</v>
      </c>
    </row>
    <row r="454" spans="1:4" x14ac:dyDescent="0.25">
      <c r="A454" t="s">
        <v>3357</v>
      </c>
      <c r="B454" t="s">
        <v>2761</v>
      </c>
      <c r="C454" t="s">
        <v>3358</v>
      </c>
      <c r="D454" t="str">
        <f t="shared" si="7"/>
        <v>GLORIA MARSHALL</v>
      </c>
    </row>
    <row r="455" spans="1:4" x14ac:dyDescent="0.25">
      <c r="A455" t="s">
        <v>3359</v>
      </c>
      <c r="B455" t="s">
        <v>2813</v>
      </c>
      <c r="C455" t="s">
        <v>2759</v>
      </c>
      <c r="D455" t="str">
        <f t="shared" si="7"/>
        <v>SUSAN MASON</v>
      </c>
    </row>
    <row r="456" spans="1:4" x14ac:dyDescent="0.25">
      <c r="A456" t="s">
        <v>3360</v>
      </c>
      <c r="B456" t="s">
        <v>2748</v>
      </c>
      <c r="C456" t="s">
        <v>2796</v>
      </c>
      <c r="D456" t="str">
        <f t="shared" si="7"/>
        <v>WILLIAM MAURICE</v>
      </c>
    </row>
    <row r="457" spans="1:4" x14ac:dyDescent="0.25">
      <c r="A457" t="s">
        <v>3361</v>
      </c>
      <c r="B457" t="s">
        <v>2761</v>
      </c>
      <c r="C457" t="s">
        <v>2882</v>
      </c>
      <c r="D457" t="str">
        <f t="shared" si="7"/>
        <v>KAREN MCANDREWS</v>
      </c>
    </row>
    <row r="458" spans="1:4" x14ac:dyDescent="0.25">
      <c r="A458" t="s">
        <v>3362</v>
      </c>
      <c r="B458" t="s">
        <v>2776</v>
      </c>
      <c r="C458" t="s">
        <v>2877</v>
      </c>
      <c r="D458" t="str">
        <f t="shared" si="7"/>
        <v>DONALD MCCLOSKEY</v>
      </c>
    </row>
    <row r="459" spans="1:4" x14ac:dyDescent="0.25">
      <c r="A459" t="s">
        <v>3363</v>
      </c>
      <c r="B459" t="s">
        <v>2805</v>
      </c>
      <c r="C459" t="s">
        <v>2762</v>
      </c>
      <c r="D459" t="str">
        <f t="shared" si="7"/>
        <v>THOMAS MCCOMMON</v>
      </c>
    </row>
    <row r="460" spans="1:4" x14ac:dyDescent="0.25">
      <c r="A460" t="s">
        <v>3364</v>
      </c>
      <c r="B460" t="s">
        <v>2751</v>
      </c>
      <c r="C460" t="s">
        <v>3246</v>
      </c>
      <c r="D460" t="str">
        <f t="shared" si="7"/>
        <v>DEBRA MCCUNE</v>
      </c>
    </row>
    <row r="461" spans="1:4" x14ac:dyDescent="0.25">
      <c r="A461" t="s">
        <v>3365</v>
      </c>
      <c r="B461" t="s">
        <v>2761</v>
      </c>
      <c r="C461" t="s">
        <v>2796</v>
      </c>
      <c r="D461" t="str">
        <f t="shared" si="7"/>
        <v>WILLIAM MCDONOUGH</v>
      </c>
    </row>
    <row r="462" spans="1:4" x14ac:dyDescent="0.25">
      <c r="A462" t="s">
        <v>3365</v>
      </c>
      <c r="B462" t="s">
        <v>2764</v>
      </c>
      <c r="C462" t="s">
        <v>3366</v>
      </c>
      <c r="D462" t="str">
        <f t="shared" si="7"/>
        <v>GENEVIEVE MCDONOUGH</v>
      </c>
    </row>
    <row r="463" spans="1:4" x14ac:dyDescent="0.25">
      <c r="A463" t="s">
        <v>3367</v>
      </c>
      <c r="B463" t="s">
        <v>2805</v>
      </c>
      <c r="C463" t="s">
        <v>2770</v>
      </c>
      <c r="D463" t="str">
        <f t="shared" si="7"/>
        <v>NANCY MCKEE</v>
      </c>
    </row>
    <row r="464" spans="1:4" x14ac:dyDescent="0.25">
      <c r="A464" t="s">
        <v>3368</v>
      </c>
      <c r="B464" t="s">
        <v>2884</v>
      </c>
      <c r="C464" t="s">
        <v>3369</v>
      </c>
      <c r="D464" t="str">
        <f t="shared" si="7"/>
        <v>MICHALENE MCMULLEN</v>
      </c>
    </row>
    <row r="465" spans="1:4" x14ac:dyDescent="0.25">
      <c r="A465" t="s">
        <v>3368</v>
      </c>
      <c r="B465" t="s">
        <v>2734</v>
      </c>
      <c r="C465" t="s">
        <v>2762</v>
      </c>
      <c r="D465" t="str">
        <f t="shared" si="7"/>
        <v>THOMAS MCMULLEN</v>
      </c>
    </row>
    <row r="466" spans="1:4" x14ac:dyDescent="0.25">
      <c r="A466" t="s">
        <v>3370</v>
      </c>
      <c r="B466" t="s">
        <v>2743</v>
      </c>
      <c r="C466" t="s">
        <v>2841</v>
      </c>
      <c r="D466" t="str">
        <f t="shared" si="7"/>
        <v>ROBERT MILLER</v>
      </c>
    </row>
    <row r="467" spans="1:4" x14ac:dyDescent="0.25">
      <c r="A467" t="s">
        <v>3371</v>
      </c>
      <c r="B467" t="s">
        <v>2896</v>
      </c>
      <c r="C467" t="s">
        <v>2746</v>
      </c>
      <c r="D467" t="str">
        <f t="shared" si="7"/>
        <v>SANDRA MONTGOMERY</v>
      </c>
    </row>
    <row r="468" spans="1:4" x14ac:dyDescent="0.25">
      <c r="A468" t="s">
        <v>3371</v>
      </c>
      <c r="B468" t="s">
        <v>2743</v>
      </c>
      <c r="C468" t="s">
        <v>2980</v>
      </c>
      <c r="D468" t="str">
        <f t="shared" si="7"/>
        <v>MICHAEL MONTGOMERY</v>
      </c>
    </row>
    <row r="469" spans="1:4" x14ac:dyDescent="0.25">
      <c r="A469" t="s">
        <v>3036</v>
      </c>
      <c r="B469" t="s">
        <v>2743</v>
      </c>
      <c r="C469" t="s">
        <v>2899</v>
      </c>
      <c r="D469" t="str">
        <f t="shared" si="7"/>
        <v>RONALD MOORE</v>
      </c>
    </row>
    <row r="470" spans="1:4" x14ac:dyDescent="0.25">
      <c r="A470" t="s">
        <v>3372</v>
      </c>
      <c r="B470" t="s">
        <v>2751</v>
      </c>
      <c r="C470" t="s">
        <v>2765</v>
      </c>
      <c r="D470" t="str">
        <f t="shared" si="7"/>
        <v>JOHN MORRISON</v>
      </c>
    </row>
    <row r="471" spans="1:4" x14ac:dyDescent="0.25">
      <c r="A471" t="s">
        <v>3373</v>
      </c>
      <c r="B471" t="s">
        <v>2813</v>
      </c>
      <c r="C471" t="s">
        <v>2839</v>
      </c>
      <c r="D471" t="str">
        <f t="shared" si="7"/>
        <v>DAVID MOSER</v>
      </c>
    </row>
    <row r="472" spans="1:4" x14ac:dyDescent="0.25">
      <c r="A472" t="s">
        <v>3374</v>
      </c>
      <c r="B472" t="s">
        <v>2805</v>
      </c>
      <c r="C472" t="s">
        <v>3220</v>
      </c>
      <c r="D472" t="str">
        <f t="shared" si="7"/>
        <v>RAYMOND MURTHA</v>
      </c>
    </row>
    <row r="473" spans="1:4" x14ac:dyDescent="0.25">
      <c r="A473" t="s">
        <v>3375</v>
      </c>
      <c r="B473" t="s">
        <v>2805</v>
      </c>
      <c r="C473" t="s">
        <v>2800</v>
      </c>
      <c r="D473" t="str">
        <f t="shared" si="7"/>
        <v>STEVEN NAPOLETAN</v>
      </c>
    </row>
    <row r="474" spans="1:4" x14ac:dyDescent="0.25">
      <c r="A474" t="s">
        <v>3376</v>
      </c>
      <c r="B474" t="s">
        <v>2743</v>
      </c>
      <c r="C474" t="s">
        <v>3377</v>
      </c>
      <c r="D474" t="str">
        <f t="shared" si="7"/>
        <v>STACY NEMETH</v>
      </c>
    </row>
    <row r="475" spans="1:4" x14ac:dyDescent="0.25">
      <c r="A475" t="s">
        <v>3378</v>
      </c>
      <c r="B475" t="s">
        <v>2896</v>
      </c>
      <c r="C475" t="s">
        <v>2841</v>
      </c>
      <c r="D475" t="str">
        <f t="shared" si="7"/>
        <v>ROBERT NICHOLS</v>
      </c>
    </row>
    <row r="476" spans="1:4" x14ac:dyDescent="0.25">
      <c r="A476" t="s">
        <v>3378</v>
      </c>
      <c r="B476" t="s">
        <v>2743</v>
      </c>
      <c r="C476" t="s">
        <v>2749</v>
      </c>
      <c r="D476" t="str">
        <f t="shared" si="7"/>
        <v>MARY NICHOLS</v>
      </c>
    </row>
    <row r="477" spans="1:4" x14ac:dyDescent="0.25">
      <c r="A477" t="s">
        <v>3379</v>
      </c>
      <c r="B477" t="s">
        <v>2748</v>
      </c>
      <c r="C477" t="s">
        <v>2831</v>
      </c>
      <c r="D477" t="str">
        <f t="shared" si="7"/>
        <v>DENNIS NOLLINGER</v>
      </c>
    </row>
    <row r="478" spans="1:4" x14ac:dyDescent="0.25">
      <c r="A478" t="s">
        <v>3380</v>
      </c>
      <c r="B478" t="s">
        <v>2764</v>
      </c>
      <c r="C478" t="s">
        <v>2779</v>
      </c>
      <c r="D478" t="str">
        <f t="shared" si="7"/>
        <v>JAMES NORTON</v>
      </c>
    </row>
    <row r="479" spans="1:4" x14ac:dyDescent="0.25">
      <c r="A479" t="s">
        <v>3381</v>
      </c>
      <c r="B479" t="s">
        <v>2813</v>
      </c>
      <c r="C479" t="s">
        <v>2926</v>
      </c>
      <c r="D479" t="str">
        <f t="shared" si="7"/>
        <v>SHARON OESTERLING</v>
      </c>
    </row>
    <row r="480" spans="1:4" x14ac:dyDescent="0.25">
      <c r="A480" t="s">
        <v>3381</v>
      </c>
      <c r="B480" t="s">
        <v>2761</v>
      </c>
      <c r="C480" t="s">
        <v>3382</v>
      </c>
      <c r="D480" t="str">
        <f t="shared" si="7"/>
        <v>LON OESTERLING</v>
      </c>
    </row>
    <row r="481" spans="1:4" x14ac:dyDescent="0.25">
      <c r="A481" t="s">
        <v>3383</v>
      </c>
      <c r="B481" t="s">
        <v>2737</v>
      </c>
      <c r="C481" t="s">
        <v>2877</v>
      </c>
      <c r="D481" t="str">
        <f t="shared" si="7"/>
        <v>DONALD OLMSTEAD</v>
      </c>
    </row>
    <row r="482" spans="1:4" x14ac:dyDescent="0.25">
      <c r="A482" t="s">
        <v>3384</v>
      </c>
      <c r="C482" t="s">
        <v>2980</v>
      </c>
      <c r="D482" t="str">
        <f t="shared" si="7"/>
        <v>MICHAEL OWENS</v>
      </c>
    </row>
    <row r="483" spans="1:4" x14ac:dyDescent="0.25">
      <c r="A483" t="s">
        <v>3385</v>
      </c>
      <c r="B483" t="s">
        <v>2740</v>
      </c>
      <c r="C483" t="s">
        <v>3293</v>
      </c>
      <c r="D483" t="str">
        <f t="shared" si="7"/>
        <v>ANNA PAPA</v>
      </c>
    </row>
    <row r="484" spans="1:4" x14ac:dyDescent="0.25">
      <c r="A484" t="s">
        <v>3386</v>
      </c>
      <c r="C484" t="s">
        <v>2974</v>
      </c>
      <c r="D484" t="str">
        <f t="shared" si="7"/>
        <v>MARIAN PARENTE</v>
      </c>
    </row>
    <row r="485" spans="1:4" x14ac:dyDescent="0.25">
      <c r="A485" t="s">
        <v>3038</v>
      </c>
      <c r="B485" t="s">
        <v>2813</v>
      </c>
      <c r="C485" t="s">
        <v>2841</v>
      </c>
      <c r="D485" t="str">
        <f t="shared" si="7"/>
        <v>ROBERT PARK</v>
      </c>
    </row>
    <row r="486" spans="1:4" x14ac:dyDescent="0.25">
      <c r="A486" t="s">
        <v>3038</v>
      </c>
      <c r="B486" t="s">
        <v>2761</v>
      </c>
      <c r="C486" t="s">
        <v>3387</v>
      </c>
      <c r="D486" t="str">
        <f t="shared" si="7"/>
        <v>JOAN PARK</v>
      </c>
    </row>
    <row r="487" spans="1:4" x14ac:dyDescent="0.25">
      <c r="A487" t="s">
        <v>3388</v>
      </c>
      <c r="B487" t="s">
        <v>2751</v>
      </c>
      <c r="C487" t="s">
        <v>2837</v>
      </c>
      <c r="D487" t="str">
        <f t="shared" si="7"/>
        <v>JANET PARKER</v>
      </c>
    </row>
    <row r="488" spans="1:4" x14ac:dyDescent="0.25">
      <c r="A488" t="s">
        <v>3388</v>
      </c>
      <c r="B488" t="s">
        <v>2813</v>
      </c>
      <c r="C488" t="s">
        <v>2899</v>
      </c>
      <c r="D488" t="str">
        <f t="shared" si="7"/>
        <v>RONALD PARKER</v>
      </c>
    </row>
    <row r="489" spans="1:4" x14ac:dyDescent="0.25">
      <c r="A489" t="s">
        <v>3389</v>
      </c>
      <c r="B489" t="s">
        <v>2805</v>
      </c>
      <c r="C489" t="s">
        <v>2839</v>
      </c>
      <c r="D489" t="str">
        <f t="shared" si="7"/>
        <v>DAVID PARSONS</v>
      </c>
    </row>
    <row r="490" spans="1:4" x14ac:dyDescent="0.25">
      <c r="A490" t="s">
        <v>3228</v>
      </c>
      <c r="B490" t="s">
        <v>2754</v>
      </c>
      <c r="C490" t="s">
        <v>3285</v>
      </c>
      <c r="D490" t="str">
        <f t="shared" si="7"/>
        <v>GEORGE PATRICK</v>
      </c>
    </row>
    <row r="491" spans="1:4" x14ac:dyDescent="0.25">
      <c r="A491" t="s">
        <v>3390</v>
      </c>
      <c r="B491" t="s">
        <v>2748</v>
      </c>
      <c r="C491" t="s">
        <v>2762</v>
      </c>
      <c r="D491" t="str">
        <f t="shared" si="7"/>
        <v>THOMAS PERRY</v>
      </c>
    </row>
    <row r="492" spans="1:4" x14ac:dyDescent="0.25">
      <c r="A492" t="s">
        <v>3391</v>
      </c>
      <c r="B492" t="s">
        <v>2751</v>
      </c>
      <c r="C492" t="s">
        <v>2853</v>
      </c>
      <c r="D492" t="str">
        <f t="shared" si="7"/>
        <v>CAROL PETTIT</v>
      </c>
    </row>
    <row r="493" spans="1:4" x14ac:dyDescent="0.25">
      <c r="A493" t="s">
        <v>3391</v>
      </c>
      <c r="B493" t="s">
        <v>2976</v>
      </c>
      <c r="C493" t="s">
        <v>3392</v>
      </c>
      <c r="D493" t="str">
        <f t="shared" si="7"/>
        <v>BRUCE PETTIT</v>
      </c>
    </row>
    <row r="494" spans="1:4" x14ac:dyDescent="0.25">
      <c r="A494" t="s">
        <v>3393</v>
      </c>
      <c r="B494" t="s">
        <v>2805</v>
      </c>
      <c r="C494" t="s">
        <v>2851</v>
      </c>
      <c r="D494" t="str">
        <f t="shared" si="7"/>
        <v>TIMOTHY PHIPPS</v>
      </c>
    </row>
    <row r="495" spans="1:4" x14ac:dyDescent="0.25">
      <c r="A495" t="s">
        <v>3394</v>
      </c>
      <c r="B495" t="s">
        <v>2748</v>
      </c>
      <c r="C495" t="s">
        <v>2921</v>
      </c>
      <c r="D495" t="str">
        <f t="shared" si="7"/>
        <v>JOSEPH PIERREL</v>
      </c>
    </row>
    <row r="496" spans="1:4" x14ac:dyDescent="0.25">
      <c r="A496" t="s">
        <v>3394</v>
      </c>
      <c r="B496" t="s">
        <v>2764</v>
      </c>
      <c r="C496" t="s">
        <v>3395</v>
      </c>
      <c r="D496" t="str">
        <f t="shared" si="7"/>
        <v>LEONA PIERREL</v>
      </c>
    </row>
    <row r="497" spans="1:4" x14ac:dyDescent="0.25">
      <c r="A497" t="s">
        <v>3396</v>
      </c>
      <c r="B497" t="s">
        <v>2748</v>
      </c>
      <c r="C497" t="s">
        <v>2845</v>
      </c>
      <c r="D497" t="str">
        <f t="shared" si="7"/>
        <v>RICHARD PISOR</v>
      </c>
    </row>
    <row r="498" spans="1:4" x14ac:dyDescent="0.25">
      <c r="A498" t="s">
        <v>3397</v>
      </c>
      <c r="B498" t="s">
        <v>2743</v>
      </c>
      <c r="C498" t="s">
        <v>3398</v>
      </c>
      <c r="D498" t="str">
        <f t="shared" si="7"/>
        <v>JANINE POLKY</v>
      </c>
    </row>
    <row r="499" spans="1:4" x14ac:dyDescent="0.25">
      <c r="A499" t="s">
        <v>3399</v>
      </c>
      <c r="B499" t="s">
        <v>2743</v>
      </c>
      <c r="C499" t="s">
        <v>2746</v>
      </c>
      <c r="D499" t="str">
        <f t="shared" si="7"/>
        <v>SANDRA POPINSKI</v>
      </c>
    </row>
    <row r="500" spans="1:4" x14ac:dyDescent="0.25">
      <c r="A500" t="s">
        <v>3399</v>
      </c>
      <c r="B500" t="s">
        <v>2743</v>
      </c>
      <c r="C500" t="s">
        <v>3400</v>
      </c>
      <c r="D500" t="str">
        <f t="shared" si="7"/>
        <v>STAN POPINSKI</v>
      </c>
    </row>
    <row r="501" spans="1:4" x14ac:dyDescent="0.25">
      <c r="A501" t="s">
        <v>3401</v>
      </c>
      <c r="B501" t="s">
        <v>2737</v>
      </c>
      <c r="C501" t="s">
        <v>3402</v>
      </c>
      <c r="D501" t="str">
        <f t="shared" si="7"/>
        <v>LEEANNA PORTER</v>
      </c>
    </row>
    <row r="502" spans="1:4" x14ac:dyDescent="0.25">
      <c r="A502" t="s">
        <v>3137</v>
      </c>
      <c r="B502" t="s">
        <v>2743</v>
      </c>
      <c r="C502" t="s">
        <v>3092</v>
      </c>
      <c r="D502" t="str">
        <f t="shared" si="7"/>
        <v>LORI RANDALL</v>
      </c>
    </row>
    <row r="503" spans="1:4" x14ac:dyDescent="0.25">
      <c r="A503" t="s">
        <v>3403</v>
      </c>
      <c r="B503" t="s">
        <v>2776</v>
      </c>
      <c r="C503" t="s">
        <v>2779</v>
      </c>
      <c r="D503" t="str">
        <f t="shared" si="7"/>
        <v>JAMES RAUSCH</v>
      </c>
    </row>
    <row r="504" spans="1:4" x14ac:dyDescent="0.25">
      <c r="A504" t="s">
        <v>3404</v>
      </c>
      <c r="B504" t="s">
        <v>2754</v>
      </c>
      <c r="C504" t="s">
        <v>2811</v>
      </c>
      <c r="D504" t="str">
        <f t="shared" si="7"/>
        <v>GLEN RIZZO</v>
      </c>
    </row>
    <row r="505" spans="1:4" x14ac:dyDescent="0.25">
      <c r="A505" t="s">
        <v>3405</v>
      </c>
      <c r="B505" t="s">
        <v>2896</v>
      </c>
      <c r="C505" t="s">
        <v>2895</v>
      </c>
      <c r="D505" t="str">
        <f t="shared" si="7"/>
        <v>JOY ROBBINS</v>
      </c>
    </row>
    <row r="506" spans="1:4" x14ac:dyDescent="0.25">
      <c r="A506" t="s">
        <v>3406</v>
      </c>
      <c r="B506" t="s">
        <v>2743</v>
      </c>
      <c r="C506" t="s">
        <v>3157</v>
      </c>
      <c r="D506" t="str">
        <f t="shared" si="7"/>
        <v>PEGGY ROCCO</v>
      </c>
    </row>
    <row r="507" spans="1:4" x14ac:dyDescent="0.25">
      <c r="A507" t="s">
        <v>3407</v>
      </c>
      <c r="C507" t="s">
        <v>3408</v>
      </c>
      <c r="D507" t="str">
        <f t="shared" si="7"/>
        <v>MARGIE ROME</v>
      </c>
    </row>
    <row r="508" spans="1:4" x14ac:dyDescent="0.25">
      <c r="A508" t="s">
        <v>3222</v>
      </c>
      <c r="B508" t="s">
        <v>2751</v>
      </c>
      <c r="C508" t="s">
        <v>2796</v>
      </c>
      <c r="D508" t="str">
        <f t="shared" si="7"/>
        <v>WILLIAM RUSSELL</v>
      </c>
    </row>
    <row r="509" spans="1:4" x14ac:dyDescent="0.25">
      <c r="A509" t="s">
        <v>3222</v>
      </c>
      <c r="B509" t="s">
        <v>2761</v>
      </c>
      <c r="C509" t="s">
        <v>2882</v>
      </c>
      <c r="D509" t="str">
        <f t="shared" si="7"/>
        <v>KAREN RUSSELL</v>
      </c>
    </row>
    <row r="510" spans="1:4" x14ac:dyDescent="0.25">
      <c r="A510" t="s">
        <v>3409</v>
      </c>
      <c r="B510" t="s">
        <v>2764</v>
      </c>
      <c r="C510" t="s">
        <v>2759</v>
      </c>
      <c r="D510" t="str">
        <f t="shared" si="7"/>
        <v>SUSAN RUSSO</v>
      </c>
    </row>
    <row r="511" spans="1:4" x14ac:dyDescent="0.25">
      <c r="A511" t="s">
        <v>3410</v>
      </c>
      <c r="B511" t="s">
        <v>2751</v>
      </c>
      <c r="C511" t="s">
        <v>2923</v>
      </c>
      <c r="D511" t="str">
        <f t="shared" si="7"/>
        <v>PATRICIA RUTKOSKI</v>
      </c>
    </row>
    <row r="512" spans="1:4" x14ac:dyDescent="0.25">
      <c r="A512" t="s">
        <v>3410</v>
      </c>
      <c r="B512" t="s">
        <v>2743</v>
      </c>
      <c r="C512" t="s">
        <v>2991</v>
      </c>
      <c r="D512" t="str">
        <f t="shared" si="7"/>
        <v>GREGORY RUTKOSKI</v>
      </c>
    </row>
    <row r="513" spans="1:4" x14ac:dyDescent="0.25">
      <c r="A513" t="s">
        <v>3411</v>
      </c>
      <c r="B513" t="s">
        <v>2805</v>
      </c>
      <c r="C513" t="s">
        <v>2810</v>
      </c>
      <c r="D513" t="str">
        <f t="shared" si="7"/>
        <v>BEVERLY SASSE</v>
      </c>
    </row>
    <row r="514" spans="1:4" x14ac:dyDescent="0.25">
      <c r="A514" t="s">
        <v>3412</v>
      </c>
      <c r="B514" t="s">
        <v>2805</v>
      </c>
      <c r="C514" t="s">
        <v>2831</v>
      </c>
      <c r="D514" t="str">
        <f t="shared" ref="D514:D577" si="8">CONCATENATE(C514, " ",A514)</f>
        <v>DENNIS SCHELETSKY</v>
      </c>
    </row>
    <row r="515" spans="1:4" x14ac:dyDescent="0.25">
      <c r="A515" t="s">
        <v>3413</v>
      </c>
      <c r="B515" t="s">
        <v>2751</v>
      </c>
      <c r="C515" t="s">
        <v>2744</v>
      </c>
      <c r="D515" t="str">
        <f t="shared" si="8"/>
        <v>GARY SCHMIEDECKE</v>
      </c>
    </row>
    <row r="516" spans="1:4" x14ac:dyDescent="0.25">
      <c r="A516" t="s">
        <v>3414</v>
      </c>
      <c r="B516" t="s">
        <v>2734</v>
      </c>
      <c r="C516" t="s">
        <v>3415</v>
      </c>
      <c r="D516" t="str">
        <f t="shared" si="8"/>
        <v>HANNAH SCHRIM</v>
      </c>
    </row>
    <row r="517" spans="1:4" x14ac:dyDescent="0.25">
      <c r="A517" t="s">
        <v>3414</v>
      </c>
      <c r="C517" t="s">
        <v>3416</v>
      </c>
      <c r="D517" t="str">
        <f t="shared" si="8"/>
        <v>ANDREW SCHRIM</v>
      </c>
    </row>
    <row r="518" spans="1:4" x14ac:dyDescent="0.25">
      <c r="A518" t="s">
        <v>3417</v>
      </c>
      <c r="B518" t="s">
        <v>2813</v>
      </c>
      <c r="C518" t="s">
        <v>3418</v>
      </c>
      <c r="D518" t="str">
        <f t="shared" si="8"/>
        <v>DEBBIE SELFRIDGE</v>
      </c>
    </row>
    <row r="519" spans="1:4" x14ac:dyDescent="0.25">
      <c r="A519" t="s">
        <v>3419</v>
      </c>
      <c r="B519" t="s">
        <v>2813</v>
      </c>
      <c r="C519" t="s">
        <v>3285</v>
      </c>
      <c r="D519" t="str">
        <f t="shared" si="8"/>
        <v>GEORGE SHAFFER</v>
      </c>
    </row>
    <row r="520" spans="1:4" x14ac:dyDescent="0.25">
      <c r="A520" t="s">
        <v>3420</v>
      </c>
      <c r="B520" t="s">
        <v>3421</v>
      </c>
      <c r="C520" t="s">
        <v>3422</v>
      </c>
      <c r="D520" t="str">
        <f t="shared" si="8"/>
        <v>STACEY SHEHAB</v>
      </c>
    </row>
    <row r="521" spans="1:4" x14ac:dyDescent="0.25">
      <c r="A521" t="s">
        <v>3423</v>
      </c>
      <c r="B521" t="s">
        <v>2734</v>
      </c>
      <c r="C521" t="s">
        <v>3424</v>
      </c>
      <c r="D521" t="str">
        <f t="shared" si="8"/>
        <v>FREDERICK SICILIANO</v>
      </c>
    </row>
    <row r="522" spans="1:4" x14ac:dyDescent="0.25">
      <c r="A522" t="s">
        <v>3425</v>
      </c>
      <c r="B522" t="s">
        <v>2751</v>
      </c>
      <c r="C522" t="s">
        <v>3278</v>
      </c>
      <c r="D522" t="str">
        <f t="shared" si="8"/>
        <v>KIMBERLY SIDLEY</v>
      </c>
    </row>
    <row r="523" spans="1:4" x14ac:dyDescent="0.25">
      <c r="A523" t="s">
        <v>3426</v>
      </c>
      <c r="B523" t="s">
        <v>2761</v>
      </c>
      <c r="C523" t="s">
        <v>2839</v>
      </c>
      <c r="D523" t="str">
        <f t="shared" si="8"/>
        <v>DAVID SNYDER</v>
      </c>
    </row>
    <row r="524" spans="1:4" x14ac:dyDescent="0.25">
      <c r="A524" t="s">
        <v>3426</v>
      </c>
      <c r="B524" t="s">
        <v>2896</v>
      </c>
      <c r="C524" t="s">
        <v>2792</v>
      </c>
      <c r="D524" t="str">
        <f t="shared" si="8"/>
        <v>DARLENE SNYDER</v>
      </c>
    </row>
    <row r="525" spans="1:4" x14ac:dyDescent="0.25">
      <c r="A525" t="s">
        <v>3427</v>
      </c>
      <c r="B525" t="s">
        <v>2769</v>
      </c>
      <c r="C525" t="s">
        <v>3074</v>
      </c>
      <c r="D525" t="str">
        <f t="shared" si="8"/>
        <v>PAULA SOLEY</v>
      </c>
    </row>
    <row r="526" spans="1:4" x14ac:dyDescent="0.25">
      <c r="A526" t="s">
        <v>3428</v>
      </c>
      <c r="B526" t="s">
        <v>2761</v>
      </c>
      <c r="C526" t="s">
        <v>3303</v>
      </c>
      <c r="D526" t="str">
        <f t="shared" si="8"/>
        <v>SHIRLEY SPAULDING</v>
      </c>
    </row>
    <row r="527" spans="1:4" x14ac:dyDescent="0.25">
      <c r="A527" t="s">
        <v>3428</v>
      </c>
      <c r="B527" t="s">
        <v>2743</v>
      </c>
      <c r="C527" t="s">
        <v>2744</v>
      </c>
      <c r="D527" t="str">
        <f t="shared" si="8"/>
        <v>GARY SPAULDING</v>
      </c>
    </row>
    <row r="528" spans="1:4" x14ac:dyDescent="0.25">
      <c r="A528" t="s">
        <v>3429</v>
      </c>
      <c r="C528" t="s">
        <v>2947</v>
      </c>
      <c r="D528" t="str">
        <f t="shared" si="8"/>
        <v>JUDITH SPORKA</v>
      </c>
    </row>
    <row r="529" spans="1:4" x14ac:dyDescent="0.25">
      <c r="A529" t="s">
        <v>3430</v>
      </c>
      <c r="C529" t="s">
        <v>3431</v>
      </c>
      <c r="D529" t="str">
        <f t="shared" si="8"/>
        <v>SUZANNE STEIGERWALD</v>
      </c>
    </row>
    <row r="530" spans="1:4" x14ac:dyDescent="0.25">
      <c r="A530" t="s">
        <v>2871</v>
      </c>
      <c r="B530" t="s">
        <v>2776</v>
      </c>
      <c r="C530" t="s">
        <v>3432</v>
      </c>
      <c r="D530" t="str">
        <f t="shared" si="8"/>
        <v>NEIL STEWART</v>
      </c>
    </row>
    <row r="531" spans="1:4" x14ac:dyDescent="0.25">
      <c r="A531" t="s">
        <v>3433</v>
      </c>
      <c r="B531" t="s">
        <v>2805</v>
      </c>
      <c r="C531" t="s">
        <v>2813</v>
      </c>
      <c r="D531" t="str">
        <f t="shared" si="8"/>
        <v>D SULLENBERGER</v>
      </c>
    </row>
    <row r="532" spans="1:4" x14ac:dyDescent="0.25">
      <c r="A532" t="s">
        <v>3434</v>
      </c>
      <c r="B532" t="s">
        <v>2805</v>
      </c>
      <c r="C532" t="s">
        <v>2796</v>
      </c>
      <c r="D532" t="str">
        <f t="shared" si="8"/>
        <v>WILLIAM TAGMYER</v>
      </c>
    </row>
    <row r="533" spans="1:4" x14ac:dyDescent="0.25">
      <c r="A533" t="s">
        <v>3435</v>
      </c>
      <c r="B533" t="s">
        <v>2734</v>
      </c>
      <c r="C533" t="s">
        <v>2899</v>
      </c>
      <c r="D533" t="str">
        <f t="shared" si="8"/>
        <v>RONALD THOMPSON</v>
      </c>
    </row>
    <row r="534" spans="1:4" x14ac:dyDescent="0.25">
      <c r="A534" t="s">
        <v>3436</v>
      </c>
      <c r="C534" t="s">
        <v>2861</v>
      </c>
      <c r="D534" t="str">
        <f t="shared" si="8"/>
        <v>KATHLEEN THORNTON</v>
      </c>
    </row>
    <row r="535" spans="1:4" x14ac:dyDescent="0.25">
      <c r="A535" t="s">
        <v>3437</v>
      </c>
      <c r="C535" t="s">
        <v>2765</v>
      </c>
      <c r="D535" t="str">
        <f t="shared" si="8"/>
        <v>JOHN THORPE</v>
      </c>
    </row>
    <row r="536" spans="1:4" x14ac:dyDescent="0.25">
      <c r="A536" t="s">
        <v>3438</v>
      </c>
      <c r="C536" t="s">
        <v>3387</v>
      </c>
      <c r="D536" t="str">
        <f t="shared" si="8"/>
        <v>JOAN TOMSEY</v>
      </c>
    </row>
    <row r="537" spans="1:4" x14ac:dyDescent="0.25">
      <c r="A537" t="s">
        <v>3439</v>
      </c>
      <c r="B537" t="s">
        <v>2751</v>
      </c>
      <c r="C537" t="s">
        <v>3040</v>
      </c>
      <c r="D537" t="str">
        <f t="shared" si="8"/>
        <v>CHERYL TOOMEY</v>
      </c>
    </row>
    <row r="538" spans="1:4" x14ac:dyDescent="0.25">
      <c r="A538" t="s">
        <v>3440</v>
      </c>
      <c r="B538" t="s">
        <v>2805</v>
      </c>
      <c r="C538" t="s">
        <v>2825</v>
      </c>
      <c r="D538" t="str">
        <f t="shared" si="8"/>
        <v>KENNETH TROUP</v>
      </c>
    </row>
    <row r="539" spans="1:4" x14ac:dyDescent="0.25">
      <c r="A539" t="s">
        <v>3441</v>
      </c>
      <c r="B539" t="s">
        <v>2743</v>
      </c>
      <c r="C539" t="s">
        <v>3040</v>
      </c>
      <c r="D539" t="str">
        <f t="shared" si="8"/>
        <v>CHERYL TURNER</v>
      </c>
    </row>
    <row r="540" spans="1:4" x14ac:dyDescent="0.25">
      <c r="A540" t="s">
        <v>3442</v>
      </c>
      <c r="C540" t="s">
        <v>2861</v>
      </c>
      <c r="D540" t="str">
        <f t="shared" si="8"/>
        <v>KATHLEEN UFNER</v>
      </c>
    </row>
    <row r="541" spans="1:4" x14ac:dyDescent="0.25">
      <c r="A541" t="s">
        <v>3443</v>
      </c>
      <c r="B541" t="s">
        <v>2737</v>
      </c>
      <c r="C541" t="s">
        <v>3166</v>
      </c>
      <c r="D541" t="str">
        <f t="shared" si="8"/>
        <v>DANIEL VEITH</v>
      </c>
    </row>
    <row r="542" spans="1:4" x14ac:dyDescent="0.25">
      <c r="A542" t="s">
        <v>3444</v>
      </c>
      <c r="B542" t="s">
        <v>2743</v>
      </c>
      <c r="C542" t="s">
        <v>3445</v>
      </c>
      <c r="D542" t="str">
        <f t="shared" si="8"/>
        <v>CATHLEEN VIDIC</v>
      </c>
    </row>
    <row r="543" spans="1:4" x14ac:dyDescent="0.25">
      <c r="A543" t="s">
        <v>3446</v>
      </c>
      <c r="B543" t="s">
        <v>2743</v>
      </c>
      <c r="C543" t="s">
        <v>3196</v>
      </c>
      <c r="D543" t="str">
        <f t="shared" si="8"/>
        <v>NAOMI WAGNER</v>
      </c>
    </row>
    <row r="544" spans="1:4" x14ac:dyDescent="0.25">
      <c r="A544" t="s">
        <v>3447</v>
      </c>
      <c r="B544" t="s">
        <v>2743</v>
      </c>
      <c r="C544" t="s">
        <v>3431</v>
      </c>
      <c r="D544" t="str">
        <f t="shared" si="8"/>
        <v>SUZANNE WARHEIT</v>
      </c>
    </row>
    <row r="545" spans="1:4" x14ac:dyDescent="0.25">
      <c r="A545" t="s">
        <v>3448</v>
      </c>
      <c r="B545" t="s">
        <v>2805</v>
      </c>
      <c r="C545" t="s">
        <v>2923</v>
      </c>
      <c r="D545" t="str">
        <f t="shared" si="8"/>
        <v>PATRICIA WILLIAMS</v>
      </c>
    </row>
    <row r="546" spans="1:4" x14ac:dyDescent="0.25">
      <c r="A546" t="s">
        <v>3448</v>
      </c>
      <c r="C546" t="s">
        <v>2833</v>
      </c>
      <c r="D546" t="str">
        <f t="shared" si="8"/>
        <v>DONNA WILLIAMS</v>
      </c>
    </row>
    <row r="547" spans="1:4" x14ac:dyDescent="0.25">
      <c r="A547" t="s">
        <v>3449</v>
      </c>
      <c r="B547" t="s">
        <v>2737</v>
      </c>
      <c r="C547" t="s">
        <v>2986</v>
      </c>
      <c r="D547" t="str">
        <f t="shared" si="8"/>
        <v>ROGER WOLFE</v>
      </c>
    </row>
    <row r="548" spans="1:4" x14ac:dyDescent="0.25">
      <c r="A548" t="s">
        <v>3450</v>
      </c>
      <c r="C548" t="s">
        <v>2857</v>
      </c>
      <c r="D548" t="str">
        <f t="shared" si="8"/>
        <v>FRANK WUCHEVICH</v>
      </c>
    </row>
    <row r="549" spans="1:4" x14ac:dyDescent="0.25">
      <c r="A549" t="s">
        <v>3451</v>
      </c>
      <c r="B549" t="s">
        <v>2761</v>
      </c>
      <c r="C549" t="s">
        <v>2744</v>
      </c>
      <c r="D549" t="str">
        <f t="shared" si="8"/>
        <v>GARY YOUNG</v>
      </c>
    </row>
    <row r="550" spans="1:4" x14ac:dyDescent="0.25">
      <c r="A550" t="s">
        <v>3451</v>
      </c>
      <c r="B550" t="s">
        <v>2805</v>
      </c>
      <c r="C550" t="s">
        <v>3452</v>
      </c>
      <c r="D550" t="str">
        <f t="shared" si="8"/>
        <v>ROBERTA YOUNG</v>
      </c>
    </row>
    <row r="551" spans="1:4" x14ac:dyDescent="0.25">
      <c r="A551" t="s">
        <v>3453</v>
      </c>
      <c r="B551" t="s">
        <v>2813</v>
      </c>
      <c r="C551" t="s">
        <v>2779</v>
      </c>
      <c r="D551" t="str">
        <f t="shared" si="8"/>
        <v>JAMES YURISIC</v>
      </c>
    </row>
    <row r="552" spans="1:4" x14ac:dyDescent="0.25">
      <c r="A552" t="s">
        <v>3454</v>
      </c>
      <c r="B552" t="s">
        <v>2827</v>
      </c>
      <c r="C552" t="s">
        <v>2762</v>
      </c>
      <c r="D552" t="str">
        <f t="shared" si="8"/>
        <v>THOMAS AUGOSTINE</v>
      </c>
    </row>
    <row r="553" spans="1:4" x14ac:dyDescent="0.25">
      <c r="A553" t="s">
        <v>3455</v>
      </c>
      <c r="B553" t="s">
        <v>2805</v>
      </c>
      <c r="C553" t="s">
        <v>2825</v>
      </c>
      <c r="D553" t="str">
        <f t="shared" si="8"/>
        <v>KENNETH BAURLE</v>
      </c>
    </row>
    <row r="554" spans="1:4" x14ac:dyDescent="0.25">
      <c r="A554" t="s">
        <v>3456</v>
      </c>
      <c r="B554" t="s">
        <v>2761</v>
      </c>
      <c r="C554" t="s">
        <v>3196</v>
      </c>
      <c r="D554" t="str">
        <f t="shared" si="8"/>
        <v>NAOMI BEATTY</v>
      </c>
    </row>
    <row r="555" spans="1:4" x14ac:dyDescent="0.25">
      <c r="A555" t="s">
        <v>3457</v>
      </c>
      <c r="C555" t="s">
        <v>3458</v>
      </c>
      <c r="D555" t="str">
        <f t="shared" si="8"/>
        <v>CLAUDE BECK</v>
      </c>
    </row>
    <row r="556" spans="1:4" x14ac:dyDescent="0.25">
      <c r="A556" t="s">
        <v>3459</v>
      </c>
      <c r="B556" t="s">
        <v>2751</v>
      </c>
      <c r="C556" t="s">
        <v>2923</v>
      </c>
      <c r="D556" t="str">
        <f t="shared" si="8"/>
        <v>PATRICIA BISWICK</v>
      </c>
    </row>
    <row r="557" spans="1:4" x14ac:dyDescent="0.25">
      <c r="A557" t="s">
        <v>3459</v>
      </c>
      <c r="B557" t="s">
        <v>2743</v>
      </c>
      <c r="C557" t="s">
        <v>2865</v>
      </c>
      <c r="D557" t="str">
        <f t="shared" si="8"/>
        <v>MARK BISWICK</v>
      </c>
    </row>
    <row r="558" spans="1:4" x14ac:dyDescent="0.25">
      <c r="A558" t="s">
        <v>3460</v>
      </c>
      <c r="B558" t="s">
        <v>2827</v>
      </c>
      <c r="C558" t="s">
        <v>3461</v>
      </c>
      <c r="D558" t="str">
        <f t="shared" si="8"/>
        <v>DIANE BLACK</v>
      </c>
    </row>
    <row r="559" spans="1:4" x14ac:dyDescent="0.25">
      <c r="A559" t="s">
        <v>3460</v>
      </c>
      <c r="B559" t="s">
        <v>2896</v>
      </c>
      <c r="C559" t="s">
        <v>2796</v>
      </c>
      <c r="D559" t="str">
        <f t="shared" si="8"/>
        <v>WILLIAM BLACK</v>
      </c>
    </row>
    <row r="560" spans="1:4" x14ac:dyDescent="0.25">
      <c r="A560" t="s">
        <v>3462</v>
      </c>
      <c r="B560" t="s">
        <v>2751</v>
      </c>
      <c r="C560" t="s">
        <v>2980</v>
      </c>
      <c r="D560" t="str">
        <f t="shared" si="8"/>
        <v>MICHAEL BLOSTEIN</v>
      </c>
    </row>
    <row r="561" spans="1:4" x14ac:dyDescent="0.25">
      <c r="A561" t="s">
        <v>3463</v>
      </c>
      <c r="B561" t="s">
        <v>2769</v>
      </c>
      <c r="C561" t="s">
        <v>3074</v>
      </c>
      <c r="D561" t="str">
        <f t="shared" si="8"/>
        <v>PAULA BOCIAN</v>
      </c>
    </row>
    <row r="562" spans="1:4" x14ac:dyDescent="0.25">
      <c r="A562" t="s">
        <v>3464</v>
      </c>
      <c r="B562" t="s">
        <v>2764</v>
      </c>
      <c r="C562" t="s">
        <v>3465</v>
      </c>
      <c r="D562" t="str">
        <f t="shared" si="8"/>
        <v>SHIZUKO BONAPARTE</v>
      </c>
    </row>
    <row r="563" spans="1:4" x14ac:dyDescent="0.25">
      <c r="A563" t="s">
        <v>3466</v>
      </c>
      <c r="B563" t="s">
        <v>2761</v>
      </c>
      <c r="C563" t="s">
        <v>2877</v>
      </c>
      <c r="D563" t="str">
        <f t="shared" si="8"/>
        <v>DONALD BRENENBORG</v>
      </c>
    </row>
    <row r="564" spans="1:4" x14ac:dyDescent="0.25">
      <c r="A564" t="s">
        <v>3466</v>
      </c>
      <c r="B564" t="s">
        <v>3234</v>
      </c>
      <c r="C564" t="s">
        <v>3467</v>
      </c>
      <c r="D564" t="str">
        <f t="shared" si="8"/>
        <v>JOYCE BRENENBORG</v>
      </c>
    </row>
    <row r="565" spans="1:4" x14ac:dyDescent="0.25">
      <c r="A565" t="s">
        <v>3089</v>
      </c>
      <c r="B565" t="s">
        <v>2743</v>
      </c>
      <c r="C565" t="s">
        <v>3468</v>
      </c>
      <c r="D565" t="str">
        <f t="shared" si="8"/>
        <v>CINDY BROWN</v>
      </c>
    </row>
    <row r="566" spans="1:4" x14ac:dyDescent="0.25">
      <c r="A566" t="s">
        <v>3093</v>
      </c>
      <c r="B566" t="s">
        <v>2805</v>
      </c>
      <c r="C566" t="s">
        <v>3228</v>
      </c>
      <c r="D566" t="str">
        <f t="shared" si="8"/>
        <v>PATRICK BUCK</v>
      </c>
    </row>
    <row r="567" spans="1:4" x14ac:dyDescent="0.25">
      <c r="A567" t="s">
        <v>3469</v>
      </c>
      <c r="B567" t="s">
        <v>2776</v>
      </c>
      <c r="C567" t="s">
        <v>2765</v>
      </c>
      <c r="D567" t="str">
        <f t="shared" si="8"/>
        <v>JOHN BURNS</v>
      </c>
    </row>
    <row r="568" spans="1:4" x14ac:dyDescent="0.25">
      <c r="A568" t="s">
        <v>3470</v>
      </c>
      <c r="B568" t="s">
        <v>2813</v>
      </c>
      <c r="C568" t="s">
        <v>2816</v>
      </c>
      <c r="D568" t="str">
        <f t="shared" si="8"/>
        <v>LINDA BUTCHERINE</v>
      </c>
    </row>
    <row r="569" spans="1:4" x14ac:dyDescent="0.25">
      <c r="A569" t="s">
        <v>3470</v>
      </c>
      <c r="B569" t="s">
        <v>2764</v>
      </c>
      <c r="C569" t="s">
        <v>2762</v>
      </c>
      <c r="D569" t="str">
        <f t="shared" si="8"/>
        <v>THOMAS BUTCHERINE</v>
      </c>
    </row>
    <row r="570" spans="1:4" x14ac:dyDescent="0.25">
      <c r="A570" t="s">
        <v>3471</v>
      </c>
      <c r="B570" t="s">
        <v>2751</v>
      </c>
      <c r="C570" t="s">
        <v>3472</v>
      </c>
      <c r="D570" t="str">
        <f t="shared" si="8"/>
        <v>DEBORA BYRON</v>
      </c>
    </row>
    <row r="571" spans="1:4" x14ac:dyDescent="0.25">
      <c r="A571" t="s">
        <v>3473</v>
      </c>
      <c r="B571" t="s">
        <v>2751</v>
      </c>
      <c r="C571" t="s">
        <v>2765</v>
      </c>
      <c r="D571" t="str">
        <f t="shared" si="8"/>
        <v>JOHN CAPELLA</v>
      </c>
    </row>
    <row r="572" spans="1:4" x14ac:dyDescent="0.25">
      <c r="A572" t="s">
        <v>3474</v>
      </c>
      <c r="B572" t="s">
        <v>2805</v>
      </c>
      <c r="C572" t="s">
        <v>2980</v>
      </c>
      <c r="D572" t="str">
        <f t="shared" si="8"/>
        <v>MICHAEL CARRIGAN</v>
      </c>
    </row>
    <row r="573" spans="1:4" x14ac:dyDescent="0.25">
      <c r="A573" t="s">
        <v>3474</v>
      </c>
      <c r="C573" t="s">
        <v>2816</v>
      </c>
      <c r="D573" t="str">
        <f t="shared" si="8"/>
        <v>LINDA CARRIGAN</v>
      </c>
    </row>
    <row r="574" spans="1:4" x14ac:dyDescent="0.25">
      <c r="A574" t="s">
        <v>3272</v>
      </c>
      <c r="B574" t="s">
        <v>2761</v>
      </c>
      <c r="C574" t="s">
        <v>3475</v>
      </c>
      <c r="D574" t="str">
        <f t="shared" si="8"/>
        <v>SUE CHRISTY</v>
      </c>
    </row>
    <row r="575" spans="1:4" x14ac:dyDescent="0.25">
      <c r="A575" t="s">
        <v>2768</v>
      </c>
      <c r="B575" t="s">
        <v>2743</v>
      </c>
      <c r="C575" t="s">
        <v>2993</v>
      </c>
      <c r="D575" t="str">
        <f t="shared" si="8"/>
        <v>DOUGLAS CLARK</v>
      </c>
    </row>
    <row r="576" spans="1:4" x14ac:dyDescent="0.25">
      <c r="A576" t="s">
        <v>2768</v>
      </c>
      <c r="B576" t="s">
        <v>2849</v>
      </c>
      <c r="C576" t="s">
        <v>3476</v>
      </c>
      <c r="D576" t="str">
        <f t="shared" si="8"/>
        <v>BEATRICE CLARK</v>
      </c>
    </row>
    <row r="577" spans="1:4" x14ac:dyDescent="0.25">
      <c r="A577" t="s">
        <v>3477</v>
      </c>
      <c r="B577" t="s">
        <v>2805</v>
      </c>
      <c r="C577" t="s">
        <v>3074</v>
      </c>
      <c r="D577" t="str">
        <f t="shared" si="8"/>
        <v>PAULA CLINE</v>
      </c>
    </row>
    <row r="578" spans="1:4" x14ac:dyDescent="0.25">
      <c r="A578" t="s">
        <v>3478</v>
      </c>
      <c r="B578" t="s">
        <v>2761</v>
      </c>
      <c r="C578" t="s">
        <v>3479</v>
      </c>
      <c r="D578" t="str">
        <f t="shared" ref="D578:D641" si="9">CONCATENATE(C578, " ",A578)</f>
        <v>ROXANNE CLINGENSMITH</v>
      </c>
    </row>
    <row r="579" spans="1:4" x14ac:dyDescent="0.25">
      <c r="A579" t="s">
        <v>3480</v>
      </c>
      <c r="B579" t="s">
        <v>2743</v>
      </c>
      <c r="C579" t="s">
        <v>3481</v>
      </c>
      <c r="D579" t="str">
        <f t="shared" si="9"/>
        <v>GLADYS COLEMAN</v>
      </c>
    </row>
    <row r="580" spans="1:4" x14ac:dyDescent="0.25">
      <c r="A580" t="s">
        <v>3482</v>
      </c>
      <c r="B580" t="s">
        <v>2751</v>
      </c>
      <c r="C580" t="s">
        <v>3483</v>
      </c>
      <c r="D580" t="str">
        <f t="shared" si="9"/>
        <v>DUDLEY COSS</v>
      </c>
    </row>
    <row r="581" spans="1:4" x14ac:dyDescent="0.25">
      <c r="A581" t="s">
        <v>3484</v>
      </c>
      <c r="B581" t="s">
        <v>2761</v>
      </c>
      <c r="C581" t="s">
        <v>2744</v>
      </c>
      <c r="D581" t="str">
        <f t="shared" si="9"/>
        <v>GARY COUSINS</v>
      </c>
    </row>
    <row r="582" spans="1:4" x14ac:dyDescent="0.25">
      <c r="A582" t="s">
        <v>3485</v>
      </c>
      <c r="B582" t="s">
        <v>2827</v>
      </c>
      <c r="C582" t="s">
        <v>2770</v>
      </c>
      <c r="D582" t="str">
        <f t="shared" si="9"/>
        <v>NANCY CRICKS</v>
      </c>
    </row>
    <row r="583" spans="1:4" x14ac:dyDescent="0.25">
      <c r="A583" t="s">
        <v>3486</v>
      </c>
      <c r="B583" t="s">
        <v>2734</v>
      </c>
      <c r="C583" t="s">
        <v>2841</v>
      </c>
      <c r="D583" t="str">
        <f t="shared" si="9"/>
        <v>ROBERT DASCH</v>
      </c>
    </row>
    <row r="584" spans="1:4" x14ac:dyDescent="0.25">
      <c r="A584" t="s">
        <v>3487</v>
      </c>
      <c r="B584" t="s">
        <v>2761</v>
      </c>
      <c r="C584" t="s">
        <v>2853</v>
      </c>
      <c r="D584" t="str">
        <f t="shared" si="9"/>
        <v>CAROL DAUBENSPECK</v>
      </c>
    </row>
    <row r="585" spans="1:4" x14ac:dyDescent="0.25">
      <c r="A585" t="s">
        <v>2994</v>
      </c>
      <c r="B585" t="s">
        <v>2743</v>
      </c>
      <c r="C585" t="s">
        <v>2831</v>
      </c>
      <c r="D585" t="str">
        <f t="shared" si="9"/>
        <v>DENNIS DAVIS</v>
      </c>
    </row>
    <row r="586" spans="1:4" x14ac:dyDescent="0.25">
      <c r="A586" t="s">
        <v>3292</v>
      </c>
      <c r="B586" t="s">
        <v>2761</v>
      </c>
      <c r="C586" t="s">
        <v>3137</v>
      </c>
      <c r="D586" t="str">
        <f t="shared" si="9"/>
        <v>RANDALL DICKSON</v>
      </c>
    </row>
    <row r="587" spans="1:4" x14ac:dyDescent="0.25">
      <c r="A587" t="s">
        <v>3488</v>
      </c>
      <c r="B587" t="s">
        <v>2761</v>
      </c>
      <c r="C587" t="s">
        <v>2785</v>
      </c>
      <c r="D587" t="str">
        <f t="shared" si="9"/>
        <v>PAUL DORR</v>
      </c>
    </row>
    <row r="588" spans="1:4" x14ac:dyDescent="0.25">
      <c r="A588" t="s">
        <v>2993</v>
      </c>
      <c r="B588" t="s">
        <v>2751</v>
      </c>
      <c r="C588" t="s">
        <v>2792</v>
      </c>
      <c r="D588" t="str">
        <f t="shared" si="9"/>
        <v>DARLENE DOUGLAS</v>
      </c>
    </row>
    <row r="589" spans="1:4" x14ac:dyDescent="0.25">
      <c r="A589" t="s">
        <v>3489</v>
      </c>
      <c r="B589" t="s">
        <v>2734</v>
      </c>
      <c r="C589" t="s">
        <v>2980</v>
      </c>
      <c r="D589" t="str">
        <f t="shared" si="9"/>
        <v>MICHAEL DOWLING</v>
      </c>
    </row>
    <row r="590" spans="1:4" x14ac:dyDescent="0.25">
      <c r="A590" t="s">
        <v>3490</v>
      </c>
      <c r="B590" t="s">
        <v>2743</v>
      </c>
      <c r="C590" t="s">
        <v>3491</v>
      </c>
      <c r="D590" t="str">
        <f t="shared" si="9"/>
        <v>BENJAMIN DUNCAN</v>
      </c>
    </row>
    <row r="591" spans="1:4" x14ac:dyDescent="0.25">
      <c r="A591" t="s">
        <v>3492</v>
      </c>
      <c r="B591" t="s">
        <v>2849</v>
      </c>
      <c r="C591" t="s">
        <v>2980</v>
      </c>
      <c r="D591" t="str">
        <f t="shared" si="9"/>
        <v>MICHAEL DUNN</v>
      </c>
    </row>
    <row r="592" spans="1:4" x14ac:dyDescent="0.25">
      <c r="A592" t="s">
        <v>3493</v>
      </c>
      <c r="B592" t="s">
        <v>2748</v>
      </c>
      <c r="C592" t="s">
        <v>2796</v>
      </c>
      <c r="D592" t="str">
        <f t="shared" si="9"/>
        <v>WILLIAM ENGLISH</v>
      </c>
    </row>
    <row r="593" spans="1:4" x14ac:dyDescent="0.25">
      <c r="A593" t="s">
        <v>3493</v>
      </c>
      <c r="C593" t="s">
        <v>3494</v>
      </c>
      <c r="D593" t="str">
        <f t="shared" si="9"/>
        <v>MAUREEN ENGLISH</v>
      </c>
    </row>
    <row r="594" spans="1:4" x14ac:dyDescent="0.25">
      <c r="A594" t="s">
        <v>3495</v>
      </c>
      <c r="B594" t="s">
        <v>2761</v>
      </c>
      <c r="C594" t="s">
        <v>2993</v>
      </c>
      <c r="D594" t="str">
        <f t="shared" si="9"/>
        <v>DOUGLAS FALLECKER</v>
      </c>
    </row>
    <row r="595" spans="1:4" x14ac:dyDescent="0.25">
      <c r="A595" t="s">
        <v>3495</v>
      </c>
      <c r="C595" t="s">
        <v>3278</v>
      </c>
      <c r="D595" t="str">
        <f t="shared" si="9"/>
        <v>KIMBERLY FALLECKER</v>
      </c>
    </row>
    <row r="596" spans="1:4" x14ac:dyDescent="0.25">
      <c r="A596" t="s">
        <v>3496</v>
      </c>
      <c r="C596" t="s">
        <v>3330</v>
      </c>
      <c r="D596" t="str">
        <f t="shared" si="9"/>
        <v>DENA FEND</v>
      </c>
    </row>
    <row r="597" spans="1:4" x14ac:dyDescent="0.25">
      <c r="A597" t="s">
        <v>3497</v>
      </c>
      <c r="B597" t="s">
        <v>2751</v>
      </c>
      <c r="C597" t="s">
        <v>3070</v>
      </c>
      <c r="D597" t="str">
        <f t="shared" si="9"/>
        <v>ELIZABETH FINNEGAN</v>
      </c>
    </row>
    <row r="598" spans="1:4" x14ac:dyDescent="0.25">
      <c r="A598" t="s">
        <v>3498</v>
      </c>
      <c r="B598" t="s">
        <v>2805</v>
      </c>
      <c r="C598" t="s">
        <v>2980</v>
      </c>
      <c r="D598" t="str">
        <f t="shared" si="9"/>
        <v>MICHAEL FIUMARA</v>
      </c>
    </row>
    <row r="599" spans="1:4" x14ac:dyDescent="0.25">
      <c r="A599" t="s">
        <v>3499</v>
      </c>
      <c r="B599" t="s">
        <v>2764</v>
      </c>
      <c r="C599" t="s">
        <v>2765</v>
      </c>
      <c r="D599" t="str">
        <f t="shared" si="9"/>
        <v>JOHN FRANASIAK</v>
      </c>
    </row>
    <row r="600" spans="1:4" x14ac:dyDescent="0.25">
      <c r="A600" t="s">
        <v>3500</v>
      </c>
      <c r="B600" t="s">
        <v>2776</v>
      </c>
      <c r="C600" t="s">
        <v>2877</v>
      </c>
      <c r="D600" t="str">
        <f t="shared" si="9"/>
        <v>DONALD GAISER</v>
      </c>
    </row>
    <row r="601" spans="1:4" x14ac:dyDescent="0.25">
      <c r="A601" t="s">
        <v>3501</v>
      </c>
      <c r="B601" t="s">
        <v>2896</v>
      </c>
      <c r="C601" t="s">
        <v>2889</v>
      </c>
      <c r="D601" t="str">
        <f t="shared" si="9"/>
        <v>ANITA GALKO</v>
      </c>
    </row>
    <row r="602" spans="1:4" x14ac:dyDescent="0.25">
      <c r="A602" t="s">
        <v>3502</v>
      </c>
      <c r="C602" t="s">
        <v>3261</v>
      </c>
      <c r="D602" t="str">
        <f t="shared" si="9"/>
        <v>CARL GARTLEY</v>
      </c>
    </row>
    <row r="603" spans="1:4" x14ac:dyDescent="0.25">
      <c r="A603" t="s">
        <v>3503</v>
      </c>
      <c r="B603" t="s">
        <v>2805</v>
      </c>
      <c r="C603" t="s">
        <v>3285</v>
      </c>
      <c r="D603" t="str">
        <f t="shared" si="9"/>
        <v>GEORGE GERSTNER</v>
      </c>
    </row>
    <row r="604" spans="1:4" x14ac:dyDescent="0.25">
      <c r="A604" t="s">
        <v>3504</v>
      </c>
      <c r="B604" t="s">
        <v>2743</v>
      </c>
      <c r="C604" t="s">
        <v>3505</v>
      </c>
      <c r="D604" t="str">
        <f t="shared" si="9"/>
        <v>TRACY GOETTLER</v>
      </c>
    </row>
    <row r="605" spans="1:4" x14ac:dyDescent="0.25">
      <c r="A605" t="s">
        <v>3506</v>
      </c>
      <c r="B605" t="s">
        <v>2818</v>
      </c>
      <c r="C605" t="s">
        <v>3507</v>
      </c>
      <c r="D605" t="str">
        <f t="shared" si="9"/>
        <v>ABRAHAM GOLDENBERG</v>
      </c>
    </row>
    <row r="606" spans="1:4" x14ac:dyDescent="0.25">
      <c r="A606" t="s">
        <v>3421</v>
      </c>
      <c r="B606" t="s">
        <v>2805</v>
      </c>
      <c r="C606" t="s">
        <v>3508</v>
      </c>
      <c r="D606" t="str">
        <f t="shared" si="9"/>
        <v>GILBERT GORSKI</v>
      </c>
    </row>
    <row r="607" spans="1:4" x14ac:dyDescent="0.25">
      <c r="A607" t="s">
        <v>3317</v>
      </c>
      <c r="B607" t="s">
        <v>2761</v>
      </c>
      <c r="C607" t="s">
        <v>2774</v>
      </c>
      <c r="D607" t="str">
        <f t="shared" si="9"/>
        <v>LISA GRAHAM</v>
      </c>
    </row>
    <row r="608" spans="1:4" x14ac:dyDescent="0.25">
      <c r="A608" t="s">
        <v>3509</v>
      </c>
      <c r="B608" t="s">
        <v>2761</v>
      </c>
      <c r="C608" t="s">
        <v>2970</v>
      </c>
      <c r="D608" t="str">
        <f t="shared" si="9"/>
        <v>CHARLES GROSS</v>
      </c>
    </row>
    <row r="609" spans="1:4" x14ac:dyDescent="0.25">
      <c r="A609" t="s">
        <v>3510</v>
      </c>
      <c r="B609" t="s">
        <v>2805</v>
      </c>
      <c r="C609" t="s">
        <v>3511</v>
      </c>
      <c r="D609" t="str">
        <f t="shared" si="9"/>
        <v>AUDREY HAMILTON</v>
      </c>
    </row>
    <row r="610" spans="1:4" x14ac:dyDescent="0.25">
      <c r="A610" t="s">
        <v>3512</v>
      </c>
      <c r="B610" t="s">
        <v>2743</v>
      </c>
      <c r="C610" t="s">
        <v>3052</v>
      </c>
      <c r="D610" t="str">
        <f t="shared" si="9"/>
        <v>PAMELA HARTMAN</v>
      </c>
    </row>
    <row r="611" spans="1:4" x14ac:dyDescent="0.25">
      <c r="A611" t="s">
        <v>3513</v>
      </c>
      <c r="B611" t="s">
        <v>3462</v>
      </c>
      <c r="C611" t="s">
        <v>3514</v>
      </c>
      <c r="D611" t="str">
        <f t="shared" si="9"/>
        <v>BILLIE HEASLEY</v>
      </c>
    </row>
    <row r="612" spans="1:4" x14ac:dyDescent="0.25">
      <c r="A612" t="s">
        <v>3515</v>
      </c>
      <c r="B612" t="s">
        <v>2776</v>
      </c>
      <c r="C612" t="s">
        <v>2865</v>
      </c>
      <c r="D612" t="str">
        <f t="shared" si="9"/>
        <v>MARK HILGAR</v>
      </c>
    </row>
    <row r="613" spans="1:4" x14ac:dyDescent="0.25">
      <c r="A613" t="s">
        <v>3516</v>
      </c>
      <c r="B613" t="s">
        <v>2743</v>
      </c>
      <c r="C613" t="s">
        <v>3468</v>
      </c>
      <c r="D613" t="str">
        <f t="shared" si="9"/>
        <v>CINDY HINDMAN</v>
      </c>
    </row>
    <row r="614" spans="1:4" x14ac:dyDescent="0.25">
      <c r="A614" t="s">
        <v>3517</v>
      </c>
      <c r="B614" t="s">
        <v>2751</v>
      </c>
      <c r="C614" t="s">
        <v>3518</v>
      </c>
      <c r="D614" t="str">
        <f t="shared" si="9"/>
        <v>LEROY HOGG</v>
      </c>
    </row>
    <row r="615" spans="1:4" x14ac:dyDescent="0.25">
      <c r="A615" t="s">
        <v>3517</v>
      </c>
      <c r="B615" t="s">
        <v>2805</v>
      </c>
      <c r="C615" t="s">
        <v>3519</v>
      </c>
      <c r="D615" t="str">
        <f t="shared" si="9"/>
        <v>VONNIE HOGG</v>
      </c>
    </row>
    <row r="616" spans="1:4" x14ac:dyDescent="0.25">
      <c r="A616" t="s">
        <v>3520</v>
      </c>
      <c r="B616" t="s">
        <v>2743</v>
      </c>
      <c r="C616" t="s">
        <v>2779</v>
      </c>
      <c r="D616" t="str">
        <f t="shared" si="9"/>
        <v>JAMES HUBERT</v>
      </c>
    </row>
    <row r="617" spans="1:4" x14ac:dyDescent="0.25">
      <c r="A617" t="s">
        <v>3521</v>
      </c>
      <c r="B617" t="s">
        <v>2764</v>
      </c>
      <c r="C617" t="s">
        <v>3522</v>
      </c>
      <c r="D617" t="str">
        <f t="shared" si="9"/>
        <v>IDA HUNTER</v>
      </c>
    </row>
    <row r="618" spans="1:4" x14ac:dyDescent="0.25">
      <c r="A618" t="s">
        <v>3523</v>
      </c>
      <c r="B618" t="s">
        <v>2751</v>
      </c>
      <c r="C618" t="s">
        <v>3472</v>
      </c>
      <c r="D618" t="str">
        <f t="shared" si="9"/>
        <v>DEBORA HUSTAK</v>
      </c>
    </row>
    <row r="619" spans="1:4" x14ac:dyDescent="0.25">
      <c r="A619" t="s">
        <v>3524</v>
      </c>
      <c r="B619" t="s">
        <v>2737</v>
      </c>
      <c r="C619" t="s">
        <v>2906</v>
      </c>
      <c r="D619" t="str">
        <f t="shared" si="9"/>
        <v>CYNTHIA HUTH</v>
      </c>
    </row>
    <row r="620" spans="1:4" x14ac:dyDescent="0.25">
      <c r="A620" t="s">
        <v>3525</v>
      </c>
      <c r="B620" t="s">
        <v>2884</v>
      </c>
      <c r="C620" t="s">
        <v>2839</v>
      </c>
      <c r="D620" t="str">
        <f t="shared" si="9"/>
        <v>DAVID ISACCO</v>
      </c>
    </row>
    <row r="621" spans="1:4" x14ac:dyDescent="0.25">
      <c r="A621" t="s">
        <v>3526</v>
      </c>
      <c r="B621" t="s">
        <v>2818</v>
      </c>
      <c r="C621" t="s">
        <v>2796</v>
      </c>
      <c r="D621" t="str">
        <f t="shared" si="9"/>
        <v>WILLIAM JACOB</v>
      </c>
    </row>
    <row r="622" spans="1:4" x14ac:dyDescent="0.25">
      <c r="A622" t="s">
        <v>3527</v>
      </c>
      <c r="B622" t="s">
        <v>2743</v>
      </c>
      <c r="C622" t="s">
        <v>3528</v>
      </c>
      <c r="D622" t="str">
        <f t="shared" si="9"/>
        <v>JERRY JENKINS</v>
      </c>
    </row>
    <row r="623" spans="1:4" x14ac:dyDescent="0.25">
      <c r="A623" t="s">
        <v>3529</v>
      </c>
      <c r="B623" t="s">
        <v>2743</v>
      </c>
      <c r="C623" t="s">
        <v>3157</v>
      </c>
      <c r="D623" t="str">
        <f t="shared" si="9"/>
        <v>PEGGY JOHNS</v>
      </c>
    </row>
    <row r="624" spans="1:4" x14ac:dyDescent="0.25">
      <c r="A624" t="s">
        <v>3530</v>
      </c>
      <c r="B624" t="s">
        <v>2769</v>
      </c>
      <c r="C624" t="s">
        <v>3102</v>
      </c>
      <c r="D624" t="str">
        <f t="shared" si="9"/>
        <v>MARILYN JUSTES</v>
      </c>
    </row>
    <row r="625" spans="1:4" x14ac:dyDescent="0.25">
      <c r="A625" t="s">
        <v>3531</v>
      </c>
      <c r="B625" t="s">
        <v>2805</v>
      </c>
      <c r="C625" t="s">
        <v>3532</v>
      </c>
      <c r="D625" t="str">
        <f t="shared" si="9"/>
        <v>SUSIE KAPP</v>
      </c>
    </row>
    <row r="626" spans="1:4" x14ac:dyDescent="0.25">
      <c r="A626" t="s">
        <v>3533</v>
      </c>
      <c r="C626" t="s">
        <v>2749</v>
      </c>
      <c r="D626" t="str">
        <f t="shared" si="9"/>
        <v>MARY KARNEY</v>
      </c>
    </row>
    <row r="627" spans="1:4" x14ac:dyDescent="0.25">
      <c r="A627" t="s">
        <v>2809</v>
      </c>
      <c r="B627" t="s">
        <v>2805</v>
      </c>
      <c r="C627" t="s">
        <v>2923</v>
      </c>
      <c r="D627" t="str">
        <f t="shared" si="9"/>
        <v>PATRICIA KENNEDY</v>
      </c>
    </row>
    <row r="628" spans="1:4" x14ac:dyDescent="0.25">
      <c r="A628" t="s">
        <v>3534</v>
      </c>
      <c r="B628" t="s">
        <v>2751</v>
      </c>
      <c r="C628" t="s">
        <v>2923</v>
      </c>
      <c r="D628" t="str">
        <f t="shared" si="9"/>
        <v>PATRICIA KILLEY</v>
      </c>
    </row>
    <row r="629" spans="1:4" x14ac:dyDescent="0.25">
      <c r="A629" t="s">
        <v>3062</v>
      </c>
      <c r="B629" t="s">
        <v>2751</v>
      </c>
      <c r="C629" t="s">
        <v>2749</v>
      </c>
      <c r="D629" t="str">
        <f t="shared" si="9"/>
        <v>MARY KILPATRICK</v>
      </c>
    </row>
    <row r="630" spans="1:4" x14ac:dyDescent="0.25">
      <c r="A630" t="s">
        <v>3535</v>
      </c>
      <c r="B630" t="s">
        <v>2827</v>
      </c>
      <c r="C630" t="s">
        <v>3220</v>
      </c>
      <c r="D630" t="str">
        <f t="shared" si="9"/>
        <v>RAYMOND KLEMS</v>
      </c>
    </row>
    <row r="631" spans="1:4" x14ac:dyDescent="0.25">
      <c r="A631" t="s">
        <v>3536</v>
      </c>
      <c r="B631" t="s">
        <v>2761</v>
      </c>
      <c r="C631" t="s">
        <v>3246</v>
      </c>
      <c r="D631" t="str">
        <f t="shared" si="9"/>
        <v>DEBRA KNEPSHIELD</v>
      </c>
    </row>
    <row r="632" spans="1:4" x14ac:dyDescent="0.25">
      <c r="A632" t="s">
        <v>3536</v>
      </c>
      <c r="B632" t="s">
        <v>2818</v>
      </c>
      <c r="C632" t="s">
        <v>3537</v>
      </c>
      <c r="D632" t="str">
        <f t="shared" si="9"/>
        <v>CARLYLE KNEPSHIELD</v>
      </c>
    </row>
    <row r="633" spans="1:4" x14ac:dyDescent="0.25">
      <c r="A633" t="s">
        <v>3538</v>
      </c>
      <c r="C633" t="s">
        <v>3166</v>
      </c>
      <c r="D633" t="str">
        <f t="shared" si="9"/>
        <v>DANIEL KONCHAR</v>
      </c>
    </row>
    <row r="634" spans="1:4" x14ac:dyDescent="0.25">
      <c r="A634" t="s">
        <v>3539</v>
      </c>
      <c r="B634" t="s">
        <v>2896</v>
      </c>
      <c r="C634" t="s">
        <v>2749</v>
      </c>
      <c r="D634" t="str">
        <f t="shared" si="9"/>
        <v>MARY KRAMER</v>
      </c>
    </row>
    <row r="635" spans="1:4" x14ac:dyDescent="0.25">
      <c r="A635" t="s">
        <v>3540</v>
      </c>
      <c r="B635" t="s">
        <v>2751</v>
      </c>
      <c r="C635" t="s">
        <v>2762</v>
      </c>
      <c r="D635" t="str">
        <f t="shared" si="9"/>
        <v>THOMAS KRESAK</v>
      </c>
    </row>
    <row r="636" spans="1:4" x14ac:dyDescent="0.25">
      <c r="A636" t="s">
        <v>3540</v>
      </c>
      <c r="B636" t="s">
        <v>2761</v>
      </c>
      <c r="C636" t="s">
        <v>2861</v>
      </c>
      <c r="D636" t="str">
        <f t="shared" si="9"/>
        <v>KATHLEEN KRESAK</v>
      </c>
    </row>
    <row r="637" spans="1:4" x14ac:dyDescent="0.25">
      <c r="A637" t="s">
        <v>3541</v>
      </c>
      <c r="B637" t="s">
        <v>2743</v>
      </c>
      <c r="C637" t="s">
        <v>2882</v>
      </c>
      <c r="D637" t="str">
        <f t="shared" si="9"/>
        <v>KAREN KURPAKUS</v>
      </c>
    </row>
    <row r="638" spans="1:4" x14ac:dyDescent="0.25">
      <c r="A638" t="s">
        <v>3542</v>
      </c>
      <c r="B638" t="s">
        <v>2743</v>
      </c>
      <c r="C638" t="s">
        <v>3543</v>
      </c>
      <c r="D638" t="str">
        <f t="shared" si="9"/>
        <v>YVONNE LACONI</v>
      </c>
    </row>
    <row r="639" spans="1:4" x14ac:dyDescent="0.25">
      <c r="A639" t="s">
        <v>3544</v>
      </c>
      <c r="B639" t="s">
        <v>2751</v>
      </c>
      <c r="C639" t="s">
        <v>2947</v>
      </c>
      <c r="D639" t="str">
        <f t="shared" si="9"/>
        <v>JUDITH LECHNER</v>
      </c>
    </row>
    <row r="640" spans="1:4" x14ac:dyDescent="0.25">
      <c r="A640" t="s">
        <v>3545</v>
      </c>
      <c r="B640" t="s">
        <v>2743</v>
      </c>
      <c r="C640" t="s">
        <v>3140</v>
      </c>
      <c r="D640" t="str">
        <f t="shared" si="9"/>
        <v>KEITH LEINENBACH</v>
      </c>
    </row>
    <row r="641" spans="1:4" x14ac:dyDescent="0.25">
      <c r="A641" t="s">
        <v>3546</v>
      </c>
      <c r="B641" t="s">
        <v>2805</v>
      </c>
      <c r="C641" t="s">
        <v>3547</v>
      </c>
      <c r="D641" t="str">
        <f t="shared" si="9"/>
        <v>ALFRED LEWIS</v>
      </c>
    </row>
    <row r="642" spans="1:4" x14ac:dyDescent="0.25">
      <c r="A642" t="s">
        <v>3546</v>
      </c>
      <c r="B642" t="s">
        <v>2776</v>
      </c>
      <c r="C642" t="s">
        <v>3092</v>
      </c>
      <c r="D642" t="str">
        <f t="shared" ref="D642:D705" si="10">CONCATENATE(C642, " ",A642)</f>
        <v>LORI LEWIS</v>
      </c>
    </row>
    <row r="643" spans="1:4" x14ac:dyDescent="0.25">
      <c r="A643" t="s">
        <v>3548</v>
      </c>
      <c r="B643" t="s">
        <v>2761</v>
      </c>
      <c r="C643" t="s">
        <v>3549</v>
      </c>
      <c r="D643" t="str">
        <f t="shared" si="10"/>
        <v>JEFFRY LONG</v>
      </c>
    </row>
    <row r="644" spans="1:4" x14ac:dyDescent="0.25">
      <c r="A644" t="s">
        <v>3550</v>
      </c>
      <c r="B644" t="s">
        <v>2740</v>
      </c>
      <c r="C644" t="s">
        <v>2839</v>
      </c>
      <c r="D644" t="str">
        <f t="shared" si="10"/>
        <v>DAVID LOOSE</v>
      </c>
    </row>
    <row r="645" spans="1:4" x14ac:dyDescent="0.25">
      <c r="A645" t="s">
        <v>3551</v>
      </c>
      <c r="C645" t="s">
        <v>2779</v>
      </c>
      <c r="D645" t="str">
        <f t="shared" si="10"/>
        <v>JAMES MACURAK</v>
      </c>
    </row>
    <row r="646" spans="1:4" x14ac:dyDescent="0.25">
      <c r="A646" t="s">
        <v>3552</v>
      </c>
      <c r="B646" t="s">
        <v>2751</v>
      </c>
      <c r="C646" t="s">
        <v>2762</v>
      </c>
      <c r="D646" t="str">
        <f t="shared" si="10"/>
        <v>THOMAS MATSON</v>
      </c>
    </row>
    <row r="647" spans="1:4" x14ac:dyDescent="0.25">
      <c r="A647" t="s">
        <v>3553</v>
      </c>
      <c r="B647" t="s">
        <v>2769</v>
      </c>
      <c r="C647" t="s">
        <v>2816</v>
      </c>
      <c r="D647" t="str">
        <f t="shared" si="10"/>
        <v>LINDA MAXWELL</v>
      </c>
    </row>
    <row r="648" spans="1:4" x14ac:dyDescent="0.25">
      <c r="A648" t="s">
        <v>3554</v>
      </c>
      <c r="B648" t="s">
        <v>2743</v>
      </c>
      <c r="C648" t="s">
        <v>3555</v>
      </c>
      <c r="D648" t="str">
        <f t="shared" si="10"/>
        <v>SHERRIE MAZUREK</v>
      </c>
    </row>
    <row r="649" spans="1:4" x14ac:dyDescent="0.25">
      <c r="A649" t="s">
        <v>3363</v>
      </c>
      <c r="B649" t="s">
        <v>2743</v>
      </c>
      <c r="C649" t="s">
        <v>3556</v>
      </c>
      <c r="D649" t="str">
        <f t="shared" si="10"/>
        <v>LAURAL MCCOMMON</v>
      </c>
    </row>
    <row r="650" spans="1:4" x14ac:dyDescent="0.25">
      <c r="A650" t="s">
        <v>3557</v>
      </c>
      <c r="B650" t="s">
        <v>3558</v>
      </c>
      <c r="C650" t="s">
        <v>2861</v>
      </c>
      <c r="D650" t="str">
        <f t="shared" si="10"/>
        <v>KATHLEEN MCELRAVY</v>
      </c>
    </row>
    <row r="651" spans="1:4" x14ac:dyDescent="0.25">
      <c r="A651" t="s">
        <v>3559</v>
      </c>
      <c r="B651" t="s">
        <v>2737</v>
      </c>
      <c r="C651" t="s">
        <v>2735</v>
      </c>
      <c r="D651" t="str">
        <f t="shared" si="10"/>
        <v>KEVIN MCGAHEY</v>
      </c>
    </row>
    <row r="652" spans="1:4" x14ac:dyDescent="0.25">
      <c r="A652" t="s">
        <v>3560</v>
      </c>
      <c r="B652" t="s">
        <v>2813</v>
      </c>
      <c r="C652" t="s">
        <v>2947</v>
      </c>
      <c r="D652" t="str">
        <f t="shared" si="10"/>
        <v>JUDITH MCGREGOR</v>
      </c>
    </row>
    <row r="653" spans="1:4" x14ac:dyDescent="0.25">
      <c r="A653" t="s">
        <v>3560</v>
      </c>
      <c r="B653" t="s">
        <v>2813</v>
      </c>
      <c r="C653" t="s">
        <v>2825</v>
      </c>
      <c r="D653" t="str">
        <f t="shared" si="10"/>
        <v>KENNETH MCGREGOR</v>
      </c>
    </row>
    <row r="654" spans="1:4" x14ac:dyDescent="0.25">
      <c r="A654" t="s">
        <v>3561</v>
      </c>
      <c r="B654" t="s">
        <v>2751</v>
      </c>
      <c r="C654" t="s">
        <v>2839</v>
      </c>
      <c r="D654" t="str">
        <f t="shared" si="10"/>
        <v>DAVID MIGLIORINI</v>
      </c>
    </row>
    <row r="655" spans="1:4" x14ac:dyDescent="0.25">
      <c r="A655" t="s">
        <v>3370</v>
      </c>
      <c r="B655" t="s">
        <v>2743</v>
      </c>
      <c r="C655" t="s">
        <v>3562</v>
      </c>
      <c r="D655" t="str">
        <f t="shared" si="10"/>
        <v>BONNIE MILLER</v>
      </c>
    </row>
    <row r="656" spans="1:4" x14ac:dyDescent="0.25">
      <c r="A656" t="s">
        <v>3370</v>
      </c>
      <c r="B656" t="s">
        <v>2743</v>
      </c>
      <c r="C656" t="s">
        <v>2901</v>
      </c>
      <c r="D656" t="str">
        <f t="shared" si="10"/>
        <v>DEBORAH MILLER</v>
      </c>
    </row>
    <row r="657" spans="1:4" x14ac:dyDescent="0.25">
      <c r="A657" t="s">
        <v>3370</v>
      </c>
      <c r="B657" t="s">
        <v>2754</v>
      </c>
      <c r="C657" t="s">
        <v>2839</v>
      </c>
      <c r="D657" t="str">
        <f t="shared" si="10"/>
        <v>DAVID MILLER</v>
      </c>
    </row>
    <row r="658" spans="1:4" x14ac:dyDescent="0.25">
      <c r="A658" t="s">
        <v>3563</v>
      </c>
      <c r="B658" t="s">
        <v>2805</v>
      </c>
      <c r="C658" t="s">
        <v>2762</v>
      </c>
      <c r="D658" t="str">
        <f t="shared" si="10"/>
        <v>THOMAS MINTO</v>
      </c>
    </row>
    <row r="659" spans="1:4" x14ac:dyDescent="0.25">
      <c r="A659" t="s">
        <v>3036</v>
      </c>
      <c r="B659" t="s">
        <v>2805</v>
      </c>
      <c r="C659" t="s">
        <v>3278</v>
      </c>
      <c r="D659" t="str">
        <f t="shared" si="10"/>
        <v>KIMBERLY MOORE</v>
      </c>
    </row>
    <row r="660" spans="1:4" x14ac:dyDescent="0.25">
      <c r="A660" t="s">
        <v>3036</v>
      </c>
      <c r="C660" t="s">
        <v>3048</v>
      </c>
      <c r="D660" t="str">
        <f t="shared" si="10"/>
        <v>ROSE MOORE</v>
      </c>
    </row>
    <row r="661" spans="1:4" x14ac:dyDescent="0.25">
      <c r="A661" t="s">
        <v>3151</v>
      </c>
      <c r="B661" t="s">
        <v>2827</v>
      </c>
      <c r="C661" t="s">
        <v>3562</v>
      </c>
      <c r="D661" t="str">
        <f t="shared" si="10"/>
        <v>BONNIE MORRIS</v>
      </c>
    </row>
    <row r="662" spans="1:4" x14ac:dyDescent="0.25">
      <c r="A662" t="s">
        <v>3564</v>
      </c>
      <c r="B662" t="s">
        <v>2737</v>
      </c>
      <c r="C662" t="s">
        <v>3166</v>
      </c>
      <c r="D662" t="str">
        <f t="shared" si="10"/>
        <v>DANIEL MORROW</v>
      </c>
    </row>
    <row r="663" spans="1:4" x14ac:dyDescent="0.25">
      <c r="A663" t="s">
        <v>3564</v>
      </c>
      <c r="B663" t="s">
        <v>2805</v>
      </c>
      <c r="C663" t="s">
        <v>2759</v>
      </c>
      <c r="D663" t="str">
        <f t="shared" si="10"/>
        <v>SUSAN MORROW</v>
      </c>
    </row>
    <row r="664" spans="1:4" x14ac:dyDescent="0.25">
      <c r="A664" t="s">
        <v>3565</v>
      </c>
      <c r="B664" t="s">
        <v>2754</v>
      </c>
      <c r="C664" t="s">
        <v>3566</v>
      </c>
      <c r="D664" t="str">
        <f t="shared" si="10"/>
        <v>RANDI MUELLER</v>
      </c>
    </row>
    <row r="665" spans="1:4" x14ac:dyDescent="0.25">
      <c r="A665" t="s">
        <v>3567</v>
      </c>
      <c r="B665" t="s">
        <v>2734</v>
      </c>
      <c r="C665" t="s">
        <v>2991</v>
      </c>
      <c r="D665" t="str">
        <f t="shared" si="10"/>
        <v>GREGORY MURRAY</v>
      </c>
    </row>
    <row r="666" spans="1:4" x14ac:dyDescent="0.25">
      <c r="A666" t="s">
        <v>3568</v>
      </c>
      <c r="B666" t="s">
        <v>2805</v>
      </c>
      <c r="C666" t="s">
        <v>2770</v>
      </c>
      <c r="D666" t="str">
        <f t="shared" si="10"/>
        <v>NANCY MYERS</v>
      </c>
    </row>
    <row r="667" spans="1:4" x14ac:dyDescent="0.25">
      <c r="A667" t="s">
        <v>3569</v>
      </c>
      <c r="B667" t="s">
        <v>2805</v>
      </c>
      <c r="C667" t="s">
        <v>2851</v>
      </c>
      <c r="D667" t="str">
        <f t="shared" si="10"/>
        <v>TIMOTHY NEHER</v>
      </c>
    </row>
    <row r="668" spans="1:4" x14ac:dyDescent="0.25">
      <c r="A668" t="s">
        <v>3569</v>
      </c>
      <c r="B668" t="s">
        <v>3116</v>
      </c>
      <c r="C668" t="s">
        <v>3562</v>
      </c>
      <c r="D668" t="str">
        <f t="shared" si="10"/>
        <v>BONNIE NEHER</v>
      </c>
    </row>
    <row r="669" spans="1:4" x14ac:dyDescent="0.25">
      <c r="A669" t="s">
        <v>3570</v>
      </c>
      <c r="B669" t="s">
        <v>2734</v>
      </c>
      <c r="C669" t="s">
        <v>3571</v>
      </c>
      <c r="D669" t="str">
        <f t="shared" si="10"/>
        <v>STEVE NEWMYER</v>
      </c>
    </row>
    <row r="670" spans="1:4" x14ac:dyDescent="0.25">
      <c r="A670" t="s">
        <v>3572</v>
      </c>
      <c r="B670" t="s">
        <v>2751</v>
      </c>
      <c r="C670" t="s">
        <v>2923</v>
      </c>
      <c r="D670" t="str">
        <f t="shared" si="10"/>
        <v>PATRICIA NOCERA</v>
      </c>
    </row>
    <row r="671" spans="1:4" x14ac:dyDescent="0.25">
      <c r="A671" t="s">
        <v>3572</v>
      </c>
      <c r="B671" t="s">
        <v>2818</v>
      </c>
      <c r="C671" t="s">
        <v>2779</v>
      </c>
      <c r="D671" t="str">
        <f t="shared" si="10"/>
        <v>JAMES NOCERA</v>
      </c>
    </row>
    <row r="672" spans="1:4" x14ac:dyDescent="0.25">
      <c r="A672" t="s">
        <v>3381</v>
      </c>
      <c r="B672" t="s">
        <v>2805</v>
      </c>
      <c r="C672" t="s">
        <v>3015</v>
      </c>
      <c r="D672" t="str">
        <f t="shared" si="10"/>
        <v>KATHY OESTERLING</v>
      </c>
    </row>
    <row r="673" spans="1:4" x14ac:dyDescent="0.25">
      <c r="A673" t="s">
        <v>3573</v>
      </c>
      <c r="B673" t="s">
        <v>2764</v>
      </c>
      <c r="C673" t="s">
        <v>3574</v>
      </c>
      <c r="D673" t="str">
        <f t="shared" si="10"/>
        <v>MARIELLEN OLEXSAK</v>
      </c>
    </row>
    <row r="674" spans="1:4" x14ac:dyDescent="0.25">
      <c r="A674" t="s">
        <v>3575</v>
      </c>
      <c r="B674" t="s">
        <v>2805</v>
      </c>
      <c r="C674" t="s">
        <v>3576</v>
      </c>
      <c r="D674" t="str">
        <f t="shared" si="10"/>
        <v>TAMARA OSBORNE</v>
      </c>
    </row>
    <row r="675" spans="1:4" x14ac:dyDescent="0.25">
      <c r="A675" t="s">
        <v>3577</v>
      </c>
      <c r="B675" t="s">
        <v>2743</v>
      </c>
      <c r="C675" t="s">
        <v>3578</v>
      </c>
      <c r="D675" t="str">
        <f t="shared" si="10"/>
        <v>JUDY OSCHE</v>
      </c>
    </row>
    <row r="676" spans="1:4" x14ac:dyDescent="0.25">
      <c r="A676" t="s">
        <v>3579</v>
      </c>
      <c r="B676" t="s">
        <v>2751</v>
      </c>
      <c r="C676" t="s">
        <v>3019</v>
      </c>
      <c r="D676" t="str">
        <f t="shared" si="10"/>
        <v>JEFFERY PATTON</v>
      </c>
    </row>
    <row r="677" spans="1:4" x14ac:dyDescent="0.25">
      <c r="A677" t="s">
        <v>3580</v>
      </c>
      <c r="C677" t="s">
        <v>3581</v>
      </c>
      <c r="D677" t="str">
        <f t="shared" si="10"/>
        <v>MAURINE PEER</v>
      </c>
    </row>
    <row r="678" spans="1:4" x14ac:dyDescent="0.25">
      <c r="A678" t="s">
        <v>3582</v>
      </c>
      <c r="B678" t="s">
        <v>2813</v>
      </c>
      <c r="C678" t="s">
        <v>2970</v>
      </c>
      <c r="D678" t="str">
        <f t="shared" si="10"/>
        <v>CHARLES PEFFER</v>
      </c>
    </row>
    <row r="679" spans="1:4" x14ac:dyDescent="0.25">
      <c r="A679" t="s">
        <v>3583</v>
      </c>
      <c r="C679" t="s">
        <v>2957</v>
      </c>
      <c r="D679" t="str">
        <f t="shared" si="10"/>
        <v>ANTHONY PETRELLA</v>
      </c>
    </row>
    <row r="680" spans="1:4" x14ac:dyDescent="0.25">
      <c r="A680" t="s">
        <v>3584</v>
      </c>
      <c r="C680" t="s">
        <v>3178</v>
      </c>
      <c r="D680" t="str">
        <f t="shared" si="10"/>
        <v>DEAN PIKOULAS</v>
      </c>
    </row>
    <row r="681" spans="1:4" x14ac:dyDescent="0.25">
      <c r="A681" t="s">
        <v>3585</v>
      </c>
      <c r="B681" t="s">
        <v>2761</v>
      </c>
      <c r="C681" t="s">
        <v>3467</v>
      </c>
      <c r="D681" t="str">
        <f t="shared" si="10"/>
        <v>JOYCE PIPER</v>
      </c>
    </row>
    <row r="682" spans="1:4" x14ac:dyDescent="0.25">
      <c r="A682" t="s">
        <v>3585</v>
      </c>
      <c r="B682" t="s">
        <v>2737</v>
      </c>
      <c r="C682" t="s">
        <v>2839</v>
      </c>
      <c r="D682" t="str">
        <f t="shared" si="10"/>
        <v>DAVID PIPER</v>
      </c>
    </row>
    <row r="683" spans="1:4" x14ac:dyDescent="0.25">
      <c r="A683" t="s">
        <v>3586</v>
      </c>
      <c r="B683" t="s">
        <v>2827</v>
      </c>
      <c r="C683" t="s">
        <v>2970</v>
      </c>
      <c r="D683" t="str">
        <f t="shared" si="10"/>
        <v>CHARLES PLATT</v>
      </c>
    </row>
    <row r="684" spans="1:4" x14ac:dyDescent="0.25">
      <c r="A684" t="s">
        <v>3587</v>
      </c>
      <c r="B684" t="s">
        <v>2734</v>
      </c>
      <c r="C684" t="s">
        <v>2735</v>
      </c>
      <c r="D684" t="str">
        <f t="shared" si="10"/>
        <v>KEVIN PONTEOUS</v>
      </c>
    </row>
    <row r="685" spans="1:4" x14ac:dyDescent="0.25">
      <c r="A685" t="s">
        <v>3588</v>
      </c>
      <c r="B685" t="s">
        <v>2813</v>
      </c>
      <c r="C685" t="s">
        <v>2923</v>
      </c>
      <c r="D685" t="str">
        <f t="shared" si="10"/>
        <v>PATRICIA RASP</v>
      </c>
    </row>
    <row r="686" spans="1:4" x14ac:dyDescent="0.25">
      <c r="A686" t="s">
        <v>2856</v>
      </c>
      <c r="B686" t="s">
        <v>2754</v>
      </c>
      <c r="C686" t="s">
        <v>3491</v>
      </c>
      <c r="D686" t="str">
        <f t="shared" si="10"/>
        <v>BENJAMIN RAY</v>
      </c>
    </row>
    <row r="687" spans="1:4" x14ac:dyDescent="0.25">
      <c r="A687" t="s">
        <v>3589</v>
      </c>
      <c r="B687" t="s">
        <v>2776</v>
      </c>
      <c r="C687" t="s">
        <v>2833</v>
      </c>
      <c r="D687" t="str">
        <f t="shared" si="10"/>
        <v>DONNA REDD</v>
      </c>
    </row>
    <row r="688" spans="1:4" x14ac:dyDescent="0.25">
      <c r="A688" t="s">
        <v>3590</v>
      </c>
      <c r="B688" t="s">
        <v>2761</v>
      </c>
      <c r="C688" t="s">
        <v>3591</v>
      </c>
      <c r="D688" t="str">
        <f t="shared" si="10"/>
        <v>JUNE REYNOLDS</v>
      </c>
    </row>
    <row r="689" spans="1:4" x14ac:dyDescent="0.25">
      <c r="A689" t="s">
        <v>3590</v>
      </c>
      <c r="B689" t="s">
        <v>2805</v>
      </c>
      <c r="C689" t="s">
        <v>2841</v>
      </c>
      <c r="D689" t="str">
        <f t="shared" si="10"/>
        <v>ROBERT REYNOLDS</v>
      </c>
    </row>
    <row r="690" spans="1:4" x14ac:dyDescent="0.25">
      <c r="A690" t="s">
        <v>3592</v>
      </c>
      <c r="B690" t="s">
        <v>2764</v>
      </c>
      <c r="C690" t="s">
        <v>3593</v>
      </c>
      <c r="D690" t="str">
        <f t="shared" si="10"/>
        <v>NICOLETTE ROCK</v>
      </c>
    </row>
    <row r="691" spans="1:4" x14ac:dyDescent="0.25">
      <c r="A691" t="s">
        <v>3592</v>
      </c>
      <c r="C691" t="s">
        <v>2991</v>
      </c>
      <c r="D691" t="str">
        <f t="shared" si="10"/>
        <v>GREGORY ROCK</v>
      </c>
    </row>
    <row r="692" spans="1:4" x14ac:dyDescent="0.25">
      <c r="A692" t="s">
        <v>3594</v>
      </c>
      <c r="B692" t="s">
        <v>2751</v>
      </c>
      <c r="C692" t="s">
        <v>2874</v>
      </c>
      <c r="D692" t="str">
        <f t="shared" si="10"/>
        <v>MARCIA RODGERS</v>
      </c>
    </row>
    <row r="693" spans="1:4" x14ac:dyDescent="0.25">
      <c r="A693" t="s">
        <v>3595</v>
      </c>
      <c r="C693" t="s">
        <v>3314</v>
      </c>
      <c r="D693" t="str">
        <f t="shared" si="10"/>
        <v>ROBIN ROGERS</v>
      </c>
    </row>
    <row r="694" spans="1:4" x14ac:dyDescent="0.25">
      <c r="A694" t="s">
        <v>3596</v>
      </c>
      <c r="B694" t="s">
        <v>2813</v>
      </c>
      <c r="C694" t="s">
        <v>3597</v>
      </c>
      <c r="D694" t="str">
        <f t="shared" si="10"/>
        <v>LARRY RUBRIGHT</v>
      </c>
    </row>
    <row r="695" spans="1:4" x14ac:dyDescent="0.25">
      <c r="A695" t="s">
        <v>3598</v>
      </c>
      <c r="B695" t="s">
        <v>2751</v>
      </c>
      <c r="C695" t="s">
        <v>3052</v>
      </c>
      <c r="D695" t="str">
        <f t="shared" si="10"/>
        <v>PAMELA SCHMIDT</v>
      </c>
    </row>
    <row r="696" spans="1:4" x14ac:dyDescent="0.25">
      <c r="A696" t="s">
        <v>3599</v>
      </c>
      <c r="B696" t="s">
        <v>2751</v>
      </c>
      <c r="C696" t="s">
        <v>3452</v>
      </c>
      <c r="D696" t="str">
        <f t="shared" si="10"/>
        <v>ROBERTA SCHOFIELD</v>
      </c>
    </row>
    <row r="697" spans="1:4" x14ac:dyDescent="0.25">
      <c r="A697" t="s">
        <v>3599</v>
      </c>
      <c r="B697" t="s">
        <v>2827</v>
      </c>
      <c r="C697" t="s">
        <v>2779</v>
      </c>
      <c r="D697" t="str">
        <f t="shared" si="10"/>
        <v>JAMES SCHOFIELD</v>
      </c>
    </row>
    <row r="698" spans="1:4" x14ac:dyDescent="0.25">
      <c r="A698" t="s">
        <v>3600</v>
      </c>
      <c r="B698" t="s">
        <v>2813</v>
      </c>
      <c r="C698" t="s">
        <v>3601</v>
      </c>
      <c r="D698" t="str">
        <f t="shared" si="10"/>
        <v>GLENN SCHUBERT</v>
      </c>
    </row>
    <row r="699" spans="1:4" x14ac:dyDescent="0.25">
      <c r="A699" t="s">
        <v>3602</v>
      </c>
      <c r="B699" t="s">
        <v>2743</v>
      </c>
      <c r="C699" t="s">
        <v>3311</v>
      </c>
      <c r="D699" t="str">
        <f t="shared" si="10"/>
        <v>HELEN SCHUMAN</v>
      </c>
    </row>
    <row r="700" spans="1:4" x14ac:dyDescent="0.25">
      <c r="A700" t="s">
        <v>3602</v>
      </c>
      <c r="B700" t="s">
        <v>2754</v>
      </c>
      <c r="C700" t="s">
        <v>2845</v>
      </c>
      <c r="D700" t="str">
        <f t="shared" si="10"/>
        <v>RICHARD SCHUMAN</v>
      </c>
    </row>
    <row r="701" spans="1:4" x14ac:dyDescent="0.25">
      <c r="A701" t="s">
        <v>3603</v>
      </c>
      <c r="B701" t="s">
        <v>2754</v>
      </c>
      <c r="C701" t="s">
        <v>3604</v>
      </c>
      <c r="D701" t="str">
        <f t="shared" si="10"/>
        <v>JOSEPHINE SCHURKO</v>
      </c>
    </row>
    <row r="702" spans="1:4" x14ac:dyDescent="0.25">
      <c r="A702" t="s">
        <v>3605</v>
      </c>
      <c r="B702" t="s">
        <v>2743</v>
      </c>
      <c r="C702" t="s">
        <v>3201</v>
      </c>
      <c r="D702" t="str">
        <f t="shared" si="10"/>
        <v>VICKI SEMES</v>
      </c>
    </row>
    <row r="703" spans="1:4" x14ac:dyDescent="0.25">
      <c r="A703" t="s">
        <v>3605</v>
      </c>
      <c r="B703" t="s">
        <v>2769</v>
      </c>
      <c r="C703" t="s">
        <v>2785</v>
      </c>
      <c r="D703" t="str">
        <f t="shared" si="10"/>
        <v>PAUL SEMES</v>
      </c>
    </row>
    <row r="704" spans="1:4" x14ac:dyDescent="0.25">
      <c r="A704" t="s">
        <v>3606</v>
      </c>
      <c r="B704" t="s">
        <v>2827</v>
      </c>
      <c r="C704" t="s">
        <v>2759</v>
      </c>
      <c r="D704" t="str">
        <f t="shared" si="10"/>
        <v>SUSAN SIGMUND</v>
      </c>
    </row>
    <row r="705" spans="1:4" x14ac:dyDescent="0.25">
      <c r="A705" t="s">
        <v>3607</v>
      </c>
      <c r="C705" t="s">
        <v>3608</v>
      </c>
      <c r="D705" t="str">
        <f t="shared" si="10"/>
        <v>HEKURAN SKENDERI</v>
      </c>
    </row>
    <row r="706" spans="1:4" x14ac:dyDescent="0.25">
      <c r="A706" t="s">
        <v>3607</v>
      </c>
      <c r="C706" t="s">
        <v>3609</v>
      </c>
      <c r="D706" t="str">
        <f t="shared" ref="D706:D769" si="11">CONCATENATE(C706, " ",A706)</f>
        <v>MERJEME SKENDERI</v>
      </c>
    </row>
    <row r="707" spans="1:4" x14ac:dyDescent="0.25">
      <c r="A707" t="s">
        <v>3610</v>
      </c>
      <c r="B707" t="s">
        <v>2827</v>
      </c>
      <c r="C707" t="s">
        <v>2749</v>
      </c>
      <c r="D707" t="str">
        <f t="shared" si="11"/>
        <v>MARY SLAGLE</v>
      </c>
    </row>
    <row r="708" spans="1:4" x14ac:dyDescent="0.25">
      <c r="A708" t="s">
        <v>3610</v>
      </c>
      <c r="B708" t="s">
        <v>2813</v>
      </c>
      <c r="C708" t="s">
        <v>2762</v>
      </c>
      <c r="D708" t="str">
        <f t="shared" si="11"/>
        <v>THOMAS SLAGLE</v>
      </c>
    </row>
    <row r="709" spans="1:4" x14ac:dyDescent="0.25">
      <c r="A709" t="s">
        <v>3426</v>
      </c>
      <c r="B709" t="s">
        <v>2769</v>
      </c>
      <c r="C709" t="s">
        <v>3074</v>
      </c>
      <c r="D709" t="str">
        <f t="shared" si="11"/>
        <v>PAULA SNYDER</v>
      </c>
    </row>
    <row r="710" spans="1:4" x14ac:dyDescent="0.25">
      <c r="A710" t="s">
        <v>3611</v>
      </c>
      <c r="B710" t="s">
        <v>2754</v>
      </c>
      <c r="C710" t="s">
        <v>3612</v>
      </c>
      <c r="D710" t="str">
        <f t="shared" si="11"/>
        <v>STANLEY STEIGHNER</v>
      </c>
    </row>
    <row r="711" spans="1:4" x14ac:dyDescent="0.25">
      <c r="A711" t="s">
        <v>2871</v>
      </c>
      <c r="B711" t="s">
        <v>2827</v>
      </c>
      <c r="C711" t="s">
        <v>2947</v>
      </c>
      <c r="D711" t="str">
        <f t="shared" si="11"/>
        <v>JUDITH STEWART</v>
      </c>
    </row>
    <row r="712" spans="1:4" x14ac:dyDescent="0.25">
      <c r="A712" t="s">
        <v>2871</v>
      </c>
      <c r="B712" t="s">
        <v>2849</v>
      </c>
      <c r="C712" t="s">
        <v>2865</v>
      </c>
      <c r="D712" t="str">
        <f t="shared" si="11"/>
        <v>MARK STEWART</v>
      </c>
    </row>
    <row r="713" spans="1:4" x14ac:dyDescent="0.25">
      <c r="A713" t="s">
        <v>3613</v>
      </c>
      <c r="B713" t="s">
        <v>2751</v>
      </c>
      <c r="C713" t="s">
        <v>3166</v>
      </c>
      <c r="D713" t="str">
        <f t="shared" si="11"/>
        <v>DANIEL SUM</v>
      </c>
    </row>
    <row r="714" spans="1:4" x14ac:dyDescent="0.25">
      <c r="A714" t="s">
        <v>3614</v>
      </c>
      <c r="B714" t="s">
        <v>3234</v>
      </c>
      <c r="C714" t="s">
        <v>3178</v>
      </c>
      <c r="D714" t="str">
        <f t="shared" si="11"/>
        <v>DEAN SUTTON</v>
      </c>
    </row>
    <row r="715" spans="1:4" x14ac:dyDescent="0.25">
      <c r="A715" t="s">
        <v>3615</v>
      </c>
      <c r="B715" t="s">
        <v>2764</v>
      </c>
      <c r="C715" t="s">
        <v>3303</v>
      </c>
      <c r="D715" t="str">
        <f t="shared" si="11"/>
        <v>SHIRLEY SWORY</v>
      </c>
    </row>
    <row r="716" spans="1:4" x14ac:dyDescent="0.25">
      <c r="A716" t="s">
        <v>3616</v>
      </c>
      <c r="B716" t="s">
        <v>2764</v>
      </c>
      <c r="C716" t="s">
        <v>2841</v>
      </c>
      <c r="D716" t="str">
        <f t="shared" si="11"/>
        <v>ROBERT SYCHAK</v>
      </c>
    </row>
    <row r="717" spans="1:4" x14ac:dyDescent="0.25">
      <c r="A717" t="s">
        <v>3617</v>
      </c>
      <c r="B717" t="s">
        <v>2764</v>
      </c>
      <c r="C717" t="s">
        <v>3246</v>
      </c>
      <c r="D717" t="str">
        <f t="shared" si="11"/>
        <v>DEBRA TAYLOR</v>
      </c>
    </row>
    <row r="718" spans="1:4" x14ac:dyDescent="0.25">
      <c r="A718" t="s">
        <v>3618</v>
      </c>
      <c r="B718" t="s">
        <v>2818</v>
      </c>
      <c r="C718" t="s">
        <v>3030</v>
      </c>
      <c r="D718" t="str">
        <f t="shared" si="11"/>
        <v>HARRY TONER</v>
      </c>
    </row>
    <row r="719" spans="1:4" x14ac:dyDescent="0.25">
      <c r="A719" t="s">
        <v>3619</v>
      </c>
      <c r="C719" t="s">
        <v>2991</v>
      </c>
      <c r="D719" t="str">
        <f t="shared" si="11"/>
        <v>GREGORY TOT</v>
      </c>
    </row>
    <row r="720" spans="1:4" x14ac:dyDescent="0.25">
      <c r="A720" t="s">
        <v>3619</v>
      </c>
      <c r="C720" t="s">
        <v>3620</v>
      </c>
      <c r="D720" t="str">
        <f t="shared" si="11"/>
        <v>RENAE TOT</v>
      </c>
    </row>
    <row r="721" spans="1:4" x14ac:dyDescent="0.25">
      <c r="A721" t="s">
        <v>3441</v>
      </c>
      <c r="B721" t="s">
        <v>2743</v>
      </c>
      <c r="C721" t="s">
        <v>3000</v>
      </c>
      <c r="D721" t="str">
        <f t="shared" si="11"/>
        <v>DANNY TURNER</v>
      </c>
    </row>
    <row r="722" spans="1:4" x14ac:dyDescent="0.25">
      <c r="A722" t="s">
        <v>3621</v>
      </c>
      <c r="B722" t="s">
        <v>2751</v>
      </c>
      <c r="C722" t="s">
        <v>3025</v>
      </c>
      <c r="D722" t="str">
        <f t="shared" si="11"/>
        <v>STEPHEN TUZIKOW</v>
      </c>
    </row>
    <row r="723" spans="1:4" x14ac:dyDescent="0.25">
      <c r="A723" t="s">
        <v>3622</v>
      </c>
      <c r="B723" t="s">
        <v>2751</v>
      </c>
      <c r="C723" t="s">
        <v>2845</v>
      </c>
      <c r="D723" t="str">
        <f t="shared" si="11"/>
        <v>RICHARD USNICK</v>
      </c>
    </row>
    <row r="724" spans="1:4" x14ac:dyDescent="0.25">
      <c r="A724" t="s">
        <v>3623</v>
      </c>
      <c r="B724" t="s">
        <v>2805</v>
      </c>
      <c r="C724" t="s">
        <v>3246</v>
      </c>
      <c r="D724" t="str">
        <f t="shared" si="11"/>
        <v>DEBRA VALENSKY</v>
      </c>
    </row>
    <row r="725" spans="1:4" x14ac:dyDescent="0.25">
      <c r="A725" t="s">
        <v>3623</v>
      </c>
      <c r="B725" t="s">
        <v>2805</v>
      </c>
      <c r="C725" t="s">
        <v>3624</v>
      </c>
      <c r="D725" t="str">
        <f t="shared" si="11"/>
        <v>RICKI VALENSKY</v>
      </c>
    </row>
    <row r="726" spans="1:4" x14ac:dyDescent="0.25">
      <c r="A726" t="s">
        <v>3625</v>
      </c>
      <c r="B726" t="s">
        <v>2740</v>
      </c>
      <c r="C726" t="s">
        <v>2906</v>
      </c>
      <c r="D726" t="str">
        <f t="shared" si="11"/>
        <v>CYNTHIA VASBINDER</v>
      </c>
    </row>
    <row r="727" spans="1:4" x14ac:dyDescent="0.25">
      <c r="A727" t="s">
        <v>3626</v>
      </c>
      <c r="C727" t="s">
        <v>3627</v>
      </c>
      <c r="D727" t="str">
        <f t="shared" si="11"/>
        <v>MARYANN VAUGHN</v>
      </c>
    </row>
    <row r="728" spans="1:4" x14ac:dyDescent="0.25">
      <c r="A728" t="s">
        <v>3628</v>
      </c>
      <c r="B728" t="s">
        <v>2761</v>
      </c>
      <c r="C728" t="s">
        <v>2744</v>
      </c>
      <c r="D728" t="str">
        <f t="shared" si="11"/>
        <v>GARY WATT</v>
      </c>
    </row>
    <row r="729" spans="1:4" x14ac:dyDescent="0.25">
      <c r="A729" t="s">
        <v>3628</v>
      </c>
      <c r="B729" t="s">
        <v>2743</v>
      </c>
      <c r="C729" t="s">
        <v>2861</v>
      </c>
      <c r="D729" t="str">
        <f t="shared" si="11"/>
        <v>KATHLEEN WATT</v>
      </c>
    </row>
    <row r="730" spans="1:4" x14ac:dyDescent="0.25">
      <c r="A730" t="s">
        <v>3629</v>
      </c>
      <c r="B730" t="s">
        <v>2743</v>
      </c>
      <c r="C730" t="s">
        <v>2825</v>
      </c>
      <c r="D730" t="str">
        <f t="shared" si="11"/>
        <v>KENNETH WINTERHALTER</v>
      </c>
    </row>
    <row r="731" spans="1:4" x14ac:dyDescent="0.25">
      <c r="A731" t="s">
        <v>3630</v>
      </c>
      <c r="C731" t="s">
        <v>3631</v>
      </c>
      <c r="D731" t="str">
        <f t="shared" si="11"/>
        <v>MARYBETH WINTERS</v>
      </c>
    </row>
    <row r="732" spans="1:4" x14ac:dyDescent="0.25">
      <c r="A732" t="s">
        <v>3632</v>
      </c>
      <c r="B732" t="s">
        <v>2896</v>
      </c>
      <c r="C732" t="s">
        <v>2845</v>
      </c>
      <c r="D732" t="str">
        <f t="shared" si="11"/>
        <v>RICHARD WITCHKO</v>
      </c>
    </row>
    <row r="733" spans="1:4" x14ac:dyDescent="0.25">
      <c r="A733" t="s">
        <v>3633</v>
      </c>
      <c r="B733" t="s">
        <v>2751</v>
      </c>
      <c r="C733" t="s">
        <v>3262</v>
      </c>
      <c r="D733" t="str">
        <f t="shared" si="11"/>
        <v>GRACE WRIGHT</v>
      </c>
    </row>
    <row r="734" spans="1:4" x14ac:dyDescent="0.25">
      <c r="A734" t="s">
        <v>3633</v>
      </c>
      <c r="B734" t="s">
        <v>2751</v>
      </c>
      <c r="C734" t="s">
        <v>3025</v>
      </c>
      <c r="D734" t="str">
        <f t="shared" si="11"/>
        <v>STEPHEN WRIGHT</v>
      </c>
    </row>
    <row r="735" spans="1:4" x14ac:dyDescent="0.25">
      <c r="A735" t="s">
        <v>3633</v>
      </c>
      <c r="B735" t="s">
        <v>2761</v>
      </c>
      <c r="C735" t="s">
        <v>3634</v>
      </c>
      <c r="D735" t="str">
        <f t="shared" si="11"/>
        <v>CATHERINE WRIGHT</v>
      </c>
    </row>
    <row r="736" spans="1:4" x14ac:dyDescent="0.25">
      <c r="A736" t="s">
        <v>3633</v>
      </c>
      <c r="B736" t="s">
        <v>2896</v>
      </c>
      <c r="C736" t="s">
        <v>2746</v>
      </c>
      <c r="D736" t="str">
        <f t="shared" si="11"/>
        <v>SANDRA WRIGHT</v>
      </c>
    </row>
    <row r="737" spans="1:4" x14ac:dyDescent="0.25">
      <c r="A737" t="s">
        <v>3635</v>
      </c>
      <c r="B737" t="s">
        <v>2734</v>
      </c>
      <c r="C737" t="s">
        <v>2845</v>
      </c>
      <c r="D737" t="str">
        <f t="shared" si="11"/>
        <v>RICHARD WROBLEWSKI</v>
      </c>
    </row>
    <row r="738" spans="1:4" x14ac:dyDescent="0.25">
      <c r="A738" t="s">
        <v>3451</v>
      </c>
      <c r="B738" t="s">
        <v>2764</v>
      </c>
      <c r="C738" t="s">
        <v>3636</v>
      </c>
      <c r="D738" t="str">
        <f t="shared" si="11"/>
        <v>MICHELLE YOUNG</v>
      </c>
    </row>
    <row r="739" spans="1:4" x14ac:dyDescent="0.25">
      <c r="A739" t="s">
        <v>3637</v>
      </c>
      <c r="B739" t="s">
        <v>2805</v>
      </c>
      <c r="C739" t="s">
        <v>2851</v>
      </c>
      <c r="D739" t="str">
        <f t="shared" si="11"/>
        <v>TIMOTHY ZANG</v>
      </c>
    </row>
    <row r="740" spans="1:4" x14ac:dyDescent="0.25">
      <c r="A740" t="s">
        <v>3638</v>
      </c>
      <c r="B740" t="s">
        <v>2818</v>
      </c>
      <c r="C740" t="s">
        <v>2851</v>
      </c>
      <c r="D740" t="str">
        <f t="shared" si="11"/>
        <v>TIMOTHY ZIELINSKI</v>
      </c>
    </row>
    <row r="741" spans="1:4" x14ac:dyDescent="0.25">
      <c r="A741" t="s">
        <v>3638</v>
      </c>
      <c r="B741" t="s">
        <v>2734</v>
      </c>
      <c r="C741" t="s">
        <v>2857</v>
      </c>
      <c r="D741" t="str">
        <f t="shared" si="11"/>
        <v>FRANK ZIELINSKI</v>
      </c>
    </row>
    <row r="742" spans="1:4" x14ac:dyDescent="0.25">
      <c r="A742" t="s">
        <v>3639</v>
      </c>
      <c r="C742" t="s">
        <v>2765</v>
      </c>
      <c r="D742" t="str">
        <f t="shared" si="11"/>
        <v>JOHN ZULICK</v>
      </c>
    </row>
    <row r="743" spans="1:4" x14ac:dyDescent="0.25">
      <c r="A743" t="s">
        <v>3640</v>
      </c>
      <c r="C743" t="s">
        <v>2841</v>
      </c>
      <c r="D743" t="str">
        <f t="shared" si="11"/>
        <v>ROBERT BOYLE</v>
      </c>
    </row>
    <row r="744" spans="1:4" x14ac:dyDescent="0.25">
      <c r="A744" t="s">
        <v>3641</v>
      </c>
      <c r="B744" t="s">
        <v>2764</v>
      </c>
      <c r="C744" t="s">
        <v>2759</v>
      </c>
      <c r="D744" t="str">
        <f t="shared" si="11"/>
        <v>SUSAN BRANNON</v>
      </c>
    </row>
    <row r="745" spans="1:4" x14ac:dyDescent="0.25">
      <c r="A745" t="s">
        <v>3642</v>
      </c>
      <c r="B745" t="s">
        <v>2743</v>
      </c>
      <c r="C745" t="s">
        <v>3643</v>
      </c>
      <c r="D745" t="str">
        <f t="shared" si="11"/>
        <v>TRACEY BROCKMAN</v>
      </c>
    </row>
    <row r="746" spans="1:4" x14ac:dyDescent="0.25">
      <c r="A746" t="s">
        <v>3089</v>
      </c>
      <c r="C746" t="s">
        <v>3644</v>
      </c>
      <c r="D746" t="str">
        <f t="shared" si="11"/>
        <v>HEWLETT BROWN</v>
      </c>
    </row>
    <row r="747" spans="1:4" x14ac:dyDescent="0.25">
      <c r="A747" t="s">
        <v>3645</v>
      </c>
      <c r="B747" t="s">
        <v>2818</v>
      </c>
      <c r="C747" t="s">
        <v>3160</v>
      </c>
      <c r="D747" t="str">
        <f t="shared" si="11"/>
        <v>LESLIE CLARKE</v>
      </c>
    </row>
    <row r="748" spans="1:4" x14ac:dyDescent="0.25">
      <c r="A748" t="s">
        <v>3487</v>
      </c>
      <c r="B748" t="s">
        <v>2751</v>
      </c>
      <c r="C748" t="s">
        <v>3646</v>
      </c>
      <c r="D748" t="str">
        <f t="shared" si="11"/>
        <v>VALERIE DAUBENSPECK</v>
      </c>
    </row>
    <row r="749" spans="1:4" x14ac:dyDescent="0.25">
      <c r="A749" t="s">
        <v>3647</v>
      </c>
      <c r="B749" t="s">
        <v>2743</v>
      </c>
      <c r="C749" t="s">
        <v>3648</v>
      </c>
      <c r="D749" t="str">
        <f t="shared" si="11"/>
        <v>SAMUEL DOMAN</v>
      </c>
    </row>
    <row r="750" spans="1:4" x14ac:dyDescent="0.25">
      <c r="A750" t="s">
        <v>3649</v>
      </c>
      <c r="B750" t="s">
        <v>2813</v>
      </c>
      <c r="C750" t="s">
        <v>2899</v>
      </c>
      <c r="D750" t="str">
        <f t="shared" si="11"/>
        <v>RONALD DUESENBERRY</v>
      </c>
    </row>
    <row r="751" spans="1:4" x14ac:dyDescent="0.25">
      <c r="A751" t="s">
        <v>2786</v>
      </c>
      <c r="B751" t="s">
        <v>2743</v>
      </c>
      <c r="C751" t="s">
        <v>3650</v>
      </c>
      <c r="D751" t="str">
        <f t="shared" si="11"/>
        <v>CARLYNN EVANS</v>
      </c>
    </row>
    <row r="752" spans="1:4" x14ac:dyDescent="0.25">
      <c r="A752" t="s">
        <v>3651</v>
      </c>
      <c r="B752" t="s">
        <v>2827</v>
      </c>
      <c r="C752" t="s">
        <v>3652</v>
      </c>
      <c r="D752" t="str">
        <f t="shared" si="11"/>
        <v>AMY GIAMMATTEI</v>
      </c>
    </row>
    <row r="753" spans="1:4" x14ac:dyDescent="0.25">
      <c r="A753" t="s">
        <v>3653</v>
      </c>
      <c r="B753" t="s">
        <v>3234</v>
      </c>
      <c r="C753" t="s">
        <v>3467</v>
      </c>
      <c r="D753" t="str">
        <f t="shared" si="11"/>
        <v>JOYCE GIESLER</v>
      </c>
    </row>
    <row r="754" spans="1:4" x14ac:dyDescent="0.25">
      <c r="A754" t="s">
        <v>3112</v>
      </c>
      <c r="B754" t="s">
        <v>2805</v>
      </c>
      <c r="C754" t="s">
        <v>2851</v>
      </c>
      <c r="D754" t="str">
        <f t="shared" si="11"/>
        <v>TIMOTHY GORDON</v>
      </c>
    </row>
    <row r="755" spans="1:4" x14ac:dyDescent="0.25">
      <c r="A755" t="s">
        <v>2793</v>
      </c>
      <c r="B755" t="s">
        <v>2896</v>
      </c>
      <c r="C755" t="s">
        <v>3278</v>
      </c>
      <c r="D755" t="str">
        <f t="shared" si="11"/>
        <v>KIMBERLY GREEN</v>
      </c>
    </row>
    <row r="756" spans="1:4" x14ac:dyDescent="0.25">
      <c r="A756" t="s">
        <v>2793</v>
      </c>
      <c r="B756" t="s">
        <v>2776</v>
      </c>
      <c r="C756" t="s">
        <v>3025</v>
      </c>
      <c r="D756" t="str">
        <f t="shared" si="11"/>
        <v>STEPHEN GREEN</v>
      </c>
    </row>
    <row r="757" spans="1:4" x14ac:dyDescent="0.25">
      <c r="A757" t="s">
        <v>3654</v>
      </c>
      <c r="B757" t="s">
        <v>2754</v>
      </c>
      <c r="C757" t="s">
        <v>2765</v>
      </c>
      <c r="D757" t="str">
        <f t="shared" si="11"/>
        <v>JOHN HAYS</v>
      </c>
    </row>
    <row r="758" spans="1:4" x14ac:dyDescent="0.25">
      <c r="A758" t="s">
        <v>3655</v>
      </c>
      <c r="B758" t="s">
        <v>2740</v>
      </c>
      <c r="C758" t="s">
        <v>2749</v>
      </c>
      <c r="D758" t="str">
        <f t="shared" si="11"/>
        <v>MARY HEARN</v>
      </c>
    </row>
    <row r="759" spans="1:4" x14ac:dyDescent="0.25">
      <c r="A759" t="s">
        <v>3655</v>
      </c>
      <c r="C759" t="s">
        <v>3222</v>
      </c>
      <c r="D759" t="str">
        <f t="shared" si="11"/>
        <v>RUSSELL HEARN</v>
      </c>
    </row>
    <row r="760" spans="1:4" x14ac:dyDescent="0.25">
      <c r="A760" t="s">
        <v>3656</v>
      </c>
      <c r="B760" t="s">
        <v>2813</v>
      </c>
      <c r="C760" t="s">
        <v>2735</v>
      </c>
      <c r="D760" t="str">
        <f t="shared" si="11"/>
        <v>KEVIN KARENBAUER</v>
      </c>
    </row>
    <row r="761" spans="1:4" x14ac:dyDescent="0.25">
      <c r="A761" t="s">
        <v>3657</v>
      </c>
      <c r="B761" t="s">
        <v>2896</v>
      </c>
      <c r="C761" t="s">
        <v>2765</v>
      </c>
      <c r="D761" t="str">
        <f t="shared" si="11"/>
        <v>JOHN KERNICKY</v>
      </c>
    </row>
    <row r="762" spans="1:4" x14ac:dyDescent="0.25">
      <c r="A762" t="s">
        <v>3658</v>
      </c>
      <c r="B762" t="s">
        <v>2764</v>
      </c>
      <c r="C762" t="s">
        <v>2906</v>
      </c>
      <c r="D762" t="str">
        <f t="shared" si="11"/>
        <v>CYNTHIA KING</v>
      </c>
    </row>
    <row r="763" spans="1:4" x14ac:dyDescent="0.25">
      <c r="A763" t="s">
        <v>3535</v>
      </c>
      <c r="B763" t="s">
        <v>2754</v>
      </c>
      <c r="C763" t="s">
        <v>2923</v>
      </c>
      <c r="D763" t="str">
        <f t="shared" si="11"/>
        <v>PATRICIA KLEMS</v>
      </c>
    </row>
    <row r="764" spans="1:4" x14ac:dyDescent="0.25">
      <c r="A764" t="s">
        <v>3659</v>
      </c>
      <c r="B764" t="s">
        <v>2764</v>
      </c>
      <c r="C764" t="s">
        <v>2882</v>
      </c>
      <c r="D764" t="str">
        <f t="shared" si="11"/>
        <v>KAREN KUSH</v>
      </c>
    </row>
    <row r="765" spans="1:4" x14ac:dyDescent="0.25">
      <c r="A765" t="s">
        <v>3660</v>
      </c>
      <c r="B765" t="s">
        <v>2743</v>
      </c>
      <c r="C765" t="s">
        <v>2901</v>
      </c>
      <c r="D765" t="str">
        <f t="shared" si="11"/>
        <v>DEBORAH LAMBING</v>
      </c>
    </row>
    <row r="766" spans="1:4" x14ac:dyDescent="0.25">
      <c r="A766" t="s">
        <v>3661</v>
      </c>
      <c r="C766" t="s">
        <v>3662</v>
      </c>
      <c r="D766" t="str">
        <f t="shared" si="11"/>
        <v>ELVIRA LEBRON</v>
      </c>
    </row>
    <row r="767" spans="1:4" x14ac:dyDescent="0.25">
      <c r="A767" t="s">
        <v>3663</v>
      </c>
      <c r="B767" t="s">
        <v>2764</v>
      </c>
      <c r="C767" t="s">
        <v>3431</v>
      </c>
      <c r="D767" t="str">
        <f t="shared" si="11"/>
        <v>SUZANNE LEBUIS</v>
      </c>
    </row>
    <row r="768" spans="1:4" x14ac:dyDescent="0.25">
      <c r="A768" t="s">
        <v>3664</v>
      </c>
      <c r="B768" t="s">
        <v>2748</v>
      </c>
      <c r="C768" t="s">
        <v>3665</v>
      </c>
      <c r="D768" t="str">
        <f t="shared" si="11"/>
        <v>LAWRENCE LENNON</v>
      </c>
    </row>
    <row r="769" spans="1:4" x14ac:dyDescent="0.25">
      <c r="A769" t="s">
        <v>3666</v>
      </c>
      <c r="B769" t="s">
        <v>2761</v>
      </c>
      <c r="C769" t="s">
        <v>2833</v>
      </c>
      <c r="D769" t="str">
        <f t="shared" si="11"/>
        <v>DONNA LYDON</v>
      </c>
    </row>
    <row r="770" spans="1:4" x14ac:dyDescent="0.25">
      <c r="A770" t="s">
        <v>3351</v>
      </c>
      <c r="B770" t="s">
        <v>2896</v>
      </c>
      <c r="C770" t="s">
        <v>2845</v>
      </c>
      <c r="D770" t="str">
        <f t="shared" ref="D770:D829" si="12">CONCATENATE(C770, " ",A770)</f>
        <v>RICHARD MAJESKY</v>
      </c>
    </row>
    <row r="771" spans="1:4" x14ac:dyDescent="0.25">
      <c r="A771" t="s">
        <v>3357</v>
      </c>
      <c r="C771" t="s">
        <v>2845</v>
      </c>
      <c r="D771" t="str">
        <f t="shared" si="12"/>
        <v>RICHARD MARSHALL</v>
      </c>
    </row>
    <row r="772" spans="1:4" x14ac:dyDescent="0.25">
      <c r="A772" t="s">
        <v>3667</v>
      </c>
      <c r="B772" t="s">
        <v>2764</v>
      </c>
      <c r="C772" t="s">
        <v>3668</v>
      </c>
      <c r="D772" t="str">
        <f t="shared" si="12"/>
        <v>LUANN MARZULLO</v>
      </c>
    </row>
    <row r="773" spans="1:4" x14ac:dyDescent="0.25">
      <c r="A773" t="s">
        <v>3669</v>
      </c>
      <c r="B773" t="s">
        <v>2761</v>
      </c>
      <c r="C773" t="s">
        <v>2779</v>
      </c>
      <c r="D773" t="str">
        <f t="shared" si="12"/>
        <v>JAMES MCATEE</v>
      </c>
    </row>
    <row r="774" spans="1:4" x14ac:dyDescent="0.25">
      <c r="A774" t="s">
        <v>3365</v>
      </c>
      <c r="B774" t="s">
        <v>2805</v>
      </c>
      <c r="C774" t="s">
        <v>2779</v>
      </c>
      <c r="D774" t="str">
        <f t="shared" si="12"/>
        <v>JAMES MCDONOUGH</v>
      </c>
    </row>
    <row r="775" spans="1:4" x14ac:dyDescent="0.25">
      <c r="A775" t="s">
        <v>3670</v>
      </c>
      <c r="B775" t="s">
        <v>2896</v>
      </c>
      <c r="C775" t="s">
        <v>3671</v>
      </c>
      <c r="D775" t="str">
        <f t="shared" si="12"/>
        <v>SHARYN MCGALLIS</v>
      </c>
    </row>
    <row r="776" spans="1:4" x14ac:dyDescent="0.25">
      <c r="A776" t="s">
        <v>3370</v>
      </c>
      <c r="B776" t="s">
        <v>2751</v>
      </c>
      <c r="C776" t="s">
        <v>3070</v>
      </c>
      <c r="D776" t="str">
        <f t="shared" si="12"/>
        <v>ELIZABETH MILLER</v>
      </c>
    </row>
    <row r="777" spans="1:4" x14ac:dyDescent="0.25">
      <c r="A777" t="s">
        <v>3370</v>
      </c>
      <c r="B777" t="s">
        <v>2761</v>
      </c>
      <c r="C777" t="s">
        <v>2779</v>
      </c>
      <c r="D777" t="str">
        <f t="shared" si="12"/>
        <v>JAMES MILLER</v>
      </c>
    </row>
    <row r="778" spans="1:4" x14ac:dyDescent="0.25">
      <c r="A778" t="s">
        <v>3370</v>
      </c>
      <c r="B778" t="s">
        <v>2769</v>
      </c>
      <c r="C778" t="s">
        <v>3672</v>
      </c>
      <c r="D778" t="str">
        <f t="shared" si="12"/>
        <v>RAYLENE MILLER</v>
      </c>
    </row>
    <row r="779" spans="1:4" x14ac:dyDescent="0.25">
      <c r="A779" t="s">
        <v>3673</v>
      </c>
      <c r="B779" t="s">
        <v>2827</v>
      </c>
      <c r="C779" t="s">
        <v>2851</v>
      </c>
      <c r="D779" t="str">
        <f t="shared" si="12"/>
        <v>TIMOTHY MONFRE</v>
      </c>
    </row>
    <row r="780" spans="1:4" x14ac:dyDescent="0.25">
      <c r="A780" t="s">
        <v>3674</v>
      </c>
      <c r="B780" t="s">
        <v>2751</v>
      </c>
      <c r="C780" t="s">
        <v>2861</v>
      </c>
      <c r="D780" t="str">
        <f t="shared" si="12"/>
        <v>KATHLEEN MORAN</v>
      </c>
    </row>
    <row r="781" spans="1:4" x14ac:dyDescent="0.25">
      <c r="A781" t="s">
        <v>3675</v>
      </c>
      <c r="C781" t="s">
        <v>3676</v>
      </c>
      <c r="D781" t="str">
        <f t="shared" si="12"/>
        <v>MARIA MOTKO</v>
      </c>
    </row>
    <row r="782" spans="1:4" x14ac:dyDescent="0.25">
      <c r="A782" t="s">
        <v>3677</v>
      </c>
      <c r="B782" t="s">
        <v>2751</v>
      </c>
      <c r="C782" t="s">
        <v>2746</v>
      </c>
      <c r="D782" t="str">
        <f t="shared" si="12"/>
        <v>SANDRA NORRIS</v>
      </c>
    </row>
    <row r="783" spans="1:4" x14ac:dyDescent="0.25">
      <c r="A783" t="s">
        <v>3678</v>
      </c>
      <c r="B783" t="s">
        <v>2818</v>
      </c>
      <c r="C783" t="s">
        <v>3112</v>
      </c>
      <c r="D783" t="str">
        <f t="shared" si="12"/>
        <v>GORDON PANEI</v>
      </c>
    </row>
    <row r="784" spans="1:4" x14ac:dyDescent="0.25">
      <c r="A784" t="s">
        <v>3679</v>
      </c>
      <c r="B784" t="s">
        <v>2805</v>
      </c>
      <c r="C784" t="s">
        <v>2859</v>
      </c>
      <c r="D784" t="str">
        <f t="shared" si="12"/>
        <v>SARA PELLEGRINI</v>
      </c>
    </row>
    <row r="785" spans="1:4" x14ac:dyDescent="0.25">
      <c r="A785" t="s">
        <v>3679</v>
      </c>
      <c r="B785" t="s">
        <v>2743</v>
      </c>
      <c r="C785" t="s">
        <v>2741</v>
      </c>
      <c r="D785" t="str">
        <f t="shared" si="12"/>
        <v>JEFFREY PELLEGRINI</v>
      </c>
    </row>
    <row r="786" spans="1:4" x14ac:dyDescent="0.25">
      <c r="A786" t="s">
        <v>3396</v>
      </c>
      <c r="B786" t="s">
        <v>2896</v>
      </c>
      <c r="C786" t="s">
        <v>3680</v>
      </c>
      <c r="D786" t="str">
        <f t="shared" si="12"/>
        <v>BRIAN PISOR</v>
      </c>
    </row>
    <row r="787" spans="1:4" x14ac:dyDescent="0.25">
      <c r="A787" t="s">
        <v>3681</v>
      </c>
      <c r="B787" t="s">
        <v>2769</v>
      </c>
      <c r="C787" t="s">
        <v>3246</v>
      </c>
      <c r="D787" t="str">
        <f t="shared" si="12"/>
        <v>DEBRA PROTZMAN</v>
      </c>
    </row>
    <row r="788" spans="1:4" x14ac:dyDescent="0.25">
      <c r="A788" t="s">
        <v>3682</v>
      </c>
      <c r="B788" t="s">
        <v>2805</v>
      </c>
      <c r="C788" t="s">
        <v>2831</v>
      </c>
      <c r="D788" t="str">
        <f t="shared" si="12"/>
        <v>DENNIS RETTIG</v>
      </c>
    </row>
    <row r="789" spans="1:4" x14ac:dyDescent="0.25">
      <c r="A789" t="s">
        <v>2955</v>
      </c>
      <c r="B789" t="s">
        <v>2737</v>
      </c>
      <c r="C789" t="s">
        <v>2825</v>
      </c>
      <c r="D789" t="str">
        <f t="shared" si="12"/>
        <v>KENNETH ROBINSON</v>
      </c>
    </row>
    <row r="790" spans="1:4" x14ac:dyDescent="0.25">
      <c r="A790" t="s">
        <v>3683</v>
      </c>
      <c r="B790" t="s">
        <v>2764</v>
      </c>
      <c r="C790" t="s">
        <v>3166</v>
      </c>
      <c r="D790" t="str">
        <f t="shared" si="12"/>
        <v>DANIEL ROTHRAUFF</v>
      </c>
    </row>
    <row r="791" spans="1:4" x14ac:dyDescent="0.25">
      <c r="A791" t="s">
        <v>3684</v>
      </c>
      <c r="C791" t="s">
        <v>3507</v>
      </c>
      <c r="D791" t="str">
        <f t="shared" si="12"/>
        <v>ABRAHAM SANO</v>
      </c>
    </row>
    <row r="792" spans="1:4" x14ac:dyDescent="0.25">
      <c r="A792" t="s">
        <v>3685</v>
      </c>
      <c r="B792" t="s">
        <v>2751</v>
      </c>
      <c r="C792" t="s">
        <v>3686</v>
      </c>
      <c r="D792" t="str">
        <f t="shared" si="12"/>
        <v>MAUDRESS SCHAUB</v>
      </c>
    </row>
    <row r="793" spans="1:4" x14ac:dyDescent="0.25">
      <c r="A793" t="s">
        <v>3687</v>
      </c>
      <c r="C793" t="s">
        <v>3688</v>
      </c>
      <c r="D793" t="str">
        <f t="shared" si="12"/>
        <v>ELAINE SCHEERBAUM</v>
      </c>
    </row>
    <row r="794" spans="1:4" x14ac:dyDescent="0.25">
      <c r="A794" t="s">
        <v>3689</v>
      </c>
      <c r="B794" t="s">
        <v>2754</v>
      </c>
      <c r="C794" t="s">
        <v>3358</v>
      </c>
      <c r="D794" t="str">
        <f t="shared" si="12"/>
        <v>GLORIA SCHNUR</v>
      </c>
    </row>
    <row r="795" spans="1:4" x14ac:dyDescent="0.25">
      <c r="A795" t="s">
        <v>3690</v>
      </c>
      <c r="B795" t="s">
        <v>2827</v>
      </c>
      <c r="C795" t="s">
        <v>3691</v>
      </c>
      <c r="D795" t="str">
        <f t="shared" si="12"/>
        <v>FELIX SCIULLO</v>
      </c>
    </row>
    <row r="796" spans="1:4" x14ac:dyDescent="0.25">
      <c r="A796" t="s">
        <v>3692</v>
      </c>
      <c r="B796" t="s">
        <v>2818</v>
      </c>
      <c r="C796" t="s">
        <v>2762</v>
      </c>
      <c r="D796" t="str">
        <f t="shared" si="12"/>
        <v>THOMAS SELLERS</v>
      </c>
    </row>
    <row r="797" spans="1:4" x14ac:dyDescent="0.25">
      <c r="A797" t="s">
        <v>3419</v>
      </c>
      <c r="B797" t="s">
        <v>2734</v>
      </c>
      <c r="C797" t="s">
        <v>3392</v>
      </c>
      <c r="D797" t="str">
        <f t="shared" si="12"/>
        <v>BRUCE SHAFFER</v>
      </c>
    </row>
    <row r="798" spans="1:4" x14ac:dyDescent="0.25">
      <c r="A798" t="s">
        <v>3693</v>
      </c>
      <c r="B798" t="s">
        <v>2805</v>
      </c>
      <c r="C798" t="s">
        <v>2825</v>
      </c>
      <c r="D798" t="str">
        <f t="shared" si="12"/>
        <v>KENNETH SMARETSKY</v>
      </c>
    </row>
    <row r="799" spans="1:4" x14ac:dyDescent="0.25">
      <c r="A799" t="s">
        <v>3694</v>
      </c>
      <c r="B799" t="s">
        <v>2751</v>
      </c>
      <c r="C799" t="s">
        <v>2765</v>
      </c>
      <c r="D799" t="str">
        <f t="shared" si="12"/>
        <v>JOHN SULIA</v>
      </c>
    </row>
    <row r="800" spans="1:4" x14ac:dyDescent="0.25">
      <c r="A800" t="s">
        <v>3616</v>
      </c>
      <c r="B800" t="s">
        <v>2751</v>
      </c>
      <c r="C800" t="s">
        <v>3070</v>
      </c>
      <c r="D800" t="str">
        <f t="shared" si="12"/>
        <v>ELIZABETH SYCHAK</v>
      </c>
    </row>
    <row r="801" spans="1:4" x14ac:dyDescent="0.25">
      <c r="A801" t="s">
        <v>2762</v>
      </c>
      <c r="B801" t="s">
        <v>2813</v>
      </c>
      <c r="C801" t="s">
        <v>3130</v>
      </c>
      <c r="D801" t="str">
        <f t="shared" si="12"/>
        <v>ROY THOMAS</v>
      </c>
    </row>
    <row r="802" spans="1:4" x14ac:dyDescent="0.25">
      <c r="A802" t="s">
        <v>3695</v>
      </c>
      <c r="B802" t="s">
        <v>2776</v>
      </c>
      <c r="C802" t="s">
        <v>2779</v>
      </c>
      <c r="D802" t="str">
        <f t="shared" si="12"/>
        <v>JAMES WEIDO</v>
      </c>
    </row>
    <row r="803" spans="1:4" x14ac:dyDescent="0.25">
      <c r="A803" t="s">
        <v>3696</v>
      </c>
      <c r="B803" t="s">
        <v>2751</v>
      </c>
      <c r="C803" t="s">
        <v>3392</v>
      </c>
      <c r="D803" t="str">
        <f t="shared" si="12"/>
        <v>BRUCE WICKLINE</v>
      </c>
    </row>
    <row r="804" spans="1:4" x14ac:dyDescent="0.25">
      <c r="A804" t="s">
        <v>3448</v>
      </c>
      <c r="B804" t="s">
        <v>2734</v>
      </c>
      <c r="C804" t="s">
        <v>2839</v>
      </c>
      <c r="D804" t="str">
        <f t="shared" si="12"/>
        <v>DAVID WILLIAMS</v>
      </c>
    </row>
    <row r="805" spans="1:4" x14ac:dyDescent="0.25">
      <c r="A805" t="s">
        <v>3069</v>
      </c>
      <c r="B805" t="s">
        <v>2737</v>
      </c>
      <c r="C805" t="s">
        <v>2770</v>
      </c>
      <c r="D805" t="str">
        <f t="shared" si="12"/>
        <v>NANCY WILSON</v>
      </c>
    </row>
    <row r="806" spans="1:4" x14ac:dyDescent="0.25">
      <c r="A806" t="s">
        <v>3697</v>
      </c>
      <c r="B806" t="s">
        <v>2737</v>
      </c>
      <c r="C806" t="s">
        <v>2785</v>
      </c>
      <c r="D806" t="str">
        <f t="shared" si="12"/>
        <v>PAUL WITTMER</v>
      </c>
    </row>
    <row r="807" spans="1:4" x14ac:dyDescent="0.25">
      <c r="A807" t="s">
        <v>3698</v>
      </c>
      <c r="B807" t="s">
        <v>2743</v>
      </c>
      <c r="C807" t="s">
        <v>2843</v>
      </c>
      <c r="D807" t="str">
        <f t="shared" si="12"/>
        <v>CATHY WURMB</v>
      </c>
    </row>
    <row r="808" spans="1:4" x14ac:dyDescent="0.25">
      <c r="A808" t="s">
        <v>3699</v>
      </c>
      <c r="B808" t="s">
        <v>2764</v>
      </c>
      <c r="C808" t="s">
        <v>3269</v>
      </c>
      <c r="D808" t="str">
        <f t="shared" si="12"/>
        <v>TERESA YAROSCHAK</v>
      </c>
    </row>
    <row r="809" spans="1:4" x14ac:dyDescent="0.25">
      <c r="A809" t="s">
        <v>3700</v>
      </c>
      <c r="C809" t="s">
        <v>2970</v>
      </c>
      <c r="D809" t="str">
        <f t="shared" si="12"/>
        <v>CHARLES DONALDSON</v>
      </c>
    </row>
    <row r="810" spans="1:4" x14ac:dyDescent="0.25">
      <c r="A810" t="s">
        <v>3701</v>
      </c>
      <c r="B810" t="s">
        <v>3702</v>
      </c>
      <c r="C810" t="s">
        <v>2748</v>
      </c>
      <c r="D810" t="str">
        <f t="shared" si="12"/>
        <v>H GATES</v>
      </c>
    </row>
    <row r="811" spans="1:4" x14ac:dyDescent="0.25">
      <c r="A811" t="s">
        <v>3703</v>
      </c>
      <c r="C811" t="s">
        <v>3166</v>
      </c>
      <c r="D811" t="str">
        <f t="shared" si="12"/>
        <v>DANIEL LANCASTER</v>
      </c>
    </row>
    <row r="812" spans="1:4" x14ac:dyDescent="0.25">
      <c r="A812" t="s">
        <v>3704</v>
      </c>
      <c r="C812" t="s">
        <v>2759</v>
      </c>
      <c r="D812" t="str">
        <f t="shared" si="12"/>
        <v>SUSAN LUIPERSBECK</v>
      </c>
    </row>
    <row r="813" spans="1:4" x14ac:dyDescent="0.25">
      <c r="A813" t="s">
        <v>3705</v>
      </c>
      <c r="C813" t="s">
        <v>3706</v>
      </c>
      <c r="D813" t="str">
        <f t="shared" si="12"/>
        <v>JUANITA PRUITT</v>
      </c>
    </row>
    <row r="814" spans="1:4" x14ac:dyDescent="0.25">
      <c r="A814" t="s">
        <v>3707</v>
      </c>
      <c r="C814" t="s">
        <v>3708</v>
      </c>
      <c r="D814" t="str">
        <f t="shared" si="12"/>
        <v>GUS SPECTOR</v>
      </c>
    </row>
    <row r="815" spans="1:4" x14ac:dyDescent="0.25">
      <c r="A815" t="s">
        <v>3709</v>
      </c>
      <c r="C815" t="s">
        <v>3387</v>
      </c>
      <c r="D815" t="str">
        <f t="shared" si="12"/>
        <v>JOAN ATTRIDGE</v>
      </c>
    </row>
    <row r="816" spans="1:4" x14ac:dyDescent="0.25">
      <c r="A816" t="s">
        <v>3710</v>
      </c>
      <c r="C816" t="s">
        <v>3314</v>
      </c>
      <c r="D816" t="str">
        <f t="shared" si="12"/>
        <v>ROBIN DIMATTEI</v>
      </c>
    </row>
    <row r="817" spans="1:4" x14ac:dyDescent="0.25">
      <c r="A817" t="s">
        <v>3711</v>
      </c>
      <c r="C817" t="s">
        <v>2853</v>
      </c>
      <c r="D817" t="str">
        <f t="shared" si="12"/>
        <v>CAROL LU</v>
      </c>
    </row>
    <row r="818" spans="1:4" x14ac:dyDescent="0.25">
      <c r="A818" t="s">
        <v>3712</v>
      </c>
      <c r="C818" t="s">
        <v>2951</v>
      </c>
      <c r="D818" t="str">
        <f t="shared" si="12"/>
        <v>PETER RYAN</v>
      </c>
    </row>
    <row r="819" spans="1:4" x14ac:dyDescent="0.25">
      <c r="A819" t="s">
        <v>3713</v>
      </c>
      <c r="C819" t="s">
        <v>3092</v>
      </c>
      <c r="D819" t="str">
        <f t="shared" si="12"/>
        <v>LORI SACKETT</v>
      </c>
    </row>
    <row r="820" spans="1:4" x14ac:dyDescent="0.25">
      <c r="A820" t="s">
        <v>3714</v>
      </c>
      <c r="C820" t="s">
        <v>3715</v>
      </c>
      <c r="D820" t="str">
        <f t="shared" si="12"/>
        <v>GHASSEM SHAHROOZ</v>
      </c>
    </row>
    <row r="821" spans="1:4" x14ac:dyDescent="0.25">
      <c r="A821" t="s">
        <v>3225</v>
      </c>
      <c r="B821" t="s">
        <v>2743</v>
      </c>
      <c r="C821" t="s">
        <v>2909</v>
      </c>
      <c r="D821" t="str">
        <f t="shared" si="12"/>
        <v>THERESA PARKS</v>
      </c>
    </row>
    <row r="822" spans="1:4" x14ac:dyDescent="0.25">
      <c r="A822" s="2" t="s">
        <v>2768</v>
      </c>
      <c r="C822" t="s">
        <v>3226</v>
      </c>
      <c r="D822" t="str">
        <f t="shared" si="12"/>
        <v>DONNY CLARK</v>
      </c>
    </row>
    <row r="823" spans="1:4" x14ac:dyDescent="0.25">
      <c r="A823" s="2" t="s">
        <v>3227</v>
      </c>
      <c r="B823" t="s">
        <v>2805</v>
      </c>
      <c r="C823" t="s">
        <v>3228</v>
      </c>
      <c r="D823" t="str">
        <f t="shared" si="12"/>
        <v>PATRICK DOWDLE</v>
      </c>
    </row>
    <row r="824" spans="1:4" x14ac:dyDescent="0.25">
      <c r="A824" s="2" t="s">
        <v>3229</v>
      </c>
      <c r="B824" t="s">
        <v>2751</v>
      </c>
      <c r="C824" t="s">
        <v>2779</v>
      </c>
      <c r="D824" t="str">
        <f t="shared" si="12"/>
        <v>JAMES SHIPLETT</v>
      </c>
    </row>
    <row r="825" spans="1:4" x14ac:dyDescent="0.25">
      <c r="A825" s="2" t="s">
        <v>3229</v>
      </c>
      <c r="B825" t="s">
        <v>2805</v>
      </c>
      <c r="C825" t="s">
        <v>3230</v>
      </c>
      <c r="D825" t="str">
        <f t="shared" si="12"/>
        <v>LAURA SHIPLETT</v>
      </c>
    </row>
    <row r="826" spans="1:4" x14ac:dyDescent="0.25">
      <c r="A826" s="2" t="s">
        <v>3231</v>
      </c>
      <c r="B826" t="s">
        <v>2751</v>
      </c>
      <c r="C826" t="s">
        <v>3232</v>
      </c>
      <c r="D826" t="str">
        <f t="shared" si="12"/>
        <v>CRAIG STONE</v>
      </c>
    </row>
    <row r="827" spans="1:4" x14ac:dyDescent="0.25">
      <c r="A827" s="2" t="s">
        <v>3233</v>
      </c>
      <c r="B827" t="s">
        <v>3234</v>
      </c>
      <c r="C827" t="s">
        <v>3235</v>
      </c>
      <c r="D827" t="str">
        <f t="shared" si="12"/>
        <v>KATHRYN CHAPPELL</v>
      </c>
    </row>
    <row r="828" spans="1:4" x14ac:dyDescent="0.25">
      <c r="A828" s="2" t="s">
        <v>2809</v>
      </c>
      <c r="B828" t="s">
        <v>2737</v>
      </c>
      <c r="C828" t="s">
        <v>2845</v>
      </c>
      <c r="D828" t="str">
        <f t="shared" si="12"/>
        <v>RICHARD KENNEDY</v>
      </c>
    </row>
    <row r="829" spans="1:4" x14ac:dyDescent="0.25">
      <c r="A829" t="s">
        <v>2975</v>
      </c>
      <c r="B829" t="s">
        <v>2976</v>
      </c>
      <c r="C829" t="s">
        <v>2977</v>
      </c>
      <c r="D829" t="str">
        <f t="shared" si="12"/>
        <v>TODD PAYNTER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588EB-2346-48DF-8675-6D15128C3158}">
  <dimension ref="A1:X2"/>
  <sheetViews>
    <sheetView workbookViewId="0">
      <selection activeCell="B2" sqref="B2"/>
    </sheetView>
  </sheetViews>
  <sheetFormatPr defaultRowHeight="15" x14ac:dyDescent="0.25"/>
  <cols>
    <col min="1" max="1" width="13.5703125" bestFit="1" customWidth="1"/>
    <col min="2" max="2" width="17.28515625" bestFit="1" customWidth="1"/>
    <col min="3" max="3" width="15.85546875" bestFit="1" customWidth="1"/>
    <col min="4" max="5" width="17.42578125" bestFit="1" customWidth="1"/>
    <col min="6" max="6" width="13.7109375" bestFit="1" customWidth="1"/>
    <col min="7" max="7" width="13.42578125" bestFit="1" customWidth="1"/>
    <col min="8" max="8" width="7.85546875" bestFit="1" customWidth="1"/>
    <col min="9" max="9" width="8" bestFit="1" customWidth="1"/>
    <col min="10" max="10" width="10" bestFit="1" customWidth="1"/>
    <col min="11" max="11" width="24.7109375" bestFit="1" customWidth="1"/>
    <col min="12" max="12" width="15.7109375" bestFit="1" customWidth="1"/>
    <col min="13" max="13" width="13.5703125" bestFit="1" customWidth="1"/>
    <col min="14" max="14" width="10.140625" bestFit="1" customWidth="1"/>
    <col min="15" max="15" width="18" bestFit="1" customWidth="1"/>
    <col min="16" max="16" width="18.7109375" bestFit="1" customWidth="1"/>
    <col min="17" max="17" width="19.28515625" bestFit="1" customWidth="1"/>
    <col min="18" max="18" width="8.7109375" bestFit="1" customWidth="1"/>
    <col min="19" max="19" width="11.5703125" bestFit="1" customWidth="1"/>
    <col min="20" max="20" width="21" bestFit="1" customWidth="1"/>
    <col min="21" max="21" width="14.140625" bestFit="1" customWidth="1"/>
    <col min="22" max="22" width="9.42578125" bestFit="1" customWidth="1"/>
    <col min="23" max="23" width="14.140625" bestFit="1" customWidth="1"/>
    <col min="24" max="24" width="9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45888</v>
      </c>
      <c r="B2" t="s">
        <v>4534</v>
      </c>
      <c r="C2" t="s">
        <v>650</v>
      </c>
      <c r="E2" t="s">
        <v>651</v>
      </c>
      <c r="F2" t="s">
        <v>303</v>
      </c>
      <c r="G2" t="s">
        <v>402</v>
      </c>
      <c r="H2" t="s">
        <v>29</v>
      </c>
      <c r="I2" t="s">
        <v>304</v>
      </c>
      <c r="J2" t="s">
        <v>652</v>
      </c>
      <c r="L2" s="1">
        <v>45901</v>
      </c>
      <c r="M2" s="1">
        <v>45901</v>
      </c>
      <c r="O2">
        <v>18710070</v>
      </c>
      <c r="P2" t="s">
        <v>32</v>
      </c>
      <c r="Q2" t="s">
        <v>293</v>
      </c>
      <c r="R2">
        <v>8192</v>
      </c>
      <c r="S2" t="s">
        <v>34</v>
      </c>
      <c r="T2" t="s">
        <v>35</v>
      </c>
      <c r="U2">
        <v>184.33</v>
      </c>
      <c r="V2" t="s">
        <v>36</v>
      </c>
      <c r="W2" s="1">
        <v>45874</v>
      </c>
      <c r="X2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 Line Benefits LLC_med_comm</vt:lpstr>
      <vt:lpstr>Sheet1</vt:lpstr>
      <vt:lpstr>Sheet3</vt:lpstr>
      <vt:lpstr>on hold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2025-08-20T21:53:07Z</dcterms:created>
  <dcterms:modified xsi:type="dcterms:W3CDTF">2025-08-28T12:52:15Z</dcterms:modified>
</cp:coreProperties>
</file>