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2-2-25\"/>
    </mc:Choice>
  </mc:AlternateContent>
  <xr:revisionPtr revIDLastSave="0" documentId="13_ncr:1_{21C5ADD4-4F69-4BBE-8426-C03734EB05EA}" xr6:coauthVersionLast="47" xr6:coauthVersionMax="47" xr10:uidLastSave="{00000000-0000-0000-0000-000000000000}"/>
  <bookViews>
    <workbookView xWindow="28680" yWindow="-120" windowWidth="29040" windowHeight="16440" activeTab="2" xr2:uid="{FE795120-5CD6-42A3-B017-FD8C2AD1C95C}"/>
  </bookViews>
  <sheets>
    <sheet name="Main Line Benefits LLC_med_comm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2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8" i="2"/>
  <c r="B4" i="2"/>
  <c r="B3" i="2"/>
  <c r="B7" i="2"/>
  <c r="B6" i="2"/>
  <c r="B5" i="2"/>
  <c r="B2" i="2"/>
  <c r="N146" i="2"/>
  <c r="R35" i="2"/>
  <c r="Q35" i="2"/>
  <c r="R7" i="2"/>
  <c r="Q7" i="2"/>
  <c r="Q19" i="2"/>
  <c r="Q2" i="2"/>
  <c r="Q18" i="2"/>
  <c r="Q17" i="2"/>
  <c r="Q6" i="2"/>
  <c r="Q5" i="2"/>
</calcChain>
</file>

<file path=xl/sharedStrings.xml><?xml version="1.0" encoding="utf-8"?>
<sst xmlns="http://schemas.openxmlformats.org/spreadsheetml/2006/main" count="3785" uniqueCount="833">
  <si>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</si>
  <si>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</si>
  <si>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</si>
  <si>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</si>
  <si>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</si>
  <si>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</si>
  <si>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</si>
  <si>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</si>
  <si>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</si>
  <si>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</si>
  <si>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</si>
  <si>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</si>
  <si>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</si>
  <si>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</si>
  <si>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</si>
  <si>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</si>
  <si>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</si>
  <si>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</si>
  <si>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</si>
  <si>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</si>
  <si>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</si>
  <si>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</si>
  <si>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</si>
  <si>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</si>
  <si>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4MN8WA0UY10</t>
  </si>
  <si>
    <t>NG102225332300</t>
  </si>
  <si>
    <t>ALLEN M,DALE</t>
  </si>
  <si>
    <t>IL</t>
  </si>
  <si>
    <t>New Business</t>
  </si>
  <si>
    <t>MAPD</t>
  </si>
  <si>
    <t>IMM619</t>
  </si>
  <si>
    <t>H7301-034</t>
  </si>
  <si>
    <t>LOA</t>
  </si>
  <si>
    <t>Deaton, Pamela</t>
  </si>
  <si>
    <t>MMO</t>
  </si>
  <si>
    <t>Main Line Benefits LLC</t>
  </si>
  <si>
    <t xml:space="preserve">N  </t>
  </si>
  <si>
    <t>1E57CC0VN34</t>
  </si>
  <si>
    <t>NG102228442200</t>
  </si>
  <si>
    <t>ALLERS,MARIANNE</t>
  </si>
  <si>
    <t>H7301-007</t>
  </si>
  <si>
    <t>5N19TP6FD52</t>
  </si>
  <si>
    <t>NG102220569300</t>
  </si>
  <si>
    <t>ALSTON,MARGUERITE</t>
  </si>
  <si>
    <t>IMM606</t>
  </si>
  <si>
    <t>H5521-086</t>
  </si>
  <si>
    <t>Drapac, Stephanie</t>
  </si>
  <si>
    <t>9T30GM8DF46</t>
  </si>
  <si>
    <t>NG102221076200</t>
  </si>
  <si>
    <t>ALTMAN M,WILLIAM</t>
  </si>
  <si>
    <t>PA</t>
  </si>
  <si>
    <t>IMM608</t>
  </si>
  <si>
    <t>H3959-002</t>
  </si>
  <si>
    <t>Inskipt, Deborah</t>
  </si>
  <si>
    <t>5PA4AQ3RG93</t>
  </si>
  <si>
    <t>NG101137276600</t>
  </si>
  <si>
    <t>ALTON M,ALICIA</t>
  </si>
  <si>
    <t>Channel Change</t>
  </si>
  <si>
    <t>H7301-002</t>
  </si>
  <si>
    <t>Roller, Jason</t>
  </si>
  <si>
    <t>3Y83VW5KQ99</t>
  </si>
  <si>
    <t>NG102225940300</t>
  </si>
  <si>
    <t>ALVIS E,JAN</t>
  </si>
  <si>
    <t>8MY6NH0FR61</t>
  </si>
  <si>
    <t>NG102223721400</t>
  </si>
  <si>
    <t>ALVIS P,JEFFERY</t>
  </si>
  <si>
    <t>3A72HY1VE99</t>
  </si>
  <si>
    <t>NG102225094000</t>
  </si>
  <si>
    <t>BARRINGER L,ORVILLE</t>
  </si>
  <si>
    <t>Sherman, Matthew</t>
  </si>
  <si>
    <t>5UG8M60JY63</t>
  </si>
  <si>
    <t>NG102221469400</t>
  </si>
  <si>
    <t>BARTO L,KENNETH</t>
  </si>
  <si>
    <t>H5521-263</t>
  </si>
  <si>
    <t>Powers, Timothy</t>
  </si>
  <si>
    <t>1DP3FX1AJ87</t>
  </si>
  <si>
    <t>NG101215765400</t>
  </si>
  <si>
    <t>BERKELAND,LONNY</t>
  </si>
  <si>
    <t>Voluntarily Rapid Disenroll</t>
  </si>
  <si>
    <t>H5521-314</t>
  </si>
  <si>
    <t>Hunsberger, Anthony</t>
  </si>
  <si>
    <t>1U97MY2HF42</t>
  </si>
  <si>
    <t>NG102228922000</t>
  </si>
  <si>
    <t>BOHANNON G,KEVIN</t>
  </si>
  <si>
    <t>5CK7G06EC38</t>
  </si>
  <si>
    <t>NG101716852000</t>
  </si>
  <si>
    <t>BONTEKOE L,MARY</t>
  </si>
  <si>
    <t>IN</t>
  </si>
  <si>
    <t>H5521-231</t>
  </si>
  <si>
    <t>Green, Danna</t>
  </si>
  <si>
    <t>6FC1V11UT34</t>
  </si>
  <si>
    <t>NG102224669800</t>
  </si>
  <si>
    <t>BRANDT G,KENNETH</t>
  </si>
  <si>
    <t>OH</t>
  </si>
  <si>
    <t>IMM617</t>
  </si>
  <si>
    <t>H0628-001</t>
  </si>
  <si>
    <t>BRANDT, STEVEN</t>
  </si>
  <si>
    <t>9AU6HN2PN64</t>
  </si>
  <si>
    <t>NG102224785100</t>
  </si>
  <si>
    <t>BRANDT L,KATHRYN</t>
  </si>
  <si>
    <t>H0628-039</t>
  </si>
  <si>
    <t>9Q61E49JT99</t>
  </si>
  <si>
    <t>NG101931808600</t>
  </si>
  <si>
    <t>BREIDE M,DENISE</t>
  </si>
  <si>
    <t>H3959-011</t>
  </si>
  <si>
    <t>Aguglia, Scott</t>
  </si>
  <si>
    <t>3XR6F16GF46</t>
  </si>
  <si>
    <t>NG102225932800</t>
  </si>
  <si>
    <t>BRICKLEY L,DENNIS</t>
  </si>
  <si>
    <t>H5522-013</t>
  </si>
  <si>
    <t>3XX9EX8RH53</t>
  </si>
  <si>
    <t>NG101071790200</t>
  </si>
  <si>
    <t>BRITANIK W,RICHARD</t>
  </si>
  <si>
    <t>Involuntarily Rapid Disenroll</t>
  </si>
  <si>
    <t>H5522-005</t>
  </si>
  <si>
    <t>1DH8EW4HK63</t>
  </si>
  <si>
    <t>NG101084493300</t>
  </si>
  <si>
    <t>BRITANIK,ROSEMARIE</t>
  </si>
  <si>
    <t>4FV0WE5TK03</t>
  </si>
  <si>
    <t>NG102221422800</t>
  </si>
  <si>
    <t>BROWN M,BRIANNA</t>
  </si>
  <si>
    <t>GA</t>
  </si>
  <si>
    <t>IMM605</t>
  </si>
  <si>
    <t>H5521-364</t>
  </si>
  <si>
    <t>AG4</t>
  </si>
  <si>
    <t>Fredriksz, Buffy</t>
  </si>
  <si>
    <t>1R60KH7CM04</t>
  </si>
  <si>
    <t>NG101226179600</t>
  </si>
  <si>
    <t>BROWNING J,MARY</t>
  </si>
  <si>
    <t>MI</t>
  </si>
  <si>
    <t>H5521-404</t>
  </si>
  <si>
    <t>Brousseau, Christopher</t>
  </si>
  <si>
    <t>6XY5F11VK66</t>
  </si>
  <si>
    <t>NG102228120500</t>
  </si>
  <si>
    <t>BURGESS L,GEORGIA</t>
  </si>
  <si>
    <t>8GX1WT0VY36</t>
  </si>
  <si>
    <t>NG101586071400</t>
  </si>
  <si>
    <t>CAMP L,KAREN</t>
  </si>
  <si>
    <t>H7301-009</t>
  </si>
  <si>
    <t>6W64NW9RJ72</t>
  </si>
  <si>
    <t>NG102220427000</t>
  </si>
  <si>
    <t>CAMPBELL I,MARJORIE</t>
  </si>
  <si>
    <t>DUNAVANT, MICHAEL</t>
  </si>
  <si>
    <t>7G33E98JU97</t>
  </si>
  <si>
    <t>NG101558487400</t>
  </si>
  <si>
    <t>CIRRICIONE R,RICHARD</t>
  </si>
  <si>
    <t>6GM8V11RV44</t>
  </si>
  <si>
    <t>NG102222835900</t>
  </si>
  <si>
    <t>COLCLASURE M,JOYCE</t>
  </si>
  <si>
    <t>1PC3WT9EF83</t>
  </si>
  <si>
    <t>NG101224362600</t>
  </si>
  <si>
    <t>CROTEAU A,DEBRA</t>
  </si>
  <si>
    <t>FL</t>
  </si>
  <si>
    <t>IMM604</t>
  </si>
  <si>
    <t>H5521-710</t>
  </si>
  <si>
    <t>Liskovec, Frank</t>
  </si>
  <si>
    <t>1HM8EN6AN30</t>
  </si>
  <si>
    <t>NG101219688000</t>
  </si>
  <si>
    <t>CROTEAU P,RONALD</t>
  </si>
  <si>
    <t>4JV6DH5WV41</t>
  </si>
  <si>
    <t>NG102225477100</t>
  </si>
  <si>
    <t>DE KOLD A,ROBERT</t>
  </si>
  <si>
    <t>H5521-087</t>
  </si>
  <si>
    <t>6EX0PK7VV43</t>
  </si>
  <si>
    <t>NG102229390800</t>
  </si>
  <si>
    <t>DEMOR M,AUDREY</t>
  </si>
  <si>
    <t>H0628-036</t>
  </si>
  <si>
    <t>Shepard, Jill</t>
  </si>
  <si>
    <t>3P46G02EN73</t>
  </si>
  <si>
    <t>NG102223298500</t>
  </si>
  <si>
    <t>DOLAN A,KERI</t>
  </si>
  <si>
    <t>2DR8WT5XQ24</t>
  </si>
  <si>
    <t>NG102222814600</t>
  </si>
  <si>
    <t>DRESSEL J,DURAND</t>
  </si>
  <si>
    <t>H7301-027</t>
  </si>
  <si>
    <t>9N72J24VX84</t>
  </si>
  <si>
    <t>NG102221062100</t>
  </si>
  <si>
    <t>DUGAN J,MICHAEL</t>
  </si>
  <si>
    <t>NJ</t>
  </si>
  <si>
    <t>IMM614</t>
  </si>
  <si>
    <t>H5521-277</t>
  </si>
  <si>
    <t>Richter Peter</t>
  </si>
  <si>
    <t>9FE3PM2FQ94</t>
  </si>
  <si>
    <t>NG102000755500</t>
  </si>
  <si>
    <t>FREDERKING A,TAMARA</t>
  </si>
  <si>
    <t>H2663-103</t>
  </si>
  <si>
    <t>Yale, Richard</t>
  </si>
  <si>
    <t>1N42YX2FA12</t>
  </si>
  <si>
    <t>NG102112652500</t>
  </si>
  <si>
    <t>FREDERKING W,DURWIN</t>
  </si>
  <si>
    <t>6WQ2G48HE24</t>
  </si>
  <si>
    <t>NG102222843300</t>
  </si>
  <si>
    <t>FURBUSH J,BRENDA</t>
  </si>
  <si>
    <t>H5521-433</t>
  </si>
  <si>
    <t>Berg, Ines</t>
  </si>
  <si>
    <t>8KV1FU6XK93</t>
  </si>
  <si>
    <t>NG101507769700</t>
  </si>
  <si>
    <t>GARRETT M,DONALD</t>
  </si>
  <si>
    <t>6T45TY3HX71</t>
  </si>
  <si>
    <t>NG102029679200</t>
  </si>
  <si>
    <t>GEIGER M,KATHY</t>
  </si>
  <si>
    <t>H7301-033</t>
  </si>
  <si>
    <t>Portugal, Gary</t>
  </si>
  <si>
    <t>6XQ4K39FR64</t>
  </si>
  <si>
    <t>NG102029648300</t>
  </si>
  <si>
    <t>GEIGER,CRAIG</t>
  </si>
  <si>
    <t>3RV1WM8UR08</t>
  </si>
  <si>
    <t>NG102161580300</t>
  </si>
  <si>
    <t>GIBBS A,KATHERINE</t>
  </si>
  <si>
    <t>Teipel, Gregory</t>
  </si>
  <si>
    <t>9G01Y38DT33</t>
  </si>
  <si>
    <t>NG102193378500</t>
  </si>
  <si>
    <t>HAGEMEIER R,CURT</t>
  </si>
  <si>
    <t>FRITZ, CAROL</t>
  </si>
  <si>
    <t>2KK1Q26WU92</t>
  </si>
  <si>
    <t>NG102224674300</t>
  </si>
  <si>
    <t>HANCOCK A,ROBERT</t>
  </si>
  <si>
    <t>5WG6AG8XE87</t>
  </si>
  <si>
    <t>NG102224726700</t>
  </si>
  <si>
    <t>HANCOCK M,ANNETTE</t>
  </si>
  <si>
    <t>4GW7A29GP76</t>
  </si>
  <si>
    <t>NG102228383100</t>
  </si>
  <si>
    <t>HANSEN D,GARY</t>
  </si>
  <si>
    <t>TAUGNER, CHRISTIAN</t>
  </si>
  <si>
    <t>4R01RG8KR11</t>
  </si>
  <si>
    <t>NG102224867000</t>
  </si>
  <si>
    <t>HARMS D,LOREN</t>
  </si>
  <si>
    <t>5E50AE2EJ21</t>
  </si>
  <si>
    <t>NG102224725700</t>
  </si>
  <si>
    <t>HARMS R,LINDA</t>
  </si>
  <si>
    <t>9JY3TF3PV94</t>
  </si>
  <si>
    <t>NG102040827300</t>
  </si>
  <si>
    <t>HARRELL,CHIANITA</t>
  </si>
  <si>
    <t>6XK4K85TK95</t>
  </si>
  <si>
    <t>NG101982874100</t>
  </si>
  <si>
    <t>HARRIS Y,BRENDA</t>
  </si>
  <si>
    <t>H7301-032</t>
  </si>
  <si>
    <t>3UV2FE7VT00</t>
  </si>
  <si>
    <t>NG101041888400</t>
  </si>
  <si>
    <t>HUBER L,SHARON</t>
  </si>
  <si>
    <t>4D81YC2YX35</t>
  </si>
  <si>
    <t>NG102223464300</t>
  </si>
  <si>
    <t>INFANTE M,LEAH</t>
  </si>
  <si>
    <t>Torres, Jose</t>
  </si>
  <si>
    <t>6ND7NH6JT45</t>
  </si>
  <si>
    <t>NG102224738500</t>
  </si>
  <si>
    <t>JALLAQ A,MOHAMMAD</t>
  </si>
  <si>
    <t>H0628-038</t>
  </si>
  <si>
    <t>2NW1K32RH31</t>
  </si>
  <si>
    <t>NG101489529300</t>
  </si>
  <si>
    <t>JOHNSON L,DEBORAH</t>
  </si>
  <si>
    <t>2TP1YU1JQ01</t>
  </si>
  <si>
    <t>NG101201991500</t>
  </si>
  <si>
    <t>JOHNSON S,DEBRA</t>
  </si>
  <si>
    <t>8G77VX2MR59</t>
  </si>
  <si>
    <t>NG102222211400</t>
  </si>
  <si>
    <t>JONES J,VALERIE</t>
  </si>
  <si>
    <t>H5521-261</t>
  </si>
  <si>
    <t>9Y42CK3JU08</t>
  </si>
  <si>
    <t>NG102228552100</t>
  </si>
  <si>
    <t>KIRSCH D,GAYLE</t>
  </si>
  <si>
    <t>4U60AD5PP36</t>
  </si>
  <si>
    <t>NG102222723900</t>
  </si>
  <si>
    <t>KOCH D,JEANNETTE</t>
  </si>
  <si>
    <t>WI</t>
  </si>
  <si>
    <t>H5521-388</t>
  </si>
  <si>
    <t>Walenga, Dale</t>
  </si>
  <si>
    <t>2Y35R45HH78</t>
  </si>
  <si>
    <t>NG102222728200</t>
  </si>
  <si>
    <t>KOCH P,DALLAS</t>
  </si>
  <si>
    <t>7YQ0PC1DD33</t>
  </si>
  <si>
    <t>NG102069739000</t>
  </si>
  <si>
    <t>KURTH A,MARSHA</t>
  </si>
  <si>
    <t>H7301-006</t>
  </si>
  <si>
    <t>Portugal, Stacey</t>
  </si>
  <si>
    <t>4GM7VV9EG53</t>
  </si>
  <si>
    <t>NG102223446800</t>
  </si>
  <si>
    <t>LABOCKI,MICHAEL</t>
  </si>
  <si>
    <t>H0628-005</t>
  </si>
  <si>
    <t>3U09FQ1WT43</t>
  </si>
  <si>
    <t>NG102223475900</t>
  </si>
  <si>
    <t>LABOCKI,NADIA</t>
  </si>
  <si>
    <t>2Y45FK3JU88</t>
  </si>
  <si>
    <t>NG102227121800</t>
  </si>
  <si>
    <t>LAPE D,DIANA</t>
  </si>
  <si>
    <t>5H86R82FA76</t>
  </si>
  <si>
    <t>NG102226787800</t>
  </si>
  <si>
    <t>LEATHEM A,CECILIA</t>
  </si>
  <si>
    <t>H5522-017</t>
  </si>
  <si>
    <t>STERNER MURRAY</t>
  </si>
  <si>
    <t>7D19UU7DA29</t>
  </si>
  <si>
    <t>NG102089353400</t>
  </si>
  <si>
    <t>LEROY J,KENNETH</t>
  </si>
  <si>
    <t>H5521-702</t>
  </si>
  <si>
    <t>WERNER, STEVEN</t>
  </si>
  <si>
    <t>5X34WJ4UE95</t>
  </si>
  <si>
    <t>NG102226592800</t>
  </si>
  <si>
    <t>LESHER J,TIMOTHY</t>
  </si>
  <si>
    <t>4PM4T74QE71</t>
  </si>
  <si>
    <t>NG102168269300</t>
  </si>
  <si>
    <t>LOPEZ A,REBECCA</t>
  </si>
  <si>
    <t>CA</t>
  </si>
  <si>
    <t>IMM602</t>
  </si>
  <si>
    <t>H4982-026</t>
  </si>
  <si>
    <t>3UW7Q61CQ57</t>
  </si>
  <si>
    <t>NG102005360000</t>
  </si>
  <si>
    <t>LOPUSHONSKY,JACQUELINE</t>
  </si>
  <si>
    <t>Shapiro, Robert</t>
  </si>
  <si>
    <t>5R39T40MH00</t>
  </si>
  <si>
    <t>NG102225774900</t>
  </si>
  <si>
    <t>LUTZ L,TAMMY</t>
  </si>
  <si>
    <t>6FH3A44EW82</t>
  </si>
  <si>
    <t>NG102228477200</t>
  </si>
  <si>
    <t>MARI E,HELGA</t>
  </si>
  <si>
    <t>MA</t>
  </si>
  <si>
    <t>H5521-286</t>
  </si>
  <si>
    <t>Weller, Nathan</t>
  </si>
  <si>
    <t>5CW5AY9MW73</t>
  </si>
  <si>
    <t>NG101493498200</t>
  </si>
  <si>
    <t>MARKOTA E,JOSEPH</t>
  </si>
  <si>
    <t>7DK3TK0JJ74</t>
  </si>
  <si>
    <t>NG101819351300</t>
  </si>
  <si>
    <t>MARQUEZ,SONIA</t>
  </si>
  <si>
    <t>THANADABOUTH, PATSAMON</t>
  </si>
  <si>
    <t>7CJ5VK9XD50</t>
  </si>
  <si>
    <t>NG102226985300</t>
  </si>
  <si>
    <t>MASON D,LYNETTE</t>
  </si>
  <si>
    <t>TX</t>
  </si>
  <si>
    <t>IMM618</t>
  </si>
  <si>
    <t>H2293-016</t>
  </si>
  <si>
    <t>HANSFORD, GREGORY</t>
  </si>
  <si>
    <t>6J10A22YR33</t>
  </si>
  <si>
    <t>NG102224835300</t>
  </si>
  <si>
    <t>MASON H,MORRIS</t>
  </si>
  <si>
    <t>3H23Q82FG76</t>
  </si>
  <si>
    <t>NG102224832700</t>
  </si>
  <si>
    <t>MAYNIE T,SELENA</t>
  </si>
  <si>
    <t>Allen, James</t>
  </si>
  <si>
    <t>4AG7RM4MT20</t>
  </si>
  <si>
    <t>NG102229469600</t>
  </si>
  <si>
    <t>MCCANDLESS P,ROBERT</t>
  </si>
  <si>
    <t>Smith, Margaret</t>
  </si>
  <si>
    <t>7KK9XE9XJ24</t>
  </si>
  <si>
    <t>NG101616207000</t>
  </si>
  <si>
    <t>MCFARLAND D,DENISE</t>
  </si>
  <si>
    <t>8RQ7YW5YW40</t>
  </si>
  <si>
    <t>NG101974872600</t>
  </si>
  <si>
    <t>MELANSON E,WILLIAM</t>
  </si>
  <si>
    <t>Pro-Rata Payment</t>
  </si>
  <si>
    <t>H7301-015</t>
  </si>
  <si>
    <t>Choi, Andrew</t>
  </si>
  <si>
    <t>GMO</t>
  </si>
  <si>
    <t xml:space="preserve">Y  </t>
  </si>
  <si>
    <t>Pro-Rata Disenroll</t>
  </si>
  <si>
    <t>4EC7JW7UE53</t>
  </si>
  <si>
    <t>NG102224747400</t>
  </si>
  <si>
    <t>MILLER S,JANET</t>
  </si>
  <si>
    <t>IA</t>
  </si>
  <si>
    <t>IMM610</t>
  </si>
  <si>
    <t>H1609-001</t>
  </si>
  <si>
    <t>Yale, Jacob</t>
  </si>
  <si>
    <t>7F93RA6MA78</t>
  </si>
  <si>
    <t>NG101116222100</t>
  </si>
  <si>
    <t>MILLER S,RICHARD</t>
  </si>
  <si>
    <t>7J42CA5WM21</t>
  </si>
  <si>
    <t>NG101339097900</t>
  </si>
  <si>
    <t>MOLLOHAN,MARK</t>
  </si>
  <si>
    <t>3N23NV8YH87</t>
  </si>
  <si>
    <t>NG101954438000</t>
  </si>
  <si>
    <t>MOORE C,JIMMY</t>
  </si>
  <si>
    <t>8K36MR0UY41</t>
  </si>
  <si>
    <t>NG102221485200</t>
  </si>
  <si>
    <t>MORAN O,ANTHONY</t>
  </si>
  <si>
    <t>6YR4GA1QC63</t>
  </si>
  <si>
    <t>NG102221624000</t>
  </si>
  <si>
    <t>NEWELL,JONATHAN</t>
  </si>
  <si>
    <t>7PD1W75JH97</t>
  </si>
  <si>
    <t>NG102224727600</t>
  </si>
  <si>
    <t>NOE A,MICHAEL</t>
  </si>
  <si>
    <t>5GF2QV2YH09</t>
  </si>
  <si>
    <t>NG102037220700</t>
  </si>
  <si>
    <t>ODDI L,LYNN</t>
  </si>
  <si>
    <t>OH9999999</t>
  </si>
  <si>
    <t>ME0000OH</t>
  </si>
  <si>
    <t>OHIO, JANE</t>
  </si>
  <si>
    <t>HRA</t>
  </si>
  <si>
    <t>PPO</t>
  </si>
  <si>
    <t>HRA/A432K7315W/19491313/MOORE_JIMMY</t>
  </si>
  <si>
    <t>MAIN LINE BENEFITS LLC</t>
  </si>
  <si>
    <t>N/A</t>
  </si>
  <si>
    <t>HRA/K224X6172W/19491313/HARVEY_KAREN</t>
  </si>
  <si>
    <t>HRA/D987Q2736Y/19491313/LAPE_DIANA</t>
  </si>
  <si>
    <t>HRA/X855C9864T/19491313/SHIVELY_RETTA</t>
  </si>
  <si>
    <t>HRA/T1250317326285A/19586992/TROUTMAN_BRENDA</t>
  </si>
  <si>
    <t>6QA2PP6CY90</t>
  </si>
  <si>
    <t>NG101324402000</t>
  </si>
  <si>
    <t>OLSON H,RICHARD</t>
  </si>
  <si>
    <t>TN</t>
  </si>
  <si>
    <t>IMM609</t>
  </si>
  <si>
    <t>H5521-501</t>
  </si>
  <si>
    <t>2PC8M96YM38</t>
  </si>
  <si>
    <t>NG102222252500</t>
  </si>
  <si>
    <t>ORLUSKE R,JANE</t>
  </si>
  <si>
    <t>H3959-001</t>
  </si>
  <si>
    <t>3VG4N77AR87</t>
  </si>
  <si>
    <t>NG102221637600</t>
  </si>
  <si>
    <t>OSCHE A,MARCIA</t>
  </si>
  <si>
    <t>2W33WD4UQ94</t>
  </si>
  <si>
    <t>NG101966955100</t>
  </si>
  <si>
    <t>PHELPS K,JUDY</t>
  </si>
  <si>
    <t>AL</t>
  </si>
  <si>
    <t>H5521-116</t>
  </si>
  <si>
    <t>Renewal Termination</t>
  </si>
  <si>
    <t>H5521-222</t>
  </si>
  <si>
    <t>Exception</t>
  </si>
  <si>
    <t>9DA8TA4HY10</t>
  </si>
  <si>
    <t>NG101374022900</t>
  </si>
  <si>
    <t>PIOPPO M,LUCIA</t>
  </si>
  <si>
    <t>5FT4WP9UQ94</t>
  </si>
  <si>
    <t>NG102222258100</t>
  </si>
  <si>
    <t>POWERS A,SHEILA</t>
  </si>
  <si>
    <t>4HE7JY3ER35</t>
  </si>
  <si>
    <t>NG102222329700</t>
  </si>
  <si>
    <t>POWERS P,THOMAS</t>
  </si>
  <si>
    <t>9Y24VP8AP72</t>
  </si>
  <si>
    <t>NG102105930700</t>
  </si>
  <si>
    <t>PRICE E,TIM</t>
  </si>
  <si>
    <t>HORN, JEFFREY</t>
  </si>
  <si>
    <t>4N13UT6WG15</t>
  </si>
  <si>
    <t>NG102169457000</t>
  </si>
  <si>
    <t>PRICE M,SUSAN</t>
  </si>
  <si>
    <t>1Y77VA7KR39</t>
  </si>
  <si>
    <t>NG102224814400</t>
  </si>
  <si>
    <t>RAMSER L,ELVA</t>
  </si>
  <si>
    <t>5JJ4X71NY04</t>
  </si>
  <si>
    <t>NG102224268100</t>
  </si>
  <si>
    <t>RAMSER L,RICHARD</t>
  </si>
  <si>
    <t>4T21KT8WX10</t>
  </si>
  <si>
    <t>NG102228439400</t>
  </si>
  <si>
    <t>RAMSEY B,BARBARA</t>
  </si>
  <si>
    <t>9D22RW9QX09</t>
  </si>
  <si>
    <t>NG101659373600</t>
  </si>
  <si>
    <t>RATTANAVONGKOTH,ZIM</t>
  </si>
  <si>
    <t>2J14GF4KQ82</t>
  </si>
  <si>
    <t>NG102226874700</t>
  </si>
  <si>
    <t>REED G,DOUGLAS</t>
  </si>
  <si>
    <t>H0628-017</t>
  </si>
  <si>
    <t>1TT3K31WK91</t>
  </si>
  <si>
    <t>NG102228492100</t>
  </si>
  <si>
    <t>RICHARDSON E,DOUGLAS</t>
  </si>
  <si>
    <t>H3959-041</t>
  </si>
  <si>
    <t>7HJ5C23GP97</t>
  </si>
  <si>
    <t>NG102224732100</t>
  </si>
  <si>
    <t>RIECHES J,MARLA</t>
  </si>
  <si>
    <t>3GW3N20CV72</t>
  </si>
  <si>
    <t>NG102225881600</t>
  </si>
  <si>
    <t>RIECHES,MELVIN</t>
  </si>
  <si>
    <t>7RE9DV0VH28</t>
  </si>
  <si>
    <t>NG102221053400</t>
  </si>
  <si>
    <t>ROLLS,DONNA</t>
  </si>
  <si>
    <t>AZ</t>
  </si>
  <si>
    <t>IMM601</t>
  </si>
  <si>
    <t>H5521-554</t>
  </si>
  <si>
    <t>Miller, Heather</t>
  </si>
  <si>
    <t>7CM4Y26WE61</t>
  </si>
  <si>
    <t>NG101267636400</t>
  </si>
  <si>
    <t>RURAN,DAVID</t>
  </si>
  <si>
    <t>H5521-704</t>
  </si>
  <si>
    <t>Foley, Carol</t>
  </si>
  <si>
    <t>5G95AP3AE71</t>
  </si>
  <si>
    <t>NG101191675700</t>
  </si>
  <si>
    <t>RUSSELL A,WILLIAM</t>
  </si>
  <si>
    <t>Powers, Deborah</t>
  </si>
  <si>
    <t>2TH9YN9YM54</t>
  </si>
  <si>
    <t>NG102052554200</t>
  </si>
  <si>
    <t>SCHAFFNER D,JACOB</t>
  </si>
  <si>
    <t>H3959-036</t>
  </si>
  <si>
    <t>6VW7V65JM74</t>
  </si>
  <si>
    <t>NG102221858000</t>
  </si>
  <si>
    <t>SEYBERT J,CHRISTENA</t>
  </si>
  <si>
    <t>1KV0J66FF19</t>
  </si>
  <si>
    <t>NG102220532200</t>
  </si>
  <si>
    <t>SHEPHERD J,KAREN</t>
  </si>
  <si>
    <t>8V00Q83VF33</t>
  </si>
  <si>
    <t>NG102226023700</t>
  </si>
  <si>
    <t>SHIVELY D,RETTA</t>
  </si>
  <si>
    <t>H0628-041</t>
  </si>
  <si>
    <t>7HV6VY2CK63</t>
  </si>
  <si>
    <t>NG102226811100</t>
  </si>
  <si>
    <t>SIMMONS C,LOIS</t>
  </si>
  <si>
    <t>8XG1RP4JR27</t>
  </si>
  <si>
    <t>NG102221305700</t>
  </si>
  <si>
    <t>SIMMONS J,KEVIN</t>
  </si>
  <si>
    <t>NY</t>
  </si>
  <si>
    <t>IMM615</t>
  </si>
  <si>
    <t>H5521-120</t>
  </si>
  <si>
    <t>1YA7Q72CF33</t>
  </si>
  <si>
    <t>NG102228026900</t>
  </si>
  <si>
    <t>SKAGGS J,KIM</t>
  </si>
  <si>
    <t>4U29FN4VP22</t>
  </si>
  <si>
    <t>NG102222150200</t>
  </si>
  <si>
    <t>SMILEY B,DAVID</t>
  </si>
  <si>
    <t>H5522-001</t>
  </si>
  <si>
    <t>8GW7M03KR59</t>
  </si>
  <si>
    <t>NG101087994000</t>
  </si>
  <si>
    <t>SMITH C,THOMAS</t>
  </si>
  <si>
    <t>4XA9WV7QT23</t>
  </si>
  <si>
    <t>NG101850093300</t>
  </si>
  <si>
    <t>SMITH J,ELIZABETH</t>
  </si>
  <si>
    <t>8V23VW6KF15</t>
  </si>
  <si>
    <t>NG102224739800</t>
  </si>
  <si>
    <t>SMITH M,PHYLLIS</t>
  </si>
  <si>
    <t>5D13E24WF83</t>
  </si>
  <si>
    <t>NG101861643300</t>
  </si>
  <si>
    <t>SMITH T,ROBERT</t>
  </si>
  <si>
    <t>5NA0Q41WV25</t>
  </si>
  <si>
    <t>NG102224476800</t>
  </si>
  <si>
    <t>STIFF R,RAYMOND</t>
  </si>
  <si>
    <t>MO</t>
  </si>
  <si>
    <t>H1608-067</t>
  </si>
  <si>
    <t>5T95DF1NV54</t>
  </si>
  <si>
    <t>NG102226765000</t>
  </si>
  <si>
    <t>STOJILJKOVIC,BORKA</t>
  </si>
  <si>
    <t>9QM3K37PU92</t>
  </si>
  <si>
    <t>NG102226815500</t>
  </si>
  <si>
    <t>STOJILJKOVIC,PERICA</t>
  </si>
  <si>
    <t>9XV8KR8GC36</t>
  </si>
  <si>
    <t>NG102228573700</t>
  </si>
  <si>
    <t>STREZO A,THERESE</t>
  </si>
  <si>
    <t>H7301-013</t>
  </si>
  <si>
    <t>6W23GN7XU76</t>
  </si>
  <si>
    <t>NG102224806400</t>
  </si>
  <si>
    <t>SWICK A,JUDITH</t>
  </si>
  <si>
    <t>4E15UM3NK98</t>
  </si>
  <si>
    <t>NG102224871400</t>
  </si>
  <si>
    <t>SWICK J,STANLEY</t>
  </si>
  <si>
    <t>1A99E05WR11</t>
  </si>
  <si>
    <t>NG102220586800</t>
  </si>
  <si>
    <t>THOMPSON W,THOMAS</t>
  </si>
  <si>
    <t>H1609-027</t>
  </si>
  <si>
    <t>1K54K53AC65</t>
  </si>
  <si>
    <t>NG101479191600</t>
  </si>
  <si>
    <t>TROUTMAN L,BRENDA</t>
  </si>
  <si>
    <t>SCHUMANN, BARRY</t>
  </si>
  <si>
    <t>4RY5T92YN60</t>
  </si>
  <si>
    <t>NG102169966700</t>
  </si>
  <si>
    <t>ULERY L,DAVE</t>
  </si>
  <si>
    <t>7DV3NE2KM94</t>
  </si>
  <si>
    <t>NG101199379600</t>
  </si>
  <si>
    <t>VALENZUELA L,JAMIE</t>
  </si>
  <si>
    <t>WV</t>
  </si>
  <si>
    <t>H1692-003</t>
  </si>
  <si>
    <t>8N90NT6CD39</t>
  </si>
  <si>
    <t>NG101626134200</t>
  </si>
  <si>
    <t>WARRINGTON E,MARJORIE</t>
  </si>
  <si>
    <t>H1609-068</t>
  </si>
  <si>
    <t>SANTOS, RICARDO</t>
  </si>
  <si>
    <t>1HN0KW4CT33</t>
  </si>
  <si>
    <t>NG102224822200</t>
  </si>
  <si>
    <t>WEBBER M,KENNETH</t>
  </si>
  <si>
    <t>Long, Patricia</t>
  </si>
  <si>
    <t>4JX0E87NV43</t>
  </si>
  <si>
    <t>NG102220558600</t>
  </si>
  <si>
    <t>WENDLER,DIANE</t>
  </si>
  <si>
    <t>1MU5JR8XC74</t>
  </si>
  <si>
    <t>NG101783215300</t>
  </si>
  <si>
    <t>WHITE E,VICTORIA</t>
  </si>
  <si>
    <t>H3288-008</t>
  </si>
  <si>
    <t>1TE8UE0EV57</t>
  </si>
  <si>
    <t>NG102224942800</t>
  </si>
  <si>
    <t>WHITLEY K,LINDA</t>
  </si>
  <si>
    <t>5G26M25XK89</t>
  </si>
  <si>
    <t>NG102228479800</t>
  </si>
  <si>
    <t>WIENKE A,MARLA</t>
  </si>
  <si>
    <t>9KQ3VP4NG16</t>
  </si>
  <si>
    <t>NG101380340400</t>
  </si>
  <si>
    <t>WILLIAMSON M,TERRY</t>
  </si>
  <si>
    <t>NC</t>
  </si>
  <si>
    <t>H5521-348</t>
  </si>
  <si>
    <t>9HJ9NN2HR38</t>
  </si>
  <si>
    <t>NG102228592300</t>
  </si>
  <si>
    <t>WINN N,LARRY</t>
  </si>
  <si>
    <t>H4523-024</t>
  </si>
  <si>
    <t>2P31TH0QH80</t>
  </si>
  <si>
    <t>NG102229011500</t>
  </si>
  <si>
    <t>WITT A,CHRISTINE</t>
  </si>
  <si>
    <t>7AC1UF2DU05</t>
  </si>
  <si>
    <t>NG102227713000</t>
  </si>
  <si>
    <t>YODER A,TERRY</t>
  </si>
  <si>
    <t>H5521-270</t>
  </si>
  <si>
    <t>Sexton, Joseph</t>
  </si>
  <si>
    <t>4JN2DN7RX97</t>
  </si>
  <si>
    <t>NG102225381000</t>
  </si>
  <si>
    <t>YOUNG D,DALE</t>
  </si>
  <si>
    <t>H0628-021</t>
  </si>
  <si>
    <t>BENDER, CHAD</t>
  </si>
  <si>
    <t>1MJ4N43JX64</t>
  </si>
  <si>
    <t>NG102221083100</t>
  </si>
  <si>
    <t>ZINDARS L,CHARLES</t>
  </si>
  <si>
    <t>3UW5FX3YX64</t>
  </si>
  <si>
    <t>NG102115083800</t>
  </si>
  <si>
    <t>ZINDER M,DAVID</t>
  </si>
  <si>
    <t>[%/$=626]</t>
  </si>
  <si>
    <t>Aetna MAPD 2025</t>
  </si>
  <si>
    <t>Aetna MAPD OVR 2025</t>
  </si>
  <si>
    <t>Aetna MAPD 2025*</t>
  </si>
  <si>
    <t>Aetna 2025 CT, PA, DC*</t>
  </si>
  <si>
    <t>[%/$=313][prorate=1/12]</t>
  </si>
  <si>
    <t>[%/$=353][prorate=1/12]</t>
  </si>
  <si>
    <t>[%/$=313][prorate=2/12]</t>
  </si>
  <si>
    <t>Main Line Benefits</t>
  </si>
  <si>
    <t>17528908N</t>
  </si>
  <si>
    <t>SMILEY</t>
  </si>
  <si>
    <t>DAVID</t>
  </si>
  <si>
    <t>MELANSON</t>
  </si>
  <si>
    <t>WILLIAM</t>
  </si>
  <si>
    <t>RAMSER</t>
  </si>
  <si>
    <t>RICHARD</t>
  </si>
  <si>
    <t>YODER</t>
  </si>
  <si>
    <t>TERRY</t>
  </si>
  <si>
    <t>OLSON</t>
  </si>
  <si>
    <t>ALTON</t>
  </si>
  <si>
    <t>ALICIA</t>
  </si>
  <si>
    <t>BERKELAND</t>
  </si>
  <si>
    <t>LONNY</t>
  </si>
  <si>
    <t>LOPEZ</t>
  </si>
  <si>
    <t>REBECCA</t>
  </si>
  <si>
    <t>MILLER</t>
  </si>
  <si>
    <t>ODDI</t>
  </si>
  <si>
    <t>LYNN</t>
  </si>
  <si>
    <t>WARRINGTON</t>
  </si>
  <si>
    <t>MARJORIE</t>
  </si>
  <si>
    <t>BRITANIK</t>
  </si>
  <si>
    <t>ROSEMARIE</t>
  </si>
  <si>
    <t>BARTO</t>
  </si>
  <si>
    <t>KENNETH</t>
  </si>
  <si>
    <t>BURGESS</t>
  </si>
  <si>
    <t>GEORGIA</t>
  </si>
  <si>
    <t>DOLAN</t>
  </si>
  <si>
    <t>KERI</t>
  </si>
  <si>
    <t>LUTZ</t>
  </si>
  <si>
    <t>TAMMY</t>
  </si>
  <si>
    <t>MCCANDLESS</t>
  </si>
  <si>
    <t>ROBERT</t>
  </si>
  <si>
    <t>MORAN</t>
  </si>
  <si>
    <t>ANTHONY</t>
  </si>
  <si>
    <t>NEWELL</t>
  </si>
  <si>
    <t>JONATHAN</t>
  </si>
  <si>
    <t>ORLUSKE</t>
  </si>
  <si>
    <t>JANE</t>
  </si>
  <si>
    <t>OSCHE</t>
  </si>
  <si>
    <t>MARCIA</t>
  </si>
  <si>
    <t>POWERS</t>
  </si>
  <si>
    <t>SHEILA</t>
  </si>
  <si>
    <t>THOMAS</t>
  </si>
  <si>
    <t>RUSSELL</t>
  </si>
  <si>
    <t>SCHAFFNER</t>
  </si>
  <si>
    <t>JACOB</t>
  </si>
  <si>
    <t>SEYBERT</t>
  </si>
  <si>
    <t>CHRISTENA</t>
  </si>
  <si>
    <t>SMITH</t>
  </si>
  <si>
    <t>JANET</t>
  </si>
  <si>
    <t>PHELPS</t>
  </si>
  <si>
    <t>JUDY</t>
  </si>
  <si>
    <t>ALLEN</t>
  </si>
  <si>
    <t>DALE</t>
  </si>
  <si>
    <t>ALLERS</t>
  </si>
  <si>
    <t>MARIANNE</t>
  </si>
  <si>
    <t>ALSTON</t>
  </si>
  <si>
    <t>MARGUERITE</t>
  </si>
  <si>
    <t>ALTMAN</t>
  </si>
  <si>
    <t>ALVIS</t>
  </si>
  <si>
    <t>JAN</t>
  </si>
  <si>
    <t>JEFFERY</t>
  </si>
  <si>
    <t>BARRINGER</t>
  </si>
  <si>
    <t>ORVILLE</t>
  </si>
  <si>
    <t>BOHANNON</t>
  </si>
  <si>
    <t>KEVIN</t>
  </si>
  <si>
    <t>BRANDT</t>
  </si>
  <si>
    <t>KATHRYN</t>
  </si>
  <si>
    <t>BRICKLEY</t>
  </si>
  <si>
    <t>DENNIS</t>
  </si>
  <si>
    <t>BROWN</t>
  </si>
  <si>
    <t>BRIANNA</t>
  </si>
  <si>
    <t>CAMP</t>
  </si>
  <si>
    <t>KAREN</t>
  </si>
  <si>
    <t>CAMPBELL</t>
  </si>
  <si>
    <t>CIRRICIONE</t>
  </si>
  <si>
    <t>COLCLASURE</t>
  </si>
  <si>
    <t>JOYCE</t>
  </si>
  <si>
    <t>CROTEAU</t>
  </si>
  <si>
    <t>DEBRA</t>
  </si>
  <si>
    <t>RONALD</t>
  </si>
  <si>
    <t>DRESSEL</t>
  </si>
  <si>
    <t>DURAND</t>
  </si>
  <si>
    <t>FREDERKING</t>
  </si>
  <si>
    <t>TAMARA</t>
  </si>
  <si>
    <t>DURWIN</t>
  </si>
  <si>
    <t>FURBUSH</t>
  </si>
  <si>
    <t>BRENDA</t>
  </si>
  <si>
    <t>GARRETT</t>
  </si>
  <si>
    <t>DONALD</t>
  </si>
  <si>
    <t>GEIGER</t>
  </si>
  <si>
    <t>KATHY</t>
  </si>
  <si>
    <t>CRAIG</t>
  </si>
  <si>
    <t>HAGEMEIER</t>
  </si>
  <si>
    <t>CURT</t>
  </si>
  <si>
    <t>HANCOCK</t>
  </si>
  <si>
    <t>ANNETTE</t>
  </si>
  <si>
    <t>HANSEN</t>
  </si>
  <si>
    <t>GARY</t>
  </si>
  <si>
    <t>HARMS</t>
  </si>
  <si>
    <t>LOREN</t>
  </si>
  <si>
    <t>LINDA</t>
  </si>
  <si>
    <t>HARRELL</t>
  </si>
  <si>
    <t>CHIANITA</t>
  </si>
  <si>
    <t>HARRIS</t>
  </si>
  <si>
    <t>HUBER</t>
  </si>
  <si>
    <t>SHARON</t>
  </si>
  <si>
    <t>JALLAQ</t>
  </si>
  <si>
    <t>MOHAMMAD</t>
  </si>
  <si>
    <t>JOHNSON</t>
  </si>
  <si>
    <t>KIRSCH</t>
  </si>
  <si>
    <t>GAYLE</t>
  </si>
  <si>
    <t>KOCH</t>
  </si>
  <si>
    <t>JEANNETTE</t>
  </si>
  <si>
    <t>DALLAS</t>
  </si>
  <si>
    <t>KURTH</t>
  </si>
  <si>
    <t>MARSHA</t>
  </si>
  <si>
    <t>LAPE</t>
  </si>
  <si>
    <t>DIANA</t>
  </si>
  <si>
    <t>LEATHEM</t>
  </si>
  <si>
    <t>CECILIA</t>
  </si>
  <si>
    <t>LEROY</t>
  </si>
  <si>
    <t>LOPUSHONSKY</t>
  </si>
  <si>
    <t>JACQUELINE</t>
  </si>
  <si>
    <t>MARI</t>
  </si>
  <si>
    <t>HELGA</t>
  </si>
  <si>
    <t>MASON</t>
  </si>
  <si>
    <t>LYNETTE</t>
  </si>
  <si>
    <t>MORRIS</t>
  </si>
  <si>
    <t>MAYNIE</t>
  </si>
  <si>
    <t>SELENA</t>
  </si>
  <si>
    <t>MCFARLAND</t>
  </si>
  <si>
    <t>DENISE</t>
  </si>
  <si>
    <t>MOORE</t>
  </si>
  <si>
    <t>JIMMY</t>
  </si>
  <si>
    <t>NOE</t>
  </si>
  <si>
    <t>MICHAEL</t>
  </si>
  <si>
    <t>PIOPPO</t>
  </si>
  <si>
    <t>LUCIA</t>
  </si>
  <si>
    <t>PRICE</t>
  </si>
  <si>
    <t>TIM</t>
  </si>
  <si>
    <t>SUSAN</t>
  </si>
  <si>
    <t>ELVA</t>
  </si>
  <si>
    <t>RAMSEY</t>
  </si>
  <si>
    <t>BARBARA</t>
  </si>
  <si>
    <t>RATTANAVONGKOTH</t>
  </si>
  <si>
    <t>ZIM</t>
  </si>
  <si>
    <t>REED</t>
  </si>
  <si>
    <t>DOUGLAS</t>
  </si>
  <si>
    <t>RICHARDSON</t>
  </si>
  <si>
    <t>RIECHES</t>
  </si>
  <si>
    <t>MARLA</t>
  </si>
  <si>
    <t>MELVIN</t>
  </si>
  <si>
    <t>ROLLS</t>
  </si>
  <si>
    <t>DONNA</t>
  </si>
  <si>
    <t>RURAN</t>
  </si>
  <si>
    <t>SHEPHERD</t>
  </si>
  <si>
    <t>SHIVELY</t>
  </si>
  <si>
    <t>RETTA</t>
  </si>
  <si>
    <t>SIMMONS</t>
  </si>
  <si>
    <t>LOIS</t>
  </si>
  <si>
    <t>ELIZABETH</t>
  </si>
  <si>
    <t>PHYLLIS</t>
  </si>
  <si>
    <t>STOJILJKOVIC</t>
  </si>
  <si>
    <t>BORKA</t>
  </si>
  <si>
    <t>PERICA</t>
  </si>
  <si>
    <t>STREZO</t>
  </si>
  <si>
    <t>THERESE</t>
  </si>
  <si>
    <t>SWICK</t>
  </si>
  <si>
    <t>JUDITH</t>
  </si>
  <si>
    <t>STANLEY</t>
  </si>
  <si>
    <t>VALENZUELA</t>
  </si>
  <si>
    <t>JAMIE</t>
  </si>
  <si>
    <t>WEBBER</t>
  </si>
  <si>
    <t>WENDLER</t>
  </si>
  <si>
    <t>DIANE</t>
  </si>
  <si>
    <t>WHITLEY</t>
  </si>
  <si>
    <t>WIENKE</t>
  </si>
  <si>
    <t>WILLIAMSON</t>
  </si>
  <si>
    <t>WINN</t>
  </si>
  <si>
    <t>LARRY</t>
  </si>
  <si>
    <t>YOUNG</t>
  </si>
  <si>
    <t>ZINDARS</t>
  </si>
  <si>
    <t>CHARLES</t>
  </si>
  <si>
    <t>ZINDER</t>
  </si>
  <si>
    <t>JONES</t>
  </si>
  <si>
    <t>VALERIE</t>
  </si>
  <si>
    <t>LESHER</t>
  </si>
  <si>
    <t>TIMOTHY</t>
  </si>
  <si>
    <t>BONTEKOE</t>
  </si>
  <si>
    <t>MARY</t>
  </si>
  <si>
    <t>BREIDE</t>
  </si>
  <si>
    <t>BROWNING</t>
  </si>
  <si>
    <t>DEMOR</t>
  </si>
  <si>
    <t>AUDREY</t>
  </si>
  <si>
    <t>DUGAN</t>
  </si>
  <si>
    <t>GIBBS</t>
  </si>
  <si>
    <t>KATHERINE</t>
  </si>
  <si>
    <t>INFANTE</t>
  </si>
  <si>
    <t>LEAH</t>
  </si>
  <si>
    <t>DEBORAH</t>
  </si>
  <si>
    <t>LABOCKI</t>
  </si>
  <si>
    <t>NADIA</t>
  </si>
  <si>
    <t>MARKOTA</t>
  </si>
  <si>
    <t>JOSEPH</t>
  </si>
  <si>
    <t>MARQUEZ</t>
  </si>
  <si>
    <t>SONIA</t>
  </si>
  <si>
    <t>MOLLOHAN</t>
  </si>
  <si>
    <t>MARK</t>
  </si>
  <si>
    <t>SKAGGS</t>
  </si>
  <si>
    <t>KIM</t>
  </si>
  <si>
    <t>STIFF</t>
  </si>
  <si>
    <t>RAYMOND</t>
  </si>
  <si>
    <t>TROUTMAN</t>
  </si>
  <si>
    <t>ULERY</t>
  </si>
  <si>
    <t>DAVE</t>
  </si>
  <si>
    <t>WHITE</t>
  </si>
  <si>
    <t>VICTORIA</t>
  </si>
  <si>
    <t>WITT</t>
  </si>
  <si>
    <t>CHRISTINE</t>
  </si>
  <si>
    <t>DE KOLD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</si>
</sst>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A8E1-C569-4CF8-A212-A30854CE8563}">
  <dimension ref="A1:X158"/>
  <sheetViews>
    <sheetView topLeftCell="H73" workbookViewId="0">
      <selection activeCell="U73" sqref="U1:U1048576"/>
    </sheetView>
  </sheetViews>
  <sheetFormatPr defaultRowHeight="15" x14ac:dyDescent="0.25"/>
  <cols>
    <col min="1" max="1" width="26.5703125" bestFit="1" customWidth="1"/>
    <col min="2" max="2" width="15.5703125" bestFit="1" customWidth="1"/>
    <col min="3" max="4" width="15.7109375" bestFit="1" customWidth="1"/>
    <col min="5" max="5" width="24.7109375" bestFit="1" customWidth="1"/>
    <col min="6" max="6" width="12.140625" bestFit="1" customWidth="1"/>
    <col min="7" max="7" width="23.28515625" bestFit="1" customWidth="1"/>
    <col min="8" max="9" width="7.28515625" bestFit="1" customWidth="1"/>
    <col min="10" max="10" width="10" bestFit="1" customWidth="1"/>
    <col min="11" max="11" width="47.5703125" bestFit="1" customWidth="1"/>
    <col min="12" max="12" width="14.28515625" bestFit="1" customWidth="1"/>
    <col min="13" max="13" width="12" bestFit="1" customWidth="1"/>
    <col min="14" max="14" width="10.28515625" bestFit="1" customWidth="1"/>
    <col min="15" max="15" width="15.7109375" bestFit="1" customWidth="1"/>
    <col min="16" max="16" width="16.140625" bestFit="1" customWidth="1"/>
    <col min="17" max="17" width="25.7109375" bestFit="1" customWidth="1"/>
    <col min="18" max="18" width="7.85546875" bestFit="1" customWidth="1"/>
    <col min="19" max="19" width="10.28515625" bestFit="1" customWidth="1"/>
    <col min="20" max="20" width="21" bestFit="1" customWidth="1"/>
    <col min="21" max="21" width="12.42578125" bestFit="1" customWidth="1"/>
    <col min="22" max="22" width="8.7109375" bestFit="1" customWidth="1"/>
    <col min="23" max="23" width="12.42578125" bestFit="1" customWidth="1"/>
    <col min="24" max="24" width="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45993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O2">
        <v>8244481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135</v>
      </c>
      <c r="V2" t="s">
        <v>36</v>
      </c>
      <c r="W2" s="1">
        <v>45974</v>
      </c>
      <c r="X2">
        <v>2025</v>
      </c>
    </row>
    <row r="3" spans="1:24" x14ac:dyDescent="0.25">
      <c r="A3" s="1">
        <v>45993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L3" s="1">
        <v>46023</v>
      </c>
      <c r="M3" s="1">
        <v>46023</v>
      </c>
      <c r="O3">
        <v>8244481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135</v>
      </c>
      <c r="V3" t="s">
        <v>36</v>
      </c>
      <c r="W3" s="1">
        <v>45978</v>
      </c>
      <c r="X3">
        <v>2025</v>
      </c>
    </row>
    <row r="4" spans="1:24" x14ac:dyDescent="0.25">
      <c r="A4" s="1">
        <v>45993</v>
      </c>
      <c r="B4" t="s">
        <v>41</v>
      </c>
      <c r="C4" t="s">
        <v>42</v>
      </c>
      <c r="E4" t="s">
        <v>43</v>
      </c>
      <c r="F4" t="s">
        <v>27</v>
      </c>
      <c r="G4" t="s">
        <v>28</v>
      </c>
      <c r="H4" t="s">
        <v>29</v>
      </c>
      <c r="I4" t="s">
        <v>44</v>
      </c>
      <c r="J4" t="s">
        <v>45</v>
      </c>
      <c r="L4" s="1">
        <v>46023</v>
      </c>
      <c r="M4" s="1">
        <v>46023</v>
      </c>
      <c r="O4">
        <v>17126004</v>
      </c>
      <c r="P4" t="s">
        <v>32</v>
      </c>
      <c r="Q4" t="s">
        <v>46</v>
      </c>
      <c r="R4">
        <v>8192</v>
      </c>
      <c r="S4" t="s">
        <v>34</v>
      </c>
      <c r="T4" t="s">
        <v>35</v>
      </c>
      <c r="U4">
        <v>135</v>
      </c>
      <c r="V4" t="s">
        <v>36</v>
      </c>
      <c r="W4" s="1">
        <v>45968</v>
      </c>
      <c r="X4">
        <v>2025</v>
      </c>
    </row>
    <row r="5" spans="1:24" x14ac:dyDescent="0.25">
      <c r="A5" s="1">
        <v>45993</v>
      </c>
      <c r="B5" t="s">
        <v>47</v>
      </c>
      <c r="C5" t="s">
        <v>48</v>
      </c>
      <c r="E5" t="s">
        <v>49</v>
      </c>
      <c r="F5" t="s">
        <v>50</v>
      </c>
      <c r="G5" t="s">
        <v>28</v>
      </c>
      <c r="H5" t="s">
        <v>29</v>
      </c>
      <c r="I5" t="s">
        <v>51</v>
      </c>
      <c r="J5" t="s">
        <v>52</v>
      </c>
      <c r="L5" s="1">
        <v>46023</v>
      </c>
      <c r="M5" s="1">
        <v>46023</v>
      </c>
      <c r="O5">
        <v>17528908</v>
      </c>
      <c r="P5" t="s">
        <v>32</v>
      </c>
      <c r="Q5" t="s">
        <v>53</v>
      </c>
      <c r="R5">
        <v>8192</v>
      </c>
      <c r="S5" t="s">
        <v>34</v>
      </c>
      <c r="T5" t="s">
        <v>35</v>
      </c>
      <c r="U5">
        <v>135</v>
      </c>
      <c r="V5" t="s">
        <v>36</v>
      </c>
      <c r="W5" s="1">
        <v>45969</v>
      </c>
      <c r="X5">
        <v>2025</v>
      </c>
    </row>
    <row r="6" spans="1:24" x14ac:dyDescent="0.25">
      <c r="A6" s="1">
        <v>45993</v>
      </c>
      <c r="B6" t="s">
        <v>54</v>
      </c>
      <c r="C6" t="s">
        <v>55</v>
      </c>
      <c r="E6" t="s">
        <v>56</v>
      </c>
      <c r="F6" t="s">
        <v>27</v>
      </c>
      <c r="G6" t="s">
        <v>57</v>
      </c>
      <c r="H6" t="s">
        <v>29</v>
      </c>
      <c r="I6" t="s">
        <v>44</v>
      </c>
      <c r="J6" t="s">
        <v>58</v>
      </c>
      <c r="L6" s="1">
        <v>46023</v>
      </c>
      <c r="M6" s="1">
        <v>46023</v>
      </c>
      <c r="O6">
        <v>16228684</v>
      </c>
      <c r="P6" t="s">
        <v>32</v>
      </c>
      <c r="Q6" t="s">
        <v>59</v>
      </c>
      <c r="R6">
        <v>8192</v>
      </c>
      <c r="S6" t="s">
        <v>34</v>
      </c>
      <c r="T6" t="s">
        <v>35</v>
      </c>
      <c r="U6">
        <v>-150</v>
      </c>
      <c r="V6" t="s">
        <v>36</v>
      </c>
      <c r="W6" s="1">
        <v>45971</v>
      </c>
      <c r="X6">
        <v>2025</v>
      </c>
    </row>
    <row r="7" spans="1:24" x14ac:dyDescent="0.25">
      <c r="A7" s="1">
        <v>45993</v>
      </c>
      <c r="B7" t="s">
        <v>60</v>
      </c>
      <c r="C7" t="s">
        <v>61</v>
      </c>
      <c r="E7" t="s">
        <v>62</v>
      </c>
      <c r="F7" t="s">
        <v>27</v>
      </c>
      <c r="G7" t="s">
        <v>28</v>
      </c>
      <c r="H7" t="s">
        <v>29</v>
      </c>
      <c r="I7" t="s">
        <v>30</v>
      </c>
      <c r="J7" t="s">
        <v>40</v>
      </c>
      <c r="L7" s="1">
        <v>46023</v>
      </c>
      <c r="M7" s="1">
        <v>46023</v>
      </c>
      <c r="O7">
        <v>8244481</v>
      </c>
      <c r="P7" t="s">
        <v>32</v>
      </c>
      <c r="Q7" t="s">
        <v>33</v>
      </c>
      <c r="R7">
        <v>8192</v>
      </c>
      <c r="S7" t="s">
        <v>34</v>
      </c>
      <c r="T7" t="s">
        <v>35</v>
      </c>
      <c r="U7">
        <v>135</v>
      </c>
      <c r="V7" t="s">
        <v>36</v>
      </c>
      <c r="W7" s="1">
        <v>45972</v>
      </c>
      <c r="X7">
        <v>2025</v>
      </c>
    </row>
    <row r="8" spans="1:24" x14ac:dyDescent="0.25">
      <c r="A8" s="1">
        <v>45993</v>
      </c>
      <c r="B8" t="s">
        <v>63</v>
      </c>
      <c r="C8" t="s">
        <v>64</v>
      </c>
      <c r="E8" t="s">
        <v>65</v>
      </c>
      <c r="F8" t="s">
        <v>27</v>
      </c>
      <c r="G8" t="s">
        <v>28</v>
      </c>
      <c r="H8" t="s">
        <v>29</v>
      </c>
      <c r="I8" t="s">
        <v>30</v>
      </c>
      <c r="J8" t="s">
        <v>40</v>
      </c>
      <c r="L8" s="1">
        <v>46023</v>
      </c>
      <c r="M8" s="1">
        <v>46023</v>
      </c>
      <c r="O8">
        <v>8244481</v>
      </c>
      <c r="P8" t="s">
        <v>32</v>
      </c>
      <c r="Q8" t="s">
        <v>33</v>
      </c>
      <c r="R8">
        <v>8192</v>
      </c>
      <c r="S8" t="s">
        <v>34</v>
      </c>
      <c r="T8" t="s">
        <v>35</v>
      </c>
      <c r="U8">
        <v>135</v>
      </c>
      <c r="V8" t="s">
        <v>36</v>
      </c>
      <c r="W8" s="1">
        <v>45972</v>
      </c>
      <c r="X8">
        <v>2025</v>
      </c>
    </row>
    <row r="9" spans="1:24" x14ac:dyDescent="0.25">
      <c r="A9" s="1">
        <v>45993</v>
      </c>
      <c r="B9" t="s">
        <v>66</v>
      </c>
      <c r="C9" t="s">
        <v>67</v>
      </c>
      <c r="E9" t="s">
        <v>68</v>
      </c>
      <c r="F9" t="s">
        <v>27</v>
      </c>
      <c r="G9" t="s">
        <v>28</v>
      </c>
      <c r="H9" t="s">
        <v>29</v>
      </c>
      <c r="I9" t="s">
        <v>30</v>
      </c>
      <c r="J9" t="s">
        <v>40</v>
      </c>
      <c r="L9" s="1">
        <v>46023</v>
      </c>
      <c r="M9" s="1">
        <v>46023</v>
      </c>
      <c r="O9">
        <v>8812322</v>
      </c>
      <c r="P9" t="s">
        <v>32</v>
      </c>
      <c r="Q9" t="s">
        <v>69</v>
      </c>
      <c r="R9">
        <v>8192</v>
      </c>
      <c r="S9" t="s">
        <v>34</v>
      </c>
      <c r="T9" t="s">
        <v>35</v>
      </c>
      <c r="U9">
        <v>135</v>
      </c>
      <c r="V9" t="s">
        <v>36</v>
      </c>
      <c r="W9" s="1">
        <v>45974</v>
      </c>
      <c r="X9">
        <v>2025</v>
      </c>
    </row>
    <row r="10" spans="1:24" x14ac:dyDescent="0.25">
      <c r="A10" s="1">
        <v>45993</v>
      </c>
      <c r="B10" t="s">
        <v>70</v>
      </c>
      <c r="C10" t="s">
        <v>71</v>
      </c>
      <c r="E10" t="s">
        <v>72</v>
      </c>
      <c r="F10" t="s">
        <v>50</v>
      </c>
      <c r="G10" t="s">
        <v>28</v>
      </c>
      <c r="H10" t="s">
        <v>29</v>
      </c>
      <c r="I10" t="s">
        <v>51</v>
      </c>
      <c r="J10" t="s">
        <v>73</v>
      </c>
      <c r="L10" s="1">
        <v>46023</v>
      </c>
      <c r="M10" s="1">
        <v>46023</v>
      </c>
      <c r="O10">
        <v>17886092</v>
      </c>
      <c r="P10" t="s">
        <v>32</v>
      </c>
      <c r="Q10" t="s">
        <v>74</v>
      </c>
      <c r="R10">
        <v>8192</v>
      </c>
      <c r="S10" t="s">
        <v>34</v>
      </c>
      <c r="T10" t="s">
        <v>35</v>
      </c>
      <c r="U10">
        <v>65</v>
      </c>
      <c r="V10" t="s">
        <v>36</v>
      </c>
      <c r="W10" s="1">
        <v>45970</v>
      </c>
      <c r="X10">
        <v>2025</v>
      </c>
    </row>
    <row r="11" spans="1:24" x14ac:dyDescent="0.25">
      <c r="A11" s="1">
        <v>45993</v>
      </c>
      <c r="B11" t="s">
        <v>75</v>
      </c>
      <c r="C11" t="s">
        <v>76</v>
      </c>
      <c r="E11" t="s">
        <v>77</v>
      </c>
      <c r="F11" t="s">
        <v>27</v>
      </c>
      <c r="G11" t="s">
        <v>78</v>
      </c>
      <c r="H11" t="s">
        <v>29</v>
      </c>
      <c r="I11" t="s">
        <v>44</v>
      </c>
      <c r="J11" t="s">
        <v>79</v>
      </c>
      <c r="L11" s="1">
        <v>46023</v>
      </c>
      <c r="M11" s="1">
        <v>46023</v>
      </c>
      <c r="N11" s="1">
        <v>46023</v>
      </c>
      <c r="O11">
        <v>7146581</v>
      </c>
      <c r="P11" t="s">
        <v>32</v>
      </c>
      <c r="Q11" t="s">
        <v>80</v>
      </c>
      <c r="R11">
        <v>8192</v>
      </c>
      <c r="S11" t="s">
        <v>34</v>
      </c>
      <c r="T11" t="s">
        <v>35</v>
      </c>
      <c r="U11">
        <v>-150</v>
      </c>
      <c r="V11" t="s">
        <v>36</v>
      </c>
      <c r="W11" s="1">
        <v>45957</v>
      </c>
      <c r="X11">
        <v>2025</v>
      </c>
    </row>
    <row r="12" spans="1:24" x14ac:dyDescent="0.25">
      <c r="A12" s="1">
        <v>45993</v>
      </c>
      <c r="B12" t="s">
        <v>81</v>
      </c>
      <c r="C12" t="s">
        <v>82</v>
      </c>
      <c r="E12" t="s">
        <v>83</v>
      </c>
      <c r="F12" t="s">
        <v>27</v>
      </c>
      <c r="G12" t="s">
        <v>28</v>
      </c>
      <c r="H12" t="s">
        <v>29</v>
      </c>
      <c r="I12" t="s">
        <v>30</v>
      </c>
      <c r="J12" t="s">
        <v>40</v>
      </c>
      <c r="L12" s="1">
        <v>46023</v>
      </c>
      <c r="M12" s="1">
        <v>46023</v>
      </c>
      <c r="O12">
        <v>8244481</v>
      </c>
      <c r="P12" t="s">
        <v>32</v>
      </c>
      <c r="Q12" t="s">
        <v>33</v>
      </c>
      <c r="R12">
        <v>8192</v>
      </c>
      <c r="S12" t="s">
        <v>34</v>
      </c>
      <c r="T12" t="s">
        <v>35</v>
      </c>
      <c r="U12">
        <v>135</v>
      </c>
      <c r="V12" t="s">
        <v>36</v>
      </c>
      <c r="W12" s="1">
        <v>45979</v>
      </c>
      <c r="X12">
        <v>2025</v>
      </c>
    </row>
    <row r="13" spans="1:24" x14ac:dyDescent="0.25">
      <c r="A13" s="1">
        <v>45993</v>
      </c>
      <c r="B13" t="s">
        <v>84</v>
      </c>
      <c r="C13" t="s">
        <v>85</v>
      </c>
      <c r="E13" t="s">
        <v>86</v>
      </c>
      <c r="F13" t="s">
        <v>87</v>
      </c>
      <c r="G13" t="s">
        <v>28</v>
      </c>
      <c r="H13" t="s">
        <v>29</v>
      </c>
      <c r="I13" t="s">
        <v>44</v>
      </c>
      <c r="J13" t="s">
        <v>88</v>
      </c>
      <c r="L13" s="1">
        <v>46023</v>
      </c>
      <c r="M13" s="1">
        <v>46023</v>
      </c>
      <c r="O13">
        <v>16849453</v>
      </c>
      <c r="P13" t="s">
        <v>32</v>
      </c>
      <c r="Q13" t="s">
        <v>89</v>
      </c>
      <c r="R13">
        <v>8192</v>
      </c>
      <c r="S13" t="s">
        <v>34</v>
      </c>
      <c r="T13" t="s">
        <v>35</v>
      </c>
      <c r="U13">
        <v>150</v>
      </c>
      <c r="V13" t="s">
        <v>36</v>
      </c>
      <c r="W13" s="1">
        <v>45977</v>
      </c>
      <c r="X13">
        <v>2025</v>
      </c>
    </row>
    <row r="14" spans="1:24" x14ac:dyDescent="0.25">
      <c r="A14" s="1">
        <v>45993</v>
      </c>
      <c r="B14" t="s">
        <v>90</v>
      </c>
      <c r="C14" t="s">
        <v>91</v>
      </c>
      <c r="E14" t="s">
        <v>92</v>
      </c>
      <c r="F14" t="s">
        <v>93</v>
      </c>
      <c r="G14" t="s">
        <v>28</v>
      </c>
      <c r="H14" t="s">
        <v>29</v>
      </c>
      <c r="I14" t="s">
        <v>94</v>
      </c>
      <c r="J14" t="s">
        <v>95</v>
      </c>
      <c r="L14" s="1">
        <v>46023</v>
      </c>
      <c r="M14" s="1">
        <v>46023</v>
      </c>
      <c r="O14">
        <v>19491313</v>
      </c>
      <c r="P14" t="s">
        <v>32</v>
      </c>
      <c r="Q14" t="s">
        <v>96</v>
      </c>
      <c r="R14">
        <v>8192</v>
      </c>
      <c r="S14" t="s">
        <v>34</v>
      </c>
      <c r="T14" t="s">
        <v>35</v>
      </c>
      <c r="U14">
        <v>135</v>
      </c>
      <c r="V14" t="s">
        <v>36</v>
      </c>
      <c r="W14" s="1">
        <v>45973</v>
      </c>
      <c r="X14">
        <v>2025</v>
      </c>
    </row>
    <row r="15" spans="1:24" x14ac:dyDescent="0.25">
      <c r="A15" s="1">
        <v>45993</v>
      </c>
      <c r="B15" t="s">
        <v>97</v>
      </c>
      <c r="C15" t="s">
        <v>98</v>
      </c>
      <c r="E15" t="s">
        <v>99</v>
      </c>
      <c r="F15" t="s">
        <v>93</v>
      </c>
      <c r="G15" t="s">
        <v>28</v>
      </c>
      <c r="H15" t="s">
        <v>29</v>
      </c>
      <c r="I15" t="s">
        <v>94</v>
      </c>
      <c r="J15" t="s">
        <v>100</v>
      </c>
      <c r="L15" s="1">
        <v>46023</v>
      </c>
      <c r="M15" s="1">
        <v>46023</v>
      </c>
      <c r="O15">
        <v>19491313</v>
      </c>
      <c r="P15" t="s">
        <v>32</v>
      </c>
      <c r="Q15" t="s">
        <v>96</v>
      </c>
      <c r="R15">
        <v>8192</v>
      </c>
      <c r="S15" t="s">
        <v>34</v>
      </c>
      <c r="T15" t="s">
        <v>35</v>
      </c>
      <c r="U15">
        <v>135</v>
      </c>
      <c r="V15" t="s">
        <v>36</v>
      </c>
      <c r="W15" s="1">
        <v>45973</v>
      </c>
      <c r="X15">
        <v>2025</v>
      </c>
    </row>
    <row r="16" spans="1:24" x14ac:dyDescent="0.25">
      <c r="A16" s="1">
        <v>45993</v>
      </c>
      <c r="B16" t="s">
        <v>101</v>
      </c>
      <c r="C16" t="s">
        <v>102</v>
      </c>
      <c r="E16" t="s">
        <v>103</v>
      </c>
      <c r="F16" t="s">
        <v>50</v>
      </c>
      <c r="G16" t="s">
        <v>28</v>
      </c>
      <c r="H16" t="s">
        <v>29</v>
      </c>
      <c r="I16" t="s">
        <v>51</v>
      </c>
      <c r="J16" t="s">
        <v>104</v>
      </c>
      <c r="L16" s="1">
        <v>46023</v>
      </c>
      <c r="M16" s="1">
        <v>46023</v>
      </c>
      <c r="O16">
        <v>8971826</v>
      </c>
      <c r="P16" t="s">
        <v>32</v>
      </c>
      <c r="Q16" t="s">
        <v>105</v>
      </c>
      <c r="R16">
        <v>8192</v>
      </c>
      <c r="S16" t="s">
        <v>34</v>
      </c>
      <c r="T16" t="s">
        <v>35</v>
      </c>
      <c r="U16">
        <v>150</v>
      </c>
      <c r="V16" t="s">
        <v>36</v>
      </c>
      <c r="W16" s="1">
        <v>45972</v>
      </c>
      <c r="X16">
        <v>2025</v>
      </c>
    </row>
    <row r="17" spans="1:24" x14ac:dyDescent="0.25">
      <c r="A17" s="1">
        <v>45993</v>
      </c>
      <c r="B17" t="s">
        <v>106</v>
      </c>
      <c r="C17" t="s">
        <v>107</v>
      </c>
      <c r="E17" t="s">
        <v>108</v>
      </c>
      <c r="F17" t="s">
        <v>50</v>
      </c>
      <c r="G17" t="s">
        <v>28</v>
      </c>
      <c r="H17" t="s">
        <v>29</v>
      </c>
      <c r="I17" t="s">
        <v>51</v>
      </c>
      <c r="J17" t="s">
        <v>109</v>
      </c>
      <c r="L17" s="1">
        <v>46023</v>
      </c>
      <c r="M17" s="1">
        <v>46023</v>
      </c>
      <c r="O17">
        <v>17528908</v>
      </c>
      <c r="P17" t="s">
        <v>32</v>
      </c>
      <c r="Q17" t="s">
        <v>53</v>
      </c>
      <c r="R17">
        <v>8192</v>
      </c>
      <c r="S17" t="s">
        <v>34</v>
      </c>
      <c r="T17" t="s">
        <v>35</v>
      </c>
      <c r="U17">
        <v>135</v>
      </c>
      <c r="V17" t="s">
        <v>36</v>
      </c>
      <c r="W17" s="1">
        <v>45960</v>
      </c>
      <c r="X17">
        <v>2025</v>
      </c>
    </row>
    <row r="18" spans="1:24" x14ac:dyDescent="0.25">
      <c r="A18" s="1">
        <v>45993</v>
      </c>
      <c r="B18" t="s">
        <v>110</v>
      </c>
      <c r="C18" t="s">
        <v>111</v>
      </c>
      <c r="E18" t="s">
        <v>112</v>
      </c>
      <c r="F18" t="s">
        <v>50</v>
      </c>
      <c r="G18" t="s">
        <v>113</v>
      </c>
      <c r="H18" t="s">
        <v>29</v>
      </c>
      <c r="I18" t="s">
        <v>51</v>
      </c>
      <c r="J18" t="s">
        <v>114</v>
      </c>
      <c r="L18" s="1">
        <v>46023</v>
      </c>
      <c r="M18" s="1">
        <v>46023</v>
      </c>
      <c r="N18" s="1">
        <v>46023</v>
      </c>
      <c r="O18">
        <v>17886092</v>
      </c>
      <c r="P18" t="s">
        <v>32</v>
      </c>
      <c r="Q18" t="s">
        <v>74</v>
      </c>
      <c r="R18">
        <v>8192</v>
      </c>
      <c r="S18" t="s">
        <v>34</v>
      </c>
      <c r="T18" t="s">
        <v>35</v>
      </c>
      <c r="U18">
        <v>-65</v>
      </c>
      <c r="V18" t="s">
        <v>36</v>
      </c>
      <c r="W18" s="1">
        <v>45967</v>
      </c>
      <c r="X18">
        <v>2025</v>
      </c>
    </row>
    <row r="19" spans="1:24" x14ac:dyDescent="0.25">
      <c r="A19" s="1">
        <v>45993</v>
      </c>
      <c r="B19" t="s">
        <v>115</v>
      </c>
      <c r="C19" t="s">
        <v>116</v>
      </c>
      <c r="E19" t="s">
        <v>117</v>
      </c>
      <c r="F19" t="s">
        <v>50</v>
      </c>
      <c r="G19" t="s">
        <v>113</v>
      </c>
      <c r="H19" t="s">
        <v>29</v>
      </c>
      <c r="I19" t="s">
        <v>51</v>
      </c>
      <c r="J19" t="s">
        <v>114</v>
      </c>
      <c r="L19" s="1">
        <v>46023</v>
      </c>
      <c r="M19" s="1">
        <v>46023</v>
      </c>
      <c r="N19" s="1">
        <v>46023</v>
      </c>
      <c r="O19">
        <v>17886092</v>
      </c>
      <c r="P19" t="s">
        <v>32</v>
      </c>
      <c r="Q19" t="s">
        <v>74</v>
      </c>
      <c r="R19">
        <v>8192</v>
      </c>
      <c r="S19" t="s">
        <v>34</v>
      </c>
      <c r="T19" t="s">
        <v>35</v>
      </c>
      <c r="U19">
        <v>-65</v>
      </c>
      <c r="V19" t="s">
        <v>36</v>
      </c>
      <c r="W19" s="1">
        <v>45967</v>
      </c>
      <c r="X19">
        <v>2025</v>
      </c>
    </row>
    <row r="20" spans="1:24" x14ac:dyDescent="0.25">
      <c r="A20" s="1">
        <v>45993</v>
      </c>
      <c r="B20" t="s">
        <v>118</v>
      </c>
      <c r="C20" t="s">
        <v>119</v>
      </c>
      <c r="E20" t="s">
        <v>120</v>
      </c>
      <c r="F20" t="s">
        <v>121</v>
      </c>
      <c r="G20" t="s">
        <v>28</v>
      </c>
      <c r="H20" t="s">
        <v>29</v>
      </c>
      <c r="I20" t="s">
        <v>122</v>
      </c>
      <c r="J20" t="s">
        <v>123</v>
      </c>
      <c r="L20" s="1">
        <v>46023</v>
      </c>
      <c r="M20" s="1">
        <v>46023</v>
      </c>
      <c r="O20">
        <v>21496984</v>
      </c>
      <c r="P20" t="s">
        <v>124</v>
      </c>
      <c r="Q20" t="s">
        <v>125</v>
      </c>
      <c r="R20">
        <v>8192</v>
      </c>
      <c r="S20" t="s">
        <v>34</v>
      </c>
      <c r="T20" t="s">
        <v>35</v>
      </c>
      <c r="U20">
        <v>135</v>
      </c>
      <c r="V20" t="s">
        <v>36</v>
      </c>
      <c r="W20" s="1">
        <v>45970</v>
      </c>
      <c r="X20">
        <v>2025</v>
      </c>
    </row>
    <row r="21" spans="1:24" x14ac:dyDescent="0.25">
      <c r="A21" s="1">
        <v>45993</v>
      </c>
      <c r="B21" t="s">
        <v>126</v>
      </c>
      <c r="C21" t="s">
        <v>127</v>
      </c>
      <c r="E21" t="s">
        <v>128</v>
      </c>
      <c r="F21" t="s">
        <v>129</v>
      </c>
      <c r="G21" t="s">
        <v>28</v>
      </c>
      <c r="H21" t="s">
        <v>29</v>
      </c>
      <c r="I21" t="s">
        <v>44</v>
      </c>
      <c r="J21" t="s">
        <v>130</v>
      </c>
      <c r="L21" s="1">
        <v>46023</v>
      </c>
      <c r="M21" s="1">
        <v>46023</v>
      </c>
      <c r="O21">
        <v>21435997</v>
      </c>
      <c r="P21" t="s">
        <v>32</v>
      </c>
      <c r="Q21" t="s">
        <v>131</v>
      </c>
      <c r="R21">
        <v>8192</v>
      </c>
      <c r="S21" t="s">
        <v>34</v>
      </c>
      <c r="T21" t="s">
        <v>35</v>
      </c>
      <c r="U21">
        <v>150</v>
      </c>
      <c r="V21" t="s">
        <v>36</v>
      </c>
      <c r="W21" s="1">
        <v>45974</v>
      </c>
      <c r="X21">
        <v>2025</v>
      </c>
    </row>
    <row r="22" spans="1:24" x14ac:dyDescent="0.25">
      <c r="A22" s="1">
        <v>45993</v>
      </c>
      <c r="B22" t="s">
        <v>132</v>
      </c>
      <c r="C22" t="s">
        <v>133</v>
      </c>
      <c r="E22" t="s">
        <v>134</v>
      </c>
      <c r="F22" t="s">
        <v>50</v>
      </c>
      <c r="G22" t="s">
        <v>28</v>
      </c>
      <c r="H22" t="s">
        <v>29</v>
      </c>
      <c r="I22" t="s">
        <v>51</v>
      </c>
      <c r="J22" t="s">
        <v>114</v>
      </c>
      <c r="L22" s="1">
        <v>46023</v>
      </c>
      <c r="M22" s="1">
        <v>46023</v>
      </c>
      <c r="O22">
        <v>17886092</v>
      </c>
      <c r="P22" t="s">
        <v>32</v>
      </c>
      <c r="Q22" t="s">
        <v>74</v>
      </c>
      <c r="R22">
        <v>8192</v>
      </c>
      <c r="S22" t="s">
        <v>34</v>
      </c>
      <c r="T22" t="s">
        <v>35</v>
      </c>
      <c r="U22">
        <v>65</v>
      </c>
      <c r="V22" t="s">
        <v>36</v>
      </c>
      <c r="W22" s="1">
        <v>45978</v>
      </c>
      <c r="X22">
        <v>2025</v>
      </c>
    </row>
    <row r="23" spans="1:24" x14ac:dyDescent="0.25">
      <c r="A23" s="1">
        <v>45993</v>
      </c>
      <c r="B23" t="s">
        <v>135</v>
      </c>
      <c r="C23" t="s">
        <v>136</v>
      </c>
      <c r="E23" t="s">
        <v>137</v>
      </c>
      <c r="F23" t="s">
        <v>27</v>
      </c>
      <c r="G23" t="s">
        <v>28</v>
      </c>
      <c r="H23" t="s">
        <v>29</v>
      </c>
      <c r="I23" t="s">
        <v>30</v>
      </c>
      <c r="J23" t="s">
        <v>138</v>
      </c>
      <c r="L23" s="1">
        <v>46023</v>
      </c>
      <c r="M23" s="1">
        <v>46023</v>
      </c>
      <c r="O23">
        <v>8244481</v>
      </c>
      <c r="P23" t="s">
        <v>32</v>
      </c>
      <c r="Q23" t="s">
        <v>33</v>
      </c>
      <c r="R23">
        <v>8192</v>
      </c>
      <c r="S23" t="s">
        <v>34</v>
      </c>
      <c r="T23" t="s">
        <v>35</v>
      </c>
      <c r="U23">
        <v>135</v>
      </c>
      <c r="V23" t="s">
        <v>36</v>
      </c>
      <c r="W23" s="1">
        <v>45968</v>
      </c>
      <c r="X23">
        <v>2025</v>
      </c>
    </row>
    <row r="24" spans="1:24" x14ac:dyDescent="0.25">
      <c r="A24" s="1">
        <v>45993</v>
      </c>
      <c r="B24" t="s">
        <v>139</v>
      </c>
      <c r="C24" t="s">
        <v>140</v>
      </c>
      <c r="E24" t="s">
        <v>141</v>
      </c>
      <c r="F24" t="s">
        <v>27</v>
      </c>
      <c r="G24" t="s">
        <v>28</v>
      </c>
      <c r="H24" t="s">
        <v>29</v>
      </c>
      <c r="I24" t="s">
        <v>30</v>
      </c>
      <c r="J24" t="s">
        <v>138</v>
      </c>
      <c r="L24" s="1">
        <v>46023</v>
      </c>
      <c r="M24" s="1">
        <v>46023</v>
      </c>
      <c r="O24">
        <v>18828278</v>
      </c>
      <c r="P24" t="s">
        <v>32</v>
      </c>
      <c r="Q24" t="s">
        <v>142</v>
      </c>
      <c r="R24">
        <v>8192</v>
      </c>
      <c r="S24" t="s">
        <v>34</v>
      </c>
      <c r="T24" t="s">
        <v>35</v>
      </c>
      <c r="U24">
        <v>135</v>
      </c>
      <c r="V24" t="s">
        <v>36</v>
      </c>
      <c r="W24" s="1">
        <v>45968</v>
      </c>
      <c r="X24">
        <v>2025</v>
      </c>
    </row>
    <row r="25" spans="1:24" x14ac:dyDescent="0.25">
      <c r="A25" s="1">
        <v>45993</v>
      </c>
      <c r="B25" t="s">
        <v>143</v>
      </c>
      <c r="C25" t="s">
        <v>144</v>
      </c>
      <c r="E25" t="s">
        <v>145</v>
      </c>
      <c r="F25" t="s">
        <v>27</v>
      </c>
      <c r="G25" t="s">
        <v>28</v>
      </c>
      <c r="H25" t="s">
        <v>29</v>
      </c>
      <c r="I25" t="s">
        <v>30</v>
      </c>
      <c r="J25" t="s">
        <v>40</v>
      </c>
      <c r="L25" s="1">
        <v>46023</v>
      </c>
      <c r="M25" s="1">
        <v>46023</v>
      </c>
      <c r="O25">
        <v>8244481</v>
      </c>
      <c r="P25" t="s">
        <v>32</v>
      </c>
      <c r="Q25" t="s">
        <v>33</v>
      </c>
      <c r="R25">
        <v>8192</v>
      </c>
      <c r="S25" t="s">
        <v>34</v>
      </c>
      <c r="T25" t="s">
        <v>35</v>
      </c>
      <c r="U25">
        <v>135</v>
      </c>
      <c r="V25" t="s">
        <v>36</v>
      </c>
      <c r="W25" s="1">
        <v>45972</v>
      </c>
      <c r="X25">
        <v>2025</v>
      </c>
    </row>
    <row r="26" spans="1:24" x14ac:dyDescent="0.25">
      <c r="A26" s="1">
        <v>45993</v>
      </c>
      <c r="B26" t="s">
        <v>146</v>
      </c>
      <c r="C26" t="s">
        <v>147</v>
      </c>
      <c r="E26" t="s">
        <v>148</v>
      </c>
      <c r="F26" t="s">
        <v>27</v>
      </c>
      <c r="G26" t="s">
        <v>28</v>
      </c>
      <c r="H26" t="s">
        <v>29</v>
      </c>
      <c r="I26" t="s">
        <v>30</v>
      </c>
      <c r="J26" t="s">
        <v>138</v>
      </c>
      <c r="L26" s="1">
        <v>46023</v>
      </c>
      <c r="M26" s="1">
        <v>46023</v>
      </c>
      <c r="O26">
        <v>8244481</v>
      </c>
      <c r="P26" t="s">
        <v>32</v>
      </c>
      <c r="Q26" t="s">
        <v>33</v>
      </c>
      <c r="R26">
        <v>8192</v>
      </c>
      <c r="S26" t="s">
        <v>34</v>
      </c>
      <c r="T26" t="s">
        <v>35</v>
      </c>
      <c r="U26">
        <v>135</v>
      </c>
      <c r="V26" t="s">
        <v>36</v>
      </c>
      <c r="W26" s="1">
        <v>45971</v>
      </c>
      <c r="X26">
        <v>2025</v>
      </c>
    </row>
    <row r="27" spans="1:24" x14ac:dyDescent="0.25">
      <c r="A27" s="1">
        <v>45993</v>
      </c>
      <c r="B27" t="s">
        <v>149</v>
      </c>
      <c r="C27" t="s">
        <v>150</v>
      </c>
      <c r="E27" t="s">
        <v>151</v>
      </c>
      <c r="F27" t="s">
        <v>152</v>
      </c>
      <c r="G27" t="s">
        <v>28</v>
      </c>
      <c r="H27" t="s">
        <v>29</v>
      </c>
      <c r="I27" t="s">
        <v>153</v>
      </c>
      <c r="J27" t="s">
        <v>154</v>
      </c>
      <c r="L27" s="1">
        <v>46023</v>
      </c>
      <c r="M27" s="1">
        <v>46023</v>
      </c>
      <c r="O27">
        <v>8814784</v>
      </c>
      <c r="P27" t="s">
        <v>32</v>
      </c>
      <c r="Q27" t="s">
        <v>155</v>
      </c>
      <c r="R27">
        <v>8192</v>
      </c>
      <c r="S27" t="s">
        <v>34</v>
      </c>
      <c r="T27" t="s">
        <v>35</v>
      </c>
      <c r="U27">
        <v>135</v>
      </c>
      <c r="V27" t="s">
        <v>36</v>
      </c>
      <c r="W27" s="1">
        <v>45973</v>
      </c>
      <c r="X27">
        <v>2025</v>
      </c>
    </row>
    <row r="28" spans="1:24" x14ac:dyDescent="0.25">
      <c r="A28" s="1">
        <v>45993</v>
      </c>
      <c r="B28" t="s">
        <v>156</v>
      </c>
      <c r="C28" t="s">
        <v>157</v>
      </c>
      <c r="E28" t="s">
        <v>158</v>
      </c>
      <c r="F28" t="s">
        <v>152</v>
      </c>
      <c r="G28" t="s">
        <v>28</v>
      </c>
      <c r="H28" t="s">
        <v>29</v>
      </c>
      <c r="I28" t="s">
        <v>153</v>
      </c>
      <c r="J28" t="s">
        <v>154</v>
      </c>
      <c r="L28" s="1">
        <v>46023</v>
      </c>
      <c r="M28" s="1">
        <v>46023</v>
      </c>
      <c r="O28">
        <v>8814784</v>
      </c>
      <c r="P28" t="s">
        <v>32</v>
      </c>
      <c r="Q28" t="s">
        <v>155</v>
      </c>
      <c r="R28">
        <v>8192</v>
      </c>
      <c r="S28" t="s">
        <v>34</v>
      </c>
      <c r="T28" t="s">
        <v>35</v>
      </c>
      <c r="U28">
        <v>135</v>
      </c>
      <c r="V28" t="s">
        <v>36</v>
      </c>
      <c r="W28" s="1">
        <v>45973</v>
      </c>
      <c r="X28">
        <v>2025</v>
      </c>
    </row>
    <row r="29" spans="1:24" x14ac:dyDescent="0.25">
      <c r="A29" s="1">
        <v>45993</v>
      </c>
      <c r="B29" t="s">
        <v>159</v>
      </c>
      <c r="C29" t="s">
        <v>160</v>
      </c>
      <c r="E29" t="s">
        <v>161</v>
      </c>
      <c r="F29" t="s">
        <v>93</v>
      </c>
      <c r="G29" t="s">
        <v>28</v>
      </c>
      <c r="H29" t="s">
        <v>29</v>
      </c>
      <c r="I29" t="s">
        <v>94</v>
      </c>
      <c r="J29" t="s">
        <v>162</v>
      </c>
      <c r="L29" s="1">
        <v>46023</v>
      </c>
      <c r="M29" s="1">
        <v>46023</v>
      </c>
      <c r="O29">
        <v>8814784</v>
      </c>
      <c r="P29" t="s">
        <v>32</v>
      </c>
      <c r="Q29" t="s">
        <v>155</v>
      </c>
      <c r="R29">
        <v>8192</v>
      </c>
      <c r="S29" t="s">
        <v>34</v>
      </c>
      <c r="T29" t="s">
        <v>35</v>
      </c>
      <c r="U29">
        <v>135</v>
      </c>
      <c r="V29" t="s">
        <v>36</v>
      </c>
      <c r="W29" s="1">
        <v>45974</v>
      </c>
      <c r="X29">
        <v>2025</v>
      </c>
    </row>
    <row r="30" spans="1:24" x14ac:dyDescent="0.25">
      <c r="A30" s="1">
        <v>45993</v>
      </c>
      <c r="B30" t="s">
        <v>163</v>
      </c>
      <c r="C30" t="s">
        <v>164</v>
      </c>
      <c r="E30" t="s">
        <v>165</v>
      </c>
      <c r="F30" t="s">
        <v>93</v>
      </c>
      <c r="G30" t="s">
        <v>28</v>
      </c>
      <c r="H30" t="s">
        <v>29</v>
      </c>
      <c r="I30" t="s">
        <v>94</v>
      </c>
      <c r="J30" t="s">
        <v>166</v>
      </c>
      <c r="L30" s="1">
        <v>46023</v>
      </c>
      <c r="M30" s="1">
        <v>46023</v>
      </c>
      <c r="O30">
        <v>18142208</v>
      </c>
      <c r="P30" t="s">
        <v>32</v>
      </c>
      <c r="Q30" t="s">
        <v>167</v>
      </c>
      <c r="R30">
        <v>8192</v>
      </c>
      <c r="S30" t="s">
        <v>34</v>
      </c>
      <c r="T30" t="s">
        <v>35</v>
      </c>
      <c r="U30">
        <v>150</v>
      </c>
      <c r="V30" t="s">
        <v>36</v>
      </c>
      <c r="W30" s="1">
        <v>45979</v>
      </c>
      <c r="X30">
        <v>2025</v>
      </c>
    </row>
    <row r="31" spans="1:24" x14ac:dyDescent="0.25">
      <c r="A31" s="1">
        <v>45993</v>
      </c>
      <c r="B31" t="s">
        <v>168</v>
      </c>
      <c r="C31" t="s">
        <v>169</v>
      </c>
      <c r="E31" t="s">
        <v>170</v>
      </c>
      <c r="F31" t="s">
        <v>50</v>
      </c>
      <c r="G31" t="s">
        <v>28</v>
      </c>
      <c r="H31" t="s">
        <v>29</v>
      </c>
      <c r="I31" t="s">
        <v>51</v>
      </c>
      <c r="J31" t="s">
        <v>52</v>
      </c>
      <c r="L31" s="1">
        <v>46023</v>
      </c>
      <c r="M31" s="1">
        <v>46023</v>
      </c>
      <c r="O31">
        <v>17886092</v>
      </c>
      <c r="P31" t="s">
        <v>32</v>
      </c>
      <c r="Q31" t="s">
        <v>74</v>
      </c>
      <c r="R31">
        <v>8192</v>
      </c>
      <c r="S31" t="s">
        <v>34</v>
      </c>
      <c r="T31" t="s">
        <v>35</v>
      </c>
      <c r="U31">
        <v>65</v>
      </c>
      <c r="V31" t="s">
        <v>36</v>
      </c>
      <c r="W31" s="1">
        <v>45972</v>
      </c>
      <c r="X31">
        <v>2025</v>
      </c>
    </row>
    <row r="32" spans="1:24" x14ac:dyDescent="0.25">
      <c r="A32" s="1">
        <v>45993</v>
      </c>
      <c r="B32" t="s">
        <v>171</v>
      </c>
      <c r="C32" t="s">
        <v>172</v>
      </c>
      <c r="E32" t="s">
        <v>173</v>
      </c>
      <c r="F32" t="s">
        <v>27</v>
      </c>
      <c r="G32" t="s">
        <v>28</v>
      </c>
      <c r="H32" t="s">
        <v>29</v>
      </c>
      <c r="I32" t="s">
        <v>30</v>
      </c>
      <c r="J32" t="s">
        <v>174</v>
      </c>
      <c r="L32" s="1">
        <v>46023</v>
      </c>
      <c r="M32" s="1">
        <v>46023</v>
      </c>
      <c r="O32">
        <v>8244481</v>
      </c>
      <c r="P32" t="s">
        <v>32</v>
      </c>
      <c r="Q32" t="s">
        <v>33</v>
      </c>
      <c r="R32">
        <v>8192</v>
      </c>
      <c r="S32" t="s">
        <v>34</v>
      </c>
      <c r="T32" t="s">
        <v>35</v>
      </c>
      <c r="U32">
        <v>135</v>
      </c>
      <c r="V32" t="s">
        <v>36</v>
      </c>
      <c r="W32" s="1">
        <v>45971</v>
      </c>
      <c r="X32">
        <v>2025</v>
      </c>
    </row>
    <row r="33" spans="1:24" x14ac:dyDescent="0.25">
      <c r="A33" s="1">
        <v>45993</v>
      </c>
      <c r="B33" t="s">
        <v>175</v>
      </c>
      <c r="C33" t="s">
        <v>176</v>
      </c>
      <c r="E33" t="s">
        <v>177</v>
      </c>
      <c r="F33" t="s">
        <v>178</v>
      </c>
      <c r="G33" t="s">
        <v>28</v>
      </c>
      <c r="H33" t="s">
        <v>29</v>
      </c>
      <c r="I33" t="s">
        <v>179</v>
      </c>
      <c r="J33" t="s">
        <v>180</v>
      </c>
      <c r="L33" s="1">
        <v>46023</v>
      </c>
      <c r="M33" s="1">
        <v>46023</v>
      </c>
      <c r="O33">
        <v>16509456</v>
      </c>
      <c r="P33" t="s">
        <v>32</v>
      </c>
      <c r="Q33" t="s">
        <v>181</v>
      </c>
      <c r="R33">
        <v>8192</v>
      </c>
      <c r="S33" t="s">
        <v>34</v>
      </c>
      <c r="T33" t="s">
        <v>35</v>
      </c>
      <c r="U33">
        <v>150</v>
      </c>
      <c r="V33" t="s">
        <v>36</v>
      </c>
      <c r="W33" s="1">
        <v>45969</v>
      </c>
      <c r="X33">
        <v>2025</v>
      </c>
    </row>
    <row r="34" spans="1:24" x14ac:dyDescent="0.25">
      <c r="A34" s="1">
        <v>45993</v>
      </c>
      <c r="B34" t="s">
        <v>182</v>
      </c>
      <c r="C34" t="s">
        <v>183</v>
      </c>
      <c r="E34" t="s">
        <v>184</v>
      </c>
      <c r="F34" t="s">
        <v>27</v>
      </c>
      <c r="G34" t="s">
        <v>28</v>
      </c>
      <c r="H34" t="s">
        <v>29</v>
      </c>
      <c r="I34" t="s">
        <v>30</v>
      </c>
      <c r="J34" t="s">
        <v>185</v>
      </c>
      <c r="L34" s="1">
        <v>46023</v>
      </c>
      <c r="M34" s="1">
        <v>46023</v>
      </c>
      <c r="O34">
        <v>16633294</v>
      </c>
      <c r="P34" t="s">
        <v>32</v>
      </c>
      <c r="Q34" t="s">
        <v>186</v>
      </c>
      <c r="R34">
        <v>8192</v>
      </c>
      <c r="S34" t="s">
        <v>34</v>
      </c>
      <c r="T34" t="s">
        <v>35</v>
      </c>
      <c r="U34">
        <v>135</v>
      </c>
      <c r="V34" t="s">
        <v>36</v>
      </c>
      <c r="W34" s="1">
        <v>45968</v>
      </c>
      <c r="X34">
        <v>2025</v>
      </c>
    </row>
    <row r="35" spans="1:24" x14ac:dyDescent="0.25">
      <c r="A35" s="1">
        <v>45993</v>
      </c>
      <c r="B35" t="s">
        <v>187</v>
      </c>
      <c r="C35" t="s">
        <v>188</v>
      </c>
      <c r="E35" t="s">
        <v>189</v>
      </c>
      <c r="F35" t="s">
        <v>27</v>
      </c>
      <c r="G35" t="s">
        <v>28</v>
      </c>
      <c r="H35" t="s">
        <v>29</v>
      </c>
      <c r="I35" t="s">
        <v>30</v>
      </c>
      <c r="J35" t="s">
        <v>185</v>
      </c>
      <c r="L35" s="1">
        <v>46023</v>
      </c>
      <c r="M35" s="1">
        <v>46023</v>
      </c>
      <c r="O35">
        <v>16633294</v>
      </c>
      <c r="P35" t="s">
        <v>32</v>
      </c>
      <c r="Q35" t="s">
        <v>186</v>
      </c>
      <c r="R35">
        <v>8192</v>
      </c>
      <c r="S35" t="s">
        <v>34</v>
      </c>
      <c r="T35" t="s">
        <v>35</v>
      </c>
      <c r="U35">
        <v>135</v>
      </c>
      <c r="V35" t="s">
        <v>36</v>
      </c>
      <c r="W35" s="1">
        <v>45968</v>
      </c>
      <c r="X35">
        <v>2025</v>
      </c>
    </row>
    <row r="36" spans="1:24" x14ac:dyDescent="0.25">
      <c r="A36" s="1">
        <v>45993</v>
      </c>
      <c r="B36" t="s">
        <v>190</v>
      </c>
      <c r="C36" t="s">
        <v>191</v>
      </c>
      <c r="E36" t="s">
        <v>192</v>
      </c>
      <c r="F36" t="s">
        <v>152</v>
      </c>
      <c r="G36" t="s">
        <v>28</v>
      </c>
      <c r="H36" t="s">
        <v>29</v>
      </c>
      <c r="I36" t="s">
        <v>153</v>
      </c>
      <c r="J36" t="s">
        <v>193</v>
      </c>
      <c r="L36" s="1">
        <v>46023</v>
      </c>
      <c r="M36" s="1">
        <v>46023</v>
      </c>
      <c r="O36">
        <v>17117649</v>
      </c>
      <c r="P36" t="s">
        <v>32</v>
      </c>
      <c r="Q36" t="s">
        <v>194</v>
      </c>
      <c r="R36">
        <v>8192</v>
      </c>
      <c r="S36" t="s">
        <v>34</v>
      </c>
      <c r="T36" t="s">
        <v>35</v>
      </c>
      <c r="U36">
        <v>135</v>
      </c>
      <c r="V36" t="s">
        <v>36</v>
      </c>
      <c r="W36" s="1">
        <v>45971</v>
      </c>
      <c r="X36">
        <v>2025</v>
      </c>
    </row>
    <row r="37" spans="1:24" x14ac:dyDescent="0.25">
      <c r="A37" s="1">
        <v>45993</v>
      </c>
      <c r="B37" t="s">
        <v>195</v>
      </c>
      <c r="C37" t="s">
        <v>196</v>
      </c>
      <c r="E37" t="s">
        <v>197</v>
      </c>
      <c r="F37" t="s">
        <v>27</v>
      </c>
      <c r="G37" t="s">
        <v>28</v>
      </c>
      <c r="H37" t="s">
        <v>29</v>
      </c>
      <c r="I37" t="s">
        <v>30</v>
      </c>
      <c r="J37" t="s">
        <v>138</v>
      </c>
      <c r="L37" s="1">
        <v>46023</v>
      </c>
      <c r="M37" s="1">
        <v>46023</v>
      </c>
      <c r="O37">
        <v>8244481</v>
      </c>
      <c r="P37" t="s">
        <v>32</v>
      </c>
      <c r="Q37" t="s">
        <v>33</v>
      </c>
      <c r="R37">
        <v>8192</v>
      </c>
      <c r="S37" t="s">
        <v>34</v>
      </c>
      <c r="T37" t="s">
        <v>35</v>
      </c>
      <c r="U37">
        <v>135</v>
      </c>
      <c r="V37" t="s">
        <v>36</v>
      </c>
      <c r="W37" s="1">
        <v>45972</v>
      </c>
      <c r="X37">
        <v>2025</v>
      </c>
    </row>
    <row r="38" spans="1:24" x14ac:dyDescent="0.25">
      <c r="A38" s="1">
        <v>45993</v>
      </c>
      <c r="B38" t="s">
        <v>198</v>
      </c>
      <c r="C38" t="s">
        <v>199</v>
      </c>
      <c r="E38" t="s">
        <v>200</v>
      </c>
      <c r="F38" t="s">
        <v>27</v>
      </c>
      <c r="G38" t="s">
        <v>28</v>
      </c>
      <c r="H38" t="s">
        <v>29</v>
      </c>
      <c r="I38" t="s">
        <v>44</v>
      </c>
      <c r="J38" t="s">
        <v>201</v>
      </c>
      <c r="L38" s="1">
        <v>46023</v>
      </c>
      <c r="M38" s="1">
        <v>46023</v>
      </c>
      <c r="O38">
        <v>9213293</v>
      </c>
      <c r="P38" t="s">
        <v>32</v>
      </c>
      <c r="Q38" t="s">
        <v>202</v>
      </c>
      <c r="R38">
        <v>8192</v>
      </c>
      <c r="S38" t="s">
        <v>34</v>
      </c>
      <c r="T38" t="s">
        <v>35</v>
      </c>
      <c r="U38">
        <v>135</v>
      </c>
      <c r="V38" t="s">
        <v>36</v>
      </c>
      <c r="W38" s="1">
        <v>45968</v>
      </c>
      <c r="X38">
        <v>2025</v>
      </c>
    </row>
    <row r="39" spans="1:24" x14ac:dyDescent="0.25">
      <c r="A39" s="1">
        <v>45993</v>
      </c>
      <c r="B39" t="s">
        <v>203</v>
      </c>
      <c r="C39" t="s">
        <v>204</v>
      </c>
      <c r="E39" t="s">
        <v>205</v>
      </c>
      <c r="F39" t="s">
        <v>27</v>
      </c>
      <c r="G39" t="s">
        <v>28</v>
      </c>
      <c r="H39" t="s">
        <v>29</v>
      </c>
      <c r="I39" t="s">
        <v>44</v>
      </c>
      <c r="J39" t="s">
        <v>201</v>
      </c>
      <c r="L39" s="1">
        <v>46023</v>
      </c>
      <c r="M39" s="1">
        <v>46023</v>
      </c>
      <c r="O39">
        <v>9213293</v>
      </c>
      <c r="P39" t="s">
        <v>32</v>
      </c>
      <c r="Q39" t="s">
        <v>202</v>
      </c>
      <c r="R39">
        <v>8192</v>
      </c>
      <c r="S39" t="s">
        <v>34</v>
      </c>
      <c r="T39" t="s">
        <v>35</v>
      </c>
      <c r="U39">
        <v>135</v>
      </c>
      <c r="V39" t="s">
        <v>36</v>
      </c>
      <c r="W39" s="1">
        <v>45968</v>
      </c>
      <c r="X39">
        <v>2025</v>
      </c>
    </row>
    <row r="40" spans="1:24" x14ac:dyDescent="0.25">
      <c r="A40" s="1">
        <v>45993</v>
      </c>
      <c r="B40" t="s">
        <v>206</v>
      </c>
      <c r="C40" t="s">
        <v>207</v>
      </c>
      <c r="E40" t="s">
        <v>208</v>
      </c>
      <c r="F40" t="s">
        <v>27</v>
      </c>
      <c r="G40" t="s">
        <v>28</v>
      </c>
      <c r="H40" t="s">
        <v>29</v>
      </c>
      <c r="I40" t="s">
        <v>30</v>
      </c>
      <c r="J40" t="s">
        <v>40</v>
      </c>
      <c r="L40" s="1">
        <v>46023</v>
      </c>
      <c r="M40" s="1">
        <v>46023</v>
      </c>
      <c r="O40">
        <v>8307933</v>
      </c>
      <c r="P40" t="s">
        <v>32</v>
      </c>
      <c r="Q40" t="s">
        <v>209</v>
      </c>
      <c r="R40">
        <v>8192</v>
      </c>
      <c r="S40" t="s">
        <v>34</v>
      </c>
      <c r="T40" t="s">
        <v>35</v>
      </c>
      <c r="U40">
        <v>150</v>
      </c>
      <c r="V40" t="s">
        <v>36</v>
      </c>
      <c r="W40" s="1">
        <v>45972</v>
      </c>
      <c r="X40">
        <v>2025</v>
      </c>
    </row>
    <row r="41" spans="1:24" x14ac:dyDescent="0.25">
      <c r="A41" s="1">
        <v>45993</v>
      </c>
      <c r="B41" t="s">
        <v>210</v>
      </c>
      <c r="C41" t="s">
        <v>211</v>
      </c>
      <c r="E41" t="s">
        <v>212</v>
      </c>
      <c r="F41" t="s">
        <v>27</v>
      </c>
      <c r="G41" t="s">
        <v>28</v>
      </c>
      <c r="H41" t="s">
        <v>29</v>
      </c>
      <c r="I41" t="s">
        <v>30</v>
      </c>
      <c r="J41" t="s">
        <v>138</v>
      </c>
      <c r="L41" s="1">
        <v>46023</v>
      </c>
      <c r="M41" s="1">
        <v>46023</v>
      </c>
      <c r="O41">
        <v>19268643</v>
      </c>
      <c r="P41" t="s">
        <v>32</v>
      </c>
      <c r="Q41" t="s">
        <v>213</v>
      </c>
      <c r="R41">
        <v>8192</v>
      </c>
      <c r="S41" t="s">
        <v>34</v>
      </c>
      <c r="T41" t="s">
        <v>35</v>
      </c>
      <c r="U41">
        <v>135</v>
      </c>
      <c r="V41" t="s">
        <v>36</v>
      </c>
      <c r="W41" s="1">
        <v>45975</v>
      </c>
      <c r="X41">
        <v>2025</v>
      </c>
    </row>
    <row r="42" spans="1:24" x14ac:dyDescent="0.25">
      <c r="A42" s="1">
        <v>45993</v>
      </c>
      <c r="B42" t="s">
        <v>214</v>
      </c>
      <c r="C42" t="s">
        <v>215</v>
      </c>
      <c r="E42" t="s">
        <v>216</v>
      </c>
      <c r="F42" t="s">
        <v>27</v>
      </c>
      <c r="G42" t="s">
        <v>28</v>
      </c>
      <c r="H42" t="s">
        <v>29</v>
      </c>
      <c r="I42" t="s">
        <v>30</v>
      </c>
      <c r="J42" t="s">
        <v>138</v>
      </c>
      <c r="L42" s="1">
        <v>46023</v>
      </c>
      <c r="M42" s="1">
        <v>46023</v>
      </c>
      <c r="O42">
        <v>8244481</v>
      </c>
      <c r="P42" t="s">
        <v>32</v>
      </c>
      <c r="Q42" t="s">
        <v>33</v>
      </c>
      <c r="R42">
        <v>8192</v>
      </c>
      <c r="S42" t="s">
        <v>34</v>
      </c>
      <c r="T42" t="s">
        <v>35</v>
      </c>
      <c r="U42">
        <v>135</v>
      </c>
      <c r="V42" t="s">
        <v>36</v>
      </c>
      <c r="W42" s="1">
        <v>45973</v>
      </c>
      <c r="X42">
        <v>2025</v>
      </c>
    </row>
    <row r="43" spans="1:24" x14ac:dyDescent="0.25">
      <c r="A43" s="1">
        <v>45993</v>
      </c>
      <c r="B43" t="s">
        <v>217</v>
      </c>
      <c r="C43" t="s">
        <v>218</v>
      </c>
      <c r="E43" t="s">
        <v>219</v>
      </c>
      <c r="F43" t="s">
        <v>27</v>
      </c>
      <c r="G43" t="s">
        <v>28</v>
      </c>
      <c r="H43" t="s">
        <v>29</v>
      </c>
      <c r="I43" t="s">
        <v>30</v>
      </c>
      <c r="J43" t="s">
        <v>138</v>
      </c>
      <c r="L43" s="1">
        <v>46023</v>
      </c>
      <c r="M43" s="1">
        <v>46023</v>
      </c>
      <c r="O43">
        <v>8244481</v>
      </c>
      <c r="P43" t="s">
        <v>32</v>
      </c>
      <c r="Q43" t="s">
        <v>33</v>
      </c>
      <c r="R43">
        <v>8192</v>
      </c>
      <c r="S43" t="s">
        <v>34</v>
      </c>
      <c r="T43" t="s">
        <v>35</v>
      </c>
      <c r="U43">
        <v>135</v>
      </c>
      <c r="V43" t="s">
        <v>36</v>
      </c>
      <c r="W43" s="1">
        <v>45973</v>
      </c>
      <c r="X43">
        <v>2025</v>
      </c>
    </row>
    <row r="44" spans="1:24" x14ac:dyDescent="0.25">
      <c r="A44" s="1">
        <v>45993</v>
      </c>
      <c r="B44" t="s">
        <v>220</v>
      </c>
      <c r="C44" t="s">
        <v>221</v>
      </c>
      <c r="E44" t="s">
        <v>222</v>
      </c>
      <c r="F44" t="s">
        <v>27</v>
      </c>
      <c r="G44" t="s">
        <v>28</v>
      </c>
      <c r="H44" t="s">
        <v>29</v>
      </c>
      <c r="I44" t="s">
        <v>44</v>
      </c>
      <c r="J44" t="s">
        <v>45</v>
      </c>
      <c r="L44" s="1">
        <v>46023</v>
      </c>
      <c r="M44" s="1">
        <v>46023</v>
      </c>
      <c r="O44">
        <v>19681796</v>
      </c>
      <c r="P44" t="s">
        <v>32</v>
      </c>
      <c r="Q44" t="s">
        <v>223</v>
      </c>
      <c r="R44">
        <v>8192</v>
      </c>
      <c r="S44" t="s">
        <v>34</v>
      </c>
      <c r="T44" t="s">
        <v>35</v>
      </c>
      <c r="U44">
        <v>135</v>
      </c>
      <c r="V44" t="s">
        <v>36</v>
      </c>
      <c r="W44" s="1">
        <v>45974</v>
      </c>
      <c r="X44">
        <v>2025</v>
      </c>
    </row>
    <row r="45" spans="1:24" x14ac:dyDescent="0.25">
      <c r="A45" s="1">
        <v>45993</v>
      </c>
      <c r="B45" t="s">
        <v>224</v>
      </c>
      <c r="C45" t="s">
        <v>225</v>
      </c>
      <c r="E45" t="s">
        <v>226</v>
      </c>
      <c r="F45" t="s">
        <v>27</v>
      </c>
      <c r="G45" t="s">
        <v>28</v>
      </c>
      <c r="H45" t="s">
        <v>29</v>
      </c>
      <c r="I45" t="s">
        <v>30</v>
      </c>
      <c r="J45" t="s">
        <v>138</v>
      </c>
      <c r="L45" s="1">
        <v>46023</v>
      </c>
      <c r="M45" s="1">
        <v>46023</v>
      </c>
      <c r="O45">
        <v>18828278</v>
      </c>
      <c r="P45" t="s">
        <v>32</v>
      </c>
      <c r="Q45" t="s">
        <v>142</v>
      </c>
      <c r="R45">
        <v>8192</v>
      </c>
      <c r="S45" t="s">
        <v>34</v>
      </c>
      <c r="T45" t="s">
        <v>35</v>
      </c>
      <c r="U45">
        <v>135</v>
      </c>
      <c r="V45" t="s">
        <v>36</v>
      </c>
      <c r="W45" s="1">
        <v>45973</v>
      </c>
      <c r="X45">
        <v>2025</v>
      </c>
    </row>
    <row r="46" spans="1:24" x14ac:dyDescent="0.25">
      <c r="A46" s="1">
        <v>45993</v>
      </c>
      <c r="B46" t="s">
        <v>227</v>
      </c>
      <c r="C46" t="s">
        <v>228</v>
      </c>
      <c r="E46" t="s">
        <v>229</v>
      </c>
      <c r="F46" t="s">
        <v>27</v>
      </c>
      <c r="G46" t="s">
        <v>28</v>
      </c>
      <c r="H46" t="s">
        <v>29</v>
      </c>
      <c r="I46" t="s">
        <v>30</v>
      </c>
      <c r="J46" t="s">
        <v>138</v>
      </c>
      <c r="L46" s="1">
        <v>46023</v>
      </c>
      <c r="M46" s="1">
        <v>46023</v>
      </c>
      <c r="O46">
        <v>18828278</v>
      </c>
      <c r="P46" t="s">
        <v>32</v>
      </c>
      <c r="Q46" t="s">
        <v>142</v>
      </c>
      <c r="R46">
        <v>8192</v>
      </c>
      <c r="S46" t="s">
        <v>34</v>
      </c>
      <c r="T46" t="s">
        <v>35</v>
      </c>
      <c r="U46">
        <v>135</v>
      </c>
      <c r="V46" t="s">
        <v>36</v>
      </c>
      <c r="W46" s="1">
        <v>45973</v>
      </c>
      <c r="X46">
        <v>2025</v>
      </c>
    </row>
    <row r="47" spans="1:24" x14ac:dyDescent="0.25">
      <c r="A47" s="1">
        <v>45993</v>
      </c>
      <c r="B47" t="s">
        <v>230</v>
      </c>
      <c r="C47" t="s">
        <v>231</v>
      </c>
      <c r="E47" t="s">
        <v>232</v>
      </c>
      <c r="F47" t="s">
        <v>27</v>
      </c>
      <c r="G47" t="s">
        <v>28</v>
      </c>
      <c r="H47" t="s">
        <v>29</v>
      </c>
      <c r="I47" t="s">
        <v>30</v>
      </c>
      <c r="J47" t="s">
        <v>138</v>
      </c>
      <c r="L47" s="1">
        <v>46023</v>
      </c>
      <c r="M47" s="1">
        <v>46023</v>
      </c>
      <c r="O47">
        <v>8244481</v>
      </c>
      <c r="P47" t="s">
        <v>32</v>
      </c>
      <c r="Q47" t="s">
        <v>33</v>
      </c>
      <c r="R47">
        <v>8192</v>
      </c>
      <c r="S47" t="s">
        <v>34</v>
      </c>
      <c r="T47" t="s">
        <v>35</v>
      </c>
      <c r="U47">
        <v>135</v>
      </c>
      <c r="V47" t="s">
        <v>36</v>
      </c>
      <c r="W47" s="1">
        <v>45973</v>
      </c>
      <c r="X47">
        <v>2025</v>
      </c>
    </row>
    <row r="48" spans="1:24" x14ac:dyDescent="0.25">
      <c r="A48" s="1">
        <v>45993</v>
      </c>
      <c r="B48" t="s">
        <v>233</v>
      </c>
      <c r="C48" t="s">
        <v>234</v>
      </c>
      <c r="E48" t="s">
        <v>235</v>
      </c>
      <c r="F48" t="s">
        <v>27</v>
      </c>
      <c r="G48" t="s">
        <v>28</v>
      </c>
      <c r="H48" t="s">
        <v>29</v>
      </c>
      <c r="I48" t="s">
        <v>44</v>
      </c>
      <c r="J48" t="s">
        <v>236</v>
      </c>
      <c r="L48" s="1">
        <v>46023</v>
      </c>
      <c r="M48" s="1">
        <v>46023</v>
      </c>
      <c r="O48">
        <v>9213293</v>
      </c>
      <c r="P48" t="s">
        <v>32</v>
      </c>
      <c r="Q48" t="s">
        <v>202</v>
      </c>
      <c r="R48">
        <v>8192</v>
      </c>
      <c r="S48" t="s">
        <v>34</v>
      </c>
      <c r="T48" t="s">
        <v>35</v>
      </c>
      <c r="U48">
        <v>135</v>
      </c>
      <c r="V48" t="s">
        <v>36</v>
      </c>
      <c r="W48" s="1">
        <v>45971</v>
      </c>
      <c r="X48">
        <v>2025</v>
      </c>
    </row>
    <row r="49" spans="1:24" x14ac:dyDescent="0.25">
      <c r="A49" s="1">
        <v>45993</v>
      </c>
      <c r="B49" t="s">
        <v>237</v>
      </c>
      <c r="C49" t="s">
        <v>238</v>
      </c>
      <c r="E49" t="s">
        <v>239</v>
      </c>
      <c r="F49" t="s">
        <v>27</v>
      </c>
      <c r="G49" t="s">
        <v>28</v>
      </c>
      <c r="H49" t="s">
        <v>29</v>
      </c>
      <c r="I49" t="s">
        <v>30</v>
      </c>
      <c r="J49" t="s">
        <v>174</v>
      </c>
      <c r="L49" s="1">
        <v>46023</v>
      </c>
      <c r="M49" s="1">
        <v>46023</v>
      </c>
      <c r="O49">
        <v>8244481</v>
      </c>
      <c r="P49" t="s">
        <v>32</v>
      </c>
      <c r="Q49" t="s">
        <v>33</v>
      </c>
      <c r="R49">
        <v>8192</v>
      </c>
      <c r="S49" t="s">
        <v>34</v>
      </c>
      <c r="T49" t="s">
        <v>35</v>
      </c>
      <c r="U49">
        <v>135</v>
      </c>
      <c r="V49" t="s">
        <v>36</v>
      </c>
      <c r="W49" s="1">
        <v>45974</v>
      </c>
      <c r="X49">
        <v>2025</v>
      </c>
    </row>
    <row r="50" spans="1:24" x14ac:dyDescent="0.25">
      <c r="A50" s="1">
        <v>45993</v>
      </c>
      <c r="B50" t="s">
        <v>240</v>
      </c>
      <c r="C50" t="s">
        <v>241</v>
      </c>
      <c r="E50" t="s">
        <v>242</v>
      </c>
      <c r="F50" t="s">
        <v>27</v>
      </c>
      <c r="G50" t="s">
        <v>28</v>
      </c>
      <c r="H50" t="s">
        <v>29</v>
      </c>
      <c r="I50" t="s">
        <v>44</v>
      </c>
      <c r="J50" t="s">
        <v>45</v>
      </c>
      <c r="L50" s="1">
        <v>46023</v>
      </c>
      <c r="M50" s="1">
        <v>46023</v>
      </c>
      <c r="O50">
        <v>20212926</v>
      </c>
      <c r="P50" t="s">
        <v>32</v>
      </c>
      <c r="Q50" t="s">
        <v>243</v>
      </c>
      <c r="R50">
        <v>8192</v>
      </c>
      <c r="S50" t="s">
        <v>34</v>
      </c>
      <c r="T50" t="s">
        <v>35</v>
      </c>
      <c r="U50">
        <v>150</v>
      </c>
      <c r="V50" t="s">
        <v>36</v>
      </c>
      <c r="W50" s="1">
        <v>45972</v>
      </c>
      <c r="X50">
        <v>2025</v>
      </c>
    </row>
    <row r="51" spans="1:24" x14ac:dyDescent="0.25">
      <c r="A51" s="1">
        <v>45993</v>
      </c>
      <c r="B51" t="s">
        <v>244</v>
      </c>
      <c r="C51" t="s">
        <v>245</v>
      </c>
      <c r="E51" t="s">
        <v>246</v>
      </c>
      <c r="F51" t="s">
        <v>93</v>
      </c>
      <c r="G51" t="s">
        <v>28</v>
      </c>
      <c r="H51" t="s">
        <v>29</v>
      </c>
      <c r="I51" t="s">
        <v>94</v>
      </c>
      <c r="J51" t="s">
        <v>247</v>
      </c>
      <c r="L51" s="1">
        <v>46023</v>
      </c>
      <c r="M51" s="1">
        <v>46023</v>
      </c>
      <c r="O51">
        <v>19491313</v>
      </c>
      <c r="P51" t="s">
        <v>32</v>
      </c>
      <c r="Q51" t="s">
        <v>96</v>
      </c>
      <c r="R51">
        <v>8192</v>
      </c>
      <c r="S51" t="s">
        <v>34</v>
      </c>
      <c r="T51" t="s">
        <v>35</v>
      </c>
      <c r="U51">
        <v>135</v>
      </c>
      <c r="V51" t="s">
        <v>36</v>
      </c>
      <c r="W51" s="1">
        <v>45973</v>
      </c>
      <c r="X51">
        <v>2025</v>
      </c>
    </row>
    <row r="52" spans="1:24" x14ac:dyDescent="0.25">
      <c r="A52" s="1">
        <v>45993</v>
      </c>
      <c r="B52" t="s">
        <v>248</v>
      </c>
      <c r="C52" t="s">
        <v>249</v>
      </c>
      <c r="E52" t="s">
        <v>250</v>
      </c>
      <c r="F52" t="s">
        <v>129</v>
      </c>
      <c r="G52" t="s">
        <v>28</v>
      </c>
      <c r="H52" t="s">
        <v>29</v>
      </c>
      <c r="I52" t="s">
        <v>44</v>
      </c>
      <c r="J52" t="s">
        <v>130</v>
      </c>
      <c r="L52" s="1">
        <v>46023</v>
      </c>
      <c r="M52" s="1">
        <v>46023</v>
      </c>
      <c r="O52">
        <v>9213293</v>
      </c>
      <c r="P52" t="s">
        <v>32</v>
      </c>
      <c r="Q52" t="s">
        <v>202</v>
      </c>
      <c r="R52">
        <v>8192</v>
      </c>
      <c r="S52" t="s">
        <v>34</v>
      </c>
      <c r="T52" t="s">
        <v>35</v>
      </c>
      <c r="U52">
        <v>150</v>
      </c>
      <c r="V52" t="s">
        <v>36</v>
      </c>
      <c r="W52" s="1">
        <v>45958</v>
      </c>
      <c r="X52">
        <v>2025</v>
      </c>
    </row>
    <row r="53" spans="1:24" x14ac:dyDescent="0.25">
      <c r="A53" s="1">
        <v>45993</v>
      </c>
      <c r="B53" t="s">
        <v>251</v>
      </c>
      <c r="C53" t="s">
        <v>252</v>
      </c>
      <c r="E53" t="s">
        <v>253</v>
      </c>
      <c r="F53" t="s">
        <v>27</v>
      </c>
      <c r="G53" t="s">
        <v>28</v>
      </c>
      <c r="H53" t="s">
        <v>29</v>
      </c>
      <c r="I53" t="s">
        <v>30</v>
      </c>
      <c r="J53" t="s">
        <v>138</v>
      </c>
      <c r="L53" s="1">
        <v>46023</v>
      </c>
      <c r="M53" s="1">
        <v>46023</v>
      </c>
      <c r="O53">
        <v>18828278</v>
      </c>
      <c r="P53" t="s">
        <v>32</v>
      </c>
      <c r="Q53" t="s">
        <v>142</v>
      </c>
      <c r="R53">
        <v>8192</v>
      </c>
      <c r="S53" t="s">
        <v>34</v>
      </c>
      <c r="T53" t="s">
        <v>35</v>
      </c>
      <c r="U53">
        <v>135</v>
      </c>
      <c r="V53" t="s">
        <v>36</v>
      </c>
      <c r="W53" s="1">
        <v>45973</v>
      </c>
      <c r="X53">
        <v>2025</v>
      </c>
    </row>
    <row r="54" spans="1:24" x14ac:dyDescent="0.25">
      <c r="A54" s="1">
        <v>45993</v>
      </c>
      <c r="B54" t="s">
        <v>254</v>
      </c>
      <c r="C54" t="s">
        <v>255</v>
      </c>
      <c r="E54" t="s">
        <v>256</v>
      </c>
      <c r="F54" t="s">
        <v>50</v>
      </c>
      <c r="G54" t="s">
        <v>28</v>
      </c>
      <c r="H54" t="s">
        <v>29</v>
      </c>
      <c r="I54" t="s">
        <v>51</v>
      </c>
      <c r="J54" t="s">
        <v>257</v>
      </c>
      <c r="L54" s="1">
        <v>46054</v>
      </c>
      <c r="M54" s="1">
        <v>46054</v>
      </c>
      <c r="O54">
        <v>8307933</v>
      </c>
      <c r="P54" t="s">
        <v>32</v>
      </c>
      <c r="Q54" t="s">
        <v>209</v>
      </c>
      <c r="R54">
        <v>8192</v>
      </c>
      <c r="S54" t="s">
        <v>34</v>
      </c>
      <c r="T54" t="s">
        <v>35</v>
      </c>
      <c r="U54">
        <v>137.5</v>
      </c>
      <c r="V54" t="s">
        <v>36</v>
      </c>
      <c r="W54" s="1">
        <v>45971</v>
      </c>
      <c r="X54">
        <v>2025</v>
      </c>
    </row>
    <row r="55" spans="1:24" x14ac:dyDescent="0.25">
      <c r="A55" s="1">
        <v>45993</v>
      </c>
      <c r="B55" t="s">
        <v>258</v>
      </c>
      <c r="C55" t="s">
        <v>259</v>
      </c>
      <c r="E55" t="s">
        <v>260</v>
      </c>
      <c r="F55" t="s">
        <v>50</v>
      </c>
      <c r="G55" t="s">
        <v>28</v>
      </c>
      <c r="H55" t="s">
        <v>29</v>
      </c>
      <c r="I55" t="s">
        <v>51</v>
      </c>
      <c r="J55" t="s">
        <v>52</v>
      </c>
      <c r="L55" s="1">
        <v>46023</v>
      </c>
      <c r="M55" s="1">
        <v>46023</v>
      </c>
      <c r="O55">
        <v>17528908</v>
      </c>
      <c r="P55" t="s">
        <v>32</v>
      </c>
      <c r="Q55" t="s">
        <v>53</v>
      </c>
      <c r="R55">
        <v>8192</v>
      </c>
      <c r="S55" t="s">
        <v>34</v>
      </c>
      <c r="T55" t="s">
        <v>35</v>
      </c>
      <c r="U55">
        <v>135</v>
      </c>
      <c r="V55" t="s">
        <v>36</v>
      </c>
      <c r="W55" s="1">
        <v>45978</v>
      </c>
      <c r="X55">
        <v>2025</v>
      </c>
    </row>
    <row r="56" spans="1:24" x14ac:dyDescent="0.25">
      <c r="A56" s="1">
        <v>45993</v>
      </c>
      <c r="B56" t="s">
        <v>261</v>
      </c>
      <c r="C56" t="s">
        <v>262</v>
      </c>
      <c r="E56" t="s">
        <v>263</v>
      </c>
      <c r="F56" t="s">
        <v>264</v>
      </c>
      <c r="G56" t="s">
        <v>28</v>
      </c>
      <c r="H56" t="s">
        <v>29</v>
      </c>
      <c r="I56" t="s">
        <v>44</v>
      </c>
      <c r="J56" t="s">
        <v>265</v>
      </c>
      <c r="L56" s="1">
        <v>46023</v>
      </c>
      <c r="M56" s="1">
        <v>46023</v>
      </c>
      <c r="O56">
        <v>8325282</v>
      </c>
      <c r="P56" t="s">
        <v>32</v>
      </c>
      <c r="Q56" t="s">
        <v>266</v>
      </c>
      <c r="R56">
        <v>8192</v>
      </c>
      <c r="S56" t="s">
        <v>34</v>
      </c>
      <c r="T56" t="s">
        <v>35</v>
      </c>
      <c r="U56">
        <v>135</v>
      </c>
      <c r="V56" t="s">
        <v>36</v>
      </c>
      <c r="W56" s="1">
        <v>45971</v>
      </c>
      <c r="X56">
        <v>2025</v>
      </c>
    </row>
    <row r="57" spans="1:24" x14ac:dyDescent="0.25">
      <c r="A57" s="1">
        <v>45993</v>
      </c>
      <c r="B57" t="s">
        <v>267</v>
      </c>
      <c r="C57" t="s">
        <v>268</v>
      </c>
      <c r="E57" t="s">
        <v>269</v>
      </c>
      <c r="F57" t="s">
        <v>264</v>
      </c>
      <c r="G57" t="s">
        <v>28</v>
      </c>
      <c r="H57" t="s">
        <v>29</v>
      </c>
      <c r="I57" t="s">
        <v>44</v>
      </c>
      <c r="J57" t="s">
        <v>265</v>
      </c>
      <c r="L57" s="1">
        <v>46023</v>
      </c>
      <c r="M57" s="1">
        <v>46023</v>
      </c>
      <c r="O57">
        <v>8325282</v>
      </c>
      <c r="P57" t="s">
        <v>32</v>
      </c>
      <c r="Q57" t="s">
        <v>266</v>
      </c>
      <c r="R57">
        <v>8192</v>
      </c>
      <c r="S57" t="s">
        <v>34</v>
      </c>
      <c r="T57" t="s">
        <v>35</v>
      </c>
      <c r="U57">
        <v>135</v>
      </c>
      <c r="V57" t="s">
        <v>36</v>
      </c>
      <c r="W57" s="1">
        <v>45971</v>
      </c>
      <c r="X57">
        <v>2025</v>
      </c>
    </row>
    <row r="58" spans="1:24" x14ac:dyDescent="0.25">
      <c r="A58" s="1">
        <v>45993</v>
      </c>
      <c r="B58" t="s">
        <v>270</v>
      </c>
      <c r="C58" t="s">
        <v>271</v>
      </c>
      <c r="E58" t="s">
        <v>272</v>
      </c>
      <c r="F58" t="s">
        <v>27</v>
      </c>
      <c r="G58" t="s">
        <v>28</v>
      </c>
      <c r="H58" t="s">
        <v>29</v>
      </c>
      <c r="I58" t="s">
        <v>44</v>
      </c>
      <c r="J58" t="s">
        <v>273</v>
      </c>
      <c r="L58" s="1">
        <v>46023</v>
      </c>
      <c r="M58" s="1">
        <v>46023</v>
      </c>
      <c r="O58">
        <v>19645587</v>
      </c>
      <c r="P58" t="s">
        <v>32</v>
      </c>
      <c r="Q58" t="s">
        <v>274</v>
      </c>
      <c r="R58">
        <v>8192</v>
      </c>
      <c r="S58" t="s">
        <v>34</v>
      </c>
      <c r="T58" t="s">
        <v>35</v>
      </c>
      <c r="U58">
        <v>135</v>
      </c>
      <c r="V58" t="s">
        <v>36</v>
      </c>
      <c r="W58" s="1">
        <v>45978</v>
      </c>
      <c r="X58">
        <v>2025</v>
      </c>
    </row>
    <row r="59" spans="1:24" x14ac:dyDescent="0.25">
      <c r="A59" s="1">
        <v>45993</v>
      </c>
      <c r="B59" t="s">
        <v>275</v>
      </c>
      <c r="C59" t="s">
        <v>276</v>
      </c>
      <c r="E59" t="s">
        <v>277</v>
      </c>
      <c r="F59" t="s">
        <v>93</v>
      </c>
      <c r="G59" t="s">
        <v>28</v>
      </c>
      <c r="H59" t="s">
        <v>29</v>
      </c>
      <c r="I59" t="s">
        <v>94</v>
      </c>
      <c r="J59" t="s">
        <v>278</v>
      </c>
      <c r="L59" s="1">
        <v>46023</v>
      </c>
      <c r="M59" s="1">
        <v>46023</v>
      </c>
      <c r="O59">
        <v>18142208</v>
      </c>
      <c r="P59" t="s">
        <v>32</v>
      </c>
      <c r="Q59" t="s">
        <v>167</v>
      </c>
      <c r="R59">
        <v>8192</v>
      </c>
      <c r="S59" t="s">
        <v>34</v>
      </c>
      <c r="T59" t="s">
        <v>35</v>
      </c>
      <c r="U59">
        <v>150</v>
      </c>
      <c r="V59" t="s">
        <v>36</v>
      </c>
      <c r="W59" s="1">
        <v>45972</v>
      </c>
      <c r="X59">
        <v>2025</v>
      </c>
    </row>
    <row r="60" spans="1:24" x14ac:dyDescent="0.25">
      <c r="A60" s="1">
        <v>45993</v>
      </c>
      <c r="B60" t="s">
        <v>279</v>
      </c>
      <c r="C60" t="s">
        <v>280</v>
      </c>
      <c r="E60" t="s">
        <v>281</v>
      </c>
      <c r="F60" t="s">
        <v>93</v>
      </c>
      <c r="G60" t="s">
        <v>28</v>
      </c>
      <c r="H60" t="s">
        <v>29</v>
      </c>
      <c r="I60" t="s">
        <v>94</v>
      </c>
      <c r="J60" t="s">
        <v>278</v>
      </c>
      <c r="L60" s="1">
        <v>46023</v>
      </c>
      <c r="M60" s="1">
        <v>46023</v>
      </c>
      <c r="O60">
        <v>18142208</v>
      </c>
      <c r="P60" t="s">
        <v>32</v>
      </c>
      <c r="Q60" t="s">
        <v>167</v>
      </c>
      <c r="R60">
        <v>8192</v>
      </c>
      <c r="S60" t="s">
        <v>34</v>
      </c>
      <c r="T60" t="s">
        <v>35</v>
      </c>
      <c r="U60">
        <v>150</v>
      </c>
      <c r="V60" t="s">
        <v>36</v>
      </c>
      <c r="W60" s="1">
        <v>45972</v>
      </c>
      <c r="X60">
        <v>2025</v>
      </c>
    </row>
    <row r="61" spans="1:24" x14ac:dyDescent="0.25">
      <c r="A61" s="1">
        <v>45993</v>
      </c>
      <c r="B61" t="s">
        <v>282</v>
      </c>
      <c r="C61" t="s">
        <v>283</v>
      </c>
      <c r="E61" t="s">
        <v>284</v>
      </c>
      <c r="F61" t="s">
        <v>93</v>
      </c>
      <c r="G61" t="s">
        <v>28</v>
      </c>
      <c r="H61" t="s">
        <v>29</v>
      </c>
      <c r="I61" t="s">
        <v>94</v>
      </c>
      <c r="J61" t="s">
        <v>247</v>
      </c>
      <c r="L61" s="1">
        <v>46023</v>
      </c>
      <c r="M61" s="1">
        <v>46023</v>
      </c>
      <c r="O61">
        <v>19491313</v>
      </c>
      <c r="P61" t="s">
        <v>32</v>
      </c>
      <c r="Q61" t="s">
        <v>96</v>
      </c>
      <c r="R61">
        <v>8192</v>
      </c>
      <c r="S61" t="s">
        <v>34</v>
      </c>
      <c r="T61" t="s">
        <v>35</v>
      </c>
      <c r="U61">
        <v>135</v>
      </c>
      <c r="V61" t="s">
        <v>36</v>
      </c>
      <c r="W61" s="1">
        <v>45976</v>
      </c>
      <c r="X61">
        <v>2025</v>
      </c>
    </row>
    <row r="62" spans="1:24" x14ac:dyDescent="0.25">
      <c r="A62" s="1">
        <v>45993</v>
      </c>
      <c r="B62" t="s">
        <v>285</v>
      </c>
      <c r="C62" t="s">
        <v>286</v>
      </c>
      <c r="E62" t="s">
        <v>287</v>
      </c>
      <c r="F62" t="s">
        <v>50</v>
      </c>
      <c r="G62" t="s">
        <v>28</v>
      </c>
      <c r="H62" t="s">
        <v>29</v>
      </c>
      <c r="I62" t="s">
        <v>51</v>
      </c>
      <c r="J62" t="s">
        <v>288</v>
      </c>
      <c r="L62" s="1">
        <v>46023</v>
      </c>
      <c r="M62" s="1">
        <v>46023</v>
      </c>
      <c r="O62">
        <v>16212649</v>
      </c>
      <c r="P62" t="s">
        <v>32</v>
      </c>
      <c r="Q62" t="s">
        <v>289</v>
      </c>
      <c r="R62">
        <v>8192</v>
      </c>
      <c r="S62" t="s">
        <v>34</v>
      </c>
      <c r="T62" t="s">
        <v>35</v>
      </c>
      <c r="U62">
        <v>135</v>
      </c>
      <c r="V62" t="s">
        <v>36</v>
      </c>
      <c r="W62" s="1">
        <v>45975</v>
      </c>
      <c r="X62">
        <v>2025</v>
      </c>
    </row>
    <row r="63" spans="1:24" x14ac:dyDescent="0.25">
      <c r="A63" s="1">
        <v>45993</v>
      </c>
      <c r="B63" t="s">
        <v>290</v>
      </c>
      <c r="C63" t="s">
        <v>291</v>
      </c>
      <c r="E63" t="s">
        <v>292</v>
      </c>
      <c r="F63" t="s">
        <v>152</v>
      </c>
      <c r="G63" t="s">
        <v>28</v>
      </c>
      <c r="H63" t="s">
        <v>29</v>
      </c>
      <c r="I63" t="s">
        <v>153</v>
      </c>
      <c r="J63" t="s">
        <v>293</v>
      </c>
      <c r="L63" s="1">
        <v>46023</v>
      </c>
      <c r="M63" s="1">
        <v>46023</v>
      </c>
      <c r="O63">
        <v>19481808</v>
      </c>
      <c r="P63" t="s">
        <v>32</v>
      </c>
      <c r="Q63" t="s">
        <v>294</v>
      </c>
      <c r="R63">
        <v>8192</v>
      </c>
      <c r="S63" t="s">
        <v>34</v>
      </c>
      <c r="T63" t="s">
        <v>35</v>
      </c>
      <c r="U63">
        <v>135</v>
      </c>
      <c r="V63" t="s">
        <v>36</v>
      </c>
      <c r="W63" s="1">
        <v>45975</v>
      </c>
      <c r="X63">
        <v>2025</v>
      </c>
    </row>
    <row r="64" spans="1:24" x14ac:dyDescent="0.25">
      <c r="A64" s="1">
        <v>45993</v>
      </c>
      <c r="B64" t="s">
        <v>295</v>
      </c>
      <c r="C64" t="s">
        <v>296</v>
      </c>
      <c r="E64" t="s">
        <v>297</v>
      </c>
      <c r="F64" t="s">
        <v>50</v>
      </c>
      <c r="G64" t="s">
        <v>28</v>
      </c>
      <c r="H64" t="s">
        <v>29</v>
      </c>
      <c r="I64" t="s">
        <v>51</v>
      </c>
      <c r="J64" t="s">
        <v>73</v>
      </c>
      <c r="L64" s="1">
        <v>46054</v>
      </c>
      <c r="M64" s="1">
        <v>46054</v>
      </c>
      <c r="O64">
        <v>8307933</v>
      </c>
      <c r="P64" t="s">
        <v>32</v>
      </c>
      <c r="Q64" t="s">
        <v>209</v>
      </c>
      <c r="R64">
        <v>8192</v>
      </c>
      <c r="S64" t="s">
        <v>34</v>
      </c>
      <c r="T64" t="s">
        <v>35</v>
      </c>
      <c r="U64">
        <v>137.5</v>
      </c>
      <c r="V64" t="s">
        <v>36</v>
      </c>
      <c r="W64" s="1">
        <v>45975</v>
      </c>
      <c r="X64">
        <v>2025</v>
      </c>
    </row>
    <row r="65" spans="1:24" x14ac:dyDescent="0.25">
      <c r="A65" s="1">
        <v>45993</v>
      </c>
      <c r="B65" t="s">
        <v>298</v>
      </c>
      <c r="C65" t="s">
        <v>299</v>
      </c>
      <c r="E65" t="s">
        <v>300</v>
      </c>
      <c r="F65" t="s">
        <v>301</v>
      </c>
      <c r="G65" t="s">
        <v>78</v>
      </c>
      <c r="H65" t="s">
        <v>29</v>
      </c>
      <c r="I65" t="s">
        <v>302</v>
      </c>
      <c r="J65" t="s">
        <v>303</v>
      </c>
      <c r="L65" s="1">
        <v>46023</v>
      </c>
      <c r="M65" s="1">
        <v>46023</v>
      </c>
      <c r="N65" s="1">
        <v>46023</v>
      </c>
      <c r="O65">
        <v>19645587</v>
      </c>
      <c r="P65" t="s">
        <v>32</v>
      </c>
      <c r="Q65" t="s">
        <v>274</v>
      </c>
      <c r="R65">
        <v>8192</v>
      </c>
      <c r="S65" t="s">
        <v>34</v>
      </c>
      <c r="T65" t="s">
        <v>35</v>
      </c>
      <c r="U65">
        <v>-150</v>
      </c>
      <c r="V65" t="s">
        <v>36</v>
      </c>
      <c r="W65" s="1">
        <v>45961</v>
      </c>
      <c r="X65">
        <v>2025</v>
      </c>
    </row>
    <row r="66" spans="1:24" x14ac:dyDescent="0.25">
      <c r="A66" s="1">
        <v>45993</v>
      </c>
      <c r="B66" t="s">
        <v>304</v>
      </c>
      <c r="C66" t="s">
        <v>305</v>
      </c>
      <c r="E66" t="s">
        <v>306</v>
      </c>
      <c r="F66" t="s">
        <v>27</v>
      </c>
      <c r="G66" t="s">
        <v>28</v>
      </c>
      <c r="H66" t="s">
        <v>29</v>
      </c>
      <c r="I66" t="s">
        <v>44</v>
      </c>
      <c r="J66" t="s">
        <v>45</v>
      </c>
      <c r="L66" s="1">
        <v>46023</v>
      </c>
      <c r="M66" s="1">
        <v>46023</v>
      </c>
      <c r="O66">
        <v>7565575</v>
      </c>
      <c r="P66" t="s">
        <v>32</v>
      </c>
      <c r="Q66" t="s">
        <v>307</v>
      </c>
      <c r="R66">
        <v>8192</v>
      </c>
      <c r="S66" t="s">
        <v>34</v>
      </c>
      <c r="T66" t="s">
        <v>35</v>
      </c>
      <c r="U66">
        <v>135</v>
      </c>
      <c r="V66" t="s">
        <v>36</v>
      </c>
      <c r="W66" s="1">
        <v>45973</v>
      </c>
      <c r="X66">
        <v>2025</v>
      </c>
    </row>
    <row r="67" spans="1:24" x14ac:dyDescent="0.25">
      <c r="A67" s="1">
        <v>45993</v>
      </c>
      <c r="B67" t="s">
        <v>308</v>
      </c>
      <c r="C67" t="s">
        <v>309</v>
      </c>
      <c r="E67" t="s">
        <v>310</v>
      </c>
      <c r="F67" t="s">
        <v>50</v>
      </c>
      <c r="G67" t="s">
        <v>28</v>
      </c>
      <c r="H67" t="s">
        <v>29</v>
      </c>
      <c r="I67" t="s">
        <v>51</v>
      </c>
      <c r="J67" t="s">
        <v>114</v>
      </c>
      <c r="L67" s="1">
        <v>46023</v>
      </c>
      <c r="M67" s="1">
        <v>46023</v>
      </c>
      <c r="O67">
        <v>17886092</v>
      </c>
      <c r="P67" t="s">
        <v>32</v>
      </c>
      <c r="Q67" t="s">
        <v>74</v>
      </c>
      <c r="R67">
        <v>8192</v>
      </c>
      <c r="S67" t="s">
        <v>34</v>
      </c>
      <c r="T67" t="s">
        <v>35</v>
      </c>
      <c r="U67">
        <v>65</v>
      </c>
      <c r="V67" t="s">
        <v>36</v>
      </c>
      <c r="W67" s="1">
        <v>45974</v>
      </c>
      <c r="X67">
        <v>2025</v>
      </c>
    </row>
    <row r="68" spans="1:24" x14ac:dyDescent="0.25">
      <c r="A68" s="1">
        <v>45993</v>
      </c>
      <c r="B68" t="s">
        <v>311</v>
      </c>
      <c r="C68" t="s">
        <v>312</v>
      </c>
      <c r="E68" t="s">
        <v>313</v>
      </c>
      <c r="F68" t="s">
        <v>129</v>
      </c>
      <c r="G68" t="s">
        <v>28</v>
      </c>
      <c r="H68" t="s">
        <v>314</v>
      </c>
      <c r="I68" t="s">
        <v>44</v>
      </c>
      <c r="J68" t="s">
        <v>315</v>
      </c>
      <c r="L68" s="1">
        <v>46023</v>
      </c>
      <c r="M68" s="1">
        <v>46023</v>
      </c>
      <c r="O68">
        <v>19219478</v>
      </c>
      <c r="P68" t="s">
        <v>32</v>
      </c>
      <c r="Q68" t="s">
        <v>316</v>
      </c>
      <c r="R68">
        <v>8192</v>
      </c>
      <c r="S68" t="s">
        <v>34</v>
      </c>
      <c r="T68" t="s">
        <v>35</v>
      </c>
      <c r="U68">
        <v>135</v>
      </c>
      <c r="V68" t="s">
        <v>36</v>
      </c>
      <c r="W68" s="1">
        <v>45978</v>
      </c>
      <c r="X68">
        <v>2025</v>
      </c>
    </row>
    <row r="69" spans="1:24" x14ac:dyDescent="0.25">
      <c r="A69" s="1">
        <v>45993</v>
      </c>
      <c r="B69" t="s">
        <v>317</v>
      </c>
      <c r="C69" t="s">
        <v>318</v>
      </c>
      <c r="E69" t="s">
        <v>319</v>
      </c>
      <c r="F69" t="s">
        <v>93</v>
      </c>
      <c r="G69" t="s">
        <v>28</v>
      </c>
      <c r="H69" t="s">
        <v>29</v>
      </c>
      <c r="I69" t="s">
        <v>94</v>
      </c>
      <c r="J69" t="s">
        <v>166</v>
      </c>
      <c r="L69" s="1">
        <v>46023</v>
      </c>
      <c r="M69" s="1">
        <v>46023</v>
      </c>
      <c r="O69">
        <v>18142208</v>
      </c>
      <c r="P69" t="s">
        <v>32</v>
      </c>
      <c r="Q69" t="s">
        <v>167</v>
      </c>
      <c r="R69">
        <v>8192</v>
      </c>
      <c r="S69" t="s">
        <v>34</v>
      </c>
      <c r="T69" t="s">
        <v>35</v>
      </c>
      <c r="U69">
        <v>150</v>
      </c>
      <c r="V69" t="s">
        <v>36</v>
      </c>
      <c r="W69" s="1">
        <v>45976</v>
      </c>
      <c r="X69">
        <v>2025</v>
      </c>
    </row>
    <row r="70" spans="1:24" x14ac:dyDescent="0.25">
      <c r="A70" s="1">
        <v>45993</v>
      </c>
      <c r="B70" t="s">
        <v>320</v>
      </c>
      <c r="C70" t="s">
        <v>321</v>
      </c>
      <c r="E70" t="s">
        <v>322</v>
      </c>
      <c r="F70" t="s">
        <v>27</v>
      </c>
      <c r="G70" t="s">
        <v>28</v>
      </c>
      <c r="H70" t="s">
        <v>29</v>
      </c>
      <c r="I70" t="s">
        <v>44</v>
      </c>
      <c r="J70" t="s">
        <v>201</v>
      </c>
      <c r="L70" s="1">
        <v>46023</v>
      </c>
      <c r="M70" s="1">
        <v>46023</v>
      </c>
      <c r="O70">
        <v>8405446</v>
      </c>
      <c r="P70" t="s">
        <v>32</v>
      </c>
      <c r="Q70" t="s">
        <v>323</v>
      </c>
      <c r="R70">
        <v>8192</v>
      </c>
      <c r="S70" t="s">
        <v>34</v>
      </c>
      <c r="T70" t="s">
        <v>35</v>
      </c>
      <c r="U70">
        <v>150</v>
      </c>
      <c r="V70" t="s">
        <v>36</v>
      </c>
      <c r="W70" s="1">
        <v>45979</v>
      </c>
      <c r="X70">
        <v>2025</v>
      </c>
    </row>
    <row r="71" spans="1:24" x14ac:dyDescent="0.25">
      <c r="A71" s="1">
        <v>45993</v>
      </c>
      <c r="B71" t="s">
        <v>324</v>
      </c>
      <c r="C71" t="s">
        <v>325</v>
      </c>
      <c r="E71" t="s">
        <v>326</v>
      </c>
      <c r="F71" t="s">
        <v>327</v>
      </c>
      <c r="G71" t="s">
        <v>28</v>
      </c>
      <c r="H71" t="s">
        <v>29</v>
      </c>
      <c r="I71" t="s">
        <v>328</v>
      </c>
      <c r="J71" t="s">
        <v>329</v>
      </c>
      <c r="L71" s="1">
        <v>46023</v>
      </c>
      <c r="M71" s="1">
        <v>46023</v>
      </c>
      <c r="O71">
        <v>17094718</v>
      </c>
      <c r="P71" t="s">
        <v>32</v>
      </c>
      <c r="Q71" t="s">
        <v>330</v>
      </c>
      <c r="R71">
        <v>8192</v>
      </c>
      <c r="S71" t="s">
        <v>34</v>
      </c>
      <c r="T71" t="s">
        <v>35</v>
      </c>
      <c r="U71">
        <v>135</v>
      </c>
      <c r="V71" t="s">
        <v>36</v>
      </c>
      <c r="W71" s="1">
        <v>45973</v>
      </c>
      <c r="X71">
        <v>2025</v>
      </c>
    </row>
    <row r="72" spans="1:24" x14ac:dyDescent="0.25">
      <c r="A72" s="1">
        <v>45993</v>
      </c>
      <c r="B72" t="s">
        <v>331</v>
      </c>
      <c r="C72" t="s">
        <v>332</v>
      </c>
      <c r="E72" t="s">
        <v>333</v>
      </c>
      <c r="F72" t="s">
        <v>327</v>
      </c>
      <c r="G72" t="s">
        <v>28</v>
      </c>
      <c r="H72" t="s">
        <v>29</v>
      </c>
      <c r="I72" t="s">
        <v>328</v>
      </c>
      <c r="J72" t="s">
        <v>329</v>
      </c>
      <c r="L72" s="1">
        <v>46023</v>
      </c>
      <c r="M72" s="1">
        <v>46023</v>
      </c>
      <c r="O72">
        <v>17094718</v>
      </c>
      <c r="P72" t="s">
        <v>32</v>
      </c>
      <c r="Q72" t="s">
        <v>330</v>
      </c>
      <c r="R72">
        <v>8192</v>
      </c>
      <c r="S72" t="s">
        <v>34</v>
      </c>
      <c r="T72" t="s">
        <v>35</v>
      </c>
      <c r="U72">
        <v>135</v>
      </c>
      <c r="V72" t="s">
        <v>36</v>
      </c>
      <c r="W72" s="1">
        <v>45973</v>
      </c>
      <c r="X72">
        <v>2025</v>
      </c>
    </row>
    <row r="73" spans="1:24" x14ac:dyDescent="0.25">
      <c r="A73" s="1">
        <v>45993</v>
      </c>
      <c r="B73" t="s">
        <v>334</v>
      </c>
      <c r="C73" t="s">
        <v>335</v>
      </c>
      <c r="E73" t="s">
        <v>336</v>
      </c>
      <c r="F73" t="s">
        <v>27</v>
      </c>
      <c r="G73" t="s">
        <v>28</v>
      </c>
      <c r="H73" t="s">
        <v>29</v>
      </c>
      <c r="I73" t="s">
        <v>44</v>
      </c>
      <c r="J73" t="s">
        <v>45</v>
      </c>
      <c r="L73" s="1">
        <v>46023</v>
      </c>
      <c r="M73" s="1">
        <v>46023</v>
      </c>
      <c r="O73">
        <v>17143996</v>
      </c>
      <c r="P73" t="s">
        <v>32</v>
      </c>
      <c r="Q73" t="s">
        <v>337</v>
      </c>
      <c r="R73">
        <v>8192</v>
      </c>
      <c r="S73" t="s">
        <v>34</v>
      </c>
      <c r="T73" t="s">
        <v>35</v>
      </c>
      <c r="U73">
        <v>135</v>
      </c>
      <c r="V73" t="s">
        <v>36</v>
      </c>
      <c r="W73" s="1">
        <v>45973</v>
      </c>
      <c r="X73">
        <v>2025</v>
      </c>
    </row>
    <row r="74" spans="1:24" x14ac:dyDescent="0.25">
      <c r="A74" s="1">
        <v>45993</v>
      </c>
      <c r="B74" t="s">
        <v>338</v>
      </c>
      <c r="C74" t="s">
        <v>339</v>
      </c>
      <c r="E74" t="s">
        <v>340</v>
      </c>
      <c r="F74" t="s">
        <v>50</v>
      </c>
      <c r="G74" t="s">
        <v>28</v>
      </c>
      <c r="H74" t="s">
        <v>29</v>
      </c>
      <c r="I74" t="s">
        <v>51</v>
      </c>
      <c r="J74" t="s">
        <v>52</v>
      </c>
      <c r="L74" s="1">
        <v>46023</v>
      </c>
      <c r="M74" s="1">
        <v>46023</v>
      </c>
      <c r="O74">
        <v>20253958</v>
      </c>
      <c r="P74" t="s">
        <v>32</v>
      </c>
      <c r="Q74" t="s">
        <v>341</v>
      </c>
      <c r="R74">
        <v>8192</v>
      </c>
      <c r="S74" t="s">
        <v>34</v>
      </c>
      <c r="T74" t="s">
        <v>35</v>
      </c>
      <c r="U74">
        <v>65</v>
      </c>
      <c r="V74" t="s">
        <v>36</v>
      </c>
      <c r="W74" s="1">
        <v>45979</v>
      </c>
      <c r="X74">
        <v>2025</v>
      </c>
    </row>
    <row r="75" spans="1:24" x14ac:dyDescent="0.25">
      <c r="A75" s="1">
        <v>45993</v>
      </c>
      <c r="B75" t="s">
        <v>342</v>
      </c>
      <c r="C75" t="s">
        <v>343</v>
      </c>
      <c r="E75" t="s">
        <v>344</v>
      </c>
      <c r="F75" t="s">
        <v>27</v>
      </c>
      <c r="G75" t="s">
        <v>28</v>
      </c>
      <c r="H75" t="s">
        <v>29</v>
      </c>
      <c r="I75" t="s">
        <v>30</v>
      </c>
      <c r="J75" t="s">
        <v>138</v>
      </c>
      <c r="L75" s="1">
        <v>46023</v>
      </c>
      <c r="M75" s="1">
        <v>46023</v>
      </c>
      <c r="O75">
        <v>19268643</v>
      </c>
      <c r="P75" t="s">
        <v>32</v>
      </c>
      <c r="Q75" t="s">
        <v>213</v>
      </c>
      <c r="R75">
        <v>8192</v>
      </c>
      <c r="S75" t="s">
        <v>34</v>
      </c>
      <c r="T75" t="s">
        <v>35</v>
      </c>
      <c r="U75">
        <v>135</v>
      </c>
      <c r="V75" t="s">
        <v>36</v>
      </c>
      <c r="W75" s="1">
        <v>45971</v>
      </c>
      <c r="X75">
        <v>2025</v>
      </c>
    </row>
    <row r="76" spans="1:24" x14ac:dyDescent="0.25">
      <c r="A76" s="1">
        <v>45993</v>
      </c>
      <c r="B76" t="s">
        <v>345</v>
      </c>
      <c r="C76" t="s">
        <v>346</v>
      </c>
      <c r="E76" t="s">
        <v>347</v>
      </c>
      <c r="F76" t="s">
        <v>27</v>
      </c>
      <c r="G76" t="s">
        <v>348</v>
      </c>
      <c r="H76" t="s">
        <v>29</v>
      </c>
      <c r="I76" t="s">
        <v>44</v>
      </c>
      <c r="J76" t="s">
        <v>349</v>
      </c>
      <c r="L76" s="1">
        <v>45658</v>
      </c>
      <c r="M76" s="1">
        <v>45658</v>
      </c>
      <c r="N76" s="1">
        <v>45991</v>
      </c>
      <c r="O76">
        <v>7470776</v>
      </c>
      <c r="P76" t="s">
        <v>32</v>
      </c>
      <c r="Q76" t="s">
        <v>350</v>
      </c>
      <c r="R76">
        <v>8192</v>
      </c>
      <c r="S76" t="s">
        <v>351</v>
      </c>
      <c r="T76" t="s">
        <v>35</v>
      </c>
      <c r="U76">
        <v>688.42</v>
      </c>
      <c r="V76" t="s">
        <v>352</v>
      </c>
      <c r="W76" s="1">
        <v>45606</v>
      </c>
      <c r="X76">
        <v>2025</v>
      </c>
    </row>
    <row r="77" spans="1:24" x14ac:dyDescent="0.25">
      <c r="A77" s="1">
        <v>45993</v>
      </c>
      <c r="B77" t="s">
        <v>345</v>
      </c>
      <c r="C77" t="s">
        <v>346</v>
      </c>
      <c r="E77" t="s">
        <v>347</v>
      </c>
      <c r="F77" t="s">
        <v>27</v>
      </c>
      <c r="G77" t="s">
        <v>353</v>
      </c>
      <c r="H77" t="s">
        <v>29</v>
      </c>
      <c r="I77" t="s">
        <v>44</v>
      </c>
      <c r="J77" t="s">
        <v>349</v>
      </c>
      <c r="L77" s="1">
        <v>45658</v>
      </c>
      <c r="M77" s="1">
        <v>45658</v>
      </c>
      <c r="N77" s="1">
        <v>45991</v>
      </c>
      <c r="O77">
        <v>7470776</v>
      </c>
      <c r="P77" t="s">
        <v>32</v>
      </c>
      <c r="Q77" t="s">
        <v>350</v>
      </c>
      <c r="R77">
        <v>8192</v>
      </c>
      <c r="S77" t="s">
        <v>351</v>
      </c>
      <c r="T77" t="s">
        <v>35</v>
      </c>
      <c r="U77">
        <v>-751</v>
      </c>
      <c r="V77" t="s">
        <v>352</v>
      </c>
      <c r="W77" s="1">
        <v>45606</v>
      </c>
      <c r="X77">
        <v>2025</v>
      </c>
    </row>
    <row r="78" spans="1:24" x14ac:dyDescent="0.25">
      <c r="A78" s="1">
        <v>45993</v>
      </c>
      <c r="B78" t="s">
        <v>354</v>
      </c>
      <c r="C78" t="s">
        <v>355</v>
      </c>
      <c r="E78" t="s">
        <v>356</v>
      </c>
      <c r="F78" t="s">
        <v>357</v>
      </c>
      <c r="G78" t="s">
        <v>28</v>
      </c>
      <c r="H78" t="s">
        <v>29</v>
      </c>
      <c r="I78" t="s">
        <v>358</v>
      </c>
      <c r="J78" t="s">
        <v>359</v>
      </c>
      <c r="L78" s="1">
        <v>46054</v>
      </c>
      <c r="M78" s="1">
        <v>46054</v>
      </c>
      <c r="O78">
        <v>18754354</v>
      </c>
      <c r="P78" t="s">
        <v>32</v>
      </c>
      <c r="Q78" t="s">
        <v>360</v>
      </c>
      <c r="R78">
        <v>8192</v>
      </c>
      <c r="S78" t="s">
        <v>34</v>
      </c>
      <c r="T78" t="s">
        <v>35</v>
      </c>
      <c r="U78">
        <v>123.75</v>
      </c>
      <c r="V78" t="s">
        <v>36</v>
      </c>
      <c r="W78" s="1">
        <v>45973</v>
      </c>
      <c r="X78">
        <v>2025</v>
      </c>
    </row>
    <row r="79" spans="1:24" x14ac:dyDescent="0.25">
      <c r="A79" s="1">
        <v>45993</v>
      </c>
      <c r="B79" t="s">
        <v>361</v>
      </c>
      <c r="C79" t="s">
        <v>362</v>
      </c>
      <c r="E79" t="s">
        <v>363</v>
      </c>
      <c r="F79" t="s">
        <v>27</v>
      </c>
      <c r="G79" t="s">
        <v>57</v>
      </c>
      <c r="H79" t="s">
        <v>29</v>
      </c>
      <c r="I79" t="s">
        <v>30</v>
      </c>
      <c r="J79" t="s">
        <v>31</v>
      </c>
      <c r="L79" s="1">
        <v>46023</v>
      </c>
      <c r="M79" s="1">
        <v>46023</v>
      </c>
      <c r="O79">
        <v>8244481</v>
      </c>
      <c r="P79" t="s">
        <v>32</v>
      </c>
      <c r="Q79" t="s">
        <v>33</v>
      </c>
      <c r="R79">
        <v>8192</v>
      </c>
      <c r="S79" t="s">
        <v>34</v>
      </c>
      <c r="T79" t="s">
        <v>35</v>
      </c>
      <c r="U79">
        <v>-150</v>
      </c>
      <c r="V79" t="s">
        <v>36</v>
      </c>
      <c r="W79" s="1">
        <v>45967</v>
      </c>
      <c r="X79">
        <v>2025</v>
      </c>
    </row>
    <row r="80" spans="1:24" x14ac:dyDescent="0.25">
      <c r="A80" s="1">
        <v>45993</v>
      </c>
      <c r="B80" t="s">
        <v>364</v>
      </c>
      <c r="C80" t="s">
        <v>365</v>
      </c>
      <c r="E80" t="s">
        <v>366</v>
      </c>
      <c r="F80" t="s">
        <v>27</v>
      </c>
      <c r="G80" t="s">
        <v>28</v>
      </c>
      <c r="H80" t="s">
        <v>29</v>
      </c>
      <c r="I80" t="s">
        <v>44</v>
      </c>
      <c r="J80" t="s">
        <v>45</v>
      </c>
      <c r="L80" s="1">
        <v>46023</v>
      </c>
      <c r="M80" s="1">
        <v>46023</v>
      </c>
      <c r="O80">
        <v>7146581</v>
      </c>
      <c r="P80" t="s">
        <v>32</v>
      </c>
      <c r="Q80" t="s">
        <v>80</v>
      </c>
      <c r="R80">
        <v>8192</v>
      </c>
      <c r="S80" t="s">
        <v>34</v>
      </c>
      <c r="T80" t="s">
        <v>35</v>
      </c>
      <c r="U80">
        <v>150</v>
      </c>
      <c r="V80" t="s">
        <v>36</v>
      </c>
      <c r="W80" s="1">
        <v>45971</v>
      </c>
      <c r="X80">
        <v>2025</v>
      </c>
    </row>
    <row r="81" spans="1:24" x14ac:dyDescent="0.25">
      <c r="A81" s="1">
        <v>45993</v>
      </c>
      <c r="B81" t="s">
        <v>367</v>
      </c>
      <c r="C81" t="s">
        <v>368</v>
      </c>
      <c r="E81" t="s">
        <v>369</v>
      </c>
      <c r="F81" t="s">
        <v>93</v>
      </c>
      <c r="G81" t="s">
        <v>28</v>
      </c>
      <c r="H81" t="s">
        <v>29</v>
      </c>
      <c r="I81" t="s">
        <v>94</v>
      </c>
      <c r="J81" t="s">
        <v>247</v>
      </c>
      <c r="L81" s="1">
        <v>46023</v>
      </c>
      <c r="M81" s="1">
        <v>46023</v>
      </c>
      <c r="O81">
        <v>19491313</v>
      </c>
      <c r="P81" t="s">
        <v>32</v>
      </c>
      <c r="Q81" t="s">
        <v>96</v>
      </c>
      <c r="R81">
        <v>8192</v>
      </c>
      <c r="S81" t="s">
        <v>34</v>
      </c>
      <c r="T81" t="s">
        <v>35</v>
      </c>
      <c r="U81">
        <v>135</v>
      </c>
      <c r="V81" t="s">
        <v>36</v>
      </c>
      <c r="W81" s="1">
        <v>45979</v>
      </c>
      <c r="X81">
        <v>2025</v>
      </c>
    </row>
    <row r="82" spans="1:24" x14ac:dyDescent="0.25">
      <c r="A82" s="1">
        <v>45993</v>
      </c>
      <c r="B82" t="s">
        <v>370</v>
      </c>
      <c r="C82" t="s">
        <v>371</v>
      </c>
      <c r="E82" t="s">
        <v>372</v>
      </c>
      <c r="F82" t="s">
        <v>50</v>
      </c>
      <c r="G82" t="s">
        <v>28</v>
      </c>
      <c r="H82" t="s">
        <v>29</v>
      </c>
      <c r="I82" t="s">
        <v>51</v>
      </c>
      <c r="J82" t="s">
        <v>52</v>
      </c>
      <c r="L82" s="1">
        <v>46023</v>
      </c>
      <c r="M82" s="1">
        <v>46023</v>
      </c>
      <c r="O82">
        <v>17886092</v>
      </c>
      <c r="P82" t="s">
        <v>32</v>
      </c>
      <c r="Q82" t="s">
        <v>74</v>
      </c>
      <c r="R82">
        <v>8192</v>
      </c>
      <c r="S82" t="s">
        <v>34</v>
      </c>
      <c r="T82" t="s">
        <v>35</v>
      </c>
      <c r="U82">
        <v>65</v>
      </c>
      <c r="V82" t="s">
        <v>36</v>
      </c>
      <c r="W82" s="1">
        <v>45970</v>
      </c>
      <c r="X82">
        <v>2025</v>
      </c>
    </row>
    <row r="83" spans="1:24" x14ac:dyDescent="0.25">
      <c r="A83" s="1">
        <v>45993</v>
      </c>
      <c r="B83" t="s">
        <v>373</v>
      </c>
      <c r="C83" t="s">
        <v>374</v>
      </c>
      <c r="E83" t="s">
        <v>375</v>
      </c>
      <c r="F83" t="s">
        <v>50</v>
      </c>
      <c r="G83" t="s">
        <v>28</v>
      </c>
      <c r="H83" t="s">
        <v>29</v>
      </c>
      <c r="I83" t="s">
        <v>51</v>
      </c>
      <c r="J83" t="s">
        <v>52</v>
      </c>
      <c r="L83" s="1">
        <v>46023</v>
      </c>
      <c r="M83" s="1">
        <v>46023</v>
      </c>
      <c r="O83">
        <v>17886092</v>
      </c>
      <c r="P83" t="s">
        <v>32</v>
      </c>
      <c r="Q83" t="s">
        <v>74</v>
      </c>
      <c r="R83">
        <v>8192</v>
      </c>
      <c r="S83" t="s">
        <v>34</v>
      </c>
      <c r="T83" t="s">
        <v>35</v>
      </c>
      <c r="U83">
        <v>65</v>
      </c>
      <c r="V83" t="s">
        <v>36</v>
      </c>
      <c r="W83" s="1">
        <v>45968</v>
      </c>
      <c r="X83">
        <v>2025</v>
      </c>
    </row>
    <row r="84" spans="1:24" x14ac:dyDescent="0.25">
      <c r="A84" s="1">
        <v>45993</v>
      </c>
      <c r="B84" t="s">
        <v>376</v>
      </c>
      <c r="C84" t="s">
        <v>377</v>
      </c>
      <c r="E84" t="s">
        <v>378</v>
      </c>
      <c r="F84" t="s">
        <v>93</v>
      </c>
      <c r="G84" t="s">
        <v>28</v>
      </c>
      <c r="H84" t="s">
        <v>29</v>
      </c>
      <c r="I84" t="s">
        <v>94</v>
      </c>
      <c r="J84" t="s">
        <v>166</v>
      </c>
      <c r="L84" s="1">
        <v>46023</v>
      </c>
      <c r="M84" s="1">
        <v>46023</v>
      </c>
      <c r="O84">
        <v>19491313</v>
      </c>
      <c r="P84" t="s">
        <v>32</v>
      </c>
      <c r="Q84" t="s">
        <v>96</v>
      </c>
      <c r="R84">
        <v>8192</v>
      </c>
      <c r="S84" t="s">
        <v>34</v>
      </c>
      <c r="T84" t="s">
        <v>35</v>
      </c>
      <c r="U84">
        <v>135</v>
      </c>
      <c r="V84" t="s">
        <v>36</v>
      </c>
      <c r="W84" s="1">
        <v>45973</v>
      </c>
      <c r="X84">
        <v>2025</v>
      </c>
    </row>
    <row r="85" spans="1:24" x14ac:dyDescent="0.25">
      <c r="A85" s="1">
        <v>45993</v>
      </c>
      <c r="B85" t="s">
        <v>379</v>
      </c>
      <c r="C85" t="s">
        <v>380</v>
      </c>
      <c r="E85" t="s">
        <v>381</v>
      </c>
      <c r="F85" t="s">
        <v>27</v>
      </c>
      <c r="G85" t="s">
        <v>78</v>
      </c>
      <c r="H85" t="s">
        <v>29</v>
      </c>
      <c r="I85" t="s">
        <v>44</v>
      </c>
      <c r="J85" t="s">
        <v>45</v>
      </c>
      <c r="L85" s="1">
        <v>46023</v>
      </c>
      <c r="M85" s="1">
        <v>46023</v>
      </c>
      <c r="N85" s="1">
        <v>46023</v>
      </c>
      <c r="O85">
        <v>8814784</v>
      </c>
      <c r="P85" t="s">
        <v>32</v>
      </c>
      <c r="Q85" t="s">
        <v>155</v>
      </c>
      <c r="R85">
        <v>8192</v>
      </c>
      <c r="S85" t="s">
        <v>34</v>
      </c>
      <c r="T85" t="s">
        <v>35</v>
      </c>
      <c r="U85">
        <v>-135</v>
      </c>
      <c r="V85" t="s">
        <v>36</v>
      </c>
      <c r="W85" s="1">
        <v>45951</v>
      </c>
      <c r="X85">
        <v>2025</v>
      </c>
    </row>
    <row r="86" spans="1:24" x14ac:dyDescent="0.25">
      <c r="A86" s="1">
        <v>45993</v>
      </c>
      <c r="B86" t="s">
        <v>382</v>
      </c>
      <c r="C86" t="s">
        <v>383</v>
      </c>
      <c r="E86" t="s">
        <v>384</v>
      </c>
      <c r="F86" t="s">
        <v>93</v>
      </c>
      <c r="G86" t="s">
        <v>385</v>
      </c>
      <c r="H86" t="s">
        <v>386</v>
      </c>
      <c r="I86" t="s">
        <v>94</v>
      </c>
      <c r="J86" t="s">
        <v>162</v>
      </c>
      <c r="K86" t="s">
        <v>387</v>
      </c>
      <c r="L86" s="1">
        <v>45962</v>
      </c>
      <c r="M86" s="1">
        <v>44562</v>
      </c>
      <c r="R86">
        <v>8192</v>
      </c>
      <c r="T86" t="s">
        <v>388</v>
      </c>
      <c r="U86">
        <v>55</v>
      </c>
      <c r="V86" t="s">
        <v>389</v>
      </c>
      <c r="W86" s="1">
        <v>44501</v>
      </c>
      <c r="X86">
        <v>2025</v>
      </c>
    </row>
    <row r="87" spans="1:24" x14ac:dyDescent="0.25">
      <c r="A87" s="1">
        <v>45993</v>
      </c>
      <c r="B87" t="s">
        <v>382</v>
      </c>
      <c r="C87" t="s">
        <v>383</v>
      </c>
      <c r="E87" t="s">
        <v>384</v>
      </c>
      <c r="F87" t="s">
        <v>93</v>
      </c>
      <c r="G87" t="s">
        <v>385</v>
      </c>
      <c r="H87" t="s">
        <v>386</v>
      </c>
      <c r="I87" t="s">
        <v>94</v>
      </c>
      <c r="J87" t="s">
        <v>162</v>
      </c>
      <c r="K87" t="s">
        <v>390</v>
      </c>
      <c r="L87" s="1">
        <v>45962</v>
      </c>
      <c r="M87" s="1">
        <v>44562</v>
      </c>
      <c r="R87">
        <v>8192</v>
      </c>
      <c r="T87" t="s">
        <v>388</v>
      </c>
      <c r="U87">
        <v>55</v>
      </c>
      <c r="V87" t="s">
        <v>389</v>
      </c>
      <c r="W87" s="1">
        <v>44501</v>
      </c>
      <c r="X87">
        <v>2025</v>
      </c>
    </row>
    <row r="88" spans="1:24" x14ac:dyDescent="0.25">
      <c r="A88" s="1">
        <v>45993</v>
      </c>
      <c r="B88" t="s">
        <v>382</v>
      </c>
      <c r="C88" t="s">
        <v>383</v>
      </c>
      <c r="E88" t="s">
        <v>384</v>
      </c>
      <c r="F88" t="s">
        <v>93</v>
      </c>
      <c r="G88" t="s">
        <v>385</v>
      </c>
      <c r="H88" t="s">
        <v>386</v>
      </c>
      <c r="I88" t="s">
        <v>94</v>
      </c>
      <c r="J88" t="s">
        <v>162</v>
      </c>
      <c r="K88" t="s">
        <v>391</v>
      </c>
      <c r="L88" s="1">
        <v>45962</v>
      </c>
      <c r="M88" s="1">
        <v>44562</v>
      </c>
      <c r="R88">
        <v>8192</v>
      </c>
      <c r="T88" t="s">
        <v>388</v>
      </c>
      <c r="U88">
        <v>55</v>
      </c>
      <c r="V88" t="s">
        <v>389</v>
      </c>
      <c r="W88" s="1">
        <v>44501</v>
      </c>
      <c r="X88">
        <v>2025</v>
      </c>
    </row>
    <row r="89" spans="1:24" x14ac:dyDescent="0.25">
      <c r="A89" s="1">
        <v>45993</v>
      </c>
      <c r="B89" t="s">
        <v>382</v>
      </c>
      <c r="C89" t="s">
        <v>383</v>
      </c>
      <c r="E89" t="s">
        <v>384</v>
      </c>
      <c r="F89" t="s">
        <v>93</v>
      </c>
      <c r="G89" t="s">
        <v>385</v>
      </c>
      <c r="H89" t="s">
        <v>386</v>
      </c>
      <c r="I89" t="s">
        <v>94</v>
      </c>
      <c r="J89" t="s">
        <v>162</v>
      </c>
      <c r="K89" t="s">
        <v>392</v>
      </c>
      <c r="L89" s="1">
        <v>45962</v>
      </c>
      <c r="M89" s="1">
        <v>44562</v>
      </c>
      <c r="R89">
        <v>8192</v>
      </c>
      <c r="T89" t="s">
        <v>388</v>
      </c>
      <c r="U89">
        <v>55</v>
      </c>
      <c r="V89" t="s">
        <v>389</v>
      </c>
      <c r="W89" s="1">
        <v>44501</v>
      </c>
      <c r="X89">
        <v>2025</v>
      </c>
    </row>
    <row r="90" spans="1:24" x14ac:dyDescent="0.25">
      <c r="A90" s="1">
        <v>45993</v>
      </c>
      <c r="B90" t="s">
        <v>382</v>
      </c>
      <c r="C90" t="s">
        <v>383</v>
      </c>
      <c r="E90" t="s">
        <v>384</v>
      </c>
      <c r="F90" t="s">
        <v>93</v>
      </c>
      <c r="G90" t="s">
        <v>385</v>
      </c>
      <c r="H90" t="s">
        <v>386</v>
      </c>
      <c r="I90" t="s">
        <v>94</v>
      </c>
      <c r="J90" t="s">
        <v>162</v>
      </c>
      <c r="K90" t="s">
        <v>393</v>
      </c>
      <c r="L90" s="1">
        <v>45962</v>
      </c>
      <c r="M90" s="1">
        <v>44562</v>
      </c>
      <c r="R90">
        <v>8192</v>
      </c>
      <c r="T90" t="s">
        <v>388</v>
      </c>
      <c r="U90">
        <v>55</v>
      </c>
      <c r="V90" t="s">
        <v>389</v>
      </c>
      <c r="W90" s="1">
        <v>44501</v>
      </c>
      <c r="X90">
        <v>2025</v>
      </c>
    </row>
    <row r="91" spans="1:24" x14ac:dyDescent="0.25">
      <c r="A91" s="1">
        <v>45993</v>
      </c>
      <c r="B91" t="s">
        <v>394</v>
      </c>
      <c r="C91" t="s">
        <v>395</v>
      </c>
      <c r="E91" t="s">
        <v>396</v>
      </c>
      <c r="F91" t="s">
        <v>397</v>
      </c>
      <c r="G91" t="s">
        <v>28</v>
      </c>
      <c r="H91" t="s">
        <v>29</v>
      </c>
      <c r="I91" t="s">
        <v>398</v>
      </c>
      <c r="J91" t="s">
        <v>399</v>
      </c>
      <c r="L91" s="1">
        <v>45962</v>
      </c>
      <c r="M91" s="1">
        <v>45962</v>
      </c>
      <c r="O91">
        <v>9213293</v>
      </c>
      <c r="P91" t="s">
        <v>32</v>
      </c>
      <c r="Q91" t="s">
        <v>202</v>
      </c>
      <c r="R91">
        <v>8192</v>
      </c>
      <c r="S91" t="s">
        <v>34</v>
      </c>
      <c r="T91" t="s">
        <v>35</v>
      </c>
      <c r="U91">
        <v>77.17</v>
      </c>
      <c r="V91" t="s">
        <v>36</v>
      </c>
      <c r="W91" s="1">
        <v>45961</v>
      </c>
      <c r="X91">
        <v>2025</v>
      </c>
    </row>
    <row r="92" spans="1:24" x14ac:dyDescent="0.25">
      <c r="A92" s="1">
        <v>45993</v>
      </c>
      <c r="B92" t="s">
        <v>400</v>
      </c>
      <c r="C92" t="s">
        <v>401</v>
      </c>
      <c r="E92" t="s">
        <v>402</v>
      </c>
      <c r="F92" t="s">
        <v>50</v>
      </c>
      <c r="G92" t="s">
        <v>28</v>
      </c>
      <c r="H92" t="s">
        <v>29</v>
      </c>
      <c r="I92" t="s">
        <v>51</v>
      </c>
      <c r="J92" t="s">
        <v>403</v>
      </c>
      <c r="L92" s="1">
        <v>46023</v>
      </c>
      <c r="M92" s="1">
        <v>46023</v>
      </c>
      <c r="O92">
        <v>17886092</v>
      </c>
      <c r="P92" t="s">
        <v>32</v>
      </c>
      <c r="Q92" t="s">
        <v>74</v>
      </c>
      <c r="R92">
        <v>8192</v>
      </c>
      <c r="S92" t="s">
        <v>34</v>
      </c>
      <c r="T92" t="s">
        <v>35</v>
      </c>
      <c r="U92">
        <v>65</v>
      </c>
      <c r="V92" t="s">
        <v>36</v>
      </c>
      <c r="W92" s="1">
        <v>45971</v>
      </c>
      <c r="X92">
        <v>2025</v>
      </c>
    </row>
    <row r="93" spans="1:24" x14ac:dyDescent="0.25">
      <c r="A93" s="1">
        <v>45993</v>
      </c>
      <c r="B93" t="s">
        <v>404</v>
      </c>
      <c r="C93" t="s">
        <v>405</v>
      </c>
      <c r="E93" t="s">
        <v>406</v>
      </c>
      <c r="F93" t="s">
        <v>50</v>
      </c>
      <c r="G93" t="s">
        <v>28</v>
      </c>
      <c r="H93" t="s">
        <v>29</v>
      </c>
      <c r="I93" t="s">
        <v>51</v>
      </c>
      <c r="J93" t="s">
        <v>104</v>
      </c>
      <c r="L93" s="1">
        <v>46023</v>
      </c>
      <c r="M93" s="1">
        <v>46023</v>
      </c>
      <c r="O93">
        <v>17886092</v>
      </c>
      <c r="P93" t="s">
        <v>32</v>
      </c>
      <c r="Q93" t="s">
        <v>74</v>
      </c>
      <c r="R93">
        <v>8192</v>
      </c>
      <c r="S93" t="s">
        <v>34</v>
      </c>
      <c r="T93" t="s">
        <v>35</v>
      </c>
      <c r="U93">
        <v>65</v>
      </c>
      <c r="V93" t="s">
        <v>36</v>
      </c>
      <c r="W93" s="1">
        <v>45968</v>
      </c>
      <c r="X93">
        <v>2025</v>
      </c>
    </row>
    <row r="94" spans="1:24" x14ac:dyDescent="0.25">
      <c r="A94" s="1">
        <v>45993</v>
      </c>
      <c r="B94" t="s">
        <v>407</v>
      </c>
      <c r="C94" t="s">
        <v>408</v>
      </c>
      <c r="E94" t="s">
        <v>409</v>
      </c>
      <c r="F94" t="s">
        <v>410</v>
      </c>
      <c r="G94" t="s">
        <v>28</v>
      </c>
      <c r="H94" t="s">
        <v>29</v>
      </c>
      <c r="I94" t="s">
        <v>122</v>
      </c>
      <c r="J94" t="s">
        <v>411</v>
      </c>
      <c r="L94" s="1">
        <v>46023</v>
      </c>
      <c r="M94" s="1">
        <v>46023</v>
      </c>
      <c r="O94">
        <v>8307933</v>
      </c>
      <c r="P94" t="s">
        <v>32</v>
      </c>
      <c r="Q94" t="s">
        <v>209</v>
      </c>
      <c r="R94">
        <v>8192</v>
      </c>
      <c r="S94" t="s">
        <v>351</v>
      </c>
      <c r="T94" t="s">
        <v>35</v>
      </c>
      <c r="U94">
        <v>125</v>
      </c>
      <c r="V94" t="s">
        <v>36</v>
      </c>
      <c r="W94" s="1">
        <v>45580</v>
      </c>
      <c r="X94">
        <v>2025</v>
      </c>
    </row>
    <row r="95" spans="1:24" x14ac:dyDescent="0.25">
      <c r="A95" s="1">
        <v>45993</v>
      </c>
      <c r="B95" t="s">
        <v>407</v>
      </c>
      <c r="C95" t="s">
        <v>408</v>
      </c>
      <c r="E95" t="s">
        <v>409</v>
      </c>
      <c r="F95" t="s">
        <v>410</v>
      </c>
      <c r="G95" t="s">
        <v>412</v>
      </c>
      <c r="H95" t="s">
        <v>29</v>
      </c>
      <c r="I95" t="s">
        <v>122</v>
      </c>
      <c r="J95" t="s">
        <v>413</v>
      </c>
      <c r="L95" s="1">
        <v>45658</v>
      </c>
      <c r="M95" s="1">
        <v>45383</v>
      </c>
      <c r="N95" s="1">
        <v>46022</v>
      </c>
      <c r="O95">
        <v>8307933</v>
      </c>
      <c r="P95" t="s">
        <v>32</v>
      </c>
      <c r="Q95" t="s">
        <v>209</v>
      </c>
      <c r="R95">
        <v>8192</v>
      </c>
      <c r="S95" t="s">
        <v>351</v>
      </c>
      <c r="T95" t="s">
        <v>35</v>
      </c>
      <c r="U95">
        <v>29.83</v>
      </c>
      <c r="V95" t="s">
        <v>36</v>
      </c>
      <c r="W95" s="1">
        <v>45658</v>
      </c>
      <c r="X95">
        <v>2025</v>
      </c>
    </row>
    <row r="96" spans="1:24" x14ac:dyDescent="0.25">
      <c r="A96" s="1">
        <v>45993</v>
      </c>
      <c r="B96" t="s">
        <v>407</v>
      </c>
      <c r="C96" t="s">
        <v>408</v>
      </c>
      <c r="E96" t="s">
        <v>409</v>
      </c>
      <c r="F96" t="s">
        <v>410</v>
      </c>
      <c r="G96" t="s">
        <v>412</v>
      </c>
      <c r="H96" t="s">
        <v>29</v>
      </c>
      <c r="I96" t="s">
        <v>122</v>
      </c>
      <c r="J96" t="s">
        <v>413</v>
      </c>
      <c r="L96" s="1">
        <v>45689</v>
      </c>
      <c r="M96" s="1">
        <v>45383</v>
      </c>
      <c r="N96" s="1">
        <v>46022</v>
      </c>
      <c r="O96">
        <v>8307933</v>
      </c>
      <c r="P96" t="s">
        <v>32</v>
      </c>
      <c r="Q96" t="s">
        <v>209</v>
      </c>
      <c r="R96">
        <v>8192</v>
      </c>
      <c r="S96" t="s">
        <v>351</v>
      </c>
      <c r="T96" t="s">
        <v>35</v>
      </c>
      <c r="U96">
        <v>29.83</v>
      </c>
      <c r="V96" t="s">
        <v>36</v>
      </c>
      <c r="W96" s="1">
        <v>45658</v>
      </c>
      <c r="X96">
        <v>2025</v>
      </c>
    </row>
    <row r="97" spans="1:24" x14ac:dyDescent="0.25">
      <c r="A97" s="1">
        <v>45993</v>
      </c>
      <c r="B97" t="s">
        <v>407</v>
      </c>
      <c r="C97" t="s">
        <v>408</v>
      </c>
      <c r="E97" t="s">
        <v>409</v>
      </c>
      <c r="F97" t="s">
        <v>410</v>
      </c>
      <c r="G97" t="s">
        <v>412</v>
      </c>
      <c r="H97" t="s">
        <v>29</v>
      </c>
      <c r="I97" t="s">
        <v>122</v>
      </c>
      <c r="J97" t="s">
        <v>413</v>
      </c>
      <c r="L97" s="1">
        <v>45717</v>
      </c>
      <c r="M97" s="1">
        <v>45383</v>
      </c>
      <c r="N97" s="1">
        <v>46022</v>
      </c>
      <c r="O97">
        <v>8307933</v>
      </c>
      <c r="P97" t="s">
        <v>32</v>
      </c>
      <c r="Q97" t="s">
        <v>209</v>
      </c>
      <c r="R97">
        <v>8192</v>
      </c>
      <c r="S97" t="s">
        <v>351</v>
      </c>
      <c r="T97" t="s">
        <v>35</v>
      </c>
      <c r="U97">
        <v>29.83</v>
      </c>
      <c r="V97" t="s">
        <v>36</v>
      </c>
      <c r="W97" s="1">
        <v>45658</v>
      </c>
      <c r="X97">
        <v>2025</v>
      </c>
    </row>
    <row r="98" spans="1:24" x14ac:dyDescent="0.25">
      <c r="A98" s="1">
        <v>45993</v>
      </c>
      <c r="B98" t="s">
        <v>407</v>
      </c>
      <c r="C98" t="s">
        <v>408</v>
      </c>
      <c r="E98" t="s">
        <v>409</v>
      </c>
      <c r="F98" t="s">
        <v>410</v>
      </c>
      <c r="G98" t="s">
        <v>412</v>
      </c>
      <c r="H98" t="s">
        <v>29</v>
      </c>
      <c r="I98" t="s">
        <v>122</v>
      </c>
      <c r="J98" t="s">
        <v>413</v>
      </c>
      <c r="L98" s="1">
        <v>45748</v>
      </c>
      <c r="M98" s="1">
        <v>45383</v>
      </c>
      <c r="N98" s="1">
        <v>46022</v>
      </c>
      <c r="O98">
        <v>8307933</v>
      </c>
      <c r="P98" t="s">
        <v>32</v>
      </c>
      <c r="Q98" t="s">
        <v>209</v>
      </c>
      <c r="R98">
        <v>8192</v>
      </c>
      <c r="S98" t="s">
        <v>351</v>
      </c>
      <c r="T98" t="s">
        <v>35</v>
      </c>
      <c r="U98">
        <v>29.83</v>
      </c>
      <c r="V98" t="s">
        <v>36</v>
      </c>
      <c r="W98" s="1">
        <v>45658</v>
      </c>
      <c r="X98">
        <v>2025</v>
      </c>
    </row>
    <row r="99" spans="1:24" x14ac:dyDescent="0.25">
      <c r="A99" s="1">
        <v>45993</v>
      </c>
      <c r="B99" t="s">
        <v>407</v>
      </c>
      <c r="C99" t="s">
        <v>408</v>
      </c>
      <c r="E99" t="s">
        <v>409</v>
      </c>
      <c r="F99" t="s">
        <v>410</v>
      </c>
      <c r="G99" t="s">
        <v>412</v>
      </c>
      <c r="H99" t="s">
        <v>29</v>
      </c>
      <c r="I99" t="s">
        <v>122</v>
      </c>
      <c r="J99" t="s">
        <v>413</v>
      </c>
      <c r="L99" s="1">
        <v>45778</v>
      </c>
      <c r="M99" s="1">
        <v>45383</v>
      </c>
      <c r="N99" s="1">
        <v>46022</v>
      </c>
      <c r="O99">
        <v>8307933</v>
      </c>
      <c r="P99" t="s">
        <v>32</v>
      </c>
      <c r="Q99" t="s">
        <v>209</v>
      </c>
      <c r="R99">
        <v>8192</v>
      </c>
      <c r="S99" t="s">
        <v>351</v>
      </c>
      <c r="T99" t="s">
        <v>35</v>
      </c>
      <c r="U99">
        <v>29.83</v>
      </c>
      <c r="V99" t="s">
        <v>36</v>
      </c>
      <c r="W99" s="1">
        <v>45658</v>
      </c>
      <c r="X99">
        <v>2025</v>
      </c>
    </row>
    <row r="100" spans="1:24" x14ac:dyDescent="0.25">
      <c r="A100" s="1">
        <v>45993</v>
      </c>
      <c r="B100" t="s">
        <v>407</v>
      </c>
      <c r="C100" t="s">
        <v>408</v>
      </c>
      <c r="E100" t="s">
        <v>409</v>
      </c>
      <c r="F100" t="s">
        <v>410</v>
      </c>
      <c r="G100" t="s">
        <v>412</v>
      </c>
      <c r="H100" t="s">
        <v>29</v>
      </c>
      <c r="I100" t="s">
        <v>122</v>
      </c>
      <c r="J100" t="s">
        <v>413</v>
      </c>
      <c r="L100" s="1">
        <v>45809</v>
      </c>
      <c r="M100" s="1">
        <v>45383</v>
      </c>
      <c r="N100" s="1">
        <v>46022</v>
      </c>
      <c r="O100">
        <v>8307933</v>
      </c>
      <c r="P100" t="s">
        <v>32</v>
      </c>
      <c r="Q100" t="s">
        <v>209</v>
      </c>
      <c r="R100">
        <v>8192</v>
      </c>
      <c r="S100" t="s">
        <v>351</v>
      </c>
      <c r="T100" t="s">
        <v>35</v>
      </c>
      <c r="U100">
        <v>29.83</v>
      </c>
      <c r="V100" t="s">
        <v>36</v>
      </c>
      <c r="W100" s="1">
        <v>45658</v>
      </c>
      <c r="X100">
        <v>2025</v>
      </c>
    </row>
    <row r="101" spans="1:24" x14ac:dyDescent="0.25">
      <c r="A101" s="1">
        <v>45993</v>
      </c>
      <c r="B101" t="s">
        <v>407</v>
      </c>
      <c r="C101" t="s">
        <v>408</v>
      </c>
      <c r="E101" t="s">
        <v>409</v>
      </c>
      <c r="F101" t="s">
        <v>410</v>
      </c>
      <c r="G101" t="s">
        <v>412</v>
      </c>
      <c r="H101" t="s">
        <v>29</v>
      </c>
      <c r="I101" t="s">
        <v>122</v>
      </c>
      <c r="J101" t="s">
        <v>413</v>
      </c>
      <c r="L101" s="1">
        <v>45839</v>
      </c>
      <c r="M101" s="1">
        <v>45383</v>
      </c>
      <c r="N101" s="1">
        <v>46022</v>
      </c>
      <c r="O101">
        <v>8307933</v>
      </c>
      <c r="P101" t="s">
        <v>32</v>
      </c>
      <c r="Q101" t="s">
        <v>209</v>
      </c>
      <c r="R101">
        <v>8192</v>
      </c>
      <c r="S101" t="s">
        <v>351</v>
      </c>
      <c r="T101" t="s">
        <v>35</v>
      </c>
      <c r="U101">
        <v>29.83</v>
      </c>
      <c r="V101" t="s">
        <v>36</v>
      </c>
      <c r="W101" s="1">
        <v>45658</v>
      </c>
      <c r="X101">
        <v>2025</v>
      </c>
    </row>
    <row r="102" spans="1:24" x14ac:dyDescent="0.25">
      <c r="A102" s="1">
        <v>45993</v>
      </c>
      <c r="B102" t="s">
        <v>407</v>
      </c>
      <c r="C102" t="s">
        <v>408</v>
      </c>
      <c r="E102" t="s">
        <v>409</v>
      </c>
      <c r="F102" t="s">
        <v>410</v>
      </c>
      <c r="G102" t="s">
        <v>412</v>
      </c>
      <c r="H102" t="s">
        <v>29</v>
      </c>
      <c r="I102" t="s">
        <v>122</v>
      </c>
      <c r="J102" t="s">
        <v>413</v>
      </c>
      <c r="L102" s="1">
        <v>45870</v>
      </c>
      <c r="M102" s="1">
        <v>45383</v>
      </c>
      <c r="N102" s="1">
        <v>46022</v>
      </c>
      <c r="O102">
        <v>8307933</v>
      </c>
      <c r="P102" t="s">
        <v>32</v>
      </c>
      <c r="Q102" t="s">
        <v>209</v>
      </c>
      <c r="R102">
        <v>8192</v>
      </c>
      <c r="S102" t="s">
        <v>351</v>
      </c>
      <c r="T102" t="s">
        <v>35</v>
      </c>
      <c r="U102">
        <v>29.83</v>
      </c>
      <c r="V102" t="s">
        <v>36</v>
      </c>
      <c r="W102" s="1">
        <v>45658</v>
      </c>
      <c r="X102">
        <v>2025</v>
      </c>
    </row>
    <row r="103" spans="1:24" x14ac:dyDescent="0.25">
      <c r="A103" s="1">
        <v>45993</v>
      </c>
      <c r="B103" t="s">
        <v>407</v>
      </c>
      <c r="C103" t="s">
        <v>408</v>
      </c>
      <c r="E103" t="s">
        <v>409</v>
      </c>
      <c r="F103" t="s">
        <v>410</v>
      </c>
      <c r="G103" t="s">
        <v>412</v>
      </c>
      <c r="H103" t="s">
        <v>29</v>
      </c>
      <c r="I103" t="s">
        <v>122</v>
      </c>
      <c r="J103" t="s">
        <v>413</v>
      </c>
      <c r="L103" s="1">
        <v>45901</v>
      </c>
      <c r="M103" s="1">
        <v>45383</v>
      </c>
      <c r="N103" s="1">
        <v>46022</v>
      </c>
      <c r="O103">
        <v>8307933</v>
      </c>
      <c r="P103" t="s">
        <v>32</v>
      </c>
      <c r="Q103" t="s">
        <v>209</v>
      </c>
      <c r="R103">
        <v>8192</v>
      </c>
      <c r="S103" t="s">
        <v>351</v>
      </c>
      <c r="T103" t="s">
        <v>35</v>
      </c>
      <c r="U103">
        <v>29.83</v>
      </c>
      <c r="V103" t="s">
        <v>36</v>
      </c>
      <c r="W103" s="1">
        <v>45658</v>
      </c>
      <c r="X103">
        <v>2025</v>
      </c>
    </row>
    <row r="104" spans="1:24" x14ac:dyDescent="0.25">
      <c r="A104" s="1">
        <v>45993</v>
      </c>
      <c r="B104" t="s">
        <v>407</v>
      </c>
      <c r="C104" t="s">
        <v>408</v>
      </c>
      <c r="E104" t="s">
        <v>409</v>
      </c>
      <c r="F104" t="s">
        <v>410</v>
      </c>
      <c r="G104" t="s">
        <v>412</v>
      </c>
      <c r="H104" t="s">
        <v>29</v>
      </c>
      <c r="I104" t="s">
        <v>122</v>
      </c>
      <c r="J104" t="s">
        <v>413</v>
      </c>
      <c r="L104" s="1">
        <v>45931</v>
      </c>
      <c r="M104" s="1">
        <v>45383</v>
      </c>
      <c r="N104" s="1">
        <v>46022</v>
      </c>
      <c r="O104">
        <v>8307933</v>
      </c>
      <c r="P104" t="s">
        <v>32</v>
      </c>
      <c r="Q104" t="s">
        <v>209</v>
      </c>
      <c r="R104">
        <v>8192</v>
      </c>
      <c r="S104" t="s">
        <v>351</v>
      </c>
      <c r="T104" t="s">
        <v>35</v>
      </c>
      <c r="U104">
        <v>29.83</v>
      </c>
      <c r="V104" t="s">
        <v>36</v>
      </c>
      <c r="W104" s="1">
        <v>45658</v>
      </c>
      <c r="X104">
        <v>2025</v>
      </c>
    </row>
    <row r="105" spans="1:24" x14ac:dyDescent="0.25">
      <c r="A105" s="1">
        <v>45993</v>
      </c>
      <c r="B105" t="s">
        <v>407</v>
      </c>
      <c r="C105" t="s">
        <v>408</v>
      </c>
      <c r="E105" t="s">
        <v>409</v>
      </c>
      <c r="F105" t="s">
        <v>410</v>
      </c>
      <c r="G105" t="s">
        <v>412</v>
      </c>
      <c r="H105" t="s">
        <v>29</v>
      </c>
      <c r="I105" t="s">
        <v>122</v>
      </c>
      <c r="J105" t="s">
        <v>413</v>
      </c>
      <c r="L105" s="1">
        <v>45962</v>
      </c>
      <c r="M105" s="1">
        <v>45383</v>
      </c>
      <c r="N105" s="1">
        <v>46022</v>
      </c>
      <c r="O105">
        <v>8307933</v>
      </c>
      <c r="P105" t="s">
        <v>32</v>
      </c>
      <c r="Q105" t="s">
        <v>209</v>
      </c>
      <c r="R105">
        <v>8192</v>
      </c>
      <c r="S105" t="s">
        <v>351</v>
      </c>
      <c r="T105" t="s">
        <v>35</v>
      </c>
      <c r="U105">
        <v>29.83</v>
      </c>
      <c r="V105" t="s">
        <v>36</v>
      </c>
      <c r="W105" s="1">
        <v>45658</v>
      </c>
      <c r="X105">
        <v>2025</v>
      </c>
    </row>
    <row r="106" spans="1:24" x14ac:dyDescent="0.25">
      <c r="A106" s="1">
        <v>45993</v>
      </c>
      <c r="B106" t="s">
        <v>407</v>
      </c>
      <c r="C106" t="s">
        <v>408</v>
      </c>
      <c r="E106" t="s">
        <v>409</v>
      </c>
      <c r="F106" t="s">
        <v>410</v>
      </c>
      <c r="G106" t="s">
        <v>414</v>
      </c>
      <c r="H106" t="s">
        <v>29</v>
      </c>
      <c r="I106" t="s">
        <v>122</v>
      </c>
      <c r="J106" t="s">
        <v>411</v>
      </c>
      <c r="L106" s="1">
        <v>46023</v>
      </c>
      <c r="M106" s="1">
        <v>46023</v>
      </c>
      <c r="O106">
        <v>8307933</v>
      </c>
      <c r="P106" t="s">
        <v>32</v>
      </c>
      <c r="Q106" t="s">
        <v>209</v>
      </c>
      <c r="R106">
        <v>8192</v>
      </c>
      <c r="S106" t="s">
        <v>351</v>
      </c>
      <c r="T106" t="s">
        <v>35</v>
      </c>
      <c r="U106">
        <v>-92.33</v>
      </c>
      <c r="V106" t="s">
        <v>36</v>
      </c>
      <c r="W106" s="1">
        <v>45658</v>
      </c>
      <c r="X106">
        <v>2025</v>
      </c>
    </row>
    <row r="107" spans="1:24" x14ac:dyDescent="0.25">
      <c r="A107" s="1">
        <v>45993</v>
      </c>
      <c r="B107" t="s">
        <v>415</v>
      </c>
      <c r="C107" t="s">
        <v>416</v>
      </c>
      <c r="E107" t="s">
        <v>417</v>
      </c>
      <c r="F107" t="s">
        <v>27</v>
      </c>
      <c r="G107" t="s">
        <v>28</v>
      </c>
      <c r="H107" t="s">
        <v>29</v>
      </c>
      <c r="I107" t="s">
        <v>44</v>
      </c>
      <c r="J107" t="s">
        <v>45</v>
      </c>
      <c r="L107" s="1">
        <v>46023</v>
      </c>
      <c r="M107" s="1">
        <v>46023</v>
      </c>
      <c r="O107">
        <v>17126004</v>
      </c>
      <c r="P107" t="s">
        <v>32</v>
      </c>
      <c r="Q107" t="s">
        <v>46</v>
      </c>
      <c r="R107">
        <v>8192</v>
      </c>
      <c r="S107" t="s">
        <v>34</v>
      </c>
      <c r="T107" t="s">
        <v>35</v>
      </c>
      <c r="U107">
        <v>135</v>
      </c>
      <c r="V107" t="s">
        <v>36</v>
      </c>
      <c r="W107" s="1">
        <v>45971</v>
      </c>
      <c r="X107">
        <v>2025</v>
      </c>
    </row>
    <row r="108" spans="1:24" x14ac:dyDescent="0.25">
      <c r="A108" s="1">
        <v>45993</v>
      </c>
      <c r="B108" t="s">
        <v>418</v>
      </c>
      <c r="C108" t="s">
        <v>419</v>
      </c>
      <c r="E108" t="s">
        <v>420</v>
      </c>
      <c r="F108" t="s">
        <v>50</v>
      </c>
      <c r="G108" t="s">
        <v>28</v>
      </c>
      <c r="H108" t="s">
        <v>29</v>
      </c>
      <c r="I108" t="s">
        <v>51</v>
      </c>
      <c r="J108" t="s">
        <v>52</v>
      </c>
      <c r="L108" s="1">
        <v>46023</v>
      </c>
      <c r="M108" s="1">
        <v>46023</v>
      </c>
      <c r="O108">
        <v>17886092</v>
      </c>
      <c r="P108" t="s">
        <v>32</v>
      </c>
      <c r="Q108" t="s">
        <v>74</v>
      </c>
      <c r="R108">
        <v>8192</v>
      </c>
      <c r="S108" t="s">
        <v>34</v>
      </c>
      <c r="T108" t="s">
        <v>35</v>
      </c>
      <c r="U108">
        <v>65</v>
      </c>
      <c r="V108" t="s">
        <v>36</v>
      </c>
      <c r="W108" s="1">
        <v>45971</v>
      </c>
      <c r="X108">
        <v>2025</v>
      </c>
    </row>
    <row r="109" spans="1:24" x14ac:dyDescent="0.25">
      <c r="A109" s="1">
        <v>45993</v>
      </c>
      <c r="B109" t="s">
        <v>421</v>
      </c>
      <c r="C109" t="s">
        <v>422</v>
      </c>
      <c r="E109" t="s">
        <v>423</v>
      </c>
      <c r="F109" t="s">
        <v>50</v>
      </c>
      <c r="G109" t="s">
        <v>28</v>
      </c>
      <c r="H109" t="s">
        <v>29</v>
      </c>
      <c r="I109" t="s">
        <v>51</v>
      </c>
      <c r="J109" t="s">
        <v>52</v>
      </c>
      <c r="L109" s="1">
        <v>46023</v>
      </c>
      <c r="M109" s="1">
        <v>46023</v>
      </c>
      <c r="O109">
        <v>17886092</v>
      </c>
      <c r="P109" t="s">
        <v>32</v>
      </c>
      <c r="Q109" t="s">
        <v>74</v>
      </c>
      <c r="R109">
        <v>8192</v>
      </c>
      <c r="S109" t="s">
        <v>34</v>
      </c>
      <c r="T109" t="s">
        <v>35</v>
      </c>
      <c r="U109">
        <v>65</v>
      </c>
      <c r="V109" t="s">
        <v>36</v>
      </c>
      <c r="W109" s="1">
        <v>45971</v>
      </c>
      <c r="X109">
        <v>2025</v>
      </c>
    </row>
    <row r="110" spans="1:24" x14ac:dyDescent="0.25">
      <c r="A110" s="1">
        <v>45993</v>
      </c>
      <c r="B110" t="s">
        <v>424</v>
      </c>
      <c r="C110" t="s">
        <v>425</v>
      </c>
      <c r="E110" t="s">
        <v>426</v>
      </c>
      <c r="F110" t="s">
        <v>27</v>
      </c>
      <c r="G110" t="s">
        <v>28</v>
      </c>
      <c r="H110" t="s">
        <v>29</v>
      </c>
      <c r="I110" t="s">
        <v>44</v>
      </c>
      <c r="J110" t="s">
        <v>201</v>
      </c>
      <c r="L110" s="1">
        <v>46023</v>
      </c>
      <c r="M110" s="1">
        <v>46023</v>
      </c>
      <c r="O110">
        <v>2158366</v>
      </c>
      <c r="P110" t="s">
        <v>32</v>
      </c>
      <c r="Q110" t="s">
        <v>427</v>
      </c>
      <c r="R110">
        <v>8192</v>
      </c>
      <c r="S110" t="s">
        <v>34</v>
      </c>
      <c r="T110" t="s">
        <v>35</v>
      </c>
      <c r="U110">
        <v>135</v>
      </c>
      <c r="V110" t="s">
        <v>36</v>
      </c>
      <c r="W110" s="1">
        <v>45979</v>
      </c>
      <c r="X110">
        <v>2025</v>
      </c>
    </row>
    <row r="111" spans="1:24" x14ac:dyDescent="0.25">
      <c r="A111" s="1">
        <v>45993</v>
      </c>
      <c r="B111" t="s">
        <v>428</v>
      </c>
      <c r="C111" t="s">
        <v>429</v>
      </c>
      <c r="E111" t="s">
        <v>430</v>
      </c>
      <c r="F111" t="s">
        <v>27</v>
      </c>
      <c r="G111" t="s">
        <v>28</v>
      </c>
      <c r="H111" t="s">
        <v>29</v>
      </c>
      <c r="I111" t="s">
        <v>44</v>
      </c>
      <c r="J111" t="s">
        <v>201</v>
      </c>
      <c r="L111" s="1">
        <v>46023</v>
      </c>
      <c r="M111" s="1">
        <v>46023</v>
      </c>
      <c r="O111">
        <v>2158366</v>
      </c>
      <c r="P111" t="s">
        <v>32</v>
      </c>
      <c r="Q111" t="s">
        <v>427</v>
      </c>
      <c r="R111">
        <v>8192</v>
      </c>
      <c r="S111" t="s">
        <v>34</v>
      </c>
      <c r="T111" t="s">
        <v>35</v>
      </c>
      <c r="U111">
        <v>135</v>
      </c>
      <c r="V111" t="s">
        <v>36</v>
      </c>
      <c r="W111" s="1">
        <v>45979</v>
      </c>
      <c r="X111">
        <v>2025</v>
      </c>
    </row>
    <row r="112" spans="1:24" x14ac:dyDescent="0.25">
      <c r="A112" s="1">
        <v>45993</v>
      </c>
      <c r="B112" t="s">
        <v>431</v>
      </c>
      <c r="C112" t="s">
        <v>432</v>
      </c>
      <c r="E112" t="s">
        <v>433</v>
      </c>
      <c r="F112" t="s">
        <v>27</v>
      </c>
      <c r="G112" t="s">
        <v>28</v>
      </c>
      <c r="H112" t="s">
        <v>29</v>
      </c>
      <c r="I112" t="s">
        <v>44</v>
      </c>
      <c r="J112" t="s">
        <v>273</v>
      </c>
      <c r="L112" s="1">
        <v>46023</v>
      </c>
      <c r="M112" s="1">
        <v>46023</v>
      </c>
      <c r="O112">
        <v>8325282</v>
      </c>
      <c r="P112" t="s">
        <v>32</v>
      </c>
      <c r="Q112" t="s">
        <v>266</v>
      </c>
      <c r="R112">
        <v>8192</v>
      </c>
      <c r="S112" t="s">
        <v>34</v>
      </c>
      <c r="T112" t="s">
        <v>35</v>
      </c>
      <c r="U112">
        <v>135</v>
      </c>
      <c r="V112" t="s">
        <v>36</v>
      </c>
      <c r="W112" s="1">
        <v>45973</v>
      </c>
      <c r="X112">
        <v>2025</v>
      </c>
    </row>
    <row r="113" spans="1:24" x14ac:dyDescent="0.25">
      <c r="A113" s="1">
        <v>45993</v>
      </c>
      <c r="B113" t="s">
        <v>434</v>
      </c>
      <c r="C113" t="s">
        <v>435</v>
      </c>
      <c r="E113" t="s">
        <v>436</v>
      </c>
      <c r="F113" t="s">
        <v>27</v>
      </c>
      <c r="G113" t="s">
        <v>28</v>
      </c>
      <c r="H113" t="s">
        <v>29</v>
      </c>
      <c r="I113" t="s">
        <v>44</v>
      </c>
      <c r="J113" t="s">
        <v>273</v>
      </c>
      <c r="L113" s="1">
        <v>45992</v>
      </c>
      <c r="M113" s="1">
        <v>45992</v>
      </c>
      <c r="O113">
        <v>8325282</v>
      </c>
      <c r="P113" t="s">
        <v>32</v>
      </c>
      <c r="Q113" t="s">
        <v>266</v>
      </c>
      <c r="R113">
        <v>8192</v>
      </c>
      <c r="S113" t="s">
        <v>34</v>
      </c>
      <c r="T113" t="s">
        <v>35</v>
      </c>
      <c r="U113">
        <v>37.33</v>
      </c>
      <c r="V113" t="s">
        <v>36</v>
      </c>
      <c r="W113" s="1">
        <v>45973</v>
      </c>
      <c r="X113">
        <v>2025</v>
      </c>
    </row>
    <row r="114" spans="1:24" x14ac:dyDescent="0.25">
      <c r="A114" s="1">
        <v>45993</v>
      </c>
      <c r="B114" t="s">
        <v>437</v>
      </c>
      <c r="C114" t="s">
        <v>438</v>
      </c>
      <c r="E114" t="s">
        <v>439</v>
      </c>
      <c r="F114" t="s">
        <v>27</v>
      </c>
      <c r="G114" t="s">
        <v>28</v>
      </c>
      <c r="H114" t="s">
        <v>29</v>
      </c>
      <c r="I114" t="s">
        <v>30</v>
      </c>
      <c r="J114" t="s">
        <v>138</v>
      </c>
      <c r="L114" s="1">
        <v>46023</v>
      </c>
      <c r="M114" s="1">
        <v>46023</v>
      </c>
      <c r="O114">
        <v>9213293</v>
      </c>
      <c r="P114" t="s">
        <v>32</v>
      </c>
      <c r="Q114" t="s">
        <v>202</v>
      </c>
      <c r="R114">
        <v>8192</v>
      </c>
      <c r="S114" t="s">
        <v>34</v>
      </c>
      <c r="T114" t="s">
        <v>35</v>
      </c>
      <c r="U114">
        <v>135</v>
      </c>
      <c r="V114" t="s">
        <v>36</v>
      </c>
      <c r="W114" s="1">
        <v>45978</v>
      </c>
      <c r="X114">
        <v>2025</v>
      </c>
    </row>
    <row r="115" spans="1:24" x14ac:dyDescent="0.25">
      <c r="A115" s="1">
        <v>45993</v>
      </c>
      <c r="B115" t="s">
        <v>440</v>
      </c>
      <c r="C115" t="s">
        <v>441</v>
      </c>
      <c r="E115" t="s">
        <v>442</v>
      </c>
      <c r="F115" t="s">
        <v>27</v>
      </c>
      <c r="G115" t="s">
        <v>28</v>
      </c>
      <c r="H115" t="s">
        <v>29</v>
      </c>
      <c r="I115" t="s">
        <v>44</v>
      </c>
      <c r="J115" t="s">
        <v>79</v>
      </c>
      <c r="L115" s="1">
        <v>46023</v>
      </c>
      <c r="M115" s="1">
        <v>46023</v>
      </c>
      <c r="O115">
        <v>8405446</v>
      </c>
      <c r="P115" t="s">
        <v>32</v>
      </c>
      <c r="Q115" t="s">
        <v>323</v>
      </c>
      <c r="R115">
        <v>8192</v>
      </c>
      <c r="S115" t="s">
        <v>34</v>
      </c>
      <c r="T115" t="s">
        <v>35</v>
      </c>
      <c r="U115">
        <v>135</v>
      </c>
      <c r="V115" t="s">
        <v>36</v>
      </c>
      <c r="W115" s="1">
        <v>45970</v>
      </c>
      <c r="X115">
        <v>2025</v>
      </c>
    </row>
    <row r="116" spans="1:24" x14ac:dyDescent="0.25">
      <c r="A116" s="1">
        <v>45993</v>
      </c>
      <c r="B116" t="s">
        <v>443</v>
      </c>
      <c r="C116" t="s">
        <v>444</v>
      </c>
      <c r="E116" t="s">
        <v>445</v>
      </c>
      <c r="F116" t="s">
        <v>93</v>
      </c>
      <c r="G116" t="s">
        <v>28</v>
      </c>
      <c r="H116" t="s">
        <v>29</v>
      </c>
      <c r="I116" t="s">
        <v>94</v>
      </c>
      <c r="J116" t="s">
        <v>446</v>
      </c>
      <c r="L116" s="1">
        <v>46023</v>
      </c>
      <c r="M116" s="1">
        <v>46023</v>
      </c>
      <c r="O116">
        <v>19491313</v>
      </c>
      <c r="P116" t="s">
        <v>32</v>
      </c>
      <c r="Q116" t="s">
        <v>96</v>
      </c>
      <c r="R116">
        <v>8192</v>
      </c>
      <c r="S116" t="s">
        <v>34</v>
      </c>
      <c r="T116" t="s">
        <v>35</v>
      </c>
      <c r="U116">
        <v>135</v>
      </c>
      <c r="V116" t="s">
        <v>36</v>
      </c>
      <c r="W116" s="1">
        <v>45975</v>
      </c>
      <c r="X116">
        <v>2025</v>
      </c>
    </row>
    <row r="117" spans="1:24" x14ac:dyDescent="0.25">
      <c r="A117" s="1">
        <v>45993</v>
      </c>
      <c r="B117" t="s">
        <v>447</v>
      </c>
      <c r="C117" t="s">
        <v>448</v>
      </c>
      <c r="E117" t="s">
        <v>449</v>
      </c>
      <c r="F117" t="s">
        <v>50</v>
      </c>
      <c r="G117" t="s">
        <v>28</v>
      </c>
      <c r="H117" t="s">
        <v>314</v>
      </c>
      <c r="I117" t="s">
        <v>51</v>
      </c>
      <c r="J117" t="s">
        <v>450</v>
      </c>
      <c r="L117" s="1">
        <v>46023</v>
      </c>
      <c r="M117" s="1">
        <v>46023</v>
      </c>
      <c r="O117">
        <v>17528908</v>
      </c>
      <c r="P117" t="s">
        <v>32</v>
      </c>
      <c r="Q117" t="s">
        <v>53</v>
      </c>
      <c r="R117">
        <v>8192</v>
      </c>
      <c r="S117" t="s">
        <v>34</v>
      </c>
      <c r="T117" t="s">
        <v>35</v>
      </c>
      <c r="U117">
        <v>135</v>
      </c>
      <c r="V117" t="s">
        <v>36</v>
      </c>
      <c r="W117" s="1">
        <v>45978</v>
      </c>
      <c r="X117">
        <v>2025</v>
      </c>
    </row>
    <row r="118" spans="1:24" x14ac:dyDescent="0.25">
      <c r="A118" s="1">
        <v>45993</v>
      </c>
      <c r="B118" t="s">
        <v>451</v>
      </c>
      <c r="C118" t="s">
        <v>452</v>
      </c>
      <c r="E118" t="s">
        <v>453</v>
      </c>
      <c r="F118" t="s">
        <v>27</v>
      </c>
      <c r="G118" t="s">
        <v>28</v>
      </c>
      <c r="H118" t="s">
        <v>29</v>
      </c>
      <c r="I118" t="s">
        <v>30</v>
      </c>
      <c r="J118" t="s">
        <v>31</v>
      </c>
      <c r="L118" s="1">
        <v>46023</v>
      </c>
      <c r="M118" s="1">
        <v>46023</v>
      </c>
      <c r="O118">
        <v>8244481</v>
      </c>
      <c r="P118" t="s">
        <v>32</v>
      </c>
      <c r="Q118" t="s">
        <v>33</v>
      </c>
      <c r="R118">
        <v>8192</v>
      </c>
      <c r="S118" t="s">
        <v>34</v>
      </c>
      <c r="T118" t="s">
        <v>35</v>
      </c>
      <c r="U118">
        <v>135</v>
      </c>
      <c r="V118" t="s">
        <v>36</v>
      </c>
      <c r="W118" s="1">
        <v>45973</v>
      </c>
      <c r="X118">
        <v>2025</v>
      </c>
    </row>
    <row r="119" spans="1:24" x14ac:dyDescent="0.25">
      <c r="A119" s="1">
        <v>45993</v>
      </c>
      <c r="B119" t="s">
        <v>454</v>
      </c>
      <c r="C119" t="s">
        <v>455</v>
      </c>
      <c r="E119" t="s">
        <v>456</v>
      </c>
      <c r="F119" t="s">
        <v>27</v>
      </c>
      <c r="G119" t="s">
        <v>28</v>
      </c>
      <c r="H119" t="s">
        <v>29</v>
      </c>
      <c r="I119" t="s">
        <v>30</v>
      </c>
      <c r="J119" t="s">
        <v>174</v>
      </c>
      <c r="L119" s="1">
        <v>46023</v>
      </c>
      <c r="M119" s="1">
        <v>46023</v>
      </c>
      <c r="O119">
        <v>8244481</v>
      </c>
      <c r="P119" t="s">
        <v>32</v>
      </c>
      <c r="Q119" t="s">
        <v>33</v>
      </c>
      <c r="R119">
        <v>8192</v>
      </c>
      <c r="S119" t="s">
        <v>34</v>
      </c>
      <c r="T119" t="s">
        <v>35</v>
      </c>
      <c r="U119">
        <v>135</v>
      </c>
      <c r="V119" t="s">
        <v>36</v>
      </c>
      <c r="W119" s="1">
        <v>45973</v>
      </c>
      <c r="X119">
        <v>2025</v>
      </c>
    </row>
    <row r="120" spans="1:24" x14ac:dyDescent="0.25">
      <c r="A120" s="1">
        <v>45993</v>
      </c>
      <c r="B120" t="s">
        <v>457</v>
      </c>
      <c r="C120" t="s">
        <v>458</v>
      </c>
      <c r="E120" t="s">
        <v>459</v>
      </c>
      <c r="F120" t="s">
        <v>460</v>
      </c>
      <c r="G120" t="s">
        <v>28</v>
      </c>
      <c r="H120" t="s">
        <v>29</v>
      </c>
      <c r="I120" t="s">
        <v>461</v>
      </c>
      <c r="J120" t="s">
        <v>462</v>
      </c>
      <c r="L120" s="1">
        <v>46023</v>
      </c>
      <c r="M120" s="1">
        <v>46023</v>
      </c>
      <c r="O120">
        <v>16865615</v>
      </c>
      <c r="P120" t="s">
        <v>32</v>
      </c>
      <c r="Q120" t="s">
        <v>463</v>
      </c>
      <c r="R120">
        <v>8192</v>
      </c>
      <c r="S120" t="s">
        <v>34</v>
      </c>
      <c r="T120" t="s">
        <v>35</v>
      </c>
      <c r="U120">
        <v>135</v>
      </c>
      <c r="V120" t="s">
        <v>36</v>
      </c>
      <c r="W120" s="1">
        <v>45969</v>
      </c>
      <c r="X120">
        <v>2025</v>
      </c>
    </row>
    <row r="121" spans="1:24" x14ac:dyDescent="0.25">
      <c r="A121" s="1">
        <v>45993</v>
      </c>
      <c r="B121" t="s">
        <v>464</v>
      </c>
      <c r="C121" t="s">
        <v>465</v>
      </c>
      <c r="E121" t="s">
        <v>466</v>
      </c>
      <c r="F121" t="s">
        <v>152</v>
      </c>
      <c r="G121" t="s">
        <v>28</v>
      </c>
      <c r="H121" t="s">
        <v>29</v>
      </c>
      <c r="I121" t="s">
        <v>153</v>
      </c>
      <c r="J121" t="s">
        <v>467</v>
      </c>
      <c r="L121" s="1">
        <v>46023</v>
      </c>
      <c r="M121" s="1">
        <v>46023</v>
      </c>
      <c r="O121">
        <v>17425766</v>
      </c>
      <c r="P121" t="s">
        <v>32</v>
      </c>
      <c r="Q121" t="s">
        <v>468</v>
      </c>
      <c r="R121">
        <v>8192</v>
      </c>
      <c r="S121" t="s">
        <v>34</v>
      </c>
      <c r="T121" t="s">
        <v>35</v>
      </c>
      <c r="U121">
        <v>135</v>
      </c>
      <c r="V121" t="s">
        <v>36</v>
      </c>
      <c r="W121" s="1">
        <v>45971</v>
      </c>
      <c r="X121">
        <v>2025</v>
      </c>
    </row>
    <row r="122" spans="1:24" x14ac:dyDescent="0.25">
      <c r="A122" s="1">
        <v>45993</v>
      </c>
      <c r="B122" t="s">
        <v>469</v>
      </c>
      <c r="C122" t="s">
        <v>470</v>
      </c>
      <c r="E122" t="s">
        <v>471</v>
      </c>
      <c r="F122" t="s">
        <v>50</v>
      </c>
      <c r="G122" t="s">
        <v>28</v>
      </c>
      <c r="H122" t="s">
        <v>29</v>
      </c>
      <c r="I122" t="s">
        <v>51</v>
      </c>
      <c r="J122" t="s">
        <v>104</v>
      </c>
      <c r="L122" s="1">
        <v>46023</v>
      </c>
      <c r="M122" s="1">
        <v>46023</v>
      </c>
      <c r="O122">
        <v>19606009</v>
      </c>
      <c r="P122" t="s">
        <v>32</v>
      </c>
      <c r="Q122" t="s">
        <v>472</v>
      </c>
      <c r="R122">
        <v>8192</v>
      </c>
      <c r="S122" t="s">
        <v>34</v>
      </c>
      <c r="T122" t="s">
        <v>35</v>
      </c>
      <c r="U122">
        <v>65</v>
      </c>
      <c r="V122" t="s">
        <v>36</v>
      </c>
      <c r="W122" s="1">
        <v>45972</v>
      </c>
      <c r="X122">
        <v>2025</v>
      </c>
    </row>
    <row r="123" spans="1:24" x14ac:dyDescent="0.25">
      <c r="A123" s="1">
        <v>45993</v>
      </c>
      <c r="B123" t="s">
        <v>473</v>
      </c>
      <c r="C123" t="s">
        <v>474</v>
      </c>
      <c r="E123" t="s">
        <v>475</v>
      </c>
      <c r="F123" t="s">
        <v>50</v>
      </c>
      <c r="G123" t="s">
        <v>28</v>
      </c>
      <c r="H123" t="s">
        <v>29</v>
      </c>
      <c r="I123" t="s">
        <v>51</v>
      </c>
      <c r="J123" t="s">
        <v>476</v>
      </c>
      <c r="L123" s="1">
        <v>46023</v>
      </c>
      <c r="M123" s="1">
        <v>46023</v>
      </c>
      <c r="O123">
        <v>20253958</v>
      </c>
      <c r="P123" t="s">
        <v>32</v>
      </c>
      <c r="Q123" t="s">
        <v>341</v>
      </c>
      <c r="R123">
        <v>8192</v>
      </c>
      <c r="S123" t="s">
        <v>34</v>
      </c>
      <c r="T123" t="s">
        <v>35</v>
      </c>
      <c r="U123">
        <v>65</v>
      </c>
      <c r="V123" t="s">
        <v>36</v>
      </c>
      <c r="W123" s="1">
        <v>45966</v>
      </c>
      <c r="X123">
        <v>2025</v>
      </c>
    </row>
    <row r="124" spans="1:24" x14ac:dyDescent="0.25">
      <c r="A124" s="1">
        <v>45993</v>
      </c>
      <c r="B124" t="s">
        <v>477</v>
      </c>
      <c r="C124" t="s">
        <v>478</v>
      </c>
      <c r="E124" t="s">
        <v>479</v>
      </c>
      <c r="F124" t="s">
        <v>50</v>
      </c>
      <c r="G124" t="s">
        <v>28</v>
      </c>
      <c r="H124" t="s">
        <v>29</v>
      </c>
      <c r="I124" t="s">
        <v>51</v>
      </c>
      <c r="J124" t="s">
        <v>476</v>
      </c>
      <c r="L124" s="1">
        <v>46023</v>
      </c>
      <c r="M124" s="1">
        <v>46023</v>
      </c>
      <c r="O124">
        <v>17886092</v>
      </c>
      <c r="P124" t="s">
        <v>32</v>
      </c>
      <c r="Q124" t="s">
        <v>74</v>
      </c>
      <c r="R124">
        <v>8192</v>
      </c>
      <c r="S124" t="s">
        <v>34</v>
      </c>
      <c r="T124" t="s">
        <v>35</v>
      </c>
      <c r="U124">
        <v>65</v>
      </c>
      <c r="V124" t="s">
        <v>36</v>
      </c>
      <c r="W124" s="1">
        <v>45968</v>
      </c>
      <c r="X124">
        <v>2025</v>
      </c>
    </row>
    <row r="125" spans="1:24" x14ac:dyDescent="0.25">
      <c r="A125" s="1">
        <v>45993</v>
      </c>
      <c r="B125" t="s">
        <v>480</v>
      </c>
      <c r="C125" t="s">
        <v>481</v>
      </c>
      <c r="E125" t="s">
        <v>482</v>
      </c>
      <c r="F125" t="s">
        <v>27</v>
      </c>
      <c r="G125" t="s">
        <v>28</v>
      </c>
      <c r="H125" t="s">
        <v>29</v>
      </c>
      <c r="I125" t="s">
        <v>30</v>
      </c>
      <c r="J125" t="s">
        <v>138</v>
      </c>
      <c r="L125" s="1">
        <v>46023</v>
      </c>
      <c r="M125" s="1">
        <v>46023</v>
      </c>
      <c r="O125">
        <v>19268643</v>
      </c>
      <c r="P125" t="s">
        <v>32</v>
      </c>
      <c r="Q125" t="s">
        <v>213</v>
      </c>
      <c r="R125">
        <v>8192</v>
      </c>
      <c r="S125" t="s">
        <v>34</v>
      </c>
      <c r="T125" t="s">
        <v>35</v>
      </c>
      <c r="U125">
        <v>135</v>
      </c>
      <c r="V125" t="s">
        <v>36</v>
      </c>
      <c r="W125" s="1">
        <v>45968</v>
      </c>
      <c r="X125">
        <v>2025</v>
      </c>
    </row>
    <row r="126" spans="1:24" x14ac:dyDescent="0.25">
      <c r="A126" s="1">
        <v>45993</v>
      </c>
      <c r="B126" t="s">
        <v>483</v>
      </c>
      <c r="C126" t="s">
        <v>484</v>
      </c>
      <c r="E126" t="s">
        <v>485</v>
      </c>
      <c r="F126" t="s">
        <v>93</v>
      </c>
      <c r="G126" t="s">
        <v>28</v>
      </c>
      <c r="H126" t="s">
        <v>29</v>
      </c>
      <c r="I126" t="s">
        <v>94</v>
      </c>
      <c r="J126" t="s">
        <v>486</v>
      </c>
      <c r="L126" s="1">
        <v>46023</v>
      </c>
      <c r="M126" s="1">
        <v>46023</v>
      </c>
      <c r="O126">
        <v>19491313</v>
      </c>
      <c r="P126" t="s">
        <v>32</v>
      </c>
      <c r="Q126" t="s">
        <v>96</v>
      </c>
      <c r="R126">
        <v>8192</v>
      </c>
      <c r="S126" t="s">
        <v>34</v>
      </c>
      <c r="T126" t="s">
        <v>35</v>
      </c>
      <c r="U126">
        <v>135</v>
      </c>
      <c r="V126" t="s">
        <v>36</v>
      </c>
      <c r="W126" s="1">
        <v>45974</v>
      </c>
      <c r="X126">
        <v>2025</v>
      </c>
    </row>
    <row r="127" spans="1:24" x14ac:dyDescent="0.25">
      <c r="A127" s="1">
        <v>45993</v>
      </c>
      <c r="B127" t="s">
        <v>487</v>
      </c>
      <c r="C127" t="s">
        <v>488</v>
      </c>
      <c r="E127" t="s">
        <v>489</v>
      </c>
      <c r="F127" t="s">
        <v>27</v>
      </c>
      <c r="G127" t="s">
        <v>28</v>
      </c>
      <c r="H127" t="s">
        <v>29</v>
      </c>
      <c r="I127" t="s">
        <v>30</v>
      </c>
      <c r="J127" t="s">
        <v>138</v>
      </c>
      <c r="L127" s="1">
        <v>46023</v>
      </c>
      <c r="M127" s="1">
        <v>46023</v>
      </c>
      <c r="O127">
        <v>8244481</v>
      </c>
      <c r="P127" t="s">
        <v>32</v>
      </c>
      <c r="Q127" t="s">
        <v>33</v>
      </c>
      <c r="R127">
        <v>8192</v>
      </c>
      <c r="S127" t="s">
        <v>34</v>
      </c>
      <c r="T127" t="s">
        <v>35</v>
      </c>
      <c r="U127">
        <v>135</v>
      </c>
      <c r="V127" t="s">
        <v>36</v>
      </c>
      <c r="W127" s="1">
        <v>45975</v>
      </c>
      <c r="X127">
        <v>2025</v>
      </c>
    </row>
    <row r="128" spans="1:24" x14ac:dyDescent="0.25">
      <c r="A128" s="1">
        <v>45993</v>
      </c>
      <c r="B128" t="s">
        <v>490</v>
      </c>
      <c r="C128" t="s">
        <v>491</v>
      </c>
      <c r="E128" t="s">
        <v>492</v>
      </c>
      <c r="F128" t="s">
        <v>493</v>
      </c>
      <c r="G128" t="s">
        <v>28</v>
      </c>
      <c r="H128" t="s">
        <v>29</v>
      </c>
      <c r="I128" t="s">
        <v>494</v>
      </c>
      <c r="J128" t="s">
        <v>495</v>
      </c>
      <c r="L128" s="1">
        <v>46023</v>
      </c>
      <c r="M128" s="1">
        <v>46023</v>
      </c>
      <c r="O128">
        <v>21435997</v>
      </c>
      <c r="P128" t="s">
        <v>32</v>
      </c>
      <c r="Q128" t="s">
        <v>131</v>
      </c>
      <c r="R128">
        <v>8192</v>
      </c>
      <c r="S128" t="s">
        <v>34</v>
      </c>
      <c r="T128" t="s">
        <v>35</v>
      </c>
      <c r="U128">
        <v>150</v>
      </c>
      <c r="V128" t="s">
        <v>36</v>
      </c>
      <c r="W128" s="1">
        <v>45969</v>
      </c>
      <c r="X128">
        <v>2025</v>
      </c>
    </row>
    <row r="129" spans="1:24" x14ac:dyDescent="0.25">
      <c r="A129" s="1">
        <v>45993</v>
      </c>
      <c r="B129" t="s">
        <v>496</v>
      </c>
      <c r="C129" t="s">
        <v>497</v>
      </c>
      <c r="E129" t="s">
        <v>498</v>
      </c>
      <c r="F129" t="s">
        <v>27</v>
      </c>
      <c r="G129" t="s">
        <v>28</v>
      </c>
      <c r="H129" t="s">
        <v>29</v>
      </c>
      <c r="I129" t="s">
        <v>30</v>
      </c>
      <c r="J129" t="s">
        <v>138</v>
      </c>
      <c r="L129" s="1">
        <v>46023</v>
      </c>
      <c r="M129" s="1">
        <v>46023</v>
      </c>
      <c r="O129">
        <v>7146581</v>
      </c>
      <c r="P129" t="s">
        <v>32</v>
      </c>
      <c r="Q129" t="s">
        <v>80</v>
      </c>
      <c r="R129">
        <v>8192</v>
      </c>
      <c r="S129" t="s">
        <v>34</v>
      </c>
      <c r="T129" t="s">
        <v>35</v>
      </c>
      <c r="U129">
        <v>150</v>
      </c>
      <c r="V129" t="s">
        <v>36</v>
      </c>
      <c r="W129" s="1">
        <v>45978</v>
      </c>
      <c r="X129">
        <v>2025</v>
      </c>
    </row>
    <row r="130" spans="1:24" x14ac:dyDescent="0.25">
      <c r="A130" s="1">
        <v>45993</v>
      </c>
      <c r="B130" t="s">
        <v>499</v>
      </c>
      <c r="C130" t="s">
        <v>500</v>
      </c>
      <c r="E130" t="s">
        <v>501</v>
      </c>
      <c r="F130" t="s">
        <v>50</v>
      </c>
      <c r="G130" t="s">
        <v>28</v>
      </c>
      <c r="H130" t="s">
        <v>29</v>
      </c>
      <c r="I130" t="s">
        <v>51</v>
      </c>
      <c r="J130" t="s">
        <v>502</v>
      </c>
      <c r="L130" s="1">
        <v>45992</v>
      </c>
      <c r="M130" s="1">
        <v>45992</v>
      </c>
      <c r="O130">
        <v>17528908</v>
      </c>
      <c r="P130" t="s">
        <v>32</v>
      </c>
      <c r="Q130" t="s">
        <v>53</v>
      </c>
      <c r="R130">
        <v>8192</v>
      </c>
      <c r="S130" t="s">
        <v>34</v>
      </c>
      <c r="T130" t="s">
        <v>35</v>
      </c>
      <c r="U130">
        <v>40.67</v>
      </c>
      <c r="V130" t="s">
        <v>36</v>
      </c>
      <c r="W130" s="1">
        <v>45971</v>
      </c>
      <c r="X130">
        <v>2025</v>
      </c>
    </row>
    <row r="131" spans="1:24" x14ac:dyDescent="0.25">
      <c r="A131" s="1">
        <v>45993</v>
      </c>
      <c r="B131" t="s">
        <v>503</v>
      </c>
      <c r="C131" t="s">
        <v>504</v>
      </c>
      <c r="E131" t="s">
        <v>505</v>
      </c>
      <c r="F131" t="s">
        <v>50</v>
      </c>
      <c r="G131" t="s">
        <v>28</v>
      </c>
      <c r="H131" t="s">
        <v>314</v>
      </c>
      <c r="I131" t="s">
        <v>51</v>
      </c>
      <c r="J131" t="s">
        <v>450</v>
      </c>
      <c r="L131" s="1">
        <v>46023</v>
      </c>
      <c r="M131" s="1">
        <v>46023</v>
      </c>
      <c r="O131">
        <v>17886092</v>
      </c>
      <c r="P131" t="s">
        <v>32</v>
      </c>
      <c r="Q131" t="s">
        <v>74</v>
      </c>
      <c r="R131">
        <v>8192</v>
      </c>
      <c r="S131" t="s">
        <v>34</v>
      </c>
      <c r="T131" t="s">
        <v>35</v>
      </c>
      <c r="U131">
        <v>65</v>
      </c>
      <c r="V131" t="s">
        <v>36</v>
      </c>
      <c r="W131" s="1">
        <v>45974</v>
      </c>
      <c r="X131">
        <v>2025</v>
      </c>
    </row>
    <row r="132" spans="1:24" x14ac:dyDescent="0.25">
      <c r="A132" s="1">
        <v>45993</v>
      </c>
      <c r="B132" t="s">
        <v>506</v>
      </c>
      <c r="C132" t="s">
        <v>507</v>
      </c>
      <c r="E132" t="s">
        <v>508</v>
      </c>
      <c r="F132" t="s">
        <v>27</v>
      </c>
      <c r="G132" t="s">
        <v>28</v>
      </c>
      <c r="H132" t="s">
        <v>29</v>
      </c>
      <c r="I132" t="s">
        <v>30</v>
      </c>
      <c r="J132" t="s">
        <v>185</v>
      </c>
      <c r="L132" s="1">
        <v>46023</v>
      </c>
      <c r="M132" s="1">
        <v>46023</v>
      </c>
      <c r="O132">
        <v>18828278</v>
      </c>
      <c r="P132" t="s">
        <v>32</v>
      </c>
      <c r="Q132" t="s">
        <v>142</v>
      </c>
      <c r="R132">
        <v>8192</v>
      </c>
      <c r="S132" t="s">
        <v>34</v>
      </c>
      <c r="T132" t="s">
        <v>35</v>
      </c>
      <c r="U132">
        <v>135</v>
      </c>
      <c r="V132" t="s">
        <v>36</v>
      </c>
      <c r="W132" s="1">
        <v>45979</v>
      </c>
      <c r="X132">
        <v>2025</v>
      </c>
    </row>
    <row r="133" spans="1:24" x14ac:dyDescent="0.25">
      <c r="A133" s="1">
        <v>45993</v>
      </c>
      <c r="B133" t="s">
        <v>509</v>
      </c>
      <c r="C133" t="s">
        <v>510</v>
      </c>
      <c r="E133" t="s">
        <v>511</v>
      </c>
      <c r="F133" t="s">
        <v>27</v>
      </c>
      <c r="G133" t="s">
        <v>28</v>
      </c>
      <c r="H133" t="s">
        <v>29</v>
      </c>
      <c r="I133" t="s">
        <v>30</v>
      </c>
      <c r="J133" t="s">
        <v>138</v>
      </c>
      <c r="L133" s="1">
        <v>46023</v>
      </c>
      <c r="M133" s="1">
        <v>46023</v>
      </c>
      <c r="O133">
        <v>19268643</v>
      </c>
      <c r="P133" t="s">
        <v>32</v>
      </c>
      <c r="Q133" t="s">
        <v>213</v>
      </c>
      <c r="R133">
        <v>8192</v>
      </c>
      <c r="S133" t="s">
        <v>34</v>
      </c>
      <c r="T133" t="s">
        <v>35</v>
      </c>
      <c r="U133">
        <v>135</v>
      </c>
      <c r="V133" t="s">
        <v>36</v>
      </c>
      <c r="W133" s="1">
        <v>45973</v>
      </c>
      <c r="X133">
        <v>2025</v>
      </c>
    </row>
    <row r="134" spans="1:24" x14ac:dyDescent="0.25">
      <c r="A134" s="1">
        <v>45993</v>
      </c>
      <c r="B134" t="s">
        <v>512</v>
      </c>
      <c r="C134" t="s">
        <v>513</v>
      </c>
      <c r="E134" t="s">
        <v>514</v>
      </c>
      <c r="F134" t="s">
        <v>27</v>
      </c>
      <c r="G134" t="s">
        <v>28</v>
      </c>
      <c r="H134" t="s">
        <v>29</v>
      </c>
      <c r="I134" t="s">
        <v>30</v>
      </c>
      <c r="J134" t="s">
        <v>138</v>
      </c>
      <c r="L134" s="1">
        <v>46023</v>
      </c>
      <c r="M134" s="1">
        <v>46023</v>
      </c>
      <c r="O134">
        <v>18828278</v>
      </c>
      <c r="P134" t="s">
        <v>32</v>
      </c>
      <c r="Q134" t="s">
        <v>142</v>
      </c>
      <c r="R134">
        <v>8192</v>
      </c>
      <c r="S134" t="s">
        <v>34</v>
      </c>
      <c r="T134" t="s">
        <v>35</v>
      </c>
      <c r="U134">
        <v>135</v>
      </c>
      <c r="V134" t="s">
        <v>36</v>
      </c>
      <c r="W134" s="1">
        <v>45979</v>
      </c>
      <c r="X134">
        <v>2025</v>
      </c>
    </row>
    <row r="135" spans="1:24" x14ac:dyDescent="0.25">
      <c r="A135" s="1">
        <v>45993</v>
      </c>
      <c r="B135" t="s">
        <v>515</v>
      </c>
      <c r="C135" t="s">
        <v>516</v>
      </c>
      <c r="E135" t="s">
        <v>517</v>
      </c>
      <c r="F135" t="s">
        <v>518</v>
      </c>
      <c r="G135" t="s">
        <v>28</v>
      </c>
      <c r="H135" t="s">
        <v>29</v>
      </c>
      <c r="I135" t="s">
        <v>30</v>
      </c>
      <c r="J135" t="s">
        <v>519</v>
      </c>
      <c r="L135" s="1">
        <v>46023</v>
      </c>
      <c r="M135" s="1">
        <v>46023</v>
      </c>
      <c r="O135">
        <v>8307933</v>
      </c>
      <c r="P135" t="s">
        <v>32</v>
      </c>
      <c r="Q135" t="s">
        <v>209</v>
      </c>
      <c r="R135">
        <v>8192</v>
      </c>
      <c r="S135" t="s">
        <v>34</v>
      </c>
      <c r="T135" t="s">
        <v>35</v>
      </c>
      <c r="U135">
        <v>150</v>
      </c>
      <c r="V135" t="s">
        <v>36</v>
      </c>
      <c r="W135" s="1">
        <v>45973</v>
      </c>
      <c r="X135">
        <v>2025</v>
      </c>
    </row>
    <row r="136" spans="1:24" x14ac:dyDescent="0.25">
      <c r="A136" s="1">
        <v>45993</v>
      </c>
      <c r="B136" t="s">
        <v>520</v>
      </c>
      <c r="C136" t="s">
        <v>521</v>
      </c>
      <c r="E136" t="s">
        <v>522</v>
      </c>
      <c r="F136" t="s">
        <v>27</v>
      </c>
      <c r="G136" t="s">
        <v>28</v>
      </c>
      <c r="H136" t="s">
        <v>29</v>
      </c>
      <c r="I136" t="s">
        <v>44</v>
      </c>
      <c r="J136" t="s">
        <v>45</v>
      </c>
      <c r="L136" s="1">
        <v>46023</v>
      </c>
      <c r="M136" s="1">
        <v>46023</v>
      </c>
      <c r="O136">
        <v>8814784</v>
      </c>
      <c r="P136" t="s">
        <v>32</v>
      </c>
      <c r="Q136" t="s">
        <v>155</v>
      </c>
      <c r="R136">
        <v>8192</v>
      </c>
      <c r="S136" t="s">
        <v>34</v>
      </c>
      <c r="T136" t="s">
        <v>35</v>
      </c>
      <c r="U136">
        <v>135</v>
      </c>
      <c r="V136" t="s">
        <v>36</v>
      </c>
      <c r="W136" s="1">
        <v>45975</v>
      </c>
      <c r="X136">
        <v>2025</v>
      </c>
    </row>
    <row r="137" spans="1:24" x14ac:dyDescent="0.25">
      <c r="A137" s="1">
        <v>45993</v>
      </c>
      <c r="B137" t="s">
        <v>523</v>
      </c>
      <c r="C137" t="s">
        <v>524</v>
      </c>
      <c r="E137" t="s">
        <v>525</v>
      </c>
      <c r="F137" t="s">
        <v>27</v>
      </c>
      <c r="G137" t="s">
        <v>28</v>
      </c>
      <c r="H137" t="s">
        <v>29</v>
      </c>
      <c r="I137" t="s">
        <v>44</v>
      </c>
      <c r="J137" t="s">
        <v>45</v>
      </c>
      <c r="L137" s="1">
        <v>46023</v>
      </c>
      <c r="M137" s="1">
        <v>46023</v>
      </c>
      <c r="O137">
        <v>8814784</v>
      </c>
      <c r="P137" t="s">
        <v>32</v>
      </c>
      <c r="Q137" t="s">
        <v>155</v>
      </c>
      <c r="R137">
        <v>8192</v>
      </c>
      <c r="S137" t="s">
        <v>34</v>
      </c>
      <c r="T137" t="s">
        <v>35</v>
      </c>
      <c r="U137">
        <v>135</v>
      </c>
      <c r="V137" t="s">
        <v>36</v>
      </c>
      <c r="W137" s="1">
        <v>45975</v>
      </c>
      <c r="X137">
        <v>2025</v>
      </c>
    </row>
    <row r="138" spans="1:24" x14ac:dyDescent="0.25">
      <c r="A138" s="1">
        <v>45993</v>
      </c>
      <c r="B138" t="s">
        <v>526</v>
      </c>
      <c r="C138" t="s">
        <v>527</v>
      </c>
      <c r="E138" t="s">
        <v>528</v>
      </c>
      <c r="F138" t="s">
        <v>27</v>
      </c>
      <c r="G138" t="s">
        <v>28</v>
      </c>
      <c r="H138" t="s">
        <v>29</v>
      </c>
      <c r="I138" t="s">
        <v>44</v>
      </c>
      <c r="J138" t="s">
        <v>529</v>
      </c>
      <c r="L138" s="1">
        <v>46023</v>
      </c>
      <c r="M138" s="1">
        <v>46023</v>
      </c>
      <c r="O138">
        <v>20212926</v>
      </c>
      <c r="P138" t="s">
        <v>32</v>
      </c>
      <c r="Q138" t="s">
        <v>243</v>
      </c>
      <c r="R138">
        <v>8192</v>
      </c>
      <c r="S138" t="s">
        <v>34</v>
      </c>
      <c r="T138" t="s">
        <v>35</v>
      </c>
      <c r="U138">
        <v>135</v>
      </c>
      <c r="V138" t="s">
        <v>36</v>
      </c>
      <c r="W138" s="1">
        <v>45978</v>
      </c>
      <c r="X138">
        <v>2025</v>
      </c>
    </row>
    <row r="139" spans="1:24" x14ac:dyDescent="0.25">
      <c r="A139" s="1">
        <v>45993</v>
      </c>
      <c r="B139" t="s">
        <v>530</v>
      </c>
      <c r="C139" t="s">
        <v>531</v>
      </c>
      <c r="E139" t="s">
        <v>532</v>
      </c>
      <c r="F139" t="s">
        <v>27</v>
      </c>
      <c r="G139" t="s">
        <v>28</v>
      </c>
      <c r="H139" t="s">
        <v>29</v>
      </c>
      <c r="I139" t="s">
        <v>30</v>
      </c>
      <c r="J139" t="s">
        <v>138</v>
      </c>
      <c r="L139" s="1">
        <v>46023</v>
      </c>
      <c r="M139" s="1">
        <v>46023</v>
      </c>
      <c r="O139">
        <v>8244481</v>
      </c>
      <c r="P139" t="s">
        <v>32</v>
      </c>
      <c r="Q139" t="s">
        <v>33</v>
      </c>
      <c r="R139">
        <v>8192</v>
      </c>
      <c r="S139" t="s">
        <v>34</v>
      </c>
      <c r="T139" t="s">
        <v>35</v>
      </c>
      <c r="U139">
        <v>135</v>
      </c>
      <c r="V139" t="s">
        <v>36</v>
      </c>
      <c r="W139" s="1">
        <v>45973</v>
      </c>
      <c r="X139">
        <v>2025</v>
      </c>
    </row>
    <row r="140" spans="1:24" x14ac:dyDescent="0.25">
      <c r="A140" s="1">
        <v>45993</v>
      </c>
      <c r="B140" t="s">
        <v>533</v>
      </c>
      <c r="C140" t="s">
        <v>534</v>
      </c>
      <c r="E140" t="s">
        <v>535</v>
      </c>
      <c r="F140" t="s">
        <v>27</v>
      </c>
      <c r="G140" t="s">
        <v>28</v>
      </c>
      <c r="H140" t="s">
        <v>29</v>
      </c>
      <c r="I140" t="s">
        <v>30</v>
      </c>
      <c r="J140" t="s">
        <v>138</v>
      </c>
      <c r="L140" s="1">
        <v>46023</v>
      </c>
      <c r="M140" s="1">
        <v>46023</v>
      </c>
      <c r="O140">
        <v>8244481</v>
      </c>
      <c r="P140" t="s">
        <v>32</v>
      </c>
      <c r="Q140" t="s">
        <v>33</v>
      </c>
      <c r="R140">
        <v>8192</v>
      </c>
      <c r="S140" t="s">
        <v>34</v>
      </c>
      <c r="T140" t="s">
        <v>35</v>
      </c>
      <c r="U140">
        <v>135</v>
      </c>
      <c r="V140" t="s">
        <v>36</v>
      </c>
      <c r="W140" s="1">
        <v>45973</v>
      </c>
      <c r="X140">
        <v>2025</v>
      </c>
    </row>
    <row r="141" spans="1:24" x14ac:dyDescent="0.25">
      <c r="A141" s="1">
        <v>45993</v>
      </c>
      <c r="B141" t="s">
        <v>536</v>
      </c>
      <c r="C141" t="s">
        <v>537</v>
      </c>
      <c r="E141" t="s">
        <v>538</v>
      </c>
      <c r="F141" t="s">
        <v>152</v>
      </c>
      <c r="G141" t="s">
        <v>28</v>
      </c>
      <c r="H141" t="s">
        <v>29</v>
      </c>
      <c r="I141" t="s">
        <v>153</v>
      </c>
      <c r="J141" t="s">
        <v>539</v>
      </c>
      <c r="L141" s="1">
        <v>46023</v>
      </c>
      <c r="M141" s="1">
        <v>46023</v>
      </c>
      <c r="O141">
        <v>19645587</v>
      </c>
      <c r="P141" t="s">
        <v>32</v>
      </c>
      <c r="Q141" t="s">
        <v>274</v>
      </c>
      <c r="R141">
        <v>8192</v>
      </c>
      <c r="S141" t="s">
        <v>34</v>
      </c>
      <c r="T141" t="s">
        <v>35</v>
      </c>
      <c r="U141">
        <v>265</v>
      </c>
      <c r="V141" t="s">
        <v>36</v>
      </c>
      <c r="W141" s="1">
        <v>45968</v>
      </c>
      <c r="X141">
        <v>2025</v>
      </c>
    </row>
    <row r="142" spans="1:24" x14ac:dyDescent="0.25">
      <c r="A142" s="1">
        <v>45993</v>
      </c>
      <c r="B142" t="s">
        <v>540</v>
      </c>
      <c r="C142" t="s">
        <v>541</v>
      </c>
      <c r="E142" t="s">
        <v>542</v>
      </c>
      <c r="F142" t="s">
        <v>93</v>
      </c>
      <c r="G142" t="s">
        <v>28</v>
      </c>
      <c r="H142" t="s">
        <v>29</v>
      </c>
      <c r="I142" t="s">
        <v>94</v>
      </c>
      <c r="J142" t="s">
        <v>486</v>
      </c>
      <c r="L142" s="1">
        <v>46023</v>
      </c>
      <c r="M142" s="1">
        <v>46023</v>
      </c>
      <c r="O142">
        <v>19586992</v>
      </c>
      <c r="P142" t="s">
        <v>32</v>
      </c>
      <c r="Q142" t="s">
        <v>543</v>
      </c>
      <c r="R142">
        <v>8192</v>
      </c>
      <c r="S142" t="s">
        <v>34</v>
      </c>
      <c r="T142" t="s">
        <v>35</v>
      </c>
      <c r="U142">
        <v>150</v>
      </c>
      <c r="V142" t="s">
        <v>36</v>
      </c>
      <c r="W142" s="1">
        <v>45974</v>
      </c>
      <c r="X142">
        <v>2025</v>
      </c>
    </row>
    <row r="143" spans="1:24" x14ac:dyDescent="0.25">
      <c r="A143" s="1">
        <v>45993</v>
      </c>
      <c r="B143" t="s">
        <v>544</v>
      </c>
      <c r="C143" t="s">
        <v>545</v>
      </c>
      <c r="E143" t="s">
        <v>546</v>
      </c>
      <c r="F143" t="s">
        <v>93</v>
      </c>
      <c r="G143" t="s">
        <v>28</v>
      </c>
      <c r="H143" t="s">
        <v>29</v>
      </c>
      <c r="I143" t="s">
        <v>94</v>
      </c>
      <c r="J143" t="s">
        <v>247</v>
      </c>
      <c r="L143" s="1">
        <v>46023</v>
      </c>
      <c r="M143" s="1">
        <v>46023</v>
      </c>
      <c r="O143">
        <v>19491313</v>
      </c>
      <c r="P143" t="s">
        <v>32</v>
      </c>
      <c r="Q143" t="s">
        <v>96</v>
      </c>
      <c r="R143">
        <v>8192</v>
      </c>
      <c r="S143" t="s">
        <v>34</v>
      </c>
      <c r="T143" t="s">
        <v>35</v>
      </c>
      <c r="U143">
        <v>150</v>
      </c>
      <c r="V143" t="s">
        <v>36</v>
      </c>
      <c r="W143" s="1">
        <v>45979</v>
      </c>
      <c r="X143">
        <v>2025</v>
      </c>
    </row>
    <row r="144" spans="1:24" x14ac:dyDescent="0.25">
      <c r="A144" s="1">
        <v>45993</v>
      </c>
      <c r="B144" t="s">
        <v>547</v>
      </c>
      <c r="C144" t="s">
        <v>548</v>
      </c>
      <c r="E144" t="s">
        <v>549</v>
      </c>
      <c r="F144" t="s">
        <v>550</v>
      </c>
      <c r="G144" t="s">
        <v>28</v>
      </c>
      <c r="H144" t="s">
        <v>29</v>
      </c>
      <c r="I144" t="s">
        <v>51</v>
      </c>
      <c r="J144" t="s">
        <v>551</v>
      </c>
      <c r="L144" s="1">
        <v>46023</v>
      </c>
      <c r="M144" s="1">
        <v>46023</v>
      </c>
      <c r="O144">
        <v>17528908</v>
      </c>
      <c r="P144" t="s">
        <v>32</v>
      </c>
      <c r="Q144" t="s">
        <v>53</v>
      </c>
      <c r="R144">
        <v>8192</v>
      </c>
      <c r="S144" t="s">
        <v>34</v>
      </c>
      <c r="T144" t="s">
        <v>35</v>
      </c>
      <c r="U144">
        <v>135</v>
      </c>
      <c r="V144" t="s">
        <v>36</v>
      </c>
      <c r="W144" s="1">
        <v>45972</v>
      </c>
      <c r="X144">
        <v>2025</v>
      </c>
    </row>
    <row r="145" spans="1:24" x14ac:dyDescent="0.25">
      <c r="A145" s="1">
        <v>45993</v>
      </c>
      <c r="B145" t="s">
        <v>552</v>
      </c>
      <c r="C145" t="s">
        <v>553</v>
      </c>
      <c r="E145" t="s">
        <v>554</v>
      </c>
      <c r="F145" t="s">
        <v>357</v>
      </c>
      <c r="G145" t="s">
        <v>414</v>
      </c>
      <c r="H145" t="s">
        <v>29</v>
      </c>
      <c r="I145" t="s">
        <v>358</v>
      </c>
      <c r="J145" t="s">
        <v>555</v>
      </c>
      <c r="L145" s="1">
        <v>46023</v>
      </c>
      <c r="M145" s="1">
        <v>46023</v>
      </c>
      <c r="O145">
        <v>19200754</v>
      </c>
      <c r="P145" t="s">
        <v>32</v>
      </c>
      <c r="Q145" t="s">
        <v>556</v>
      </c>
      <c r="R145">
        <v>8192</v>
      </c>
      <c r="S145" t="s">
        <v>34</v>
      </c>
      <c r="T145" t="s">
        <v>35</v>
      </c>
      <c r="U145">
        <v>150</v>
      </c>
      <c r="V145" t="s">
        <v>36</v>
      </c>
      <c r="W145" s="1">
        <v>45974</v>
      </c>
      <c r="X145">
        <v>2025</v>
      </c>
    </row>
    <row r="146" spans="1:24" x14ac:dyDescent="0.25">
      <c r="A146" s="1">
        <v>45993</v>
      </c>
      <c r="B146" t="s">
        <v>552</v>
      </c>
      <c r="C146" t="s">
        <v>553</v>
      </c>
      <c r="E146" t="s">
        <v>554</v>
      </c>
      <c r="F146" t="s">
        <v>357</v>
      </c>
      <c r="G146" t="s">
        <v>414</v>
      </c>
      <c r="H146" t="s">
        <v>29</v>
      </c>
      <c r="I146" t="s">
        <v>358</v>
      </c>
      <c r="J146" t="s">
        <v>359</v>
      </c>
      <c r="L146" s="1">
        <v>46023</v>
      </c>
      <c r="M146" s="1">
        <v>46023</v>
      </c>
      <c r="O146">
        <v>19200754</v>
      </c>
      <c r="P146" t="s">
        <v>32</v>
      </c>
      <c r="Q146" t="s">
        <v>556</v>
      </c>
      <c r="R146">
        <v>8192</v>
      </c>
      <c r="S146" t="s">
        <v>34</v>
      </c>
      <c r="T146" t="s">
        <v>35</v>
      </c>
      <c r="U146">
        <v>-135</v>
      </c>
      <c r="V146" t="s">
        <v>36</v>
      </c>
      <c r="W146" s="1">
        <v>45958</v>
      </c>
      <c r="X146">
        <v>2025</v>
      </c>
    </row>
    <row r="147" spans="1:24" x14ac:dyDescent="0.25">
      <c r="A147" s="1">
        <v>45993</v>
      </c>
      <c r="B147" t="s">
        <v>557</v>
      </c>
      <c r="C147" t="s">
        <v>558</v>
      </c>
      <c r="E147" t="s">
        <v>559</v>
      </c>
      <c r="F147" t="s">
        <v>50</v>
      </c>
      <c r="G147" t="s">
        <v>28</v>
      </c>
      <c r="H147" t="s">
        <v>29</v>
      </c>
      <c r="I147" t="s">
        <v>51</v>
      </c>
      <c r="J147" t="s">
        <v>288</v>
      </c>
      <c r="L147" s="1">
        <v>46023</v>
      </c>
      <c r="M147" s="1">
        <v>46023</v>
      </c>
      <c r="O147">
        <v>18794740</v>
      </c>
      <c r="P147" t="s">
        <v>32</v>
      </c>
      <c r="Q147" t="s">
        <v>560</v>
      </c>
      <c r="R147">
        <v>8192</v>
      </c>
      <c r="S147" t="s">
        <v>34</v>
      </c>
      <c r="T147" t="s">
        <v>35</v>
      </c>
      <c r="U147">
        <v>135</v>
      </c>
      <c r="V147" t="s">
        <v>36</v>
      </c>
      <c r="W147" s="1">
        <v>45973</v>
      </c>
      <c r="X147">
        <v>2025</v>
      </c>
    </row>
    <row r="148" spans="1:24" x14ac:dyDescent="0.25">
      <c r="A148" s="1">
        <v>45993</v>
      </c>
      <c r="B148" t="s">
        <v>561</v>
      </c>
      <c r="C148" t="s">
        <v>562</v>
      </c>
      <c r="E148" t="s">
        <v>563</v>
      </c>
      <c r="F148" t="s">
        <v>27</v>
      </c>
      <c r="G148" t="s">
        <v>28</v>
      </c>
      <c r="H148" t="s">
        <v>29</v>
      </c>
      <c r="I148" t="s">
        <v>30</v>
      </c>
      <c r="J148" t="s">
        <v>138</v>
      </c>
      <c r="L148" s="1">
        <v>46023</v>
      </c>
      <c r="M148" s="1">
        <v>46023</v>
      </c>
      <c r="O148">
        <v>19268643</v>
      </c>
      <c r="P148" t="s">
        <v>32</v>
      </c>
      <c r="Q148" t="s">
        <v>213</v>
      </c>
      <c r="R148">
        <v>8192</v>
      </c>
      <c r="S148" t="s">
        <v>34</v>
      </c>
      <c r="T148" t="s">
        <v>35</v>
      </c>
      <c r="U148">
        <v>135</v>
      </c>
      <c r="V148" t="s">
        <v>36</v>
      </c>
      <c r="W148" s="1">
        <v>45968</v>
      </c>
      <c r="X148">
        <v>2025</v>
      </c>
    </row>
    <row r="149" spans="1:24" x14ac:dyDescent="0.25">
      <c r="A149" s="1">
        <v>45993</v>
      </c>
      <c r="B149" t="s">
        <v>564</v>
      </c>
      <c r="C149" t="s">
        <v>565</v>
      </c>
      <c r="E149" t="s">
        <v>566</v>
      </c>
      <c r="F149" t="s">
        <v>327</v>
      </c>
      <c r="G149" t="s">
        <v>28</v>
      </c>
      <c r="H149" t="s">
        <v>29</v>
      </c>
      <c r="I149" t="s">
        <v>328</v>
      </c>
      <c r="J149" t="s">
        <v>567</v>
      </c>
      <c r="L149" s="1">
        <v>46023</v>
      </c>
      <c r="M149" s="1">
        <v>46023</v>
      </c>
      <c r="O149">
        <v>21435997</v>
      </c>
      <c r="P149" t="s">
        <v>32</v>
      </c>
      <c r="Q149" t="s">
        <v>131</v>
      </c>
      <c r="R149">
        <v>8192</v>
      </c>
      <c r="S149" t="s">
        <v>34</v>
      </c>
      <c r="T149" t="s">
        <v>35</v>
      </c>
      <c r="U149">
        <v>150</v>
      </c>
      <c r="V149" t="s">
        <v>36</v>
      </c>
      <c r="W149" s="1">
        <v>45970</v>
      </c>
      <c r="X149">
        <v>2025</v>
      </c>
    </row>
    <row r="150" spans="1:24" x14ac:dyDescent="0.25">
      <c r="A150" s="1">
        <v>45993</v>
      </c>
      <c r="B150" t="s">
        <v>568</v>
      </c>
      <c r="C150" t="s">
        <v>569</v>
      </c>
      <c r="E150" t="s">
        <v>570</v>
      </c>
      <c r="F150" t="s">
        <v>27</v>
      </c>
      <c r="G150" t="s">
        <v>28</v>
      </c>
      <c r="H150" t="s">
        <v>29</v>
      </c>
      <c r="I150" t="s">
        <v>30</v>
      </c>
      <c r="J150" t="s">
        <v>40</v>
      </c>
      <c r="L150" s="1">
        <v>46023</v>
      </c>
      <c r="M150" s="1">
        <v>46023</v>
      </c>
      <c r="O150">
        <v>8812322</v>
      </c>
      <c r="P150" t="s">
        <v>32</v>
      </c>
      <c r="Q150" t="s">
        <v>69</v>
      </c>
      <c r="R150">
        <v>8192</v>
      </c>
      <c r="S150" t="s">
        <v>34</v>
      </c>
      <c r="T150" t="s">
        <v>35</v>
      </c>
      <c r="U150">
        <v>135</v>
      </c>
      <c r="V150" t="s">
        <v>36</v>
      </c>
      <c r="W150" s="1">
        <v>45972</v>
      </c>
      <c r="X150">
        <v>2025</v>
      </c>
    </row>
    <row r="151" spans="1:24" x14ac:dyDescent="0.25">
      <c r="A151" s="1">
        <v>45993</v>
      </c>
      <c r="B151" t="s">
        <v>571</v>
      </c>
      <c r="C151" t="s">
        <v>572</v>
      </c>
      <c r="E151" t="s">
        <v>573</v>
      </c>
      <c r="F151" t="s">
        <v>27</v>
      </c>
      <c r="G151" t="s">
        <v>28</v>
      </c>
      <c r="H151" t="s">
        <v>29</v>
      </c>
      <c r="I151" t="s">
        <v>30</v>
      </c>
      <c r="J151" t="s">
        <v>138</v>
      </c>
      <c r="L151" s="1">
        <v>46023</v>
      </c>
      <c r="M151" s="1">
        <v>46023</v>
      </c>
      <c r="O151">
        <v>18828278</v>
      </c>
      <c r="P151" t="s">
        <v>32</v>
      </c>
      <c r="Q151" t="s">
        <v>142</v>
      </c>
      <c r="R151">
        <v>8192</v>
      </c>
      <c r="S151" t="s">
        <v>34</v>
      </c>
      <c r="T151" t="s">
        <v>35</v>
      </c>
      <c r="U151">
        <v>135</v>
      </c>
      <c r="V151" t="s">
        <v>36</v>
      </c>
      <c r="W151" s="1">
        <v>45978</v>
      </c>
      <c r="X151">
        <v>2025</v>
      </c>
    </row>
    <row r="152" spans="1:24" x14ac:dyDescent="0.25">
      <c r="A152" s="1">
        <v>45993</v>
      </c>
      <c r="B152" t="s">
        <v>574</v>
      </c>
      <c r="C152" t="s">
        <v>575</v>
      </c>
      <c r="E152" t="s">
        <v>576</v>
      </c>
      <c r="F152" t="s">
        <v>577</v>
      </c>
      <c r="G152" t="s">
        <v>28</v>
      </c>
      <c r="H152" t="s">
        <v>29</v>
      </c>
      <c r="I152" t="s">
        <v>398</v>
      </c>
      <c r="J152" t="s">
        <v>578</v>
      </c>
      <c r="L152" s="1">
        <v>46023</v>
      </c>
      <c r="M152" s="1">
        <v>46023</v>
      </c>
      <c r="O152">
        <v>17094718</v>
      </c>
      <c r="P152" t="s">
        <v>32</v>
      </c>
      <c r="Q152" t="s">
        <v>330</v>
      </c>
      <c r="R152">
        <v>8192</v>
      </c>
      <c r="S152" t="s">
        <v>34</v>
      </c>
      <c r="T152" t="s">
        <v>35</v>
      </c>
      <c r="U152">
        <v>135</v>
      </c>
      <c r="V152" t="s">
        <v>36</v>
      </c>
      <c r="W152" s="1">
        <v>45968</v>
      </c>
      <c r="X152">
        <v>2025</v>
      </c>
    </row>
    <row r="153" spans="1:24" x14ac:dyDescent="0.25">
      <c r="A153" s="1">
        <v>45993</v>
      </c>
      <c r="B153" t="s">
        <v>579</v>
      </c>
      <c r="C153" t="s">
        <v>580</v>
      </c>
      <c r="E153" t="s">
        <v>581</v>
      </c>
      <c r="F153" t="s">
        <v>327</v>
      </c>
      <c r="G153" t="s">
        <v>28</v>
      </c>
      <c r="H153" t="s">
        <v>29</v>
      </c>
      <c r="I153" t="s">
        <v>328</v>
      </c>
      <c r="J153" t="s">
        <v>582</v>
      </c>
      <c r="L153" s="1">
        <v>46023</v>
      </c>
      <c r="M153" s="1">
        <v>46023</v>
      </c>
      <c r="O153">
        <v>17094718</v>
      </c>
      <c r="P153" t="s">
        <v>32</v>
      </c>
      <c r="Q153" t="s">
        <v>330</v>
      </c>
      <c r="R153">
        <v>8192</v>
      </c>
      <c r="S153" t="s">
        <v>34</v>
      </c>
      <c r="T153" t="s">
        <v>35</v>
      </c>
      <c r="U153">
        <v>135</v>
      </c>
      <c r="V153" t="s">
        <v>36</v>
      </c>
      <c r="W153" s="1">
        <v>45978</v>
      </c>
      <c r="X153">
        <v>2025</v>
      </c>
    </row>
    <row r="154" spans="1:24" x14ac:dyDescent="0.25">
      <c r="A154" s="1">
        <v>45993</v>
      </c>
      <c r="B154" t="s">
        <v>583</v>
      </c>
      <c r="C154" t="s">
        <v>584</v>
      </c>
      <c r="E154" t="s">
        <v>585</v>
      </c>
      <c r="F154" t="s">
        <v>27</v>
      </c>
      <c r="G154" t="s">
        <v>28</v>
      </c>
      <c r="H154" t="s">
        <v>29</v>
      </c>
      <c r="I154" t="s">
        <v>30</v>
      </c>
      <c r="J154" t="s">
        <v>138</v>
      </c>
      <c r="L154" s="1">
        <v>46023</v>
      </c>
      <c r="M154" s="1">
        <v>46023</v>
      </c>
      <c r="O154">
        <v>8244481</v>
      </c>
      <c r="P154" t="s">
        <v>32</v>
      </c>
      <c r="Q154" t="s">
        <v>33</v>
      </c>
      <c r="R154">
        <v>8192</v>
      </c>
      <c r="S154" t="s">
        <v>34</v>
      </c>
      <c r="T154" t="s">
        <v>35</v>
      </c>
      <c r="U154">
        <v>150</v>
      </c>
      <c r="V154" t="s">
        <v>36</v>
      </c>
      <c r="W154" s="1">
        <v>45979</v>
      </c>
      <c r="X154">
        <v>2025</v>
      </c>
    </row>
    <row r="155" spans="1:24" x14ac:dyDescent="0.25">
      <c r="A155" s="1">
        <v>45993</v>
      </c>
      <c r="B155" t="s">
        <v>586</v>
      </c>
      <c r="C155" t="s">
        <v>587</v>
      </c>
      <c r="E155" t="s">
        <v>588</v>
      </c>
      <c r="F155" t="s">
        <v>152</v>
      </c>
      <c r="G155" t="s">
        <v>28</v>
      </c>
      <c r="H155" t="s">
        <v>29</v>
      </c>
      <c r="I155" t="s">
        <v>153</v>
      </c>
      <c r="J155" t="s">
        <v>589</v>
      </c>
      <c r="L155" s="1">
        <v>45992</v>
      </c>
      <c r="M155" s="1">
        <v>45992</v>
      </c>
      <c r="O155">
        <v>21505953</v>
      </c>
      <c r="P155" t="s">
        <v>32</v>
      </c>
      <c r="Q155" t="s">
        <v>590</v>
      </c>
      <c r="R155">
        <v>8192</v>
      </c>
      <c r="S155" t="s">
        <v>34</v>
      </c>
      <c r="T155" t="s">
        <v>35</v>
      </c>
      <c r="U155">
        <v>37.33</v>
      </c>
      <c r="V155" t="s">
        <v>36</v>
      </c>
      <c r="W155" s="1">
        <v>45978</v>
      </c>
      <c r="X155">
        <v>2025</v>
      </c>
    </row>
    <row r="156" spans="1:24" x14ac:dyDescent="0.25">
      <c r="A156" s="1">
        <v>45993</v>
      </c>
      <c r="B156" t="s">
        <v>591</v>
      </c>
      <c r="C156" t="s">
        <v>592</v>
      </c>
      <c r="E156" t="s">
        <v>593</v>
      </c>
      <c r="F156" t="s">
        <v>93</v>
      </c>
      <c r="G156" t="s">
        <v>28</v>
      </c>
      <c r="H156" t="s">
        <v>29</v>
      </c>
      <c r="I156" t="s">
        <v>94</v>
      </c>
      <c r="J156" t="s">
        <v>594</v>
      </c>
      <c r="L156" s="1">
        <v>46023</v>
      </c>
      <c r="M156" s="1">
        <v>46023</v>
      </c>
      <c r="O156">
        <v>18598357</v>
      </c>
      <c r="P156" t="s">
        <v>32</v>
      </c>
      <c r="Q156" t="s">
        <v>595</v>
      </c>
      <c r="R156">
        <v>8192</v>
      </c>
      <c r="S156" t="s">
        <v>34</v>
      </c>
      <c r="T156" t="s">
        <v>35</v>
      </c>
      <c r="U156">
        <v>135</v>
      </c>
      <c r="V156" t="s">
        <v>36</v>
      </c>
      <c r="W156" s="1">
        <v>45974</v>
      </c>
      <c r="X156">
        <v>2025</v>
      </c>
    </row>
    <row r="157" spans="1:24" x14ac:dyDescent="0.25">
      <c r="A157" s="1">
        <v>45993</v>
      </c>
      <c r="B157" t="s">
        <v>596</v>
      </c>
      <c r="C157" t="s">
        <v>597</v>
      </c>
      <c r="E157" t="s">
        <v>598</v>
      </c>
      <c r="F157" t="s">
        <v>27</v>
      </c>
      <c r="G157" t="s">
        <v>28</v>
      </c>
      <c r="H157" t="s">
        <v>29</v>
      </c>
      <c r="I157" t="s">
        <v>30</v>
      </c>
      <c r="J157" t="s">
        <v>138</v>
      </c>
      <c r="L157" s="1">
        <v>46023</v>
      </c>
      <c r="M157" s="1">
        <v>46023</v>
      </c>
      <c r="O157">
        <v>8244481</v>
      </c>
      <c r="P157" t="s">
        <v>32</v>
      </c>
      <c r="Q157" t="s">
        <v>33</v>
      </c>
      <c r="R157">
        <v>8192</v>
      </c>
      <c r="S157" t="s">
        <v>34</v>
      </c>
      <c r="T157" t="s">
        <v>35</v>
      </c>
      <c r="U157">
        <v>135</v>
      </c>
      <c r="V157" t="s">
        <v>36</v>
      </c>
      <c r="W157" s="1">
        <v>45969</v>
      </c>
      <c r="X157">
        <v>2025</v>
      </c>
    </row>
    <row r="158" spans="1:24" x14ac:dyDescent="0.25">
      <c r="A158" s="1">
        <v>45993</v>
      </c>
      <c r="B158" t="s">
        <v>599</v>
      </c>
      <c r="C158" t="s">
        <v>600</v>
      </c>
      <c r="E158" t="s">
        <v>601</v>
      </c>
      <c r="F158" t="s">
        <v>27</v>
      </c>
      <c r="G158" t="s">
        <v>28</v>
      </c>
      <c r="H158" t="s">
        <v>29</v>
      </c>
      <c r="I158" t="s">
        <v>44</v>
      </c>
      <c r="J158" t="s">
        <v>45</v>
      </c>
      <c r="L158" s="1">
        <v>46023</v>
      </c>
      <c r="M158" s="1">
        <v>46023</v>
      </c>
      <c r="O158">
        <v>17126004</v>
      </c>
      <c r="P158" t="s">
        <v>32</v>
      </c>
      <c r="Q158" t="s">
        <v>46</v>
      </c>
      <c r="R158">
        <v>8192</v>
      </c>
      <c r="S158" t="s">
        <v>34</v>
      </c>
      <c r="T158" t="s">
        <v>35</v>
      </c>
      <c r="U158">
        <v>135</v>
      </c>
      <c r="V158" t="s">
        <v>36</v>
      </c>
      <c r="W158" s="1">
        <v>45975</v>
      </c>
      <c r="X158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C6E1-26FD-4E04-B3F8-32B50D4B2E0C}">
  <dimension ref="A1:X146"/>
  <sheetViews>
    <sheetView workbookViewId="0">
      <selection activeCell="P2" sqref="P2:P7"/>
    </sheetView>
  </sheetViews>
  <sheetFormatPr defaultRowHeight="15" x14ac:dyDescent="0.25"/>
  <cols>
    <col min="1" max="1" width="15.5703125" bestFit="1" customWidth="1"/>
    <col min="2" max="2" width="18" bestFit="1" customWidth="1"/>
    <col min="3" max="3" width="24.7109375" bestFit="1" customWidth="1"/>
    <col min="4" max="4" width="12.140625" bestFit="1" customWidth="1"/>
    <col min="5" max="5" width="23.28515625" bestFit="1" customWidth="1"/>
    <col min="6" max="6" width="7.28515625" bestFit="1" customWidth="1"/>
    <col min="7" max="7" width="14.28515625" bestFit="1" customWidth="1"/>
    <col min="8" max="8" width="12" bestFit="1" customWidth="1"/>
    <col min="9" max="9" width="15.7109375" bestFit="1" customWidth="1"/>
    <col min="10" max="10" width="16.140625" bestFit="1" customWidth="1"/>
    <col min="11" max="11" width="25.7109375" bestFit="1" customWidth="1"/>
    <col min="12" max="12" width="10.28515625" bestFit="1" customWidth="1"/>
    <col min="13" max="13" width="12.42578125" bestFit="1" customWidth="1"/>
    <col min="15" max="15" width="20.42578125" bestFit="1" customWidth="1"/>
    <col min="16" max="16" width="23.140625" bestFit="1" customWidth="1"/>
    <col min="20" max="20" width="15.42578125" customWidth="1"/>
    <col min="22" max="22" width="12.85546875" bestFit="1" customWidth="1"/>
  </cols>
  <sheetData>
    <row r="1" spans="1:24" x14ac:dyDescent="0.25">
      <c r="A1" t="s">
        <v>1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14</v>
      </c>
      <c r="J1" t="s">
        <v>15</v>
      </c>
      <c r="K1" t="s">
        <v>16</v>
      </c>
      <c r="L1" t="s">
        <v>18</v>
      </c>
      <c r="M1" t="s">
        <v>20</v>
      </c>
    </row>
    <row r="2" spans="1:24" s="2" customFormat="1" x14ac:dyDescent="0.25">
      <c r="A2" s="2" t="s">
        <v>499</v>
      </c>
      <c r="B2" s="2" t="str">
        <f>CONCATENATE(A2,8)</f>
        <v>4U29FN4VP228</v>
      </c>
      <c r="C2" s="2" t="s">
        <v>501</v>
      </c>
      <c r="D2" s="2" t="s">
        <v>50</v>
      </c>
      <c r="E2" s="2" t="s">
        <v>28</v>
      </c>
      <c r="F2" s="2" t="s">
        <v>29</v>
      </c>
      <c r="G2" s="3">
        <v>45992</v>
      </c>
      <c r="H2" s="3">
        <v>45992</v>
      </c>
      <c r="I2" s="2" t="s">
        <v>611</v>
      </c>
      <c r="J2" s="2" t="s">
        <v>32</v>
      </c>
      <c r="K2" s="2" t="s">
        <v>53</v>
      </c>
      <c r="L2" s="2" t="s">
        <v>34</v>
      </c>
      <c r="M2" s="2">
        <v>40.67</v>
      </c>
      <c r="N2" s="2">
        <v>29.42</v>
      </c>
      <c r="O2" s="2" t="s">
        <v>606</v>
      </c>
      <c r="P2" s="2" t="s">
        <v>608</v>
      </c>
      <c r="Q2" s="2">
        <f>353/12</f>
        <v>29.416666666666668</v>
      </c>
      <c r="T2" s="2" t="s">
        <v>612</v>
      </c>
      <c r="U2" s="2" t="s">
        <v>613</v>
      </c>
      <c r="V2" s="2" t="str">
        <f>CONCATENATE(U2, " ",T2)</f>
        <v>DAVID SMILEY</v>
      </c>
    </row>
    <row r="3" spans="1:24" s="4" customFormat="1" x14ac:dyDescent="0.25">
      <c r="A3" s="2" t="s">
        <v>345</v>
      </c>
      <c r="B3" s="2" t="str">
        <f>CONCATENATE(A3,7)</f>
        <v>8RQ7YW5YW407</v>
      </c>
      <c r="C3" s="2" t="s">
        <v>347</v>
      </c>
      <c r="D3" s="2" t="s">
        <v>27</v>
      </c>
      <c r="E3" s="2" t="s">
        <v>353</v>
      </c>
      <c r="F3" s="2" t="s">
        <v>29</v>
      </c>
      <c r="G3" s="3">
        <v>45658</v>
      </c>
      <c r="H3" s="3">
        <v>45658</v>
      </c>
      <c r="I3" s="2">
        <v>7470776</v>
      </c>
      <c r="J3" s="2" t="s">
        <v>32</v>
      </c>
      <c r="K3" s="2" t="s">
        <v>350</v>
      </c>
      <c r="L3" s="2" t="s">
        <v>351</v>
      </c>
      <c r="M3" s="2">
        <v>-751</v>
      </c>
      <c r="N3" s="2">
        <v>-626</v>
      </c>
      <c r="O3" s="2" t="s">
        <v>603</v>
      </c>
      <c r="P3" s="2" t="s">
        <v>602</v>
      </c>
      <c r="Q3" s="2"/>
      <c r="R3" s="2"/>
      <c r="S3" s="2"/>
      <c r="T3" s="2" t="s">
        <v>614</v>
      </c>
      <c r="U3" s="2" t="s">
        <v>615</v>
      </c>
      <c r="V3" s="2" t="str">
        <f t="shared" ref="V3:V66" si="0">CONCATENATE(U3, " ",T3)</f>
        <v>WILLIAM MELANSON</v>
      </c>
      <c r="W3" s="2"/>
      <c r="X3" s="2"/>
    </row>
    <row r="4" spans="1:24" s="4" customFormat="1" x14ac:dyDescent="0.25">
      <c r="A4" s="2" t="s">
        <v>345</v>
      </c>
      <c r="B4" s="2" t="str">
        <f>CONCATENATE(A4,7)</f>
        <v>8RQ7YW5YW407</v>
      </c>
      <c r="C4" s="2" t="s">
        <v>347</v>
      </c>
      <c r="D4" s="2" t="s">
        <v>27</v>
      </c>
      <c r="E4" s="2" t="s">
        <v>348</v>
      </c>
      <c r="F4" s="2" t="s">
        <v>29</v>
      </c>
      <c r="G4" s="3">
        <v>45658</v>
      </c>
      <c r="H4" s="3">
        <v>45658</v>
      </c>
      <c r="I4" s="2">
        <v>7470776</v>
      </c>
      <c r="J4" s="2" t="s">
        <v>32</v>
      </c>
      <c r="K4" s="2" t="s">
        <v>350</v>
      </c>
      <c r="L4" s="2" t="s">
        <v>351</v>
      </c>
      <c r="M4" s="2">
        <v>688.42</v>
      </c>
      <c r="N4" s="2">
        <v>626</v>
      </c>
      <c r="O4" s="2" t="s">
        <v>603</v>
      </c>
      <c r="P4" s="2" t="s">
        <v>602</v>
      </c>
      <c r="Q4" s="2"/>
      <c r="R4" s="2"/>
      <c r="S4" s="2"/>
      <c r="T4" s="2" t="s">
        <v>614</v>
      </c>
      <c r="U4" s="2" t="s">
        <v>615</v>
      </c>
      <c r="V4" s="2" t="str">
        <f t="shared" si="0"/>
        <v>WILLIAM MELANSON</v>
      </c>
      <c r="W4" s="2"/>
      <c r="X4" s="2"/>
    </row>
    <row r="5" spans="1:24" s="4" customFormat="1" x14ac:dyDescent="0.25">
      <c r="A5" s="2" t="s">
        <v>434</v>
      </c>
      <c r="B5" s="2" t="str">
        <f t="shared" ref="B5:B7" si="1">CONCATENATE(A5,8)</f>
        <v>5JJ4X71NY048</v>
      </c>
      <c r="C5" s="2" t="s">
        <v>436</v>
      </c>
      <c r="D5" s="2" t="s">
        <v>27</v>
      </c>
      <c r="E5" s="2" t="s">
        <v>28</v>
      </c>
      <c r="F5" s="2" t="s">
        <v>29</v>
      </c>
      <c r="G5" s="3">
        <v>45992</v>
      </c>
      <c r="H5" s="3">
        <v>45992</v>
      </c>
      <c r="I5" s="2">
        <v>8325282</v>
      </c>
      <c r="J5" s="2" t="s">
        <v>32</v>
      </c>
      <c r="K5" s="2" t="s">
        <v>266</v>
      </c>
      <c r="L5" s="2" t="s">
        <v>34</v>
      </c>
      <c r="M5" s="2">
        <v>37.33</v>
      </c>
      <c r="N5" s="2">
        <v>26.08</v>
      </c>
      <c r="O5" s="2" t="s">
        <v>605</v>
      </c>
      <c r="P5" s="2" t="s">
        <v>607</v>
      </c>
      <c r="Q5" s="2">
        <f>313/12</f>
        <v>26.083333333333332</v>
      </c>
      <c r="R5" s="2"/>
      <c r="S5" s="2"/>
      <c r="T5" s="2" t="s">
        <v>616</v>
      </c>
      <c r="U5" s="2" t="s">
        <v>617</v>
      </c>
      <c r="V5" s="2" t="str">
        <f t="shared" si="0"/>
        <v>RICHARD RAMSER</v>
      </c>
      <c r="W5" s="2"/>
      <c r="X5" s="2"/>
    </row>
    <row r="6" spans="1:24" s="4" customFormat="1" x14ac:dyDescent="0.25">
      <c r="A6" s="2" t="s">
        <v>586</v>
      </c>
      <c r="B6" s="2" t="str">
        <f t="shared" si="1"/>
        <v>7AC1UF2DU058</v>
      </c>
      <c r="C6" s="2" t="s">
        <v>588</v>
      </c>
      <c r="D6" s="2" t="s">
        <v>152</v>
      </c>
      <c r="E6" s="2" t="s">
        <v>28</v>
      </c>
      <c r="F6" s="2" t="s">
        <v>29</v>
      </c>
      <c r="G6" s="3">
        <v>45992</v>
      </c>
      <c r="H6" s="3">
        <v>45992</v>
      </c>
      <c r="I6" s="2">
        <v>21505953</v>
      </c>
      <c r="J6" s="2" t="s">
        <v>32</v>
      </c>
      <c r="K6" s="2" t="s">
        <v>590</v>
      </c>
      <c r="L6" s="2" t="s">
        <v>34</v>
      </c>
      <c r="M6" s="2">
        <v>37.33</v>
      </c>
      <c r="N6" s="2">
        <v>26.08</v>
      </c>
      <c r="O6" s="2" t="s">
        <v>605</v>
      </c>
      <c r="P6" s="2" t="s">
        <v>607</v>
      </c>
      <c r="Q6" s="2">
        <f>135/12</f>
        <v>11.25</v>
      </c>
      <c r="R6" s="2"/>
      <c r="S6" s="2"/>
      <c r="T6" s="2" t="s">
        <v>618</v>
      </c>
      <c r="U6" s="2" t="s">
        <v>619</v>
      </c>
      <c r="V6" s="2" t="str">
        <f t="shared" si="0"/>
        <v>TERRY YODER</v>
      </c>
      <c r="W6" s="2"/>
      <c r="X6" s="2"/>
    </row>
    <row r="7" spans="1:24" s="4" customFormat="1" x14ac:dyDescent="0.25">
      <c r="A7" s="2" t="s">
        <v>394</v>
      </c>
      <c r="B7" s="2" t="str">
        <f t="shared" si="1"/>
        <v>6QA2PP6CY908</v>
      </c>
      <c r="C7" s="2" t="s">
        <v>396</v>
      </c>
      <c r="D7" s="2" t="s">
        <v>397</v>
      </c>
      <c r="E7" s="2" t="s">
        <v>28</v>
      </c>
      <c r="F7" s="2" t="s">
        <v>29</v>
      </c>
      <c r="G7" s="3">
        <v>45962</v>
      </c>
      <c r="H7" s="3">
        <v>45962</v>
      </c>
      <c r="I7" s="2">
        <v>9213293</v>
      </c>
      <c r="J7" s="2" t="s">
        <v>32</v>
      </c>
      <c r="K7" s="2" t="s">
        <v>202</v>
      </c>
      <c r="L7" s="2" t="s">
        <v>34</v>
      </c>
      <c r="M7" s="2">
        <v>77.17</v>
      </c>
      <c r="N7" s="2">
        <v>52.17</v>
      </c>
      <c r="O7" s="2" t="s">
        <v>605</v>
      </c>
      <c r="P7" s="2" t="s">
        <v>609</v>
      </c>
      <c r="Q7" s="2">
        <f>313/12*2</f>
        <v>52.166666666666664</v>
      </c>
      <c r="R7" s="2">
        <f>150/12*2</f>
        <v>25</v>
      </c>
      <c r="S7" s="2"/>
      <c r="T7" s="2" t="s">
        <v>620</v>
      </c>
      <c r="U7" s="2" t="s">
        <v>617</v>
      </c>
      <c r="V7" s="2" t="str">
        <f t="shared" si="0"/>
        <v>RICHARD OLSON</v>
      </c>
      <c r="W7" s="2"/>
      <c r="X7" s="2"/>
    </row>
    <row r="8" spans="1:24" s="4" customFormat="1" x14ac:dyDescent="0.25">
      <c r="A8" s="4" t="s">
        <v>345</v>
      </c>
      <c r="B8" s="4" t="str">
        <f>CONCATENATE(A8,"OVR")</f>
        <v>8RQ7YW5YW40OVR</v>
      </c>
      <c r="C8" s="4" t="s">
        <v>347</v>
      </c>
      <c r="D8" s="4" t="s">
        <v>27</v>
      </c>
      <c r="E8" s="4" t="s">
        <v>353</v>
      </c>
      <c r="F8" s="4" t="s">
        <v>29</v>
      </c>
      <c r="G8" s="5">
        <v>45658</v>
      </c>
      <c r="H8" s="5">
        <v>45658</v>
      </c>
      <c r="I8" s="4">
        <v>20411454</v>
      </c>
      <c r="J8" s="4" t="s">
        <v>32</v>
      </c>
      <c r="K8" s="4" t="s">
        <v>610</v>
      </c>
      <c r="L8" s="4" t="s">
        <v>351</v>
      </c>
      <c r="M8" s="4">
        <v>-751</v>
      </c>
      <c r="N8" s="4">
        <v>-125</v>
      </c>
      <c r="O8" s="4" t="s">
        <v>604</v>
      </c>
      <c r="T8" s="4" t="s">
        <v>614</v>
      </c>
      <c r="U8" s="4" t="s">
        <v>615</v>
      </c>
      <c r="V8" s="2" t="str">
        <f t="shared" si="0"/>
        <v>WILLIAM MELANSON</v>
      </c>
    </row>
    <row r="9" spans="1:24" s="4" customFormat="1" x14ac:dyDescent="0.25">
      <c r="A9" s="4" t="s">
        <v>54</v>
      </c>
      <c r="B9" s="4" t="str">
        <f t="shared" ref="B9:B72" si="2">CONCATENATE(A9,"OVR")</f>
        <v>5PA4AQ3RG93OVR</v>
      </c>
      <c r="C9" s="4" t="s">
        <v>56</v>
      </c>
      <c r="D9" s="4" t="s">
        <v>27</v>
      </c>
      <c r="E9" s="4" t="s">
        <v>57</v>
      </c>
      <c r="F9" s="4" t="s">
        <v>29</v>
      </c>
      <c r="G9" s="5">
        <v>46023</v>
      </c>
      <c r="H9" s="5">
        <v>46023</v>
      </c>
      <c r="I9" s="4">
        <v>20411454</v>
      </c>
      <c r="J9" s="4" t="s">
        <v>32</v>
      </c>
      <c r="K9" s="4" t="s">
        <v>610</v>
      </c>
      <c r="L9" s="4" t="s">
        <v>34</v>
      </c>
      <c r="M9" s="4">
        <v>-150</v>
      </c>
      <c r="N9" s="4">
        <v>-150</v>
      </c>
      <c r="O9" s="4" t="s">
        <v>604</v>
      </c>
      <c r="T9" s="4" t="s">
        <v>621</v>
      </c>
      <c r="U9" s="4" t="s">
        <v>622</v>
      </c>
      <c r="V9" s="2" t="str">
        <f t="shared" si="0"/>
        <v>ALICIA ALTON</v>
      </c>
    </row>
    <row r="10" spans="1:24" s="4" customFormat="1" x14ac:dyDescent="0.25">
      <c r="A10" s="4" t="s">
        <v>75</v>
      </c>
      <c r="B10" s="4" t="str">
        <f t="shared" si="2"/>
        <v>1DP3FX1AJ87OVR</v>
      </c>
      <c r="C10" s="4" t="s">
        <v>77</v>
      </c>
      <c r="D10" s="4" t="s">
        <v>27</v>
      </c>
      <c r="E10" s="4" t="s">
        <v>78</v>
      </c>
      <c r="F10" s="4" t="s">
        <v>29</v>
      </c>
      <c r="G10" s="5">
        <v>46023</v>
      </c>
      <c r="H10" s="5">
        <v>46023</v>
      </c>
      <c r="I10" s="4">
        <v>20411454</v>
      </c>
      <c r="J10" s="4" t="s">
        <v>32</v>
      </c>
      <c r="K10" s="4" t="s">
        <v>610</v>
      </c>
      <c r="L10" s="4" t="s">
        <v>34</v>
      </c>
      <c r="M10" s="4">
        <v>-150</v>
      </c>
      <c r="N10" s="4">
        <v>-150</v>
      </c>
      <c r="O10" s="4" t="s">
        <v>604</v>
      </c>
      <c r="T10" s="4" t="s">
        <v>623</v>
      </c>
      <c r="U10" s="4" t="s">
        <v>624</v>
      </c>
      <c r="V10" s="2" t="str">
        <f t="shared" si="0"/>
        <v>LONNY BERKELAND</v>
      </c>
    </row>
    <row r="11" spans="1:24" s="4" customFormat="1" x14ac:dyDescent="0.25">
      <c r="A11" s="4" t="s">
        <v>298</v>
      </c>
      <c r="B11" s="4" t="str">
        <f t="shared" si="2"/>
        <v>4PM4T74QE71OVR</v>
      </c>
      <c r="C11" s="4" t="s">
        <v>300</v>
      </c>
      <c r="D11" s="4" t="s">
        <v>301</v>
      </c>
      <c r="E11" s="4" t="s">
        <v>78</v>
      </c>
      <c r="F11" s="4" t="s">
        <v>29</v>
      </c>
      <c r="G11" s="5">
        <v>46023</v>
      </c>
      <c r="H11" s="5">
        <v>46023</v>
      </c>
      <c r="I11" s="4">
        <v>20411454</v>
      </c>
      <c r="J11" s="4" t="s">
        <v>32</v>
      </c>
      <c r="K11" s="4" t="s">
        <v>610</v>
      </c>
      <c r="L11" s="4" t="s">
        <v>34</v>
      </c>
      <c r="M11" s="4">
        <v>-150</v>
      </c>
      <c r="N11" s="4">
        <v>-150</v>
      </c>
      <c r="O11" s="4" t="s">
        <v>604</v>
      </c>
      <c r="T11" s="4" t="s">
        <v>625</v>
      </c>
      <c r="U11" s="4" t="s">
        <v>626</v>
      </c>
      <c r="V11" s="2" t="str">
        <f t="shared" si="0"/>
        <v>REBECCA LOPEZ</v>
      </c>
    </row>
    <row r="12" spans="1:24" s="2" customFormat="1" x14ac:dyDescent="0.25">
      <c r="A12" s="4" t="s">
        <v>361</v>
      </c>
      <c r="B12" s="4" t="str">
        <f t="shared" si="2"/>
        <v>7F93RA6MA78OVR</v>
      </c>
      <c r="C12" s="4" t="s">
        <v>363</v>
      </c>
      <c r="D12" s="4" t="s">
        <v>27</v>
      </c>
      <c r="E12" s="4" t="s">
        <v>57</v>
      </c>
      <c r="F12" s="4" t="s">
        <v>29</v>
      </c>
      <c r="G12" s="5">
        <v>46023</v>
      </c>
      <c r="H12" s="5">
        <v>46023</v>
      </c>
      <c r="I12" s="4">
        <v>20411454</v>
      </c>
      <c r="J12" s="4" t="s">
        <v>32</v>
      </c>
      <c r="K12" s="4" t="s">
        <v>610</v>
      </c>
      <c r="L12" s="4" t="s">
        <v>34</v>
      </c>
      <c r="M12" s="4">
        <v>-150</v>
      </c>
      <c r="N12" s="4">
        <v>-150</v>
      </c>
      <c r="O12" s="4" t="s">
        <v>604</v>
      </c>
      <c r="P12" s="4"/>
      <c r="Q12" s="4"/>
      <c r="R12" s="4"/>
      <c r="S12" s="4"/>
      <c r="T12" s="4" t="s">
        <v>627</v>
      </c>
      <c r="U12" s="4" t="s">
        <v>617</v>
      </c>
      <c r="V12" s="2" t="str">
        <f t="shared" si="0"/>
        <v>RICHARD MILLER</v>
      </c>
      <c r="W12" s="4"/>
      <c r="X12" s="4"/>
    </row>
    <row r="13" spans="1:24" s="2" customFormat="1" x14ac:dyDescent="0.25">
      <c r="A13" s="4" t="s">
        <v>379</v>
      </c>
      <c r="B13" s="4" t="str">
        <f t="shared" si="2"/>
        <v>5GF2QV2YH09OVR</v>
      </c>
      <c r="C13" s="4" t="s">
        <v>381</v>
      </c>
      <c r="D13" s="4" t="s">
        <v>27</v>
      </c>
      <c r="E13" s="4" t="s">
        <v>78</v>
      </c>
      <c r="F13" s="4" t="s">
        <v>29</v>
      </c>
      <c r="G13" s="5">
        <v>46023</v>
      </c>
      <c r="H13" s="5">
        <v>46023</v>
      </c>
      <c r="I13" s="4">
        <v>20411454</v>
      </c>
      <c r="J13" s="4" t="s">
        <v>32</v>
      </c>
      <c r="K13" s="4" t="s">
        <v>610</v>
      </c>
      <c r="L13" s="4" t="s">
        <v>34</v>
      </c>
      <c r="M13" s="4">
        <v>-135</v>
      </c>
      <c r="N13" s="4">
        <v>-135</v>
      </c>
      <c r="O13" s="4" t="s">
        <v>604</v>
      </c>
      <c r="P13" s="4"/>
      <c r="Q13" s="4"/>
      <c r="R13" s="4"/>
      <c r="S13" s="4"/>
      <c r="T13" s="4" t="s">
        <v>628</v>
      </c>
      <c r="U13" s="4" t="s">
        <v>629</v>
      </c>
      <c r="V13" s="2" t="str">
        <f t="shared" si="0"/>
        <v>LYNN ODDI</v>
      </c>
      <c r="W13" s="4"/>
      <c r="X13" s="4"/>
    </row>
    <row r="14" spans="1:24" s="4" customFormat="1" x14ac:dyDescent="0.25">
      <c r="A14" s="4" t="s">
        <v>552</v>
      </c>
      <c r="B14" s="4" t="str">
        <f t="shared" si="2"/>
        <v>8N90NT6CD39OVR</v>
      </c>
      <c r="C14" s="4" t="s">
        <v>554</v>
      </c>
      <c r="D14" s="4" t="s">
        <v>357</v>
      </c>
      <c r="E14" s="4" t="s">
        <v>414</v>
      </c>
      <c r="F14" s="4" t="s">
        <v>29</v>
      </c>
      <c r="G14" s="5">
        <v>46023</v>
      </c>
      <c r="H14" s="5">
        <v>46023</v>
      </c>
      <c r="I14" s="4">
        <v>20411454</v>
      </c>
      <c r="J14" s="4" t="s">
        <v>32</v>
      </c>
      <c r="K14" s="4" t="s">
        <v>610</v>
      </c>
      <c r="L14" s="4" t="s">
        <v>34</v>
      </c>
      <c r="M14" s="4">
        <v>-135</v>
      </c>
      <c r="N14" s="4">
        <v>-135</v>
      </c>
      <c r="O14" s="4" t="s">
        <v>604</v>
      </c>
      <c r="T14" s="4" t="s">
        <v>630</v>
      </c>
      <c r="U14" s="4" t="s">
        <v>631</v>
      </c>
      <c r="V14" s="2" t="str">
        <f t="shared" si="0"/>
        <v>MARJORIE WARRINGTON</v>
      </c>
    </row>
    <row r="15" spans="1:24" s="4" customFormat="1" x14ac:dyDescent="0.25">
      <c r="A15" s="4" t="s">
        <v>110</v>
      </c>
      <c r="B15" s="4" t="str">
        <f t="shared" si="2"/>
        <v>3XX9EX8RH53OVR</v>
      </c>
      <c r="C15" s="4" t="s">
        <v>112</v>
      </c>
      <c r="D15" s="4" t="s">
        <v>50</v>
      </c>
      <c r="E15" s="4" t="s">
        <v>113</v>
      </c>
      <c r="F15" s="4" t="s">
        <v>29</v>
      </c>
      <c r="G15" s="5">
        <v>46023</v>
      </c>
      <c r="H15" s="5">
        <v>46023</v>
      </c>
      <c r="I15" s="4">
        <v>20411454</v>
      </c>
      <c r="J15" s="4" t="s">
        <v>32</v>
      </c>
      <c r="K15" s="4" t="s">
        <v>610</v>
      </c>
      <c r="L15" s="4" t="s">
        <v>34</v>
      </c>
      <c r="M15" s="4">
        <v>-65</v>
      </c>
      <c r="N15" s="4">
        <v>-65</v>
      </c>
      <c r="O15" s="4" t="s">
        <v>604</v>
      </c>
      <c r="T15" s="4" t="s">
        <v>632</v>
      </c>
      <c r="U15" s="4" t="s">
        <v>617</v>
      </c>
      <c r="V15" s="2" t="str">
        <f t="shared" si="0"/>
        <v>RICHARD BRITANIK</v>
      </c>
    </row>
    <row r="16" spans="1:24" s="2" customFormat="1" x14ac:dyDescent="0.25">
      <c r="A16" s="4" t="s">
        <v>115</v>
      </c>
      <c r="B16" s="4" t="str">
        <f t="shared" si="2"/>
        <v>1DH8EW4HK63OVR</v>
      </c>
      <c r="C16" s="4" t="s">
        <v>117</v>
      </c>
      <c r="D16" s="4" t="s">
        <v>50</v>
      </c>
      <c r="E16" s="4" t="s">
        <v>113</v>
      </c>
      <c r="F16" s="4" t="s">
        <v>29</v>
      </c>
      <c r="G16" s="5">
        <v>46023</v>
      </c>
      <c r="H16" s="5">
        <v>46023</v>
      </c>
      <c r="I16" s="4">
        <v>20411454</v>
      </c>
      <c r="J16" s="4" t="s">
        <v>32</v>
      </c>
      <c r="K16" s="4" t="s">
        <v>610</v>
      </c>
      <c r="L16" s="4" t="s">
        <v>34</v>
      </c>
      <c r="M16" s="4">
        <v>-65</v>
      </c>
      <c r="N16" s="4">
        <v>-65</v>
      </c>
      <c r="O16" s="4" t="s">
        <v>604</v>
      </c>
      <c r="P16" s="4"/>
      <c r="Q16" s="4"/>
      <c r="R16" s="4"/>
      <c r="S16" s="4"/>
      <c r="T16" s="4" t="s">
        <v>632</v>
      </c>
      <c r="U16" s="4" t="s">
        <v>633</v>
      </c>
      <c r="V16" s="2" t="str">
        <f t="shared" si="0"/>
        <v>ROSEMARIE BRITANIK</v>
      </c>
      <c r="W16" s="4"/>
      <c r="X16" s="4"/>
    </row>
    <row r="17" spans="1:22" s="4" customFormat="1" x14ac:dyDescent="0.25">
      <c r="A17" s="4" t="s">
        <v>434</v>
      </c>
      <c r="B17" s="4" t="str">
        <f t="shared" si="2"/>
        <v>5JJ4X71NY04OVR</v>
      </c>
      <c r="C17" s="4" t="s">
        <v>436</v>
      </c>
      <c r="D17" s="4" t="s">
        <v>27</v>
      </c>
      <c r="E17" s="4" t="s">
        <v>28</v>
      </c>
      <c r="F17" s="4" t="s">
        <v>29</v>
      </c>
      <c r="G17" s="5">
        <v>45992</v>
      </c>
      <c r="H17" s="5">
        <v>45992</v>
      </c>
      <c r="I17" s="4">
        <v>20411454</v>
      </c>
      <c r="J17" s="4" t="s">
        <v>32</v>
      </c>
      <c r="K17" s="4" t="s">
        <v>610</v>
      </c>
      <c r="L17" s="4" t="s">
        <v>34</v>
      </c>
      <c r="M17" s="4">
        <v>37.33</v>
      </c>
      <c r="N17" s="4">
        <v>11.25</v>
      </c>
      <c r="O17" s="4" t="s">
        <v>604</v>
      </c>
      <c r="Q17" s="4">
        <f>313/12</f>
        <v>26.083333333333332</v>
      </c>
      <c r="T17" s="4" t="s">
        <v>616</v>
      </c>
      <c r="U17" s="4" t="s">
        <v>617</v>
      </c>
      <c r="V17" s="2" t="str">
        <f t="shared" si="0"/>
        <v>RICHARD RAMSER</v>
      </c>
    </row>
    <row r="18" spans="1:22" s="4" customFormat="1" x14ac:dyDescent="0.25">
      <c r="A18" s="4" t="s">
        <v>586</v>
      </c>
      <c r="B18" s="4" t="str">
        <f t="shared" si="2"/>
        <v>7AC1UF2DU05OVR</v>
      </c>
      <c r="C18" s="4" t="s">
        <v>588</v>
      </c>
      <c r="D18" s="4" t="s">
        <v>152</v>
      </c>
      <c r="E18" s="4" t="s">
        <v>28</v>
      </c>
      <c r="F18" s="4" t="s">
        <v>29</v>
      </c>
      <c r="G18" s="5">
        <v>45992</v>
      </c>
      <c r="H18" s="5">
        <v>45992</v>
      </c>
      <c r="I18" s="4">
        <v>20411454</v>
      </c>
      <c r="J18" s="4" t="s">
        <v>32</v>
      </c>
      <c r="K18" s="4" t="s">
        <v>610</v>
      </c>
      <c r="L18" s="4" t="s">
        <v>34</v>
      </c>
      <c r="M18" s="4">
        <v>37.33</v>
      </c>
      <c r="N18" s="4">
        <v>11.25</v>
      </c>
      <c r="O18" s="4" t="s">
        <v>604</v>
      </c>
      <c r="Q18" s="4">
        <f>135/12</f>
        <v>11.25</v>
      </c>
      <c r="T18" s="4" t="s">
        <v>618</v>
      </c>
      <c r="U18" s="4" t="s">
        <v>619</v>
      </c>
      <c r="V18" s="2" t="str">
        <f t="shared" si="0"/>
        <v>TERRY YODER</v>
      </c>
    </row>
    <row r="19" spans="1:22" s="4" customFormat="1" x14ac:dyDescent="0.25">
      <c r="A19" s="4" t="s">
        <v>499</v>
      </c>
      <c r="B19" s="4" t="str">
        <f t="shared" si="2"/>
        <v>4U29FN4VP22OVR</v>
      </c>
      <c r="C19" s="4" t="s">
        <v>501</v>
      </c>
      <c r="D19" s="4" t="s">
        <v>50</v>
      </c>
      <c r="E19" s="4" t="s">
        <v>28</v>
      </c>
      <c r="F19" s="4" t="s">
        <v>29</v>
      </c>
      <c r="G19" s="5">
        <v>45992</v>
      </c>
      <c r="H19" s="5">
        <v>45992</v>
      </c>
      <c r="I19" s="4">
        <v>20411454</v>
      </c>
      <c r="J19" s="4" t="s">
        <v>32</v>
      </c>
      <c r="K19" s="4" t="s">
        <v>610</v>
      </c>
      <c r="L19" s="4" t="s">
        <v>34</v>
      </c>
      <c r="M19" s="4">
        <v>40.67</v>
      </c>
      <c r="N19" s="4">
        <v>11.25</v>
      </c>
      <c r="O19" s="4" t="s">
        <v>604</v>
      </c>
      <c r="Q19" s="4">
        <f>135/12</f>
        <v>11.25</v>
      </c>
      <c r="T19" s="4" t="s">
        <v>612</v>
      </c>
      <c r="U19" s="4" t="s">
        <v>613</v>
      </c>
      <c r="V19" s="2" t="str">
        <f t="shared" si="0"/>
        <v>DAVID SMILEY</v>
      </c>
    </row>
    <row r="20" spans="1:22" s="4" customFormat="1" x14ac:dyDescent="0.25">
      <c r="A20" s="4" t="s">
        <v>70</v>
      </c>
      <c r="B20" s="4" t="str">
        <f t="shared" si="2"/>
        <v>5UG8M60JY63OVR</v>
      </c>
      <c r="C20" s="4" t="s">
        <v>72</v>
      </c>
      <c r="D20" s="4" t="s">
        <v>50</v>
      </c>
      <c r="E20" s="4" t="s">
        <v>28</v>
      </c>
      <c r="F20" s="4" t="s">
        <v>29</v>
      </c>
      <c r="G20" s="5">
        <v>46023</v>
      </c>
      <c r="H20" s="5">
        <v>46023</v>
      </c>
      <c r="I20" s="4">
        <v>20411454</v>
      </c>
      <c r="J20" s="4" t="s">
        <v>32</v>
      </c>
      <c r="K20" s="4" t="s">
        <v>610</v>
      </c>
      <c r="L20" s="4" t="s">
        <v>34</v>
      </c>
      <c r="M20" s="4">
        <v>65</v>
      </c>
      <c r="N20" s="4">
        <v>65</v>
      </c>
      <c r="O20" s="4" t="s">
        <v>604</v>
      </c>
      <c r="T20" s="4" t="s">
        <v>634</v>
      </c>
      <c r="U20" s="4" t="s">
        <v>635</v>
      </c>
      <c r="V20" s="2" t="str">
        <f t="shared" si="0"/>
        <v>KENNETH BARTO</v>
      </c>
    </row>
    <row r="21" spans="1:22" s="4" customFormat="1" x14ac:dyDescent="0.25">
      <c r="A21" s="4" t="s">
        <v>132</v>
      </c>
      <c r="B21" s="4" t="str">
        <f t="shared" si="2"/>
        <v>6XY5F11VK66OVR</v>
      </c>
      <c r="C21" s="4" t="s">
        <v>134</v>
      </c>
      <c r="D21" s="4" t="s">
        <v>50</v>
      </c>
      <c r="E21" s="4" t="s">
        <v>28</v>
      </c>
      <c r="F21" s="4" t="s">
        <v>29</v>
      </c>
      <c r="G21" s="5">
        <v>46023</v>
      </c>
      <c r="H21" s="5">
        <v>46023</v>
      </c>
      <c r="I21" s="4">
        <v>20411454</v>
      </c>
      <c r="J21" s="4" t="s">
        <v>32</v>
      </c>
      <c r="K21" s="4" t="s">
        <v>610</v>
      </c>
      <c r="L21" s="4" t="s">
        <v>34</v>
      </c>
      <c r="M21" s="4">
        <v>65</v>
      </c>
      <c r="N21" s="4">
        <v>65</v>
      </c>
      <c r="O21" s="4" t="s">
        <v>604</v>
      </c>
      <c r="T21" s="4" t="s">
        <v>636</v>
      </c>
      <c r="U21" s="4" t="s">
        <v>637</v>
      </c>
      <c r="V21" s="2" t="str">
        <f t="shared" si="0"/>
        <v>GEORGIA BURGESS</v>
      </c>
    </row>
    <row r="22" spans="1:22" s="4" customFormat="1" x14ac:dyDescent="0.25">
      <c r="A22" s="4" t="s">
        <v>168</v>
      </c>
      <c r="B22" s="4" t="str">
        <f t="shared" si="2"/>
        <v>3P46G02EN73OVR</v>
      </c>
      <c r="C22" s="4" t="s">
        <v>170</v>
      </c>
      <c r="D22" s="4" t="s">
        <v>50</v>
      </c>
      <c r="E22" s="4" t="s">
        <v>28</v>
      </c>
      <c r="F22" s="4" t="s">
        <v>29</v>
      </c>
      <c r="G22" s="5">
        <v>46023</v>
      </c>
      <c r="H22" s="5">
        <v>46023</v>
      </c>
      <c r="I22" s="4">
        <v>20411454</v>
      </c>
      <c r="J22" s="4" t="s">
        <v>32</v>
      </c>
      <c r="K22" s="4" t="s">
        <v>610</v>
      </c>
      <c r="L22" s="4" t="s">
        <v>34</v>
      </c>
      <c r="M22" s="4">
        <v>65</v>
      </c>
      <c r="N22" s="4">
        <v>65</v>
      </c>
      <c r="O22" s="4" t="s">
        <v>604</v>
      </c>
      <c r="T22" s="4" t="s">
        <v>638</v>
      </c>
      <c r="U22" s="4" t="s">
        <v>639</v>
      </c>
      <c r="V22" s="2" t="str">
        <f t="shared" si="0"/>
        <v>KERI DOLAN</v>
      </c>
    </row>
    <row r="23" spans="1:22" s="4" customFormat="1" x14ac:dyDescent="0.25">
      <c r="A23" s="4" t="s">
        <v>308</v>
      </c>
      <c r="B23" s="4" t="str">
        <f t="shared" si="2"/>
        <v>5R39T40MH00OVR</v>
      </c>
      <c r="C23" s="4" t="s">
        <v>310</v>
      </c>
      <c r="D23" s="4" t="s">
        <v>50</v>
      </c>
      <c r="E23" s="4" t="s">
        <v>28</v>
      </c>
      <c r="F23" s="4" t="s">
        <v>29</v>
      </c>
      <c r="G23" s="5">
        <v>46023</v>
      </c>
      <c r="H23" s="5">
        <v>46023</v>
      </c>
      <c r="I23" s="4">
        <v>20411454</v>
      </c>
      <c r="J23" s="4" t="s">
        <v>32</v>
      </c>
      <c r="K23" s="4" t="s">
        <v>610</v>
      </c>
      <c r="L23" s="4" t="s">
        <v>34</v>
      </c>
      <c r="M23" s="4">
        <v>65</v>
      </c>
      <c r="N23" s="4">
        <v>65</v>
      </c>
      <c r="O23" s="4" t="s">
        <v>604</v>
      </c>
      <c r="T23" s="4" t="s">
        <v>640</v>
      </c>
      <c r="U23" s="4" t="s">
        <v>641</v>
      </c>
      <c r="V23" s="2" t="str">
        <f t="shared" si="0"/>
        <v>TAMMY LUTZ</v>
      </c>
    </row>
    <row r="24" spans="1:22" s="4" customFormat="1" x14ac:dyDescent="0.25">
      <c r="A24" s="4" t="s">
        <v>338</v>
      </c>
      <c r="B24" s="4" t="str">
        <f t="shared" si="2"/>
        <v>4AG7RM4MT20OVR</v>
      </c>
      <c r="C24" s="4" t="s">
        <v>340</v>
      </c>
      <c r="D24" s="4" t="s">
        <v>50</v>
      </c>
      <c r="E24" s="4" t="s">
        <v>28</v>
      </c>
      <c r="F24" s="4" t="s">
        <v>29</v>
      </c>
      <c r="G24" s="5">
        <v>46023</v>
      </c>
      <c r="H24" s="5">
        <v>46023</v>
      </c>
      <c r="I24" s="4">
        <v>20411454</v>
      </c>
      <c r="J24" s="4" t="s">
        <v>32</v>
      </c>
      <c r="K24" s="4" t="s">
        <v>610</v>
      </c>
      <c r="L24" s="4" t="s">
        <v>34</v>
      </c>
      <c r="M24" s="4">
        <v>65</v>
      </c>
      <c r="N24" s="4">
        <v>65</v>
      </c>
      <c r="O24" s="4" t="s">
        <v>604</v>
      </c>
      <c r="T24" s="4" t="s">
        <v>642</v>
      </c>
      <c r="U24" s="4" t="s">
        <v>643</v>
      </c>
      <c r="V24" s="2" t="str">
        <f t="shared" si="0"/>
        <v>ROBERT MCCANDLESS</v>
      </c>
    </row>
    <row r="25" spans="1:22" s="4" customFormat="1" x14ac:dyDescent="0.25">
      <c r="A25" s="4" t="s">
        <v>370</v>
      </c>
      <c r="B25" s="4" t="str">
        <f t="shared" si="2"/>
        <v>8K36MR0UY41OVR</v>
      </c>
      <c r="C25" s="4" t="s">
        <v>372</v>
      </c>
      <c r="D25" s="4" t="s">
        <v>50</v>
      </c>
      <c r="E25" s="4" t="s">
        <v>28</v>
      </c>
      <c r="F25" s="4" t="s">
        <v>29</v>
      </c>
      <c r="G25" s="5">
        <v>46023</v>
      </c>
      <c r="H25" s="5">
        <v>46023</v>
      </c>
      <c r="I25" s="4">
        <v>20411454</v>
      </c>
      <c r="J25" s="4" t="s">
        <v>32</v>
      </c>
      <c r="K25" s="4" t="s">
        <v>610</v>
      </c>
      <c r="L25" s="4" t="s">
        <v>34</v>
      </c>
      <c r="M25" s="4">
        <v>65</v>
      </c>
      <c r="N25" s="4">
        <v>65</v>
      </c>
      <c r="O25" s="4" t="s">
        <v>604</v>
      </c>
      <c r="T25" s="4" t="s">
        <v>644</v>
      </c>
      <c r="U25" s="4" t="s">
        <v>645</v>
      </c>
      <c r="V25" s="2" t="str">
        <f t="shared" si="0"/>
        <v>ANTHONY MORAN</v>
      </c>
    </row>
    <row r="26" spans="1:22" s="4" customFormat="1" x14ac:dyDescent="0.25">
      <c r="A26" s="4" t="s">
        <v>373</v>
      </c>
      <c r="B26" s="4" t="str">
        <f t="shared" si="2"/>
        <v>6YR4GA1QC63OVR</v>
      </c>
      <c r="C26" s="4" t="s">
        <v>375</v>
      </c>
      <c r="D26" s="4" t="s">
        <v>50</v>
      </c>
      <c r="E26" s="4" t="s">
        <v>28</v>
      </c>
      <c r="F26" s="4" t="s">
        <v>29</v>
      </c>
      <c r="G26" s="5">
        <v>46023</v>
      </c>
      <c r="H26" s="5">
        <v>46023</v>
      </c>
      <c r="I26" s="4">
        <v>20411454</v>
      </c>
      <c r="J26" s="4" t="s">
        <v>32</v>
      </c>
      <c r="K26" s="4" t="s">
        <v>610</v>
      </c>
      <c r="L26" s="4" t="s">
        <v>34</v>
      </c>
      <c r="M26" s="4">
        <v>65</v>
      </c>
      <c r="N26" s="4">
        <v>65</v>
      </c>
      <c r="O26" s="4" t="s">
        <v>604</v>
      </c>
      <c r="T26" s="4" t="s">
        <v>646</v>
      </c>
      <c r="U26" s="4" t="s">
        <v>647</v>
      </c>
      <c r="V26" s="2" t="str">
        <f t="shared" si="0"/>
        <v>JONATHAN NEWELL</v>
      </c>
    </row>
    <row r="27" spans="1:22" s="4" customFormat="1" x14ac:dyDescent="0.25">
      <c r="A27" s="4" t="s">
        <v>400</v>
      </c>
      <c r="B27" s="4" t="str">
        <f t="shared" si="2"/>
        <v>2PC8M96YM38OVR</v>
      </c>
      <c r="C27" s="4" t="s">
        <v>402</v>
      </c>
      <c r="D27" s="4" t="s">
        <v>50</v>
      </c>
      <c r="E27" s="4" t="s">
        <v>28</v>
      </c>
      <c r="F27" s="4" t="s">
        <v>29</v>
      </c>
      <c r="G27" s="5">
        <v>46023</v>
      </c>
      <c r="H27" s="5">
        <v>46023</v>
      </c>
      <c r="I27" s="4">
        <v>20411454</v>
      </c>
      <c r="J27" s="4" t="s">
        <v>32</v>
      </c>
      <c r="K27" s="4" t="s">
        <v>610</v>
      </c>
      <c r="L27" s="4" t="s">
        <v>34</v>
      </c>
      <c r="M27" s="4">
        <v>65</v>
      </c>
      <c r="N27" s="4">
        <v>65</v>
      </c>
      <c r="O27" s="4" t="s">
        <v>604</v>
      </c>
      <c r="T27" s="4" t="s">
        <v>648</v>
      </c>
      <c r="U27" s="4" t="s">
        <v>649</v>
      </c>
      <c r="V27" s="2" t="str">
        <f t="shared" si="0"/>
        <v>JANE ORLUSKE</v>
      </c>
    </row>
    <row r="28" spans="1:22" s="4" customFormat="1" x14ac:dyDescent="0.25">
      <c r="A28" s="4" t="s">
        <v>404</v>
      </c>
      <c r="B28" s="4" t="str">
        <f t="shared" si="2"/>
        <v>3VG4N77AR87OVR</v>
      </c>
      <c r="C28" s="4" t="s">
        <v>406</v>
      </c>
      <c r="D28" s="4" t="s">
        <v>50</v>
      </c>
      <c r="E28" s="4" t="s">
        <v>28</v>
      </c>
      <c r="F28" s="4" t="s">
        <v>29</v>
      </c>
      <c r="G28" s="5">
        <v>46023</v>
      </c>
      <c r="H28" s="5">
        <v>46023</v>
      </c>
      <c r="I28" s="4">
        <v>20411454</v>
      </c>
      <c r="J28" s="4" t="s">
        <v>32</v>
      </c>
      <c r="K28" s="4" t="s">
        <v>610</v>
      </c>
      <c r="L28" s="4" t="s">
        <v>34</v>
      </c>
      <c r="M28" s="4">
        <v>65</v>
      </c>
      <c r="N28" s="4">
        <v>65</v>
      </c>
      <c r="O28" s="4" t="s">
        <v>604</v>
      </c>
      <c r="T28" s="4" t="s">
        <v>650</v>
      </c>
      <c r="U28" s="4" t="s">
        <v>651</v>
      </c>
      <c r="V28" s="2" t="str">
        <f t="shared" si="0"/>
        <v>MARCIA OSCHE</v>
      </c>
    </row>
    <row r="29" spans="1:22" s="4" customFormat="1" x14ac:dyDescent="0.25">
      <c r="A29" s="4" t="s">
        <v>418</v>
      </c>
      <c r="B29" s="4" t="str">
        <f t="shared" si="2"/>
        <v>5FT4WP9UQ94OVR</v>
      </c>
      <c r="C29" s="4" t="s">
        <v>420</v>
      </c>
      <c r="D29" s="4" t="s">
        <v>50</v>
      </c>
      <c r="E29" s="4" t="s">
        <v>28</v>
      </c>
      <c r="F29" s="4" t="s">
        <v>29</v>
      </c>
      <c r="G29" s="5">
        <v>46023</v>
      </c>
      <c r="H29" s="5">
        <v>46023</v>
      </c>
      <c r="I29" s="4">
        <v>20411454</v>
      </c>
      <c r="J29" s="4" t="s">
        <v>32</v>
      </c>
      <c r="K29" s="4" t="s">
        <v>610</v>
      </c>
      <c r="L29" s="4" t="s">
        <v>34</v>
      </c>
      <c r="M29" s="4">
        <v>65</v>
      </c>
      <c r="N29" s="4">
        <v>65</v>
      </c>
      <c r="O29" s="4" t="s">
        <v>604</v>
      </c>
      <c r="T29" s="4" t="s">
        <v>652</v>
      </c>
      <c r="U29" s="4" t="s">
        <v>653</v>
      </c>
      <c r="V29" s="2" t="str">
        <f t="shared" si="0"/>
        <v>SHEILA POWERS</v>
      </c>
    </row>
    <row r="30" spans="1:22" s="4" customFormat="1" x14ac:dyDescent="0.25">
      <c r="A30" s="4" t="s">
        <v>421</v>
      </c>
      <c r="B30" s="4" t="str">
        <f t="shared" si="2"/>
        <v>4HE7JY3ER35OVR</v>
      </c>
      <c r="C30" s="4" t="s">
        <v>423</v>
      </c>
      <c r="D30" s="4" t="s">
        <v>50</v>
      </c>
      <c r="E30" s="4" t="s">
        <v>28</v>
      </c>
      <c r="F30" s="4" t="s">
        <v>29</v>
      </c>
      <c r="G30" s="5">
        <v>46023</v>
      </c>
      <c r="H30" s="5">
        <v>46023</v>
      </c>
      <c r="I30" s="4">
        <v>20411454</v>
      </c>
      <c r="J30" s="4" t="s">
        <v>32</v>
      </c>
      <c r="K30" s="4" t="s">
        <v>610</v>
      </c>
      <c r="L30" s="4" t="s">
        <v>34</v>
      </c>
      <c r="M30" s="4">
        <v>65</v>
      </c>
      <c r="N30" s="4">
        <v>65</v>
      </c>
      <c r="O30" s="4" t="s">
        <v>604</v>
      </c>
      <c r="T30" s="4" t="s">
        <v>652</v>
      </c>
      <c r="U30" s="4" t="s">
        <v>654</v>
      </c>
      <c r="V30" s="2" t="str">
        <f t="shared" si="0"/>
        <v>THOMAS POWERS</v>
      </c>
    </row>
    <row r="31" spans="1:22" s="4" customFormat="1" x14ac:dyDescent="0.25">
      <c r="A31" s="4" t="s">
        <v>469</v>
      </c>
      <c r="B31" s="4" t="str">
        <f t="shared" si="2"/>
        <v>5G95AP3AE71OVR</v>
      </c>
      <c r="C31" s="4" t="s">
        <v>471</v>
      </c>
      <c r="D31" s="4" t="s">
        <v>50</v>
      </c>
      <c r="E31" s="4" t="s">
        <v>28</v>
      </c>
      <c r="F31" s="4" t="s">
        <v>29</v>
      </c>
      <c r="G31" s="5">
        <v>46023</v>
      </c>
      <c r="H31" s="5">
        <v>46023</v>
      </c>
      <c r="I31" s="4">
        <v>20411454</v>
      </c>
      <c r="J31" s="4" t="s">
        <v>32</v>
      </c>
      <c r="K31" s="4" t="s">
        <v>610</v>
      </c>
      <c r="L31" s="4" t="s">
        <v>34</v>
      </c>
      <c r="M31" s="4">
        <v>65</v>
      </c>
      <c r="N31" s="4">
        <v>65</v>
      </c>
      <c r="O31" s="4" t="s">
        <v>604</v>
      </c>
      <c r="T31" s="4" t="s">
        <v>655</v>
      </c>
      <c r="U31" s="4" t="s">
        <v>615</v>
      </c>
      <c r="V31" s="2" t="str">
        <f t="shared" si="0"/>
        <v>WILLIAM RUSSELL</v>
      </c>
    </row>
    <row r="32" spans="1:22" s="4" customFormat="1" x14ac:dyDescent="0.25">
      <c r="A32" s="4" t="s">
        <v>473</v>
      </c>
      <c r="B32" s="4" t="str">
        <f t="shared" si="2"/>
        <v>2TH9YN9YM54OVR</v>
      </c>
      <c r="C32" s="4" t="s">
        <v>475</v>
      </c>
      <c r="D32" s="4" t="s">
        <v>50</v>
      </c>
      <c r="E32" s="4" t="s">
        <v>28</v>
      </c>
      <c r="F32" s="4" t="s">
        <v>29</v>
      </c>
      <c r="G32" s="5">
        <v>46023</v>
      </c>
      <c r="H32" s="5">
        <v>46023</v>
      </c>
      <c r="I32" s="4">
        <v>20411454</v>
      </c>
      <c r="J32" s="4" t="s">
        <v>32</v>
      </c>
      <c r="K32" s="4" t="s">
        <v>610</v>
      </c>
      <c r="L32" s="4" t="s">
        <v>34</v>
      </c>
      <c r="M32" s="4">
        <v>65</v>
      </c>
      <c r="N32" s="4">
        <v>65</v>
      </c>
      <c r="O32" s="4" t="s">
        <v>604</v>
      </c>
      <c r="T32" s="4" t="s">
        <v>656</v>
      </c>
      <c r="U32" s="4" t="s">
        <v>657</v>
      </c>
      <c r="V32" s="2" t="str">
        <f t="shared" si="0"/>
        <v>JACOB SCHAFFNER</v>
      </c>
    </row>
    <row r="33" spans="1:24" s="2" customFormat="1" x14ac:dyDescent="0.25">
      <c r="A33" s="4" t="s">
        <v>477</v>
      </c>
      <c r="B33" s="4" t="str">
        <f t="shared" si="2"/>
        <v>6VW7V65JM74OVR</v>
      </c>
      <c r="C33" s="4" t="s">
        <v>479</v>
      </c>
      <c r="D33" s="4" t="s">
        <v>50</v>
      </c>
      <c r="E33" s="4" t="s">
        <v>28</v>
      </c>
      <c r="F33" s="4" t="s">
        <v>29</v>
      </c>
      <c r="G33" s="5">
        <v>46023</v>
      </c>
      <c r="H33" s="5">
        <v>46023</v>
      </c>
      <c r="I33" s="4">
        <v>20411454</v>
      </c>
      <c r="J33" s="4" t="s">
        <v>32</v>
      </c>
      <c r="K33" s="4" t="s">
        <v>610</v>
      </c>
      <c r="L33" s="4" t="s">
        <v>34</v>
      </c>
      <c r="M33" s="4">
        <v>65</v>
      </c>
      <c r="N33" s="4">
        <v>65</v>
      </c>
      <c r="O33" s="4" t="s">
        <v>604</v>
      </c>
      <c r="P33" s="4"/>
      <c r="Q33" s="4"/>
      <c r="R33" s="4"/>
      <c r="S33" s="4"/>
      <c r="T33" s="4" t="s">
        <v>658</v>
      </c>
      <c r="U33" s="4" t="s">
        <v>659</v>
      </c>
      <c r="V33" s="2" t="str">
        <f t="shared" si="0"/>
        <v>CHRISTENA SEYBERT</v>
      </c>
      <c r="W33" s="4"/>
      <c r="X33" s="4"/>
    </row>
    <row r="34" spans="1:24" s="4" customFormat="1" x14ac:dyDescent="0.25">
      <c r="A34" s="4" t="s">
        <v>503</v>
      </c>
      <c r="B34" s="4" t="str">
        <f t="shared" si="2"/>
        <v>8GW7M03KR59OVR</v>
      </c>
      <c r="C34" s="4" t="s">
        <v>505</v>
      </c>
      <c r="D34" s="4" t="s">
        <v>50</v>
      </c>
      <c r="E34" s="4" t="s">
        <v>28</v>
      </c>
      <c r="F34" s="4" t="s">
        <v>314</v>
      </c>
      <c r="G34" s="5">
        <v>46023</v>
      </c>
      <c r="H34" s="5">
        <v>46023</v>
      </c>
      <c r="I34" s="4">
        <v>20411454</v>
      </c>
      <c r="J34" s="4" t="s">
        <v>32</v>
      </c>
      <c r="K34" s="4" t="s">
        <v>610</v>
      </c>
      <c r="L34" s="4" t="s">
        <v>34</v>
      </c>
      <c r="M34" s="4">
        <v>65</v>
      </c>
      <c r="N34" s="4">
        <v>65</v>
      </c>
      <c r="O34" s="4" t="s">
        <v>604</v>
      </c>
      <c r="T34" s="4" t="s">
        <v>660</v>
      </c>
      <c r="U34" s="4" t="s">
        <v>654</v>
      </c>
      <c r="V34" s="2" t="str">
        <f t="shared" si="0"/>
        <v>THOMAS SMITH</v>
      </c>
    </row>
    <row r="35" spans="1:24" s="4" customFormat="1" x14ac:dyDescent="0.25">
      <c r="A35" s="4" t="s">
        <v>394</v>
      </c>
      <c r="B35" s="4" t="str">
        <f t="shared" si="2"/>
        <v>6QA2PP6CY90OVR</v>
      </c>
      <c r="C35" s="4" t="s">
        <v>396</v>
      </c>
      <c r="D35" s="4" t="s">
        <v>397</v>
      </c>
      <c r="E35" s="4" t="s">
        <v>28</v>
      </c>
      <c r="F35" s="4" t="s">
        <v>29</v>
      </c>
      <c r="G35" s="5">
        <v>45962</v>
      </c>
      <c r="H35" s="5">
        <v>45962</v>
      </c>
      <c r="I35" s="4">
        <v>20411454</v>
      </c>
      <c r="J35" s="4" t="s">
        <v>32</v>
      </c>
      <c r="K35" s="4" t="s">
        <v>610</v>
      </c>
      <c r="L35" s="4" t="s">
        <v>34</v>
      </c>
      <c r="M35" s="4">
        <v>77.17</v>
      </c>
      <c r="N35" s="4">
        <v>25</v>
      </c>
      <c r="O35" s="4" t="s">
        <v>604</v>
      </c>
      <c r="Q35" s="4">
        <f>313/12*2</f>
        <v>52.166666666666664</v>
      </c>
      <c r="R35" s="4">
        <f>150/12*2</f>
        <v>25</v>
      </c>
      <c r="T35" s="4" t="s">
        <v>620</v>
      </c>
      <c r="U35" s="4" t="s">
        <v>617</v>
      </c>
      <c r="V35" s="2" t="str">
        <f t="shared" si="0"/>
        <v>RICHARD OLSON</v>
      </c>
    </row>
    <row r="36" spans="1:24" s="4" customFormat="1" x14ac:dyDescent="0.25">
      <c r="A36" s="4" t="s">
        <v>354</v>
      </c>
      <c r="B36" s="4" t="str">
        <f t="shared" si="2"/>
        <v>4EC7JW7UE53OVR</v>
      </c>
      <c r="C36" s="4" t="s">
        <v>356</v>
      </c>
      <c r="D36" s="4" t="s">
        <v>357</v>
      </c>
      <c r="E36" s="4" t="s">
        <v>28</v>
      </c>
      <c r="F36" s="4" t="s">
        <v>29</v>
      </c>
      <c r="G36" s="5">
        <v>46054</v>
      </c>
      <c r="H36" s="5">
        <v>46054</v>
      </c>
      <c r="I36" s="4">
        <v>20411454</v>
      </c>
      <c r="J36" s="4" t="s">
        <v>32</v>
      </c>
      <c r="K36" s="4" t="s">
        <v>610</v>
      </c>
      <c r="L36" s="4" t="s">
        <v>34</v>
      </c>
      <c r="M36" s="4">
        <v>123.75</v>
      </c>
      <c r="N36" s="4">
        <v>123.75</v>
      </c>
      <c r="O36" s="4" t="s">
        <v>604</v>
      </c>
      <c r="T36" s="4" t="s">
        <v>627</v>
      </c>
      <c r="U36" s="4" t="s">
        <v>661</v>
      </c>
      <c r="V36" s="2" t="str">
        <f t="shared" si="0"/>
        <v>JANET MILLER</v>
      </c>
    </row>
    <row r="37" spans="1:24" s="4" customFormat="1" x14ac:dyDescent="0.25">
      <c r="A37" s="4" t="s">
        <v>407</v>
      </c>
      <c r="B37" s="4" t="str">
        <f t="shared" si="2"/>
        <v>2W33WD4UQ94OVR</v>
      </c>
      <c r="C37" s="4" t="s">
        <v>409</v>
      </c>
      <c r="D37" s="4" t="s">
        <v>410</v>
      </c>
      <c r="E37" s="4" t="s">
        <v>28</v>
      </c>
      <c r="F37" s="4" t="s">
        <v>29</v>
      </c>
      <c r="G37" s="5">
        <v>46023</v>
      </c>
      <c r="H37" s="5">
        <v>46023</v>
      </c>
      <c r="I37" s="4">
        <v>20411454</v>
      </c>
      <c r="J37" s="4" t="s">
        <v>32</v>
      </c>
      <c r="K37" s="4" t="s">
        <v>610</v>
      </c>
      <c r="L37" s="4" t="s">
        <v>351</v>
      </c>
      <c r="M37" s="4">
        <v>125</v>
      </c>
      <c r="N37" s="4">
        <v>125</v>
      </c>
      <c r="O37" s="4" t="s">
        <v>604</v>
      </c>
      <c r="T37" s="4" t="s">
        <v>662</v>
      </c>
      <c r="U37" s="4" t="s">
        <v>663</v>
      </c>
      <c r="V37" s="2" t="str">
        <f t="shared" si="0"/>
        <v>JUDY PHELPS</v>
      </c>
    </row>
    <row r="38" spans="1:24" s="4" customFormat="1" x14ac:dyDescent="0.25">
      <c r="A38" s="4" t="s">
        <v>24</v>
      </c>
      <c r="B38" s="4" t="str">
        <f t="shared" si="2"/>
        <v>4MN8WA0UY10OVR</v>
      </c>
      <c r="C38" s="4" t="s">
        <v>26</v>
      </c>
      <c r="D38" s="4" t="s">
        <v>27</v>
      </c>
      <c r="E38" s="4" t="s">
        <v>28</v>
      </c>
      <c r="F38" s="4" t="s">
        <v>29</v>
      </c>
      <c r="G38" s="5">
        <v>46023</v>
      </c>
      <c r="H38" s="5">
        <v>46023</v>
      </c>
      <c r="I38" s="4">
        <v>20411454</v>
      </c>
      <c r="J38" s="4" t="s">
        <v>32</v>
      </c>
      <c r="K38" s="4" t="s">
        <v>610</v>
      </c>
      <c r="L38" s="4" t="s">
        <v>34</v>
      </c>
      <c r="M38" s="4">
        <v>135</v>
      </c>
      <c r="N38" s="4">
        <v>135</v>
      </c>
      <c r="O38" s="4" t="s">
        <v>604</v>
      </c>
      <c r="T38" s="4" t="s">
        <v>664</v>
      </c>
      <c r="U38" s="4" t="s">
        <v>665</v>
      </c>
      <c r="V38" s="2" t="str">
        <f t="shared" si="0"/>
        <v>DALE ALLEN</v>
      </c>
    </row>
    <row r="39" spans="1:24" s="4" customFormat="1" x14ac:dyDescent="0.25">
      <c r="A39" s="4" t="s">
        <v>37</v>
      </c>
      <c r="B39" s="4" t="str">
        <f t="shared" si="2"/>
        <v>1E57CC0VN34OVR</v>
      </c>
      <c r="C39" s="4" t="s">
        <v>39</v>
      </c>
      <c r="D39" s="4" t="s">
        <v>27</v>
      </c>
      <c r="E39" s="4" t="s">
        <v>28</v>
      </c>
      <c r="F39" s="4" t="s">
        <v>29</v>
      </c>
      <c r="G39" s="5">
        <v>46023</v>
      </c>
      <c r="H39" s="5">
        <v>46023</v>
      </c>
      <c r="I39" s="4">
        <v>20411454</v>
      </c>
      <c r="J39" s="4" t="s">
        <v>32</v>
      </c>
      <c r="K39" s="4" t="s">
        <v>610</v>
      </c>
      <c r="L39" s="4" t="s">
        <v>34</v>
      </c>
      <c r="M39" s="4">
        <v>135</v>
      </c>
      <c r="N39" s="4">
        <v>135</v>
      </c>
      <c r="O39" s="4" t="s">
        <v>604</v>
      </c>
      <c r="T39" s="4" t="s">
        <v>666</v>
      </c>
      <c r="U39" s="4" t="s">
        <v>667</v>
      </c>
      <c r="V39" s="2" t="str">
        <f t="shared" si="0"/>
        <v>MARIANNE ALLERS</v>
      </c>
    </row>
    <row r="40" spans="1:24" s="4" customFormat="1" x14ac:dyDescent="0.25">
      <c r="A40" s="4" t="s">
        <v>41</v>
      </c>
      <c r="B40" s="4" t="str">
        <f t="shared" si="2"/>
        <v>5N19TP6FD52OVR</v>
      </c>
      <c r="C40" s="4" t="s">
        <v>43</v>
      </c>
      <c r="D40" s="4" t="s">
        <v>27</v>
      </c>
      <c r="E40" s="4" t="s">
        <v>28</v>
      </c>
      <c r="F40" s="4" t="s">
        <v>29</v>
      </c>
      <c r="G40" s="5">
        <v>46023</v>
      </c>
      <c r="H40" s="5">
        <v>46023</v>
      </c>
      <c r="I40" s="4">
        <v>20411454</v>
      </c>
      <c r="J40" s="4" t="s">
        <v>32</v>
      </c>
      <c r="K40" s="4" t="s">
        <v>610</v>
      </c>
      <c r="L40" s="4" t="s">
        <v>34</v>
      </c>
      <c r="M40" s="4">
        <v>135</v>
      </c>
      <c r="N40" s="4">
        <v>135</v>
      </c>
      <c r="O40" s="4" t="s">
        <v>604</v>
      </c>
      <c r="T40" s="4" t="s">
        <v>668</v>
      </c>
      <c r="U40" s="4" t="s">
        <v>669</v>
      </c>
      <c r="V40" s="2" t="str">
        <f t="shared" si="0"/>
        <v>MARGUERITE ALSTON</v>
      </c>
    </row>
    <row r="41" spans="1:24" s="4" customFormat="1" x14ac:dyDescent="0.25">
      <c r="A41" s="4" t="s">
        <v>47</v>
      </c>
      <c r="B41" s="4" t="str">
        <f t="shared" si="2"/>
        <v>9T30GM8DF46OVR</v>
      </c>
      <c r="C41" s="4" t="s">
        <v>49</v>
      </c>
      <c r="D41" s="4" t="s">
        <v>50</v>
      </c>
      <c r="E41" s="4" t="s">
        <v>28</v>
      </c>
      <c r="F41" s="4" t="s">
        <v>29</v>
      </c>
      <c r="G41" s="5">
        <v>46023</v>
      </c>
      <c r="H41" s="5">
        <v>46023</v>
      </c>
      <c r="I41" s="4">
        <v>20411454</v>
      </c>
      <c r="J41" s="4" t="s">
        <v>32</v>
      </c>
      <c r="K41" s="4" t="s">
        <v>610</v>
      </c>
      <c r="L41" s="4" t="s">
        <v>34</v>
      </c>
      <c r="M41" s="4">
        <v>135</v>
      </c>
      <c r="N41" s="4">
        <v>135</v>
      </c>
      <c r="O41" s="4" t="s">
        <v>604</v>
      </c>
      <c r="T41" s="4" t="s">
        <v>670</v>
      </c>
      <c r="U41" s="4" t="s">
        <v>615</v>
      </c>
      <c r="V41" s="2" t="str">
        <f t="shared" si="0"/>
        <v>WILLIAM ALTMAN</v>
      </c>
    </row>
    <row r="42" spans="1:24" s="4" customFormat="1" x14ac:dyDescent="0.25">
      <c r="A42" s="4" t="s">
        <v>60</v>
      </c>
      <c r="B42" s="4" t="str">
        <f t="shared" si="2"/>
        <v>3Y83VW5KQ99OVR</v>
      </c>
      <c r="C42" s="4" t="s">
        <v>62</v>
      </c>
      <c r="D42" s="4" t="s">
        <v>27</v>
      </c>
      <c r="E42" s="4" t="s">
        <v>28</v>
      </c>
      <c r="F42" s="4" t="s">
        <v>29</v>
      </c>
      <c r="G42" s="5">
        <v>46023</v>
      </c>
      <c r="H42" s="5">
        <v>46023</v>
      </c>
      <c r="I42" s="4">
        <v>20411454</v>
      </c>
      <c r="J42" s="4" t="s">
        <v>32</v>
      </c>
      <c r="K42" s="4" t="s">
        <v>610</v>
      </c>
      <c r="L42" s="4" t="s">
        <v>34</v>
      </c>
      <c r="M42" s="4">
        <v>135</v>
      </c>
      <c r="N42" s="4">
        <v>135</v>
      </c>
      <c r="O42" s="4" t="s">
        <v>604</v>
      </c>
      <c r="T42" s="4" t="s">
        <v>671</v>
      </c>
      <c r="U42" s="4" t="s">
        <v>672</v>
      </c>
      <c r="V42" s="2" t="str">
        <f t="shared" si="0"/>
        <v>JAN ALVIS</v>
      </c>
    </row>
    <row r="43" spans="1:24" s="4" customFormat="1" x14ac:dyDescent="0.25">
      <c r="A43" s="4" t="s">
        <v>63</v>
      </c>
      <c r="B43" s="4" t="str">
        <f t="shared" si="2"/>
        <v>8MY6NH0FR61OVR</v>
      </c>
      <c r="C43" s="4" t="s">
        <v>65</v>
      </c>
      <c r="D43" s="4" t="s">
        <v>27</v>
      </c>
      <c r="E43" s="4" t="s">
        <v>28</v>
      </c>
      <c r="F43" s="4" t="s">
        <v>29</v>
      </c>
      <c r="G43" s="5">
        <v>46023</v>
      </c>
      <c r="H43" s="5">
        <v>46023</v>
      </c>
      <c r="I43" s="4">
        <v>20411454</v>
      </c>
      <c r="J43" s="4" t="s">
        <v>32</v>
      </c>
      <c r="K43" s="4" t="s">
        <v>610</v>
      </c>
      <c r="L43" s="4" t="s">
        <v>34</v>
      </c>
      <c r="M43" s="4">
        <v>135</v>
      </c>
      <c r="N43" s="4">
        <v>135</v>
      </c>
      <c r="O43" s="4" t="s">
        <v>604</v>
      </c>
      <c r="T43" s="4" t="s">
        <v>671</v>
      </c>
      <c r="U43" s="4" t="s">
        <v>673</v>
      </c>
      <c r="V43" s="2" t="str">
        <f t="shared" si="0"/>
        <v>JEFFERY ALVIS</v>
      </c>
    </row>
    <row r="44" spans="1:24" s="4" customFormat="1" x14ac:dyDescent="0.25">
      <c r="A44" s="4" t="s">
        <v>66</v>
      </c>
      <c r="B44" s="4" t="str">
        <f t="shared" si="2"/>
        <v>3A72HY1VE99OVR</v>
      </c>
      <c r="C44" s="4" t="s">
        <v>68</v>
      </c>
      <c r="D44" s="4" t="s">
        <v>27</v>
      </c>
      <c r="E44" s="4" t="s">
        <v>28</v>
      </c>
      <c r="F44" s="4" t="s">
        <v>29</v>
      </c>
      <c r="G44" s="5">
        <v>46023</v>
      </c>
      <c r="H44" s="5">
        <v>46023</v>
      </c>
      <c r="I44" s="4">
        <v>20411454</v>
      </c>
      <c r="J44" s="4" t="s">
        <v>32</v>
      </c>
      <c r="K44" s="4" t="s">
        <v>610</v>
      </c>
      <c r="L44" s="4" t="s">
        <v>34</v>
      </c>
      <c r="M44" s="4">
        <v>135</v>
      </c>
      <c r="N44" s="4">
        <v>135</v>
      </c>
      <c r="O44" s="4" t="s">
        <v>604</v>
      </c>
      <c r="T44" s="4" t="s">
        <v>674</v>
      </c>
      <c r="U44" s="4" t="s">
        <v>675</v>
      </c>
      <c r="V44" s="2" t="str">
        <f t="shared" si="0"/>
        <v>ORVILLE BARRINGER</v>
      </c>
    </row>
    <row r="45" spans="1:24" s="4" customFormat="1" x14ac:dyDescent="0.25">
      <c r="A45" s="4" t="s">
        <v>81</v>
      </c>
      <c r="B45" s="4" t="str">
        <f t="shared" si="2"/>
        <v>1U97MY2HF42OVR</v>
      </c>
      <c r="C45" s="4" t="s">
        <v>83</v>
      </c>
      <c r="D45" s="4" t="s">
        <v>27</v>
      </c>
      <c r="E45" s="4" t="s">
        <v>28</v>
      </c>
      <c r="F45" s="4" t="s">
        <v>29</v>
      </c>
      <c r="G45" s="5">
        <v>46023</v>
      </c>
      <c r="H45" s="5">
        <v>46023</v>
      </c>
      <c r="I45" s="4">
        <v>20411454</v>
      </c>
      <c r="J45" s="4" t="s">
        <v>32</v>
      </c>
      <c r="K45" s="4" t="s">
        <v>610</v>
      </c>
      <c r="L45" s="4" t="s">
        <v>34</v>
      </c>
      <c r="M45" s="4">
        <v>135</v>
      </c>
      <c r="N45" s="4">
        <v>135</v>
      </c>
      <c r="O45" s="4" t="s">
        <v>604</v>
      </c>
      <c r="T45" s="4" t="s">
        <v>676</v>
      </c>
      <c r="U45" s="4" t="s">
        <v>677</v>
      </c>
      <c r="V45" s="2" t="str">
        <f t="shared" si="0"/>
        <v>KEVIN BOHANNON</v>
      </c>
    </row>
    <row r="46" spans="1:24" s="4" customFormat="1" x14ac:dyDescent="0.25">
      <c r="A46" s="4" t="s">
        <v>90</v>
      </c>
      <c r="B46" s="4" t="str">
        <f t="shared" si="2"/>
        <v>6FC1V11UT34OVR</v>
      </c>
      <c r="C46" s="4" t="s">
        <v>92</v>
      </c>
      <c r="D46" s="4" t="s">
        <v>93</v>
      </c>
      <c r="E46" s="4" t="s">
        <v>28</v>
      </c>
      <c r="F46" s="4" t="s">
        <v>29</v>
      </c>
      <c r="G46" s="5">
        <v>46023</v>
      </c>
      <c r="H46" s="5">
        <v>46023</v>
      </c>
      <c r="I46" s="4">
        <v>20411454</v>
      </c>
      <c r="J46" s="4" t="s">
        <v>32</v>
      </c>
      <c r="K46" s="4" t="s">
        <v>610</v>
      </c>
      <c r="L46" s="4" t="s">
        <v>34</v>
      </c>
      <c r="M46" s="4">
        <v>135</v>
      </c>
      <c r="N46" s="4">
        <v>135</v>
      </c>
      <c r="O46" s="4" t="s">
        <v>604</v>
      </c>
      <c r="T46" s="4" t="s">
        <v>678</v>
      </c>
      <c r="U46" s="4" t="s">
        <v>635</v>
      </c>
      <c r="V46" s="2" t="str">
        <f t="shared" si="0"/>
        <v>KENNETH BRANDT</v>
      </c>
    </row>
    <row r="47" spans="1:24" s="4" customFormat="1" x14ac:dyDescent="0.25">
      <c r="A47" s="4" t="s">
        <v>97</v>
      </c>
      <c r="B47" s="4" t="str">
        <f t="shared" si="2"/>
        <v>9AU6HN2PN64OVR</v>
      </c>
      <c r="C47" s="4" t="s">
        <v>99</v>
      </c>
      <c r="D47" s="4" t="s">
        <v>93</v>
      </c>
      <c r="E47" s="4" t="s">
        <v>28</v>
      </c>
      <c r="F47" s="4" t="s">
        <v>29</v>
      </c>
      <c r="G47" s="5">
        <v>46023</v>
      </c>
      <c r="H47" s="5">
        <v>46023</v>
      </c>
      <c r="I47" s="4">
        <v>20411454</v>
      </c>
      <c r="J47" s="4" t="s">
        <v>32</v>
      </c>
      <c r="K47" s="4" t="s">
        <v>610</v>
      </c>
      <c r="L47" s="4" t="s">
        <v>34</v>
      </c>
      <c r="M47" s="4">
        <v>135</v>
      </c>
      <c r="N47" s="4">
        <v>135</v>
      </c>
      <c r="O47" s="4" t="s">
        <v>604</v>
      </c>
      <c r="T47" s="4" t="s">
        <v>678</v>
      </c>
      <c r="U47" s="4" t="s">
        <v>679</v>
      </c>
      <c r="V47" s="2" t="str">
        <f t="shared" si="0"/>
        <v>KATHRYN BRANDT</v>
      </c>
    </row>
    <row r="48" spans="1:24" s="4" customFormat="1" x14ac:dyDescent="0.25">
      <c r="A48" s="4" t="s">
        <v>106</v>
      </c>
      <c r="B48" s="4" t="str">
        <f t="shared" si="2"/>
        <v>3XR6F16GF46OVR</v>
      </c>
      <c r="C48" s="4" t="s">
        <v>108</v>
      </c>
      <c r="D48" s="4" t="s">
        <v>50</v>
      </c>
      <c r="E48" s="4" t="s">
        <v>28</v>
      </c>
      <c r="F48" s="4" t="s">
        <v>29</v>
      </c>
      <c r="G48" s="5">
        <v>46023</v>
      </c>
      <c r="H48" s="5">
        <v>46023</v>
      </c>
      <c r="I48" s="4">
        <v>20411454</v>
      </c>
      <c r="J48" s="4" t="s">
        <v>32</v>
      </c>
      <c r="K48" s="4" t="s">
        <v>610</v>
      </c>
      <c r="L48" s="4" t="s">
        <v>34</v>
      </c>
      <c r="M48" s="4">
        <v>135</v>
      </c>
      <c r="N48" s="4">
        <v>135</v>
      </c>
      <c r="O48" s="4" t="s">
        <v>604</v>
      </c>
      <c r="T48" s="4" t="s">
        <v>680</v>
      </c>
      <c r="U48" s="4" t="s">
        <v>681</v>
      </c>
      <c r="V48" s="2" t="str">
        <f t="shared" si="0"/>
        <v>DENNIS BRICKLEY</v>
      </c>
    </row>
    <row r="49" spans="1:22" s="4" customFormat="1" x14ac:dyDescent="0.25">
      <c r="A49" s="4" t="s">
        <v>118</v>
      </c>
      <c r="B49" s="4" t="str">
        <f t="shared" si="2"/>
        <v>4FV0WE5TK03OVR</v>
      </c>
      <c r="C49" s="4" t="s">
        <v>120</v>
      </c>
      <c r="D49" s="4" t="s">
        <v>121</v>
      </c>
      <c r="E49" s="4" t="s">
        <v>28</v>
      </c>
      <c r="F49" s="4" t="s">
        <v>29</v>
      </c>
      <c r="G49" s="5">
        <v>46023</v>
      </c>
      <c r="H49" s="5">
        <v>46023</v>
      </c>
      <c r="I49" s="4">
        <v>20411454</v>
      </c>
      <c r="J49" s="4" t="s">
        <v>124</v>
      </c>
      <c r="K49" s="4" t="s">
        <v>610</v>
      </c>
      <c r="L49" s="4" t="s">
        <v>34</v>
      </c>
      <c r="M49" s="4">
        <v>135</v>
      </c>
      <c r="N49" s="4">
        <v>135</v>
      </c>
      <c r="O49" s="4" t="s">
        <v>604</v>
      </c>
      <c r="T49" s="4" t="s">
        <v>682</v>
      </c>
      <c r="U49" s="4" t="s">
        <v>683</v>
      </c>
      <c r="V49" s="2" t="str">
        <f t="shared" si="0"/>
        <v>BRIANNA BROWN</v>
      </c>
    </row>
    <row r="50" spans="1:22" s="4" customFormat="1" x14ac:dyDescent="0.25">
      <c r="A50" s="4" t="s">
        <v>135</v>
      </c>
      <c r="B50" s="4" t="str">
        <f t="shared" si="2"/>
        <v>8GX1WT0VY36OVR</v>
      </c>
      <c r="C50" s="4" t="s">
        <v>137</v>
      </c>
      <c r="D50" s="4" t="s">
        <v>27</v>
      </c>
      <c r="E50" s="4" t="s">
        <v>28</v>
      </c>
      <c r="F50" s="4" t="s">
        <v>29</v>
      </c>
      <c r="G50" s="5">
        <v>46023</v>
      </c>
      <c r="H50" s="5">
        <v>46023</v>
      </c>
      <c r="I50" s="4">
        <v>20411454</v>
      </c>
      <c r="J50" s="4" t="s">
        <v>32</v>
      </c>
      <c r="K50" s="4" t="s">
        <v>610</v>
      </c>
      <c r="L50" s="4" t="s">
        <v>34</v>
      </c>
      <c r="M50" s="4">
        <v>135</v>
      </c>
      <c r="N50" s="4">
        <v>135</v>
      </c>
      <c r="O50" s="4" t="s">
        <v>604</v>
      </c>
      <c r="T50" s="4" t="s">
        <v>684</v>
      </c>
      <c r="U50" s="4" t="s">
        <v>685</v>
      </c>
      <c r="V50" s="2" t="str">
        <f t="shared" si="0"/>
        <v>KAREN CAMP</v>
      </c>
    </row>
    <row r="51" spans="1:22" s="4" customFormat="1" x14ac:dyDescent="0.25">
      <c r="A51" s="4" t="s">
        <v>139</v>
      </c>
      <c r="B51" s="4" t="str">
        <f t="shared" si="2"/>
        <v>6W64NW9RJ72OVR</v>
      </c>
      <c r="C51" s="4" t="s">
        <v>141</v>
      </c>
      <c r="D51" s="4" t="s">
        <v>27</v>
      </c>
      <c r="E51" s="4" t="s">
        <v>28</v>
      </c>
      <c r="F51" s="4" t="s">
        <v>29</v>
      </c>
      <c r="G51" s="5">
        <v>46023</v>
      </c>
      <c r="H51" s="5">
        <v>46023</v>
      </c>
      <c r="I51" s="4">
        <v>20411454</v>
      </c>
      <c r="J51" s="4" t="s">
        <v>32</v>
      </c>
      <c r="K51" s="4" t="s">
        <v>610</v>
      </c>
      <c r="L51" s="4" t="s">
        <v>34</v>
      </c>
      <c r="M51" s="4">
        <v>135</v>
      </c>
      <c r="N51" s="4">
        <v>135</v>
      </c>
      <c r="O51" s="4" t="s">
        <v>604</v>
      </c>
      <c r="T51" s="4" t="s">
        <v>686</v>
      </c>
      <c r="U51" s="4" t="s">
        <v>631</v>
      </c>
      <c r="V51" s="2" t="str">
        <f t="shared" si="0"/>
        <v>MARJORIE CAMPBELL</v>
      </c>
    </row>
    <row r="52" spans="1:22" s="4" customFormat="1" x14ac:dyDescent="0.25">
      <c r="A52" s="4" t="s">
        <v>143</v>
      </c>
      <c r="B52" s="4" t="str">
        <f t="shared" si="2"/>
        <v>7G33E98JU97OVR</v>
      </c>
      <c r="C52" s="4" t="s">
        <v>145</v>
      </c>
      <c r="D52" s="4" t="s">
        <v>27</v>
      </c>
      <c r="E52" s="4" t="s">
        <v>28</v>
      </c>
      <c r="F52" s="4" t="s">
        <v>29</v>
      </c>
      <c r="G52" s="5">
        <v>46023</v>
      </c>
      <c r="H52" s="5">
        <v>46023</v>
      </c>
      <c r="I52" s="4">
        <v>20411454</v>
      </c>
      <c r="J52" s="4" t="s">
        <v>32</v>
      </c>
      <c r="K52" s="4" t="s">
        <v>610</v>
      </c>
      <c r="L52" s="4" t="s">
        <v>34</v>
      </c>
      <c r="M52" s="4">
        <v>135</v>
      </c>
      <c r="N52" s="4">
        <v>135</v>
      </c>
      <c r="O52" s="4" t="s">
        <v>604</v>
      </c>
      <c r="T52" s="4" t="s">
        <v>687</v>
      </c>
      <c r="U52" s="4" t="s">
        <v>617</v>
      </c>
      <c r="V52" s="2" t="str">
        <f t="shared" si="0"/>
        <v>RICHARD CIRRICIONE</v>
      </c>
    </row>
    <row r="53" spans="1:22" s="4" customFormat="1" x14ac:dyDescent="0.25">
      <c r="A53" s="4" t="s">
        <v>146</v>
      </c>
      <c r="B53" s="4" t="str">
        <f t="shared" si="2"/>
        <v>6GM8V11RV44OVR</v>
      </c>
      <c r="C53" s="4" t="s">
        <v>148</v>
      </c>
      <c r="D53" s="4" t="s">
        <v>27</v>
      </c>
      <c r="E53" s="4" t="s">
        <v>28</v>
      </c>
      <c r="F53" s="4" t="s">
        <v>29</v>
      </c>
      <c r="G53" s="5">
        <v>46023</v>
      </c>
      <c r="H53" s="5">
        <v>46023</v>
      </c>
      <c r="I53" s="4">
        <v>20411454</v>
      </c>
      <c r="J53" s="4" t="s">
        <v>32</v>
      </c>
      <c r="K53" s="4" t="s">
        <v>610</v>
      </c>
      <c r="L53" s="4" t="s">
        <v>34</v>
      </c>
      <c r="M53" s="4">
        <v>135</v>
      </c>
      <c r="N53" s="4">
        <v>135</v>
      </c>
      <c r="O53" s="4" t="s">
        <v>604</v>
      </c>
      <c r="T53" s="4" t="s">
        <v>688</v>
      </c>
      <c r="U53" s="4" t="s">
        <v>689</v>
      </c>
      <c r="V53" s="2" t="str">
        <f t="shared" si="0"/>
        <v>JOYCE COLCLASURE</v>
      </c>
    </row>
    <row r="54" spans="1:22" s="4" customFormat="1" x14ac:dyDescent="0.25">
      <c r="A54" s="4" t="s">
        <v>149</v>
      </c>
      <c r="B54" s="4" t="str">
        <f t="shared" si="2"/>
        <v>1PC3WT9EF83OVR</v>
      </c>
      <c r="C54" s="4" t="s">
        <v>151</v>
      </c>
      <c r="D54" s="4" t="s">
        <v>152</v>
      </c>
      <c r="E54" s="4" t="s">
        <v>28</v>
      </c>
      <c r="F54" s="4" t="s">
        <v>29</v>
      </c>
      <c r="G54" s="5">
        <v>46023</v>
      </c>
      <c r="H54" s="5">
        <v>46023</v>
      </c>
      <c r="I54" s="4">
        <v>20411454</v>
      </c>
      <c r="J54" s="4" t="s">
        <v>32</v>
      </c>
      <c r="K54" s="4" t="s">
        <v>610</v>
      </c>
      <c r="L54" s="4" t="s">
        <v>34</v>
      </c>
      <c r="M54" s="4">
        <v>135</v>
      </c>
      <c r="N54" s="4">
        <v>135</v>
      </c>
      <c r="O54" s="4" t="s">
        <v>604</v>
      </c>
      <c r="T54" s="4" t="s">
        <v>690</v>
      </c>
      <c r="U54" s="4" t="s">
        <v>691</v>
      </c>
      <c r="V54" s="2" t="str">
        <f t="shared" si="0"/>
        <v>DEBRA CROTEAU</v>
      </c>
    </row>
    <row r="55" spans="1:22" s="4" customFormat="1" x14ac:dyDescent="0.25">
      <c r="A55" s="4" t="s">
        <v>156</v>
      </c>
      <c r="B55" s="4" t="str">
        <f t="shared" si="2"/>
        <v>1HM8EN6AN30OVR</v>
      </c>
      <c r="C55" s="4" t="s">
        <v>158</v>
      </c>
      <c r="D55" s="4" t="s">
        <v>152</v>
      </c>
      <c r="E55" s="4" t="s">
        <v>28</v>
      </c>
      <c r="F55" s="4" t="s">
        <v>29</v>
      </c>
      <c r="G55" s="5">
        <v>46023</v>
      </c>
      <c r="H55" s="5">
        <v>46023</v>
      </c>
      <c r="I55" s="4">
        <v>20411454</v>
      </c>
      <c r="J55" s="4" t="s">
        <v>32</v>
      </c>
      <c r="K55" s="4" t="s">
        <v>610</v>
      </c>
      <c r="L55" s="4" t="s">
        <v>34</v>
      </c>
      <c r="M55" s="4">
        <v>135</v>
      </c>
      <c r="N55" s="4">
        <v>135</v>
      </c>
      <c r="O55" s="4" t="s">
        <v>604</v>
      </c>
      <c r="T55" s="4" t="s">
        <v>690</v>
      </c>
      <c r="U55" s="4" t="s">
        <v>692</v>
      </c>
      <c r="V55" s="2" t="str">
        <f t="shared" si="0"/>
        <v>RONALD CROTEAU</v>
      </c>
    </row>
    <row r="56" spans="1:22" s="4" customFormat="1" x14ac:dyDescent="0.25">
      <c r="A56" s="4" t="s">
        <v>159</v>
      </c>
      <c r="B56" s="4" t="str">
        <f t="shared" si="2"/>
        <v>4JV6DH5WV41OVR</v>
      </c>
      <c r="C56" s="4" t="s">
        <v>161</v>
      </c>
      <c r="D56" s="4" t="s">
        <v>93</v>
      </c>
      <c r="E56" s="4" t="s">
        <v>28</v>
      </c>
      <c r="F56" s="4" t="s">
        <v>29</v>
      </c>
      <c r="G56" s="5">
        <v>46023</v>
      </c>
      <c r="H56" s="5">
        <v>46023</v>
      </c>
      <c r="I56" s="4">
        <v>20411454</v>
      </c>
      <c r="J56" s="4" t="s">
        <v>32</v>
      </c>
      <c r="K56" s="4" t="s">
        <v>610</v>
      </c>
      <c r="L56" s="4" t="s">
        <v>34</v>
      </c>
      <c r="M56" s="4">
        <v>135</v>
      </c>
      <c r="N56" s="4">
        <v>135</v>
      </c>
      <c r="O56" s="4" t="s">
        <v>604</v>
      </c>
      <c r="T56" s="4" t="s">
        <v>832</v>
      </c>
      <c r="U56" s="4" t="s">
        <v>643</v>
      </c>
      <c r="V56" s="2" t="str">
        <f t="shared" si="0"/>
        <v>ROBERT DE KOLD</v>
      </c>
    </row>
    <row r="57" spans="1:22" s="4" customFormat="1" x14ac:dyDescent="0.25">
      <c r="A57" s="4" t="s">
        <v>171</v>
      </c>
      <c r="B57" s="4" t="str">
        <f t="shared" si="2"/>
        <v>2DR8WT5XQ24OVR</v>
      </c>
      <c r="C57" s="4" t="s">
        <v>173</v>
      </c>
      <c r="D57" s="4" t="s">
        <v>27</v>
      </c>
      <c r="E57" s="4" t="s">
        <v>28</v>
      </c>
      <c r="F57" s="4" t="s">
        <v>29</v>
      </c>
      <c r="G57" s="5">
        <v>46023</v>
      </c>
      <c r="H57" s="5">
        <v>46023</v>
      </c>
      <c r="I57" s="4">
        <v>20411454</v>
      </c>
      <c r="J57" s="4" t="s">
        <v>32</v>
      </c>
      <c r="K57" s="4" t="s">
        <v>610</v>
      </c>
      <c r="L57" s="4" t="s">
        <v>34</v>
      </c>
      <c r="M57" s="4">
        <v>135</v>
      </c>
      <c r="N57" s="4">
        <v>135</v>
      </c>
      <c r="O57" s="4" t="s">
        <v>604</v>
      </c>
      <c r="T57" s="4" t="s">
        <v>693</v>
      </c>
      <c r="U57" s="4" t="s">
        <v>694</v>
      </c>
      <c r="V57" s="2" t="str">
        <f t="shared" si="0"/>
        <v>DURAND DRESSEL</v>
      </c>
    </row>
    <row r="58" spans="1:22" s="4" customFormat="1" x14ac:dyDescent="0.25">
      <c r="A58" s="4" t="s">
        <v>182</v>
      </c>
      <c r="B58" s="4" t="str">
        <f t="shared" si="2"/>
        <v>9FE3PM2FQ94OVR</v>
      </c>
      <c r="C58" s="4" t="s">
        <v>184</v>
      </c>
      <c r="D58" s="4" t="s">
        <v>27</v>
      </c>
      <c r="E58" s="4" t="s">
        <v>28</v>
      </c>
      <c r="F58" s="4" t="s">
        <v>29</v>
      </c>
      <c r="G58" s="5">
        <v>46023</v>
      </c>
      <c r="H58" s="5">
        <v>46023</v>
      </c>
      <c r="I58" s="4">
        <v>20411454</v>
      </c>
      <c r="J58" s="4" t="s">
        <v>32</v>
      </c>
      <c r="K58" s="4" t="s">
        <v>610</v>
      </c>
      <c r="L58" s="4" t="s">
        <v>34</v>
      </c>
      <c r="M58" s="4">
        <v>135</v>
      </c>
      <c r="N58" s="4">
        <v>135</v>
      </c>
      <c r="O58" s="4" t="s">
        <v>604</v>
      </c>
      <c r="T58" s="4" t="s">
        <v>695</v>
      </c>
      <c r="U58" s="4" t="s">
        <v>696</v>
      </c>
      <c r="V58" s="2" t="str">
        <f t="shared" si="0"/>
        <v>TAMARA FREDERKING</v>
      </c>
    </row>
    <row r="59" spans="1:22" s="4" customFormat="1" x14ac:dyDescent="0.25">
      <c r="A59" s="4" t="s">
        <v>187</v>
      </c>
      <c r="B59" s="4" t="str">
        <f t="shared" si="2"/>
        <v>1N42YX2FA12OVR</v>
      </c>
      <c r="C59" s="4" t="s">
        <v>189</v>
      </c>
      <c r="D59" s="4" t="s">
        <v>27</v>
      </c>
      <c r="E59" s="4" t="s">
        <v>28</v>
      </c>
      <c r="F59" s="4" t="s">
        <v>29</v>
      </c>
      <c r="G59" s="5">
        <v>46023</v>
      </c>
      <c r="H59" s="5">
        <v>46023</v>
      </c>
      <c r="I59" s="4">
        <v>20411454</v>
      </c>
      <c r="J59" s="4" t="s">
        <v>32</v>
      </c>
      <c r="K59" s="4" t="s">
        <v>610</v>
      </c>
      <c r="L59" s="4" t="s">
        <v>34</v>
      </c>
      <c r="M59" s="4">
        <v>135</v>
      </c>
      <c r="N59" s="4">
        <v>135</v>
      </c>
      <c r="O59" s="4" t="s">
        <v>604</v>
      </c>
      <c r="T59" s="4" t="s">
        <v>695</v>
      </c>
      <c r="U59" s="4" t="s">
        <v>697</v>
      </c>
      <c r="V59" s="2" t="str">
        <f t="shared" si="0"/>
        <v>DURWIN FREDERKING</v>
      </c>
    </row>
    <row r="60" spans="1:22" s="4" customFormat="1" x14ac:dyDescent="0.25">
      <c r="A60" s="4" t="s">
        <v>190</v>
      </c>
      <c r="B60" s="4" t="str">
        <f t="shared" si="2"/>
        <v>6WQ2G48HE24OVR</v>
      </c>
      <c r="C60" s="4" t="s">
        <v>192</v>
      </c>
      <c r="D60" s="4" t="s">
        <v>152</v>
      </c>
      <c r="E60" s="4" t="s">
        <v>28</v>
      </c>
      <c r="F60" s="4" t="s">
        <v>29</v>
      </c>
      <c r="G60" s="5">
        <v>46023</v>
      </c>
      <c r="H60" s="5">
        <v>46023</v>
      </c>
      <c r="I60" s="4">
        <v>20411454</v>
      </c>
      <c r="J60" s="4" t="s">
        <v>32</v>
      </c>
      <c r="K60" s="4" t="s">
        <v>610</v>
      </c>
      <c r="L60" s="4" t="s">
        <v>34</v>
      </c>
      <c r="M60" s="4">
        <v>135</v>
      </c>
      <c r="N60" s="4">
        <v>135</v>
      </c>
      <c r="O60" s="4" t="s">
        <v>604</v>
      </c>
      <c r="T60" s="4" t="s">
        <v>698</v>
      </c>
      <c r="U60" s="4" t="s">
        <v>699</v>
      </c>
      <c r="V60" s="2" t="str">
        <f t="shared" si="0"/>
        <v>BRENDA FURBUSH</v>
      </c>
    </row>
    <row r="61" spans="1:22" s="4" customFormat="1" x14ac:dyDescent="0.25">
      <c r="A61" s="4" t="s">
        <v>195</v>
      </c>
      <c r="B61" s="4" t="str">
        <f t="shared" si="2"/>
        <v>8KV1FU6XK93OVR</v>
      </c>
      <c r="C61" s="4" t="s">
        <v>197</v>
      </c>
      <c r="D61" s="4" t="s">
        <v>27</v>
      </c>
      <c r="E61" s="4" t="s">
        <v>28</v>
      </c>
      <c r="F61" s="4" t="s">
        <v>29</v>
      </c>
      <c r="G61" s="5">
        <v>46023</v>
      </c>
      <c r="H61" s="5">
        <v>46023</v>
      </c>
      <c r="I61" s="4">
        <v>20411454</v>
      </c>
      <c r="J61" s="4" t="s">
        <v>32</v>
      </c>
      <c r="K61" s="4" t="s">
        <v>610</v>
      </c>
      <c r="L61" s="4" t="s">
        <v>34</v>
      </c>
      <c r="M61" s="4">
        <v>135</v>
      </c>
      <c r="N61" s="4">
        <v>135</v>
      </c>
      <c r="O61" s="4" t="s">
        <v>604</v>
      </c>
      <c r="T61" s="4" t="s">
        <v>700</v>
      </c>
      <c r="U61" s="4" t="s">
        <v>701</v>
      </c>
      <c r="V61" s="2" t="str">
        <f t="shared" si="0"/>
        <v>DONALD GARRETT</v>
      </c>
    </row>
    <row r="62" spans="1:22" s="4" customFormat="1" x14ac:dyDescent="0.25">
      <c r="A62" s="4" t="s">
        <v>198</v>
      </c>
      <c r="B62" s="4" t="str">
        <f t="shared" si="2"/>
        <v>6T45TY3HX71OVR</v>
      </c>
      <c r="C62" s="4" t="s">
        <v>200</v>
      </c>
      <c r="D62" s="4" t="s">
        <v>27</v>
      </c>
      <c r="E62" s="4" t="s">
        <v>28</v>
      </c>
      <c r="F62" s="4" t="s">
        <v>29</v>
      </c>
      <c r="G62" s="5">
        <v>46023</v>
      </c>
      <c r="H62" s="5">
        <v>46023</v>
      </c>
      <c r="I62" s="4">
        <v>20411454</v>
      </c>
      <c r="J62" s="4" t="s">
        <v>32</v>
      </c>
      <c r="K62" s="4" t="s">
        <v>610</v>
      </c>
      <c r="L62" s="4" t="s">
        <v>34</v>
      </c>
      <c r="M62" s="4">
        <v>135</v>
      </c>
      <c r="N62" s="4">
        <v>135</v>
      </c>
      <c r="O62" s="4" t="s">
        <v>604</v>
      </c>
      <c r="T62" s="4" t="s">
        <v>702</v>
      </c>
      <c r="U62" s="4" t="s">
        <v>703</v>
      </c>
      <c r="V62" s="2" t="str">
        <f t="shared" si="0"/>
        <v>KATHY GEIGER</v>
      </c>
    </row>
    <row r="63" spans="1:22" s="4" customFormat="1" x14ac:dyDescent="0.25">
      <c r="A63" s="4" t="s">
        <v>203</v>
      </c>
      <c r="B63" s="4" t="str">
        <f t="shared" si="2"/>
        <v>6XQ4K39FR64OVR</v>
      </c>
      <c r="C63" s="4" t="s">
        <v>205</v>
      </c>
      <c r="D63" s="4" t="s">
        <v>27</v>
      </c>
      <c r="E63" s="4" t="s">
        <v>28</v>
      </c>
      <c r="F63" s="4" t="s">
        <v>29</v>
      </c>
      <c r="G63" s="5">
        <v>46023</v>
      </c>
      <c r="H63" s="5">
        <v>46023</v>
      </c>
      <c r="I63" s="4">
        <v>20411454</v>
      </c>
      <c r="J63" s="4" t="s">
        <v>32</v>
      </c>
      <c r="K63" s="4" t="s">
        <v>610</v>
      </c>
      <c r="L63" s="4" t="s">
        <v>34</v>
      </c>
      <c r="M63" s="4">
        <v>135</v>
      </c>
      <c r="N63" s="4">
        <v>135</v>
      </c>
      <c r="O63" s="4" t="s">
        <v>604</v>
      </c>
      <c r="T63" s="4" t="s">
        <v>702</v>
      </c>
      <c r="U63" s="4" t="s">
        <v>704</v>
      </c>
      <c r="V63" s="2" t="str">
        <f t="shared" si="0"/>
        <v>CRAIG GEIGER</v>
      </c>
    </row>
    <row r="64" spans="1:22" s="4" customFormat="1" x14ac:dyDescent="0.25">
      <c r="A64" s="4" t="s">
        <v>210</v>
      </c>
      <c r="B64" s="4" t="str">
        <f t="shared" si="2"/>
        <v>9G01Y38DT33OVR</v>
      </c>
      <c r="C64" s="4" t="s">
        <v>212</v>
      </c>
      <c r="D64" s="4" t="s">
        <v>27</v>
      </c>
      <c r="E64" s="4" t="s">
        <v>28</v>
      </c>
      <c r="F64" s="4" t="s">
        <v>29</v>
      </c>
      <c r="G64" s="5">
        <v>46023</v>
      </c>
      <c r="H64" s="5">
        <v>46023</v>
      </c>
      <c r="I64" s="4">
        <v>20411454</v>
      </c>
      <c r="J64" s="4" t="s">
        <v>32</v>
      </c>
      <c r="K64" s="4" t="s">
        <v>610</v>
      </c>
      <c r="L64" s="4" t="s">
        <v>34</v>
      </c>
      <c r="M64" s="4">
        <v>135</v>
      </c>
      <c r="N64" s="4">
        <v>135</v>
      </c>
      <c r="O64" s="4" t="s">
        <v>604</v>
      </c>
      <c r="T64" s="4" t="s">
        <v>705</v>
      </c>
      <c r="U64" s="4" t="s">
        <v>706</v>
      </c>
      <c r="V64" s="2" t="str">
        <f t="shared" si="0"/>
        <v>CURT HAGEMEIER</v>
      </c>
    </row>
    <row r="65" spans="1:22" s="4" customFormat="1" x14ac:dyDescent="0.25">
      <c r="A65" s="4" t="s">
        <v>214</v>
      </c>
      <c r="B65" s="4" t="str">
        <f t="shared" si="2"/>
        <v>2KK1Q26WU92OVR</v>
      </c>
      <c r="C65" s="4" t="s">
        <v>216</v>
      </c>
      <c r="D65" s="4" t="s">
        <v>27</v>
      </c>
      <c r="E65" s="4" t="s">
        <v>28</v>
      </c>
      <c r="F65" s="4" t="s">
        <v>29</v>
      </c>
      <c r="G65" s="5">
        <v>46023</v>
      </c>
      <c r="H65" s="5">
        <v>46023</v>
      </c>
      <c r="I65" s="4">
        <v>20411454</v>
      </c>
      <c r="J65" s="4" t="s">
        <v>32</v>
      </c>
      <c r="K65" s="4" t="s">
        <v>610</v>
      </c>
      <c r="L65" s="4" t="s">
        <v>34</v>
      </c>
      <c r="M65" s="4">
        <v>135</v>
      </c>
      <c r="N65" s="4">
        <v>135</v>
      </c>
      <c r="O65" s="4" t="s">
        <v>604</v>
      </c>
      <c r="T65" s="4" t="s">
        <v>707</v>
      </c>
      <c r="U65" s="4" t="s">
        <v>643</v>
      </c>
      <c r="V65" s="2" t="str">
        <f t="shared" si="0"/>
        <v>ROBERT HANCOCK</v>
      </c>
    </row>
    <row r="66" spans="1:22" s="4" customFormat="1" x14ac:dyDescent="0.25">
      <c r="A66" s="4" t="s">
        <v>217</v>
      </c>
      <c r="B66" s="4" t="str">
        <f t="shared" si="2"/>
        <v>5WG6AG8XE87OVR</v>
      </c>
      <c r="C66" s="4" t="s">
        <v>219</v>
      </c>
      <c r="D66" s="4" t="s">
        <v>27</v>
      </c>
      <c r="E66" s="4" t="s">
        <v>28</v>
      </c>
      <c r="F66" s="4" t="s">
        <v>29</v>
      </c>
      <c r="G66" s="5">
        <v>46023</v>
      </c>
      <c r="H66" s="5">
        <v>46023</v>
      </c>
      <c r="I66" s="4">
        <v>20411454</v>
      </c>
      <c r="J66" s="4" t="s">
        <v>32</v>
      </c>
      <c r="K66" s="4" t="s">
        <v>610</v>
      </c>
      <c r="L66" s="4" t="s">
        <v>34</v>
      </c>
      <c r="M66" s="4">
        <v>135</v>
      </c>
      <c r="N66" s="4">
        <v>135</v>
      </c>
      <c r="O66" s="4" t="s">
        <v>604</v>
      </c>
      <c r="T66" s="4" t="s">
        <v>707</v>
      </c>
      <c r="U66" s="4" t="s">
        <v>708</v>
      </c>
      <c r="V66" s="2" t="str">
        <f t="shared" si="0"/>
        <v>ANNETTE HANCOCK</v>
      </c>
    </row>
    <row r="67" spans="1:22" s="4" customFormat="1" x14ac:dyDescent="0.25">
      <c r="A67" s="4" t="s">
        <v>220</v>
      </c>
      <c r="B67" s="4" t="str">
        <f t="shared" si="2"/>
        <v>4GW7A29GP76OVR</v>
      </c>
      <c r="C67" s="4" t="s">
        <v>222</v>
      </c>
      <c r="D67" s="4" t="s">
        <v>27</v>
      </c>
      <c r="E67" s="4" t="s">
        <v>28</v>
      </c>
      <c r="F67" s="4" t="s">
        <v>29</v>
      </c>
      <c r="G67" s="5">
        <v>46023</v>
      </c>
      <c r="H67" s="5">
        <v>46023</v>
      </c>
      <c r="I67" s="4">
        <v>20411454</v>
      </c>
      <c r="J67" s="4" t="s">
        <v>32</v>
      </c>
      <c r="K67" s="4" t="s">
        <v>610</v>
      </c>
      <c r="L67" s="4" t="s">
        <v>34</v>
      </c>
      <c r="M67" s="4">
        <v>135</v>
      </c>
      <c r="N67" s="4">
        <v>135</v>
      </c>
      <c r="O67" s="4" t="s">
        <v>604</v>
      </c>
      <c r="T67" s="4" t="s">
        <v>709</v>
      </c>
      <c r="U67" s="4" t="s">
        <v>710</v>
      </c>
      <c r="V67" s="2" t="str">
        <f t="shared" ref="V67:V130" si="3">CONCATENATE(U67, " ",T67)</f>
        <v>GARY HANSEN</v>
      </c>
    </row>
    <row r="68" spans="1:22" s="4" customFormat="1" x14ac:dyDescent="0.25">
      <c r="A68" s="4" t="s">
        <v>224</v>
      </c>
      <c r="B68" s="4" t="str">
        <f t="shared" si="2"/>
        <v>4R01RG8KR11OVR</v>
      </c>
      <c r="C68" s="4" t="s">
        <v>226</v>
      </c>
      <c r="D68" s="4" t="s">
        <v>27</v>
      </c>
      <c r="E68" s="4" t="s">
        <v>28</v>
      </c>
      <c r="F68" s="4" t="s">
        <v>29</v>
      </c>
      <c r="G68" s="5">
        <v>46023</v>
      </c>
      <c r="H68" s="5">
        <v>46023</v>
      </c>
      <c r="I68" s="4">
        <v>20411454</v>
      </c>
      <c r="J68" s="4" t="s">
        <v>32</v>
      </c>
      <c r="K68" s="4" t="s">
        <v>610</v>
      </c>
      <c r="L68" s="4" t="s">
        <v>34</v>
      </c>
      <c r="M68" s="4">
        <v>135</v>
      </c>
      <c r="N68" s="4">
        <v>135</v>
      </c>
      <c r="O68" s="4" t="s">
        <v>604</v>
      </c>
      <c r="T68" s="4" t="s">
        <v>711</v>
      </c>
      <c r="U68" s="4" t="s">
        <v>712</v>
      </c>
      <c r="V68" s="2" t="str">
        <f t="shared" si="3"/>
        <v>LOREN HARMS</v>
      </c>
    </row>
    <row r="69" spans="1:22" s="4" customFormat="1" x14ac:dyDescent="0.25">
      <c r="A69" s="4" t="s">
        <v>227</v>
      </c>
      <c r="B69" s="4" t="str">
        <f t="shared" si="2"/>
        <v>5E50AE2EJ21OVR</v>
      </c>
      <c r="C69" s="4" t="s">
        <v>229</v>
      </c>
      <c r="D69" s="4" t="s">
        <v>27</v>
      </c>
      <c r="E69" s="4" t="s">
        <v>28</v>
      </c>
      <c r="F69" s="4" t="s">
        <v>29</v>
      </c>
      <c r="G69" s="5">
        <v>46023</v>
      </c>
      <c r="H69" s="5">
        <v>46023</v>
      </c>
      <c r="I69" s="4">
        <v>20411454</v>
      </c>
      <c r="J69" s="4" t="s">
        <v>32</v>
      </c>
      <c r="K69" s="4" t="s">
        <v>610</v>
      </c>
      <c r="L69" s="4" t="s">
        <v>34</v>
      </c>
      <c r="M69" s="4">
        <v>135</v>
      </c>
      <c r="N69" s="4">
        <v>135</v>
      </c>
      <c r="O69" s="4" t="s">
        <v>604</v>
      </c>
      <c r="T69" s="4" t="s">
        <v>711</v>
      </c>
      <c r="U69" s="4" t="s">
        <v>713</v>
      </c>
      <c r="V69" s="2" t="str">
        <f t="shared" si="3"/>
        <v>LINDA HARMS</v>
      </c>
    </row>
    <row r="70" spans="1:22" s="4" customFormat="1" x14ac:dyDescent="0.25">
      <c r="A70" s="4" t="s">
        <v>230</v>
      </c>
      <c r="B70" s="4" t="str">
        <f t="shared" si="2"/>
        <v>9JY3TF3PV94OVR</v>
      </c>
      <c r="C70" s="4" t="s">
        <v>232</v>
      </c>
      <c r="D70" s="4" t="s">
        <v>27</v>
      </c>
      <c r="E70" s="4" t="s">
        <v>28</v>
      </c>
      <c r="F70" s="4" t="s">
        <v>29</v>
      </c>
      <c r="G70" s="5">
        <v>46023</v>
      </c>
      <c r="H70" s="5">
        <v>46023</v>
      </c>
      <c r="I70" s="4">
        <v>20411454</v>
      </c>
      <c r="J70" s="4" t="s">
        <v>32</v>
      </c>
      <c r="K70" s="4" t="s">
        <v>610</v>
      </c>
      <c r="L70" s="4" t="s">
        <v>34</v>
      </c>
      <c r="M70" s="4">
        <v>135</v>
      </c>
      <c r="N70" s="4">
        <v>135</v>
      </c>
      <c r="O70" s="4" t="s">
        <v>604</v>
      </c>
      <c r="T70" s="4" t="s">
        <v>714</v>
      </c>
      <c r="U70" s="4" t="s">
        <v>715</v>
      </c>
      <c r="V70" s="2" t="str">
        <f t="shared" si="3"/>
        <v>CHIANITA HARRELL</v>
      </c>
    </row>
    <row r="71" spans="1:22" s="4" customFormat="1" x14ac:dyDescent="0.25">
      <c r="A71" s="4" t="s">
        <v>233</v>
      </c>
      <c r="B71" s="4" t="str">
        <f t="shared" si="2"/>
        <v>6XK4K85TK95OVR</v>
      </c>
      <c r="C71" s="4" t="s">
        <v>235</v>
      </c>
      <c r="D71" s="4" t="s">
        <v>27</v>
      </c>
      <c r="E71" s="4" t="s">
        <v>28</v>
      </c>
      <c r="F71" s="4" t="s">
        <v>29</v>
      </c>
      <c r="G71" s="5">
        <v>46023</v>
      </c>
      <c r="H71" s="5">
        <v>46023</v>
      </c>
      <c r="I71" s="4">
        <v>20411454</v>
      </c>
      <c r="J71" s="4" t="s">
        <v>32</v>
      </c>
      <c r="K71" s="4" t="s">
        <v>610</v>
      </c>
      <c r="L71" s="4" t="s">
        <v>34</v>
      </c>
      <c r="M71" s="4">
        <v>135</v>
      </c>
      <c r="N71" s="4">
        <v>135</v>
      </c>
      <c r="O71" s="4" t="s">
        <v>604</v>
      </c>
      <c r="T71" s="4" t="s">
        <v>716</v>
      </c>
      <c r="U71" s="4" t="s">
        <v>699</v>
      </c>
      <c r="V71" s="2" t="str">
        <f t="shared" si="3"/>
        <v>BRENDA HARRIS</v>
      </c>
    </row>
    <row r="72" spans="1:22" s="4" customFormat="1" x14ac:dyDescent="0.25">
      <c r="A72" s="4" t="s">
        <v>237</v>
      </c>
      <c r="B72" s="4" t="str">
        <f t="shared" si="2"/>
        <v>3UV2FE7VT00OVR</v>
      </c>
      <c r="C72" s="4" t="s">
        <v>239</v>
      </c>
      <c r="D72" s="4" t="s">
        <v>27</v>
      </c>
      <c r="E72" s="4" t="s">
        <v>28</v>
      </c>
      <c r="F72" s="4" t="s">
        <v>29</v>
      </c>
      <c r="G72" s="5">
        <v>46023</v>
      </c>
      <c r="H72" s="5">
        <v>46023</v>
      </c>
      <c r="I72" s="4">
        <v>20411454</v>
      </c>
      <c r="J72" s="4" t="s">
        <v>32</v>
      </c>
      <c r="K72" s="4" t="s">
        <v>610</v>
      </c>
      <c r="L72" s="4" t="s">
        <v>34</v>
      </c>
      <c r="M72" s="4">
        <v>135</v>
      </c>
      <c r="N72" s="4">
        <v>135</v>
      </c>
      <c r="O72" s="4" t="s">
        <v>604</v>
      </c>
      <c r="T72" s="4" t="s">
        <v>717</v>
      </c>
      <c r="U72" s="4" t="s">
        <v>718</v>
      </c>
      <c r="V72" s="2" t="str">
        <f t="shared" si="3"/>
        <v>SHARON HUBER</v>
      </c>
    </row>
    <row r="73" spans="1:22" s="4" customFormat="1" x14ac:dyDescent="0.25">
      <c r="A73" s="4" t="s">
        <v>244</v>
      </c>
      <c r="B73" s="4" t="str">
        <f t="shared" ref="B73:B136" si="4">CONCATENATE(A73,"OVR")</f>
        <v>6ND7NH6JT45OVR</v>
      </c>
      <c r="C73" s="4" t="s">
        <v>246</v>
      </c>
      <c r="D73" s="4" t="s">
        <v>93</v>
      </c>
      <c r="E73" s="4" t="s">
        <v>28</v>
      </c>
      <c r="F73" s="4" t="s">
        <v>29</v>
      </c>
      <c r="G73" s="5">
        <v>46023</v>
      </c>
      <c r="H73" s="5">
        <v>46023</v>
      </c>
      <c r="I73" s="4">
        <v>20411454</v>
      </c>
      <c r="J73" s="4" t="s">
        <v>32</v>
      </c>
      <c r="K73" s="4" t="s">
        <v>610</v>
      </c>
      <c r="L73" s="4" t="s">
        <v>34</v>
      </c>
      <c r="M73" s="4">
        <v>135</v>
      </c>
      <c r="N73" s="4">
        <v>135</v>
      </c>
      <c r="O73" s="4" t="s">
        <v>604</v>
      </c>
      <c r="T73" s="4" t="s">
        <v>719</v>
      </c>
      <c r="U73" s="4" t="s">
        <v>720</v>
      </c>
      <c r="V73" s="2" t="str">
        <f t="shared" si="3"/>
        <v>MOHAMMAD JALLAQ</v>
      </c>
    </row>
    <row r="74" spans="1:22" s="4" customFormat="1" x14ac:dyDescent="0.25">
      <c r="A74" s="4" t="s">
        <v>251</v>
      </c>
      <c r="B74" s="4" t="str">
        <f t="shared" si="4"/>
        <v>2TP1YU1JQ01OVR</v>
      </c>
      <c r="C74" s="4" t="s">
        <v>253</v>
      </c>
      <c r="D74" s="4" t="s">
        <v>27</v>
      </c>
      <c r="E74" s="4" t="s">
        <v>28</v>
      </c>
      <c r="F74" s="4" t="s">
        <v>29</v>
      </c>
      <c r="G74" s="5">
        <v>46023</v>
      </c>
      <c r="H74" s="5">
        <v>46023</v>
      </c>
      <c r="I74" s="4">
        <v>20411454</v>
      </c>
      <c r="J74" s="4" t="s">
        <v>32</v>
      </c>
      <c r="K74" s="4" t="s">
        <v>610</v>
      </c>
      <c r="L74" s="4" t="s">
        <v>34</v>
      </c>
      <c r="M74" s="4">
        <v>135</v>
      </c>
      <c r="N74" s="4">
        <v>135</v>
      </c>
      <c r="O74" s="4" t="s">
        <v>604</v>
      </c>
      <c r="T74" s="4" t="s">
        <v>721</v>
      </c>
      <c r="U74" s="4" t="s">
        <v>691</v>
      </c>
      <c r="V74" s="2" t="str">
        <f t="shared" si="3"/>
        <v>DEBRA JOHNSON</v>
      </c>
    </row>
    <row r="75" spans="1:22" s="4" customFormat="1" x14ac:dyDescent="0.25">
      <c r="A75" s="4" t="s">
        <v>258</v>
      </c>
      <c r="B75" s="4" t="str">
        <f t="shared" si="4"/>
        <v>9Y42CK3JU08OVR</v>
      </c>
      <c r="C75" s="4" t="s">
        <v>260</v>
      </c>
      <c r="D75" s="4" t="s">
        <v>50</v>
      </c>
      <c r="E75" s="4" t="s">
        <v>28</v>
      </c>
      <c r="F75" s="4" t="s">
        <v>29</v>
      </c>
      <c r="G75" s="5">
        <v>46023</v>
      </c>
      <c r="H75" s="5">
        <v>46023</v>
      </c>
      <c r="I75" s="4">
        <v>20411454</v>
      </c>
      <c r="J75" s="4" t="s">
        <v>32</v>
      </c>
      <c r="K75" s="4" t="s">
        <v>610</v>
      </c>
      <c r="L75" s="4" t="s">
        <v>34</v>
      </c>
      <c r="M75" s="4">
        <v>135</v>
      </c>
      <c r="N75" s="4">
        <v>135</v>
      </c>
      <c r="O75" s="4" t="s">
        <v>604</v>
      </c>
      <c r="T75" s="4" t="s">
        <v>722</v>
      </c>
      <c r="U75" s="4" t="s">
        <v>723</v>
      </c>
      <c r="V75" s="2" t="str">
        <f t="shared" si="3"/>
        <v>GAYLE KIRSCH</v>
      </c>
    </row>
    <row r="76" spans="1:22" s="4" customFormat="1" x14ac:dyDescent="0.25">
      <c r="A76" s="4" t="s">
        <v>261</v>
      </c>
      <c r="B76" s="4" t="str">
        <f t="shared" si="4"/>
        <v>4U60AD5PP36OVR</v>
      </c>
      <c r="C76" s="4" t="s">
        <v>263</v>
      </c>
      <c r="D76" s="4" t="s">
        <v>264</v>
      </c>
      <c r="E76" s="4" t="s">
        <v>28</v>
      </c>
      <c r="F76" s="4" t="s">
        <v>29</v>
      </c>
      <c r="G76" s="5">
        <v>46023</v>
      </c>
      <c r="H76" s="5">
        <v>46023</v>
      </c>
      <c r="I76" s="4">
        <v>20411454</v>
      </c>
      <c r="J76" s="4" t="s">
        <v>32</v>
      </c>
      <c r="K76" s="4" t="s">
        <v>610</v>
      </c>
      <c r="L76" s="4" t="s">
        <v>34</v>
      </c>
      <c r="M76" s="4">
        <v>135</v>
      </c>
      <c r="N76" s="4">
        <v>135</v>
      </c>
      <c r="O76" s="4" t="s">
        <v>604</v>
      </c>
      <c r="T76" s="4" t="s">
        <v>724</v>
      </c>
      <c r="U76" s="4" t="s">
        <v>725</v>
      </c>
      <c r="V76" s="2" t="str">
        <f t="shared" si="3"/>
        <v>JEANNETTE KOCH</v>
      </c>
    </row>
    <row r="77" spans="1:22" s="4" customFormat="1" x14ac:dyDescent="0.25">
      <c r="A77" s="4" t="s">
        <v>267</v>
      </c>
      <c r="B77" s="4" t="str">
        <f t="shared" si="4"/>
        <v>2Y35R45HH78OVR</v>
      </c>
      <c r="C77" s="4" t="s">
        <v>269</v>
      </c>
      <c r="D77" s="4" t="s">
        <v>264</v>
      </c>
      <c r="E77" s="4" t="s">
        <v>28</v>
      </c>
      <c r="F77" s="4" t="s">
        <v>29</v>
      </c>
      <c r="G77" s="5">
        <v>46023</v>
      </c>
      <c r="H77" s="5">
        <v>46023</v>
      </c>
      <c r="I77" s="4">
        <v>20411454</v>
      </c>
      <c r="J77" s="4" t="s">
        <v>32</v>
      </c>
      <c r="K77" s="4" t="s">
        <v>610</v>
      </c>
      <c r="L77" s="4" t="s">
        <v>34</v>
      </c>
      <c r="M77" s="4">
        <v>135</v>
      </c>
      <c r="N77" s="4">
        <v>135</v>
      </c>
      <c r="O77" s="4" t="s">
        <v>604</v>
      </c>
      <c r="T77" s="4" t="s">
        <v>724</v>
      </c>
      <c r="U77" s="4" t="s">
        <v>726</v>
      </c>
      <c r="V77" s="2" t="str">
        <f t="shared" si="3"/>
        <v>DALLAS KOCH</v>
      </c>
    </row>
    <row r="78" spans="1:22" s="4" customFormat="1" x14ac:dyDescent="0.25">
      <c r="A78" s="4" t="s">
        <v>270</v>
      </c>
      <c r="B78" s="4" t="str">
        <f t="shared" si="4"/>
        <v>7YQ0PC1DD33OVR</v>
      </c>
      <c r="C78" s="4" t="s">
        <v>272</v>
      </c>
      <c r="D78" s="4" t="s">
        <v>27</v>
      </c>
      <c r="E78" s="4" t="s">
        <v>28</v>
      </c>
      <c r="F78" s="4" t="s">
        <v>29</v>
      </c>
      <c r="G78" s="5">
        <v>46023</v>
      </c>
      <c r="H78" s="5">
        <v>46023</v>
      </c>
      <c r="I78" s="4">
        <v>20411454</v>
      </c>
      <c r="J78" s="4" t="s">
        <v>32</v>
      </c>
      <c r="K78" s="4" t="s">
        <v>610</v>
      </c>
      <c r="L78" s="4" t="s">
        <v>34</v>
      </c>
      <c r="M78" s="4">
        <v>135</v>
      </c>
      <c r="N78" s="4">
        <v>135</v>
      </c>
      <c r="O78" s="4" t="s">
        <v>604</v>
      </c>
      <c r="T78" s="4" t="s">
        <v>727</v>
      </c>
      <c r="U78" s="4" t="s">
        <v>728</v>
      </c>
      <c r="V78" s="2" t="str">
        <f t="shared" si="3"/>
        <v>MARSHA KURTH</v>
      </c>
    </row>
    <row r="79" spans="1:22" s="4" customFormat="1" x14ac:dyDescent="0.25">
      <c r="A79" s="4" t="s">
        <v>282</v>
      </c>
      <c r="B79" s="4" t="str">
        <f t="shared" si="4"/>
        <v>2Y45FK3JU88OVR</v>
      </c>
      <c r="C79" s="4" t="s">
        <v>284</v>
      </c>
      <c r="D79" s="4" t="s">
        <v>93</v>
      </c>
      <c r="E79" s="4" t="s">
        <v>28</v>
      </c>
      <c r="F79" s="4" t="s">
        <v>29</v>
      </c>
      <c r="G79" s="5">
        <v>46023</v>
      </c>
      <c r="H79" s="5">
        <v>46023</v>
      </c>
      <c r="I79" s="4">
        <v>20411454</v>
      </c>
      <c r="J79" s="4" t="s">
        <v>32</v>
      </c>
      <c r="K79" s="4" t="s">
        <v>610</v>
      </c>
      <c r="L79" s="4" t="s">
        <v>34</v>
      </c>
      <c r="M79" s="4">
        <v>135</v>
      </c>
      <c r="N79" s="4">
        <v>135</v>
      </c>
      <c r="O79" s="4" t="s">
        <v>604</v>
      </c>
      <c r="T79" s="4" t="s">
        <v>729</v>
      </c>
      <c r="U79" s="4" t="s">
        <v>730</v>
      </c>
      <c r="V79" s="2" t="str">
        <f t="shared" si="3"/>
        <v>DIANA LAPE</v>
      </c>
    </row>
    <row r="80" spans="1:22" s="4" customFormat="1" x14ac:dyDescent="0.25">
      <c r="A80" s="4" t="s">
        <v>285</v>
      </c>
      <c r="B80" s="4" t="str">
        <f t="shared" si="4"/>
        <v>5H86R82FA76OVR</v>
      </c>
      <c r="C80" s="4" t="s">
        <v>287</v>
      </c>
      <c r="D80" s="4" t="s">
        <v>50</v>
      </c>
      <c r="E80" s="4" t="s">
        <v>28</v>
      </c>
      <c r="F80" s="4" t="s">
        <v>29</v>
      </c>
      <c r="G80" s="5">
        <v>46023</v>
      </c>
      <c r="H80" s="5">
        <v>46023</v>
      </c>
      <c r="I80" s="4">
        <v>20411454</v>
      </c>
      <c r="J80" s="4" t="s">
        <v>32</v>
      </c>
      <c r="K80" s="4" t="s">
        <v>610</v>
      </c>
      <c r="L80" s="4" t="s">
        <v>34</v>
      </c>
      <c r="M80" s="4">
        <v>135</v>
      </c>
      <c r="N80" s="4">
        <v>135</v>
      </c>
      <c r="O80" s="4" t="s">
        <v>604</v>
      </c>
      <c r="T80" s="4" t="s">
        <v>731</v>
      </c>
      <c r="U80" s="4" t="s">
        <v>732</v>
      </c>
      <c r="V80" s="2" t="str">
        <f t="shared" si="3"/>
        <v>CECILIA LEATHEM</v>
      </c>
    </row>
    <row r="81" spans="1:22" s="4" customFormat="1" x14ac:dyDescent="0.25">
      <c r="A81" s="4" t="s">
        <v>290</v>
      </c>
      <c r="B81" s="4" t="str">
        <f t="shared" si="4"/>
        <v>7D19UU7DA29OVR</v>
      </c>
      <c r="C81" s="4" t="s">
        <v>292</v>
      </c>
      <c r="D81" s="4" t="s">
        <v>152</v>
      </c>
      <c r="E81" s="4" t="s">
        <v>28</v>
      </c>
      <c r="F81" s="4" t="s">
        <v>29</v>
      </c>
      <c r="G81" s="5">
        <v>46023</v>
      </c>
      <c r="H81" s="5">
        <v>46023</v>
      </c>
      <c r="I81" s="4">
        <v>20411454</v>
      </c>
      <c r="J81" s="4" t="s">
        <v>32</v>
      </c>
      <c r="K81" s="4" t="s">
        <v>610</v>
      </c>
      <c r="L81" s="4" t="s">
        <v>34</v>
      </c>
      <c r="M81" s="4">
        <v>135</v>
      </c>
      <c r="N81" s="4">
        <v>135</v>
      </c>
      <c r="O81" s="4" t="s">
        <v>604</v>
      </c>
      <c r="T81" s="4" t="s">
        <v>733</v>
      </c>
      <c r="U81" s="4" t="s">
        <v>635</v>
      </c>
      <c r="V81" s="2" t="str">
        <f t="shared" si="3"/>
        <v>KENNETH LEROY</v>
      </c>
    </row>
    <row r="82" spans="1:22" s="4" customFormat="1" x14ac:dyDescent="0.25">
      <c r="A82" s="4" t="s">
        <v>304</v>
      </c>
      <c r="B82" s="4" t="str">
        <f t="shared" si="4"/>
        <v>3UW7Q61CQ57OVR</v>
      </c>
      <c r="C82" s="4" t="s">
        <v>306</v>
      </c>
      <c r="D82" s="4" t="s">
        <v>27</v>
      </c>
      <c r="E82" s="4" t="s">
        <v>28</v>
      </c>
      <c r="F82" s="4" t="s">
        <v>29</v>
      </c>
      <c r="G82" s="5">
        <v>46023</v>
      </c>
      <c r="H82" s="5">
        <v>46023</v>
      </c>
      <c r="I82" s="4">
        <v>20411454</v>
      </c>
      <c r="J82" s="4" t="s">
        <v>32</v>
      </c>
      <c r="K82" s="4" t="s">
        <v>610</v>
      </c>
      <c r="L82" s="4" t="s">
        <v>34</v>
      </c>
      <c r="M82" s="4">
        <v>135</v>
      </c>
      <c r="N82" s="4">
        <v>135</v>
      </c>
      <c r="O82" s="4" t="s">
        <v>604</v>
      </c>
      <c r="T82" s="4" t="s">
        <v>734</v>
      </c>
      <c r="U82" s="4" t="s">
        <v>735</v>
      </c>
      <c r="V82" s="2" t="str">
        <f t="shared" si="3"/>
        <v>JACQUELINE LOPUSHONSKY</v>
      </c>
    </row>
    <row r="83" spans="1:22" s="4" customFormat="1" x14ac:dyDescent="0.25">
      <c r="A83" s="4" t="s">
        <v>311</v>
      </c>
      <c r="B83" s="4" t="str">
        <f t="shared" si="4"/>
        <v>6FH3A44EW82OVR</v>
      </c>
      <c r="C83" s="4" t="s">
        <v>313</v>
      </c>
      <c r="D83" s="4" t="s">
        <v>129</v>
      </c>
      <c r="E83" s="4" t="s">
        <v>28</v>
      </c>
      <c r="F83" s="4" t="s">
        <v>314</v>
      </c>
      <c r="G83" s="5">
        <v>46023</v>
      </c>
      <c r="H83" s="5">
        <v>46023</v>
      </c>
      <c r="I83" s="4">
        <v>20411454</v>
      </c>
      <c r="J83" s="4" t="s">
        <v>32</v>
      </c>
      <c r="K83" s="4" t="s">
        <v>610</v>
      </c>
      <c r="L83" s="4" t="s">
        <v>34</v>
      </c>
      <c r="M83" s="4">
        <v>135</v>
      </c>
      <c r="N83" s="4">
        <v>135</v>
      </c>
      <c r="O83" s="4" t="s">
        <v>604</v>
      </c>
      <c r="T83" s="4" t="s">
        <v>736</v>
      </c>
      <c r="U83" s="4" t="s">
        <v>737</v>
      </c>
      <c r="V83" s="2" t="str">
        <f t="shared" si="3"/>
        <v>HELGA MARI</v>
      </c>
    </row>
    <row r="84" spans="1:22" s="4" customFormat="1" x14ac:dyDescent="0.25">
      <c r="A84" s="4" t="s">
        <v>324</v>
      </c>
      <c r="B84" s="4" t="str">
        <f t="shared" si="4"/>
        <v>7CJ5VK9XD50OVR</v>
      </c>
      <c r="C84" s="4" t="s">
        <v>326</v>
      </c>
      <c r="D84" s="4" t="s">
        <v>327</v>
      </c>
      <c r="E84" s="4" t="s">
        <v>28</v>
      </c>
      <c r="F84" s="4" t="s">
        <v>29</v>
      </c>
      <c r="G84" s="5">
        <v>46023</v>
      </c>
      <c r="H84" s="5">
        <v>46023</v>
      </c>
      <c r="I84" s="4">
        <v>20411454</v>
      </c>
      <c r="J84" s="4" t="s">
        <v>32</v>
      </c>
      <c r="K84" s="4" t="s">
        <v>610</v>
      </c>
      <c r="L84" s="4" t="s">
        <v>34</v>
      </c>
      <c r="M84" s="4">
        <v>135</v>
      </c>
      <c r="N84" s="4">
        <v>135</v>
      </c>
      <c r="O84" s="4" t="s">
        <v>604</v>
      </c>
      <c r="T84" s="4" t="s">
        <v>738</v>
      </c>
      <c r="U84" s="4" t="s">
        <v>739</v>
      </c>
      <c r="V84" s="2" t="str">
        <f t="shared" si="3"/>
        <v>LYNETTE MASON</v>
      </c>
    </row>
    <row r="85" spans="1:22" s="4" customFormat="1" x14ac:dyDescent="0.25">
      <c r="A85" s="4" t="s">
        <v>331</v>
      </c>
      <c r="B85" s="4" t="str">
        <f t="shared" si="4"/>
        <v>6J10A22YR33OVR</v>
      </c>
      <c r="C85" s="4" t="s">
        <v>333</v>
      </c>
      <c r="D85" s="4" t="s">
        <v>327</v>
      </c>
      <c r="E85" s="4" t="s">
        <v>28</v>
      </c>
      <c r="F85" s="4" t="s">
        <v>29</v>
      </c>
      <c r="G85" s="5">
        <v>46023</v>
      </c>
      <c r="H85" s="5">
        <v>46023</v>
      </c>
      <c r="I85" s="4">
        <v>20411454</v>
      </c>
      <c r="J85" s="4" t="s">
        <v>32</v>
      </c>
      <c r="K85" s="4" t="s">
        <v>610</v>
      </c>
      <c r="L85" s="4" t="s">
        <v>34</v>
      </c>
      <c r="M85" s="4">
        <v>135</v>
      </c>
      <c r="N85" s="4">
        <v>135</v>
      </c>
      <c r="O85" s="4" t="s">
        <v>604</v>
      </c>
      <c r="T85" s="4" t="s">
        <v>738</v>
      </c>
      <c r="U85" s="4" t="s">
        <v>740</v>
      </c>
      <c r="V85" s="2" t="str">
        <f t="shared" si="3"/>
        <v>MORRIS MASON</v>
      </c>
    </row>
    <row r="86" spans="1:22" s="4" customFormat="1" x14ac:dyDescent="0.25">
      <c r="A86" s="4" t="s">
        <v>334</v>
      </c>
      <c r="B86" s="4" t="str">
        <f t="shared" si="4"/>
        <v>3H23Q82FG76OVR</v>
      </c>
      <c r="C86" s="4" t="s">
        <v>336</v>
      </c>
      <c r="D86" s="4" t="s">
        <v>27</v>
      </c>
      <c r="E86" s="4" t="s">
        <v>28</v>
      </c>
      <c r="F86" s="4" t="s">
        <v>29</v>
      </c>
      <c r="G86" s="5">
        <v>46023</v>
      </c>
      <c r="H86" s="5">
        <v>46023</v>
      </c>
      <c r="I86" s="4">
        <v>20411454</v>
      </c>
      <c r="J86" s="4" t="s">
        <v>32</v>
      </c>
      <c r="K86" s="4" t="s">
        <v>610</v>
      </c>
      <c r="L86" s="4" t="s">
        <v>34</v>
      </c>
      <c r="M86" s="4">
        <v>135</v>
      </c>
      <c r="N86" s="4">
        <v>135</v>
      </c>
      <c r="O86" s="4" t="s">
        <v>604</v>
      </c>
      <c r="T86" s="4" t="s">
        <v>741</v>
      </c>
      <c r="U86" s="4" t="s">
        <v>742</v>
      </c>
      <c r="V86" s="2" t="str">
        <f t="shared" si="3"/>
        <v>SELENA MAYNIE</v>
      </c>
    </row>
    <row r="87" spans="1:22" s="4" customFormat="1" x14ac:dyDescent="0.25">
      <c r="A87" s="4" t="s">
        <v>342</v>
      </c>
      <c r="B87" s="4" t="str">
        <f t="shared" si="4"/>
        <v>7KK9XE9XJ24OVR</v>
      </c>
      <c r="C87" s="4" t="s">
        <v>344</v>
      </c>
      <c r="D87" s="4" t="s">
        <v>27</v>
      </c>
      <c r="E87" s="4" t="s">
        <v>28</v>
      </c>
      <c r="F87" s="4" t="s">
        <v>29</v>
      </c>
      <c r="G87" s="5">
        <v>46023</v>
      </c>
      <c r="H87" s="5">
        <v>46023</v>
      </c>
      <c r="I87" s="4">
        <v>20411454</v>
      </c>
      <c r="J87" s="4" t="s">
        <v>32</v>
      </c>
      <c r="K87" s="4" t="s">
        <v>610</v>
      </c>
      <c r="L87" s="4" t="s">
        <v>34</v>
      </c>
      <c r="M87" s="4">
        <v>135</v>
      </c>
      <c r="N87" s="4">
        <v>135</v>
      </c>
      <c r="O87" s="4" t="s">
        <v>604</v>
      </c>
      <c r="T87" s="4" t="s">
        <v>743</v>
      </c>
      <c r="U87" s="4" t="s">
        <v>744</v>
      </c>
      <c r="V87" s="2" t="str">
        <f t="shared" si="3"/>
        <v>DENISE MCFARLAND</v>
      </c>
    </row>
    <row r="88" spans="1:22" s="4" customFormat="1" x14ac:dyDescent="0.25">
      <c r="A88" s="4" t="s">
        <v>367</v>
      </c>
      <c r="B88" s="4" t="str">
        <f t="shared" si="4"/>
        <v>3N23NV8YH87OVR</v>
      </c>
      <c r="C88" s="4" t="s">
        <v>369</v>
      </c>
      <c r="D88" s="4" t="s">
        <v>93</v>
      </c>
      <c r="E88" s="4" t="s">
        <v>28</v>
      </c>
      <c r="F88" s="4" t="s">
        <v>29</v>
      </c>
      <c r="G88" s="5">
        <v>46023</v>
      </c>
      <c r="H88" s="5">
        <v>46023</v>
      </c>
      <c r="I88" s="4">
        <v>20411454</v>
      </c>
      <c r="J88" s="4" t="s">
        <v>32</v>
      </c>
      <c r="K88" s="4" t="s">
        <v>610</v>
      </c>
      <c r="L88" s="4" t="s">
        <v>34</v>
      </c>
      <c r="M88" s="4">
        <v>135</v>
      </c>
      <c r="N88" s="4">
        <v>135</v>
      </c>
      <c r="O88" s="4" t="s">
        <v>604</v>
      </c>
      <c r="T88" s="4" t="s">
        <v>745</v>
      </c>
      <c r="U88" s="4" t="s">
        <v>746</v>
      </c>
      <c r="V88" s="2" t="str">
        <f t="shared" si="3"/>
        <v>JIMMY MOORE</v>
      </c>
    </row>
    <row r="89" spans="1:22" s="4" customFormat="1" x14ac:dyDescent="0.25">
      <c r="A89" s="4" t="s">
        <v>376</v>
      </c>
      <c r="B89" s="4" t="str">
        <f t="shared" si="4"/>
        <v>7PD1W75JH97OVR</v>
      </c>
      <c r="C89" s="4" t="s">
        <v>378</v>
      </c>
      <c r="D89" s="4" t="s">
        <v>93</v>
      </c>
      <c r="E89" s="4" t="s">
        <v>28</v>
      </c>
      <c r="F89" s="4" t="s">
        <v>29</v>
      </c>
      <c r="G89" s="5">
        <v>46023</v>
      </c>
      <c r="H89" s="5">
        <v>46023</v>
      </c>
      <c r="I89" s="4">
        <v>20411454</v>
      </c>
      <c r="J89" s="4" t="s">
        <v>32</v>
      </c>
      <c r="K89" s="4" t="s">
        <v>610</v>
      </c>
      <c r="L89" s="4" t="s">
        <v>34</v>
      </c>
      <c r="M89" s="4">
        <v>135</v>
      </c>
      <c r="N89" s="4">
        <v>135</v>
      </c>
      <c r="O89" s="4" t="s">
        <v>604</v>
      </c>
      <c r="T89" s="4" t="s">
        <v>747</v>
      </c>
      <c r="U89" s="4" t="s">
        <v>748</v>
      </c>
      <c r="V89" s="2" t="str">
        <f t="shared" si="3"/>
        <v>MICHAEL NOE</v>
      </c>
    </row>
    <row r="90" spans="1:22" s="4" customFormat="1" x14ac:dyDescent="0.25">
      <c r="A90" s="4" t="s">
        <v>415</v>
      </c>
      <c r="B90" s="4" t="str">
        <f t="shared" si="4"/>
        <v>9DA8TA4HY10OVR</v>
      </c>
      <c r="C90" s="4" t="s">
        <v>417</v>
      </c>
      <c r="D90" s="4" t="s">
        <v>27</v>
      </c>
      <c r="E90" s="4" t="s">
        <v>28</v>
      </c>
      <c r="F90" s="4" t="s">
        <v>29</v>
      </c>
      <c r="G90" s="5">
        <v>46023</v>
      </c>
      <c r="H90" s="5">
        <v>46023</v>
      </c>
      <c r="I90" s="4">
        <v>20411454</v>
      </c>
      <c r="J90" s="4" t="s">
        <v>32</v>
      </c>
      <c r="K90" s="4" t="s">
        <v>610</v>
      </c>
      <c r="L90" s="4" t="s">
        <v>34</v>
      </c>
      <c r="M90" s="4">
        <v>135</v>
      </c>
      <c r="N90" s="4">
        <v>135</v>
      </c>
      <c r="O90" s="4" t="s">
        <v>604</v>
      </c>
      <c r="T90" s="4" t="s">
        <v>749</v>
      </c>
      <c r="U90" s="4" t="s">
        <v>750</v>
      </c>
      <c r="V90" s="2" t="str">
        <f t="shared" si="3"/>
        <v>LUCIA PIOPPO</v>
      </c>
    </row>
    <row r="91" spans="1:22" s="4" customFormat="1" x14ac:dyDescent="0.25">
      <c r="A91" s="4" t="s">
        <v>424</v>
      </c>
      <c r="B91" s="4" t="str">
        <f t="shared" si="4"/>
        <v>9Y24VP8AP72OVR</v>
      </c>
      <c r="C91" s="4" t="s">
        <v>426</v>
      </c>
      <c r="D91" s="4" t="s">
        <v>27</v>
      </c>
      <c r="E91" s="4" t="s">
        <v>28</v>
      </c>
      <c r="F91" s="4" t="s">
        <v>29</v>
      </c>
      <c r="G91" s="5">
        <v>46023</v>
      </c>
      <c r="H91" s="5">
        <v>46023</v>
      </c>
      <c r="I91" s="4">
        <v>20411454</v>
      </c>
      <c r="J91" s="4" t="s">
        <v>32</v>
      </c>
      <c r="K91" s="4" t="s">
        <v>610</v>
      </c>
      <c r="L91" s="4" t="s">
        <v>34</v>
      </c>
      <c r="M91" s="4">
        <v>135</v>
      </c>
      <c r="N91" s="4">
        <v>135</v>
      </c>
      <c r="O91" s="4" t="s">
        <v>604</v>
      </c>
      <c r="T91" s="4" t="s">
        <v>751</v>
      </c>
      <c r="U91" s="4" t="s">
        <v>752</v>
      </c>
      <c r="V91" s="2" t="str">
        <f t="shared" si="3"/>
        <v>TIM PRICE</v>
      </c>
    </row>
    <row r="92" spans="1:22" s="4" customFormat="1" x14ac:dyDescent="0.25">
      <c r="A92" s="4" t="s">
        <v>428</v>
      </c>
      <c r="B92" s="4" t="str">
        <f t="shared" si="4"/>
        <v>4N13UT6WG15OVR</v>
      </c>
      <c r="C92" s="4" t="s">
        <v>430</v>
      </c>
      <c r="D92" s="4" t="s">
        <v>27</v>
      </c>
      <c r="E92" s="4" t="s">
        <v>28</v>
      </c>
      <c r="F92" s="4" t="s">
        <v>29</v>
      </c>
      <c r="G92" s="5">
        <v>46023</v>
      </c>
      <c r="H92" s="5">
        <v>46023</v>
      </c>
      <c r="I92" s="4">
        <v>20411454</v>
      </c>
      <c r="J92" s="4" t="s">
        <v>32</v>
      </c>
      <c r="K92" s="4" t="s">
        <v>610</v>
      </c>
      <c r="L92" s="4" t="s">
        <v>34</v>
      </c>
      <c r="M92" s="4">
        <v>135</v>
      </c>
      <c r="N92" s="4">
        <v>135</v>
      </c>
      <c r="O92" s="4" t="s">
        <v>604</v>
      </c>
      <c r="T92" s="4" t="s">
        <v>751</v>
      </c>
      <c r="U92" s="4" t="s">
        <v>753</v>
      </c>
      <c r="V92" s="2" t="str">
        <f t="shared" si="3"/>
        <v>SUSAN PRICE</v>
      </c>
    </row>
    <row r="93" spans="1:22" s="4" customFormat="1" x14ac:dyDescent="0.25">
      <c r="A93" s="4" t="s">
        <v>431</v>
      </c>
      <c r="B93" s="4" t="str">
        <f t="shared" si="4"/>
        <v>1Y77VA7KR39OVR</v>
      </c>
      <c r="C93" s="4" t="s">
        <v>433</v>
      </c>
      <c r="D93" s="4" t="s">
        <v>27</v>
      </c>
      <c r="E93" s="4" t="s">
        <v>28</v>
      </c>
      <c r="F93" s="4" t="s">
        <v>29</v>
      </c>
      <c r="G93" s="5">
        <v>46023</v>
      </c>
      <c r="H93" s="5">
        <v>46023</v>
      </c>
      <c r="I93" s="4">
        <v>20411454</v>
      </c>
      <c r="J93" s="4" t="s">
        <v>32</v>
      </c>
      <c r="K93" s="4" t="s">
        <v>610</v>
      </c>
      <c r="L93" s="4" t="s">
        <v>34</v>
      </c>
      <c r="M93" s="4">
        <v>135</v>
      </c>
      <c r="N93" s="4">
        <v>135</v>
      </c>
      <c r="O93" s="4" t="s">
        <v>604</v>
      </c>
      <c r="T93" s="4" t="s">
        <v>616</v>
      </c>
      <c r="U93" s="4" t="s">
        <v>754</v>
      </c>
      <c r="V93" s="2" t="str">
        <f t="shared" si="3"/>
        <v>ELVA RAMSER</v>
      </c>
    </row>
    <row r="94" spans="1:22" s="4" customFormat="1" x14ac:dyDescent="0.25">
      <c r="A94" s="4" t="s">
        <v>437</v>
      </c>
      <c r="B94" s="4" t="str">
        <f t="shared" si="4"/>
        <v>4T21KT8WX10OVR</v>
      </c>
      <c r="C94" s="4" t="s">
        <v>439</v>
      </c>
      <c r="D94" s="4" t="s">
        <v>27</v>
      </c>
      <c r="E94" s="4" t="s">
        <v>28</v>
      </c>
      <c r="F94" s="4" t="s">
        <v>29</v>
      </c>
      <c r="G94" s="5">
        <v>46023</v>
      </c>
      <c r="H94" s="5">
        <v>46023</v>
      </c>
      <c r="I94" s="4">
        <v>20411454</v>
      </c>
      <c r="J94" s="4" t="s">
        <v>32</v>
      </c>
      <c r="K94" s="4" t="s">
        <v>610</v>
      </c>
      <c r="L94" s="4" t="s">
        <v>34</v>
      </c>
      <c r="M94" s="4">
        <v>135</v>
      </c>
      <c r="N94" s="4">
        <v>135</v>
      </c>
      <c r="O94" s="4" t="s">
        <v>604</v>
      </c>
      <c r="T94" s="4" t="s">
        <v>755</v>
      </c>
      <c r="U94" s="4" t="s">
        <v>756</v>
      </c>
      <c r="V94" s="2" t="str">
        <f t="shared" si="3"/>
        <v>BARBARA RAMSEY</v>
      </c>
    </row>
    <row r="95" spans="1:22" s="4" customFormat="1" x14ac:dyDescent="0.25">
      <c r="A95" s="4" t="s">
        <v>440</v>
      </c>
      <c r="B95" s="4" t="str">
        <f t="shared" si="4"/>
        <v>9D22RW9QX09OVR</v>
      </c>
      <c r="C95" s="4" t="s">
        <v>442</v>
      </c>
      <c r="D95" s="4" t="s">
        <v>27</v>
      </c>
      <c r="E95" s="4" t="s">
        <v>28</v>
      </c>
      <c r="F95" s="4" t="s">
        <v>29</v>
      </c>
      <c r="G95" s="5">
        <v>46023</v>
      </c>
      <c r="H95" s="5">
        <v>46023</v>
      </c>
      <c r="I95" s="4">
        <v>20411454</v>
      </c>
      <c r="J95" s="4" t="s">
        <v>32</v>
      </c>
      <c r="K95" s="4" t="s">
        <v>610</v>
      </c>
      <c r="L95" s="4" t="s">
        <v>34</v>
      </c>
      <c r="M95" s="4">
        <v>135</v>
      </c>
      <c r="N95" s="4">
        <v>135</v>
      </c>
      <c r="O95" s="4" t="s">
        <v>604</v>
      </c>
      <c r="T95" s="4" t="s">
        <v>757</v>
      </c>
      <c r="U95" s="4" t="s">
        <v>758</v>
      </c>
      <c r="V95" s="2" t="str">
        <f t="shared" si="3"/>
        <v>ZIM RATTANAVONGKOTH</v>
      </c>
    </row>
    <row r="96" spans="1:22" s="4" customFormat="1" x14ac:dyDescent="0.25">
      <c r="A96" s="4" t="s">
        <v>443</v>
      </c>
      <c r="B96" s="4" t="str">
        <f t="shared" si="4"/>
        <v>2J14GF4KQ82OVR</v>
      </c>
      <c r="C96" s="4" t="s">
        <v>445</v>
      </c>
      <c r="D96" s="4" t="s">
        <v>93</v>
      </c>
      <c r="E96" s="4" t="s">
        <v>28</v>
      </c>
      <c r="F96" s="4" t="s">
        <v>29</v>
      </c>
      <c r="G96" s="5">
        <v>46023</v>
      </c>
      <c r="H96" s="5">
        <v>46023</v>
      </c>
      <c r="I96" s="4">
        <v>20411454</v>
      </c>
      <c r="J96" s="4" t="s">
        <v>32</v>
      </c>
      <c r="K96" s="4" t="s">
        <v>610</v>
      </c>
      <c r="L96" s="4" t="s">
        <v>34</v>
      </c>
      <c r="M96" s="4">
        <v>135</v>
      </c>
      <c r="N96" s="4">
        <v>135</v>
      </c>
      <c r="O96" s="4" t="s">
        <v>604</v>
      </c>
      <c r="T96" s="4" t="s">
        <v>759</v>
      </c>
      <c r="U96" s="4" t="s">
        <v>760</v>
      </c>
      <c r="V96" s="2" t="str">
        <f t="shared" si="3"/>
        <v>DOUGLAS REED</v>
      </c>
    </row>
    <row r="97" spans="1:22" s="4" customFormat="1" x14ac:dyDescent="0.25">
      <c r="A97" s="4" t="s">
        <v>447</v>
      </c>
      <c r="B97" s="4" t="str">
        <f t="shared" si="4"/>
        <v>1TT3K31WK91OVR</v>
      </c>
      <c r="C97" s="4" t="s">
        <v>449</v>
      </c>
      <c r="D97" s="4" t="s">
        <v>50</v>
      </c>
      <c r="E97" s="4" t="s">
        <v>28</v>
      </c>
      <c r="F97" s="4" t="s">
        <v>314</v>
      </c>
      <c r="G97" s="5">
        <v>46023</v>
      </c>
      <c r="H97" s="5">
        <v>46023</v>
      </c>
      <c r="I97" s="4">
        <v>20411454</v>
      </c>
      <c r="J97" s="4" t="s">
        <v>32</v>
      </c>
      <c r="K97" s="4" t="s">
        <v>610</v>
      </c>
      <c r="L97" s="4" t="s">
        <v>34</v>
      </c>
      <c r="M97" s="4">
        <v>135</v>
      </c>
      <c r="N97" s="4">
        <v>135</v>
      </c>
      <c r="O97" s="4" t="s">
        <v>604</v>
      </c>
      <c r="T97" s="4" t="s">
        <v>761</v>
      </c>
      <c r="U97" s="4" t="s">
        <v>760</v>
      </c>
      <c r="V97" s="2" t="str">
        <f t="shared" si="3"/>
        <v>DOUGLAS RICHARDSON</v>
      </c>
    </row>
    <row r="98" spans="1:22" s="4" customFormat="1" x14ac:dyDescent="0.25">
      <c r="A98" s="4" t="s">
        <v>451</v>
      </c>
      <c r="B98" s="4" t="str">
        <f t="shared" si="4"/>
        <v>7HJ5C23GP97OVR</v>
      </c>
      <c r="C98" s="4" t="s">
        <v>453</v>
      </c>
      <c r="D98" s="4" t="s">
        <v>27</v>
      </c>
      <c r="E98" s="4" t="s">
        <v>28</v>
      </c>
      <c r="F98" s="4" t="s">
        <v>29</v>
      </c>
      <c r="G98" s="5">
        <v>46023</v>
      </c>
      <c r="H98" s="5">
        <v>46023</v>
      </c>
      <c r="I98" s="4">
        <v>20411454</v>
      </c>
      <c r="J98" s="4" t="s">
        <v>32</v>
      </c>
      <c r="K98" s="4" t="s">
        <v>610</v>
      </c>
      <c r="L98" s="4" t="s">
        <v>34</v>
      </c>
      <c r="M98" s="4">
        <v>135</v>
      </c>
      <c r="N98" s="4">
        <v>135</v>
      </c>
      <c r="O98" s="4" t="s">
        <v>604</v>
      </c>
      <c r="T98" s="4" t="s">
        <v>762</v>
      </c>
      <c r="U98" s="4" t="s">
        <v>763</v>
      </c>
      <c r="V98" s="2" t="str">
        <f t="shared" si="3"/>
        <v>MARLA RIECHES</v>
      </c>
    </row>
    <row r="99" spans="1:22" s="4" customFormat="1" x14ac:dyDescent="0.25">
      <c r="A99" s="4" t="s">
        <v>454</v>
      </c>
      <c r="B99" s="4" t="str">
        <f t="shared" si="4"/>
        <v>3GW3N20CV72OVR</v>
      </c>
      <c r="C99" s="4" t="s">
        <v>456</v>
      </c>
      <c r="D99" s="4" t="s">
        <v>27</v>
      </c>
      <c r="E99" s="4" t="s">
        <v>28</v>
      </c>
      <c r="F99" s="4" t="s">
        <v>29</v>
      </c>
      <c r="G99" s="5">
        <v>46023</v>
      </c>
      <c r="H99" s="5">
        <v>46023</v>
      </c>
      <c r="I99" s="4">
        <v>20411454</v>
      </c>
      <c r="J99" s="4" t="s">
        <v>32</v>
      </c>
      <c r="K99" s="4" t="s">
        <v>610</v>
      </c>
      <c r="L99" s="4" t="s">
        <v>34</v>
      </c>
      <c r="M99" s="4">
        <v>135</v>
      </c>
      <c r="N99" s="4">
        <v>135</v>
      </c>
      <c r="O99" s="4" t="s">
        <v>604</v>
      </c>
      <c r="T99" s="4" t="s">
        <v>762</v>
      </c>
      <c r="U99" s="4" t="s">
        <v>764</v>
      </c>
      <c r="V99" s="2" t="str">
        <f t="shared" si="3"/>
        <v>MELVIN RIECHES</v>
      </c>
    </row>
    <row r="100" spans="1:22" s="4" customFormat="1" x14ac:dyDescent="0.25">
      <c r="A100" s="4" t="s">
        <v>457</v>
      </c>
      <c r="B100" s="4" t="str">
        <f t="shared" si="4"/>
        <v>7RE9DV0VH28OVR</v>
      </c>
      <c r="C100" s="4" t="s">
        <v>459</v>
      </c>
      <c r="D100" s="4" t="s">
        <v>460</v>
      </c>
      <c r="E100" s="4" t="s">
        <v>28</v>
      </c>
      <c r="F100" s="4" t="s">
        <v>29</v>
      </c>
      <c r="G100" s="5">
        <v>46023</v>
      </c>
      <c r="H100" s="5">
        <v>46023</v>
      </c>
      <c r="I100" s="4">
        <v>20411454</v>
      </c>
      <c r="J100" s="4" t="s">
        <v>32</v>
      </c>
      <c r="K100" s="4" t="s">
        <v>610</v>
      </c>
      <c r="L100" s="4" t="s">
        <v>34</v>
      </c>
      <c r="M100" s="4">
        <v>135</v>
      </c>
      <c r="N100" s="4">
        <v>135</v>
      </c>
      <c r="O100" s="4" t="s">
        <v>604</v>
      </c>
      <c r="T100" s="4" t="s">
        <v>765</v>
      </c>
      <c r="U100" s="4" t="s">
        <v>766</v>
      </c>
      <c r="V100" s="2" t="str">
        <f t="shared" si="3"/>
        <v>DONNA ROLLS</v>
      </c>
    </row>
    <row r="101" spans="1:22" s="4" customFormat="1" x14ac:dyDescent="0.25">
      <c r="A101" s="4" t="s">
        <v>464</v>
      </c>
      <c r="B101" s="4" t="str">
        <f t="shared" si="4"/>
        <v>7CM4Y26WE61OVR</v>
      </c>
      <c r="C101" s="4" t="s">
        <v>466</v>
      </c>
      <c r="D101" s="4" t="s">
        <v>152</v>
      </c>
      <c r="E101" s="4" t="s">
        <v>28</v>
      </c>
      <c r="F101" s="4" t="s">
        <v>29</v>
      </c>
      <c r="G101" s="5">
        <v>46023</v>
      </c>
      <c r="H101" s="5">
        <v>46023</v>
      </c>
      <c r="I101" s="4">
        <v>20411454</v>
      </c>
      <c r="J101" s="4" t="s">
        <v>32</v>
      </c>
      <c r="K101" s="4" t="s">
        <v>610</v>
      </c>
      <c r="L101" s="4" t="s">
        <v>34</v>
      </c>
      <c r="M101" s="4">
        <v>135</v>
      </c>
      <c r="N101" s="4">
        <v>135</v>
      </c>
      <c r="O101" s="4" t="s">
        <v>604</v>
      </c>
      <c r="T101" s="4" t="s">
        <v>767</v>
      </c>
      <c r="U101" s="4" t="s">
        <v>613</v>
      </c>
      <c r="V101" s="2" t="str">
        <f t="shared" si="3"/>
        <v>DAVID RURAN</v>
      </c>
    </row>
    <row r="102" spans="1:22" s="4" customFormat="1" x14ac:dyDescent="0.25">
      <c r="A102" s="4" t="s">
        <v>480</v>
      </c>
      <c r="B102" s="4" t="str">
        <f t="shared" si="4"/>
        <v>1KV0J66FF19OVR</v>
      </c>
      <c r="C102" s="4" t="s">
        <v>482</v>
      </c>
      <c r="D102" s="4" t="s">
        <v>27</v>
      </c>
      <c r="E102" s="4" t="s">
        <v>28</v>
      </c>
      <c r="F102" s="4" t="s">
        <v>29</v>
      </c>
      <c r="G102" s="5">
        <v>46023</v>
      </c>
      <c r="H102" s="5">
        <v>46023</v>
      </c>
      <c r="I102" s="4">
        <v>20411454</v>
      </c>
      <c r="J102" s="4" t="s">
        <v>32</v>
      </c>
      <c r="K102" s="4" t="s">
        <v>610</v>
      </c>
      <c r="L102" s="4" t="s">
        <v>34</v>
      </c>
      <c r="M102" s="4">
        <v>135</v>
      </c>
      <c r="N102" s="4">
        <v>135</v>
      </c>
      <c r="O102" s="4" t="s">
        <v>604</v>
      </c>
      <c r="T102" s="4" t="s">
        <v>768</v>
      </c>
      <c r="U102" s="4" t="s">
        <v>685</v>
      </c>
      <c r="V102" s="2" t="str">
        <f t="shared" si="3"/>
        <v>KAREN SHEPHERD</v>
      </c>
    </row>
    <row r="103" spans="1:22" s="4" customFormat="1" x14ac:dyDescent="0.25">
      <c r="A103" s="4" t="s">
        <v>483</v>
      </c>
      <c r="B103" s="4" t="str">
        <f t="shared" si="4"/>
        <v>8V00Q83VF33OVR</v>
      </c>
      <c r="C103" s="4" t="s">
        <v>485</v>
      </c>
      <c r="D103" s="4" t="s">
        <v>93</v>
      </c>
      <c r="E103" s="4" t="s">
        <v>28</v>
      </c>
      <c r="F103" s="4" t="s">
        <v>29</v>
      </c>
      <c r="G103" s="5">
        <v>46023</v>
      </c>
      <c r="H103" s="5">
        <v>46023</v>
      </c>
      <c r="I103" s="4">
        <v>20411454</v>
      </c>
      <c r="J103" s="4" t="s">
        <v>32</v>
      </c>
      <c r="K103" s="4" t="s">
        <v>610</v>
      </c>
      <c r="L103" s="4" t="s">
        <v>34</v>
      </c>
      <c r="M103" s="4">
        <v>135</v>
      </c>
      <c r="N103" s="4">
        <v>135</v>
      </c>
      <c r="O103" s="4" t="s">
        <v>604</v>
      </c>
      <c r="T103" s="4" t="s">
        <v>769</v>
      </c>
      <c r="U103" s="4" t="s">
        <v>770</v>
      </c>
      <c r="V103" s="2" t="str">
        <f t="shared" si="3"/>
        <v>RETTA SHIVELY</v>
      </c>
    </row>
    <row r="104" spans="1:22" s="4" customFormat="1" x14ac:dyDescent="0.25">
      <c r="A104" s="4" t="s">
        <v>487</v>
      </c>
      <c r="B104" s="4" t="str">
        <f t="shared" si="4"/>
        <v>7HV6VY2CK63OVR</v>
      </c>
      <c r="C104" s="4" t="s">
        <v>489</v>
      </c>
      <c r="D104" s="4" t="s">
        <v>27</v>
      </c>
      <c r="E104" s="4" t="s">
        <v>28</v>
      </c>
      <c r="F104" s="4" t="s">
        <v>29</v>
      </c>
      <c r="G104" s="5">
        <v>46023</v>
      </c>
      <c r="H104" s="5">
        <v>46023</v>
      </c>
      <c r="I104" s="4">
        <v>20411454</v>
      </c>
      <c r="J104" s="4" t="s">
        <v>32</v>
      </c>
      <c r="K104" s="4" t="s">
        <v>610</v>
      </c>
      <c r="L104" s="4" t="s">
        <v>34</v>
      </c>
      <c r="M104" s="4">
        <v>135</v>
      </c>
      <c r="N104" s="4">
        <v>135</v>
      </c>
      <c r="O104" s="4" t="s">
        <v>604</v>
      </c>
      <c r="T104" s="4" t="s">
        <v>771</v>
      </c>
      <c r="U104" s="4" t="s">
        <v>772</v>
      </c>
      <c r="V104" s="2" t="str">
        <f t="shared" si="3"/>
        <v>LOIS SIMMONS</v>
      </c>
    </row>
    <row r="105" spans="1:22" s="4" customFormat="1" x14ac:dyDescent="0.25">
      <c r="A105" s="4" t="s">
        <v>506</v>
      </c>
      <c r="B105" s="4" t="str">
        <f t="shared" si="4"/>
        <v>4XA9WV7QT23OVR</v>
      </c>
      <c r="C105" s="4" t="s">
        <v>508</v>
      </c>
      <c r="D105" s="4" t="s">
        <v>27</v>
      </c>
      <c r="E105" s="4" t="s">
        <v>28</v>
      </c>
      <c r="F105" s="4" t="s">
        <v>29</v>
      </c>
      <c r="G105" s="5">
        <v>46023</v>
      </c>
      <c r="H105" s="5">
        <v>46023</v>
      </c>
      <c r="I105" s="4">
        <v>20411454</v>
      </c>
      <c r="J105" s="4" t="s">
        <v>32</v>
      </c>
      <c r="K105" s="4" t="s">
        <v>610</v>
      </c>
      <c r="L105" s="4" t="s">
        <v>34</v>
      </c>
      <c r="M105" s="4">
        <v>135</v>
      </c>
      <c r="N105" s="4">
        <v>135</v>
      </c>
      <c r="O105" s="4" t="s">
        <v>604</v>
      </c>
      <c r="T105" s="4" t="s">
        <v>660</v>
      </c>
      <c r="U105" s="4" t="s">
        <v>773</v>
      </c>
      <c r="V105" s="2" t="str">
        <f t="shared" si="3"/>
        <v>ELIZABETH SMITH</v>
      </c>
    </row>
    <row r="106" spans="1:22" s="4" customFormat="1" x14ac:dyDescent="0.25">
      <c r="A106" s="4" t="s">
        <v>509</v>
      </c>
      <c r="B106" s="4" t="str">
        <f t="shared" si="4"/>
        <v>8V23VW6KF15OVR</v>
      </c>
      <c r="C106" s="4" t="s">
        <v>511</v>
      </c>
      <c r="D106" s="4" t="s">
        <v>27</v>
      </c>
      <c r="E106" s="4" t="s">
        <v>28</v>
      </c>
      <c r="F106" s="4" t="s">
        <v>29</v>
      </c>
      <c r="G106" s="5">
        <v>46023</v>
      </c>
      <c r="H106" s="5">
        <v>46023</v>
      </c>
      <c r="I106" s="4">
        <v>20411454</v>
      </c>
      <c r="J106" s="4" t="s">
        <v>32</v>
      </c>
      <c r="K106" s="4" t="s">
        <v>610</v>
      </c>
      <c r="L106" s="4" t="s">
        <v>34</v>
      </c>
      <c r="M106" s="4">
        <v>135</v>
      </c>
      <c r="N106" s="4">
        <v>135</v>
      </c>
      <c r="O106" s="4" t="s">
        <v>604</v>
      </c>
      <c r="T106" s="4" t="s">
        <v>660</v>
      </c>
      <c r="U106" s="4" t="s">
        <v>774</v>
      </c>
      <c r="V106" s="2" t="str">
        <f t="shared" si="3"/>
        <v>PHYLLIS SMITH</v>
      </c>
    </row>
    <row r="107" spans="1:22" s="4" customFormat="1" x14ac:dyDescent="0.25">
      <c r="A107" s="4" t="s">
        <v>512</v>
      </c>
      <c r="B107" s="4" t="str">
        <f t="shared" si="4"/>
        <v>5D13E24WF83OVR</v>
      </c>
      <c r="C107" s="4" t="s">
        <v>514</v>
      </c>
      <c r="D107" s="4" t="s">
        <v>27</v>
      </c>
      <c r="E107" s="4" t="s">
        <v>28</v>
      </c>
      <c r="F107" s="4" t="s">
        <v>29</v>
      </c>
      <c r="G107" s="5">
        <v>46023</v>
      </c>
      <c r="H107" s="5">
        <v>46023</v>
      </c>
      <c r="I107" s="4">
        <v>20411454</v>
      </c>
      <c r="J107" s="4" t="s">
        <v>32</v>
      </c>
      <c r="K107" s="4" t="s">
        <v>610</v>
      </c>
      <c r="L107" s="4" t="s">
        <v>34</v>
      </c>
      <c r="M107" s="4">
        <v>135</v>
      </c>
      <c r="N107" s="4">
        <v>135</v>
      </c>
      <c r="O107" s="4" t="s">
        <v>604</v>
      </c>
      <c r="T107" s="4" t="s">
        <v>660</v>
      </c>
      <c r="U107" s="4" t="s">
        <v>643</v>
      </c>
      <c r="V107" s="2" t="str">
        <f t="shared" si="3"/>
        <v>ROBERT SMITH</v>
      </c>
    </row>
    <row r="108" spans="1:22" s="4" customFormat="1" x14ac:dyDescent="0.25">
      <c r="A108" s="4" t="s">
        <v>520</v>
      </c>
      <c r="B108" s="4" t="str">
        <f t="shared" si="4"/>
        <v>5T95DF1NV54OVR</v>
      </c>
      <c r="C108" s="4" t="s">
        <v>522</v>
      </c>
      <c r="D108" s="4" t="s">
        <v>27</v>
      </c>
      <c r="E108" s="4" t="s">
        <v>28</v>
      </c>
      <c r="F108" s="4" t="s">
        <v>29</v>
      </c>
      <c r="G108" s="5">
        <v>46023</v>
      </c>
      <c r="H108" s="5">
        <v>46023</v>
      </c>
      <c r="I108" s="4">
        <v>20411454</v>
      </c>
      <c r="J108" s="4" t="s">
        <v>32</v>
      </c>
      <c r="K108" s="4" t="s">
        <v>610</v>
      </c>
      <c r="L108" s="4" t="s">
        <v>34</v>
      </c>
      <c r="M108" s="4">
        <v>135</v>
      </c>
      <c r="N108" s="4">
        <v>135</v>
      </c>
      <c r="O108" s="4" t="s">
        <v>604</v>
      </c>
      <c r="T108" s="4" t="s">
        <v>775</v>
      </c>
      <c r="U108" s="4" t="s">
        <v>776</v>
      </c>
      <c r="V108" s="2" t="str">
        <f t="shared" si="3"/>
        <v>BORKA STOJILJKOVIC</v>
      </c>
    </row>
    <row r="109" spans="1:22" s="4" customFormat="1" x14ac:dyDescent="0.25">
      <c r="A109" s="4" t="s">
        <v>523</v>
      </c>
      <c r="B109" s="4" t="str">
        <f t="shared" si="4"/>
        <v>9QM3K37PU92OVR</v>
      </c>
      <c r="C109" s="4" t="s">
        <v>525</v>
      </c>
      <c r="D109" s="4" t="s">
        <v>27</v>
      </c>
      <c r="E109" s="4" t="s">
        <v>28</v>
      </c>
      <c r="F109" s="4" t="s">
        <v>29</v>
      </c>
      <c r="G109" s="5">
        <v>46023</v>
      </c>
      <c r="H109" s="5">
        <v>46023</v>
      </c>
      <c r="I109" s="4">
        <v>20411454</v>
      </c>
      <c r="J109" s="4" t="s">
        <v>32</v>
      </c>
      <c r="K109" s="4" t="s">
        <v>610</v>
      </c>
      <c r="L109" s="4" t="s">
        <v>34</v>
      </c>
      <c r="M109" s="4">
        <v>135</v>
      </c>
      <c r="N109" s="4">
        <v>135</v>
      </c>
      <c r="O109" s="4" t="s">
        <v>604</v>
      </c>
      <c r="T109" s="4" t="s">
        <v>775</v>
      </c>
      <c r="U109" s="4" t="s">
        <v>777</v>
      </c>
      <c r="V109" s="2" t="str">
        <f t="shared" si="3"/>
        <v>PERICA STOJILJKOVIC</v>
      </c>
    </row>
    <row r="110" spans="1:22" s="4" customFormat="1" x14ac:dyDescent="0.25">
      <c r="A110" s="4" t="s">
        <v>526</v>
      </c>
      <c r="B110" s="4" t="str">
        <f t="shared" si="4"/>
        <v>9XV8KR8GC36OVR</v>
      </c>
      <c r="C110" s="4" t="s">
        <v>528</v>
      </c>
      <c r="D110" s="4" t="s">
        <v>27</v>
      </c>
      <c r="E110" s="4" t="s">
        <v>28</v>
      </c>
      <c r="F110" s="4" t="s">
        <v>29</v>
      </c>
      <c r="G110" s="5">
        <v>46023</v>
      </c>
      <c r="H110" s="5">
        <v>46023</v>
      </c>
      <c r="I110" s="4">
        <v>20411454</v>
      </c>
      <c r="J110" s="4" t="s">
        <v>32</v>
      </c>
      <c r="K110" s="4" t="s">
        <v>610</v>
      </c>
      <c r="L110" s="4" t="s">
        <v>34</v>
      </c>
      <c r="M110" s="4">
        <v>135</v>
      </c>
      <c r="N110" s="4">
        <v>135</v>
      </c>
      <c r="O110" s="4" t="s">
        <v>604</v>
      </c>
      <c r="T110" s="4" t="s">
        <v>778</v>
      </c>
      <c r="U110" s="4" t="s">
        <v>779</v>
      </c>
      <c r="V110" s="2" t="str">
        <f t="shared" si="3"/>
        <v>THERESE STREZO</v>
      </c>
    </row>
    <row r="111" spans="1:22" s="4" customFormat="1" x14ac:dyDescent="0.25">
      <c r="A111" s="4" t="s">
        <v>530</v>
      </c>
      <c r="B111" s="4" t="str">
        <f t="shared" si="4"/>
        <v>6W23GN7XU76OVR</v>
      </c>
      <c r="C111" s="4" t="s">
        <v>532</v>
      </c>
      <c r="D111" s="4" t="s">
        <v>27</v>
      </c>
      <c r="E111" s="4" t="s">
        <v>28</v>
      </c>
      <c r="F111" s="4" t="s">
        <v>29</v>
      </c>
      <c r="G111" s="5">
        <v>46023</v>
      </c>
      <c r="H111" s="5">
        <v>46023</v>
      </c>
      <c r="I111" s="4">
        <v>20411454</v>
      </c>
      <c r="J111" s="4" t="s">
        <v>32</v>
      </c>
      <c r="K111" s="4" t="s">
        <v>610</v>
      </c>
      <c r="L111" s="4" t="s">
        <v>34</v>
      </c>
      <c r="M111" s="4">
        <v>135</v>
      </c>
      <c r="N111" s="4">
        <v>135</v>
      </c>
      <c r="O111" s="4" t="s">
        <v>604</v>
      </c>
      <c r="T111" s="4" t="s">
        <v>780</v>
      </c>
      <c r="U111" s="4" t="s">
        <v>781</v>
      </c>
      <c r="V111" s="2" t="str">
        <f t="shared" si="3"/>
        <v>JUDITH SWICK</v>
      </c>
    </row>
    <row r="112" spans="1:22" s="4" customFormat="1" x14ac:dyDescent="0.25">
      <c r="A112" s="4" t="s">
        <v>533</v>
      </c>
      <c r="B112" s="4" t="str">
        <f t="shared" si="4"/>
        <v>4E15UM3NK98OVR</v>
      </c>
      <c r="C112" s="4" t="s">
        <v>535</v>
      </c>
      <c r="D112" s="4" t="s">
        <v>27</v>
      </c>
      <c r="E112" s="4" t="s">
        <v>28</v>
      </c>
      <c r="F112" s="4" t="s">
        <v>29</v>
      </c>
      <c r="G112" s="5">
        <v>46023</v>
      </c>
      <c r="H112" s="5">
        <v>46023</v>
      </c>
      <c r="I112" s="4">
        <v>20411454</v>
      </c>
      <c r="J112" s="4" t="s">
        <v>32</v>
      </c>
      <c r="K112" s="4" t="s">
        <v>610</v>
      </c>
      <c r="L112" s="4" t="s">
        <v>34</v>
      </c>
      <c r="M112" s="4">
        <v>135</v>
      </c>
      <c r="N112" s="4">
        <v>135</v>
      </c>
      <c r="O112" s="4" t="s">
        <v>604</v>
      </c>
      <c r="T112" s="4" t="s">
        <v>780</v>
      </c>
      <c r="U112" s="4" t="s">
        <v>782</v>
      </c>
      <c r="V112" s="2" t="str">
        <f t="shared" si="3"/>
        <v>STANLEY SWICK</v>
      </c>
    </row>
    <row r="113" spans="1:22" s="4" customFormat="1" x14ac:dyDescent="0.25">
      <c r="A113" s="4" t="s">
        <v>547</v>
      </c>
      <c r="B113" s="4" t="str">
        <f t="shared" si="4"/>
        <v>7DV3NE2KM94OVR</v>
      </c>
      <c r="C113" s="4" t="s">
        <v>549</v>
      </c>
      <c r="D113" s="4" t="s">
        <v>550</v>
      </c>
      <c r="E113" s="4" t="s">
        <v>28</v>
      </c>
      <c r="F113" s="4" t="s">
        <v>29</v>
      </c>
      <c r="G113" s="5">
        <v>46023</v>
      </c>
      <c r="H113" s="5">
        <v>46023</v>
      </c>
      <c r="I113" s="4">
        <v>20411454</v>
      </c>
      <c r="J113" s="4" t="s">
        <v>32</v>
      </c>
      <c r="K113" s="4" t="s">
        <v>610</v>
      </c>
      <c r="L113" s="4" t="s">
        <v>34</v>
      </c>
      <c r="M113" s="4">
        <v>135</v>
      </c>
      <c r="N113" s="4">
        <v>135</v>
      </c>
      <c r="O113" s="4" t="s">
        <v>604</v>
      </c>
      <c r="T113" s="4" t="s">
        <v>783</v>
      </c>
      <c r="U113" s="4" t="s">
        <v>784</v>
      </c>
      <c r="V113" s="2" t="str">
        <f t="shared" si="3"/>
        <v>JAMIE VALENZUELA</v>
      </c>
    </row>
    <row r="114" spans="1:22" s="4" customFormat="1" x14ac:dyDescent="0.25">
      <c r="A114" s="4" t="s">
        <v>557</v>
      </c>
      <c r="B114" s="4" t="str">
        <f t="shared" si="4"/>
        <v>1HN0KW4CT33OVR</v>
      </c>
      <c r="C114" s="4" t="s">
        <v>559</v>
      </c>
      <c r="D114" s="4" t="s">
        <v>50</v>
      </c>
      <c r="E114" s="4" t="s">
        <v>28</v>
      </c>
      <c r="F114" s="4" t="s">
        <v>29</v>
      </c>
      <c r="G114" s="5">
        <v>46023</v>
      </c>
      <c r="H114" s="5">
        <v>46023</v>
      </c>
      <c r="I114" s="4">
        <v>20411454</v>
      </c>
      <c r="J114" s="4" t="s">
        <v>32</v>
      </c>
      <c r="K114" s="4" t="s">
        <v>610</v>
      </c>
      <c r="L114" s="4" t="s">
        <v>34</v>
      </c>
      <c r="M114" s="4">
        <v>135</v>
      </c>
      <c r="N114" s="4">
        <v>135</v>
      </c>
      <c r="O114" s="4" t="s">
        <v>604</v>
      </c>
      <c r="T114" s="4" t="s">
        <v>785</v>
      </c>
      <c r="U114" s="4" t="s">
        <v>635</v>
      </c>
      <c r="V114" s="2" t="str">
        <f t="shared" si="3"/>
        <v>KENNETH WEBBER</v>
      </c>
    </row>
    <row r="115" spans="1:22" s="4" customFormat="1" x14ac:dyDescent="0.25">
      <c r="A115" s="4" t="s">
        <v>561</v>
      </c>
      <c r="B115" s="4" t="str">
        <f t="shared" si="4"/>
        <v>4JX0E87NV43OVR</v>
      </c>
      <c r="C115" s="4" t="s">
        <v>563</v>
      </c>
      <c r="D115" s="4" t="s">
        <v>27</v>
      </c>
      <c r="E115" s="4" t="s">
        <v>28</v>
      </c>
      <c r="F115" s="4" t="s">
        <v>29</v>
      </c>
      <c r="G115" s="5">
        <v>46023</v>
      </c>
      <c r="H115" s="5">
        <v>46023</v>
      </c>
      <c r="I115" s="4">
        <v>20411454</v>
      </c>
      <c r="J115" s="4" t="s">
        <v>32</v>
      </c>
      <c r="K115" s="4" t="s">
        <v>610</v>
      </c>
      <c r="L115" s="4" t="s">
        <v>34</v>
      </c>
      <c r="M115" s="4">
        <v>135</v>
      </c>
      <c r="N115" s="4">
        <v>135</v>
      </c>
      <c r="O115" s="4" t="s">
        <v>604</v>
      </c>
      <c r="T115" s="4" t="s">
        <v>786</v>
      </c>
      <c r="U115" s="4" t="s">
        <v>787</v>
      </c>
      <c r="V115" s="2" t="str">
        <f t="shared" si="3"/>
        <v>DIANE WENDLER</v>
      </c>
    </row>
    <row r="116" spans="1:22" s="4" customFormat="1" x14ac:dyDescent="0.25">
      <c r="A116" s="4" t="s">
        <v>568</v>
      </c>
      <c r="B116" s="4" t="str">
        <f t="shared" si="4"/>
        <v>1TE8UE0EV57OVR</v>
      </c>
      <c r="C116" s="4" t="s">
        <v>570</v>
      </c>
      <c r="D116" s="4" t="s">
        <v>27</v>
      </c>
      <c r="E116" s="4" t="s">
        <v>28</v>
      </c>
      <c r="F116" s="4" t="s">
        <v>29</v>
      </c>
      <c r="G116" s="5">
        <v>46023</v>
      </c>
      <c r="H116" s="5">
        <v>46023</v>
      </c>
      <c r="I116" s="4">
        <v>20411454</v>
      </c>
      <c r="J116" s="4" t="s">
        <v>32</v>
      </c>
      <c r="K116" s="4" t="s">
        <v>610</v>
      </c>
      <c r="L116" s="4" t="s">
        <v>34</v>
      </c>
      <c r="M116" s="4">
        <v>135</v>
      </c>
      <c r="N116" s="4">
        <v>135</v>
      </c>
      <c r="O116" s="4" t="s">
        <v>604</v>
      </c>
      <c r="T116" s="4" t="s">
        <v>788</v>
      </c>
      <c r="U116" s="4" t="s">
        <v>713</v>
      </c>
      <c r="V116" s="2" t="str">
        <f t="shared" si="3"/>
        <v>LINDA WHITLEY</v>
      </c>
    </row>
    <row r="117" spans="1:22" s="4" customFormat="1" x14ac:dyDescent="0.25">
      <c r="A117" s="4" t="s">
        <v>571</v>
      </c>
      <c r="B117" s="4" t="str">
        <f t="shared" si="4"/>
        <v>5G26M25XK89OVR</v>
      </c>
      <c r="C117" s="4" t="s">
        <v>573</v>
      </c>
      <c r="D117" s="4" t="s">
        <v>27</v>
      </c>
      <c r="E117" s="4" t="s">
        <v>28</v>
      </c>
      <c r="F117" s="4" t="s">
        <v>29</v>
      </c>
      <c r="G117" s="5">
        <v>46023</v>
      </c>
      <c r="H117" s="5">
        <v>46023</v>
      </c>
      <c r="I117" s="4">
        <v>20411454</v>
      </c>
      <c r="J117" s="4" t="s">
        <v>32</v>
      </c>
      <c r="K117" s="4" t="s">
        <v>610</v>
      </c>
      <c r="L117" s="4" t="s">
        <v>34</v>
      </c>
      <c r="M117" s="4">
        <v>135</v>
      </c>
      <c r="N117" s="4">
        <v>135</v>
      </c>
      <c r="O117" s="4" t="s">
        <v>604</v>
      </c>
      <c r="T117" s="4" t="s">
        <v>789</v>
      </c>
      <c r="U117" s="4" t="s">
        <v>763</v>
      </c>
      <c r="V117" s="2" t="str">
        <f t="shared" si="3"/>
        <v>MARLA WIENKE</v>
      </c>
    </row>
    <row r="118" spans="1:22" s="4" customFormat="1" x14ac:dyDescent="0.25">
      <c r="A118" s="4" t="s">
        <v>574</v>
      </c>
      <c r="B118" s="4" t="str">
        <f t="shared" si="4"/>
        <v>9KQ3VP4NG16OVR</v>
      </c>
      <c r="C118" s="4" t="s">
        <v>576</v>
      </c>
      <c r="D118" s="4" t="s">
        <v>577</v>
      </c>
      <c r="E118" s="4" t="s">
        <v>28</v>
      </c>
      <c r="F118" s="4" t="s">
        <v>29</v>
      </c>
      <c r="G118" s="5">
        <v>46023</v>
      </c>
      <c r="H118" s="5">
        <v>46023</v>
      </c>
      <c r="I118" s="4">
        <v>20411454</v>
      </c>
      <c r="J118" s="4" t="s">
        <v>32</v>
      </c>
      <c r="K118" s="4" t="s">
        <v>610</v>
      </c>
      <c r="L118" s="4" t="s">
        <v>34</v>
      </c>
      <c r="M118" s="4">
        <v>135</v>
      </c>
      <c r="N118" s="4">
        <v>135</v>
      </c>
      <c r="O118" s="4" t="s">
        <v>604</v>
      </c>
      <c r="T118" s="4" t="s">
        <v>790</v>
      </c>
      <c r="U118" s="4" t="s">
        <v>619</v>
      </c>
      <c r="V118" s="2" t="str">
        <f t="shared" si="3"/>
        <v>TERRY WILLIAMSON</v>
      </c>
    </row>
    <row r="119" spans="1:22" s="4" customFormat="1" x14ac:dyDescent="0.25">
      <c r="A119" s="4" t="s">
        <v>579</v>
      </c>
      <c r="B119" s="4" t="str">
        <f t="shared" si="4"/>
        <v>9HJ9NN2HR38OVR</v>
      </c>
      <c r="C119" s="4" t="s">
        <v>581</v>
      </c>
      <c r="D119" s="4" t="s">
        <v>327</v>
      </c>
      <c r="E119" s="4" t="s">
        <v>28</v>
      </c>
      <c r="F119" s="4" t="s">
        <v>29</v>
      </c>
      <c r="G119" s="5">
        <v>46023</v>
      </c>
      <c r="H119" s="5">
        <v>46023</v>
      </c>
      <c r="I119" s="4">
        <v>20411454</v>
      </c>
      <c r="J119" s="4" t="s">
        <v>32</v>
      </c>
      <c r="K119" s="4" t="s">
        <v>610</v>
      </c>
      <c r="L119" s="4" t="s">
        <v>34</v>
      </c>
      <c r="M119" s="4">
        <v>135</v>
      </c>
      <c r="N119" s="4">
        <v>135</v>
      </c>
      <c r="O119" s="4" t="s">
        <v>604</v>
      </c>
      <c r="T119" s="4" t="s">
        <v>791</v>
      </c>
      <c r="U119" s="4" t="s">
        <v>792</v>
      </c>
      <c r="V119" s="2" t="str">
        <f t="shared" si="3"/>
        <v>LARRY WINN</v>
      </c>
    </row>
    <row r="120" spans="1:22" s="4" customFormat="1" x14ac:dyDescent="0.25">
      <c r="A120" s="4" t="s">
        <v>591</v>
      </c>
      <c r="B120" s="4" t="str">
        <f t="shared" si="4"/>
        <v>4JN2DN7RX97OVR</v>
      </c>
      <c r="C120" s="4" t="s">
        <v>593</v>
      </c>
      <c r="D120" s="4" t="s">
        <v>93</v>
      </c>
      <c r="E120" s="4" t="s">
        <v>28</v>
      </c>
      <c r="F120" s="4" t="s">
        <v>29</v>
      </c>
      <c r="G120" s="5">
        <v>46023</v>
      </c>
      <c r="H120" s="5">
        <v>46023</v>
      </c>
      <c r="I120" s="4">
        <v>20411454</v>
      </c>
      <c r="J120" s="4" t="s">
        <v>32</v>
      </c>
      <c r="K120" s="4" t="s">
        <v>610</v>
      </c>
      <c r="L120" s="4" t="s">
        <v>34</v>
      </c>
      <c r="M120" s="4">
        <v>135</v>
      </c>
      <c r="N120" s="4">
        <v>135</v>
      </c>
      <c r="O120" s="4" t="s">
        <v>604</v>
      </c>
      <c r="T120" s="4" t="s">
        <v>793</v>
      </c>
      <c r="U120" s="4" t="s">
        <v>665</v>
      </c>
      <c r="V120" s="2" t="str">
        <f t="shared" si="3"/>
        <v>DALE YOUNG</v>
      </c>
    </row>
    <row r="121" spans="1:22" s="4" customFormat="1" x14ac:dyDescent="0.25">
      <c r="A121" s="4" t="s">
        <v>596</v>
      </c>
      <c r="B121" s="4" t="str">
        <f t="shared" si="4"/>
        <v>1MJ4N43JX64OVR</v>
      </c>
      <c r="C121" s="4" t="s">
        <v>598</v>
      </c>
      <c r="D121" s="4" t="s">
        <v>27</v>
      </c>
      <c r="E121" s="4" t="s">
        <v>28</v>
      </c>
      <c r="F121" s="4" t="s">
        <v>29</v>
      </c>
      <c r="G121" s="5">
        <v>46023</v>
      </c>
      <c r="H121" s="5">
        <v>46023</v>
      </c>
      <c r="I121" s="4">
        <v>20411454</v>
      </c>
      <c r="J121" s="4" t="s">
        <v>32</v>
      </c>
      <c r="K121" s="4" t="s">
        <v>610</v>
      </c>
      <c r="L121" s="4" t="s">
        <v>34</v>
      </c>
      <c r="M121" s="4">
        <v>135</v>
      </c>
      <c r="N121" s="4">
        <v>135</v>
      </c>
      <c r="O121" s="4" t="s">
        <v>604</v>
      </c>
      <c r="T121" s="4" t="s">
        <v>794</v>
      </c>
      <c r="U121" s="4" t="s">
        <v>795</v>
      </c>
      <c r="V121" s="2" t="str">
        <f t="shared" si="3"/>
        <v>CHARLES ZINDARS</v>
      </c>
    </row>
    <row r="122" spans="1:22" s="4" customFormat="1" x14ac:dyDescent="0.25">
      <c r="A122" s="4" t="s">
        <v>599</v>
      </c>
      <c r="B122" s="4" t="str">
        <f t="shared" si="4"/>
        <v>3UW5FX3YX64OVR</v>
      </c>
      <c r="C122" s="4" t="s">
        <v>601</v>
      </c>
      <c r="D122" s="4" t="s">
        <v>27</v>
      </c>
      <c r="E122" s="4" t="s">
        <v>28</v>
      </c>
      <c r="F122" s="4" t="s">
        <v>29</v>
      </c>
      <c r="G122" s="5">
        <v>46023</v>
      </c>
      <c r="H122" s="5">
        <v>46023</v>
      </c>
      <c r="I122" s="4">
        <v>20411454</v>
      </c>
      <c r="J122" s="4" t="s">
        <v>32</v>
      </c>
      <c r="K122" s="4" t="s">
        <v>610</v>
      </c>
      <c r="L122" s="4" t="s">
        <v>34</v>
      </c>
      <c r="M122" s="4">
        <v>135</v>
      </c>
      <c r="N122" s="4">
        <v>135</v>
      </c>
      <c r="O122" s="4" t="s">
        <v>604</v>
      </c>
      <c r="T122" s="4" t="s">
        <v>796</v>
      </c>
      <c r="U122" s="4" t="s">
        <v>613</v>
      </c>
      <c r="V122" s="2" t="str">
        <f t="shared" si="3"/>
        <v>DAVID ZINDER</v>
      </c>
    </row>
    <row r="123" spans="1:22" s="4" customFormat="1" x14ac:dyDescent="0.25">
      <c r="A123" s="4" t="s">
        <v>254</v>
      </c>
      <c r="B123" s="4" t="str">
        <f t="shared" si="4"/>
        <v>8G77VX2MR59OVR</v>
      </c>
      <c r="C123" s="4" t="s">
        <v>256</v>
      </c>
      <c r="D123" s="4" t="s">
        <v>50</v>
      </c>
      <c r="E123" s="4" t="s">
        <v>28</v>
      </c>
      <c r="F123" s="4" t="s">
        <v>29</v>
      </c>
      <c r="G123" s="5">
        <v>46054</v>
      </c>
      <c r="H123" s="5">
        <v>46054</v>
      </c>
      <c r="I123" s="4">
        <v>20411454</v>
      </c>
      <c r="J123" s="4" t="s">
        <v>32</v>
      </c>
      <c r="K123" s="4" t="s">
        <v>610</v>
      </c>
      <c r="L123" s="4" t="s">
        <v>34</v>
      </c>
      <c r="M123" s="4">
        <v>137.5</v>
      </c>
      <c r="N123" s="4">
        <v>137.5</v>
      </c>
      <c r="O123" s="4" t="s">
        <v>604</v>
      </c>
      <c r="T123" s="4" t="s">
        <v>797</v>
      </c>
      <c r="U123" s="4" t="s">
        <v>798</v>
      </c>
      <c r="V123" s="2" t="str">
        <f t="shared" si="3"/>
        <v>VALERIE JONES</v>
      </c>
    </row>
    <row r="124" spans="1:22" s="4" customFormat="1" x14ac:dyDescent="0.25">
      <c r="A124" s="4" t="s">
        <v>295</v>
      </c>
      <c r="B124" s="4" t="str">
        <f t="shared" si="4"/>
        <v>5X34WJ4UE95OVR</v>
      </c>
      <c r="C124" s="4" t="s">
        <v>297</v>
      </c>
      <c r="D124" s="4" t="s">
        <v>50</v>
      </c>
      <c r="E124" s="4" t="s">
        <v>28</v>
      </c>
      <c r="F124" s="4" t="s">
        <v>29</v>
      </c>
      <c r="G124" s="5">
        <v>46054</v>
      </c>
      <c r="H124" s="5">
        <v>46054</v>
      </c>
      <c r="I124" s="4">
        <v>20411454</v>
      </c>
      <c r="J124" s="4" t="s">
        <v>32</v>
      </c>
      <c r="K124" s="4" t="s">
        <v>610</v>
      </c>
      <c r="L124" s="4" t="s">
        <v>34</v>
      </c>
      <c r="M124" s="4">
        <v>137.5</v>
      </c>
      <c r="N124" s="4">
        <v>137.5</v>
      </c>
      <c r="O124" s="4" t="s">
        <v>604</v>
      </c>
      <c r="T124" s="4" t="s">
        <v>799</v>
      </c>
      <c r="U124" s="4" t="s">
        <v>800</v>
      </c>
      <c r="V124" s="2" t="str">
        <f t="shared" si="3"/>
        <v>TIMOTHY LESHER</v>
      </c>
    </row>
    <row r="125" spans="1:22" s="4" customFormat="1" x14ac:dyDescent="0.25">
      <c r="A125" s="4" t="s">
        <v>84</v>
      </c>
      <c r="B125" s="4" t="str">
        <f t="shared" si="4"/>
        <v>5CK7G06EC38OVR</v>
      </c>
      <c r="C125" s="4" t="s">
        <v>86</v>
      </c>
      <c r="D125" s="4" t="s">
        <v>87</v>
      </c>
      <c r="E125" s="4" t="s">
        <v>28</v>
      </c>
      <c r="F125" s="4" t="s">
        <v>29</v>
      </c>
      <c r="G125" s="5">
        <v>46023</v>
      </c>
      <c r="H125" s="5">
        <v>46023</v>
      </c>
      <c r="I125" s="4">
        <v>20411454</v>
      </c>
      <c r="J125" s="4" t="s">
        <v>32</v>
      </c>
      <c r="K125" s="4" t="s">
        <v>610</v>
      </c>
      <c r="L125" s="4" t="s">
        <v>34</v>
      </c>
      <c r="M125" s="4">
        <v>150</v>
      </c>
      <c r="N125" s="4">
        <v>150</v>
      </c>
      <c r="O125" s="4" t="s">
        <v>604</v>
      </c>
      <c r="T125" s="4" t="s">
        <v>801</v>
      </c>
      <c r="U125" s="4" t="s">
        <v>802</v>
      </c>
      <c r="V125" s="2" t="str">
        <f t="shared" si="3"/>
        <v>MARY BONTEKOE</v>
      </c>
    </row>
    <row r="126" spans="1:22" s="4" customFormat="1" x14ac:dyDescent="0.25">
      <c r="A126" s="4" t="s">
        <v>101</v>
      </c>
      <c r="B126" s="4" t="str">
        <f t="shared" si="4"/>
        <v>9Q61E49JT99OVR</v>
      </c>
      <c r="C126" s="4" t="s">
        <v>103</v>
      </c>
      <c r="D126" s="4" t="s">
        <v>50</v>
      </c>
      <c r="E126" s="4" t="s">
        <v>28</v>
      </c>
      <c r="F126" s="4" t="s">
        <v>29</v>
      </c>
      <c r="G126" s="5">
        <v>46023</v>
      </c>
      <c r="H126" s="5">
        <v>46023</v>
      </c>
      <c r="I126" s="4">
        <v>20411454</v>
      </c>
      <c r="J126" s="4" t="s">
        <v>32</v>
      </c>
      <c r="K126" s="4" t="s">
        <v>610</v>
      </c>
      <c r="L126" s="4" t="s">
        <v>34</v>
      </c>
      <c r="M126" s="4">
        <v>150</v>
      </c>
      <c r="N126" s="4">
        <v>150</v>
      </c>
      <c r="O126" s="4" t="s">
        <v>604</v>
      </c>
      <c r="T126" s="4" t="s">
        <v>803</v>
      </c>
      <c r="U126" s="4" t="s">
        <v>744</v>
      </c>
      <c r="V126" s="2" t="str">
        <f t="shared" si="3"/>
        <v>DENISE BREIDE</v>
      </c>
    </row>
    <row r="127" spans="1:22" s="4" customFormat="1" x14ac:dyDescent="0.25">
      <c r="A127" s="4" t="s">
        <v>126</v>
      </c>
      <c r="B127" s="4" t="str">
        <f t="shared" si="4"/>
        <v>1R60KH7CM04OVR</v>
      </c>
      <c r="C127" s="4" t="s">
        <v>128</v>
      </c>
      <c r="D127" s="4" t="s">
        <v>129</v>
      </c>
      <c r="E127" s="4" t="s">
        <v>28</v>
      </c>
      <c r="F127" s="4" t="s">
        <v>29</v>
      </c>
      <c r="G127" s="5">
        <v>46023</v>
      </c>
      <c r="H127" s="5">
        <v>46023</v>
      </c>
      <c r="I127" s="4">
        <v>20411454</v>
      </c>
      <c r="J127" s="4" t="s">
        <v>32</v>
      </c>
      <c r="K127" s="4" t="s">
        <v>610</v>
      </c>
      <c r="L127" s="4" t="s">
        <v>34</v>
      </c>
      <c r="M127" s="4">
        <v>150</v>
      </c>
      <c r="N127" s="4">
        <v>150</v>
      </c>
      <c r="O127" s="4" t="s">
        <v>604</v>
      </c>
      <c r="T127" s="4" t="s">
        <v>804</v>
      </c>
      <c r="U127" s="4" t="s">
        <v>802</v>
      </c>
      <c r="V127" s="2" t="str">
        <f t="shared" si="3"/>
        <v>MARY BROWNING</v>
      </c>
    </row>
    <row r="128" spans="1:22" s="4" customFormat="1" x14ac:dyDescent="0.25">
      <c r="A128" s="4" t="s">
        <v>163</v>
      </c>
      <c r="B128" s="4" t="str">
        <f t="shared" si="4"/>
        <v>6EX0PK7VV43OVR</v>
      </c>
      <c r="C128" s="4" t="s">
        <v>165</v>
      </c>
      <c r="D128" s="4" t="s">
        <v>93</v>
      </c>
      <c r="E128" s="4" t="s">
        <v>28</v>
      </c>
      <c r="F128" s="4" t="s">
        <v>29</v>
      </c>
      <c r="G128" s="5">
        <v>46023</v>
      </c>
      <c r="H128" s="5">
        <v>46023</v>
      </c>
      <c r="I128" s="4">
        <v>20411454</v>
      </c>
      <c r="J128" s="4" t="s">
        <v>32</v>
      </c>
      <c r="K128" s="4" t="s">
        <v>610</v>
      </c>
      <c r="L128" s="4" t="s">
        <v>34</v>
      </c>
      <c r="M128" s="4">
        <v>150</v>
      </c>
      <c r="N128" s="4">
        <v>150</v>
      </c>
      <c r="O128" s="4" t="s">
        <v>604</v>
      </c>
      <c r="T128" s="4" t="s">
        <v>805</v>
      </c>
      <c r="U128" s="4" t="s">
        <v>806</v>
      </c>
      <c r="V128" s="2" t="str">
        <f t="shared" si="3"/>
        <v>AUDREY DEMOR</v>
      </c>
    </row>
    <row r="129" spans="1:22" s="4" customFormat="1" x14ac:dyDescent="0.25">
      <c r="A129" s="4" t="s">
        <v>175</v>
      </c>
      <c r="B129" s="4" t="str">
        <f t="shared" si="4"/>
        <v>9N72J24VX84OVR</v>
      </c>
      <c r="C129" s="4" t="s">
        <v>177</v>
      </c>
      <c r="D129" s="4" t="s">
        <v>178</v>
      </c>
      <c r="E129" s="4" t="s">
        <v>28</v>
      </c>
      <c r="F129" s="4" t="s">
        <v>29</v>
      </c>
      <c r="G129" s="5">
        <v>46023</v>
      </c>
      <c r="H129" s="5">
        <v>46023</v>
      </c>
      <c r="I129" s="4">
        <v>20411454</v>
      </c>
      <c r="J129" s="4" t="s">
        <v>32</v>
      </c>
      <c r="K129" s="4" t="s">
        <v>610</v>
      </c>
      <c r="L129" s="4" t="s">
        <v>34</v>
      </c>
      <c r="M129" s="4">
        <v>150</v>
      </c>
      <c r="N129" s="4">
        <v>150</v>
      </c>
      <c r="O129" s="4" t="s">
        <v>604</v>
      </c>
      <c r="T129" s="4" t="s">
        <v>807</v>
      </c>
      <c r="U129" s="4" t="s">
        <v>748</v>
      </c>
      <c r="V129" s="2" t="str">
        <f t="shared" si="3"/>
        <v>MICHAEL DUGAN</v>
      </c>
    </row>
    <row r="130" spans="1:22" s="4" customFormat="1" x14ac:dyDescent="0.25">
      <c r="A130" s="4" t="s">
        <v>206</v>
      </c>
      <c r="B130" s="4" t="str">
        <f t="shared" si="4"/>
        <v>3RV1WM8UR08OVR</v>
      </c>
      <c r="C130" s="4" t="s">
        <v>208</v>
      </c>
      <c r="D130" s="4" t="s">
        <v>27</v>
      </c>
      <c r="E130" s="4" t="s">
        <v>28</v>
      </c>
      <c r="F130" s="4" t="s">
        <v>29</v>
      </c>
      <c r="G130" s="5">
        <v>46023</v>
      </c>
      <c r="H130" s="5">
        <v>46023</v>
      </c>
      <c r="I130" s="4">
        <v>20411454</v>
      </c>
      <c r="J130" s="4" t="s">
        <v>32</v>
      </c>
      <c r="K130" s="4" t="s">
        <v>610</v>
      </c>
      <c r="L130" s="4" t="s">
        <v>34</v>
      </c>
      <c r="M130" s="4">
        <v>150</v>
      </c>
      <c r="N130" s="4">
        <v>150</v>
      </c>
      <c r="O130" s="4" t="s">
        <v>604</v>
      </c>
      <c r="T130" s="4" t="s">
        <v>808</v>
      </c>
      <c r="U130" s="4" t="s">
        <v>809</v>
      </c>
      <c r="V130" s="2" t="str">
        <f t="shared" si="3"/>
        <v>KATHERINE GIBBS</v>
      </c>
    </row>
    <row r="131" spans="1:22" s="4" customFormat="1" x14ac:dyDescent="0.25">
      <c r="A131" s="4" t="s">
        <v>240</v>
      </c>
      <c r="B131" s="4" t="str">
        <f t="shared" si="4"/>
        <v>4D81YC2YX35OVR</v>
      </c>
      <c r="C131" s="4" t="s">
        <v>242</v>
      </c>
      <c r="D131" s="4" t="s">
        <v>27</v>
      </c>
      <c r="E131" s="4" t="s">
        <v>28</v>
      </c>
      <c r="F131" s="4" t="s">
        <v>29</v>
      </c>
      <c r="G131" s="5">
        <v>46023</v>
      </c>
      <c r="H131" s="5">
        <v>46023</v>
      </c>
      <c r="I131" s="4">
        <v>20411454</v>
      </c>
      <c r="J131" s="4" t="s">
        <v>32</v>
      </c>
      <c r="K131" s="4" t="s">
        <v>610</v>
      </c>
      <c r="L131" s="4" t="s">
        <v>34</v>
      </c>
      <c r="M131" s="4">
        <v>150</v>
      </c>
      <c r="N131" s="4">
        <v>150</v>
      </c>
      <c r="O131" s="4" t="s">
        <v>604</v>
      </c>
      <c r="T131" s="4" t="s">
        <v>810</v>
      </c>
      <c r="U131" s="4" t="s">
        <v>811</v>
      </c>
      <c r="V131" s="2" t="str">
        <f t="shared" ref="V131:V146" si="5">CONCATENATE(U131, " ",T131)</f>
        <v>LEAH INFANTE</v>
      </c>
    </row>
    <row r="132" spans="1:22" s="4" customFormat="1" x14ac:dyDescent="0.25">
      <c r="A132" s="4" t="s">
        <v>248</v>
      </c>
      <c r="B132" s="4" t="str">
        <f t="shared" si="4"/>
        <v>2NW1K32RH31OVR</v>
      </c>
      <c r="C132" s="4" t="s">
        <v>250</v>
      </c>
      <c r="D132" s="4" t="s">
        <v>129</v>
      </c>
      <c r="E132" s="4" t="s">
        <v>28</v>
      </c>
      <c r="F132" s="4" t="s">
        <v>29</v>
      </c>
      <c r="G132" s="5">
        <v>46023</v>
      </c>
      <c r="H132" s="5">
        <v>46023</v>
      </c>
      <c r="I132" s="4">
        <v>20411454</v>
      </c>
      <c r="J132" s="4" t="s">
        <v>32</v>
      </c>
      <c r="K132" s="4" t="s">
        <v>610</v>
      </c>
      <c r="L132" s="4" t="s">
        <v>34</v>
      </c>
      <c r="M132" s="4">
        <v>150</v>
      </c>
      <c r="N132" s="4">
        <v>150</v>
      </c>
      <c r="O132" s="4" t="s">
        <v>604</v>
      </c>
      <c r="T132" s="4" t="s">
        <v>721</v>
      </c>
      <c r="U132" s="4" t="s">
        <v>812</v>
      </c>
      <c r="V132" s="2" t="str">
        <f t="shared" si="5"/>
        <v>DEBORAH JOHNSON</v>
      </c>
    </row>
    <row r="133" spans="1:22" s="4" customFormat="1" x14ac:dyDescent="0.25">
      <c r="A133" s="4" t="s">
        <v>275</v>
      </c>
      <c r="B133" s="4" t="str">
        <f t="shared" si="4"/>
        <v>4GM7VV9EG53OVR</v>
      </c>
      <c r="C133" s="4" t="s">
        <v>277</v>
      </c>
      <c r="D133" s="4" t="s">
        <v>93</v>
      </c>
      <c r="E133" s="4" t="s">
        <v>28</v>
      </c>
      <c r="F133" s="4" t="s">
        <v>29</v>
      </c>
      <c r="G133" s="5">
        <v>46023</v>
      </c>
      <c r="H133" s="5">
        <v>46023</v>
      </c>
      <c r="I133" s="4">
        <v>20411454</v>
      </c>
      <c r="J133" s="4" t="s">
        <v>32</v>
      </c>
      <c r="K133" s="4" t="s">
        <v>610</v>
      </c>
      <c r="L133" s="4" t="s">
        <v>34</v>
      </c>
      <c r="M133" s="4">
        <v>150</v>
      </c>
      <c r="N133" s="4">
        <v>150</v>
      </c>
      <c r="O133" s="4" t="s">
        <v>604</v>
      </c>
      <c r="T133" s="4" t="s">
        <v>813</v>
      </c>
      <c r="U133" s="4" t="s">
        <v>748</v>
      </c>
      <c r="V133" s="2" t="str">
        <f t="shared" si="5"/>
        <v>MICHAEL LABOCKI</v>
      </c>
    </row>
    <row r="134" spans="1:22" s="4" customFormat="1" x14ac:dyDescent="0.25">
      <c r="A134" s="4" t="s">
        <v>279</v>
      </c>
      <c r="B134" s="4" t="str">
        <f t="shared" si="4"/>
        <v>3U09FQ1WT43OVR</v>
      </c>
      <c r="C134" s="4" t="s">
        <v>281</v>
      </c>
      <c r="D134" s="4" t="s">
        <v>93</v>
      </c>
      <c r="E134" s="4" t="s">
        <v>28</v>
      </c>
      <c r="F134" s="4" t="s">
        <v>29</v>
      </c>
      <c r="G134" s="5">
        <v>46023</v>
      </c>
      <c r="H134" s="5">
        <v>46023</v>
      </c>
      <c r="I134" s="4">
        <v>20411454</v>
      </c>
      <c r="J134" s="4" t="s">
        <v>32</v>
      </c>
      <c r="K134" s="4" t="s">
        <v>610</v>
      </c>
      <c r="L134" s="4" t="s">
        <v>34</v>
      </c>
      <c r="M134" s="4">
        <v>150</v>
      </c>
      <c r="N134" s="4">
        <v>150</v>
      </c>
      <c r="O134" s="4" t="s">
        <v>604</v>
      </c>
      <c r="T134" s="4" t="s">
        <v>813</v>
      </c>
      <c r="U134" s="4" t="s">
        <v>814</v>
      </c>
      <c r="V134" s="2" t="str">
        <f t="shared" si="5"/>
        <v>NADIA LABOCKI</v>
      </c>
    </row>
    <row r="135" spans="1:22" s="4" customFormat="1" x14ac:dyDescent="0.25">
      <c r="A135" s="4" t="s">
        <v>317</v>
      </c>
      <c r="B135" s="4" t="str">
        <f t="shared" si="4"/>
        <v>5CW5AY9MW73OVR</v>
      </c>
      <c r="C135" s="4" t="s">
        <v>319</v>
      </c>
      <c r="D135" s="4" t="s">
        <v>93</v>
      </c>
      <c r="E135" s="4" t="s">
        <v>28</v>
      </c>
      <c r="F135" s="4" t="s">
        <v>29</v>
      </c>
      <c r="G135" s="5">
        <v>46023</v>
      </c>
      <c r="H135" s="5">
        <v>46023</v>
      </c>
      <c r="I135" s="4">
        <v>20411454</v>
      </c>
      <c r="J135" s="4" t="s">
        <v>32</v>
      </c>
      <c r="K135" s="4" t="s">
        <v>610</v>
      </c>
      <c r="L135" s="4" t="s">
        <v>34</v>
      </c>
      <c r="M135" s="4">
        <v>150</v>
      </c>
      <c r="N135" s="4">
        <v>150</v>
      </c>
      <c r="O135" s="4" t="s">
        <v>604</v>
      </c>
      <c r="T135" s="4" t="s">
        <v>815</v>
      </c>
      <c r="U135" s="4" t="s">
        <v>816</v>
      </c>
      <c r="V135" s="2" t="str">
        <f t="shared" si="5"/>
        <v>JOSEPH MARKOTA</v>
      </c>
    </row>
    <row r="136" spans="1:22" s="4" customFormat="1" x14ac:dyDescent="0.25">
      <c r="A136" s="4" t="s">
        <v>320</v>
      </c>
      <c r="B136" s="4" t="str">
        <f t="shared" si="4"/>
        <v>7DK3TK0JJ74OVR</v>
      </c>
      <c r="C136" s="4" t="s">
        <v>322</v>
      </c>
      <c r="D136" s="4" t="s">
        <v>27</v>
      </c>
      <c r="E136" s="4" t="s">
        <v>28</v>
      </c>
      <c r="F136" s="4" t="s">
        <v>29</v>
      </c>
      <c r="G136" s="5">
        <v>46023</v>
      </c>
      <c r="H136" s="5">
        <v>46023</v>
      </c>
      <c r="I136" s="4">
        <v>20411454</v>
      </c>
      <c r="J136" s="4" t="s">
        <v>32</v>
      </c>
      <c r="K136" s="4" t="s">
        <v>610</v>
      </c>
      <c r="L136" s="4" t="s">
        <v>34</v>
      </c>
      <c r="M136" s="4">
        <v>150</v>
      </c>
      <c r="N136" s="4">
        <v>150</v>
      </c>
      <c r="O136" s="4" t="s">
        <v>604</v>
      </c>
      <c r="T136" s="4" t="s">
        <v>817</v>
      </c>
      <c r="U136" s="4" t="s">
        <v>818</v>
      </c>
      <c r="V136" s="2" t="str">
        <f t="shared" si="5"/>
        <v>SONIA MARQUEZ</v>
      </c>
    </row>
    <row r="137" spans="1:22" s="4" customFormat="1" x14ac:dyDescent="0.25">
      <c r="A137" s="4" t="s">
        <v>364</v>
      </c>
      <c r="B137" s="4" t="str">
        <f t="shared" ref="B137:B146" si="6">CONCATENATE(A137,"OVR")</f>
        <v>7J42CA5WM21OVR</v>
      </c>
      <c r="C137" s="4" t="s">
        <v>366</v>
      </c>
      <c r="D137" s="4" t="s">
        <v>27</v>
      </c>
      <c r="E137" s="4" t="s">
        <v>28</v>
      </c>
      <c r="F137" s="4" t="s">
        <v>29</v>
      </c>
      <c r="G137" s="5">
        <v>46023</v>
      </c>
      <c r="H137" s="5">
        <v>46023</v>
      </c>
      <c r="I137" s="4">
        <v>20411454</v>
      </c>
      <c r="J137" s="4" t="s">
        <v>32</v>
      </c>
      <c r="K137" s="4" t="s">
        <v>610</v>
      </c>
      <c r="L137" s="4" t="s">
        <v>34</v>
      </c>
      <c r="M137" s="4">
        <v>150</v>
      </c>
      <c r="N137" s="4">
        <v>150</v>
      </c>
      <c r="O137" s="4" t="s">
        <v>604</v>
      </c>
      <c r="T137" s="4" t="s">
        <v>819</v>
      </c>
      <c r="U137" s="4" t="s">
        <v>820</v>
      </c>
      <c r="V137" s="2" t="str">
        <f t="shared" si="5"/>
        <v>MARK MOLLOHAN</v>
      </c>
    </row>
    <row r="138" spans="1:22" s="4" customFormat="1" x14ac:dyDescent="0.25">
      <c r="A138" s="4" t="s">
        <v>490</v>
      </c>
      <c r="B138" s="4" t="str">
        <f t="shared" si="6"/>
        <v>8XG1RP4JR27OVR</v>
      </c>
      <c r="C138" s="4" t="s">
        <v>492</v>
      </c>
      <c r="D138" s="4" t="s">
        <v>493</v>
      </c>
      <c r="E138" s="4" t="s">
        <v>28</v>
      </c>
      <c r="F138" s="4" t="s">
        <v>29</v>
      </c>
      <c r="G138" s="5">
        <v>46023</v>
      </c>
      <c r="H138" s="5">
        <v>46023</v>
      </c>
      <c r="I138" s="4">
        <v>20411454</v>
      </c>
      <c r="J138" s="4" t="s">
        <v>32</v>
      </c>
      <c r="K138" s="4" t="s">
        <v>610</v>
      </c>
      <c r="L138" s="4" t="s">
        <v>34</v>
      </c>
      <c r="M138" s="4">
        <v>150</v>
      </c>
      <c r="N138" s="4">
        <v>150</v>
      </c>
      <c r="O138" s="4" t="s">
        <v>604</v>
      </c>
      <c r="T138" s="4" t="s">
        <v>771</v>
      </c>
      <c r="U138" s="4" t="s">
        <v>677</v>
      </c>
      <c r="V138" s="2" t="str">
        <f t="shared" si="5"/>
        <v>KEVIN SIMMONS</v>
      </c>
    </row>
    <row r="139" spans="1:22" s="4" customFormat="1" x14ac:dyDescent="0.25">
      <c r="A139" s="4" t="s">
        <v>496</v>
      </c>
      <c r="B139" s="4" t="str">
        <f t="shared" si="6"/>
        <v>1YA7Q72CF33OVR</v>
      </c>
      <c r="C139" s="4" t="s">
        <v>498</v>
      </c>
      <c r="D139" s="4" t="s">
        <v>27</v>
      </c>
      <c r="E139" s="4" t="s">
        <v>28</v>
      </c>
      <c r="F139" s="4" t="s">
        <v>29</v>
      </c>
      <c r="G139" s="5">
        <v>46023</v>
      </c>
      <c r="H139" s="5">
        <v>46023</v>
      </c>
      <c r="I139" s="4">
        <v>20411454</v>
      </c>
      <c r="J139" s="4" t="s">
        <v>32</v>
      </c>
      <c r="K139" s="4" t="s">
        <v>610</v>
      </c>
      <c r="L139" s="4" t="s">
        <v>34</v>
      </c>
      <c r="M139" s="4">
        <v>150</v>
      </c>
      <c r="N139" s="4">
        <v>150</v>
      </c>
      <c r="O139" s="4" t="s">
        <v>604</v>
      </c>
      <c r="T139" s="4" t="s">
        <v>821</v>
      </c>
      <c r="U139" s="4" t="s">
        <v>822</v>
      </c>
      <c r="V139" s="2" t="str">
        <f t="shared" si="5"/>
        <v>KIM SKAGGS</v>
      </c>
    </row>
    <row r="140" spans="1:22" s="4" customFormat="1" x14ac:dyDescent="0.25">
      <c r="A140" s="4" t="s">
        <v>515</v>
      </c>
      <c r="B140" s="4" t="str">
        <f t="shared" si="6"/>
        <v>5NA0Q41WV25OVR</v>
      </c>
      <c r="C140" s="4" t="s">
        <v>517</v>
      </c>
      <c r="D140" s="4" t="s">
        <v>518</v>
      </c>
      <c r="E140" s="4" t="s">
        <v>28</v>
      </c>
      <c r="F140" s="4" t="s">
        <v>29</v>
      </c>
      <c r="G140" s="5">
        <v>46023</v>
      </c>
      <c r="H140" s="5">
        <v>46023</v>
      </c>
      <c r="I140" s="4">
        <v>20411454</v>
      </c>
      <c r="J140" s="4" t="s">
        <v>32</v>
      </c>
      <c r="K140" s="4" t="s">
        <v>610</v>
      </c>
      <c r="L140" s="4" t="s">
        <v>34</v>
      </c>
      <c r="M140" s="4">
        <v>150</v>
      </c>
      <c r="N140" s="4">
        <v>150</v>
      </c>
      <c r="O140" s="4" t="s">
        <v>604</v>
      </c>
      <c r="T140" s="4" t="s">
        <v>823</v>
      </c>
      <c r="U140" s="4" t="s">
        <v>824</v>
      </c>
      <c r="V140" s="2" t="str">
        <f t="shared" si="5"/>
        <v>RAYMOND STIFF</v>
      </c>
    </row>
    <row r="141" spans="1:22" s="4" customFormat="1" x14ac:dyDescent="0.25">
      <c r="A141" s="4" t="s">
        <v>540</v>
      </c>
      <c r="B141" s="4" t="str">
        <f t="shared" si="6"/>
        <v>1K54K53AC65OVR</v>
      </c>
      <c r="C141" s="4" t="s">
        <v>542</v>
      </c>
      <c r="D141" s="4" t="s">
        <v>93</v>
      </c>
      <c r="E141" s="4" t="s">
        <v>28</v>
      </c>
      <c r="F141" s="4" t="s">
        <v>29</v>
      </c>
      <c r="G141" s="5">
        <v>46023</v>
      </c>
      <c r="H141" s="5">
        <v>46023</v>
      </c>
      <c r="I141" s="4">
        <v>20411454</v>
      </c>
      <c r="J141" s="4" t="s">
        <v>32</v>
      </c>
      <c r="K141" s="4" t="s">
        <v>610</v>
      </c>
      <c r="L141" s="4" t="s">
        <v>34</v>
      </c>
      <c r="M141" s="4">
        <v>150</v>
      </c>
      <c r="N141" s="4">
        <v>150</v>
      </c>
      <c r="O141" s="4" t="s">
        <v>604</v>
      </c>
      <c r="T141" s="4" t="s">
        <v>825</v>
      </c>
      <c r="U141" s="4" t="s">
        <v>699</v>
      </c>
      <c r="V141" s="2" t="str">
        <f t="shared" si="5"/>
        <v>BRENDA TROUTMAN</v>
      </c>
    </row>
    <row r="142" spans="1:22" s="4" customFormat="1" x14ac:dyDescent="0.25">
      <c r="A142" s="4" t="s">
        <v>544</v>
      </c>
      <c r="B142" s="4" t="str">
        <f t="shared" si="6"/>
        <v>4RY5T92YN60OVR</v>
      </c>
      <c r="C142" s="4" t="s">
        <v>546</v>
      </c>
      <c r="D142" s="4" t="s">
        <v>93</v>
      </c>
      <c r="E142" s="4" t="s">
        <v>28</v>
      </c>
      <c r="F142" s="4" t="s">
        <v>29</v>
      </c>
      <c r="G142" s="5">
        <v>46023</v>
      </c>
      <c r="H142" s="5">
        <v>46023</v>
      </c>
      <c r="I142" s="4">
        <v>20411454</v>
      </c>
      <c r="J142" s="4" t="s">
        <v>32</v>
      </c>
      <c r="K142" s="4" t="s">
        <v>610</v>
      </c>
      <c r="L142" s="4" t="s">
        <v>34</v>
      </c>
      <c r="M142" s="4">
        <v>150</v>
      </c>
      <c r="N142" s="4">
        <v>150</v>
      </c>
      <c r="O142" s="4" t="s">
        <v>604</v>
      </c>
      <c r="T142" s="4" t="s">
        <v>826</v>
      </c>
      <c r="U142" s="4" t="s">
        <v>827</v>
      </c>
      <c r="V142" s="2" t="str">
        <f t="shared" si="5"/>
        <v>DAVE ULERY</v>
      </c>
    </row>
    <row r="143" spans="1:22" s="4" customFormat="1" x14ac:dyDescent="0.25">
      <c r="A143" s="4" t="s">
        <v>552</v>
      </c>
      <c r="B143" s="4" t="str">
        <f t="shared" si="6"/>
        <v>8N90NT6CD39OVR</v>
      </c>
      <c r="C143" s="4" t="s">
        <v>554</v>
      </c>
      <c r="D143" s="4" t="s">
        <v>357</v>
      </c>
      <c r="E143" s="4" t="s">
        <v>414</v>
      </c>
      <c r="F143" s="4" t="s">
        <v>29</v>
      </c>
      <c r="G143" s="5">
        <v>46023</v>
      </c>
      <c r="H143" s="5">
        <v>46023</v>
      </c>
      <c r="I143" s="4">
        <v>20411454</v>
      </c>
      <c r="J143" s="4" t="s">
        <v>32</v>
      </c>
      <c r="K143" s="4" t="s">
        <v>610</v>
      </c>
      <c r="L143" s="4" t="s">
        <v>34</v>
      </c>
      <c r="M143" s="4">
        <v>150</v>
      </c>
      <c r="N143" s="4">
        <v>150</v>
      </c>
      <c r="O143" s="4" t="s">
        <v>604</v>
      </c>
      <c r="T143" s="4" t="s">
        <v>630</v>
      </c>
      <c r="U143" s="4" t="s">
        <v>631</v>
      </c>
      <c r="V143" s="2" t="str">
        <f t="shared" si="5"/>
        <v>MARJORIE WARRINGTON</v>
      </c>
    </row>
    <row r="144" spans="1:22" s="4" customFormat="1" x14ac:dyDescent="0.25">
      <c r="A144" s="4" t="s">
        <v>564</v>
      </c>
      <c r="B144" s="4" t="str">
        <f t="shared" si="6"/>
        <v>1MU5JR8XC74OVR</v>
      </c>
      <c r="C144" s="4" t="s">
        <v>566</v>
      </c>
      <c r="D144" s="4" t="s">
        <v>327</v>
      </c>
      <c r="E144" s="4" t="s">
        <v>28</v>
      </c>
      <c r="F144" s="4" t="s">
        <v>29</v>
      </c>
      <c r="G144" s="5">
        <v>46023</v>
      </c>
      <c r="H144" s="5">
        <v>46023</v>
      </c>
      <c r="I144" s="4">
        <v>20411454</v>
      </c>
      <c r="J144" s="4" t="s">
        <v>32</v>
      </c>
      <c r="K144" s="4" t="s">
        <v>610</v>
      </c>
      <c r="L144" s="4" t="s">
        <v>34</v>
      </c>
      <c r="M144" s="4">
        <v>150</v>
      </c>
      <c r="N144" s="4">
        <v>150</v>
      </c>
      <c r="O144" s="4" t="s">
        <v>604</v>
      </c>
      <c r="T144" s="4" t="s">
        <v>828</v>
      </c>
      <c r="U144" s="4" t="s">
        <v>829</v>
      </c>
      <c r="V144" s="2" t="str">
        <f t="shared" si="5"/>
        <v>VICTORIA WHITE</v>
      </c>
    </row>
    <row r="145" spans="1:24" s="2" customFormat="1" x14ac:dyDescent="0.25">
      <c r="A145" s="4" t="s">
        <v>583</v>
      </c>
      <c r="B145" s="4" t="str">
        <f t="shared" si="6"/>
        <v>2P31TH0QH80OVR</v>
      </c>
      <c r="C145" s="4" t="s">
        <v>585</v>
      </c>
      <c r="D145" s="4" t="s">
        <v>27</v>
      </c>
      <c r="E145" s="4" t="s">
        <v>28</v>
      </c>
      <c r="F145" s="4" t="s">
        <v>29</v>
      </c>
      <c r="G145" s="5">
        <v>46023</v>
      </c>
      <c r="H145" s="5">
        <v>46023</v>
      </c>
      <c r="I145" s="4">
        <v>20411454</v>
      </c>
      <c r="J145" s="4" t="s">
        <v>32</v>
      </c>
      <c r="K145" s="4" t="s">
        <v>610</v>
      </c>
      <c r="L145" s="4" t="s">
        <v>34</v>
      </c>
      <c r="M145" s="4">
        <v>150</v>
      </c>
      <c r="N145" s="4">
        <v>150</v>
      </c>
      <c r="O145" s="4" t="s">
        <v>604</v>
      </c>
      <c r="P145" s="4"/>
      <c r="Q145" s="4"/>
      <c r="R145" s="4"/>
      <c r="S145" s="4"/>
      <c r="T145" s="4" t="s">
        <v>830</v>
      </c>
      <c r="U145" s="4" t="s">
        <v>831</v>
      </c>
      <c r="V145" s="2" t="str">
        <f t="shared" si="5"/>
        <v>CHRISTINE WITT</v>
      </c>
      <c r="W145" s="4"/>
      <c r="X145" s="4"/>
    </row>
    <row r="146" spans="1:24" s="4" customFormat="1" x14ac:dyDescent="0.25">
      <c r="A146" s="4" t="s">
        <v>345</v>
      </c>
      <c r="B146" s="4" t="str">
        <f t="shared" si="6"/>
        <v>8RQ7YW5YW40OVR</v>
      </c>
      <c r="C146" s="4" t="s">
        <v>347</v>
      </c>
      <c r="D146" s="4" t="s">
        <v>27</v>
      </c>
      <c r="E146" s="4" t="s">
        <v>348</v>
      </c>
      <c r="F146" s="4" t="s">
        <v>29</v>
      </c>
      <c r="G146" s="5">
        <v>45658</v>
      </c>
      <c r="H146" s="5">
        <v>45658</v>
      </c>
      <c r="I146" s="4">
        <v>20411454</v>
      </c>
      <c r="J146" s="4" t="s">
        <v>32</v>
      </c>
      <c r="K146" s="4" t="s">
        <v>610</v>
      </c>
      <c r="L146" s="4" t="s">
        <v>351</v>
      </c>
      <c r="M146" s="4">
        <v>688.42</v>
      </c>
      <c r="N146" s="4">
        <f>688.42-626</f>
        <v>62.419999999999959</v>
      </c>
      <c r="O146" s="4" t="s">
        <v>604</v>
      </c>
      <c r="T146" s="4" t="s">
        <v>614</v>
      </c>
      <c r="U146" s="4" t="s">
        <v>615</v>
      </c>
      <c r="V146" s="2" t="str">
        <f t="shared" si="5"/>
        <v>WILLIAM MELANSON</v>
      </c>
    </row>
  </sheetData>
  <sortState xmlns:xlrd2="http://schemas.microsoft.com/office/spreadsheetml/2017/richdata2" ref="A2:X146">
    <sortCondition ref="O2:O1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5E22-2C91-410E-8E31-49FC3E7A3365}">
  <dimension ref="A1:L14"/>
  <sheetViews>
    <sheetView tabSelected="1" workbookViewId="0">
      <selection activeCell="L2" sqref="L2:L14"/>
    </sheetView>
  </sheetViews>
  <sheetFormatPr defaultRowHeight="15" x14ac:dyDescent="0.25"/>
  <cols>
    <col min="1" max="1" width="16.85546875" bestFit="1" customWidth="1"/>
    <col min="2" max="2" width="21.85546875" bestFit="1" customWidth="1"/>
    <col min="4" max="4" width="19.85546875" bestFit="1" customWidth="1"/>
    <col min="6" max="6" width="15.28515625" bestFit="1" customWidth="1"/>
    <col min="7" max="7" width="12.5703125" bestFit="1" customWidth="1"/>
    <col min="8" max="8" width="17.28515625" bestFit="1" customWidth="1"/>
    <col min="9" max="9" width="17.5703125" bestFit="1" customWidth="1"/>
    <col min="10" max="10" width="18.5703125" bestFit="1" customWidth="1"/>
    <col min="11" max="11" width="10.85546875" bestFit="1" customWidth="1"/>
    <col min="12" max="12" width="13.5703125" bestFit="1" customWidth="1"/>
  </cols>
  <sheetData>
    <row r="1" spans="1:12" x14ac:dyDescent="0.25"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11</v>
      </c>
      <c r="G1" t="s">
        <v>12</v>
      </c>
      <c r="H1" t="s">
        <v>14</v>
      </c>
      <c r="I1" t="s">
        <v>15</v>
      </c>
      <c r="J1" t="s">
        <v>16</v>
      </c>
      <c r="K1" t="s">
        <v>18</v>
      </c>
      <c r="L1" t="s">
        <v>20</v>
      </c>
    </row>
    <row r="2" spans="1:12" s="6" customFormat="1" x14ac:dyDescent="0.25">
      <c r="A2" s="6" t="s">
        <v>407</v>
      </c>
      <c r="B2" s="6" t="s">
        <v>409</v>
      </c>
      <c r="C2" s="6" t="s">
        <v>410</v>
      </c>
      <c r="D2" s="6" t="s">
        <v>414</v>
      </c>
      <c r="E2" s="6" t="s">
        <v>29</v>
      </c>
      <c r="F2" s="7">
        <v>46023</v>
      </c>
      <c r="G2" s="7">
        <v>46023</v>
      </c>
      <c r="H2" s="6">
        <v>8307933</v>
      </c>
      <c r="I2" s="6" t="s">
        <v>32</v>
      </c>
      <c r="J2" s="6" t="s">
        <v>209</v>
      </c>
      <c r="K2" s="6" t="s">
        <v>351</v>
      </c>
      <c r="L2" s="6">
        <v>-92.33</v>
      </c>
    </row>
    <row r="3" spans="1:12" s="6" customFormat="1" x14ac:dyDescent="0.25">
      <c r="A3" s="6" t="s">
        <v>407</v>
      </c>
      <c r="B3" s="6" t="s">
        <v>409</v>
      </c>
      <c r="C3" s="6" t="s">
        <v>410</v>
      </c>
      <c r="D3" s="6" t="s">
        <v>412</v>
      </c>
      <c r="E3" s="6" t="s">
        <v>29</v>
      </c>
      <c r="F3" s="7">
        <v>45658</v>
      </c>
      <c r="G3" s="7">
        <v>45383</v>
      </c>
      <c r="H3" s="6">
        <v>8307933</v>
      </c>
      <c r="I3" s="6" t="s">
        <v>32</v>
      </c>
      <c r="J3" s="6" t="s">
        <v>209</v>
      </c>
      <c r="K3" s="6" t="s">
        <v>351</v>
      </c>
      <c r="L3" s="6">
        <v>29.83</v>
      </c>
    </row>
    <row r="4" spans="1:12" s="6" customFormat="1" x14ac:dyDescent="0.25">
      <c r="A4" s="6" t="s">
        <v>407</v>
      </c>
      <c r="B4" s="6" t="s">
        <v>409</v>
      </c>
      <c r="C4" s="6" t="s">
        <v>410</v>
      </c>
      <c r="D4" s="6" t="s">
        <v>412</v>
      </c>
      <c r="E4" s="6" t="s">
        <v>29</v>
      </c>
      <c r="F4" s="7">
        <v>45689</v>
      </c>
      <c r="G4" s="7">
        <v>45383</v>
      </c>
      <c r="H4" s="6">
        <v>8307933</v>
      </c>
      <c r="I4" s="6" t="s">
        <v>32</v>
      </c>
      <c r="J4" s="6" t="s">
        <v>209</v>
      </c>
      <c r="K4" s="6" t="s">
        <v>351</v>
      </c>
      <c r="L4" s="6">
        <v>29.83</v>
      </c>
    </row>
    <row r="5" spans="1:12" s="6" customFormat="1" x14ac:dyDescent="0.25">
      <c r="A5" s="6" t="s">
        <v>407</v>
      </c>
      <c r="B5" s="6" t="s">
        <v>409</v>
      </c>
      <c r="C5" s="6" t="s">
        <v>410</v>
      </c>
      <c r="D5" s="6" t="s">
        <v>412</v>
      </c>
      <c r="E5" s="6" t="s">
        <v>29</v>
      </c>
      <c r="F5" s="7">
        <v>45717</v>
      </c>
      <c r="G5" s="7">
        <v>45383</v>
      </c>
      <c r="H5" s="6">
        <v>8307933</v>
      </c>
      <c r="I5" s="6" t="s">
        <v>32</v>
      </c>
      <c r="J5" s="6" t="s">
        <v>209</v>
      </c>
      <c r="K5" s="6" t="s">
        <v>351</v>
      </c>
      <c r="L5" s="6">
        <v>29.83</v>
      </c>
    </row>
    <row r="6" spans="1:12" s="6" customFormat="1" x14ac:dyDescent="0.25">
      <c r="A6" s="6" t="s">
        <v>407</v>
      </c>
      <c r="B6" s="6" t="s">
        <v>409</v>
      </c>
      <c r="C6" s="6" t="s">
        <v>410</v>
      </c>
      <c r="D6" s="6" t="s">
        <v>412</v>
      </c>
      <c r="E6" s="6" t="s">
        <v>29</v>
      </c>
      <c r="F6" s="7">
        <v>45748</v>
      </c>
      <c r="G6" s="7">
        <v>45383</v>
      </c>
      <c r="H6" s="6">
        <v>8307933</v>
      </c>
      <c r="I6" s="6" t="s">
        <v>32</v>
      </c>
      <c r="J6" s="6" t="s">
        <v>209</v>
      </c>
      <c r="K6" s="6" t="s">
        <v>351</v>
      </c>
      <c r="L6" s="6">
        <v>29.83</v>
      </c>
    </row>
    <row r="7" spans="1:12" s="6" customFormat="1" x14ac:dyDescent="0.25">
      <c r="A7" s="6" t="s">
        <v>407</v>
      </c>
      <c r="B7" s="6" t="s">
        <v>409</v>
      </c>
      <c r="C7" s="6" t="s">
        <v>410</v>
      </c>
      <c r="D7" s="6" t="s">
        <v>412</v>
      </c>
      <c r="E7" s="6" t="s">
        <v>29</v>
      </c>
      <c r="F7" s="7">
        <v>45778</v>
      </c>
      <c r="G7" s="7">
        <v>45383</v>
      </c>
      <c r="H7" s="6">
        <v>8307933</v>
      </c>
      <c r="I7" s="6" t="s">
        <v>32</v>
      </c>
      <c r="J7" s="6" t="s">
        <v>209</v>
      </c>
      <c r="K7" s="6" t="s">
        <v>351</v>
      </c>
      <c r="L7" s="6">
        <v>29.83</v>
      </c>
    </row>
    <row r="8" spans="1:12" s="6" customFormat="1" x14ac:dyDescent="0.25">
      <c r="A8" s="6" t="s">
        <v>407</v>
      </c>
      <c r="B8" s="6" t="s">
        <v>409</v>
      </c>
      <c r="C8" s="6" t="s">
        <v>410</v>
      </c>
      <c r="D8" s="6" t="s">
        <v>412</v>
      </c>
      <c r="E8" s="6" t="s">
        <v>29</v>
      </c>
      <c r="F8" s="7">
        <v>45809</v>
      </c>
      <c r="G8" s="7">
        <v>45383</v>
      </c>
      <c r="H8" s="6">
        <v>8307933</v>
      </c>
      <c r="I8" s="6" t="s">
        <v>32</v>
      </c>
      <c r="J8" s="6" t="s">
        <v>209</v>
      </c>
      <c r="K8" s="6" t="s">
        <v>351</v>
      </c>
      <c r="L8" s="6">
        <v>29.83</v>
      </c>
    </row>
    <row r="9" spans="1:12" s="6" customFormat="1" x14ac:dyDescent="0.25">
      <c r="A9" s="6" t="s">
        <v>407</v>
      </c>
      <c r="B9" s="6" t="s">
        <v>409</v>
      </c>
      <c r="C9" s="6" t="s">
        <v>410</v>
      </c>
      <c r="D9" s="6" t="s">
        <v>412</v>
      </c>
      <c r="E9" s="6" t="s">
        <v>29</v>
      </c>
      <c r="F9" s="7">
        <v>45839</v>
      </c>
      <c r="G9" s="7">
        <v>45383</v>
      </c>
      <c r="H9" s="6">
        <v>8307933</v>
      </c>
      <c r="I9" s="6" t="s">
        <v>32</v>
      </c>
      <c r="J9" s="6" t="s">
        <v>209</v>
      </c>
      <c r="K9" s="6" t="s">
        <v>351</v>
      </c>
      <c r="L9" s="6">
        <v>29.83</v>
      </c>
    </row>
    <row r="10" spans="1:12" s="6" customFormat="1" x14ac:dyDescent="0.25">
      <c r="A10" s="6" t="s">
        <v>407</v>
      </c>
      <c r="B10" s="6" t="s">
        <v>409</v>
      </c>
      <c r="C10" s="6" t="s">
        <v>410</v>
      </c>
      <c r="D10" s="6" t="s">
        <v>412</v>
      </c>
      <c r="E10" s="6" t="s">
        <v>29</v>
      </c>
      <c r="F10" s="7">
        <v>45870</v>
      </c>
      <c r="G10" s="7">
        <v>45383</v>
      </c>
      <c r="H10" s="6">
        <v>8307933</v>
      </c>
      <c r="I10" s="6" t="s">
        <v>32</v>
      </c>
      <c r="J10" s="6" t="s">
        <v>209</v>
      </c>
      <c r="K10" s="6" t="s">
        <v>351</v>
      </c>
      <c r="L10" s="6">
        <v>29.83</v>
      </c>
    </row>
    <row r="11" spans="1:12" s="6" customFormat="1" x14ac:dyDescent="0.25">
      <c r="A11" s="6" t="s">
        <v>407</v>
      </c>
      <c r="B11" s="6" t="s">
        <v>409</v>
      </c>
      <c r="C11" s="6" t="s">
        <v>410</v>
      </c>
      <c r="D11" s="6" t="s">
        <v>412</v>
      </c>
      <c r="E11" s="6" t="s">
        <v>29</v>
      </c>
      <c r="F11" s="7">
        <v>45901</v>
      </c>
      <c r="G11" s="7">
        <v>45383</v>
      </c>
      <c r="H11" s="6">
        <v>8307933</v>
      </c>
      <c r="I11" s="6" t="s">
        <v>32</v>
      </c>
      <c r="J11" s="6" t="s">
        <v>209</v>
      </c>
      <c r="K11" s="6" t="s">
        <v>351</v>
      </c>
      <c r="L11" s="6">
        <v>29.83</v>
      </c>
    </row>
    <row r="12" spans="1:12" s="6" customFormat="1" x14ac:dyDescent="0.25">
      <c r="A12" s="6" t="s">
        <v>407</v>
      </c>
      <c r="B12" s="6" t="s">
        <v>409</v>
      </c>
      <c r="C12" s="6" t="s">
        <v>410</v>
      </c>
      <c r="D12" s="6" t="s">
        <v>412</v>
      </c>
      <c r="E12" s="6" t="s">
        <v>29</v>
      </c>
      <c r="F12" s="7">
        <v>45931</v>
      </c>
      <c r="G12" s="7">
        <v>45383</v>
      </c>
      <c r="H12" s="6">
        <v>8307933</v>
      </c>
      <c r="I12" s="6" t="s">
        <v>32</v>
      </c>
      <c r="J12" s="6" t="s">
        <v>209</v>
      </c>
      <c r="K12" s="6" t="s">
        <v>351</v>
      </c>
      <c r="L12" s="6">
        <v>29.83</v>
      </c>
    </row>
    <row r="13" spans="1:12" s="6" customFormat="1" x14ac:dyDescent="0.25">
      <c r="A13" s="6" t="s">
        <v>407</v>
      </c>
      <c r="B13" s="6" t="s">
        <v>409</v>
      </c>
      <c r="C13" s="6" t="s">
        <v>410</v>
      </c>
      <c r="D13" s="6" t="s">
        <v>412</v>
      </c>
      <c r="E13" s="6" t="s">
        <v>29</v>
      </c>
      <c r="F13" s="7">
        <v>45962</v>
      </c>
      <c r="G13" s="7">
        <v>45383</v>
      </c>
      <c r="H13" s="6">
        <v>8307933</v>
      </c>
      <c r="I13" s="6" t="s">
        <v>32</v>
      </c>
      <c r="J13" s="6" t="s">
        <v>209</v>
      </c>
      <c r="K13" s="6" t="s">
        <v>351</v>
      </c>
      <c r="L13" s="6">
        <v>29.83</v>
      </c>
    </row>
    <row r="14" spans="1:12" s="6" customFormat="1" x14ac:dyDescent="0.25">
      <c r="A14" s="6" t="s">
        <v>536</v>
      </c>
      <c r="B14" s="6" t="s">
        <v>538</v>
      </c>
      <c r="C14" s="6" t="s">
        <v>152</v>
      </c>
      <c r="D14" s="6" t="s">
        <v>28</v>
      </c>
      <c r="E14" s="6" t="s">
        <v>29</v>
      </c>
      <c r="F14" s="7">
        <v>46023</v>
      </c>
      <c r="G14" s="7">
        <v>46023</v>
      </c>
      <c r="H14" s="6">
        <v>19645587</v>
      </c>
      <c r="I14" s="6" t="s">
        <v>32</v>
      </c>
      <c r="J14" s="6" t="s">
        <v>274</v>
      </c>
      <c r="K14" s="6" t="s">
        <v>34</v>
      </c>
      <c r="L14" s="6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2025-12-04T07:06:08Z</dcterms:created>
  <dcterms:modified xsi:type="dcterms:W3CDTF">2025-12-04T19:49:14Z</dcterms:modified>
</cp:coreProperties>
</file>