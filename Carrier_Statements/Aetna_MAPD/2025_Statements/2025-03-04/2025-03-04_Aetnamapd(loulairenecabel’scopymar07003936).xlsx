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5 Statements\03-04-25\"/>
    </mc:Choice>
  </mc:AlternateContent>
  <xr:revisionPtr revIDLastSave="0" documentId="13_ncr:1_{F92D6C7D-59BE-4ED0-ADE1-72C46F78F9FA}" xr6:coauthVersionLast="47" xr6:coauthVersionMax="47" xr10:uidLastSave="{00000000-0000-0000-0000-000000000000}"/>
  <bookViews>
    <workbookView xWindow="-120" yWindow="-120" windowWidth="29040" windowHeight="16440" activeTab="1" xr2:uid="{62BD324A-A5D2-41EA-A1F9-31035020A7C4}"/>
  </bookViews>
  <sheets>
    <sheet name="Main Line Benefits LLC_med_comm" sheetId="1" r:id="rId1"/>
    <sheet name="Sheet1" sheetId="2" r:id="rId2"/>
    <sheet name="Sheet2" sheetId="3" r:id="rId3"/>
  </sheets>
  <calcPr calcId="181029"/>
</workbook>
</file>

<file path=xl/calcChain.xml><?xml version="1.0" encoding="utf-8"?>
<calcChain xmlns="http://schemas.openxmlformats.org/spreadsheetml/2006/main">
  <c r="D6" i="2" l="1"/>
  <c r="D7" i="2"/>
  <c r="D13" i="2"/>
  <c r="D4" i="2"/>
  <c r="D5" i="2"/>
  <c r="D9" i="2"/>
  <c r="D2" i="2"/>
  <c r="D10" i="2"/>
  <c r="D3" i="2"/>
  <c r="D14" i="2"/>
  <c r="D15" i="2"/>
  <c r="D8" i="2"/>
  <c r="D11" i="2"/>
  <c r="D12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C7" i="2"/>
  <c r="C13" i="2"/>
  <c r="C4" i="2"/>
  <c r="C5" i="2"/>
  <c r="C9" i="2"/>
  <c r="C2" i="2"/>
  <c r="C10" i="2"/>
  <c r="C3" i="2"/>
  <c r="C14" i="2"/>
  <c r="C15" i="2"/>
  <c r="C8" i="2"/>
  <c r="C11" i="2"/>
  <c r="C12" i="2"/>
  <c r="C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16" i="2"/>
  <c r="P12" i="2"/>
</calcChain>
</file>

<file path=xl/sharedStrings.xml><?xml version="1.0" encoding="utf-8"?>
<sst xmlns="http://schemas.openxmlformats.org/spreadsheetml/2006/main" count="496" uniqueCount="142">
  <si>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</si>
  <si>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</si>
  <si>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</si>
  <si>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</si>
  <si>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</si>
  <si>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</si>
  <si>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</si>
  <si>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</si>
  <si>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</si>
  <si>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</si>
  <si>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</si>
  <si>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</si>
  <si>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</si>
  <si>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</si>
  <si>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</si>
  <si>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</si>
  <si>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</si>
  <si>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</si>
  <si>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</si>
  <si>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</si>
  <si>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</si>
  <si>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</si>
  <si>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</si>
  <si>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</si>
  <si>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4YE4KF2PC63</t>
  </si>
  <si>
    <t>ATTENTO,JOSEPHINE</t>
  </si>
  <si>
    <t>IL</t>
  </si>
  <si>
    <t>New Business</t>
  </si>
  <si>
    <t>MAPD</t>
  </si>
  <si>
    <t>IMM606</t>
  </si>
  <si>
    <t>H7301-013</t>
  </si>
  <si>
    <t>LOA</t>
  </si>
  <si>
    <t>Walenga, Dale</t>
  </si>
  <si>
    <t>GMO</t>
  </si>
  <si>
    <t>Main Line Benefits LLC</t>
  </si>
  <si>
    <t xml:space="preserve">N  </t>
  </si>
  <si>
    <t>1GP3X21CC71</t>
  </si>
  <si>
    <t>BENSON-KOPFER,ALISON</t>
  </si>
  <si>
    <t>Hunsberger, Anthony</t>
  </si>
  <si>
    <t>6N20HH2JF25</t>
  </si>
  <si>
    <t>BULLOCK K,ALLAN</t>
  </si>
  <si>
    <t>PA</t>
  </si>
  <si>
    <t>IMM608</t>
  </si>
  <si>
    <t>H5522-001</t>
  </si>
  <si>
    <t>Inskipt, Deborah</t>
  </si>
  <si>
    <t>7M39YA2GN32</t>
  </si>
  <si>
    <t>BURKS R,TONY</t>
  </si>
  <si>
    <t>TX</t>
  </si>
  <si>
    <t>IMM618</t>
  </si>
  <si>
    <t>H3288-008</t>
  </si>
  <si>
    <t>Teipel, Gregory</t>
  </si>
  <si>
    <t>9J41MH4ER16</t>
  </si>
  <si>
    <t>BURLEIGH L,DONNA</t>
  </si>
  <si>
    <t>LA</t>
  </si>
  <si>
    <t>IMM605</t>
  </si>
  <si>
    <t>H5521-551</t>
  </si>
  <si>
    <t>SANTOS, RICARDO</t>
  </si>
  <si>
    <t>9DA9Q80RC49</t>
  </si>
  <si>
    <t>HICKS A,BETH</t>
  </si>
  <si>
    <t>WI</t>
  </si>
  <si>
    <t>H5521-150</t>
  </si>
  <si>
    <t>Portugal, Gary</t>
  </si>
  <si>
    <t>3C31FF3RU07</t>
  </si>
  <si>
    <t>KRAMER,MARYBLYE</t>
  </si>
  <si>
    <t>IMM619</t>
  </si>
  <si>
    <t>H7301-027</t>
  </si>
  <si>
    <t>Choi, Andrew</t>
  </si>
  <si>
    <t>1ME4X52JE84</t>
  </si>
  <si>
    <t>MEHLMAN J,DONALD</t>
  </si>
  <si>
    <t>H3959-035</t>
  </si>
  <si>
    <t>AG4</t>
  </si>
  <si>
    <t>GBASSANA, FREDERICK</t>
  </si>
  <si>
    <t>6ND5AX3YV77</t>
  </si>
  <si>
    <t>MONTGOMERY S,PAMELA</t>
  </si>
  <si>
    <t>KS</t>
  </si>
  <si>
    <t>IMM607</t>
  </si>
  <si>
    <t>H1608-024</t>
  </si>
  <si>
    <t>1V02YH3AY08</t>
  </si>
  <si>
    <t>PAYNTER V,TODD</t>
  </si>
  <si>
    <t>FL</t>
  </si>
  <si>
    <t>IMM604</t>
  </si>
  <si>
    <t>H5521-438</t>
  </si>
  <si>
    <t>Hoffmann Jason</t>
  </si>
  <si>
    <t>8YT3F98CA92</t>
  </si>
  <si>
    <t>REIGEL E,ANN</t>
  </si>
  <si>
    <t>Voluntarily Rapid Disenroll</t>
  </si>
  <si>
    <t>Yale, Richard</t>
  </si>
  <si>
    <t>3RT5WP7QC64</t>
  </si>
  <si>
    <t>SHAUGHNESSY A,MARK</t>
  </si>
  <si>
    <t>SC</t>
  </si>
  <si>
    <t>IMM609</t>
  </si>
  <si>
    <t>H5521-500</t>
  </si>
  <si>
    <t>9PR1VJ5WU97</t>
  </si>
  <si>
    <t>SLANEY G,ROBERT</t>
  </si>
  <si>
    <t>H3959-002</t>
  </si>
  <si>
    <t>7TU9VT2XF20</t>
  </si>
  <si>
    <t>WALLACE D,PATRICIA</t>
  </si>
  <si>
    <t>6MA6QU1UE62</t>
  </si>
  <si>
    <t>WASHINGTON L,ALLONTE</t>
  </si>
  <si>
    <t>H5521-086</t>
  </si>
  <si>
    <t>HANSFORD, GREGORY</t>
  </si>
  <si>
    <t>Total Payee Amount: $4325.16</t>
  </si>
  <si>
    <t>Aetna MAPD 2025 FL*</t>
  </si>
  <si>
    <t>Aetna MAPD OVR 2025</t>
  </si>
  <si>
    <t>Aetna MAPD 2025*</t>
  </si>
  <si>
    <t>Aetna 2025 CT, PA, DC*</t>
  </si>
  <si>
    <t>[%/$=313][prorate=12/12]</t>
  </si>
  <si>
    <t>[%/$=353][prorate=12/12]</t>
  </si>
  <si>
    <t>[%/$=313][prorate=8/12]</t>
  </si>
  <si>
    <t>[%/$=353][prorate=8/12]</t>
  </si>
  <si>
    <t>BULLOCK</t>
  </si>
  <si>
    <t>ALLAN</t>
  </si>
  <si>
    <t>SLANEY</t>
  </si>
  <si>
    <t>ROBERT</t>
  </si>
  <si>
    <t>ATTENTO</t>
  </si>
  <si>
    <t>JOSEPHINE</t>
  </si>
  <si>
    <t>PAYNTER</t>
  </si>
  <si>
    <t>TODD</t>
  </si>
  <si>
    <t>BENSON-KOPFER</t>
  </si>
  <si>
    <t>ALISON</t>
  </si>
  <si>
    <t>BURLEIGH</t>
  </si>
  <si>
    <t>DONNA</t>
  </si>
  <si>
    <t>KRAMER</t>
  </si>
  <si>
    <t>MARYBLYE</t>
  </si>
  <si>
    <t>MONTGOMERY</t>
  </si>
  <si>
    <t>PAMELA</t>
  </si>
  <si>
    <t>WASHINGTON</t>
  </si>
  <si>
    <t>ALLONTE</t>
  </si>
  <si>
    <t>SHAUGHNESSY</t>
  </si>
  <si>
    <t>MARK</t>
  </si>
  <si>
    <t>REIGEL</t>
  </si>
  <si>
    <t>ANN</t>
  </si>
  <si>
    <t>HICKS</t>
  </si>
  <si>
    <t>BETH</t>
  </si>
  <si>
    <t>WALLACE</t>
  </si>
  <si>
    <t>PATRICIA</t>
  </si>
  <si>
    <t>BURKS</t>
  </si>
  <si>
    <t>TONY</t>
  </si>
  <si>
    <t>MEHLMAN</t>
  </si>
  <si>
    <t>DONALD</t>
  </si>
  <si>
    <t>Main Line Benefits</t>
  </si>
  <si>
    <t>17528908N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</si>
</sst>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applyFill="1"/>
    <xf numFmtId="14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3C908-415A-4E9F-8CB8-BC9B468A50F0}">
  <dimension ref="A1:X19"/>
  <sheetViews>
    <sheetView workbookViewId="0">
      <selection activeCell="I4" sqref="I4"/>
    </sheetView>
  </sheetViews>
  <sheetFormatPr defaultRowHeight="15" x14ac:dyDescent="0.25"/>
  <cols>
    <col min="1" max="1" width="28" bestFit="1" customWidth="1"/>
    <col min="2" max="2" width="17.28515625" bestFit="1" customWidth="1"/>
    <col min="23" max="23" width="14.140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45720</v>
      </c>
      <c r="B2" t="s">
        <v>24</v>
      </c>
      <c r="C2">
        <v>101291821000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L2" s="1">
        <v>45717</v>
      </c>
      <c r="M2" s="1">
        <v>45717</v>
      </c>
      <c r="O2">
        <v>8325282</v>
      </c>
      <c r="P2" t="s">
        <v>31</v>
      </c>
      <c r="Q2" t="s">
        <v>32</v>
      </c>
      <c r="R2">
        <v>8192</v>
      </c>
      <c r="S2" t="s">
        <v>33</v>
      </c>
      <c r="T2" t="s">
        <v>34</v>
      </c>
      <c r="U2">
        <v>365</v>
      </c>
      <c r="V2" t="s">
        <v>35</v>
      </c>
      <c r="W2" s="1">
        <v>45701</v>
      </c>
      <c r="X2">
        <v>2025</v>
      </c>
    </row>
    <row r="3" spans="1:24" x14ac:dyDescent="0.25">
      <c r="A3" s="1">
        <v>45720</v>
      </c>
      <c r="B3" t="s">
        <v>36</v>
      </c>
      <c r="C3">
        <v>101218748200</v>
      </c>
      <c r="E3" t="s">
        <v>37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L3" s="1">
        <v>45717</v>
      </c>
      <c r="M3" s="1">
        <v>45717</v>
      </c>
      <c r="O3">
        <v>7146581</v>
      </c>
      <c r="P3" t="s">
        <v>31</v>
      </c>
      <c r="Q3" t="s">
        <v>38</v>
      </c>
      <c r="R3">
        <v>8192</v>
      </c>
      <c r="S3" t="s">
        <v>33</v>
      </c>
      <c r="T3" t="s">
        <v>34</v>
      </c>
      <c r="U3">
        <v>365</v>
      </c>
      <c r="V3" t="s">
        <v>35</v>
      </c>
      <c r="W3" s="1">
        <v>45706</v>
      </c>
      <c r="X3">
        <v>2025</v>
      </c>
    </row>
    <row r="4" spans="1:24" x14ac:dyDescent="0.25">
      <c r="A4" s="1">
        <v>45720</v>
      </c>
      <c r="B4" t="s">
        <v>39</v>
      </c>
      <c r="C4">
        <v>101211577200</v>
      </c>
      <c r="E4" t="s">
        <v>40</v>
      </c>
      <c r="F4" t="s">
        <v>41</v>
      </c>
      <c r="G4" t="s">
        <v>27</v>
      </c>
      <c r="H4" t="s">
        <v>28</v>
      </c>
      <c r="I4" t="s">
        <v>42</v>
      </c>
      <c r="J4" t="s">
        <v>43</v>
      </c>
      <c r="L4" s="1">
        <v>45717</v>
      </c>
      <c r="M4" s="1">
        <v>45717</v>
      </c>
      <c r="O4">
        <v>17528908</v>
      </c>
      <c r="P4" t="s">
        <v>31</v>
      </c>
      <c r="Q4" t="s">
        <v>44</v>
      </c>
      <c r="R4">
        <v>8192</v>
      </c>
      <c r="S4" t="s">
        <v>33</v>
      </c>
      <c r="T4" t="s">
        <v>34</v>
      </c>
      <c r="U4">
        <v>398.33</v>
      </c>
      <c r="V4" t="s">
        <v>35</v>
      </c>
      <c r="W4" s="1">
        <v>45706</v>
      </c>
      <c r="X4">
        <v>2025</v>
      </c>
    </row>
    <row r="5" spans="1:24" x14ac:dyDescent="0.25">
      <c r="A5" s="1">
        <v>45720</v>
      </c>
      <c r="B5" t="s">
        <v>45</v>
      </c>
      <c r="C5">
        <v>102150541300</v>
      </c>
      <c r="E5" t="s">
        <v>46</v>
      </c>
      <c r="F5" t="s">
        <v>47</v>
      </c>
      <c r="G5" t="s">
        <v>27</v>
      </c>
      <c r="H5" t="s">
        <v>28</v>
      </c>
      <c r="I5" t="s">
        <v>48</v>
      </c>
      <c r="J5" t="s">
        <v>49</v>
      </c>
      <c r="L5" s="1">
        <v>45778</v>
      </c>
      <c r="M5" s="1">
        <v>45778</v>
      </c>
      <c r="O5">
        <v>8307933</v>
      </c>
      <c r="P5" t="s">
        <v>31</v>
      </c>
      <c r="Q5" t="s">
        <v>50</v>
      </c>
      <c r="R5">
        <v>8192</v>
      </c>
      <c r="S5" t="s">
        <v>33</v>
      </c>
      <c r="T5" t="s">
        <v>34</v>
      </c>
      <c r="U5">
        <v>292</v>
      </c>
      <c r="V5" t="s">
        <v>35</v>
      </c>
      <c r="W5" s="1">
        <v>45701</v>
      </c>
      <c r="X5">
        <v>2025</v>
      </c>
    </row>
    <row r="6" spans="1:24" x14ac:dyDescent="0.25">
      <c r="A6" s="1">
        <v>45720</v>
      </c>
      <c r="B6" t="s">
        <v>51</v>
      </c>
      <c r="C6">
        <v>101666004700</v>
      </c>
      <c r="E6" t="s">
        <v>52</v>
      </c>
      <c r="F6" t="s">
        <v>53</v>
      </c>
      <c r="G6" t="s">
        <v>27</v>
      </c>
      <c r="H6" t="s">
        <v>28</v>
      </c>
      <c r="I6" t="s">
        <v>54</v>
      </c>
      <c r="J6" t="s">
        <v>55</v>
      </c>
      <c r="L6" s="1">
        <v>45717</v>
      </c>
      <c r="M6" s="1">
        <v>45717</v>
      </c>
      <c r="O6">
        <v>19200754</v>
      </c>
      <c r="P6" t="s">
        <v>31</v>
      </c>
      <c r="Q6" t="s">
        <v>56</v>
      </c>
      <c r="R6">
        <v>8192</v>
      </c>
      <c r="S6" t="s">
        <v>33</v>
      </c>
      <c r="T6" t="s">
        <v>34</v>
      </c>
      <c r="U6">
        <v>365</v>
      </c>
      <c r="V6" t="s">
        <v>35</v>
      </c>
      <c r="W6" s="1">
        <v>45702</v>
      </c>
      <c r="X6">
        <v>2025</v>
      </c>
    </row>
    <row r="7" spans="1:24" x14ac:dyDescent="0.25">
      <c r="A7" s="1">
        <v>45720</v>
      </c>
      <c r="B7" t="s">
        <v>57</v>
      </c>
      <c r="C7">
        <v>102029640300</v>
      </c>
      <c r="E7" t="s">
        <v>58</v>
      </c>
      <c r="F7" t="s">
        <v>59</v>
      </c>
      <c r="G7" t="s">
        <v>27</v>
      </c>
      <c r="H7" t="s">
        <v>28</v>
      </c>
      <c r="I7" t="s">
        <v>29</v>
      </c>
      <c r="J7" t="s">
        <v>60</v>
      </c>
      <c r="L7" s="1">
        <v>45717</v>
      </c>
      <c r="M7" s="1">
        <v>45717</v>
      </c>
      <c r="O7">
        <v>9213293</v>
      </c>
      <c r="P7" t="s">
        <v>31</v>
      </c>
      <c r="Q7" t="s">
        <v>61</v>
      </c>
      <c r="R7">
        <v>8192</v>
      </c>
      <c r="S7" t="s">
        <v>33</v>
      </c>
      <c r="T7" t="s">
        <v>34</v>
      </c>
      <c r="U7">
        <v>365</v>
      </c>
      <c r="V7" t="s">
        <v>35</v>
      </c>
      <c r="W7" s="1">
        <v>45706</v>
      </c>
      <c r="X7">
        <v>2025</v>
      </c>
    </row>
    <row r="8" spans="1:24" x14ac:dyDescent="0.25">
      <c r="A8" s="1">
        <v>45720</v>
      </c>
      <c r="B8" t="s">
        <v>62</v>
      </c>
      <c r="C8">
        <v>101527036200</v>
      </c>
      <c r="E8" t="s">
        <v>63</v>
      </c>
      <c r="F8" t="s">
        <v>26</v>
      </c>
      <c r="G8" t="s">
        <v>27</v>
      </c>
      <c r="H8" t="s">
        <v>28</v>
      </c>
      <c r="I8" t="s">
        <v>64</v>
      </c>
      <c r="J8" t="s">
        <v>65</v>
      </c>
      <c r="L8" s="1">
        <v>45717</v>
      </c>
      <c r="M8" s="1">
        <v>45717</v>
      </c>
      <c r="O8">
        <v>7470776</v>
      </c>
      <c r="P8" t="s">
        <v>31</v>
      </c>
      <c r="Q8" t="s">
        <v>66</v>
      </c>
      <c r="R8">
        <v>8192</v>
      </c>
      <c r="S8" t="s">
        <v>33</v>
      </c>
      <c r="T8" t="s">
        <v>34</v>
      </c>
      <c r="U8">
        <v>365</v>
      </c>
      <c r="V8" t="s">
        <v>35</v>
      </c>
      <c r="W8" s="1">
        <v>45705</v>
      </c>
      <c r="X8">
        <v>2025</v>
      </c>
    </row>
    <row r="9" spans="1:24" x14ac:dyDescent="0.25">
      <c r="A9" s="1">
        <v>45720</v>
      </c>
      <c r="B9" t="s">
        <v>67</v>
      </c>
      <c r="C9">
        <v>101528681000</v>
      </c>
      <c r="E9" t="s">
        <v>68</v>
      </c>
      <c r="F9" t="s">
        <v>41</v>
      </c>
      <c r="G9" t="s">
        <v>27</v>
      </c>
      <c r="H9" t="s">
        <v>28</v>
      </c>
      <c r="I9" t="s">
        <v>42</v>
      </c>
      <c r="J9" t="s">
        <v>69</v>
      </c>
      <c r="L9" s="1">
        <v>45717</v>
      </c>
      <c r="M9" s="1">
        <v>45717</v>
      </c>
      <c r="O9">
        <v>18657307</v>
      </c>
      <c r="P9" t="s">
        <v>70</v>
      </c>
      <c r="Q9" t="s">
        <v>71</v>
      </c>
      <c r="R9">
        <v>8192</v>
      </c>
      <c r="S9" t="s">
        <v>33</v>
      </c>
      <c r="T9" t="s">
        <v>34</v>
      </c>
      <c r="U9">
        <v>104.16</v>
      </c>
      <c r="V9" t="s">
        <v>35</v>
      </c>
      <c r="W9" s="1">
        <v>45706</v>
      </c>
      <c r="X9">
        <v>2025</v>
      </c>
    </row>
    <row r="10" spans="1:24" x14ac:dyDescent="0.25">
      <c r="A10" s="1">
        <v>45720</v>
      </c>
      <c r="B10" t="s">
        <v>72</v>
      </c>
      <c r="C10">
        <v>102151195700</v>
      </c>
      <c r="E10" t="s">
        <v>73</v>
      </c>
      <c r="F10" t="s">
        <v>74</v>
      </c>
      <c r="G10" t="s">
        <v>27</v>
      </c>
      <c r="H10" t="s">
        <v>28</v>
      </c>
      <c r="I10" t="s">
        <v>75</v>
      </c>
      <c r="J10" t="s">
        <v>76</v>
      </c>
      <c r="L10" s="1">
        <v>45717</v>
      </c>
      <c r="M10" s="1">
        <v>45717</v>
      </c>
      <c r="O10">
        <v>8307933</v>
      </c>
      <c r="P10" t="s">
        <v>31</v>
      </c>
      <c r="Q10" t="s">
        <v>50</v>
      </c>
      <c r="R10">
        <v>8192</v>
      </c>
      <c r="S10" t="s">
        <v>33</v>
      </c>
      <c r="T10" t="s">
        <v>34</v>
      </c>
      <c r="U10">
        <v>365</v>
      </c>
      <c r="V10" t="s">
        <v>35</v>
      </c>
      <c r="W10" s="1">
        <v>45703</v>
      </c>
      <c r="X10">
        <v>2025</v>
      </c>
    </row>
    <row r="11" spans="1:24" x14ac:dyDescent="0.25">
      <c r="A11" s="1">
        <v>45720</v>
      </c>
      <c r="B11" t="s">
        <v>77</v>
      </c>
      <c r="C11">
        <v>102150493500</v>
      </c>
      <c r="E11" t="s">
        <v>78</v>
      </c>
      <c r="F11" t="s">
        <v>79</v>
      </c>
      <c r="G11" t="s">
        <v>27</v>
      </c>
      <c r="H11" t="s">
        <v>28</v>
      </c>
      <c r="I11" t="s">
        <v>80</v>
      </c>
      <c r="J11" t="s">
        <v>81</v>
      </c>
      <c r="L11" s="1">
        <v>45717</v>
      </c>
      <c r="M11" s="1">
        <v>45717</v>
      </c>
      <c r="O11">
        <v>15278437</v>
      </c>
      <c r="P11" t="s">
        <v>31</v>
      </c>
      <c r="Q11" t="s">
        <v>82</v>
      </c>
      <c r="R11">
        <v>8192</v>
      </c>
      <c r="S11" t="s">
        <v>33</v>
      </c>
      <c r="T11" t="s">
        <v>34</v>
      </c>
      <c r="U11">
        <v>365</v>
      </c>
      <c r="V11" t="s">
        <v>35</v>
      </c>
      <c r="W11" s="1">
        <v>45701</v>
      </c>
      <c r="X11">
        <v>2025</v>
      </c>
    </row>
    <row r="12" spans="1:24" x14ac:dyDescent="0.25">
      <c r="A12" s="1">
        <v>45720</v>
      </c>
      <c r="B12" t="s">
        <v>83</v>
      </c>
      <c r="C12">
        <v>102133066800</v>
      </c>
      <c r="E12" t="s">
        <v>84</v>
      </c>
      <c r="F12" t="s">
        <v>47</v>
      </c>
      <c r="G12" t="s">
        <v>85</v>
      </c>
      <c r="H12" t="s">
        <v>28</v>
      </c>
      <c r="I12" t="s">
        <v>48</v>
      </c>
      <c r="J12" t="s">
        <v>49</v>
      </c>
      <c r="L12" s="1">
        <v>45658</v>
      </c>
      <c r="M12" s="1">
        <v>45658</v>
      </c>
      <c r="N12" s="1">
        <v>45716</v>
      </c>
      <c r="O12">
        <v>16633294</v>
      </c>
      <c r="P12" t="s">
        <v>31</v>
      </c>
      <c r="Q12" t="s">
        <v>86</v>
      </c>
      <c r="R12">
        <v>8192</v>
      </c>
      <c r="S12" t="s">
        <v>33</v>
      </c>
      <c r="T12" t="s">
        <v>34</v>
      </c>
      <c r="U12">
        <v>-438</v>
      </c>
      <c r="V12" t="s">
        <v>35</v>
      </c>
      <c r="W12" s="1">
        <v>45632</v>
      </c>
      <c r="X12">
        <v>2025</v>
      </c>
    </row>
    <row r="13" spans="1:24" x14ac:dyDescent="0.25">
      <c r="A13" s="1">
        <v>45720</v>
      </c>
      <c r="B13" t="s">
        <v>87</v>
      </c>
      <c r="C13">
        <v>101930278400</v>
      </c>
      <c r="E13" t="s">
        <v>88</v>
      </c>
      <c r="F13" t="s">
        <v>89</v>
      </c>
      <c r="G13" t="s">
        <v>27</v>
      </c>
      <c r="H13" t="s">
        <v>28</v>
      </c>
      <c r="I13" t="s">
        <v>90</v>
      </c>
      <c r="J13" t="s">
        <v>91</v>
      </c>
      <c r="L13" s="1">
        <v>45717</v>
      </c>
      <c r="M13" s="1">
        <v>45717</v>
      </c>
      <c r="O13">
        <v>16633294</v>
      </c>
      <c r="P13" t="s">
        <v>31</v>
      </c>
      <c r="Q13" t="s">
        <v>86</v>
      </c>
      <c r="R13">
        <v>8192</v>
      </c>
      <c r="S13" t="s">
        <v>33</v>
      </c>
      <c r="T13" t="s">
        <v>34</v>
      </c>
      <c r="U13">
        <v>365</v>
      </c>
      <c r="V13" t="s">
        <v>35</v>
      </c>
      <c r="W13" s="1">
        <v>45705</v>
      </c>
      <c r="X13">
        <v>2025</v>
      </c>
    </row>
    <row r="14" spans="1:24" x14ac:dyDescent="0.25">
      <c r="A14" s="1">
        <v>45720</v>
      </c>
      <c r="B14" t="s">
        <v>92</v>
      </c>
      <c r="C14">
        <v>102150535500</v>
      </c>
      <c r="E14" t="s">
        <v>93</v>
      </c>
      <c r="F14" t="s">
        <v>41</v>
      </c>
      <c r="G14" t="s">
        <v>27</v>
      </c>
      <c r="H14" t="s">
        <v>28</v>
      </c>
      <c r="I14" t="s">
        <v>42</v>
      </c>
      <c r="J14" t="s">
        <v>94</v>
      </c>
      <c r="L14" s="1">
        <v>45778</v>
      </c>
      <c r="M14" s="1">
        <v>45778</v>
      </c>
      <c r="O14">
        <v>17528908</v>
      </c>
      <c r="P14" t="s">
        <v>31</v>
      </c>
      <c r="Q14" t="s">
        <v>44</v>
      </c>
      <c r="R14">
        <v>8192</v>
      </c>
      <c r="S14" t="s">
        <v>33</v>
      </c>
      <c r="T14" t="s">
        <v>34</v>
      </c>
      <c r="U14">
        <v>318.67</v>
      </c>
      <c r="V14" t="s">
        <v>35</v>
      </c>
      <c r="W14" s="1">
        <v>45701</v>
      </c>
      <c r="X14">
        <v>2025</v>
      </c>
    </row>
    <row r="15" spans="1:24" x14ac:dyDescent="0.25">
      <c r="A15" s="1">
        <v>45720</v>
      </c>
      <c r="B15" t="s">
        <v>95</v>
      </c>
      <c r="C15">
        <v>102150537700</v>
      </c>
      <c r="E15" t="s">
        <v>96</v>
      </c>
      <c r="F15" t="s">
        <v>47</v>
      </c>
      <c r="G15" t="s">
        <v>27</v>
      </c>
      <c r="H15" t="s">
        <v>28</v>
      </c>
      <c r="I15" t="s">
        <v>48</v>
      </c>
      <c r="J15" t="s">
        <v>49</v>
      </c>
      <c r="L15" s="1">
        <v>45717</v>
      </c>
      <c r="M15" s="1">
        <v>45717</v>
      </c>
      <c r="O15">
        <v>8307933</v>
      </c>
      <c r="P15" t="s">
        <v>31</v>
      </c>
      <c r="Q15" t="s">
        <v>50</v>
      </c>
      <c r="R15">
        <v>8192</v>
      </c>
      <c r="S15" t="s">
        <v>33</v>
      </c>
      <c r="T15" t="s">
        <v>34</v>
      </c>
      <c r="U15">
        <v>365</v>
      </c>
      <c r="V15" t="s">
        <v>35</v>
      </c>
      <c r="W15" s="1">
        <v>45701</v>
      </c>
      <c r="X15">
        <v>2025</v>
      </c>
    </row>
    <row r="16" spans="1:24" x14ac:dyDescent="0.25">
      <c r="A16" s="1">
        <v>45720</v>
      </c>
      <c r="B16" t="s">
        <v>97</v>
      </c>
      <c r="C16">
        <v>102150573800</v>
      </c>
      <c r="E16" t="s">
        <v>98</v>
      </c>
      <c r="F16" t="s">
        <v>26</v>
      </c>
      <c r="G16" t="s">
        <v>27</v>
      </c>
      <c r="H16" t="s">
        <v>28</v>
      </c>
      <c r="I16" t="s">
        <v>29</v>
      </c>
      <c r="J16" t="s">
        <v>99</v>
      </c>
      <c r="L16" s="1">
        <v>45717</v>
      </c>
      <c r="M16" s="1">
        <v>45717</v>
      </c>
      <c r="O16">
        <v>17094718</v>
      </c>
      <c r="P16" t="s">
        <v>31</v>
      </c>
      <c r="Q16" t="s">
        <v>100</v>
      </c>
      <c r="R16">
        <v>8192</v>
      </c>
      <c r="S16" t="s">
        <v>33</v>
      </c>
      <c r="T16" t="s">
        <v>34</v>
      </c>
      <c r="U16">
        <v>365</v>
      </c>
      <c r="V16" t="s">
        <v>35</v>
      </c>
      <c r="W16" s="1">
        <v>45701</v>
      </c>
      <c r="X16">
        <v>2025</v>
      </c>
    </row>
    <row r="19" spans="1:1" x14ac:dyDescent="0.25">
      <c r="A19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9E79B-991F-43C9-A289-458B0FA58DF9}">
  <dimension ref="A1:R30"/>
  <sheetViews>
    <sheetView tabSelected="1" workbookViewId="0">
      <selection activeCell="P7" sqref="P7"/>
    </sheetView>
  </sheetViews>
  <sheetFormatPr defaultRowHeight="15" x14ac:dyDescent="0.25"/>
  <cols>
    <col min="1" max="1" width="16.7109375" style="2" customWidth="1"/>
    <col min="2" max="2" width="17.28515625" style="2" bestFit="1" customWidth="1"/>
    <col min="3" max="3" width="17.28515625" style="2" customWidth="1"/>
    <col min="4" max="4" width="23.85546875" style="2" bestFit="1" customWidth="1"/>
    <col min="5" max="8" width="9.140625" style="2"/>
    <col min="9" max="9" width="10.140625" style="2" bestFit="1" customWidth="1"/>
    <col min="10" max="10" width="9.140625" style="2"/>
    <col min="11" max="11" width="21.5703125" style="2" bestFit="1" customWidth="1"/>
    <col min="12" max="14" width="9.140625" style="2"/>
    <col min="15" max="15" width="14.140625" style="2" bestFit="1" customWidth="1"/>
    <col min="16" max="16" width="9.140625" style="2"/>
    <col min="17" max="17" width="21.5703125" style="2" bestFit="1" customWidth="1"/>
    <col min="18" max="16384" width="9.140625" style="2"/>
  </cols>
  <sheetData>
    <row r="1" spans="1:18" x14ac:dyDescent="0.25">
      <c r="A1" s="2" t="s">
        <v>0</v>
      </c>
      <c r="B1" s="2" t="s">
        <v>1</v>
      </c>
      <c r="D1" s="2" t="s">
        <v>4</v>
      </c>
      <c r="E1" s="2" t="s">
        <v>5</v>
      </c>
      <c r="F1" s="2" t="s">
        <v>7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</row>
    <row r="2" spans="1:18" x14ac:dyDescent="0.25">
      <c r="A2" s="3">
        <v>45720</v>
      </c>
      <c r="B2" s="2" t="s">
        <v>62</v>
      </c>
      <c r="C2" s="2" t="str">
        <f>CONCATENATE(B2,8)</f>
        <v>3C31FF3RU078</v>
      </c>
      <c r="D2" t="str">
        <f>CONCATENATE(Sheet2!B7, " ", Sheet2!A7)</f>
        <v>MARYBLYE KRAMER</v>
      </c>
      <c r="E2" s="2" t="s">
        <v>26</v>
      </c>
      <c r="F2" s="2" t="s">
        <v>28</v>
      </c>
      <c r="G2" s="3">
        <v>45717</v>
      </c>
      <c r="H2" s="3">
        <v>45717</v>
      </c>
      <c r="J2" s="2">
        <v>7470776</v>
      </c>
      <c r="K2" s="2" t="s">
        <v>66</v>
      </c>
      <c r="L2" s="2">
        <v>8192</v>
      </c>
      <c r="M2" s="2" t="s">
        <v>33</v>
      </c>
      <c r="N2" s="2" t="s">
        <v>34</v>
      </c>
      <c r="O2" s="2">
        <v>365</v>
      </c>
      <c r="P2" s="2">
        <v>313</v>
      </c>
      <c r="Q2" s="2" t="s">
        <v>104</v>
      </c>
      <c r="R2" s="2" t="s">
        <v>106</v>
      </c>
    </row>
    <row r="3" spans="1:18" x14ac:dyDescent="0.25">
      <c r="A3" s="3">
        <v>45720</v>
      </c>
      <c r="B3" s="2" t="s">
        <v>97</v>
      </c>
      <c r="C3" s="2" t="str">
        <f>CONCATENATE(B3,8)</f>
        <v>6MA6QU1UE628</v>
      </c>
      <c r="D3" t="str">
        <f>CONCATENATE(Sheet2!B9, " ", Sheet2!A9)</f>
        <v>ALLONTE WASHINGTON</v>
      </c>
      <c r="E3" s="2" t="s">
        <v>26</v>
      </c>
      <c r="F3" s="2" t="s">
        <v>28</v>
      </c>
      <c r="G3" s="3">
        <v>45717</v>
      </c>
      <c r="H3" s="3">
        <v>45717</v>
      </c>
      <c r="J3" s="2">
        <v>17094718</v>
      </c>
      <c r="K3" s="2" t="s">
        <v>100</v>
      </c>
      <c r="L3" s="2">
        <v>8192</v>
      </c>
      <c r="M3" s="2" t="s">
        <v>33</v>
      </c>
      <c r="N3" s="2" t="s">
        <v>34</v>
      </c>
      <c r="O3" s="2">
        <v>365</v>
      </c>
      <c r="P3" s="2">
        <v>313</v>
      </c>
      <c r="Q3" s="2" t="s">
        <v>104</v>
      </c>
      <c r="R3" s="2" t="s">
        <v>106</v>
      </c>
    </row>
    <row r="4" spans="1:18" x14ac:dyDescent="0.25">
      <c r="A4" s="3">
        <v>45720</v>
      </c>
      <c r="B4" s="2" t="s">
        <v>77</v>
      </c>
      <c r="C4" s="2" t="str">
        <f>CONCATENATE(B4,8)</f>
        <v>1V02YH3AY088</v>
      </c>
      <c r="D4" t="str">
        <f>CONCATENATE(Sheet2!B4, " ", Sheet2!A4)</f>
        <v>TODD PAYNTER</v>
      </c>
      <c r="E4" s="2" t="s">
        <v>79</v>
      </c>
      <c r="F4" s="2" t="s">
        <v>28</v>
      </c>
      <c r="G4" s="3">
        <v>45717</v>
      </c>
      <c r="H4" s="3">
        <v>45717</v>
      </c>
      <c r="J4" s="2">
        <v>15278437</v>
      </c>
      <c r="K4" s="2" t="s">
        <v>82</v>
      </c>
      <c r="L4" s="2">
        <v>8192</v>
      </c>
      <c r="M4" s="2" t="s">
        <v>33</v>
      </c>
      <c r="N4" s="2" t="s">
        <v>34</v>
      </c>
      <c r="O4" s="2">
        <v>365</v>
      </c>
      <c r="P4" s="2">
        <v>313</v>
      </c>
      <c r="Q4" s="2" t="s">
        <v>102</v>
      </c>
      <c r="R4" s="2" t="s">
        <v>106</v>
      </c>
    </row>
    <row r="5" spans="1:18" x14ac:dyDescent="0.25">
      <c r="A5" s="3">
        <v>45720</v>
      </c>
      <c r="B5" s="2" t="s">
        <v>36</v>
      </c>
      <c r="C5" s="2" t="str">
        <f>CONCATENATE(B5,8)</f>
        <v>1GP3X21CC718</v>
      </c>
      <c r="D5" t="str">
        <f>CONCATENATE(Sheet2!B5, " ", Sheet2!A5)</f>
        <v>ALISON BENSON-KOPFER</v>
      </c>
      <c r="E5" s="2" t="s">
        <v>26</v>
      </c>
      <c r="F5" s="2" t="s">
        <v>28</v>
      </c>
      <c r="G5" s="3">
        <v>45717</v>
      </c>
      <c r="H5" s="3">
        <v>45717</v>
      </c>
      <c r="J5" s="2">
        <v>7146581</v>
      </c>
      <c r="K5" s="2" t="s">
        <v>38</v>
      </c>
      <c r="L5" s="2">
        <v>8192</v>
      </c>
      <c r="M5" s="2" t="s">
        <v>33</v>
      </c>
      <c r="N5" s="2" t="s">
        <v>34</v>
      </c>
      <c r="O5" s="2">
        <v>365</v>
      </c>
      <c r="P5" s="2">
        <v>313</v>
      </c>
      <c r="Q5" s="2" t="s">
        <v>104</v>
      </c>
      <c r="R5" s="2" t="s">
        <v>106</v>
      </c>
    </row>
    <row r="6" spans="1:18" x14ac:dyDescent="0.25">
      <c r="A6" s="3">
        <v>45720</v>
      </c>
      <c r="B6" s="2" t="s">
        <v>39</v>
      </c>
      <c r="C6" s="2" t="str">
        <f>CONCATENATE(B6,8)</f>
        <v>6N20HH2JF258</v>
      </c>
      <c r="D6" t="str">
        <f>CONCATENATE(Sheet2!B1, " ", Sheet2!A1)</f>
        <v>ALLAN BULLOCK</v>
      </c>
      <c r="E6" s="2" t="s">
        <v>41</v>
      </c>
      <c r="F6" s="2" t="s">
        <v>28</v>
      </c>
      <c r="G6" s="3">
        <v>45717</v>
      </c>
      <c r="H6" s="3">
        <v>45717</v>
      </c>
      <c r="J6" s="2" t="s">
        <v>141</v>
      </c>
      <c r="K6" s="2" t="s">
        <v>44</v>
      </c>
      <c r="L6" s="2">
        <v>8192</v>
      </c>
      <c r="M6" s="2" t="s">
        <v>33</v>
      </c>
      <c r="N6" s="2" t="s">
        <v>34</v>
      </c>
      <c r="O6" s="2">
        <v>398.33</v>
      </c>
      <c r="P6" s="2">
        <v>353</v>
      </c>
      <c r="Q6" s="2" t="s">
        <v>105</v>
      </c>
      <c r="R6" s="2" t="s">
        <v>107</v>
      </c>
    </row>
    <row r="7" spans="1:18" x14ac:dyDescent="0.25">
      <c r="A7" s="3">
        <v>45720</v>
      </c>
      <c r="B7" s="2" t="s">
        <v>92</v>
      </c>
      <c r="C7" s="2" t="str">
        <f>CONCATENATE(B7,8)</f>
        <v>9PR1VJ5WU978</v>
      </c>
      <c r="D7" t="str">
        <f>CONCATENATE(Sheet2!B2, " ", Sheet2!A2)</f>
        <v>ROBERT SLANEY</v>
      </c>
      <c r="E7" s="2" t="s">
        <v>41</v>
      </c>
      <c r="F7" s="2" t="s">
        <v>28</v>
      </c>
      <c r="G7" s="3">
        <v>45778</v>
      </c>
      <c r="H7" s="3">
        <v>45778</v>
      </c>
      <c r="J7" s="2" t="s">
        <v>141</v>
      </c>
      <c r="K7" s="2" t="s">
        <v>44</v>
      </c>
      <c r="L7" s="2">
        <v>8192</v>
      </c>
      <c r="M7" s="2" t="s">
        <v>33</v>
      </c>
      <c r="N7" s="2" t="s">
        <v>34</v>
      </c>
      <c r="O7" s="2">
        <v>318.67</v>
      </c>
      <c r="P7" s="2">
        <v>235.34</v>
      </c>
      <c r="Q7" s="2" t="s">
        <v>105</v>
      </c>
      <c r="R7" s="2" t="s">
        <v>109</v>
      </c>
    </row>
    <row r="8" spans="1:18" x14ac:dyDescent="0.25">
      <c r="A8" s="3">
        <v>45720</v>
      </c>
      <c r="B8" s="2" t="s">
        <v>57</v>
      </c>
      <c r="C8" s="2" t="str">
        <f>CONCATENATE(B8,8)</f>
        <v>9DA9Q80RC498</v>
      </c>
      <c r="D8" t="str">
        <f>CONCATENATE(Sheet2!B12, " ", Sheet2!A12)</f>
        <v>BETH HICKS</v>
      </c>
      <c r="E8" s="2" t="s">
        <v>59</v>
      </c>
      <c r="F8" s="2" t="s">
        <v>28</v>
      </c>
      <c r="G8" s="3">
        <v>45717</v>
      </c>
      <c r="H8" s="3">
        <v>45717</v>
      </c>
      <c r="J8" s="2">
        <v>9213293</v>
      </c>
      <c r="K8" s="2" t="s">
        <v>61</v>
      </c>
      <c r="L8" s="2">
        <v>8192</v>
      </c>
      <c r="M8" s="2" t="s">
        <v>33</v>
      </c>
      <c r="N8" s="2" t="s">
        <v>34</v>
      </c>
      <c r="O8" s="2">
        <v>365</v>
      </c>
      <c r="P8" s="2">
        <v>313</v>
      </c>
      <c r="Q8" s="2" t="s">
        <v>104</v>
      </c>
      <c r="R8" s="2" t="s">
        <v>106</v>
      </c>
    </row>
    <row r="9" spans="1:18" x14ac:dyDescent="0.25">
      <c r="A9" s="3">
        <v>45720</v>
      </c>
      <c r="B9" s="2" t="s">
        <v>51</v>
      </c>
      <c r="C9" s="2" t="str">
        <f>CONCATENATE(B9,8)</f>
        <v>9J41MH4ER168</v>
      </c>
      <c r="D9" t="str">
        <f>CONCATENATE(Sheet2!B6, " ", Sheet2!A6)</f>
        <v>DONNA BURLEIGH</v>
      </c>
      <c r="E9" s="2" t="s">
        <v>53</v>
      </c>
      <c r="F9" s="2" t="s">
        <v>28</v>
      </c>
      <c r="G9" s="3">
        <v>45717</v>
      </c>
      <c r="H9" s="3">
        <v>45717</v>
      </c>
      <c r="J9" s="2">
        <v>19200754</v>
      </c>
      <c r="K9" s="2" t="s">
        <v>56</v>
      </c>
      <c r="L9" s="2">
        <v>8192</v>
      </c>
      <c r="M9" s="2" t="s">
        <v>33</v>
      </c>
      <c r="N9" s="2" t="s">
        <v>34</v>
      </c>
      <c r="O9" s="2">
        <v>365</v>
      </c>
      <c r="P9" s="2">
        <v>313</v>
      </c>
      <c r="Q9" s="2" t="s">
        <v>104</v>
      </c>
      <c r="R9" s="2" t="s">
        <v>106</v>
      </c>
    </row>
    <row r="10" spans="1:18" x14ac:dyDescent="0.25">
      <c r="A10" s="3">
        <v>45720</v>
      </c>
      <c r="B10" s="2" t="s">
        <v>72</v>
      </c>
      <c r="C10" s="2" t="str">
        <f>CONCATENATE(B10,8)</f>
        <v>6ND5AX3YV778</v>
      </c>
      <c r="D10" t="str">
        <f>CONCATENATE(Sheet2!B8, " ", Sheet2!A8)</f>
        <v>PAMELA MONTGOMERY</v>
      </c>
      <c r="E10" s="2" t="s">
        <v>74</v>
      </c>
      <c r="F10" s="2" t="s">
        <v>28</v>
      </c>
      <c r="G10" s="3">
        <v>45717</v>
      </c>
      <c r="H10" s="3">
        <v>45717</v>
      </c>
      <c r="J10" s="2">
        <v>8307933</v>
      </c>
      <c r="K10" s="2" t="s">
        <v>50</v>
      </c>
      <c r="L10" s="2">
        <v>8192</v>
      </c>
      <c r="M10" s="2" t="s">
        <v>33</v>
      </c>
      <c r="N10" s="2" t="s">
        <v>34</v>
      </c>
      <c r="O10" s="2">
        <v>365</v>
      </c>
      <c r="P10" s="2">
        <v>313</v>
      </c>
      <c r="Q10" s="2" t="s">
        <v>104</v>
      </c>
      <c r="R10" s="2" t="s">
        <v>106</v>
      </c>
    </row>
    <row r="11" spans="1:18" x14ac:dyDescent="0.25">
      <c r="A11" s="3">
        <v>45720</v>
      </c>
      <c r="B11" s="2" t="s">
        <v>95</v>
      </c>
      <c r="C11" s="2" t="str">
        <f>CONCATENATE(B11,8)</f>
        <v>7TU9VT2XF208</v>
      </c>
      <c r="D11" t="str">
        <f>CONCATENATE(Sheet2!B13, " ", Sheet2!A13)</f>
        <v>PATRICIA WALLACE</v>
      </c>
      <c r="E11" s="2" t="s">
        <v>47</v>
      </c>
      <c r="F11" s="2" t="s">
        <v>28</v>
      </c>
      <c r="G11" s="3">
        <v>45717</v>
      </c>
      <c r="H11" s="3">
        <v>45717</v>
      </c>
      <c r="J11" s="2">
        <v>8307933</v>
      </c>
      <c r="K11" s="2" t="s">
        <v>50</v>
      </c>
      <c r="L11" s="2">
        <v>8192</v>
      </c>
      <c r="M11" s="2" t="s">
        <v>33</v>
      </c>
      <c r="N11" s="2" t="s">
        <v>34</v>
      </c>
      <c r="O11" s="2">
        <v>365</v>
      </c>
      <c r="P11" s="2">
        <v>313</v>
      </c>
      <c r="Q11" s="2" t="s">
        <v>104</v>
      </c>
      <c r="R11" s="2" t="s">
        <v>106</v>
      </c>
    </row>
    <row r="12" spans="1:18" x14ac:dyDescent="0.25">
      <c r="A12" s="3">
        <v>45720</v>
      </c>
      <c r="B12" s="2" t="s">
        <v>45</v>
      </c>
      <c r="C12" s="2" t="str">
        <f>CONCATENATE(B12,8)</f>
        <v>7M39YA2GN328</v>
      </c>
      <c r="D12" t="str">
        <f>CONCATENATE(Sheet2!B14, " ", Sheet2!A14)</f>
        <v>TONY BURKS</v>
      </c>
      <c r="E12" s="2" t="s">
        <v>47</v>
      </c>
      <c r="F12" s="2" t="s">
        <v>28</v>
      </c>
      <c r="G12" s="3">
        <v>45778</v>
      </c>
      <c r="H12" s="3">
        <v>45778</v>
      </c>
      <c r="J12" s="2">
        <v>8307933</v>
      </c>
      <c r="K12" s="2" t="s">
        <v>50</v>
      </c>
      <c r="L12" s="2">
        <v>8192</v>
      </c>
      <c r="M12" s="2" t="s">
        <v>33</v>
      </c>
      <c r="N12" s="2" t="s">
        <v>34</v>
      </c>
      <c r="O12" s="2">
        <v>292</v>
      </c>
      <c r="P12" s="2">
        <f>292-83.33</f>
        <v>208.67000000000002</v>
      </c>
      <c r="Q12" s="2" t="s">
        <v>104</v>
      </c>
      <c r="R12" s="2" t="s">
        <v>108</v>
      </c>
    </row>
    <row r="13" spans="1:18" x14ac:dyDescent="0.25">
      <c r="A13" s="3">
        <v>45720</v>
      </c>
      <c r="B13" s="2" t="s">
        <v>24</v>
      </c>
      <c r="C13" s="2" t="str">
        <f>CONCATENATE(B13,8)</f>
        <v>4YE4KF2PC638</v>
      </c>
      <c r="D13" t="str">
        <f>CONCATENATE(Sheet2!B3, " ", Sheet2!A3)</f>
        <v>JOSEPHINE ATTENTO</v>
      </c>
      <c r="E13" s="2" t="s">
        <v>26</v>
      </c>
      <c r="F13" s="2" t="s">
        <v>28</v>
      </c>
      <c r="G13" s="3">
        <v>45717</v>
      </c>
      <c r="H13" s="3">
        <v>45717</v>
      </c>
      <c r="J13" s="2">
        <v>8325282</v>
      </c>
      <c r="K13" s="2" t="s">
        <v>32</v>
      </c>
      <c r="L13" s="2">
        <v>8192</v>
      </c>
      <c r="M13" s="2" t="s">
        <v>33</v>
      </c>
      <c r="N13" s="2" t="s">
        <v>34</v>
      </c>
      <c r="O13" s="2">
        <v>365</v>
      </c>
      <c r="P13" s="2">
        <v>313</v>
      </c>
      <c r="Q13" s="2" t="s">
        <v>102</v>
      </c>
      <c r="R13" s="2" t="s">
        <v>106</v>
      </c>
    </row>
    <row r="14" spans="1:18" x14ac:dyDescent="0.25">
      <c r="A14" s="3">
        <v>45720</v>
      </c>
      <c r="B14" s="2" t="s">
        <v>87</v>
      </c>
      <c r="C14" s="2" t="str">
        <f>CONCATENATE(B14,8)</f>
        <v>3RT5WP7QC648</v>
      </c>
      <c r="D14" t="str">
        <f>CONCATENATE(Sheet2!B10, " ", Sheet2!A10)</f>
        <v>MARK SHAUGHNESSY</v>
      </c>
      <c r="E14" s="2" t="s">
        <v>89</v>
      </c>
      <c r="F14" s="2" t="s">
        <v>28</v>
      </c>
      <c r="G14" s="3">
        <v>45717</v>
      </c>
      <c r="H14" s="3">
        <v>45717</v>
      </c>
      <c r="J14" s="2">
        <v>16633294</v>
      </c>
      <c r="K14" s="2" t="s">
        <v>86</v>
      </c>
      <c r="L14" s="2">
        <v>8192</v>
      </c>
      <c r="M14" s="2" t="s">
        <v>33</v>
      </c>
      <c r="N14" s="2" t="s">
        <v>34</v>
      </c>
      <c r="O14" s="2">
        <v>365</v>
      </c>
      <c r="P14" s="2">
        <v>313</v>
      </c>
      <c r="Q14" s="2" t="s">
        <v>104</v>
      </c>
      <c r="R14" s="2" t="s">
        <v>106</v>
      </c>
    </row>
    <row r="15" spans="1:18" x14ac:dyDescent="0.25">
      <c r="A15" s="3">
        <v>45720</v>
      </c>
      <c r="B15" s="2" t="s">
        <v>83</v>
      </c>
      <c r="C15" s="2" t="str">
        <f>CONCATENATE(B15,8)</f>
        <v>8YT3F98CA928</v>
      </c>
      <c r="D15" t="str">
        <f>CONCATENATE(Sheet2!B11, " ", Sheet2!A11)</f>
        <v>ANN REIGEL</v>
      </c>
      <c r="E15" s="2" t="s">
        <v>47</v>
      </c>
      <c r="F15" s="2" t="s">
        <v>28</v>
      </c>
      <c r="G15" s="3">
        <v>45658</v>
      </c>
      <c r="H15" s="3">
        <v>45658</v>
      </c>
      <c r="I15" s="3">
        <v>45716</v>
      </c>
      <c r="J15" s="2">
        <v>16633294</v>
      </c>
      <c r="K15" s="2" t="s">
        <v>86</v>
      </c>
      <c r="L15" s="2">
        <v>8192</v>
      </c>
      <c r="M15" s="2" t="s">
        <v>33</v>
      </c>
      <c r="N15" s="2" t="s">
        <v>34</v>
      </c>
      <c r="O15" s="2">
        <v>-438</v>
      </c>
      <c r="P15" s="2">
        <v>-313</v>
      </c>
      <c r="Q15" s="2" t="s">
        <v>104</v>
      </c>
      <c r="R15" s="2" t="s">
        <v>106</v>
      </c>
    </row>
    <row r="16" spans="1:18" x14ac:dyDescent="0.25">
      <c r="A16" s="3">
        <v>45720</v>
      </c>
      <c r="B16" s="2" t="s">
        <v>24</v>
      </c>
      <c r="C16" s="2" t="str">
        <f>CONCATENATE(B16,88)</f>
        <v>4YE4KF2PC6388</v>
      </c>
      <c r="D16" t="str">
        <f>CONCATENATE(Sheet2!B15, " ", Sheet2!A15)</f>
        <v>JOSEPHINE ATTENTO</v>
      </c>
      <c r="E16" s="2" t="s">
        <v>26</v>
      </c>
      <c r="F16" s="2" t="s">
        <v>28</v>
      </c>
      <c r="G16" s="3">
        <v>45717</v>
      </c>
      <c r="H16" s="3">
        <v>45717</v>
      </c>
      <c r="J16" s="2">
        <v>20411454</v>
      </c>
      <c r="K16" s="2" t="s">
        <v>140</v>
      </c>
      <c r="L16" s="2">
        <v>8192</v>
      </c>
      <c r="M16" s="2" t="s">
        <v>33</v>
      </c>
      <c r="N16" s="2" t="s">
        <v>34</v>
      </c>
      <c r="O16" s="2">
        <v>365</v>
      </c>
      <c r="P16" s="2">
        <v>52</v>
      </c>
      <c r="Q16" s="2" t="s">
        <v>103</v>
      </c>
    </row>
    <row r="17" spans="1:17" x14ac:dyDescent="0.25">
      <c r="A17" s="3">
        <v>45720</v>
      </c>
      <c r="B17" s="2" t="s">
        <v>36</v>
      </c>
      <c r="C17" s="2" t="str">
        <f t="shared" ref="C17:C30" si="0">CONCATENATE(B17,88)</f>
        <v>1GP3X21CC7188</v>
      </c>
      <c r="D17" t="str">
        <f>CONCATENATE(Sheet2!B16, " ", Sheet2!A16)</f>
        <v>ALISON BENSON-KOPFER</v>
      </c>
      <c r="E17" s="2" t="s">
        <v>26</v>
      </c>
      <c r="F17" s="2" t="s">
        <v>28</v>
      </c>
      <c r="G17" s="3">
        <v>45717</v>
      </c>
      <c r="H17" s="3">
        <v>45717</v>
      </c>
      <c r="J17" s="2">
        <v>20411454</v>
      </c>
      <c r="K17" s="2" t="s">
        <v>140</v>
      </c>
      <c r="L17" s="2">
        <v>8192</v>
      </c>
      <c r="M17" s="2" t="s">
        <v>33</v>
      </c>
      <c r="N17" s="2" t="s">
        <v>34</v>
      </c>
      <c r="O17" s="2">
        <v>365</v>
      </c>
      <c r="P17" s="2">
        <v>52</v>
      </c>
      <c r="Q17" s="2" t="s">
        <v>103</v>
      </c>
    </row>
    <row r="18" spans="1:17" x14ac:dyDescent="0.25">
      <c r="A18" s="3">
        <v>45720</v>
      </c>
      <c r="B18" s="2" t="s">
        <v>51</v>
      </c>
      <c r="C18" s="2" t="str">
        <f t="shared" si="0"/>
        <v>9J41MH4ER1688</v>
      </c>
      <c r="D18" t="str">
        <f>CONCATENATE(Sheet2!B17, " ", Sheet2!A17)</f>
        <v>DONNA BURLEIGH</v>
      </c>
      <c r="E18" s="2" t="s">
        <v>53</v>
      </c>
      <c r="F18" s="2" t="s">
        <v>28</v>
      </c>
      <c r="G18" s="3">
        <v>45717</v>
      </c>
      <c r="H18" s="3">
        <v>45717</v>
      </c>
      <c r="J18" s="2">
        <v>20411454</v>
      </c>
      <c r="K18" s="2" t="s">
        <v>140</v>
      </c>
      <c r="L18" s="2">
        <v>8192</v>
      </c>
      <c r="M18" s="2" t="s">
        <v>33</v>
      </c>
      <c r="N18" s="2" t="s">
        <v>34</v>
      </c>
      <c r="O18" s="2">
        <v>365</v>
      </c>
      <c r="P18" s="2">
        <v>52</v>
      </c>
      <c r="Q18" s="2" t="s">
        <v>103</v>
      </c>
    </row>
    <row r="19" spans="1:17" x14ac:dyDescent="0.25">
      <c r="A19" s="3">
        <v>45720</v>
      </c>
      <c r="B19" s="2" t="s">
        <v>62</v>
      </c>
      <c r="C19" s="2" t="str">
        <f t="shared" si="0"/>
        <v>3C31FF3RU0788</v>
      </c>
      <c r="D19" t="str">
        <f>CONCATENATE(Sheet2!B18, " ", Sheet2!A18)</f>
        <v>MARYBLYE KRAMER</v>
      </c>
      <c r="E19" s="2" t="s">
        <v>26</v>
      </c>
      <c r="F19" s="2" t="s">
        <v>28</v>
      </c>
      <c r="G19" s="3">
        <v>45717</v>
      </c>
      <c r="H19" s="3">
        <v>45717</v>
      </c>
      <c r="J19" s="2">
        <v>20411454</v>
      </c>
      <c r="K19" s="2" t="s">
        <v>140</v>
      </c>
      <c r="L19" s="2">
        <v>8192</v>
      </c>
      <c r="M19" s="2" t="s">
        <v>33</v>
      </c>
      <c r="N19" s="2" t="s">
        <v>34</v>
      </c>
      <c r="O19" s="2">
        <v>365</v>
      </c>
      <c r="P19" s="2">
        <v>52</v>
      </c>
      <c r="Q19" s="2" t="s">
        <v>103</v>
      </c>
    </row>
    <row r="20" spans="1:17" x14ac:dyDescent="0.25">
      <c r="A20" s="3">
        <v>45720</v>
      </c>
      <c r="B20" s="2" t="s">
        <v>72</v>
      </c>
      <c r="C20" s="2" t="str">
        <f t="shared" si="0"/>
        <v>6ND5AX3YV7788</v>
      </c>
      <c r="D20" t="str">
        <f>CONCATENATE(Sheet2!B19, " ", Sheet2!A19)</f>
        <v>PAMELA MONTGOMERY</v>
      </c>
      <c r="E20" s="2" t="s">
        <v>74</v>
      </c>
      <c r="F20" s="2" t="s">
        <v>28</v>
      </c>
      <c r="G20" s="3">
        <v>45717</v>
      </c>
      <c r="H20" s="3">
        <v>45717</v>
      </c>
      <c r="J20" s="2">
        <v>20411454</v>
      </c>
      <c r="K20" s="2" t="s">
        <v>140</v>
      </c>
      <c r="L20" s="2">
        <v>8192</v>
      </c>
      <c r="M20" s="2" t="s">
        <v>33</v>
      </c>
      <c r="N20" s="2" t="s">
        <v>34</v>
      </c>
      <c r="O20" s="2">
        <v>365</v>
      </c>
      <c r="P20" s="2">
        <v>52</v>
      </c>
      <c r="Q20" s="2" t="s">
        <v>103</v>
      </c>
    </row>
    <row r="21" spans="1:17" x14ac:dyDescent="0.25">
      <c r="A21" s="3">
        <v>45720</v>
      </c>
      <c r="B21" s="2" t="s">
        <v>77</v>
      </c>
      <c r="C21" s="2" t="str">
        <f t="shared" si="0"/>
        <v>1V02YH3AY0888</v>
      </c>
      <c r="D21" t="str">
        <f>CONCATENATE(Sheet2!B20, " ", Sheet2!A20)</f>
        <v>TODD PAYNTER</v>
      </c>
      <c r="E21" s="2" t="s">
        <v>79</v>
      </c>
      <c r="F21" s="2" t="s">
        <v>28</v>
      </c>
      <c r="G21" s="3">
        <v>45717</v>
      </c>
      <c r="H21" s="3">
        <v>45717</v>
      </c>
      <c r="J21" s="2">
        <v>20411454</v>
      </c>
      <c r="K21" s="2" t="s">
        <v>140</v>
      </c>
      <c r="L21" s="2">
        <v>8192</v>
      </c>
      <c r="M21" s="2" t="s">
        <v>33</v>
      </c>
      <c r="N21" s="2" t="s">
        <v>34</v>
      </c>
      <c r="O21" s="2">
        <v>365</v>
      </c>
      <c r="P21" s="2">
        <v>52</v>
      </c>
      <c r="Q21" s="2" t="s">
        <v>103</v>
      </c>
    </row>
    <row r="22" spans="1:17" x14ac:dyDescent="0.25">
      <c r="A22" s="3">
        <v>45720</v>
      </c>
      <c r="B22" s="2" t="s">
        <v>97</v>
      </c>
      <c r="C22" s="2" t="str">
        <f t="shared" si="0"/>
        <v>6MA6QU1UE6288</v>
      </c>
      <c r="D22" t="str">
        <f>CONCATENATE(Sheet2!B21, " ", Sheet2!A21)</f>
        <v>ALLONTE WASHINGTON</v>
      </c>
      <c r="E22" s="2" t="s">
        <v>26</v>
      </c>
      <c r="F22" s="2" t="s">
        <v>28</v>
      </c>
      <c r="G22" s="3">
        <v>45717</v>
      </c>
      <c r="H22" s="3">
        <v>45717</v>
      </c>
      <c r="J22" s="2">
        <v>20411454</v>
      </c>
      <c r="K22" s="2" t="s">
        <v>140</v>
      </c>
      <c r="L22" s="2">
        <v>8192</v>
      </c>
      <c r="M22" s="2" t="s">
        <v>33</v>
      </c>
      <c r="N22" s="2" t="s">
        <v>34</v>
      </c>
      <c r="O22" s="2">
        <v>365</v>
      </c>
      <c r="P22" s="2">
        <v>52</v>
      </c>
      <c r="Q22" s="2" t="s">
        <v>103</v>
      </c>
    </row>
    <row r="23" spans="1:17" x14ac:dyDescent="0.25">
      <c r="A23" s="3">
        <v>45720</v>
      </c>
      <c r="B23" s="2" t="s">
        <v>87</v>
      </c>
      <c r="C23" s="2" t="str">
        <f t="shared" si="0"/>
        <v>3RT5WP7QC6488</v>
      </c>
      <c r="D23" t="str">
        <f>CONCATENATE(Sheet2!B22, " ", Sheet2!A22)</f>
        <v>MARK SHAUGHNESSY</v>
      </c>
      <c r="E23" s="2" t="s">
        <v>89</v>
      </c>
      <c r="F23" s="2" t="s">
        <v>28</v>
      </c>
      <c r="G23" s="3">
        <v>45717</v>
      </c>
      <c r="H23" s="3">
        <v>45717</v>
      </c>
      <c r="J23" s="2">
        <v>20411454</v>
      </c>
      <c r="K23" s="2" t="s">
        <v>140</v>
      </c>
      <c r="L23" s="2">
        <v>8192</v>
      </c>
      <c r="M23" s="2" t="s">
        <v>33</v>
      </c>
      <c r="N23" s="2" t="s">
        <v>34</v>
      </c>
      <c r="O23" s="2">
        <v>365</v>
      </c>
      <c r="P23" s="2">
        <v>52</v>
      </c>
      <c r="Q23" s="2" t="s">
        <v>103</v>
      </c>
    </row>
    <row r="24" spans="1:17" x14ac:dyDescent="0.25">
      <c r="A24" s="3">
        <v>45720</v>
      </c>
      <c r="B24" s="2" t="s">
        <v>83</v>
      </c>
      <c r="C24" s="2" t="str">
        <f t="shared" si="0"/>
        <v>8YT3F98CA9288</v>
      </c>
      <c r="D24" t="str">
        <f>CONCATENATE(Sheet2!B23, " ", Sheet2!A23)</f>
        <v>ANN REIGEL</v>
      </c>
      <c r="E24" s="2" t="s">
        <v>47</v>
      </c>
      <c r="F24" s="2" t="s">
        <v>28</v>
      </c>
      <c r="G24" s="3">
        <v>45658</v>
      </c>
      <c r="H24" s="3">
        <v>45658</v>
      </c>
      <c r="I24" s="3">
        <v>45716</v>
      </c>
      <c r="J24" s="2">
        <v>20411454</v>
      </c>
      <c r="K24" s="2" t="s">
        <v>140</v>
      </c>
      <c r="L24" s="2">
        <v>8192</v>
      </c>
      <c r="M24" s="2" t="s">
        <v>33</v>
      </c>
      <c r="N24" s="2" t="s">
        <v>34</v>
      </c>
      <c r="O24" s="2">
        <v>-438</v>
      </c>
      <c r="P24" s="2">
        <v>-125</v>
      </c>
      <c r="Q24" s="2" t="s">
        <v>103</v>
      </c>
    </row>
    <row r="25" spans="1:17" x14ac:dyDescent="0.25">
      <c r="A25" s="3">
        <v>45720</v>
      </c>
      <c r="B25" s="2" t="s">
        <v>57</v>
      </c>
      <c r="C25" s="2" t="str">
        <f t="shared" si="0"/>
        <v>9DA9Q80RC4988</v>
      </c>
      <c r="D25" t="str">
        <f>CONCATENATE(Sheet2!B24, " ", Sheet2!A24)</f>
        <v>BETH HICKS</v>
      </c>
      <c r="E25" s="2" t="s">
        <v>59</v>
      </c>
      <c r="F25" s="2" t="s">
        <v>28</v>
      </c>
      <c r="G25" s="3">
        <v>45717</v>
      </c>
      <c r="H25" s="3">
        <v>45717</v>
      </c>
      <c r="J25" s="2">
        <v>20411454</v>
      </c>
      <c r="K25" s="2" t="s">
        <v>140</v>
      </c>
      <c r="L25" s="2">
        <v>8192</v>
      </c>
      <c r="M25" s="2" t="s">
        <v>33</v>
      </c>
      <c r="N25" s="2" t="s">
        <v>34</v>
      </c>
      <c r="O25" s="2">
        <v>365</v>
      </c>
      <c r="P25" s="2">
        <v>52</v>
      </c>
      <c r="Q25" s="2" t="s">
        <v>103</v>
      </c>
    </row>
    <row r="26" spans="1:17" x14ac:dyDescent="0.25">
      <c r="A26" s="3">
        <v>45720</v>
      </c>
      <c r="B26" s="2" t="s">
        <v>95</v>
      </c>
      <c r="C26" s="2" t="str">
        <f t="shared" si="0"/>
        <v>7TU9VT2XF2088</v>
      </c>
      <c r="D26" t="str">
        <f>CONCATENATE(Sheet2!B25, " ", Sheet2!A25)</f>
        <v>PATRICIA WALLACE</v>
      </c>
      <c r="E26" s="2" t="s">
        <v>47</v>
      </c>
      <c r="F26" s="2" t="s">
        <v>28</v>
      </c>
      <c r="G26" s="3">
        <v>45717</v>
      </c>
      <c r="H26" s="3">
        <v>45717</v>
      </c>
      <c r="J26" s="2">
        <v>20411454</v>
      </c>
      <c r="K26" s="2" t="s">
        <v>140</v>
      </c>
      <c r="L26" s="2">
        <v>8192</v>
      </c>
      <c r="M26" s="2" t="s">
        <v>33</v>
      </c>
      <c r="N26" s="2" t="s">
        <v>34</v>
      </c>
      <c r="O26" s="2">
        <v>365</v>
      </c>
      <c r="P26" s="2">
        <v>52</v>
      </c>
      <c r="Q26" s="2" t="s">
        <v>103</v>
      </c>
    </row>
    <row r="27" spans="1:17" x14ac:dyDescent="0.25">
      <c r="A27" s="3">
        <v>45720</v>
      </c>
      <c r="B27" s="2" t="s">
        <v>39</v>
      </c>
      <c r="C27" s="2" t="str">
        <f t="shared" si="0"/>
        <v>6N20HH2JF2588</v>
      </c>
      <c r="D27" t="str">
        <f>CONCATENATE(Sheet2!B26, " ", Sheet2!A26)</f>
        <v>ALLAN BULLOCK</v>
      </c>
      <c r="E27" s="2" t="s">
        <v>41</v>
      </c>
      <c r="F27" s="2" t="s">
        <v>28</v>
      </c>
      <c r="G27" s="3">
        <v>45717</v>
      </c>
      <c r="H27" s="3">
        <v>45717</v>
      </c>
      <c r="J27" s="2">
        <v>20411454</v>
      </c>
      <c r="K27" s="2" t="s">
        <v>140</v>
      </c>
      <c r="L27" s="2">
        <v>8192</v>
      </c>
      <c r="M27" s="2" t="s">
        <v>33</v>
      </c>
      <c r="N27" s="2" t="s">
        <v>34</v>
      </c>
      <c r="O27" s="2">
        <v>398.33</v>
      </c>
      <c r="P27" s="2">
        <v>45.33</v>
      </c>
      <c r="Q27" s="2" t="s">
        <v>103</v>
      </c>
    </row>
    <row r="28" spans="1:17" x14ac:dyDescent="0.25">
      <c r="A28" s="3">
        <v>45720</v>
      </c>
      <c r="B28" s="2" t="s">
        <v>67</v>
      </c>
      <c r="C28" s="2" t="str">
        <f t="shared" si="0"/>
        <v>1ME4X52JE8488</v>
      </c>
      <c r="D28" t="str">
        <f>CONCATENATE(Sheet2!B27, " ", Sheet2!A27)</f>
        <v>DONALD MEHLMAN</v>
      </c>
      <c r="E28" s="2" t="s">
        <v>41</v>
      </c>
      <c r="F28" s="2" t="s">
        <v>28</v>
      </c>
      <c r="G28" s="3">
        <v>45717</v>
      </c>
      <c r="H28" s="3">
        <v>45717</v>
      </c>
      <c r="J28" s="2">
        <v>20411454</v>
      </c>
      <c r="K28" s="2" t="s">
        <v>140</v>
      </c>
      <c r="L28" s="2">
        <v>8192</v>
      </c>
      <c r="M28" s="2" t="s">
        <v>33</v>
      </c>
      <c r="N28" s="2" t="s">
        <v>34</v>
      </c>
      <c r="O28" s="2">
        <v>104.16</v>
      </c>
      <c r="P28" s="2">
        <v>104.16</v>
      </c>
      <c r="Q28" s="2" t="s">
        <v>103</v>
      </c>
    </row>
    <row r="29" spans="1:17" x14ac:dyDescent="0.25">
      <c r="A29" s="3">
        <v>45720</v>
      </c>
      <c r="B29" s="2" t="s">
        <v>92</v>
      </c>
      <c r="C29" s="2" t="str">
        <f t="shared" si="0"/>
        <v>9PR1VJ5WU9788</v>
      </c>
      <c r="D29" t="str">
        <f>CONCATENATE(Sheet2!B28, " ", Sheet2!A28)</f>
        <v>ROBERT SLANEY</v>
      </c>
      <c r="E29" s="2" t="s">
        <v>41</v>
      </c>
      <c r="F29" s="2" t="s">
        <v>28</v>
      </c>
      <c r="G29" s="3">
        <v>45778</v>
      </c>
      <c r="H29" s="3">
        <v>45778</v>
      </c>
      <c r="J29" s="2">
        <v>20411454</v>
      </c>
      <c r="K29" s="2" t="s">
        <v>140</v>
      </c>
      <c r="L29" s="2">
        <v>8192</v>
      </c>
      <c r="M29" s="2" t="s">
        <v>33</v>
      </c>
      <c r="N29" s="2" t="s">
        <v>34</v>
      </c>
      <c r="O29" s="2">
        <v>318.67</v>
      </c>
      <c r="P29" s="2">
        <v>83.33</v>
      </c>
      <c r="Q29" s="2" t="s">
        <v>103</v>
      </c>
    </row>
    <row r="30" spans="1:17" x14ac:dyDescent="0.25">
      <c r="A30" s="3">
        <v>45720</v>
      </c>
      <c r="B30" s="2" t="s">
        <v>45</v>
      </c>
      <c r="C30" s="2" t="str">
        <f t="shared" si="0"/>
        <v>7M39YA2GN3288</v>
      </c>
      <c r="D30" t="str">
        <f>CONCATENATE(Sheet2!B29, " ", Sheet2!A29)</f>
        <v>TONY BURKS</v>
      </c>
      <c r="E30" s="2" t="s">
        <v>47</v>
      </c>
      <c r="F30" s="2" t="s">
        <v>28</v>
      </c>
      <c r="G30" s="3">
        <v>45778</v>
      </c>
      <c r="H30" s="3">
        <v>45778</v>
      </c>
      <c r="J30" s="2">
        <v>20411454</v>
      </c>
      <c r="K30" s="2" t="s">
        <v>140</v>
      </c>
      <c r="L30" s="2">
        <v>8192</v>
      </c>
      <c r="M30" s="2" t="s">
        <v>33</v>
      </c>
      <c r="N30" s="2" t="s">
        <v>34</v>
      </c>
      <c r="O30" s="2">
        <v>292</v>
      </c>
      <c r="P30" s="2">
        <v>83.33</v>
      </c>
      <c r="Q30" s="2" t="s">
        <v>103</v>
      </c>
    </row>
  </sheetData>
  <sortState xmlns:xlrd2="http://schemas.microsoft.com/office/spreadsheetml/2017/richdata2" ref="A2:R15">
    <sortCondition ref="K2:K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948B7-6BC5-47CA-89B7-7D7FDB0D154F}">
  <dimension ref="A1:B29"/>
  <sheetViews>
    <sheetView workbookViewId="0">
      <selection activeCell="C1" sqref="C1:C29"/>
    </sheetView>
  </sheetViews>
  <sheetFormatPr defaultRowHeight="15" x14ac:dyDescent="0.25"/>
  <cols>
    <col min="1" max="1" width="16.140625" bestFit="1" customWidth="1"/>
    <col min="3" max="3" width="15.140625" bestFit="1" customWidth="1"/>
  </cols>
  <sheetData>
    <row r="1" spans="1:2" x14ac:dyDescent="0.25">
      <c r="A1" s="2" t="s">
        <v>110</v>
      </c>
      <c r="B1" t="s">
        <v>111</v>
      </c>
    </row>
    <row r="2" spans="1:2" x14ac:dyDescent="0.25">
      <c r="A2" s="2" t="s">
        <v>112</v>
      </c>
      <c r="B2" t="s">
        <v>113</v>
      </c>
    </row>
    <row r="3" spans="1:2" x14ac:dyDescent="0.25">
      <c r="A3" s="2" t="s">
        <v>114</v>
      </c>
      <c r="B3" t="s">
        <v>115</v>
      </c>
    </row>
    <row r="4" spans="1:2" x14ac:dyDescent="0.25">
      <c r="A4" s="2" t="s">
        <v>116</v>
      </c>
      <c r="B4" t="s">
        <v>117</v>
      </c>
    </row>
    <row r="5" spans="1:2" x14ac:dyDescent="0.25">
      <c r="A5" s="2" t="s">
        <v>118</v>
      </c>
      <c r="B5" t="s">
        <v>119</v>
      </c>
    </row>
    <row r="6" spans="1:2" x14ac:dyDescent="0.25">
      <c r="A6" s="2" t="s">
        <v>120</v>
      </c>
      <c r="B6" t="s">
        <v>121</v>
      </c>
    </row>
    <row r="7" spans="1:2" x14ac:dyDescent="0.25">
      <c r="A7" s="2" t="s">
        <v>122</v>
      </c>
      <c r="B7" t="s">
        <v>123</v>
      </c>
    </row>
    <row r="8" spans="1:2" x14ac:dyDescent="0.25">
      <c r="A8" s="2" t="s">
        <v>124</v>
      </c>
      <c r="B8" t="s">
        <v>125</v>
      </c>
    </row>
    <row r="9" spans="1:2" x14ac:dyDescent="0.25">
      <c r="A9" s="2" t="s">
        <v>126</v>
      </c>
      <c r="B9" t="s">
        <v>127</v>
      </c>
    </row>
    <row r="10" spans="1:2" x14ac:dyDescent="0.25">
      <c r="A10" s="2" t="s">
        <v>128</v>
      </c>
      <c r="B10" t="s">
        <v>129</v>
      </c>
    </row>
    <row r="11" spans="1:2" x14ac:dyDescent="0.25">
      <c r="A11" s="2" t="s">
        <v>130</v>
      </c>
      <c r="B11" t="s">
        <v>131</v>
      </c>
    </row>
    <row r="12" spans="1:2" x14ac:dyDescent="0.25">
      <c r="A12" s="2" t="s">
        <v>132</v>
      </c>
      <c r="B12" t="s">
        <v>133</v>
      </c>
    </row>
    <row r="13" spans="1:2" x14ac:dyDescent="0.25">
      <c r="A13" s="2" t="s">
        <v>134</v>
      </c>
      <c r="B13" t="s">
        <v>135</v>
      </c>
    </row>
    <row r="14" spans="1:2" x14ac:dyDescent="0.25">
      <c r="A14" s="2" t="s">
        <v>136</v>
      </c>
      <c r="B14" t="s">
        <v>137</v>
      </c>
    </row>
    <row r="15" spans="1:2" x14ac:dyDescent="0.25">
      <c r="A15" s="2" t="s">
        <v>114</v>
      </c>
      <c r="B15" t="s">
        <v>115</v>
      </c>
    </row>
    <row r="16" spans="1:2" x14ac:dyDescent="0.25">
      <c r="A16" s="2" t="s">
        <v>118</v>
      </c>
      <c r="B16" t="s">
        <v>119</v>
      </c>
    </row>
    <row r="17" spans="1:2" x14ac:dyDescent="0.25">
      <c r="A17" s="2" t="s">
        <v>120</v>
      </c>
      <c r="B17" t="s">
        <v>121</v>
      </c>
    </row>
    <row r="18" spans="1:2" x14ac:dyDescent="0.25">
      <c r="A18" s="2" t="s">
        <v>122</v>
      </c>
      <c r="B18" t="s">
        <v>123</v>
      </c>
    </row>
    <row r="19" spans="1:2" x14ac:dyDescent="0.25">
      <c r="A19" s="2" t="s">
        <v>124</v>
      </c>
      <c r="B19" t="s">
        <v>125</v>
      </c>
    </row>
    <row r="20" spans="1:2" x14ac:dyDescent="0.25">
      <c r="A20" s="2" t="s">
        <v>116</v>
      </c>
      <c r="B20" t="s">
        <v>117</v>
      </c>
    </row>
    <row r="21" spans="1:2" x14ac:dyDescent="0.25">
      <c r="A21" s="2" t="s">
        <v>126</v>
      </c>
      <c r="B21" t="s">
        <v>127</v>
      </c>
    </row>
    <row r="22" spans="1:2" x14ac:dyDescent="0.25">
      <c r="A22" s="2" t="s">
        <v>128</v>
      </c>
      <c r="B22" t="s">
        <v>129</v>
      </c>
    </row>
    <row r="23" spans="1:2" x14ac:dyDescent="0.25">
      <c r="A23" s="2" t="s">
        <v>130</v>
      </c>
      <c r="B23" t="s">
        <v>131</v>
      </c>
    </row>
    <row r="24" spans="1:2" x14ac:dyDescent="0.25">
      <c r="A24" s="2" t="s">
        <v>132</v>
      </c>
      <c r="B24" t="s">
        <v>133</v>
      </c>
    </row>
    <row r="25" spans="1:2" x14ac:dyDescent="0.25">
      <c r="A25" s="2" t="s">
        <v>134</v>
      </c>
      <c r="B25" t="s">
        <v>135</v>
      </c>
    </row>
    <row r="26" spans="1:2" x14ac:dyDescent="0.25">
      <c r="A26" s="2" t="s">
        <v>110</v>
      </c>
      <c r="B26" t="s">
        <v>111</v>
      </c>
    </row>
    <row r="27" spans="1:2" x14ac:dyDescent="0.25">
      <c r="A27" s="2" t="s">
        <v>138</v>
      </c>
      <c r="B27" t="s">
        <v>139</v>
      </c>
    </row>
    <row r="28" spans="1:2" x14ac:dyDescent="0.25">
      <c r="A28" s="2" t="s">
        <v>112</v>
      </c>
      <c r="B28" t="s">
        <v>113</v>
      </c>
    </row>
    <row r="29" spans="1:2" x14ac:dyDescent="0.25">
      <c r="A29" s="2" t="s">
        <v>136</v>
      </c>
      <c r="B29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Line Benefits LLC_med_comm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2025-03-05T15:32:37Z</dcterms:created>
  <dcterms:modified xsi:type="dcterms:W3CDTF">2025-03-06T16:53:17Z</dcterms:modified>
</cp:coreProperties>
</file>