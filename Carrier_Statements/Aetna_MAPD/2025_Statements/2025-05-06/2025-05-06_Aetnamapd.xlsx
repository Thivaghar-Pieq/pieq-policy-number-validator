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5-06-25\"/>
    </mc:Choice>
  </mc:AlternateContent>
  <xr:revisionPtr revIDLastSave="0" documentId="13_ncr:1_{D3BEFF71-A4F4-4928-A3BA-94FAE6C36A1A}" xr6:coauthVersionLast="47" xr6:coauthVersionMax="47" xr10:uidLastSave="{00000000-0000-0000-0000-000000000000}"/>
  <bookViews>
    <workbookView xWindow="28680" yWindow="-120" windowWidth="29040" windowHeight="16440" activeTab="1" xr2:uid="{40FDA1C8-EAF4-4417-9CA8-2C92FEDCC4A5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C7" i="2" l="1"/>
  <c r="C6" i="2"/>
  <c r="C5" i="2"/>
</calcChain>
</file>

<file path=xl/sharedStrings.xml><?xml version="1.0" encoding="utf-8"?>
<sst xmlns="http://schemas.openxmlformats.org/spreadsheetml/2006/main" count="188" uniqueCount="71">
  <si>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</si>
  <si>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</si>
  <si>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</si>
  <si>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</si>
  <si>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</si>
  <si>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</si>
  <si>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</si>
  <si>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</si>
  <si>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</si>
  <si>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</si>
  <si>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</si>
  <si>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</si>
  <si>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</si>
  <si>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</si>
  <si>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</si>
  <si>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</si>
  <si>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</si>
  <si>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</si>
  <si>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</si>
  <si>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</si>
  <si>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</si>
  <si>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</si>
  <si>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</si>
  <si>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</si>
  <si>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3UR8D65XC23</t>
  </si>
  <si>
    <t>DOLPH C,ALLEN</t>
  </si>
  <si>
    <t>IL</t>
  </si>
  <si>
    <t>New Business</t>
  </si>
  <si>
    <t>MAPD</t>
  </si>
  <si>
    <t>IMM619</t>
  </si>
  <si>
    <t>H7301-007</t>
  </si>
  <si>
    <t>LOA</t>
  </si>
  <si>
    <t>Hunsberger, Anthony</t>
  </si>
  <si>
    <t>GMO</t>
  </si>
  <si>
    <t>Main Line Benefits LLC</t>
  </si>
  <si>
    <t xml:space="preserve">N  </t>
  </si>
  <si>
    <t>9F01TA1EE02</t>
  </si>
  <si>
    <t>LAMBING L,DANNY</t>
  </si>
  <si>
    <t>PA</t>
  </si>
  <si>
    <t>IMM608</t>
  </si>
  <si>
    <t>H3959-002</t>
  </si>
  <si>
    <t>Smith, Margaret</t>
  </si>
  <si>
    <t>7CD8GD4WC22</t>
  </si>
  <si>
    <t>MARSOLAIS A,RICHARD</t>
  </si>
  <si>
    <t>IA</t>
  </si>
  <si>
    <t>Pro-Rata Payment</t>
  </si>
  <si>
    <t>IMM610</t>
  </si>
  <si>
    <t>H1608-001</t>
  </si>
  <si>
    <t>Teipel, Gregory</t>
  </si>
  <si>
    <t xml:space="preserve">Y  </t>
  </si>
  <si>
    <t>Pro-Rata Disenroll</t>
  </si>
  <si>
    <t>4F10WW1XY48</t>
  </si>
  <si>
    <t>SECHRIST D,BART</t>
  </si>
  <si>
    <t>H3959-001</t>
  </si>
  <si>
    <t>McCorkle, Michelle</t>
  </si>
  <si>
    <t>Total Payee Amount: $639.66</t>
  </si>
  <si>
    <t>7CD8GD4WC2288</t>
  </si>
  <si>
    <t>Aetna MAPD 2025*</t>
  </si>
  <si>
    <t>Aetna MAPD OVR 2025</t>
  </si>
  <si>
    <t>[%/$=313][prorate=12/12]</t>
  </si>
  <si>
    <t>7CD8GD4WC227</t>
  </si>
  <si>
    <t>[%/$=626]</t>
  </si>
  <si>
    <t>Aetna 2025 CT, PA, DC</t>
  </si>
  <si>
    <t>4F10WW1XY4888</t>
  </si>
  <si>
    <t>4F10WW1XY487</t>
  </si>
  <si>
    <t>Aetna MAPD 2025</t>
  </si>
  <si>
    <t>[%/$=626][prorate=4/12]</t>
  </si>
  <si>
    <t>SECHRIST,BART</t>
  </si>
  <si>
    <t>MARSOLAIS,RICHARD</t>
  </si>
  <si>
    <t>DOLPH,ALLEN</t>
  </si>
  <si>
    <t>LAMBING,DANNY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</si>
</sst>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9085D-065C-461E-8BF7-B674E096956F}">
  <dimension ref="A1:X9"/>
  <sheetViews>
    <sheetView workbookViewId="0">
      <selection activeCell="G8" sqref="G8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45783</v>
      </c>
      <c r="B2" t="s">
        <v>24</v>
      </c>
      <c r="C2">
        <v>102167666500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L2" s="1">
        <v>45778</v>
      </c>
      <c r="M2" s="1">
        <v>45778</v>
      </c>
      <c r="O2">
        <v>7146581</v>
      </c>
      <c r="P2" t="s">
        <v>31</v>
      </c>
      <c r="Q2" t="s">
        <v>32</v>
      </c>
      <c r="R2">
        <v>8192</v>
      </c>
      <c r="S2" t="s">
        <v>33</v>
      </c>
      <c r="T2" t="s">
        <v>34</v>
      </c>
      <c r="U2">
        <v>292</v>
      </c>
      <c r="V2" t="s">
        <v>35</v>
      </c>
      <c r="W2" s="1">
        <v>45741</v>
      </c>
      <c r="X2">
        <v>2025</v>
      </c>
    </row>
    <row r="3" spans="1:24" x14ac:dyDescent="0.25">
      <c r="A3" s="1">
        <v>45783</v>
      </c>
      <c r="B3" t="s">
        <v>36</v>
      </c>
      <c r="C3">
        <v>102167672000</v>
      </c>
      <c r="E3" t="s">
        <v>37</v>
      </c>
      <c r="F3" t="s">
        <v>38</v>
      </c>
      <c r="G3" t="s">
        <v>27</v>
      </c>
      <c r="H3" t="s">
        <v>28</v>
      </c>
      <c r="I3" t="s">
        <v>39</v>
      </c>
      <c r="J3" t="s">
        <v>40</v>
      </c>
      <c r="L3" s="1">
        <v>45809</v>
      </c>
      <c r="M3" s="1">
        <v>45809</v>
      </c>
      <c r="O3">
        <v>20253958</v>
      </c>
      <c r="P3" t="s">
        <v>31</v>
      </c>
      <c r="Q3" t="s">
        <v>41</v>
      </c>
      <c r="R3">
        <v>8192</v>
      </c>
      <c r="S3" t="s">
        <v>33</v>
      </c>
      <c r="T3" t="s">
        <v>34</v>
      </c>
      <c r="U3">
        <v>23.33</v>
      </c>
      <c r="V3" t="s">
        <v>35</v>
      </c>
      <c r="W3" s="1">
        <v>45764</v>
      </c>
      <c r="X3">
        <v>2025</v>
      </c>
    </row>
    <row r="4" spans="1:24" x14ac:dyDescent="0.25">
      <c r="A4" s="1">
        <v>45783</v>
      </c>
      <c r="B4" t="s">
        <v>42</v>
      </c>
      <c r="C4">
        <v>102079701600</v>
      </c>
      <c r="E4" t="s">
        <v>43</v>
      </c>
      <c r="F4" t="s">
        <v>44</v>
      </c>
      <c r="G4" t="s">
        <v>45</v>
      </c>
      <c r="H4" t="s">
        <v>28</v>
      </c>
      <c r="I4" t="s">
        <v>46</v>
      </c>
      <c r="J4" t="s">
        <v>47</v>
      </c>
      <c r="L4" s="1">
        <v>45658</v>
      </c>
      <c r="M4" s="1">
        <v>45658</v>
      </c>
      <c r="N4" s="1">
        <v>45777</v>
      </c>
      <c r="O4">
        <v>8307933</v>
      </c>
      <c r="P4" t="s">
        <v>31</v>
      </c>
      <c r="Q4" t="s">
        <v>48</v>
      </c>
      <c r="R4">
        <v>8192</v>
      </c>
      <c r="S4" t="s">
        <v>33</v>
      </c>
      <c r="T4" t="s">
        <v>34</v>
      </c>
      <c r="U4">
        <v>250.33</v>
      </c>
      <c r="V4" t="s">
        <v>49</v>
      </c>
      <c r="W4" s="1">
        <v>45593</v>
      </c>
      <c r="X4">
        <v>2025</v>
      </c>
    </row>
    <row r="5" spans="1:24" x14ac:dyDescent="0.25">
      <c r="A5" s="1">
        <v>45783</v>
      </c>
      <c r="B5" t="s">
        <v>42</v>
      </c>
      <c r="C5">
        <v>102079701600</v>
      </c>
      <c r="E5" t="s">
        <v>43</v>
      </c>
      <c r="F5" t="s">
        <v>44</v>
      </c>
      <c r="G5" t="s">
        <v>50</v>
      </c>
      <c r="H5" t="s">
        <v>28</v>
      </c>
      <c r="I5" t="s">
        <v>46</v>
      </c>
      <c r="J5" t="s">
        <v>47</v>
      </c>
      <c r="L5" s="1">
        <v>45658</v>
      </c>
      <c r="M5" s="1">
        <v>45658</v>
      </c>
      <c r="N5" s="1">
        <v>45777</v>
      </c>
      <c r="O5">
        <v>8307933</v>
      </c>
      <c r="P5" t="s">
        <v>31</v>
      </c>
      <c r="Q5" t="s">
        <v>48</v>
      </c>
      <c r="R5">
        <v>8192</v>
      </c>
      <c r="S5" t="s">
        <v>33</v>
      </c>
      <c r="T5" t="s">
        <v>34</v>
      </c>
      <c r="U5">
        <v>-751</v>
      </c>
      <c r="V5" t="s">
        <v>49</v>
      </c>
      <c r="W5" s="1">
        <v>45593</v>
      </c>
      <c r="X5">
        <v>2025</v>
      </c>
    </row>
    <row r="6" spans="1:24" x14ac:dyDescent="0.25">
      <c r="A6" s="1">
        <v>45783</v>
      </c>
      <c r="B6" t="s">
        <v>51</v>
      </c>
      <c r="C6">
        <v>102158685300</v>
      </c>
      <c r="E6" t="s">
        <v>52</v>
      </c>
      <c r="F6" t="s">
        <v>38</v>
      </c>
      <c r="G6" t="s">
        <v>27</v>
      </c>
      <c r="H6" t="s">
        <v>28</v>
      </c>
      <c r="I6" t="s">
        <v>39</v>
      </c>
      <c r="J6" t="s">
        <v>53</v>
      </c>
      <c r="L6" s="1">
        <v>45717</v>
      </c>
      <c r="M6" s="1">
        <v>45717</v>
      </c>
      <c r="O6">
        <v>18710070</v>
      </c>
      <c r="P6" t="s">
        <v>31</v>
      </c>
      <c r="Q6" t="s">
        <v>54</v>
      </c>
      <c r="R6">
        <v>8192</v>
      </c>
      <c r="S6" t="s">
        <v>33</v>
      </c>
      <c r="T6" t="s">
        <v>34</v>
      </c>
      <c r="U6">
        <v>825</v>
      </c>
      <c r="V6" t="s">
        <v>49</v>
      </c>
      <c r="W6" s="1">
        <v>45714</v>
      </c>
      <c r="X6">
        <v>2025</v>
      </c>
    </row>
    <row r="9" spans="1:24" x14ac:dyDescent="0.25">
      <c r="A9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286D2-D3CB-42C4-949B-13E225DC2867}">
  <dimension ref="A1:Q10"/>
  <sheetViews>
    <sheetView tabSelected="1" workbookViewId="0">
      <selection activeCell="C2" sqref="C2:C10"/>
    </sheetView>
  </sheetViews>
  <sheetFormatPr defaultRowHeight="15" x14ac:dyDescent="0.25"/>
  <cols>
    <col min="1" max="1" width="13.5703125" bestFit="1" customWidth="1"/>
    <col min="2" max="2" width="17.28515625" bestFit="1" customWidth="1"/>
    <col min="3" max="3" width="17.28515625" customWidth="1"/>
    <col min="4" max="4" width="21.85546875" bestFit="1" customWidth="1"/>
    <col min="5" max="5" width="8.7109375" customWidth="1"/>
    <col min="6" max="6" width="12.28515625" customWidth="1"/>
    <col min="7" max="7" width="7.85546875" bestFit="1" customWidth="1"/>
    <col min="8" max="8" width="15.7109375" bestFit="1" customWidth="1"/>
    <col min="9" max="9" width="13.5703125" bestFit="1" customWidth="1"/>
    <col min="10" max="10" width="13.5703125" customWidth="1"/>
    <col min="11" max="11" width="7.5703125" customWidth="1"/>
    <col min="12" max="12" width="20.140625" bestFit="1" customWidth="1"/>
    <col min="13" max="13" width="21" bestFit="1" customWidth="1"/>
    <col min="14" max="14" width="14.140625" bestFit="1" customWidth="1"/>
    <col min="15" max="15" width="7" bestFit="1" customWidth="1"/>
    <col min="16" max="16" width="17.85546875" bestFit="1" customWidth="1"/>
  </cols>
  <sheetData>
    <row r="1" spans="1:17" x14ac:dyDescent="0.25">
      <c r="A1" t="s">
        <v>0</v>
      </c>
      <c r="B1" t="s">
        <v>1</v>
      </c>
      <c r="D1" t="s">
        <v>4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14</v>
      </c>
      <c r="K1" t="s">
        <v>15</v>
      </c>
      <c r="L1" t="s">
        <v>16</v>
      </c>
      <c r="M1" t="s">
        <v>19</v>
      </c>
      <c r="N1" t="s">
        <v>20</v>
      </c>
    </row>
    <row r="2" spans="1:17" x14ac:dyDescent="0.25">
      <c r="A2" s="1">
        <v>45783</v>
      </c>
      <c r="B2" t="s">
        <v>51</v>
      </c>
      <c r="C2" t="s">
        <v>64</v>
      </c>
      <c r="D2" t="s">
        <v>67</v>
      </c>
      <c r="E2" t="s">
        <v>38</v>
      </c>
      <c r="F2" t="s">
        <v>27</v>
      </c>
      <c r="G2" t="s">
        <v>28</v>
      </c>
      <c r="H2" s="1">
        <v>45717</v>
      </c>
      <c r="I2" s="1">
        <v>45717</v>
      </c>
      <c r="J2">
        <v>18710070</v>
      </c>
      <c r="K2" t="s">
        <v>31</v>
      </c>
      <c r="L2" t="s">
        <v>54</v>
      </c>
      <c r="M2" t="s">
        <v>34</v>
      </c>
      <c r="N2">
        <v>825</v>
      </c>
      <c r="O2">
        <v>705</v>
      </c>
      <c r="P2" t="s">
        <v>62</v>
      </c>
    </row>
    <row r="3" spans="1:17" x14ac:dyDescent="0.25">
      <c r="A3" s="2">
        <v>45783</v>
      </c>
      <c r="B3" s="3" t="s">
        <v>42</v>
      </c>
      <c r="C3" s="3" t="s">
        <v>60</v>
      </c>
      <c r="D3" s="3" t="s">
        <v>68</v>
      </c>
      <c r="E3" s="3" t="s">
        <v>44</v>
      </c>
      <c r="F3" s="3" t="s">
        <v>45</v>
      </c>
      <c r="G3" s="3" t="s">
        <v>28</v>
      </c>
      <c r="H3" s="2">
        <v>45658</v>
      </c>
      <c r="I3" s="2">
        <v>45658</v>
      </c>
      <c r="J3" s="3">
        <v>8307933</v>
      </c>
      <c r="K3" s="3" t="s">
        <v>31</v>
      </c>
      <c r="L3" s="3" t="s">
        <v>48</v>
      </c>
      <c r="M3" s="3" t="s">
        <v>34</v>
      </c>
      <c r="N3" s="3">
        <v>250.33</v>
      </c>
      <c r="O3" s="3">
        <v>208.67</v>
      </c>
      <c r="P3" s="3" t="s">
        <v>65</v>
      </c>
      <c r="Q3" s="3" t="s">
        <v>66</v>
      </c>
    </row>
    <row r="4" spans="1:17" x14ac:dyDescent="0.25">
      <c r="A4" s="1">
        <v>45783</v>
      </c>
      <c r="B4" t="s">
        <v>42</v>
      </c>
      <c r="C4" t="s">
        <v>60</v>
      </c>
      <c r="D4" s="3" t="s">
        <v>68</v>
      </c>
      <c r="E4" t="s">
        <v>44</v>
      </c>
      <c r="F4" t="s">
        <v>50</v>
      </c>
      <c r="G4" t="s">
        <v>28</v>
      </c>
      <c r="H4" s="1">
        <v>45658</v>
      </c>
      <c r="I4" s="1">
        <v>45658</v>
      </c>
      <c r="J4">
        <v>8307933</v>
      </c>
      <c r="K4" t="s">
        <v>31</v>
      </c>
      <c r="L4" t="s">
        <v>48</v>
      </c>
      <c r="M4" t="s">
        <v>34</v>
      </c>
      <c r="N4">
        <v>-751</v>
      </c>
      <c r="O4">
        <v>-626</v>
      </c>
      <c r="P4" t="s">
        <v>65</v>
      </c>
      <c r="Q4" t="s">
        <v>61</v>
      </c>
    </row>
    <row r="5" spans="1:17" s="3" customFormat="1" x14ac:dyDescent="0.25">
      <c r="A5" s="1">
        <v>45783</v>
      </c>
      <c r="B5" t="s">
        <v>24</v>
      </c>
      <c r="C5" t="str">
        <f>CONCATENATE(B5,8)</f>
        <v>3UR8D65XC238</v>
      </c>
      <c r="D5" t="s">
        <v>69</v>
      </c>
      <c r="E5" t="s">
        <v>26</v>
      </c>
      <c r="F5" t="s">
        <v>27</v>
      </c>
      <c r="G5" t="s">
        <v>28</v>
      </c>
      <c r="H5" s="1">
        <v>45778</v>
      </c>
      <c r="I5" s="1">
        <v>45778</v>
      </c>
      <c r="J5">
        <v>7146581</v>
      </c>
      <c r="K5" t="s">
        <v>31</v>
      </c>
      <c r="L5" t="s">
        <v>32</v>
      </c>
      <c r="M5" t="s">
        <v>34</v>
      </c>
      <c r="N5">
        <v>292</v>
      </c>
      <c r="O5">
        <v>208.67</v>
      </c>
      <c r="P5" t="s">
        <v>57</v>
      </c>
      <c r="Q5" t="s">
        <v>59</v>
      </c>
    </row>
    <row r="6" spans="1:17" s="3" customFormat="1" x14ac:dyDescent="0.25">
      <c r="A6" s="1">
        <v>45783</v>
      </c>
      <c r="B6" t="s">
        <v>24</v>
      </c>
      <c r="C6" t="str">
        <f>CONCATENATE(B6,88)</f>
        <v>3UR8D65XC2388</v>
      </c>
      <c r="D6" t="s">
        <v>69</v>
      </c>
      <c r="E6" t="s">
        <v>26</v>
      </c>
      <c r="F6" t="s">
        <v>27</v>
      </c>
      <c r="G6" t="s">
        <v>28</v>
      </c>
      <c r="H6" s="1">
        <v>45778</v>
      </c>
      <c r="I6" s="1">
        <v>45778</v>
      </c>
      <c r="J6">
        <v>20411454</v>
      </c>
      <c r="K6" t="s">
        <v>31</v>
      </c>
      <c r="L6" t="s">
        <v>34</v>
      </c>
      <c r="M6" t="s">
        <v>34</v>
      </c>
      <c r="N6">
        <v>292</v>
      </c>
      <c r="O6">
        <v>83.33</v>
      </c>
      <c r="P6" t="s">
        <v>58</v>
      </c>
      <c r="Q6"/>
    </row>
    <row r="7" spans="1:17" x14ac:dyDescent="0.25">
      <c r="A7" s="1">
        <v>45783</v>
      </c>
      <c r="B7" t="s">
        <v>36</v>
      </c>
      <c r="C7" t="str">
        <f>CONCATENATE(B7,88)</f>
        <v>9F01TA1EE0288</v>
      </c>
      <c r="D7" t="s">
        <v>70</v>
      </c>
      <c r="E7" t="s">
        <v>38</v>
      </c>
      <c r="F7" t="s">
        <v>27</v>
      </c>
      <c r="G7" t="s">
        <v>28</v>
      </c>
      <c r="H7" s="1">
        <v>45809</v>
      </c>
      <c r="I7" s="1">
        <v>45809</v>
      </c>
      <c r="J7">
        <v>20411454</v>
      </c>
      <c r="K7" t="s">
        <v>31</v>
      </c>
      <c r="L7" t="s">
        <v>34</v>
      </c>
      <c r="M7" t="s">
        <v>34</v>
      </c>
      <c r="N7">
        <v>23.33</v>
      </c>
      <c r="O7">
        <v>23.33</v>
      </c>
      <c r="P7" t="s">
        <v>58</v>
      </c>
    </row>
    <row r="8" spans="1:17" x14ac:dyDescent="0.25">
      <c r="A8" s="2">
        <v>45783</v>
      </c>
      <c r="B8" s="3" t="s">
        <v>42</v>
      </c>
      <c r="C8" s="3" t="s">
        <v>56</v>
      </c>
      <c r="D8" s="3" t="s">
        <v>68</v>
      </c>
      <c r="E8" s="3" t="s">
        <v>44</v>
      </c>
      <c r="F8" s="3" t="s">
        <v>45</v>
      </c>
      <c r="G8" s="3" t="s">
        <v>28</v>
      </c>
      <c r="H8" s="2">
        <v>45658</v>
      </c>
      <c r="I8" s="2">
        <v>45658</v>
      </c>
      <c r="J8">
        <v>20411454</v>
      </c>
      <c r="K8" s="3" t="s">
        <v>31</v>
      </c>
      <c r="L8" t="s">
        <v>34</v>
      </c>
      <c r="M8" s="3" t="s">
        <v>34</v>
      </c>
      <c r="N8" s="3">
        <v>250.33</v>
      </c>
      <c r="O8" s="3">
        <v>41.66</v>
      </c>
      <c r="P8" s="3" t="s">
        <v>58</v>
      </c>
      <c r="Q8" s="3"/>
    </row>
    <row r="9" spans="1:17" x14ac:dyDescent="0.25">
      <c r="A9" s="1">
        <v>45783</v>
      </c>
      <c r="B9" t="s">
        <v>42</v>
      </c>
      <c r="C9" t="s">
        <v>56</v>
      </c>
      <c r="D9" s="3" t="s">
        <v>68</v>
      </c>
      <c r="E9" t="s">
        <v>44</v>
      </c>
      <c r="F9" t="s">
        <v>50</v>
      </c>
      <c r="G9" t="s">
        <v>28</v>
      </c>
      <c r="H9" s="1">
        <v>45658</v>
      </c>
      <c r="I9" s="1">
        <v>45658</v>
      </c>
      <c r="J9">
        <v>20411454</v>
      </c>
      <c r="K9" t="s">
        <v>31</v>
      </c>
      <c r="L9" t="s">
        <v>34</v>
      </c>
      <c r="M9" t="s">
        <v>34</v>
      </c>
      <c r="N9">
        <v>-751</v>
      </c>
      <c r="O9">
        <v>-125</v>
      </c>
      <c r="P9" t="s">
        <v>58</v>
      </c>
    </row>
    <row r="10" spans="1:17" x14ac:dyDescent="0.25">
      <c r="A10" s="1">
        <v>45783</v>
      </c>
      <c r="B10" t="s">
        <v>51</v>
      </c>
      <c r="C10" t="s">
        <v>63</v>
      </c>
      <c r="D10" t="s">
        <v>67</v>
      </c>
      <c r="E10" t="s">
        <v>38</v>
      </c>
      <c r="F10" t="s">
        <v>27</v>
      </c>
      <c r="G10" t="s">
        <v>28</v>
      </c>
      <c r="H10" s="1">
        <v>45717</v>
      </c>
      <c r="I10" s="1">
        <v>45717</v>
      </c>
      <c r="J10">
        <v>20411454</v>
      </c>
      <c r="K10" t="s">
        <v>31</v>
      </c>
      <c r="L10" t="s">
        <v>34</v>
      </c>
      <c r="M10" t="s">
        <v>34</v>
      </c>
      <c r="N10">
        <v>825</v>
      </c>
      <c r="O10">
        <v>120</v>
      </c>
      <c r="P10" t="s">
        <v>58</v>
      </c>
    </row>
  </sheetData>
  <sortState xmlns:xlrd2="http://schemas.microsoft.com/office/spreadsheetml/2017/richdata2" ref="A2:Q10">
    <sortCondition ref="P2:P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2025-05-07T15:48:08Z</dcterms:created>
  <dcterms:modified xsi:type="dcterms:W3CDTF">2025-05-09T13:54:10Z</dcterms:modified>
</cp:coreProperties>
</file>