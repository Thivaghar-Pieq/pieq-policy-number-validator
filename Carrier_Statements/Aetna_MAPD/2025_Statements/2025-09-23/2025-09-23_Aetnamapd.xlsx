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9-23-25\"/>
    </mc:Choice>
  </mc:AlternateContent>
  <xr:revisionPtr revIDLastSave="0" documentId="13_ncr:1_{3D0350A8-1986-45EF-8F2F-5623061BAE62}" xr6:coauthVersionLast="47" xr6:coauthVersionMax="47" xr10:uidLastSave="{00000000-0000-0000-0000-000000000000}"/>
  <bookViews>
    <workbookView xWindow="28680" yWindow="-120" windowWidth="29040" windowHeight="16440" activeTab="1" xr2:uid="{031BB466-A25A-4E05-89DD-341B7923F8E5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134" i="2" l="1"/>
  <c r="C44" i="2"/>
  <c r="C64" i="2"/>
  <c r="C70" i="2"/>
  <c r="C130" i="2"/>
  <c r="C60" i="2"/>
  <c r="C22" i="2"/>
  <c r="C98" i="2"/>
  <c r="C38" i="2"/>
  <c r="C14" i="2"/>
  <c r="C30" i="2"/>
  <c r="C34" i="2"/>
  <c r="C26" i="2"/>
  <c r="C52" i="2"/>
  <c r="C114" i="2"/>
  <c r="C18" i="2"/>
  <c r="C120" i="2"/>
  <c r="C94" i="2"/>
  <c r="C48" i="2"/>
  <c r="C90" i="2"/>
  <c r="C104" i="2"/>
  <c r="C79" i="2"/>
  <c r="C110" i="2"/>
  <c r="C56" i="2"/>
  <c r="C75" i="2"/>
  <c r="C10" i="2"/>
  <c r="C6" i="2"/>
  <c r="C126" i="2"/>
  <c r="C122" i="2"/>
  <c r="C116" i="2"/>
  <c r="C66" i="2"/>
  <c r="C72" i="2"/>
  <c r="C41" i="2"/>
  <c r="C67" i="2"/>
  <c r="C123" i="2"/>
  <c r="C117" i="2"/>
  <c r="C101" i="2"/>
  <c r="C87" i="2"/>
  <c r="C3" i="2"/>
  <c r="C107" i="2"/>
  <c r="C19" i="2"/>
  <c r="C85" i="2"/>
  <c r="C121" i="2"/>
  <c r="C95" i="2"/>
  <c r="C49" i="2"/>
  <c r="C61" i="2"/>
  <c r="C23" i="2"/>
  <c r="C45" i="2"/>
  <c r="C91" i="2"/>
  <c r="C99" i="2"/>
  <c r="C76" i="2"/>
  <c r="C11" i="2"/>
  <c r="C105" i="2"/>
  <c r="C80" i="2"/>
  <c r="C39" i="2"/>
  <c r="C15" i="2"/>
  <c r="C31" i="2"/>
  <c r="C111" i="2"/>
  <c r="C57" i="2"/>
  <c r="C35" i="2"/>
  <c r="C7" i="2"/>
  <c r="C127" i="2"/>
  <c r="C27" i="2"/>
  <c r="C53" i="2"/>
  <c r="C115" i="2"/>
  <c r="C135" i="2"/>
  <c r="C65" i="2"/>
  <c r="C71" i="2"/>
  <c r="C131" i="2"/>
  <c r="C138" i="2"/>
  <c r="C84" i="2"/>
  <c r="F37" i="2"/>
  <c r="F86" i="2"/>
  <c r="F32" i="2"/>
  <c r="F33" i="2"/>
  <c r="F62" i="2"/>
  <c r="F68" i="2"/>
  <c r="F128" i="2"/>
  <c r="F63" i="2"/>
  <c r="F69" i="2"/>
  <c r="F129" i="2"/>
  <c r="F81" i="2"/>
  <c r="F92" i="2"/>
  <c r="F50" i="2"/>
  <c r="F112" i="2"/>
  <c r="F82" i="2"/>
  <c r="F51" i="2"/>
  <c r="F113" i="2"/>
  <c r="F93" i="2"/>
  <c r="F83" i="2"/>
  <c r="F132" i="2"/>
  <c r="F133" i="2"/>
  <c r="F84" i="2"/>
  <c r="F134" i="2"/>
  <c r="F44" i="2"/>
  <c r="F64" i="2"/>
  <c r="F70" i="2"/>
  <c r="F130" i="2"/>
  <c r="F60" i="2"/>
  <c r="F22" i="2"/>
  <c r="F98" i="2"/>
  <c r="F38" i="2"/>
  <c r="F14" i="2"/>
  <c r="F30" i="2"/>
  <c r="F34" i="2"/>
  <c r="F26" i="2"/>
  <c r="F52" i="2"/>
  <c r="F114" i="2"/>
  <c r="F18" i="2"/>
  <c r="F120" i="2"/>
  <c r="F94" i="2"/>
  <c r="F48" i="2"/>
  <c r="F90" i="2"/>
  <c r="F104" i="2"/>
  <c r="F79" i="2"/>
  <c r="F110" i="2"/>
  <c r="F56" i="2"/>
  <c r="F75" i="2"/>
  <c r="F10" i="2"/>
  <c r="F6" i="2"/>
  <c r="F126" i="2"/>
  <c r="F122" i="2"/>
  <c r="F116" i="2"/>
  <c r="F66" i="2"/>
  <c r="F72" i="2"/>
  <c r="F41" i="2"/>
  <c r="F67" i="2"/>
  <c r="F123" i="2"/>
  <c r="F117" i="2"/>
  <c r="F101" i="2"/>
  <c r="F87" i="2"/>
  <c r="F3" i="2"/>
  <c r="F107" i="2"/>
  <c r="F19" i="2"/>
  <c r="F85" i="2"/>
  <c r="F121" i="2"/>
  <c r="F95" i="2"/>
  <c r="F49" i="2"/>
  <c r="F61" i="2"/>
  <c r="F23" i="2"/>
  <c r="F45" i="2"/>
  <c r="F91" i="2"/>
  <c r="F99" i="2"/>
  <c r="F76" i="2"/>
  <c r="F11" i="2"/>
  <c r="F105" i="2"/>
  <c r="F80" i="2"/>
  <c r="F39" i="2"/>
  <c r="F15" i="2"/>
  <c r="F31" i="2"/>
  <c r="F111" i="2"/>
  <c r="F57" i="2"/>
  <c r="F35" i="2"/>
  <c r="F7" i="2"/>
  <c r="F127" i="2"/>
  <c r="F27" i="2"/>
  <c r="F53" i="2"/>
  <c r="F115" i="2"/>
  <c r="F135" i="2"/>
  <c r="F65" i="2"/>
  <c r="F71" i="2"/>
  <c r="F131" i="2"/>
  <c r="F138" i="2"/>
  <c r="F136" i="2"/>
  <c r="F137" i="2"/>
  <c r="F54" i="2"/>
  <c r="F124" i="2"/>
  <c r="F55" i="2"/>
  <c r="F125" i="2"/>
  <c r="F40" i="2"/>
  <c r="F106" i="2"/>
  <c r="F58" i="2"/>
  <c r="F73" i="2"/>
  <c r="F12" i="2"/>
  <c r="F4" i="2"/>
  <c r="F24" i="2"/>
  <c r="F59" i="2"/>
  <c r="F13" i="2"/>
  <c r="F25" i="2"/>
  <c r="F74" i="2"/>
  <c r="F5" i="2"/>
  <c r="F2" i="2"/>
  <c r="F118" i="2"/>
  <c r="F119" i="2"/>
  <c r="F100" i="2"/>
  <c r="F16" i="2"/>
  <c r="F20" i="2"/>
  <c r="F88" i="2"/>
  <c r="F96" i="2"/>
  <c r="F102" i="2"/>
  <c r="F77" i="2"/>
  <c r="F28" i="2"/>
  <c r="F108" i="2"/>
  <c r="F21" i="2"/>
  <c r="F97" i="2"/>
  <c r="F29" i="2"/>
  <c r="F17" i="2"/>
  <c r="F89" i="2"/>
  <c r="F103" i="2"/>
  <c r="F78" i="2"/>
  <c r="F109" i="2"/>
  <c r="F46" i="2"/>
  <c r="F42" i="2"/>
  <c r="F43" i="2"/>
  <c r="F47" i="2"/>
  <c r="F8" i="2"/>
  <c r="F9" i="2"/>
  <c r="F36" i="2"/>
  <c r="C16" i="2"/>
  <c r="S16" i="2"/>
  <c r="C83" i="2"/>
  <c r="C106" i="2"/>
  <c r="C86" i="2"/>
  <c r="C100" i="2"/>
  <c r="C40" i="2"/>
  <c r="C125" i="2"/>
  <c r="C5" i="2"/>
  <c r="C9" i="2"/>
  <c r="C74" i="2"/>
  <c r="C55" i="2"/>
  <c r="C109" i="2"/>
  <c r="C78" i="2"/>
  <c r="C103" i="2"/>
  <c r="C89" i="2"/>
  <c r="C47" i="2"/>
  <c r="C93" i="2"/>
  <c r="C119" i="2"/>
  <c r="C17" i="2"/>
  <c r="C113" i="2"/>
  <c r="C51" i="2"/>
  <c r="C25" i="2"/>
  <c r="C33" i="2"/>
  <c r="C29" i="2"/>
  <c r="C13" i="2"/>
  <c r="C37" i="2"/>
  <c r="C97" i="2"/>
  <c r="C21" i="2"/>
  <c r="C59" i="2"/>
  <c r="C43" i="2"/>
  <c r="C82" i="2"/>
  <c r="C137" i="2"/>
  <c r="C2" i="2"/>
  <c r="C129" i="2"/>
  <c r="C69" i="2"/>
  <c r="C63" i="2"/>
  <c r="C133" i="2"/>
  <c r="C136" i="2"/>
  <c r="C112" i="2"/>
  <c r="C50" i="2"/>
  <c r="C24" i="2"/>
  <c r="C124" i="2"/>
  <c r="C4" i="2"/>
  <c r="C32" i="2"/>
  <c r="C54" i="2"/>
  <c r="C108" i="2"/>
  <c r="C28" i="2"/>
  <c r="C12" i="2"/>
  <c r="C36" i="2"/>
  <c r="C77" i="2"/>
  <c r="C102" i="2"/>
  <c r="C8" i="2"/>
  <c r="C73" i="2"/>
  <c r="C96" i="2"/>
  <c r="C88" i="2"/>
  <c r="C42" i="2"/>
  <c r="C20" i="2"/>
  <c r="C58" i="2"/>
  <c r="C46" i="2"/>
  <c r="C92" i="2"/>
  <c r="C118" i="2"/>
  <c r="C81" i="2"/>
  <c r="C128" i="2"/>
  <c r="C68" i="2"/>
  <c r="C62" i="2"/>
  <c r="C132" i="2"/>
  <c r="U85" i="2"/>
  <c r="R16" i="2"/>
  <c r="R19" i="2"/>
  <c r="R107" i="2"/>
  <c r="R106" i="2"/>
  <c r="R3" i="2"/>
  <c r="R2" i="2"/>
  <c r="R87" i="2"/>
  <c r="R86" i="2"/>
  <c r="R101" i="2"/>
  <c r="R100" i="2"/>
  <c r="R41" i="2"/>
  <c r="R40" i="2"/>
  <c r="R9" i="2"/>
  <c r="R74" i="2"/>
  <c r="R103" i="2"/>
  <c r="R89" i="2"/>
  <c r="R120" i="2"/>
  <c r="R21" i="2"/>
  <c r="R59" i="2"/>
  <c r="R69" i="2"/>
  <c r="R63" i="2"/>
  <c r="R44" i="2"/>
  <c r="R43" i="2"/>
</calcChain>
</file>

<file path=xl/sharedStrings.xml><?xml version="1.0" encoding="utf-8"?>
<sst xmlns="http://schemas.openxmlformats.org/spreadsheetml/2006/main" count="2281" uniqueCount="310">
  <si>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</si>
  <si>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</si>
  <si>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</si>
  <si>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</si>
  <si>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</si>
  <si>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</si>
  <si>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</si>
  <si>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</si>
  <si>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</si>
  <si>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</si>
  <si>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</si>
  <si>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</si>
  <si>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</si>
  <si>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</si>
  <si>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</si>
  <si>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</si>
  <si>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</si>
  <si>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</si>
  <si>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</si>
  <si>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</si>
  <si>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</si>
  <si>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</si>
  <si>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</si>
  <si>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</si>
  <si>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2HQ3HV1HJ78</t>
  </si>
  <si>
    <t>NG102194086500</t>
  </si>
  <si>
    <t>ANGERT A,MARGARET</t>
  </si>
  <si>
    <t>PA</t>
  </si>
  <si>
    <t>New Business</t>
  </si>
  <si>
    <t>MAPD</t>
  </si>
  <si>
    <t>IMM608</t>
  </si>
  <si>
    <t>H3959-002</t>
  </si>
  <si>
    <t>LOA</t>
  </si>
  <si>
    <t>Powers, Timothy</t>
  </si>
  <si>
    <t>GMO</t>
  </si>
  <si>
    <t>Main Line Benefits LLC</t>
  </si>
  <si>
    <t xml:space="preserve">N  </t>
  </si>
  <si>
    <t>9YT4VD0FR76</t>
  </si>
  <si>
    <t>NG102192330700</t>
  </si>
  <si>
    <t>BABIC A,LEE</t>
  </si>
  <si>
    <t>OH</t>
  </si>
  <si>
    <t>CMS Trueup</t>
  </si>
  <si>
    <t>IMM617</t>
  </si>
  <si>
    <t>H1608-029</t>
  </si>
  <si>
    <t>Shepard, Jill</t>
  </si>
  <si>
    <t xml:space="preserve">Y  </t>
  </si>
  <si>
    <t>CMS Trueup reversal</t>
  </si>
  <si>
    <t>3EC1D83VF34</t>
  </si>
  <si>
    <t>NG102193872700</t>
  </si>
  <si>
    <t>BARNET L,JESSE</t>
  </si>
  <si>
    <t>IL</t>
  </si>
  <si>
    <t>IMM606</t>
  </si>
  <si>
    <t>H5521-086</t>
  </si>
  <si>
    <t>Portugal, Gary</t>
  </si>
  <si>
    <t>3PJ3JU9HA86</t>
  </si>
  <si>
    <t>NG102194308100</t>
  </si>
  <si>
    <t>BOWDEN A,BARBARA</t>
  </si>
  <si>
    <t>H5522-017</t>
  </si>
  <si>
    <t>STERNER MURRAY</t>
  </si>
  <si>
    <t>9FW5UM2ME89</t>
  </si>
  <si>
    <t>NG102190934800</t>
  </si>
  <si>
    <t>BUCKLEY D,LISA</t>
  </si>
  <si>
    <t>H3959-001</t>
  </si>
  <si>
    <t>Inskipt, Deborah</t>
  </si>
  <si>
    <t>8HF4NU5CQ94</t>
  </si>
  <si>
    <t>NG102187630800</t>
  </si>
  <si>
    <t>CLARK,DONNY</t>
  </si>
  <si>
    <t>TN</t>
  </si>
  <si>
    <t>IMM609</t>
  </si>
  <si>
    <t>H5521-254</t>
  </si>
  <si>
    <t>Teipel, Gregory</t>
  </si>
  <si>
    <t>7XR8EQ1FQ64</t>
  </si>
  <si>
    <t>NG102190156500</t>
  </si>
  <si>
    <t>CONEY,JOELLEN</t>
  </si>
  <si>
    <t>H7301-013</t>
  </si>
  <si>
    <t>Walenga, Dale</t>
  </si>
  <si>
    <t>7NJ9KC2GK34</t>
  </si>
  <si>
    <t>NG102189788900</t>
  </si>
  <si>
    <t>DAUGHERTY P,MICHAEL</t>
  </si>
  <si>
    <t>H5521-088</t>
  </si>
  <si>
    <t>5NW9CY1JA16</t>
  </si>
  <si>
    <t>NG101626509000</t>
  </si>
  <si>
    <t>DAVIS J,MATTHEW</t>
  </si>
  <si>
    <t>IMM619</t>
  </si>
  <si>
    <t>H7301-007</t>
  </si>
  <si>
    <t>FRITZ, CAROL</t>
  </si>
  <si>
    <t>9UA5XN4RM68</t>
  </si>
  <si>
    <t>NG102188291300</t>
  </si>
  <si>
    <t>DOWDLE J,PATRICK</t>
  </si>
  <si>
    <t>H3192-013</t>
  </si>
  <si>
    <t>4VU7FW1GK52</t>
  </si>
  <si>
    <t>NG102188496900</t>
  </si>
  <si>
    <t>DUDDY G,WILLIAM</t>
  </si>
  <si>
    <t>FL</t>
  </si>
  <si>
    <t>IMM604</t>
  </si>
  <si>
    <t>H1609-025</t>
  </si>
  <si>
    <t>McCorkle, Michelle</t>
  </si>
  <si>
    <t>6DW8FK9HH22</t>
  </si>
  <si>
    <t>NG102191010500</t>
  </si>
  <si>
    <t>DUDEK E,LORI</t>
  </si>
  <si>
    <t>H3959-011</t>
  </si>
  <si>
    <t>Smith, Margaret</t>
  </si>
  <si>
    <t>4T90XR7XU23</t>
  </si>
  <si>
    <t>NG102192327300</t>
  </si>
  <si>
    <t>DYE L,MARK</t>
  </si>
  <si>
    <t>H0628-005</t>
  </si>
  <si>
    <t>7QF1YQ0DP34</t>
  </si>
  <si>
    <t>NG102193815600</t>
  </si>
  <si>
    <t>EULER S,PEGGY</t>
  </si>
  <si>
    <t>TAUGNER, CHRISTIAN</t>
  </si>
  <si>
    <t>2J22TR3TJ18</t>
  </si>
  <si>
    <t>NG102190026200</t>
  </si>
  <si>
    <t>FARLEY A,CHARLOTTE</t>
  </si>
  <si>
    <t>Yale, Chad</t>
  </si>
  <si>
    <t>2YT3WA2RQ05</t>
  </si>
  <si>
    <t>NG102189582400</t>
  </si>
  <si>
    <t>FERTIG A,REBECCA</t>
  </si>
  <si>
    <t>SC</t>
  </si>
  <si>
    <t>H5521-500</t>
  </si>
  <si>
    <t>6PW8FR9CU61</t>
  </si>
  <si>
    <t>NG102086397800</t>
  </si>
  <si>
    <t>FINGER P,MARY</t>
  </si>
  <si>
    <t>Pro-Rata Payment</t>
  </si>
  <si>
    <t>Liskovec, Frank</t>
  </si>
  <si>
    <t>Pro-Rata Disenroll</t>
  </si>
  <si>
    <t>6YC6JM8XM49</t>
  </si>
  <si>
    <t>NG102190732500</t>
  </si>
  <si>
    <t>FOSTER L,MARVIN</t>
  </si>
  <si>
    <t>KS</t>
  </si>
  <si>
    <t>IMM607</t>
  </si>
  <si>
    <t>H2663-043</t>
  </si>
  <si>
    <t>6KX3N54JC80</t>
  </si>
  <si>
    <t>NG102191790000</t>
  </si>
  <si>
    <t>GAHAGAN RUGH C,TERESA</t>
  </si>
  <si>
    <t>H3959-036</t>
  </si>
  <si>
    <t>7JT3JM5WY01</t>
  </si>
  <si>
    <t>NG102193141200</t>
  </si>
  <si>
    <t>GOLD S,JANE</t>
  </si>
  <si>
    <t>1N34T79JE65</t>
  </si>
  <si>
    <t>NG102191007700</t>
  </si>
  <si>
    <t>HACKATHORN L,CHERYL</t>
  </si>
  <si>
    <t>7H73W95YW92</t>
  </si>
  <si>
    <t>NG102190996400</t>
  </si>
  <si>
    <t>HAVEL O,GREGG</t>
  </si>
  <si>
    <t>AR</t>
  </si>
  <si>
    <t>IMM605</t>
  </si>
  <si>
    <t>H1608-073</t>
  </si>
  <si>
    <t>6PR3G04HT96</t>
  </si>
  <si>
    <t>NG102189347200</t>
  </si>
  <si>
    <t>HODGE K,TRACEY</t>
  </si>
  <si>
    <t>H5522-004</t>
  </si>
  <si>
    <t>Luse, Alison</t>
  </si>
  <si>
    <t>8PY3U04GV04</t>
  </si>
  <si>
    <t>NG102191654400</t>
  </si>
  <si>
    <t>JEPPERSON R,SCOTT</t>
  </si>
  <si>
    <t>IA</t>
  </si>
  <si>
    <t>IMM610</t>
  </si>
  <si>
    <t>H1608-001</t>
  </si>
  <si>
    <t>9H63MH5XV81</t>
  </si>
  <si>
    <t>NG102189713800</t>
  </si>
  <si>
    <t>LAPIER A,TAMMY</t>
  </si>
  <si>
    <t>H7301-002</t>
  </si>
  <si>
    <t>4UE7NK1VM41</t>
  </si>
  <si>
    <t>NG102189954200</t>
  </si>
  <si>
    <t>LOPEZ,LAURA</t>
  </si>
  <si>
    <t>6NY4TY6GG73</t>
  </si>
  <si>
    <t>NG102190926800</t>
  </si>
  <si>
    <t>LUNDIN J,MICHAEL</t>
  </si>
  <si>
    <t>2ME2H46AG07</t>
  </si>
  <si>
    <t>NG102190262300</t>
  </si>
  <si>
    <t>MCDONALD L,JAMIE</t>
  </si>
  <si>
    <t>Hunsberger, Anthony</t>
  </si>
  <si>
    <t>8JY3DE2EM17</t>
  </si>
  <si>
    <t>NG102190771300</t>
  </si>
  <si>
    <t>MEEHAN L,MARCY</t>
  </si>
  <si>
    <t>7D05T56HE72</t>
  </si>
  <si>
    <t>NG102190030600</t>
  </si>
  <si>
    <t>MEISSNER-PLEGGE J,BARBARA</t>
  </si>
  <si>
    <t>8JQ8VN7MC22</t>
  </si>
  <si>
    <t>NG102192129000</t>
  </si>
  <si>
    <t>MINTO C,STEVEN</t>
  </si>
  <si>
    <t>9WP9CE3JV36</t>
  </si>
  <si>
    <t>NG102188520000</t>
  </si>
  <si>
    <t>PARKS L,THERESA</t>
  </si>
  <si>
    <t>2TW8D31KD20</t>
  </si>
  <si>
    <t>NG102190173100</t>
  </si>
  <si>
    <t>PAYNE-PRICE A,THERESA</t>
  </si>
  <si>
    <t>9QM0AM8WN08</t>
  </si>
  <si>
    <t>NG102190169900</t>
  </si>
  <si>
    <t>RAMANIO R,JOHN</t>
  </si>
  <si>
    <t>WI</t>
  </si>
  <si>
    <t>H5521-150</t>
  </si>
  <si>
    <t>6EY2R94YX96</t>
  </si>
  <si>
    <t>NG102116172700</t>
  </si>
  <si>
    <t>SCHRENZEL B,RICHARD</t>
  </si>
  <si>
    <t>3T83FV5VT91</t>
  </si>
  <si>
    <t>NG102190247800</t>
  </si>
  <si>
    <t>SCHULTE J,EARL</t>
  </si>
  <si>
    <t>7Q54A45AT70</t>
  </si>
  <si>
    <t>NG102190223100</t>
  </si>
  <si>
    <t>SMITH C,JUNE</t>
  </si>
  <si>
    <t>8CP0NT0JC21</t>
  </si>
  <si>
    <t>NG102191441500</t>
  </si>
  <si>
    <t>SMITH R,STEPHEN</t>
  </si>
  <si>
    <t>5X80ED2AT41</t>
  </si>
  <si>
    <t>NG102188067100</t>
  </si>
  <si>
    <t>STONE A,CRAIG</t>
  </si>
  <si>
    <t>VA</t>
  </si>
  <si>
    <t>PRONEW</t>
  </si>
  <si>
    <t>IMM603</t>
  </si>
  <si>
    <t>H3931-099</t>
  </si>
  <si>
    <t>Aetna MAPD OVR 2025</t>
  </si>
  <si>
    <t>Aetna MAPD 2025*</t>
  </si>
  <si>
    <t>Aetna 2025 CT, PA, DC*</t>
  </si>
  <si>
    <t>[%/$=353][prorate=5/12]</t>
  </si>
  <si>
    <t>[%/$=313][prorate=12/12]</t>
  </si>
  <si>
    <t>[%/$=553][prorate=4/12]</t>
  </si>
  <si>
    <t>Aetna MAPD 2025 SNP FL*</t>
  </si>
  <si>
    <t>[%/$=313][prorate=5/12]</t>
  </si>
  <si>
    <t>[%/$=353][prorate=4/12]</t>
  </si>
  <si>
    <t>[%/$=313][prorate=4/12]</t>
  </si>
  <si>
    <t>[%/$=313][prorate=3/12]</t>
  </si>
  <si>
    <t>[%/$=313][prorate=2/12]</t>
  </si>
  <si>
    <t>[%/$=313][prorate=1/12]</t>
  </si>
  <si>
    <t>[%/$=353][prorate=3/12]</t>
  </si>
  <si>
    <t>Aetna MAPD 2025</t>
  </si>
  <si>
    <t>[%/$=626]</t>
  </si>
  <si>
    <t>Aetna 2025 CT, PA, DC</t>
  </si>
  <si>
    <t>[%/$=705]</t>
  </si>
  <si>
    <t>Aetna MAPD 2025 FL</t>
  </si>
  <si>
    <t>[%/$=741]</t>
  </si>
  <si>
    <t>Main Line Benefits</t>
  </si>
  <si>
    <t>[%/$=313][prorate=8/12]</t>
  </si>
  <si>
    <t>17528908N</t>
  </si>
  <si>
    <t>9254978N</t>
  </si>
  <si>
    <t>18710070N</t>
  </si>
  <si>
    <t>GOLD</t>
  </si>
  <si>
    <t>JANE</t>
  </si>
  <si>
    <t>DAVIS</t>
  </si>
  <si>
    <t>MATTHEW</t>
  </si>
  <si>
    <t>MCDONALD</t>
  </si>
  <si>
    <t>JAMIE</t>
  </si>
  <si>
    <t>BUCKLEY</t>
  </si>
  <si>
    <t>LISA</t>
  </si>
  <si>
    <t>MEEHAN</t>
  </si>
  <si>
    <t>MARCY</t>
  </si>
  <si>
    <t>PAYNE-PRICE</t>
  </si>
  <si>
    <t>THERESA</t>
  </si>
  <si>
    <t>FINGER</t>
  </si>
  <si>
    <t>MARY</t>
  </si>
  <si>
    <t>LUNDIN</t>
  </si>
  <si>
    <t>MICHAEL</t>
  </si>
  <si>
    <t>SMITH</t>
  </si>
  <si>
    <t>JUNE</t>
  </si>
  <si>
    <t>STEPHEN</t>
  </si>
  <si>
    <t>HODGE</t>
  </si>
  <si>
    <t>TRACEY</t>
  </si>
  <si>
    <t>CONEY</t>
  </si>
  <si>
    <t>JOELLEN</t>
  </si>
  <si>
    <t>BABIC</t>
  </si>
  <si>
    <t>LEE</t>
  </si>
  <si>
    <t>CLARK</t>
  </si>
  <si>
    <t>DONNY</t>
  </si>
  <si>
    <t>DOWDLE</t>
  </si>
  <si>
    <t>PATRICK</t>
  </si>
  <si>
    <t>HACKATHORN</t>
  </si>
  <si>
    <t>CHERYL</t>
  </si>
  <si>
    <t>HAVEL</t>
  </si>
  <si>
    <t>GREGG</t>
  </si>
  <si>
    <t>SCHULTE</t>
  </si>
  <si>
    <t>EARL</t>
  </si>
  <si>
    <t>STONE</t>
  </si>
  <si>
    <t>CRAIG</t>
  </si>
  <si>
    <t>LAPIER</t>
  </si>
  <si>
    <t>TAMMY</t>
  </si>
  <si>
    <t>RAMANIO</t>
  </si>
  <si>
    <t>JOHN</t>
  </si>
  <si>
    <t>DAUGHERTY</t>
  </si>
  <si>
    <t>FERTIG</t>
  </si>
  <si>
    <t>REBECCA</t>
  </si>
  <si>
    <t>FOSTER</t>
  </si>
  <si>
    <t>MARVIN</t>
  </si>
  <si>
    <t>JEPPERSON</t>
  </si>
  <si>
    <t>SCOTT</t>
  </si>
  <si>
    <t>LOPEZ</t>
  </si>
  <si>
    <t>LAURA</t>
  </si>
  <si>
    <t>DYE</t>
  </si>
  <si>
    <t>MARK</t>
  </si>
  <si>
    <t>FARLEY</t>
  </si>
  <si>
    <t>CHARLOTTE</t>
  </si>
  <si>
    <t>MEISSNER-PLEGGE</t>
  </si>
  <si>
    <t>BARBARA</t>
  </si>
  <si>
    <t>PARKS</t>
  </si>
  <si>
    <t>GAHAGAN</t>
  </si>
  <si>
    <t>TERESA</t>
  </si>
  <si>
    <t>MINTO</t>
  </si>
  <si>
    <t>STEVEN</t>
  </si>
  <si>
    <t>DUDEK</t>
  </si>
  <si>
    <t>LORI</t>
  </si>
  <si>
    <t>ANGERT</t>
  </si>
  <si>
    <t>MARGARET</t>
  </si>
  <si>
    <t>BARNET</t>
  </si>
  <si>
    <t>JESSE</t>
  </si>
  <si>
    <t>EULER</t>
  </si>
  <si>
    <t>PEGGY</t>
  </si>
  <si>
    <t>BOWDEN</t>
  </si>
  <si>
    <t>SCHRENZEL</t>
  </si>
  <si>
    <t>RICHARD</t>
  </si>
  <si>
    <t>DUDDY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</si>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</sst>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  <xf numFmtId="14" fontId="14" fillId="0" borderId="0" xfId="0" applyNumberFormat="1" applyFont="1"/>
    <xf numFmtId="0" fontId="14" fillId="0" borderId="0" xfId="0" applyFont="1"/>
    <xf numFmtId="14" fontId="0" fillId="34" borderId="0" xfId="0" applyNumberFormat="1" applyFill="1"/>
    <xf numFmtId="0" fontId="0" fillId="34" borderId="0" xfId="0" applyFill="1"/>
    <xf numFmtId="0" fontId="14" fillId="34" borderId="0" xfId="0" applyFont="1" applyFill="1"/>
    <xf numFmtId="14" fontId="14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41E6-84CB-4ECA-9F9E-A9C76EC7B6BD}">
  <dimension ref="A1:X73"/>
  <sheetViews>
    <sheetView topLeftCell="A9" workbookViewId="0">
      <selection activeCell="U29" sqref="U29:U30"/>
    </sheetView>
  </sheetViews>
  <sheetFormatPr defaultRowHeight="15" x14ac:dyDescent="0.25"/>
  <cols>
    <col min="1" max="1" width="10.85546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45923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45931</v>
      </c>
      <c r="M2" s="1">
        <v>45931</v>
      </c>
      <c r="O2">
        <v>17886092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10</v>
      </c>
      <c r="V2" t="s">
        <v>36</v>
      </c>
      <c r="W2" s="1">
        <v>45904</v>
      </c>
      <c r="X2">
        <v>2025</v>
      </c>
    </row>
    <row r="3" spans="1:24" x14ac:dyDescent="0.25">
      <c r="A3" s="1">
        <v>45923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29</v>
      </c>
      <c r="I3" t="s">
        <v>42</v>
      </c>
      <c r="J3" t="s">
        <v>43</v>
      </c>
      <c r="L3" s="1">
        <v>45901</v>
      </c>
      <c r="M3" s="1">
        <v>45901</v>
      </c>
      <c r="O3">
        <v>18142208</v>
      </c>
      <c r="P3" t="s">
        <v>32</v>
      </c>
      <c r="Q3" t="s">
        <v>44</v>
      </c>
      <c r="R3">
        <v>8192</v>
      </c>
      <c r="S3" t="s">
        <v>34</v>
      </c>
      <c r="T3" t="s">
        <v>35</v>
      </c>
      <c r="U3">
        <v>751</v>
      </c>
      <c r="V3" t="s">
        <v>45</v>
      </c>
      <c r="W3" s="1">
        <v>45895</v>
      </c>
      <c r="X3">
        <v>2025</v>
      </c>
    </row>
    <row r="4" spans="1:24" x14ac:dyDescent="0.25">
      <c r="A4" s="1">
        <v>45923</v>
      </c>
      <c r="B4" t="s">
        <v>37</v>
      </c>
      <c r="C4" t="s">
        <v>38</v>
      </c>
      <c r="E4" t="s">
        <v>39</v>
      </c>
      <c r="F4" t="s">
        <v>40</v>
      </c>
      <c r="G4" t="s">
        <v>46</v>
      </c>
      <c r="H4" t="s">
        <v>29</v>
      </c>
      <c r="I4" t="s">
        <v>42</v>
      </c>
      <c r="J4" t="s">
        <v>43</v>
      </c>
      <c r="L4" s="1">
        <v>45901</v>
      </c>
      <c r="M4" s="1">
        <v>45901</v>
      </c>
      <c r="O4">
        <v>18142208</v>
      </c>
      <c r="P4" t="s">
        <v>32</v>
      </c>
      <c r="Q4" t="s">
        <v>44</v>
      </c>
      <c r="R4">
        <v>8192</v>
      </c>
      <c r="S4" t="s">
        <v>34</v>
      </c>
      <c r="T4" t="s">
        <v>35</v>
      </c>
      <c r="U4">
        <v>-146</v>
      </c>
      <c r="V4" t="s">
        <v>36</v>
      </c>
      <c r="W4" s="1">
        <v>45895</v>
      </c>
      <c r="X4">
        <v>2025</v>
      </c>
    </row>
    <row r="5" spans="1:24" x14ac:dyDescent="0.25">
      <c r="A5" s="1">
        <v>45923</v>
      </c>
      <c r="B5" t="s">
        <v>47</v>
      </c>
      <c r="C5" t="s">
        <v>48</v>
      </c>
      <c r="E5" t="s">
        <v>49</v>
      </c>
      <c r="F5" t="s">
        <v>50</v>
      </c>
      <c r="G5" t="s">
        <v>28</v>
      </c>
      <c r="H5" t="s">
        <v>29</v>
      </c>
      <c r="I5" t="s">
        <v>51</v>
      </c>
      <c r="J5" t="s">
        <v>52</v>
      </c>
      <c r="L5" s="1">
        <v>45992</v>
      </c>
      <c r="M5" s="1">
        <v>45992</v>
      </c>
      <c r="O5">
        <v>9213293</v>
      </c>
      <c r="P5" t="s">
        <v>32</v>
      </c>
      <c r="Q5" t="s">
        <v>53</v>
      </c>
      <c r="R5">
        <v>8192</v>
      </c>
      <c r="S5" t="s">
        <v>34</v>
      </c>
      <c r="T5" t="s">
        <v>35</v>
      </c>
      <c r="U5">
        <v>36.08</v>
      </c>
      <c r="V5" t="s">
        <v>36</v>
      </c>
      <c r="W5" s="1">
        <v>45903</v>
      </c>
      <c r="X5">
        <v>2025</v>
      </c>
    </row>
    <row r="6" spans="1:24" x14ac:dyDescent="0.25">
      <c r="A6" s="1">
        <v>45923</v>
      </c>
      <c r="B6" t="s">
        <v>54</v>
      </c>
      <c r="C6" t="s">
        <v>55</v>
      </c>
      <c r="E6" t="s">
        <v>56</v>
      </c>
      <c r="F6" t="s">
        <v>27</v>
      </c>
      <c r="G6" t="s">
        <v>28</v>
      </c>
      <c r="H6" t="s">
        <v>29</v>
      </c>
      <c r="I6" t="s">
        <v>30</v>
      </c>
      <c r="J6" t="s">
        <v>57</v>
      </c>
      <c r="L6" s="1">
        <v>45931</v>
      </c>
      <c r="M6" s="1">
        <v>45931</v>
      </c>
      <c r="O6">
        <v>16212649</v>
      </c>
      <c r="P6" t="s">
        <v>32</v>
      </c>
      <c r="Q6" t="s">
        <v>58</v>
      </c>
      <c r="R6">
        <v>8192</v>
      </c>
      <c r="S6" t="s">
        <v>34</v>
      </c>
      <c r="T6" t="s">
        <v>35</v>
      </c>
      <c r="U6">
        <v>119.5</v>
      </c>
      <c r="V6" t="s">
        <v>36</v>
      </c>
      <c r="W6" s="1">
        <v>45905</v>
      </c>
      <c r="X6">
        <v>2025</v>
      </c>
    </row>
    <row r="7" spans="1:24" x14ac:dyDescent="0.25">
      <c r="A7" s="1">
        <v>45923</v>
      </c>
      <c r="B7" t="s">
        <v>59</v>
      </c>
      <c r="C7" t="s">
        <v>60</v>
      </c>
      <c r="E7" t="s">
        <v>61</v>
      </c>
      <c r="F7" t="s">
        <v>27</v>
      </c>
      <c r="G7" t="s">
        <v>41</v>
      </c>
      <c r="H7" t="s">
        <v>29</v>
      </c>
      <c r="I7" t="s">
        <v>30</v>
      </c>
      <c r="J7" t="s">
        <v>62</v>
      </c>
      <c r="L7" s="1">
        <v>45901</v>
      </c>
      <c r="M7" s="1">
        <v>45901</v>
      </c>
      <c r="O7">
        <v>17528908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830</v>
      </c>
      <c r="V7" t="s">
        <v>45</v>
      </c>
      <c r="W7" s="1">
        <v>45888</v>
      </c>
      <c r="X7">
        <v>2025</v>
      </c>
    </row>
    <row r="8" spans="1:24" x14ac:dyDescent="0.25">
      <c r="A8" s="1">
        <v>45923</v>
      </c>
      <c r="B8" t="s">
        <v>59</v>
      </c>
      <c r="C8" t="s">
        <v>60</v>
      </c>
      <c r="E8" t="s">
        <v>61</v>
      </c>
      <c r="F8" t="s">
        <v>27</v>
      </c>
      <c r="G8" t="s">
        <v>46</v>
      </c>
      <c r="H8" t="s">
        <v>29</v>
      </c>
      <c r="I8" t="s">
        <v>30</v>
      </c>
      <c r="J8" t="s">
        <v>62</v>
      </c>
      <c r="L8" s="1">
        <v>45901</v>
      </c>
      <c r="M8" s="1">
        <v>45901</v>
      </c>
      <c r="O8">
        <v>17528908</v>
      </c>
      <c r="P8" t="s">
        <v>32</v>
      </c>
      <c r="Q8" t="s">
        <v>63</v>
      </c>
      <c r="R8">
        <v>8192</v>
      </c>
      <c r="S8" t="s">
        <v>34</v>
      </c>
      <c r="T8" t="s">
        <v>35</v>
      </c>
      <c r="U8">
        <v>-159.33000000000001</v>
      </c>
      <c r="V8" t="s">
        <v>36</v>
      </c>
      <c r="W8" s="1">
        <v>45888</v>
      </c>
      <c r="X8">
        <v>2025</v>
      </c>
    </row>
    <row r="9" spans="1:24" x14ac:dyDescent="0.25">
      <c r="A9" s="1">
        <v>45923</v>
      </c>
      <c r="B9" t="s">
        <v>64</v>
      </c>
      <c r="C9" t="s">
        <v>65</v>
      </c>
      <c r="E9" t="s">
        <v>66</v>
      </c>
      <c r="F9" t="s">
        <v>67</v>
      </c>
      <c r="G9" t="s">
        <v>41</v>
      </c>
      <c r="H9" t="s">
        <v>29</v>
      </c>
      <c r="I9" t="s">
        <v>68</v>
      </c>
      <c r="J9" t="s">
        <v>69</v>
      </c>
      <c r="L9" s="1">
        <v>45901</v>
      </c>
      <c r="M9" s="1">
        <v>45901</v>
      </c>
      <c r="O9">
        <v>8307933</v>
      </c>
      <c r="P9" t="s">
        <v>32</v>
      </c>
      <c r="Q9" t="s">
        <v>70</v>
      </c>
      <c r="R9">
        <v>8192</v>
      </c>
      <c r="S9" t="s">
        <v>34</v>
      </c>
      <c r="T9" t="s">
        <v>35</v>
      </c>
      <c r="U9">
        <v>751</v>
      </c>
      <c r="V9" t="s">
        <v>45</v>
      </c>
      <c r="W9" s="1">
        <v>45869</v>
      </c>
      <c r="X9">
        <v>2025</v>
      </c>
    </row>
    <row r="10" spans="1:24" x14ac:dyDescent="0.25">
      <c r="A10" s="1">
        <v>45923</v>
      </c>
      <c r="B10" t="s">
        <v>64</v>
      </c>
      <c r="C10" t="s">
        <v>65</v>
      </c>
      <c r="E10" t="s">
        <v>66</v>
      </c>
      <c r="F10" t="s">
        <v>67</v>
      </c>
      <c r="G10" t="s">
        <v>46</v>
      </c>
      <c r="H10" t="s">
        <v>29</v>
      </c>
      <c r="I10" t="s">
        <v>68</v>
      </c>
      <c r="J10" t="s">
        <v>69</v>
      </c>
      <c r="L10" s="1">
        <v>45901</v>
      </c>
      <c r="M10" s="1">
        <v>45901</v>
      </c>
      <c r="O10">
        <v>8307933</v>
      </c>
      <c r="P10" t="s">
        <v>32</v>
      </c>
      <c r="Q10" t="s">
        <v>70</v>
      </c>
      <c r="R10">
        <v>8192</v>
      </c>
      <c r="S10" t="s">
        <v>34</v>
      </c>
      <c r="T10" t="s">
        <v>35</v>
      </c>
      <c r="U10">
        <v>-146</v>
      </c>
      <c r="V10" t="s">
        <v>36</v>
      </c>
      <c r="W10" s="1">
        <v>45869</v>
      </c>
      <c r="X10">
        <v>2025</v>
      </c>
    </row>
    <row r="11" spans="1:24" x14ac:dyDescent="0.25">
      <c r="A11" s="1">
        <v>45923</v>
      </c>
      <c r="B11" t="s">
        <v>71</v>
      </c>
      <c r="C11" t="s">
        <v>72</v>
      </c>
      <c r="E11" t="s">
        <v>73</v>
      </c>
      <c r="F11" t="s">
        <v>50</v>
      </c>
      <c r="G11" t="s">
        <v>41</v>
      </c>
      <c r="H11" t="s">
        <v>29</v>
      </c>
      <c r="I11" t="s">
        <v>51</v>
      </c>
      <c r="J11" t="s">
        <v>74</v>
      </c>
      <c r="L11" s="1">
        <v>45870</v>
      </c>
      <c r="M11" s="1">
        <v>45870</v>
      </c>
      <c r="O11">
        <v>8325282</v>
      </c>
      <c r="P11" t="s">
        <v>32</v>
      </c>
      <c r="Q11" t="s">
        <v>75</v>
      </c>
      <c r="R11">
        <v>8192</v>
      </c>
      <c r="S11" t="s">
        <v>34</v>
      </c>
      <c r="T11" t="s">
        <v>35</v>
      </c>
      <c r="U11">
        <v>751</v>
      </c>
      <c r="V11" t="s">
        <v>45</v>
      </c>
      <c r="W11" s="1">
        <v>45861</v>
      </c>
      <c r="X11">
        <v>2025</v>
      </c>
    </row>
    <row r="12" spans="1:24" x14ac:dyDescent="0.25">
      <c r="A12" s="1">
        <v>45923</v>
      </c>
      <c r="B12" t="s">
        <v>71</v>
      </c>
      <c r="C12" t="s">
        <v>72</v>
      </c>
      <c r="E12" t="s">
        <v>73</v>
      </c>
      <c r="F12" t="s">
        <v>50</v>
      </c>
      <c r="G12" t="s">
        <v>46</v>
      </c>
      <c r="H12" t="s">
        <v>29</v>
      </c>
      <c r="I12" t="s">
        <v>51</v>
      </c>
      <c r="J12" t="s">
        <v>74</v>
      </c>
      <c r="L12" s="1">
        <v>45870</v>
      </c>
      <c r="M12" s="1">
        <v>45870</v>
      </c>
      <c r="O12">
        <v>8325282</v>
      </c>
      <c r="P12" t="s">
        <v>32</v>
      </c>
      <c r="Q12" t="s">
        <v>75</v>
      </c>
      <c r="R12">
        <v>8192</v>
      </c>
      <c r="S12" t="s">
        <v>34</v>
      </c>
      <c r="T12" t="s">
        <v>35</v>
      </c>
      <c r="U12">
        <v>-182.5</v>
      </c>
      <c r="V12" t="s">
        <v>36</v>
      </c>
      <c r="W12" s="1">
        <v>45861</v>
      </c>
      <c r="X12">
        <v>2025</v>
      </c>
    </row>
    <row r="13" spans="1:24" x14ac:dyDescent="0.25">
      <c r="A13" s="1">
        <v>45923</v>
      </c>
      <c r="B13" t="s">
        <v>76</v>
      </c>
      <c r="C13" t="s">
        <v>77</v>
      </c>
      <c r="E13" t="s">
        <v>78</v>
      </c>
      <c r="F13" t="s">
        <v>40</v>
      </c>
      <c r="G13" t="s">
        <v>41</v>
      </c>
      <c r="H13" t="s">
        <v>29</v>
      </c>
      <c r="I13" t="s">
        <v>42</v>
      </c>
      <c r="J13" t="s">
        <v>79</v>
      </c>
      <c r="L13" s="1">
        <v>45931</v>
      </c>
      <c r="M13" s="1">
        <v>45931</v>
      </c>
      <c r="O13">
        <v>8307933</v>
      </c>
      <c r="P13" t="s">
        <v>32</v>
      </c>
      <c r="Q13" t="s">
        <v>70</v>
      </c>
      <c r="R13">
        <v>8192</v>
      </c>
      <c r="S13" t="s">
        <v>34</v>
      </c>
      <c r="T13" t="s">
        <v>35</v>
      </c>
      <c r="U13">
        <v>751</v>
      </c>
      <c r="V13" t="s">
        <v>45</v>
      </c>
      <c r="W13" s="1">
        <v>45881</v>
      </c>
      <c r="X13">
        <v>2025</v>
      </c>
    </row>
    <row r="14" spans="1:24" x14ac:dyDescent="0.25">
      <c r="A14" s="1">
        <v>45923</v>
      </c>
      <c r="B14" t="s">
        <v>76</v>
      </c>
      <c r="C14" t="s">
        <v>77</v>
      </c>
      <c r="E14" t="s">
        <v>78</v>
      </c>
      <c r="F14" t="s">
        <v>40</v>
      </c>
      <c r="G14" t="s">
        <v>46</v>
      </c>
      <c r="H14" t="s">
        <v>29</v>
      </c>
      <c r="I14" t="s">
        <v>42</v>
      </c>
      <c r="J14" t="s">
        <v>79</v>
      </c>
      <c r="L14" s="1">
        <v>45931</v>
      </c>
      <c r="M14" s="1">
        <v>45931</v>
      </c>
      <c r="O14">
        <v>8307933</v>
      </c>
      <c r="P14" t="s">
        <v>32</v>
      </c>
      <c r="Q14" t="s">
        <v>70</v>
      </c>
      <c r="R14">
        <v>8192</v>
      </c>
      <c r="S14" t="s">
        <v>34</v>
      </c>
      <c r="T14" t="s">
        <v>35</v>
      </c>
      <c r="U14">
        <v>-109.5</v>
      </c>
      <c r="V14" t="s">
        <v>36</v>
      </c>
      <c r="W14" s="1">
        <v>45881</v>
      </c>
      <c r="X14">
        <v>2025</v>
      </c>
    </row>
    <row r="15" spans="1:24" x14ac:dyDescent="0.25">
      <c r="A15" s="1">
        <v>45923</v>
      </c>
      <c r="B15" t="s">
        <v>80</v>
      </c>
      <c r="C15" t="s">
        <v>81</v>
      </c>
      <c r="E15" t="s">
        <v>82</v>
      </c>
      <c r="F15" t="s">
        <v>50</v>
      </c>
      <c r="G15" t="s">
        <v>28</v>
      </c>
      <c r="H15" t="s">
        <v>29</v>
      </c>
      <c r="I15" t="s">
        <v>83</v>
      </c>
      <c r="J15" t="s">
        <v>84</v>
      </c>
      <c r="L15" s="1">
        <v>45931</v>
      </c>
      <c r="M15" s="1">
        <v>45931</v>
      </c>
      <c r="O15">
        <v>19268643</v>
      </c>
      <c r="P15" t="s">
        <v>32</v>
      </c>
      <c r="Q15" t="s">
        <v>85</v>
      </c>
      <c r="R15">
        <v>8192</v>
      </c>
      <c r="S15" t="s">
        <v>34</v>
      </c>
      <c r="T15" t="s">
        <v>35</v>
      </c>
      <c r="U15">
        <v>109.5</v>
      </c>
      <c r="V15" t="s">
        <v>36</v>
      </c>
      <c r="W15" s="1">
        <v>45908</v>
      </c>
      <c r="X15">
        <v>2025</v>
      </c>
    </row>
    <row r="16" spans="1:24" x14ac:dyDescent="0.25">
      <c r="A16" s="1">
        <v>45923</v>
      </c>
      <c r="B16" t="s">
        <v>86</v>
      </c>
      <c r="C16" t="s">
        <v>87</v>
      </c>
      <c r="E16" t="s">
        <v>88</v>
      </c>
      <c r="F16" t="s">
        <v>50</v>
      </c>
      <c r="G16" t="s">
        <v>41</v>
      </c>
      <c r="H16" t="s">
        <v>29</v>
      </c>
      <c r="I16" t="s">
        <v>51</v>
      </c>
      <c r="J16" t="s">
        <v>89</v>
      </c>
      <c r="L16" s="1">
        <v>45901</v>
      </c>
      <c r="M16" s="1">
        <v>45901</v>
      </c>
      <c r="O16">
        <v>8307933</v>
      </c>
      <c r="P16" t="s">
        <v>32</v>
      </c>
      <c r="Q16" t="s">
        <v>70</v>
      </c>
      <c r="R16">
        <v>8192</v>
      </c>
      <c r="S16" t="s">
        <v>34</v>
      </c>
      <c r="T16" t="s">
        <v>35</v>
      </c>
      <c r="U16">
        <v>751</v>
      </c>
      <c r="V16" t="s">
        <v>45</v>
      </c>
      <c r="W16" s="1">
        <v>45873</v>
      </c>
      <c r="X16">
        <v>2025</v>
      </c>
    </row>
    <row r="17" spans="1:24" x14ac:dyDescent="0.25">
      <c r="A17" s="1">
        <v>45923</v>
      </c>
      <c r="B17" t="s">
        <v>86</v>
      </c>
      <c r="C17" t="s">
        <v>87</v>
      </c>
      <c r="E17" t="s">
        <v>88</v>
      </c>
      <c r="F17" t="s">
        <v>50</v>
      </c>
      <c r="G17" t="s">
        <v>46</v>
      </c>
      <c r="H17" t="s">
        <v>29</v>
      </c>
      <c r="I17" t="s">
        <v>51</v>
      </c>
      <c r="J17" t="s">
        <v>89</v>
      </c>
      <c r="L17" s="1">
        <v>45901</v>
      </c>
      <c r="M17" s="1">
        <v>45901</v>
      </c>
      <c r="O17">
        <v>8307933</v>
      </c>
      <c r="P17" t="s">
        <v>32</v>
      </c>
      <c r="Q17" t="s">
        <v>70</v>
      </c>
      <c r="R17">
        <v>8192</v>
      </c>
      <c r="S17" t="s">
        <v>34</v>
      </c>
      <c r="T17" t="s">
        <v>35</v>
      </c>
      <c r="U17">
        <v>-146</v>
      </c>
      <c r="V17" t="s">
        <v>36</v>
      </c>
      <c r="W17" s="1">
        <v>45873</v>
      </c>
      <c r="X17">
        <v>2025</v>
      </c>
    </row>
    <row r="18" spans="1:24" x14ac:dyDescent="0.25">
      <c r="A18" s="1">
        <v>45923</v>
      </c>
      <c r="B18" t="s">
        <v>90</v>
      </c>
      <c r="C18" t="s">
        <v>91</v>
      </c>
      <c r="E18" t="s">
        <v>92</v>
      </c>
      <c r="F18" t="s">
        <v>93</v>
      </c>
      <c r="G18" t="s">
        <v>41</v>
      </c>
      <c r="H18" t="s">
        <v>29</v>
      </c>
      <c r="I18" t="s">
        <v>94</v>
      </c>
      <c r="J18" t="s">
        <v>95</v>
      </c>
      <c r="L18" s="1">
        <v>45901</v>
      </c>
      <c r="M18" s="1">
        <v>45901</v>
      </c>
      <c r="O18">
        <v>18710070</v>
      </c>
      <c r="P18" t="s">
        <v>32</v>
      </c>
      <c r="Q18" t="s">
        <v>96</v>
      </c>
      <c r="R18">
        <v>8192</v>
      </c>
      <c r="S18" t="s">
        <v>34</v>
      </c>
      <c r="T18" t="s">
        <v>35</v>
      </c>
      <c r="U18">
        <v>866</v>
      </c>
      <c r="V18" t="s">
        <v>45</v>
      </c>
      <c r="W18" s="1">
        <v>45874</v>
      </c>
      <c r="X18">
        <v>2025</v>
      </c>
    </row>
    <row r="19" spans="1:24" x14ac:dyDescent="0.25">
      <c r="A19" s="1">
        <v>45923</v>
      </c>
      <c r="B19" t="s">
        <v>90</v>
      </c>
      <c r="C19" t="s">
        <v>91</v>
      </c>
      <c r="E19" t="s">
        <v>92</v>
      </c>
      <c r="F19" t="s">
        <v>93</v>
      </c>
      <c r="G19" t="s">
        <v>46</v>
      </c>
      <c r="H19" t="s">
        <v>29</v>
      </c>
      <c r="I19" t="s">
        <v>94</v>
      </c>
      <c r="J19" t="s">
        <v>95</v>
      </c>
      <c r="L19" s="1">
        <v>45901</v>
      </c>
      <c r="M19" s="1">
        <v>45901</v>
      </c>
      <c r="O19">
        <v>18710070</v>
      </c>
      <c r="P19" t="s">
        <v>32</v>
      </c>
      <c r="Q19" t="s">
        <v>96</v>
      </c>
      <c r="R19">
        <v>8192</v>
      </c>
      <c r="S19" t="s">
        <v>34</v>
      </c>
      <c r="T19" t="s">
        <v>35</v>
      </c>
      <c r="U19">
        <v>-184.33</v>
      </c>
      <c r="V19" t="s">
        <v>36</v>
      </c>
      <c r="W19" s="1">
        <v>45874</v>
      </c>
      <c r="X19">
        <v>2025</v>
      </c>
    </row>
    <row r="20" spans="1:24" x14ac:dyDescent="0.25">
      <c r="A20" s="1">
        <v>45923</v>
      </c>
      <c r="B20" t="s">
        <v>97</v>
      </c>
      <c r="C20" t="s">
        <v>98</v>
      </c>
      <c r="E20" t="s">
        <v>99</v>
      </c>
      <c r="F20" t="s">
        <v>27</v>
      </c>
      <c r="G20" t="s">
        <v>41</v>
      </c>
      <c r="H20" t="s">
        <v>29</v>
      </c>
      <c r="I20" t="s">
        <v>30</v>
      </c>
      <c r="J20" t="s">
        <v>100</v>
      </c>
      <c r="L20" s="1">
        <v>45931</v>
      </c>
      <c r="M20" s="1">
        <v>45931</v>
      </c>
      <c r="O20">
        <v>20253958</v>
      </c>
      <c r="P20" t="s">
        <v>32</v>
      </c>
      <c r="Q20" t="s">
        <v>101</v>
      </c>
      <c r="R20">
        <v>8192</v>
      </c>
      <c r="S20" t="s">
        <v>34</v>
      </c>
      <c r="T20" t="s">
        <v>35</v>
      </c>
      <c r="U20">
        <v>40</v>
      </c>
      <c r="V20" t="s">
        <v>45</v>
      </c>
      <c r="W20" s="1">
        <v>45888</v>
      </c>
      <c r="X20">
        <v>2025</v>
      </c>
    </row>
    <row r="21" spans="1:24" x14ac:dyDescent="0.25">
      <c r="A21" s="1">
        <v>45923</v>
      </c>
      <c r="B21" t="s">
        <v>97</v>
      </c>
      <c r="C21" t="s">
        <v>98</v>
      </c>
      <c r="E21" t="s">
        <v>99</v>
      </c>
      <c r="F21" t="s">
        <v>27</v>
      </c>
      <c r="G21" t="s">
        <v>46</v>
      </c>
      <c r="H21" t="s">
        <v>29</v>
      </c>
      <c r="I21" t="s">
        <v>30</v>
      </c>
      <c r="J21" t="s">
        <v>100</v>
      </c>
      <c r="L21" s="1">
        <v>45931</v>
      </c>
      <c r="M21" s="1">
        <v>45931</v>
      </c>
      <c r="O21">
        <v>20253958</v>
      </c>
      <c r="P21" t="s">
        <v>32</v>
      </c>
      <c r="Q21" t="s">
        <v>101</v>
      </c>
      <c r="R21">
        <v>8192</v>
      </c>
      <c r="S21" t="s">
        <v>34</v>
      </c>
      <c r="T21" t="s">
        <v>35</v>
      </c>
      <c r="U21">
        <v>-10</v>
      </c>
      <c r="V21" t="s">
        <v>36</v>
      </c>
      <c r="W21" s="1">
        <v>45888</v>
      </c>
      <c r="X21">
        <v>2025</v>
      </c>
    </row>
    <row r="22" spans="1:24" x14ac:dyDescent="0.25">
      <c r="A22" s="1">
        <v>45923</v>
      </c>
      <c r="B22" t="s">
        <v>102</v>
      </c>
      <c r="C22" t="s">
        <v>103</v>
      </c>
      <c r="E22" t="s">
        <v>104</v>
      </c>
      <c r="F22" t="s">
        <v>40</v>
      </c>
      <c r="G22" t="s">
        <v>41</v>
      </c>
      <c r="H22" t="s">
        <v>29</v>
      </c>
      <c r="I22" t="s">
        <v>42</v>
      </c>
      <c r="J22" t="s">
        <v>105</v>
      </c>
      <c r="L22" s="1">
        <v>45962</v>
      </c>
      <c r="M22" s="1">
        <v>45962</v>
      </c>
      <c r="O22">
        <v>18142208</v>
      </c>
      <c r="P22" t="s">
        <v>32</v>
      </c>
      <c r="Q22" t="s">
        <v>44</v>
      </c>
      <c r="R22">
        <v>8192</v>
      </c>
      <c r="S22" t="s">
        <v>34</v>
      </c>
      <c r="T22" t="s">
        <v>35</v>
      </c>
      <c r="U22">
        <v>751</v>
      </c>
      <c r="V22" t="s">
        <v>45</v>
      </c>
      <c r="W22" s="1">
        <v>45895</v>
      </c>
      <c r="X22">
        <v>2025</v>
      </c>
    </row>
    <row r="23" spans="1:24" x14ac:dyDescent="0.25">
      <c r="A23" s="1">
        <v>45923</v>
      </c>
      <c r="B23" t="s">
        <v>102</v>
      </c>
      <c r="C23" t="s">
        <v>103</v>
      </c>
      <c r="E23" t="s">
        <v>104</v>
      </c>
      <c r="F23" t="s">
        <v>40</v>
      </c>
      <c r="G23" t="s">
        <v>46</v>
      </c>
      <c r="H23" t="s">
        <v>29</v>
      </c>
      <c r="I23" t="s">
        <v>42</v>
      </c>
      <c r="J23" t="s">
        <v>105</v>
      </c>
      <c r="L23" s="1">
        <v>45962</v>
      </c>
      <c r="M23" s="1">
        <v>45962</v>
      </c>
      <c r="O23">
        <v>18142208</v>
      </c>
      <c r="P23" t="s">
        <v>32</v>
      </c>
      <c r="Q23" t="s">
        <v>44</v>
      </c>
      <c r="R23">
        <v>8192</v>
      </c>
      <c r="S23" t="s">
        <v>34</v>
      </c>
      <c r="T23" t="s">
        <v>35</v>
      </c>
      <c r="U23">
        <v>-73</v>
      </c>
      <c r="V23" t="s">
        <v>36</v>
      </c>
      <c r="W23" s="1">
        <v>45895</v>
      </c>
      <c r="X23">
        <v>2025</v>
      </c>
    </row>
    <row r="24" spans="1:24" x14ac:dyDescent="0.25">
      <c r="A24" s="1">
        <v>45923</v>
      </c>
      <c r="B24" t="s">
        <v>106</v>
      </c>
      <c r="C24" t="s">
        <v>107</v>
      </c>
      <c r="E24" t="s">
        <v>108</v>
      </c>
      <c r="F24" t="s">
        <v>50</v>
      </c>
      <c r="G24" t="s">
        <v>28</v>
      </c>
      <c r="H24" t="s">
        <v>29</v>
      </c>
      <c r="I24" t="s">
        <v>51</v>
      </c>
      <c r="J24" t="s">
        <v>74</v>
      </c>
      <c r="L24" s="1">
        <v>45931</v>
      </c>
      <c r="M24" s="1">
        <v>45931</v>
      </c>
      <c r="O24">
        <v>19681796</v>
      </c>
      <c r="P24" t="s">
        <v>32</v>
      </c>
      <c r="Q24" t="s">
        <v>109</v>
      </c>
      <c r="R24">
        <v>8192</v>
      </c>
      <c r="S24" t="s">
        <v>34</v>
      </c>
      <c r="T24" t="s">
        <v>35</v>
      </c>
      <c r="U24">
        <v>108.25</v>
      </c>
      <c r="V24" t="s">
        <v>36</v>
      </c>
      <c r="W24" s="1">
        <v>45903</v>
      </c>
      <c r="X24">
        <v>2025</v>
      </c>
    </row>
    <row r="25" spans="1:24" x14ac:dyDescent="0.25">
      <c r="A25" s="1">
        <v>45923</v>
      </c>
      <c r="B25" t="s">
        <v>110</v>
      </c>
      <c r="C25" t="s">
        <v>111</v>
      </c>
      <c r="E25" t="s">
        <v>112</v>
      </c>
      <c r="F25" t="s">
        <v>50</v>
      </c>
      <c r="G25" t="s">
        <v>41</v>
      </c>
      <c r="H25" t="s">
        <v>29</v>
      </c>
      <c r="I25" t="s">
        <v>83</v>
      </c>
      <c r="J25" t="s">
        <v>84</v>
      </c>
      <c r="L25" s="1">
        <v>45962</v>
      </c>
      <c r="M25" s="1">
        <v>45962</v>
      </c>
      <c r="O25">
        <v>20003537</v>
      </c>
      <c r="P25" t="s">
        <v>32</v>
      </c>
      <c r="Q25" t="s">
        <v>113</v>
      </c>
      <c r="R25">
        <v>8192</v>
      </c>
      <c r="S25" t="s">
        <v>34</v>
      </c>
      <c r="T25" t="s">
        <v>35</v>
      </c>
      <c r="U25">
        <v>751</v>
      </c>
      <c r="V25" t="s">
        <v>45</v>
      </c>
      <c r="W25" s="1">
        <v>45882</v>
      </c>
      <c r="X25">
        <v>2025</v>
      </c>
    </row>
    <row r="26" spans="1:24" x14ac:dyDescent="0.25">
      <c r="A26" s="1">
        <v>45923</v>
      </c>
      <c r="B26" t="s">
        <v>110</v>
      </c>
      <c r="C26" t="s">
        <v>111</v>
      </c>
      <c r="E26" t="s">
        <v>112</v>
      </c>
      <c r="F26" t="s">
        <v>50</v>
      </c>
      <c r="G26" t="s">
        <v>46</v>
      </c>
      <c r="H26" t="s">
        <v>29</v>
      </c>
      <c r="I26" t="s">
        <v>83</v>
      </c>
      <c r="J26" t="s">
        <v>84</v>
      </c>
      <c r="L26" s="1">
        <v>45962</v>
      </c>
      <c r="M26" s="1">
        <v>45962</v>
      </c>
      <c r="O26">
        <v>20003537</v>
      </c>
      <c r="P26" t="s">
        <v>32</v>
      </c>
      <c r="Q26" t="s">
        <v>113</v>
      </c>
      <c r="R26">
        <v>8192</v>
      </c>
      <c r="S26" t="s">
        <v>34</v>
      </c>
      <c r="T26" t="s">
        <v>35</v>
      </c>
      <c r="U26">
        <v>-73</v>
      </c>
      <c r="V26" t="s">
        <v>36</v>
      </c>
      <c r="W26" s="1">
        <v>45882</v>
      </c>
      <c r="X26">
        <v>2025</v>
      </c>
    </row>
    <row r="27" spans="1:24" x14ac:dyDescent="0.25">
      <c r="A27" s="1">
        <v>45923</v>
      </c>
      <c r="B27" t="s">
        <v>114</v>
      </c>
      <c r="C27" t="s">
        <v>115</v>
      </c>
      <c r="E27" t="s">
        <v>116</v>
      </c>
      <c r="F27" t="s">
        <v>117</v>
      </c>
      <c r="G27" t="s">
        <v>41</v>
      </c>
      <c r="H27" t="s">
        <v>29</v>
      </c>
      <c r="I27" t="s">
        <v>68</v>
      </c>
      <c r="J27" t="s">
        <v>118</v>
      </c>
      <c r="L27" s="1">
        <v>45931</v>
      </c>
      <c r="M27" s="1">
        <v>45931</v>
      </c>
      <c r="O27">
        <v>8307933</v>
      </c>
      <c r="P27" t="s">
        <v>32</v>
      </c>
      <c r="Q27" t="s">
        <v>70</v>
      </c>
      <c r="R27">
        <v>8192</v>
      </c>
      <c r="S27" t="s">
        <v>34</v>
      </c>
      <c r="T27" t="s">
        <v>35</v>
      </c>
      <c r="U27">
        <v>751</v>
      </c>
      <c r="V27" t="s">
        <v>45</v>
      </c>
      <c r="W27" s="1">
        <v>45880</v>
      </c>
      <c r="X27">
        <v>2025</v>
      </c>
    </row>
    <row r="28" spans="1:24" x14ac:dyDescent="0.25">
      <c r="A28" s="1">
        <v>45923</v>
      </c>
      <c r="B28" t="s">
        <v>114</v>
      </c>
      <c r="C28" t="s">
        <v>115</v>
      </c>
      <c r="E28" t="s">
        <v>116</v>
      </c>
      <c r="F28" t="s">
        <v>117</v>
      </c>
      <c r="G28" t="s">
        <v>46</v>
      </c>
      <c r="H28" t="s">
        <v>29</v>
      </c>
      <c r="I28" t="s">
        <v>68</v>
      </c>
      <c r="J28" t="s">
        <v>118</v>
      </c>
      <c r="L28" s="1">
        <v>45931</v>
      </c>
      <c r="M28" s="1">
        <v>45931</v>
      </c>
      <c r="O28">
        <v>8307933</v>
      </c>
      <c r="P28" t="s">
        <v>32</v>
      </c>
      <c r="Q28" t="s">
        <v>70</v>
      </c>
      <c r="R28">
        <v>8192</v>
      </c>
      <c r="S28" t="s">
        <v>34</v>
      </c>
      <c r="T28" t="s">
        <v>35</v>
      </c>
      <c r="U28">
        <v>-109.5</v>
      </c>
      <c r="V28" t="s">
        <v>36</v>
      </c>
      <c r="W28" s="1">
        <v>45880</v>
      </c>
      <c r="X28">
        <v>2025</v>
      </c>
    </row>
    <row r="29" spans="1:24" s="3" customFormat="1" x14ac:dyDescent="0.25">
      <c r="A29" s="2">
        <v>45923</v>
      </c>
      <c r="B29" s="3" t="s">
        <v>119</v>
      </c>
      <c r="C29" s="3" t="s">
        <v>120</v>
      </c>
      <c r="E29" s="3" t="s">
        <v>121</v>
      </c>
      <c r="F29" s="3" t="s">
        <v>50</v>
      </c>
      <c r="G29" s="3" t="s">
        <v>122</v>
      </c>
      <c r="H29" s="3" t="s">
        <v>29</v>
      </c>
      <c r="I29" s="3" t="s">
        <v>51</v>
      </c>
      <c r="J29" s="3" t="s">
        <v>74</v>
      </c>
      <c r="L29" s="2">
        <v>45658</v>
      </c>
      <c r="M29" s="2">
        <v>45658</v>
      </c>
      <c r="N29" s="2">
        <v>45930</v>
      </c>
      <c r="O29" s="3">
        <v>8814784</v>
      </c>
      <c r="P29" s="3" t="s">
        <v>32</v>
      </c>
      <c r="Q29" s="3" t="s">
        <v>123</v>
      </c>
      <c r="R29" s="3">
        <v>8192</v>
      </c>
      <c r="S29" s="3" t="s">
        <v>34</v>
      </c>
      <c r="T29" s="3" t="s">
        <v>35</v>
      </c>
      <c r="U29" s="3">
        <v>328.5</v>
      </c>
      <c r="V29" s="3" t="s">
        <v>36</v>
      </c>
      <c r="W29" s="2">
        <v>45601</v>
      </c>
      <c r="X29" s="3">
        <v>2025</v>
      </c>
    </row>
    <row r="30" spans="1:24" s="3" customFormat="1" x14ac:dyDescent="0.25">
      <c r="A30" s="2">
        <v>45923</v>
      </c>
      <c r="B30" s="3" t="s">
        <v>119</v>
      </c>
      <c r="C30" s="3" t="s">
        <v>120</v>
      </c>
      <c r="E30" s="3" t="s">
        <v>121</v>
      </c>
      <c r="F30" s="3" t="s">
        <v>50</v>
      </c>
      <c r="G30" s="3" t="s">
        <v>124</v>
      </c>
      <c r="H30" s="3" t="s">
        <v>29</v>
      </c>
      <c r="I30" s="3" t="s">
        <v>51</v>
      </c>
      <c r="J30" s="3" t="s">
        <v>74</v>
      </c>
      <c r="L30" s="2">
        <v>45658</v>
      </c>
      <c r="M30" s="2">
        <v>45658</v>
      </c>
      <c r="N30" s="2">
        <v>45930</v>
      </c>
      <c r="O30" s="3">
        <v>8814784</v>
      </c>
      <c r="P30" s="3" t="s">
        <v>32</v>
      </c>
      <c r="Q30" s="3" t="s">
        <v>123</v>
      </c>
      <c r="R30" s="3">
        <v>8192</v>
      </c>
      <c r="S30" s="3" t="s">
        <v>34</v>
      </c>
      <c r="T30" s="3" t="s">
        <v>35</v>
      </c>
      <c r="U30" s="3">
        <v>-438</v>
      </c>
      <c r="V30" s="3" t="s">
        <v>36</v>
      </c>
      <c r="W30" s="2">
        <v>45601</v>
      </c>
      <c r="X30" s="3">
        <v>2025</v>
      </c>
    </row>
    <row r="31" spans="1:24" x14ac:dyDescent="0.25">
      <c r="A31" s="1">
        <v>45923</v>
      </c>
      <c r="B31" t="s">
        <v>125</v>
      </c>
      <c r="C31" t="s">
        <v>126</v>
      </c>
      <c r="E31" t="s">
        <v>127</v>
      </c>
      <c r="F31" t="s">
        <v>128</v>
      </c>
      <c r="G31" t="s">
        <v>41</v>
      </c>
      <c r="H31" t="s">
        <v>29</v>
      </c>
      <c r="I31" t="s">
        <v>129</v>
      </c>
      <c r="J31" t="s">
        <v>130</v>
      </c>
      <c r="L31" s="1">
        <v>45931</v>
      </c>
      <c r="M31" s="1">
        <v>45931</v>
      </c>
      <c r="O31">
        <v>8307933</v>
      </c>
      <c r="P31" t="s">
        <v>32</v>
      </c>
      <c r="Q31" t="s">
        <v>70</v>
      </c>
      <c r="R31">
        <v>8192</v>
      </c>
      <c r="S31" t="s">
        <v>34</v>
      </c>
      <c r="T31" t="s">
        <v>35</v>
      </c>
      <c r="U31">
        <v>751</v>
      </c>
      <c r="V31" t="s">
        <v>45</v>
      </c>
      <c r="W31" s="1">
        <v>45887</v>
      </c>
      <c r="X31">
        <v>2025</v>
      </c>
    </row>
    <row r="32" spans="1:24" x14ac:dyDescent="0.25">
      <c r="A32" s="1">
        <v>45923</v>
      </c>
      <c r="B32" t="s">
        <v>125</v>
      </c>
      <c r="C32" t="s">
        <v>126</v>
      </c>
      <c r="E32" t="s">
        <v>127</v>
      </c>
      <c r="F32" t="s">
        <v>128</v>
      </c>
      <c r="G32" t="s">
        <v>46</v>
      </c>
      <c r="H32" t="s">
        <v>29</v>
      </c>
      <c r="I32" t="s">
        <v>129</v>
      </c>
      <c r="J32" t="s">
        <v>130</v>
      </c>
      <c r="L32" s="1">
        <v>45931</v>
      </c>
      <c r="M32" s="1">
        <v>45931</v>
      </c>
      <c r="O32">
        <v>8307933</v>
      </c>
      <c r="P32" t="s">
        <v>32</v>
      </c>
      <c r="Q32" t="s">
        <v>70</v>
      </c>
      <c r="R32">
        <v>8192</v>
      </c>
      <c r="S32" t="s">
        <v>34</v>
      </c>
      <c r="T32" t="s">
        <v>35</v>
      </c>
      <c r="U32">
        <v>-109.5</v>
      </c>
      <c r="V32" t="s">
        <v>36</v>
      </c>
      <c r="W32" s="1">
        <v>45887</v>
      </c>
      <c r="X32">
        <v>2025</v>
      </c>
    </row>
    <row r="33" spans="1:24" x14ac:dyDescent="0.25">
      <c r="A33" s="1">
        <v>45923</v>
      </c>
      <c r="B33" t="s">
        <v>131</v>
      </c>
      <c r="C33" t="s">
        <v>132</v>
      </c>
      <c r="E33" t="s">
        <v>133</v>
      </c>
      <c r="F33" t="s">
        <v>27</v>
      </c>
      <c r="G33" t="s">
        <v>41</v>
      </c>
      <c r="H33" t="s">
        <v>29</v>
      </c>
      <c r="I33" t="s">
        <v>30</v>
      </c>
      <c r="J33" t="s">
        <v>134</v>
      </c>
      <c r="L33" s="1">
        <v>45901</v>
      </c>
      <c r="M33" s="1">
        <v>45901</v>
      </c>
      <c r="O33">
        <v>17886092</v>
      </c>
      <c r="P33" t="s">
        <v>32</v>
      </c>
      <c r="Q33" t="s">
        <v>33</v>
      </c>
      <c r="R33">
        <v>8192</v>
      </c>
      <c r="S33" t="s">
        <v>34</v>
      </c>
      <c r="T33" t="s">
        <v>35</v>
      </c>
      <c r="U33">
        <v>40</v>
      </c>
      <c r="V33" t="s">
        <v>45</v>
      </c>
      <c r="W33" s="1">
        <v>45891</v>
      </c>
      <c r="X33">
        <v>2025</v>
      </c>
    </row>
    <row r="34" spans="1:24" x14ac:dyDescent="0.25">
      <c r="A34" s="1">
        <v>45923</v>
      </c>
      <c r="B34" t="s">
        <v>131</v>
      </c>
      <c r="C34" t="s">
        <v>132</v>
      </c>
      <c r="E34" t="s">
        <v>133</v>
      </c>
      <c r="F34" t="s">
        <v>27</v>
      </c>
      <c r="G34" t="s">
        <v>46</v>
      </c>
      <c r="H34" t="s">
        <v>29</v>
      </c>
      <c r="I34" t="s">
        <v>30</v>
      </c>
      <c r="J34" t="s">
        <v>134</v>
      </c>
      <c r="L34" s="1">
        <v>45901</v>
      </c>
      <c r="M34" s="1">
        <v>45901</v>
      </c>
      <c r="O34">
        <v>17886092</v>
      </c>
      <c r="P34" t="s">
        <v>32</v>
      </c>
      <c r="Q34" t="s">
        <v>33</v>
      </c>
      <c r="R34">
        <v>8192</v>
      </c>
      <c r="S34" t="s">
        <v>34</v>
      </c>
      <c r="T34" t="s">
        <v>35</v>
      </c>
      <c r="U34">
        <v>-13.33</v>
      </c>
      <c r="V34" t="s">
        <v>36</v>
      </c>
      <c r="W34" s="1">
        <v>45891</v>
      </c>
      <c r="X34">
        <v>2025</v>
      </c>
    </row>
    <row r="35" spans="1:24" x14ac:dyDescent="0.25">
      <c r="A35" s="1">
        <v>45923</v>
      </c>
      <c r="B35" t="s">
        <v>135</v>
      </c>
      <c r="C35" t="s">
        <v>136</v>
      </c>
      <c r="E35" t="s">
        <v>137</v>
      </c>
      <c r="F35" t="s">
        <v>50</v>
      </c>
      <c r="G35" t="s">
        <v>41</v>
      </c>
      <c r="H35" t="s">
        <v>29</v>
      </c>
      <c r="I35" t="s">
        <v>51</v>
      </c>
      <c r="J35" t="s">
        <v>74</v>
      </c>
      <c r="L35" s="1">
        <v>45901</v>
      </c>
      <c r="M35" s="1">
        <v>45901</v>
      </c>
      <c r="O35">
        <v>19268643</v>
      </c>
      <c r="P35" t="s">
        <v>32</v>
      </c>
      <c r="Q35" t="s">
        <v>85</v>
      </c>
      <c r="R35">
        <v>8192</v>
      </c>
      <c r="S35" t="s">
        <v>34</v>
      </c>
      <c r="T35" t="s">
        <v>35</v>
      </c>
      <c r="U35">
        <v>751</v>
      </c>
      <c r="V35" t="s">
        <v>45</v>
      </c>
      <c r="W35" s="1">
        <v>45898</v>
      </c>
      <c r="X35">
        <v>2025</v>
      </c>
    </row>
    <row r="36" spans="1:24" x14ac:dyDescent="0.25">
      <c r="A36" s="1">
        <v>45923</v>
      </c>
      <c r="B36" t="s">
        <v>135</v>
      </c>
      <c r="C36" t="s">
        <v>136</v>
      </c>
      <c r="E36" t="s">
        <v>137</v>
      </c>
      <c r="F36" t="s">
        <v>50</v>
      </c>
      <c r="G36" t="s">
        <v>46</v>
      </c>
      <c r="H36" t="s">
        <v>29</v>
      </c>
      <c r="I36" t="s">
        <v>51</v>
      </c>
      <c r="J36" t="s">
        <v>74</v>
      </c>
      <c r="L36" s="1">
        <v>45901</v>
      </c>
      <c r="M36" s="1">
        <v>45901</v>
      </c>
      <c r="O36">
        <v>19268643</v>
      </c>
      <c r="P36" t="s">
        <v>32</v>
      </c>
      <c r="Q36" t="s">
        <v>85</v>
      </c>
      <c r="R36">
        <v>8192</v>
      </c>
      <c r="S36" t="s">
        <v>34</v>
      </c>
      <c r="T36" t="s">
        <v>35</v>
      </c>
      <c r="U36">
        <v>-146</v>
      </c>
      <c r="V36" t="s">
        <v>36</v>
      </c>
      <c r="W36" s="1">
        <v>45898</v>
      </c>
      <c r="X36">
        <v>2025</v>
      </c>
    </row>
    <row r="37" spans="1:24" x14ac:dyDescent="0.25">
      <c r="A37" s="1">
        <v>45923</v>
      </c>
      <c r="B37" t="s">
        <v>138</v>
      </c>
      <c r="C37" t="s">
        <v>139</v>
      </c>
      <c r="E37" t="s">
        <v>140</v>
      </c>
      <c r="F37" t="s">
        <v>40</v>
      </c>
      <c r="G37" t="s">
        <v>41</v>
      </c>
      <c r="H37" t="s">
        <v>29</v>
      </c>
      <c r="I37" t="s">
        <v>42</v>
      </c>
      <c r="J37" t="s">
        <v>105</v>
      </c>
      <c r="L37" s="1">
        <v>45901</v>
      </c>
      <c r="M37" s="1">
        <v>45901</v>
      </c>
      <c r="O37">
        <v>18142208</v>
      </c>
      <c r="P37" t="s">
        <v>32</v>
      </c>
      <c r="Q37" t="s">
        <v>44</v>
      </c>
      <c r="R37">
        <v>8192</v>
      </c>
      <c r="S37" t="s">
        <v>34</v>
      </c>
      <c r="T37" t="s">
        <v>35</v>
      </c>
      <c r="U37">
        <v>751</v>
      </c>
      <c r="V37" t="s">
        <v>45</v>
      </c>
      <c r="W37" s="1">
        <v>45888</v>
      </c>
      <c r="X37">
        <v>2025</v>
      </c>
    </row>
    <row r="38" spans="1:24" x14ac:dyDescent="0.25">
      <c r="A38" s="1">
        <v>45923</v>
      </c>
      <c r="B38" t="s">
        <v>138</v>
      </c>
      <c r="C38" t="s">
        <v>139</v>
      </c>
      <c r="E38" t="s">
        <v>140</v>
      </c>
      <c r="F38" t="s">
        <v>40</v>
      </c>
      <c r="G38" t="s">
        <v>46</v>
      </c>
      <c r="H38" t="s">
        <v>29</v>
      </c>
      <c r="I38" t="s">
        <v>42</v>
      </c>
      <c r="J38" t="s">
        <v>105</v>
      </c>
      <c r="L38" s="1">
        <v>45901</v>
      </c>
      <c r="M38" s="1">
        <v>45901</v>
      </c>
      <c r="O38">
        <v>18142208</v>
      </c>
      <c r="P38" t="s">
        <v>32</v>
      </c>
      <c r="Q38" t="s">
        <v>44</v>
      </c>
      <c r="R38">
        <v>8192</v>
      </c>
      <c r="S38" t="s">
        <v>34</v>
      </c>
      <c r="T38" t="s">
        <v>35</v>
      </c>
      <c r="U38">
        <v>-146</v>
      </c>
      <c r="V38" t="s">
        <v>36</v>
      </c>
      <c r="W38" s="1">
        <v>45888</v>
      </c>
      <c r="X38">
        <v>2025</v>
      </c>
    </row>
    <row r="39" spans="1:24" x14ac:dyDescent="0.25">
      <c r="A39" s="1">
        <v>45923</v>
      </c>
      <c r="B39" t="s">
        <v>141</v>
      </c>
      <c r="C39" t="s">
        <v>142</v>
      </c>
      <c r="E39" t="s">
        <v>143</v>
      </c>
      <c r="F39" t="s">
        <v>144</v>
      </c>
      <c r="G39" t="s">
        <v>41</v>
      </c>
      <c r="H39" t="s">
        <v>29</v>
      </c>
      <c r="I39" t="s">
        <v>145</v>
      </c>
      <c r="J39" t="s">
        <v>146</v>
      </c>
      <c r="L39" s="1">
        <v>45901</v>
      </c>
      <c r="M39" s="1">
        <v>45901</v>
      </c>
      <c r="O39">
        <v>8307933</v>
      </c>
      <c r="P39" t="s">
        <v>32</v>
      </c>
      <c r="Q39" t="s">
        <v>70</v>
      </c>
      <c r="R39">
        <v>8192</v>
      </c>
      <c r="S39" t="s">
        <v>34</v>
      </c>
      <c r="T39" t="s">
        <v>35</v>
      </c>
      <c r="U39">
        <v>751</v>
      </c>
      <c r="V39" t="s">
        <v>45</v>
      </c>
      <c r="W39" s="1">
        <v>45888</v>
      </c>
      <c r="X39">
        <v>2025</v>
      </c>
    </row>
    <row r="40" spans="1:24" x14ac:dyDescent="0.25">
      <c r="A40" s="1">
        <v>45923</v>
      </c>
      <c r="B40" t="s">
        <v>141</v>
      </c>
      <c r="C40" t="s">
        <v>142</v>
      </c>
      <c r="E40" t="s">
        <v>143</v>
      </c>
      <c r="F40" t="s">
        <v>144</v>
      </c>
      <c r="G40" t="s">
        <v>46</v>
      </c>
      <c r="H40" t="s">
        <v>29</v>
      </c>
      <c r="I40" t="s">
        <v>145</v>
      </c>
      <c r="J40" t="s">
        <v>146</v>
      </c>
      <c r="L40" s="1">
        <v>45901</v>
      </c>
      <c r="M40" s="1">
        <v>45901</v>
      </c>
      <c r="O40">
        <v>8307933</v>
      </c>
      <c r="P40" t="s">
        <v>32</v>
      </c>
      <c r="Q40" t="s">
        <v>70</v>
      </c>
      <c r="R40">
        <v>8192</v>
      </c>
      <c r="S40" t="s">
        <v>34</v>
      </c>
      <c r="T40" t="s">
        <v>35</v>
      </c>
      <c r="U40">
        <v>-146</v>
      </c>
      <c r="V40" t="s">
        <v>36</v>
      </c>
      <c r="W40" s="1">
        <v>45888</v>
      </c>
      <c r="X40">
        <v>2025</v>
      </c>
    </row>
    <row r="41" spans="1:24" x14ac:dyDescent="0.25">
      <c r="A41" s="1">
        <v>45923</v>
      </c>
      <c r="B41" t="s">
        <v>147</v>
      </c>
      <c r="C41" t="s">
        <v>148</v>
      </c>
      <c r="E41" t="s">
        <v>149</v>
      </c>
      <c r="F41" t="s">
        <v>27</v>
      </c>
      <c r="G41" t="s">
        <v>41</v>
      </c>
      <c r="H41" t="s">
        <v>29</v>
      </c>
      <c r="I41" t="s">
        <v>30</v>
      </c>
      <c r="J41" t="s">
        <v>150</v>
      </c>
      <c r="L41" s="1">
        <v>45870</v>
      </c>
      <c r="M41" s="1">
        <v>45870</v>
      </c>
      <c r="O41">
        <v>9254978</v>
      </c>
      <c r="P41" t="s">
        <v>32</v>
      </c>
      <c r="Q41" t="s">
        <v>151</v>
      </c>
      <c r="R41">
        <v>8192</v>
      </c>
      <c r="S41" t="s">
        <v>34</v>
      </c>
      <c r="T41" t="s">
        <v>35</v>
      </c>
      <c r="U41">
        <v>825</v>
      </c>
      <c r="V41" t="s">
        <v>45</v>
      </c>
      <c r="W41" s="1">
        <v>45855</v>
      </c>
      <c r="X41">
        <v>2025</v>
      </c>
    </row>
    <row r="42" spans="1:24" x14ac:dyDescent="0.25">
      <c r="A42" s="1">
        <v>45923</v>
      </c>
      <c r="B42" t="s">
        <v>147</v>
      </c>
      <c r="C42" t="s">
        <v>148</v>
      </c>
      <c r="E42" t="s">
        <v>149</v>
      </c>
      <c r="F42" t="s">
        <v>27</v>
      </c>
      <c r="G42" t="s">
        <v>46</v>
      </c>
      <c r="H42" t="s">
        <v>29</v>
      </c>
      <c r="I42" t="s">
        <v>30</v>
      </c>
      <c r="J42" t="s">
        <v>150</v>
      </c>
      <c r="L42" s="1">
        <v>45870</v>
      </c>
      <c r="M42" s="1">
        <v>45870</v>
      </c>
      <c r="O42">
        <v>9254978</v>
      </c>
      <c r="P42" t="s">
        <v>32</v>
      </c>
      <c r="Q42" t="s">
        <v>151</v>
      </c>
      <c r="R42">
        <v>8192</v>
      </c>
      <c r="S42" t="s">
        <v>34</v>
      </c>
      <c r="T42" t="s">
        <v>35</v>
      </c>
      <c r="U42">
        <v>-197.08</v>
      </c>
      <c r="V42" t="s">
        <v>36</v>
      </c>
      <c r="W42" s="1">
        <v>45855</v>
      </c>
      <c r="X42">
        <v>2025</v>
      </c>
    </row>
    <row r="43" spans="1:24" x14ac:dyDescent="0.25">
      <c r="A43" s="1">
        <v>45923</v>
      </c>
      <c r="B43" t="s">
        <v>152</v>
      </c>
      <c r="C43" t="s">
        <v>153</v>
      </c>
      <c r="E43" t="s">
        <v>154</v>
      </c>
      <c r="F43" t="s">
        <v>155</v>
      </c>
      <c r="G43" t="s">
        <v>41</v>
      </c>
      <c r="H43" t="s">
        <v>29</v>
      </c>
      <c r="I43" t="s">
        <v>156</v>
      </c>
      <c r="J43" t="s">
        <v>157</v>
      </c>
      <c r="L43" s="1">
        <v>45931</v>
      </c>
      <c r="M43" s="1">
        <v>45931</v>
      </c>
      <c r="O43">
        <v>8307933</v>
      </c>
      <c r="P43" t="s">
        <v>32</v>
      </c>
      <c r="Q43" t="s">
        <v>70</v>
      </c>
      <c r="R43">
        <v>8192</v>
      </c>
      <c r="S43" t="s">
        <v>34</v>
      </c>
      <c r="T43" t="s">
        <v>35</v>
      </c>
      <c r="U43">
        <v>751</v>
      </c>
      <c r="V43" t="s">
        <v>45</v>
      </c>
      <c r="W43" s="1">
        <v>45891</v>
      </c>
      <c r="X43">
        <v>2025</v>
      </c>
    </row>
    <row r="44" spans="1:24" x14ac:dyDescent="0.25">
      <c r="A44" s="1">
        <v>45923</v>
      </c>
      <c r="B44" t="s">
        <v>152</v>
      </c>
      <c r="C44" t="s">
        <v>153</v>
      </c>
      <c r="E44" t="s">
        <v>154</v>
      </c>
      <c r="F44" t="s">
        <v>155</v>
      </c>
      <c r="G44" t="s">
        <v>46</v>
      </c>
      <c r="H44" t="s">
        <v>29</v>
      </c>
      <c r="I44" t="s">
        <v>156</v>
      </c>
      <c r="J44" t="s">
        <v>157</v>
      </c>
      <c r="L44" s="1">
        <v>45931</v>
      </c>
      <c r="M44" s="1">
        <v>45931</v>
      </c>
      <c r="O44">
        <v>8307933</v>
      </c>
      <c r="P44" t="s">
        <v>32</v>
      </c>
      <c r="Q44" t="s">
        <v>70</v>
      </c>
      <c r="R44">
        <v>8192</v>
      </c>
      <c r="S44" t="s">
        <v>34</v>
      </c>
      <c r="T44" t="s">
        <v>35</v>
      </c>
      <c r="U44">
        <v>-109.5</v>
      </c>
      <c r="V44" t="s">
        <v>36</v>
      </c>
      <c r="W44" s="1">
        <v>45891</v>
      </c>
      <c r="X44">
        <v>2025</v>
      </c>
    </row>
    <row r="45" spans="1:24" x14ac:dyDescent="0.25">
      <c r="A45" s="1">
        <v>45923</v>
      </c>
      <c r="B45" t="s">
        <v>158</v>
      </c>
      <c r="C45" t="s">
        <v>159</v>
      </c>
      <c r="E45" t="s">
        <v>160</v>
      </c>
      <c r="F45" t="s">
        <v>50</v>
      </c>
      <c r="G45" t="s">
        <v>41</v>
      </c>
      <c r="H45" t="s">
        <v>29</v>
      </c>
      <c r="I45" t="s">
        <v>51</v>
      </c>
      <c r="J45" t="s">
        <v>161</v>
      </c>
      <c r="L45" s="1">
        <v>45901</v>
      </c>
      <c r="M45" s="1">
        <v>45901</v>
      </c>
      <c r="O45">
        <v>19681796</v>
      </c>
      <c r="P45" t="s">
        <v>32</v>
      </c>
      <c r="Q45" t="s">
        <v>109</v>
      </c>
      <c r="R45">
        <v>8192</v>
      </c>
      <c r="S45" t="s">
        <v>34</v>
      </c>
      <c r="T45" t="s">
        <v>35</v>
      </c>
      <c r="U45">
        <v>746</v>
      </c>
      <c r="V45" t="s">
        <v>45</v>
      </c>
      <c r="W45" s="1">
        <v>45881</v>
      </c>
      <c r="X45">
        <v>2025</v>
      </c>
    </row>
    <row r="46" spans="1:24" x14ac:dyDescent="0.25">
      <c r="A46" s="1">
        <v>45923</v>
      </c>
      <c r="B46" t="s">
        <v>158</v>
      </c>
      <c r="C46" t="s">
        <v>159</v>
      </c>
      <c r="E46" t="s">
        <v>160</v>
      </c>
      <c r="F46" t="s">
        <v>50</v>
      </c>
      <c r="G46" t="s">
        <v>46</v>
      </c>
      <c r="H46" t="s">
        <v>29</v>
      </c>
      <c r="I46" t="s">
        <v>51</v>
      </c>
      <c r="J46" t="s">
        <v>161</v>
      </c>
      <c r="L46" s="1">
        <v>45901</v>
      </c>
      <c r="M46" s="1">
        <v>45901</v>
      </c>
      <c r="O46">
        <v>19681796</v>
      </c>
      <c r="P46" t="s">
        <v>32</v>
      </c>
      <c r="Q46" t="s">
        <v>109</v>
      </c>
      <c r="R46">
        <v>8192</v>
      </c>
      <c r="S46" t="s">
        <v>34</v>
      </c>
      <c r="T46" t="s">
        <v>35</v>
      </c>
      <c r="U46">
        <v>-144.33000000000001</v>
      </c>
      <c r="V46" t="s">
        <v>36</v>
      </c>
      <c r="W46" s="1">
        <v>45881</v>
      </c>
      <c r="X46">
        <v>2025</v>
      </c>
    </row>
    <row r="47" spans="1:24" x14ac:dyDescent="0.25">
      <c r="A47" s="1">
        <v>45923</v>
      </c>
      <c r="B47" t="s">
        <v>162</v>
      </c>
      <c r="C47" t="s">
        <v>163</v>
      </c>
      <c r="E47" t="s">
        <v>164</v>
      </c>
      <c r="F47" t="s">
        <v>50</v>
      </c>
      <c r="G47" t="s">
        <v>41</v>
      </c>
      <c r="H47" t="s">
        <v>29</v>
      </c>
      <c r="I47" t="s">
        <v>51</v>
      </c>
      <c r="J47" t="s">
        <v>52</v>
      </c>
      <c r="L47" s="1">
        <v>45931</v>
      </c>
      <c r="M47" s="1">
        <v>45931</v>
      </c>
      <c r="O47">
        <v>9213293</v>
      </c>
      <c r="P47" t="s">
        <v>32</v>
      </c>
      <c r="Q47" t="s">
        <v>53</v>
      </c>
      <c r="R47">
        <v>8192</v>
      </c>
      <c r="S47" t="s">
        <v>34</v>
      </c>
      <c r="T47" t="s">
        <v>35</v>
      </c>
      <c r="U47">
        <v>751</v>
      </c>
      <c r="V47" t="s">
        <v>45</v>
      </c>
      <c r="W47" s="1">
        <v>45882</v>
      </c>
      <c r="X47">
        <v>2025</v>
      </c>
    </row>
    <row r="48" spans="1:24" x14ac:dyDescent="0.25">
      <c r="A48" s="1">
        <v>45923</v>
      </c>
      <c r="B48" t="s">
        <v>162</v>
      </c>
      <c r="C48" t="s">
        <v>163</v>
      </c>
      <c r="E48" t="s">
        <v>164</v>
      </c>
      <c r="F48" t="s">
        <v>50</v>
      </c>
      <c r="G48" t="s">
        <v>46</v>
      </c>
      <c r="H48" t="s">
        <v>29</v>
      </c>
      <c r="I48" t="s">
        <v>51</v>
      </c>
      <c r="J48" t="s">
        <v>52</v>
      </c>
      <c r="L48" s="1">
        <v>45931</v>
      </c>
      <c r="M48" s="1">
        <v>45931</v>
      </c>
      <c r="O48">
        <v>9213293</v>
      </c>
      <c r="P48" t="s">
        <v>32</v>
      </c>
      <c r="Q48" t="s">
        <v>53</v>
      </c>
      <c r="R48">
        <v>8192</v>
      </c>
      <c r="S48" t="s">
        <v>34</v>
      </c>
      <c r="T48" t="s">
        <v>35</v>
      </c>
      <c r="U48">
        <v>-109.5</v>
      </c>
      <c r="V48" t="s">
        <v>36</v>
      </c>
      <c r="W48" s="1">
        <v>45882</v>
      </c>
      <c r="X48">
        <v>2025</v>
      </c>
    </row>
    <row r="49" spans="1:24" x14ac:dyDescent="0.25">
      <c r="A49" s="1">
        <v>45923</v>
      </c>
      <c r="B49" t="s">
        <v>165</v>
      </c>
      <c r="C49" t="s">
        <v>166</v>
      </c>
      <c r="E49" t="s">
        <v>167</v>
      </c>
      <c r="F49" t="s">
        <v>50</v>
      </c>
      <c r="G49" t="s">
        <v>41</v>
      </c>
      <c r="H49" t="s">
        <v>29</v>
      </c>
      <c r="I49" t="s">
        <v>51</v>
      </c>
      <c r="J49" t="s">
        <v>74</v>
      </c>
      <c r="L49" s="1">
        <v>45901</v>
      </c>
      <c r="M49" s="1">
        <v>45901</v>
      </c>
      <c r="O49">
        <v>8814784</v>
      </c>
      <c r="P49" t="s">
        <v>32</v>
      </c>
      <c r="Q49" t="s">
        <v>123</v>
      </c>
      <c r="R49">
        <v>8192</v>
      </c>
      <c r="S49" t="s">
        <v>34</v>
      </c>
      <c r="T49" t="s">
        <v>35</v>
      </c>
      <c r="U49">
        <v>746</v>
      </c>
      <c r="V49" t="s">
        <v>45</v>
      </c>
      <c r="W49" s="1">
        <v>45888</v>
      </c>
      <c r="X49">
        <v>2025</v>
      </c>
    </row>
    <row r="50" spans="1:24" x14ac:dyDescent="0.25">
      <c r="A50" s="1">
        <v>45923</v>
      </c>
      <c r="B50" t="s">
        <v>165</v>
      </c>
      <c r="C50" t="s">
        <v>166</v>
      </c>
      <c r="E50" t="s">
        <v>167</v>
      </c>
      <c r="F50" t="s">
        <v>50</v>
      </c>
      <c r="G50" t="s">
        <v>46</v>
      </c>
      <c r="H50" t="s">
        <v>29</v>
      </c>
      <c r="I50" t="s">
        <v>51</v>
      </c>
      <c r="J50" t="s">
        <v>74</v>
      </c>
      <c r="L50" s="1">
        <v>45901</v>
      </c>
      <c r="M50" s="1">
        <v>45901</v>
      </c>
      <c r="O50">
        <v>8814784</v>
      </c>
      <c r="P50" t="s">
        <v>32</v>
      </c>
      <c r="Q50" t="s">
        <v>123</v>
      </c>
      <c r="R50">
        <v>8192</v>
      </c>
      <c r="S50" t="s">
        <v>34</v>
      </c>
      <c r="T50" t="s">
        <v>35</v>
      </c>
      <c r="U50">
        <v>-144.33000000000001</v>
      </c>
      <c r="V50" t="s">
        <v>36</v>
      </c>
      <c r="W50" s="1">
        <v>45888</v>
      </c>
      <c r="X50">
        <v>2025</v>
      </c>
    </row>
    <row r="51" spans="1:24" x14ac:dyDescent="0.25">
      <c r="A51" s="1">
        <v>45923</v>
      </c>
      <c r="B51" t="s">
        <v>168</v>
      </c>
      <c r="C51" t="s">
        <v>169</v>
      </c>
      <c r="E51" t="s">
        <v>170</v>
      </c>
      <c r="F51" t="s">
        <v>50</v>
      </c>
      <c r="G51" t="s">
        <v>41</v>
      </c>
      <c r="H51" t="s">
        <v>29</v>
      </c>
      <c r="I51" t="s">
        <v>51</v>
      </c>
      <c r="J51" t="s">
        <v>74</v>
      </c>
      <c r="L51" s="1">
        <v>45901</v>
      </c>
      <c r="M51" s="1">
        <v>45901</v>
      </c>
      <c r="O51">
        <v>7146581</v>
      </c>
      <c r="P51" t="s">
        <v>32</v>
      </c>
      <c r="Q51" t="s">
        <v>171</v>
      </c>
      <c r="R51">
        <v>8192</v>
      </c>
      <c r="S51" t="s">
        <v>34</v>
      </c>
      <c r="T51" t="s">
        <v>35</v>
      </c>
      <c r="U51">
        <v>751</v>
      </c>
      <c r="V51" t="s">
        <v>45</v>
      </c>
      <c r="W51" s="1">
        <v>45883</v>
      </c>
      <c r="X51">
        <v>2025</v>
      </c>
    </row>
    <row r="52" spans="1:24" x14ac:dyDescent="0.25">
      <c r="A52" s="1">
        <v>45923</v>
      </c>
      <c r="B52" t="s">
        <v>168</v>
      </c>
      <c r="C52" t="s">
        <v>169</v>
      </c>
      <c r="E52" t="s">
        <v>170</v>
      </c>
      <c r="F52" t="s">
        <v>50</v>
      </c>
      <c r="G52" t="s">
        <v>46</v>
      </c>
      <c r="H52" t="s">
        <v>29</v>
      </c>
      <c r="I52" t="s">
        <v>51</v>
      </c>
      <c r="J52" t="s">
        <v>74</v>
      </c>
      <c r="L52" s="1">
        <v>45901</v>
      </c>
      <c r="M52" s="1">
        <v>45901</v>
      </c>
      <c r="O52">
        <v>7146581</v>
      </c>
      <c r="P52" t="s">
        <v>32</v>
      </c>
      <c r="Q52" t="s">
        <v>171</v>
      </c>
      <c r="R52">
        <v>8192</v>
      </c>
      <c r="S52" t="s">
        <v>34</v>
      </c>
      <c r="T52" t="s">
        <v>35</v>
      </c>
      <c r="U52">
        <v>-146</v>
      </c>
      <c r="V52" t="s">
        <v>36</v>
      </c>
      <c r="W52" s="1">
        <v>45883</v>
      </c>
      <c r="X52">
        <v>2025</v>
      </c>
    </row>
    <row r="53" spans="1:24" x14ac:dyDescent="0.25">
      <c r="A53" s="1">
        <v>45923</v>
      </c>
      <c r="B53" t="s">
        <v>172</v>
      </c>
      <c r="C53" t="s">
        <v>173</v>
      </c>
      <c r="E53" t="s">
        <v>174</v>
      </c>
      <c r="F53" t="s">
        <v>27</v>
      </c>
      <c r="G53" t="s">
        <v>41</v>
      </c>
      <c r="H53" t="s">
        <v>29</v>
      </c>
      <c r="I53" t="s">
        <v>30</v>
      </c>
      <c r="J53" t="s">
        <v>134</v>
      </c>
      <c r="L53" s="1">
        <v>45901</v>
      </c>
      <c r="M53" s="1">
        <v>45901</v>
      </c>
      <c r="O53">
        <v>17528908</v>
      </c>
      <c r="P53" t="s">
        <v>32</v>
      </c>
      <c r="Q53" t="s">
        <v>63</v>
      </c>
      <c r="R53">
        <v>8192</v>
      </c>
      <c r="S53" t="s">
        <v>34</v>
      </c>
      <c r="T53" t="s">
        <v>35</v>
      </c>
      <c r="U53">
        <v>830</v>
      </c>
      <c r="V53" t="s">
        <v>45</v>
      </c>
      <c r="W53" s="1">
        <v>45887</v>
      </c>
      <c r="X53">
        <v>2025</v>
      </c>
    </row>
    <row r="54" spans="1:24" x14ac:dyDescent="0.25">
      <c r="A54" s="1">
        <v>45923</v>
      </c>
      <c r="B54" t="s">
        <v>172</v>
      </c>
      <c r="C54" t="s">
        <v>173</v>
      </c>
      <c r="E54" t="s">
        <v>174</v>
      </c>
      <c r="F54" t="s">
        <v>27</v>
      </c>
      <c r="G54" t="s">
        <v>46</v>
      </c>
      <c r="H54" t="s">
        <v>29</v>
      </c>
      <c r="I54" t="s">
        <v>30</v>
      </c>
      <c r="J54" t="s">
        <v>134</v>
      </c>
      <c r="L54" s="1">
        <v>45901</v>
      </c>
      <c r="M54" s="1">
        <v>45901</v>
      </c>
      <c r="O54">
        <v>17528908</v>
      </c>
      <c r="P54" t="s">
        <v>32</v>
      </c>
      <c r="Q54" t="s">
        <v>63</v>
      </c>
      <c r="R54">
        <v>8192</v>
      </c>
      <c r="S54" t="s">
        <v>34</v>
      </c>
      <c r="T54" t="s">
        <v>35</v>
      </c>
      <c r="U54">
        <v>-159.33000000000001</v>
      </c>
      <c r="V54" t="s">
        <v>36</v>
      </c>
      <c r="W54" s="1">
        <v>45887</v>
      </c>
      <c r="X54">
        <v>2025</v>
      </c>
    </row>
    <row r="55" spans="1:24" x14ac:dyDescent="0.25">
      <c r="A55" s="1">
        <v>45923</v>
      </c>
      <c r="B55" t="s">
        <v>175</v>
      </c>
      <c r="C55" t="s">
        <v>176</v>
      </c>
      <c r="E55" t="s">
        <v>177</v>
      </c>
      <c r="F55" t="s">
        <v>40</v>
      </c>
      <c r="G55" t="s">
        <v>41</v>
      </c>
      <c r="H55" t="s">
        <v>29</v>
      </c>
      <c r="I55" t="s">
        <v>42</v>
      </c>
      <c r="J55" t="s">
        <v>43</v>
      </c>
      <c r="L55" s="1">
        <v>45962</v>
      </c>
      <c r="M55" s="1">
        <v>45962</v>
      </c>
      <c r="O55">
        <v>18142208</v>
      </c>
      <c r="P55" t="s">
        <v>32</v>
      </c>
      <c r="Q55" t="s">
        <v>44</v>
      </c>
      <c r="R55">
        <v>8192</v>
      </c>
      <c r="S55" t="s">
        <v>34</v>
      </c>
      <c r="T55" t="s">
        <v>35</v>
      </c>
      <c r="U55">
        <v>751</v>
      </c>
      <c r="V55" t="s">
        <v>45</v>
      </c>
      <c r="W55" s="1">
        <v>45882</v>
      </c>
      <c r="X55">
        <v>2025</v>
      </c>
    </row>
    <row r="56" spans="1:24" x14ac:dyDescent="0.25">
      <c r="A56" s="1">
        <v>45923</v>
      </c>
      <c r="B56" t="s">
        <v>175</v>
      </c>
      <c r="C56" t="s">
        <v>176</v>
      </c>
      <c r="E56" t="s">
        <v>177</v>
      </c>
      <c r="F56" t="s">
        <v>40</v>
      </c>
      <c r="G56" t="s">
        <v>46</v>
      </c>
      <c r="H56" t="s">
        <v>29</v>
      </c>
      <c r="I56" t="s">
        <v>42</v>
      </c>
      <c r="J56" t="s">
        <v>43</v>
      </c>
      <c r="L56" s="1">
        <v>45962</v>
      </c>
      <c r="M56" s="1">
        <v>45962</v>
      </c>
      <c r="O56">
        <v>18142208</v>
      </c>
      <c r="P56" t="s">
        <v>32</v>
      </c>
      <c r="Q56" t="s">
        <v>44</v>
      </c>
      <c r="R56">
        <v>8192</v>
      </c>
      <c r="S56" t="s">
        <v>34</v>
      </c>
      <c r="T56" t="s">
        <v>35</v>
      </c>
      <c r="U56">
        <v>-73</v>
      </c>
      <c r="V56" t="s">
        <v>36</v>
      </c>
      <c r="W56" s="1">
        <v>45882</v>
      </c>
      <c r="X56">
        <v>2025</v>
      </c>
    </row>
    <row r="57" spans="1:24" x14ac:dyDescent="0.25">
      <c r="A57" s="1">
        <v>45923</v>
      </c>
      <c r="B57" t="s">
        <v>178</v>
      </c>
      <c r="C57" t="s">
        <v>179</v>
      </c>
      <c r="E57" t="s">
        <v>180</v>
      </c>
      <c r="F57" t="s">
        <v>27</v>
      </c>
      <c r="G57" t="s">
        <v>41</v>
      </c>
      <c r="H57" t="s">
        <v>29</v>
      </c>
      <c r="I57" t="s">
        <v>30</v>
      </c>
      <c r="J57" t="s">
        <v>31</v>
      </c>
      <c r="L57" s="1">
        <v>45901</v>
      </c>
      <c r="M57" s="1">
        <v>45901</v>
      </c>
      <c r="O57">
        <v>17886092</v>
      </c>
      <c r="P57" t="s">
        <v>32</v>
      </c>
      <c r="Q57" t="s">
        <v>33</v>
      </c>
      <c r="R57">
        <v>8192</v>
      </c>
      <c r="S57" t="s">
        <v>34</v>
      </c>
      <c r="T57" t="s">
        <v>35</v>
      </c>
      <c r="U57">
        <v>40</v>
      </c>
      <c r="V57" t="s">
        <v>45</v>
      </c>
      <c r="W57" s="1">
        <v>45894</v>
      </c>
      <c r="X57">
        <v>2025</v>
      </c>
    </row>
    <row r="58" spans="1:24" x14ac:dyDescent="0.25">
      <c r="A58" s="1">
        <v>45923</v>
      </c>
      <c r="B58" t="s">
        <v>178</v>
      </c>
      <c r="C58" t="s">
        <v>179</v>
      </c>
      <c r="E58" t="s">
        <v>180</v>
      </c>
      <c r="F58" t="s">
        <v>27</v>
      </c>
      <c r="G58" t="s">
        <v>46</v>
      </c>
      <c r="H58" t="s">
        <v>29</v>
      </c>
      <c r="I58" t="s">
        <v>30</v>
      </c>
      <c r="J58" t="s">
        <v>31</v>
      </c>
      <c r="L58" s="1">
        <v>45901</v>
      </c>
      <c r="M58" s="1">
        <v>45901</v>
      </c>
      <c r="O58">
        <v>17886092</v>
      </c>
      <c r="P58" t="s">
        <v>32</v>
      </c>
      <c r="Q58" t="s">
        <v>33</v>
      </c>
      <c r="R58">
        <v>8192</v>
      </c>
      <c r="S58" t="s">
        <v>34</v>
      </c>
      <c r="T58" t="s">
        <v>35</v>
      </c>
      <c r="U58">
        <v>-13.33</v>
      </c>
      <c r="V58" t="s">
        <v>36</v>
      </c>
      <c r="W58" s="1">
        <v>45894</v>
      </c>
      <c r="X58">
        <v>2025</v>
      </c>
    </row>
    <row r="59" spans="1:24" x14ac:dyDescent="0.25">
      <c r="A59" s="1">
        <v>45923</v>
      </c>
      <c r="B59" t="s">
        <v>181</v>
      </c>
      <c r="C59" t="s">
        <v>182</v>
      </c>
      <c r="E59" t="s">
        <v>183</v>
      </c>
      <c r="F59" t="s">
        <v>50</v>
      </c>
      <c r="G59" t="s">
        <v>41</v>
      </c>
      <c r="H59" t="s">
        <v>29</v>
      </c>
      <c r="I59" t="s">
        <v>83</v>
      </c>
      <c r="J59" t="s">
        <v>84</v>
      </c>
      <c r="L59" s="1">
        <v>45962</v>
      </c>
      <c r="M59" s="1">
        <v>45962</v>
      </c>
      <c r="O59">
        <v>9213293</v>
      </c>
      <c r="P59" t="s">
        <v>32</v>
      </c>
      <c r="Q59" t="s">
        <v>53</v>
      </c>
      <c r="R59">
        <v>8192</v>
      </c>
      <c r="S59" t="s">
        <v>34</v>
      </c>
      <c r="T59" t="s">
        <v>35</v>
      </c>
      <c r="U59">
        <v>751</v>
      </c>
      <c r="V59" t="s">
        <v>45</v>
      </c>
      <c r="W59" s="1">
        <v>45874</v>
      </c>
      <c r="X59">
        <v>2025</v>
      </c>
    </row>
    <row r="60" spans="1:24" x14ac:dyDescent="0.25">
      <c r="A60" s="1">
        <v>45923</v>
      </c>
      <c r="B60" t="s">
        <v>181</v>
      </c>
      <c r="C60" t="s">
        <v>182</v>
      </c>
      <c r="E60" t="s">
        <v>183</v>
      </c>
      <c r="F60" t="s">
        <v>50</v>
      </c>
      <c r="G60" t="s">
        <v>46</v>
      </c>
      <c r="H60" t="s">
        <v>29</v>
      </c>
      <c r="I60" t="s">
        <v>83</v>
      </c>
      <c r="J60" t="s">
        <v>84</v>
      </c>
      <c r="L60" s="1">
        <v>45962</v>
      </c>
      <c r="M60" s="1">
        <v>45962</v>
      </c>
      <c r="O60">
        <v>9213293</v>
      </c>
      <c r="P60" t="s">
        <v>32</v>
      </c>
      <c r="Q60" t="s">
        <v>53</v>
      </c>
      <c r="R60">
        <v>8192</v>
      </c>
      <c r="S60" t="s">
        <v>34</v>
      </c>
      <c r="T60" t="s">
        <v>35</v>
      </c>
      <c r="U60">
        <v>-73</v>
      </c>
      <c r="V60" t="s">
        <v>36</v>
      </c>
      <c r="W60" s="1">
        <v>45874</v>
      </c>
      <c r="X60">
        <v>2025</v>
      </c>
    </row>
    <row r="61" spans="1:24" x14ac:dyDescent="0.25">
      <c r="A61" s="1">
        <v>45923</v>
      </c>
      <c r="B61" t="s">
        <v>184</v>
      </c>
      <c r="C61" t="s">
        <v>185</v>
      </c>
      <c r="E61" t="s">
        <v>186</v>
      </c>
      <c r="F61" t="s">
        <v>27</v>
      </c>
      <c r="G61" t="s">
        <v>41</v>
      </c>
      <c r="H61" t="s">
        <v>29</v>
      </c>
      <c r="I61" t="s">
        <v>30</v>
      </c>
      <c r="J61" t="s">
        <v>31</v>
      </c>
      <c r="L61" s="1">
        <v>45901</v>
      </c>
      <c r="M61" s="1">
        <v>45901</v>
      </c>
      <c r="O61">
        <v>17528908</v>
      </c>
      <c r="P61" t="s">
        <v>32</v>
      </c>
      <c r="Q61" t="s">
        <v>63</v>
      </c>
      <c r="R61">
        <v>8192</v>
      </c>
      <c r="S61" t="s">
        <v>34</v>
      </c>
      <c r="T61" t="s">
        <v>35</v>
      </c>
      <c r="U61">
        <v>830</v>
      </c>
      <c r="V61" t="s">
        <v>45</v>
      </c>
      <c r="W61" s="1">
        <v>45883</v>
      </c>
      <c r="X61">
        <v>2025</v>
      </c>
    </row>
    <row r="62" spans="1:24" x14ac:dyDescent="0.25">
      <c r="A62" s="1">
        <v>45923</v>
      </c>
      <c r="B62" t="s">
        <v>184</v>
      </c>
      <c r="C62" t="s">
        <v>185</v>
      </c>
      <c r="E62" t="s">
        <v>186</v>
      </c>
      <c r="F62" t="s">
        <v>27</v>
      </c>
      <c r="G62" t="s">
        <v>46</v>
      </c>
      <c r="H62" t="s">
        <v>29</v>
      </c>
      <c r="I62" t="s">
        <v>30</v>
      </c>
      <c r="J62" t="s">
        <v>31</v>
      </c>
      <c r="L62" s="1">
        <v>45901</v>
      </c>
      <c r="M62" s="1">
        <v>45901</v>
      </c>
      <c r="O62">
        <v>17528908</v>
      </c>
      <c r="P62" t="s">
        <v>32</v>
      </c>
      <c r="Q62" t="s">
        <v>63</v>
      </c>
      <c r="R62">
        <v>8192</v>
      </c>
      <c r="S62" t="s">
        <v>34</v>
      </c>
      <c r="T62" t="s">
        <v>35</v>
      </c>
      <c r="U62">
        <v>-159.33000000000001</v>
      </c>
      <c r="V62" t="s">
        <v>36</v>
      </c>
      <c r="W62" s="1">
        <v>45883</v>
      </c>
      <c r="X62">
        <v>2025</v>
      </c>
    </row>
    <row r="63" spans="1:24" x14ac:dyDescent="0.25">
      <c r="A63" s="1">
        <v>45923</v>
      </c>
      <c r="B63" t="s">
        <v>187</v>
      </c>
      <c r="C63" t="s">
        <v>188</v>
      </c>
      <c r="E63" t="s">
        <v>189</v>
      </c>
      <c r="F63" t="s">
        <v>190</v>
      </c>
      <c r="G63" t="s">
        <v>41</v>
      </c>
      <c r="H63" t="s">
        <v>29</v>
      </c>
      <c r="I63" t="s">
        <v>51</v>
      </c>
      <c r="J63" t="s">
        <v>191</v>
      </c>
      <c r="L63" s="1">
        <v>45901</v>
      </c>
      <c r="M63" s="1">
        <v>45901</v>
      </c>
      <c r="O63">
        <v>8325282</v>
      </c>
      <c r="P63" t="s">
        <v>32</v>
      </c>
      <c r="Q63" t="s">
        <v>75</v>
      </c>
      <c r="R63">
        <v>8192</v>
      </c>
      <c r="S63" t="s">
        <v>34</v>
      </c>
      <c r="T63" t="s">
        <v>35</v>
      </c>
      <c r="U63">
        <v>746</v>
      </c>
      <c r="V63" t="s">
        <v>45</v>
      </c>
      <c r="W63" s="1">
        <v>45883</v>
      </c>
      <c r="X63">
        <v>2025</v>
      </c>
    </row>
    <row r="64" spans="1:24" x14ac:dyDescent="0.25">
      <c r="A64" s="1">
        <v>45923</v>
      </c>
      <c r="B64" t="s">
        <v>187</v>
      </c>
      <c r="C64" t="s">
        <v>188</v>
      </c>
      <c r="E64" t="s">
        <v>189</v>
      </c>
      <c r="F64" t="s">
        <v>190</v>
      </c>
      <c r="G64" t="s">
        <v>46</v>
      </c>
      <c r="H64" t="s">
        <v>29</v>
      </c>
      <c r="I64" t="s">
        <v>51</v>
      </c>
      <c r="J64" t="s">
        <v>191</v>
      </c>
      <c r="L64" s="1">
        <v>45901</v>
      </c>
      <c r="M64" s="1">
        <v>45901</v>
      </c>
      <c r="O64">
        <v>8325282</v>
      </c>
      <c r="P64" t="s">
        <v>32</v>
      </c>
      <c r="Q64" t="s">
        <v>75</v>
      </c>
      <c r="R64">
        <v>8192</v>
      </c>
      <c r="S64" t="s">
        <v>34</v>
      </c>
      <c r="T64" t="s">
        <v>35</v>
      </c>
      <c r="U64">
        <v>-144.33000000000001</v>
      </c>
      <c r="V64" t="s">
        <v>36</v>
      </c>
      <c r="W64" s="1">
        <v>45883</v>
      </c>
      <c r="X64">
        <v>2025</v>
      </c>
    </row>
    <row r="65" spans="1:24" x14ac:dyDescent="0.25">
      <c r="A65" s="1">
        <v>45923</v>
      </c>
      <c r="B65" t="s">
        <v>192</v>
      </c>
      <c r="C65" t="s">
        <v>193</v>
      </c>
      <c r="E65" t="s">
        <v>194</v>
      </c>
      <c r="F65" t="s">
        <v>50</v>
      </c>
      <c r="G65" t="s">
        <v>28</v>
      </c>
      <c r="H65" t="s">
        <v>29</v>
      </c>
      <c r="I65" t="s">
        <v>51</v>
      </c>
      <c r="J65" t="s">
        <v>74</v>
      </c>
      <c r="L65" s="1">
        <v>45901</v>
      </c>
      <c r="M65" s="1">
        <v>45901</v>
      </c>
      <c r="O65">
        <v>9213293</v>
      </c>
      <c r="P65" t="s">
        <v>32</v>
      </c>
      <c r="Q65" t="s">
        <v>53</v>
      </c>
      <c r="R65">
        <v>8192</v>
      </c>
      <c r="S65" t="s">
        <v>34</v>
      </c>
      <c r="T65" t="s">
        <v>35</v>
      </c>
      <c r="U65">
        <v>146</v>
      </c>
      <c r="V65" t="s">
        <v>36</v>
      </c>
      <c r="W65" s="1">
        <v>45899</v>
      </c>
      <c r="X65">
        <v>2025</v>
      </c>
    </row>
    <row r="66" spans="1:24" x14ac:dyDescent="0.25">
      <c r="A66" s="1">
        <v>45923</v>
      </c>
      <c r="B66" t="s">
        <v>195</v>
      </c>
      <c r="C66" t="s">
        <v>196</v>
      </c>
      <c r="E66" t="s">
        <v>197</v>
      </c>
      <c r="F66" t="s">
        <v>40</v>
      </c>
      <c r="G66" t="s">
        <v>41</v>
      </c>
      <c r="H66" t="s">
        <v>29</v>
      </c>
      <c r="I66" t="s">
        <v>42</v>
      </c>
      <c r="J66" t="s">
        <v>43</v>
      </c>
      <c r="L66" s="1">
        <v>45901</v>
      </c>
      <c r="M66" s="1">
        <v>45901</v>
      </c>
      <c r="O66">
        <v>18142208</v>
      </c>
      <c r="P66" t="s">
        <v>32</v>
      </c>
      <c r="Q66" t="s">
        <v>44</v>
      </c>
      <c r="R66">
        <v>8192</v>
      </c>
      <c r="S66" t="s">
        <v>34</v>
      </c>
      <c r="T66" t="s">
        <v>35</v>
      </c>
      <c r="U66">
        <v>751</v>
      </c>
      <c r="V66" t="s">
        <v>45</v>
      </c>
      <c r="W66" s="1">
        <v>45883</v>
      </c>
      <c r="X66">
        <v>2025</v>
      </c>
    </row>
    <row r="67" spans="1:24" x14ac:dyDescent="0.25">
      <c r="A67" s="1">
        <v>45923</v>
      </c>
      <c r="B67" t="s">
        <v>195</v>
      </c>
      <c r="C67" t="s">
        <v>196</v>
      </c>
      <c r="E67" t="s">
        <v>197</v>
      </c>
      <c r="F67" t="s">
        <v>40</v>
      </c>
      <c r="G67" t="s">
        <v>46</v>
      </c>
      <c r="H67" t="s">
        <v>29</v>
      </c>
      <c r="I67" t="s">
        <v>42</v>
      </c>
      <c r="J67" t="s">
        <v>43</v>
      </c>
      <c r="L67" s="1">
        <v>45901</v>
      </c>
      <c r="M67" s="1">
        <v>45901</v>
      </c>
      <c r="O67">
        <v>18142208</v>
      </c>
      <c r="P67" t="s">
        <v>32</v>
      </c>
      <c r="Q67" t="s">
        <v>44</v>
      </c>
      <c r="R67">
        <v>8192</v>
      </c>
      <c r="S67" t="s">
        <v>34</v>
      </c>
      <c r="T67" t="s">
        <v>35</v>
      </c>
      <c r="U67">
        <v>-146</v>
      </c>
      <c r="V67" t="s">
        <v>36</v>
      </c>
      <c r="W67" s="1">
        <v>45883</v>
      </c>
      <c r="X67">
        <v>2025</v>
      </c>
    </row>
    <row r="68" spans="1:24" x14ac:dyDescent="0.25">
      <c r="A68" s="1">
        <v>45923</v>
      </c>
      <c r="B68" t="s">
        <v>198</v>
      </c>
      <c r="C68" t="s">
        <v>199</v>
      </c>
      <c r="E68" t="s">
        <v>200</v>
      </c>
      <c r="F68" t="s">
        <v>50</v>
      </c>
      <c r="G68" t="s">
        <v>41</v>
      </c>
      <c r="H68" t="s">
        <v>29</v>
      </c>
      <c r="I68" t="s">
        <v>51</v>
      </c>
      <c r="J68" t="s">
        <v>74</v>
      </c>
      <c r="L68" s="1">
        <v>45901</v>
      </c>
      <c r="M68" s="1">
        <v>45901</v>
      </c>
      <c r="O68">
        <v>8814784</v>
      </c>
      <c r="P68" t="s">
        <v>32</v>
      </c>
      <c r="Q68" t="s">
        <v>123</v>
      </c>
      <c r="R68">
        <v>8192</v>
      </c>
      <c r="S68" t="s">
        <v>34</v>
      </c>
      <c r="T68" t="s">
        <v>35</v>
      </c>
      <c r="U68">
        <v>751</v>
      </c>
      <c r="V68" t="s">
        <v>45</v>
      </c>
      <c r="W68" s="1">
        <v>45883</v>
      </c>
      <c r="X68">
        <v>2025</v>
      </c>
    </row>
    <row r="69" spans="1:24" x14ac:dyDescent="0.25">
      <c r="A69" s="1">
        <v>45923</v>
      </c>
      <c r="B69" t="s">
        <v>198</v>
      </c>
      <c r="C69" t="s">
        <v>199</v>
      </c>
      <c r="E69" t="s">
        <v>200</v>
      </c>
      <c r="F69" t="s">
        <v>50</v>
      </c>
      <c r="G69" t="s">
        <v>46</v>
      </c>
      <c r="H69" t="s">
        <v>29</v>
      </c>
      <c r="I69" t="s">
        <v>51</v>
      </c>
      <c r="J69" t="s">
        <v>74</v>
      </c>
      <c r="L69" s="1">
        <v>45901</v>
      </c>
      <c r="M69" s="1">
        <v>45901</v>
      </c>
      <c r="O69">
        <v>8814784</v>
      </c>
      <c r="P69" t="s">
        <v>32</v>
      </c>
      <c r="Q69" t="s">
        <v>123</v>
      </c>
      <c r="R69">
        <v>8192</v>
      </c>
      <c r="S69" t="s">
        <v>34</v>
      </c>
      <c r="T69" t="s">
        <v>35</v>
      </c>
      <c r="U69">
        <v>-146</v>
      </c>
      <c r="V69" t="s">
        <v>36</v>
      </c>
      <c r="W69" s="1">
        <v>45883</v>
      </c>
      <c r="X69">
        <v>2025</v>
      </c>
    </row>
    <row r="70" spans="1:24" x14ac:dyDescent="0.25">
      <c r="A70" s="1">
        <v>45923</v>
      </c>
      <c r="B70" t="s">
        <v>201</v>
      </c>
      <c r="C70" t="s">
        <v>202</v>
      </c>
      <c r="E70" t="s">
        <v>203</v>
      </c>
      <c r="F70" t="s">
        <v>50</v>
      </c>
      <c r="G70" t="s">
        <v>41</v>
      </c>
      <c r="H70" t="s">
        <v>29</v>
      </c>
      <c r="I70" t="s">
        <v>51</v>
      </c>
      <c r="J70" t="s">
        <v>74</v>
      </c>
      <c r="L70" s="1">
        <v>45901</v>
      </c>
      <c r="M70" s="1">
        <v>45901</v>
      </c>
      <c r="O70">
        <v>8814784</v>
      </c>
      <c r="P70" t="s">
        <v>32</v>
      </c>
      <c r="Q70" t="s">
        <v>123</v>
      </c>
      <c r="R70">
        <v>8192</v>
      </c>
      <c r="S70" t="s">
        <v>34</v>
      </c>
      <c r="T70" t="s">
        <v>35</v>
      </c>
      <c r="U70">
        <v>751</v>
      </c>
      <c r="V70" t="s">
        <v>45</v>
      </c>
      <c r="W70" s="1">
        <v>45890</v>
      </c>
      <c r="X70">
        <v>2025</v>
      </c>
    </row>
    <row r="71" spans="1:24" x14ac:dyDescent="0.25">
      <c r="A71" s="1">
        <v>45923</v>
      </c>
      <c r="B71" t="s">
        <v>201</v>
      </c>
      <c r="C71" t="s">
        <v>202</v>
      </c>
      <c r="E71" t="s">
        <v>203</v>
      </c>
      <c r="F71" t="s">
        <v>50</v>
      </c>
      <c r="G71" t="s">
        <v>46</v>
      </c>
      <c r="H71" t="s">
        <v>29</v>
      </c>
      <c r="I71" t="s">
        <v>51</v>
      </c>
      <c r="J71" t="s">
        <v>74</v>
      </c>
      <c r="L71" s="1">
        <v>45901</v>
      </c>
      <c r="M71" s="1">
        <v>45901</v>
      </c>
      <c r="O71">
        <v>8814784</v>
      </c>
      <c r="P71" t="s">
        <v>32</v>
      </c>
      <c r="Q71" t="s">
        <v>123</v>
      </c>
      <c r="R71">
        <v>8192</v>
      </c>
      <c r="S71" t="s">
        <v>34</v>
      </c>
      <c r="T71" t="s">
        <v>35</v>
      </c>
      <c r="U71">
        <v>-146</v>
      </c>
      <c r="V71" t="s">
        <v>36</v>
      </c>
      <c r="W71" s="1">
        <v>45890</v>
      </c>
      <c r="X71">
        <v>2025</v>
      </c>
    </row>
    <row r="72" spans="1:24" x14ac:dyDescent="0.25">
      <c r="A72" s="1">
        <v>45923</v>
      </c>
      <c r="B72" t="s">
        <v>204</v>
      </c>
      <c r="C72" t="s">
        <v>205</v>
      </c>
      <c r="E72" t="s">
        <v>206</v>
      </c>
      <c r="F72" t="s">
        <v>207</v>
      </c>
      <c r="G72" t="s">
        <v>208</v>
      </c>
      <c r="H72" t="s">
        <v>29</v>
      </c>
      <c r="I72" t="s">
        <v>209</v>
      </c>
      <c r="J72" t="s">
        <v>210</v>
      </c>
      <c r="L72" s="1">
        <v>45901</v>
      </c>
      <c r="M72" s="1">
        <v>45901</v>
      </c>
      <c r="O72">
        <v>8307933</v>
      </c>
      <c r="P72" t="s">
        <v>32</v>
      </c>
      <c r="Q72" t="s">
        <v>70</v>
      </c>
      <c r="R72">
        <v>8192</v>
      </c>
      <c r="S72" t="s">
        <v>34</v>
      </c>
      <c r="T72" t="s">
        <v>35</v>
      </c>
      <c r="U72">
        <v>250.33</v>
      </c>
      <c r="V72" t="s">
        <v>45</v>
      </c>
      <c r="W72" s="1">
        <v>45870</v>
      </c>
      <c r="X72">
        <v>2025</v>
      </c>
    </row>
    <row r="73" spans="1:24" x14ac:dyDescent="0.25">
      <c r="A73" s="1">
        <v>45923</v>
      </c>
      <c r="B73" t="s">
        <v>204</v>
      </c>
      <c r="C73" t="s">
        <v>205</v>
      </c>
      <c r="E73" t="s">
        <v>206</v>
      </c>
      <c r="F73" t="s">
        <v>207</v>
      </c>
      <c r="G73" t="s">
        <v>46</v>
      </c>
      <c r="H73" t="s">
        <v>29</v>
      </c>
      <c r="I73" t="s">
        <v>209</v>
      </c>
      <c r="J73" t="s">
        <v>210</v>
      </c>
      <c r="L73" s="1">
        <v>45901</v>
      </c>
      <c r="M73" s="1">
        <v>45901</v>
      </c>
      <c r="O73">
        <v>8307933</v>
      </c>
      <c r="P73" t="s">
        <v>32</v>
      </c>
      <c r="Q73" t="s">
        <v>70</v>
      </c>
      <c r="R73">
        <v>8192</v>
      </c>
      <c r="S73" t="s">
        <v>34</v>
      </c>
      <c r="T73" t="s">
        <v>35</v>
      </c>
      <c r="U73">
        <v>-146</v>
      </c>
      <c r="V73" t="s">
        <v>36</v>
      </c>
      <c r="W73" s="1">
        <v>45870</v>
      </c>
      <c r="X73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8E86-C5DB-458D-933A-EB46B2E29860}">
  <dimension ref="A1:AA138"/>
  <sheetViews>
    <sheetView tabSelected="1" topLeftCell="A97" workbookViewId="0">
      <selection activeCell="A112" sqref="A112:XFD115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17.28515625" customWidth="1"/>
    <col min="4" max="4" width="27.85546875" bestFit="1" customWidth="1"/>
    <col min="5" max="6" width="27.85546875" customWidth="1"/>
    <col min="10" max="10" width="15.7109375" bestFit="1" customWidth="1"/>
    <col min="11" max="11" width="13.5703125" bestFit="1" customWidth="1"/>
    <col min="12" max="12" width="11" customWidth="1"/>
    <col min="14" max="14" width="20.140625" bestFit="1" customWidth="1"/>
    <col min="16" max="16" width="21.140625" bestFit="1" customWidth="1"/>
    <col min="17" max="17" width="23.140625" bestFit="1" customWidth="1"/>
  </cols>
  <sheetData>
    <row r="1" spans="1:27" x14ac:dyDescent="0.25">
      <c r="A1" t="s">
        <v>0</v>
      </c>
      <c r="B1" t="s">
        <v>1</v>
      </c>
      <c r="D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14</v>
      </c>
      <c r="M1" t="s">
        <v>15</v>
      </c>
      <c r="N1" t="s">
        <v>16</v>
      </c>
      <c r="O1" t="s">
        <v>20</v>
      </c>
    </row>
    <row r="2" spans="1:27" x14ac:dyDescent="0.25">
      <c r="A2" s="1">
        <v>45923</v>
      </c>
      <c r="B2" t="s">
        <v>54</v>
      </c>
      <c r="C2" t="str">
        <f>CONCATENATE(B2,8)</f>
        <v>3PJ3JU9HA868</v>
      </c>
      <c r="D2" t="s">
        <v>305</v>
      </c>
      <c r="E2" t="s">
        <v>291</v>
      </c>
      <c r="F2" t="str">
        <f>CONCATENATE(E2, " ",D2)</f>
        <v>BARBARA BOWDEN</v>
      </c>
      <c r="G2" t="s">
        <v>27</v>
      </c>
      <c r="H2" t="s">
        <v>28</v>
      </c>
      <c r="I2" t="s">
        <v>29</v>
      </c>
      <c r="J2" s="1">
        <v>45931</v>
      </c>
      <c r="K2" s="1">
        <v>45931</v>
      </c>
      <c r="L2">
        <v>16212649</v>
      </c>
      <c r="M2" t="s">
        <v>32</v>
      </c>
      <c r="N2" t="s">
        <v>58</v>
      </c>
      <c r="O2">
        <v>88.25</v>
      </c>
      <c r="P2" t="s">
        <v>213</v>
      </c>
      <c r="Q2" t="s">
        <v>224</v>
      </c>
      <c r="R2">
        <f>353/12*3</f>
        <v>88.25</v>
      </c>
    </row>
    <row r="3" spans="1:27" s="5" customFormat="1" x14ac:dyDescent="0.25">
      <c r="A3" s="4">
        <v>45923</v>
      </c>
      <c r="B3" s="5" t="s">
        <v>54</v>
      </c>
      <c r="C3" s="5" t="str">
        <f>CONCATENATE(B3,"OVR")</f>
        <v>3PJ3JU9HA86OVR</v>
      </c>
      <c r="D3" s="5" t="s">
        <v>305</v>
      </c>
      <c r="E3" s="5" t="s">
        <v>291</v>
      </c>
      <c r="F3" t="str">
        <f>CONCATENATE(E3, " ",D3)</f>
        <v>BARBARA BOWDEN</v>
      </c>
      <c r="G3" s="5" t="s">
        <v>27</v>
      </c>
      <c r="H3" s="5" t="s">
        <v>28</v>
      </c>
      <c r="I3" s="5" t="s">
        <v>29</v>
      </c>
      <c r="J3" s="4">
        <v>45931</v>
      </c>
      <c r="K3" s="4">
        <v>45931</v>
      </c>
      <c r="L3" s="5">
        <v>20411454</v>
      </c>
      <c r="M3" s="5" t="s">
        <v>32</v>
      </c>
      <c r="N3" s="5" t="s">
        <v>231</v>
      </c>
      <c r="O3" s="5">
        <v>31.25</v>
      </c>
      <c r="P3" s="5" t="s">
        <v>211</v>
      </c>
      <c r="R3" s="5">
        <f>125/12*3</f>
        <v>31.25</v>
      </c>
    </row>
    <row r="4" spans="1:27" x14ac:dyDescent="0.25">
      <c r="A4" s="1">
        <v>45923</v>
      </c>
      <c r="B4" t="s">
        <v>175</v>
      </c>
      <c r="C4" t="str">
        <f>CONCATENATE(B4,7)</f>
        <v>7D05T56HE727</v>
      </c>
      <c r="D4" t="s">
        <v>290</v>
      </c>
      <c r="E4" t="s">
        <v>291</v>
      </c>
      <c r="F4" t="str">
        <f>CONCATENATE(E4, " ",D4)</f>
        <v>BARBARA MEISSNER-PLEGGE</v>
      </c>
      <c r="G4" t="s">
        <v>40</v>
      </c>
      <c r="H4" t="s">
        <v>41</v>
      </c>
      <c r="I4" t="s">
        <v>29</v>
      </c>
      <c r="J4" s="1">
        <v>45962</v>
      </c>
      <c r="K4" s="1">
        <v>45962</v>
      </c>
      <c r="L4">
        <v>18142208</v>
      </c>
      <c r="M4" t="s">
        <v>32</v>
      </c>
      <c r="N4" t="s">
        <v>44</v>
      </c>
      <c r="O4">
        <v>626</v>
      </c>
      <c r="P4" t="s">
        <v>225</v>
      </c>
      <c r="Q4" t="s">
        <v>226</v>
      </c>
    </row>
    <row r="5" spans="1:27" s="5" customFormat="1" x14ac:dyDescent="0.25">
      <c r="A5" s="1">
        <v>45923</v>
      </c>
      <c r="B5" t="s">
        <v>175</v>
      </c>
      <c r="C5" t="str">
        <f>CONCATENATE(B5,8)</f>
        <v>7D05T56HE728</v>
      </c>
      <c r="D5" t="s">
        <v>290</v>
      </c>
      <c r="E5" t="s">
        <v>291</v>
      </c>
      <c r="F5" t="str">
        <f>CONCATENATE(E5, " ",D5)</f>
        <v>BARBARA MEISSNER-PLEGGE</v>
      </c>
      <c r="G5" t="s">
        <v>40</v>
      </c>
      <c r="H5" t="s">
        <v>46</v>
      </c>
      <c r="I5" t="s">
        <v>29</v>
      </c>
      <c r="J5" s="1">
        <v>45962</v>
      </c>
      <c r="K5" s="1">
        <v>45962</v>
      </c>
      <c r="L5">
        <v>18142208</v>
      </c>
      <c r="M5" t="s">
        <v>32</v>
      </c>
      <c r="N5" t="s">
        <v>44</v>
      </c>
      <c r="O5">
        <v>-52.17</v>
      </c>
      <c r="P5" t="s">
        <v>212</v>
      </c>
      <c r="Q5" t="s">
        <v>222</v>
      </c>
      <c r="R5"/>
      <c r="S5"/>
      <c r="T5"/>
      <c r="U5"/>
      <c r="V5"/>
      <c r="W5"/>
      <c r="X5"/>
      <c r="Y5"/>
      <c r="Z5"/>
      <c r="AA5"/>
    </row>
    <row r="6" spans="1:27" x14ac:dyDescent="0.25">
      <c r="A6" s="4">
        <v>45923</v>
      </c>
      <c r="B6" s="5" t="s">
        <v>175</v>
      </c>
      <c r="C6" s="5" t="str">
        <f>CONCATENATE(B6,"OVR")</f>
        <v>7D05T56HE72OVR</v>
      </c>
      <c r="D6" s="5" t="s">
        <v>290</v>
      </c>
      <c r="E6" s="5" t="s">
        <v>291</v>
      </c>
      <c r="F6" t="str">
        <f>CONCATENATE(E6, " ",D6)</f>
        <v>BARBARA MEISSNER-PLEGGE</v>
      </c>
      <c r="G6" s="5" t="s">
        <v>40</v>
      </c>
      <c r="H6" s="5" t="s">
        <v>46</v>
      </c>
      <c r="I6" s="5" t="s">
        <v>29</v>
      </c>
      <c r="J6" s="4">
        <v>45962</v>
      </c>
      <c r="K6" s="4">
        <v>45962</v>
      </c>
      <c r="L6" s="5">
        <v>20411454</v>
      </c>
      <c r="M6" s="5" t="s">
        <v>32</v>
      </c>
      <c r="N6" s="5" t="s">
        <v>231</v>
      </c>
      <c r="O6" s="5">
        <v>-20.83</v>
      </c>
      <c r="P6" s="5" t="s">
        <v>211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4">
        <v>45923</v>
      </c>
      <c r="B7" s="5" t="s">
        <v>175</v>
      </c>
      <c r="C7" s="5" t="str">
        <f>CONCATENATE(B7,"OVR")</f>
        <v>7D05T56HE72OVR</v>
      </c>
      <c r="D7" s="5" t="s">
        <v>290</v>
      </c>
      <c r="E7" s="5" t="s">
        <v>291</v>
      </c>
      <c r="F7" t="str">
        <f>CONCATENATE(E7, " ",D7)</f>
        <v>BARBARA MEISSNER-PLEGGE</v>
      </c>
      <c r="G7" s="5" t="s">
        <v>40</v>
      </c>
      <c r="H7" s="5" t="s">
        <v>41</v>
      </c>
      <c r="I7" s="5" t="s">
        <v>29</v>
      </c>
      <c r="J7" s="4">
        <v>45962</v>
      </c>
      <c r="K7" s="4">
        <v>45962</v>
      </c>
      <c r="L7" s="5">
        <v>20411454</v>
      </c>
      <c r="M7" s="5" t="s">
        <v>32</v>
      </c>
      <c r="N7" s="5" t="s">
        <v>231</v>
      </c>
      <c r="O7" s="5">
        <v>125</v>
      </c>
      <c r="P7" s="5" t="s">
        <v>211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s="5" customFormat="1" x14ac:dyDescent="0.25">
      <c r="A8" s="1">
        <v>45923</v>
      </c>
      <c r="B8" t="s">
        <v>110</v>
      </c>
      <c r="C8" t="str">
        <f>CONCATENATE(B8,7)</f>
        <v>2J22TR3TJ187</v>
      </c>
      <c r="D8" t="s">
        <v>288</v>
      </c>
      <c r="E8" t="s">
        <v>289</v>
      </c>
      <c r="F8" t="str">
        <f>CONCATENATE(E8, " ",D8)</f>
        <v>CHARLOTTE FARLEY</v>
      </c>
      <c r="G8" t="s">
        <v>50</v>
      </c>
      <c r="H8" t="s">
        <v>41</v>
      </c>
      <c r="I8" t="s">
        <v>29</v>
      </c>
      <c r="J8" s="1">
        <v>45962</v>
      </c>
      <c r="K8" s="1">
        <v>45962</v>
      </c>
      <c r="L8">
        <v>20003537</v>
      </c>
      <c r="M8" t="s">
        <v>32</v>
      </c>
      <c r="N8" t="s">
        <v>113</v>
      </c>
      <c r="O8">
        <v>626</v>
      </c>
      <c r="P8" t="s">
        <v>225</v>
      </c>
      <c r="Q8" t="s">
        <v>226</v>
      </c>
      <c r="R8"/>
      <c r="S8"/>
      <c r="T8"/>
      <c r="U8"/>
      <c r="V8"/>
      <c r="W8"/>
      <c r="X8"/>
      <c r="Y8"/>
      <c r="Z8"/>
      <c r="AA8"/>
    </row>
    <row r="9" spans="1:27" x14ac:dyDescent="0.25">
      <c r="A9" s="1">
        <v>45923</v>
      </c>
      <c r="B9" t="s">
        <v>110</v>
      </c>
      <c r="C9" t="str">
        <f>CONCATENATE(B9,8)</f>
        <v>2J22TR3TJ188</v>
      </c>
      <c r="D9" t="s">
        <v>288</v>
      </c>
      <c r="E9" t="s">
        <v>289</v>
      </c>
      <c r="F9" t="str">
        <f>CONCATENATE(E9, " ",D9)</f>
        <v>CHARLOTTE FARLEY</v>
      </c>
      <c r="G9" t="s">
        <v>50</v>
      </c>
      <c r="H9" t="s">
        <v>46</v>
      </c>
      <c r="I9" t="s">
        <v>29</v>
      </c>
      <c r="J9" s="1">
        <v>45962</v>
      </c>
      <c r="K9" s="1">
        <v>45962</v>
      </c>
      <c r="L9">
        <v>20003537</v>
      </c>
      <c r="M9" t="s">
        <v>32</v>
      </c>
      <c r="N9" t="s">
        <v>113</v>
      </c>
      <c r="O9">
        <v>-52.17</v>
      </c>
      <c r="P9" t="s">
        <v>212</v>
      </c>
      <c r="Q9" t="s">
        <v>222</v>
      </c>
      <c r="R9">
        <f>125/12*2</f>
        <v>20.833333333333332</v>
      </c>
    </row>
    <row r="10" spans="1:27" x14ac:dyDescent="0.25">
      <c r="A10" s="4">
        <v>45923</v>
      </c>
      <c r="B10" s="5" t="s">
        <v>110</v>
      </c>
      <c r="C10" s="5" t="str">
        <f>CONCATENATE(B10,"OVR")</f>
        <v>2J22TR3TJ18OVR</v>
      </c>
      <c r="D10" s="5" t="s">
        <v>288</v>
      </c>
      <c r="E10" s="5" t="s">
        <v>289</v>
      </c>
      <c r="F10" t="str">
        <f>CONCATENATE(E10, " ",D10)</f>
        <v>CHARLOTTE FARLEY</v>
      </c>
      <c r="G10" s="5" t="s">
        <v>50</v>
      </c>
      <c r="H10" s="5" t="s">
        <v>46</v>
      </c>
      <c r="I10" s="5" t="s">
        <v>29</v>
      </c>
      <c r="J10" s="4">
        <v>45962</v>
      </c>
      <c r="K10" s="4">
        <v>45962</v>
      </c>
      <c r="L10" s="5">
        <v>20411454</v>
      </c>
      <c r="M10" s="5" t="s">
        <v>32</v>
      </c>
      <c r="N10" s="5" t="s">
        <v>231</v>
      </c>
      <c r="O10" s="5">
        <v>-20.83</v>
      </c>
      <c r="P10" s="5" t="s">
        <v>211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4">
        <v>45923</v>
      </c>
      <c r="B11" s="5" t="s">
        <v>110</v>
      </c>
      <c r="C11" s="5" t="str">
        <f>CONCATENATE(B11,"OVR")</f>
        <v>2J22TR3TJ18OVR</v>
      </c>
      <c r="D11" s="5" t="s">
        <v>288</v>
      </c>
      <c r="E11" s="5" t="s">
        <v>289</v>
      </c>
      <c r="F11" t="str">
        <f>CONCATENATE(E11, " ",D11)</f>
        <v>CHARLOTTE FARLEY</v>
      </c>
      <c r="G11" s="5" t="s">
        <v>50</v>
      </c>
      <c r="H11" s="5" t="s">
        <v>41</v>
      </c>
      <c r="I11" s="5" t="s">
        <v>29</v>
      </c>
      <c r="J11" s="4">
        <v>45962</v>
      </c>
      <c r="K11" s="4">
        <v>45962</v>
      </c>
      <c r="L11" s="5">
        <v>20411454</v>
      </c>
      <c r="M11" s="5" t="s">
        <v>32</v>
      </c>
      <c r="N11" s="5" t="s">
        <v>231</v>
      </c>
      <c r="O11" s="5">
        <v>125</v>
      </c>
      <c r="P11" s="5" t="s">
        <v>211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5" customFormat="1" x14ac:dyDescent="0.25">
      <c r="A12" s="1">
        <v>45923</v>
      </c>
      <c r="B12" t="s">
        <v>138</v>
      </c>
      <c r="C12" t="str">
        <f>CONCATENATE(B12,7)</f>
        <v>1N34T79JE657</v>
      </c>
      <c r="D12" t="s">
        <v>265</v>
      </c>
      <c r="E12" t="s">
        <v>266</v>
      </c>
      <c r="F12" t="str">
        <f>CONCATENATE(E12, " ",D12)</f>
        <v>CHERYL HACKATHORN</v>
      </c>
      <c r="G12" t="s">
        <v>40</v>
      </c>
      <c r="H12" t="s">
        <v>41</v>
      </c>
      <c r="I12" t="s">
        <v>29</v>
      </c>
      <c r="J12" s="1">
        <v>45901</v>
      </c>
      <c r="K12" s="1">
        <v>45901</v>
      </c>
      <c r="L12">
        <v>18142208</v>
      </c>
      <c r="M12" t="s">
        <v>32</v>
      </c>
      <c r="N12" t="s">
        <v>44</v>
      </c>
      <c r="O12">
        <v>626</v>
      </c>
      <c r="P12" t="s">
        <v>225</v>
      </c>
      <c r="Q12" t="s">
        <v>226</v>
      </c>
      <c r="R12"/>
      <c r="S12"/>
      <c r="T12"/>
      <c r="U12"/>
      <c r="V12"/>
      <c r="W12"/>
      <c r="X12"/>
      <c r="Y12"/>
      <c r="Z12"/>
      <c r="AA12"/>
    </row>
    <row r="13" spans="1:27" s="5" customFormat="1" x14ac:dyDescent="0.25">
      <c r="A13" s="1">
        <v>45923</v>
      </c>
      <c r="B13" t="s">
        <v>138</v>
      </c>
      <c r="C13" t="str">
        <f>CONCATENATE(B13,8)</f>
        <v>1N34T79JE658</v>
      </c>
      <c r="D13" t="s">
        <v>265</v>
      </c>
      <c r="E13" t="s">
        <v>266</v>
      </c>
      <c r="F13" t="str">
        <f>CONCATENATE(E13, " ",D13)</f>
        <v>CHERYL HACKATHORN</v>
      </c>
      <c r="G13" t="s">
        <v>40</v>
      </c>
      <c r="H13" t="s">
        <v>46</v>
      </c>
      <c r="I13" t="s">
        <v>29</v>
      </c>
      <c r="J13" s="1">
        <v>45901</v>
      </c>
      <c r="K13" s="1">
        <v>45901</v>
      </c>
      <c r="L13">
        <v>18142208</v>
      </c>
      <c r="M13" t="s">
        <v>32</v>
      </c>
      <c r="N13" t="s">
        <v>44</v>
      </c>
      <c r="O13">
        <v>-104.33</v>
      </c>
      <c r="P13" t="s">
        <v>212</v>
      </c>
      <c r="Q13" t="s">
        <v>220</v>
      </c>
      <c r="R13"/>
      <c r="S13"/>
      <c r="T13"/>
      <c r="U13"/>
      <c r="V13"/>
      <c r="W13"/>
      <c r="X13"/>
      <c r="Y13"/>
      <c r="Z13"/>
      <c r="AA13"/>
    </row>
    <row r="14" spans="1:27" s="5" customFormat="1" x14ac:dyDescent="0.25">
      <c r="A14" s="4">
        <v>45923</v>
      </c>
      <c r="B14" s="5" t="s">
        <v>138</v>
      </c>
      <c r="C14" s="5" t="str">
        <f>CONCATENATE(B14,"OVR")</f>
        <v>1N34T79JE65OVR</v>
      </c>
      <c r="D14" s="5" t="s">
        <v>265</v>
      </c>
      <c r="E14" s="5" t="s">
        <v>266</v>
      </c>
      <c r="F14" t="str">
        <f>CONCATENATE(E14, " ",D14)</f>
        <v>CHERYL HACKATHORN</v>
      </c>
      <c r="G14" s="5" t="s">
        <v>40</v>
      </c>
      <c r="H14" s="5" t="s">
        <v>46</v>
      </c>
      <c r="I14" s="5" t="s">
        <v>29</v>
      </c>
      <c r="J14" s="4">
        <v>45901</v>
      </c>
      <c r="K14" s="4">
        <v>45901</v>
      </c>
      <c r="L14" s="5">
        <v>20411454</v>
      </c>
      <c r="M14" s="5" t="s">
        <v>32</v>
      </c>
      <c r="N14" s="5" t="s">
        <v>231</v>
      </c>
      <c r="O14" s="5">
        <v>-41.67</v>
      </c>
      <c r="P14" s="5" t="s">
        <v>211</v>
      </c>
    </row>
    <row r="15" spans="1:27" x14ac:dyDescent="0.25">
      <c r="A15" s="4">
        <v>45923</v>
      </c>
      <c r="B15" s="5" t="s">
        <v>138</v>
      </c>
      <c r="C15" s="5" t="str">
        <f>CONCATENATE(B15,"OVR")</f>
        <v>1N34T79JE65OVR</v>
      </c>
      <c r="D15" s="5" t="s">
        <v>265</v>
      </c>
      <c r="E15" s="5" t="s">
        <v>266</v>
      </c>
      <c r="F15" t="str">
        <f>CONCATENATE(E15, " ",D15)</f>
        <v>CHERYL HACKATHORN</v>
      </c>
      <c r="G15" s="5" t="s">
        <v>40</v>
      </c>
      <c r="H15" s="5" t="s">
        <v>41</v>
      </c>
      <c r="I15" s="5" t="s">
        <v>29</v>
      </c>
      <c r="J15" s="4">
        <v>45901</v>
      </c>
      <c r="K15" s="4">
        <v>45901</v>
      </c>
      <c r="L15" s="5">
        <v>20411454</v>
      </c>
      <c r="M15" s="5" t="s">
        <v>32</v>
      </c>
      <c r="N15" s="5" t="s">
        <v>231</v>
      </c>
      <c r="O15" s="5">
        <v>125</v>
      </c>
      <c r="P15" s="5" t="s">
        <v>211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5">
      <c r="A16" s="1">
        <v>45923</v>
      </c>
      <c r="B16" t="s">
        <v>204</v>
      </c>
      <c r="C16" t="str">
        <f>CONCATENATE(B16,8)</f>
        <v>5X80ED2AT418</v>
      </c>
      <c r="D16" t="s">
        <v>271</v>
      </c>
      <c r="E16" t="s">
        <v>272</v>
      </c>
      <c r="F16" t="str">
        <f>CONCATENATE(E16, " ",D16)</f>
        <v>CRAIG STONE</v>
      </c>
      <c r="G16" t="s">
        <v>207</v>
      </c>
      <c r="H16" t="s">
        <v>208</v>
      </c>
      <c r="I16" t="s">
        <v>29</v>
      </c>
      <c r="J16" s="1">
        <v>45901</v>
      </c>
      <c r="K16" s="1">
        <v>45901</v>
      </c>
      <c r="L16">
        <v>8307933</v>
      </c>
      <c r="M16" t="s">
        <v>32</v>
      </c>
      <c r="N16" t="s">
        <v>70</v>
      </c>
      <c r="O16">
        <v>208.67</v>
      </c>
      <c r="P16" t="s">
        <v>212</v>
      </c>
      <c r="Q16" t="s">
        <v>232</v>
      </c>
      <c r="R16">
        <f>626/12*4</f>
        <v>208.66666666666666</v>
      </c>
      <c r="S16">
        <f>313/12*8</f>
        <v>208.66666666666666</v>
      </c>
    </row>
    <row r="17" spans="1:27" x14ac:dyDescent="0.25">
      <c r="A17" s="1">
        <v>45923</v>
      </c>
      <c r="B17" t="s">
        <v>204</v>
      </c>
      <c r="C17" t="str">
        <f>CONCATENATE(B17,8)</f>
        <v>5X80ED2AT418</v>
      </c>
      <c r="D17" t="s">
        <v>271</v>
      </c>
      <c r="E17" t="s">
        <v>272</v>
      </c>
      <c r="F17" t="str">
        <f>CONCATENATE(E17, " ",D17)</f>
        <v>CRAIG STONE</v>
      </c>
      <c r="G17" t="s">
        <v>207</v>
      </c>
      <c r="H17" t="s">
        <v>46</v>
      </c>
      <c r="I17" t="s">
        <v>29</v>
      </c>
      <c r="J17" s="1">
        <v>45901</v>
      </c>
      <c r="K17" s="1">
        <v>45901</v>
      </c>
      <c r="L17">
        <v>8307933</v>
      </c>
      <c r="M17" t="s">
        <v>32</v>
      </c>
      <c r="N17" t="s">
        <v>70</v>
      </c>
      <c r="O17">
        <v>-104.33</v>
      </c>
      <c r="P17" t="s">
        <v>212</v>
      </c>
      <c r="Q17" t="s">
        <v>220</v>
      </c>
    </row>
    <row r="18" spans="1:27" x14ac:dyDescent="0.25">
      <c r="A18" s="4">
        <v>45923</v>
      </c>
      <c r="B18" s="5" t="s">
        <v>204</v>
      </c>
      <c r="C18" s="5" t="str">
        <f>CONCATENATE(B18,"OVR")</f>
        <v>5X80ED2AT41OVR</v>
      </c>
      <c r="D18" s="5" t="s">
        <v>271</v>
      </c>
      <c r="E18" s="5" t="s">
        <v>272</v>
      </c>
      <c r="F18" t="str">
        <f>CONCATENATE(E18, " ",D18)</f>
        <v>CRAIG STONE</v>
      </c>
      <c r="G18" s="5" t="s">
        <v>207</v>
      </c>
      <c r="H18" s="5" t="s">
        <v>46</v>
      </c>
      <c r="I18" s="5" t="s">
        <v>29</v>
      </c>
      <c r="J18" s="4">
        <v>45901</v>
      </c>
      <c r="K18" s="4">
        <v>45901</v>
      </c>
      <c r="L18" s="5">
        <v>20411454</v>
      </c>
      <c r="M18" s="5" t="s">
        <v>32</v>
      </c>
      <c r="N18" s="5" t="s">
        <v>231</v>
      </c>
      <c r="O18" s="5">
        <v>-41.67</v>
      </c>
      <c r="P18" s="5" t="s">
        <v>211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5">
      <c r="A19" s="4">
        <v>45923</v>
      </c>
      <c r="B19" s="5" t="s">
        <v>204</v>
      </c>
      <c r="C19" s="5" t="str">
        <f>CONCATENATE(B19,"OVR")</f>
        <v>5X80ED2AT41OVR</v>
      </c>
      <c r="D19" s="5" t="s">
        <v>271</v>
      </c>
      <c r="E19" s="5" t="s">
        <v>272</v>
      </c>
      <c r="F19" t="str">
        <f>CONCATENATE(E19, " ",D19)</f>
        <v>CRAIG STONE</v>
      </c>
      <c r="G19" s="5" t="s">
        <v>207</v>
      </c>
      <c r="H19" s="5" t="s">
        <v>208</v>
      </c>
      <c r="I19" s="5" t="s">
        <v>29</v>
      </c>
      <c r="J19" s="4">
        <v>45901</v>
      </c>
      <c r="K19" s="4">
        <v>45901</v>
      </c>
      <c r="L19" s="5">
        <v>20411454</v>
      </c>
      <c r="M19" s="5" t="s">
        <v>32</v>
      </c>
      <c r="N19" s="5" t="s">
        <v>231</v>
      </c>
      <c r="O19" s="5">
        <v>41.66</v>
      </c>
      <c r="P19" s="5" t="s">
        <v>211</v>
      </c>
      <c r="Q19" s="5"/>
      <c r="R19" s="5">
        <f>125/12*4</f>
        <v>41.666666666666664</v>
      </c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5">
      <c r="A20" s="1">
        <v>45923</v>
      </c>
      <c r="B20" t="s">
        <v>64</v>
      </c>
      <c r="C20" t="str">
        <f>CONCATENATE(B20,7)</f>
        <v>8HF4NU5CQ947</v>
      </c>
      <c r="D20" t="s">
        <v>261</v>
      </c>
      <c r="E20" t="s">
        <v>262</v>
      </c>
      <c r="F20" t="str">
        <f>CONCATENATE(E20, " ",D20)</f>
        <v>DONNY CLARK</v>
      </c>
      <c r="G20" t="s">
        <v>67</v>
      </c>
      <c r="H20" t="s">
        <v>41</v>
      </c>
      <c r="I20" t="s">
        <v>29</v>
      </c>
      <c r="J20" s="1">
        <v>45901</v>
      </c>
      <c r="K20" s="1">
        <v>45901</v>
      </c>
      <c r="L20">
        <v>8307933</v>
      </c>
      <c r="M20" t="s">
        <v>32</v>
      </c>
      <c r="N20" t="s">
        <v>70</v>
      </c>
      <c r="O20">
        <v>626</v>
      </c>
      <c r="P20" t="s">
        <v>225</v>
      </c>
      <c r="Q20" t="s">
        <v>226</v>
      </c>
      <c r="R20">
        <v>125</v>
      </c>
    </row>
    <row r="21" spans="1:27" x14ac:dyDescent="0.25">
      <c r="A21" s="1">
        <v>45923</v>
      </c>
      <c r="B21" t="s">
        <v>64</v>
      </c>
      <c r="C21" t="str">
        <f>CONCATENATE(B21,8)</f>
        <v>8HF4NU5CQ948</v>
      </c>
      <c r="D21" t="s">
        <v>261</v>
      </c>
      <c r="E21" t="s">
        <v>262</v>
      </c>
      <c r="F21" t="str">
        <f>CONCATENATE(E21, " ",D21)</f>
        <v>DONNY CLARK</v>
      </c>
      <c r="G21" t="s">
        <v>67</v>
      </c>
      <c r="H21" t="s">
        <v>46</v>
      </c>
      <c r="I21" t="s">
        <v>29</v>
      </c>
      <c r="J21" s="1">
        <v>45901</v>
      </c>
      <c r="K21" s="1">
        <v>45901</v>
      </c>
      <c r="L21">
        <v>8307933</v>
      </c>
      <c r="M21" t="s">
        <v>32</v>
      </c>
      <c r="N21" t="s">
        <v>70</v>
      </c>
      <c r="O21">
        <v>-104.33</v>
      </c>
      <c r="P21" t="s">
        <v>212</v>
      </c>
      <c r="Q21" t="s">
        <v>220</v>
      </c>
      <c r="R21">
        <f>125/12*4</f>
        <v>41.666666666666664</v>
      </c>
    </row>
    <row r="22" spans="1:27" x14ac:dyDescent="0.25">
      <c r="A22" s="4">
        <v>45923</v>
      </c>
      <c r="B22" s="5" t="s">
        <v>64</v>
      </c>
      <c r="C22" s="5" t="str">
        <f>CONCATENATE(B22,"OVR")</f>
        <v>8HF4NU5CQ94OVR</v>
      </c>
      <c r="D22" s="5" t="s">
        <v>261</v>
      </c>
      <c r="E22" s="5" t="s">
        <v>262</v>
      </c>
      <c r="F22" t="str">
        <f>CONCATENATE(E22, " ",D22)</f>
        <v>DONNY CLARK</v>
      </c>
      <c r="G22" s="5" t="s">
        <v>67</v>
      </c>
      <c r="H22" s="5" t="s">
        <v>46</v>
      </c>
      <c r="I22" s="5" t="s">
        <v>29</v>
      </c>
      <c r="J22" s="4">
        <v>45901</v>
      </c>
      <c r="K22" s="4">
        <v>45901</v>
      </c>
      <c r="L22" s="5">
        <v>20411454</v>
      </c>
      <c r="M22" s="5" t="s">
        <v>32</v>
      </c>
      <c r="N22" s="5" t="s">
        <v>231</v>
      </c>
      <c r="O22" s="5">
        <v>-41.67</v>
      </c>
      <c r="P22" s="5" t="s">
        <v>211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4">
        <v>45923</v>
      </c>
      <c r="B23" s="5" t="s">
        <v>64</v>
      </c>
      <c r="C23" s="5" t="str">
        <f>CONCATENATE(B23,"OVR")</f>
        <v>8HF4NU5CQ94OVR</v>
      </c>
      <c r="D23" s="5" t="s">
        <v>261</v>
      </c>
      <c r="E23" s="5" t="s">
        <v>262</v>
      </c>
      <c r="F23" t="str">
        <f>CONCATENATE(E23, " ",D23)</f>
        <v>DONNY CLARK</v>
      </c>
      <c r="G23" s="5" t="s">
        <v>67</v>
      </c>
      <c r="H23" s="5" t="s">
        <v>41</v>
      </c>
      <c r="I23" s="5" t="s">
        <v>29</v>
      </c>
      <c r="J23" s="4">
        <v>45901</v>
      </c>
      <c r="K23" s="4">
        <v>45901</v>
      </c>
      <c r="L23" s="5">
        <v>20411454</v>
      </c>
      <c r="M23" s="5" t="s">
        <v>32</v>
      </c>
      <c r="N23" s="5" t="s">
        <v>231</v>
      </c>
      <c r="O23" s="5">
        <v>125</v>
      </c>
      <c r="P23" s="5" t="s">
        <v>211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1">
        <v>45923</v>
      </c>
      <c r="B24" t="s">
        <v>195</v>
      </c>
      <c r="C24" t="str">
        <f>CONCATENATE(B24,7)</f>
        <v>3T83FV5VT917</v>
      </c>
      <c r="D24" t="s">
        <v>269</v>
      </c>
      <c r="E24" t="s">
        <v>270</v>
      </c>
      <c r="F24" t="str">
        <f>CONCATENATE(E24, " ",D24)</f>
        <v>EARL SCHULTE</v>
      </c>
      <c r="G24" t="s">
        <v>40</v>
      </c>
      <c r="H24" t="s">
        <v>41</v>
      </c>
      <c r="I24" t="s">
        <v>29</v>
      </c>
      <c r="J24" s="1">
        <v>45901</v>
      </c>
      <c r="K24" s="1">
        <v>45901</v>
      </c>
      <c r="L24">
        <v>18142208</v>
      </c>
      <c r="M24" t="s">
        <v>32</v>
      </c>
      <c r="N24" t="s">
        <v>44</v>
      </c>
      <c r="O24">
        <v>626</v>
      </c>
      <c r="P24" t="s">
        <v>225</v>
      </c>
      <c r="Q24" t="s">
        <v>226</v>
      </c>
    </row>
    <row r="25" spans="1:27" x14ac:dyDescent="0.25">
      <c r="A25" s="1">
        <v>45923</v>
      </c>
      <c r="B25" t="s">
        <v>195</v>
      </c>
      <c r="C25" t="str">
        <f>CONCATENATE(B25,8)</f>
        <v>3T83FV5VT918</v>
      </c>
      <c r="D25" t="s">
        <v>269</v>
      </c>
      <c r="E25" t="s">
        <v>270</v>
      </c>
      <c r="F25" t="str">
        <f>CONCATENATE(E25, " ",D25)</f>
        <v>EARL SCHULTE</v>
      </c>
      <c r="G25" t="s">
        <v>40</v>
      </c>
      <c r="H25" t="s">
        <v>46</v>
      </c>
      <c r="I25" t="s">
        <v>29</v>
      </c>
      <c r="J25" s="1">
        <v>45901</v>
      </c>
      <c r="K25" s="1">
        <v>45901</v>
      </c>
      <c r="L25">
        <v>18142208</v>
      </c>
      <c r="M25" t="s">
        <v>32</v>
      </c>
      <c r="N25" t="s">
        <v>44</v>
      </c>
      <c r="O25">
        <v>-104.33</v>
      </c>
      <c r="P25" t="s">
        <v>212</v>
      </c>
      <c r="Q25" t="s">
        <v>220</v>
      </c>
    </row>
    <row r="26" spans="1:27" s="5" customFormat="1" x14ac:dyDescent="0.25">
      <c r="A26" s="4">
        <v>45923</v>
      </c>
      <c r="B26" s="5" t="s">
        <v>195</v>
      </c>
      <c r="C26" s="5" t="str">
        <f>CONCATENATE(B26,"OVR")</f>
        <v>3T83FV5VT91OVR</v>
      </c>
      <c r="D26" s="5" t="s">
        <v>269</v>
      </c>
      <c r="E26" s="5" t="s">
        <v>270</v>
      </c>
      <c r="F26" t="str">
        <f>CONCATENATE(E26, " ",D26)</f>
        <v>EARL SCHULTE</v>
      </c>
      <c r="G26" s="5" t="s">
        <v>40</v>
      </c>
      <c r="H26" s="5" t="s">
        <v>46</v>
      </c>
      <c r="I26" s="5" t="s">
        <v>29</v>
      </c>
      <c r="J26" s="4">
        <v>45901</v>
      </c>
      <c r="K26" s="4">
        <v>45901</v>
      </c>
      <c r="L26" s="5">
        <v>20411454</v>
      </c>
      <c r="M26" s="5" t="s">
        <v>32</v>
      </c>
      <c r="N26" s="5" t="s">
        <v>231</v>
      </c>
      <c r="O26" s="5">
        <v>-41.67</v>
      </c>
      <c r="P26" s="5" t="s">
        <v>211</v>
      </c>
    </row>
    <row r="27" spans="1:27" s="5" customFormat="1" x14ac:dyDescent="0.25">
      <c r="A27" s="4">
        <v>45923</v>
      </c>
      <c r="B27" s="5" t="s">
        <v>195</v>
      </c>
      <c r="C27" s="5" t="str">
        <f>CONCATENATE(B27,"OVR")</f>
        <v>3T83FV5VT91OVR</v>
      </c>
      <c r="D27" s="5" t="s">
        <v>269</v>
      </c>
      <c r="E27" s="5" t="s">
        <v>270</v>
      </c>
      <c r="F27" t="str">
        <f>CONCATENATE(E27, " ",D27)</f>
        <v>EARL SCHULTE</v>
      </c>
      <c r="G27" s="5" t="s">
        <v>40</v>
      </c>
      <c r="H27" s="5" t="s">
        <v>41</v>
      </c>
      <c r="I27" s="5" t="s">
        <v>29</v>
      </c>
      <c r="J27" s="4">
        <v>45901</v>
      </c>
      <c r="K27" s="4">
        <v>45901</v>
      </c>
      <c r="L27" s="5">
        <v>20411454</v>
      </c>
      <c r="M27" s="5" t="s">
        <v>32</v>
      </c>
      <c r="N27" s="5" t="s">
        <v>231</v>
      </c>
      <c r="O27" s="5">
        <v>125</v>
      </c>
      <c r="P27" s="5" t="s">
        <v>211</v>
      </c>
    </row>
    <row r="28" spans="1:27" s="5" customFormat="1" x14ac:dyDescent="0.25">
      <c r="A28" s="1">
        <v>45923</v>
      </c>
      <c r="B28" t="s">
        <v>141</v>
      </c>
      <c r="C28" t="str">
        <f>CONCATENATE(B28,7)</f>
        <v>7H73W95YW927</v>
      </c>
      <c r="D28" t="s">
        <v>267</v>
      </c>
      <c r="E28" t="s">
        <v>268</v>
      </c>
      <c r="F28" t="str">
        <f>CONCATENATE(E28, " ",D28)</f>
        <v>GREGG HAVEL</v>
      </c>
      <c r="G28" t="s">
        <v>144</v>
      </c>
      <c r="H28" t="s">
        <v>41</v>
      </c>
      <c r="I28" t="s">
        <v>29</v>
      </c>
      <c r="J28" s="1">
        <v>45901</v>
      </c>
      <c r="K28" s="1">
        <v>45901</v>
      </c>
      <c r="L28">
        <v>8307933</v>
      </c>
      <c r="M28" t="s">
        <v>32</v>
      </c>
      <c r="N28" t="s">
        <v>70</v>
      </c>
      <c r="O28">
        <v>626</v>
      </c>
      <c r="P28" t="s">
        <v>225</v>
      </c>
      <c r="Q28" t="s">
        <v>226</v>
      </c>
      <c r="R28"/>
      <c r="S28"/>
      <c r="T28"/>
      <c r="U28"/>
      <c r="V28"/>
      <c r="W28"/>
      <c r="X28"/>
      <c r="Y28"/>
      <c r="Z28"/>
      <c r="AA28"/>
    </row>
    <row r="29" spans="1:27" s="5" customFormat="1" x14ac:dyDescent="0.25">
      <c r="A29" s="1">
        <v>45923</v>
      </c>
      <c r="B29" t="s">
        <v>141</v>
      </c>
      <c r="C29" t="str">
        <f>CONCATENATE(B29,8)</f>
        <v>7H73W95YW928</v>
      </c>
      <c r="D29" t="s">
        <v>267</v>
      </c>
      <c r="E29" t="s">
        <v>268</v>
      </c>
      <c r="F29" t="str">
        <f>CONCATENATE(E29, " ",D29)</f>
        <v>GREGG HAVEL</v>
      </c>
      <c r="G29" t="s">
        <v>144</v>
      </c>
      <c r="H29" t="s">
        <v>46</v>
      </c>
      <c r="I29" t="s">
        <v>29</v>
      </c>
      <c r="J29" s="1">
        <v>45901</v>
      </c>
      <c r="K29" s="1">
        <v>45901</v>
      </c>
      <c r="L29">
        <v>8307933</v>
      </c>
      <c r="M29" t="s">
        <v>32</v>
      </c>
      <c r="N29" t="s">
        <v>70</v>
      </c>
      <c r="O29">
        <v>-104.33</v>
      </c>
      <c r="P29" t="s">
        <v>212</v>
      </c>
      <c r="Q29" t="s">
        <v>220</v>
      </c>
      <c r="R29"/>
      <c r="S29"/>
      <c r="T29"/>
      <c r="U29"/>
      <c r="V29"/>
      <c r="W29"/>
      <c r="X29"/>
      <c r="Y29"/>
      <c r="Z29"/>
      <c r="AA29"/>
    </row>
    <row r="30" spans="1:27" s="5" customFormat="1" x14ac:dyDescent="0.25">
      <c r="A30" s="4">
        <v>45923</v>
      </c>
      <c r="B30" s="5" t="s">
        <v>141</v>
      </c>
      <c r="C30" s="5" t="str">
        <f>CONCATENATE(B30,"OVR")</f>
        <v>7H73W95YW92OVR</v>
      </c>
      <c r="D30" s="5" t="s">
        <v>267</v>
      </c>
      <c r="E30" s="5" t="s">
        <v>268</v>
      </c>
      <c r="F30" t="str">
        <f>CONCATENATE(E30, " ",D30)</f>
        <v>GREGG HAVEL</v>
      </c>
      <c r="G30" s="5" t="s">
        <v>144</v>
      </c>
      <c r="H30" s="5" t="s">
        <v>46</v>
      </c>
      <c r="I30" s="5" t="s">
        <v>29</v>
      </c>
      <c r="J30" s="4">
        <v>45901</v>
      </c>
      <c r="K30" s="4">
        <v>45901</v>
      </c>
      <c r="L30" s="5">
        <v>20411454</v>
      </c>
      <c r="M30" s="5" t="s">
        <v>32</v>
      </c>
      <c r="N30" s="5" t="s">
        <v>231</v>
      </c>
      <c r="O30" s="5">
        <v>-41.67</v>
      </c>
      <c r="P30" s="5" t="s">
        <v>211</v>
      </c>
    </row>
    <row r="31" spans="1:27" s="5" customFormat="1" x14ac:dyDescent="0.25">
      <c r="A31" s="4">
        <v>45923</v>
      </c>
      <c r="B31" s="5" t="s">
        <v>141</v>
      </c>
      <c r="C31" s="5" t="str">
        <f>CONCATENATE(B31,"OVR")</f>
        <v>7H73W95YW92OVR</v>
      </c>
      <c r="D31" s="5" t="s">
        <v>267</v>
      </c>
      <c r="E31" s="5" t="s">
        <v>268</v>
      </c>
      <c r="F31" t="str">
        <f>CONCATENATE(E31, " ",D31)</f>
        <v>GREGG HAVEL</v>
      </c>
      <c r="G31" s="5" t="s">
        <v>144</v>
      </c>
      <c r="H31" s="5" t="s">
        <v>41</v>
      </c>
      <c r="I31" s="5" t="s">
        <v>29</v>
      </c>
      <c r="J31" s="4">
        <v>45901</v>
      </c>
      <c r="K31" s="4">
        <v>45901</v>
      </c>
      <c r="L31" s="5">
        <v>20411454</v>
      </c>
      <c r="M31" s="5" t="s">
        <v>32</v>
      </c>
      <c r="N31" s="5" t="s">
        <v>231</v>
      </c>
      <c r="O31" s="5">
        <v>125</v>
      </c>
      <c r="P31" s="5" t="s">
        <v>211</v>
      </c>
    </row>
    <row r="32" spans="1:27" s="5" customFormat="1" x14ac:dyDescent="0.25">
      <c r="A32" s="1">
        <v>45923</v>
      </c>
      <c r="B32" t="s">
        <v>168</v>
      </c>
      <c r="C32" t="str">
        <f>CONCATENATE(B32,7)</f>
        <v>2ME2H46AG077</v>
      </c>
      <c r="D32" t="s">
        <v>240</v>
      </c>
      <c r="E32" t="s">
        <v>241</v>
      </c>
      <c r="F32" t="str">
        <f>CONCATENATE(E32, " ",D32)</f>
        <v>JAMIE MCDONALD</v>
      </c>
      <c r="G32" t="s">
        <v>50</v>
      </c>
      <c r="H32" t="s">
        <v>41</v>
      </c>
      <c r="I32" t="s">
        <v>29</v>
      </c>
      <c r="J32" s="1">
        <v>45901</v>
      </c>
      <c r="K32" s="1">
        <v>45901</v>
      </c>
      <c r="L32">
        <v>7146581</v>
      </c>
      <c r="M32" t="s">
        <v>32</v>
      </c>
      <c r="N32" t="s">
        <v>171</v>
      </c>
      <c r="O32">
        <v>626</v>
      </c>
      <c r="P32" t="s">
        <v>225</v>
      </c>
      <c r="Q32" t="s">
        <v>226</v>
      </c>
      <c r="R32"/>
      <c r="S32"/>
      <c r="T32"/>
      <c r="U32"/>
      <c r="V32"/>
      <c r="W32"/>
      <c r="X32"/>
      <c r="Y32"/>
      <c r="Z32"/>
      <c r="AA32"/>
    </row>
    <row r="33" spans="1:27" s="5" customFormat="1" x14ac:dyDescent="0.25">
      <c r="A33" s="1">
        <v>45923</v>
      </c>
      <c r="B33" t="s">
        <v>168</v>
      </c>
      <c r="C33" t="str">
        <f>CONCATENATE(B33,8)</f>
        <v>2ME2H46AG078</v>
      </c>
      <c r="D33" t="s">
        <v>240</v>
      </c>
      <c r="E33" t="s">
        <v>241</v>
      </c>
      <c r="F33" t="str">
        <f>CONCATENATE(E33, " ",D33)</f>
        <v>JAMIE MCDONALD</v>
      </c>
      <c r="G33" t="s">
        <v>50</v>
      </c>
      <c r="H33" t="s">
        <v>46</v>
      </c>
      <c r="I33" t="s">
        <v>29</v>
      </c>
      <c r="J33" s="1">
        <v>45901</v>
      </c>
      <c r="K33" s="1">
        <v>45901</v>
      </c>
      <c r="L33">
        <v>7146581</v>
      </c>
      <c r="M33" t="s">
        <v>32</v>
      </c>
      <c r="N33" t="s">
        <v>171</v>
      </c>
      <c r="O33">
        <v>-104.33</v>
      </c>
      <c r="P33" t="s">
        <v>212</v>
      </c>
      <c r="Q33" t="s">
        <v>220</v>
      </c>
      <c r="R33"/>
      <c r="S33"/>
      <c r="T33"/>
      <c r="U33"/>
      <c r="V33"/>
      <c r="W33"/>
      <c r="X33"/>
      <c r="Y33"/>
      <c r="Z33"/>
      <c r="AA33"/>
    </row>
    <row r="34" spans="1:27" s="5" customFormat="1" x14ac:dyDescent="0.25">
      <c r="A34" s="4">
        <v>45923</v>
      </c>
      <c r="B34" s="5" t="s">
        <v>168</v>
      </c>
      <c r="C34" s="5" t="str">
        <f>CONCATENATE(B34,"OVR")</f>
        <v>2ME2H46AG07OVR</v>
      </c>
      <c r="D34" s="5" t="s">
        <v>240</v>
      </c>
      <c r="E34" s="5" t="s">
        <v>241</v>
      </c>
      <c r="F34" t="str">
        <f>CONCATENATE(E34, " ",D34)</f>
        <v>JAMIE MCDONALD</v>
      </c>
      <c r="G34" s="5" t="s">
        <v>50</v>
      </c>
      <c r="H34" s="5" t="s">
        <v>46</v>
      </c>
      <c r="I34" s="5" t="s">
        <v>29</v>
      </c>
      <c r="J34" s="4">
        <v>45901</v>
      </c>
      <c r="K34" s="4">
        <v>45901</v>
      </c>
      <c r="L34" s="5">
        <v>20411454</v>
      </c>
      <c r="M34" s="5" t="s">
        <v>32</v>
      </c>
      <c r="N34" s="5" t="s">
        <v>231</v>
      </c>
      <c r="O34" s="5">
        <v>-41.67</v>
      </c>
      <c r="P34" s="5" t="s">
        <v>211</v>
      </c>
    </row>
    <row r="35" spans="1:27" s="5" customFormat="1" x14ac:dyDescent="0.25">
      <c r="A35" s="4">
        <v>45923</v>
      </c>
      <c r="B35" s="5" t="s">
        <v>168</v>
      </c>
      <c r="C35" s="5" t="str">
        <f>CONCATENATE(B35,"OVR")</f>
        <v>2ME2H46AG07OVR</v>
      </c>
      <c r="D35" s="5" t="s">
        <v>240</v>
      </c>
      <c r="E35" s="5" t="s">
        <v>241</v>
      </c>
      <c r="F35" t="str">
        <f>CONCATENATE(E35, " ",D35)</f>
        <v>JAMIE MCDONALD</v>
      </c>
      <c r="G35" s="5" t="s">
        <v>50</v>
      </c>
      <c r="H35" s="5" t="s">
        <v>41</v>
      </c>
      <c r="I35" s="5" t="s">
        <v>29</v>
      </c>
      <c r="J35" s="4">
        <v>45901</v>
      </c>
      <c r="K35" s="4">
        <v>45901</v>
      </c>
      <c r="L35" s="5">
        <v>20411454</v>
      </c>
      <c r="M35" s="5" t="s">
        <v>32</v>
      </c>
      <c r="N35" s="5" t="s">
        <v>231</v>
      </c>
      <c r="O35" s="5">
        <v>125</v>
      </c>
      <c r="P35" s="5" t="s">
        <v>211</v>
      </c>
    </row>
    <row r="36" spans="1:27" s="5" customFormat="1" x14ac:dyDescent="0.25">
      <c r="A36" s="1">
        <v>45923</v>
      </c>
      <c r="B36" t="s">
        <v>135</v>
      </c>
      <c r="C36" t="str">
        <f>CONCATENATE(B36,7)</f>
        <v>7JT3JM5WY017</v>
      </c>
      <c r="D36" t="s">
        <v>236</v>
      </c>
      <c r="E36" t="s">
        <v>237</v>
      </c>
      <c r="F36" t="str">
        <f>CONCATENATE(E36, " ",D36)</f>
        <v>JANE GOLD</v>
      </c>
      <c r="G36" t="s">
        <v>50</v>
      </c>
      <c r="H36" t="s">
        <v>41</v>
      </c>
      <c r="I36" t="s">
        <v>29</v>
      </c>
      <c r="J36" s="1">
        <v>45901</v>
      </c>
      <c r="K36" s="1">
        <v>45901</v>
      </c>
      <c r="L36">
        <v>19268643</v>
      </c>
      <c r="M36" t="s">
        <v>32</v>
      </c>
      <c r="N36" t="s">
        <v>85</v>
      </c>
      <c r="O36">
        <v>626</v>
      </c>
      <c r="P36" t="s">
        <v>225</v>
      </c>
      <c r="Q36" t="s">
        <v>226</v>
      </c>
      <c r="R36"/>
      <c r="S36"/>
      <c r="T36"/>
      <c r="U36"/>
      <c r="V36"/>
      <c r="W36"/>
      <c r="X36"/>
      <c r="Y36"/>
      <c r="Z36"/>
      <c r="AA36"/>
    </row>
    <row r="37" spans="1:27" x14ac:dyDescent="0.25">
      <c r="A37" s="1">
        <v>45923</v>
      </c>
      <c r="B37" t="s">
        <v>135</v>
      </c>
      <c r="C37" t="str">
        <f>CONCATENATE(B37,8)</f>
        <v>7JT3JM5WY018</v>
      </c>
      <c r="D37" t="s">
        <v>236</v>
      </c>
      <c r="E37" t="s">
        <v>237</v>
      </c>
      <c r="F37" t="str">
        <f>CONCATENATE(E37, " ",D37)</f>
        <v>JANE GOLD</v>
      </c>
      <c r="G37" t="s">
        <v>50</v>
      </c>
      <c r="H37" t="s">
        <v>46</v>
      </c>
      <c r="I37" t="s">
        <v>29</v>
      </c>
      <c r="J37" s="1">
        <v>45901</v>
      </c>
      <c r="K37" s="1">
        <v>45901</v>
      </c>
      <c r="L37">
        <v>19268643</v>
      </c>
      <c r="M37" t="s">
        <v>32</v>
      </c>
      <c r="N37" t="s">
        <v>85</v>
      </c>
      <c r="O37">
        <v>-104.33</v>
      </c>
      <c r="P37" t="s">
        <v>212</v>
      </c>
      <c r="Q37" t="s">
        <v>220</v>
      </c>
    </row>
    <row r="38" spans="1:27" x14ac:dyDescent="0.25">
      <c r="A38" s="4">
        <v>45923</v>
      </c>
      <c r="B38" s="5" t="s">
        <v>135</v>
      </c>
      <c r="C38" s="5" t="str">
        <f>CONCATENATE(B38,"OVR")</f>
        <v>7JT3JM5WY01OVR</v>
      </c>
      <c r="D38" s="5" t="s">
        <v>236</v>
      </c>
      <c r="E38" s="5" t="s">
        <v>237</v>
      </c>
      <c r="F38" t="str">
        <f>CONCATENATE(E38, " ",D38)</f>
        <v>JANE GOLD</v>
      </c>
      <c r="G38" s="5" t="s">
        <v>50</v>
      </c>
      <c r="H38" s="5" t="s">
        <v>46</v>
      </c>
      <c r="I38" s="5" t="s">
        <v>29</v>
      </c>
      <c r="J38" s="4">
        <v>45901</v>
      </c>
      <c r="K38" s="4">
        <v>45901</v>
      </c>
      <c r="L38" s="5">
        <v>20411454</v>
      </c>
      <c r="M38" s="5" t="s">
        <v>32</v>
      </c>
      <c r="N38" s="5" t="s">
        <v>231</v>
      </c>
      <c r="O38" s="5">
        <v>-41.67</v>
      </c>
      <c r="P38" s="5" t="s">
        <v>211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5">
      <c r="A39" s="4">
        <v>45923</v>
      </c>
      <c r="B39" s="5" t="s">
        <v>135</v>
      </c>
      <c r="C39" s="5" t="str">
        <f>CONCATENATE(B39,"OVR")</f>
        <v>7JT3JM5WY01OVR</v>
      </c>
      <c r="D39" s="5" t="s">
        <v>236</v>
      </c>
      <c r="E39" s="5" t="s">
        <v>237</v>
      </c>
      <c r="F39" t="str">
        <f>CONCATENATE(E39, " ",D39)</f>
        <v>JANE GOLD</v>
      </c>
      <c r="G39" s="5" t="s">
        <v>50</v>
      </c>
      <c r="H39" s="5" t="s">
        <v>41</v>
      </c>
      <c r="I39" s="5" t="s">
        <v>29</v>
      </c>
      <c r="J39" s="4">
        <v>45901</v>
      </c>
      <c r="K39" s="4">
        <v>45901</v>
      </c>
      <c r="L39" s="5">
        <v>20411454</v>
      </c>
      <c r="M39" s="5" t="s">
        <v>32</v>
      </c>
      <c r="N39" s="5" t="s">
        <v>231</v>
      </c>
      <c r="O39" s="5">
        <v>125</v>
      </c>
      <c r="P39" s="5" t="s">
        <v>211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5" customFormat="1" x14ac:dyDescent="0.25">
      <c r="A40" s="1">
        <v>45923</v>
      </c>
      <c r="B40" t="s">
        <v>47</v>
      </c>
      <c r="C40" t="str">
        <f>CONCATENATE(B40,8)</f>
        <v>3EC1D83VF348</v>
      </c>
      <c r="D40" t="s">
        <v>301</v>
      </c>
      <c r="E40" t="s">
        <v>302</v>
      </c>
      <c r="F40" t="str">
        <f>CONCATENATE(E40, " ",D40)</f>
        <v>JESSE BARNET</v>
      </c>
      <c r="G40" t="s">
        <v>50</v>
      </c>
      <c r="H40" t="s">
        <v>28</v>
      </c>
      <c r="I40" t="s">
        <v>29</v>
      </c>
      <c r="J40" s="1">
        <v>45992</v>
      </c>
      <c r="K40" s="1">
        <v>45992</v>
      </c>
      <c r="L40">
        <v>9213293</v>
      </c>
      <c r="M40" t="s">
        <v>32</v>
      </c>
      <c r="N40" t="s">
        <v>53</v>
      </c>
      <c r="O40">
        <v>26.08</v>
      </c>
      <c r="P40" t="s">
        <v>212</v>
      </c>
      <c r="Q40" t="s">
        <v>223</v>
      </c>
      <c r="R40">
        <f>313/12*1</f>
        <v>26.083333333333332</v>
      </c>
      <c r="S40"/>
      <c r="T40"/>
      <c r="U40"/>
      <c r="V40"/>
      <c r="W40"/>
      <c r="X40"/>
      <c r="Y40"/>
      <c r="Z40"/>
      <c r="AA40"/>
    </row>
    <row r="41" spans="1:27" s="5" customFormat="1" x14ac:dyDescent="0.25">
      <c r="A41" s="4">
        <v>45923</v>
      </c>
      <c r="B41" s="5" t="s">
        <v>47</v>
      </c>
      <c r="C41" s="5" t="str">
        <f>CONCATENATE(B41,"OVR")</f>
        <v>3EC1D83VF34OVR</v>
      </c>
      <c r="D41" s="5" t="s">
        <v>301</v>
      </c>
      <c r="E41" s="5" t="s">
        <v>302</v>
      </c>
      <c r="F41" t="str">
        <f>CONCATENATE(E41, " ",D41)</f>
        <v>JESSE BARNET</v>
      </c>
      <c r="G41" s="5" t="s">
        <v>50</v>
      </c>
      <c r="H41" s="5" t="s">
        <v>28</v>
      </c>
      <c r="I41" s="5" t="s">
        <v>29</v>
      </c>
      <c r="J41" s="4">
        <v>45992</v>
      </c>
      <c r="K41" s="4">
        <v>45992</v>
      </c>
      <c r="L41" s="5">
        <v>20411454</v>
      </c>
      <c r="M41" s="5" t="s">
        <v>32</v>
      </c>
      <c r="N41" s="5" t="s">
        <v>231</v>
      </c>
      <c r="O41" s="5">
        <v>10</v>
      </c>
      <c r="P41" s="5" t="s">
        <v>211</v>
      </c>
      <c r="R41" s="5">
        <f>120/12*1</f>
        <v>10</v>
      </c>
    </row>
    <row r="42" spans="1:27" s="5" customFormat="1" x14ac:dyDescent="0.25">
      <c r="A42" s="1">
        <v>45923</v>
      </c>
      <c r="B42" t="s">
        <v>71</v>
      </c>
      <c r="C42" t="str">
        <f>CONCATENATE(B42,7)</f>
        <v>7XR8EQ1FQ647</v>
      </c>
      <c r="D42" t="s">
        <v>257</v>
      </c>
      <c r="E42" t="s">
        <v>258</v>
      </c>
      <c r="F42" t="str">
        <f>CONCATENATE(E42, " ",D42)</f>
        <v>JOELLEN CONEY</v>
      </c>
      <c r="G42" t="s">
        <v>50</v>
      </c>
      <c r="H42" t="s">
        <v>41</v>
      </c>
      <c r="I42" t="s">
        <v>29</v>
      </c>
      <c r="J42" s="1">
        <v>45870</v>
      </c>
      <c r="K42" s="1">
        <v>45870</v>
      </c>
      <c r="L42">
        <v>8325282</v>
      </c>
      <c r="M42" t="s">
        <v>32</v>
      </c>
      <c r="N42" t="s">
        <v>75</v>
      </c>
      <c r="O42">
        <v>626</v>
      </c>
      <c r="P42" t="s">
        <v>225</v>
      </c>
      <c r="Q42" t="s">
        <v>226</v>
      </c>
      <c r="R42"/>
      <c r="S42"/>
      <c r="T42"/>
      <c r="U42"/>
      <c r="V42"/>
      <c r="W42"/>
      <c r="X42"/>
      <c r="Y42"/>
      <c r="Z42"/>
      <c r="AA42"/>
    </row>
    <row r="43" spans="1:27" x14ac:dyDescent="0.25">
      <c r="A43" s="1">
        <v>45923</v>
      </c>
      <c r="B43" t="s">
        <v>71</v>
      </c>
      <c r="C43" t="str">
        <f>CONCATENATE(B43,8)</f>
        <v>7XR8EQ1FQ648</v>
      </c>
      <c r="D43" t="s">
        <v>257</v>
      </c>
      <c r="E43" t="s">
        <v>258</v>
      </c>
      <c r="F43" t="str">
        <f>CONCATENATE(E43, " ",D43)</f>
        <v>JOELLEN CONEY</v>
      </c>
      <c r="G43" t="s">
        <v>50</v>
      </c>
      <c r="H43" t="s">
        <v>46</v>
      </c>
      <c r="I43" t="s">
        <v>29</v>
      </c>
      <c r="J43" s="1">
        <v>45870</v>
      </c>
      <c r="K43" s="1">
        <v>45870</v>
      </c>
      <c r="L43">
        <v>8325282</v>
      </c>
      <c r="M43" t="s">
        <v>32</v>
      </c>
      <c r="N43" t="s">
        <v>75</v>
      </c>
      <c r="O43">
        <v>-130.41999999999999</v>
      </c>
      <c r="P43" t="s">
        <v>212</v>
      </c>
      <c r="Q43" t="s">
        <v>218</v>
      </c>
      <c r="R43">
        <f>313/12*5</f>
        <v>130.41666666666666</v>
      </c>
    </row>
    <row r="44" spans="1:27" x14ac:dyDescent="0.25">
      <c r="A44" s="4">
        <v>45923</v>
      </c>
      <c r="B44" s="5" t="s">
        <v>71</v>
      </c>
      <c r="C44" s="5" t="str">
        <f>CONCATENATE(B44,"OVR")</f>
        <v>7XR8EQ1FQ64OVR</v>
      </c>
      <c r="D44" s="5" t="s">
        <v>257</v>
      </c>
      <c r="E44" s="5" t="s">
        <v>258</v>
      </c>
      <c r="F44" t="str">
        <f>CONCATENATE(E44, " ",D44)</f>
        <v>JOELLEN CONEY</v>
      </c>
      <c r="G44" s="5" t="s">
        <v>50</v>
      </c>
      <c r="H44" s="5" t="s">
        <v>46</v>
      </c>
      <c r="I44" s="5" t="s">
        <v>29</v>
      </c>
      <c r="J44" s="4">
        <v>45870</v>
      </c>
      <c r="K44" s="4">
        <v>45870</v>
      </c>
      <c r="L44" s="5">
        <v>20411454</v>
      </c>
      <c r="M44" s="5" t="s">
        <v>32</v>
      </c>
      <c r="N44" s="5" t="s">
        <v>231</v>
      </c>
      <c r="O44" s="5">
        <v>-52.08</v>
      </c>
      <c r="P44" s="5" t="s">
        <v>211</v>
      </c>
      <c r="Q44" s="5"/>
      <c r="R44" s="5">
        <f>125/12*5</f>
        <v>52.083333333333329</v>
      </c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5">
      <c r="A45" s="4">
        <v>45923</v>
      </c>
      <c r="B45" s="5" t="s">
        <v>71</v>
      </c>
      <c r="C45" s="5" t="str">
        <f>CONCATENATE(B45,"OVR")</f>
        <v>7XR8EQ1FQ64OVR</v>
      </c>
      <c r="D45" s="5" t="s">
        <v>257</v>
      </c>
      <c r="E45" s="5" t="s">
        <v>258</v>
      </c>
      <c r="F45" t="str">
        <f>CONCATENATE(E45, " ",D45)</f>
        <v>JOELLEN CONEY</v>
      </c>
      <c r="G45" s="5" t="s">
        <v>50</v>
      </c>
      <c r="H45" s="5" t="s">
        <v>41</v>
      </c>
      <c r="I45" s="5" t="s">
        <v>29</v>
      </c>
      <c r="J45" s="4">
        <v>45870</v>
      </c>
      <c r="K45" s="4">
        <v>45870</v>
      </c>
      <c r="L45" s="5">
        <v>20411454</v>
      </c>
      <c r="M45" s="5" t="s">
        <v>32</v>
      </c>
      <c r="N45" s="5" t="s">
        <v>231</v>
      </c>
      <c r="O45" s="5">
        <v>125</v>
      </c>
      <c r="P45" s="5" t="s">
        <v>211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5">
      <c r="A46" s="1">
        <v>45923</v>
      </c>
      <c r="B46" t="s">
        <v>187</v>
      </c>
      <c r="C46" t="str">
        <f>CONCATENATE(B46,7)</f>
        <v>9QM0AM8WN087</v>
      </c>
      <c r="D46" t="s">
        <v>275</v>
      </c>
      <c r="E46" t="s">
        <v>276</v>
      </c>
      <c r="F46" t="str">
        <f>CONCATENATE(E46, " ",D46)</f>
        <v>JOHN RAMANIO</v>
      </c>
      <c r="G46" t="s">
        <v>190</v>
      </c>
      <c r="H46" t="s">
        <v>41</v>
      </c>
      <c r="I46" t="s">
        <v>29</v>
      </c>
      <c r="J46" s="1">
        <v>45901</v>
      </c>
      <c r="K46" s="1">
        <v>45901</v>
      </c>
      <c r="L46">
        <v>8325282</v>
      </c>
      <c r="M46" t="s">
        <v>32</v>
      </c>
      <c r="N46" t="s">
        <v>75</v>
      </c>
      <c r="O46">
        <v>626</v>
      </c>
      <c r="P46" t="s">
        <v>225</v>
      </c>
      <c r="Q46" t="s">
        <v>226</v>
      </c>
    </row>
    <row r="47" spans="1:27" x14ac:dyDescent="0.25">
      <c r="A47" s="1">
        <v>45923</v>
      </c>
      <c r="B47" t="s">
        <v>187</v>
      </c>
      <c r="C47" t="str">
        <f>CONCATENATE(B47,8)</f>
        <v>9QM0AM8WN088</v>
      </c>
      <c r="D47" t="s">
        <v>275</v>
      </c>
      <c r="E47" t="s">
        <v>276</v>
      </c>
      <c r="F47" t="str">
        <f>CONCATENATE(E47, " ",D47)</f>
        <v>JOHN RAMANIO</v>
      </c>
      <c r="G47" t="s">
        <v>190</v>
      </c>
      <c r="H47" t="s">
        <v>46</v>
      </c>
      <c r="I47" t="s">
        <v>29</v>
      </c>
      <c r="J47" s="1">
        <v>45901</v>
      </c>
      <c r="K47" s="1">
        <v>45901</v>
      </c>
      <c r="L47">
        <v>8325282</v>
      </c>
      <c r="M47" t="s">
        <v>32</v>
      </c>
      <c r="N47" t="s">
        <v>75</v>
      </c>
      <c r="O47">
        <v>-104.33</v>
      </c>
      <c r="P47" t="s">
        <v>212</v>
      </c>
      <c r="Q47" t="s">
        <v>220</v>
      </c>
    </row>
    <row r="48" spans="1:27" s="5" customFormat="1" x14ac:dyDescent="0.25">
      <c r="A48" s="4">
        <v>45923</v>
      </c>
      <c r="B48" s="5" t="s">
        <v>187</v>
      </c>
      <c r="C48" s="5" t="str">
        <f>CONCATENATE(B48,"OVR")</f>
        <v>9QM0AM8WN08OVR</v>
      </c>
      <c r="D48" s="5" t="s">
        <v>275</v>
      </c>
      <c r="E48" s="5" t="s">
        <v>276</v>
      </c>
      <c r="F48" t="str">
        <f>CONCATENATE(E48, " ",D48)</f>
        <v>JOHN RAMANIO</v>
      </c>
      <c r="G48" s="5" t="s">
        <v>190</v>
      </c>
      <c r="H48" s="5" t="s">
        <v>46</v>
      </c>
      <c r="I48" s="5" t="s">
        <v>29</v>
      </c>
      <c r="J48" s="4">
        <v>45901</v>
      </c>
      <c r="K48" s="4">
        <v>45901</v>
      </c>
      <c r="L48" s="5">
        <v>20411454</v>
      </c>
      <c r="M48" s="5" t="s">
        <v>32</v>
      </c>
      <c r="N48" s="5" t="s">
        <v>231</v>
      </c>
      <c r="O48" s="5">
        <v>-40</v>
      </c>
      <c r="P48" s="5" t="s">
        <v>211</v>
      </c>
    </row>
    <row r="49" spans="1:27" s="5" customFormat="1" x14ac:dyDescent="0.25">
      <c r="A49" s="4">
        <v>45923</v>
      </c>
      <c r="B49" s="5" t="s">
        <v>187</v>
      </c>
      <c r="C49" s="5" t="str">
        <f>CONCATENATE(B49,"OVR")</f>
        <v>9QM0AM8WN08OVR</v>
      </c>
      <c r="D49" s="5" t="s">
        <v>275</v>
      </c>
      <c r="E49" s="5" t="s">
        <v>276</v>
      </c>
      <c r="F49" t="str">
        <f>CONCATENATE(E49, " ",D49)</f>
        <v>JOHN RAMANIO</v>
      </c>
      <c r="G49" s="5" t="s">
        <v>190</v>
      </c>
      <c r="H49" s="5" t="s">
        <v>41</v>
      </c>
      <c r="I49" s="5" t="s">
        <v>29</v>
      </c>
      <c r="J49" s="4">
        <v>45901</v>
      </c>
      <c r="K49" s="4">
        <v>45901</v>
      </c>
      <c r="L49" s="5">
        <v>20411454</v>
      </c>
      <c r="M49" s="5" t="s">
        <v>32</v>
      </c>
      <c r="N49" s="5" t="s">
        <v>231</v>
      </c>
      <c r="O49" s="5">
        <v>120</v>
      </c>
      <c r="P49" s="5" t="s">
        <v>211</v>
      </c>
    </row>
    <row r="50" spans="1:27" s="5" customFormat="1" x14ac:dyDescent="0.25">
      <c r="A50" s="1">
        <v>45923</v>
      </c>
      <c r="B50" t="s">
        <v>198</v>
      </c>
      <c r="C50" t="str">
        <f>CONCATENATE(B50,7)</f>
        <v>7Q54A45AT707</v>
      </c>
      <c r="D50" t="s">
        <v>252</v>
      </c>
      <c r="E50" t="s">
        <v>253</v>
      </c>
      <c r="F50" t="str">
        <f>CONCATENATE(E50, " ",D50)</f>
        <v>JUNE SMITH</v>
      </c>
      <c r="G50" t="s">
        <v>50</v>
      </c>
      <c r="H50" t="s">
        <v>41</v>
      </c>
      <c r="I50" t="s">
        <v>29</v>
      </c>
      <c r="J50" s="1">
        <v>45901</v>
      </c>
      <c r="K50" s="1">
        <v>45901</v>
      </c>
      <c r="L50">
        <v>8814784</v>
      </c>
      <c r="M50" t="s">
        <v>32</v>
      </c>
      <c r="N50" t="s">
        <v>123</v>
      </c>
      <c r="O50">
        <v>626</v>
      </c>
      <c r="P50" t="s">
        <v>225</v>
      </c>
      <c r="Q50" t="s">
        <v>226</v>
      </c>
      <c r="R50"/>
      <c r="S50"/>
      <c r="T50"/>
      <c r="U50"/>
      <c r="V50"/>
      <c r="W50"/>
      <c r="X50"/>
      <c r="Y50"/>
      <c r="Z50"/>
      <c r="AA50"/>
    </row>
    <row r="51" spans="1:27" s="5" customFormat="1" x14ac:dyDescent="0.25">
      <c r="A51" s="1">
        <v>45923</v>
      </c>
      <c r="B51" t="s">
        <v>198</v>
      </c>
      <c r="C51" t="str">
        <f>CONCATENATE(B51,8)</f>
        <v>7Q54A45AT708</v>
      </c>
      <c r="D51" t="s">
        <v>252</v>
      </c>
      <c r="E51" t="s">
        <v>253</v>
      </c>
      <c r="F51" t="str">
        <f>CONCATENATE(E51, " ",D51)</f>
        <v>JUNE SMITH</v>
      </c>
      <c r="G51" t="s">
        <v>50</v>
      </c>
      <c r="H51" t="s">
        <v>46</v>
      </c>
      <c r="I51" t="s">
        <v>29</v>
      </c>
      <c r="J51" s="1">
        <v>45901</v>
      </c>
      <c r="K51" s="1">
        <v>45901</v>
      </c>
      <c r="L51">
        <v>8814784</v>
      </c>
      <c r="M51" t="s">
        <v>32</v>
      </c>
      <c r="N51" t="s">
        <v>123</v>
      </c>
      <c r="O51">
        <v>-104.33</v>
      </c>
      <c r="P51" t="s">
        <v>212</v>
      </c>
      <c r="Q51" t="s">
        <v>220</v>
      </c>
      <c r="R51"/>
      <c r="S51"/>
      <c r="T51"/>
      <c r="U51"/>
      <c r="V51"/>
      <c r="W51"/>
      <c r="X51"/>
      <c r="Y51"/>
      <c r="Z51"/>
      <c r="AA51"/>
    </row>
    <row r="52" spans="1:27" s="5" customFormat="1" x14ac:dyDescent="0.25">
      <c r="A52" s="4">
        <v>45923</v>
      </c>
      <c r="B52" s="5" t="s">
        <v>198</v>
      </c>
      <c r="C52" s="5" t="str">
        <f>CONCATENATE(B52,"OVR")</f>
        <v>7Q54A45AT70OVR</v>
      </c>
      <c r="D52" s="5" t="s">
        <v>252</v>
      </c>
      <c r="E52" s="5" t="s">
        <v>253</v>
      </c>
      <c r="F52" t="str">
        <f>CONCATENATE(E52, " ",D52)</f>
        <v>JUNE SMITH</v>
      </c>
      <c r="G52" s="5" t="s">
        <v>50</v>
      </c>
      <c r="H52" s="5" t="s">
        <v>46</v>
      </c>
      <c r="I52" s="5" t="s">
        <v>29</v>
      </c>
      <c r="J52" s="4">
        <v>45901</v>
      </c>
      <c r="K52" s="4">
        <v>45901</v>
      </c>
      <c r="L52" s="5">
        <v>20411454</v>
      </c>
      <c r="M52" s="5" t="s">
        <v>32</v>
      </c>
      <c r="N52" s="5" t="s">
        <v>231</v>
      </c>
      <c r="O52" s="5">
        <v>-41.67</v>
      </c>
      <c r="P52" s="5" t="s">
        <v>211</v>
      </c>
    </row>
    <row r="53" spans="1:27" x14ac:dyDescent="0.25">
      <c r="A53" s="4">
        <v>45923</v>
      </c>
      <c r="B53" s="5" t="s">
        <v>198</v>
      </c>
      <c r="C53" s="5" t="str">
        <f>CONCATENATE(B53,"OVR")</f>
        <v>7Q54A45AT70OVR</v>
      </c>
      <c r="D53" s="5" t="s">
        <v>252</v>
      </c>
      <c r="E53" s="5" t="s">
        <v>253</v>
      </c>
      <c r="F53" t="str">
        <f>CONCATENATE(E53, " ",D53)</f>
        <v>JUNE SMITH</v>
      </c>
      <c r="G53" s="5" t="s">
        <v>50</v>
      </c>
      <c r="H53" s="5" t="s">
        <v>41</v>
      </c>
      <c r="I53" s="5" t="s">
        <v>29</v>
      </c>
      <c r="J53" s="4">
        <v>45901</v>
      </c>
      <c r="K53" s="4">
        <v>45901</v>
      </c>
      <c r="L53" s="5">
        <v>20411454</v>
      </c>
      <c r="M53" s="5" t="s">
        <v>32</v>
      </c>
      <c r="N53" s="5" t="s">
        <v>231</v>
      </c>
      <c r="O53" s="5">
        <v>125</v>
      </c>
      <c r="P53" s="5" t="s">
        <v>211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5">
      <c r="A54" s="1">
        <v>45923</v>
      </c>
      <c r="B54" t="s">
        <v>162</v>
      </c>
      <c r="C54" t="str">
        <f>CONCATENATE(B54,7)</f>
        <v>4UE7NK1VM417</v>
      </c>
      <c r="D54" t="s">
        <v>284</v>
      </c>
      <c r="E54" t="s">
        <v>285</v>
      </c>
      <c r="F54" t="str">
        <f>CONCATENATE(E54, " ",D54)</f>
        <v>LAURA LOPEZ</v>
      </c>
      <c r="G54" t="s">
        <v>50</v>
      </c>
      <c r="H54" t="s">
        <v>41</v>
      </c>
      <c r="I54" t="s">
        <v>29</v>
      </c>
      <c r="J54" s="1">
        <v>45931</v>
      </c>
      <c r="K54" s="1">
        <v>45931</v>
      </c>
      <c r="L54">
        <v>9213293</v>
      </c>
      <c r="M54" t="s">
        <v>32</v>
      </c>
      <c r="N54" t="s">
        <v>53</v>
      </c>
      <c r="O54">
        <v>626</v>
      </c>
      <c r="P54" t="s">
        <v>225</v>
      </c>
      <c r="Q54" t="s">
        <v>226</v>
      </c>
    </row>
    <row r="55" spans="1:27" x14ac:dyDescent="0.25">
      <c r="A55" s="1">
        <v>45923</v>
      </c>
      <c r="B55" t="s">
        <v>162</v>
      </c>
      <c r="C55" t="str">
        <f>CONCATENATE(B55,8)</f>
        <v>4UE7NK1VM418</v>
      </c>
      <c r="D55" t="s">
        <v>284</v>
      </c>
      <c r="E55" t="s">
        <v>285</v>
      </c>
      <c r="F55" t="str">
        <f>CONCATENATE(E55, " ",D55)</f>
        <v>LAURA LOPEZ</v>
      </c>
      <c r="G55" t="s">
        <v>50</v>
      </c>
      <c r="H55" t="s">
        <v>46</v>
      </c>
      <c r="I55" t="s">
        <v>29</v>
      </c>
      <c r="J55" s="1">
        <v>45931</v>
      </c>
      <c r="K55" s="1">
        <v>45931</v>
      </c>
      <c r="L55">
        <v>9213293</v>
      </c>
      <c r="M55" t="s">
        <v>32</v>
      </c>
      <c r="N55" t="s">
        <v>53</v>
      </c>
      <c r="O55">
        <v>-78.25</v>
      </c>
      <c r="P55" t="s">
        <v>212</v>
      </c>
      <c r="Q55" t="s">
        <v>221</v>
      </c>
    </row>
    <row r="56" spans="1:27" x14ac:dyDescent="0.25">
      <c r="A56" s="4">
        <v>45923</v>
      </c>
      <c r="B56" s="5" t="s">
        <v>162</v>
      </c>
      <c r="C56" s="5" t="str">
        <f>CONCATENATE(B56,"OVR")</f>
        <v>4UE7NK1VM41OVR</v>
      </c>
      <c r="D56" s="5" t="s">
        <v>284</v>
      </c>
      <c r="E56" s="5" t="s">
        <v>285</v>
      </c>
      <c r="F56" t="str">
        <f>CONCATENATE(E56, " ",D56)</f>
        <v>LAURA LOPEZ</v>
      </c>
      <c r="G56" s="5" t="s">
        <v>50</v>
      </c>
      <c r="H56" s="5" t="s">
        <v>46</v>
      </c>
      <c r="I56" s="5" t="s">
        <v>29</v>
      </c>
      <c r="J56" s="4">
        <v>45931</v>
      </c>
      <c r="K56" s="4">
        <v>45931</v>
      </c>
      <c r="L56" s="5">
        <v>20411454</v>
      </c>
      <c r="M56" s="5" t="s">
        <v>32</v>
      </c>
      <c r="N56" s="5" t="s">
        <v>231</v>
      </c>
      <c r="O56" s="5">
        <v>-31.25</v>
      </c>
      <c r="P56" s="5" t="s">
        <v>211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s="5" customFormat="1" x14ac:dyDescent="0.25">
      <c r="A57" s="4">
        <v>45923</v>
      </c>
      <c r="B57" s="5" t="s">
        <v>162</v>
      </c>
      <c r="C57" s="5" t="str">
        <f>CONCATENATE(B57,"OVR")</f>
        <v>4UE7NK1VM41OVR</v>
      </c>
      <c r="D57" s="5" t="s">
        <v>284</v>
      </c>
      <c r="E57" s="5" t="s">
        <v>285</v>
      </c>
      <c r="F57" t="str">
        <f>CONCATENATE(E57, " ",D57)</f>
        <v>LAURA LOPEZ</v>
      </c>
      <c r="G57" s="5" t="s">
        <v>50</v>
      </c>
      <c r="H57" s="5" t="s">
        <v>41</v>
      </c>
      <c r="I57" s="5" t="s">
        <v>29</v>
      </c>
      <c r="J57" s="4">
        <v>45931</v>
      </c>
      <c r="K57" s="4">
        <v>45931</v>
      </c>
      <c r="L57" s="5">
        <v>20411454</v>
      </c>
      <c r="M57" s="5" t="s">
        <v>32</v>
      </c>
      <c r="N57" s="5" t="s">
        <v>231</v>
      </c>
      <c r="O57" s="5">
        <v>125</v>
      </c>
      <c r="P57" s="5" t="s">
        <v>211</v>
      </c>
    </row>
    <row r="58" spans="1:27" s="5" customFormat="1" x14ac:dyDescent="0.25">
      <c r="A58" s="1">
        <v>45923</v>
      </c>
      <c r="B58" t="s">
        <v>37</v>
      </c>
      <c r="C58" t="str">
        <f>CONCATENATE(B58,7)</f>
        <v>9YT4VD0FR767</v>
      </c>
      <c r="D58" t="s">
        <v>259</v>
      </c>
      <c r="E58" t="s">
        <v>260</v>
      </c>
      <c r="F58" t="str">
        <f>CONCATENATE(E58, " ",D58)</f>
        <v>LEE BABIC</v>
      </c>
      <c r="G58" t="s">
        <v>40</v>
      </c>
      <c r="H58" t="s">
        <v>41</v>
      </c>
      <c r="I58" t="s">
        <v>29</v>
      </c>
      <c r="J58" s="1">
        <v>45901</v>
      </c>
      <c r="K58" s="1">
        <v>45901</v>
      </c>
      <c r="L58">
        <v>18142208</v>
      </c>
      <c r="M58" t="s">
        <v>32</v>
      </c>
      <c r="N58" t="s">
        <v>44</v>
      </c>
      <c r="O58">
        <v>626</v>
      </c>
      <c r="P58" t="s">
        <v>225</v>
      </c>
      <c r="Q58" t="s">
        <v>226</v>
      </c>
      <c r="R58">
        <v>626</v>
      </c>
      <c r="S58"/>
      <c r="T58"/>
      <c r="U58"/>
      <c r="V58"/>
      <c r="W58"/>
      <c r="X58"/>
      <c r="Y58"/>
      <c r="Z58"/>
      <c r="AA58"/>
    </row>
    <row r="59" spans="1:27" s="5" customFormat="1" x14ac:dyDescent="0.25">
      <c r="A59" s="1">
        <v>45923</v>
      </c>
      <c r="B59" t="s">
        <v>37</v>
      </c>
      <c r="C59" t="str">
        <f>CONCATENATE(B59,8)</f>
        <v>9YT4VD0FR768</v>
      </c>
      <c r="D59" t="s">
        <v>259</v>
      </c>
      <c r="E59" t="s">
        <v>260</v>
      </c>
      <c r="F59" t="str">
        <f>CONCATENATE(E59, " ",D59)</f>
        <v>LEE BABIC</v>
      </c>
      <c r="G59" t="s">
        <v>40</v>
      </c>
      <c r="H59" t="s">
        <v>46</v>
      </c>
      <c r="I59" t="s">
        <v>29</v>
      </c>
      <c r="J59" s="1">
        <v>45901</v>
      </c>
      <c r="K59" s="1">
        <v>45901</v>
      </c>
      <c r="L59">
        <v>18142208</v>
      </c>
      <c r="M59" t="s">
        <v>32</v>
      </c>
      <c r="N59" t="s">
        <v>44</v>
      </c>
      <c r="O59">
        <v>-104.33</v>
      </c>
      <c r="P59" t="s">
        <v>212</v>
      </c>
      <c r="Q59" t="s">
        <v>220</v>
      </c>
      <c r="R59">
        <f>313/12*4</f>
        <v>104.33333333333333</v>
      </c>
      <c r="S59"/>
      <c r="T59"/>
      <c r="U59"/>
      <c r="V59"/>
      <c r="W59"/>
      <c r="X59"/>
      <c r="Y59"/>
      <c r="Z59"/>
      <c r="AA59"/>
    </row>
    <row r="60" spans="1:27" s="5" customFormat="1" x14ac:dyDescent="0.25">
      <c r="A60" s="4">
        <v>45923</v>
      </c>
      <c r="B60" s="5" t="s">
        <v>37</v>
      </c>
      <c r="C60" s="5" t="str">
        <f>CONCATENATE(B60,"OVR")</f>
        <v>9YT4VD0FR76OVR</v>
      </c>
      <c r="D60" s="5" t="s">
        <v>259</v>
      </c>
      <c r="E60" s="5" t="s">
        <v>260</v>
      </c>
      <c r="F60" t="str">
        <f>CONCATENATE(E60, " ",D60)</f>
        <v>LEE BABIC</v>
      </c>
      <c r="G60" s="5" t="s">
        <v>40</v>
      </c>
      <c r="H60" s="5" t="s">
        <v>46</v>
      </c>
      <c r="I60" s="5" t="s">
        <v>29</v>
      </c>
      <c r="J60" s="4">
        <v>45901</v>
      </c>
      <c r="K60" s="4">
        <v>45901</v>
      </c>
      <c r="L60" s="5">
        <v>20411454</v>
      </c>
      <c r="M60" s="5" t="s">
        <v>32</v>
      </c>
      <c r="N60" s="5" t="s">
        <v>231</v>
      </c>
      <c r="O60" s="5">
        <v>-41.67</v>
      </c>
      <c r="P60" s="5" t="s">
        <v>211</v>
      </c>
    </row>
    <row r="61" spans="1:27" s="5" customFormat="1" x14ac:dyDescent="0.25">
      <c r="A61" s="4">
        <v>45923</v>
      </c>
      <c r="B61" s="5" t="s">
        <v>37</v>
      </c>
      <c r="C61" s="5" t="str">
        <f>CONCATENATE(B61,"OVR")</f>
        <v>9YT4VD0FR76OVR</v>
      </c>
      <c r="D61" s="5" t="s">
        <v>259</v>
      </c>
      <c r="E61" s="5" t="s">
        <v>260</v>
      </c>
      <c r="F61" t="str">
        <f>CONCATENATE(E61, " ",D61)</f>
        <v>LEE BABIC</v>
      </c>
      <c r="G61" s="5" t="s">
        <v>40</v>
      </c>
      <c r="H61" s="5" t="s">
        <v>41</v>
      </c>
      <c r="I61" s="5" t="s">
        <v>29</v>
      </c>
      <c r="J61" s="4">
        <v>45901</v>
      </c>
      <c r="K61" s="4">
        <v>45901</v>
      </c>
      <c r="L61" s="5">
        <v>20411454</v>
      </c>
      <c r="M61" s="5" t="s">
        <v>32</v>
      </c>
      <c r="N61" s="5" t="s">
        <v>231</v>
      </c>
      <c r="O61" s="5">
        <v>125</v>
      </c>
      <c r="P61" s="5" t="s">
        <v>211</v>
      </c>
    </row>
    <row r="62" spans="1:27" s="5" customFormat="1" x14ac:dyDescent="0.25">
      <c r="A62" s="1">
        <v>45923</v>
      </c>
      <c r="B62" t="s">
        <v>59</v>
      </c>
      <c r="C62" t="str">
        <f>CONCATENATE(B62,7)</f>
        <v>9FW5UM2ME897</v>
      </c>
      <c r="D62" t="s">
        <v>242</v>
      </c>
      <c r="E62" t="s">
        <v>243</v>
      </c>
      <c r="F62" t="str">
        <f>CONCATENATE(E62, " ",D62)</f>
        <v>LISA BUCKLEY</v>
      </c>
      <c r="G62" t="s">
        <v>27</v>
      </c>
      <c r="H62" t="s">
        <v>41</v>
      </c>
      <c r="I62" t="s">
        <v>29</v>
      </c>
      <c r="J62" s="1">
        <v>45901</v>
      </c>
      <c r="K62" s="1">
        <v>45901</v>
      </c>
      <c r="L62" t="s">
        <v>233</v>
      </c>
      <c r="M62" t="s">
        <v>32</v>
      </c>
      <c r="N62" t="s">
        <v>63</v>
      </c>
      <c r="O62">
        <v>705</v>
      </c>
      <c r="P62" t="s">
        <v>227</v>
      </c>
      <c r="Q62" t="s">
        <v>228</v>
      </c>
      <c r="R62">
        <v>705</v>
      </c>
      <c r="S62"/>
      <c r="T62"/>
      <c r="U62"/>
      <c r="V62"/>
      <c r="W62"/>
      <c r="X62"/>
      <c r="Y62"/>
      <c r="Z62"/>
      <c r="AA62"/>
    </row>
    <row r="63" spans="1:27" s="5" customFormat="1" x14ac:dyDescent="0.25">
      <c r="A63" s="1">
        <v>45923</v>
      </c>
      <c r="B63" t="s">
        <v>59</v>
      </c>
      <c r="C63" t="str">
        <f>CONCATENATE(B63,8)</f>
        <v>9FW5UM2ME898</v>
      </c>
      <c r="D63" t="s">
        <v>242</v>
      </c>
      <c r="E63" t="s">
        <v>243</v>
      </c>
      <c r="F63" t="str">
        <f>CONCATENATE(E63, " ",D63)</f>
        <v>LISA BUCKLEY</v>
      </c>
      <c r="G63" t="s">
        <v>27</v>
      </c>
      <c r="H63" t="s">
        <v>46</v>
      </c>
      <c r="I63" t="s">
        <v>29</v>
      </c>
      <c r="J63" s="1">
        <v>45901</v>
      </c>
      <c r="K63" s="1">
        <v>45901</v>
      </c>
      <c r="L63" t="s">
        <v>233</v>
      </c>
      <c r="M63" t="s">
        <v>32</v>
      </c>
      <c r="N63" t="s">
        <v>63</v>
      </c>
      <c r="O63">
        <v>-117.66</v>
      </c>
      <c r="P63" t="s">
        <v>213</v>
      </c>
      <c r="Q63" t="s">
        <v>219</v>
      </c>
      <c r="R63">
        <f>353/12*4</f>
        <v>117.66666666666667</v>
      </c>
      <c r="S63"/>
      <c r="T63"/>
      <c r="U63"/>
      <c r="V63"/>
      <c r="W63"/>
      <c r="X63"/>
      <c r="Y63"/>
      <c r="Z63"/>
      <c r="AA63"/>
    </row>
    <row r="64" spans="1:27" s="5" customFormat="1" x14ac:dyDescent="0.25">
      <c r="A64" s="4">
        <v>45923</v>
      </c>
      <c r="B64" s="5" t="s">
        <v>59</v>
      </c>
      <c r="C64" s="5" t="str">
        <f>CONCATENATE(B64,"OVR")</f>
        <v>9FW5UM2ME89OVR</v>
      </c>
      <c r="D64" s="5" t="s">
        <v>242</v>
      </c>
      <c r="E64" s="5" t="s">
        <v>243</v>
      </c>
      <c r="F64" t="str">
        <f>CONCATENATE(E64, " ",D64)</f>
        <v>LISA BUCKLEY</v>
      </c>
      <c r="G64" s="5" t="s">
        <v>27</v>
      </c>
      <c r="H64" s="5" t="s">
        <v>46</v>
      </c>
      <c r="I64" s="5" t="s">
        <v>29</v>
      </c>
      <c r="J64" s="4">
        <v>45901</v>
      </c>
      <c r="K64" s="4">
        <v>45901</v>
      </c>
      <c r="L64" s="5">
        <v>20411454</v>
      </c>
      <c r="M64" s="5" t="s">
        <v>32</v>
      </c>
      <c r="N64" s="5" t="s">
        <v>231</v>
      </c>
      <c r="O64" s="5">
        <v>-41.67</v>
      </c>
      <c r="P64" s="5" t="s">
        <v>211</v>
      </c>
    </row>
    <row r="65" spans="1:27" x14ac:dyDescent="0.25">
      <c r="A65" s="4">
        <v>45923</v>
      </c>
      <c r="B65" s="5" t="s">
        <v>59</v>
      </c>
      <c r="C65" s="5" t="str">
        <f>CONCATENATE(B65,"OVR")</f>
        <v>9FW5UM2ME89OVR</v>
      </c>
      <c r="D65" s="5" t="s">
        <v>242</v>
      </c>
      <c r="E65" s="5" t="s">
        <v>243</v>
      </c>
      <c r="F65" t="str">
        <f>CONCATENATE(E65, " ",D65)</f>
        <v>LISA BUCKLEY</v>
      </c>
      <c r="G65" s="5" t="s">
        <v>27</v>
      </c>
      <c r="H65" s="5" t="s">
        <v>41</v>
      </c>
      <c r="I65" s="5" t="s">
        <v>29</v>
      </c>
      <c r="J65" s="4">
        <v>45901</v>
      </c>
      <c r="K65" s="4">
        <v>45901</v>
      </c>
      <c r="L65" s="5">
        <v>20411454</v>
      </c>
      <c r="M65" s="5" t="s">
        <v>32</v>
      </c>
      <c r="N65" s="5" t="s">
        <v>231</v>
      </c>
      <c r="O65" s="5">
        <v>125</v>
      </c>
      <c r="P65" s="5" t="s">
        <v>211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x14ac:dyDescent="0.25">
      <c r="A66" s="4">
        <v>45923</v>
      </c>
      <c r="B66" s="5" t="s">
        <v>97</v>
      </c>
      <c r="C66" s="5" t="str">
        <f>CONCATENATE(B66,"OVR")</f>
        <v>6DW8FK9HH22OVR</v>
      </c>
      <c r="D66" s="5" t="s">
        <v>297</v>
      </c>
      <c r="E66" s="5" t="s">
        <v>298</v>
      </c>
      <c r="F66" t="str">
        <f>CONCATENATE(E66, " ",D66)</f>
        <v>LORI DUDEK</v>
      </c>
      <c r="G66" s="5" t="s">
        <v>27</v>
      </c>
      <c r="H66" s="5" t="s">
        <v>46</v>
      </c>
      <c r="I66" s="5" t="s">
        <v>29</v>
      </c>
      <c r="J66" s="4">
        <v>45931</v>
      </c>
      <c r="K66" s="4">
        <v>45931</v>
      </c>
      <c r="L66" s="5">
        <v>20411454</v>
      </c>
      <c r="M66" s="5" t="s">
        <v>32</v>
      </c>
      <c r="N66" s="5" t="s">
        <v>231</v>
      </c>
      <c r="O66" s="5">
        <v>-10</v>
      </c>
      <c r="P66" s="5" t="s">
        <v>211</v>
      </c>
    </row>
    <row r="67" spans="1:27" s="5" customFormat="1" x14ac:dyDescent="0.25">
      <c r="A67" s="4">
        <v>45923</v>
      </c>
      <c r="B67" s="5" t="s">
        <v>97</v>
      </c>
      <c r="C67" s="5" t="str">
        <f>CONCATENATE(B67,"OVR")</f>
        <v>6DW8FK9HH22OVR</v>
      </c>
      <c r="D67" s="5" t="s">
        <v>297</v>
      </c>
      <c r="E67" s="5" t="s">
        <v>298</v>
      </c>
      <c r="F67" t="str">
        <f>CONCATENATE(E67, " ",D67)</f>
        <v>LORI DUDEK</v>
      </c>
      <c r="G67" s="5" t="s">
        <v>27</v>
      </c>
      <c r="H67" s="5" t="s">
        <v>41</v>
      </c>
      <c r="I67" s="5" t="s">
        <v>29</v>
      </c>
      <c r="J67" s="4">
        <v>45931</v>
      </c>
      <c r="K67" s="4">
        <v>45931</v>
      </c>
      <c r="L67" s="5">
        <v>20411454</v>
      </c>
      <c r="M67" s="5" t="s">
        <v>32</v>
      </c>
      <c r="N67" s="5" t="s">
        <v>231</v>
      </c>
      <c r="O67" s="5">
        <v>40</v>
      </c>
      <c r="P67" s="5" t="s">
        <v>211</v>
      </c>
    </row>
    <row r="68" spans="1:27" s="5" customFormat="1" x14ac:dyDescent="0.25">
      <c r="A68" s="1">
        <v>45923</v>
      </c>
      <c r="B68" t="s">
        <v>172</v>
      </c>
      <c r="C68" t="str">
        <f>CONCATENATE(B68,7)</f>
        <v>8JY3DE2EM177</v>
      </c>
      <c r="D68" t="s">
        <v>244</v>
      </c>
      <c r="E68" t="s">
        <v>245</v>
      </c>
      <c r="F68" t="str">
        <f>CONCATENATE(E68, " ",D68)</f>
        <v>MARCY MEEHAN</v>
      </c>
      <c r="G68" t="s">
        <v>27</v>
      </c>
      <c r="H68" t="s">
        <v>41</v>
      </c>
      <c r="I68" t="s">
        <v>29</v>
      </c>
      <c r="J68" s="1">
        <v>45901</v>
      </c>
      <c r="K68" s="1">
        <v>45901</v>
      </c>
      <c r="L68" t="s">
        <v>233</v>
      </c>
      <c r="M68" t="s">
        <v>32</v>
      </c>
      <c r="N68" t="s">
        <v>63</v>
      </c>
      <c r="O68">
        <v>705</v>
      </c>
      <c r="P68" t="s">
        <v>227</v>
      </c>
      <c r="Q68" t="s">
        <v>228</v>
      </c>
      <c r="R68">
        <v>125</v>
      </c>
      <c r="S68"/>
      <c r="T68"/>
      <c r="U68"/>
      <c r="V68"/>
      <c r="W68"/>
      <c r="X68"/>
      <c r="Y68"/>
      <c r="Z68"/>
      <c r="AA68"/>
    </row>
    <row r="69" spans="1:27" s="5" customFormat="1" x14ac:dyDescent="0.25">
      <c r="A69" s="1">
        <v>45923</v>
      </c>
      <c r="B69" t="s">
        <v>172</v>
      </c>
      <c r="C69" t="str">
        <f>CONCATENATE(B69,8)</f>
        <v>8JY3DE2EM178</v>
      </c>
      <c r="D69" t="s">
        <v>244</v>
      </c>
      <c r="E69" t="s">
        <v>245</v>
      </c>
      <c r="F69" t="str">
        <f>CONCATENATE(E69, " ",D69)</f>
        <v>MARCY MEEHAN</v>
      </c>
      <c r="G69" t="s">
        <v>27</v>
      </c>
      <c r="H69" t="s">
        <v>46</v>
      </c>
      <c r="I69" t="s">
        <v>29</v>
      </c>
      <c r="J69" s="1">
        <v>45901</v>
      </c>
      <c r="K69" s="1">
        <v>45901</v>
      </c>
      <c r="L69" t="s">
        <v>233</v>
      </c>
      <c r="M69" t="s">
        <v>32</v>
      </c>
      <c r="N69" t="s">
        <v>63</v>
      </c>
      <c r="O69">
        <v>-117.66</v>
      </c>
      <c r="P69" t="s">
        <v>213</v>
      </c>
      <c r="Q69" t="s">
        <v>219</v>
      </c>
      <c r="R69">
        <f>125/12*4</f>
        <v>41.666666666666664</v>
      </c>
      <c r="S69"/>
      <c r="T69"/>
      <c r="U69"/>
      <c r="V69"/>
      <c r="W69"/>
      <c r="X69"/>
      <c r="Y69"/>
      <c r="Z69"/>
      <c r="AA69"/>
    </row>
    <row r="70" spans="1:27" x14ac:dyDescent="0.25">
      <c r="A70" s="4">
        <v>45923</v>
      </c>
      <c r="B70" s="5" t="s">
        <v>172</v>
      </c>
      <c r="C70" s="5" t="str">
        <f>CONCATENATE(B70,"OVR")</f>
        <v>8JY3DE2EM17OVR</v>
      </c>
      <c r="D70" s="5" t="s">
        <v>244</v>
      </c>
      <c r="E70" s="5" t="s">
        <v>245</v>
      </c>
      <c r="F70" t="str">
        <f>CONCATENATE(E70, " ",D70)</f>
        <v>MARCY MEEHAN</v>
      </c>
      <c r="G70" s="5" t="s">
        <v>27</v>
      </c>
      <c r="H70" s="5" t="s">
        <v>46</v>
      </c>
      <c r="I70" s="5" t="s">
        <v>29</v>
      </c>
      <c r="J70" s="4">
        <v>45901</v>
      </c>
      <c r="K70" s="4">
        <v>45901</v>
      </c>
      <c r="L70" s="5">
        <v>20411454</v>
      </c>
      <c r="M70" s="5" t="s">
        <v>32</v>
      </c>
      <c r="N70" s="5" t="s">
        <v>231</v>
      </c>
      <c r="O70" s="5">
        <v>-41.67</v>
      </c>
      <c r="P70" s="5" t="s">
        <v>211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s="5" customFormat="1" x14ac:dyDescent="0.25">
      <c r="A71" s="4">
        <v>45923</v>
      </c>
      <c r="B71" s="5" t="s">
        <v>172</v>
      </c>
      <c r="C71" s="5" t="str">
        <f>CONCATENATE(B71,"OVR")</f>
        <v>8JY3DE2EM17OVR</v>
      </c>
      <c r="D71" s="5" t="s">
        <v>244</v>
      </c>
      <c r="E71" s="5" t="s">
        <v>245</v>
      </c>
      <c r="F71" t="str">
        <f>CONCATENATE(E71, " ",D71)</f>
        <v>MARCY MEEHAN</v>
      </c>
      <c r="G71" s="5" t="s">
        <v>27</v>
      </c>
      <c r="H71" s="5" t="s">
        <v>41</v>
      </c>
      <c r="I71" s="5" t="s">
        <v>29</v>
      </c>
      <c r="J71" s="4">
        <v>45901</v>
      </c>
      <c r="K71" s="4">
        <v>45901</v>
      </c>
      <c r="L71" s="5">
        <v>20411454</v>
      </c>
      <c r="M71" s="5" t="s">
        <v>32</v>
      </c>
      <c r="N71" s="5" t="s">
        <v>231</v>
      </c>
      <c r="O71" s="5">
        <v>125</v>
      </c>
      <c r="P71" s="5" t="s">
        <v>211</v>
      </c>
    </row>
    <row r="72" spans="1:27" x14ac:dyDescent="0.25">
      <c r="A72" s="4">
        <v>45923</v>
      </c>
      <c r="B72" s="5" t="s">
        <v>24</v>
      </c>
      <c r="C72" s="5" t="str">
        <f>CONCATENATE(B72,"OVR")</f>
        <v>2HQ3HV1HJ78OVR</v>
      </c>
      <c r="D72" s="5" t="s">
        <v>299</v>
      </c>
      <c r="E72" s="5" t="s">
        <v>300</v>
      </c>
      <c r="F72" t="str">
        <f>CONCATENATE(E72, " ",D72)</f>
        <v>MARGARET ANGERT</v>
      </c>
      <c r="G72" s="5" t="s">
        <v>27</v>
      </c>
      <c r="H72" s="5" t="s">
        <v>28</v>
      </c>
      <c r="I72" s="5" t="s">
        <v>29</v>
      </c>
      <c r="J72" s="4">
        <v>45931</v>
      </c>
      <c r="K72" s="4">
        <v>45931</v>
      </c>
      <c r="L72" s="5">
        <v>20411454</v>
      </c>
      <c r="M72" s="5" t="s">
        <v>32</v>
      </c>
      <c r="N72" s="5" t="s">
        <v>231</v>
      </c>
      <c r="O72" s="5">
        <v>10</v>
      </c>
      <c r="P72" s="5" t="s">
        <v>211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s="5" customFormat="1" x14ac:dyDescent="0.25">
      <c r="A73" s="1">
        <v>45923</v>
      </c>
      <c r="B73" t="s">
        <v>102</v>
      </c>
      <c r="C73" t="str">
        <f>CONCATENATE(B73,7)</f>
        <v>4T90XR7XU237</v>
      </c>
      <c r="D73" t="s">
        <v>286</v>
      </c>
      <c r="E73" t="s">
        <v>287</v>
      </c>
      <c r="F73" t="str">
        <f>CONCATENATE(E73, " ",D73)</f>
        <v>MARK DYE</v>
      </c>
      <c r="G73" t="s">
        <v>40</v>
      </c>
      <c r="H73" t="s">
        <v>41</v>
      </c>
      <c r="I73" t="s">
        <v>29</v>
      </c>
      <c r="J73" s="1">
        <v>45962</v>
      </c>
      <c r="K73" s="1">
        <v>45962</v>
      </c>
      <c r="L73">
        <v>18142208</v>
      </c>
      <c r="M73" t="s">
        <v>32</v>
      </c>
      <c r="N73" t="s">
        <v>44</v>
      </c>
      <c r="O73">
        <v>626</v>
      </c>
      <c r="P73" t="s">
        <v>225</v>
      </c>
      <c r="Q73" t="s">
        <v>226</v>
      </c>
      <c r="R73"/>
      <c r="S73"/>
      <c r="T73"/>
      <c r="U73"/>
      <c r="V73"/>
      <c r="W73"/>
      <c r="X73"/>
      <c r="Y73"/>
      <c r="Z73"/>
      <c r="AA73"/>
    </row>
    <row r="74" spans="1:27" x14ac:dyDescent="0.25">
      <c r="A74" s="1">
        <v>45923</v>
      </c>
      <c r="B74" t="s">
        <v>102</v>
      </c>
      <c r="C74" t="str">
        <f>CONCATENATE(B74,8)</f>
        <v>4T90XR7XU238</v>
      </c>
      <c r="D74" t="s">
        <v>286</v>
      </c>
      <c r="E74" t="s">
        <v>287</v>
      </c>
      <c r="F74" t="str">
        <f>CONCATENATE(E74, " ",D74)</f>
        <v>MARK DYE</v>
      </c>
      <c r="G74" t="s">
        <v>40</v>
      </c>
      <c r="H74" t="s">
        <v>46</v>
      </c>
      <c r="I74" t="s">
        <v>29</v>
      </c>
      <c r="J74" s="1">
        <v>45962</v>
      </c>
      <c r="K74" s="1">
        <v>45962</v>
      </c>
      <c r="L74">
        <v>18142208</v>
      </c>
      <c r="M74" t="s">
        <v>32</v>
      </c>
      <c r="N74" t="s">
        <v>44</v>
      </c>
      <c r="O74">
        <v>-52.17</v>
      </c>
      <c r="P74" t="s">
        <v>212</v>
      </c>
      <c r="Q74" t="s">
        <v>222</v>
      </c>
      <c r="R74">
        <f>313/12*2</f>
        <v>52.166666666666664</v>
      </c>
    </row>
    <row r="75" spans="1:27" s="5" customFormat="1" x14ac:dyDescent="0.25">
      <c r="A75" s="4">
        <v>45923</v>
      </c>
      <c r="B75" s="5" t="s">
        <v>102</v>
      </c>
      <c r="C75" s="5" t="str">
        <f>CONCATENATE(B75,"OVR")</f>
        <v>4T90XR7XU23OVR</v>
      </c>
      <c r="D75" s="5" t="s">
        <v>286</v>
      </c>
      <c r="E75" s="5" t="s">
        <v>287</v>
      </c>
      <c r="F75" t="str">
        <f>CONCATENATE(E75, " ",D75)</f>
        <v>MARK DYE</v>
      </c>
      <c r="G75" s="5" t="s">
        <v>40</v>
      </c>
      <c r="H75" s="5" t="s">
        <v>46</v>
      </c>
      <c r="I75" s="5" t="s">
        <v>29</v>
      </c>
      <c r="J75" s="4">
        <v>45962</v>
      </c>
      <c r="K75" s="4">
        <v>45962</v>
      </c>
      <c r="L75" s="5">
        <v>20411454</v>
      </c>
      <c r="M75" s="5" t="s">
        <v>32</v>
      </c>
      <c r="N75" s="5" t="s">
        <v>231</v>
      </c>
      <c r="O75" s="5">
        <v>-20.83</v>
      </c>
      <c r="P75" s="5" t="s">
        <v>211</v>
      </c>
    </row>
    <row r="76" spans="1:27" x14ac:dyDescent="0.25">
      <c r="A76" s="4">
        <v>45923</v>
      </c>
      <c r="B76" s="5" t="s">
        <v>102</v>
      </c>
      <c r="C76" s="5" t="str">
        <f>CONCATENATE(B76,"OVR")</f>
        <v>4T90XR7XU23OVR</v>
      </c>
      <c r="D76" s="5" t="s">
        <v>286</v>
      </c>
      <c r="E76" s="5" t="s">
        <v>287</v>
      </c>
      <c r="F76" t="str">
        <f>CONCATENATE(E76, " ",D76)</f>
        <v>MARK DYE</v>
      </c>
      <c r="G76" s="5" t="s">
        <v>40</v>
      </c>
      <c r="H76" s="5" t="s">
        <v>41</v>
      </c>
      <c r="I76" s="5" t="s">
        <v>29</v>
      </c>
      <c r="J76" s="4">
        <v>45962</v>
      </c>
      <c r="K76" s="4">
        <v>45962</v>
      </c>
      <c r="L76" s="5">
        <v>20411454</v>
      </c>
      <c r="M76" s="5" t="s">
        <v>32</v>
      </c>
      <c r="N76" s="5" t="s">
        <v>231</v>
      </c>
      <c r="O76" s="5">
        <v>125</v>
      </c>
      <c r="P76" s="5" t="s">
        <v>211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s="5" customFormat="1" x14ac:dyDescent="0.25">
      <c r="A77" s="1">
        <v>45923</v>
      </c>
      <c r="B77" t="s">
        <v>125</v>
      </c>
      <c r="C77" t="str">
        <f>CONCATENATE(B77,7)</f>
        <v>6YC6JM8XM497</v>
      </c>
      <c r="D77" t="s">
        <v>280</v>
      </c>
      <c r="E77" t="s">
        <v>281</v>
      </c>
      <c r="F77" t="str">
        <f>CONCATENATE(E77, " ",D77)</f>
        <v>MARVIN FOSTER</v>
      </c>
      <c r="G77" t="s">
        <v>128</v>
      </c>
      <c r="H77" t="s">
        <v>41</v>
      </c>
      <c r="I77" t="s">
        <v>29</v>
      </c>
      <c r="J77" s="1">
        <v>45931</v>
      </c>
      <c r="K77" s="1">
        <v>45931</v>
      </c>
      <c r="L77">
        <v>8307933</v>
      </c>
      <c r="M77" t="s">
        <v>32</v>
      </c>
      <c r="N77" t="s">
        <v>70</v>
      </c>
      <c r="O77">
        <v>626</v>
      </c>
      <c r="P77" t="s">
        <v>225</v>
      </c>
      <c r="Q77" t="s">
        <v>226</v>
      </c>
      <c r="R77"/>
      <c r="S77"/>
      <c r="T77"/>
      <c r="U77"/>
      <c r="V77"/>
      <c r="W77"/>
      <c r="X77"/>
      <c r="Y77"/>
      <c r="Z77"/>
      <c r="AA77"/>
    </row>
    <row r="78" spans="1:27" x14ac:dyDescent="0.25">
      <c r="A78" s="1">
        <v>45923</v>
      </c>
      <c r="B78" t="s">
        <v>125</v>
      </c>
      <c r="C78" t="str">
        <f>CONCATENATE(B78,8)</f>
        <v>6YC6JM8XM498</v>
      </c>
      <c r="D78" t="s">
        <v>280</v>
      </c>
      <c r="E78" t="s">
        <v>281</v>
      </c>
      <c r="F78" t="str">
        <f>CONCATENATE(E78, " ",D78)</f>
        <v>MARVIN FOSTER</v>
      </c>
      <c r="G78" t="s">
        <v>128</v>
      </c>
      <c r="H78" t="s">
        <v>46</v>
      </c>
      <c r="I78" t="s">
        <v>29</v>
      </c>
      <c r="J78" s="1">
        <v>45931</v>
      </c>
      <c r="K78" s="1">
        <v>45931</v>
      </c>
      <c r="L78">
        <v>8307933</v>
      </c>
      <c r="M78" t="s">
        <v>32</v>
      </c>
      <c r="N78" t="s">
        <v>70</v>
      </c>
      <c r="O78">
        <v>-78.25</v>
      </c>
      <c r="P78" t="s">
        <v>212</v>
      </c>
      <c r="Q78" t="s">
        <v>221</v>
      </c>
    </row>
    <row r="79" spans="1:27" s="5" customFormat="1" x14ac:dyDescent="0.25">
      <c r="A79" s="4">
        <v>45923</v>
      </c>
      <c r="B79" s="5" t="s">
        <v>125</v>
      </c>
      <c r="C79" s="5" t="str">
        <f>CONCATENATE(B79,"OVR")</f>
        <v>6YC6JM8XM49OVR</v>
      </c>
      <c r="D79" s="5" t="s">
        <v>280</v>
      </c>
      <c r="E79" s="5" t="s">
        <v>281</v>
      </c>
      <c r="F79" t="str">
        <f>CONCATENATE(E79, " ",D79)</f>
        <v>MARVIN FOSTER</v>
      </c>
      <c r="G79" s="5" t="s">
        <v>128</v>
      </c>
      <c r="H79" s="5" t="s">
        <v>46</v>
      </c>
      <c r="I79" s="5" t="s">
        <v>29</v>
      </c>
      <c r="J79" s="4">
        <v>45931</v>
      </c>
      <c r="K79" s="4">
        <v>45931</v>
      </c>
      <c r="L79" s="5">
        <v>20411454</v>
      </c>
      <c r="M79" s="5" t="s">
        <v>32</v>
      </c>
      <c r="N79" s="5" t="s">
        <v>231</v>
      </c>
      <c r="O79" s="5">
        <v>-31.25</v>
      </c>
      <c r="P79" s="5" t="s">
        <v>211</v>
      </c>
    </row>
    <row r="80" spans="1:27" x14ac:dyDescent="0.25">
      <c r="A80" s="4">
        <v>45923</v>
      </c>
      <c r="B80" s="5" t="s">
        <v>125</v>
      </c>
      <c r="C80" s="5" t="str">
        <f>CONCATENATE(B80,"OVR")</f>
        <v>6YC6JM8XM49OVR</v>
      </c>
      <c r="D80" s="5" t="s">
        <v>280</v>
      </c>
      <c r="E80" s="5" t="s">
        <v>281</v>
      </c>
      <c r="F80" t="str">
        <f>CONCATENATE(E80, " ",D80)</f>
        <v>MARVIN FOSTER</v>
      </c>
      <c r="G80" s="5" t="s">
        <v>128</v>
      </c>
      <c r="H80" s="5" t="s">
        <v>41</v>
      </c>
      <c r="I80" s="5" t="s">
        <v>29</v>
      </c>
      <c r="J80" s="4">
        <v>45931</v>
      </c>
      <c r="K80" s="4">
        <v>45931</v>
      </c>
      <c r="L80" s="5">
        <v>20411454</v>
      </c>
      <c r="M80" s="5" t="s">
        <v>32</v>
      </c>
      <c r="N80" s="5" t="s">
        <v>231</v>
      </c>
      <c r="O80" s="5">
        <v>125</v>
      </c>
      <c r="P80" s="5" t="s">
        <v>211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25">
      <c r="A81" s="1">
        <v>45923</v>
      </c>
      <c r="B81" t="s">
        <v>119</v>
      </c>
      <c r="C81" t="str">
        <f>CONCATENATE(B81,7)</f>
        <v>6PW8FR9CU617</v>
      </c>
      <c r="D81" t="s">
        <v>248</v>
      </c>
      <c r="E81" t="s">
        <v>249</v>
      </c>
      <c r="F81" t="str">
        <f>CONCATENATE(E81, " ",D81)</f>
        <v>MARY FINGER</v>
      </c>
      <c r="G81" t="s">
        <v>50</v>
      </c>
      <c r="H81" t="s">
        <v>122</v>
      </c>
      <c r="I81" t="s">
        <v>29</v>
      </c>
      <c r="J81" s="1">
        <v>45658</v>
      </c>
      <c r="K81" s="1">
        <v>45658</v>
      </c>
      <c r="L81">
        <v>8814784</v>
      </c>
      <c r="M81" t="s">
        <v>32</v>
      </c>
      <c r="N81" t="s">
        <v>123</v>
      </c>
      <c r="O81">
        <v>626</v>
      </c>
      <c r="P81" t="s">
        <v>225</v>
      </c>
      <c r="Q81" t="s">
        <v>226</v>
      </c>
      <c r="R81">
        <v>313</v>
      </c>
    </row>
    <row r="82" spans="1:27" s="5" customFormat="1" x14ac:dyDescent="0.25">
      <c r="A82" s="1">
        <v>45923</v>
      </c>
      <c r="B82" t="s">
        <v>119</v>
      </c>
      <c r="C82" t="str">
        <f>CONCATENATE(B82,8)</f>
        <v>6PW8FR9CU618</v>
      </c>
      <c r="D82" t="s">
        <v>248</v>
      </c>
      <c r="E82" t="s">
        <v>249</v>
      </c>
      <c r="F82" t="str">
        <f>CONCATENATE(E82, " ",D82)</f>
        <v>MARY FINGER</v>
      </c>
      <c r="G82" t="s">
        <v>50</v>
      </c>
      <c r="H82" t="s">
        <v>124</v>
      </c>
      <c r="I82" t="s">
        <v>29</v>
      </c>
      <c r="J82" s="1">
        <v>45658</v>
      </c>
      <c r="K82" s="1">
        <v>45658</v>
      </c>
      <c r="L82">
        <v>8814784</v>
      </c>
      <c r="M82" t="s">
        <v>32</v>
      </c>
      <c r="N82" t="s">
        <v>123</v>
      </c>
      <c r="O82">
        <v>-313</v>
      </c>
      <c r="P82" t="s">
        <v>212</v>
      </c>
      <c r="Q82" t="s">
        <v>215</v>
      </c>
      <c r="R82"/>
      <c r="S82"/>
      <c r="T82"/>
      <c r="U82"/>
      <c r="V82"/>
      <c r="W82"/>
      <c r="X82"/>
      <c r="Y82"/>
      <c r="Z82"/>
      <c r="AA82"/>
    </row>
    <row r="83" spans="1:27" x14ac:dyDescent="0.25">
      <c r="A83" s="1">
        <v>45923</v>
      </c>
      <c r="B83" t="s">
        <v>119</v>
      </c>
      <c r="C83" t="str">
        <f>CONCATENATE(B83,8)</f>
        <v>6PW8FR9CU618</v>
      </c>
      <c r="D83" t="s">
        <v>248</v>
      </c>
      <c r="E83" t="s">
        <v>249</v>
      </c>
      <c r="F83" t="str">
        <f>CONCATENATE(E83, " ",D83)</f>
        <v>MARY FINGER</v>
      </c>
      <c r="G83" t="s">
        <v>50</v>
      </c>
      <c r="H83" t="s">
        <v>122</v>
      </c>
      <c r="I83" t="s">
        <v>29</v>
      </c>
      <c r="J83" s="1">
        <v>45658</v>
      </c>
      <c r="K83" s="1">
        <v>45658</v>
      </c>
      <c r="L83">
        <v>8814784</v>
      </c>
      <c r="M83" t="s">
        <v>32</v>
      </c>
      <c r="N83" t="s">
        <v>123</v>
      </c>
      <c r="O83">
        <v>-313</v>
      </c>
      <c r="P83" t="s">
        <v>212</v>
      </c>
      <c r="Q83" t="s">
        <v>215</v>
      </c>
      <c r="R83">
        <v>313</v>
      </c>
      <c r="U83">
        <v>328.5</v>
      </c>
    </row>
    <row r="84" spans="1:27" x14ac:dyDescent="0.25">
      <c r="A84" s="4">
        <v>45923</v>
      </c>
      <c r="B84" s="5" t="s">
        <v>119</v>
      </c>
      <c r="C84" s="5" t="str">
        <f>CONCATENATE(B84,"OVR")</f>
        <v>6PW8FR9CU61OVR</v>
      </c>
      <c r="D84" s="5" t="s">
        <v>248</v>
      </c>
      <c r="E84" s="5" t="s">
        <v>249</v>
      </c>
      <c r="F84" t="str">
        <f>CONCATENATE(E84, " ",D84)</f>
        <v>MARY FINGER</v>
      </c>
      <c r="G84" s="5" t="s">
        <v>50</v>
      </c>
      <c r="H84" s="5" t="s">
        <v>124</v>
      </c>
      <c r="I84" s="5" t="s">
        <v>29</v>
      </c>
      <c r="J84" s="4">
        <v>45658</v>
      </c>
      <c r="K84" s="4">
        <v>45658</v>
      </c>
      <c r="L84" s="5">
        <v>20411454</v>
      </c>
      <c r="M84" s="5" t="s">
        <v>32</v>
      </c>
      <c r="N84" s="5" t="s">
        <v>231</v>
      </c>
      <c r="O84" s="5">
        <v>-125</v>
      </c>
      <c r="P84" s="5" t="s">
        <v>211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5">
      <c r="A85" s="4">
        <v>45923</v>
      </c>
      <c r="B85" s="5" t="s">
        <v>119</v>
      </c>
      <c r="C85" s="5" t="str">
        <f>CONCATENATE(B85,"OVR")</f>
        <v>6PW8FR9CU61OVR</v>
      </c>
      <c r="D85" s="5" t="s">
        <v>248</v>
      </c>
      <c r="E85" s="5" t="s">
        <v>249</v>
      </c>
      <c r="F85" t="str">
        <f>CONCATENATE(E85, " ",D85)</f>
        <v>MARY FINGER</v>
      </c>
      <c r="G85" s="5" t="s">
        <v>50</v>
      </c>
      <c r="H85" s="5" t="s">
        <v>122</v>
      </c>
      <c r="I85" s="5" t="s">
        <v>29</v>
      </c>
      <c r="J85" s="4">
        <v>45658</v>
      </c>
      <c r="K85" s="4">
        <v>45658</v>
      </c>
      <c r="L85" s="5">
        <v>20411454</v>
      </c>
      <c r="M85" s="5" t="s">
        <v>32</v>
      </c>
      <c r="N85" s="5" t="s">
        <v>231</v>
      </c>
      <c r="O85" s="5">
        <v>15.5</v>
      </c>
      <c r="P85" s="5" t="s">
        <v>211</v>
      </c>
      <c r="Q85" s="5"/>
      <c r="R85" s="5">
        <v>313</v>
      </c>
      <c r="S85" s="5"/>
      <c r="T85" s="5"/>
      <c r="U85" s="5">
        <f>328.5-313</f>
        <v>15.5</v>
      </c>
      <c r="V85" s="5"/>
      <c r="W85" s="5"/>
      <c r="X85" s="5"/>
      <c r="Y85" s="5"/>
      <c r="Z85" s="5"/>
      <c r="AA85" s="5"/>
    </row>
    <row r="86" spans="1:27" s="5" customFormat="1" x14ac:dyDescent="0.25">
      <c r="A86" s="1">
        <v>45923</v>
      </c>
      <c r="B86" t="s">
        <v>80</v>
      </c>
      <c r="C86" t="str">
        <f>CONCATENATE(B86,8)</f>
        <v>5NW9CY1JA168</v>
      </c>
      <c r="D86" t="s">
        <v>238</v>
      </c>
      <c r="E86" t="s">
        <v>239</v>
      </c>
      <c r="F86" t="str">
        <f>CONCATENATE(E86, " ",D86)</f>
        <v>MATTHEW DAVIS</v>
      </c>
      <c r="G86" t="s">
        <v>50</v>
      </c>
      <c r="H86" t="s">
        <v>28</v>
      </c>
      <c r="I86" t="s">
        <v>29</v>
      </c>
      <c r="J86" s="1">
        <v>45931</v>
      </c>
      <c r="K86" s="1">
        <v>45931</v>
      </c>
      <c r="L86">
        <v>19268643</v>
      </c>
      <c r="M86" t="s">
        <v>32</v>
      </c>
      <c r="N86" t="s">
        <v>85</v>
      </c>
      <c r="O86">
        <v>78.25</v>
      </c>
      <c r="P86" t="s">
        <v>212</v>
      </c>
      <c r="Q86" t="s">
        <v>221</v>
      </c>
      <c r="R86">
        <f>313/12*3</f>
        <v>78.25</v>
      </c>
      <c r="S86"/>
      <c r="T86"/>
      <c r="U86"/>
      <c r="V86"/>
      <c r="W86"/>
      <c r="X86"/>
      <c r="Y86"/>
      <c r="Z86"/>
      <c r="AA86"/>
    </row>
    <row r="87" spans="1:27" s="5" customFormat="1" x14ac:dyDescent="0.25">
      <c r="A87" s="4">
        <v>45923</v>
      </c>
      <c r="B87" s="5" t="s">
        <v>80</v>
      </c>
      <c r="C87" s="5" t="str">
        <f>CONCATENATE(B87,"OVR")</f>
        <v>5NW9CY1JA16OVR</v>
      </c>
      <c r="D87" s="5" t="s">
        <v>238</v>
      </c>
      <c r="E87" s="5" t="s">
        <v>239</v>
      </c>
      <c r="F87" t="str">
        <f>CONCATENATE(E87, " ",D87)</f>
        <v>MATTHEW DAVIS</v>
      </c>
      <c r="G87" s="5" t="s">
        <v>50</v>
      </c>
      <c r="H87" s="5" t="s">
        <v>28</v>
      </c>
      <c r="I87" s="5" t="s">
        <v>29</v>
      </c>
      <c r="J87" s="4">
        <v>45931</v>
      </c>
      <c r="K87" s="4">
        <v>45931</v>
      </c>
      <c r="L87" s="5">
        <v>20411454</v>
      </c>
      <c r="M87" s="5" t="s">
        <v>32</v>
      </c>
      <c r="N87" s="5" t="s">
        <v>231</v>
      </c>
      <c r="O87" s="5">
        <v>31.25</v>
      </c>
      <c r="P87" s="5" t="s">
        <v>211</v>
      </c>
      <c r="R87" s="5">
        <f>125/12*3</f>
        <v>31.25</v>
      </c>
    </row>
    <row r="88" spans="1:27" s="5" customFormat="1" x14ac:dyDescent="0.25">
      <c r="A88" s="1">
        <v>45923</v>
      </c>
      <c r="B88" t="s">
        <v>76</v>
      </c>
      <c r="C88" t="str">
        <f>CONCATENATE(B88,7)</f>
        <v>7NJ9KC2GK347</v>
      </c>
      <c r="D88" t="s">
        <v>277</v>
      </c>
      <c r="E88" t="s">
        <v>251</v>
      </c>
      <c r="F88" t="str">
        <f>CONCATENATE(E88, " ",D88)</f>
        <v>MICHAEL DAUGHERTY</v>
      </c>
      <c r="G88" t="s">
        <v>40</v>
      </c>
      <c r="H88" t="s">
        <v>41</v>
      </c>
      <c r="I88" t="s">
        <v>29</v>
      </c>
      <c r="J88" s="1">
        <v>45931</v>
      </c>
      <c r="K88" s="1">
        <v>45931</v>
      </c>
      <c r="L88">
        <v>8307933</v>
      </c>
      <c r="M88" t="s">
        <v>32</v>
      </c>
      <c r="N88" t="s">
        <v>70</v>
      </c>
      <c r="O88">
        <v>626</v>
      </c>
      <c r="P88" t="s">
        <v>225</v>
      </c>
      <c r="Q88" t="s">
        <v>226</v>
      </c>
      <c r="R88"/>
      <c r="S88"/>
      <c r="T88"/>
      <c r="U88"/>
      <c r="V88"/>
      <c r="W88"/>
      <c r="X88"/>
      <c r="Y88"/>
      <c r="Z88"/>
      <c r="AA88"/>
    </row>
    <row r="89" spans="1:27" x14ac:dyDescent="0.25">
      <c r="A89" s="1">
        <v>45923</v>
      </c>
      <c r="B89" t="s">
        <v>76</v>
      </c>
      <c r="C89" t="str">
        <f>CONCATENATE(B89,8)</f>
        <v>7NJ9KC2GK348</v>
      </c>
      <c r="D89" t="s">
        <v>277</v>
      </c>
      <c r="E89" t="s">
        <v>251</v>
      </c>
      <c r="F89" t="str">
        <f>CONCATENATE(E89, " ",D89)</f>
        <v>MICHAEL DAUGHERTY</v>
      </c>
      <c r="G89" t="s">
        <v>40</v>
      </c>
      <c r="H89" t="s">
        <v>46</v>
      </c>
      <c r="I89" t="s">
        <v>29</v>
      </c>
      <c r="J89" s="1">
        <v>45931</v>
      </c>
      <c r="K89" s="1">
        <v>45931</v>
      </c>
      <c r="L89">
        <v>8307933</v>
      </c>
      <c r="M89" t="s">
        <v>32</v>
      </c>
      <c r="N89" t="s">
        <v>70</v>
      </c>
      <c r="O89">
        <v>-78.25</v>
      </c>
      <c r="P89" t="s">
        <v>212</v>
      </c>
      <c r="Q89" t="s">
        <v>221</v>
      </c>
      <c r="R89">
        <f>313/12*3</f>
        <v>78.25</v>
      </c>
    </row>
    <row r="90" spans="1:27" x14ac:dyDescent="0.25">
      <c r="A90" s="4">
        <v>45923</v>
      </c>
      <c r="B90" s="5" t="s">
        <v>76</v>
      </c>
      <c r="C90" s="5" t="str">
        <f>CONCATENATE(B90,"OVR")</f>
        <v>7NJ9KC2GK34OVR</v>
      </c>
      <c r="D90" s="5" t="s">
        <v>277</v>
      </c>
      <c r="E90" s="5" t="s">
        <v>251</v>
      </c>
      <c r="F90" t="str">
        <f>CONCATENATE(E90, " ",D90)</f>
        <v>MICHAEL DAUGHERTY</v>
      </c>
      <c r="G90" s="5" t="s">
        <v>40</v>
      </c>
      <c r="H90" s="5" t="s">
        <v>46</v>
      </c>
      <c r="I90" s="5" t="s">
        <v>29</v>
      </c>
      <c r="J90" s="4">
        <v>45931</v>
      </c>
      <c r="K90" s="4">
        <v>45931</v>
      </c>
      <c r="L90" s="5">
        <v>20411454</v>
      </c>
      <c r="M90" s="5" t="s">
        <v>32</v>
      </c>
      <c r="N90" s="5" t="s">
        <v>231</v>
      </c>
      <c r="O90" s="5">
        <v>-31.25</v>
      </c>
      <c r="P90" s="5" t="s">
        <v>211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5">
      <c r="A91" s="4">
        <v>45923</v>
      </c>
      <c r="B91" s="5" t="s">
        <v>76</v>
      </c>
      <c r="C91" s="5" t="str">
        <f>CONCATENATE(B91,"OVR")</f>
        <v>7NJ9KC2GK34OVR</v>
      </c>
      <c r="D91" s="5" t="s">
        <v>277</v>
      </c>
      <c r="E91" s="5" t="s">
        <v>251</v>
      </c>
      <c r="F91" t="str">
        <f>CONCATENATE(E91, " ",D91)</f>
        <v>MICHAEL DAUGHERTY</v>
      </c>
      <c r="G91" s="5" t="s">
        <v>40</v>
      </c>
      <c r="H91" s="5" t="s">
        <v>41</v>
      </c>
      <c r="I91" s="5" t="s">
        <v>29</v>
      </c>
      <c r="J91" s="4">
        <v>45931</v>
      </c>
      <c r="K91" s="4">
        <v>45931</v>
      </c>
      <c r="L91" s="5">
        <v>20411454</v>
      </c>
      <c r="M91" s="5" t="s">
        <v>32</v>
      </c>
      <c r="N91" s="5" t="s">
        <v>231</v>
      </c>
      <c r="O91" s="5">
        <v>125</v>
      </c>
      <c r="P91" s="5" t="s">
        <v>211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5">
      <c r="A92" s="1">
        <v>45923</v>
      </c>
      <c r="B92" t="s">
        <v>165</v>
      </c>
      <c r="C92" t="str">
        <f>CONCATENATE(B92,7)</f>
        <v>6NY4TY6GG737</v>
      </c>
      <c r="D92" t="s">
        <v>250</v>
      </c>
      <c r="E92" t="s">
        <v>251</v>
      </c>
      <c r="F92" t="str">
        <f>CONCATENATE(E92, " ",D92)</f>
        <v>MICHAEL LUNDIN</v>
      </c>
      <c r="G92" t="s">
        <v>50</v>
      </c>
      <c r="H92" t="s">
        <v>41</v>
      </c>
      <c r="I92" t="s">
        <v>29</v>
      </c>
      <c r="J92" s="1">
        <v>45901</v>
      </c>
      <c r="K92" s="1">
        <v>45901</v>
      </c>
      <c r="L92">
        <v>8814784</v>
      </c>
      <c r="M92" t="s">
        <v>32</v>
      </c>
      <c r="N92" t="s">
        <v>123</v>
      </c>
      <c r="O92">
        <v>626</v>
      </c>
      <c r="P92" t="s">
        <v>225</v>
      </c>
      <c r="Q92" t="s">
        <v>226</v>
      </c>
      <c r="R92">
        <v>120</v>
      </c>
    </row>
    <row r="93" spans="1:27" x14ac:dyDescent="0.25">
      <c r="A93" s="1">
        <v>45923</v>
      </c>
      <c r="B93" t="s">
        <v>165</v>
      </c>
      <c r="C93" t="str">
        <f>CONCATENATE(B93,8)</f>
        <v>6NY4TY6GG738</v>
      </c>
      <c r="D93" t="s">
        <v>250</v>
      </c>
      <c r="E93" t="s">
        <v>251</v>
      </c>
      <c r="F93" t="str">
        <f>CONCATENATE(E93, " ",D93)</f>
        <v>MICHAEL LUNDIN</v>
      </c>
      <c r="G93" t="s">
        <v>50</v>
      </c>
      <c r="H93" t="s">
        <v>46</v>
      </c>
      <c r="I93" t="s">
        <v>29</v>
      </c>
      <c r="J93" s="1">
        <v>45901</v>
      </c>
      <c r="K93" s="1">
        <v>45901</v>
      </c>
      <c r="L93">
        <v>8814784</v>
      </c>
      <c r="M93" t="s">
        <v>32</v>
      </c>
      <c r="N93" t="s">
        <v>123</v>
      </c>
      <c r="O93">
        <v>-104.33</v>
      </c>
      <c r="P93" t="s">
        <v>212</v>
      </c>
      <c r="Q93" t="s">
        <v>220</v>
      </c>
    </row>
    <row r="94" spans="1:27" x14ac:dyDescent="0.25">
      <c r="A94" s="4">
        <v>45923</v>
      </c>
      <c r="B94" s="5" t="s">
        <v>165</v>
      </c>
      <c r="C94" s="5" t="str">
        <f>CONCATENATE(B94,"OVR")</f>
        <v>6NY4TY6GG73OVR</v>
      </c>
      <c r="D94" s="5" t="s">
        <v>250</v>
      </c>
      <c r="E94" s="5" t="s">
        <v>251</v>
      </c>
      <c r="F94" t="str">
        <f>CONCATENATE(E94, " ",D94)</f>
        <v>MICHAEL LUNDIN</v>
      </c>
      <c r="G94" s="5" t="s">
        <v>50</v>
      </c>
      <c r="H94" s="5" t="s">
        <v>46</v>
      </c>
      <c r="I94" s="5" t="s">
        <v>29</v>
      </c>
      <c r="J94" s="4">
        <v>45901</v>
      </c>
      <c r="K94" s="4">
        <v>45901</v>
      </c>
      <c r="L94" s="5">
        <v>20411454</v>
      </c>
      <c r="M94" s="5" t="s">
        <v>32</v>
      </c>
      <c r="N94" s="5" t="s">
        <v>231</v>
      </c>
      <c r="O94" s="5">
        <v>-40</v>
      </c>
      <c r="P94" s="5" t="s">
        <v>211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5">
      <c r="A95" s="4">
        <v>45923</v>
      </c>
      <c r="B95" s="5" t="s">
        <v>165</v>
      </c>
      <c r="C95" s="5" t="str">
        <f>CONCATENATE(B95,"OVR")</f>
        <v>6NY4TY6GG73OVR</v>
      </c>
      <c r="D95" s="5" t="s">
        <v>250</v>
      </c>
      <c r="E95" s="5" t="s">
        <v>251</v>
      </c>
      <c r="F95" t="str">
        <f>CONCATENATE(E95, " ",D95)</f>
        <v>MICHAEL LUNDIN</v>
      </c>
      <c r="G95" s="5" t="s">
        <v>50</v>
      </c>
      <c r="H95" s="5" t="s">
        <v>41</v>
      </c>
      <c r="I95" s="5" t="s">
        <v>29</v>
      </c>
      <c r="J95" s="4">
        <v>45901</v>
      </c>
      <c r="K95" s="4">
        <v>45901</v>
      </c>
      <c r="L95" s="5">
        <v>20411454</v>
      </c>
      <c r="M95" s="5" t="s">
        <v>32</v>
      </c>
      <c r="N95" s="5" t="s">
        <v>231</v>
      </c>
      <c r="O95" s="5">
        <v>120</v>
      </c>
      <c r="P95" s="5" t="s">
        <v>211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5">
      <c r="A96" s="1">
        <v>45923</v>
      </c>
      <c r="B96" t="s">
        <v>86</v>
      </c>
      <c r="C96" t="str">
        <f>CONCATENATE(B96,7)</f>
        <v>9UA5XN4RM687</v>
      </c>
      <c r="D96" t="s">
        <v>263</v>
      </c>
      <c r="E96" t="s">
        <v>264</v>
      </c>
      <c r="F96" t="str">
        <f>CONCATENATE(E96, " ",D96)</f>
        <v>PATRICK DOWDLE</v>
      </c>
      <c r="G96" t="s">
        <v>50</v>
      </c>
      <c r="H96" t="s">
        <v>41</v>
      </c>
      <c r="I96" t="s">
        <v>29</v>
      </c>
      <c r="J96" s="1">
        <v>45901</v>
      </c>
      <c r="K96" s="1">
        <v>45901</v>
      </c>
      <c r="L96">
        <v>8307933</v>
      </c>
      <c r="M96" t="s">
        <v>32</v>
      </c>
      <c r="N96" t="s">
        <v>70</v>
      </c>
      <c r="O96">
        <v>626</v>
      </c>
      <c r="P96" t="s">
        <v>225</v>
      </c>
      <c r="Q96" t="s">
        <v>226</v>
      </c>
    </row>
    <row r="97" spans="1:27" x14ac:dyDescent="0.25">
      <c r="A97" s="1">
        <v>45923</v>
      </c>
      <c r="B97" t="s">
        <v>86</v>
      </c>
      <c r="C97" t="str">
        <f>CONCATENATE(B97,8)</f>
        <v>9UA5XN4RM688</v>
      </c>
      <c r="D97" t="s">
        <v>263</v>
      </c>
      <c r="E97" t="s">
        <v>264</v>
      </c>
      <c r="F97" t="str">
        <f>CONCATENATE(E97, " ",D97)</f>
        <v>PATRICK DOWDLE</v>
      </c>
      <c r="G97" t="s">
        <v>50</v>
      </c>
      <c r="H97" t="s">
        <v>46</v>
      </c>
      <c r="I97" t="s">
        <v>29</v>
      </c>
      <c r="J97" s="1">
        <v>45901</v>
      </c>
      <c r="K97" s="1">
        <v>45901</v>
      </c>
      <c r="L97">
        <v>8307933</v>
      </c>
      <c r="M97" t="s">
        <v>32</v>
      </c>
      <c r="N97" t="s">
        <v>70</v>
      </c>
      <c r="O97">
        <v>-104.33</v>
      </c>
      <c r="P97" t="s">
        <v>212</v>
      </c>
      <c r="Q97" t="s">
        <v>220</v>
      </c>
    </row>
    <row r="98" spans="1:27" x14ac:dyDescent="0.25">
      <c r="A98" s="4">
        <v>45923</v>
      </c>
      <c r="B98" s="5" t="s">
        <v>86</v>
      </c>
      <c r="C98" s="5" t="str">
        <f>CONCATENATE(B98,"OVR")</f>
        <v>9UA5XN4RM68OVR</v>
      </c>
      <c r="D98" s="5" t="s">
        <v>263</v>
      </c>
      <c r="E98" s="5" t="s">
        <v>264</v>
      </c>
      <c r="F98" t="str">
        <f>CONCATENATE(E98, " ",D98)</f>
        <v>PATRICK DOWDLE</v>
      </c>
      <c r="G98" s="5" t="s">
        <v>50</v>
      </c>
      <c r="H98" s="5" t="s">
        <v>46</v>
      </c>
      <c r="I98" s="5" t="s">
        <v>29</v>
      </c>
      <c r="J98" s="4">
        <v>45901</v>
      </c>
      <c r="K98" s="4">
        <v>45901</v>
      </c>
      <c r="L98" s="5">
        <v>20411454</v>
      </c>
      <c r="M98" s="5" t="s">
        <v>32</v>
      </c>
      <c r="N98" s="5" t="s">
        <v>231</v>
      </c>
      <c r="O98" s="5">
        <v>-41.67</v>
      </c>
      <c r="P98" s="5" t="s">
        <v>211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25">
      <c r="A99" s="4">
        <v>45923</v>
      </c>
      <c r="B99" s="5" t="s">
        <v>86</v>
      </c>
      <c r="C99" s="5" t="str">
        <f>CONCATENATE(B99,"OVR")</f>
        <v>9UA5XN4RM68OVR</v>
      </c>
      <c r="D99" s="5" t="s">
        <v>263</v>
      </c>
      <c r="E99" s="5" t="s">
        <v>264</v>
      </c>
      <c r="F99" t="str">
        <f>CONCATENATE(E99, " ",D99)</f>
        <v>PATRICK DOWDLE</v>
      </c>
      <c r="G99" s="5" t="s">
        <v>50</v>
      </c>
      <c r="H99" s="5" t="s">
        <v>41</v>
      </c>
      <c r="I99" s="5" t="s">
        <v>29</v>
      </c>
      <c r="J99" s="4">
        <v>45901</v>
      </c>
      <c r="K99" s="4">
        <v>45901</v>
      </c>
      <c r="L99" s="5">
        <v>20411454</v>
      </c>
      <c r="M99" s="5" t="s">
        <v>32</v>
      </c>
      <c r="N99" s="5" t="s">
        <v>231</v>
      </c>
      <c r="O99" s="5">
        <v>125</v>
      </c>
      <c r="P99" s="5" t="s">
        <v>211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5">
      <c r="A100" s="1">
        <v>45923</v>
      </c>
      <c r="B100" t="s">
        <v>106</v>
      </c>
      <c r="C100" t="str">
        <f>CONCATENATE(B100,8)</f>
        <v>7QF1YQ0DP348</v>
      </c>
      <c r="D100" t="s">
        <v>303</v>
      </c>
      <c r="E100" t="s">
        <v>304</v>
      </c>
      <c r="F100" t="str">
        <f>CONCATENATE(E100, " ",D100)</f>
        <v>PEGGY EULER</v>
      </c>
      <c r="G100" t="s">
        <v>50</v>
      </c>
      <c r="H100" t="s">
        <v>28</v>
      </c>
      <c r="I100" t="s">
        <v>29</v>
      </c>
      <c r="J100" s="1">
        <v>45931</v>
      </c>
      <c r="K100" s="1">
        <v>45931</v>
      </c>
      <c r="L100">
        <v>19681796</v>
      </c>
      <c r="M100" t="s">
        <v>32</v>
      </c>
      <c r="N100" t="s">
        <v>109</v>
      </c>
      <c r="O100">
        <v>78.25</v>
      </c>
      <c r="P100" t="s">
        <v>212</v>
      </c>
      <c r="Q100" t="s">
        <v>221</v>
      </c>
      <c r="R100">
        <f>313/12*3</f>
        <v>78.25</v>
      </c>
    </row>
    <row r="101" spans="1:27" x14ac:dyDescent="0.25">
      <c r="A101" s="4">
        <v>45923</v>
      </c>
      <c r="B101" s="5" t="s">
        <v>106</v>
      </c>
      <c r="C101" s="5" t="str">
        <f>CONCATENATE(B101,"OVR")</f>
        <v>7QF1YQ0DP34OVR</v>
      </c>
      <c r="D101" s="5" t="s">
        <v>303</v>
      </c>
      <c r="E101" s="5" t="s">
        <v>304</v>
      </c>
      <c r="F101" t="str">
        <f>CONCATENATE(E101, " ",D101)</f>
        <v>PEGGY EULER</v>
      </c>
      <c r="G101" s="5" t="s">
        <v>50</v>
      </c>
      <c r="H101" s="5" t="s">
        <v>28</v>
      </c>
      <c r="I101" s="5" t="s">
        <v>29</v>
      </c>
      <c r="J101" s="4">
        <v>45931</v>
      </c>
      <c r="K101" s="4">
        <v>45931</v>
      </c>
      <c r="L101" s="5">
        <v>20411454</v>
      </c>
      <c r="M101" s="5" t="s">
        <v>32</v>
      </c>
      <c r="N101" s="5" t="s">
        <v>231</v>
      </c>
      <c r="O101" s="5">
        <v>30</v>
      </c>
      <c r="P101" s="5" t="s">
        <v>211</v>
      </c>
      <c r="Q101" s="5"/>
      <c r="R101" s="5">
        <f>120/12*3</f>
        <v>30</v>
      </c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5">
      <c r="A102" s="1">
        <v>45923</v>
      </c>
      <c r="B102" t="s">
        <v>114</v>
      </c>
      <c r="C102" t="str">
        <f>CONCATENATE(B102,7)</f>
        <v>2YT3WA2RQ057</v>
      </c>
      <c r="D102" t="s">
        <v>278</v>
      </c>
      <c r="E102" t="s">
        <v>279</v>
      </c>
      <c r="F102" t="str">
        <f>CONCATENATE(E102, " ",D102)</f>
        <v>REBECCA FERTIG</v>
      </c>
      <c r="G102" t="s">
        <v>117</v>
      </c>
      <c r="H102" t="s">
        <v>41</v>
      </c>
      <c r="I102" t="s">
        <v>29</v>
      </c>
      <c r="J102" s="1">
        <v>45931</v>
      </c>
      <c r="K102" s="1">
        <v>45931</v>
      </c>
      <c r="L102">
        <v>8307933</v>
      </c>
      <c r="M102" t="s">
        <v>32</v>
      </c>
      <c r="N102" t="s">
        <v>70</v>
      </c>
      <c r="O102">
        <v>626</v>
      </c>
      <c r="P102" t="s">
        <v>225</v>
      </c>
      <c r="Q102" t="s">
        <v>226</v>
      </c>
    </row>
    <row r="103" spans="1:27" x14ac:dyDescent="0.25">
      <c r="A103" s="1">
        <v>45923</v>
      </c>
      <c r="B103" t="s">
        <v>114</v>
      </c>
      <c r="C103" t="str">
        <f>CONCATENATE(B103,8)</f>
        <v>2YT3WA2RQ058</v>
      </c>
      <c r="D103" t="s">
        <v>278</v>
      </c>
      <c r="E103" t="s">
        <v>279</v>
      </c>
      <c r="F103" t="str">
        <f>CONCATENATE(E103, " ",D103)</f>
        <v>REBECCA FERTIG</v>
      </c>
      <c r="G103" t="s">
        <v>117</v>
      </c>
      <c r="H103" t="s">
        <v>46</v>
      </c>
      <c r="I103" t="s">
        <v>29</v>
      </c>
      <c r="J103" s="1">
        <v>45931</v>
      </c>
      <c r="K103" s="1">
        <v>45931</v>
      </c>
      <c r="L103">
        <v>8307933</v>
      </c>
      <c r="M103" t="s">
        <v>32</v>
      </c>
      <c r="N103" t="s">
        <v>70</v>
      </c>
      <c r="O103">
        <v>-78.25</v>
      </c>
      <c r="P103" t="s">
        <v>212</v>
      </c>
      <c r="Q103" t="s">
        <v>221</v>
      </c>
      <c r="R103">
        <f>125/12*3</f>
        <v>31.25</v>
      </c>
    </row>
    <row r="104" spans="1:27" x14ac:dyDescent="0.25">
      <c r="A104" s="4">
        <v>45923</v>
      </c>
      <c r="B104" s="5" t="s">
        <v>114</v>
      </c>
      <c r="C104" s="5" t="str">
        <f>CONCATENATE(B104,"OVR")</f>
        <v>2YT3WA2RQ05OVR</v>
      </c>
      <c r="D104" s="5" t="s">
        <v>278</v>
      </c>
      <c r="E104" s="5" t="s">
        <v>279</v>
      </c>
      <c r="F104" t="str">
        <f>CONCATENATE(E104, " ",D104)</f>
        <v>REBECCA FERTIG</v>
      </c>
      <c r="G104" s="5" t="s">
        <v>117</v>
      </c>
      <c r="H104" s="5" t="s">
        <v>46</v>
      </c>
      <c r="I104" s="5" t="s">
        <v>29</v>
      </c>
      <c r="J104" s="4">
        <v>45931</v>
      </c>
      <c r="K104" s="4">
        <v>45931</v>
      </c>
      <c r="L104" s="5">
        <v>20411454</v>
      </c>
      <c r="M104" s="5" t="s">
        <v>32</v>
      </c>
      <c r="N104" s="5" t="s">
        <v>231</v>
      </c>
      <c r="O104" s="5">
        <v>-31.25</v>
      </c>
      <c r="P104" s="5" t="s">
        <v>211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5">
      <c r="A105" s="4">
        <v>45923</v>
      </c>
      <c r="B105" s="5" t="s">
        <v>114</v>
      </c>
      <c r="C105" s="5" t="str">
        <f>CONCATENATE(B105,"OVR")</f>
        <v>2YT3WA2RQ05OVR</v>
      </c>
      <c r="D105" s="5" t="s">
        <v>278</v>
      </c>
      <c r="E105" s="5" t="s">
        <v>279</v>
      </c>
      <c r="F105" t="str">
        <f>CONCATENATE(E105, " ",D105)</f>
        <v>REBECCA FERTIG</v>
      </c>
      <c r="G105" s="5" t="s">
        <v>117</v>
      </c>
      <c r="H105" s="5" t="s">
        <v>41</v>
      </c>
      <c r="I105" s="5" t="s">
        <v>29</v>
      </c>
      <c r="J105" s="4">
        <v>45931</v>
      </c>
      <c r="K105" s="4">
        <v>45931</v>
      </c>
      <c r="L105" s="5">
        <v>20411454</v>
      </c>
      <c r="M105" s="5" t="s">
        <v>32</v>
      </c>
      <c r="N105" s="5" t="s">
        <v>231</v>
      </c>
      <c r="O105" s="5">
        <v>125</v>
      </c>
      <c r="P105" s="5" t="s">
        <v>211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5">
      <c r="A106" s="1">
        <v>45923</v>
      </c>
      <c r="B106" t="s">
        <v>192</v>
      </c>
      <c r="C106" t="str">
        <f>CONCATENATE(B106,8)</f>
        <v>6EY2R94YX968</v>
      </c>
      <c r="D106" t="s">
        <v>306</v>
      </c>
      <c r="E106" t="s">
        <v>307</v>
      </c>
      <c r="F106" t="str">
        <f>CONCATENATE(E106, " ",D106)</f>
        <v>RICHARD SCHRENZEL</v>
      </c>
      <c r="G106" t="s">
        <v>50</v>
      </c>
      <c r="H106" t="s">
        <v>28</v>
      </c>
      <c r="I106" t="s">
        <v>29</v>
      </c>
      <c r="J106" s="1">
        <v>45901</v>
      </c>
      <c r="K106" s="1">
        <v>45901</v>
      </c>
      <c r="L106">
        <v>9213293</v>
      </c>
      <c r="M106" t="s">
        <v>32</v>
      </c>
      <c r="N106" t="s">
        <v>53</v>
      </c>
      <c r="O106">
        <v>104.33</v>
      </c>
      <c r="P106" t="s">
        <v>212</v>
      </c>
      <c r="Q106" t="s">
        <v>220</v>
      </c>
      <c r="R106">
        <f>313/12*4</f>
        <v>104.33333333333333</v>
      </c>
    </row>
    <row r="107" spans="1:27" x14ac:dyDescent="0.25">
      <c r="A107" s="4">
        <v>45923</v>
      </c>
      <c r="B107" s="5" t="s">
        <v>192</v>
      </c>
      <c r="C107" s="5" t="str">
        <f>CONCATENATE(B107,"OVR")</f>
        <v>6EY2R94YX96OVR</v>
      </c>
      <c r="D107" s="5" t="s">
        <v>306</v>
      </c>
      <c r="E107" s="5" t="s">
        <v>307</v>
      </c>
      <c r="F107" t="str">
        <f>CONCATENATE(E107, " ",D107)</f>
        <v>RICHARD SCHRENZEL</v>
      </c>
      <c r="G107" s="5" t="s">
        <v>50</v>
      </c>
      <c r="H107" s="5" t="s">
        <v>28</v>
      </c>
      <c r="I107" s="5" t="s">
        <v>29</v>
      </c>
      <c r="J107" s="4">
        <v>45901</v>
      </c>
      <c r="K107" s="4">
        <v>45901</v>
      </c>
      <c r="L107" s="5">
        <v>20411454</v>
      </c>
      <c r="M107" s="5" t="s">
        <v>32</v>
      </c>
      <c r="N107" s="5" t="s">
        <v>231</v>
      </c>
      <c r="O107" s="5">
        <v>41.67</v>
      </c>
      <c r="P107" s="5" t="s">
        <v>211</v>
      </c>
      <c r="Q107" s="5"/>
      <c r="R107" s="5">
        <f>125/12*4</f>
        <v>41.666666666666664</v>
      </c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5">
      <c r="A108" s="1">
        <v>45923</v>
      </c>
      <c r="B108" t="s">
        <v>152</v>
      </c>
      <c r="C108" t="str">
        <f>CONCATENATE(B108,7)</f>
        <v>8PY3U04GV047</v>
      </c>
      <c r="D108" t="s">
        <v>282</v>
      </c>
      <c r="E108" t="s">
        <v>283</v>
      </c>
      <c r="F108" t="str">
        <f>CONCATENATE(E108, " ",D108)</f>
        <v>SCOTT JEPPERSON</v>
      </c>
      <c r="G108" t="s">
        <v>155</v>
      </c>
      <c r="H108" t="s">
        <v>41</v>
      </c>
      <c r="I108" t="s">
        <v>29</v>
      </c>
      <c r="J108" s="1">
        <v>45931</v>
      </c>
      <c r="K108" s="1">
        <v>45931</v>
      </c>
      <c r="L108">
        <v>8307933</v>
      </c>
      <c r="M108" t="s">
        <v>32</v>
      </c>
      <c r="N108" t="s">
        <v>70</v>
      </c>
      <c r="O108">
        <v>626</v>
      </c>
      <c r="P108" t="s">
        <v>225</v>
      </c>
      <c r="Q108" t="s">
        <v>226</v>
      </c>
    </row>
    <row r="109" spans="1:27" s="5" customFormat="1" x14ac:dyDescent="0.25">
      <c r="A109" s="1">
        <v>45923</v>
      </c>
      <c r="B109" t="s">
        <v>152</v>
      </c>
      <c r="C109" t="str">
        <f>CONCATENATE(B109,8)</f>
        <v>8PY3U04GV048</v>
      </c>
      <c r="D109" t="s">
        <v>282</v>
      </c>
      <c r="E109" t="s">
        <v>283</v>
      </c>
      <c r="F109" t="str">
        <f>CONCATENATE(E109, " ",D109)</f>
        <v>SCOTT JEPPERSON</v>
      </c>
      <c r="G109" t="s">
        <v>155</v>
      </c>
      <c r="H109" t="s">
        <v>46</v>
      </c>
      <c r="I109" t="s">
        <v>29</v>
      </c>
      <c r="J109" s="1">
        <v>45931</v>
      </c>
      <c r="K109" s="1">
        <v>45931</v>
      </c>
      <c r="L109">
        <v>8307933</v>
      </c>
      <c r="M109" t="s">
        <v>32</v>
      </c>
      <c r="N109" t="s">
        <v>70</v>
      </c>
      <c r="O109">
        <v>-78.25</v>
      </c>
      <c r="P109" t="s">
        <v>212</v>
      </c>
      <c r="Q109" t="s">
        <v>221</v>
      </c>
      <c r="R109"/>
      <c r="S109"/>
      <c r="T109"/>
      <c r="U109"/>
      <c r="V109"/>
      <c r="W109"/>
      <c r="X109"/>
      <c r="Y109"/>
      <c r="Z109"/>
      <c r="AA109"/>
    </row>
    <row r="110" spans="1:27" s="5" customFormat="1" x14ac:dyDescent="0.25">
      <c r="A110" s="4">
        <v>45923</v>
      </c>
      <c r="B110" s="5" t="s">
        <v>152</v>
      </c>
      <c r="C110" s="5" t="str">
        <f>CONCATENATE(B110,"OVR")</f>
        <v>8PY3U04GV04OVR</v>
      </c>
      <c r="D110" s="5" t="s">
        <v>282</v>
      </c>
      <c r="E110" s="5" t="s">
        <v>283</v>
      </c>
      <c r="F110" t="str">
        <f>CONCATENATE(E110, " ",D110)</f>
        <v>SCOTT JEPPERSON</v>
      </c>
      <c r="G110" s="5" t="s">
        <v>155</v>
      </c>
      <c r="H110" s="5" t="s">
        <v>46</v>
      </c>
      <c r="I110" s="5" t="s">
        <v>29</v>
      </c>
      <c r="J110" s="4">
        <v>45931</v>
      </c>
      <c r="K110" s="4">
        <v>45931</v>
      </c>
      <c r="L110" s="5">
        <v>20411454</v>
      </c>
      <c r="M110" s="5" t="s">
        <v>32</v>
      </c>
      <c r="N110" s="5" t="s">
        <v>231</v>
      </c>
      <c r="O110" s="5">
        <v>-31.25</v>
      </c>
      <c r="P110" s="5" t="s">
        <v>211</v>
      </c>
    </row>
    <row r="111" spans="1:27" s="5" customFormat="1" x14ac:dyDescent="0.25">
      <c r="A111" s="4">
        <v>45923</v>
      </c>
      <c r="B111" s="5" t="s">
        <v>152</v>
      </c>
      <c r="C111" s="5" t="str">
        <f>CONCATENATE(B111,"OVR")</f>
        <v>8PY3U04GV04OVR</v>
      </c>
      <c r="D111" s="5" t="s">
        <v>282</v>
      </c>
      <c r="E111" s="5" t="s">
        <v>283</v>
      </c>
      <c r="F111" t="str">
        <f>CONCATENATE(E111, " ",D111)</f>
        <v>SCOTT JEPPERSON</v>
      </c>
      <c r="G111" s="5" t="s">
        <v>155</v>
      </c>
      <c r="H111" s="5" t="s">
        <v>41</v>
      </c>
      <c r="I111" s="5" t="s">
        <v>29</v>
      </c>
      <c r="J111" s="4">
        <v>45931</v>
      </c>
      <c r="K111" s="4">
        <v>45931</v>
      </c>
      <c r="L111" s="5">
        <v>20411454</v>
      </c>
      <c r="M111" s="5" t="s">
        <v>32</v>
      </c>
      <c r="N111" s="5" t="s">
        <v>231</v>
      </c>
      <c r="O111" s="5">
        <v>125</v>
      </c>
      <c r="P111" s="5" t="s">
        <v>211</v>
      </c>
    </row>
    <row r="112" spans="1:27" s="8" customFormat="1" x14ac:dyDescent="0.25">
      <c r="A112" s="6">
        <v>45923</v>
      </c>
      <c r="B112" s="7" t="s">
        <v>201</v>
      </c>
      <c r="C112" s="7" t="str">
        <f>CONCATENATE(B112,7)</f>
        <v>8CP0NT0JC217</v>
      </c>
      <c r="D112" s="7" t="s">
        <v>252</v>
      </c>
      <c r="E112" s="7" t="s">
        <v>254</v>
      </c>
      <c r="F112" s="7" t="str">
        <f>CONCATENATE(E112, " ",D112)</f>
        <v>STEPHEN SMITH</v>
      </c>
      <c r="G112" s="7" t="s">
        <v>50</v>
      </c>
      <c r="H112" s="7" t="s">
        <v>41</v>
      </c>
      <c r="I112" s="7" t="s">
        <v>29</v>
      </c>
      <c r="J112" s="6">
        <v>45901</v>
      </c>
      <c r="K112" s="6">
        <v>45901</v>
      </c>
      <c r="L112" s="7">
        <v>8814784</v>
      </c>
      <c r="M112" s="7" t="s">
        <v>32</v>
      </c>
      <c r="N112" s="7" t="s">
        <v>123</v>
      </c>
      <c r="O112" s="7">
        <v>626</v>
      </c>
      <c r="P112" s="7" t="s">
        <v>225</v>
      </c>
      <c r="Q112" s="7" t="s">
        <v>226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8" customFormat="1" x14ac:dyDescent="0.25">
      <c r="A113" s="6">
        <v>45923</v>
      </c>
      <c r="B113" s="7" t="s">
        <v>201</v>
      </c>
      <c r="C113" s="7" t="str">
        <f>CONCATENATE(B113,8)</f>
        <v>8CP0NT0JC218</v>
      </c>
      <c r="D113" s="7" t="s">
        <v>252</v>
      </c>
      <c r="E113" s="7" t="s">
        <v>254</v>
      </c>
      <c r="F113" s="7" t="str">
        <f>CONCATENATE(E113, " ",D113)</f>
        <v>STEPHEN SMITH</v>
      </c>
      <c r="G113" s="7" t="s">
        <v>50</v>
      </c>
      <c r="H113" s="7" t="s">
        <v>46</v>
      </c>
      <c r="I113" s="7" t="s">
        <v>29</v>
      </c>
      <c r="J113" s="6">
        <v>45901</v>
      </c>
      <c r="K113" s="6">
        <v>45901</v>
      </c>
      <c r="L113" s="7">
        <v>8814784</v>
      </c>
      <c r="M113" s="7" t="s">
        <v>32</v>
      </c>
      <c r="N113" s="7" t="s">
        <v>123</v>
      </c>
      <c r="O113" s="7">
        <v>-104.33</v>
      </c>
      <c r="P113" s="7" t="s">
        <v>212</v>
      </c>
      <c r="Q113" s="7" t="s">
        <v>220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8" customFormat="1" x14ac:dyDescent="0.25">
      <c r="A114" s="9">
        <v>45923</v>
      </c>
      <c r="B114" s="8" t="s">
        <v>201</v>
      </c>
      <c r="C114" s="8" t="str">
        <f>CONCATENATE(B114,"OVR")</f>
        <v>8CP0NT0JC21OVR</v>
      </c>
      <c r="D114" s="8" t="s">
        <v>252</v>
      </c>
      <c r="E114" s="8" t="s">
        <v>254</v>
      </c>
      <c r="F114" s="7" t="str">
        <f>CONCATENATE(E114, " ",D114)</f>
        <v>STEPHEN SMITH</v>
      </c>
      <c r="G114" s="8" t="s">
        <v>50</v>
      </c>
      <c r="H114" s="8" t="s">
        <v>46</v>
      </c>
      <c r="I114" s="8" t="s">
        <v>29</v>
      </c>
      <c r="J114" s="9">
        <v>45901</v>
      </c>
      <c r="K114" s="9">
        <v>45901</v>
      </c>
      <c r="L114" s="8">
        <v>20411454</v>
      </c>
      <c r="M114" s="8" t="s">
        <v>32</v>
      </c>
      <c r="N114" s="8" t="s">
        <v>231</v>
      </c>
      <c r="O114" s="8">
        <v>-41.67</v>
      </c>
      <c r="P114" s="8" t="s">
        <v>211</v>
      </c>
    </row>
    <row r="115" spans="1:27" s="8" customFormat="1" x14ac:dyDescent="0.25">
      <c r="A115" s="9">
        <v>45923</v>
      </c>
      <c r="B115" s="8" t="s">
        <v>201</v>
      </c>
      <c r="C115" s="8" t="str">
        <f>CONCATENATE(B115,"OVR")</f>
        <v>8CP0NT0JC21OVR</v>
      </c>
      <c r="D115" s="8" t="s">
        <v>252</v>
      </c>
      <c r="E115" s="8" t="s">
        <v>254</v>
      </c>
      <c r="F115" s="7" t="str">
        <f>CONCATENATE(E115, " ",D115)</f>
        <v>STEPHEN SMITH</v>
      </c>
      <c r="G115" s="8" t="s">
        <v>50</v>
      </c>
      <c r="H115" s="8" t="s">
        <v>41</v>
      </c>
      <c r="I115" s="8" t="s">
        <v>29</v>
      </c>
      <c r="J115" s="9">
        <v>45901</v>
      </c>
      <c r="K115" s="9">
        <v>45901</v>
      </c>
      <c r="L115" s="8">
        <v>20411454</v>
      </c>
      <c r="M115" s="8" t="s">
        <v>32</v>
      </c>
      <c r="N115" s="8" t="s">
        <v>231</v>
      </c>
      <c r="O115" s="8">
        <v>125</v>
      </c>
      <c r="P115" s="8" t="s">
        <v>211</v>
      </c>
    </row>
    <row r="116" spans="1:27" s="5" customFormat="1" x14ac:dyDescent="0.25">
      <c r="A116" s="4">
        <v>45923</v>
      </c>
      <c r="B116" s="5" t="s">
        <v>178</v>
      </c>
      <c r="C116" s="5" t="str">
        <f>CONCATENATE(B116,"OVR")</f>
        <v>8JQ8VN7MC22OVR</v>
      </c>
      <c r="D116" s="5" t="s">
        <v>295</v>
      </c>
      <c r="E116" s="5" t="s">
        <v>296</v>
      </c>
      <c r="F116" t="str">
        <f>CONCATENATE(E116, " ",D116)</f>
        <v>STEVEN MINTO</v>
      </c>
      <c r="G116" s="5" t="s">
        <v>27</v>
      </c>
      <c r="H116" s="5" t="s">
        <v>46</v>
      </c>
      <c r="I116" s="5" t="s">
        <v>29</v>
      </c>
      <c r="J116" s="4">
        <v>45901</v>
      </c>
      <c r="K116" s="4">
        <v>45901</v>
      </c>
      <c r="L116" s="5">
        <v>20411454</v>
      </c>
      <c r="M116" s="5" t="s">
        <v>32</v>
      </c>
      <c r="N116" s="5" t="s">
        <v>231</v>
      </c>
      <c r="O116" s="5">
        <v>-13.33</v>
      </c>
      <c r="P116" s="5" t="s">
        <v>211</v>
      </c>
    </row>
    <row r="117" spans="1:27" s="5" customFormat="1" x14ac:dyDescent="0.25">
      <c r="A117" s="4">
        <v>45923</v>
      </c>
      <c r="B117" s="5" t="s">
        <v>178</v>
      </c>
      <c r="C117" s="5" t="str">
        <f>CONCATENATE(B117,"OVR")</f>
        <v>8JQ8VN7MC22OVR</v>
      </c>
      <c r="D117" s="5" t="s">
        <v>295</v>
      </c>
      <c r="E117" s="5" t="s">
        <v>296</v>
      </c>
      <c r="F117" t="str">
        <f>CONCATENATE(E117, " ",D117)</f>
        <v>STEVEN MINTO</v>
      </c>
      <c r="G117" s="5" t="s">
        <v>27</v>
      </c>
      <c r="H117" s="5" t="s">
        <v>41</v>
      </c>
      <c r="I117" s="5" t="s">
        <v>29</v>
      </c>
      <c r="J117" s="4">
        <v>45901</v>
      </c>
      <c r="K117" s="4">
        <v>45901</v>
      </c>
      <c r="L117" s="5">
        <v>20411454</v>
      </c>
      <c r="M117" s="5" t="s">
        <v>32</v>
      </c>
      <c r="N117" s="5" t="s">
        <v>231</v>
      </c>
      <c r="O117" s="5">
        <v>40</v>
      </c>
      <c r="P117" s="5" t="s">
        <v>211</v>
      </c>
    </row>
    <row r="118" spans="1:27" s="5" customFormat="1" x14ac:dyDescent="0.25">
      <c r="A118" s="1">
        <v>45923</v>
      </c>
      <c r="B118" t="s">
        <v>158</v>
      </c>
      <c r="C118" t="str">
        <f>CONCATENATE(B118,7)</f>
        <v>9H63MH5XV817</v>
      </c>
      <c r="D118" t="s">
        <v>273</v>
      </c>
      <c r="E118" t="s">
        <v>274</v>
      </c>
      <c r="F118" t="str">
        <f>CONCATENATE(E118, " ",D118)</f>
        <v>TAMMY LAPIER</v>
      </c>
      <c r="G118" t="s">
        <v>50</v>
      </c>
      <c r="H118" t="s">
        <v>41</v>
      </c>
      <c r="I118" t="s">
        <v>29</v>
      </c>
      <c r="J118" s="1">
        <v>45901</v>
      </c>
      <c r="K118" s="1">
        <v>45901</v>
      </c>
      <c r="L118">
        <v>19681796</v>
      </c>
      <c r="M118" t="s">
        <v>32</v>
      </c>
      <c r="N118" t="s">
        <v>109</v>
      </c>
      <c r="O118">
        <v>626</v>
      </c>
      <c r="P118" t="s">
        <v>225</v>
      </c>
      <c r="Q118" t="s">
        <v>226</v>
      </c>
      <c r="R118">
        <v>626</v>
      </c>
      <c r="S118"/>
      <c r="T118"/>
      <c r="U118"/>
      <c r="V118"/>
      <c r="W118"/>
      <c r="X118"/>
      <c r="Y118"/>
      <c r="Z118"/>
      <c r="AA118"/>
    </row>
    <row r="119" spans="1:27" s="5" customFormat="1" x14ac:dyDescent="0.25">
      <c r="A119" s="1">
        <v>45923</v>
      </c>
      <c r="B119" t="s">
        <v>158</v>
      </c>
      <c r="C119" t="str">
        <f>CONCATENATE(B119,8)</f>
        <v>9H63MH5XV818</v>
      </c>
      <c r="D119" t="s">
        <v>273</v>
      </c>
      <c r="E119" t="s">
        <v>274</v>
      </c>
      <c r="F119" t="str">
        <f>CONCATENATE(E119, " ",D119)</f>
        <v>TAMMY LAPIER</v>
      </c>
      <c r="G119" t="s">
        <v>50</v>
      </c>
      <c r="H119" t="s">
        <v>46</v>
      </c>
      <c r="I119" t="s">
        <v>29</v>
      </c>
      <c r="J119" s="1">
        <v>45901</v>
      </c>
      <c r="K119" s="1">
        <v>45901</v>
      </c>
      <c r="L119">
        <v>19681796</v>
      </c>
      <c r="M119" t="s">
        <v>32</v>
      </c>
      <c r="N119" t="s">
        <v>109</v>
      </c>
      <c r="O119">
        <v>-104.33</v>
      </c>
      <c r="P119" t="s">
        <v>212</v>
      </c>
      <c r="Q119" t="s">
        <v>220</v>
      </c>
      <c r="R119"/>
      <c r="S119"/>
      <c r="T119"/>
      <c r="U119"/>
      <c r="V119"/>
      <c r="W119"/>
      <c r="X119"/>
      <c r="Y119"/>
      <c r="Z119"/>
      <c r="AA119"/>
    </row>
    <row r="120" spans="1:27" s="5" customFormat="1" x14ac:dyDescent="0.25">
      <c r="A120" s="4">
        <v>45923</v>
      </c>
      <c r="B120" s="5" t="s">
        <v>158</v>
      </c>
      <c r="C120" s="5" t="str">
        <f>CONCATENATE(B120,"OVR")</f>
        <v>9H63MH5XV81OVR</v>
      </c>
      <c r="D120" s="5" t="s">
        <v>273</v>
      </c>
      <c r="E120" s="5" t="s">
        <v>274</v>
      </c>
      <c r="F120" t="str">
        <f>CONCATENATE(E120, " ",D120)</f>
        <v>TAMMY LAPIER</v>
      </c>
      <c r="G120" s="5" t="s">
        <v>50</v>
      </c>
      <c r="H120" s="5" t="s">
        <v>46</v>
      </c>
      <c r="I120" s="5" t="s">
        <v>29</v>
      </c>
      <c r="J120" s="4">
        <v>45901</v>
      </c>
      <c r="K120" s="4">
        <v>45901</v>
      </c>
      <c r="L120" s="5">
        <v>20411454</v>
      </c>
      <c r="M120" s="5" t="s">
        <v>32</v>
      </c>
      <c r="N120" s="5" t="s">
        <v>231</v>
      </c>
      <c r="O120" s="5">
        <v>-40</v>
      </c>
      <c r="P120" s="5" t="s">
        <v>211</v>
      </c>
      <c r="R120" s="5">
        <f>120/12*4</f>
        <v>40</v>
      </c>
    </row>
    <row r="121" spans="1:27" s="5" customFormat="1" x14ac:dyDescent="0.25">
      <c r="A121" s="4">
        <v>45923</v>
      </c>
      <c r="B121" s="5" t="s">
        <v>158</v>
      </c>
      <c r="C121" s="5" t="str">
        <f>CONCATENATE(B121,"OVR")</f>
        <v>9H63MH5XV81OVR</v>
      </c>
      <c r="D121" s="5" t="s">
        <v>273</v>
      </c>
      <c r="E121" s="5" t="s">
        <v>274</v>
      </c>
      <c r="F121" t="str">
        <f>CONCATENATE(E121, " ",D121)</f>
        <v>TAMMY LAPIER</v>
      </c>
      <c r="G121" s="5" t="s">
        <v>50</v>
      </c>
      <c r="H121" s="5" t="s">
        <v>41</v>
      </c>
      <c r="I121" s="5" t="s">
        <v>29</v>
      </c>
      <c r="J121" s="4">
        <v>45901</v>
      </c>
      <c r="K121" s="4">
        <v>45901</v>
      </c>
      <c r="L121" s="5">
        <v>20411454</v>
      </c>
      <c r="M121" s="5" t="s">
        <v>32</v>
      </c>
      <c r="N121" s="5" t="s">
        <v>231</v>
      </c>
      <c r="O121" s="5">
        <v>120</v>
      </c>
      <c r="P121" s="5" t="s">
        <v>211</v>
      </c>
    </row>
    <row r="122" spans="1:27" s="5" customFormat="1" x14ac:dyDescent="0.25">
      <c r="A122" s="4">
        <v>45923</v>
      </c>
      <c r="B122" s="5" t="s">
        <v>131</v>
      </c>
      <c r="C122" s="5" t="str">
        <f>CONCATENATE(B122,"OVR")</f>
        <v>6KX3N54JC80OVR</v>
      </c>
      <c r="D122" s="5" t="s">
        <v>293</v>
      </c>
      <c r="E122" s="5" t="s">
        <v>294</v>
      </c>
      <c r="F122" t="str">
        <f>CONCATENATE(E122, " ",D122)</f>
        <v>TERESA GAHAGAN</v>
      </c>
      <c r="G122" s="5" t="s">
        <v>27</v>
      </c>
      <c r="H122" s="5" t="s">
        <v>46</v>
      </c>
      <c r="I122" s="5" t="s">
        <v>29</v>
      </c>
      <c r="J122" s="4">
        <v>45901</v>
      </c>
      <c r="K122" s="4">
        <v>45901</v>
      </c>
      <c r="L122" s="5">
        <v>20411454</v>
      </c>
      <c r="M122" s="5" t="s">
        <v>32</v>
      </c>
      <c r="N122" s="5" t="s">
        <v>231</v>
      </c>
      <c r="O122" s="5">
        <v>-13.33</v>
      </c>
      <c r="P122" s="5" t="s">
        <v>211</v>
      </c>
    </row>
    <row r="123" spans="1:27" s="5" customFormat="1" x14ac:dyDescent="0.25">
      <c r="A123" s="4">
        <v>45923</v>
      </c>
      <c r="B123" s="5" t="s">
        <v>131</v>
      </c>
      <c r="C123" s="5" t="str">
        <f>CONCATENATE(B123,"OVR")</f>
        <v>6KX3N54JC80OVR</v>
      </c>
      <c r="D123" s="5" t="s">
        <v>293</v>
      </c>
      <c r="E123" s="5" t="s">
        <v>294</v>
      </c>
      <c r="F123" t="str">
        <f>CONCATENATE(E123, " ",D123)</f>
        <v>TERESA GAHAGAN</v>
      </c>
      <c r="G123" s="5" t="s">
        <v>27</v>
      </c>
      <c r="H123" s="5" t="s">
        <v>41</v>
      </c>
      <c r="I123" s="5" t="s">
        <v>29</v>
      </c>
      <c r="J123" s="4">
        <v>45901</v>
      </c>
      <c r="K123" s="4">
        <v>45901</v>
      </c>
      <c r="L123" s="5">
        <v>20411454</v>
      </c>
      <c r="M123" s="5" t="s">
        <v>32</v>
      </c>
      <c r="N123" s="5" t="s">
        <v>231</v>
      </c>
      <c r="O123" s="5">
        <v>40</v>
      </c>
      <c r="P123" s="5" t="s">
        <v>211</v>
      </c>
    </row>
    <row r="124" spans="1:27" s="5" customFormat="1" x14ac:dyDescent="0.25">
      <c r="A124" s="1">
        <v>45923</v>
      </c>
      <c r="B124" t="s">
        <v>181</v>
      </c>
      <c r="C124" t="str">
        <f>CONCATENATE(B124,7)</f>
        <v>9WP9CE3JV367</v>
      </c>
      <c r="D124" t="s">
        <v>292</v>
      </c>
      <c r="E124" t="s">
        <v>247</v>
      </c>
      <c r="F124" t="str">
        <f>CONCATENATE(E124, " ",D124)</f>
        <v>THERESA PARKS</v>
      </c>
      <c r="G124" t="s">
        <v>50</v>
      </c>
      <c r="H124" t="s">
        <v>41</v>
      </c>
      <c r="I124" t="s">
        <v>29</v>
      </c>
      <c r="J124" s="1">
        <v>45962</v>
      </c>
      <c r="K124" s="1">
        <v>45962</v>
      </c>
      <c r="L124">
        <v>9213293</v>
      </c>
      <c r="M124" t="s">
        <v>32</v>
      </c>
      <c r="N124" t="s">
        <v>53</v>
      </c>
      <c r="O124">
        <v>626</v>
      </c>
      <c r="P124" t="s">
        <v>225</v>
      </c>
      <c r="Q124" t="s">
        <v>226</v>
      </c>
      <c r="R124"/>
      <c r="S124"/>
      <c r="T124"/>
      <c r="U124"/>
      <c r="V124"/>
      <c r="W124"/>
      <c r="X124"/>
      <c r="Y124"/>
      <c r="Z124"/>
      <c r="AA124"/>
    </row>
    <row r="125" spans="1:27" s="5" customFormat="1" x14ac:dyDescent="0.25">
      <c r="A125" s="1">
        <v>45923</v>
      </c>
      <c r="B125" t="s">
        <v>181</v>
      </c>
      <c r="C125" t="str">
        <f>CONCATENATE(B125,8)</f>
        <v>9WP9CE3JV368</v>
      </c>
      <c r="D125" t="s">
        <v>292</v>
      </c>
      <c r="E125" t="s">
        <v>247</v>
      </c>
      <c r="F125" t="str">
        <f>CONCATENATE(E125, " ",D125)</f>
        <v>THERESA PARKS</v>
      </c>
      <c r="G125" t="s">
        <v>50</v>
      </c>
      <c r="H125" t="s">
        <v>46</v>
      </c>
      <c r="I125" t="s">
        <v>29</v>
      </c>
      <c r="J125" s="1">
        <v>45962</v>
      </c>
      <c r="K125" s="1">
        <v>45962</v>
      </c>
      <c r="L125">
        <v>9213293</v>
      </c>
      <c r="M125" t="s">
        <v>32</v>
      </c>
      <c r="N125" t="s">
        <v>53</v>
      </c>
      <c r="O125">
        <v>-52.17</v>
      </c>
      <c r="P125" t="s">
        <v>212</v>
      </c>
      <c r="Q125" t="s">
        <v>222</v>
      </c>
      <c r="R125"/>
      <c r="S125"/>
      <c r="T125"/>
      <c r="U125"/>
      <c r="V125"/>
      <c r="W125"/>
      <c r="X125"/>
      <c r="Y125"/>
      <c r="Z125"/>
      <c r="AA125"/>
    </row>
    <row r="126" spans="1:27" s="5" customFormat="1" x14ac:dyDescent="0.25">
      <c r="A126" s="4">
        <v>45923</v>
      </c>
      <c r="B126" s="5" t="s">
        <v>181</v>
      </c>
      <c r="C126" s="5" t="str">
        <f>CONCATENATE(B126,"OVR")</f>
        <v>9WP9CE3JV36OVR</v>
      </c>
      <c r="D126" s="5" t="s">
        <v>292</v>
      </c>
      <c r="E126" s="5" t="s">
        <v>247</v>
      </c>
      <c r="F126" t="str">
        <f>CONCATENATE(E126, " ",D126)</f>
        <v>THERESA PARKS</v>
      </c>
      <c r="G126" s="5" t="s">
        <v>50</v>
      </c>
      <c r="H126" s="5" t="s">
        <v>46</v>
      </c>
      <c r="I126" s="5" t="s">
        <v>29</v>
      </c>
      <c r="J126" s="4">
        <v>45962</v>
      </c>
      <c r="K126" s="4">
        <v>45962</v>
      </c>
      <c r="L126" s="5">
        <v>20411454</v>
      </c>
      <c r="M126" s="5" t="s">
        <v>32</v>
      </c>
      <c r="N126" s="5" t="s">
        <v>231</v>
      </c>
      <c r="O126" s="5">
        <v>-20.83</v>
      </c>
      <c r="P126" s="5" t="s">
        <v>211</v>
      </c>
    </row>
    <row r="127" spans="1:27" s="5" customFormat="1" x14ac:dyDescent="0.25">
      <c r="A127" s="4">
        <v>45923</v>
      </c>
      <c r="B127" s="5" t="s">
        <v>181</v>
      </c>
      <c r="C127" s="5" t="str">
        <f>CONCATENATE(B127,"OVR")</f>
        <v>9WP9CE3JV36OVR</v>
      </c>
      <c r="D127" s="5" t="s">
        <v>292</v>
      </c>
      <c r="E127" s="5" t="s">
        <v>247</v>
      </c>
      <c r="F127" t="str">
        <f>CONCATENATE(E127, " ",D127)</f>
        <v>THERESA PARKS</v>
      </c>
      <c r="G127" s="5" t="s">
        <v>50</v>
      </c>
      <c r="H127" s="5" t="s">
        <v>41</v>
      </c>
      <c r="I127" s="5" t="s">
        <v>29</v>
      </c>
      <c r="J127" s="4">
        <v>45962</v>
      </c>
      <c r="K127" s="4">
        <v>45962</v>
      </c>
      <c r="L127" s="5">
        <v>20411454</v>
      </c>
      <c r="M127" s="5" t="s">
        <v>32</v>
      </c>
      <c r="N127" s="5" t="s">
        <v>231</v>
      </c>
      <c r="O127" s="5">
        <v>125</v>
      </c>
      <c r="P127" s="5" t="s">
        <v>211</v>
      </c>
    </row>
    <row r="128" spans="1:27" s="5" customFormat="1" x14ac:dyDescent="0.25">
      <c r="A128" s="1">
        <v>45923</v>
      </c>
      <c r="B128" t="s">
        <v>184</v>
      </c>
      <c r="C128" t="str">
        <f>CONCATENATE(B128,7)</f>
        <v>2TW8D31KD207</v>
      </c>
      <c r="D128" t="s">
        <v>246</v>
      </c>
      <c r="E128" t="s">
        <v>247</v>
      </c>
      <c r="F128" t="str">
        <f>CONCATENATE(E128, " ",D128)</f>
        <v>THERESA PAYNE-PRICE</v>
      </c>
      <c r="G128" t="s">
        <v>27</v>
      </c>
      <c r="H128" t="s">
        <v>41</v>
      </c>
      <c r="I128" t="s">
        <v>29</v>
      </c>
      <c r="J128" s="1">
        <v>45901</v>
      </c>
      <c r="K128" s="1">
        <v>45901</v>
      </c>
      <c r="L128" t="s">
        <v>233</v>
      </c>
      <c r="M128" t="s">
        <v>32</v>
      </c>
      <c r="N128" t="s">
        <v>63</v>
      </c>
      <c r="O128">
        <v>705</v>
      </c>
      <c r="P128" t="s">
        <v>227</v>
      </c>
      <c r="Q128" t="s">
        <v>228</v>
      </c>
      <c r="R128"/>
      <c r="S128"/>
      <c r="T128"/>
      <c r="U128"/>
      <c r="V128"/>
      <c r="W128"/>
      <c r="X128"/>
      <c r="Y128"/>
      <c r="Z128"/>
      <c r="AA128"/>
    </row>
    <row r="129" spans="1:27" x14ac:dyDescent="0.25">
      <c r="A129" s="1">
        <v>45923</v>
      </c>
      <c r="B129" t="s">
        <v>184</v>
      </c>
      <c r="C129" t="str">
        <f>CONCATENATE(B129,8)</f>
        <v>2TW8D31KD208</v>
      </c>
      <c r="D129" t="s">
        <v>246</v>
      </c>
      <c r="E129" t="s">
        <v>247</v>
      </c>
      <c r="F129" t="str">
        <f>CONCATENATE(E129, " ",D129)</f>
        <v>THERESA PAYNE-PRICE</v>
      </c>
      <c r="G129" t="s">
        <v>27</v>
      </c>
      <c r="H129" t="s">
        <v>46</v>
      </c>
      <c r="I129" t="s">
        <v>29</v>
      </c>
      <c r="J129" s="1">
        <v>45901</v>
      </c>
      <c r="K129" s="1">
        <v>45901</v>
      </c>
      <c r="L129" t="s">
        <v>233</v>
      </c>
      <c r="M129" t="s">
        <v>32</v>
      </c>
      <c r="N129" t="s">
        <v>63</v>
      </c>
      <c r="O129">
        <v>-117.66</v>
      </c>
      <c r="P129" t="s">
        <v>213</v>
      </c>
      <c r="Q129" t="s">
        <v>219</v>
      </c>
    </row>
    <row r="130" spans="1:27" s="5" customFormat="1" x14ac:dyDescent="0.25">
      <c r="A130" s="4">
        <v>45923</v>
      </c>
      <c r="B130" s="5" t="s">
        <v>184</v>
      </c>
      <c r="C130" s="5" t="str">
        <f>CONCATENATE(B130,"OVR")</f>
        <v>2TW8D31KD20OVR</v>
      </c>
      <c r="D130" s="5" t="s">
        <v>246</v>
      </c>
      <c r="E130" s="5" t="s">
        <v>247</v>
      </c>
      <c r="F130" t="str">
        <f>CONCATENATE(E130, " ",D130)</f>
        <v>THERESA PAYNE-PRICE</v>
      </c>
      <c r="G130" s="5" t="s">
        <v>27</v>
      </c>
      <c r="H130" s="5" t="s">
        <v>46</v>
      </c>
      <c r="I130" s="5" t="s">
        <v>29</v>
      </c>
      <c r="J130" s="4">
        <v>45901</v>
      </c>
      <c r="K130" s="4">
        <v>45901</v>
      </c>
      <c r="L130" s="5">
        <v>20411454</v>
      </c>
      <c r="M130" s="5" t="s">
        <v>32</v>
      </c>
      <c r="N130" s="5" t="s">
        <v>231</v>
      </c>
      <c r="O130" s="5">
        <v>-41.67</v>
      </c>
      <c r="P130" s="5" t="s">
        <v>211</v>
      </c>
    </row>
    <row r="131" spans="1:27" x14ac:dyDescent="0.25">
      <c r="A131" s="4">
        <v>45923</v>
      </c>
      <c r="B131" s="5" t="s">
        <v>184</v>
      </c>
      <c r="C131" s="5" t="str">
        <f>CONCATENATE(B131,"OVR")</f>
        <v>2TW8D31KD20OVR</v>
      </c>
      <c r="D131" s="5" t="s">
        <v>246</v>
      </c>
      <c r="E131" s="5" t="s">
        <v>247</v>
      </c>
      <c r="F131" t="str">
        <f>CONCATENATE(E131, " ",D131)</f>
        <v>THERESA PAYNE-PRICE</v>
      </c>
      <c r="G131" s="5" t="s">
        <v>27</v>
      </c>
      <c r="H131" s="5" t="s">
        <v>41</v>
      </c>
      <c r="I131" s="5" t="s">
        <v>29</v>
      </c>
      <c r="J131" s="4">
        <v>45901</v>
      </c>
      <c r="K131" s="4">
        <v>45901</v>
      </c>
      <c r="L131" s="5">
        <v>20411454</v>
      </c>
      <c r="M131" s="5" t="s">
        <v>32</v>
      </c>
      <c r="N131" s="5" t="s">
        <v>231</v>
      </c>
      <c r="O131" s="5">
        <v>125</v>
      </c>
      <c r="P131" s="5" t="s">
        <v>211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5">
      <c r="A132" s="1">
        <v>45923</v>
      </c>
      <c r="B132" t="s">
        <v>147</v>
      </c>
      <c r="C132" t="str">
        <f>CONCATENATE(B132,7)</f>
        <v>6PR3G04HT967</v>
      </c>
      <c r="D132" t="s">
        <v>255</v>
      </c>
      <c r="E132" t="s">
        <v>256</v>
      </c>
      <c r="F132" t="str">
        <f>CONCATENATE(E132, " ",D132)</f>
        <v>TRACEY HODGE</v>
      </c>
      <c r="G132" t="s">
        <v>27</v>
      </c>
      <c r="H132" t="s">
        <v>41</v>
      </c>
      <c r="I132" t="s">
        <v>29</v>
      </c>
      <c r="J132" s="1">
        <v>45870</v>
      </c>
      <c r="K132" s="1">
        <v>45870</v>
      </c>
      <c r="L132" t="s">
        <v>234</v>
      </c>
      <c r="M132" t="s">
        <v>32</v>
      </c>
      <c r="N132" t="s">
        <v>151</v>
      </c>
      <c r="O132">
        <v>705</v>
      </c>
      <c r="P132" t="s">
        <v>227</v>
      </c>
      <c r="Q132" t="s">
        <v>228</v>
      </c>
      <c r="R132">
        <v>705</v>
      </c>
    </row>
    <row r="133" spans="1:27" x14ac:dyDescent="0.25">
      <c r="A133" s="1">
        <v>45923</v>
      </c>
      <c r="B133" t="s">
        <v>147</v>
      </c>
      <c r="C133" t="str">
        <f>CONCATENATE(B133,8)</f>
        <v>6PR3G04HT968</v>
      </c>
      <c r="D133" t="s">
        <v>255</v>
      </c>
      <c r="E133" t="s">
        <v>256</v>
      </c>
      <c r="F133" t="str">
        <f>CONCATENATE(E133, " ",D133)</f>
        <v>TRACEY HODGE</v>
      </c>
      <c r="G133" t="s">
        <v>27</v>
      </c>
      <c r="H133" t="s">
        <v>46</v>
      </c>
      <c r="I133" t="s">
        <v>29</v>
      </c>
      <c r="J133" s="1">
        <v>45870</v>
      </c>
      <c r="K133" s="1">
        <v>45870</v>
      </c>
      <c r="L133" t="s">
        <v>234</v>
      </c>
      <c r="M133" t="s">
        <v>32</v>
      </c>
      <c r="N133" t="s">
        <v>151</v>
      </c>
      <c r="O133">
        <v>-147.08000000000001</v>
      </c>
      <c r="P133" t="s">
        <v>213</v>
      </c>
      <c r="Q133" t="s">
        <v>214</v>
      </c>
    </row>
    <row r="134" spans="1:27" s="5" customFormat="1" x14ac:dyDescent="0.25">
      <c r="A134" s="4">
        <v>45923</v>
      </c>
      <c r="B134" s="5" t="s">
        <v>147</v>
      </c>
      <c r="C134" s="5" t="str">
        <f>CONCATENATE(B134,"OVR")</f>
        <v>6PR3G04HT96OVR</v>
      </c>
      <c r="D134" s="5" t="s">
        <v>255</v>
      </c>
      <c r="E134" s="5" t="s">
        <v>256</v>
      </c>
      <c r="F134" t="str">
        <f>CONCATENATE(E134, " ",D134)</f>
        <v>TRACEY HODGE</v>
      </c>
      <c r="G134" s="5" t="s">
        <v>27</v>
      </c>
      <c r="H134" s="5" t="s">
        <v>46</v>
      </c>
      <c r="I134" s="5" t="s">
        <v>29</v>
      </c>
      <c r="J134" s="4">
        <v>45870</v>
      </c>
      <c r="K134" s="4">
        <v>45870</v>
      </c>
      <c r="L134" s="5">
        <v>20411454</v>
      </c>
      <c r="M134" s="5" t="s">
        <v>32</v>
      </c>
      <c r="N134" s="5" t="s">
        <v>231</v>
      </c>
      <c r="O134" s="5">
        <v>-50</v>
      </c>
      <c r="P134" s="5" t="s">
        <v>211</v>
      </c>
    </row>
    <row r="135" spans="1:27" s="5" customFormat="1" x14ac:dyDescent="0.25">
      <c r="A135" s="4">
        <v>45923</v>
      </c>
      <c r="B135" s="5" t="s">
        <v>147</v>
      </c>
      <c r="C135" s="5" t="str">
        <f>CONCATENATE(B135,"OVR")</f>
        <v>6PR3G04HT96OVR</v>
      </c>
      <c r="D135" s="5" t="s">
        <v>255</v>
      </c>
      <c r="E135" s="5" t="s">
        <v>256</v>
      </c>
      <c r="F135" t="str">
        <f>CONCATENATE(E135, " ",D135)</f>
        <v>TRACEY HODGE</v>
      </c>
      <c r="G135" s="5" t="s">
        <v>27</v>
      </c>
      <c r="H135" s="5" t="s">
        <v>41</v>
      </c>
      <c r="I135" s="5" t="s">
        <v>29</v>
      </c>
      <c r="J135" s="4">
        <v>45870</v>
      </c>
      <c r="K135" s="4">
        <v>45870</v>
      </c>
      <c r="L135" s="5">
        <v>20411454</v>
      </c>
      <c r="M135" s="5" t="s">
        <v>32</v>
      </c>
      <c r="N135" s="5" t="s">
        <v>231</v>
      </c>
      <c r="O135" s="5">
        <v>120</v>
      </c>
      <c r="P135" s="5" t="s">
        <v>211</v>
      </c>
      <c r="R135" s="5">
        <v>120</v>
      </c>
    </row>
    <row r="136" spans="1:27" s="5" customFormat="1" x14ac:dyDescent="0.25">
      <c r="A136" s="1">
        <v>45923</v>
      </c>
      <c r="B136" t="s">
        <v>90</v>
      </c>
      <c r="C136" t="str">
        <f>CONCATENATE(B136,7)</f>
        <v>4VU7FW1GK527</v>
      </c>
      <c r="D136" t="s">
        <v>308</v>
      </c>
      <c r="E136" t="s">
        <v>309</v>
      </c>
      <c r="F136" t="str">
        <f>CONCATENATE(E136, " ",D136)</f>
        <v>WILLIAM DUDDY</v>
      </c>
      <c r="G136" t="s">
        <v>93</v>
      </c>
      <c r="H136" t="s">
        <v>41</v>
      </c>
      <c r="I136" t="s">
        <v>29</v>
      </c>
      <c r="J136" s="1">
        <v>45901</v>
      </c>
      <c r="K136" s="1">
        <v>45901</v>
      </c>
      <c r="L136" t="s">
        <v>235</v>
      </c>
      <c r="M136" t="s">
        <v>32</v>
      </c>
      <c r="N136" t="s">
        <v>96</v>
      </c>
      <c r="O136">
        <v>741</v>
      </c>
      <c r="P136" t="s">
        <v>229</v>
      </c>
      <c r="Q136" t="s">
        <v>230</v>
      </c>
      <c r="R136">
        <v>626</v>
      </c>
      <c r="S136">
        <v>741</v>
      </c>
      <c r="T136"/>
      <c r="U136"/>
      <c r="V136"/>
      <c r="W136"/>
      <c r="X136"/>
      <c r="Y136"/>
      <c r="Z136"/>
      <c r="AA136"/>
    </row>
    <row r="137" spans="1:27" x14ac:dyDescent="0.25">
      <c r="A137" s="1">
        <v>45923</v>
      </c>
      <c r="B137" t="s">
        <v>90</v>
      </c>
      <c r="C137" t="str">
        <f>CONCATENATE(B137,8)</f>
        <v>4VU7FW1GK528</v>
      </c>
      <c r="D137" t="s">
        <v>308</v>
      </c>
      <c r="E137" t="s">
        <v>309</v>
      </c>
      <c r="F137" t="str">
        <f>CONCATENATE(E137, " ",D137)</f>
        <v>WILLIAM DUDDY</v>
      </c>
      <c r="G137" t="s">
        <v>93</v>
      </c>
      <c r="H137" t="s">
        <v>46</v>
      </c>
      <c r="I137" t="s">
        <v>29</v>
      </c>
      <c r="J137" s="1">
        <v>45901</v>
      </c>
      <c r="K137" s="1">
        <v>45901</v>
      </c>
      <c r="L137" t="s">
        <v>235</v>
      </c>
      <c r="M137" t="s">
        <v>32</v>
      </c>
      <c r="N137" t="s">
        <v>96</v>
      </c>
      <c r="O137">
        <v>-184.33</v>
      </c>
      <c r="P137" t="s">
        <v>217</v>
      </c>
      <c r="Q137" t="s">
        <v>216</v>
      </c>
    </row>
    <row r="138" spans="1:27" s="5" customFormat="1" x14ac:dyDescent="0.25">
      <c r="A138" s="4">
        <v>45923</v>
      </c>
      <c r="B138" s="5" t="s">
        <v>90</v>
      </c>
      <c r="C138" s="5" t="str">
        <f>CONCATENATE(B138,"OVR")</f>
        <v>4VU7FW1GK52OVR</v>
      </c>
      <c r="D138" s="5" t="s">
        <v>308</v>
      </c>
      <c r="E138" s="5" t="s">
        <v>309</v>
      </c>
      <c r="F138" t="str">
        <f>CONCATENATE(E138, " ",D138)</f>
        <v>WILLIAM DUDDY</v>
      </c>
      <c r="G138" s="5" t="s">
        <v>93</v>
      </c>
      <c r="H138" s="5" t="s">
        <v>41</v>
      </c>
      <c r="I138" s="5" t="s">
        <v>29</v>
      </c>
      <c r="J138" s="4">
        <v>45901</v>
      </c>
      <c r="K138" s="4">
        <v>45901</v>
      </c>
      <c r="L138" s="5">
        <v>20411454</v>
      </c>
      <c r="M138" s="5" t="s">
        <v>32</v>
      </c>
      <c r="N138" s="5" t="s">
        <v>231</v>
      </c>
      <c r="O138" s="5">
        <v>125</v>
      </c>
      <c r="P138" s="5" t="s">
        <v>211</v>
      </c>
      <c r="R138" s="5">
        <v>240</v>
      </c>
      <c r="S138" s="5">
        <v>125</v>
      </c>
    </row>
  </sheetData>
  <sortState xmlns:xlrd2="http://schemas.microsoft.com/office/spreadsheetml/2017/richdata2" ref="A2:AA138">
    <sortCondition ref="F2:F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2025-09-25T13:02:07Z</dcterms:created>
  <dcterms:modified xsi:type="dcterms:W3CDTF">2025-09-26T20:15:35Z</dcterms:modified>
</cp:coreProperties>
</file>