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03-25-25\"/>
    </mc:Choice>
  </mc:AlternateContent>
  <xr:revisionPtr revIDLastSave="0" documentId="13_ncr:1_{D74F3F52-7BD3-4B43-9DF6-A3076C0EBFBD}" xr6:coauthVersionLast="47" xr6:coauthVersionMax="47" xr10:uidLastSave="{00000000-0000-0000-0000-000000000000}"/>
  <bookViews>
    <workbookView xWindow="28680" yWindow="-120" windowWidth="29040" windowHeight="16440" activeTab="1" xr2:uid="{E32817B5-2050-45F4-A2EA-D6AF47693042}"/>
  </bookViews>
  <sheets>
    <sheet name="Main Line Benefits LLC_med_comm" sheetId="1" r:id="rId1"/>
    <sheet name="Sheet1" sheetId="2" r:id="rId2"/>
    <sheet name="Sheet2" sheetId="3" r:id="rId3"/>
  </sheets>
  <calcPr calcId="181029"/>
</workbook>
</file>

<file path=xl/calcChain.xml><?xml version="1.0" encoding="utf-8"?>
<calcChain xmlns="http://schemas.openxmlformats.org/spreadsheetml/2006/main">
  <c r="C4" i="2" l="1"/>
  <c r="C5" i="2"/>
  <c r="C8" i="2"/>
  <c r="C9" i="2"/>
  <c r="C12" i="2"/>
  <c r="C13" i="2"/>
  <c r="C16" i="2"/>
  <c r="C17" i="2"/>
  <c r="C20" i="2"/>
  <c r="C21" i="2"/>
  <c r="C24" i="2"/>
  <c r="C25" i="2"/>
  <c r="C26" i="2"/>
  <c r="C27" i="2"/>
  <c r="C30" i="2"/>
  <c r="C31" i="2"/>
  <c r="C33" i="2"/>
  <c r="C36" i="2"/>
  <c r="C37" i="2"/>
  <c r="C39" i="2"/>
  <c r="C41" i="2"/>
  <c r="C44" i="2"/>
  <c r="C45" i="2"/>
  <c r="C48" i="2"/>
  <c r="C49" i="2"/>
  <c r="C51" i="2"/>
  <c r="C53" i="2"/>
  <c r="C55" i="2"/>
  <c r="C58" i="2"/>
  <c r="C59" i="2"/>
  <c r="C61" i="2"/>
  <c r="C63" i="2"/>
  <c r="C66" i="2"/>
  <c r="C67" i="2"/>
  <c r="C70" i="2"/>
  <c r="C71" i="2"/>
  <c r="C74" i="2"/>
  <c r="C75" i="2"/>
  <c r="C78" i="2"/>
  <c r="C79" i="2"/>
  <c r="C82" i="2"/>
  <c r="C83" i="2"/>
  <c r="C84" i="2"/>
  <c r="C87" i="2"/>
  <c r="C88" i="2"/>
  <c r="C89" i="2"/>
  <c r="C90" i="2"/>
  <c r="C92" i="2"/>
  <c r="C95" i="2"/>
  <c r="C96" i="2"/>
  <c r="C97" i="2"/>
  <c r="C99" i="2"/>
  <c r="C102" i="2"/>
  <c r="C103" i="2"/>
  <c r="C104" i="2"/>
  <c r="C107" i="2"/>
  <c r="C108" i="2"/>
  <c r="C111" i="2"/>
  <c r="C112" i="2"/>
  <c r="C115" i="2"/>
  <c r="C116" i="2"/>
  <c r="C118" i="2"/>
  <c r="C119" i="2"/>
  <c r="C120" i="2"/>
  <c r="C3" i="2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" i="3"/>
  <c r="C117" i="2"/>
  <c r="C114" i="2"/>
  <c r="C106" i="2"/>
  <c r="C101" i="2"/>
  <c r="C98" i="2"/>
  <c r="C94" i="2"/>
  <c r="C91" i="2"/>
  <c r="C81" i="2"/>
  <c r="C77" i="2"/>
  <c r="C73" i="2"/>
  <c r="C69" i="2"/>
  <c r="C65" i="2"/>
  <c r="C62" i="2"/>
  <c r="C60" i="2"/>
  <c r="C57" i="2"/>
  <c r="C54" i="2"/>
  <c r="C52" i="2"/>
  <c r="C50" i="2"/>
  <c r="C43" i="2"/>
  <c r="C40" i="2"/>
  <c r="C35" i="2"/>
  <c r="C32" i="2"/>
  <c r="C29" i="2"/>
  <c r="C15" i="2"/>
  <c r="C11" i="2"/>
  <c r="C7" i="2"/>
  <c r="C2" i="2"/>
  <c r="C23" i="2"/>
  <c r="C47" i="2"/>
  <c r="C86" i="2"/>
  <c r="C110" i="2"/>
  <c r="C19" i="2"/>
  <c r="C10" i="2"/>
  <c r="C14" i="2"/>
  <c r="C28" i="2"/>
  <c r="C34" i="2"/>
  <c r="C38" i="2"/>
  <c r="C42" i="2"/>
  <c r="C56" i="2"/>
  <c r="C64" i="2"/>
  <c r="C68" i="2"/>
  <c r="C72" i="2"/>
  <c r="C76" i="2"/>
  <c r="C80" i="2"/>
  <c r="C93" i="2"/>
  <c r="C100" i="2"/>
  <c r="C105" i="2"/>
  <c r="C113" i="2"/>
  <c r="C6" i="2"/>
  <c r="C22" i="2"/>
  <c r="C46" i="2"/>
  <c r="C85" i="2"/>
  <c r="C109" i="2"/>
  <c r="C18" i="2"/>
  <c r="N54" i="2"/>
</calcChain>
</file>

<file path=xl/sharedStrings.xml><?xml version="1.0" encoding="utf-8"?>
<sst xmlns="http://schemas.openxmlformats.org/spreadsheetml/2006/main" count="2066" uniqueCount="312">
  <si>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</si>
  <si>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</si>
  <si>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</si>
  <si>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</si>
  <si>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</si>
  <si>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</si>
  <si>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</si>
  <si>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</si>
  <si>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</si>
  <si>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</si>
  <si>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</si>
  <si>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</si>
  <si>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</si>
  <si>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</si>
  <si>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</si>
  <si>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</si>
  <si>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</si>
  <si>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</si>
  <si>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</si>
  <si>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</si>
  <si>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</si>
  <si>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</si>
  <si>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</si>
  <si>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</si>
  <si>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3UJ3AV6CC17</t>
  </si>
  <si>
    <t>AGUILERA G,JENNY</t>
  </si>
  <si>
    <t>IL</t>
  </si>
  <si>
    <t>Voluntarily Rapid Disenroll</t>
  </si>
  <si>
    <t>MAPD</t>
  </si>
  <si>
    <t>IMM606</t>
  </si>
  <si>
    <t>H7301-013</t>
  </si>
  <si>
    <t>LOA</t>
  </si>
  <si>
    <t>Herrera-Larsen, Esther</t>
  </si>
  <si>
    <t>GMO</t>
  </si>
  <si>
    <t>Main Line Benefits LLC</t>
  </si>
  <si>
    <t xml:space="preserve">N  </t>
  </si>
  <si>
    <t>4RN9TK7HA19</t>
  </si>
  <si>
    <t>AULERT L,BARBARA</t>
  </si>
  <si>
    <t>CMS Trueup</t>
  </si>
  <si>
    <t>Yale, Jacob</t>
  </si>
  <si>
    <t xml:space="preserve">Y  </t>
  </si>
  <si>
    <t>CMS Trueup reversal</t>
  </si>
  <si>
    <t>9NP0U35RP41</t>
  </si>
  <si>
    <t>BARNEY A,BRADLEY</t>
  </si>
  <si>
    <t>AL</t>
  </si>
  <si>
    <t>IMM605</t>
  </si>
  <si>
    <t>H5521-171</t>
  </si>
  <si>
    <t>Portugal, Gary</t>
  </si>
  <si>
    <t>8MX1XN8XW14</t>
  </si>
  <si>
    <t>BEIL R,BARBARA</t>
  </si>
  <si>
    <t>New Business</t>
  </si>
  <si>
    <t>Hodgman, Timothy</t>
  </si>
  <si>
    <t>8KE0UJ6KQ04</t>
  </si>
  <si>
    <t>BERGER G,RICHARD</t>
  </si>
  <si>
    <t>PA</t>
  </si>
  <si>
    <t>IMM608</t>
  </si>
  <si>
    <t>H5522-017</t>
  </si>
  <si>
    <t>Smith, Margaret</t>
  </si>
  <si>
    <t>1JM2K09CW05</t>
  </si>
  <si>
    <t>BOSTICK P,ALFREDA</t>
  </si>
  <si>
    <t>NC</t>
  </si>
  <si>
    <t>IMM609</t>
  </si>
  <si>
    <t>H5521-348</t>
  </si>
  <si>
    <t>Teipel, Gregory</t>
  </si>
  <si>
    <t>9TR7UG6NE45</t>
  </si>
  <si>
    <t>BRADLEY M,SUZANNE</t>
  </si>
  <si>
    <t>MI</t>
  </si>
  <si>
    <t>H5521-407</t>
  </si>
  <si>
    <t>Walenga, Dale</t>
  </si>
  <si>
    <t>7M39YA2GN32</t>
  </si>
  <si>
    <t>BURKS R,TONY</t>
  </si>
  <si>
    <t>TX</t>
  </si>
  <si>
    <t>IMM618</t>
  </si>
  <si>
    <t>H3288-008</t>
  </si>
  <si>
    <t>7GH9T57QJ12</t>
  </si>
  <si>
    <t>CARLSON L,LAURIE</t>
  </si>
  <si>
    <t>H3288-046</t>
  </si>
  <si>
    <t>4HQ9HN9QF45</t>
  </si>
  <si>
    <t>COHEN M,JANICE</t>
  </si>
  <si>
    <t>MD</t>
  </si>
  <si>
    <t>IMM603</t>
  </si>
  <si>
    <t>H3931-159</t>
  </si>
  <si>
    <t>Max, Ronald</t>
  </si>
  <si>
    <t>9WT2RK4FY82</t>
  </si>
  <si>
    <t>DAVIS J,DARLA</t>
  </si>
  <si>
    <t>H3959-002</t>
  </si>
  <si>
    <t>7HG4FF6NN03</t>
  </si>
  <si>
    <t>DE FRANCESCO A,PENNY</t>
  </si>
  <si>
    <t>H5521-086</t>
  </si>
  <si>
    <t>1F85N69JY56</t>
  </si>
  <si>
    <t>DHUSE A,ROBERT</t>
  </si>
  <si>
    <t>H7301-006</t>
  </si>
  <si>
    <t>Hunsberger, Anthony</t>
  </si>
  <si>
    <t>6EC7ED3AK47</t>
  </si>
  <si>
    <t>DHUSE L,TONI</t>
  </si>
  <si>
    <t>5N50NG5NG38</t>
  </si>
  <si>
    <t>EPLIN G,CONNIE</t>
  </si>
  <si>
    <t>IMM619</t>
  </si>
  <si>
    <t>H2663-005</t>
  </si>
  <si>
    <t>6WR3GF2YV88</t>
  </si>
  <si>
    <t>FREGOSO S,PAMELA</t>
  </si>
  <si>
    <t>Portugal, Stacey</t>
  </si>
  <si>
    <t>1J67QG0AM64</t>
  </si>
  <si>
    <t>GWION D,RHODA</t>
  </si>
  <si>
    <t>H3959-052</t>
  </si>
  <si>
    <t>AG4</t>
  </si>
  <si>
    <t>GBASSANA, FREDERICK</t>
  </si>
  <si>
    <t>2XN6YE1QM60</t>
  </si>
  <si>
    <t>HAUG G,JAMES</t>
  </si>
  <si>
    <t>H5522-028</t>
  </si>
  <si>
    <t>Hoffmann Jason</t>
  </si>
  <si>
    <t>5Y30U42HU37</t>
  </si>
  <si>
    <t>JOHNSON,DONALD</t>
  </si>
  <si>
    <t>WI</t>
  </si>
  <si>
    <t>H5521-195</t>
  </si>
  <si>
    <t>9DV1RA3VJ22</t>
  </si>
  <si>
    <t>KABA,FATUMATA</t>
  </si>
  <si>
    <t>H3959-035</t>
  </si>
  <si>
    <t>3P98DA6RG63</t>
  </si>
  <si>
    <t>KENTON E,HOBART</t>
  </si>
  <si>
    <t>7RH2M55CY04</t>
  </si>
  <si>
    <t>KOLLIE S,SEINAH</t>
  </si>
  <si>
    <t>DE</t>
  </si>
  <si>
    <t>H3959-055</t>
  </si>
  <si>
    <t>3YM4YR2UY87</t>
  </si>
  <si>
    <t>KONTOPOULOS L,JAMES</t>
  </si>
  <si>
    <t>4N07GV5HG44</t>
  </si>
  <si>
    <t>KRAMER S,ROBERT</t>
  </si>
  <si>
    <t>H7301-027</t>
  </si>
  <si>
    <t>Choi, Andrew</t>
  </si>
  <si>
    <t>8D99W23PA47</t>
  </si>
  <si>
    <t>KRUMSEE A,RICHARD</t>
  </si>
  <si>
    <t>HORN, JEFFREY</t>
  </si>
  <si>
    <t>1TE1A62XV80</t>
  </si>
  <si>
    <t>KRUMSEE S,PAMELA</t>
  </si>
  <si>
    <t>5EY0M41FT02</t>
  </si>
  <si>
    <t>LIPINSKI A,REBECCA</t>
  </si>
  <si>
    <t>H5521-261</t>
  </si>
  <si>
    <t>Aguglia, Scott</t>
  </si>
  <si>
    <t>6ND5AX3YV77</t>
  </si>
  <si>
    <t>MONTGOMERY S,PAMELA</t>
  </si>
  <si>
    <t>KS</t>
  </si>
  <si>
    <t>IMM607</t>
  </si>
  <si>
    <t>H1608-024</t>
  </si>
  <si>
    <t>7TF9GG3CQ15</t>
  </si>
  <si>
    <t>ORBIN M,DENNIS</t>
  </si>
  <si>
    <t>H3959-001</t>
  </si>
  <si>
    <t>RAUGHTER, BRIAN</t>
  </si>
  <si>
    <t>1V02YH3AY08</t>
  </si>
  <si>
    <t>PAYNTER V,TODD</t>
  </si>
  <si>
    <t>FL</t>
  </si>
  <si>
    <t>IMM604</t>
  </si>
  <si>
    <t>H5521-438</t>
  </si>
  <si>
    <t>9V96UP4CA88</t>
  </si>
  <si>
    <t>RADOVANCEV,RAJKA</t>
  </si>
  <si>
    <t>5YX5G55GN87</t>
  </si>
  <si>
    <t>SCHUBERT C,RENE</t>
  </si>
  <si>
    <t>CO</t>
  </si>
  <si>
    <t>IMM610</t>
  </si>
  <si>
    <t>H5521-648</t>
  </si>
  <si>
    <t>Lee, Joel</t>
  </si>
  <si>
    <t>2GA8E44GJ26</t>
  </si>
  <si>
    <t>SELVA J,RAYMOND</t>
  </si>
  <si>
    <t>Inskipt, Deborah</t>
  </si>
  <si>
    <t>3RT5WP7QC64</t>
  </si>
  <si>
    <t>SHAUGHNESSY A,MARK</t>
  </si>
  <si>
    <t>SC</t>
  </si>
  <si>
    <t>H5521-500</t>
  </si>
  <si>
    <t>Yale, Richard</t>
  </si>
  <si>
    <t>9PR1VJ5WU97</t>
  </si>
  <si>
    <t>SLANEY G,ROBERT</t>
  </si>
  <si>
    <t>6HV4CW0NJ62</t>
  </si>
  <si>
    <t>SMITH R,STEPHANIE</t>
  </si>
  <si>
    <t>SCHUMANN, BARRY</t>
  </si>
  <si>
    <t>7M77J05AN46</t>
  </si>
  <si>
    <t>SORMALAH,TETE</t>
  </si>
  <si>
    <t>H3959-053</t>
  </si>
  <si>
    <t>8N51MW3JC05</t>
  </si>
  <si>
    <t>STONE BOND J,PAULA</t>
  </si>
  <si>
    <t>GA</t>
  </si>
  <si>
    <t>H2293-010</t>
  </si>
  <si>
    <t>7PU8FG1GA64</t>
  </si>
  <si>
    <t>WILKER,KEVIN</t>
  </si>
  <si>
    <t>5GU9VM0UC25</t>
  </si>
  <si>
    <t>WILSON R,PRISCILLA</t>
  </si>
  <si>
    <t>H4523-030</t>
  </si>
  <si>
    <t>TAPPER, RANDY</t>
  </si>
  <si>
    <t>[%/$=313][prorate=8/12]</t>
  </si>
  <si>
    <t>[%/$=313][prorate=12/12]</t>
  </si>
  <si>
    <t>Aetna 2025 CT, PA, DC*</t>
  </si>
  <si>
    <t>Aetna MAPD 2025*</t>
  </si>
  <si>
    <t>Aetna MAPD OVR 2025</t>
  </si>
  <si>
    <t>[%/$=353][prorate=8/12]</t>
  </si>
  <si>
    <t>[%/$=353][prorate=12/12]</t>
  </si>
  <si>
    <t>Aetna MAPD 2025</t>
  </si>
  <si>
    <t>[%/$=626]</t>
  </si>
  <si>
    <t>[%/$=313][prorate=9/12]</t>
  </si>
  <si>
    <t>Aetna 2025 CT, PA, DC</t>
  </si>
  <si>
    <t>[%/$=705]</t>
  </si>
  <si>
    <t>SELVA</t>
  </si>
  <si>
    <t>RAYMOND</t>
  </si>
  <si>
    <t>HAUG</t>
  </si>
  <si>
    <t>JAMES</t>
  </si>
  <si>
    <t>LIPINSKI</t>
  </si>
  <si>
    <t>REBECCA</t>
  </si>
  <si>
    <t>WILKER</t>
  </si>
  <si>
    <t>KEVIN</t>
  </si>
  <si>
    <t>SLANEY</t>
  </si>
  <si>
    <t>ROBERT</t>
  </si>
  <si>
    <t>BOSTICK</t>
  </si>
  <si>
    <t>ALFREDA</t>
  </si>
  <si>
    <t>KRUMSEE</t>
  </si>
  <si>
    <t>PAMELA</t>
  </si>
  <si>
    <t>PAYNTER</t>
  </si>
  <si>
    <t>TODD</t>
  </si>
  <si>
    <t>SHAUGHNESSY</t>
  </si>
  <si>
    <t>MARK</t>
  </si>
  <si>
    <t>KONTOPOULOS</t>
  </si>
  <si>
    <t>COHEN</t>
  </si>
  <si>
    <t>JANICE</t>
  </si>
  <si>
    <t>AULERT</t>
  </si>
  <si>
    <t>BARBARA</t>
  </si>
  <si>
    <t>SCHUBERT</t>
  </si>
  <si>
    <t>RENE</t>
  </si>
  <si>
    <t>MONTGOMERY</t>
  </si>
  <si>
    <t>FREGOSO</t>
  </si>
  <si>
    <t>CARLSON</t>
  </si>
  <si>
    <t>LAURIE</t>
  </si>
  <si>
    <t>PENNY</t>
  </si>
  <si>
    <t>BURKS</t>
  </si>
  <si>
    <t>TONY</t>
  </si>
  <si>
    <t>RICHARD</t>
  </si>
  <si>
    <t>STONE</t>
  </si>
  <si>
    <t>PAULA</t>
  </si>
  <si>
    <t>BARNEY</t>
  </si>
  <si>
    <t>BRADLEY</t>
  </si>
  <si>
    <t>SUZANNE</t>
  </si>
  <si>
    <t>DHUSE</t>
  </si>
  <si>
    <t>AGUILERA</t>
  </si>
  <si>
    <t>JENNY</t>
  </si>
  <si>
    <t>KRAMER</t>
  </si>
  <si>
    <t>WILSON</t>
  </si>
  <si>
    <t>PRISCILLA</t>
  </si>
  <si>
    <t>EPLIN</t>
  </si>
  <si>
    <t>CONNIE</t>
  </si>
  <si>
    <t>JOHNSON</t>
  </si>
  <si>
    <t>DONALD</t>
  </si>
  <si>
    <t>TONI</t>
  </si>
  <si>
    <t>SMITH</t>
  </si>
  <si>
    <t>STEPHANIE</t>
  </si>
  <si>
    <t>ORBIN</t>
  </si>
  <si>
    <t>DENNIS</t>
  </si>
  <si>
    <t>BEIL</t>
  </si>
  <si>
    <t>RADOVANCEV</t>
  </si>
  <si>
    <t>RAJKA</t>
  </si>
  <si>
    <t>GWION</t>
  </si>
  <si>
    <t>RHODA</t>
  </si>
  <si>
    <t>KENTON</t>
  </si>
  <si>
    <t>HOBART</t>
  </si>
  <si>
    <t>SORMALAH</t>
  </si>
  <si>
    <t>TETE</t>
  </si>
  <si>
    <t>KOLLIE</t>
  </si>
  <si>
    <t>SEINAH</t>
  </si>
  <si>
    <t>BERGER</t>
  </si>
  <si>
    <t>KABA</t>
  </si>
  <si>
    <t>FATUMATA</t>
  </si>
  <si>
    <t>DAVIS</t>
  </si>
  <si>
    <t>DARLA</t>
  </si>
  <si>
    <t>DE FRANCESCO</t>
  </si>
  <si>
    <t>RAYMOND SELVA</t>
  </si>
  <si>
    <t>JAMES HAUG</t>
  </si>
  <si>
    <t>REBECCA LIPINSKI</t>
  </si>
  <si>
    <t>KEVIN WILKER</t>
  </si>
  <si>
    <t>ROBERT SLANEY</t>
  </si>
  <si>
    <t>ALFREDA BOSTICK</t>
  </si>
  <si>
    <t>PAMELA KRUMSEE</t>
  </si>
  <si>
    <t>TODD PAYNTER</t>
  </si>
  <si>
    <t>MARK SHAUGHNESSY</t>
  </si>
  <si>
    <t>JAMES KONTOPOULOS</t>
  </si>
  <si>
    <t>JANICE COHEN</t>
  </si>
  <si>
    <t>BARBARA AULERT</t>
  </si>
  <si>
    <t>RENE SCHUBERT</t>
  </si>
  <si>
    <t>PAMELA MONTGOMERY</t>
  </si>
  <si>
    <t>PAMELA FREGOSO</t>
  </si>
  <si>
    <t>LAURIE CARLSON</t>
  </si>
  <si>
    <t>PENNY DE FRANCESCO</t>
  </si>
  <si>
    <t>TONY BURKS</t>
  </si>
  <si>
    <t>RICHARD KRUMSEE</t>
  </si>
  <si>
    <t>PAULA STONE</t>
  </si>
  <si>
    <t>BRADLEY BARNEY</t>
  </si>
  <si>
    <t>SUZANNE BRADLEY</t>
  </si>
  <si>
    <t>ROBERT DHUSE</t>
  </si>
  <si>
    <t>JENNY AGUILERA</t>
  </si>
  <si>
    <t>ROBERT KRAMER</t>
  </si>
  <si>
    <t>PRISCILLA WILSON</t>
  </si>
  <si>
    <t>CONNIE EPLIN</t>
  </si>
  <si>
    <t>DONALD JOHNSON</t>
  </si>
  <si>
    <t>TONI DHUSE</t>
  </si>
  <si>
    <t>STEPHANIE SMITH</t>
  </si>
  <si>
    <t>DENNIS ORBIN</t>
  </si>
  <si>
    <t>BARBARA BEIL</t>
  </si>
  <si>
    <t>RAJKA RADOVANCEV</t>
  </si>
  <si>
    <t>RHODA GWION</t>
  </si>
  <si>
    <t>HOBART KENTON</t>
  </si>
  <si>
    <t>TETE SORMALAH</t>
  </si>
  <si>
    <t>SEINAH KOLLIE</t>
  </si>
  <si>
    <t>RICHARD BERGER</t>
  </si>
  <si>
    <t>FATUMATA KABA</t>
  </si>
  <si>
    <t>DARLA DAVIS</t>
  </si>
  <si>
    <t>Main Line Benefits</t>
  </si>
  <si>
    <t>17528908N</t>
  </si>
  <si>
    <t>Aetna MAPD 2025 FL*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</si>
</sst>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0" borderId="0" xfId="0" applyNumberFormat="1" applyFill="1"/>
    <xf numFmtId="14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A1DBD-1F8C-49C0-9855-7102C7CF107F}">
  <dimension ref="A1:X66"/>
  <sheetViews>
    <sheetView workbookViewId="0">
      <selection activeCell="U1" sqref="U1:U1048576"/>
    </sheetView>
  </sheetViews>
  <sheetFormatPr defaultRowHeight="15" x14ac:dyDescent="0.25"/>
  <cols>
    <col min="1" max="1" width="11.5703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45741</v>
      </c>
      <c r="B2" t="s">
        <v>24</v>
      </c>
      <c r="C2">
        <v>102117366400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L2" s="1">
        <v>45658</v>
      </c>
      <c r="M2" s="1">
        <v>45658</v>
      </c>
      <c r="N2" s="1">
        <v>45747</v>
      </c>
      <c r="O2">
        <v>17301495</v>
      </c>
      <c r="P2" t="s">
        <v>31</v>
      </c>
      <c r="Q2" t="s">
        <v>32</v>
      </c>
      <c r="R2">
        <v>8192</v>
      </c>
      <c r="S2" t="s">
        <v>33</v>
      </c>
      <c r="T2" t="s">
        <v>34</v>
      </c>
      <c r="U2">
        <v>-438</v>
      </c>
      <c r="V2" t="s">
        <v>35</v>
      </c>
      <c r="W2" s="1">
        <v>45631</v>
      </c>
      <c r="X2">
        <v>2025</v>
      </c>
    </row>
    <row r="3" spans="1:24" x14ac:dyDescent="0.25">
      <c r="A3" s="1">
        <v>45741</v>
      </c>
      <c r="B3" t="s">
        <v>36</v>
      </c>
      <c r="C3">
        <v>102150214700</v>
      </c>
      <c r="E3" t="s">
        <v>37</v>
      </c>
      <c r="F3" t="s">
        <v>26</v>
      </c>
      <c r="G3" t="s">
        <v>38</v>
      </c>
      <c r="H3" t="s">
        <v>28</v>
      </c>
      <c r="I3" t="s">
        <v>29</v>
      </c>
      <c r="J3" t="s">
        <v>30</v>
      </c>
      <c r="L3" s="1">
        <v>45717</v>
      </c>
      <c r="M3" s="1">
        <v>45717</v>
      </c>
      <c r="O3">
        <v>18754354</v>
      </c>
      <c r="P3" t="s">
        <v>31</v>
      </c>
      <c r="Q3" t="s">
        <v>39</v>
      </c>
      <c r="R3">
        <v>8192</v>
      </c>
      <c r="S3" t="s">
        <v>33</v>
      </c>
      <c r="T3" t="s">
        <v>34</v>
      </c>
      <c r="U3">
        <v>751</v>
      </c>
      <c r="V3" t="s">
        <v>40</v>
      </c>
      <c r="W3" s="1">
        <v>45700</v>
      </c>
      <c r="X3">
        <v>2025</v>
      </c>
    </row>
    <row r="4" spans="1:24" x14ac:dyDescent="0.25">
      <c r="A4" s="1">
        <v>45741</v>
      </c>
      <c r="B4" t="s">
        <v>36</v>
      </c>
      <c r="C4">
        <v>102150214700</v>
      </c>
      <c r="E4" t="s">
        <v>37</v>
      </c>
      <c r="F4" t="s">
        <v>26</v>
      </c>
      <c r="G4" t="s">
        <v>41</v>
      </c>
      <c r="H4" t="s">
        <v>28</v>
      </c>
      <c r="I4" t="s">
        <v>29</v>
      </c>
      <c r="J4" t="s">
        <v>30</v>
      </c>
      <c r="L4" s="1">
        <v>45717</v>
      </c>
      <c r="M4" s="1">
        <v>45717</v>
      </c>
      <c r="O4">
        <v>18754354</v>
      </c>
      <c r="P4" t="s">
        <v>31</v>
      </c>
      <c r="Q4" t="s">
        <v>39</v>
      </c>
      <c r="R4">
        <v>8192</v>
      </c>
      <c r="S4" t="s">
        <v>33</v>
      </c>
      <c r="T4" t="s">
        <v>34</v>
      </c>
      <c r="U4">
        <v>-365</v>
      </c>
      <c r="V4" t="s">
        <v>35</v>
      </c>
      <c r="W4" s="1">
        <v>45700</v>
      </c>
      <c r="X4">
        <v>2025</v>
      </c>
    </row>
    <row r="5" spans="1:24" x14ac:dyDescent="0.25">
      <c r="A5" s="1">
        <v>45741</v>
      </c>
      <c r="B5" t="s">
        <v>42</v>
      </c>
      <c r="C5">
        <v>102148368500</v>
      </c>
      <c r="E5" t="s">
        <v>43</v>
      </c>
      <c r="F5" t="s">
        <v>44</v>
      </c>
      <c r="G5" t="s">
        <v>41</v>
      </c>
      <c r="H5" t="s">
        <v>28</v>
      </c>
      <c r="I5" t="s">
        <v>45</v>
      </c>
      <c r="J5" t="s">
        <v>46</v>
      </c>
      <c r="L5" s="1">
        <v>45748</v>
      </c>
      <c r="M5" s="1">
        <v>45748</v>
      </c>
      <c r="O5">
        <v>9213293</v>
      </c>
      <c r="P5" t="s">
        <v>31</v>
      </c>
      <c r="Q5" t="s">
        <v>47</v>
      </c>
      <c r="R5">
        <v>8192</v>
      </c>
      <c r="S5" t="s">
        <v>33</v>
      </c>
      <c r="T5" t="s">
        <v>34</v>
      </c>
      <c r="U5">
        <v>-328.5</v>
      </c>
      <c r="V5" t="s">
        <v>35</v>
      </c>
      <c r="W5" s="1">
        <v>45693</v>
      </c>
      <c r="X5">
        <v>2025</v>
      </c>
    </row>
    <row r="6" spans="1:24" x14ac:dyDescent="0.25">
      <c r="A6" s="1">
        <v>45741</v>
      </c>
      <c r="B6" t="s">
        <v>42</v>
      </c>
      <c r="C6">
        <v>102148368500</v>
      </c>
      <c r="E6" t="s">
        <v>43</v>
      </c>
      <c r="F6" t="s">
        <v>44</v>
      </c>
      <c r="G6" t="s">
        <v>38</v>
      </c>
      <c r="H6" t="s">
        <v>28</v>
      </c>
      <c r="I6" t="s">
        <v>45</v>
      </c>
      <c r="J6" t="s">
        <v>46</v>
      </c>
      <c r="L6" s="1">
        <v>45748</v>
      </c>
      <c r="M6" s="1">
        <v>45748</v>
      </c>
      <c r="O6">
        <v>9213293</v>
      </c>
      <c r="P6" t="s">
        <v>31</v>
      </c>
      <c r="Q6" t="s">
        <v>47</v>
      </c>
      <c r="R6">
        <v>8192</v>
      </c>
      <c r="S6" t="s">
        <v>33</v>
      </c>
      <c r="T6" t="s">
        <v>34</v>
      </c>
      <c r="U6">
        <v>751</v>
      </c>
      <c r="V6" t="s">
        <v>40</v>
      </c>
      <c r="W6" s="1">
        <v>45693</v>
      </c>
      <c r="X6">
        <v>2025</v>
      </c>
    </row>
    <row r="7" spans="1:24" x14ac:dyDescent="0.25">
      <c r="A7" s="1">
        <v>45741</v>
      </c>
      <c r="B7" t="s">
        <v>48</v>
      </c>
      <c r="C7">
        <v>102157613500</v>
      </c>
      <c r="E7" t="s">
        <v>49</v>
      </c>
      <c r="F7" t="s">
        <v>26</v>
      </c>
      <c r="G7" t="s">
        <v>50</v>
      </c>
      <c r="H7" t="s">
        <v>28</v>
      </c>
      <c r="I7" t="s">
        <v>29</v>
      </c>
      <c r="J7" t="s">
        <v>30</v>
      </c>
      <c r="L7" s="1">
        <v>45748</v>
      </c>
      <c r="M7" s="1">
        <v>45748</v>
      </c>
      <c r="O7">
        <v>18581063</v>
      </c>
      <c r="P7" t="s">
        <v>31</v>
      </c>
      <c r="Q7" t="s">
        <v>51</v>
      </c>
      <c r="R7">
        <v>8192</v>
      </c>
      <c r="S7" t="s">
        <v>33</v>
      </c>
      <c r="T7" t="s">
        <v>34</v>
      </c>
      <c r="U7">
        <v>328.5</v>
      </c>
      <c r="V7" t="s">
        <v>35</v>
      </c>
      <c r="W7" s="1">
        <v>45726</v>
      </c>
      <c r="X7">
        <v>2025</v>
      </c>
    </row>
    <row r="8" spans="1:24" x14ac:dyDescent="0.25">
      <c r="A8" s="1">
        <v>45741</v>
      </c>
      <c r="B8" t="s">
        <v>52</v>
      </c>
      <c r="C8">
        <v>102157190800</v>
      </c>
      <c r="E8" t="s">
        <v>53</v>
      </c>
      <c r="F8" t="s">
        <v>54</v>
      </c>
      <c r="G8" t="s">
        <v>50</v>
      </c>
      <c r="H8" t="s">
        <v>28</v>
      </c>
      <c r="I8" t="s">
        <v>55</v>
      </c>
      <c r="J8" t="s">
        <v>56</v>
      </c>
      <c r="L8" s="1">
        <v>45748</v>
      </c>
      <c r="M8" s="1">
        <v>45748</v>
      </c>
      <c r="O8">
        <v>20253958</v>
      </c>
      <c r="P8" t="s">
        <v>31</v>
      </c>
      <c r="Q8" t="s">
        <v>57</v>
      </c>
      <c r="R8">
        <v>8192</v>
      </c>
      <c r="S8" t="s">
        <v>33</v>
      </c>
      <c r="T8" t="s">
        <v>34</v>
      </c>
      <c r="U8">
        <v>30</v>
      </c>
      <c r="V8" t="s">
        <v>35</v>
      </c>
      <c r="W8" s="1">
        <v>45723</v>
      </c>
      <c r="X8">
        <v>2025</v>
      </c>
    </row>
    <row r="9" spans="1:24" x14ac:dyDescent="0.25">
      <c r="A9" s="1">
        <v>45741</v>
      </c>
      <c r="B9" t="s">
        <v>58</v>
      </c>
      <c r="C9">
        <v>102150220300</v>
      </c>
      <c r="E9" t="s">
        <v>59</v>
      </c>
      <c r="F9" t="s">
        <v>60</v>
      </c>
      <c r="G9" t="s">
        <v>41</v>
      </c>
      <c r="H9" t="s">
        <v>28</v>
      </c>
      <c r="I9" t="s">
        <v>61</v>
      </c>
      <c r="J9" t="s">
        <v>62</v>
      </c>
      <c r="L9" s="1">
        <v>45748</v>
      </c>
      <c r="M9" s="1">
        <v>45748</v>
      </c>
      <c r="O9">
        <v>8307933</v>
      </c>
      <c r="P9" t="s">
        <v>31</v>
      </c>
      <c r="Q9" t="s">
        <v>63</v>
      </c>
      <c r="R9">
        <v>8192</v>
      </c>
      <c r="S9" t="s">
        <v>33</v>
      </c>
      <c r="T9" t="s">
        <v>34</v>
      </c>
      <c r="U9">
        <v>-328.5</v>
      </c>
      <c r="V9" t="s">
        <v>35</v>
      </c>
      <c r="W9" s="1">
        <v>45700</v>
      </c>
      <c r="X9">
        <v>2025</v>
      </c>
    </row>
    <row r="10" spans="1:24" x14ac:dyDescent="0.25">
      <c r="A10" s="1">
        <v>45741</v>
      </c>
      <c r="B10" t="s">
        <v>58</v>
      </c>
      <c r="C10">
        <v>102150220300</v>
      </c>
      <c r="E10" t="s">
        <v>59</v>
      </c>
      <c r="F10" t="s">
        <v>60</v>
      </c>
      <c r="G10" t="s">
        <v>38</v>
      </c>
      <c r="H10" t="s">
        <v>28</v>
      </c>
      <c r="I10" t="s">
        <v>61</v>
      </c>
      <c r="J10" t="s">
        <v>62</v>
      </c>
      <c r="L10" s="1">
        <v>45748</v>
      </c>
      <c r="M10" s="1">
        <v>45748</v>
      </c>
      <c r="O10">
        <v>8307933</v>
      </c>
      <c r="P10" t="s">
        <v>31</v>
      </c>
      <c r="Q10" t="s">
        <v>63</v>
      </c>
      <c r="R10">
        <v>8192</v>
      </c>
      <c r="S10" t="s">
        <v>33</v>
      </c>
      <c r="T10" t="s">
        <v>34</v>
      </c>
      <c r="U10">
        <v>751</v>
      </c>
      <c r="V10" t="s">
        <v>40</v>
      </c>
      <c r="W10" s="1">
        <v>45700</v>
      </c>
      <c r="X10">
        <v>2025</v>
      </c>
    </row>
    <row r="11" spans="1:24" x14ac:dyDescent="0.25">
      <c r="A11" s="1">
        <v>45741</v>
      </c>
      <c r="B11" t="s">
        <v>64</v>
      </c>
      <c r="C11">
        <v>102153840400</v>
      </c>
      <c r="E11" t="s">
        <v>65</v>
      </c>
      <c r="F11" t="s">
        <v>66</v>
      </c>
      <c r="G11" t="s">
        <v>38</v>
      </c>
      <c r="H11" t="s">
        <v>28</v>
      </c>
      <c r="I11" t="s">
        <v>29</v>
      </c>
      <c r="J11" t="s">
        <v>67</v>
      </c>
      <c r="L11" s="1">
        <v>45717</v>
      </c>
      <c r="M11" s="1">
        <v>45717</v>
      </c>
      <c r="O11">
        <v>8325282</v>
      </c>
      <c r="P11" t="s">
        <v>31</v>
      </c>
      <c r="Q11" t="s">
        <v>68</v>
      </c>
      <c r="R11">
        <v>8192</v>
      </c>
      <c r="S11" t="s">
        <v>33</v>
      </c>
      <c r="T11" t="s">
        <v>34</v>
      </c>
      <c r="U11">
        <v>751</v>
      </c>
      <c r="V11" t="s">
        <v>40</v>
      </c>
      <c r="W11" s="1">
        <v>45713</v>
      </c>
      <c r="X11">
        <v>2025</v>
      </c>
    </row>
    <row r="12" spans="1:24" x14ac:dyDescent="0.25">
      <c r="A12" s="1">
        <v>45741</v>
      </c>
      <c r="B12" t="s">
        <v>64</v>
      </c>
      <c r="C12">
        <v>102153840400</v>
      </c>
      <c r="E12" t="s">
        <v>65</v>
      </c>
      <c r="F12" t="s">
        <v>66</v>
      </c>
      <c r="G12" t="s">
        <v>41</v>
      </c>
      <c r="H12" t="s">
        <v>28</v>
      </c>
      <c r="I12" t="s">
        <v>29</v>
      </c>
      <c r="J12" t="s">
        <v>67</v>
      </c>
      <c r="L12" s="1">
        <v>45717</v>
      </c>
      <c r="M12" s="1">
        <v>45717</v>
      </c>
      <c r="O12">
        <v>8325282</v>
      </c>
      <c r="P12" t="s">
        <v>31</v>
      </c>
      <c r="Q12" t="s">
        <v>68</v>
      </c>
      <c r="R12">
        <v>8192</v>
      </c>
      <c r="S12" t="s">
        <v>33</v>
      </c>
      <c r="T12" t="s">
        <v>34</v>
      </c>
      <c r="U12">
        <v>-365</v>
      </c>
      <c r="V12" t="s">
        <v>35</v>
      </c>
      <c r="W12" s="1">
        <v>45713</v>
      </c>
      <c r="X12">
        <v>2025</v>
      </c>
    </row>
    <row r="13" spans="1:24" x14ac:dyDescent="0.25">
      <c r="A13" s="1">
        <v>45741</v>
      </c>
      <c r="B13" t="s">
        <v>69</v>
      </c>
      <c r="C13">
        <v>102150541300</v>
      </c>
      <c r="E13" t="s">
        <v>70</v>
      </c>
      <c r="F13" t="s">
        <v>71</v>
      </c>
      <c r="G13" t="s">
        <v>38</v>
      </c>
      <c r="H13" t="s">
        <v>28</v>
      </c>
      <c r="I13" t="s">
        <v>72</v>
      </c>
      <c r="J13" t="s">
        <v>73</v>
      </c>
      <c r="L13" s="1">
        <v>45778</v>
      </c>
      <c r="M13" s="1">
        <v>45778</v>
      </c>
      <c r="O13">
        <v>8307933</v>
      </c>
      <c r="P13" t="s">
        <v>31</v>
      </c>
      <c r="Q13" t="s">
        <v>63</v>
      </c>
      <c r="R13">
        <v>8192</v>
      </c>
      <c r="S13" t="s">
        <v>33</v>
      </c>
      <c r="T13" t="s">
        <v>34</v>
      </c>
      <c r="U13">
        <v>751</v>
      </c>
      <c r="V13" t="s">
        <v>40</v>
      </c>
      <c r="W13" s="1">
        <v>45701</v>
      </c>
      <c r="X13">
        <v>2025</v>
      </c>
    </row>
    <row r="14" spans="1:24" x14ac:dyDescent="0.25">
      <c r="A14" s="1">
        <v>45741</v>
      </c>
      <c r="B14" t="s">
        <v>69</v>
      </c>
      <c r="C14">
        <v>102150541300</v>
      </c>
      <c r="E14" t="s">
        <v>70</v>
      </c>
      <c r="F14" t="s">
        <v>71</v>
      </c>
      <c r="G14" t="s">
        <v>41</v>
      </c>
      <c r="H14" t="s">
        <v>28</v>
      </c>
      <c r="I14" t="s">
        <v>72</v>
      </c>
      <c r="J14" t="s">
        <v>73</v>
      </c>
      <c r="L14" s="1">
        <v>45778</v>
      </c>
      <c r="M14" s="1">
        <v>45778</v>
      </c>
      <c r="O14">
        <v>8307933</v>
      </c>
      <c r="P14" t="s">
        <v>31</v>
      </c>
      <c r="Q14" t="s">
        <v>63</v>
      </c>
      <c r="R14">
        <v>8192</v>
      </c>
      <c r="S14" t="s">
        <v>33</v>
      </c>
      <c r="T14" t="s">
        <v>34</v>
      </c>
      <c r="U14">
        <v>-292</v>
      </c>
      <c r="V14" t="s">
        <v>35</v>
      </c>
      <c r="W14" s="1">
        <v>45701</v>
      </c>
      <c r="X14">
        <v>2025</v>
      </c>
    </row>
    <row r="15" spans="1:24" x14ac:dyDescent="0.25">
      <c r="A15" s="1">
        <v>45741</v>
      </c>
      <c r="B15" t="s">
        <v>74</v>
      </c>
      <c r="C15">
        <v>102152554700</v>
      </c>
      <c r="E15" t="s">
        <v>75</v>
      </c>
      <c r="F15" t="s">
        <v>71</v>
      </c>
      <c r="G15" t="s">
        <v>41</v>
      </c>
      <c r="H15" t="s">
        <v>28</v>
      </c>
      <c r="I15" t="s">
        <v>72</v>
      </c>
      <c r="J15" t="s">
        <v>76</v>
      </c>
      <c r="L15" s="1">
        <v>45778</v>
      </c>
      <c r="M15" s="1">
        <v>45778</v>
      </c>
      <c r="O15">
        <v>9213293</v>
      </c>
      <c r="P15" t="s">
        <v>31</v>
      </c>
      <c r="Q15" t="s">
        <v>47</v>
      </c>
      <c r="R15">
        <v>8192</v>
      </c>
      <c r="S15" t="s">
        <v>33</v>
      </c>
      <c r="T15" t="s">
        <v>34</v>
      </c>
      <c r="U15">
        <v>-292</v>
      </c>
      <c r="V15" t="s">
        <v>35</v>
      </c>
      <c r="W15" s="1">
        <v>45708</v>
      </c>
      <c r="X15">
        <v>2025</v>
      </c>
    </row>
    <row r="16" spans="1:24" x14ac:dyDescent="0.25">
      <c r="A16" s="1">
        <v>45741</v>
      </c>
      <c r="B16" t="s">
        <v>74</v>
      </c>
      <c r="C16">
        <v>102152554700</v>
      </c>
      <c r="E16" t="s">
        <v>75</v>
      </c>
      <c r="F16" t="s">
        <v>71</v>
      </c>
      <c r="G16" t="s">
        <v>38</v>
      </c>
      <c r="H16" t="s">
        <v>28</v>
      </c>
      <c r="I16" t="s">
        <v>72</v>
      </c>
      <c r="J16" t="s">
        <v>76</v>
      </c>
      <c r="L16" s="1">
        <v>45778</v>
      </c>
      <c r="M16" s="1">
        <v>45778</v>
      </c>
      <c r="O16">
        <v>9213293</v>
      </c>
      <c r="P16" t="s">
        <v>31</v>
      </c>
      <c r="Q16" t="s">
        <v>47</v>
      </c>
      <c r="R16">
        <v>8192</v>
      </c>
      <c r="S16" t="s">
        <v>33</v>
      </c>
      <c r="T16" t="s">
        <v>34</v>
      </c>
      <c r="U16">
        <v>751</v>
      </c>
      <c r="V16" t="s">
        <v>40</v>
      </c>
      <c r="W16" s="1">
        <v>45708</v>
      </c>
      <c r="X16">
        <v>2025</v>
      </c>
    </row>
    <row r="17" spans="1:24" x14ac:dyDescent="0.25">
      <c r="A17" s="1">
        <v>45741</v>
      </c>
      <c r="B17" t="s">
        <v>77</v>
      </c>
      <c r="C17">
        <v>102132809400</v>
      </c>
      <c r="E17" t="s">
        <v>78</v>
      </c>
      <c r="F17" t="s">
        <v>79</v>
      </c>
      <c r="G17" t="s">
        <v>27</v>
      </c>
      <c r="H17" t="s">
        <v>28</v>
      </c>
      <c r="I17" t="s">
        <v>80</v>
      </c>
      <c r="J17" t="s">
        <v>81</v>
      </c>
      <c r="L17" s="1">
        <v>45658</v>
      </c>
      <c r="M17" s="1">
        <v>45658</v>
      </c>
      <c r="N17" s="1">
        <v>45747</v>
      </c>
      <c r="O17">
        <v>5442438</v>
      </c>
      <c r="P17" t="s">
        <v>31</v>
      </c>
      <c r="Q17" t="s">
        <v>82</v>
      </c>
      <c r="R17">
        <v>8192</v>
      </c>
      <c r="S17" t="s">
        <v>33</v>
      </c>
      <c r="T17" t="s">
        <v>34</v>
      </c>
      <c r="U17">
        <v>-746</v>
      </c>
      <c r="V17" t="s">
        <v>40</v>
      </c>
      <c r="W17" s="1">
        <v>45591</v>
      </c>
      <c r="X17">
        <v>2025</v>
      </c>
    </row>
    <row r="18" spans="1:24" x14ac:dyDescent="0.25">
      <c r="A18" s="1">
        <v>45741</v>
      </c>
      <c r="B18" t="s">
        <v>83</v>
      </c>
      <c r="C18">
        <v>102152902400</v>
      </c>
      <c r="E18" t="s">
        <v>84</v>
      </c>
      <c r="F18" t="s">
        <v>54</v>
      </c>
      <c r="G18" t="s">
        <v>38</v>
      </c>
      <c r="H18" t="s">
        <v>28</v>
      </c>
      <c r="I18" t="s">
        <v>55</v>
      </c>
      <c r="J18" t="s">
        <v>85</v>
      </c>
      <c r="L18" s="1">
        <v>45778</v>
      </c>
      <c r="M18" s="1">
        <v>45778</v>
      </c>
      <c r="O18">
        <v>20253958</v>
      </c>
      <c r="P18" t="s">
        <v>31</v>
      </c>
      <c r="Q18" t="s">
        <v>57</v>
      </c>
      <c r="R18">
        <v>8192</v>
      </c>
      <c r="S18" t="s">
        <v>33</v>
      </c>
      <c r="T18" t="s">
        <v>34</v>
      </c>
      <c r="U18">
        <v>40</v>
      </c>
      <c r="V18" t="s">
        <v>40</v>
      </c>
      <c r="W18" s="1">
        <v>45709</v>
      </c>
      <c r="X18">
        <v>2025</v>
      </c>
    </row>
    <row r="19" spans="1:24" x14ac:dyDescent="0.25">
      <c r="A19" s="1">
        <v>45741</v>
      </c>
      <c r="B19" t="s">
        <v>83</v>
      </c>
      <c r="C19">
        <v>102152902400</v>
      </c>
      <c r="E19" t="s">
        <v>84</v>
      </c>
      <c r="F19" t="s">
        <v>54</v>
      </c>
      <c r="G19" t="s">
        <v>41</v>
      </c>
      <c r="H19" t="s">
        <v>28</v>
      </c>
      <c r="I19" t="s">
        <v>55</v>
      </c>
      <c r="J19" t="s">
        <v>85</v>
      </c>
      <c r="L19" s="1">
        <v>45778</v>
      </c>
      <c r="M19" s="1">
        <v>45778</v>
      </c>
      <c r="O19">
        <v>20253958</v>
      </c>
      <c r="P19" t="s">
        <v>31</v>
      </c>
      <c r="Q19" t="s">
        <v>57</v>
      </c>
      <c r="R19">
        <v>8192</v>
      </c>
      <c r="S19" t="s">
        <v>33</v>
      </c>
      <c r="T19" t="s">
        <v>34</v>
      </c>
      <c r="U19">
        <v>-26.67</v>
      </c>
      <c r="V19" t="s">
        <v>35</v>
      </c>
      <c r="W19" s="1">
        <v>45709</v>
      </c>
      <c r="X19">
        <v>2025</v>
      </c>
    </row>
    <row r="20" spans="1:24" x14ac:dyDescent="0.25">
      <c r="A20" s="1">
        <v>45741</v>
      </c>
      <c r="B20" t="s">
        <v>86</v>
      </c>
      <c r="C20">
        <v>102147171900</v>
      </c>
      <c r="E20" t="s">
        <v>87</v>
      </c>
      <c r="F20" t="s">
        <v>26</v>
      </c>
      <c r="G20" t="s">
        <v>41</v>
      </c>
      <c r="H20" t="s">
        <v>28</v>
      </c>
      <c r="I20" t="s">
        <v>29</v>
      </c>
      <c r="J20" t="s">
        <v>88</v>
      </c>
      <c r="L20" s="1">
        <v>45717</v>
      </c>
      <c r="M20" s="1">
        <v>45717</v>
      </c>
      <c r="O20">
        <v>9213293</v>
      </c>
      <c r="P20" t="s">
        <v>31</v>
      </c>
      <c r="Q20" t="s">
        <v>47</v>
      </c>
      <c r="R20">
        <v>8192</v>
      </c>
      <c r="S20" t="s">
        <v>33</v>
      </c>
      <c r="T20" t="s">
        <v>34</v>
      </c>
      <c r="U20">
        <v>-365</v>
      </c>
      <c r="V20" t="s">
        <v>35</v>
      </c>
      <c r="W20" s="1">
        <v>45687</v>
      </c>
      <c r="X20">
        <v>2025</v>
      </c>
    </row>
    <row r="21" spans="1:24" x14ac:dyDescent="0.25">
      <c r="A21" s="1">
        <v>45741</v>
      </c>
      <c r="B21" t="s">
        <v>86</v>
      </c>
      <c r="C21">
        <v>102147171900</v>
      </c>
      <c r="E21" t="s">
        <v>87</v>
      </c>
      <c r="F21" t="s">
        <v>26</v>
      </c>
      <c r="G21" t="s">
        <v>38</v>
      </c>
      <c r="H21" t="s">
        <v>28</v>
      </c>
      <c r="I21" t="s">
        <v>29</v>
      </c>
      <c r="J21" t="s">
        <v>88</v>
      </c>
      <c r="L21" s="1">
        <v>45717</v>
      </c>
      <c r="M21" s="1">
        <v>45717</v>
      </c>
      <c r="O21">
        <v>9213293</v>
      </c>
      <c r="P21" t="s">
        <v>31</v>
      </c>
      <c r="Q21" t="s">
        <v>47</v>
      </c>
      <c r="R21">
        <v>8192</v>
      </c>
      <c r="S21" t="s">
        <v>33</v>
      </c>
      <c r="T21" t="s">
        <v>34</v>
      </c>
      <c r="U21">
        <v>751</v>
      </c>
      <c r="V21" t="s">
        <v>40</v>
      </c>
      <c r="W21" s="1">
        <v>45687</v>
      </c>
      <c r="X21">
        <v>2025</v>
      </c>
    </row>
    <row r="22" spans="1:24" x14ac:dyDescent="0.25">
      <c r="A22" s="1">
        <v>45741</v>
      </c>
      <c r="B22" t="s">
        <v>89</v>
      </c>
      <c r="C22">
        <v>101453540800</v>
      </c>
      <c r="E22" t="s">
        <v>90</v>
      </c>
      <c r="F22" t="s">
        <v>26</v>
      </c>
      <c r="G22" t="s">
        <v>50</v>
      </c>
      <c r="H22" t="s">
        <v>28</v>
      </c>
      <c r="I22" t="s">
        <v>29</v>
      </c>
      <c r="J22" t="s">
        <v>91</v>
      </c>
      <c r="L22" s="1">
        <v>45748</v>
      </c>
      <c r="M22" s="1">
        <v>45748</v>
      </c>
      <c r="O22">
        <v>7146581</v>
      </c>
      <c r="P22" t="s">
        <v>31</v>
      </c>
      <c r="Q22" t="s">
        <v>92</v>
      </c>
      <c r="R22">
        <v>8192</v>
      </c>
      <c r="S22" t="s">
        <v>33</v>
      </c>
      <c r="T22" t="s">
        <v>34</v>
      </c>
      <c r="U22">
        <v>328.5</v>
      </c>
      <c r="V22" t="s">
        <v>35</v>
      </c>
      <c r="W22" s="1">
        <v>45726</v>
      </c>
      <c r="X22">
        <v>2025</v>
      </c>
    </row>
    <row r="23" spans="1:24" x14ac:dyDescent="0.25">
      <c r="A23" s="1">
        <v>45741</v>
      </c>
      <c r="B23" t="s">
        <v>93</v>
      </c>
      <c r="C23">
        <v>102157543300</v>
      </c>
      <c r="E23" t="s">
        <v>94</v>
      </c>
      <c r="F23" t="s">
        <v>26</v>
      </c>
      <c r="G23" t="s">
        <v>50</v>
      </c>
      <c r="H23" t="s">
        <v>28</v>
      </c>
      <c r="I23" t="s">
        <v>29</v>
      </c>
      <c r="J23" t="s">
        <v>91</v>
      </c>
      <c r="L23" s="1">
        <v>45748</v>
      </c>
      <c r="M23" s="1">
        <v>45748</v>
      </c>
      <c r="O23">
        <v>7146581</v>
      </c>
      <c r="P23" t="s">
        <v>31</v>
      </c>
      <c r="Q23" t="s">
        <v>92</v>
      </c>
      <c r="R23">
        <v>8192</v>
      </c>
      <c r="S23" t="s">
        <v>33</v>
      </c>
      <c r="T23" t="s">
        <v>34</v>
      </c>
      <c r="U23">
        <v>328.5</v>
      </c>
      <c r="V23" t="s">
        <v>35</v>
      </c>
      <c r="W23" s="1">
        <v>45726</v>
      </c>
      <c r="X23">
        <v>2025</v>
      </c>
    </row>
    <row r="24" spans="1:24" x14ac:dyDescent="0.25">
      <c r="A24" s="1">
        <v>45741</v>
      </c>
      <c r="B24" t="s">
        <v>95</v>
      </c>
      <c r="C24">
        <v>102157554700</v>
      </c>
      <c r="E24" t="s">
        <v>96</v>
      </c>
      <c r="F24" t="s">
        <v>26</v>
      </c>
      <c r="G24" t="s">
        <v>50</v>
      </c>
      <c r="H24" t="s">
        <v>28</v>
      </c>
      <c r="I24" t="s">
        <v>97</v>
      </c>
      <c r="J24" t="s">
        <v>98</v>
      </c>
      <c r="L24" s="1">
        <v>45748</v>
      </c>
      <c r="M24" s="1">
        <v>45748</v>
      </c>
      <c r="O24">
        <v>8307933</v>
      </c>
      <c r="P24" t="s">
        <v>31</v>
      </c>
      <c r="Q24" t="s">
        <v>63</v>
      </c>
      <c r="R24">
        <v>8192</v>
      </c>
      <c r="S24" t="s">
        <v>33</v>
      </c>
      <c r="T24" t="s">
        <v>34</v>
      </c>
      <c r="U24">
        <v>328.5</v>
      </c>
      <c r="V24" t="s">
        <v>35</v>
      </c>
      <c r="W24" s="1">
        <v>45726</v>
      </c>
      <c r="X24">
        <v>2025</v>
      </c>
    </row>
    <row r="25" spans="1:24" x14ac:dyDescent="0.25">
      <c r="A25" s="1">
        <v>45741</v>
      </c>
      <c r="B25" t="s">
        <v>99</v>
      </c>
      <c r="C25">
        <v>102148379700</v>
      </c>
      <c r="E25" t="s">
        <v>100</v>
      </c>
      <c r="F25" t="s">
        <v>26</v>
      </c>
      <c r="G25" t="s">
        <v>38</v>
      </c>
      <c r="H25" t="s">
        <v>28</v>
      </c>
      <c r="I25" t="s">
        <v>29</v>
      </c>
      <c r="J25" t="s">
        <v>88</v>
      </c>
      <c r="L25" s="1">
        <v>45717</v>
      </c>
      <c r="M25" s="1">
        <v>45717</v>
      </c>
      <c r="O25">
        <v>19645587</v>
      </c>
      <c r="P25" t="s">
        <v>31</v>
      </c>
      <c r="Q25" t="s">
        <v>101</v>
      </c>
      <c r="R25">
        <v>8192</v>
      </c>
      <c r="S25" t="s">
        <v>33</v>
      </c>
      <c r="T25" t="s">
        <v>34</v>
      </c>
      <c r="U25">
        <v>751</v>
      </c>
      <c r="V25" t="s">
        <v>40</v>
      </c>
      <c r="W25" s="1">
        <v>45693</v>
      </c>
      <c r="X25">
        <v>2025</v>
      </c>
    </row>
    <row r="26" spans="1:24" x14ac:dyDescent="0.25">
      <c r="A26" s="1">
        <v>45741</v>
      </c>
      <c r="B26" t="s">
        <v>99</v>
      </c>
      <c r="C26">
        <v>102148379700</v>
      </c>
      <c r="E26" t="s">
        <v>100</v>
      </c>
      <c r="F26" t="s">
        <v>26</v>
      </c>
      <c r="G26" t="s">
        <v>41</v>
      </c>
      <c r="H26" t="s">
        <v>28</v>
      </c>
      <c r="I26" t="s">
        <v>29</v>
      </c>
      <c r="J26" t="s">
        <v>88</v>
      </c>
      <c r="L26" s="1">
        <v>45717</v>
      </c>
      <c r="M26" s="1">
        <v>45717</v>
      </c>
      <c r="O26">
        <v>19645587</v>
      </c>
      <c r="P26" t="s">
        <v>31</v>
      </c>
      <c r="Q26" t="s">
        <v>101</v>
      </c>
      <c r="R26">
        <v>8192</v>
      </c>
      <c r="S26" t="s">
        <v>33</v>
      </c>
      <c r="T26" t="s">
        <v>34</v>
      </c>
      <c r="U26">
        <v>-365</v>
      </c>
      <c r="V26" t="s">
        <v>35</v>
      </c>
      <c r="W26" s="1">
        <v>45693</v>
      </c>
      <c r="X26">
        <v>2025</v>
      </c>
    </row>
    <row r="27" spans="1:24" x14ac:dyDescent="0.25">
      <c r="A27" s="1">
        <v>45741</v>
      </c>
      <c r="B27" t="s">
        <v>102</v>
      </c>
      <c r="C27">
        <v>102151874000</v>
      </c>
      <c r="E27" t="s">
        <v>103</v>
      </c>
      <c r="F27" t="s">
        <v>54</v>
      </c>
      <c r="G27" t="s">
        <v>41</v>
      </c>
      <c r="H27" t="s">
        <v>28</v>
      </c>
      <c r="I27" t="s">
        <v>55</v>
      </c>
      <c r="J27" t="s">
        <v>104</v>
      </c>
      <c r="L27" s="1">
        <v>45689</v>
      </c>
      <c r="M27" s="1">
        <v>45689</v>
      </c>
      <c r="O27">
        <v>18657307</v>
      </c>
      <c r="P27" t="s">
        <v>105</v>
      </c>
      <c r="Q27" t="s">
        <v>106</v>
      </c>
      <c r="R27">
        <v>8192</v>
      </c>
      <c r="S27" t="s">
        <v>33</v>
      </c>
      <c r="T27" t="s">
        <v>34</v>
      </c>
      <c r="U27">
        <v>-114.59</v>
      </c>
      <c r="V27" t="s">
        <v>35</v>
      </c>
      <c r="W27" s="1">
        <v>45680</v>
      </c>
      <c r="X27">
        <v>2025</v>
      </c>
    </row>
    <row r="28" spans="1:24" x14ac:dyDescent="0.25">
      <c r="A28" s="1">
        <v>45741</v>
      </c>
      <c r="B28" t="s">
        <v>102</v>
      </c>
      <c r="C28">
        <v>102151874000</v>
      </c>
      <c r="E28" t="s">
        <v>103</v>
      </c>
      <c r="F28" t="s">
        <v>54</v>
      </c>
      <c r="G28" t="s">
        <v>38</v>
      </c>
      <c r="H28" t="s">
        <v>28</v>
      </c>
      <c r="I28" t="s">
        <v>55</v>
      </c>
      <c r="J28" t="s">
        <v>104</v>
      </c>
      <c r="L28" s="1">
        <v>45689</v>
      </c>
      <c r="M28" s="1">
        <v>45689</v>
      </c>
      <c r="O28">
        <v>18657307</v>
      </c>
      <c r="P28" t="s">
        <v>105</v>
      </c>
      <c r="Q28" t="s">
        <v>106</v>
      </c>
      <c r="R28">
        <v>8192</v>
      </c>
      <c r="S28" t="s">
        <v>33</v>
      </c>
      <c r="T28" t="s">
        <v>34</v>
      </c>
      <c r="U28">
        <v>125</v>
      </c>
      <c r="V28" t="s">
        <v>40</v>
      </c>
      <c r="W28" s="1">
        <v>45680</v>
      </c>
      <c r="X28">
        <v>2025</v>
      </c>
    </row>
    <row r="29" spans="1:24" x14ac:dyDescent="0.25">
      <c r="A29" s="1">
        <v>45741</v>
      </c>
      <c r="B29" t="s">
        <v>107</v>
      </c>
      <c r="C29">
        <v>101968935100</v>
      </c>
      <c r="E29" t="s">
        <v>108</v>
      </c>
      <c r="F29" t="s">
        <v>54</v>
      </c>
      <c r="G29" t="s">
        <v>38</v>
      </c>
      <c r="H29" t="s">
        <v>28</v>
      </c>
      <c r="I29" t="s">
        <v>55</v>
      </c>
      <c r="J29" t="s">
        <v>109</v>
      </c>
      <c r="L29" s="1">
        <v>45717</v>
      </c>
      <c r="M29" s="1">
        <v>45717</v>
      </c>
      <c r="O29">
        <v>15278437</v>
      </c>
      <c r="P29" t="s">
        <v>31</v>
      </c>
      <c r="Q29" t="s">
        <v>110</v>
      </c>
      <c r="R29">
        <v>8192</v>
      </c>
      <c r="S29" t="s">
        <v>33</v>
      </c>
      <c r="T29" t="s">
        <v>34</v>
      </c>
      <c r="U29">
        <v>830</v>
      </c>
      <c r="V29" t="s">
        <v>40</v>
      </c>
      <c r="W29" s="1">
        <v>45695</v>
      </c>
      <c r="X29">
        <v>2025</v>
      </c>
    </row>
    <row r="30" spans="1:24" x14ac:dyDescent="0.25">
      <c r="A30" s="1">
        <v>45741</v>
      </c>
      <c r="B30" t="s">
        <v>107</v>
      </c>
      <c r="C30">
        <v>101968935100</v>
      </c>
      <c r="E30" t="s">
        <v>108</v>
      </c>
      <c r="F30" t="s">
        <v>54</v>
      </c>
      <c r="G30" t="s">
        <v>41</v>
      </c>
      <c r="H30" t="s">
        <v>28</v>
      </c>
      <c r="I30" t="s">
        <v>55</v>
      </c>
      <c r="J30" t="s">
        <v>109</v>
      </c>
      <c r="L30" s="1">
        <v>45717</v>
      </c>
      <c r="M30" s="1">
        <v>45717</v>
      </c>
      <c r="O30">
        <v>15278437</v>
      </c>
      <c r="P30" t="s">
        <v>31</v>
      </c>
      <c r="Q30" t="s">
        <v>110</v>
      </c>
      <c r="R30">
        <v>8192</v>
      </c>
      <c r="S30" t="s">
        <v>33</v>
      </c>
      <c r="T30" t="s">
        <v>34</v>
      </c>
      <c r="U30">
        <v>-398.33</v>
      </c>
      <c r="V30" t="s">
        <v>35</v>
      </c>
      <c r="W30" s="1">
        <v>45695</v>
      </c>
      <c r="X30">
        <v>2025</v>
      </c>
    </row>
    <row r="31" spans="1:24" x14ac:dyDescent="0.25">
      <c r="A31" s="1">
        <v>45741</v>
      </c>
      <c r="B31" t="s">
        <v>111</v>
      </c>
      <c r="C31">
        <v>102156720800</v>
      </c>
      <c r="E31" t="s">
        <v>112</v>
      </c>
      <c r="F31" t="s">
        <v>113</v>
      </c>
      <c r="G31" t="s">
        <v>50</v>
      </c>
      <c r="H31" t="s">
        <v>28</v>
      </c>
      <c r="I31" t="s">
        <v>29</v>
      </c>
      <c r="J31" t="s">
        <v>114</v>
      </c>
      <c r="L31" s="1">
        <v>45809</v>
      </c>
      <c r="M31" s="1">
        <v>45809</v>
      </c>
      <c r="O31">
        <v>19645587</v>
      </c>
      <c r="P31" t="s">
        <v>31</v>
      </c>
      <c r="Q31" t="s">
        <v>101</v>
      </c>
      <c r="R31">
        <v>8192</v>
      </c>
      <c r="S31" t="s">
        <v>33</v>
      </c>
      <c r="T31" t="s">
        <v>34</v>
      </c>
      <c r="U31">
        <v>255.5</v>
      </c>
      <c r="V31" t="s">
        <v>35</v>
      </c>
      <c r="W31" s="1">
        <v>45722</v>
      </c>
      <c r="X31">
        <v>2025</v>
      </c>
    </row>
    <row r="32" spans="1:24" x14ac:dyDescent="0.25">
      <c r="A32" s="1">
        <v>45741</v>
      </c>
      <c r="B32" t="s">
        <v>115</v>
      </c>
      <c r="C32">
        <v>102157692500</v>
      </c>
      <c r="E32" t="s">
        <v>116</v>
      </c>
      <c r="F32" t="s">
        <v>54</v>
      </c>
      <c r="G32" t="s">
        <v>50</v>
      </c>
      <c r="H32" t="s">
        <v>28</v>
      </c>
      <c r="I32" t="s">
        <v>55</v>
      </c>
      <c r="J32" t="s">
        <v>117</v>
      </c>
      <c r="L32" s="1">
        <v>45748</v>
      </c>
      <c r="M32" s="1">
        <v>45748</v>
      </c>
      <c r="O32">
        <v>18657307</v>
      </c>
      <c r="P32" t="s">
        <v>105</v>
      </c>
      <c r="Q32" t="s">
        <v>106</v>
      </c>
      <c r="R32">
        <v>8192</v>
      </c>
      <c r="S32" t="s">
        <v>33</v>
      </c>
      <c r="T32" t="s">
        <v>34</v>
      </c>
      <c r="U32">
        <v>93.75</v>
      </c>
      <c r="V32" t="s">
        <v>35</v>
      </c>
      <c r="W32" s="1">
        <v>45722</v>
      </c>
      <c r="X32">
        <v>2025</v>
      </c>
    </row>
    <row r="33" spans="1:24" x14ac:dyDescent="0.25">
      <c r="A33" s="1">
        <v>45741</v>
      </c>
      <c r="B33" t="s">
        <v>118</v>
      </c>
      <c r="C33">
        <v>102153409000</v>
      </c>
      <c r="E33" t="s">
        <v>119</v>
      </c>
      <c r="F33" t="s">
        <v>54</v>
      </c>
      <c r="G33" t="s">
        <v>41</v>
      </c>
      <c r="H33" t="s">
        <v>28</v>
      </c>
      <c r="I33" t="s">
        <v>55</v>
      </c>
      <c r="J33" t="s">
        <v>85</v>
      </c>
      <c r="L33" s="1">
        <v>45778</v>
      </c>
      <c r="M33" s="1">
        <v>45778</v>
      </c>
      <c r="O33">
        <v>20253958</v>
      </c>
      <c r="P33" t="s">
        <v>31</v>
      </c>
      <c r="Q33" t="s">
        <v>57</v>
      </c>
      <c r="R33">
        <v>8192</v>
      </c>
      <c r="S33" t="s">
        <v>33</v>
      </c>
      <c r="T33" t="s">
        <v>34</v>
      </c>
      <c r="U33">
        <v>-26.67</v>
      </c>
      <c r="V33" t="s">
        <v>35</v>
      </c>
      <c r="W33" s="1">
        <v>45712</v>
      </c>
      <c r="X33">
        <v>2025</v>
      </c>
    </row>
    <row r="34" spans="1:24" x14ac:dyDescent="0.25">
      <c r="A34" s="1">
        <v>45741</v>
      </c>
      <c r="B34" t="s">
        <v>118</v>
      </c>
      <c r="C34">
        <v>102153409000</v>
      </c>
      <c r="E34" t="s">
        <v>119</v>
      </c>
      <c r="F34" t="s">
        <v>54</v>
      </c>
      <c r="G34" t="s">
        <v>38</v>
      </c>
      <c r="H34" t="s">
        <v>28</v>
      </c>
      <c r="I34" t="s">
        <v>55</v>
      </c>
      <c r="J34" t="s">
        <v>85</v>
      </c>
      <c r="L34" s="1">
        <v>45778</v>
      </c>
      <c r="M34" s="1">
        <v>45778</v>
      </c>
      <c r="O34">
        <v>20253958</v>
      </c>
      <c r="P34" t="s">
        <v>31</v>
      </c>
      <c r="Q34" t="s">
        <v>57</v>
      </c>
      <c r="R34">
        <v>8192</v>
      </c>
      <c r="S34" t="s">
        <v>33</v>
      </c>
      <c r="T34" t="s">
        <v>34</v>
      </c>
      <c r="U34">
        <v>40</v>
      </c>
      <c r="V34" t="s">
        <v>40</v>
      </c>
      <c r="W34" s="1">
        <v>45712</v>
      </c>
      <c r="X34">
        <v>2025</v>
      </c>
    </row>
    <row r="35" spans="1:24" x14ac:dyDescent="0.25">
      <c r="A35" s="1">
        <v>45741</v>
      </c>
      <c r="B35" t="s">
        <v>120</v>
      </c>
      <c r="C35">
        <v>102152260000</v>
      </c>
      <c r="E35" t="s">
        <v>121</v>
      </c>
      <c r="F35" t="s">
        <v>122</v>
      </c>
      <c r="G35" t="s">
        <v>41</v>
      </c>
      <c r="H35" t="s">
        <v>28</v>
      </c>
      <c r="I35" t="s">
        <v>55</v>
      </c>
      <c r="J35" t="s">
        <v>123</v>
      </c>
      <c r="L35" s="1">
        <v>45717</v>
      </c>
      <c r="M35" s="1">
        <v>45717</v>
      </c>
      <c r="O35">
        <v>18657307</v>
      </c>
      <c r="P35" t="s">
        <v>105</v>
      </c>
      <c r="Q35" t="s">
        <v>106</v>
      </c>
      <c r="R35">
        <v>8192</v>
      </c>
      <c r="S35" t="s">
        <v>33</v>
      </c>
      <c r="T35" t="s">
        <v>34</v>
      </c>
      <c r="U35">
        <v>-104.17</v>
      </c>
      <c r="V35" t="s">
        <v>35</v>
      </c>
      <c r="W35" s="1">
        <v>45707</v>
      </c>
      <c r="X35">
        <v>2025</v>
      </c>
    </row>
    <row r="36" spans="1:24" x14ac:dyDescent="0.25">
      <c r="A36" s="1">
        <v>45741</v>
      </c>
      <c r="B36" t="s">
        <v>120</v>
      </c>
      <c r="C36">
        <v>102152260000</v>
      </c>
      <c r="E36" t="s">
        <v>121</v>
      </c>
      <c r="F36" t="s">
        <v>122</v>
      </c>
      <c r="G36" t="s">
        <v>38</v>
      </c>
      <c r="H36" t="s">
        <v>28</v>
      </c>
      <c r="I36" t="s">
        <v>55</v>
      </c>
      <c r="J36" t="s">
        <v>123</v>
      </c>
      <c r="L36" s="1">
        <v>45717</v>
      </c>
      <c r="M36" s="1">
        <v>45717</v>
      </c>
      <c r="O36">
        <v>18657307</v>
      </c>
      <c r="P36" t="s">
        <v>105</v>
      </c>
      <c r="Q36" t="s">
        <v>106</v>
      </c>
      <c r="R36">
        <v>8192</v>
      </c>
      <c r="S36" t="s">
        <v>33</v>
      </c>
      <c r="T36" t="s">
        <v>34</v>
      </c>
      <c r="U36">
        <v>125</v>
      </c>
      <c r="V36" t="s">
        <v>40</v>
      </c>
      <c r="W36" s="1">
        <v>45707</v>
      </c>
      <c r="X36">
        <v>2025</v>
      </c>
    </row>
    <row r="37" spans="1:24" x14ac:dyDescent="0.25">
      <c r="A37" s="1">
        <v>45741</v>
      </c>
      <c r="B37" t="s">
        <v>124</v>
      </c>
      <c r="C37">
        <v>102146612500</v>
      </c>
      <c r="E37" t="s">
        <v>125</v>
      </c>
      <c r="F37" t="s">
        <v>26</v>
      </c>
      <c r="G37" t="s">
        <v>38</v>
      </c>
      <c r="H37" t="s">
        <v>28</v>
      </c>
      <c r="I37" t="s">
        <v>29</v>
      </c>
      <c r="J37" t="s">
        <v>30</v>
      </c>
      <c r="L37" s="1">
        <v>45689</v>
      </c>
      <c r="M37" s="1">
        <v>45689</v>
      </c>
      <c r="O37">
        <v>9213293</v>
      </c>
      <c r="P37" t="s">
        <v>31</v>
      </c>
      <c r="Q37" t="s">
        <v>47</v>
      </c>
      <c r="R37">
        <v>8192</v>
      </c>
      <c r="S37" t="s">
        <v>33</v>
      </c>
      <c r="T37" t="s">
        <v>34</v>
      </c>
      <c r="U37">
        <v>751</v>
      </c>
      <c r="V37" t="s">
        <v>40</v>
      </c>
      <c r="W37" s="1">
        <v>45688</v>
      </c>
      <c r="X37">
        <v>2025</v>
      </c>
    </row>
    <row r="38" spans="1:24" x14ac:dyDescent="0.25">
      <c r="A38" s="1">
        <v>45741</v>
      </c>
      <c r="B38" t="s">
        <v>124</v>
      </c>
      <c r="C38">
        <v>102146612500</v>
      </c>
      <c r="E38" t="s">
        <v>125</v>
      </c>
      <c r="F38" t="s">
        <v>26</v>
      </c>
      <c r="G38" t="s">
        <v>41</v>
      </c>
      <c r="H38" t="s">
        <v>28</v>
      </c>
      <c r="I38" t="s">
        <v>29</v>
      </c>
      <c r="J38" t="s">
        <v>30</v>
      </c>
      <c r="L38" s="1">
        <v>45689</v>
      </c>
      <c r="M38" s="1">
        <v>45689</v>
      </c>
      <c r="O38">
        <v>9213293</v>
      </c>
      <c r="P38" t="s">
        <v>31</v>
      </c>
      <c r="Q38" t="s">
        <v>47</v>
      </c>
      <c r="R38">
        <v>8192</v>
      </c>
      <c r="S38" t="s">
        <v>33</v>
      </c>
      <c r="T38" t="s">
        <v>34</v>
      </c>
      <c r="U38">
        <v>-401.5</v>
      </c>
      <c r="V38" t="s">
        <v>35</v>
      </c>
      <c r="W38" s="1">
        <v>45688</v>
      </c>
      <c r="X38">
        <v>2025</v>
      </c>
    </row>
    <row r="39" spans="1:24" x14ac:dyDescent="0.25">
      <c r="A39" s="1">
        <v>45741</v>
      </c>
      <c r="B39" t="s">
        <v>126</v>
      </c>
      <c r="C39">
        <v>101500585100</v>
      </c>
      <c r="E39" t="s">
        <v>127</v>
      </c>
      <c r="F39" t="s">
        <v>26</v>
      </c>
      <c r="G39" t="s">
        <v>50</v>
      </c>
      <c r="H39" t="s">
        <v>28</v>
      </c>
      <c r="I39" t="s">
        <v>97</v>
      </c>
      <c r="J39" t="s">
        <v>128</v>
      </c>
      <c r="L39" s="1">
        <v>45748</v>
      </c>
      <c r="M39" s="1">
        <v>45748</v>
      </c>
      <c r="O39">
        <v>7470776</v>
      </c>
      <c r="P39" t="s">
        <v>31</v>
      </c>
      <c r="Q39" t="s">
        <v>129</v>
      </c>
      <c r="R39">
        <v>8192</v>
      </c>
      <c r="S39" t="s">
        <v>33</v>
      </c>
      <c r="T39" t="s">
        <v>34</v>
      </c>
      <c r="U39">
        <v>328.5</v>
      </c>
      <c r="V39" t="s">
        <v>35</v>
      </c>
      <c r="W39" s="1">
        <v>45727</v>
      </c>
      <c r="X39">
        <v>2025</v>
      </c>
    </row>
    <row r="40" spans="1:24" x14ac:dyDescent="0.25">
      <c r="A40" s="1">
        <v>45741</v>
      </c>
      <c r="B40" t="s">
        <v>130</v>
      </c>
      <c r="C40">
        <v>102146307700</v>
      </c>
      <c r="E40" t="s">
        <v>131</v>
      </c>
      <c r="F40" t="s">
        <v>26</v>
      </c>
      <c r="G40" t="s">
        <v>38</v>
      </c>
      <c r="H40" t="s">
        <v>28</v>
      </c>
      <c r="I40" t="s">
        <v>29</v>
      </c>
      <c r="J40" t="s">
        <v>30</v>
      </c>
      <c r="L40" s="1">
        <v>45689</v>
      </c>
      <c r="M40" s="1">
        <v>45689</v>
      </c>
      <c r="O40">
        <v>2158366</v>
      </c>
      <c r="P40" t="s">
        <v>31</v>
      </c>
      <c r="Q40" t="s">
        <v>132</v>
      </c>
      <c r="R40">
        <v>8192</v>
      </c>
      <c r="S40" t="s">
        <v>33</v>
      </c>
      <c r="T40" t="s">
        <v>34</v>
      </c>
      <c r="U40">
        <v>751</v>
      </c>
      <c r="V40" t="s">
        <v>40</v>
      </c>
      <c r="W40" s="1">
        <v>45687</v>
      </c>
      <c r="X40">
        <v>2025</v>
      </c>
    </row>
    <row r="41" spans="1:24" x14ac:dyDescent="0.25">
      <c r="A41" s="1">
        <v>45741</v>
      </c>
      <c r="B41" t="s">
        <v>130</v>
      </c>
      <c r="C41">
        <v>102146307700</v>
      </c>
      <c r="E41" t="s">
        <v>131</v>
      </c>
      <c r="F41" t="s">
        <v>26</v>
      </c>
      <c r="G41" t="s">
        <v>41</v>
      </c>
      <c r="H41" t="s">
        <v>28</v>
      </c>
      <c r="I41" t="s">
        <v>29</v>
      </c>
      <c r="J41" t="s">
        <v>30</v>
      </c>
      <c r="L41" s="1">
        <v>45689</v>
      </c>
      <c r="M41" s="1">
        <v>45689</v>
      </c>
      <c r="O41">
        <v>2158366</v>
      </c>
      <c r="P41" t="s">
        <v>31</v>
      </c>
      <c r="Q41" t="s">
        <v>132</v>
      </c>
      <c r="R41">
        <v>8192</v>
      </c>
      <c r="S41" t="s">
        <v>33</v>
      </c>
      <c r="T41" t="s">
        <v>34</v>
      </c>
      <c r="U41">
        <v>-401.5</v>
      </c>
      <c r="V41" t="s">
        <v>35</v>
      </c>
      <c r="W41" s="1">
        <v>45687</v>
      </c>
      <c r="X41">
        <v>2025</v>
      </c>
    </row>
    <row r="42" spans="1:24" x14ac:dyDescent="0.25">
      <c r="A42" s="1">
        <v>45741</v>
      </c>
      <c r="B42" t="s">
        <v>133</v>
      </c>
      <c r="C42">
        <v>102146276300</v>
      </c>
      <c r="E42" t="s">
        <v>134</v>
      </c>
      <c r="F42" t="s">
        <v>26</v>
      </c>
      <c r="G42" t="s">
        <v>38</v>
      </c>
      <c r="H42" t="s">
        <v>28</v>
      </c>
      <c r="I42" t="s">
        <v>29</v>
      </c>
      <c r="J42" t="s">
        <v>30</v>
      </c>
      <c r="L42" s="1">
        <v>45689</v>
      </c>
      <c r="M42" s="1">
        <v>45689</v>
      </c>
      <c r="O42">
        <v>2158366</v>
      </c>
      <c r="P42" t="s">
        <v>31</v>
      </c>
      <c r="Q42" t="s">
        <v>132</v>
      </c>
      <c r="R42">
        <v>8192</v>
      </c>
      <c r="S42" t="s">
        <v>33</v>
      </c>
      <c r="T42" t="s">
        <v>34</v>
      </c>
      <c r="U42">
        <v>751</v>
      </c>
      <c r="V42" t="s">
        <v>40</v>
      </c>
      <c r="W42" s="1">
        <v>45687</v>
      </c>
      <c r="X42">
        <v>2025</v>
      </c>
    </row>
    <row r="43" spans="1:24" x14ac:dyDescent="0.25">
      <c r="A43" s="1">
        <v>45741</v>
      </c>
      <c r="B43" t="s">
        <v>133</v>
      </c>
      <c r="C43">
        <v>102146276300</v>
      </c>
      <c r="E43" t="s">
        <v>134</v>
      </c>
      <c r="F43" t="s">
        <v>26</v>
      </c>
      <c r="G43" t="s">
        <v>41</v>
      </c>
      <c r="H43" t="s">
        <v>28</v>
      </c>
      <c r="I43" t="s">
        <v>29</v>
      </c>
      <c r="J43" t="s">
        <v>30</v>
      </c>
      <c r="L43" s="1">
        <v>45689</v>
      </c>
      <c r="M43" s="1">
        <v>45689</v>
      </c>
      <c r="O43">
        <v>2158366</v>
      </c>
      <c r="P43" t="s">
        <v>31</v>
      </c>
      <c r="Q43" t="s">
        <v>132</v>
      </c>
      <c r="R43">
        <v>8192</v>
      </c>
      <c r="S43" t="s">
        <v>33</v>
      </c>
      <c r="T43" t="s">
        <v>34</v>
      </c>
      <c r="U43">
        <v>-401.5</v>
      </c>
      <c r="V43" t="s">
        <v>35</v>
      </c>
      <c r="W43" s="1">
        <v>45687</v>
      </c>
      <c r="X43">
        <v>2025</v>
      </c>
    </row>
    <row r="44" spans="1:24" x14ac:dyDescent="0.25">
      <c r="A44" s="1">
        <v>45741</v>
      </c>
      <c r="B44" t="s">
        <v>135</v>
      </c>
      <c r="C44">
        <v>102147412200</v>
      </c>
      <c r="E44" t="s">
        <v>136</v>
      </c>
      <c r="F44" t="s">
        <v>54</v>
      </c>
      <c r="G44" t="s">
        <v>41</v>
      </c>
      <c r="H44" t="s">
        <v>28</v>
      </c>
      <c r="I44" t="s">
        <v>55</v>
      </c>
      <c r="J44" t="s">
        <v>137</v>
      </c>
      <c r="L44" s="1">
        <v>45689</v>
      </c>
      <c r="M44" s="1">
        <v>45689</v>
      </c>
      <c r="O44">
        <v>8971826</v>
      </c>
      <c r="P44" t="s">
        <v>31</v>
      </c>
      <c r="Q44" t="s">
        <v>138</v>
      </c>
      <c r="R44">
        <v>8192</v>
      </c>
      <c r="S44" t="s">
        <v>33</v>
      </c>
      <c r="T44" t="s">
        <v>34</v>
      </c>
      <c r="U44">
        <v>-438.17</v>
      </c>
      <c r="V44" t="s">
        <v>35</v>
      </c>
      <c r="W44" s="1">
        <v>45645</v>
      </c>
      <c r="X44">
        <v>2025</v>
      </c>
    </row>
    <row r="45" spans="1:24" x14ac:dyDescent="0.25">
      <c r="A45" s="1">
        <v>45741</v>
      </c>
      <c r="B45" t="s">
        <v>135</v>
      </c>
      <c r="C45">
        <v>102147412200</v>
      </c>
      <c r="E45" t="s">
        <v>136</v>
      </c>
      <c r="F45" t="s">
        <v>54</v>
      </c>
      <c r="G45" t="s">
        <v>38</v>
      </c>
      <c r="H45" t="s">
        <v>28</v>
      </c>
      <c r="I45" t="s">
        <v>55</v>
      </c>
      <c r="J45" t="s">
        <v>137</v>
      </c>
      <c r="L45" s="1">
        <v>45689</v>
      </c>
      <c r="M45" s="1">
        <v>45689</v>
      </c>
      <c r="O45">
        <v>8971826</v>
      </c>
      <c r="P45" t="s">
        <v>31</v>
      </c>
      <c r="Q45" t="s">
        <v>138</v>
      </c>
      <c r="R45">
        <v>8192</v>
      </c>
      <c r="S45" t="s">
        <v>33</v>
      </c>
      <c r="T45" t="s">
        <v>34</v>
      </c>
      <c r="U45">
        <v>830</v>
      </c>
      <c r="V45" t="s">
        <v>40</v>
      </c>
      <c r="W45" s="1">
        <v>45645</v>
      </c>
      <c r="X45">
        <v>2025</v>
      </c>
    </row>
    <row r="46" spans="1:24" x14ac:dyDescent="0.25">
      <c r="A46" s="1">
        <v>45741</v>
      </c>
      <c r="B46" t="s">
        <v>139</v>
      </c>
      <c r="C46">
        <v>102151195700</v>
      </c>
      <c r="E46" t="s">
        <v>140</v>
      </c>
      <c r="F46" t="s">
        <v>141</v>
      </c>
      <c r="G46" t="s">
        <v>38</v>
      </c>
      <c r="H46" t="s">
        <v>28</v>
      </c>
      <c r="I46" t="s">
        <v>142</v>
      </c>
      <c r="J46" t="s">
        <v>143</v>
      </c>
      <c r="L46" s="1">
        <v>45717</v>
      </c>
      <c r="M46" s="1">
        <v>45717</v>
      </c>
      <c r="O46">
        <v>8307933</v>
      </c>
      <c r="P46" t="s">
        <v>31</v>
      </c>
      <c r="Q46" t="s">
        <v>63</v>
      </c>
      <c r="R46">
        <v>8192</v>
      </c>
      <c r="S46" t="s">
        <v>33</v>
      </c>
      <c r="T46" t="s">
        <v>34</v>
      </c>
      <c r="U46">
        <v>751</v>
      </c>
      <c r="V46" t="s">
        <v>40</v>
      </c>
      <c r="W46" s="1">
        <v>45703</v>
      </c>
      <c r="X46">
        <v>2025</v>
      </c>
    </row>
    <row r="47" spans="1:24" x14ac:dyDescent="0.25">
      <c r="A47" s="1">
        <v>45741</v>
      </c>
      <c r="B47" t="s">
        <v>139</v>
      </c>
      <c r="C47">
        <v>102151195700</v>
      </c>
      <c r="E47" t="s">
        <v>140</v>
      </c>
      <c r="F47" t="s">
        <v>141</v>
      </c>
      <c r="G47" t="s">
        <v>41</v>
      </c>
      <c r="H47" t="s">
        <v>28</v>
      </c>
      <c r="I47" t="s">
        <v>142</v>
      </c>
      <c r="J47" t="s">
        <v>143</v>
      </c>
      <c r="L47" s="1">
        <v>45717</v>
      </c>
      <c r="M47" s="1">
        <v>45717</v>
      </c>
      <c r="O47">
        <v>8307933</v>
      </c>
      <c r="P47" t="s">
        <v>31</v>
      </c>
      <c r="Q47" t="s">
        <v>63</v>
      </c>
      <c r="R47">
        <v>8192</v>
      </c>
      <c r="S47" t="s">
        <v>33</v>
      </c>
      <c r="T47" t="s">
        <v>34</v>
      </c>
      <c r="U47">
        <v>-365</v>
      </c>
      <c r="V47" t="s">
        <v>35</v>
      </c>
      <c r="W47" s="1">
        <v>45703</v>
      </c>
      <c r="X47">
        <v>2025</v>
      </c>
    </row>
    <row r="48" spans="1:24" x14ac:dyDescent="0.25">
      <c r="A48" s="1">
        <v>45741</v>
      </c>
      <c r="B48" t="s">
        <v>144</v>
      </c>
      <c r="C48">
        <v>101048016300</v>
      </c>
      <c r="E48" t="s">
        <v>145</v>
      </c>
      <c r="F48" t="s">
        <v>54</v>
      </c>
      <c r="G48" t="s">
        <v>50</v>
      </c>
      <c r="H48" t="s">
        <v>28</v>
      </c>
      <c r="I48" t="s">
        <v>55</v>
      </c>
      <c r="J48" t="s">
        <v>146</v>
      </c>
      <c r="L48" s="1">
        <v>45748</v>
      </c>
      <c r="M48" s="1">
        <v>45748</v>
      </c>
      <c r="O48">
        <v>18406006</v>
      </c>
      <c r="P48" t="s">
        <v>31</v>
      </c>
      <c r="Q48" t="s">
        <v>147</v>
      </c>
      <c r="R48">
        <v>8192</v>
      </c>
      <c r="S48" t="s">
        <v>33</v>
      </c>
      <c r="T48" t="s">
        <v>34</v>
      </c>
      <c r="U48">
        <v>358.5</v>
      </c>
      <c r="V48" t="s">
        <v>35</v>
      </c>
      <c r="W48" s="1">
        <v>45722</v>
      </c>
      <c r="X48">
        <v>2025</v>
      </c>
    </row>
    <row r="49" spans="1:24" x14ac:dyDescent="0.25">
      <c r="A49" s="1">
        <v>45741</v>
      </c>
      <c r="B49" t="s">
        <v>148</v>
      </c>
      <c r="C49">
        <v>102150493500</v>
      </c>
      <c r="E49" t="s">
        <v>149</v>
      </c>
      <c r="F49" t="s">
        <v>150</v>
      </c>
      <c r="G49" t="s">
        <v>41</v>
      </c>
      <c r="H49" t="s">
        <v>28</v>
      </c>
      <c r="I49" t="s">
        <v>151</v>
      </c>
      <c r="J49" t="s">
        <v>152</v>
      </c>
      <c r="L49" s="1">
        <v>45717</v>
      </c>
      <c r="M49" s="1">
        <v>45717</v>
      </c>
      <c r="O49">
        <v>15278437</v>
      </c>
      <c r="P49" t="s">
        <v>31</v>
      </c>
      <c r="Q49" t="s">
        <v>110</v>
      </c>
      <c r="R49">
        <v>8192</v>
      </c>
      <c r="S49" t="s">
        <v>33</v>
      </c>
      <c r="T49" t="s">
        <v>34</v>
      </c>
      <c r="U49">
        <v>-365</v>
      </c>
      <c r="V49" t="s">
        <v>35</v>
      </c>
      <c r="W49" s="1">
        <v>45701</v>
      </c>
      <c r="X49">
        <v>2025</v>
      </c>
    </row>
    <row r="50" spans="1:24" x14ac:dyDescent="0.25">
      <c r="A50" s="1">
        <v>45741</v>
      </c>
      <c r="B50" t="s">
        <v>148</v>
      </c>
      <c r="C50">
        <v>102150493500</v>
      </c>
      <c r="E50" t="s">
        <v>149</v>
      </c>
      <c r="F50" t="s">
        <v>150</v>
      </c>
      <c r="G50" t="s">
        <v>38</v>
      </c>
      <c r="H50" t="s">
        <v>28</v>
      </c>
      <c r="I50" t="s">
        <v>151</v>
      </c>
      <c r="J50" t="s">
        <v>152</v>
      </c>
      <c r="L50" s="1">
        <v>45717</v>
      </c>
      <c r="M50" s="1">
        <v>45717</v>
      </c>
      <c r="O50">
        <v>15278437</v>
      </c>
      <c r="P50" t="s">
        <v>31</v>
      </c>
      <c r="Q50" t="s">
        <v>110</v>
      </c>
      <c r="R50">
        <v>8192</v>
      </c>
      <c r="S50" t="s">
        <v>33</v>
      </c>
      <c r="T50" t="s">
        <v>34</v>
      </c>
      <c r="U50">
        <v>751</v>
      </c>
      <c r="V50" t="s">
        <v>40</v>
      </c>
      <c r="W50" s="1">
        <v>45701</v>
      </c>
      <c r="X50">
        <v>2025</v>
      </c>
    </row>
    <row r="51" spans="1:24" x14ac:dyDescent="0.25">
      <c r="A51" s="1">
        <v>45741</v>
      </c>
      <c r="B51" t="s">
        <v>153</v>
      </c>
      <c r="C51">
        <v>102157885300</v>
      </c>
      <c r="E51" t="s">
        <v>154</v>
      </c>
      <c r="F51" t="s">
        <v>26</v>
      </c>
      <c r="G51" t="s">
        <v>50</v>
      </c>
      <c r="H51" t="s">
        <v>28</v>
      </c>
      <c r="I51" t="s">
        <v>29</v>
      </c>
      <c r="J51" t="s">
        <v>30</v>
      </c>
      <c r="L51" s="1">
        <v>45748</v>
      </c>
      <c r="M51" s="1">
        <v>45748</v>
      </c>
      <c r="O51">
        <v>8325282</v>
      </c>
      <c r="P51" t="s">
        <v>31</v>
      </c>
      <c r="Q51" t="s">
        <v>68</v>
      </c>
      <c r="R51">
        <v>8192</v>
      </c>
      <c r="S51" t="s">
        <v>33</v>
      </c>
      <c r="T51" t="s">
        <v>34</v>
      </c>
      <c r="U51">
        <v>328.5</v>
      </c>
      <c r="V51" t="s">
        <v>35</v>
      </c>
      <c r="W51" s="1">
        <v>45727</v>
      </c>
      <c r="X51">
        <v>2025</v>
      </c>
    </row>
    <row r="52" spans="1:24" x14ac:dyDescent="0.25">
      <c r="A52" s="1">
        <v>45741</v>
      </c>
      <c r="B52" t="s">
        <v>155</v>
      </c>
      <c r="C52">
        <v>101508889100</v>
      </c>
      <c r="E52" t="s">
        <v>156</v>
      </c>
      <c r="F52" t="s">
        <v>157</v>
      </c>
      <c r="G52" t="s">
        <v>38</v>
      </c>
      <c r="H52" t="s">
        <v>28</v>
      </c>
      <c r="I52" t="s">
        <v>158</v>
      </c>
      <c r="J52" t="s">
        <v>159</v>
      </c>
      <c r="L52" s="1">
        <v>45689</v>
      </c>
      <c r="M52" s="1">
        <v>45689</v>
      </c>
      <c r="O52">
        <v>6634327</v>
      </c>
      <c r="P52" t="s">
        <v>31</v>
      </c>
      <c r="Q52" t="s">
        <v>160</v>
      </c>
      <c r="R52">
        <v>8192</v>
      </c>
      <c r="S52" t="s">
        <v>33</v>
      </c>
      <c r="T52" t="s">
        <v>34</v>
      </c>
      <c r="U52">
        <v>751</v>
      </c>
      <c r="V52" t="s">
        <v>40</v>
      </c>
      <c r="W52" s="1">
        <v>45686</v>
      </c>
      <c r="X52">
        <v>2025</v>
      </c>
    </row>
    <row r="53" spans="1:24" x14ac:dyDescent="0.25">
      <c r="A53" s="1">
        <v>45741</v>
      </c>
      <c r="B53" t="s">
        <v>155</v>
      </c>
      <c r="C53">
        <v>101508889100</v>
      </c>
      <c r="E53" t="s">
        <v>156</v>
      </c>
      <c r="F53" t="s">
        <v>157</v>
      </c>
      <c r="G53" t="s">
        <v>41</v>
      </c>
      <c r="H53" t="s">
        <v>28</v>
      </c>
      <c r="I53" t="s">
        <v>158</v>
      </c>
      <c r="J53" t="s">
        <v>159</v>
      </c>
      <c r="L53" s="1">
        <v>45689</v>
      </c>
      <c r="M53" s="1">
        <v>45689</v>
      </c>
      <c r="O53">
        <v>6634327</v>
      </c>
      <c r="P53" t="s">
        <v>31</v>
      </c>
      <c r="Q53" t="s">
        <v>160</v>
      </c>
      <c r="R53">
        <v>8192</v>
      </c>
      <c r="S53" t="s">
        <v>33</v>
      </c>
      <c r="T53" t="s">
        <v>34</v>
      </c>
      <c r="U53">
        <v>-401.5</v>
      </c>
      <c r="V53" t="s">
        <v>35</v>
      </c>
      <c r="W53" s="1">
        <v>45686</v>
      </c>
      <c r="X53">
        <v>2025</v>
      </c>
    </row>
    <row r="54" spans="1:24" x14ac:dyDescent="0.25">
      <c r="A54" s="1">
        <v>45741</v>
      </c>
      <c r="B54" t="s">
        <v>161</v>
      </c>
      <c r="C54">
        <v>102148711800</v>
      </c>
      <c r="E54" t="s">
        <v>162</v>
      </c>
      <c r="F54" t="s">
        <v>54</v>
      </c>
      <c r="G54" t="s">
        <v>38</v>
      </c>
      <c r="H54" t="s">
        <v>28</v>
      </c>
      <c r="I54" t="s">
        <v>55</v>
      </c>
      <c r="J54" t="s">
        <v>146</v>
      </c>
      <c r="L54" s="1">
        <v>45689</v>
      </c>
      <c r="M54" s="1">
        <v>45689</v>
      </c>
      <c r="O54">
        <v>17528908</v>
      </c>
      <c r="P54" t="s">
        <v>31</v>
      </c>
      <c r="Q54" t="s">
        <v>163</v>
      </c>
      <c r="R54">
        <v>8192</v>
      </c>
      <c r="S54" t="s">
        <v>33</v>
      </c>
      <c r="T54" t="s">
        <v>34</v>
      </c>
      <c r="U54">
        <v>830</v>
      </c>
      <c r="V54" t="s">
        <v>40</v>
      </c>
      <c r="W54" s="1">
        <v>45685</v>
      </c>
      <c r="X54">
        <v>2025</v>
      </c>
    </row>
    <row r="55" spans="1:24" x14ac:dyDescent="0.25">
      <c r="A55" s="1">
        <v>45741</v>
      </c>
      <c r="B55" t="s">
        <v>161</v>
      </c>
      <c r="C55">
        <v>102148711800</v>
      </c>
      <c r="E55" t="s">
        <v>162</v>
      </c>
      <c r="F55" t="s">
        <v>54</v>
      </c>
      <c r="G55" t="s">
        <v>41</v>
      </c>
      <c r="H55" t="s">
        <v>28</v>
      </c>
      <c r="I55" t="s">
        <v>55</v>
      </c>
      <c r="J55" t="s">
        <v>146</v>
      </c>
      <c r="L55" s="1">
        <v>45689</v>
      </c>
      <c r="M55" s="1">
        <v>45689</v>
      </c>
      <c r="O55">
        <v>17528908</v>
      </c>
      <c r="P55" t="s">
        <v>31</v>
      </c>
      <c r="Q55" t="s">
        <v>163</v>
      </c>
      <c r="R55">
        <v>8192</v>
      </c>
      <c r="S55" t="s">
        <v>33</v>
      </c>
      <c r="T55" t="s">
        <v>34</v>
      </c>
      <c r="U55">
        <v>-438.17</v>
      </c>
      <c r="V55" t="s">
        <v>35</v>
      </c>
      <c r="W55" s="1">
        <v>45685</v>
      </c>
      <c r="X55">
        <v>2025</v>
      </c>
    </row>
    <row r="56" spans="1:24" x14ac:dyDescent="0.25">
      <c r="A56" s="1">
        <v>45741</v>
      </c>
      <c r="B56" t="s">
        <v>164</v>
      </c>
      <c r="C56">
        <v>101930278400</v>
      </c>
      <c r="E56" t="s">
        <v>165</v>
      </c>
      <c r="F56" t="s">
        <v>166</v>
      </c>
      <c r="G56" t="s">
        <v>41</v>
      </c>
      <c r="H56" t="s">
        <v>28</v>
      </c>
      <c r="I56" t="s">
        <v>61</v>
      </c>
      <c r="J56" t="s">
        <v>167</v>
      </c>
      <c r="L56" s="1">
        <v>45717</v>
      </c>
      <c r="M56" s="1">
        <v>45717</v>
      </c>
      <c r="O56">
        <v>16633294</v>
      </c>
      <c r="P56" t="s">
        <v>31</v>
      </c>
      <c r="Q56" t="s">
        <v>168</v>
      </c>
      <c r="R56">
        <v>8192</v>
      </c>
      <c r="S56" t="s">
        <v>33</v>
      </c>
      <c r="T56" t="s">
        <v>34</v>
      </c>
      <c r="U56">
        <v>-365</v>
      </c>
      <c r="V56" t="s">
        <v>35</v>
      </c>
      <c r="W56" s="1">
        <v>45705</v>
      </c>
      <c r="X56">
        <v>2025</v>
      </c>
    </row>
    <row r="57" spans="1:24" x14ac:dyDescent="0.25">
      <c r="A57" s="1">
        <v>45741</v>
      </c>
      <c r="B57" t="s">
        <v>164</v>
      </c>
      <c r="C57">
        <v>101930278400</v>
      </c>
      <c r="E57" t="s">
        <v>165</v>
      </c>
      <c r="F57" t="s">
        <v>166</v>
      </c>
      <c r="G57" t="s">
        <v>38</v>
      </c>
      <c r="H57" t="s">
        <v>28</v>
      </c>
      <c r="I57" t="s">
        <v>61</v>
      </c>
      <c r="J57" t="s">
        <v>167</v>
      </c>
      <c r="L57" s="1">
        <v>45717</v>
      </c>
      <c r="M57" s="1">
        <v>45717</v>
      </c>
      <c r="O57">
        <v>16633294</v>
      </c>
      <c r="P57" t="s">
        <v>31</v>
      </c>
      <c r="Q57" t="s">
        <v>168</v>
      </c>
      <c r="R57">
        <v>8192</v>
      </c>
      <c r="S57" t="s">
        <v>33</v>
      </c>
      <c r="T57" t="s">
        <v>34</v>
      </c>
      <c r="U57">
        <v>751</v>
      </c>
      <c r="V57" t="s">
        <v>40</v>
      </c>
      <c r="W57" s="1">
        <v>45705</v>
      </c>
      <c r="X57">
        <v>2025</v>
      </c>
    </row>
    <row r="58" spans="1:24" x14ac:dyDescent="0.25">
      <c r="A58" s="1">
        <v>45741</v>
      </c>
      <c r="B58" t="s">
        <v>169</v>
      </c>
      <c r="C58">
        <v>102150535500</v>
      </c>
      <c r="E58" t="s">
        <v>170</v>
      </c>
      <c r="F58" t="s">
        <v>54</v>
      </c>
      <c r="G58" t="s">
        <v>41</v>
      </c>
      <c r="H58" t="s">
        <v>28</v>
      </c>
      <c r="I58" t="s">
        <v>55</v>
      </c>
      <c r="J58" t="s">
        <v>85</v>
      </c>
      <c r="L58" s="1">
        <v>45778</v>
      </c>
      <c r="M58" s="1">
        <v>45778</v>
      </c>
      <c r="O58">
        <v>17528908</v>
      </c>
      <c r="P58" t="s">
        <v>31</v>
      </c>
      <c r="Q58" t="s">
        <v>163</v>
      </c>
      <c r="R58">
        <v>8192</v>
      </c>
      <c r="S58" t="s">
        <v>33</v>
      </c>
      <c r="T58" t="s">
        <v>34</v>
      </c>
      <c r="U58">
        <v>-318.67</v>
      </c>
      <c r="V58" t="s">
        <v>35</v>
      </c>
      <c r="W58" s="1">
        <v>45701</v>
      </c>
      <c r="X58">
        <v>2025</v>
      </c>
    </row>
    <row r="59" spans="1:24" x14ac:dyDescent="0.25">
      <c r="A59" s="1">
        <v>45741</v>
      </c>
      <c r="B59" t="s">
        <v>169</v>
      </c>
      <c r="C59">
        <v>102150535500</v>
      </c>
      <c r="E59" t="s">
        <v>170</v>
      </c>
      <c r="F59" t="s">
        <v>54</v>
      </c>
      <c r="G59" t="s">
        <v>38</v>
      </c>
      <c r="H59" t="s">
        <v>28</v>
      </c>
      <c r="I59" t="s">
        <v>55</v>
      </c>
      <c r="J59" t="s">
        <v>85</v>
      </c>
      <c r="L59" s="1">
        <v>45778</v>
      </c>
      <c r="M59" s="1">
        <v>45778</v>
      </c>
      <c r="O59">
        <v>17528908</v>
      </c>
      <c r="P59" t="s">
        <v>31</v>
      </c>
      <c r="Q59" t="s">
        <v>163</v>
      </c>
      <c r="R59">
        <v>8192</v>
      </c>
      <c r="S59" t="s">
        <v>33</v>
      </c>
      <c r="T59" t="s">
        <v>34</v>
      </c>
      <c r="U59">
        <v>830</v>
      </c>
      <c r="V59" t="s">
        <v>40</v>
      </c>
      <c r="W59" s="1">
        <v>45701</v>
      </c>
      <c r="X59">
        <v>2025</v>
      </c>
    </row>
    <row r="60" spans="1:24" x14ac:dyDescent="0.25">
      <c r="A60" s="1">
        <v>45741</v>
      </c>
      <c r="B60" t="s">
        <v>171</v>
      </c>
      <c r="C60">
        <v>102157214200</v>
      </c>
      <c r="E60" t="s">
        <v>172</v>
      </c>
      <c r="F60" t="s">
        <v>26</v>
      </c>
      <c r="G60" t="s">
        <v>50</v>
      </c>
      <c r="H60" t="s">
        <v>28</v>
      </c>
      <c r="I60" t="s">
        <v>29</v>
      </c>
      <c r="J60" t="s">
        <v>88</v>
      </c>
      <c r="L60" s="1">
        <v>45748</v>
      </c>
      <c r="M60" s="1">
        <v>45748</v>
      </c>
      <c r="O60">
        <v>19586992</v>
      </c>
      <c r="P60" t="s">
        <v>31</v>
      </c>
      <c r="Q60" t="s">
        <v>173</v>
      </c>
      <c r="R60">
        <v>8192</v>
      </c>
      <c r="S60" t="s">
        <v>33</v>
      </c>
      <c r="T60" t="s">
        <v>34</v>
      </c>
      <c r="U60">
        <v>328.5</v>
      </c>
      <c r="V60" t="s">
        <v>35</v>
      </c>
      <c r="W60" s="1">
        <v>45723</v>
      </c>
      <c r="X60">
        <v>2025</v>
      </c>
    </row>
    <row r="61" spans="1:24" x14ac:dyDescent="0.25">
      <c r="A61" s="1">
        <v>45741</v>
      </c>
      <c r="B61" t="s">
        <v>174</v>
      </c>
      <c r="C61">
        <v>101463901900</v>
      </c>
      <c r="E61" t="s">
        <v>175</v>
      </c>
      <c r="F61" t="s">
        <v>54</v>
      </c>
      <c r="G61" t="s">
        <v>50</v>
      </c>
      <c r="H61" t="s">
        <v>28</v>
      </c>
      <c r="I61" t="s">
        <v>55</v>
      </c>
      <c r="J61" t="s">
        <v>176</v>
      </c>
      <c r="L61" s="1">
        <v>45748</v>
      </c>
      <c r="M61" s="1">
        <v>45748</v>
      </c>
      <c r="O61">
        <v>18657307</v>
      </c>
      <c r="P61" t="s">
        <v>105</v>
      </c>
      <c r="Q61" t="s">
        <v>106</v>
      </c>
      <c r="R61">
        <v>8192</v>
      </c>
      <c r="S61" t="s">
        <v>33</v>
      </c>
      <c r="T61" t="s">
        <v>34</v>
      </c>
      <c r="U61">
        <v>93.75</v>
      </c>
      <c r="V61" t="s">
        <v>35</v>
      </c>
      <c r="W61" s="1">
        <v>45722</v>
      </c>
      <c r="X61">
        <v>2025</v>
      </c>
    </row>
    <row r="62" spans="1:24" x14ac:dyDescent="0.25">
      <c r="A62" s="1">
        <v>45741</v>
      </c>
      <c r="B62" t="s">
        <v>177</v>
      </c>
      <c r="C62">
        <v>102152584900</v>
      </c>
      <c r="E62" t="s">
        <v>178</v>
      </c>
      <c r="F62" t="s">
        <v>179</v>
      </c>
      <c r="G62" t="s">
        <v>41</v>
      </c>
      <c r="H62" t="s">
        <v>28</v>
      </c>
      <c r="I62" t="s">
        <v>45</v>
      </c>
      <c r="J62" t="s">
        <v>180</v>
      </c>
      <c r="L62" s="1">
        <v>45748</v>
      </c>
      <c r="M62" s="1">
        <v>45748</v>
      </c>
      <c r="O62">
        <v>9213293</v>
      </c>
      <c r="P62" t="s">
        <v>31</v>
      </c>
      <c r="Q62" t="s">
        <v>47</v>
      </c>
      <c r="R62">
        <v>8192</v>
      </c>
      <c r="S62" t="s">
        <v>33</v>
      </c>
      <c r="T62" t="s">
        <v>34</v>
      </c>
      <c r="U62">
        <v>-328.5</v>
      </c>
      <c r="V62" t="s">
        <v>35</v>
      </c>
      <c r="W62" s="1">
        <v>45708</v>
      </c>
      <c r="X62">
        <v>2025</v>
      </c>
    </row>
    <row r="63" spans="1:24" x14ac:dyDescent="0.25">
      <c r="A63" s="1">
        <v>45741</v>
      </c>
      <c r="B63" t="s">
        <v>177</v>
      </c>
      <c r="C63">
        <v>102152584900</v>
      </c>
      <c r="E63" t="s">
        <v>178</v>
      </c>
      <c r="F63" t="s">
        <v>179</v>
      </c>
      <c r="G63" t="s">
        <v>38</v>
      </c>
      <c r="H63" t="s">
        <v>28</v>
      </c>
      <c r="I63" t="s">
        <v>45</v>
      </c>
      <c r="J63" t="s">
        <v>180</v>
      </c>
      <c r="L63" s="1">
        <v>45748</v>
      </c>
      <c r="M63" s="1">
        <v>45748</v>
      </c>
      <c r="O63">
        <v>9213293</v>
      </c>
      <c r="P63" t="s">
        <v>31</v>
      </c>
      <c r="Q63" t="s">
        <v>47</v>
      </c>
      <c r="R63">
        <v>8192</v>
      </c>
      <c r="S63" t="s">
        <v>33</v>
      </c>
      <c r="T63" t="s">
        <v>34</v>
      </c>
      <c r="U63">
        <v>751</v>
      </c>
      <c r="V63" t="s">
        <v>40</v>
      </c>
      <c r="W63" s="1">
        <v>45708</v>
      </c>
      <c r="X63">
        <v>2025</v>
      </c>
    </row>
    <row r="64" spans="1:24" x14ac:dyDescent="0.25">
      <c r="A64" s="1">
        <v>45741</v>
      </c>
      <c r="B64" t="s">
        <v>181</v>
      </c>
      <c r="C64">
        <v>102152552400</v>
      </c>
      <c r="E64" t="s">
        <v>182</v>
      </c>
      <c r="F64" t="s">
        <v>54</v>
      </c>
      <c r="G64" t="s">
        <v>38</v>
      </c>
      <c r="H64" t="s">
        <v>28</v>
      </c>
      <c r="I64" t="s">
        <v>55</v>
      </c>
      <c r="J64" t="s">
        <v>85</v>
      </c>
      <c r="L64" s="1">
        <v>45717</v>
      </c>
      <c r="M64" s="1">
        <v>45717</v>
      </c>
      <c r="O64">
        <v>17528908</v>
      </c>
      <c r="P64" t="s">
        <v>31</v>
      </c>
      <c r="Q64" t="s">
        <v>163</v>
      </c>
      <c r="R64">
        <v>8192</v>
      </c>
      <c r="S64" t="s">
        <v>33</v>
      </c>
      <c r="T64" t="s">
        <v>34</v>
      </c>
      <c r="U64">
        <v>830</v>
      </c>
      <c r="V64" t="s">
        <v>40</v>
      </c>
      <c r="W64" s="1">
        <v>45708</v>
      </c>
      <c r="X64">
        <v>2025</v>
      </c>
    </row>
    <row r="65" spans="1:24" x14ac:dyDescent="0.25">
      <c r="A65" s="1">
        <v>45741</v>
      </c>
      <c r="B65" t="s">
        <v>181</v>
      </c>
      <c r="C65">
        <v>102152552400</v>
      </c>
      <c r="E65" t="s">
        <v>182</v>
      </c>
      <c r="F65" t="s">
        <v>54</v>
      </c>
      <c r="G65" t="s">
        <v>41</v>
      </c>
      <c r="H65" t="s">
        <v>28</v>
      </c>
      <c r="I65" t="s">
        <v>55</v>
      </c>
      <c r="J65" t="s">
        <v>85</v>
      </c>
      <c r="L65" s="1">
        <v>45717</v>
      </c>
      <c r="M65" s="1">
        <v>45717</v>
      </c>
      <c r="O65">
        <v>17528908</v>
      </c>
      <c r="P65" t="s">
        <v>31</v>
      </c>
      <c r="Q65" t="s">
        <v>163</v>
      </c>
      <c r="R65">
        <v>8192</v>
      </c>
      <c r="S65" t="s">
        <v>33</v>
      </c>
      <c r="T65" t="s">
        <v>34</v>
      </c>
      <c r="U65">
        <v>-398.33</v>
      </c>
      <c r="V65" t="s">
        <v>35</v>
      </c>
      <c r="W65" s="1">
        <v>45708</v>
      </c>
      <c r="X65">
        <v>2025</v>
      </c>
    </row>
    <row r="66" spans="1:24" x14ac:dyDescent="0.25">
      <c r="A66" s="1">
        <v>45741</v>
      </c>
      <c r="B66" t="s">
        <v>183</v>
      </c>
      <c r="C66">
        <v>102156088300</v>
      </c>
      <c r="E66" t="s">
        <v>184</v>
      </c>
      <c r="F66" t="s">
        <v>71</v>
      </c>
      <c r="G66" t="s">
        <v>27</v>
      </c>
      <c r="H66" t="s">
        <v>28</v>
      </c>
      <c r="I66" t="s">
        <v>72</v>
      </c>
      <c r="J66" t="s">
        <v>185</v>
      </c>
      <c r="L66" s="1">
        <v>45717</v>
      </c>
      <c r="M66" s="1">
        <v>45717</v>
      </c>
      <c r="N66" s="1">
        <v>45747</v>
      </c>
      <c r="O66">
        <v>18935660</v>
      </c>
      <c r="P66" t="s">
        <v>31</v>
      </c>
      <c r="Q66" t="s">
        <v>186</v>
      </c>
      <c r="R66">
        <v>8192</v>
      </c>
      <c r="S66" t="s">
        <v>33</v>
      </c>
      <c r="T66" t="s">
        <v>34</v>
      </c>
      <c r="U66">
        <v>-365</v>
      </c>
      <c r="V66" t="s">
        <v>35</v>
      </c>
      <c r="W66" s="1">
        <v>45716</v>
      </c>
      <c r="X66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5C21E-676F-461C-93DD-A3CDC2EC6A8E}">
  <dimension ref="A1:P120"/>
  <sheetViews>
    <sheetView tabSelected="1" workbookViewId="0">
      <selection activeCell="O15" sqref="O15"/>
    </sheetView>
  </sheetViews>
  <sheetFormatPr defaultRowHeight="15" x14ac:dyDescent="0.25"/>
  <cols>
    <col min="1" max="1" width="11.5703125" style="2" customWidth="1"/>
    <col min="2" max="2" width="17.28515625" style="2" bestFit="1" customWidth="1"/>
    <col min="3" max="3" width="17.28515625" style="2" customWidth="1"/>
    <col min="4" max="4" width="23.85546875" style="2" bestFit="1" customWidth="1"/>
    <col min="5" max="5" width="13.7109375" style="2" bestFit="1" customWidth="1"/>
    <col min="6" max="6" width="25.140625" style="2" bestFit="1" customWidth="1"/>
    <col min="7" max="10" width="9.140625" style="2"/>
    <col min="11" max="11" width="21.5703125" style="2" bestFit="1" customWidth="1"/>
    <col min="12" max="14" width="9.140625" style="2"/>
    <col min="15" max="15" width="21.5703125" style="3" bestFit="1" customWidth="1"/>
    <col min="16" max="16384" width="9.140625" style="2"/>
  </cols>
  <sheetData>
    <row r="1" spans="1:16" x14ac:dyDescent="0.25">
      <c r="A1" s="2" t="s">
        <v>0</v>
      </c>
      <c r="B1" s="2" t="s">
        <v>1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2" t="s">
        <v>12</v>
      </c>
      <c r="J1" s="2" t="s">
        <v>14</v>
      </c>
      <c r="K1" s="2" t="s">
        <v>16</v>
      </c>
      <c r="L1" s="2" t="s">
        <v>18</v>
      </c>
      <c r="M1" s="2" t="s">
        <v>20</v>
      </c>
    </row>
    <row r="2" spans="1:16" x14ac:dyDescent="0.25">
      <c r="A2" s="4">
        <v>45741</v>
      </c>
      <c r="B2" s="2" t="s">
        <v>89</v>
      </c>
      <c r="C2" s="2" t="str">
        <f>CONCATENATE(B2,8)</f>
        <v>1F85N69JY568</v>
      </c>
      <c r="D2" s="2" t="s">
        <v>291</v>
      </c>
      <c r="E2" s="2" t="s">
        <v>26</v>
      </c>
      <c r="F2" s="2" t="s">
        <v>50</v>
      </c>
      <c r="G2" s="2" t="s">
        <v>28</v>
      </c>
      <c r="H2" s="4">
        <v>45748</v>
      </c>
      <c r="I2" s="4">
        <v>45748</v>
      </c>
      <c r="J2" s="2">
        <v>7146581</v>
      </c>
      <c r="K2" s="2" t="s">
        <v>92</v>
      </c>
      <c r="L2" s="2" t="s">
        <v>33</v>
      </c>
      <c r="M2" s="2">
        <v>328.5</v>
      </c>
      <c r="N2" s="2">
        <v>313</v>
      </c>
      <c r="O2" s="3" t="s">
        <v>190</v>
      </c>
      <c r="P2" s="2" t="s">
        <v>188</v>
      </c>
    </row>
    <row r="3" spans="1:16" x14ac:dyDescent="0.25">
      <c r="A3" s="4">
        <v>45741</v>
      </c>
      <c r="B3" s="2" t="s">
        <v>89</v>
      </c>
      <c r="C3" s="2" t="str">
        <f>CONCATENATE(B3,88)</f>
        <v>1F85N69JY5688</v>
      </c>
      <c r="D3" s="2" t="s">
        <v>291</v>
      </c>
      <c r="E3" s="2" t="s">
        <v>26</v>
      </c>
      <c r="F3" s="2" t="s">
        <v>50</v>
      </c>
      <c r="G3" s="2" t="s">
        <v>28</v>
      </c>
      <c r="H3" s="4">
        <v>45748</v>
      </c>
      <c r="I3" s="4">
        <v>45748</v>
      </c>
      <c r="J3" s="2">
        <v>20411454</v>
      </c>
      <c r="K3" s="2" t="s">
        <v>309</v>
      </c>
      <c r="L3" s="2" t="s">
        <v>33</v>
      </c>
      <c r="M3" s="2">
        <v>328.5</v>
      </c>
      <c r="N3" s="2">
        <v>15.5</v>
      </c>
      <c r="O3" s="3" t="s">
        <v>191</v>
      </c>
    </row>
    <row r="4" spans="1:16" x14ac:dyDescent="0.25">
      <c r="A4" s="4">
        <v>45741</v>
      </c>
      <c r="B4" s="2" t="s">
        <v>102</v>
      </c>
      <c r="C4" s="2" t="str">
        <f>CONCATENATE(B4,88)</f>
        <v>1J67QG0AM6488</v>
      </c>
      <c r="D4" s="2" t="s">
        <v>302</v>
      </c>
      <c r="E4" s="2" t="s">
        <v>54</v>
      </c>
      <c r="F4" s="2" t="s">
        <v>41</v>
      </c>
      <c r="G4" s="2" t="s">
        <v>28</v>
      </c>
      <c r="H4" s="4">
        <v>45689</v>
      </c>
      <c r="I4" s="4">
        <v>45689</v>
      </c>
      <c r="J4" s="2">
        <v>20411454</v>
      </c>
      <c r="K4" s="2" t="s">
        <v>309</v>
      </c>
      <c r="L4" s="2" t="s">
        <v>33</v>
      </c>
      <c r="M4" s="2">
        <v>-114.59</v>
      </c>
      <c r="N4" s="2">
        <v>-114.59</v>
      </c>
      <c r="O4" s="3" t="s">
        <v>191</v>
      </c>
    </row>
    <row r="5" spans="1:16" x14ac:dyDescent="0.25">
      <c r="A5" s="4">
        <v>45741</v>
      </c>
      <c r="B5" s="2" t="s">
        <v>102</v>
      </c>
      <c r="C5" s="2" t="str">
        <f>CONCATENATE(B5,88)</f>
        <v>1J67QG0AM6488</v>
      </c>
      <c r="D5" s="2" t="s">
        <v>302</v>
      </c>
      <c r="E5" s="2" t="s">
        <v>54</v>
      </c>
      <c r="F5" s="2" t="s">
        <v>38</v>
      </c>
      <c r="G5" s="2" t="s">
        <v>28</v>
      </c>
      <c r="H5" s="4">
        <v>45689</v>
      </c>
      <c r="I5" s="4">
        <v>45689</v>
      </c>
      <c r="J5" s="2">
        <v>20411454</v>
      </c>
      <c r="K5" s="2" t="s">
        <v>309</v>
      </c>
      <c r="L5" s="2" t="s">
        <v>33</v>
      </c>
      <c r="M5" s="2">
        <v>125</v>
      </c>
      <c r="N5" s="2">
        <v>125</v>
      </c>
      <c r="O5" s="3" t="s">
        <v>191</v>
      </c>
    </row>
    <row r="6" spans="1:16" x14ac:dyDescent="0.25">
      <c r="A6" s="4">
        <v>45741</v>
      </c>
      <c r="B6" s="2" t="s">
        <v>58</v>
      </c>
      <c r="C6" s="2" t="str">
        <f>CONCATENATE(B6,7)</f>
        <v>1JM2K09CW057</v>
      </c>
      <c r="D6" s="2" t="s">
        <v>274</v>
      </c>
      <c r="E6" s="2" t="s">
        <v>60</v>
      </c>
      <c r="F6" s="2" t="s">
        <v>38</v>
      </c>
      <c r="G6" s="2" t="s">
        <v>28</v>
      </c>
      <c r="H6" s="4">
        <v>45748</v>
      </c>
      <c r="I6" s="4">
        <v>45748</v>
      </c>
      <c r="J6" s="2">
        <v>8307933</v>
      </c>
      <c r="K6" s="2" t="s">
        <v>63</v>
      </c>
      <c r="L6" s="2" t="s">
        <v>33</v>
      </c>
      <c r="M6" s="2">
        <v>751</v>
      </c>
      <c r="N6" s="2">
        <v>626</v>
      </c>
      <c r="O6" s="3" t="s">
        <v>194</v>
      </c>
      <c r="P6" s="2" t="s">
        <v>195</v>
      </c>
    </row>
    <row r="7" spans="1:16" x14ac:dyDescent="0.25">
      <c r="A7" s="4">
        <v>45741</v>
      </c>
      <c r="B7" s="2" t="s">
        <v>58</v>
      </c>
      <c r="C7" s="2" t="str">
        <f>CONCATENATE(B7,8)</f>
        <v>1JM2K09CW058</v>
      </c>
      <c r="D7" s="2" t="s">
        <v>274</v>
      </c>
      <c r="E7" s="2" t="s">
        <v>60</v>
      </c>
      <c r="F7" s="2" t="s">
        <v>41</v>
      </c>
      <c r="G7" s="2" t="s">
        <v>28</v>
      </c>
      <c r="H7" s="4">
        <v>45748</v>
      </c>
      <c r="I7" s="4">
        <v>45748</v>
      </c>
      <c r="J7" s="2">
        <v>8307933</v>
      </c>
      <c r="K7" s="2" t="s">
        <v>63</v>
      </c>
      <c r="L7" s="2" t="s">
        <v>33</v>
      </c>
      <c r="M7" s="2">
        <v>-328.5</v>
      </c>
      <c r="N7" s="2">
        <v>-313</v>
      </c>
      <c r="O7" s="3" t="s">
        <v>190</v>
      </c>
      <c r="P7" s="2" t="s">
        <v>188</v>
      </c>
    </row>
    <row r="8" spans="1:16" x14ac:dyDescent="0.25">
      <c r="A8" s="4">
        <v>45741</v>
      </c>
      <c r="B8" s="2" t="s">
        <v>58</v>
      </c>
      <c r="C8" s="2" t="str">
        <f>CONCATENATE(B8,88)</f>
        <v>1JM2K09CW0588</v>
      </c>
      <c r="D8" s="2" t="s">
        <v>274</v>
      </c>
      <c r="E8" s="2" t="s">
        <v>60</v>
      </c>
      <c r="F8" s="2" t="s">
        <v>41</v>
      </c>
      <c r="G8" s="2" t="s">
        <v>28</v>
      </c>
      <c r="H8" s="4">
        <v>45748</v>
      </c>
      <c r="I8" s="4">
        <v>45748</v>
      </c>
      <c r="J8" s="2">
        <v>20411454</v>
      </c>
      <c r="K8" s="2" t="s">
        <v>309</v>
      </c>
      <c r="L8" s="2" t="s">
        <v>33</v>
      </c>
      <c r="M8" s="2">
        <v>-328.5</v>
      </c>
      <c r="N8" s="2">
        <v>-15.5</v>
      </c>
      <c r="O8" s="3" t="s">
        <v>191</v>
      </c>
    </row>
    <row r="9" spans="1:16" x14ac:dyDescent="0.25">
      <c r="A9" s="4">
        <v>45741</v>
      </c>
      <c r="B9" s="2" t="s">
        <v>58</v>
      </c>
      <c r="C9" s="2" t="str">
        <f>CONCATENATE(B9,88)</f>
        <v>1JM2K09CW0588</v>
      </c>
      <c r="D9" s="2" t="s">
        <v>274</v>
      </c>
      <c r="E9" s="2" t="s">
        <v>60</v>
      </c>
      <c r="F9" s="2" t="s">
        <v>38</v>
      </c>
      <c r="G9" s="2" t="s">
        <v>28</v>
      </c>
      <c r="H9" s="4">
        <v>45748</v>
      </c>
      <c r="I9" s="4">
        <v>45748</v>
      </c>
      <c r="J9" s="2">
        <v>20411454</v>
      </c>
      <c r="K9" s="2" t="s">
        <v>309</v>
      </c>
      <c r="L9" s="2" t="s">
        <v>33</v>
      </c>
      <c r="M9" s="2">
        <v>751</v>
      </c>
      <c r="N9" s="2">
        <v>125</v>
      </c>
      <c r="O9" s="3" t="s">
        <v>191</v>
      </c>
    </row>
    <row r="10" spans="1:16" x14ac:dyDescent="0.25">
      <c r="A10" s="4">
        <v>45741</v>
      </c>
      <c r="B10" s="2" t="s">
        <v>133</v>
      </c>
      <c r="C10" s="2" t="str">
        <f>CONCATENATE(B10,7)</f>
        <v>1TE1A62XV807</v>
      </c>
      <c r="D10" s="2" t="s">
        <v>275</v>
      </c>
      <c r="E10" s="2" t="s">
        <v>26</v>
      </c>
      <c r="F10" s="2" t="s">
        <v>38</v>
      </c>
      <c r="G10" s="2" t="s">
        <v>28</v>
      </c>
      <c r="H10" s="4">
        <v>45689</v>
      </c>
      <c r="I10" s="4">
        <v>45689</v>
      </c>
      <c r="J10" s="2">
        <v>2158366</v>
      </c>
      <c r="K10" s="2" t="s">
        <v>132</v>
      </c>
      <c r="L10" s="2" t="s">
        <v>33</v>
      </c>
      <c r="M10" s="2">
        <v>751</v>
      </c>
      <c r="N10" s="2">
        <v>626</v>
      </c>
      <c r="O10" s="3" t="s">
        <v>194</v>
      </c>
      <c r="P10" s="2" t="s">
        <v>195</v>
      </c>
    </row>
    <row r="11" spans="1:16" x14ac:dyDescent="0.25">
      <c r="A11" s="4">
        <v>45741</v>
      </c>
      <c r="B11" s="2" t="s">
        <v>133</v>
      </c>
      <c r="C11" s="2" t="str">
        <f>CONCATENATE(B11,8)</f>
        <v>1TE1A62XV808</v>
      </c>
      <c r="D11" s="2" t="s">
        <v>275</v>
      </c>
      <c r="E11" s="2" t="s">
        <v>26</v>
      </c>
      <c r="F11" s="2" t="s">
        <v>41</v>
      </c>
      <c r="G11" s="2" t="s">
        <v>28</v>
      </c>
      <c r="H11" s="4">
        <v>45689</v>
      </c>
      <c r="I11" s="4">
        <v>45689</v>
      </c>
      <c r="J11" s="2">
        <v>2158366</v>
      </c>
      <c r="K11" s="2" t="s">
        <v>132</v>
      </c>
      <c r="L11" s="2" t="s">
        <v>33</v>
      </c>
      <c r="M11" s="2">
        <v>-401.5</v>
      </c>
      <c r="N11" s="2">
        <v>-313</v>
      </c>
      <c r="O11" s="3" t="s">
        <v>190</v>
      </c>
      <c r="P11" s="2" t="s">
        <v>188</v>
      </c>
    </row>
    <row r="12" spans="1:16" x14ac:dyDescent="0.25">
      <c r="A12" s="4">
        <v>45741</v>
      </c>
      <c r="B12" s="2" t="s">
        <v>133</v>
      </c>
      <c r="C12" s="2" t="str">
        <f>CONCATENATE(B12,88)</f>
        <v>1TE1A62XV8088</v>
      </c>
      <c r="D12" s="2" t="s">
        <v>275</v>
      </c>
      <c r="E12" s="2" t="s">
        <v>26</v>
      </c>
      <c r="F12" s="2" t="s">
        <v>41</v>
      </c>
      <c r="G12" s="2" t="s">
        <v>28</v>
      </c>
      <c r="H12" s="4">
        <v>45689</v>
      </c>
      <c r="I12" s="4">
        <v>45689</v>
      </c>
      <c r="J12" s="2">
        <v>20411454</v>
      </c>
      <c r="K12" s="2" t="s">
        <v>309</v>
      </c>
      <c r="L12" s="2" t="s">
        <v>33</v>
      </c>
      <c r="M12" s="2">
        <v>-401.5</v>
      </c>
      <c r="N12" s="2">
        <v>-88.5</v>
      </c>
      <c r="O12" s="3" t="s">
        <v>191</v>
      </c>
    </row>
    <row r="13" spans="1:16" x14ac:dyDescent="0.25">
      <c r="A13" s="4">
        <v>45741</v>
      </c>
      <c r="B13" s="2" t="s">
        <v>133</v>
      </c>
      <c r="C13" s="2" t="str">
        <f>CONCATENATE(B13,88)</f>
        <v>1TE1A62XV8088</v>
      </c>
      <c r="D13" s="2" t="s">
        <v>275</v>
      </c>
      <c r="E13" s="2" t="s">
        <v>26</v>
      </c>
      <c r="F13" s="2" t="s">
        <v>38</v>
      </c>
      <c r="G13" s="2" t="s">
        <v>28</v>
      </c>
      <c r="H13" s="4">
        <v>45689</v>
      </c>
      <c r="I13" s="4">
        <v>45689</v>
      </c>
      <c r="J13" s="2">
        <v>20411454</v>
      </c>
      <c r="K13" s="2" t="s">
        <v>309</v>
      </c>
      <c r="L13" s="2" t="s">
        <v>33</v>
      </c>
      <c r="M13" s="2">
        <v>751</v>
      </c>
      <c r="N13" s="2">
        <v>125</v>
      </c>
      <c r="O13" s="3" t="s">
        <v>191</v>
      </c>
    </row>
    <row r="14" spans="1:16" x14ac:dyDescent="0.25">
      <c r="A14" s="4">
        <v>45741</v>
      </c>
      <c r="B14" s="2" t="s">
        <v>148</v>
      </c>
      <c r="C14" s="2" t="str">
        <f>CONCATENATE(B14,7)</f>
        <v>1V02YH3AY087</v>
      </c>
      <c r="D14" s="2" t="s">
        <v>276</v>
      </c>
      <c r="E14" s="2" t="s">
        <v>150</v>
      </c>
      <c r="F14" s="2" t="s">
        <v>38</v>
      </c>
      <c r="G14" s="2" t="s">
        <v>28</v>
      </c>
      <c r="H14" s="4">
        <v>45717</v>
      </c>
      <c r="I14" s="4">
        <v>45717</v>
      </c>
      <c r="J14" s="2">
        <v>15278437</v>
      </c>
      <c r="K14" s="2" t="s">
        <v>110</v>
      </c>
      <c r="L14" s="2" t="s">
        <v>33</v>
      </c>
      <c r="M14" s="2">
        <v>751</v>
      </c>
      <c r="N14" s="2">
        <v>626</v>
      </c>
      <c r="O14" s="3" t="s">
        <v>194</v>
      </c>
      <c r="P14" s="2" t="s">
        <v>195</v>
      </c>
    </row>
    <row r="15" spans="1:16" x14ac:dyDescent="0.25">
      <c r="A15" s="4">
        <v>45741</v>
      </c>
      <c r="B15" s="2" t="s">
        <v>148</v>
      </c>
      <c r="C15" s="2" t="str">
        <f>CONCATENATE(B15,8)</f>
        <v>1V02YH3AY088</v>
      </c>
      <c r="D15" s="2" t="s">
        <v>276</v>
      </c>
      <c r="E15" s="2" t="s">
        <v>150</v>
      </c>
      <c r="F15" s="2" t="s">
        <v>41</v>
      </c>
      <c r="G15" s="2" t="s">
        <v>28</v>
      </c>
      <c r="H15" s="4">
        <v>45717</v>
      </c>
      <c r="I15" s="4">
        <v>45717</v>
      </c>
      <c r="J15" s="2">
        <v>15278437</v>
      </c>
      <c r="K15" s="2" t="s">
        <v>110</v>
      </c>
      <c r="L15" s="2" t="s">
        <v>33</v>
      </c>
      <c r="M15" s="2">
        <v>-365</v>
      </c>
      <c r="N15" s="2">
        <v>-313</v>
      </c>
      <c r="O15" s="3" t="s">
        <v>311</v>
      </c>
      <c r="P15" s="2" t="s">
        <v>188</v>
      </c>
    </row>
    <row r="16" spans="1:16" x14ac:dyDescent="0.25">
      <c r="A16" s="4">
        <v>45741</v>
      </c>
      <c r="B16" s="2" t="s">
        <v>148</v>
      </c>
      <c r="C16" s="2" t="str">
        <f>CONCATENATE(B16,88)</f>
        <v>1V02YH3AY0888</v>
      </c>
      <c r="D16" s="2" t="s">
        <v>276</v>
      </c>
      <c r="E16" s="2" t="s">
        <v>150</v>
      </c>
      <c r="F16" s="2" t="s">
        <v>41</v>
      </c>
      <c r="G16" s="2" t="s">
        <v>28</v>
      </c>
      <c r="H16" s="4">
        <v>45717</v>
      </c>
      <c r="I16" s="4">
        <v>45717</v>
      </c>
      <c r="J16" s="2">
        <v>20411454</v>
      </c>
      <c r="K16" s="2" t="s">
        <v>309</v>
      </c>
      <c r="L16" s="2" t="s">
        <v>33</v>
      </c>
      <c r="M16" s="2">
        <v>-365</v>
      </c>
      <c r="N16" s="2">
        <v>-52</v>
      </c>
      <c r="O16" s="3" t="s">
        <v>191</v>
      </c>
    </row>
    <row r="17" spans="1:16" x14ac:dyDescent="0.25">
      <c r="A17" s="4">
        <v>45741</v>
      </c>
      <c r="B17" s="2" t="s">
        <v>148</v>
      </c>
      <c r="C17" s="2" t="str">
        <f>CONCATENATE(B17,88)</f>
        <v>1V02YH3AY0888</v>
      </c>
      <c r="D17" s="2" t="s">
        <v>276</v>
      </c>
      <c r="E17" s="2" t="s">
        <v>150</v>
      </c>
      <c r="F17" s="2" t="s">
        <v>38</v>
      </c>
      <c r="G17" s="2" t="s">
        <v>28</v>
      </c>
      <c r="H17" s="4">
        <v>45717</v>
      </c>
      <c r="I17" s="4">
        <v>45717</v>
      </c>
      <c r="J17" s="2">
        <v>20411454</v>
      </c>
      <c r="K17" s="2" t="s">
        <v>309</v>
      </c>
      <c r="L17" s="2" t="s">
        <v>33</v>
      </c>
      <c r="M17" s="2">
        <v>751</v>
      </c>
      <c r="N17" s="2">
        <v>125</v>
      </c>
      <c r="O17" s="3" t="s">
        <v>191</v>
      </c>
    </row>
    <row r="18" spans="1:16" x14ac:dyDescent="0.25">
      <c r="A18" s="4">
        <v>45741</v>
      </c>
      <c r="B18" s="2" t="s">
        <v>161</v>
      </c>
      <c r="C18" s="2" t="str">
        <f>CONCATENATE(B18,7)</f>
        <v>2GA8E44GJ267</v>
      </c>
      <c r="D18" s="2" t="s">
        <v>269</v>
      </c>
      <c r="E18" s="2" t="s">
        <v>54</v>
      </c>
      <c r="F18" s="2" t="s">
        <v>38</v>
      </c>
      <c r="G18" s="2" t="s">
        <v>28</v>
      </c>
      <c r="H18" s="4">
        <v>45689</v>
      </c>
      <c r="I18" s="4">
        <v>45689</v>
      </c>
      <c r="J18" s="2" t="s">
        <v>310</v>
      </c>
      <c r="K18" s="2" t="s">
        <v>163</v>
      </c>
      <c r="L18" s="2" t="s">
        <v>33</v>
      </c>
      <c r="M18" s="2">
        <v>830</v>
      </c>
      <c r="N18" s="2">
        <v>705</v>
      </c>
      <c r="O18" s="3" t="s">
        <v>197</v>
      </c>
      <c r="P18" s="2" t="s">
        <v>198</v>
      </c>
    </row>
    <row r="19" spans="1:16" x14ac:dyDescent="0.25">
      <c r="A19" s="4">
        <v>45741</v>
      </c>
      <c r="B19" s="2" t="s">
        <v>161</v>
      </c>
      <c r="C19" s="2" t="str">
        <f>CONCATENATE(B19,8)</f>
        <v>2GA8E44GJ268</v>
      </c>
      <c r="D19" s="2" t="s">
        <v>269</v>
      </c>
      <c r="E19" s="2" t="s">
        <v>54</v>
      </c>
      <c r="F19" s="2" t="s">
        <v>41</v>
      </c>
      <c r="G19" s="2" t="s">
        <v>28</v>
      </c>
      <c r="H19" s="4">
        <v>45689</v>
      </c>
      <c r="I19" s="4">
        <v>45689</v>
      </c>
      <c r="J19" s="2" t="s">
        <v>310</v>
      </c>
      <c r="K19" s="2" t="s">
        <v>163</v>
      </c>
      <c r="L19" s="2" t="s">
        <v>33</v>
      </c>
      <c r="M19" s="2">
        <v>-438.17</v>
      </c>
      <c r="N19" s="2">
        <v>-353</v>
      </c>
      <c r="O19" s="2" t="s">
        <v>189</v>
      </c>
      <c r="P19" s="2" t="s">
        <v>193</v>
      </c>
    </row>
    <row r="20" spans="1:16" x14ac:dyDescent="0.25">
      <c r="A20" s="4">
        <v>45741</v>
      </c>
      <c r="B20" s="2" t="s">
        <v>161</v>
      </c>
      <c r="C20" s="2" t="str">
        <f>CONCATENATE(B20,88)</f>
        <v>2GA8E44GJ2688</v>
      </c>
      <c r="D20" s="2" t="s">
        <v>269</v>
      </c>
      <c r="E20" s="2" t="s">
        <v>54</v>
      </c>
      <c r="F20" s="2" t="s">
        <v>41</v>
      </c>
      <c r="G20" s="2" t="s">
        <v>28</v>
      </c>
      <c r="H20" s="4">
        <v>45689</v>
      </c>
      <c r="I20" s="4">
        <v>45689</v>
      </c>
      <c r="J20" s="2">
        <v>20411454</v>
      </c>
      <c r="K20" s="2" t="s">
        <v>309</v>
      </c>
      <c r="L20" s="2" t="s">
        <v>33</v>
      </c>
      <c r="M20" s="2">
        <v>-438.17</v>
      </c>
      <c r="N20" s="2">
        <v>-85.17</v>
      </c>
      <c r="O20" s="3" t="s">
        <v>191</v>
      </c>
    </row>
    <row r="21" spans="1:16" x14ac:dyDescent="0.25">
      <c r="A21" s="4">
        <v>45741</v>
      </c>
      <c r="B21" s="2" t="s">
        <v>161</v>
      </c>
      <c r="C21" s="2" t="str">
        <f>CONCATENATE(B21,88)</f>
        <v>2GA8E44GJ2688</v>
      </c>
      <c r="D21" s="2" t="s">
        <v>269</v>
      </c>
      <c r="E21" s="2" t="s">
        <v>54</v>
      </c>
      <c r="F21" s="2" t="s">
        <v>38</v>
      </c>
      <c r="G21" s="2" t="s">
        <v>28</v>
      </c>
      <c r="H21" s="4">
        <v>45689</v>
      </c>
      <c r="I21" s="4">
        <v>45689</v>
      </c>
      <c r="J21" s="2">
        <v>20411454</v>
      </c>
      <c r="K21" s="2" t="s">
        <v>309</v>
      </c>
      <c r="L21" s="2" t="s">
        <v>33</v>
      </c>
      <c r="M21" s="2">
        <v>830</v>
      </c>
      <c r="N21" s="2">
        <v>125</v>
      </c>
      <c r="O21" s="3" t="s">
        <v>191</v>
      </c>
    </row>
    <row r="22" spans="1:16" x14ac:dyDescent="0.25">
      <c r="A22" s="4">
        <v>45741</v>
      </c>
      <c r="B22" s="2" t="s">
        <v>107</v>
      </c>
      <c r="C22" s="2" t="str">
        <f>CONCATENATE(B22,7)</f>
        <v>2XN6YE1QM607</v>
      </c>
      <c r="D22" s="2" t="s">
        <v>270</v>
      </c>
      <c r="E22" s="2" t="s">
        <v>54</v>
      </c>
      <c r="F22" s="2" t="s">
        <v>38</v>
      </c>
      <c r="G22" s="2" t="s">
        <v>28</v>
      </c>
      <c r="H22" s="4">
        <v>45717</v>
      </c>
      <c r="I22" s="4">
        <v>45717</v>
      </c>
      <c r="J22" s="2">
        <v>15278437</v>
      </c>
      <c r="K22" s="2" t="s">
        <v>110</v>
      </c>
      <c r="L22" s="2" t="s">
        <v>33</v>
      </c>
      <c r="M22" s="2">
        <v>830</v>
      </c>
      <c r="N22" s="2">
        <v>705</v>
      </c>
      <c r="O22" s="3" t="s">
        <v>197</v>
      </c>
      <c r="P22" s="2" t="s">
        <v>198</v>
      </c>
    </row>
    <row r="23" spans="1:16" x14ac:dyDescent="0.25">
      <c r="A23" s="4">
        <v>45741</v>
      </c>
      <c r="B23" s="2" t="s">
        <v>107</v>
      </c>
      <c r="C23" s="2" t="str">
        <f>CONCATENATE(B23,8)</f>
        <v>2XN6YE1QM608</v>
      </c>
      <c r="D23" s="2" t="s">
        <v>270</v>
      </c>
      <c r="E23" s="2" t="s">
        <v>54</v>
      </c>
      <c r="F23" s="2" t="s">
        <v>41</v>
      </c>
      <c r="G23" s="2" t="s">
        <v>28</v>
      </c>
      <c r="H23" s="4">
        <v>45717</v>
      </c>
      <c r="I23" s="4">
        <v>45717</v>
      </c>
      <c r="J23" s="2">
        <v>15278437</v>
      </c>
      <c r="K23" s="2" t="s">
        <v>110</v>
      </c>
      <c r="L23" s="2" t="s">
        <v>33</v>
      </c>
      <c r="M23" s="2">
        <v>-398.33</v>
      </c>
      <c r="N23" s="2">
        <v>-353</v>
      </c>
      <c r="O23" s="2" t="s">
        <v>189</v>
      </c>
      <c r="P23" s="2" t="s">
        <v>193</v>
      </c>
    </row>
    <row r="24" spans="1:16" x14ac:dyDescent="0.25">
      <c r="A24" s="4">
        <v>45741</v>
      </c>
      <c r="B24" s="2" t="s">
        <v>107</v>
      </c>
      <c r="C24" s="2" t="str">
        <f>CONCATENATE(B24,88)</f>
        <v>2XN6YE1QM6088</v>
      </c>
      <c r="D24" s="2" t="s">
        <v>270</v>
      </c>
      <c r="E24" s="2" t="s">
        <v>54</v>
      </c>
      <c r="F24" s="2" t="s">
        <v>41</v>
      </c>
      <c r="G24" s="2" t="s">
        <v>28</v>
      </c>
      <c r="H24" s="4">
        <v>45717</v>
      </c>
      <c r="I24" s="4">
        <v>45717</v>
      </c>
      <c r="J24" s="2">
        <v>20411454</v>
      </c>
      <c r="K24" s="2" t="s">
        <v>309</v>
      </c>
      <c r="L24" s="2" t="s">
        <v>33</v>
      </c>
      <c r="M24" s="2">
        <v>-398.33</v>
      </c>
      <c r="N24" s="2">
        <v>-45.33</v>
      </c>
      <c r="O24" s="3" t="s">
        <v>191</v>
      </c>
    </row>
    <row r="25" spans="1:16" x14ac:dyDescent="0.25">
      <c r="A25" s="4">
        <v>45741</v>
      </c>
      <c r="B25" s="2" t="s">
        <v>107</v>
      </c>
      <c r="C25" s="2" t="str">
        <f>CONCATENATE(B25,88)</f>
        <v>2XN6YE1QM6088</v>
      </c>
      <c r="D25" s="2" t="s">
        <v>270</v>
      </c>
      <c r="E25" s="2" t="s">
        <v>54</v>
      </c>
      <c r="F25" s="2" t="s">
        <v>38</v>
      </c>
      <c r="G25" s="2" t="s">
        <v>28</v>
      </c>
      <c r="H25" s="4">
        <v>45717</v>
      </c>
      <c r="I25" s="4">
        <v>45717</v>
      </c>
      <c r="J25" s="2">
        <v>20411454</v>
      </c>
      <c r="K25" s="2" t="s">
        <v>309</v>
      </c>
      <c r="L25" s="2" t="s">
        <v>33</v>
      </c>
      <c r="M25" s="2">
        <v>830</v>
      </c>
      <c r="N25" s="2">
        <v>125</v>
      </c>
      <c r="O25" s="3" t="s">
        <v>191</v>
      </c>
    </row>
    <row r="26" spans="1:16" x14ac:dyDescent="0.25">
      <c r="A26" s="4">
        <v>45741</v>
      </c>
      <c r="B26" s="2" t="s">
        <v>118</v>
      </c>
      <c r="C26" s="2" t="str">
        <f>CONCATENATE(B26,88)</f>
        <v>3P98DA6RG6388</v>
      </c>
      <c r="D26" s="2" t="s">
        <v>303</v>
      </c>
      <c r="E26" s="2" t="s">
        <v>54</v>
      </c>
      <c r="F26" s="2" t="s">
        <v>41</v>
      </c>
      <c r="G26" s="2" t="s">
        <v>28</v>
      </c>
      <c r="H26" s="4">
        <v>45778</v>
      </c>
      <c r="I26" s="4">
        <v>45778</v>
      </c>
      <c r="J26" s="2">
        <v>20411454</v>
      </c>
      <c r="K26" s="2" t="s">
        <v>309</v>
      </c>
      <c r="L26" s="2" t="s">
        <v>33</v>
      </c>
      <c r="M26" s="2">
        <v>-26.67</v>
      </c>
      <c r="N26" s="2">
        <v>-26.67</v>
      </c>
      <c r="O26" s="3" t="s">
        <v>191</v>
      </c>
    </row>
    <row r="27" spans="1:16" x14ac:dyDescent="0.25">
      <c r="A27" s="4">
        <v>45741</v>
      </c>
      <c r="B27" s="2" t="s">
        <v>118</v>
      </c>
      <c r="C27" s="2" t="str">
        <f>CONCATENATE(B27,88)</f>
        <v>3P98DA6RG6388</v>
      </c>
      <c r="D27" s="2" t="s">
        <v>303</v>
      </c>
      <c r="E27" s="2" t="s">
        <v>54</v>
      </c>
      <c r="F27" s="2" t="s">
        <v>38</v>
      </c>
      <c r="G27" s="2" t="s">
        <v>28</v>
      </c>
      <c r="H27" s="4">
        <v>45778</v>
      </c>
      <c r="I27" s="4">
        <v>45778</v>
      </c>
      <c r="J27" s="2">
        <v>20411454</v>
      </c>
      <c r="K27" s="2" t="s">
        <v>309</v>
      </c>
      <c r="L27" s="2" t="s">
        <v>33</v>
      </c>
      <c r="M27" s="2">
        <v>40</v>
      </c>
      <c r="N27" s="2">
        <v>40</v>
      </c>
      <c r="O27" s="3" t="s">
        <v>191</v>
      </c>
    </row>
    <row r="28" spans="1:16" x14ac:dyDescent="0.25">
      <c r="A28" s="4">
        <v>45741</v>
      </c>
      <c r="B28" s="2" t="s">
        <v>164</v>
      </c>
      <c r="C28" s="2" t="str">
        <f>CONCATENATE(B28,7)</f>
        <v>3RT5WP7QC647</v>
      </c>
      <c r="D28" s="2" t="s">
        <v>277</v>
      </c>
      <c r="E28" s="2" t="s">
        <v>166</v>
      </c>
      <c r="F28" s="2" t="s">
        <v>38</v>
      </c>
      <c r="G28" s="2" t="s">
        <v>28</v>
      </c>
      <c r="H28" s="4">
        <v>45717</v>
      </c>
      <c r="I28" s="4">
        <v>45717</v>
      </c>
      <c r="J28" s="2">
        <v>16633294</v>
      </c>
      <c r="K28" s="2" t="s">
        <v>168</v>
      </c>
      <c r="L28" s="2" t="s">
        <v>33</v>
      </c>
      <c r="M28" s="2">
        <v>751</v>
      </c>
      <c r="N28" s="2">
        <v>626</v>
      </c>
      <c r="O28" s="3" t="s">
        <v>194</v>
      </c>
      <c r="P28" s="2" t="s">
        <v>195</v>
      </c>
    </row>
    <row r="29" spans="1:16" x14ac:dyDescent="0.25">
      <c r="A29" s="4">
        <v>45741</v>
      </c>
      <c r="B29" s="2" t="s">
        <v>164</v>
      </c>
      <c r="C29" s="2" t="str">
        <f>CONCATENATE(B29,8)</f>
        <v>3RT5WP7QC648</v>
      </c>
      <c r="D29" s="2" t="s">
        <v>277</v>
      </c>
      <c r="E29" s="2" t="s">
        <v>166</v>
      </c>
      <c r="F29" s="2" t="s">
        <v>41</v>
      </c>
      <c r="G29" s="2" t="s">
        <v>28</v>
      </c>
      <c r="H29" s="4">
        <v>45717</v>
      </c>
      <c r="I29" s="4">
        <v>45717</v>
      </c>
      <c r="J29" s="2">
        <v>16633294</v>
      </c>
      <c r="K29" s="2" t="s">
        <v>168</v>
      </c>
      <c r="L29" s="2" t="s">
        <v>33</v>
      </c>
      <c r="M29" s="2">
        <v>-365</v>
      </c>
      <c r="N29" s="2">
        <v>-313</v>
      </c>
      <c r="O29" s="3" t="s">
        <v>190</v>
      </c>
      <c r="P29" s="2" t="s">
        <v>188</v>
      </c>
    </row>
    <row r="30" spans="1:16" x14ac:dyDescent="0.25">
      <c r="A30" s="4">
        <v>45741</v>
      </c>
      <c r="B30" s="2" t="s">
        <v>164</v>
      </c>
      <c r="C30" s="2" t="str">
        <f>CONCATENATE(B30,88)</f>
        <v>3RT5WP7QC6488</v>
      </c>
      <c r="D30" s="2" t="s">
        <v>277</v>
      </c>
      <c r="E30" s="2" t="s">
        <v>166</v>
      </c>
      <c r="F30" s="2" t="s">
        <v>41</v>
      </c>
      <c r="G30" s="2" t="s">
        <v>28</v>
      </c>
      <c r="H30" s="4">
        <v>45717</v>
      </c>
      <c r="I30" s="4">
        <v>45717</v>
      </c>
      <c r="J30" s="2">
        <v>20411454</v>
      </c>
      <c r="K30" s="2" t="s">
        <v>309</v>
      </c>
      <c r="L30" s="2" t="s">
        <v>33</v>
      </c>
      <c r="M30" s="2">
        <v>-365</v>
      </c>
      <c r="N30" s="2">
        <v>-52</v>
      </c>
      <c r="O30" s="3" t="s">
        <v>191</v>
      </c>
    </row>
    <row r="31" spans="1:16" x14ac:dyDescent="0.25">
      <c r="A31" s="4">
        <v>45741</v>
      </c>
      <c r="B31" s="2" t="s">
        <v>164</v>
      </c>
      <c r="C31" s="2" t="str">
        <f>CONCATENATE(B31,88)</f>
        <v>3RT5WP7QC6488</v>
      </c>
      <c r="D31" s="2" t="s">
        <v>277</v>
      </c>
      <c r="E31" s="2" t="s">
        <v>166</v>
      </c>
      <c r="F31" s="2" t="s">
        <v>38</v>
      </c>
      <c r="G31" s="2" t="s">
        <v>28</v>
      </c>
      <c r="H31" s="4">
        <v>45717</v>
      </c>
      <c r="I31" s="4">
        <v>45717</v>
      </c>
      <c r="J31" s="2">
        <v>20411454</v>
      </c>
      <c r="K31" s="2" t="s">
        <v>309</v>
      </c>
      <c r="L31" s="2" t="s">
        <v>33</v>
      </c>
      <c r="M31" s="2">
        <v>751</v>
      </c>
      <c r="N31" s="2">
        <v>125</v>
      </c>
      <c r="O31" s="3" t="s">
        <v>191</v>
      </c>
    </row>
    <row r="32" spans="1:16" x14ac:dyDescent="0.25">
      <c r="A32" s="4">
        <v>45741</v>
      </c>
      <c r="B32" s="2" t="s">
        <v>24</v>
      </c>
      <c r="C32" s="2" t="str">
        <f>CONCATENATE(B32,8)</f>
        <v>3UJ3AV6CC178</v>
      </c>
      <c r="D32" s="2" t="s">
        <v>292</v>
      </c>
      <c r="E32" s="2" t="s">
        <v>26</v>
      </c>
      <c r="F32" s="2" t="s">
        <v>27</v>
      </c>
      <c r="G32" s="2" t="s">
        <v>28</v>
      </c>
      <c r="H32" s="4">
        <v>45658</v>
      </c>
      <c r="I32" s="4">
        <v>45658</v>
      </c>
      <c r="J32" s="2">
        <v>17301495</v>
      </c>
      <c r="K32" s="2" t="s">
        <v>32</v>
      </c>
      <c r="L32" s="2" t="s">
        <v>33</v>
      </c>
      <c r="M32" s="2">
        <v>-438</v>
      </c>
      <c r="N32" s="2">
        <v>-313</v>
      </c>
      <c r="O32" s="3" t="s">
        <v>190</v>
      </c>
      <c r="P32" s="2" t="s">
        <v>188</v>
      </c>
    </row>
    <row r="33" spans="1:16" x14ac:dyDescent="0.25">
      <c r="A33" s="4">
        <v>45741</v>
      </c>
      <c r="B33" s="2" t="s">
        <v>24</v>
      </c>
      <c r="C33" s="2" t="str">
        <f>CONCATENATE(B33,88)</f>
        <v>3UJ3AV6CC1788</v>
      </c>
      <c r="D33" s="2" t="s">
        <v>292</v>
      </c>
      <c r="E33" s="2" t="s">
        <v>26</v>
      </c>
      <c r="F33" s="2" t="s">
        <v>27</v>
      </c>
      <c r="G33" s="2" t="s">
        <v>28</v>
      </c>
      <c r="H33" s="4">
        <v>45658</v>
      </c>
      <c r="I33" s="4">
        <v>45658</v>
      </c>
      <c r="J33" s="2">
        <v>20411454</v>
      </c>
      <c r="K33" s="2" t="s">
        <v>309</v>
      </c>
      <c r="L33" s="2" t="s">
        <v>33</v>
      </c>
      <c r="M33" s="2">
        <v>-438</v>
      </c>
      <c r="N33" s="2">
        <v>-125</v>
      </c>
      <c r="O33" s="3" t="s">
        <v>191</v>
      </c>
    </row>
    <row r="34" spans="1:16" x14ac:dyDescent="0.25">
      <c r="A34" s="4">
        <v>45741</v>
      </c>
      <c r="B34" s="2" t="s">
        <v>124</v>
      </c>
      <c r="C34" s="2" t="str">
        <f>CONCATENATE(B34,7)</f>
        <v>3YM4YR2UY877</v>
      </c>
      <c r="D34" s="2" t="s">
        <v>278</v>
      </c>
      <c r="E34" s="2" t="s">
        <v>26</v>
      </c>
      <c r="F34" s="2" t="s">
        <v>38</v>
      </c>
      <c r="G34" s="2" t="s">
        <v>28</v>
      </c>
      <c r="H34" s="4">
        <v>45689</v>
      </c>
      <c r="I34" s="4">
        <v>45689</v>
      </c>
      <c r="J34" s="2">
        <v>9213293</v>
      </c>
      <c r="K34" s="2" t="s">
        <v>47</v>
      </c>
      <c r="L34" s="2" t="s">
        <v>33</v>
      </c>
      <c r="M34" s="2">
        <v>751</v>
      </c>
      <c r="N34" s="2">
        <v>626</v>
      </c>
      <c r="O34" s="3" t="s">
        <v>194</v>
      </c>
      <c r="P34" s="2" t="s">
        <v>195</v>
      </c>
    </row>
    <row r="35" spans="1:16" x14ac:dyDescent="0.25">
      <c r="A35" s="4">
        <v>45741</v>
      </c>
      <c r="B35" s="2" t="s">
        <v>124</v>
      </c>
      <c r="C35" s="2" t="str">
        <f>CONCATENATE(B35,8)</f>
        <v>3YM4YR2UY878</v>
      </c>
      <c r="D35" s="2" t="s">
        <v>278</v>
      </c>
      <c r="E35" s="2" t="s">
        <v>26</v>
      </c>
      <c r="F35" s="2" t="s">
        <v>41</v>
      </c>
      <c r="G35" s="2" t="s">
        <v>28</v>
      </c>
      <c r="H35" s="4">
        <v>45689</v>
      </c>
      <c r="I35" s="4">
        <v>45689</v>
      </c>
      <c r="J35" s="2">
        <v>9213293</v>
      </c>
      <c r="K35" s="2" t="s">
        <v>47</v>
      </c>
      <c r="L35" s="2" t="s">
        <v>33</v>
      </c>
      <c r="M35" s="2">
        <v>-401.5</v>
      </c>
      <c r="N35" s="2">
        <v>-313</v>
      </c>
      <c r="O35" s="3" t="s">
        <v>190</v>
      </c>
      <c r="P35" s="2" t="s">
        <v>188</v>
      </c>
    </row>
    <row r="36" spans="1:16" x14ac:dyDescent="0.25">
      <c r="A36" s="4">
        <v>45741</v>
      </c>
      <c r="B36" s="2" t="s">
        <v>124</v>
      </c>
      <c r="C36" s="2" t="str">
        <f>CONCATENATE(B36,88)</f>
        <v>3YM4YR2UY8788</v>
      </c>
      <c r="D36" s="2" t="s">
        <v>278</v>
      </c>
      <c r="E36" s="2" t="s">
        <v>26</v>
      </c>
      <c r="F36" s="2" t="s">
        <v>41</v>
      </c>
      <c r="G36" s="2" t="s">
        <v>28</v>
      </c>
      <c r="H36" s="4">
        <v>45689</v>
      </c>
      <c r="I36" s="4">
        <v>45689</v>
      </c>
      <c r="J36" s="2">
        <v>20411454</v>
      </c>
      <c r="K36" s="2" t="s">
        <v>309</v>
      </c>
      <c r="L36" s="2" t="s">
        <v>33</v>
      </c>
      <c r="M36" s="2">
        <v>-401.5</v>
      </c>
      <c r="N36" s="2">
        <v>-88.5</v>
      </c>
      <c r="O36" s="3" t="s">
        <v>191</v>
      </c>
    </row>
    <row r="37" spans="1:16" x14ac:dyDescent="0.25">
      <c r="A37" s="4">
        <v>45741</v>
      </c>
      <c r="B37" s="2" t="s">
        <v>124</v>
      </c>
      <c r="C37" s="2" t="str">
        <f>CONCATENATE(B37,88)</f>
        <v>3YM4YR2UY8788</v>
      </c>
      <c r="D37" s="2" t="s">
        <v>278</v>
      </c>
      <c r="E37" s="2" t="s">
        <v>26</v>
      </c>
      <c r="F37" s="2" t="s">
        <v>38</v>
      </c>
      <c r="G37" s="2" t="s">
        <v>28</v>
      </c>
      <c r="H37" s="4">
        <v>45689</v>
      </c>
      <c r="I37" s="4">
        <v>45689</v>
      </c>
      <c r="J37" s="2">
        <v>20411454</v>
      </c>
      <c r="K37" s="2" t="s">
        <v>309</v>
      </c>
      <c r="L37" s="2" t="s">
        <v>33</v>
      </c>
      <c r="M37" s="2">
        <v>751</v>
      </c>
      <c r="N37" s="2">
        <v>125</v>
      </c>
      <c r="O37" s="3" t="s">
        <v>191</v>
      </c>
    </row>
    <row r="38" spans="1:16" x14ac:dyDescent="0.25">
      <c r="A38" s="4">
        <v>45741</v>
      </c>
      <c r="B38" s="2" t="s">
        <v>77</v>
      </c>
      <c r="C38" s="2" t="str">
        <f>CONCATENATE(B38,7)</f>
        <v>4HQ9HN9QF457</v>
      </c>
      <c r="D38" s="2" t="s">
        <v>279</v>
      </c>
      <c r="E38" s="2" t="s">
        <v>79</v>
      </c>
      <c r="F38" s="2" t="s">
        <v>27</v>
      </c>
      <c r="G38" s="2" t="s">
        <v>28</v>
      </c>
      <c r="H38" s="4">
        <v>45658</v>
      </c>
      <c r="I38" s="4">
        <v>45658</v>
      </c>
      <c r="J38" s="2">
        <v>5442438</v>
      </c>
      <c r="K38" s="2" t="s">
        <v>82</v>
      </c>
      <c r="L38" s="2" t="s">
        <v>33</v>
      </c>
      <c r="M38" s="2">
        <v>-746</v>
      </c>
      <c r="N38" s="2">
        <v>-626</v>
      </c>
      <c r="O38" s="3" t="s">
        <v>194</v>
      </c>
      <c r="P38" s="2" t="s">
        <v>195</v>
      </c>
    </row>
    <row r="39" spans="1:16" x14ac:dyDescent="0.25">
      <c r="A39" s="4">
        <v>45741</v>
      </c>
      <c r="B39" s="2" t="s">
        <v>77</v>
      </c>
      <c r="C39" s="2" t="str">
        <f>CONCATENATE(B39,88)</f>
        <v>4HQ9HN9QF4588</v>
      </c>
      <c r="D39" s="2" t="s">
        <v>279</v>
      </c>
      <c r="E39" s="2" t="s">
        <v>79</v>
      </c>
      <c r="F39" s="2" t="s">
        <v>27</v>
      </c>
      <c r="G39" s="2" t="s">
        <v>28</v>
      </c>
      <c r="H39" s="4">
        <v>45658</v>
      </c>
      <c r="I39" s="4">
        <v>45658</v>
      </c>
      <c r="J39" s="2">
        <v>20411454</v>
      </c>
      <c r="K39" s="2" t="s">
        <v>309</v>
      </c>
      <c r="L39" s="2" t="s">
        <v>33</v>
      </c>
      <c r="M39" s="2">
        <v>-746</v>
      </c>
      <c r="N39" s="2">
        <v>-120</v>
      </c>
      <c r="O39" s="3" t="s">
        <v>191</v>
      </c>
    </row>
    <row r="40" spans="1:16" x14ac:dyDescent="0.25">
      <c r="A40" s="4">
        <v>45741</v>
      </c>
      <c r="B40" s="2" t="s">
        <v>126</v>
      </c>
      <c r="C40" s="2" t="str">
        <f>CONCATENATE(B40,8)</f>
        <v>4N07GV5HG448</v>
      </c>
      <c r="D40" s="2" t="s">
        <v>293</v>
      </c>
      <c r="E40" s="2" t="s">
        <v>26</v>
      </c>
      <c r="F40" s="2" t="s">
        <v>50</v>
      </c>
      <c r="G40" s="2" t="s">
        <v>28</v>
      </c>
      <c r="H40" s="4">
        <v>45748</v>
      </c>
      <c r="I40" s="4">
        <v>45748</v>
      </c>
      <c r="J40" s="2">
        <v>7470776</v>
      </c>
      <c r="K40" s="2" t="s">
        <v>129</v>
      </c>
      <c r="L40" s="2" t="s">
        <v>33</v>
      </c>
      <c r="M40" s="2">
        <v>328.5</v>
      </c>
      <c r="N40" s="2">
        <v>313</v>
      </c>
      <c r="O40" s="3" t="s">
        <v>190</v>
      </c>
      <c r="P40" s="2" t="s">
        <v>188</v>
      </c>
    </row>
    <row r="41" spans="1:16" x14ac:dyDescent="0.25">
      <c r="A41" s="4">
        <v>45741</v>
      </c>
      <c r="B41" s="2" t="s">
        <v>126</v>
      </c>
      <c r="C41" s="2" t="str">
        <f>CONCATENATE(B41,88)</f>
        <v>4N07GV5HG4488</v>
      </c>
      <c r="D41" s="2" t="s">
        <v>293</v>
      </c>
      <c r="E41" s="2" t="s">
        <v>26</v>
      </c>
      <c r="F41" s="2" t="s">
        <v>50</v>
      </c>
      <c r="G41" s="2" t="s">
        <v>28</v>
      </c>
      <c r="H41" s="4">
        <v>45748</v>
      </c>
      <c r="I41" s="4">
        <v>45748</v>
      </c>
      <c r="J41" s="2">
        <v>20411454</v>
      </c>
      <c r="K41" s="2" t="s">
        <v>309</v>
      </c>
      <c r="L41" s="2" t="s">
        <v>33</v>
      </c>
      <c r="M41" s="2">
        <v>328.5</v>
      </c>
      <c r="N41" s="2">
        <v>15.5</v>
      </c>
      <c r="O41" s="3" t="s">
        <v>191</v>
      </c>
    </row>
    <row r="42" spans="1:16" x14ac:dyDescent="0.25">
      <c r="A42" s="4">
        <v>45741</v>
      </c>
      <c r="B42" s="2" t="s">
        <v>36</v>
      </c>
      <c r="C42" s="2" t="str">
        <f>CONCATENATE(B42,7)</f>
        <v>4RN9TK7HA197</v>
      </c>
      <c r="D42" s="2" t="s">
        <v>280</v>
      </c>
      <c r="E42" s="2" t="s">
        <v>26</v>
      </c>
      <c r="F42" s="2" t="s">
        <v>38</v>
      </c>
      <c r="G42" s="2" t="s">
        <v>28</v>
      </c>
      <c r="H42" s="4">
        <v>45717</v>
      </c>
      <c r="I42" s="4">
        <v>45717</v>
      </c>
      <c r="J42" s="2">
        <v>18754354</v>
      </c>
      <c r="K42" s="2" t="s">
        <v>39</v>
      </c>
      <c r="L42" s="2" t="s">
        <v>33</v>
      </c>
      <c r="M42" s="2">
        <v>751</v>
      </c>
      <c r="N42" s="2">
        <v>626</v>
      </c>
      <c r="O42" s="3" t="s">
        <v>194</v>
      </c>
      <c r="P42" s="2" t="s">
        <v>195</v>
      </c>
    </row>
    <row r="43" spans="1:16" x14ac:dyDescent="0.25">
      <c r="A43" s="4">
        <v>45741</v>
      </c>
      <c r="B43" s="2" t="s">
        <v>36</v>
      </c>
      <c r="C43" s="2" t="str">
        <f>CONCATENATE(B43,8)</f>
        <v>4RN9TK7HA198</v>
      </c>
      <c r="D43" s="2" t="s">
        <v>280</v>
      </c>
      <c r="E43" s="2" t="s">
        <v>26</v>
      </c>
      <c r="F43" s="2" t="s">
        <v>41</v>
      </c>
      <c r="G43" s="2" t="s">
        <v>28</v>
      </c>
      <c r="H43" s="4">
        <v>45717</v>
      </c>
      <c r="I43" s="4">
        <v>45717</v>
      </c>
      <c r="J43" s="2">
        <v>18754354</v>
      </c>
      <c r="K43" s="2" t="s">
        <v>39</v>
      </c>
      <c r="L43" s="2" t="s">
        <v>33</v>
      </c>
      <c r="M43" s="2">
        <v>-365</v>
      </c>
      <c r="N43" s="2">
        <v>-313</v>
      </c>
      <c r="O43" s="3" t="s">
        <v>190</v>
      </c>
      <c r="P43" s="2" t="s">
        <v>188</v>
      </c>
    </row>
    <row r="44" spans="1:16" x14ac:dyDescent="0.25">
      <c r="A44" s="4">
        <v>45741</v>
      </c>
      <c r="B44" s="2" t="s">
        <v>36</v>
      </c>
      <c r="C44" s="2" t="str">
        <f>CONCATENATE(B44,88)</f>
        <v>4RN9TK7HA1988</v>
      </c>
      <c r="D44" s="2" t="s">
        <v>280</v>
      </c>
      <c r="E44" s="2" t="s">
        <v>26</v>
      </c>
      <c r="F44" s="2" t="s">
        <v>41</v>
      </c>
      <c r="G44" s="2" t="s">
        <v>28</v>
      </c>
      <c r="H44" s="4">
        <v>45717</v>
      </c>
      <c r="I44" s="4">
        <v>45717</v>
      </c>
      <c r="J44" s="2">
        <v>20411454</v>
      </c>
      <c r="K44" s="2" t="s">
        <v>309</v>
      </c>
      <c r="L44" s="2" t="s">
        <v>33</v>
      </c>
      <c r="M44" s="2">
        <v>-365</v>
      </c>
      <c r="N44" s="2">
        <v>-52</v>
      </c>
      <c r="O44" s="3" t="s">
        <v>191</v>
      </c>
    </row>
    <row r="45" spans="1:16" x14ac:dyDescent="0.25">
      <c r="A45" s="4">
        <v>45741</v>
      </c>
      <c r="B45" s="2" t="s">
        <v>36</v>
      </c>
      <c r="C45" s="2" t="str">
        <f>CONCATENATE(B45,88)</f>
        <v>4RN9TK7HA1988</v>
      </c>
      <c r="D45" s="2" t="s">
        <v>280</v>
      </c>
      <c r="E45" s="2" t="s">
        <v>26</v>
      </c>
      <c r="F45" s="2" t="s">
        <v>38</v>
      </c>
      <c r="G45" s="2" t="s">
        <v>28</v>
      </c>
      <c r="H45" s="4">
        <v>45717</v>
      </c>
      <c r="I45" s="4">
        <v>45717</v>
      </c>
      <c r="J45" s="2">
        <v>20411454</v>
      </c>
      <c r="K45" s="2" t="s">
        <v>309</v>
      </c>
      <c r="L45" s="2" t="s">
        <v>33</v>
      </c>
      <c r="M45" s="2">
        <v>751</v>
      </c>
      <c r="N45" s="2">
        <v>125</v>
      </c>
      <c r="O45" s="3" t="s">
        <v>191</v>
      </c>
    </row>
    <row r="46" spans="1:16" x14ac:dyDescent="0.25">
      <c r="A46" s="4">
        <v>45741</v>
      </c>
      <c r="B46" s="2" t="s">
        <v>135</v>
      </c>
      <c r="C46" s="2" t="str">
        <f>CONCATENATE(B46,7)</f>
        <v>5EY0M41FT027</v>
      </c>
      <c r="D46" s="2" t="s">
        <v>271</v>
      </c>
      <c r="E46" s="2" t="s">
        <v>54</v>
      </c>
      <c r="F46" s="2" t="s">
        <v>38</v>
      </c>
      <c r="G46" s="2" t="s">
        <v>28</v>
      </c>
      <c r="H46" s="4">
        <v>45689</v>
      </c>
      <c r="I46" s="4">
        <v>45689</v>
      </c>
      <c r="J46" s="2">
        <v>8971826</v>
      </c>
      <c r="K46" s="2" t="s">
        <v>138</v>
      </c>
      <c r="L46" s="2" t="s">
        <v>33</v>
      </c>
      <c r="M46" s="2">
        <v>830</v>
      </c>
      <c r="N46" s="2">
        <v>705</v>
      </c>
      <c r="O46" s="3" t="s">
        <v>197</v>
      </c>
      <c r="P46" s="2" t="s">
        <v>198</v>
      </c>
    </row>
    <row r="47" spans="1:16" x14ac:dyDescent="0.25">
      <c r="A47" s="4">
        <v>45741</v>
      </c>
      <c r="B47" s="2" t="s">
        <v>135</v>
      </c>
      <c r="C47" s="2" t="str">
        <f>CONCATENATE(B47,8)</f>
        <v>5EY0M41FT028</v>
      </c>
      <c r="D47" s="2" t="s">
        <v>271</v>
      </c>
      <c r="E47" s="2" t="s">
        <v>54</v>
      </c>
      <c r="F47" s="2" t="s">
        <v>41</v>
      </c>
      <c r="G47" s="2" t="s">
        <v>28</v>
      </c>
      <c r="H47" s="4">
        <v>45689</v>
      </c>
      <c r="I47" s="4">
        <v>45689</v>
      </c>
      <c r="J47" s="2">
        <v>8971826</v>
      </c>
      <c r="K47" s="2" t="s">
        <v>138</v>
      </c>
      <c r="L47" s="2" t="s">
        <v>33</v>
      </c>
      <c r="M47" s="2">
        <v>-438.17</v>
      </c>
      <c r="N47" s="2">
        <v>-353</v>
      </c>
      <c r="O47" s="2" t="s">
        <v>189</v>
      </c>
      <c r="P47" s="2" t="s">
        <v>193</v>
      </c>
    </row>
    <row r="48" spans="1:16" x14ac:dyDescent="0.25">
      <c r="A48" s="4">
        <v>45741</v>
      </c>
      <c r="B48" s="2" t="s">
        <v>135</v>
      </c>
      <c r="C48" s="2" t="str">
        <f>CONCATENATE(B48,88)</f>
        <v>5EY0M41FT0288</v>
      </c>
      <c r="D48" s="2" t="s">
        <v>271</v>
      </c>
      <c r="E48" s="2" t="s">
        <v>54</v>
      </c>
      <c r="F48" s="2" t="s">
        <v>41</v>
      </c>
      <c r="G48" s="2" t="s">
        <v>28</v>
      </c>
      <c r="H48" s="4">
        <v>45689</v>
      </c>
      <c r="I48" s="4">
        <v>45689</v>
      </c>
      <c r="J48" s="2">
        <v>20411454</v>
      </c>
      <c r="K48" s="2" t="s">
        <v>309</v>
      </c>
      <c r="L48" s="2" t="s">
        <v>33</v>
      </c>
      <c r="M48" s="2">
        <v>-438.17</v>
      </c>
      <c r="N48" s="2">
        <v>-85.17</v>
      </c>
      <c r="O48" s="3" t="s">
        <v>191</v>
      </c>
    </row>
    <row r="49" spans="1:16" x14ac:dyDescent="0.25">
      <c r="A49" s="4">
        <v>45741</v>
      </c>
      <c r="B49" s="2" t="s">
        <v>135</v>
      </c>
      <c r="C49" s="2" t="str">
        <f>CONCATENATE(B49,88)</f>
        <v>5EY0M41FT0288</v>
      </c>
      <c r="D49" s="2" t="s">
        <v>271</v>
      </c>
      <c r="E49" s="2" t="s">
        <v>54</v>
      </c>
      <c r="F49" s="2" t="s">
        <v>38</v>
      </c>
      <c r="G49" s="2" t="s">
        <v>28</v>
      </c>
      <c r="H49" s="4">
        <v>45689</v>
      </c>
      <c r="I49" s="4">
        <v>45689</v>
      </c>
      <c r="J49" s="2">
        <v>20411454</v>
      </c>
      <c r="K49" s="2" t="s">
        <v>309</v>
      </c>
      <c r="L49" s="2" t="s">
        <v>33</v>
      </c>
      <c r="M49" s="2">
        <v>830</v>
      </c>
      <c r="N49" s="2">
        <v>125</v>
      </c>
      <c r="O49" s="3" t="s">
        <v>191</v>
      </c>
    </row>
    <row r="50" spans="1:16" x14ac:dyDescent="0.25">
      <c r="A50" s="4">
        <v>45741</v>
      </c>
      <c r="B50" s="2" t="s">
        <v>183</v>
      </c>
      <c r="C50" s="2" t="str">
        <f>CONCATENATE(B50,8)</f>
        <v>5GU9VM0UC258</v>
      </c>
      <c r="D50" s="2" t="s">
        <v>294</v>
      </c>
      <c r="E50" s="2" t="s">
        <v>71</v>
      </c>
      <c r="F50" s="2" t="s">
        <v>27</v>
      </c>
      <c r="G50" s="2" t="s">
        <v>28</v>
      </c>
      <c r="H50" s="4">
        <v>45717</v>
      </c>
      <c r="I50" s="4">
        <v>45717</v>
      </c>
      <c r="J50" s="2">
        <v>18935660</v>
      </c>
      <c r="K50" s="2" t="s">
        <v>186</v>
      </c>
      <c r="L50" s="2" t="s">
        <v>33</v>
      </c>
      <c r="M50" s="2">
        <v>-365</v>
      </c>
      <c r="N50" s="2">
        <v>-313</v>
      </c>
      <c r="O50" s="3" t="s">
        <v>190</v>
      </c>
      <c r="P50" s="2" t="s">
        <v>188</v>
      </c>
    </row>
    <row r="51" spans="1:16" x14ac:dyDescent="0.25">
      <c r="A51" s="4">
        <v>45741</v>
      </c>
      <c r="B51" s="2" t="s">
        <v>183</v>
      </c>
      <c r="C51" s="2" t="str">
        <f>CONCATENATE(B51,88)</f>
        <v>5GU9VM0UC2588</v>
      </c>
      <c r="D51" s="2" t="s">
        <v>294</v>
      </c>
      <c r="E51" s="2" t="s">
        <v>71</v>
      </c>
      <c r="F51" s="2" t="s">
        <v>27</v>
      </c>
      <c r="G51" s="2" t="s">
        <v>28</v>
      </c>
      <c r="H51" s="4">
        <v>45717</v>
      </c>
      <c r="I51" s="4">
        <v>45717</v>
      </c>
      <c r="J51" s="2">
        <v>20411454</v>
      </c>
      <c r="K51" s="2" t="s">
        <v>309</v>
      </c>
      <c r="L51" s="2" t="s">
        <v>33</v>
      </c>
      <c r="M51" s="2">
        <v>-365</v>
      </c>
      <c r="N51" s="2">
        <v>-52</v>
      </c>
      <c r="O51" s="3" t="s">
        <v>191</v>
      </c>
    </row>
    <row r="52" spans="1:16" x14ac:dyDescent="0.25">
      <c r="A52" s="4">
        <v>45741</v>
      </c>
      <c r="B52" s="2" t="s">
        <v>95</v>
      </c>
      <c r="C52" s="2" t="str">
        <f>CONCATENATE(B52,8)</f>
        <v>5N50NG5NG388</v>
      </c>
      <c r="D52" s="2" t="s">
        <v>295</v>
      </c>
      <c r="E52" s="2" t="s">
        <v>26</v>
      </c>
      <c r="F52" s="2" t="s">
        <v>50</v>
      </c>
      <c r="G52" s="2" t="s">
        <v>28</v>
      </c>
      <c r="H52" s="4">
        <v>45748</v>
      </c>
      <c r="I52" s="4">
        <v>45748</v>
      </c>
      <c r="J52" s="2">
        <v>8307933</v>
      </c>
      <c r="K52" s="2" t="s">
        <v>63</v>
      </c>
      <c r="L52" s="2" t="s">
        <v>33</v>
      </c>
      <c r="M52" s="2">
        <v>328.5</v>
      </c>
      <c r="N52" s="2">
        <v>313</v>
      </c>
      <c r="O52" s="3" t="s">
        <v>190</v>
      </c>
      <c r="P52" s="2" t="s">
        <v>188</v>
      </c>
    </row>
    <row r="53" spans="1:16" x14ac:dyDescent="0.25">
      <c r="A53" s="4">
        <v>45741</v>
      </c>
      <c r="B53" s="2" t="s">
        <v>95</v>
      </c>
      <c r="C53" s="2" t="str">
        <f>CONCATENATE(B53,88)</f>
        <v>5N50NG5NG3888</v>
      </c>
      <c r="D53" s="2" t="s">
        <v>295</v>
      </c>
      <c r="E53" s="2" t="s">
        <v>26</v>
      </c>
      <c r="F53" s="2" t="s">
        <v>50</v>
      </c>
      <c r="G53" s="2" t="s">
        <v>28</v>
      </c>
      <c r="H53" s="4">
        <v>45748</v>
      </c>
      <c r="I53" s="4">
        <v>45748</v>
      </c>
      <c r="J53" s="2">
        <v>20411454</v>
      </c>
      <c r="K53" s="2" t="s">
        <v>309</v>
      </c>
      <c r="L53" s="2" t="s">
        <v>33</v>
      </c>
      <c r="M53" s="2">
        <v>328.5</v>
      </c>
      <c r="N53" s="2">
        <v>15.5</v>
      </c>
      <c r="O53" s="3" t="s">
        <v>191</v>
      </c>
    </row>
    <row r="54" spans="1:16" x14ac:dyDescent="0.25">
      <c r="A54" s="4">
        <v>45741</v>
      </c>
      <c r="B54" s="2" t="s">
        <v>111</v>
      </c>
      <c r="C54" s="2" t="str">
        <f>CONCATENATE(B54,8)</f>
        <v>5Y30U42HU378</v>
      </c>
      <c r="D54" s="2" t="s">
        <v>296</v>
      </c>
      <c r="E54" s="2" t="s">
        <v>113</v>
      </c>
      <c r="F54" s="2" t="s">
        <v>50</v>
      </c>
      <c r="G54" s="2" t="s">
        <v>28</v>
      </c>
      <c r="H54" s="4">
        <v>45809</v>
      </c>
      <c r="I54" s="4">
        <v>45809</v>
      </c>
      <c r="J54" s="2">
        <v>19645587</v>
      </c>
      <c r="K54" s="2" t="s">
        <v>101</v>
      </c>
      <c r="L54" s="2" t="s">
        <v>33</v>
      </c>
      <c r="M54" s="2">
        <v>255.5</v>
      </c>
      <c r="N54" s="2">
        <f>313/12*9</f>
        <v>234.75</v>
      </c>
      <c r="O54" s="3" t="s">
        <v>190</v>
      </c>
      <c r="P54" s="2" t="s">
        <v>196</v>
      </c>
    </row>
    <row r="55" spans="1:16" x14ac:dyDescent="0.25">
      <c r="A55" s="4">
        <v>45741</v>
      </c>
      <c r="B55" s="2" t="s">
        <v>111</v>
      </c>
      <c r="C55" s="2" t="str">
        <f>CONCATENATE(B55,88)</f>
        <v>5Y30U42HU3788</v>
      </c>
      <c r="D55" s="2" t="s">
        <v>296</v>
      </c>
      <c r="E55" s="2" t="s">
        <v>113</v>
      </c>
      <c r="F55" s="2" t="s">
        <v>50</v>
      </c>
      <c r="G55" s="2" t="s">
        <v>28</v>
      </c>
      <c r="H55" s="4">
        <v>45809</v>
      </c>
      <c r="I55" s="4">
        <v>45809</v>
      </c>
      <c r="J55" s="2">
        <v>20411454</v>
      </c>
      <c r="K55" s="2" t="s">
        <v>309</v>
      </c>
      <c r="L55" s="2" t="s">
        <v>33</v>
      </c>
      <c r="M55" s="2">
        <v>255.5</v>
      </c>
      <c r="N55" s="2">
        <v>20.75</v>
      </c>
      <c r="O55" s="3" t="s">
        <v>191</v>
      </c>
    </row>
    <row r="56" spans="1:16" x14ac:dyDescent="0.25">
      <c r="A56" s="4">
        <v>45741</v>
      </c>
      <c r="B56" s="2" t="s">
        <v>155</v>
      </c>
      <c r="C56" s="2" t="str">
        <f>CONCATENATE(B56,7)</f>
        <v>5YX5G55GN877</v>
      </c>
      <c r="D56" s="2" t="s">
        <v>281</v>
      </c>
      <c r="E56" s="2" t="s">
        <v>157</v>
      </c>
      <c r="F56" s="2" t="s">
        <v>38</v>
      </c>
      <c r="G56" s="2" t="s">
        <v>28</v>
      </c>
      <c r="H56" s="4">
        <v>45689</v>
      </c>
      <c r="I56" s="4">
        <v>45689</v>
      </c>
      <c r="J56" s="2">
        <v>6634327</v>
      </c>
      <c r="K56" s="2" t="s">
        <v>160</v>
      </c>
      <c r="L56" s="2" t="s">
        <v>33</v>
      </c>
      <c r="M56" s="2">
        <v>751</v>
      </c>
      <c r="N56" s="2">
        <v>626</v>
      </c>
      <c r="O56" s="3" t="s">
        <v>194</v>
      </c>
      <c r="P56" s="2" t="s">
        <v>195</v>
      </c>
    </row>
    <row r="57" spans="1:16" x14ac:dyDescent="0.25">
      <c r="A57" s="4">
        <v>45741</v>
      </c>
      <c r="B57" s="2" t="s">
        <v>155</v>
      </c>
      <c r="C57" s="2" t="str">
        <f>CONCATENATE(B57,8)</f>
        <v>5YX5G55GN878</v>
      </c>
      <c r="D57" s="2" t="s">
        <v>281</v>
      </c>
      <c r="E57" s="2" t="s">
        <v>157</v>
      </c>
      <c r="F57" s="2" t="s">
        <v>41</v>
      </c>
      <c r="G57" s="2" t="s">
        <v>28</v>
      </c>
      <c r="H57" s="4">
        <v>45689</v>
      </c>
      <c r="I57" s="4">
        <v>45689</v>
      </c>
      <c r="J57" s="2">
        <v>6634327</v>
      </c>
      <c r="K57" s="2" t="s">
        <v>160</v>
      </c>
      <c r="L57" s="2" t="s">
        <v>33</v>
      </c>
      <c r="M57" s="2">
        <v>-401.5</v>
      </c>
      <c r="N57" s="2">
        <v>-313</v>
      </c>
      <c r="O57" s="3" t="s">
        <v>190</v>
      </c>
      <c r="P57" s="2" t="s">
        <v>188</v>
      </c>
    </row>
    <row r="58" spans="1:16" x14ac:dyDescent="0.25">
      <c r="A58" s="4">
        <v>45741</v>
      </c>
      <c r="B58" s="2" t="s">
        <v>155</v>
      </c>
      <c r="C58" s="2" t="str">
        <f>CONCATENATE(B58,88)</f>
        <v>5YX5G55GN8788</v>
      </c>
      <c r="D58" s="2" t="s">
        <v>281</v>
      </c>
      <c r="E58" s="2" t="s">
        <v>157</v>
      </c>
      <c r="F58" s="2" t="s">
        <v>41</v>
      </c>
      <c r="G58" s="2" t="s">
        <v>28</v>
      </c>
      <c r="H58" s="4">
        <v>45689</v>
      </c>
      <c r="I58" s="4">
        <v>45689</v>
      </c>
      <c r="J58" s="2">
        <v>20411454</v>
      </c>
      <c r="K58" s="2" t="s">
        <v>309</v>
      </c>
      <c r="L58" s="2" t="s">
        <v>33</v>
      </c>
      <c r="M58" s="2">
        <v>-401.5</v>
      </c>
      <c r="N58" s="2">
        <v>-88.5</v>
      </c>
      <c r="O58" s="3" t="s">
        <v>191</v>
      </c>
    </row>
    <row r="59" spans="1:16" x14ac:dyDescent="0.25">
      <c r="A59" s="4">
        <v>45741</v>
      </c>
      <c r="B59" s="2" t="s">
        <v>155</v>
      </c>
      <c r="C59" s="2" t="str">
        <f>CONCATENATE(B59,88)</f>
        <v>5YX5G55GN8788</v>
      </c>
      <c r="D59" s="2" t="s">
        <v>281</v>
      </c>
      <c r="E59" s="2" t="s">
        <v>157</v>
      </c>
      <c r="F59" s="2" t="s">
        <v>38</v>
      </c>
      <c r="G59" s="2" t="s">
        <v>28</v>
      </c>
      <c r="H59" s="4">
        <v>45689</v>
      </c>
      <c r="I59" s="4">
        <v>45689</v>
      </c>
      <c r="J59" s="2">
        <v>20411454</v>
      </c>
      <c r="K59" s="2" t="s">
        <v>309</v>
      </c>
      <c r="L59" s="2" t="s">
        <v>33</v>
      </c>
      <c r="M59" s="2">
        <v>751</v>
      </c>
      <c r="N59" s="2">
        <v>125</v>
      </c>
      <c r="O59" s="3" t="s">
        <v>191</v>
      </c>
    </row>
    <row r="60" spans="1:16" x14ac:dyDescent="0.25">
      <c r="A60" s="4">
        <v>45741</v>
      </c>
      <c r="B60" s="2" t="s">
        <v>93</v>
      </c>
      <c r="C60" s="2" t="str">
        <f>CONCATENATE(B60,8)</f>
        <v>6EC7ED3AK478</v>
      </c>
      <c r="D60" s="2" t="s">
        <v>297</v>
      </c>
      <c r="E60" s="2" t="s">
        <v>26</v>
      </c>
      <c r="F60" s="2" t="s">
        <v>50</v>
      </c>
      <c r="G60" s="2" t="s">
        <v>28</v>
      </c>
      <c r="H60" s="4">
        <v>45748</v>
      </c>
      <c r="I60" s="4">
        <v>45748</v>
      </c>
      <c r="J60" s="2">
        <v>7146581</v>
      </c>
      <c r="K60" s="2" t="s">
        <v>92</v>
      </c>
      <c r="L60" s="2" t="s">
        <v>33</v>
      </c>
      <c r="M60" s="2">
        <v>328.5</v>
      </c>
      <c r="N60" s="2">
        <v>313</v>
      </c>
      <c r="O60" s="3" t="s">
        <v>190</v>
      </c>
      <c r="P60" s="2" t="s">
        <v>188</v>
      </c>
    </row>
    <row r="61" spans="1:16" x14ac:dyDescent="0.25">
      <c r="A61" s="4">
        <v>45741</v>
      </c>
      <c r="B61" s="2" t="s">
        <v>93</v>
      </c>
      <c r="C61" s="2" t="str">
        <f>CONCATENATE(B61,88)</f>
        <v>6EC7ED3AK4788</v>
      </c>
      <c r="D61" s="2" t="s">
        <v>297</v>
      </c>
      <c r="E61" s="2" t="s">
        <v>26</v>
      </c>
      <c r="F61" s="2" t="s">
        <v>50</v>
      </c>
      <c r="G61" s="2" t="s">
        <v>28</v>
      </c>
      <c r="H61" s="4">
        <v>45748</v>
      </c>
      <c r="I61" s="4">
        <v>45748</v>
      </c>
      <c r="J61" s="2">
        <v>20411454</v>
      </c>
      <c r="K61" s="2" t="s">
        <v>309</v>
      </c>
      <c r="L61" s="2" t="s">
        <v>33</v>
      </c>
      <c r="M61" s="2">
        <v>328.5</v>
      </c>
      <c r="N61" s="2">
        <v>15.5</v>
      </c>
      <c r="O61" s="3" t="s">
        <v>191</v>
      </c>
    </row>
    <row r="62" spans="1:16" x14ac:dyDescent="0.25">
      <c r="A62" s="4">
        <v>45741</v>
      </c>
      <c r="B62" s="2" t="s">
        <v>171</v>
      </c>
      <c r="C62" s="2" t="str">
        <f>CONCATENATE(B62,8)</f>
        <v>6HV4CW0NJ628</v>
      </c>
      <c r="D62" s="2" t="s">
        <v>298</v>
      </c>
      <c r="E62" s="2" t="s">
        <v>26</v>
      </c>
      <c r="F62" s="2" t="s">
        <v>50</v>
      </c>
      <c r="G62" s="2" t="s">
        <v>28</v>
      </c>
      <c r="H62" s="4">
        <v>45748</v>
      </c>
      <c r="I62" s="4">
        <v>45748</v>
      </c>
      <c r="J62" s="2">
        <v>19586992</v>
      </c>
      <c r="K62" s="2" t="s">
        <v>173</v>
      </c>
      <c r="L62" s="2" t="s">
        <v>33</v>
      </c>
      <c r="M62" s="2">
        <v>328.5</v>
      </c>
      <c r="N62" s="2">
        <v>313</v>
      </c>
      <c r="O62" s="3" t="s">
        <v>190</v>
      </c>
      <c r="P62" s="2" t="s">
        <v>188</v>
      </c>
    </row>
    <row r="63" spans="1:16" x14ac:dyDescent="0.25">
      <c r="A63" s="4">
        <v>45741</v>
      </c>
      <c r="B63" s="2" t="s">
        <v>171</v>
      </c>
      <c r="C63" s="2" t="str">
        <f>CONCATENATE(B63,88)</f>
        <v>6HV4CW0NJ6288</v>
      </c>
      <c r="D63" s="2" t="s">
        <v>298</v>
      </c>
      <c r="E63" s="2" t="s">
        <v>26</v>
      </c>
      <c r="F63" s="2" t="s">
        <v>50</v>
      </c>
      <c r="G63" s="2" t="s">
        <v>28</v>
      </c>
      <c r="H63" s="4">
        <v>45748</v>
      </c>
      <c r="I63" s="4">
        <v>45748</v>
      </c>
      <c r="J63" s="2">
        <v>20411454</v>
      </c>
      <c r="K63" s="2" t="s">
        <v>309</v>
      </c>
      <c r="L63" s="2" t="s">
        <v>33</v>
      </c>
      <c r="M63" s="2">
        <v>328.5</v>
      </c>
      <c r="N63" s="2">
        <v>15.5</v>
      </c>
      <c r="O63" s="3" t="s">
        <v>191</v>
      </c>
    </row>
    <row r="64" spans="1:16" x14ac:dyDescent="0.25">
      <c r="A64" s="4">
        <v>45741</v>
      </c>
      <c r="B64" s="2" t="s">
        <v>139</v>
      </c>
      <c r="C64" s="2" t="str">
        <f>CONCATENATE(B64,7)</f>
        <v>6ND5AX3YV777</v>
      </c>
      <c r="D64" s="2" t="s">
        <v>282</v>
      </c>
      <c r="E64" s="2" t="s">
        <v>141</v>
      </c>
      <c r="F64" s="2" t="s">
        <v>38</v>
      </c>
      <c r="G64" s="2" t="s">
        <v>28</v>
      </c>
      <c r="H64" s="4">
        <v>45717</v>
      </c>
      <c r="I64" s="4">
        <v>45717</v>
      </c>
      <c r="J64" s="2">
        <v>8307933</v>
      </c>
      <c r="K64" s="2" t="s">
        <v>63</v>
      </c>
      <c r="L64" s="2" t="s">
        <v>33</v>
      </c>
      <c r="M64" s="2">
        <v>751</v>
      </c>
      <c r="N64" s="2">
        <v>626</v>
      </c>
      <c r="O64" s="3" t="s">
        <v>194</v>
      </c>
      <c r="P64" s="2" t="s">
        <v>195</v>
      </c>
    </row>
    <row r="65" spans="1:16" x14ac:dyDescent="0.25">
      <c r="A65" s="4">
        <v>45741</v>
      </c>
      <c r="B65" s="2" t="s">
        <v>139</v>
      </c>
      <c r="C65" s="2" t="str">
        <f>CONCATENATE(B65,8)</f>
        <v>6ND5AX3YV778</v>
      </c>
      <c r="D65" s="2" t="s">
        <v>282</v>
      </c>
      <c r="E65" s="2" t="s">
        <v>141</v>
      </c>
      <c r="F65" s="2" t="s">
        <v>41</v>
      </c>
      <c r="G65" s="2" t="s">
        <v>28</v>
      </c>
      <c r="H65" s="4">
        <v>45717</v>
      </c>
      <c r="I65" s="4">
        <v>45717</v>
      </c>
      <c r="J65" s="2">
        <v>8307933</v>
      </c>
      <c r="K65" s="2" t="s">
        <v>63</v>
      </c>
      <c r="L65" s="2" t="s">
        <v>33</v>
      </c>
      <c r="M65" s="2">
        <v>-365</v>
      </c>
      <c r="N65" s="2">
        <v>-313</v>
      </c>
      <c r="O65" s="3" t="s">
        <v>190</v>
      </c>
      <c r="P65" s="2" t="s">
        <v>188</v>
      </c>
    </row>
    <row r="66" spans="1:16" x14ac:dyDescent="0.25">
      <c r="A66" s="4">
        <v>45741</v>
      </c>
      <c r="B66" s="2" t="s">
        <v>139</v>
      </c>
      <c r="C66" s="2" t="str">
        <f>CONCATENATE(B66,88)</f>
        <v>6ND5AX3YV7788</v>
      </c>
      <c r="D66" s="2" t="s">
        <v>282</v>
      </c>
      <c r="E66" s="2" t="s">
        <v>141</v>
      </c>
      <c r="F66" s="2" t="s">
        <v>41</v>
      </c>
      <c r="G66" s="2" t="s">
        <v>28</v>
      </c>
      <c r="H66" s="4">
        <v>45717</v>
      </c>
      <c r="I66" s="4">
        <v>45717</v>
      </c>
      <c r="J66" s="2">
        <v>20411454</v>
      </c>
      <c r="K66" s="2" t="s">
        <v>309</v>
      </c>
      <c r="L66" s="2" t="s">
        <v>33</v>
      </c>
      <c r="M66" s="2">
        <v>-365</v>
      </c>
      <c r="N66" s="2">
        <v>-52</v>
      </c>
      <c r="O66" s="3" t="s">
        <v>191</v>
      </c>
    </row>
    <row r="67" spans="1:16" x14ac:dyDescent="0.25">
      <c r="A67" s="4">
        <v>45741</v>
      </c>
      <c r="B67" s="2" t="s">
        <v>139</v>
      </c>
      <c r="C67" s="2" t="str">
        <f>CONCATENATE(B67,88)</f>
        <v>6ND5AX3YV7788</v>
      </c>
      <c r="D67" s="2" t="s">
        <v>282</v>
      </c>
      <c r="E67" s="2" t="s">
        <v>141</v>
      </c>
      <c r="F67" s="2" t="s">
        <v>38</v>
      </c>
      <c r="G67" s="2" t="s">
        <v>28</v>
      </c>
      <c r="H67" s="4">
        <v>45717</v>
      </c>
      <c r="I67" s="4">
        <v>45717</v>
      </c>
      <c r="J67" s="2">
        <v>20411454</v>
      </c>
      <c r="K67" s="2" t="s">
        <v>309</v>
      </c>
      <c r="L67" s="2" t="s">
        <v>33</v>
      </c>
      <c r="M67" s="2">
        <v>751</v>
      </c>
      <c r="N67" s="2">
        <v>125</v>
      </c>
      <c r="O67" s="3" t="s">
        <v>191</v>
      </c>
    </row>
    <row r="68" spans="1:16" x14ac:dyDescent="0.25">
      <c r="A68" s="4">
        <v>45741</v>
      </c>
      <c r="B68" s="2" t="s">
        <v>99</v>
      </c>
      <c r="C68" s="2" t="str">
        <f>CONCATENATE(B68,7)</f>
        <v>6WR3GF2YV887</v>
      </c>
      <c r="D68" s="2" t="s">
        <v>283</v>
      </c>
      <c r="E68" s="2" t="s">
        <v>26</v>
      </c>
      <c r="F68" s="2" t="s">
        <v>38</v>
      </c>
      <c r="G68" s="2" t="s">
        <v>28</v>
      </c>
      <c r="H68" s="4">
        <v>45717</v>
      </c>
      <c r="I68" s="4">
        <v>45717</v>
      </c>
      <c r="J68" s="2">
        <v>19645587</v>
      </c>
      <c r="K68" s="2" t="s">
        <v>101</v>
      </c>
      <c r="L68" s="2" t="s">
        <v>33</v>
      </c>
      <c r="M68" s="2">
        <v>751</v>
      </c>
      <c r="N68" s="2">
        <v>626</v>
      </c>
      <c r="O68" s="3" t="s">
        <v>194</v>
      </c>
      <c r="P68" s="2" t="s">
        <v>195</v>
      </c>
    </row>
    <row r="69" spans="1:16" x14ac:dyDescent="0.25">
      <c r="A69" s="4">
        <v>45741</v>
      </c>
      <c r="B69" s="2" t="s">
        <v>99</v>
      </c>
      <c r="C69" s="2" t="str">
        <f>CONCATENATE(B69,8)</f>
        <v>6WR3GF2YV888</v>
      </c>
      <c r="D69" s="2" t="s">
        <v>283</v>
      </c>
      <c r="E69" s="2" t="s">
        <v>26</v>
      </c>
      <c r="F69" s="2" t="s">
        <v>41</v>
      </c>
      <c r="G69" s="2" t="s">
        <v>28</v>
      </c>
      <c r="H69" s="4">
        <v>45717</v>
      </c>
      <c r="I69" s="4">
        <v>45717</v>
      </c>
      <c r="J69" s="2">
        <v>19645587</v>
      </c>
      <c r="K69" s="2" t="s">
        <v>101</v>
      </c>
      <c r="L69" s="2" t="s">
        <v>33</v>
      </c>
      <c r="M69" s="2">
        <v>-365</v>
      </c>
      <c r="N69" s="2">
        <v>-313</v>
      </c>
      <c r="O69" s="3" t="s">
        <v>190</v>
      </c>
      <c r="P69" s="2" t="s">
        <v>188</v>
      </c>
    </row>
    <row r="70" spans="1:16" x14ac:dyDescent="0.25">
      <c r="A70" s="4">
        <v>45741</v>
      </c>
      <c r="B70" s="2" t="s">
        <v>99</v>
      </c>
      <c r="C70" s="2" t="str">
        <f>CONCATENATE(B70,88)</f>
        <v>6WR3GF2YV8888</v>
      </c>
      <c r="D70" s="2" t="s">
        <v>283</v>
      </c>
      <c r="E70" s="2" t="s">
        <v>26</v>
      </c>
      <c r="F70" s="2" t="s">
        <v>41</v>
      </c>
      <c r="G70" s="2" t="s">
        <v>28</v>
      </c>
      <c r="H70" s="4">
        <v>45717</v>
      </c>
      <c r="I70" s="4">
        <v>45717</v>
      </c>
      <c r="J70" s="2">
        <v>20411454</v>
      </c>
      <c r="K70" s="2" t="s">
        <v>309</v>
      </c>
      <c r="L70" s="2" t="s">
        <v>33</v>
      </c>
      <c r="M70" s="2">
        <v>-365</v>
      </c>
      <c r="N70" s="2">
        <v>-52</v>
      </c>
      <c r="O70" s="3" t="s">
        <v>191</v>
      </c>
    </row>
    <row r="71" spans="1:16" x14ac:dyDescent="0.25">
      <c r="A71" s="4">
        <v>45741</v>
      </c>
      <c r="B71" s="2" t="s">
        <v>99</v>
      </c>
      <c r="C71" s="2" t="str">
        <f>CONCATENATE(B71,88)</f>
        <v>6WR3GF2YV8888</v>
      </c>
      <c r="D71" s="2" t="s">
        <v>283</v>
      </c>
      <c r="E71" s="2" t="s">
        <v>26</v>
      </c>
      <c r="F71" s="2" t="s">
        <v>38</v>
      </c>
      <c r="G71" s="2" t="s">
        <v>28</v>
      </c>
      <c r="H71" s="4">
        <v>45717</v>
      </c>
      <c r="I71" s="4">
        <v>45717</v>
      </c>
      <c r="J71" s="2">
        <v>20411454</v>
      </c>
      <c r="K71" s="2" t="s">
        <v>309</v>
      </c>
      <c r="L71" s="2" t="s">
        <v>33</v>
      </c>
      <c r="M71" s="2">
        <v>751</v>
      </c>
      <c r="N71" s="2">
        <v>125</v>
      </c>
      <c r="O71" s="3" t="s">
        <v>191</v>
      </c>
    </row>
    <row r="72" spans="1:16" x14ac:dyDescent="0.25">
      <c r="A72" s="4">
        <v>45741</v>
      </c>
      <c r="B72" s="2" t="s">
        <v>74</v>
      </c>
      <c r="C72" s="2" t="str">
        <f>CONCATENATE(B72,7)</f>
        <v>7GH9T57QJ127</v>
      </c>
      <c r="D72" s="2" t="s">
        <v>284</v>
      </c>
      <c r="E72" s="2" t="s">
        <v>71</v>
      </c>
      <c r="F72" s="2" t="s">
        <v>38</v>
      </c>
      <c r="G72" s="2" t="s">
        <v>28</v>
      </c>
      <c r="H72" s="4">
        <v>45778</v>
      </c>
      <c r="I72" s="4">
        <v>45778</v>
      </c>
      <c r="J72" s="2">
        <v>9213293</v>
      </c>
      <c r="K72" s="2" t="s">
        <v>47</v>
      </c>
      <c r="L72" s="2" t="s">
        <v>33</v>
      </c>
      <c r="M72" s="2">
        <v>751</v>
      </c>
      <c r="N72" s="2">
        <v>626</v>
      </c>
      <c r="O72" s="3" t="s">
        <v>194</v>
      </c>
      <c r="P72" s="2" t="s">
        <v>195</v>
      </c>
    </row>
    <row r="73" spans="1:16" x14ac:dyDescent="0.25">
      <c r="A73" s="4">
        <v>45741</v>
      </c>
      <c r="B73" s="2" t="s">
        <v>74</v>
      </c>
      <c r="C73" s="2" t="str">
        <f>CONCATENATE(B73,8)</f>
        <v>7GH9T57QJ128</v>
      </c>
      <c r="D73" s="2" t="s">
        <v>284</v>
      </c>
      <c r="E73" s="2" t="s">
        <v>71</v>
      </c>
      <c r="F73" s="2" t="s">
        <v>41</v>
      </c>
      <c r="G73" s="2" t="s">
        <v>28</v>
      </c>
      <c r="H73" s="4">
        <v>45778</v>
      </c>
      <c r="I73" s="4">
        <v>45778</v>
      </c>
      <c r="J73" s="2">
        <v>9213293</v>
      </c>
      <c r="K73" s="2" t="s">
        <v>47</v>
      </c>
      <c r="L73" s="2" t="s">
        <v>33</v>
      </c>
      <c r="M73" s="2">
        <v>-292</v>
      </c>
      <c r="N73" s="2">
        <v>-208.67</v>
      </c>
      <c r="O73" s="3" t="s">
        <v>190</v>
      </c>
      <c r="P73" s="2" t="s">
        <v>187</v>
      </c>
    </row>
    <row r="74" spans="1:16" x14ac:dyDescent="0.25">
      <c r="A74" s="4">
        <v>45741</v>
      </c>
      <c r="B74" s="2" t="s">
        <v>74</v>
      </c>
      <c r="C74" s="2" t="str">
        <f>CONCATENATE(B74,88)</f>
        <v>7GH9T57QJ1288</v>
      </c>
      <c r="D74" s="2" t="s">
        <v>284</v>
      </c>
      <c r="E74" s="2" t="s">
        <v>71</v>
      </c>
      <c r="F74" s="2" t="s">
        <v>41</v>
      </c>
      <c r="G74" s="2" t="s">
        <v>28</v>
      </c>
      <c r="H74" s="4">
        <v>45778</v>
      </c>
      <c r="I74" s="4">
        <v>45778</v>
      </c>
      <c r="J74" s="2">
        <v>20411454</v>
      </c>
      <c r="K74" s="2" t="s">
        <v>309</v>
      </c>
      <c r="L74" s="2" t="s">
        <v>33</v>
      </c>
      <c r="M74" s="2">
        <v>-292</v>
      </c>
      <c r="N74" s="2">
        <v>-83.33</v>
      </c>
      <c r="O74" s="3" t="s">
        <v>191</v>
      </c>
    </row>
    <row r="75" spans="1:16" x14ac:dyDescent="0.25">
      <c r="A75" s="4">
        <v>45741</v>
      </c>
      <c r="B75" s="2" t="s">
        <v>74</v>
      </c>
      <c r="C75" s="2" t="str">
        <f>CONCATENATE(B75,88)</f>
        <v>7GH9T57QJ1288</v>
      </c>
      <c r="D75" s="2" t="s">
        <v>284</v>
      </c>
      <c r="E75" s="2" t="s">
        <v>71</v>
      </c>
      <c r="F75" s="2" t="s">
        <v>38</v>
      </c>
      <c r="G75" s="2" t="s">
        <v>28</v>
      </c>
      <c r="H75" s="4">
        <v>45778</v>
      </c>
      <c r="I75" s="4">
        <v>45778</v>
      </c>
      <c r="J75" s="2">
        <v>20411454</v>
      </c>
      <c r="K75" s="2" t="s">
        <v>309</v>
      </c>
      <c r="L75" s="2" t="s">
        <v>33</v>
      </c>
      <c r="M75" s="2">
        <v>751</v>
      </c>
      <c r="N75" s="2">
        <v>125</v>
      </c>
      <c r="O75" s="3" t="s">
        <v>191</v>
      </c>
    </row>
    <row r="76" spans="1:16" x14ac:dyDescent="0.25">
      <c r="A76" s="4">
        <v>45741</v>
      </c>
      <c r="B76" s="2" t="s">
        <v>86</v>
      </c>
      <c r="C76" s="2" t="str">
        <f>CONCATENATE(B76,7)</f>
        <v>7HG4FF6NN037</v>
      </c>
      <c r="D76" s="2" t="s">
        <v>285</v>
      </c>
      <c r="E76" s="2" t="s">
        <v>26</v>
      </c>
      <c r="F76" s="2" t="s">
        <v>38</v>
      </c>
      <c r="G76" s="2" t="s">
        <v>28</v>
      </c>
      <c r="H76" s="4">
        <v>45717</v>
      </c>
      <c r="I76" s="4">
        <v>45717</v>
      </c>
      <c r="J76" s="2">
        <v>9213293</v>
      </c>
      <c r="K76" s="2" t="s">
        <v>47</v>
      </c>
      <c r="L76" s="2" t="s">
        <v>33</v>
      </c>
      <c r="M76" s="2">
        <v>751</v>
      </c>
      <c r="N76" s="2">
        <v>626</v>
      </c>
      <c r="O76" s="3" t="s">
        <v>194</v>
      </c>
      <c r="P76" s="2" t="s">
        <v>195</v>
      </c>
    </row>
    <row r="77" spans="1:16" x14ac:dyDescent="0.25">
      <c r="A77" s="4">
        <v>45741</v>
      </c>
      <c r="B77" s="2" t="s">
        <v>86</v>
      </c>
      <c r="C77" s="2" t="str">
        <f>CONCATENATE(B77,8)</f>
        <v>7HG4FF6NN038</v>
      </c>
      <c r="D77" s="2" t="s">
        <v>285</v>
      </c>
      <c r="E77" s="2" t="s">
        <v>26</v>
      </c>
      <c r="F77" s="2" t="s">
        <v>41</v>
      </c>
      <c r="G77" s="2" t="s">
        <v>28</v>
      </c>
      <c r="H77" s="4">
        <v>45717</v>
      </c>
      <c r="I77" s="4">
        <v>45717</v>
      </c>
      <c r="J77" s="2">
        <v>9213293</v>
      </c>
      <c r="K77" s="2" t="s">
        <v>47</v>
      </c>
      <c r="L77" s="2" t="s">
        <v>33</v>
      </c>
      <c r="M77" s="2">
        <v>-365</v>
      </c>
      <c r="N77" s="2">
        <v>-313</v>
      </c>
      <c r="O77" s="3" t="s">
        <v>190</v>
      </c>
      <c r="P77" s="2" t="s">
        <v>188</v>
      </c>
    </row>
    <row r="78" spans="1:16" x14ac:dyDescent="0.25">
      <c r="A78" s="4">
        <v>45741</v>
      </c>
      <c r="B78" s="2" t="s">
        <v>86</v>
      </c>
      <c r="C78" s="2" t="str">
        <f>CONCATENATE(B78,88)</f>
        <v>7HG4FF6NN0388</v>
      </c>
      <c r="D78" s="2" t="s">
        <v>285</v>
      </c>
      <c r="E78" s="2" t="s">
        <v>26</v>
      </c>
      <c r="F78" s="2" t="s">
        <v>41</v>
      </c>
      <c r="G78" s="2" t="s">
        <v>28</v>
      </c>
      <c r="H78" s="4">
        <v>45717</v>
      </c>
      <c r="I78" s="4">
        <v>45717</v>
      </c>
      <c r="J78" s="2">
        <v>20411454</v>
      </c>
      <c r="K78" s="2" t="s">
        <v>309</v>
      </c>
      <c r="L78" s="2" t="s">
        <v>33</v>
      </c>
      <c r="M78" s="2">
        <v>-365</v>
      </c>
      <c r="N78" s="2">
        <v>-52</v>
      </c>
      <c r="O78" s="3" t="s">
        <v>191</v>
      </c>
    </row>
    <row r="79" spans="1:16" x14ac:dyDescent="0.25">
      <c r="A79" s="4">
        <v>45741</v>
      </c>
      <c r="B79" s="2" t="s">
        <v>86</v>
      </c>
      <c r="C79" s="2" t="str">
        <f>CONCATENATE(B79,88)</f>
        <v>7HG4FF6NN0388</v>
      </c>
      <c r="D79" s="2" t="s">
        <v>285</v>
      </c>
      <c r="E79" s="2" t="s">
        <v>26</v>
      </c>
      <c r="F79" s="2" t="s">
        <v>38</v>
      </c>
      <c r="G79" s="2" t="s">
        <v>28</v>
      </c>
      <c r="H79" s="4">
        <v>45717</v>
      </c>
      <c r="I79" s="4">
        <v>45717</v>
      </c>
      <c r="J79" s="2">
        <v>20411454</v>
      </c>
      <c r="K79" s="2" t="s">
        <v>309</v>
      </c>
      <c r="L79" s="2" t="s">
        <v>33</v>
      </c>
      <c r="M79" s="2">
        <v>751</v>
      </c>
      <c r="N79" s="2">
        <v>125</v>
      </c>
      <c r="O79" s="3" t="s">
        <v>191</v>
      </c>
    </row>
    <row r="80" spans="1:16" x14ac:dyDescent="0.25">
      <c r="A80" s="4">
        <v>45741</v>
      </c>
      <c r="B80" s="2" t="s">
        <v>69</v>
      </c>
      <c r="C80" s="2" t="str">
        <f>CONCATENATE(B80,7)</f>
        <v>7M39YA2GN327</v>
      </c>
      <c r="D80" s="2" t="s">
        <v>286</v>
      </c>
      <c r="E80" s="2" t="s">
        <v>71</v>
      </c>
      <c r="F80" s="2" t="s">
        <v>38</v>
      </c>
      <c r="G80" s="2" t="s">
        <v>28</v>
      </c>
      <c r="H80" s="4">
        <v>45778</v>
      </c>
      <c r="I80" s="4">
        <v>45778</v>
      </c>
      <c r="J80" s="2">
        <v>8307933</v>
      </c>
      <c r="K80" s="2" t="s">
        <v>63</v>
      </c>
      <c r="L80" s="2" t="s">
        <v>33</v>
      </c>
      <c r="M80" s="2">
        <v>751</v>
      </c>
      <c r="N80" s="2">
        <v>626</v>
      </c>
      <c r="O80" s="3" t="s">
        <v>194</v>
      </c>
      <c r="P80" s="2" t="s">
        <v>195</v>
      </c>
    </row>
    <row r="81" spans="1:16" x14ac:dyDescent="0.25">
      <c r="A81" s="4">
        <v>45741</v>
      </c>
      <c r="B81" s="2" t="s">
        <v>69</v>
      </c>
      <c r="C81" s="2" t="str">
        <f>CONCATENATE(B81,8)</f>
        <v>7M39YA2GN328</v>
      </c>
      <c r="D81" s="2" t="s">
        <v>286</v>
      </c>
      <c r="E81" s="2" t="s">
        <v>71</v>
      </c>
      <c r="F81" s="2" t="s">
        <v>41</v>
      </c>
      <c r="G81" s="2" t="s">
        <v>28</v>
      </c>
      <c r="H81" s="4">
        <v>45778</v>
      </c>
      <c r="I81" s="4">
        <v>45778</v>
      </c>
      <c r="J81" s="2">
        <v>8307933</v>
      </c>
      <c r="K81" s="2" t="s">
        <v>63</v>
      </c>
      <c r="L81" s="2" t="s">
        <v>33</v>
      </c>
      <c r="M81" s="2">
        <v>-292</v>
      </c>
      <c r="N81" s="2">
        <v>-208.67</v>
      </c>
      <c r="O81" s="3" t="s">
        <v>190</v>
      </c>
      <c r="P81" s="2" t="s">
        <v>187</v>
      </c>
    </row>
    <row r="82" spans="1:16" x14ac:dyDescent="0.25">
      <c r="A82" s="4">
        <v>45741</v>
      </c>
      <c r="B82" s="2" t="s">
        <v>69</v>
      </c>
      <c r="C82" s="2" t="str">
        <f>CONCATENATE(B82,88)</f>
        <v>7M39YA2GN3288</v>
      </c>
      <c r="D82" s="2" t="s">
        <v>286</v>
      </c>
      <c r="E82" s="2" t="s">
        <v>71</v>
      </c>
      <c r="F82" s="2" t="s">
        <v>41</v>
      </c>
      <c r="G82" s="2" t="s">
        <v>28</v>
      </c>
      <c r="H82" s="4">
        <v>45778</v>
      </c>
      <c r="I82" s="4">
        <v>45778</v>
      </c>
      <c r="J82" s="2">
        <v>20411454</v>
      </c>
      <c r="K82" s="2" t="s">
        <v>309</v>
      </c>
      <c r="L82" s="2" t="s">
        <v>33</v>
      </c>
      <c r="M82" s="2">
        <v>-292</v>
      </c>
      <c r="N82" s="2">
        <v>-83.33</v>
      </c>
      <c r="O82" s="3" t="s">
        <v>191</v>
      </c>
    </row>
    <row r="83" spans="1:16" x14ac:dyDescent="0.25">
      <c r="A83" s="4">
        <v>45741</v>
      </c>
      <c r="B83" s="2" t="s">
        <v>69</v>
      </c>
      <c r="C83" s="2" t="str">
        <f>CONCATENATE(B83,88)</f>
        <v>7M39YA2GN3288</v>
      </c>
      <c r="D83" s="2" t="s">
        <v>286</v>
      </c>
      <c r="E83" s="2" t="s">
        <v>71</v>
      </c>
      <c r="F83" s="2" t="s">
        <v>38</v>
      </c>
      <c r="G83" s="2" t="s">
        <v>28</v>
      </c>
      <c r="H83" s="4">
        <v>45778</v>
      </c>
      <c r="I83" s="4">
        <v>45778</v>
      </c>
      <c r="J83" s="2">
        <v>20411454</v>
      </c>
      <c r="K83" s="2" t="s">
        <v>309</v>
      </c>
      <c r="L83" s="2" t="s">
        <v>33</v>
      </c>
      <c r="M83" s="2">
        <v>751</v>
      </c>
      <c r="N83" s="2">
        <v>125</v>
      </c>
      <c r="O83" s="3" t="s">
        <v>191</v>
      </c>
    </row>
    <row r="84" spans="1:16" x14ac:dyDescent="0.25">
      <c r="A84" s="4">
        <v>45741</v>
      </c>
      <c r="B84" s="2" t="s">
        <v>174</v>
      </c>
      <c r="C84" s="2" t="str">
        <f>CONCATENATE(B84,88)</f>
        <v>7M77J05AN4688</v>
      </c>
      <c r="D84" s="2" t="s">
        <v>304</v>
      </c>
      <c r="E84" s="2" t="s">
        <v>54</v>
      </c>
      <c r="F84" s="2" t="s">
        <v>50</v>
      </c>
      <c r="G84" s="2" t="s">
        <v>28</v>
      </c>
      <c r="H84" s="4">
        <v>45748</v>
      </c>
      <c r="I84" s="4">
        <v>45748</v>
      </c>
      <c r="J84" s="2">
        <v>20411454</v>
      </c>
      <c r="K84" s="2" t="s">
        <v>309</v>
      </c>
      <c r="L84" s="2" t="s">
        <v>33</v>
      </c>
      <c r="M84" s="2">
        <v>93.75</v>
      </c>
      <c r="N84" s="2">
        <v>93.75</v>
      </c>
      <c r="O84" s="3" t="s">
        <v>191</v>
      </c>
    </row>
    <row r="85" spans="1:16" x14ac:dyDescent="0.25">
      <c r="A85" s="4">
        <v>45741</v>
      </c>
      <c r="B85" s="2" t="s">
        <v>181</v>
      </c>
      <c r="C85" s="2" t="str">
        <f>CONCATENATE(B85,7)</f>
        <v>7PU8FG1GA647</v>
      </c>
      <c r="D85" s="2" t="s">
        <v>272</v>
      </c>
      <c r="E85" s="2" t="s">
        <v>54</v>
      </c>
      <c r="F85" s="2" t="s">
        <v>38</v>
      </c>
      <c r="G85" s="2" t="s">
        <v>28</v>
      </c>
      <c r="H85" s="4">
        <v>45717</v>
      </c>
      <c r="I85" s="4">
        <v>45717</v>
      </c>
      <c r="J85" s="2" t="s">
        <v>310</v>
      </c>
      <c r="K85" s="2" t="s">
        <v>163</v>
      </c>
      <c r="L85" s="2" t="s">
        <v>33</v>
      </c>
      <c r="M85" s="2">
        <v>830</v>
      </c>
      <c r="N85" s="2">
        <v>705</v>
      </c>
      <c r="O85" s="3" t="s">
        <v>197</v>
      </c>
      <c r="P85" s="2" t="s">
        <v>198</v>
      </c>
    </row>
    <row r="86" spans="1:16" x14ac:dyDescent="0.25">
      <c r="A86" s="4">
        <v>45741</v>
      </c>
      <c r="B86" s="2" t="s">
        <v>181</v>
      </c>
      <c r="C86" s="2" t="str">
        <f>CONCATENATE(B86,8)</f>
        <v>7PU8FG1GA648</v>
      </c>
      <c r="D86" s="2" t="s">
        <v>272</v>
      </c>
      <c r="E86" s="2" t="s">
        <v>54</v>
      </c>
      <c r="F86" s="2" t="s">
        <v>41</v>
      </c>
      <c r="G86" s="2" t="s">
        <v>28</v>
      </c>
      <c r="H86" s="4">
        <v>45717</v>
      </c>
      <c r="I86" s="4">
        <v>45717</v>
      </c>
      <c r="J86" s="2" t="s">
        <v>310</v>
      </c>
      <c r="K86" s="2" t="s">
        <v>163</v>
      </c>
      <c r="L86" s="2" t="s">
        <v>33</v>
      </c>
      <c r="M86" s="2">
        <v>-398.33</v>
      </c>
      <c r="N86" s="2">
        <v>-353</v>
      </c>
      <c r="O86" s="2" t="s">
        <v>189</v>
      </c>
      <c r="P86" s="2" t="s">
        <v>193</v>
      </c>
    </row>
    <row r="87" spans="1:16" x14ac:dyDescent="0.25">
      <c r="A87" s="4">
        <v>45741</v>
      </c>
      <c r="B87" s="2" t="s">
        <v>181</v>
      </c>
      <c r="C87" s="2" t="str">
        <f>CONCATENATE(B87,88)</f>
        <v>7PU8FG1GA6488</v>
      </c>
      <c r="D87" s="2" t="s">
        <v>272</v>
      </c>
      <c r="E87" s="2" t="s">
        <v>54</v>
      </c>
      <c r="F87" s="2" t="s">
        <v>41</v>
      </c>
      <c r="G87" s="2" t="s">
        <v>28</v>
      </c>
      <c r="H87" s="4">
        <v>45717</v>
      </c>
      <c r="I87" s="4">
        <v>45717</v>
      </c>
      <c r="J87" s="2">
        <v>20411454</v>
      </c>
      <c r="K87" s="2" t="s">
        <v>309</v>
      </c>
      <c r="L87" s="2" t="s">
        <v>33</v>
      </c>
      <c r="M87" s="2">
        <v>-398.33</v>
      </c>
      <c r="N87" s="2">
        <v>-45.33</v>
      </c>
      <c r="O87" s="3" t="s">
        <v>191</v>
      </c>
    </row>
    <row r="88" spans="1:16" x14ac:dyDescent="0.25">
      <c r="A88" s="4">
        <v>45741</v>
      </c>
      <c r="B88" s="2" t="s">
        <v>181</v>
      </c>
      <c r="C88" s="2" t="str">
        <f>CONCATENATE(B88,88)</f>
        <v>7PU8FG1GA6488</v>
      </c>
      <c r="D88" s="2" t="s">
        <v>272</v>
      </c>
      <c r="E88" s="2" t="s">
        <v>54</v>
      </c>
      <c r="F88" s="2" t="s">
        <v>38</v>
      </c>
      <c r="G88" s="2" t="s">
        <v>28</v>
      </c>
      <c r="H88" s="4">
        <v>45717</v>
      </c>
      <c r="I88" s="4">
        <v>45717</v>
      </c>
      <c r="J88" s="2">
        <v>20411454</v>
      </c>
      <c r="K88" s="2" t="s">
        <v>309</v>
      </c>
      <c r="L88" s="2" t="s">
        <v>33</v>
      </c>
      <c r="M88" s="2">
        <v>830</v>
      </c>
      <c r="N88" s="2">
        <v>125</v>
      </c>
      <c r="O88" s="3" t="s">
        <v>191</v>
      </c>
    </row>
    <row r="89" spans="1:16" x14ac:dyDescent="0.25">
      <c r="A89" s="4">
        <v>45741</v>
      </c>
      <c r="B89" s="2" t="s">
        <v>120</v>
      </c>
      <c r="C89" s="2" t="str">
        <f>CONCATENATE(B89,88)</f>
        <v>7RH2M55CY0488</v>
      </c>
      <c r="D89" s="2" t="s">
        <v>305</v>
      </c>
      <c r="E89" s="2" t="s">
        <v>122</v>
      </c>
      <c r="F89" s="2" t="s">
        <v>41</v>
      </c>
      <c r="G89" s="2" t="s">
        <v>28</v>
      </c>
      <c r="H89" s="4">
        <v>45717</v>
      </c>
      <c r="I89" s="4">
        <v>45717</v>
      </c>
      <c r="J89" s="2">
        <v>20411454</v>
      </c>
      <c r="K89" s="2" t="s">
        <v>309</v>
      </c>
      <c r="L89" s="2" t="s">
        <v>33</v>
      </c>
      <c r="M89" s="2">
        <v>-104.17</v>
      </c>
      <c r="N89" s="2">
        <v>-104.17</v>
      </c>
      <c r="O89" s="3" t="s">
        <v>191</v>
      </c>
    </row>
    <row r="90" spans="1:16" x14ac:dyDescent="0.25">
      <c r="A90" s="4">
        <v>45741</v>
      </c>
      <c r="B90" s="2" t="s">
        <v>120</v>
      </c>
      <c r="C90" s="2" t="str">
        <f>CONCATENATE(B90,88)</f>
        <v>7RH2M55CY0488</v>
      </c>
      <c r="D90" s="2" t="s">
        <v>305</v>
      </c>
      <c r="E90" s="2" t="s">
        <v>122</v>
      </c>
      <c r="F90" s="2" t="s">
        <v>38</v>
      </c>
      <c r="G90" s="2" t="s">
        <v>28</v>
      </c>
      <c r="H90" s="4">
        <v>45717</v>
      </c>
      <c r="I90" s="4">
        <v>45717</v>
      </c>
      <c r="J90" s="2">
        <v>20411454</v>
      </c>
      <c r="K90" s="2" t="s">
        <v>309</v>
      </c>
      <c r="L90" s="2" t="s">
        <v>33</v>
      </c>
      <c r="M90" s="2">
        <v>125</v>
      </c>
      <c r="N90" s="2">
        <v>125</v>
      </c>
      <c r="O90" s="3" t="s">
        <v>191</v>
      </c>
    </row>
    <row r="91" spans="1:16" x14ac:dyDescent="0.25">
      <c r="A91" s="4">
        <v>45741</v>
      </c>
      <c r="B91" s="2" t="s">
        <v>144</v>
      </c>
      <c r="C91" s="2" t="str">
        <f>CONCATENATE(B91,8)</f>
        <v>7TF9GG3CQ158</v>
      </c>
      <c r="D91" s="2" t="s">
        <v>299</v>
      </c>
      <c r="E91" s="2" t="s">
        <v>54</v>
      </c>
      <c r="F91" s="2" t="s">
        <v>50</v>
      </c>
      <c r="G91" s="2" t="s">
        <v>28</v>
      </c>
      <c r="H91" s="4">
        <v>45748</v>
      </c>
      <c r="I91" s="4">
        <v>45748</v>
      </c>
      <c r="J91" s="2">
        <v>18406006</v>
      </c>
      <c r="K91" s="2" t="s">
        <v>147</v>
      </c>
      <c r="L91" s="2" t="s">
        <v>33</v>
      </c>
      <c r="M91" s="2">
        <v>358.5</v>
      </c>
      <c r="N91" s="2">
        <v>313</v>
      </c>
      <c r="O91" s="3" t="s">
        <v>190</v>
      </c>
      <c r="P91" s="2" t="s">
        <v>188</v>
      </c>
    </row>
    <row r="92" spans="1:16" x14ac:dyDescent="0.25">
      <c r="A92" s="4">
        <v>45741</v>
      </c>
      <c r="B92" s="2" t="s">
        <v>144</v>
      </c>
      <c r="C92" s="2" t="str">
        <f>CONCATENATE(B92,88)</f>
        <v>7TF9GG3CQ1588</v>
      </c>
      <c r="D92" s="2" t="s">
        <v>299</v>
      </c>
      <c r="E92" s="2" t="s">
        <v>54</v>
      </c>
      <c r="F92" s="2" t="s">
        <v>50</v>
      </c>
      <c r="G92" s="2" t="s">
        <v>28</v>
      </c>
      <c r="H92" s="4">
        <v>45748</v>
      </c>
      <c r="I92" s="4">
        <v>45748</v>
      </c>
      <c r="J92" s="2">
        <v>20411454</v>
      </c>
      <c r="K92" s="2" t="s">
        <v>309</v>
      </c>
      <c r="L92" s="2" t="s">
        <v>33</v>
      </c>
      <c r="M92" s="2">
        <v>358.5</v>
      </c>
      <c r="N92" s="2">
        <v>45.5</v>
      </c>
      <c r="O92" s="3" t="s">
        <v>191</v>
      </c>
    </row>
    <row r="93" spans="1:16" x14ac:dyDescent="0.25">
      <c r="A93" s="4">
        <v>45741</v>
      </c>
      <c r="B93" s="2" t="s">
        <v>130</v>
      </c>
      <c r="C93" s="2" t="str">
        <f>CONCATENATE(B93,7)</f>
        <v>8D99W23PA477</v>
      </c>
      <c r="D93" s="2" t="s">
        <v>287</v>
      </c>
      <c r="E93" s="2" t="s">
        <v>26</v>
      </c>
      <c r="F93" s="2" t="s">
        <v>38</v>
      </c>
      <c r="G93" s="2" t="s">
        <v>28</v>
      </c>
      <c r="H93" s="4">
        <v>45689</v>
      </c>
      <c r="I93" s="4">
        <v>45689</v>
      </c>
      <c r="J93" s="2">
        <v>2158366</v>
      </c>
      <c r="K93" s="2" t="s">
        <v>132</v>
      </c>
      <c r="L93" s="2" t="s">
        <v>33</v>
      </c>
      <c r="M93" s="2">
        <v>751</v>
      </c>
      <c r="N93" s="2">
        <v>626</v>
      </c>
      <c r="O93" s="3" t="s">
        <v>194</v>
      </c>
      <c r="P93" s="2" t="s">
        <v>195</v>
      </c>
    </row>
    <row r="94" spans="1:16" x14ac:dyDescent="0.25">
      <c r="A94" s="4">
        <v>45741</v>
      </c>
      <c r="B94" s="2" t="s">
        <v>130</v>
      </c>
      <c r="C94" s="2" t="str">
        <f>CONCATENATE(B94,8)</f>
        <v>8D99W23PA478</v>
      </c>
      <c r="D94" s="2" t="s">
        <v>287</v>
      </c>
      <c r="E94" s="2" t="s">
        <v>26</v>
      </c>
      <c r="F94" s="2" t="s">
        <v>41</v>
      </c>
      <c r="G94" s="2" t="s">
        <v>28</v>
      </c>
      <c r="H94" s="4">
        <v>45689</v>
      </c>
      <c r="I94" s="4">
        <v>45689</v>
      </c>
      <c r="J94" s="2">
        <v>2158366</v>
      </c>
      <c r="K94" s="2" t="s">
        <v>132</v>
      </c>
      <c r="L94" s="2" t="s">
        <v>33</v>
      </c>
      <c r="M94" s="2">
        <v>-401.5</v>
      </c>
      <c r="N94" s="2">
        <v>-313</v>
      </c>
      <c r="O94" s="3" t="s">
        <v>190</v>
      </c>
      <c r="P94" s="2" t="s">
        <v>188</v>
      </c>
    </row>
    <row r="95" spans="1:16" x14ac:dyDescent="0.25">
      <c r="A95" s="4">
        <v>45741</v>
      </c>
      <c r="B95" s="2" t="s">
        <v>130</v>
      </c>
      <c r="C95" s="2" t="str">
        <f>CONCATENATE(B95,88)</f>
        <v>8D99W23PA4788</v>
      </c>
      <c r="D95" s="2" t="s">
        <v>287</v>
      </c>
      <c r="E95" s="2" t="s">
        <v>26</v>
      </c>
      <c r="F95" s="2" t="s">
        <v>41</v>
      </c>
      <c r="G95" s="2" t="s">
        <v>28</v>
      </c>
      <c r="H95" s="4">
        <v>45689</v>
      </c>
      <c r="I95" s="4">
        <v>45689</v>
      </c>
      <c r="J95" s="2">
        <v>20411454</v>
      </c>
      <c r="K95" s="2" t="s">
        <v>309</v>
      </c>
      <c r="L95" s="2" t="s">
        <v>33</v>
      </c>
      <c r="M95" s="2">
        <v>-401.5</v>
      </c>
      <c r="N95" s="2">
        <v>-88.5</v>
      </c>
      <c r="O95" s="3" t="s">
        <v>191</v>
      </c>
    </row>
    <row r="96" spans="1:16" x14ac:dyDescent="0.25">
      <c r="A96" s="4">
        <v>45741</v>
      </c>
      <c r="B96" s="2" t="s">
        <v>130</v>
      </c>
      <c r="C96" s="2" t="str">
        <f>CONCATENATE(B96,88)</f>
        <v>8D99W23PA4788</v>
      </c>
      <c r="D96" s="2" t="s">
        <v>287</v>
      </c>
      <c r="E96" s="2" t="s">
        <v>26</v>
      </c>
      <c r="F96" s="2" t="s">
        <v>38</v>
      </c>
      <c r="G96" s="2" t="s">
        <v>28</v>
      </c>
      <c r="H96" s="4">
        <v>45689</v>
      </c>
      <c r="I96" s="4">
        <v>45689</v>
      </c>
      <c r="J96" s="2">
        <v>20411454</v>
      </c>
      <c r="K96" s="2" t="s">
        <v>309</v>
      </c>
      <c r="L96" s="2" t="s">
        <v>33</v>
      </c>
      <c r="M96" s="2">
        <v>751</v>
      </c>
      <c r="N96" s="2">
        <v>125</v>
      </c>
      <c r="O96" s="3" t="s">
        <v>191</v>
      </c>
    </row>
    <row r="97" spans="1:16" x14ac:dyDescent="0.25">
      <c r="A97" s="4">
        <v>45741</v>
      </c>
      <c r="B97" s="2" t="s">
        <v>52</v>
      </c>
      <c r="C97" s="2" t="str">
        <f>CONCATENATE(B97,88)</f>
        <v>8KE0UJ6KQ0488</v>
      </c>
      <c r="D97" s="2" t="s">
        <v>306</v>
      </c>
      <c r="E97" s="2" t="s">
        <v>54</v>
      </c>
      <c r="F97" s="2" t="s">
        <v>50</v>
      </c>
      <c r="G97" s="2" t="s">
        <v>28</v>
      </c>
      <c r="H97" s="4">
        <v>45748</v>
      </c>
      <c r="I97" s="4">
        <v>45748</v>
      </c>
      <c r="J97" s="2">
        <v>20411454</v>
      </c>
      <c r="K97" s="2" t="s">
        <v>309</v>
      </c>
      <c r="L97" s="2" t="s">
        <v>33</v>
      </c>
      <c r="M97" s="2">
        <v>30</v>
      </c>
      <c r="N97" s="2">
        <v>30</v>
      </c>
      <c r="O97" s="3" t="s">
        <v>191</v>
      </c>
    </row>
    <row r="98" spans="1:16" x14ac:dyDescent="0.25">
      <c r="A98" s="4">
        <v>45741</v>
      </c>
      <c r="B98" s="2" t="s">
        <v>48</v>
      </c>
      <c r="C98" s="2" t="str">
        <f>CONCATENATE(B98,8)</f>
        <v>8MX1XN8XW148</v>
      </c>
      <c r="D98" s="2" t="s">
        <v>300</v>
      </c>
      <c r="E98" s="2" t="s">
        <v>26</v>
      </c>
      <c r="F98" s="2" t="s">
        <v>50</v>
      </c>
      <c r="G98" s="2" t="s">
        <v>28</v>
      </c>
      <c r="H98" s="4">
        <v>45748</v>
      </c>
      <c r="I98" s="4">
        <v>45748</v>
      </c>
      <c r="J98" s="2">
        <v>18581063</v>
      </c>
      <c r="K98" s="2" t="s">
        <v>51</v>
      </c>
      <c r="L98" s="2" t="s">
        <v>33</v>
      </c>
      <c r="M98" s="2">
        <v>328.5</v>
      </c>
      <c r="N98" s="2">
        <v>313</v>
      </c>
      <c r="O98" s="3" t="s">
        <v>190</v>
      </c>
      <c r="P98" s="2" t="s">
        <v>188</v>
      </c>
    </row>
    <row r="99" spans="1:16" x14ac:dyDescent="0.25">
      <c r="A99" s="4">
        <v>45741</v>
      </c>
      <c r="B99" s="2" t="s">
        <v>48</v>
      </c>
      <c r="C99" s="2" t="str">
        <f>CONCATENATE(B99,88)</f>
        <v>8MX1XN8XW1488</v>
      </c>
      <c r="D99" s="2" t="s">
        <v>300</v>
      </c>
      <c r="E99" s="2" t="s">
        <v>26</v>
      </c>
      <c r="F99" s="2" t="s">
        <v>50</v>
      </c>
      <c r="G99" s="2" t="s">
        <v>28</v>
      </c>
      <c r="H99" s="4">
        <v>45748</v>
      </c>
      <c r="I99" s="4">
        <v>45748</v>
      </c>
      <c r="J99" s="2">
        <v>20411454</v>
      </c>
      <c r="K99" s="2" t="s">
        <v>309</v>
      </c>
      <c r="L99" s="2" t="s">
        <v>33</v>
      </c>
      <c r="M99" s="2">
        <v>328.5</v>
      </c>
      <c r="N99" s="2">
        <v>15.5</v>
      </c>
      <c r="O99" s="3" t="s">
        <v>191</v>
      </c>
    </row>
    <row r="100" spans="1:16" x14ac:dyDescent="0.25">
      <c r="A100" s="4">
        <v>45741</v>
      </c>
      <c r="B100" s="2" t="s">
        <v>177</v>
      </c>
      <c r="C100" s="2" t="str">
        <f>CONCATENATE(B100,7)</f>
        <v>8N51MW3JC057</v>
      </c>
      <c r="D100" s="2" t="s">
        <v>288</v>
      </c>
      <c r="E100" s="2" t="s">
        <v>179</v>
      </c>
      <c r="F100" s="2" t="s">
        <v>38</v>
      </c>
      <c r="G100" s="2" t="s">
        <v>28</v>
      </c>
      <c r="H100" s="4">
        <v>45748</v>
      </c>
      <c r="I100" s="4">
        <v>45748</v>
      </c>
      <c r="J100" s="2">
        <v>9213293</v>
      </c>
      <c r="K100" s="2" t="s">
        <v>47</v>
      </c>
      <c r="L100" s="2" t="s">
        <v>33</v>
      </c>
      <c r="M100" s="2">
        <v>751</v>
      </c>
      <c r="N100" s="2">
        <v>626</v>
      </c>
      <c r="O100" s="3" t="s">
        <v>194</v>
      </c>
      <c r="P100" s="2" t="s">
        <v>195</v>
      </c>
    </row>
    <row r="101" spans="1:16" x14ac:dyDescent="0.25">
      <c r="A101" s="4">
        <v>45741</v>
      </c>
      <c r="B101" s="2" t="s">
        <v>177</v>
      </c>
      <c r="C101" s="2" t="str">
        <f>CONCATENATE(B101,8)</f>
        <v>8N51MW3JC058</v>
      </c>
      <c r="D101" s="2" t="s">
        <v>288</v>
      </c>
      <c r="E101" s="2" t="s">
        <v>179</v>
      </c>
      <c r="F101" s="2" t="s">
        <v>41</v>
      </c>
      <c r="G101" s="2" t="s">
        <v>28</v>
      </c>
      <c r="H101" s="4">
        <v>45748</v>
      </c>
      <c r="I101" s="4">
        <v>45748</v>
      </c>
      <c r="J101" s="2">
        <v>9213293</v>
      </c>
      <c r="K101" s="2" t="s">
        <v>47</v>
      </c>
      <c r="L101" s="2" t="s">
        <v>33</v>
      </c>
      <c r="M101" s="2">
        <v>-328.5</v>
      </c>
      <c r="N101" s="2">
        <v>-313</v>
      </c>
      <c r="O101" s="3" t="s">
        <v>190</v>
      </c>
      <c r="P101" s="2" t="s">
        <v>188</v>
      </c>
    </row>
    <row r="102" spans="1:16" x14ac:dyDescent="0.25">
      <c r="A102" s="4">
        <v>45741</v>
      </c>
      <c r="B102" s="2" t="s">
        <v>177</v>
      </c>
      <c r="C102" s="2" t="str">
        <f>CONCATENATE(B102,88)</f>
        <v>8N51MW3JC0588</v>
      </c>
      <c r="D102" s="2" t="s">
        <v>288</v>
      </c>
      <c r="E102" s="2" t="s">
        <v>179</v>
      </c>
      <c r="F102" s="2" t="s">
        <v>41</v>
      </c>
      <c r="G102" s="2" t="s">
        <v>28</v>
      </c>
      <c r="H102" s="4">
        <v>45748</v>
      </c>
      <c r="I102" s="4">
        <v>45748</v>
      </c>
      <c r="J102" s="2">
        <v>20411454</v>
      </c>
      <c r="K102" s="2" t="s">
        <v>309</v>
      </c>
      <c r="L102" s="2" t="s">
        <v>33</v>
      </c>
      <c r="M102" s="2">
        <v>-328.5</v>
      </c>
      <c r="N102" s="2">
        <v>-15.5</v>
      </c>
      <c r="O102" s="3" t="s">
        <v>191</v>
      </c>
    </row>
    <row r="103" spans="1:16" x14ac:dyDescent="0.25">
      <c r="A103" s="4">
        <v>45741</v>
      </c>
      <c r="B103" s="2" t="s">
        <v>177</v>
      </c>
      <c r="C103" s="2" t="str">
        <f>CONCATENATE(B103,88)</f>
        <v>8N51MW3JC0588</v>
      </c>
      <c r="D103" s="2" t="s">
        <v>288</v>
      </c>
      <c r="E103" s="2" t="s">
        <v>179</v>
      </c>
      <c r="F103" s="2" t="s">
        <v>38</v>
      </c>
      <c r="G103" s="2" t="s">
        <v>28</v>
      </c>
      <c r="H103" s="4">
        <v>45748</v>
      </c>
      <c r="I103" s="4">
        <v>45748</v>
      </c>
      <c r="J103" s="2">
        <v>20411454</v>
      </c>
      <c r="K103" s="2" t="s">
        <v>309</v>
      </c>
      <c r="L103" s="2" t="s">
        <v>33</v>
      </c>
      <c r="M103" s="2">
        <v>751</v>
      </c>
      <c r="N103" s="2">
        <v>125</v>
      </c>
      <c r="O103" s="3" t="s">
        <v>191</v>
      </c>
    </row>
    <row r="104" spans="1:16" x14ac:dyDescent="0.25">
      <c r="A104" s="4">
        <v>45741</v>
      </c>
      <c r="B104" s="2" t="s">
        <v>115</v>
      </c>
      <c r="C104" s="2" t="str">
        <f>CONCATENATE(B104,88)</f>
        <v>9DV1RA3VJ2288</v>
      </c>
      <c r="D104" s="2" t="s">
        <v>307</v>
      </c>
      <c r="E104" s="2" t="s">
        <v>54</v>
      </c>
      <c r="F104" s="2" t="s">
        <v>50</v>
      </c>
      <c r="G104" s="2" t="s">
        <v>28</v>
      </c>
      <c r="H104" s="4">
        <v>45748</v>
      </c>
      <c r="I104" s="4">
        <v>45748</v>
      </c>
      <c r="J104" s="2">
        <v>20411454</v>
      </c>
      <c r="K104" s="2" t="s">
        <v>309</v>
      </c>
      <c r="L104" s="2" t="s">
        <v>33</v>
      </c>
      <c r="M104" s="2">
        <v>93.75</v>
      </c>
      <c r="N104" s="2">
        <v>93.75</v>
      </c>
      <c r="O104" s="3" t="s">
        <v>191</v>
      </c>
    </row>
    <row r="105" spans="1:16" x14ac:dyDescent="0.25">
      <c r="A105" s="4">
        <v>45741</v>
      </c>
      <c r="B105" s="2" t="s">
        <v>42</v>
      </c>
      <c r="C105" s="2" t="str">
        <f>CONCATENATE(B105,7)</f>
        <v>9NP0U35RP417</v>
      </c>
      <c r="D105" s="2" t="s">
        <v>289</v>
      </c>
      <c r="E105" s="2" t="s">
        <v>44</v>
      </c>
      <c r="F105" s="2" t="s">
        <v>38</v>
      </c>
      <c r="G105" s="2" t="s">
        <v>28</v>
      </c>
      <c r="H105" s="4">
        <v>45748</v>
      </c>
      <c r="I105" s="4">
        <v>45748</v>
      </c>
      <c r="J105" s="2">
        <v>9213293</v>
      </c>
      <c r="K105" s="2" t="s">
        <v>47</v>
      </c>
      <c r="L105" s="2" t="s">
        <v>33</v>
      </c>
      <c r="M105" s="2">
        <v>751</v>
      </c>
      <c r="N105" s="2">
        <v>626</v>
      </c>
      <c r="O105" s="3" t="s">
        <v>194</v>
      </c>
      <c r="P105" s="2" t="s">
        <v>195</v>
      </c>
    </row>
    <row r="106" spans="1:16" x14ac:dyDescent="0.25">
      <c r="A106" s="4">
        <v>45741</v>
      </c>
      <c r="B106" s="2" t="s">
        <v>42</v>
      </c>
      <c r="C106" s="2" t="str">
        <f>CONCATENATE(B106,8)</f>
        <v>9NP0U35RP418</v>
      </c>
      <c r="D106" s="2" t="s">
        <v>289</v>
      </c>
      <c r="E106" s="2" t="s">
        <v>44</v>
      </c>
      <c r="F106" s="2" t="s">
        <v>41</v>
      </c>
      <c r="G106" s="2" t="s">
        <v>28</v>
      </c>
      <c r="H106" s="4">
        <v>45748</v>
      </c>
      <c r="I106" s="4">
        <v>45748</v>
      </c>
      <c r="J106" s="2">
        <v>9213293</v>
      </c>
      <c r="K106" s="2" t="s">
        <v>47</v>
      </c>
      <c r="L106" s="2" t="s">
        <v>33</v>
      </c>
      <c r="M106" s="2">
        <v>-328.5</v>
      </c>
      <c r="N106" s="2">
        <v>-313</v>
      </c>
      <c r="O106" s="3" t="s">
        <v>190</v>
      </c>
      <c r="P106" s="2" t="s">
        <v>188</v>
      </c>
    </row>
    <row r="107" spans="1:16" x14ac:dyDescent="0.25">
      <c r="A107" s="4">
        <v>45741</v>
      </c>
      <c r="B107" s="2" t="s">
        <v>42</v>
      </c>
      <c r="C107" s="2" t="str">
        <f>CONCATENATE(B107,88)</f>
        <v>9NP0U35RP4188</v>
      </c>
      <c r="D107" s="2" t="s">
        <v>289</v>
      </c>
      <c r="E107" s="2" t="s">
        <v>44</v>
      </c>
      <c r="F107" s="2" t="s">
        <v>41</v>
      </c>
      <c r="G107" s="2" t="s">
        <v>28</v>
      </c>
      <c r="H107" s="4">
        <v>45748</v>
      </c>
      <c r="I107" s="4">
        <v>45748</v>
      </c>
      <c r="J107" s="2">
        <v>20411454</v>
      </c>
      <c r="K107" s="2" t="s">
        <v>309</v>
      </c>
      <c r="L107" s="2" t="s">
        <v>33</v>
      </c>
      <c r="M107" s="2">
        <v>-328.5</v>
      </c>
      <c r="N107" s="2">
        <v>-15.5</v>
      </c>
      <c r="O107" s="3" t="s">
        <v>191</v>
      </c>
    </row>
    <row r="108" spans="1:16" x14ac:dyDescent="0.25">
      <c r="A108" s="4">
        <v>45741</v>
      </c>
      <c r="B108" s="2" t="s">
        <v>42</v>
      </c>
      <c r="C108" s="2" t="str">
        <f>CONCATENATE(B108,88)</f>
        <v>9NP0U35RP4188</v>
      </c>
      <c r="D108" s="2" t="s">
        <v>289</v>
      </c>
      <c r="E108" s="2" t="s">
        <v>44</v>
      </c>
      <c r="F108" s="2" t="s">
        <v>38</v>
      </c>
      <c r="G108" s="2" t="s">
        <v>28</v>
      </c>
      <c r="H108" s="4">
        <v>45748</v>
      </c>
      <c r="I108" s="4">
        <v>45748</v>
      </c>
      <c r="J108" s="2">
        <v>20411454</v>
      </c>
      <c r="K108" s="2" t="s">
        <v>309</v>
      </c>
      <c r="L108" s="2" t="s">
        <v>33</v>
      </c>
      <c r="M108" s="2">
        <v>751</v>
      </c>
      <c r="N108" s="2">
        <v>125</v>
      </c>
      <c r="O108" s="3" t="s">
        <v>191</v>
      </c>
    </row>
    <row r="109" spans="1:16" x14ac:dyDescent="0.25">
      <c r="A109" s="4">
        <v>45741</v>
      </c>
      <c r="B109" s="2" t="s">
        <v>169</v>
      </c>
      <c r="C109" s="2" t="str">
        <f>CONCATENATE(B109,7)</f>
        <v>9PR1VJ5WU977</v>
      </c>
      <c r="D109" s="2" t="s">
        <v>273</v>
      </c>
      <c r="E109" s="2" t="s">
        <v>54</v>
      </c>
      <c r="F109" s="2" t="s">
        <v>38</v>
      </c>
      <c r="G109" s="2" t="s">
        <v>28</v>
      </c>
      <c r="H109" s="4">
        <v>45778</v>
      </c>
      <c r="I109" s="4">
        <v>45778</v>
      </c>
      <c r="J109" s="2" t="s">
        <v>310</v>
      </c>
      <c r="K109" s="2" t="s">
        <v>163</v>
      </c>
      <c r="L109" s="2" t="s">
        <v>33</v>
      </c>
      <c r="M109" s="2">
        <v>830</v>
      </c>
      <c r="N109" s="2">
        <v>705</v>
      </c>
      <c r="O109" s="3" t="s">
        <v>197</v>
      </c>
      <c r="P109" s="2" t="s">
        <v>198</v>
      </c>
    </row>
    <row r="110" spans="1:16" x14ac:dyDescent="0.25">
      <c r="A110" s="4">
        <v>45741</v>
      </c>
      <c r="B110" s="2" t="s">
        <v>169</v>
      </c>
      <c r="C110" s="2" t="str">
        <f>CONCATENATE(B110,8)</f>
        <v>9PR1VJ5WU978</v>
      </c>
      <c r="D110" s="2" t="s">
        <v>273</v>
      </c>
      <c r="E110" s="2" t="s">
        <v>54</v>
      </c>
      <c r="F110" s="2" t="s">
        <v>41</v>
      </c>
      <c r="G110" s="2" t="s">
        <v>28</v>
      </c>
      <c r="H110" s="4">
        <v>45778</v>
      </c>
      <c r="I110" s="4">
        <v>45778</v>
      </c>
      <c r="J110" s="2" t="s">
        <v>310</v>
      </c>
      <c r="K110" s="2" t="s">
        <v>163</v>
      </c>
      <c r="L110" s="2" t="s">
        <v>33</v>
      </c>
      <c r="M110" s="2">
        <v>-318.67</v>
      </c>
      <c r="N110" s="2">
        <v>-235.34</v>
      </c>
      <c r="O110" s="2" t="s">
        <v>189</v>
      </c>
      <c r="P110" s="2" t="s">
        <v>192</v>
      </c>
    </row>
    <row r="111" spans="1:16" x14ac:dyDescent="0.25">
      <c r="A111" s="4">
        <v>45741</v>
      </c>
      <c r="B111" s="2" t="s">
        <v>169</v>
      </c>
      <c r="C111" s="2" t="str">
        <f>CONCATENATE(B111,88)</f>
        <v>9PR1VJ5WU9788</v>
      </c>
      <c r="D111" s="2" t="s">
        <v>273</v>
      </c>
      <c r="E111" s="2" t="s">
        <v>54</v>
      </c>
      <c r="F111" s="2" t="s">
        <v>41</v>
      </c>
      <c r="G111" s="2" t="s">
        <v>28</v>
      </c>
      <c r="H111" s="4">
        <v>45778</v>
      </c>
      <c r="I111" s="4">
        <v>45778</v>
      </c>
      <c r="J111" s="2">
        <v>20411454</v>
      </c>
      <c r="K111" s="2" t="s">
        <v>309</v>
      </c>
      <c r="L111" s="2" t="s">
        <v>33</v>
      </c>
      <c r="M111" s="2">
        <v>-318.67</v>
      </c>
      <c r="N111" s="2">
        <v>-83.33</v>
      </c>
      <c r="O111" s="3" t="s">
        <v>191</v>
      </c>
    </row>
    <row r="112" spans="1:16" x14ac:dyDescent="0.25">
      <c r="A112" s="4">
        <v>45741</v>
      </c>
      <c r="B112" s="2" t="s">
        <v>169</v>
      </c>
      <c r="C112" s="2" t="str">
        <f>CONCATENATE(B112,88)</f>
        <v>9PR1VJ5WU9788</v>
      </c>
      <c r="D112" s="2" t="s">
        <v>273</v>
      </c>
      <c r="E112" s="2" t="s">
        <v>54</v>
      </c>
      <c r="F112" s="2" t="s">
        <v>38</v>
      </c>
      <c r="G112" s="2" t="s">
        <v>28</v>
      </c>
      <c r="H112" s="4">
        <v>45778</v>
      </c>
      <c r="I112" s="4">
        <v>45778</v>
      </c>
      <c r="J112" s="2">
        <v>20411454</v>
      </c>
      <c r="K112" s="2" t="s">
        <v>309</v>
      </c>
      <c r="L112" s="2" t="s">
        <v>33</v>
      </c>
      <c r="M112" s="2">
        <v>830</v>
      </c>
      <c r="N112" s="2">
        <v>125</v>
      </c>
      <c r="O112" s="3" t="s">
        <v>191</v>
      </c>
    </row>
    <row r="113" spans="1:16" x14ac:dyDescent="0.25">
      <c r="A113" s="4">
        <v>45741</v>
      </c>
      <c r="B113" s="2" t="s">
        <v>64</v>
      </c>
      <c r="C113" s="2" t="str">
        <f>CONCATENATE(B113,7)</f>
        <v>9TR7UG6NE457</v>
      </c>
      <c r="D113" s="2" t="s">
        <v>290</v>
      </c>
      <c r="E113" s="2" t="s">
        <v>66</v>
      </c>
      <c r="F113" s="2" t="s">
        <v>38</v>
      </c>
      <c r="G113" s="2" t="s">
        <v>28</v>
      </c>
      <c r="H113" s="4">
        <v>45717</v>
      </c>
      <c r="I113" s="4">
        <v>45717</v>
      </c>
      <c r="J113" s="2">
        <v>8325282</v>
      </c>
      <c r="K113" s="2" t="s">
        <v>68</v>
      </c>
      <c r="L113" s="2" t="s">
        <v>33</v>
      </c>
      <c r="M113" s="2">
        <v>751</v>
      </c>
      <c r="N113" s="2">
        <v>626</v>
      </c>
      <c r="O113" s="3" t="s">
        <v>194</v>
      </c>
      <c r="P113" s="2" t="s">
        <v>195</v>
      </c>
    </row>
    <row r="114" spans="1:16" x14ac:dyDescent="0.25">
      <c r="A114" s="4">
        <v>45741</v>
      </c>
      <c r="B114" s="2" t="s">
        <v>64</v>
      </c>
      <c r="C114" s="2" t="str">
        <f>CONCATENATE(B114,8)</f>
        <v>9TR7UG6NE458</v>
      </c>
      <c r="D114" s="2" t="s">
        <v>290</v>
      </c>
      <c r="E114" s="2" t="s">
        <v>66</v>
      </c>
      <c r="F114" s="2" t="s">
        <v>41</v>
      </c>
      <c r="G114" s="2" t="s">
        <v>28</v>
      </c>
      <c r="H114" s="4">
        <v>45717</v>
      </c>
      <c r="I114" s="4">
        <v>45717</v>
      </c>
      <c r="J114" s="2">
        <v>8325282</v>
      </c>
      <c r="K114" s="2" t="s">
        <v>68</v>
      </c>
      <c r="L114" s="2" t="s">
        <v>33</v>
      </c>
      <c r="M114" s="2">
        <v>-365</v>
      </c>
      <c r="N114" s="2">
        <v>-313</v>
      </c>
      <c r="O114" s="3" t="s">
        <v>190</v>
      </c>
      <c r="P114" s="2" t="s">
        <v>188</v>
      </c>
    </row>
    <row r="115" spans="1:16" x14ac:dyDescent="0.25">
      <c r="A115" s="4">
        <v>45741</v>
      </c>
      <c r="B115" s="2" t="s">
        <v>64</v>
      </c>
      <c r="C115" s="2" t="str">
        <f>CONCATENATE(B115,88)</f>
        <v>9TR7UG6NE4588</v>
      </c>
      <c r="D115" s="2" t="s">
        <v>290</v>
      </c>
      <c r="E115" s="2" t="s">
        <v>66</v>
      </c>
      <c r="F115" s="2" t="s">
        <v>41</v>
      </c>
      <c r="G115" s="2" t="s">
        <v>28</v>
      </c>
      <c r="H115" s="4">
        <v>45717</v>
      </c>
      <c r="I115" s="4">
        <v>45717</v>
      </c>
      <c r="J115" s="2">
        <v>20411454</v>
      </c>
      <c r="K115" s="2" t="s">
        <v>309</v>
      </c>
      <c r="L115" s="2" t="s">
        <v>33</v>
      </c>
      <c r="M115" s="2">
        <v>-365</v>
      </c>
      <c r="N115" s="2">
        <v>-52</v>
      </c>
      <c r="O115" s="3" t="s">
        <v>191</v>
      </c>
    </row>
    <row r="116" spans="1:16" x14ac:dyDescent="0.25">
      <c r="A116" s="4">
        <v>45741</v>
      </c>
      <c r="B116" s="2" t="s">
        <v>64</v>
      </c>
      <c r="C116" s="2" t="str">
        <f>CONCATENATE(B116,88)</f>
        <v>9TR7UG6NE4588</v>
      </c>
      <c r="D116" s="2" t="s">
        <v>290</v>
      </c>
      <c r="E116" s="2" t="s">
        <v>66</v>
      </c>
      <c r="F116" s="2" t="s">
        <v>38</v>
      </c>
      <c r="G116" s="2" t="s">
        <v>28</v>
      </c>
      <c r="H116" s="4">
        <v>45717</v>
      </c>
      <c r="I116" s="4">
        <v>45717</v>
      </c>
      <c r="J116" s="2">
        <v>20411454</v>
      </c>
      <c r="K116" s="2" t="s">
        <v>309</v>
      </c>
      <c r="L116" s="2" t="s">
        <v>33</v>
      </c>
      <c r="M116" s="2">
        <v>751</v>
      </c>
      <c r="N116" s="2">
        <v>125</v>
      </c>
      <c r="O116" s="3" t="s">
        <v>191</v>
      </c>
    </row>
    <row r="117" spans="1:16" x14ac:dyDescent="0.25">
      <c r="A117" s="4">
        <v>45741</v>
      </c>
      <c r="B117" s="2" t="s">
        <v>153</v>
      </c>
      <c r="C117" s="2" t="str">
        <f>CONCATENATE(B117,8)</f>
        <v>9V96UP4CA888</v>
      </c>
      <c r="D117" s="2" t="s">
        <v>301</v>
      </c>
      <c r="E117" s="2" t="s">
        <v>26</v>
      </c>
      <c r="F117" s="2" t="s">
        <v>50</v>
      </c>
      <c r="G117" s="2" t="s">
        <v>28</v>
      </c>
      <c r="H117" s="4">
        <v>45748</v>
      </c>
      <c r="I117" s="4">
        <v>45748</v>
      </c>
      <c r="J117" s="2">
        <v>8325282</v>
      </c>
      <c r="K117" s="2" t="s">
        <v>68</v>
      </c>
      <c r="L117" s="2" t="s">
        <v>33</v>
      </c>
      <c r="M117" s="2">
        <v>328.5</v>
      </c>
      <c r="N117" s="2">
        <v>313</v>
      </c>
      <c r="O117" s="3" t="s">
        <v>190</v>
      </c>
      <c r="P117" s="2" t="s">
        <v>188</v>
      </c>
    </row>
    <row r="118" spans="1:16" x14ac:dyDescent="0.25">
      <c r="A118" s="4">
        <v>45741</v>
      </c>
      <c r="B118" s="2" t="s">
        <v>153</v>
      </c>
      <c r="C118" s="2" t="str">
        <f>CONCATENATE(B118,88)</f>
        <v>9V96UP4CA8888</v>
      </c>
      <c r="D118" s="2" t="s">
        <v>301</v>
      </c>
      <c r="E118" s="2" t="s">
        <v>26</v>
      </c>
      <c r="F118" s="2" t="s">
        <v>50</v>
      </c>
      <c r="G118" s="2" t="s">
        <v>28</v>
      </c>
      <c r="H118" s="4">
        <v>45748</v>
      </c>
      <c r="I118" s="4">
        <v>45748</v>
      </c>
      <c r="J118" s="2">
        <v>20411454</v>
      </c>
      <c r="K118" s="2" t="s">
        <v>309</v>
      </c>
      <c r="L118" s="2" t="s">
        <v>33</v>
      </c>
      <c r="M118" s="2">
        <v>328.5</v>
      </c>
      <c r="N118" s="2">
        <v>15.5</v>
      </c>
      <c r="O118" s="3" t="s">
        <v>191</v>
      </c>
    </row>
    <row r="119" spans="1:16" x14ac:dyDescent="0.25">
      <c r="A119" s="4">
        <v>45741</v>
      </c>
      <c r="B119" s="2" t="s">
        <v>83</v>
      </c>
      <c r="C119" s="2" t="str">
        <f>CONCATENATE(B119,88)</f>
        <v>9WT2RK4FY8288</v>
      </c>
      <c r="D119" s="2" t="s">
        <v>308</v>
      </c>
      <c r="E119" s="2" t="s">
        <v>54</v>
      </c>
      <c r="F119" s="2" t="s">
        <v>41</v>
      </c>
      <c r="G119" s="2" t="s">
        <v>28</v>
      </c>
      <c r="H119" s="4">
        <v>45778</v>
      </c>
      <c r="I119" s="4">
        <v>45778</v>
      </c>
      <c r="J119" s="2">
        <v>20411454</v>
      </c>
      <c r="K119" s="2" t="s">
        <v>309</v>
      </c>
      <c r="L119" s="2" t="s">
        <v>33</v>
      </c>
      <c r="M119" s="2">
        <v>-26.67</v>
      </c>
      <c r="N119" s="2">
        <v>-26.67</v>
      </c>
      <c r="O119" s="3" t="s">
        <v>191</v>
      </c>
    </row>
    <row r="120" spans="1:16" x14ac:dyDescent="0.25">
      <c r="A120" s="4">
        <v>45741</v>
      </c>
      <c r="B120" s="2" t="s">
        <v>83</v>
      </c>
      <c r="C120" s="2" t="str">
        <f>CONCATENATE(B120,88)</f>
        <v>9WT2RK4FY8288</v>
      </c>
      <c r="D120" s="2" t="s">
        <v>308</v>
      </c>
      <c r="E120" s="2" t="s">
        <v>54</v>
      </c>
      <c r="F120" s="2" t="s">
        <v>38</v>
      </c>
      <c r="G120" s="2" t="s">
        <v>28</v>
      </c>
      <c r="H120" s="4">
        <v>45778</v>
      </c>
      <c r="I120" s="4">
        <v>45778</v>
      </c>
      <c r="J120" s="2">
        <v>20411454</v>
      </c>
      <c r="K120" s="2" t="s">
        <v>309</v>
      </c>
      <c r="L120" s="2" t="s">
        <v>33</v>
      </c>
      <c r="M120" s="2">
        <v>40</v>
      </c>
      <c r="N120" s="2">
        <v>40</v>
      </c>
      <c r="O120" s="3" t="s">
        <v>191</v>
      </c>
    </row>
  </sheetData>
  <sortState xmlns:xlrd2="http://schemas.microsoft.com/office/spreadsheetml/2017/richdata2" ref="A2:Y120">
    <sortCondition ref="B2:B12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1B95-41E2-4AD5-97E7-A79EE26B2BEC}">
  <dimension ref="A1:C119"/>
  <sheetViews>
    <sheetView workbookViewId="0">
      <selection activeCell="C1" sqref="C1:C119"/>
    </sheetView>
  </sheetViews>
  <sheetFormatPr defaultRowHeight="15" x14ac:dyDescent="0.25"/>
  <cols>
    <col min="1" max="1" width="14.7109375" bestFit="1" customWidth="1"/>
  </cols>
  <sheetData>
    <row r="1" spans="1:3" x14ac:dyDescent="0.25">
      <c r="A1" s="2" t="s">
        <v>199</v>
      </c>
      <c r="B1" t="s">
        <v>200</v>
      </c>
      <c r="C1" t="str">
        <f>CONCATENATE(B1, " ",A1)</f>
        <v>RAYMOND SELVA</v>
      </c>
    </row>
    <row r="2" spans="1:3" x14ac:dyDescent="0.25">
      <c r="A2" s="2" t="s">
        <v>201</v>
      </c>
      <c r="B2" t="s">
        <v>202</v>
      </c>
      <c r="C2" t="str">
        <f t="shared" ref="C2:C65" si="0">CONCATENATE(B2, " ",A2)</f>
        <v>JAMES HAUG</v>
      </c>
    </row>
    <row r="3" spans="1:3" x14ac:dyDescent="0.25">
      <c r="A3" s="2" t="s">
        <v>203</v>
      </c>
      <c r="B3" t="s">
        <v>204</v>
      </c>
      <c r="C3" t="str">
        <f t="shared" si="0"/>
        <v>REBECCA LIPINSKI</v>
      </c>
    </row>
    <row r="4" spans="1:3" x14ac:dyDescent="0.25">
      <c r="A4" s="2" t="s">
        <v>205</v>
      </c>
      <c r="B4" t="s">
        <v>206</v>
      </c>
      <c r="C4" t="str">
        <f t="shared" si="0"/>
        <v>KEVIN WILKER</v>
      </c>
    </row>
    <row r="5" spans="1:3" x14ac:dyDescent="0.25">
      <c r="A5" s="2" t="s">
        <v>207</v>
      </c>
      <c r="B5" t="s">
        <v>208</v>
      </c>
      <c r="C5" t="str">
        <f t="shared" si="0"/>
        <v>ROBERT SLANEY</v>
      </c>
    </row>
    <row r="6" spans="1:3" x14ac:dyDescent="0.25">
      <c r="A6" s="2" t="s">
        <v>199</v>
      </c>
      <c r="B6" t="s">
        <v>200</v>
      </c>
      <c r="C6" t="str">
        <f t="shared" si="0"/>
        <v>RAYMOND SELVA</v>
      </c>
    </row>
    <row r="7" spans="1:3" x14ac:dyDescent="0.25">
      <c r="A7" s="2" t="s">
        <v>201</v>
      </c>
      <c r="B7" t="s">
        <v>202</v>
      </c>
      <c r="C7" t="str">
        <f t="shared" si="0"/>
        <v>JAMES HAUG</v>
      </c>
    </row>
    <row r="8" spans="1:3" x14ac:dyDescent="0.25">
      <c r="A8" s="2" t="s">
        <v>203</v>
      </c>
      <c r="B8" t="s">
        <v>204</v>
      </c>
      <c r="C8" t="str">
        <f t="shared" si="0"/>
        <v>REBECCA LIPINSKI</v>
      </c>
    </row>
    <row r="9" spans="1:3" x14ac:dyDescent="0.25">
      <c r="A9" s="2" t="s">
        <v>205</v>
      </c>
      <c r="B9" t="s">
        <v>206</v>
      </c>
      <c r="C9" t="str">
        <f t="shared" si="0"/>
        <v>KEVIN WILKER</v>
      </c>
    </row>
    <row r="10" spans="1:3" x14ac:dyDescent="0.25">
      <c r="A10" s="2" t="s">
        <v>207</v>
      </c>
      <c r="B10" t="s">
        <v>208</v>
      </c>
      <c r="C10" t="str">
        <f t="shared" si="0"/>
        <v>ROBERT SLANEY</v>
      </c>
    </row>
    <row r="11" spans="1:3" x14ac:dyDescent="0.25">
      <c r="A11" s="2" t="s">
        <v>209</v>
      </c>
      <c r="B11" t="s">
        <v>210</v>
      </c>
      <c r="C11" t="str">
        <f t="shared" si="0"/>
        <v>ALFREDA BOSTICK</v>
      </c>
    </row>
    <row r="12" spans="1:3" x14ac:dyDescent="0.25">
      <c r="A12" s="2" t="s">
        <v>211</v>
      </c>
      <c r="B12" t="s">
        <v>212</v>
      </c>
      <c r="C12" t="str">
        <f t="shared" si="0"/>
        <v>PAMELA KRUMSEE</v>
      </c>
    </row>
    <row r="13" spans="1:3" x14ac:dyDescent="0.25">
      <c r="A13" s="2" t="s">
        <v>213</v>
      </c>
      <c r="B13" t="s">
        <v>214</v>
      </c>
      <c r="C13" t="str">
        <f t="shared" si="0"/>
        <v>TODD PAYNTER</v>
      </c>
    </row>
    <row r="14" spans="1:3" x14ac:dyDescent="0.25">
      <c r="A14" s="2" t="s">
        <v>215</v>
      </c>
      <c r="B14" t="s">
        <v>216</v>
      </c>
      <c r="C14" t="str">
        <f t="shared" si="0"/>
        <v>MARK SHAUGHNESSY</v>
      </c>
    </row>
    <row r="15" spans="1:3" x14ac:dyDescent="0.25">
      <c r="A15" s="2" t="s">
        <v>217</v>
      </c>
      <c r="B15" t="s">
        <v>202</v>
      </c>
      <c r="C15" t="str">
        <f t="shared" si="0"/>
        <v>JAMES KONTOPOULOS</v>
      </c>
    </row>
    <row r="16" spans="1:3" x14ac:dyDescent="0.25">
      <c r="A16" s="2" t="s">
        <v>218</v>
      </c>
      <c r="B16" t="s">
        <v>219</v>
      </c>
      <c r="C16" t="str">
        <f t="shared" si="0"/>
        <v>JANICE COHEN</v>
      </c>
    </row>
    <row r="17" spans="1:3" x14ac:dyDescent="0.25">
      <c r="A17" s="2" t="s">
        <v>220</v>
      </c>
      <c r="B17" t="s">
        <v>221</v>
      </c>
      <c r="C17" t="str">
        <f t="shared" si="0"/>
        <v>BARBARA AULERT</v>
      </c>
    </row>
    <row r="18" spans="1:3" x14ac:dyDescent="0.25">
      <c r="A18" s="2" t="s">
        <v>222</v>
      </c>
      <c r="B18" t="s">
        <v>223</v>
      </c>
      <c r="C18" t="str">
        <f t="shared" si="0"/>
        <v>RENE SCHUBERT</v>
      </c>
    </row>
    <row r="19" spans="1:3" x14ac:dyDescent="0.25">
      <c r="A19" s="2" t="s">
        <v>224</v>
      </c>
      <c r="B19" t="s">
        <v>212</v>
      </c>
      <c r="C19" t="str">
        <f t="shared" si="0"/>
        <v>PAMELA MONTGOMERY</v>
      </c>
    </row>
    <row r="20" spans="1:3" x14ac:dyDescent="0.25">
      <c r="A20" s="2" t="s">
        <v>225</v>
      </c>
      <c r="B20" t="s">
        <v>212</v>
      </c>
      <c r="C20" t="str">
        <f t="shared" si="0"/>
        <v>PAMELA FREGOSO</v>
      </c>
    </row>
    <row r="21" spans="1:3" x14ac:dyDescent="0.25">
      <c r="A21" s="2" t="s">
        <v>226</v>
      </c>
      <c r="B21" t="s">
        <v>227</v>
      </c>
      <c r="C21" t="str">
        <f t="shared" si="0"/>
        <v>LAURIE CARLSON</v>
      </c>
    </row>
    <row r="22" spans="1:3" x14ac:dyDescent="0.25">
      <c r="A22" s="2" t="s">
        <v>268</v>
      </c>
      <c r="B22" t="s">
        <v>228</v>
      </c>
      <c r="C22" t="str">
        <f t="shared" si="0"/>
        <v>PENNY DE FRANCESCO</v>
      </c>
    </row>
    <row r="23" spans="1:3" x14ac:dyDescent="0.25">
      <c r="A23" s="2" t="s">
        <v>229</v>
      </c>
      <c r="B23" t="s">
        <v>230</v>
      </c>
      <c r="C23" t="str">
        <f t="shared" si="0"/>
        <v>TONY BURKS</v>
      </c>
    </row>
    <row r="24" spans="1:3" x14ac:dyDescent="0.25">
      <c r="A24" s="2" t="s">
        <v>211</v>
      </c>
      <c r="B24" t="s">
        <v>231</v>
      </c>
      <c r="C24" t="str">
        <f t="shared" si="0"/>
        <v>RICHARD KRUMSEE</v>
      </c>
    </row>
    <row r="25" spans="1:3" x14ac:dyDescent="0.25">
      <c r="A25" s="2" t="s">
        <v>232</v>
      </c>
      <c r="B25" t="s">
        <v>233</v>
      </c>
      <c r="C25" t="str">
        <f t="shared" si="0"/>
        <v>PAULA STONE</v>
      </c>
    </row>
    <row r="26" spans="1:3" x14ac:dyDescent="0.25">
      <c r="A26" s="2" t="s">
        <v>234</v>
      </c>
      <c r="B26" t="s">
        <v>235</v>
      </c>
      <c r="C26" t="str">
        <f t="shared" si="0"/>
        <v>BRADLEY BARNEY</v>
      </c>
    </row>
    <row r="27" spans="1:3" x14ac:dyDescent="0.25">
      <c r="A27" s="2" t="s">
        <v>235</v>
      </c>
      <c r="B27" t="s">
        <v>236</v>
      </c>
      <c r="C27" t="str">
        <f t="shared" si="0"/>
        <v>SUZANNE BRADLEY</v>
      </c>
    </row>
    <row r="28" spans="1:3" x14ac:dyDescent="0.25">
      <c r="A28" s="2" t="s">
        <v>237</v>
      </c>
      <c r="B28" t="s">
        <v>208</v>
      </c>
      <c r="C28" t="str">
        <f t="shared" si="0"/>
        <v>ROBERT DHUSE</v>
      </c>
    </row>
    <row r="29" spans="1:3" x14ac:dyDescent="0.25">
      <c r="A29" s="2" t="s">
        <v>209</v>
      </c>
      <c r="B29" t="s">
        <v>210</v>
      </c>
      <c r="C29" t="str">
        <f t="shared" si="0"/>
        <v>ALFREDA BOSTICK</v>
      </c>
    </row>
    <row r="30" spans="1:3" x14ac:dyDescent="0.25">
      <c r="A30" s="2" t="s">
        <v>211</v>
      </c>
      <c r="B30" t="s">
        <v>212</v>
      </c>
      <c r="C30" t="str">
        <f t="shared" si="0"/>
        <v>PAMELA KRUMSEE</v>
      </c>
    </row>
    <row r="31" spans="1:3" x14ac:dyDescent="0.25">
      <c r="A31" s="2" t="s">
        <v>213</v>
      </c>
      <c r="B31" t="s">
        <v>214</v>
      </c>
      <c r="C31" t="str">
        <f t="shared" si="0"/>
        <v>TODD PAYNTER</v>
      </c>
    </row>
    <row r="32" spans="1:3" x14ac:dyDescent="0.25">
      <c r="A32" s="2" t="s">
        <v>215</v>
      </c>
      <c r="B32" t="s">
        <v>216</v>
      </c>
      <c r="C32" t="str">
        <f t="shared" si="0"/>
        <v>MARK SHAUGHNESSY</v>
      </c>
    </row>
    <row r="33" spans="1:3" x14ac:dyDescent="0.25">
      <c r="A33" s="2" t="s">
        <v>238</v>
      </c>
      <c r="B33" t="s">
        <v>239</v>
      </c>
      <c r="C33" t="str">
        <f t="shared" si="0"/>
        <v>JENNY AGUILERA</v>
      </c>
    </row>
    <row r="34" spans="1:3" x14ac:dyDescent="0.25">
      <c r="A34" s="2" t="s">
        <v>217</v>
      </c>
      <c r="B34" t="s">
        <v>202</v>
      </c>
      <c r="C34" t="str">
        <f t="shared" si="0"/>
        <v>JAMES KONTOPOULOS</v>
      </c>
    </row>
    <row r="35" spans="1:3" x14ac:dyDescent="0.25">
      <c r="A35" s="2" t="s">
        <v>240</v>
      </c>
      <c r="B35" t="s">
        <v>208</v>
      </c>
      <c r="C35" t="str">
        <f t="shared" si="0"/>
        <v>ROBERT KRAMER</v>
      </c>
    </row>
    <row r="36" spans="1:3" x14ac:dyDescent="0.25">
      <c r="A36" s="2" t="s">
        <v>220</v>
      </c>
      <c r="B36" t="s">
        <v>221</v>
      </c>
      <c r="C36" t="str">
        <f t="shared" si="0"/>
        <v>BARBARA AULERT</v>
      </c>
    </row>
    <row r="37" spans="1:3" x14ac:dyDescent="0.25">
      <c r="A37" s="2" t="s">
        <v>241</v>
      </c>
      <c r="B37" t="s">
        <v>242</v>
      </c>
      <c r="C37" t="str">
        <f t="shared" si="0"/>
        <v>PRISCILLA WILSON</v>
      </c>
    </row>
    <row r="38" spans="1:3" x14ac:dyDescent="0.25">
      <c r="A38" s="2" t="s">
        <v>243</v>
      </c>
      <c r="B38" t="s">
        <v>244</v>
      </c>
      <c r="C38" t="str">
        <f t="shared" si="0"/>
        <v>CONNIE EPLIN</v>
      </c>
    </row>
    <row r="39" spans="1:3" x14ac:dyDescent="0.25">
      <c r="A39" s="2" t="s">
        <v>245</v>
      </c>
      <c r="B39" t="s">
        <v>246</v>
      </c>
      <c r="C39" t="str">
        <f t="shared" si="0"/>
        <v>DONALD JOHNSON</v>
      </c>
    </row>
    <row r="40" spans="1:3" x14ac:dyDescent="0.25">
      <c r="A40" s="2" t="s">
        <v>222</v>
      </c>
      <c r="B40" t="s">
        <v>223</v>
      </c>
      <c r="C40" t="str">
        <f t="shared" si="0"/>
        <v>RENE SCHUBERT</v>
      </c>
    </row>
    <row r="41" spans="1:3" x14ac:dyDescent="0.25">
      <c r="A41" s="2" t="s">
        <v>237</v>
      </c>
      <c r="B41" t="s">
        <v>247</v>
      </c>
      <c r="C41" t="str">
        <f t="shared" si="0"/>
        <v>TONI DHUSE</v>
      </c>
    </row>
    <row r="42" spans="1:3" x14ac:dyDescent="0.25">
      <c r="A42" s="2" t="s">
        <v>248</v>
      </c>
      <c r="B42" t="s">
        <v>249</v>
      </c>
      <c r="C42" t="str">
        <f t="shared" si="0"/>
        <v>STEPHANIE SMITH</v>
      </c>
    </row>
    <row r="43" spans="1:3" x14ac:dyDescent="0.25">
      <c r="A43" s="2" t="s">
        <v>224</v>
      </c>
      <c r="B43" t="s">
        <v>212</v>
      </c>
      <c r="C43" t="str">
        <f t="shared" si="0"/>
        <v>PAMELA MONTGOMERY</v>
      </c>
    </row>
    <row r="44" spans="1:3" x14ac:dyDescent="0.25">
      <c r="A44" s="2" t="s">
        <v>225</v>
      </c>
      <c r="B44" t="s">
        <v>212</v>
      </c>
      <c r="C44" t="str">
        <f t="shared" si="0"/>
        <v>PAMELA FREGOSO</v>
      </c>
    </row>
    <row r="45" spans="1:3" x14ac:dyDescent="0.25">
      <c r="A45" s="2" t="s">
        <v>226</v>
      </c>
      <c r="B45" t="s">
        <v>227</v>
      </c>
      <c r="C45" t="str">
        <f t="shared" si="0"/>
        <v>LAURIE CARLSON</v>
      </c>
    </row>
    <row r="46" spans="1:3" x14ac:dyDescent="0.25">
      <c r="A46" s="2" t="s">
        <v>268</v>
      </c>
      <c r="B46" t="s">
        <v>228</v>
      </c>
      <c r="C46" t="str">
        <f t="shared" si="0"/>
        <v>PENNY DE FRANCESCO</v>
      </c>
    </row>
    <row r="47" spans="1:3" x14ac:dyDescent="0.25">
      <c r="A47" s="2" t="s">
        <v>229</v>
      </c>
      <c r="B47" t="s">
        <v>230</v>
      </c>
      <c r="C47" t="str">
        <f t="shared" si="0"/>
        <v>TONY BURKS</v>
      </c>
    </row>
    <row r="48" spans="1:3" x14ac:dyDescent="0.25">
      <c r="A48" s="2" t="s">
        <v>250</v>
      </c>
      <c r="B48" t="s">
        <v>251</v>
      </c>
      <c r="C48" t="str">
        <f t="shared" si="0"/>
        <v>DENNIS ORBIN</v>
      </c>
    </row>
    <row r="49" spans="1:3" x14ac:dyDescent="0.25">
      <c r="A49" s="2" t="s">
        <v>211</v>
      </c>
      <c r="B49" t="s">
        <v>231</v>
      </c>
      <c r="C49" t="str">
        <f t="shared" si="0"/>
        <v>RICHARD KRUMSEE</v>
      </c>
    </row>
    <row r="50" spans="1:3" x14ac:dyDescent="0.25">
      <c r="A50" s="2" t="s">
        <v>252</v>
      </c>
      <c r="B50" t="s">
        <v>221</v>
      </c>
      <c r="C50" t="str">
        <f t="shared" si="0"/>
        <v>BARBARA BEIL</v>
      </c>
    </row>
    <row r="51" spans="1:3" x14ac:dyDescent="0.25">
      <c r="A51" s="2" t="s">
        <v>232</v>
      </c>
      <c r="B51" t="s">
        <v>233</v>
      </c>
      <c r="C51" t="str">
        <f t="shared" si="0"/>
        <v>PAULA STONE</v>
      </c>
    </row>
    <row r="52" spans="1:3" x14ac:dyDescent="0.25">
      <c r="A52" s="2" t="s">
        <v>234</v>
      </c>
      <c r="B52" t="s">
        <v>235</v>
      </c>
      <c r="C52" t="str">
        <f t="shared" si="0"/>
        <v>BRADLEY BARNEY</v>
      </c>
    </row>
    <row r="53" spans="1:3" x14ac:dyDescent="0.25">
      <c r="A53" s="2" t="s">
        <v>235</v>
      </c>
      <c r="B53" t="s">
        <v>236</v>
      </c>
      <c r="C53" t="str">
        <f t="shared" si="0"/>
        <v>SUZANNE BRADLEY</v>
      </c>
    </row>
    <row r="54" spans="1:3" x14ac:dyDescent="0.25">
      <c r="A54" s="2" t="s">
        <v>253</v>
      </c>
      <c r="B54" t="s">
        <v>254</v>
      </c>
      <c r="C54" t="str">
        <f t="shared" si="0"/>
        <v>RAJKA RADOVANCEV</v>
      </c>
    </row>
    <row r="55" spans="1:3" x14ac:dyDescent="0.25">
      <c r="A55" s="2" t="s">
        <v>237</v>
      </c>
      <c r="B55" t="s">
        <v>208</v>
      </c>
      <c r="C55" t="str">
        <f t="shared" si="0"/>
        <v>ROBERT DHUSE</v>
      </c>
    </row>
    <row r="56" spans="1:3" x14ac:dyDescent="0.25">
      <c r="A56" s="2" t="s">
        <v>255</v>
      </c>
      <c r="B56" t="s">
        <v>256</v>
      </c>
      <c r="C56" t="str">
        <f t="shared" si="0"/>
        <v>RHODA GWION</v>
      </c>
    </row>
    <row r="57" spans="1:3" x14ac:dyDescent="0.25">
      <c r="A57" s="2" t="s">
        <v>255</v>
      </c>
      <c r="B57" t="s">
        <v>256</v>
      </c>
      <c r="C57" t="str">
        <f t="shared" si="0"/>
        <v>RHODA GWION</v>
      </c>
    </row>
    <row r="58" spans="1:3" x14ac:dyDescent="0.25">
      <c r="A58" s="2" t="s">
        <v>209</v>
      </c>
      <c r="B58" t="s">
        <v>210</v>
      </c>
      <c r="C58" t="str">
        <f t="shared" si="0"/>
        <v>ALFREDA BOSTICK</v>
      </c>
    </row>
    <row r="59" spans="1:3" x14ac:dyDescent="0.25">
      <c r="A59" s="2" t="s">
        <v>209</v>
      </c>
      <c r="B59" t="s">
        <v>210</v>
      </c>
      <c r="C59" t="str">
        <f t="shared" si="0"/>
        <v>ALFREDA BOSTICK</v>
      </c>
    </row>
    <row r="60" spans="1:3" x14ac:dyDescent="0.25">
      <c r="A60" s="2" t="s">
        <v>211</v>
      </c>
      <c r="B60" t="s">
        <v>212</v>
      </c>
      <c r="C60" t="str">
        <f t="shared" si="0"/>
        <v>PAMELA KRUMSEE</v>
      </c>
    </row>
    <row r="61" spans="1:3" x14ac:dyDescent="0.25">
      <c r="A61" s="2" t="s">
        <v>211</v>
      </c>
      <c r="B61" t="s">
        <v>212</v>
      </c>
      <c r="C61" t="str">
        <f t="shared" si="0"/>
        <v>PAMELA KRUMSEE</v>
      </c>
    </row>
    <row r="62" spans="1:3" x14ac:dyDescent="0.25">
      <c r="A62" s="2" t="s">
        <v>213</v>
      </c>
      <c r="B62" t="s">
        <v>214</v>
      </c>
      <c r="C62" t="str">
        <f t="shared" si="0"/>
        <v>TODD PAYNTER</v>
      </c>
    </row>
    <row r="63" spans="1:3" x14ac:dyDescent="0.25">
      <c r="A63" s="2" t="s">
        <v>213</v>
      </c>
      <c r="B63" t="s">
        <v>214</v>
      </c>
      <c r="C63" t="str">
        <f t="shared" si="0"/>
        <v>TODD PAYNTER</v>
      </c>
    </row>
    <row r="64" spans="1:3" x14ac:dyDescent="0.25">
      <c r="A64" s="2" t="s">
        <v>199</v>
      </c>
      <c r="B64" t="s">
        <v>200</v>
      </c>
      <c r="C64" t="str">
        <f t="shared" si="0"/>
        <v>RAYMOND SELVA</v>
      </c>
    </row>
    <row r="65" spans="1:3" x14ac:dyDescent="0.25">
      <c r="A65" s="2" t="s">
        <v>199</v>
      </c>
      <c r="B65" t="s">
        <v>200</v>
      </c>
      <c r="C65" t="str">
        <f t="shared" si="0"/>
        <v>RAYMOND SELVA</v>
      </c>
    </row>
    <row r="66" spans="1:3" x14ac:dyDescent="0.25">
      <c r="A66" s="2" t="s">
        <v>201</v>
      </c>
      <c r="B66" t="s">
        <v>202</v>
      </c>
      <c r="C66" t="str">
        <f t="shared" ref="C66:C119" si="1">CONCATENATE(B66, " ",A66)</f>
        <v>JAMES HAUG</v>
      </c>
    </row>
    <row r="67" spans="1:3" x14ac:dyDescent="0.25">
      <c r="A67" s="2" t="s">
        <v>201</v>
      </c>
      <c r="B67" t="s">
        <v>202</v>
      </c>
      <c r="C67" t="str">
        <f t="shared" si="1"/>
        <v>JAMES HAUG</v>
      </c>
    </row>
    <row r="68" spans="1:3" x14ac:dyDescent="0.25">
      <c r="A68" s="2" t="s">
        <v>257</v>
      </c>
      <c r="B68" t="s">
        <v>258</v>
      </c>
      <c r="C68" t="str">
        <f t="shared" si="1"/>
        <v>HOBART KENTON</v>
      </c>
    </row>
    <row r="69" spans="1:3" x14ac:dyDescent="0.25">
      <c r="A69" s="2" t="s">
        <v>257</v>
      </c>
      <c r="B69" t="s">
        <v>258</v>
      </c>
      <c r="C69" t="str">
        <f t="shared" si="1"/>
        <v>HOBART KENTON</v>
      </c>
    </row>
    <row r="70" spans="1:3" x14ac:dyDescent="0.25">
      <c r="A70" s="2" t="s">
        <v>215</v>
      </c>
      <c r="B70" t="s">
        <v>216</v>
      </c>
      <c r="C70" t="str">
        <f t="shared" si="1"/>
        <v>MARK SHAUGHNESSY</v>
      </c>
    </row>
    <row r="71" spans="1:3" x14ac:dyDescent="0.25">
      <c r="A71" s="2" t="s">
        <v>215</v>
      </c>
      <c r="B71" t="s">
        <v>216</v>
      </c>
      <c r="C71" t="str">
        <f t="shared" si="1"/>
        <v>MARK SHAUGHNESSY</v>
      </c>
    </row>
    <row r="72" spans="1:3" x14ac:dyDescent="0.25">
      <c r="A72" s="2" t="s">
        <v>238</v>
      </c>
      <c r="B72" t="s">
        <v>239</v>
      </c>
      <c r="C72" t="str">
        <f t="shared" si="1"/>
        <v>JENNY AGUILERA</v>
      </c>
    </row>
    <row r="73" spans="1:3" x14ac:dyDescent="0.25">
      <c r="A73" s="2" t="s">
        <v>217</v>
      </c>
      <c r="B73" t="s">
        <v>202</v>
      </c>
      <c r="C73" t="str">
        <f t="shared" si="1"/>
        <v>JAMES KONTOPOULOS</v>
      </c>
    </row>
    <row r="74" spans="1:3" x14ac:dyDescent="0.25">
      <c r="A74" s="2" t="s">
        <v>217</v>
      </c>
      <c r="B74" t="s">
        <v>202</v>
      </c>
      <c r="C74" t="str">
        <f t="shared" si="1"/>
        <v>JAMES KONTOPOULOS</v>
      </c>
    </row>
    <row r="75" spans="1:3" x14ac:dyDescent="0.25">
      <c r="A75" s="2" t="s">
        <v>218</v>
      </c>
      <c r="B75" t="s">
        <v>219</v>
      </c>
      <c r="C75" t="str">
        <f t="shared" si="1"/>
        <v>JANICE COHEN</v>
      </c>
    </row>
    <row r="76" spans="1:3" x14ac:dyDescent="0.25">
      <c r="A76" s="2" t="s">
        <v>240</v>
      </c>
      <c r="B76" t="s">
        <v>208</v>
      </c>
      <c r="C76" t="str">
        <f t="shared" si="1"/>
        <v>ROBERT KRAMER</v>
      </c>
    </row>
    <row r="77" spans="1:3" x14ac:dyDescent="0.25">
      <c r="A77" s="2" t="s">
        <v>220</v>
      </c>
      <c r="B77" t="s">
        <v>221</v>
      </c>
      <c r="C77" t="str">
        <f t="shared" si="1"/>
        <v>BARBARA AULERT</v>
      </c>
    </row>
    <row r="78" spans="1:3" x14ac:dyDescent="0.25">
      <c r="A78" s="2" t="s">
        <v>220</v>
      </c>
      <c r="B78" t="s">
        <v>221</v>
      </c>
      <c r="C78" t="str">
        <f t="shared" si="1"/>
        <v>BARBARA AULERT</v>
      </c>
    </row>
    <row r="79" spans="1:3" x14ac:dyDescent="0.25">
      <c r="A79" s="2" t="s">
        <v>203</v>
      </c>
      <c r="B79" t="s">
        <v>204</v>
      </c>
      <c r="C79" t="str">
        <f t="shared" si="1"/>
        <v>REBECCA LIPINSKI</v>
      </c>
    </row>
    <row r="80" spans="1:3" x14ac:dyDescent="0.25">
      <c r="A80" s="2" t="s">
        <v>203</v>
      </c>
      <c r="B80" t="s">
        <v>204</v>
      </c>
      <c r="C80" t="str">
        <f t="shared" si="1"/>
        <v>REBECCA LIPINSKI</v>
      </c>
    </row>
    <row r="81" spans="1:3" x14ac:dyDescent="0.25">
      <c r="A81" s="2" t="s">
        <v>241</v>
      </c>
      <c r="B81" t="s">
        <v>242</v>
      </c>
      <c r="C81" t="str">
        <f t="shared" si="1"/>
        <v>PRISCILLA WILSON</v>
      </c>
    </row>
    <row r="82" spans="1:3" x14ac:dyDescent="0.25">
      <c r="A82" s="2" t="s">
        <v>243</v>
      </c>
      <c r="B82" t="s">
        <v>244</v>
      </c>
      <c r="C82" t="str">
        <f t="shared" si="1"/>
        <v>CONNIE EPLIN</v>
      </c>
    </row>
    <row r="83" spans="1:3" x14ac:dyDescent="0.25">
      <c r="A83" s="2" t="s">
        <v>245</v>
      </c>
      <c r="B83" t="s">
        <v>246</v>
      </c>
      <c r="C83" t="str">
        <f t="shared" si="1"/>
        <v>DONALD JOHNSON</v>
      </c>
    </row>
    <row r="84" spans="1:3" x14ac:dyDescent="0.25">
      <c r="A84" s="2" t="s">
        <v>222</v>
      </c>
      <c r="B84" t="s">
        <v>223</v>
      </c>
      <c r="C84" t="str">
        <f t="shared" si="1"/>
        <v>RENE SCHUBERT</v>
      </c>
    </row>
    <row r="85" spans="1:3" x14ac:dyDescent="0.25">
      <c r="A85" s="2" t="s">
        <v>222</v>
      </c>
      <c r="B85" t="s">
        <v>223</v>
      </c>
      <c r="C85" t="str">
        <f t="shared" si="1"/>
        <v>RENE SCHUBERT</v>
      </c>
    </row>
    <row r="86" spans="1:3" x14ac:dyDescent="0.25">
      <c r="A86" s="2" t="s">
        <v>237</v>
      </c>
      <c r="B86" t="s">
        <v>247</v>
      </c>
      <c r="C86" t="str">
        <f t="shared" si="1"/>
        <v>TONI DHUSE</v>
      </c>
    </row>
    <row r="87" spans="1:3" x14ac:dyDescent="0.25">
      <c r="A87" s="2" t="s">
        <v>248</v>
      </c>
      <c r="B87" t="s">
        <v>249</v>
      </c>
      <c r="C87" t="str">
        <f t="shared" si="1"/>
        <v>STEPHANIE SMITH</v>
      </c>
    </row>
    <row r="88" spans="1:3" x14ac:dyDescent="0.25">
      <c r="A88" s="2" t="s">
        <v>224</v>
      </c>
      <c r="B88" t="s">
        <v>212</v>
      </c>
      <c r="C88" t="str">
        <f t="shared" si="1"/>
        <v>PAMELA MONTGOMERY</v>
      </c>
    </row>
    <row r="89" spans="1:3" x14ac:dyDescent="0.25">
      <c r="A89" s="2" t="s">
        <v>224</v>
      </c>
      <c r="B89" t="s">
        <v>212</v>
      </c>
      <c r="C89" t="str">
        <f t="shared" si="1"/>
        <v>PAMELA MONTGOMERY</v>
      </c>
    </row>
    <row r="90" spans="1:3" x14ac:dyDescent="0.25">
      <c r="A90" s="2" t="s">
        <v>225</v>
      </c>
      <c r="B90" t="s">
        <v>212</v>
      </c>
      <c r="C90" t="str">
        <f t="shared" si="1"/>
        <v>PAMELA FREGOSO</v>
      </c>
    </row>
    <row r="91" spans="1:3" x14ac:dyDescent="0.25">
      <c r="A91" s="2" t="s">
        <v>225</v>
      </c>
      <c r="B91" t="s">
        <v>212</v>
      </c>
      <c r="C91" t="str">
        <f t="shared" si="1"/>
        <v>PAMELA FREGOSO</v>
      </c>
    </row>
    <row r="92" spans="1:3" x14ac:dyDescent="0.25">
      <c r="A92" s="2" t="s">
        <v>226</v>
      </c>
      <c r="B92" t="s">
        <v>227</v>
      </c>
      <c r="C92" t="str">
        <f t="shared" si="1"/>
        <v>LAURIE CARLSON</v>
      </c>
    </row>
    <row r="93" spans="1:3" x14ac:dyDescent="0.25">
      <c r="A93" s="2" t="s">
        <v>226</v>
      </c>
      <c r="B93" t="s">
        <v>227</v>
      </c>
      <c r="C93" t="str">
        <f t="shared" si="1"/>
        <v>LAURIE CARLSON</v>
      </c>
    </row>
    <row r="94" spans="1:3" x14ac:dyDescent="0.25">
      <c r="A94" s="2" t="s">
        <v>268</v>
      </c>
      <c r="B94" t="s">
        <v>228</v>
      </c>
      <c r="C94" t="str">
        <f t="shared" si="1"/>
        <v>PENNY DE FRANCESCO</v>
      </c>
    </row>
    <row r="95" spans="1:3" x14ac:dyDescent="0.25">
      <c r="A95" s="2" t="s">
        <v>268</v>
      </c>
      <c r="B95" t="s">
        <v>228</v>
      </c>
      <c r="C95" t="str">
        <f t="shared" si="1"/>
        <v>PENNY DE FRANCESCO</v>
      </c>
    </row>
    <row r="96" spans="1:3" x14ac:dyDescent="0.25">
      <c r="A96" s="2" t="s">
        <v>229</v>
      </c>
      <c r="B96" t="s">
        <v>230</v>
      </c>
      <c r="C96" t="str">
        <f t="shared" si="1"/>
        <v>TONY BURKS</v>
      </c>
    </row>
    <row r="97" spans="1:3" x14ac:dyDescent="0.25">
      <c r="A97" s="2" t="s">
        <v>229</v>
      </c>
      <c r="B97" t="s">
        <v>230</v>
      </c>
      <c r="C97" t="str">
        <f t="shared" si="1"/>
        <v>TONY BURKS</v>
      </c>
    </row>
    <row r="98" spans="1:3" x14ac:dyDescent="0.25">
      <c r="A98" s="2" t="s">
        <v>259</v>
      </c>
      <c r="B98" t="s">
        <v>260</v>
      </c>
      <c r="C98" t="str">
        <f t="shared" si="1"/>
        <v>TETE SORMALAH</v>
      </c>
    </row>
    <row r="99" spans="1:3" x14ac:dyDescent="0.25">
      <c r="A99" s="2" t="s">
        <v>205</v>
      </c>
      <c r="B99" t="s">
        <v>206</v>
      </c>
      <c r="C99" t="str">
        <f t="shared" si="1"/>
        <v>KEVIN WILKER</v>
      </c>
    </row>
    <row r="100" spans="1:3" x14ac:dyDescent="0.25">
      <c r="A100" s="2" t="s">
        <v>205</v>
      </c>
      <c r="B100" t="s">
        <v>206</v>
      </c>
      <c r="C100" t="str">
        <f t="shared" si="1"/>
        <v>KEVIN WILKER</v>
      </c>
    </row>
    <row r="101" spans="1:3" x14ac:dyDescent="0.25">
      <c r="A101" s="2" t="s">
        <v>261</v>
      </c>
      <c r="B101" t="s">
        <v>262</v>
      </c>
      <c r="C101" t="str">
        <f t="shared" si="1"/>
        <v>SEINAH KOLLIE</v>
      </c>
    </row>
    <row r="102" spans="1:3" x14ac:dyDescent="0.25">
      <c r="A102" s="2" t="s">
        <v>261</v>
      </c>
      <c r="B102" t="s">
        <v>262</v>
      </c>
      <c r="C102" t="str">
        <f t="shared" si="1"/>
        <v>SEINAH KOLLIE</v>
      </c>
    </row>
    <row r="103" spans="1:3" x14ac:dyDescent="0.25">
      <c r="A103" s="2" t="s">
        <v>250</v>
      </c>
      <c r="B103" t="s">
        <v>251</v>
      </c>
      <c r="C103" t="str">
        <f t="shared" si="1"/>
        <v>DENNIS ORBIN</v>
      </c>
    </row>
    <row r="104" spans="1:3" x14ac:dyDescent="0.25">
      <c r="A104" s="2" t="s">
        <v>211</v>
      </c>
      <c r="B104" t="s">
        <v>231</v>
      </c>
      <c r="C104" t="str">
        <f t="shared" si="1"/>
        <v>RICHARD KRUMSEE</v>
      </c>
    </row>
    <row r="105" spans="1:3" x14ac:dyDescent="0.25">
      <c r="A105" s="2" t="s">
        <v>211</v>
      </c>
      <c r="B105" t="s">
        <v>231</v>
      </c>
      <c r="C105" t="str">
        <f t="shared" si="1"/>
        <v>RICHARD KRUMSEE</v>
      </c>
    </row>
    <row r="106" spans="1:3" x14ac:dyDescent="0.25">
      <c r="A106" s="2" t="s">
        <v>263</v>
      </c>
      <c r="B106" t="s">
        <v>231</v>
      </c>
      <c r="C106" t="str">
        <f t="shared" si="1"/>
        <v>RICHARD BERGER</v>
      </c>
    </row>
    <row r="107" spans="1:3" x14ac:dyDescent="0.25">
      <c r="A107" s="2" t="s">
        <v>252</v>
      </c>
      <c r="B107" t="s">
        <v>221</v>
      </c>
      <c r="C107" t="str">
        <f t="shared" si="1"/>
        <v>BARBARA BEIL</v>
      </c>
    </row>
    <row r="108" spans="1:3" x14ac:dyDescent="0.25">
      <c r="A108" s="2" t="s">
        <v>232</v>
      </c>
      <c r="B108" t="s">
        <v>233</v>
      </c>
      <c r="C108" t="str">
        <f t="shared" si="1"/>
        <v>PAULA STONE</v>
      </c>
    </row>
    <row r="109" spans="1:3" x14ac:dyDescent="0.25">
      <c r="A109" s="2" t="s">
        <v>232</v>
      </c>
      <c r="B109" t="s">
        <v>233</v>
      </c>
      <c r="C109" t="str">
        <f t="shared" si="1"/>
        <v>PAULA STONE</v>
      </c>
    </row>
    <row r="110" spans="1:3" x14ac:dyDescent="0.25">
      <c r="A110" s="2" t="s">
        <v>264</v>
      </c>
      <c r="B110" t="s">
        <v>265</v>
      </c>
      <c r="C110" t="str">
        <f t="shared" si="1"/>
        <v>FATUMATA KABA</v>
      </c>
    </row>
    <row r="111" spans="1:3" x14ac:dyDescent="0.25">
      <c r="A111" s="2" t="s">
        <v>234</v>
      </c>
      <c r="B111" t="s">
        <v>235</v>
      </c>
      <c r="C111" t="str">
        <f t="shared" si="1"/>
        <v>BRADLEY BARNEY</v>
      </c>
    </row>
    <row r="112" spans="1:3" x14ac:dyDescent="0.25">
      <c r="A112" s="2" t="s">
        <v>234</v>
      </c>
      <c r="B112" t="s">
        <v>235</v>
      </c>
      <c r="C112" t="str">
        <f t="shared" si="1"/>
        <v>BRADLEY BARNEY</v>
      </c>
    </row>
    <row r="113" spans="1:3" x14ac:dyDescent="0.25">
      <c r="A113" s="2" t="s">
        <v>207</v>
      </c>
      <c r="B113" t="s">
        <v>208</v>
      </c>
      <c r="C113" t="str">
        <f t="shared" si="1"/>
        <v>ROBERT SLANEY</v>
      </c>
    </row>
    <row r="114" spans="1:3" x14ac:dyDescent="0.25">
      <c r="A114" s="2" t="s">
        <v>207</v>
      </c>
      <c r="B114" t="s">
        <v>208</v>
      </c>
      <c r="C114" t="str">
        <f t="shared" si="1"/>
        <v>ROBERT SLANEY</v>
      </c>
    </row>
    <row r="115" spans="1:3" x14ac:dyDescent="0.25">
      <c r="A115" s="2" t="s">
        <v>235</v>
      </c>
      <c r="B115" t="s">
        <v>236</v>
      </c>
      <c r="C115" t="str">
        <f t="shared" si="1"/>
        <v>SUZANNE BRADLEY</v>
      </c>
    </row>
    <row r="116" spans="1:3" x14ac:dyDescent="0.25">
      <c r="A116" s="2" t="s">
        <v>235</v>
      </c>
      <c r="B116" t="s">
        <v>236</v>
      </c>
      <c r="C116" t="str">
        <f t="shared" si="1"/>
        <v>SUZANNE BRADLEY</v>
      </c>
    </row>
    <row r="117" spans="1:3" x14ac:dyDescent="0.25">
      <c r="A117" s="2" t="s">
        <v>253</v>
      </c>
      <c r="B117" t="s">
        <v>254</v>
      </c>
      <c r="C117" t="str">
        <f t="shared" si="1"/>
        <v>RAJKA RADOVANCEV</v>
      </c>
    </row>
    <row r="118" spans="1:3" x14ac:dyDescent="0.25">
      <c r="A118" s="2" t="s">
        <v>266</v>
      </c>
      <c r="B118" t="s">
        <v>267</v>
      </c>
      <c r="C118" t="str">
        <f t="shared" si="1"/>
        <v>DARLA DAVIS</v>
      </c>
    </row>
    <row r="119" spans="1:3" x14ac:dyDescent="0.25">
      <c r="A119" s="2" t="s">
        <v>266</v>
      </c>
      <c r="B119" t="s">
        <v>267</v>
      </c>
      <c r="C119" t="str">
        <f t="shared" si="1"/>
        <v>DARLA DAVIS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Line Benefits LLC_med_comm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2025-03-26T18:06:11Z</dcterms:created>
  <dcterms:modified xsi:type="dcterms:W3CDTF">2025-03-27T15:12:00Z</dcterms:modified>
</cp:coreProperties>
</file>