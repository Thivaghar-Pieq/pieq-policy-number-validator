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08-12-25\"/>
    </mc:Choice>
  </mc:AlternateContent>
  <xr:revisionPtr revIDLastSave="0" documentId="13_ncr:1_{475BB7B8-3DB7-442C-972B-53FDE3C1D349}" xr6:coauthVersionLast="47" xr6:coauthVersionMax="47" xr10:uidLastSave="{00000000-0000-0000-0000-000000000000}"/>
  <bookViews>
    <workbookView xWindow="28680" yWindow="-120" windowWidth="29040" windowHeight="16440" activeTab="1" xr2:uid="{F427E65D-8BB7-4188-818E-7531A73AC0D3}"/>
  </bookViews>
  <sheets>
    <sheet name="Main Line Benefits LLC_med_comm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O23" i="2"/>
  <c r="O2" i="2"/>
  <c r="O22" i="2"/>
  <c r="O21" i="2"/>
  <c r="O20" i="2"/>
  <c r="O19" i="2"/>
  <c r="O10" i="2"/>
  <c r="O9" i="2"/>
  <c r="O8" i="2"/>
  <c r="O7" i="2"/>
  <c r="O18" i="2"/>
  <c r="O6" i="2"/>
  <c r="O17" i="2"/>
  <c r="O5" i="2"/>
  <c r="O16" i="2"/>
  <c r="O4" i="2"/>
</calcChain>
</file>

<file path=xl/sharedStrings.xml><?xml version="1.0" encoding="utf-8"?>
<sst xmlns="http://schemas.openxmlformats.org/spreadsheetml/2006/main" count="411" uniqueCount="136">
  <si>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</si>
  <si>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</si>
  <si>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</si>
  <si>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</si>
  <si>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</si>
  <si>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</si>
  <si>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</si>
  <si>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</si>
  <si>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</si>
  <si>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</si>
  <si>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</si>
  <si>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</si>
  <si>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</si>
  <si>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</si>
  <si>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</si>
  <si>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</si>
  <si>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</si>
  <si>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</si>
  <si>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</si>
  <si>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</si>
  <si>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</si>
  <si>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</si>
  <si>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</si>
  <si>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</si>
  <si>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8TT8NJ8GH59</t>
  </si>
  <si>
    <t>NG102186765800</t>
  </si>
  <si>
    <t>BEND R,RONALD</t>
  </si>
  <si>
    <t>IL</t>
  </si>
  <si>
    <t>New Business</t>
  </si>
  <si>
    <t>MAPD</t>
  </si>
  <si>
    <t>IMM606</t>
  </si>
  <si>
    <t>H7301-006</t>
  </si>
  <si>
    <t>LOA</t>
  </si>
  <si>
    <t>Hunsberger, Anthony</t>
  </si>
  <si>
    <t>GMO</t>
  </si>
  <si>
    <t>Main Line Benefits LLC</t>
  </si>
  <si>
    <t xml:space="preserve">N  </t>
  </si>
  <si>
    <t>7RX0FF8TN17</t>
  </si>
  <si>
    <t>NG102186573600</t>
  </si>
  <si>
    <t>BYERLEY L,WILLIAM</t>
  </si>
  <si>
    <t>PA</t>
  </si>
  <si>
    <t>IMM608</t>
  </si>
  <si>
    <t>H5522-013</t>
  </si>
  <si>
    <t>Richter, Adam</t>
  </si>
  <si>
    <t>1WN3JE8UG93</t>
  </si>
  <si>
    <t>NG102186566000</t>
  </si>
  <si>
    <t>CACHO D,ELVIRA</t>
  </si>
  <si>
    <t>OH</t>
  </si>
  <si>
    <t>IMM617</t>
  </si>
  <si>
    <t>H0628-005</t>
  </si>
  <si>
    <t>SANTOS, RICARDO</t>
  </si>
  <si>
    <t>7X97R54UW35</t>
  </si>
  <si>
    <t>NG101830153600</t>
  </si>
  <si>
    <t>CARLSON A,CYNTHIA</t>
  </si>
  <si>
    <t>SC</t>
  </si>
  <si>
    <t>IMM609</t>
  </si>
  <si>
    <t>H5521-319</t>
  </si>
  <si>
    <t>Yale, Richard</t>
  </si>
  <si>
    <t>9H59TD8GF57</t>
  </si>
  <si>
    <t>NG102168241300</t>
  </si>
  <si>
    <t>DIGBY E,DWAYNE</t>
  </si>
  <si>
    <t>Voluntarily Rapid Disenroll</t>
  </si>
  <si>
    <t>H7301-013</t>
  </si>
  <si>
    <t>Portugal, Stacey</t>
  </si>
  <si>
    <t xml:space="preserve">Y  </t>
  </si>
  <si>
    <t>4M51DJ2UG00</t>
  </si>
  <si>
    <t>NG102186402600</t>
  </si>
  <si>
    <t>GLACE A,RAYMOND</t>
  </si>
  <si>
    <t>MA</t>
  </si>
  <si>
    <t>H3959-041</t>
  </si>
  <si>
    <t>Smith, Margaret</t>
  </si>
  <si>
    <t>7E60RN2NR47</t>
  </si>
  <si>
    <t>NG102186791500</t>
  </si>
  <si>
    <t>JOHNSON B,ANN</t>
  </si>
  <si>
    <t>5PV1CY7XR98</t>
  </si>
  <si>
    <t>NG102185986800</t>
  </si>
  <si>
    <t>LEINENBACH E,SUSAN</t>
  </si>
  <si>
    <t>H3959-011</t>
  </si>
  <si>
    <t>Powers, Timothy</t>
  </si>
  <si>
    <t>9YP4P53JY99</t>
  </si>
  <si>
    <t>NG102186764000</t>
  </si>
  <si>
    <t>LLOYD M,TIM</t>
  </si>
  <si>
    <t>WY</t>
  </si>
  <si>
    <t>IMM612</t>
  </si>
  <si>
    <t>H5521-197</t>
  </si>
  <si>
    <t>Teipel, Gregory</t>
  </si>
  <si>
    <t>1GP8VJ2JX28</t>
  </si>
  <si>
    <t>NG102186920500</t>
  </si>
  <si>
    <t>NEY J,ANDREW</t>
  </si>
  <si>
    <t>H5521-089</t>
  </si>
  <si>
    <t>6JX7CK5PW64</t>
  </si>
  <si>
    <t>NG102186185100</t>
  </si>
  <si>
    <t>RAY J,RUBEN</t>
  </si>
  <si>
    <t>IMM619</t>
  </si>
  <si>
    <t>H7301-027</t>
  </si>
  <si>
    <t>7RF5E20FF77</t>
  </si>
  <si>
    <t>NG102137196000</t>
  </si>
  <si>
    <t>SONYAH,QUEENAH</t>
  </si>
  <si>
    <t>Pro-Rata Payment</t>
  </si>
  <si>
    <t>H3959-035</t>
  </si>
  <si>
    <t>AG4</t>
  </si>
  <si>
    <t>GBASSANA, FREDERICK</t>
  </si>
  <si>
    <t>Pro-Rata Disenroll</t>
  </si>
  <si>
    <t>Aetna MAPD OVR 2025</t>
  </si>
  <si>
    <t>Aetna MAPD 2025</t>
  </si>
  <si>
    <t>Aetna MAPD 2025*</t>
  </si>
  <si>
    <t>Aetna 2025 CT, PA, DC*</t>
  </si>
  <si>
    <t>[%/$=313][prorate=5/12]</t>
  </si>
  <si>
    <t>[%/$=313][prorate=4/12]</t>
  </si>
  <si>
    <t>[%/$=353][prorate=5/12]</t>
  </si>
  <si>
    <t>[%/$=626]</t>
  </si>
  <si>
    <t>Main Line Benefits</t>
  </si>
  <si>
    <t>BYERLEY</t>
  </si>
  <si>
    <t>WILLIAM</t>
  </si>
  <si>
    <t>DIGBY</t>
  </si>
  <si>
    <t>DWAYNE</t>
  </si>
  <si>
    <t>LLOYD</t>
  </si>
  <si>
    <t>TIM</t>
  </si>
  <si>
    <t>RAY</t>
  </si>
  <si>
    <t>RUBEN</t>
  </si>
  <si>
    <t>CACHO</t>
  </si>
  <si>
    <t>ELVIRA</t>
  </si>
  <si>
    <t>BEND</t>
  </si>
  <si>
    <t>RONALD</t>
  </si>
  <si>
    <t>CARLSON</t>
  </si>
  <si>
    <t>CYNTHIA</t>
  </si>
  <si>
    <t>JOHNSON</t>
  </si>
  <si>
    <t>ANN</t>
  </si>
  <si>
    <t>NEY</t>
  </si>
  <si>
    <t>ANDREW</t>
  </si>
  <si>
    <t>SONYAH</t>
  </si>
  <si>
    <t>QUEENAH</t>
  </si>
  <si>
    <t>GLACE</t>
  </si>
  <si>
    <t>RAYMOND</t>
  </si>
  <si>
    <t>LEINENBACH</t>
  </si>
  <si>
    <t>SUSAN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</si>
</sst>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14" fillId="33" borderId="0" xfId="0" applyFont="1" applyFill="1"/>
    <xf numFmtId="2" fontId="0" fillId="0" borderId="0" xfId="0" applyNumberFormat="1"/>
    <xf numFmtId="2" fontId="0" fillId="33" borderId="0" xfId="0" applyNumberFormat="1" applyFill="1"/>
    <xf numFmtId="0" fontId="14" fillId="0" borderId="0" xfId="0" applyFont="1" applyFill="1"/>
    <xf numFmtId="14" fontId="14" fillId="0" borderId="0" xfId="0" applyNumberFormat="1" applyFont="1" applyFill="1"/>
    <xf numFmtId="2" fontId="14" fillId="0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EB01D-0533-421F-BDD8-EC45F8A09EDE}">
  <dimension ref="A1:X14"/>
  <sheetViews>
    <sheetView workbookViewId="0">
      <selection sqref="A1:XFD1048576"/>
    </sheetView>
  </sheetViews>
  <sheetFormatPr defaultRowHeight="15" x14ac:dyDescent="0.25"/>
  <cols>
    <col min="1" max="1" width="28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45881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45870</v>
      </c>
      <c r="M2" s="1">
        <v>45870</v>
      </c>
      <c r="O2">
        <v>7146581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182.5</v>
      </c>
      <c r="V2" t="s">
        <v>36</v>
      </c>
      <c r="W2" s="1">
        <v>45866</v>
      </c>
      <c r="X2">
        <v>2025</v>
      </c>
    </row>
    <row r="3" spans="1:24" x14ac:dyDescent="0.25">
      <c r="A3" s="1">
        <v>45881</v>
      </c>
      <c r="B3" t="s">
        <v>37</v>
      </c>
      <c r="C3" t="s">
        <v>38</v>
      </c>
      <c r="E3" t="s">
        <v>39</v>
      </c>
      <c r="F3" t="s">
        <v>40</v>
      </c>
      <c r="G3" t="s">
        <v>28</v>
      </c>
      <c r="H3" t="s">
        <v>29</v>
      </c>
      <c r="I3" t="s">
        <v>41</v>
      </c>
      <c r="J3" t="s">
        <v>42</v>
      </c>
      <c r="L3" s="1">
        <v>45870</v>
      </c>
      <c r="M3" s="1">
        <v>45870</v>
      </c>
      <c r="O3">
        <v>9079571</v>
      </c>
      <c r="P3" t="s">
        <v>32</v>
      </c>
      <c r="Q3" t="s">
        <v>43</v>
      </c>
      <c r="R3">
        <v>8192</v>
      </c>
      <c r="S3" t="s">
        <v>34</v>
      </c>
      <c r="T3" t="s">
        <v>35</v>
      </c>
      <c r="U3">
        <v>199.17</v>
      </c>
      <c r="V3" t="s">
        <v>36</v>
      </c>
      <c r="W3" s="1">
        <v>45865</v>
      </c>
      <c r="X3">
        <v>2025</v>
      </c>
    </row>
    <row r="4" spans="1:24" x14ac:dyDescent="0.25">
      <c r="A4" s="1">
        <v>45881</v>
      </c>
      <c r="B4" t="s">
        <v>44</v>
      </c>
      <c r="C4" t="s">
        <v>45</v>
      </c>
      <c r="E4" t="s">
        <v>46</v>
      </c>
      <c r="F4" t="s">
        <v>47</v>
      </c>
      <c r="G4" t="s">
        <v>28</v>
      </c>
      <c r="H4" t="s">
        <v>29</v>
      </c>
      <c r="I4" t="s">
        <v>48</v>
      </c>
      <c r="J4" t="s">
        <v>49</v>
      </c>
      <c r="L4" s="1">
        <v>45870</v>
      </c>
      <c r="M4" s="1">
        <v>45870</v>
      </c>
      <c r="O4">
        <v>19200754</v>
      </c>
      <c r="P4" t="s">
        <v>32</v>
      </c>
      <c r="Q4" t="s">
        <v>50</v>
      </c>
      <c r="R4">
        <v>8192</v>
      </c>
      <c r="S4" t="s">
        <v>34</v>
      </c>
      <c r="T4" t="s">
        <v>35</v>
      </c>
      <c r="U4">
        <v>180.42</v>
      </c>
      <c r="V4" t="s">
        <v>36</v>
      </c>
      <c r="W4" s="1">
        <v>45864</v>
      </c>
      <c r="X4">
        <v>2025</v>
      </c>
    </row>
    <row r="5" spans="1:24" x14ac:dyDescent="0.25">
      <c r="A5" s="1">
        <v>45881</v>
      </c>
      <c r="B5" t="s">
        <v>51</v>
      </c>
      <c r="C5" t="s">
        <v>52</v>
      </c>
      <c r="E5" t="s">
        <v>53</v>
      </c>
      <c r="F5" t="s">
        <v>54</v>
      </c>
      <c r="G5" t="s">
        <v>28</v>
      </c>
      <c r="H5" t="s">
        <v>29</v>
      </c>
      <c r="I5" t="s">
        <v>55</v>
      </c>
      <c r="J5" t="s">
        <v>56</v>
      </c>
      <c r="L5" s="1">
        <v>45870</v>
      </c>
      <c r="M5" s="1">
        <v>45870</v>
      </c>
      <c r="O5">
        <v>16633294</v>
      </c>
      <c r="P5" t="s">
        <v>32</v>
      </c>
      <c r="Q5" t="s">
        <v>57</v>
      </c>
      <c r="R5">
        <v>8192</v>
      </c>
      <c r="S5" t="s">
        <v>34</v>
      </c>
      <c r="T5" t="s">
        <v>35</v>
      </c>
      <c r="U5">
        <v>182.5</v>
      </c>
      <c r="V5" t="s">
        <v>36</v>
      </c>
      <c r="W5" s="1">
        <v>45852</v>
      </c>
      <c r="X5">
        <v>2025</v>
      </c>
    </row>
    <row r="6" spans="1:24" x14ac:dyDescent="0.25">
      <c r="A6" s="1">
        <v>45881</v>
      </c>
      <c r="B6" t="s">
        <v>58</v>
      </c>
      <c r="C6" t="s">
        <v>59</v>
      </c>
      <c r="E6" t="s">
        <v>60</v>
      </c>
      <c r="F6" t="s">
        <v>27</v>
      </c>
      <c r="G6" t="s">
        <v>61</v>
      </c>
      <c r="H6" t="s">
        <v>29</v>
      </c>
      <c r="I6" t="s">
        <v>30</v>
      </c>
      <c r="J6" t="s">
        <v>62</v>
      </c>
      <c r="L6" s="1">
        <v>45778</v>
      </c>
      <c r="M6" s="1">
        <v>45778</v>
      </c>
      <c r="N6" s="1">
        <v>45869</v>
      </c>
      <c r="O6">
        <v>19645587</v>
      </c>
      <c r="P6" t="s">
        <v>32</v>
      </c>
      <c r="Q6" t="s">
        <v>63</v>
      </c>
      <c r="R6">
        <v>8192</v>
      </c>
      <c r="S6" t="s">
        <v>34</v>
      </c>
      <c r="T6" t="s">
        <v>35</v>
      </c>
      <c r="U6">
        <v>-751</v>
      </c>
      <c r="V6" t="s">
        <v>64</v>
      </c>
      <c r="W6" s="1">
        <v>45770</v>
      </c>
      <c r="X6">
        <v>2025</v>
      </c>
    </row>
    <row r="7" spans="1:24" x14ac:dyDescent="0.25">
      <c r="A7" s="1">
        <v>45881</v>
      </c>
      <c r="B7" t="s">
        <v>65</v>
      </c>
      <c r="C7" t="s">
        <v>66</v>
      </c>
      <c r="E7" t="s">
        <v>67</v>
      </c>
      <c r="F7" t="s">
        <v>40</v>
      </c>
      <c r="G7" t="s">
        <v>28</v>
      </c>
      <c r="H7" t="s">
        <v>68</v>
      </c>
      <c r="I7" t="s">
        <v>41</v>
      </c>
      <c r="J7" t="s">
        <v>69</v>
      </c>
      <c r="L7" s="1">
        <v>45870</v>
      </c>
      <c r="M7" s="1">
        <v>45870</v>
      </c>
      <c r="O7">
        <v>20253958</v>
      </c>
      <c r="P7" t="s">
        <v>32</v>
      </c>
      <c r="Q7" t="s">
        <v>70</v>
      </c>
      <c r="R7">
        <v>8192</v>
      </c>
      <c r="S7" t="s">
        <v>34</v>
      </c>
      <c r="T7" t="s">
        <v>35</v>
      </c>
      <c r="U7">
        <v>16.670000000000002</v>
      </c>
      <c r="V7" t="s">
        <v>36</v>
      </c>
      <c r="W7" s="1">
        <v>45863</v>
      </c>
      <c r="X7">
        <v>2025</v>
      </c>
    </row>
    <row r="8" spans="1:24" x14ac:dyDescent="0.25">
      <c r="A8" s="1">
        <v>45881</v>
      </c>
      <c r="B8" t="s">
        <v>71</v>
      </c>
      <c r="C8" t="s">
        <v>72</v>
      </c>
      <c r="E8" t="s">
        <v>73</v>
      </c>
      <c r="F8" t="s">
        <v>27</v>
      </c>
      <c r="G8" t="s">
        <v>28</v>
      </c>
      <c r="H8" t="s">
        <v>29</v>
      </c>
      <c r="I8" t="s">
        <v>30</v>
      </c>
      <c r="J8" t="s">
        <v>62</v>
      </c>
      <c r="L8" s="1">
        <v>45870</v>
      </c>
      <c r="M8" s="1">
        <v>45870</v>
      </c>
      <c r="O8">
        <v>7146581</v>
      </c>
      <c r="P8" t="s">
        <v>32</v>
      </c>
      <c r="Q8" t="s">
        <v>33</v>
      </c>
      <c r="R8">
        <v>8192</v>
      </c>
      <c r="S8" t="s">
        <v>34</v>
      </c>
      <c r="T8" t="s">
        <v>35</v>
      </c>
      <c r="U8">
        <v>182.5</v>
      </c>
      <c r="V8" t="s">
        <v>36</v>
      </c>
      <c r="W8" s="1">
        <v>45866</v>
      </c>
      <c r="X8">
        <v>2025</v>
      </c>
    </row>
    <row r="9" spans="1:24" x14ac:dyDescent="0.25">
      <c r="A9" s="1">
        <v>45881</v>
      </c>
      <c r="B9" t="s">
        <v>74</v>
      </c>
      <c r="C9" t="s">
        <v>75</v>
      </c>
      <c r="E9" t="s">
        <v>76</v>
      </c>
      <c r="F9" t="s">
        <v>40</v>
      </c>
      <c r="G9" t="s">
        <v>28</v>
      </c>
      <c r="H9" t="s">
        <v>29</v>
      </c>
      <c r="I9" t="s">
        <v>41</v>
      </c>
      <c r="J9" t="s">
        <v>77</v>
      </c>
      <c r="L9" s="1">
        <v>45870</v>
      </c>
      <c r="M9" s="1">
        <v>45870</v>
      </c>
      <c r="O9">
        <v>17886092</v>
      </c>
      <c r="P9" t="s">
        <v>32</v>
      </c>
      <c r="Q9" t="s">
        <v>78</v>
      </c>
      <c r="R9">
        <v>8192</v>
      </c>
      <c r="S9" t="s">
        <v>34</v>
      </c>
      <c r="T9" t="s">
        <v>35</v>
      </c>
      <c r="U9">
        <v>16.670000000000002</v>
      </c>
      <c r="V9" t="s">
        <v>36</v>
      </c>
      <c r="W9" s="1">
        <v>45861</v>
      </c>
      <c r="X9">
        <v>2025</v>
      </c>
    </row>
    <row r="10" spans="1:24" x14ac:dyDescent="0.25">
      <c r="A10" s="1">
        <v>45881</v>
      </c>
      <c r="B10" t="s">
        <v>79</v>
      </c>
      <c r="C10" t="s">
        <v>80</v>
      </c>
      <c r="E10" t="s">
        <v>81</v>
      </c>
      <c r="F10" t="s">
        <v>82</v>
      </c>
      <c r="G10" t="s">
        <v>28</v>
      </c>
      <c r="H10" t="s">
        <v>29</v>
      </c>
      <c r="I10" t="s">
        <v>83</v>
      </c>
      <c r="J10" t="s">
        <v>84</v>
      </c>
      <c r="L10" s="1">
        <v>45901</v>
      </c>
      <c r="M10" s="1">
        <v>45901</v>
      </c>
      <c r="O10">
        <v>8307933</v>
      </c>
      <c r="P10" t="s">
        <v>32</v>
      </c>
      <c r="Q10" t="s">
        <v>85</v>
      </c>
      <c r="R10">
        <v>8192</v>
      </c>
      <c r="S10" t="s">
        <v>34</v>
      </c>
      <c r="T10" t="s">
        <v>35</v>
      </c>
      <c r="U10">
        <v>146</v>
      </c>
      <c r="V10" t="s">
        <v>36</v>
      </c>
      <c r="W10" s="1">
        <v>45866</v>
      </c>
      <c r="X10">
        <v>2025</v>
      </c>
    </row>
    <row r="11" spans="1:24" x14ac:dyDescent="0.25">
      <c r="A11" s="1">
        <v>45881</v>
      </c>
      <c r="B11" t="s">
        <v>86</v>
      </c>
      <c r="C11" t="s">
        <v>87</v>
      </c>
      <c r="E11" t="s">
        <v>88</v>
      </c>
      <c r="F11" t="s">
        <v>47</v>
      </c>
      <c r="G11" t="s">
        <v>28</v>
      </c>
      <c r="H11" t="s">
        <v>29</v>
      </c>
      <c r="I11" t="s">
        <v>48</v>
      </c>
      <c r="J11" t="s">
        <v>89</v>
      </c>
      <c r="L11" s="1">
        <v>45870</v>
      </c>
      <c r="M11" s="1">
        <v>45870</v>
      </c>
      <c r="O11">
        <v>8307933</v>
      </c>
      <c r="P11" t="s">
        <v>32</v>
      </c>
      <c r="Q11" t="s">
        <v>85</v>
      </c>
      <c r="R11">
        <v>8192</v>
      </c>
      <c r="S11" t="s">
        <v>34</v>
      </c>
      <c r="T11" t="s">
        <v>35</v>
      </c>
      <c r="U11">
        <v>182.5</v>
      </c>
      <c r="V11" t="s">
        <v>36</v>
      </c>
      <c r="W11" s="1">
        <v>45867</v>
      </c>
      <c r="X11">
        <v>2025</v>
      </c>
    </row>
    <row r="12" spans="1:24" x14ac:dyDescent="0.25">
      <c r="A12" s="1">
        <v>45881</v>
      </c>
      <c r="B12" t="s">
        <v>90</v>
      </c>
      <c r="C12" t="s">
        <v>91</v>
      </c>
      <c r="E12" t="s">
        <v>92</v>
      </c>
      <c r="F12" t="s">
        <v>27</v>
      </c>
      <c r="G12" t="s">
        <v>28</v>
      </c>
      <c r="H12" t="s">
        <v>29</v>
      </c>
      <c r="I12" t="s">
        <v>93</v>
      </c>
      <c r="J12" t="s">
        <v>94</v>
      </c>
      <c r="L12" s="1">
        <v>45901</v>
      </c>
      <c r="M12" s="1">
        <v>45901</v>
      </c>
      <c r="O12">
        <v>8307933</v>
      </c>
      <c r="P12" t="s">
        <v>32</v>
      </c>
      <c r="Q12" t="s">
        <v>85</v>
      </c>
      <c r="R12">
        <v>8192</v>
      </c>
      <c r="S12" t="s">
        <v>34</v>
      </c>
      <c r="T12" t="s">
        <v>35</v>
      </c>
      <c r="U12">
        <v>146</v>
      </c>
      <c r="V12" t="s">
        <v>36</v>
      </c>
      <c r="W12" s="1">
        <v>45862</v>
      </c>
      <c r="X12">
        <v>2025</v>
      </c>
    </row>
    <row r="13" spans="1:24" x14ac:dyDescent="0.25">
      <c r="A13" s="1">
        <v>45881</v>
      </c>
      <c r="B13" t="s">
        <v>95</v>
      </c>
      <c r="C13" t="s">
        <v>96</v>
      </c>
      <c r="E13" t="s">
        <v>97</v>
      </c>
      <c r="F13" t="s">
        <v>40</v>
      </c>
      <c r="G13" t="s">
        <v>98</v>
      </c>
      <c r="H13" t="s">
        <v>29</v>
      </c>
      <c r="I13" t="s">
        <v>41</v>
      </c>
      <c r="J13" t="s">
        <v>99</v>
      </c>
      <c r="L13" s="1">
        <v>45689</v>
      </c>
      <c r="M13" s="1">
        <v>45689</v>
      </c>
      <c r="N13" s="1">
        <v>45869</v>
      </c>
      <c r="O13">
        <v>18657307</v>
      </c>
      <c r="P13" t="s">
        <v>100</v>
      </c>
      <c r="Q13" t="s">
        <v>101</v>
      </c>
      <c r="R13">
        <v>8192</v>
      </c>
      <c r="S13" t="s">
        <v>34</v>
      </c>
      <c r="T13" t="s">
        <v>35</v>
      </c>
      <c r="U13">
        <v>62.5</v>
      </c>
      <c r="V13" t="s">
        <v>64</v>
      </c>
      <c r="W13" s="1">
        <v>45680</v>
      </c>
      <c r="X13">
        <v>2025</v>
      </c>
    </row>
    <row r="14" spans="1:24" x14ac:dyDescent="0.25">
      <c r="A14" s="1">
        <v>45881</v>
      </c>
      <c r="B14" t="s">
        <v>95</v>
      </c>
      <c r="C14" t="s">
        <v>96</v>
      </c>
      <c r="E14" t="s">
        <v>97</v>
      </c>
      <c r="F14" t="s">
        <v>40</v>
      </c>
      <c r="G14" t="s">
        <v>102</v>
      </c>
      <c r="H14" t="s">
        <v>29</v>
      </c>
      <c r="I14" t="s">
        <v>41</v>
      </c>
      <c r="J14" t="s">
        <v>99</v>
      </c>
      <c r="L14" s="1">
        <v>45689</v>
      </c>
      <c r="M14" s="1">
        <v>45689</v>
      </c>
      <c r="N14" s="1">
        <v>45869</v>
      </c>
      <c r="O14">
        <v>18657307</v>
      </c>
      <c r="P14" t="s">
        <v>100</v>
      </c>
      <c r="Q14" t="s">
        <v>101</v>
      </c>
      <c r="R14">
        <v>8192</v>
      </c>
      <c r="S14" t="s">
        <v>34</v>
      </c>
      <c r="T14" t="s">
        <v>35</v>
      </c>
      <c r="U14">
        <v>-125</v>
      </c>
      <c r="V14" t="s">
        <v>64</v>
      </c>
      <c r="W14" s="1">
        <v>45680</v>
      </c>
      <c r="X14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C379-1EF0-41B4-8BB3-84A1DBC38694}">
  <dimension ref="A1:AA23"/>
  <sheetViews>
    <sheetView tabSelected="1" workbookViewId="0">
      <selection activeCell="Q2" sqref="Q2:Q10"/>
    </sheetView>
  </sheetViews>
  <sheetFormatPr defaultRowHeight="15" x14ac:dyDescent="0.25"/>
  <cols>
    <col min="1" max="1" width="17.28515625" bestFit="1" customWidth="1"/>
    <col min="2" max="2" width="17.28515625" customWidth="1"/>
    <col min="3" max="3" width="20.42578125" bestFit="1" customWidth="1"/>
    <col min="4" max="5" width="20.42578125" customWidth="1"/>
    <col min="6" max="6" width="13.7109375" bestFit="1" customWidth="1"/>
    <col min="7" max="7" width="25.140625" bestFit="1" customWidth="1"/>
    <col min="8" max="8" width="7.85546875" bestFit="1" customWidth="1"/>
    <col min="9" max="9" width="15.7109375" bestFit="1" customWidth="1"/>
    <col min="10" max="10" width="13.5703125" bestFit="1" customWidth="1"/>
    <col min="11" max="11" width="18" bestFit="1" customWidth="1"/>
    <col min="12" max="12" width="18.7109375" bestFit="1" customWidth="1"/>
    <col min="13" max="13" width="21.5703125" bestFit="1" customWidth="1"/>
    <col min="15" max="15" width="9.140625" style="5"/>
    <col min="16" max="16" width="21.5703125" bestFit="1" customWidth="1"/>
  </cols>
  <sheetData>
    <row r="1" spans="1:27" x14ac:dyDescent="0.25">
      <c r="A1" t="s">
        <v>1</v>
      </c>
      <c r="C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  <c r="K1" t="s">
        <v>14</v>
      </c>
      <c r="L1" t="s">
        <v>15</v>
      </c>
      <c r="M1" t="s">
        <v>16</v>
      </c>
      <c r="N1" t="s">
        <v>20</v>
      </c>
    </row>
    <row r="2" spans="1:27" s="2" customFormat="1" x14ac:dyDescent="0.25">
      <c r="A2" s="2" t="s">
        <v>37</v>
      </c>
      <c r="B2" s="2" t="str">
        <f>CONCATENATE(A2,8)</f>
        <v>7RX0FF8TN178</v>
      </c>
      <c r="C2" s="2" t="s">
        <v>112</v>
      </c>
      <c r="D2" s="2" t="s">
        <v>113</v>
      </c>
      <c r="E2" s="2" t="str">
        <f>CONCATENATE(D2, " ",C2)</f>
        <v>WILLIAM BYERLEY</v>
      </c>
      <c r="F2" s="2" t="s">
        <v>40</v>
      </c>
      <c r="G2" s="2" t="s">
        <v>28</v>
      </c>
      <c r="H2" s="2" t="s">
        <v>29</v>
      </c>
      <c r="I2" s="3">
        <v>45870</v>
      </c>
      <c r="J2" s="3">
        <v>45870</v>
      </c>
      <c r="K2" s="2">
        <v>9079571</v>
      </c>
      <c r="L2" s="2" t="s">
        <v>32</v>
      </c>
      <c r="M2" s="2" t="s">
        <v>43</v>
      </c>
      <c r="N2" s="2">
        <v>199.17</v>
      </c>
      <c r="O2" s="6">
        <f>353/12*5</f>
        <v>147.08333333333334</v>
      </c>
      <c r="P2" s="2" t="s">
        <v>106</v>
      </c>
      <c r="Q2" s="2" t="s">
        <v>109</v>
      </c>
    </row>
    <row r="3" spans="1:27" s="2" customFormat="1" x14ac:dyDescent="0.25">
      <c r="A3" s="2" t="s">
        <v>58</v>
      </c>
      <c r="B3" s="2" t="str">
        <f>CONCATENATE(A3,7)</f>
        <v>9H59TD8GF577</v>
      </c>
      <c r="C3" s="2" t="s">
        <v>114</v>
      </c>
      <c r="D3" s="2" t="s">
        <v>115</v>
      </c>
      <c r="E3" s="2" t="str">
        <f t="shared" ref="E3:E23" si="0">CONCATENATE(D3, " ",C3)</f>
        <v>DWAYNE DIGBY</v>
      </c>
      <c r="F3" s="2" t="s">
        <v>27</v>
      </c>
      <c r="G3" s="2" t="s">
        <v>61</v>
      </c>
      <c r="H3" s="2" t="s">
        <v>29</v>
      </c>
      <c r="I3" s="3">
        <v>45778</v>
      </c>
      <c r="J3" s="3">
        <v>45778</v>
      </c>
      <c r="K3" s="2">
        <v>19645587</v>
      </c>
      <c r="L3" s="2" t="s">
        <v>32</v>
      </c>
      <c r="M3" s="2" t="s">
        <v>63</v>
      </c>
      <c r="N3" s="2">
        <v>-751</v>
      </c>
      <c r="O3" s="6">
        <v>-626</v>
      </c>
      <c r="P3" s="2" t="s">
        <v>104</v>
      </c>
      <c r="Q3" s="2" t="s">
        <v>110</v>
      </c>
    </row>
    <row r="4" spans="1:27" x14ac:dyDescent="0.25">
      <c r="A4" s="2" t="s">
        <v>79</v>
      </c>
      <c r="B4" s="2" t="str">
        <f t="shared" ref="B4:B10" si="1">CONCATENATE(A4,8)</f>
        <v>9YP4P53JY998</v>
      </c>
      <c r="C4" s="2" t="s">
        <v>116</v>
      </c>
      <c r="D4" s="2" t="s">
        <v>117</v>
      </c>
      <c r="E4" s="2" t="str">
        <f t="shared" si="0"/>
        <v>TIM LLOYD</v>
      </c>
      <c r="F4" s="2" t="s">
        <v>82</v>
      </c>
      <c r="G4" s="2" t="s">
        <v>28</v>
      </c>
      <c r="H4" s="2" t="s">
        <v>29</v>
      </c>
      <c r="I4" s="3">
        <v>45901</v>
      </c>
      <c r="J4" s="3">
        <v>45901</v>
      </c>
      <c r="K4" s="2">
        <v>8307933</v>
      </c>
      <c r="L4" s="2" t="s">
        <v>32</v>
      </c>
      <c r="M4" s="2" t="s">
        <v>85</v>
      </c>
      <c r="N4" s="2">
        <v>146</v>
      </c>
      <c r="O4" s="6">
        <f>313/12*4</f>
        <v>104.33333333333333</v>
      </c>
      <c r="P4" s="2" t="s">
        <v>105</v>
      </c>
      <c r="Q4" s="2" t="s">
        <v>108</v>
      </c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5">
      <c r="A5" s="2" t="s">
        <v>90</v>
      </c>
      <c r="B5" s="2" t="str">
        <f t="shared" si="1"/>
        <v>6JX7CK5PW648</v>
      </c>
      <c r="C5" s="2" t="s">
        <v>118</v>
      </c>
      <c r="D5" s="2" t="s">
        <v>119</v>
      </c>
      <c r="E5" s="2" t="str">
        <f t="shared" si="0"/>
        <v>RUBEN RAY</v>
      </c>
      <c r="F5" s="2" t="s">
        <v>27</v>
      </c>
      <c r="G5" s="2" t="s">
        <v>28</v>
      </c>
      <c r="H5" s="2" t="s">
        <v>29</v>
      </c>
      <c r="I5" s="3">
        <v>45901</v>
      </c>
      <c r="J5" s="3">
        <v>45901</v>
      </c>
      <c r="K5" s="2">
        <v>8307933</v>
      </c>
      <c r="L5" s="2" t="s">
        <v>32</v>
      </c>
      <c r="M5" s="2" t="s">
        <v>85</v>
      </c>
      <c r="N5" s="2">
        <v>146</v>
      </c>
      <c r="O5" s="6">
        <f>313/12*4</f>
        <v>104.33333333333333</v>
      </c>
      <c r="P5" s="2" t="s">
        <v>105</v>
      </c>
      <c r="Q5" s="2" t="s">
        <v>108</v>
      </c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5">
      <c r="A6" s="2" t="s">
        <v>44</v>
      </c>
      <c r="B6" s="2" t="str">
        <f t="shared" si="1"/>
        <v>1WN3JE8UG938</v>
      </c>
      <c r="C6" s="2" t="s">
        <v>120</v>
      </c>
      <c r="D6" s="2" t="s">
        <v>121</v>
      </c>
      <c r="E6" s="2" t="str">
        <f t="shared" si="0"/>
        <v>ELVIRA CACHO</v>
      </c>
      <c r="F6" s="2" t="s">
        <v>47</v>
      </c>
      <c r="G6" s="2" t="s">
        <v>28</v>
      </c>
      <c r="H6" s="2" t="s">
        <v>29</v>
      </c>
      <c r="I6" s="3">
        <v>45870</v>
      </c>
      <c r="J6" s="3">
        <v>45870</v>
      </c>
      <c r="K6" s="2">
        <v>19200754</v>
      </c>
      <c r="L6" s="2" t="s">
        <v>32</v>
      </c>
      <c r="M6" s="2" t="s">
        <v>50</v>
      </c>
      <c r="N6" s="2">
        <v>180.42</v>
      </c>
      <c r="O6" s="6">
        <f>313/12*5</f>
        <v>130.41666666666666</v>
      </c>
      <c r="P6" s="2" t="s">
        <v>105</v>
      </c>
      <c r="Q6" s="2" t="s">
        <v>107</v>
      </c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5">
      <c r="A7" s="2" t="s">
        <v>24</v>
      </c>
      <c r="B7" s="2" t="str">
        <f t="shared" si="1"/>
        <v>8TT8NJ8GH598</v>
      </c>
      <c r="C7" s="2" t="s">
        <v>122</v>
      </c>
      <c r="D7" s="2" t="s">
        <v>123</v>
      </c>
      <c r="E7" s="2" t="str">
        <f t="shared" si="0"/>
        <v>RONALD BEND</v>
      </c>
      <c r="F7" s="2" t="s">
        <v>27</v>
      </c>
      <c r="G7" s="2" t="s">
        <v>28</v>
      </c>
      <c r="H7" s="2" t="s">
        <v>29</v>
      </c>
      <c r="I7" s="3">
        <v>45870</v>
      </c>
      <c r="J7" s="3">
        <v>45870</v>
      </c>
      <c r="K7" s="2">
        <v>7146581</v>
      </c>
      <c r="L7" s="2" t="s">
        <v>32</v>
      </c>
      <c r="M7" s="2" t="s">
        <v>33</v>
      </c>
      <c r="N7" s="2">
        <v>182.5</v>
      </c>
      <c r="O7" s="6">
        <f>313/12*5</f>
        <v>130.41666666666666</v>
      </c>
      <c r="P7" s="2" t="s">
        <v>105</v>
      </c>
      <c r="Q7" s="2" t="s">
        <v>107</v>
      </c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s="2" customFormat="1" x14ac:dyDescent="0.25">
      <c r="A8" s="2" t="s">
        <v>51</v>
      </c>
      <c r="B8" s="2" t="str">
        <f t="shared" si="1"/>
        <v>7X97R54UW358</v>
      </c>
      <c r="C8" s="2" t="s">
        <v>124</v>
      </c>
      <c r="D8" s="2" t="s">
        <v>125</v>
      </c>
      <c r="E8" s="2" t="str">
        <f t="shared" si="0"/>
        <v>CYNTHIA CARLSON</v>
      </c>
      <c r="F8" s="2" t="s">
        <v>54</v>
      </c>
      <c r="G8" s="2" t="s">
        <v>28</v>
      </c>
      <c r="H8" s="2" t="s">
        <v>29</v>
      </c>
      <c r="I8" s="3">
        <v>45870</v>
      </c>
      <c r="J8" s="3">
        <v>45870</v>
      </c>
      <c r="K8" s="2">
        <v>16633294</v>
      </c>
      <c r="L8" s="2" t="s">
        <v>32</v>
      </c>
      <c r="M8" s="2" t="s">
        <v>57</v>
      </c>
      <c r="N8" s="2">
        <v>182.5</v>
      </c>
      <c r="O8" s="6">
        <f>313/12*5</f>
        <v>130.41666666666666</v>
      </c>
      <c r="P8" s="2" t="s">
        <v>105</v>
      </c>
      <c r="Q8" s="2" t="s">
        <v>107</v>
      </c>
    </row>
    <row r="9" spans="1:27" s="2" customFormat="1" x14ac:dyDescent="0.25">
      <c r="A9" s="2" t="s">
        <v>71</v>
      </c>
      <c r="B9" s="2" t="str">
        <f t="shared" si="1"/>
        <v>7E60RN2NR478</v>
      </c>
      <c r="C9" s="2" t="s">
        <v>126</v>
      </c>
      <c r="D9" s="2" t="s">
        <v>127</v>
      </c>
      <c r="E9" s="2" t="str">
        <f t="shared" si="0"/>
        <v>ANN JOHNSON</v>
      </c>
      <c r="F9" s="2" t="s">
        <v>27</v>
      </c>
      <c r="G9" s="2" t="s">
        <v>28</v>
      </c>
      <c r="H9" s="2" t="s">
        <v>29</v>
      </c>
      <c r="I9" s="3">
        <v>45870</v>
      </c>
      <c r="J9" s="3">
        <v>45870</v>
      </c>
      <c r="K9" s="2">
        <v>7146581</v>
      </c>
      <c r="L9" s="2" t="s">
        <v>32</v>
      </c>
      <c r="M9" s="2" t="s">
        <v>33</v>
      </c>
      <c r="N9" s="2">
        <v>182.5</v>
      </c>
      <c r="O9" s="6">
        <f>313/12*5</f>
        <v>130.41666666666666</v>
      </c>
      <c r="P9" s="2" t="s">
        <v>105</v>
      </c>
      <c r="Q9" s="2" t="s">
        <v>107</v>
      </c>
    </row>
    <row r="10" spans="1:27" s="4" customFormat="1" x14ac:dyDescent="0.25">
      <c r="A10" s="2" t="s">
        <v>86</v>
      </c>
      <c r="B10" s="2" t="str">
        <f t="shared" si="1"/>
        <v>1GP8VJ2JX288</v>
      </c>
      <c r="C10" s="2" t="s">
        <v>128</v>
      </c>
      <c r="D10" s="2" t="s">
        <v>129</v>
      </c>
      <c r="E10" s="2" t="str">
        <f t="shared" si="0"/>
        <v>ANDREW NEY</v>
      </c>
      <c r="F10" s="2" t="s">
        <v>47</v>
      </c>
      <c r="G10" s="2" t="s">
        <v>28</v>
      </c>
      <c r="H10" s="2" t="s">
        <v>29</v>
      </c>
      <c r="I10" s="3">
        <v>45870</v>
      </c>
      <c r="J10" s="3">
        <v>45870</v>
      </c>
      <c r="K10" s="2">
        <v>8307933</v>
      </c>
      <c r="L10" s="2" t="s">
        <v>32</v>
      </c>
      <c r="M10" s="2" t="s">
        <v>85</v>
      </c>
      <c r="N10" s="2">
        <v>182.5</v>
      </c>
      <c r="O10" s="6">
        <f>313/12*5</f>
        <v>130.41666666666666</v>
      </c>
      <c r="P10" s="2" t="s">
        <v>105</v>
      </c>
      <c r="Q10" s="2" t="s">
        <v>107</v>
      </c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s="7" customFormat="1" x14ac:dyDescent="0.25">
      <c r="A11" s="7" t="s">
        <v>58</v>
      </c>
      <c r="B11" s="7" t="str">
        <f>CONCATENATE(A11,88)</f>
        <v>9H59TD8GF5788</v>
      </c>
      <c r="C11" s="7" t="s">
        <v>114</v>
      </c>
      <c r="D11" s="7" t="s">
        <v>115</v>
      </c>
      <c r="E11" s="2" t="str">
        <f t="shared" si="0"/>
        <v>DWAYNE DIGBY</v>
      </c>
      <c r="F11" s="7" t="s">
        <v>27</v>
      </c>
      <c r="G11" s="7" t="s">
        <v>61</v>
      </c>
      <c r="H11" s="7" t="s">
        <v>29</v>
      </c>
      <c r="I11" s="8">
        <v>45778</v>
      </c>
      <c r="J11" s="8">
        <v>45778</v>
      </c>
      <c r="K11" s="7">
        <v>20411454</v>
      </c>
      <c r="L11" s="7" t="s">
        <v>32</v>
      </c>
      <c r="M11" s="7" t="s">
        <v>111</v>
      </c>
      <c r="N11" s="7">
        <v>-751</v>
      </c>
      <c r="O11" s="9">
        <v>-125</v>
      </c>
      <c r="P11" s="7" t="s">
        <v>103</v>
      </c>
    </row>
    <row r="12" spans="1:27" s="7" customFormat="1" x14ac:dyDescent="0.25">
      <c r="A12" s="7" t="s">
        <v>95</v>
      </c>
      <c r="B12" s="7" t="str">
        <f t="shared" ref="B12:B23" si="2">CONCATENATE(A12,88)</f>
        <v>7RF5E20FF7788</v>
      </c>
      <c r="C12" s="7" t="s">
        <v>130</v>
      </c>
      <c r="D12" s="7" t="s">
        <v>131</v>
      </c>
      <c r="E12" s="2" t="str">
        <f t="shared" si="0"/>
        <v>QUEENAH SONYAH</v>
      </c>
      <c r="F12" s="7" t="s">
        <v>40</v>
      </c>
      <c r="G12" s="7" t="s">
        <v>102</v>
      </c>
      <c r="H12" s="7" t="s">
        <v>29</v>
      </c>
      <c r="I12" s="8">
        <v>45689</v>
      </c>
      <c r="J12" s="8">
        <v>45689</v>
      </c>
      <c r="K12" s="7">
        <v>20411454</v>
      </c>
      <c r="L12" s="7" t="s">
        <v>100</v>
      </c>
      <c r="M12" s="7" t="s">
        <v>101</v>
      </c>
      <c r="N12" s="7">
        <v>-125</v>
      </c>
      <c r="O12" s="9">
        <v>-125</v>
      </c>
      <c r="P12" s="7" t="s">
        <v>103</v>
      </c>
    </row>
    <row r="13" spans="1:27" s="7" customFormat="1" x14ac:dyDescent="0.25">
      <c r="A13" s="7" t="s">
        <v>65</v>
      </c>
      <c r="B13" s="7" t="str">
        <f t="shared" si="2"/>
        <v>4M51DJ2UG0088</v>
      </c>
      <c r="C13" s="7" t="s">
        <v>132</v>
      </c>
      <c r="D13" s="7" t="s">
        <v>133</v>
      </c>
      <c r="E13" s="2" t="str">
        <f t="shared" si="0"/>
        <v>RAYMOND GLACE</v>
      </c>
      <c r="F13" s="7" t="s">
        <v>40</v>
      </c>
      <c r="G13" s="7" t="s">
        <v>28</v>
      </c>
      <c r="H13" s="7" t="s">
        <v>68</v>
      </c>
      <c r="I13" s="8">
        <v>45870</v>
      </c>
      <c r="J13" s="8">
        <v>45870</v>
      </c>
      <c r="K13" s="7">
        <v>20411454</v>
      </c>
      <c r="L13" s="7" t="s">
        <v>32</v>
      </c>
      <c r="M13" s="7" t="s">
        <v>70</v>
      </c>
      <c r="N13" s="7">
        <v>16.670000000000002</v>
      </c>
      <c r="O13" s="9">
        <v>16.670000000000002</v>
      </c>
      <c r="P13" s="7" t="s">
        <v>103</v>
      </c>
    </row>
    <row r="14" spans="1:27" s="7" customFormat="1" x14ac:dyDescent="0.25">
      <c r="A14" s="7" t="s">
        <v>74</v>
      </c>
      <c r="B14" s="7" t="str">
        <f t="shared" si="2"/>
        <v>5PV1CY7XR9888</v>
      </c>
      <c r="C14" s="7" t="s">
        <v>134</v>
      </c>
      <c r="D14" s="7" t="s">
        <v>135</v>
      </c>
      <c r="E14" s="2" t="str">
        <f t="shared" si="0"/>
        <v>SUSAN LEINENBACH</v>
      </c>
      <c r="F14" s="7" t="s">
        <v>40</v>
      </c>
      <c r="G14" s="7" t="s">
        <v>28</v>
      </c>
      <c r="H14" s="7" t="s">
        <v>29</v>
      </c>
      <c r="I14" s="8">
        <v>45870</v>
      </c>
      <c r="J14" s="8">
        <v>45870</v>
      </c>
      <c r="K14" s="7">
        <v>20411454</v>
      </c>
      <c r="L14" s="7" t="s">
        <v>32</v>
      </c>
      <c r="M14" s="7" t="s">
        <v>78</v>
      </c>
      <c r="N14" s="7">
        <v>16.670000000000002</v>
      </c>
      <c r="O14" s="9">
        <v>16.670000000000002</v>
      </c>
      <c r="P14" s="7" t="s">
        <v>103</v>
      </c>
    </row>
    <row r="15" spans="1:27" s="7" customFormat="1" x14ac:dyDescent="0.25">
      <c r="A15" s="7" t="s">
        <v>95</v>
      </c>
      <c r="B15" s="7" t="str">
        <f t="shared" si="2"/>
        <v>7RF5E20FF7788</v>
      </c>
      <c r="C15" s="7" t="s">
        <v>130</v>
      </c>
      <c r="D15" s="7" t="s">
        <v>131</v>
      </c>
      <c r="E15" s="2" t="str">
        <f t="shared" si="0"/>
        <v>QUEENAH SONYAH</v>
      </c>
      <c r="F15" s="7" t="s">
        <v>40</v>
      </c>
      <c r="G15" s="7" t="s">
        <v>98</v>
      </c>
      <c r="H15" s="7" t="s">
        <v>29</v>
      </c>
      <c r="I15" s="8">
        <v>45689</v>
      </c>
      <c r="J15" s="8">
        <v>45689</v>
      </c>
      <c r="K15" s="7">
        <v>20411454</v>
      </c>
      <c r="L15" s="7" t="s">
        <v>100</v>
      </c>
      <c r="M15" s="7" t="s">
        <v>101</v>
      </c>
      <c r="N15" s="7">
        <v>62.5</v>
      </c>
      <c r="O15" s="9">
        <v>62.5</v>
      </c>
      <c r="P15" s="7" t="s">
        <v>103</v>
      </c>
    </row>
    <row r="16" spans="1:27" s="7" customFormat="1" x14ac:dyDescent="0.25">
      <c r="A16" s="7" t="s">
        <v>79</v>
      </c>
      <c r="B16" s="7" t="str">
        <f t="shared" si="2"/>
        <v>9YP4P53JY9988</v>
      </c>
      <c r="C16" s="7" t="s">
        <v>116</v>
      </c>
      <c r="D16" s="7" t="s">
        <v>117</v>
      </c>
      <c r="E16" s="2" t="str">
        <f t="shared" si="0"/>
        <v>TIM LLOYD</v>
      </c>
      <c r="F16" s="7" t="s">
        <v>82</v>
      </c>
      <c r="G16" s="7" t="s">
        <v>28</v>
      </c>
      <c r="H16" s="7" t="s">
        <v>29</v>
      </c>
      <c r="I16" s="8">
        <v>45901</v>
      </c>
      <c r="J16" s="8">
        <v>45901</v>
      </c>
      <c r="K16" s="7">
        <v>20411454</v>
      </c>
      <c r="L16" s="7" t="s">
        <v>32</v>
      </c>
      <c r="M16" s="7" t="s">
        <v>85</v>
      </c>
      <c r="N16" s="7">
        <v>146</v>
      </c>
      <c r="O16" s="9">
        <f>125/12*4</f>
        <v>41.666666666666664</v>
      </c>
      <c r="P16" s="7" t="s">
        <v>103</v>
      </c>
    </row>
    <row r="17" spans="1:16" s="7" customFormat="1" x14ac:dyDescent="0.25">
      <c r="A17" s="7" t="s">
        <v>90</v>
      </c>
      <c r="B17" s="7" t="str">
        <f t="shared" si="2"/>
        <v>6JX7CK5PW6488</v>
      </c>
      <c r="C17" s="7" t="s">
        <v>118</v>
      </c>
      <c r="D17" s="7" t="s">
        <v>119</v>
      </c>
      <c r="E17" s="2" t="str">
        <f t="shared" si="0"/>
        <v>RUBEN RAY</v>
      </c>
      <c r="F17" s="7" t="s">
        <v>27</v>
      </c>
      <c r="G17" s="7" t="s">
        <v>28</v>
      </c>
      <c r="H17" s="7" t="s">
        <v>29</v>
      </c>
      <c r="I17" s="8">
        <v>45901</v>
      </c>
      <c r="J17" s="8">
        <v>45901</v>
      </c>
      <c r="K17" s="7">
        <v>20411454</v>
      </c>
      <c r="L17" s="7" t="s">
        <v>32</v>
      </c>
      <c r="M17" s="7" t="s">
        <v>85</v>
      </c>
      <c r="N17" s="7">
        <v>146</v>
      </c>
      <c r="O17" s="9">
        <f>125/12*4</f>
        <v>41.666666666666664</v>
      </c>
      <c r="P17" s="7" t="s">
        <v>103</v>
      </c>
    </row>
    <row r="18" spans="1:16" s="7" customFormat="1" x14ac:dyDescent="0.25">
      <c r="A18" s="7" t="s">
        <v>44</v>
      </c>
      <c r="B18" s="7" t="str">
        <f t="shared" si="2"/>
        <v>1WN3JE8UG9388</v>
      </c>
      <c r="C18" s="7" t="s">
        <v>120</v>
      </c>
      <c r="D18" s="7" t="s">
        <v>121</v>
      </c>
      <c r="E18" s="2" t="str">
        <f t="shared" si="0"/>
        <v>ELVIRA CACHO</v>
      </c>
      <c r="F18" s="7" t="s">
        <v>47</v>
      </c>
      <c r="G18" s="7" t="s">
        <v>28</v>
      </c>
      <c r="H18" s="7" t="s">
        <v>29</v>
      </c>
      <c r="I18" s="8">
        <v>45870</v>
      </c>
      <c r="J18" s="8">
        <v>45870</v>
      </c>
      <c r="K18" s="7">
        <v>20411454</v>
      </c>
      <c r="L18" s="7" t="s">
        <v>32</v>
      </c>
      <c r="M18" s="7" t="s">
        <v>50</v>
      </c>
      <c r="N18" s="7">
        <v>180.42</v>
      </c>
      <c r="O18" s="9">
        <f>180.42-130.42</f>
        <v>50</v>
      </c>
      <c r="P18" s="7" t="s">
        <v>103</v>
      </c>
    </row>
    <row r="19" spans="1:16" s="7" customFormat="1" x14ac:dyDescent="0.25">
      <c r="A19" s="7" t="s">
        <v>24</v>
      </c>
      <c r="B19" s="7" t="str">
        <f t="shared" si="2"/>
        <v>8TT8NJ8GH5988</v>
      </c>
      <c r="C19" s="7" t="s">
        <v>122</v>
      </c>
      <c r="D19" s="7" t="s">
        <v>123</v>
      </c>
      <c r="E19" s="2" t="str">
        <f t="shared" si="0"/>
        <v>RONALD BEND</v>
      </c>
      <c r="F19" s="7" t="s">
        <v>27</v>
      </c>
      <c r="G19" s="7" t="s">
        <v>28</v>
      </c>
      <c r="H19" s="7" t="s">
        <v>29</v>
      </c>
      <c r="I19" s="8">
        <v>45870</v>
      </c>
      <c r="J19" s="8">
        <v>45870</v>
      </c>
      <c r="K19" s="7">
        <v>20411454</v>
      </c>
      <c r="L19" s="7" t="s">
        <v>32</v>
      </c>
      <c r="M19" s="7" t="s">
        <v>33</v>
      </c>
      <c r="N19" s="7">
        <v>182.5</v>
      </c>
      <c r="O19" s="9">
        <f>125/12*5</f>
        <v>52.083333333333329</v>
      </c>
      <c r="P19" s="7" t="s">
        <v>103</v>
      </c>
    </row>
    <row r="20" spans="1:16" s="7" customFormat="1" x14ac:dyDescent="0.25">
      <c r="A20" s="7" t="s">
        <v>51</v>
      </c>
      <c r="B20" s="7" t="str">
        <f t="shared" si="2"/>
        <v>7X97R54UW3588</v>
      </c>
      <c r="C20" s="7" t="s">
        <v>124</v>
      </c>
      <c r="D20" s="7" t="s">
        <v>125</v>
      </c>
      <c r="E20" s="2" t="str">
        <f t="shared" si="0"/>
        <v>CYNTHIA CARLSON</v>
      </c>
      <c r="F20" s="7" t="s">
        <v>54</v>
      </c>
      <c r="G20" s="7" t="s">
        <v>28</v>
      </c>
      <c r="H20" s="7" t="s">
        <v>29</v>
      </c>
      <c r="I20" s="8">
        <v>45870</v>
      </c>
      <c r="J20" s="8">
        <v>45870</v>
      </c>
      <c r="K20" s="7">
        <v>20411454</v>
      </c>
      <c r="L20" s="7" t="s">
        <v>32</v>
      </c>
      <c r="M20" s="7" t="s">
        <v>57</v>
      </c>
      <c r="N20" s="7">
        <v>182.5</v>
      </c>
      <c r="O20" s="9">
        <f>125/12*5</f>
        <v>52.083333333333329</v>
      </c>
      <c r="P20" s="7" t="s">
        <v>103</v>
      </c>
    </row>
    <row r="21" spans="1:16" s="7" customFormat="1" x14ac:dyDescent="0.25">
      <c r="A21" s="7" t="s">
        <v>71</v>
      </c>
      <c r="B21" s="7" t="str">
        <f t="shared" si="2"/>
        <v>7E60RN2NR4788</v>
      </c>
      <c r="C21" s="7" t="s">
        <v>126</v>
      </c>
      <c r="D21" s="7" t="s">
        <v>127</v>
      </c>
      <c r="E21" s="2" t="str">
        <f t="shared" si="0"/>
        <v>ANN JOHNSON</v>
      </c>
      <c r="F21" s="7" t="s">
        <v>27</v>
      </c>
      <c r="G21" s="7" t="s">
        <v>28</v>
      </c>
      <c r="H21" s="7" t="s">
        <v>29</v>
      </c>
      <c r="I21" s="8">
        <v>45870</v>
      </c>
      <c r="J21" s="8">
        <v>45870</v>
      </c>
      <c r="K21" s="7">
        <v>20411454</v>
      </c>
      <c r="L21" s="7" t="s">
        <v>32</v>
      </c>
      <c r="M21" s="7" t="s">
        <v>33</v>
      </c>
      <c r="N21" s="7">
        <v>182.5</v>
      </c>
      <c r="O21" s="9">
        <f>125/12*5</f>
        <v>52.083333333333329</v>
      </c>
      <c r="P21" s="7" t="s">
        <v>103</v>
      </c>
    </row>
    <row r="22" spans="1:16" s="7" customFormat="1" x14ac:dyDescent="0.25">
      <c r="A22" s="7" t="s">
        <v>86</v>
      </c>
      <c r="B22" s="7" t="str">
        <f t="shared" si="2"/>
        <v>1GP8VJ2JX2888</v>
      </c>
      <c r="C22" s="7" t="s">
        <v>128</v>
      </c>
      <c r="D22" s="7" t="s">
        <v>129</v>
      </c>
      <c r="E22" s="2" t="str">
        <f t="shared" si="0"/>
        <v>ANDREW NEY</v>
      </c>
      <c r="F22" s="7" t="s">
        <v>47</v>
      </c>
      <c r="G22" s="7" t="s">
        <v>28</v>
      </c>
      <c r="H22" s="7" t="s">
        <v>29</v>
      </c>
      <c r="I22" s="8">
        <v>45870</v>
      </c>
      <c r="J22" s="8">
        <v>45870</v>
      </c>
      <c r="K22" s="7">
        <v>20411454</v>
      </c>
      <c r="L22" s="7" t="s">
        <v>32</v>
      </c>
      <c r="M22" s="7" t="s">
        <v>85</v>
      </c>
      <c r="N22" s="7">
        <v>182.5</v>
      </c>
      <c r="O22" s="9">
        <f>125/12*5</f>
        <v>52.083333333333329</v>
      </c>
      <c r="P22" s="7" t="s">
        <v>103</v>
      </c>
    </row>
    <row r="23" spans="1:16" s="7" customFormat="1" x14ac:dyDescent="0.25">
      <c r="A23" s="7" t="s">
        <v>37</v>
      </c>
      <c r="B23" s="7" t="str">
        <f t="shared" si="2"/>
        <v>7RX0FF8TN1788</v>
      </c>
      <c r="C23" s="7" t="s">
        <v>112</v>
      </c>
      <c r="D23" s="7" t="s">
        <v>113</v>
      </c>
      <c r="E23" s="2" t="str">
        <f t="shared" si="0"/>
        <v>WILLIAM BYERLEY</v>
      </c>
      <c r="F23" s="7" t="s">
        <v>40</v>
      </c>
      <c r="G23" s="7" t="s">
        <v>28</v>
      </c>
      <c r="H23" s="7" t="s">
        <v>29</v>
      </c>
      <c r="I23" s="8">
        <v>45870</v>
      </c>
      <c r="J23" s="8">
        <v>45870</v>
      </c>
      <c r="K23" s="7">
        <v>20411454</v>
      </c>
      <c r="L23" s="7" t="s">
        <v>32</v>
      </c>
      <c r="M23" s="7" t="s">
        <v>43</v>
      </c>
      <c r="N23" s="7">
        <v>199.17</v>
      </c>
      <c r="O23" s="9">
        <f>125/12*5</f>
        <v>52.083333333333329</v>
      </c>
      <c r="P23" s="7" t="s">
        <v>103</v>
      </c>
    </row>
  </sheetData>
  <sortState xmlns:xlrd2="http://schemas.microsoft.com/office/spreadsheetml/2017/richdata2" ref="A2:AA23">
    <sortCondition ref="P2:P23"/>
  </sortState>
  <pageMargins left="0.7" right="0.7" top="0.75" bottom="0.75" header="0.3" footer="0.3"/>
  <ignoredErrors>
    <ignoredError sqref="B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2025-08-14T16:06:32Z</dcterms:created>
  <dcterms:modified xsi:type="dcterms:W3CDTF">2025-08-15T13:58:27Z</dcterms:modified>
</cp:coreProperties>
</file>