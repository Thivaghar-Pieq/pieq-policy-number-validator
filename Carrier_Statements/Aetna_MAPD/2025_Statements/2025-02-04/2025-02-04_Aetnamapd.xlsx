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2-4-25\"/>
    </mc:Choice>
  </mc:AlternateContent>
  <xr:revisionPtr revIDLastSave="0" documentId="13_ncr:1_{7098BE84-136A-49C0-9E7F-A7458A5576C5}" xr6:coauthVersionLast="47" xr6:coauthVersionMax="47" xr10:uidLastSave="{00000000-0000-0000-0000-000000000000}"/>
  <bookViews>
    <workbookView xWindow="-120" yWindow="-120" windowWidth="29040" windowHeight="16440" activeTab="1" xr2:uid="{D3083AF6-9A06-2141-A99B-A66281BA085C}"/>
  </bookViews>
  <sheets>
    <sheet name="Main Line Benefits LLC_med_comm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3" i="2"/>
  <c r="C24" i="2"/>
  <c r="C25" i="2"/>
  <c r="C22" i="2"/>
  <c r="C40" i="2" l="1"/>
  <c r="C9" i="2"/>
  <c r="C30" i="2"/>
  <c r="C37" i="2"/>
  <c r="C19" i="2"/>
  <c r="C35" i="2"/>
  <c r="C33" i="2"/>
  <c r="C31" i="2"/>
  <c r="C4" i="2"/>
  <c r="C13" i="2"/>
  <c r="C8" i="2"/>
  <c r="C15" i="2"/>
  <c r="C27" i="2"/>
  <c r="C11" i="2"/>
  <c r="C17" i="2"/>
  <c r="C6" i="2"/>
  <c r="C29" i="2"/>
  <c r="C20" i="2"/>
  <c r="C16" i="2"/>
  <c r="C28" i="2"/>
  <c r="C39" i="2"/>
  <c r="C36" i="2"/>
  <c r="C18" i="2"/>
  <c r="C34" i="2"/>
  <c r="C32" i="2"/>
  <c r="C2" i="2"/>
  <c r="C3" i="2"/>
  <c r="C12" i="2"/>
  <c r="C7" i="2"/>
  <c r="C14" i="2"/>
  <c r="C26" i="2"/>
  <c r="C5" i="2"/>
  <c r="C10" i="2"/>
  <c r="C38" i="2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2" i="3"/>
  <c r="O6" i="2"/>
  <c r="O11" i="2"/>
  <c r="O17" i="2"/>
</calcChain>
</file>

<file path=xl/sharedStrings.xml><?xml version="1.0" encoding="utf-8"?>
<sst xmlns="http://schemas.openxmlformats.org/spreadsheetml/2006/main" count="787" uniqueCount="197">
  <si>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</si>
  <si>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</si>
  <si>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</si>
  <si>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</si>
  <si>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</si>
  <si>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</si>
  <si>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</si>
  <si>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</si>
  <si>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</si>
  <si>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</si>
  <si>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</si>
  <si>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</si>
  <si>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</si>
  <si>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</si>
  <si>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</si>
  <si>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</si>
  <si>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</si>
  <si>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</si>
  <si>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</si>
  <si>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</si>
  <si>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</si>
  <si>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</si>
  <si>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</si>
  <si>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</si>
  <si>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7TA2C33KT13</t>
  </si>
  <si>
    <t>ANDERSON E,KAY</t>
  </si>
  <si>
    <t>IL</t>
  </si>
  <si>
    <t>New Business</t>
  </si>
  <si>
    <t>MAPD</t>
  </si>
  <si>
    <t>IMM619</t>
  </si>
  <si>
    <t>H7301-009</t>
  </si>
  <si>
    <t>LOA</t>
  </si>
  <si>
    <t>TAPPER, RANDY</t>
  </si>
  <si>
    <t>GMO</t>
  </si>
  <si>
    <t>Main Line Benefits LLC</t>
  </si>
  <si>
    <t xml:space="preserve">N  </t>
  </si>
  <si>
    <t>8DD8RP2NU26</t>
  </si>
  <si>
    <t>BANDA SIFUENTES J,J</t>
  </si>
  <si>
    <t>IMM606</t>
  </si>
  <si>
    <t>H7301-013</t>
  </si>
  <si>
    <t>Torres, Jose</t>
  </si>
  <si>
    <t>3A09F97EJ46</t>
  </si>
  <si>
    <t>BOEHMER L,SHARON</t>
  </si>
  <si>
    <t>TX</t>
  </si>
  <si>
    <t>IMM618</t>
  </si>
  <si>
    <t>H2293-017</t>
  </si>
  <si>
    <t>DAUGHERTY, MATTHEW</t>
  </si>
  <si>
    <t>2AM9DP1NU13</t>
  </si>
  <si>
    <t>BUTLER J,THERESA</t>
  </si>
  <si>
    <t>MD</t>
  </si>
  <si>
    <t>MA</t>
  </si>
  <si>
    <t>IMM603</t>
  </si>
  <si>
    <t>H5521-480</t>
  </si>
  <si>
    <t>Lemon, Cathy</t>
  </si>
  <si>
    <t>H5521-482</t>
  </si>
  <si>
    <t>3VC6T80JU74</t>
  </si>
  <si>
    <t>CHAN,SABINA</t>
  </si>
  <si>
    <t>H5521-086</t>
  </si>
  <si>
    <t>THANADABOUTH, PATSAMON</t>
  </si>
  <si>
    <t>5T27UR5WA71</t>
  </si>
  <si>
    <t>DARRINGTON E,ALLEN</t>
  </si>
  <si>
    <t>CO</t>
  </si>
  <si>
    <t>IMM610</t>
  </si>
  <si>
    <t>H5521-443</t>
  </si>
  <si>
    <t>3KP3R00JM00</t>
  </si>
  <si>
    <t>FIEDLER L,CYNTHIA</t>
  </si>
  <si>
    <t>OH</t>
  </si>
  <si>
    <t>IMM617</t>
  </si>
  <si>
    <t>H5521-565</t>
  </si>
  <si>
    <t>SCHUMANN, BARRY</t>
  </si>
  <si>
    <t>1NR0A30PJ09</t>
  </si>
  <si>
    <t>GAPINSKI J,CALVIN</t>
  </si>
  <si>
    <t>Yale, Jacob</t>
  </si>
  <si>
    <t>7Y86YA5UN76</t>
  </si>
  <si>
    <t>GIBBS K,DEBORAH</t>
  </si>
  <si>
    <t>H3931-153</t>
  </si>
  <si>
    <t>Miller, Heather</t>
  </si>
  <si>
    <t>4RG8Q67YJ21</t>
  </si>
  <si>
    <t>GIULIANO,NICOLA</t>
  </si>
  <si>
    <t>Yale, Richard</t>
  </si>
  <si>
    <t>4XY3P72XC19</t>
  </si>
  <si>
    <t>HINTON A,CHERYL</t>
  </si>
  <si>
    <t>PA</t>
  </si>
  <si>
    <t>IMM608</t>
  </si>
  <si>
    <t>H3959-002</t>
  </si>
  <si>
    <t>Powers, Timothy</t>
  </si>
  <si>
    <t>9Q36AJ6WW89</t>
  </si>
  <si>
    <t>HINTON E,RONALD</t>
  </si>
  <si>
    <t>8QR4UV1CH50</t>
  </si>
  <si>
    <t>MCABEE J,COLLEEN</t>
  </si>
  <si>
    <t>CA</t>
  </si>
  <si>
    <t>IMM602</t>
  </si>
  <si>
    <t>H4982-026</t>
  </si>
  <si>
    <t>7C31VU0CR95</t>
  </si>
  <si>
    <t>PHILLIPS R,RHONDA</t>
  </si>
  <si>
    <t>Voluntarily Rapid Disenroll</t>
  </si>
  <si>
    <t>Kucan, Thomas</t>
  </si>
  <si>
    <t>4R21A57FU96</t>
  </si>
  <si>
    <t>MECHGA6071555</t>
  </si>
  <si>
    <t>RODGERS,LINDA</t>
  </si>
  <si>
    <t>Renewal Termination</t>
  </si>
  <si>
    <t>PDP</t>
  </si>
  <si>
    <t>S5601-012</t>
  </si>
  <si>
    <t>LMO</t>
  </si>
  <si>
    <t>4RG8UV8NF50</t>
  </si>
  <si>
    <t>SCHUTTE R,JEFFREY</t>
  </si>
  <si>
    <t>H5522-005</t>
  </si>
  <si>
    <t>Inskipt, Deborah</t>
  </si>
  <si>
    <t>1E72CW1RH11</t>
  </si>
  <si>
    <t>SHORT R,YULONDA</t>
  </si>
  <si>
    <t>H8597-001</t>
  </si>
  <si>
    <t>1G80KV4EJ34</t>
  </si>
  <si>
    <t>TOT,VERNADEAN</t>
  </si>
  <si>
    <t>Involuntarily Rapid Disenroll</t>
  </si>
  <si>
    <t>H3959-001</t>
  </si>
  <si>
    <t xml:space="preserve">Y  </t>
  </si>
  <si>
    <t>6G72U93PE00</t>
  </si>
  <si>
    <t>WHEELER M,AMY</t>
  </si>
  <si>
    <t>H2293-026</t>
  </si>
  <si>
    <t>Portugal, Stacey</t>
  </si>
  <si>
    <t>1QG2U95UQ16</t>
  </si>
  <si>
    <t>WROBLESKI J,MARK</t>
  </si>
  <si>
    <t>H3959-010</t>
  </si>
  <si>
    <t>Total Payee Amount: $4336.26</t>
  </si>
  <si>
    <t>Aetna MAPD 2025*</t>
  </si>
  <si>
    <t>Aetna MAPD OVR 2025</t>
  </si>
  <si>
    <t>Aetna 1Y + RN Ovr</t>
  </si>
  <si>
    <t>Aetna 2025 CT, PA, DC*</t>
  </si>
  <si>
    <t>Aetna 2025 CA, NJ*</t>
  </si>
  <si>
    <t>Aetna PDP 2025</t>
  </si>
  <si>
    <t>[%/$=313][prorate=12/12]</t>
  </si>
  <si>
    <t>[%/$=390][prorate=12/12]</t>
  </si>
  <si>
    <t>[%/$=353][prorate=12/12]</t>
  </si>
  <si>
    <t>Member</t>
  </si>
  <si>
    <t>PHILLIPS</t>
  </si>
  <si>
    <t>RHONDA</t>
  </si>
  <si>
    <t>SHORT</t>
  </si>
  <si>
    <t>YULONDA</t>
  </si>
  <si>
    <t>TOT</t>
  </si>
  <si>
    <t>VERNADEAN</t>
  </si>
  <si>
    <t>WROBLESKI</t>
  </si>
  <si>
    <t>MARK</t>
  </si>
  <si>
    <t>RODGERS</t>
  </si>
  <si>
    <t>LINDA</t>
  </si>
  <si>
    <t>HINTON</t>
  </si>
  <si>
    <t>CHERYL</t>
  </si>
  <si>
    <t>RONALD</t>
  </si>
  <si>
    <t>BUTLER</t>
  </si>
  <si>
    <t>THERESA</t>
  </si>
  <si>
    <t>ANDERSON</t>
  </si>
  <si>
    <t>KAY</t>
  </si>
  <si>
    <t>BANDA</t>
  </si>
  <si>
    <t>SIFUENTES</t>
  </si>
  <si>
    <t>BOEHMER</t>
  </si>
  <si>
    <t>SHARON</t>
  </si>
  <si>
    <t>CHAN</t>
  </si>
  <si>
    <t>SABINA</t>
  </si>
  <si>
    <t>DARRINGTON</t>
  </si>
  <si>
    <t>ALLEN</t>
  </si>
  <si>
    <t>FIEDLER</t>
  </si>
  <si>
    <t>CYNTHIA</t>
  </si>
  <si>
    <t>GAPINSKI</t>
  </si>
  <si>
    <t>CALVIN</t>
  </si>
  <si>
    <t>GIBBS</t>
  </si>
  <si>
    <t>DEBORAH</t>
  </si>
  <si>
    <t>GIULIANO</t>
  </si>
  <si>
    <t>NICOLA</t>
  </si>
  <si>
    <t>MCABEE</t>
  </si>
  <si>
    <t>COLLEEN</t>
  </si>
  <si>
    <t>SCHUTTE</t>
  </si>
  <si>
    <t>JEFFREY</t>
  </si>
  <si>
    <t>WHEELER</t>
  </si>
  <si>
    <t>AMY</t>
  </si>
  <si>
    <t>RHONDA PHILLIPS</t>
  </si>
  <si>
    <t>YULONDA SHORT</t>
  </si>
  <si>
    <t>VERNADEAN TOT</t>
  </si>
  <si>
    <t>MARK WROBLESKI</t>
  </si>
  <si>
    <t>LINDA RODGERS</t>
  </si>
  <si>
    <t>CHERYL HINTON</t>
  </si>
  <si>
    <t>RONALD HINTON</t>
  </si>
  <si>
    <t>THERESA BUTLER</t>
  </si>
  <si>
    <t>KAY ANDERSON</t>
  </si>
  <si>
    <t>SIFUENTES BANDA</t>
  </si>
  <si>
    <t>SHARON BOEHMER</t>
  </si>
  <si>
    <t>SABINA CHAN</t>
  </si>
  <si>
    <t>ALLEN DARRINGTON</t>
  </si>
  <si>
    <t>CYNTHIA FIEDLER</t>
  </si>
  <si>
    <t>CALVIN GAPINSKI</t>
  </si>
  <si>
    <t>DEBORAH GIBBS</t>
  </si>
  <si>
    <t>NICOLA GIULIANO</t>
  </si>
  <si>
    <t>COLLEEN MCABEE</t>
  </si>
  <si>
    <t>JEFFREY SCHUTTE</t>
  </si>
  <si>
    <t>AMY WHEELER</t>
  </si>
  <si>
    <t>Main Line Benefits</t>
  </si>
  <si>
    <t>[%/$=31.25]</t>
  </si>
  <si>
    <t>Aetna LMAPD CT, PA, DC 2024!</t>
  </si>
  <si>
    <t>[%/$=383][prorate=1/12]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</si>
</sst>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6E91-0CFB-1747-8644-6547CF22AD60}">
  <dimension ref="A1:X29"/>
  <sheetViews>
    <sheetView topLeftCell="D1" workbookViewId="0">
      <selection activeCell="O22" sqref="O22:O26"/>
    </sheetView>
  </sheetViews>
  <sheetFormatPr defaultColWidth="11" defaultRowHeight="15.7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45692</v>
      </c>
      <c r="B2" t="s">
        <v>24</v>
      </c>
      <c r="C2">
        <v>101189698400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45689</v>
      </c>
      <c r="M2" s="1">
        <v>45689</v>
      </c>
      <c r="O2">
        <v>18935660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401.5</v>
      </c>
      <c r="V2" t="s">
        <v>35</v>
      </c>
      <c r="W2" s="1">
        <v>45673</v>
      </c>
      <c r="X2">
        <v>2025</v>
      </c>
    </row>
    <row r="3" spans="1:24" x14ac:dyDescent="0.25">
      <c r="A3" s="1">
        <v>45692</v>
      </c>
      <c r="B3" t="s">
        <v>36</v>
      </c>
      <c r="C3">
        <v>102140905600</v>
      </c>
      <c r="E3" t="s">
        <v>37</v>
      </c>
      <c r="F3" t="s">
        <v>26</v>
      </c>
      <c r="G3" t="s">
        <v>27</v>
      </c>
      <c r="H3" t="s">
        <v>28</v>
      </c>
      <c r="I3" t="s">
        <v>38</v>
      </c>
      <c r="J3" t="s">
        <v>39</v>
      </c>
      <c r="L3" s="1">
        <v>45689</v>
      </c>
      <c r="M3" s="1">
        <v>45689</v>
      </c>
      <c r="O3">
        <v>20212926</v>
      </c>
      <c r="P3" t="s">
        <v>31</v>
      </c>
      <c r="Q3" t="s">
        <v>40</v>
      </c>
      <c r="R3">
        <v>8192</v>
      </c>
      <c r="S3" t="s">
        <v>33</v>
      </c>
      <c r="T3" t="s">
        <v>34</v>
      </c>
      <c r="U3">
        <v>401.5</v>
      </c>
      <c r="V3" t="s">
        <v>35</v>
      </c>
      <c r="W3" s="1">
        <v>45672</v>
      </c>
      <c r="X3">
        <v>2025</v>
      </c>
    </row>
    <row r="4" spans="1:24" x14ac:dyDescent="0.25">
      <c r="A4" s="1">
        <v>45692</v>
      </c>
      <c r="B4" t="s">
        <v>41</v>
      </c>
      <c r="C4">
        <v>101932066200</v>
      </c>
      <c r="E4" t="s">
        <v>42</v>
      </c>
      <c r="F4" t="s">
        <v>43</v>
      </c>
      <c r="G4" t="s">
        <v>27</v>
      </c>
      <c r="H4" t="s">
        <v>28</v>
      </c>
      <c r="I4" t="s">
        <v>44</v>
      </c>
      <c r="J4" t="s">
        <v>45</v>
      </c>
      <c r="L4" s="1">
        <v>45689</v>
      </c>
      <c r="M4" s="1">
        <v>45689</v>
      </c>
      <c r="O4">
        <v>16378851</v>
      </c>
      <c r="P4" t="s">
        <v>31</v>
      </c>
      <c r="Q4" t="s">
        <v>46</v>
      </c>
      <c r="R4">
        <v>8192</v>
      </c>
      <c r="S4" t="s">
        <v>33</v>
      </c>
      <c r="T4" t="s">
        <v>34</v>
      </c>
      <c r="U4">
        <v>401.5</v>
      </c>
      <c r="V4" t="s">
        <v>35</v>
      </c>
      <c r="W4" s="1">
        <v>45665</v>
      </c>
      <c r="X4">
        <v>2025</v>
      </c>
    </row>
    <row r="5" spans="1:24" x14ac:dyDescent="0.25">
      <c r="A5" s="1">
        <v>45692</v>
      </c>
      <c r="B5" t="s">
        <v>47</v>
      </c>
      <c r="C5">
        <v>102012084600</v>
      </c>
      <c r="E5" t="s">
        <v>48</v>
      </c>
      <c r="F5" t="s">
        <v>49</v>
      </c>
      <c r="G5" t="s">
        <v>27</v>
      </c>
      <c r="H5" t="s">
        <v>50</v>
      </c>
      <c r="I5" t="s">
        <v>51</v>
      </c>
      <c r="J5" t="s">
        <v>52</v>
      </c>
      <c r="L5" s="1">
        <v>45658</v>
      </c>
      <c r="M5" s="1">
        <v>45658</v>
      </c>
      <c r="O5">
        <v>17195620</v>
      </c>
      <c r="P5" t="s">
        <v>31</v>
      </c>
      <c r="Q5" t="s">
        <v>53</v>
      </c>
      <c r="R5">
        <v>8192</v>
      </c>
      <c r="S5" t="s">
        <v>33</v>
      </c>
      <c r="T5" t="s">
        <v>34</v>
      </c>
      <c r="U5">
        <v>125</v>
      </c>
      <c r="V5" t="s">
        <v>35</v>
      </c>
      <c r="W5" s="1">
        <v>45619</v>
      </c>
      <c r="X5">
        <v>2025</v>
      </c>
    </row>
    <row r="6" spans="1:24" x14ac:dyDescent="0.25">
      <c r="A6" s="1">
        <v>45692</v>
      </c>
      <c r="B6" t="s">
        <v>47</v>
      </c>
      <c r="C6">
        <v>102012084600</v>
      </c>
      <c r="E6" t="s">
        <v>48</v>
      </c>
      <c r="F6" t="s">
        <v>49</v>
      </c>
      <c r="G6" t="s">
        <v>27</v>
      </c>
      <c r="H6" t="s">
        <v>28</v>
      </c>
      <c r="I6" t="s">
        <v>51</v>
      </c>
      <c r="J6" t="s">
        <v>54</v>
      </c>
      <c r="L6" s="1">
        <v>45658</v>
      </c>
      <c r="M6" s="1">
        <v>45658</v>
      </c>
      <c r="O6">
        <v>17195620</v>
      </c>
      <c r="P6" t="s">
        <v>31</v>
      </c>
      <c r="Q6" t="s">
        <v>53</v>
      </c>
      <c r="R6">
        <v>8192</v>
      </c>
      <c r="S6" t="s">
        <v>33</v>
      </c>
      <c r="T6" t="s">
        <v>34</v>
      </c>
      <c r="U6">
        <v>313</v>
      </c>
      <c r="V6" t="s">
        <v>35</v>
      </c>
      <c r="W6" s="1">
        <v>45619</v>
      </c>
      <c r="X6">
        <v>2025</v>
      </c>
    </row>
    <row r="7" spans="1:24" x14ac:dyDescent="0.25">
      <c r="A7" s="1">
        <v>45692</v>
      </c>
      <c r="B7" t="s">
        <v>55</v>
      </c>
      <c r="C7">
        <v>102141057700</v>
      </c>
      <c r="E7" t="s">
        <v>56</v>
      </c>
      <c r="F7" t="s">
        <v>26</v>
      </c>
      <c r="G7" t="s">
        <v>27</v>
      </c>
      <c r="H7" t="s">
        <v>28</v>
      </c>
      <c r="I7" t="s">
        <v>38</v>
      </c>
      <c r="J7" t="s">
        <v>57</v>
      </c>
      <c r="L7" s="1">
        <v>45689</v>
      </c>
      <c r="M7" s="1">
        <v>45689</v>
      </c>
      <c r="O7">
        <v>8405446</v>
      </c>
      <c r="P7" t="s">
        <v>31</v>
      </c>
      <c r="Q7" t="s">
        <v>58</v>
      </c>
      <c r="R7">
        <v>8192</v>
      </c>
      <c r="S7" t="s">
        <v>33</v>
      </c>
      <c r="T7" t="s">
        <v>34</v>
      </c>
      <c r="U7">
        <v>401.5</v>
      </c>
      <c r="V7" t="s">
        <v>35</v>
      </c>
      <c r="W7" s="1">
        <v>45673</v>
      </c>
      <c r="X7">
        <v>2025</v>
      </c>
    </row>
    <row r="8" spans="1:24" x14ac:dyDescent="0.25">
      <c r="A8" s="1">
        <v>45692</v>
      </c>
      <c r="B8" t="s">
        <v>59</v>
      </c>
      <c r="C8">
        <v>101873362500</v>
      </c>
      <c r="E8" t="s">
        <v>60</v>
      </c>
      <c r="F8" t="s">
        <v>61</v>
      </c>
      <c r="G8" t="s">
        <v>27</v>
      </c>
      <c r="H8" t="s">
        <v>28</v>
      </c>
      <c r="I8" t="s">
        <v>62</v>
      </c>
      <c r="J8" t="s">
        <v>63</v>
      </c>
      <c r="L8" s="1">
        <v>45689</v>
      </c>
      <c r="M8" s="1">
        <v>45689</v>
      </c>
      <c r="O8">
        <v>16378851</v>
      </c>
      <c r="P8" t="s">
        <v>31</v>
      </c>
      <c r="Q8" t="s">
        <v>46</v>
      </c>
      <c r="R8">
        <v>8192</v>
      </c>
      <c r="S8" t="s">
        <v>33</v>
      </c>
      <c r="T8" t="s">
        <v>34</v>
      </c>
      <c r="U8">
        <v>401.5</v>
      </c>
      <c r="V8" t="s">
        <v>35</v>
      </c>
      <c r="W8" s="1">
        <v>45678</v>
      </c>
      <c r="X8">
        <v>2025</v>
      </c>
    </row>
    <row r="9" spans="1:24" x14ac:dyDescent="0.25">
      <c r="A9" s="1">
        <v>45692</v>
      </c>
      <c r="B9" t="s">
        <v>64</v>
      </c>
      <c r="C9">
        <v>102141630900</v>
      </c>
      <c r="E9" t="s">
        <v>65</v>
      </c>
      <c r="F9" t="s">
        <v>66</v>
      </c>
      <c r="G9" t="s">
        <v>27</v>
      </c>
      <c r="H9" t="s">
        <v>28</v>
      </c>
      <c r="I9" t="s">
        <v>67</v>
      </c>
      <c r="J9" t="s">
        <v>68</v>
      </c>
      <c r="L9" s="1">
        <v>45689</v>
      </c>
      <c r="M9" s="1">
        <v>45689</v>
      </c>
      <c r="O9">
        <v>19586992</v>
      </c>
      <c r="P9" t="s">
        <v>31</v>
      </c>
      <c r="Q9" t="s">
        <v>69</v>
      </c>
      <c r="R9">
        <v>8192</v>
      </c>
      <c r="S9" t="s">
        <v>33</v>
      </c>
      <c r="T9" t="s">
        <v>34</v>
      </c>
      <c r="U9">
        <v>401.5</v>
      </c>
      <c r="V9" t="s">
        <v>35</v>
      </c>
      <c r="W9" s="1">
        <v>45675</v>
      </c>
      <c r="X9">
        <v>2025</v>
      </c>
    </row>
    <row r="10" spans="1:24" x14ac:dyDescent="0.25">
      <c r="A10" s="1">
        <v>45692</v>
      </c>
      <c r="B10" t="s">
        <v>70</v>
      </c>
      <c r="C10">
        <v>102142435900</v>
      </c>
      <c r="E10" t="s">
        <v>71</v>
      </c>
      <c r="F10" t="s">
        <v>26</v>
      </c>
      <c r="G10" t="s">
        <v>27</v>
      </c>
      <c r="H10" t="s">
        <v>28</v>
      </c>
      <c r="I10" t="s">
        <v>38</v>
      </c>
      <c r="J10" t="s">
        <v>39</v>
      </c>
      <c r="L10" s="1">
        <v>45689</v>
      </c>
      <c r="M10" s="1">
        <v>45689</v>
      </c>
      <c r="O10">
        <v>18754354</v>
      </c>
      <c r="P10" t="s">
        <v>31</v>
      </c>
      <c r="Q10" t="s">
        <v>72</v>
      </c>
      <c r="R10">
        <v>8192</v>
      </c>
      <c r="S10" t="s">
        <v>33</v>
      </c>
      <c r="T10" t="s">
        <v>34</v>
      </c>
      <c r="U10">
        <v>401.5</v>
      </c>
      <c r="V10" t="s">
        <v>35</v>
      </c>
      <c r="W10" s="1">
        <v>45678</v>
      </c>
      <c r="X10">
        <v>2025</v>
      </c>
    </row>
    <row r="11" spans="1:24" x14ac:dyDescent="0.25">
      <c r="A11" s="1">
        <v>45692</v>
      </c>
      <c r="B11" t="s">
        <v>73</v>
      </c>
      <c r="C11">
        <v>102142297000</v>
      </c>
      <c r="E11" t="s">
        <v>74</v>
      </c>
      <c r="F11" t="s">
        <v>61</v>
      </c>
      <c r="G11" t="s">
        <v>27</v>
      </c>
      <c r="H11" t="s">
        <v>28</v>
      </c>
      <c r="I11" t="s">
        <v>62</v>
      </c>
      <c r="J11" t="s">
        <v>75</v>
      </c>
      <c r="L11" s="1">
        <v>45689</v>
      </c>
      <c r="M11" s="1">
        <v>45689</v>
      </c>
      <c r="O11">
        <v>16865615</v>
      </c>
      <c r="P11" t="s">
        <v>31</v>
      </c>
      <c r="Q11" t="s">
        <v>76</v>
      </c>
      <c r="R11">
        <v>8192</v>
      </c>
      <c r="S11" t="s">
        <v>33</v>
      </c>
      <c r="T11" t="s">
        <v>34</v>
      </c>
      <c r="U11">
        <v>401.5</v>
      </c>
      <c r="V11" t="s">
        <v>35</v>
      </c>
      <c r="W11" s="1">
        <v>45678</v>
      </c>
      <c r="X11">
        <v>2025</v>
      </c>
    </row>
    <row r="12" spans="1:24" x14ac:dyDescent="0.25">
      <c r="A12" s="1">
        <v>45692</v>
      </c>
      <c r="B12" t="s">
        <v>77</v>
      </c>
      <c r="C12">
        <v>102141815600</v>
      </c>
      <c r="E12" t="s">
        <v>78</v>
      </c>
      <c r="F12" t="s">
        <v>26</v>
      </c>
      <c r="G12" t="s">
        <v>27</v>
      </c>
      <c r="H12" t="s">
        <v>28</v>
      </c>
      <c r="I12" t="s">
        <v>38</v>
      </c>
      <c r="J12" t="s">
        <v>39</v>
      </c>
      <c r="L12" s="1">
        <v>45689</v>
      </c>
      <c r="M12" s="1">
        <v>45689</v>
      </c>
      <c r="O12">
        <v>16633294</v>
      </c>
      <c r="P12" t="s">
        <v>31</v>
      </c>
      <c r="Q12" t="s">
        <v>79</v>
      </c>
      <c r="R12">
        <v>8192</v>
      </c>
      <c r="S12" t="s">
        <v>33</v>
      </c>
      <c r="T12" t="s">
        <v>34</v>
      </c>
      <c r="U12">
        <v>401.5</v>
      </c>
      <c r="V12" t="s">
        <v>35</v>
      </c>
      <c r="W12" s="1">
        <v>45677</v>
      </c>
      <c r="X12">
        <v>2025</v>
      </c>
    </row>
    <row r="13" spans="1:24" x14ac:dyDescent="0.25">
      <c r="A13" s="1">
        <v>45692</v>
      </c>
      <c r="B13" t="s">
        <v>80</v>
      </c>
      <c r="C13">
        <v>102142380900</v>
      </c>
      <c r="E13" t="s">
        <v>81</v>
      </c>
      <c r="F13" t="s">
        <v>82</v>
      </c>
      <c r="G13" t="s">
        <v>27</v>
      </c>
      <c r="H13" t="s">
        <v>28</v>
      </c>
      <c r="I13" t="s">
        <v>83</v>
      </c>
      <c r="J13" t="s">
        <v>84</v>
      </c>
      <c r="L13" s="1">
        <v>45689</v>
      </c>
      <c r="M13" s="1">
        <v>45689</v>
      </c>
      <c r="O13">
        <v>17886092</v>
      </c>
      <c r="P13" t="s">
        <v>31</v>
      </c>
      <c r="Q13" t="s">
        <v>85</v>
      </c>
      <c r="R13">
        <v>8192</v>
      </c>
      <c r="S13" t="s">
        <v>33</v>
      </c>
      <c r="T13" t="s">
        <v>34</v>
      </c>
      <c r="U13">
        <v>36.67</v>
      </c>
      <c r="V13" t="s">
        <v>35</v>
      </c>
      <c r="W13" s="1">
        <v>45678</v>
      </c>
      <c r="X13">
        <v>2025</v>
      </c>
    </row>
    <row r="14" spans="1:24" x14ac:dyDescent="0.25">
      <c r="A14" s="1">
        <v>45692</v>
      </c>
      <c r="B14" t="s">
        <v>86</v>
      </c>
      <c r="C14">
        <v>102142338300</v>
      </c>
      <c r="E14" t="s">
        <v>87</v>
      </c>
      <c r="F14" t="s">
        <v>82</v>
      </c>
      <c r="G14" t="s">
        <v>27</v>
      </c>
      <c r="H14" t="s">
        <v>28</v>
      </c>
      <c r="I14" t="s">
        <v>83</v>
      </c>
      <c r="J14" t="s">
        <v>84</v>
      </c>
      <c r="L14" s="1">
        <v>45689</v>
      </c>
      <c r="M14" s="1">
        <v>45689</v>
      </c>
      <c r="O14">
        <v>17886092</v>
      </c>
      <c r="P14" t="s">
        <v>31</v>
      </c>
      <c r="Q14" t="s">
        <v>85</v>
      </c>
      <c r="R14">
        <v>8192</v>
      </c>
      <c r="S14" t="s">
        <v>33</v>
      </c>
      <c r="T14" t="s">
        <v>34</v>
      </c>
      <c r="U14">
        <v>36.67</v>
      </c>
      <c r="V14" t="s">
        <v>35</v>
      </c>
      <c r="W14" s="1">
        <v>45678</v>
      </c>
      <c r="X14">
        <v>2025</v>
      </c>
    </row>
    <row r="15" spans="1:24" x14ac:dyDescent="0.25">
      <c r="A15" s="1">
        <v>45692</v>
      </c>
      <c r="B15" t="s">
        <v>88</v>
      </c>
      <c r="C15">
        <v>102082153100</v>
      </c>
      <c r="E15" t="s">
        <v>89</v>
      </c>
      <c r="F15" t="s">
        <v>90</v>
      </c>
      <c r="G15" t="s">
        <v>27</v>
      </c>
      <c r="H15" t="s">
        <v>28</v>
      </c>
      <c r="I15" t="s">
        <v>91</v>
      </c>
      <c r="J15" t="s">
        <v>92</v>
      </c>
      <c r="L15" s="1">
        <v>45689</v>
      </c>
      <c r="M15" s="1">
        <v>45689</v>
      </c>
      <c r="O15">
        <v>16865615</v>
      </c>
      <c r="P15" t="s">
        <v>31</v>
      </c>
      <c r="Q15" t="s">
        <v>76</v>
      </c>
      <c r="R15">
        <v>8192</v>
      </c>
      <c r="S15" t="s">
        <v>33</v>
      </c>
      <c r="T15" t="s">
        <v>34</v>
      </c>
      <c r="U15">
        <v>481.25</v>
      </c>
      <c r="V15" t="s">
        <v>35</v>
      </c>
      <c r="W15" s="1">
        <v>45672</v>
      </c>
      <c r="X15">
        <v>2025</v>
      </c>
    </row>
    <row r="16" spans="1:24" x14ac:dyDescent="0.25">
      <c r="A16" s="1">
        <v>45692</v>
      </c>
      <c r="B16" t="s">
        <v>93</v>
      </c>
      <c r="C16">
        <v>101936905100</v>
      </c>
      <c r="E16" t="s">
        <v>94</v>
      </c>
      <c r="F16" t="s">
        <v>49</v>
      </c>
      <c r="G16" t="s">
        <v>95</v>
      </c>
      <c r="H16" t="s">
        <v>28</v>
      </c>
      <c r="I16" t="s">
        <v>51</v>
      </c>
      <c r="J16" t="s">
        <v>54</v>
      </c>
      <c r="L16" s="1">
        <v>45658</v>
      </c>
      <c r="M16" s="1">
        <v>45658</v>
      </c>
      <c r="N16" s="1">
        <v>45688</v>
      </c>
      <c r="O16">
        <v>16202925</v>
      </c>
      <c r="P16" t="s">
        <v>31</v>
      </c>
      <c r="Q16" t="s">
        <v>96</v>
      </c>
      <c r="R16">
        <v>8192</v>
      </c>
      <c r="S16" t="s">
        <v>33</v>
      </c>
      <c r="T16" t="s">
        <v>34</v>
      </c>
      <c r="U16">
        <v>-438</v>
      </c>
      <c r="V16" t="s">
        <v>35</v>
      </c>
      <c r="W16" s="1">
        <v>45596</v>
      </c>
      <c r="X16">
        <v>2025</v>
      </c>
    </row>
    <row r="17" spans="1:24" x14ac:dyDescent="0.25">
      <c r="A17" s="1">
        <v>45692</v>
      </c>
      <c r="B17" t="s">
        <v>97</v>
      </c>
      <c r="C17" t="s">
        <v>98</v>
      </c>
      <c r="E17" t="s">
        <v>99</v>
      </c>
      <c r="F17" t="s">
        <v>82</v>
      </c>
      <c r="G17" t="s">
        <v>100</v>
      </c>
      <c r="H17" t="s">
        <v>101</v>
      </c>
      <c r="J17" t="s">
        <v>102</v>
      </c>
      <c r="L17" s="1">
        <v>45658</v>
      </c>
      <c r="M17" s="1">
        <v>45658</v>
      </c>
      <c r="N17" s="1">
        <v>45658</v>
      </c>
      <c r="O17">
        <v>17886092</v>
      </c>
      <c r="P17" t="s">
        <v>31</v>
      </c>
      <c r="Q17" t="s">
        <v>85</v>
      </c>
      <c r="R17">
        <v>8192</v>
      </c>
      <c r="S17" t="s">
        <v>103</v>
      </c>
      <c r="T17" t="s">
        <v>34</v>
      </c>
      <c r="U17">
        <v>-0.08</v>
      </c>
      <c r="V17" t="s">
        <v>35</v>
      </c>
      <c r="W17" s="1">
        <v>45251</v>
      </c>
      <c r="X17">
        <v>2025</v>
      </c>
    </row>
    <row r="18" spans="1:24" x14ac:dyDescent="0.25">
      <c r="A18" s="1">
        <v>45692</v>
      </c>
      <c r="B18" t="s">
        <v>104</v>
      </c>
      <c r="C18">
        <v>101068686100</v>
      </c>
      <c r="E18" t="s">
        <v>105</v>
      </c>
      <c r="F18" t="s">
        <v>82</v>
      </c>
      <c r="G18" t="s">
        <v>27</v>
      </c>
      <c r="H18" t="s">
        <v>28</v>
      </c>
      <c r="I18" t="s">
        <v>83</v>
      </c>
      <c r="J18" t="s">
        <v>106</v>
      </c>
      <c r="L18" s="1">
        <v>45689</v>
      </c>
      <c r="M18" s="1">
        <v>45689</v>
      </c>
      <c r="O18">
        <v>17528908</v>
      </c>
      <c r="P18" t="s">
        <v>31</v>
      </c>
      <c r="Q18" t="s">
        <v>107</v>
      </c>
      <c r="R18">
        <v>8192</v>
      </c>
      <c r="S18" t="s">
        <v>33</v>
      </c>
      <c r="T18" t="s">
        <v>34</v>
      </c>
      <c r="U18">
        <v>438.17</v>
      </c>
      <c r="V18" t="s">
        <v>35</v>
      </c>
      <c r="W18" s="1">
        <v>45666</v>
      </c>
      <c r="X18">
        <v>2025</v>
      </c>
    </row>
    <row r="19" spans="1:24" x14ac:dyDescent="0.25">
      <c r="A19" s="1">
        <v>45692</v>
      </c>
      <c r="B19" t="s">
        <v>108</v>
      </c>
      <c r="C19">
        <v>102110099600</v>
      </c>
      <c r="E19" t="s">
        <v>109</v>
      </c>
      <c r="F19" t="s">
        <v>43</v>
      </c>
      <c r="G19" t="s">
        <v>95</v>
      </c>
      <c r="H19" t="s">
        <v>28</v>
      </c>
      <c r="I19" t="s">
        <v>44</v>
      </c>
      <c r="J19" t="s">
        <v>110</v>
      </c>
      <c r="L19" s="1">
        <v>45658</v>
      </c>
      <c r="M19" s="1">
        <v>45658</v>
      </c>
      <c r="N19" s="1">
        <v>45688</v>
      </c>
      <c r="O19">
        <v>18935660</v>
      </c>
      <c r="P19" t="s">
        <v>31</v>
      </c>
      <c r="Q19" t="s">
        <v>32</v>
      </c>
      <c r="R19">
        <v>8192</v>
      </c>
      <c r="S19" t="s">
        <v>33</v>
      </c>
      <c r="T19" t="s">
        <v>34</v>
      </c>
      <c r="U19">
        <v>-438</v>
      </c>
      <c r="V19" t="s">
        <v>35</v>
      </c>
      <c r="W19" s="1">
        <v>45626</v>
      </c>
      <c r="X19">
        <v>2025</v>
      </c>
    </row>
    <row r="20" spans="1:24" x14ac:dyDescent="0.25">
      <c r="A20" s="1">
        <v>45692</v>
      </c>
      <c r="B20" t="s">
        <v>111</v>
      </c>
      <c r="C20">
        <v>102112669400</v>
      </c>
      <c r="E20" t="s">
        <v>112</v>
      </c>
      <c r="F20" t="s">
        <v>82</v>
      </c>
      <c r="G20" t="s">
        <v>113</v>
      </c>
      <c r="H20" t="s">
        <v>28</v>
      </c>
      <c r="I20" t="s">
        <v>83</v>
      </c>
      <c r="J20" t="s">
        <v>114</v>
      </c>
      <c r="L20" s="1">
        <v>45689</v>
      </c>
      <c r="M20" s="1">
        <v>45689</v>
      </c>
      <c r="N20" s="1">
        <v>45689</v>
      </c>
      <c r="O20">
        <v>17886092</v>
      </c>
      <c r="P20" t="s">
        <v>31</v>
      </c>
      <c r="Q20" t="s">
        <v>85</v>
      </c>
      <c r="R20">
        <v>8192</v>
      </c>
      <c r="S20" t="s">
        <v>33</v>
      </c>
      <c r="T20" t="s">
        <v>34</v>
      </c>
      <c r="U20">
        <v>-40</v>
      </c>
      <c r="V20" t="s">
        <v>115</v>
      </c>
      <c r="W20" s="1">
        <v>45629</v>
      </c>
      <c r="X20">
        <v>2025</v>
      </c>
    </row>
    <row r="21" spans="1:24" x14ac:dyDescent="0.25">
      <c r="A21" s="1">
        <v>45692</v>
      </c>
      <c r="B21" t="s">
        <v>116</v>
      </c>
      <c r="C21">
        <v>102141040100</v>
      </c>
      <c r="E21" t="s">
        <v>117</v>
      </c>
      <c r="F21" t="s">
        <v>43</v>
      </c>
      <c r="G21" t="s">
        <v>27</v>
      </c>
      <c r="H21" t="s">
        <v>28</v>
      </c>
      <c r="I21" t="s">
        <v>44</v>
      </c>
      <c r="J21" t="s">
        <v>118</v>
      </c>
      <c r="L21" s="1">
        <v>45717</v>
      </c>
      <c r="M21" s="1">
        <v>45717</v>
      </c>
      <c r="O21">
        <v>19645587</v>
      </c>
      <c r="P21" t="s">
        <v>31</v>
      </c>
      <c r="Q21" t="s">
        <v>119</v>
      </c>
      <c r="R21">
        <v>8192</v>
      </c>
      <c r="S21" t="s">
        <v>33</v>
      </c>
      <c r="T21" t="s">
        <v>34</v>
      </c>
      <c r="U21">
        <v>365</v>
      </c>
      <c r="V21" t="s">
        <v>35</v>
      </c>
      <c r="W21" s="1">
        <v>45673</v>
      </c>
      <c r="X21">
        <v>2025</v>
      </c>
    </row>
    <row r="22" spans="1:24" x14ac:dyDescent="0.25">
      <c r="A22" s="1">
        <v>45692</v>
      </c>
      <c r="B22" t="s">
        <v>120</v>
      </c>
      <c r="C22">
        <v>101778770300</v>
      </c>
      <c r="E22" t="s">
        <v>121</v>
      </c>
      <c r="F22" t="s">
        <v>82</v>
      </c>
      <c r="G22" t="s">
        <v>100</v>
      </c>
      <c r="H22" t="s">
        <v>28</v>
      </c>
      <c r="I22" t="s">
        <v>83</v>
      </c>
      <c r="J22" t="s">
        <v>122</v>
      </c>
      <c r="L22" s="1">
        <v>45566</v>
      </c>
      <c r="M22" s="1">
        <v>45231</v>
      </c>
      <c r="N22" s="1">
        <v>45535</v>
      </c>
      <c r="O22">
        <v>17528908</v>
      </c>
      <c r="P22" t="s">
        <v>31</v>
      </c>
      <c r="Q22" t="s">
        <v>107</v>
      </c>
      <c r="R22">
        <v>8192</v>
      </c>
      <c r="S22" t="s">
        <v>103</v>
      </c>
      <c r="T22" t="s">
        <v>34</v>
      </c>
      <c r="U22">
        <v>-31.25</v>
      </c>
      <c r="V22" t="s">
        <v>35</v>
      </c>
      <c r="W22" s="1">
        <v>45213</v>
      </c>
      <c r="X22">
        <v>2025</v>
      </c>
    </row>
    <row r="23" spans="1:24" x14ac:dyDescent="0.25">
      <c r="A23" s="1">
        <v>45692</v>
      </c>
      <c r="B23" t="s">
        <v>120</v>
      </c>
      <c r="C23">
        <v>101778770300</v>
      </c>
      <c r="E23" t="s">
        <v>121</v>
      </c>
      <c r="F23" t="s">
        <v>82</v>
      </c>
      <c r="G23" t="s">
        <v>100</v>
      </c>
      <c r="H23" t="s">
        <v>28</v>
      </c>
      <c r="I23" t="s">
        <v>83</v>
      </c>
      <c r="J23" t="s">
        <v>122</v>
      </c>
      <c r="L23" s="1">
        <v>45627</v>
      </c>
      <c r="M23" s="1">
        <v>45231</v>
      </c>
      <c r="N23" s="1">
        <v>45535</v>
      </c>
      <c r="O23">
        <v>17528908</v>
      </c>
      <c r="P23" t="s">
        <v>31</v>
      </c>
      <c r="Q23" t="s">
        <v>107</v>
      </c>
      <c r="R23">
        <v>8192</v>
      </c>
      <c r="S23" t="s">
        <v>103</v>
      </c>
      <c r="T23" t="s">
        <v>34</v>
      </c>
      <c r="U23">
        <v>-31.25</v>
      </c>
      <c r="V23" t="s">
        <v>35</v>
      </c>
      <c r="W23" s="1">
        <v>45213</v>
      </c>
      <c r="X23">
        <v>2025</v>
      </c>
    </row>
    <row r="24" spans="1:24" x14ac:dyDescent="0.25">
      <c r="A24" s="1">
        <v>45692</v>
      </c>
      <c r="B24" t="s">
        <v>120</v>
      </c>
      <c r="C24">
        <v>101778770300</v>
      </c>
      <c r="E24" t="s">
        <v>121</v>
      </c>
      <c r="F24" t="s">
        <v>82</v>
      </c>
      <c r="G24" t="s">
        <v>100</v>
      </c>
      <c r="H24" t="s">
        <v>28</v>
      </c>
      <c r="I24" t="s">
        <v>83</v>
      </c>
      <c r="J24" t="s">
        <v>122</v>
      </c>
      <c r="L24" s="1">
        <v>45536</v>
      </c>
      <c r="M24" s="1">
        <v>45231</v>
      </c>
      <c r="N24" s="1">
        <v>45535</v>
      </c>
      <c r="O24">
        <v>17528908</v>
      </c>
      <c r="P24" t="s">
        <v>31</v>
      </c>
      <c r="Q24" t="s">
        <v>107</v>
      </c>
      <c r="R24">
        <v>8192</v>
      </c>
      <c r="S24" t="s">
        <v>103</v>
      </c>
      <c r="T24" t="s">
        <v>34</v>
      </c>
      <c r="U24">
        <v>-31.25</v>
      </c>
      <c r="V24" t="s">
        <v>35</v>
      </c>
      <c r="W24" s="1">
        <v>45213</v>
      </c>
      <c r="X24">
        <v>2025</v>
      </c>
    </row>
    <row r="25" spans="1:24" x14ac:dyDescent="0.25">
      <c r="A25" s="1">
        <v>45692</v>
      </c>
      <c r="B25" t="s">
        <v>120</v>
      </c>
      <c r="C25">
        <v>101778770300</v>
      </c>
      <c r="E25" t="s">
        <v>121</v>
      </c>
      <c r="F25" t="s">
        <v>82</v>
      </c>
      <c r="G25" t="s">
        <v>100</v>
      </c>
      <c r="H25" t="s">
        <v>28</v>
      </c>
      <c r="I25" t="s">
        <v>83</v>
      </c>
      <c r="J25" t="s">
        <v>122</v>
      </c>
      <c r="L25" s="1">
        <v>45658</v>
      </c>
      <c r="M25" s="1">
        <v>45231</v>
      </c>
      <c r="N25" s="1">
        <v>45535</v>
      </c>
      <c r="O25">
        <v>17528908</v>
      </c>
      <c r="P25" t="s">
        <v>31</v>
      </c>
      <c r="Q25" t="s">
        <v>107</v>
      </c>
      <c r="R25">
        <v>8192</v>
      </c>
      <c r="S25" t="s">
        <v>103</v>
      </c>
      <c r="T25" t="s">
        <v>34</v>
      </c>
      <c r="U25">
        <v>-31.92</v>
      </c>
      <c r="V25" t="s">
        <v>35</v>
      </c>
      <c r="W25" s="1">
        <v>45213</v>
      </c>
      <c r="X25">
        <v>2025</v>
      </c>
    </row>
    <row r="26" spans="1:24" x14ac:dyDescent="0.25">
      <c r="A26" s="1">
        <v>45692</v>
      </c>
      <c r="B26" t="s">
        <v>120</v>
      </c>
      <c r="C26">
        <v>101778770300</v>
      </c>
      <c r="E26" t="s">
        <v>121</v>
      </c>
      <c r="F26" t="s">
        <v>82</v>
      </c>
      <c r="G26" t="s">
        <v>100</v>
      </c>
      <c r="H26" t="s">
        <v>28</v>
      </c>
      <c r="I26" t="s">
        <v>83</v>
      </c>
      <c r="J26" t="s">
        <v>122</v>
      </c>
      <c r="L26" s="1">
        <v>45597</v>
      </c>
      <c r="M26" s="1">
        <v>45231</v>
      </c>
      <c r="N26" s="1">
        <v>45535</v>
      </c>
      <c r="O26">
        <v>17528908</v>
      </c>
      <c r="P26" t="s">
        <v>31</v>
      </c>
      <c r="Q26" t="s">
        <v>107</v>
      </c>
      <c r="R26">
        <v>8192</v>
      </c>
      <c r="S26" t="s">
        <v>103</v>
      </c>
      <c r="T26" t="s">
        <v>34</v>
      </c>
      <c r="U26">
        <v>-31.25</v>
      </c>
      <c r="V26" t="s">
        <v>35</v>
      </c>
      <c r="W26" s="1">
        <v>45213</v>
      </c>
      <c r="X26">
        <v>2025</v>
      </c>
    </row>
    <row r="29" spans="1:24" x14ac:dyDescent="0.25">
      <c r="A29" t="s">
        <v>123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4CC5-8F38-6C40-8A7D-F4FA43B168E8}">
  <dimension ref="A1:Q40"/>
  <sheetViews>
    <sheetView tabSelected="1" topLeftCell="D1" workbookViewId="0">
      <selection activeCell="Q10" sqref="Q10"/>
    </sheetView>
  </sheetViews>
  <sheetFormatPr defaultColWidth="10.875" defaultRowHeight="15.75" x14ac:dyDescent="0.25"/>
  <cols>
    <col min="2" max="2" width="15.625" bestFit="1" customWidth="1"/>
    <col min="3" max="3" width="15.625" customWidth="1"/>
    <col min="4" max="4" width="19.5" bestFit="1" customWidth="1"/>
    <col min="6" max="6" width="24.125" bestFit="1" customWidth="1"/>
    <col min="11" max="11" width="25" bestFit="1" customWidth="1"/>
    <col min="16" max="16" width="26" bestFit="1" customWidth="1"/>
  </cols>
  <sheetData>
    <row r="1" spans="1:17" x14ac:dyDescent="0.25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14</v>
      </c>
      <c r="K1" t="s">
        <v>16</v>
      </c>
      <c r="L1" t="s">
        <v>18</v>
      </c>
      <c r="M1" t="s">
        <v>19</v>
      </c>
      <c r="N1" t="s">
        <v>20</v>
      </c>
    </row>
    <row r="2" spans="1:17" x14ac:dyDescent="0.25">
      <c r="A2" s="1">
        <v>45692</v>
      </c>
      <c r="B2" t="s">
        <v>55</v>
      </c>
      <c r="C2" t="str">
        <f>CONCATENATE(B2,8)</f>
        <v>3VC6T80JU748</v>
      </c>
      <c r="D2" t="s">
        <v>184</v>
      </c>
      <c r="E2" t="s">
        <v>26</v>
      </c>
      <c r="F2" t="s">
        <v>27</v>
      </c>
      <c r="G2" t="s">
        <v>28</v>
      </c>
      <c r="H2" s="1">
        <v>45717</v>
      </c>
      <c r="I2" s="1">
        <v>45689</v>
      </c>
      <c r="J2">
        <v>8405446</v>
      </c>
      <c r="K2" t="s">
        <v>58</v>
      </c>
      <c r="L2" t="s">
        <v>33</v>
      </c>
      <c r="M2" t="s">
        <v>34</v>
      </c>
      <c r="N2">
        <v>401.5</v>
      </c>
      <c r="O2">
        <v>313</v>
      </c>
      <c r="P2" t="s">
        <v>124</v>
      </c>
      <c r="Q2" s="3" t="s">
        <v>130</v>
      </c>
    </row>
    <row r="3" spans="1:17" x14ac:dyDescent="0.25">
      <c r="A3" s="1">
        <v>45692</v>
      </c>
      <c r="B3" t="s">
        <v>59</v>
      </c>
      <c r="C3" t="str">
        <f>CONCATENATE(B3,8)</f>
        <v>5T27UR5WA718</v>
      </c>
      <c r="D3" t="s">
        <v>185</v>
      </c>
      <c r="E3" t="s">
        <v>61</v>
      </c>
      <c r="F3" t="s">
        <v>27</v>
      </c>
      <c r="G3" t="s">
        <v>28</v>
      </c>
      <c r="H3" s="1">
        <v>45717</v>
      </c>
      <c r="I3" s="1">
        <v>45689</v>
      </c>
      <c r="J3">
        <v>1706194</v>
      </c>
      <c r="K3" t="s">
        <v>46</v>
      </c>
      <c r="L3" t="s">
        <v>33</v>
      </c>
      <c r="M3" t="s">
        <v>34</v>
      </c>
      <c r="N3">
        <v>401.5</v>
      </c>
      <c r="O3">
        <v>313</v>
      </c>
      <c r="P3" t="s">
        <v>124</v>
      </c>
      <c r="Q3" s="3" t="s">
        <v>130</v>
      </c>
    </row>
    <row r="4" spans="1:17" x14ac:dyDescent="0.25">
      <c r="A4" s="1">
        <v>45692</v>
      </c>
      <c r="B4" t="s">
        <v>59</v>
      </c>
      <c r="C4" t="str">
        <f>CONCATENATE(B4,88)</f>
        <v>5T27UR5WA7188</v>
      </c>
      <c r="D4" t="s">
        <v>185</v>
      </c>
      <c r="E4" t="s">
        <v>61</v>
      </c>
      <c r="F4" t="s">
        <v>27</v>
      </c>
      <c r="G4" t="s">
        <v>28</v>
      </c>
      <c r="H4" s="1">
        <v>45717</v>
      </c>
      <c r="I4" s="1">
        <v>45689</v>
      </c>
      <c r="J4">
        <v>20411454</v>
      </c>
      <c r="K4" t="s">
        <v>193</v>
      </c>
      <c r="L4" t="s">
        <v>33</v>
      </c>
      <c r="M4" t="s">
        <v>34</v>
      </c>
      <c r="N4">
        <v>401.5</v>
      </c>
      <c r="O4">
        <v>88.5</v>
      </c>
      <c r="P4" t="s">
        <v>125</v>
      </c>
    </row>
    <row r="5" spans="1:17" x14ac:dyDescent="0.25">
      <c r="A5" s="1">
        <v>45692</v>
      </c>
      <c r="B5" t="s">
        <v>116</v>
      </c>
      <c r="C5" t="str">
        <f>CONCATENATE(B5,8)</f>
        <v>6G72U93PE008</v>
      </c>
      <c r="D5" t="s">
        <v>192</v>
      </c>
      <c r="E5" t="s">
        <v>43</v>
      </c>
      <c r="F5" t="s">
        <v>27</v>
      </c>
      <c r="G5" t="s">
        <v>28</v>
      </c>
      <c r="H5" s="1">
        <v>45748</v>
      </c>
      <c r="I5" s="1">
        <v>45717</v>
      </c>
      <c r="J5">
        <v>19645587</v>
      </c>
      <c r="K5" t="s">
        <v>119</v>
      </c>
      <c r="L5" t="s">
        <v>33</v>
      </c>
      <c r="M5" t="s">
        <v>34</v>
      </c>
      <c r="N5">
        <v>365</v>
      </c>
      <c r="O5">
        <v>313</v>
      </c>
      <c r="P5" t="s">
        <v>124</v>
      </c>
      <c r="Q5" s="3" t="s">
        <v>130</v>
      </c>
    </row>
    <row r="6" spans="1:17" x14ac:dyDescent="0.25">
      <c r="A6" s="1">
        <v>45692</v>
      </c>
      <c r="B6" t="s">
        <v>116</v>
      </c>
      <c r="C6" t="str">
        <f>CONCATENATE(B6,88)</f>
        <v>6G72U93PE0088</v>
      </c>
      <c r="D6" t="s">
        <v>192</v>
      </c>
      <c r="E6" t="s">
        <v>43</v>
      </c>
      <c r="F6" t="s">
        <v>27</v>
      </c>
      <c r="G6" t="s">
        <v>28</v>
      </c>
      <c r="H6" s="1">
        <v>45748</v>
      </c>
      <c r="I6" s="1">
        <v>45717</v>
      </c>
      <c r="J6">
        <v>20411454</v>
      </c>
      <c r="K6" t="s">
        <v>193</v>
      </c>
      <c r="L6" t="s">
        <v>33</v>
      </c>
      <c r="M6" t="s">
        <v>34</v>
      </c>
      <c r="N6">
        <v>365</v>
      </c>
      <c r="O6">
        <f>365-313</f>
        <v>52</v>
      </c>
      <c r="P6" t="s">
        <v>125</v>
      </c>
    </row>
    <row r="7" spans="1:17" x14ac:dyDescent="0.25">
      <c r="A7" s="1">
        <v>45692</v>
      </c>
      <c r="B7" t="s">
        <v>70</v>
      </c>
      <c r="C7" t="str">
        <f>CONCATENATE(B7,8)</f>
        <v>1NR0A30PJ098</v>
      </c>
      <c r="D7" t="s">
        <v>187</v>
      </c>
      <c r="E7" t="s">
        <v>26</v>
      </c>
      <c r="F7" t="s">
        <v>27</v>
      </c>
      <c r="G7" t="s">
        <v>28</v>
      </c>
      <c r="H7" s="1">
        <v>45717</v>
      </c>
      <c r="I7" s="1">
        <v>45689</v>
      </c>
      <c r="J7">
        <v>18754354</v>
      </c>
      <c r="K7" t="s">
        <v>72</v>
      </c>
      <c r="L7" t="s">
        <v>33</v>
      </c>
      <c r="M7" t="s">
        <v>34</v>
      </c>
      <c r="N7">
        <v>401.5</v>
      </c>
      <c r="O7">
        <v>313</v>
      </c>
      <c r="P7" t="s">
        <v>124</v>
      </c>
      <c r="Q7" s="3" t="s">
        <v>130</v>
      </c>
    </row>
    <row r="8" spans="1:17" x14ac:dyDescent="0.25">
      <c r="A8" s="1">
        <v>45692</v>
      </c>
      <c r="B8" t="s">
        <v>70</v>
      </c>
      <c r="C8" t="str">
        <f>CONCATENATE(B8,88)</f>
        <v>1NR0A30PJ0988</v>
      </c>
      <c r="D8" t="s">
        <v>187</v>
      </c>
      <c r="E8" t="s">
        <v>26</v>
      </c>
      <c r="F8" t="s">
        <v>27</v>
      </c>
      <c r="G8" t="s">
        <v>28</v>
      </c>
      <c r="H8" s="1">
        <v>45717</v>
      </c>
      <c r="I8" s="1">
        <v>45689</v>
      </c>
      <c r="J8">
        <v>20411454</v>
      </c>
      <c r="K8" t="s">
        <v>193</v>
      </c>
      <c r="L8" t="s">
        <v>33</v>
      </c>
      <c r="M8" t="s">
        <v>34</v>
      </c>
      <c r="N8">
        <v>401.5</v>
      </c>
      <c r="O8">
        <v>88.5</v>
      </c>
      <c r="P8" t="s">
        <v>125</v>
      </c>
    </row>
    <row r="9" spans="1:17" x14ac:dyDescent="0.25">
      <c r="A9" s="1">
        <v>45692</v>
      </c>
      <c r="B9" t="s">
        <v>80</v>
      </c>
      <c r="C9" t="str">
        <f>CONCATENATE(B9,88)</f>
        <v>4XY3P72XC1988</v>
      </c>
      <c r="D9" t="s">
        <v>178</v>
      </c>
      <c r="E9" t="s">
        <v>82</v>
      </c>
      <c r="F9" t="s">
        <v>27</v>
      </c>
      <c r="G9" t="s">
        <v>28</v>
      </c>
      <c r="H9" s="1">
        <v>45717</v>
      </c>
      <c r="I9" s="1">
        <v>45689</v>
      </c>
      <c r="J9">
        <v>20411454</v>
      </c>
      <c r="K9" t="s">
        <v>193</v>
      </c>
      <c r="L9" t="s">
        <v>33</v>
      </c>
      <c r="M9" t="s">
        <v>34</v>
      </c>
      <c r="N9">
        <v>36.67</v>
      </c>
      <c r="O9">
        <v>36.67</v>
      </c>
      <c r="P9" t="s">
        <v>125</v>
      </c>
    </row>
    <row r="10" spans="1:17" x14ac:dyDescent="0.25">
      <c r="A10" s="1">
        <v>45692</v>
      </c>
      <c r="B10" t="s">
        <v>88</v>
      </c>
      <c r="C10" t="str">
        <f>CONCATENATE(B10,8)</f>
        <v>8QR4UV1CH508</v>
      </c>
      <c r="D10" t="s">
        <v>190</v>
      </c>
      <c r="E10" t="s">
        <v>90</v>
      </c>
      <c r="F10" t="s">
        <v>27</v>
      </c>
      <c r="G10" t="s">
        <v>28</v>
      </c>
      <c r="H10" s="1">
        <v>45717</v>
      </c>
      <c r="I10" s="1">
        <v>45689</v>
      </c>
      <c r="J10">
        <v>16865615</v>
      </c>
      <c r="K10" t="s">
        <v>76</v>
      </c>
      <c r="L10" t="s">
        <v>33</v>
      </c>
      <c r="M10" t="s">
        <v>34</v>
      </c>
      <c r="N10">
        <v>481.25</v>
      </c>
      <c r="O10">
        <v>390</v>
      </c>
      <c r="P10" t="s">
        <v>128</v>
      </c>
      <c r="Q10" s="3" t="s">
        <v>131</v>
      </c>
    </row>
    <row r="11" spans="1:17" x14ac:dyDescent="0.25">
      <c r="A11" s="1">
        <v>45692</v>
      </c>
      <c r="B11" t="s">
        <v>88</v>
      </c>
      <c r="C11" t="str">
        <f>CONCATENATE(B11,88)</f>
        <v>8QR4UV1CH5088</v>
      </c>
      <c r="D11" t="s">
        <v>190</v>
      </c>
      <c r="E11" t="s">
        <v>90</v>
      </c>
      <c r="F11" t="s">
        <v>27</v>
      </c>
      <c r="G11" t="s">
        <v>28</v>
      </c>
      <c r="H11" s="1">
        <v>45717</v>
      </c>
      <c r="I11" s="1">
        <v>45689</v>
      </c>
      <c r="J11">
        <v>20411454</v>
      </c>
      <c r="K11" t="s">
        <v>193</v>
      </c>
      <c r="L11" t="s">
        <v>33</v>
      </c>
      <c r="M11" t="s">
        <v>34</v>
      </c>
      <c r="N11">
        <v>481.25</v>
      </c>
      <c r="O11">
        <f>481.25-390</f>
        <v>91.25</v>
      </c>
      <c r="P11" t="s">
        <v>125</v>
      </c>
    </row>
    <row r="12" spans="1:17" x14ac:dyDescent="0.25">
      <c r="A12" s="1">
        <v>45692</v>
      </c>
      <c r="B12" t="s">
        <v>64</v>
      </c>
      <c r="C12" t="str">
        <f>CONCATENATE(B12,8)</f>
        <v>3KP3R00JM008</v>
      </c>
      <c r="D12" t="s">
        <v>186</v>
      </c>
      <c r="E12" t="s">
        <v>66</v>
      </c>
      <c r="F12" t="s">
        <v>27</v>
      </c>
      <c r="G12" t="s">
        <v>28</v>
      </c>
      <c r="H12" s="1">
        <v>45717</v>
      </c>
      <c r="I12" s="1">
        <v>45689</v>
      </c>
      <c r="J12">
        <v>19586992</v>
      </c>
      <c r="K12" t="s">
        <v>69</v>
      </c>
      <c r="L12" t="s">
        <v>33</v>
      </c>
      <c r="M12" t="s">
        <v>34</v>
      </c>
      <c r="N12">
        <v>401.5</v>
      </c>
      <c r="O12">
        <v>313</v>
      </c>
      <c r="P12" t="s">
        <v>124</v>
      </c>
      <c r="Q12" s="3" t="s">
        <v>130</v>
      </c>
    </row>
    <row r="13" spans="1:17" x14ac:dyDescent="0.25">
      <c r="A13" s="1">
        <v>45692</v>
      </c>
      <c r="B13" t="s">
        <v>64</v>
      </c>
      <c r="C13" t="str">
        <f>CONCATENATE(B13,88)</f>
        <v>3KP3R00JM0088</v>
      </c>
      <c r="D13" t="s">
        <v>186</v>
      </c>
      <c r="E13" t="s">
        <v>66</v>
      </c>
      <c r="F13" t="s">
        <v>27</v>
      </c>
      <c r="G13" t="s">
        <v>28</v>
      </c>
      <c r="H13" s="1">
        <v>45717</v>
      </c>
      <c r="I13" s="1">
        <v>45689</v>
      </c>
      <c r="J13">
        <v>20411454</v>
      </c>
      <c r="K13" t="s">
        <v>193</v>
      </c>
      <c r="L13" t="s">
        <v>33</v>
      </c>
      <c r="M13" t="s">
        <v>34</v>
      </c>
      <c r="N13">
        <v>401.5</v>
      </c>
      <c r="O13">
        <v>88.5</v>
      </c>
      <c r="P13" t="s">
        <v>125</v>
      </c>
    </row>
    <row r="14" spans="1:17" x14ac:dyDescent="0.25">
      <c r="A14" s="1">
        <v>45692</v>
      </c>
      <c r="B14" t="s">
        <v>73</v>
      </c>
      <c r="C14" t="str">
        <f>CONCATENATE(B14,8)</f>
        <v>7Y86YA5UN768</v>
      </c>
      <c r="D14" t="s">
        <v>188</v>
      </c>
      <c r="E14" t="s">
        <v>61</v>
      </c>
      <c r="F14" t="s">
        <v>27</v>
      </c>
      <c r="G14" t="s">
        <v>28</v>
      </c>
      <c r="H14" s="1">
        <v>45717</v>
      </c>
      <c r="I14" s="1">
        <v>45689</v>
      </c>
      <c r="J14">
        <v>16865615</v>
      </c>
      <c r="K14" t="s">
        <v>76</v>
      </c>
      <c r="L14" t="s">
        <v>33</v>
      </c>
      <c r="M14" t="s">
        <v>34</v>
      </c>
      <c r="N14">
        <v>401.5</v>
      </c>
      <c r="O14">
        <v>313</v>
      </c>
      <c r="P14" t="s">
        <v>124</v>
      </c>
      <c r="Q14" s="3" t="s">
        <v>130</v>
      </c>
    </row>
    <row r="15" spans="1:17" x14ac:dyDescent="0.25">
      <c r="A15" s="1">
        <v>45692</v>
      </c>
      <c r="B15" t="s">
        <v>73</v>
      </c>
      <c r="C15" t="str">
        <f>CONCATENATE(B15,88)</f>
        <v>7Y86YA5UN7688</v>
      </c>
      <c r="D15" t="s">
        <v>188</v>
      </c>
      <c r="E15" t="s">
        <v>61</v>
      </c>
      <c r="F15" t="s">
        <v>27</v>
      </c>
      <c r="G15" t="s">
        <v>28</v>
      </c>
      <c r="H15" s="1">
        <v>45717</v>
      </c>
      <c r="I15" s="1">
        <v>45689</v>
      </c>
      <c r="J15">
        <v>20411454</v>
      </c>
      <c r="K15" t="s">
        <v>193</v>
      </c>
      <c r="L15" t="s">
        <v>33</v>
      </c>
      <c r="M15" t="s">
        <v>34</v>
      </c>
      <c r="N15">
        <v>401.5</v>
      </c>
      <c r="O15">
        <v>88.5</v>
      </c>
      <c r="P15" t="s">
        <v>125</v>
      </c>
    </row>
    <row r="16" spans="1:17" x14ac:dyDescent="0.25">
      <c r="A16" s="1">
        <v>45692</v>
      </c>
      <c r="B16" t="s">
        <v>104</v>
      </c>
      <c r="C16" t="str">
        <f>CONCATENATE(B16,8)</f>
        <v>4RG8UV8NF508</v>
      </c>
      <c r="D16" t="s">
        <v>191</v>
      </c>
      <c r="E16" t="s">
        <v>82</v>
      </c>
      <c r="F16" t="s">
        <v>27</v>
      </c>
      <c r="G16" t="s">
        <v>28</v>
      </c>
      <c r="H16" s="1">
        <v>45717</v>
      </c>
      <c r="I16" s="1">
        <v>45689</v>
      </c>
      <c r="J16">
        <v>17528908</v>
      </c>
      <c r="K16" t="s">
        <v>107</v>
      </c>
      <c r="L16" t="s">
        <v>33</v>
      </c>
      <c r="M16" t="s">
        <v>34</v>
      </c>
      <c r="N16">
        <v>438.17</v>
      </c>
      <c r="O16">
        <v>353</v>
      </c>
      <c r="P16" t="s">
        <v>127</v>
      </c>
      <c r="Q16" s="3" t="s">
        <v>132</v>
      </c>
    </row>
    <row r="17" spans="1:17" x14ac:dyDescent="0.25">
      <c r="A17" s="1">
        <v>45692</v>
      </c>
      <c r="B17" t="s">
        <v>104</v>
      </c>
      <c r="C17" t="str">
        <f>CONCATENATE(B17,88)</f>
        <v>4RG8UV8NF5088</v>
      </c>
      <c r="D17" t="s">
        <v>191</v>
      </c>
      <c r="E17" t="s">
        <v>82</v>
      </c>
      <c r="F17" t="s">
        <v>27</v>
      </c>
      <c r="G17" t="s">
        <v>28</v>
      </c>
      <c r="H17" s="1">
        <v>45717</v>
      </c>
      <c r="I17" s="1">
        <v>45689</v>
      </c>
      <c r="J17">
        <v>20411454</v>
      </c>
      <c r="K17" t="s">
        <v>193</v>
      </c>
      <c r="L17" t="s">
        <v>33</v>
      </c>
      <c r="M17" t="s">
        <v>34</v>
      </c>
      <c r="N17">
        <v>438.17</v>
      </c>
      <c r="O17">
        <f>438.17-353</f>
        <v>85.170000000000016</v>
      </c>
      <c r="P17" t="s">
        <v>125</v>
      </c>
    </row>
    <row r="18" spans="1:17" x14ac:dyDescent="0.25">
      <c r="A18" s="1">
        <v>45692</v>
      </c>
      <c r="B18" t="s">
        <v>24</v>
      </c>
      <c r="C18" t="str">
        <f>CONCATENATE(B18,8)</f>
        <v>7TA2C33KT138</v>
      </c>
      <c r="D18" t="s">
        <v>181</v>
      </c>
      <c r="E18" t="s">
        <v>26</v>
      </c>
      <c r="F18" t="s">
        <v>27</v>
      </c>
      <c r="G18" t="s">
        <v>28</v>
      </c>
      <c r="H18" s="1">
        <v>45717</v>
      </c>
      <c r="I18" s="1">
        <v>45689</v>
      </c>
      <c r="J18">
        <v>18935660</v>
      </c>
      <c r="K18" t="s">
        <v>32</v>
      </c>
      <c r="L18" t="s">
        <v>33</v>
      </c>
      <c r="M18" t="s">
        <v>34</v>
      </c>
      <c r="N18">
        <v>401.5</v>
      </c>
      <c r="O18">
        <v>313</v>
      </c>
      <c r="P18" t="s">
        <v>124</v>
      </c>
      <c r="Q18" s="3" t="s">
        <v>130</v>
      </c>
    </row>
    <row r="19" spans="1:17" x14ac:dyDescent="0.25">
      <c r="A19" s="1">
        <v>45692</v>
      </c>
      <c r="B19" t="s">
        <v>24</v>
      </c>
      <c r="C19" t="str">
        <f>CONCATENATE(B19,88)</f>
        <v>7TA2C33KT1388</v>
      </c>
      <c r="D19" t="s">
        <v>181</v>
      </c>
      <c r="E19" t="s">
        <v>26</v>
      </c>
      <c r="F19" t="s">
        <v>27</v>
      </c>
      <c r="G19" t="s">
        <v>28</v>
      </c>
      <c r="H19" s="1">
        <v>45717</v>
      </c>
      <c r="I19" s="1">
        <v>45689</v>
      </c>
      <c r="J19">
        <v>20411454</v>
      </c>
      <c r="K19" t="s">
        <v>193</v>
      </c>
      <c r="L19" t="s">
        <v>33</v>
      </c>
      <c r="M19" t="s">
        <v>34</v>
      </c>
      <c r="N19">
        <v>401.5</v>
      </c>
      <c r="O19">
        <v>88.5</v>
      </c>
      <c r="P19" t="s">
        <v>125</v>
      </c>
    </row>
    <row r="20" spans="1:17" x14ac:dyDescent="0.25">
      <c r="A20" s="1">
        <v>45692</v>
      </c>
      <c r="B20" t="s">
        <v>97</v>
      </c>
      <c r="C20" t="str">
        <f>CONCATENATE(B20,8)</f>
        <v>4R21A57FU968</v>
      </c>
      <c r="D20" t="s">
        <v>177</v>
      </c>
      <c r="E20" t="s">
        <v>82</v>
      </c>
      <c r="F20" t="s">
        <v>100</v>
      </c>
      <c r="G20" t="s">
        <v>101</v>
      </c>
      <c r="H20" s="1">
        <v>45689</v>
      </c>
      <c r="I20" s="1">
        <v>45658</v>
      </c>
      <c r="J20">
        <v>17886092</v>
      </c>
      <c r="K20" t="s">
        <v>85</v>
      </c>
      <c r="L20" t="s">
        <v>103</v>
      </c>
      <c r="M20" t="s">
        <v>34</v>
      </c>
      <c r="N20">
        <v>-0.08</v>
      </c>
      <c r="O20">
        <v>-0.08</v>
      </c>
      <c r="P20" t="s">
        <v>129</v>
      </c>
    </row>
    <row r="21" spans="1:17" x14ac:dyDescent="0.25">
      <c r="A21" s="1">
        <v>45692</v>
      </c>
      <c r="B21" t="s">
        <v>120</v>
      </c>
      <c r="C21" t="str">
        <f>CONCATENATE(B21,8)</f>
        <v>1QG2U95UQ168</v>
      </c>
      <c r="D21" t="s">
        <v>176</v>
      </c>
      <c r="E21" t="s">
        <v>82</v>
      </c>
      <c r="F21" t="s">
        <v>100</v>
      </c>
      <c r="G21" t="s">
        <v>28</v>
      </c>
      <c r="H21" s="1">
        <v>45658</v>
      </c>
      <c r="I21" s="1">
        <v>45231</v>
      </c>
      <c r="J21">
        <v>17528908</v>
      </c>
      <c r="K21" t="s">
        <v>107</v>
      </c>
      <c r="L21" t="s">
        <v>103</v>
      </c>
      <c r="M21" t="s">
        <v>34</v>
      </c>
      <c r="N21">
        <v>-31.92</v>
      </c>
      <c r="O21">
        <v>-31.92</v>
      </c>
      <c r="P21" t="s">
        <v>127</v>
      </c>
      <c r="Q21" s="3" t="s">
        <v>196</v>
      </c>
    </row>
    <row r="22" spans="1:17" x14ac:dyDescent="0.25">
      <c r="A22" s="1">
        <v>45692</v>
      </c>
      <c r="B22" t="s">
        <v>120</v>
      </c>
      <c r="C22" t="str">
        <f>CONCATENATE(B22,7)</f>
        <v>1QG2U95UQ167</v>
      </c>
      <c r="D22" t="s">
        <v>176</v>
      </c>
      <c r="E22" t="s">
        <v>82</v>
      </c>
      <c r="F22" t="s">
        <v>100</v>
      </c>
      <c r="G22" t="s">
        <v>28</v>
      </c>
      <c r="H22" s="1">
        <v>45566</v>
      </c>
      <c r="I22" s="1">
        <v>45231</v>
      </c>
      <c r="J22">
        <v>17528908</v>
      </c>
      <c r="K22" t="s">
        <v>107</v>
      </c>
      <c r="L22" t="s">
        <v>103</v>
      </c>
      <c r="M22" t="s">
        <v>34</v>
      </c>
      <c r="N22">
        <v>-31.25</v>
      </c>
      <c r="O22">
        <v>-31.25</v>
      </c>
      <c r="P22" t="s">
        <v>195</v>
      </c>
      <c r="Q22" t="s">
        <v>194</v>
      </c>
    </row>
    <row r="23" spans="1:17" x14ac:dyDescent="0.25">
      <c r="A23" s="1">
        <v>45692</v>
      </c>
      <c r="B23" t="s">
        <v>120</v>
      </c>
      <c r="C23" t="str">
        <f>CONCATENATE(B23,7)</f>
        <v>1QG2U95UQ167</v>
      </c>
      <c r="D23" t="s">
        <v>176</v>
      </c>
      <c r="E23" t="s">
        <v>82</v>
      </c>
      <c r="F23" t="s">
        <v>100</v>
      </c>
      <c r="G23" t="s">
        <v>28</v>
      </c>
      <c r="H23" s="1">
        <v>45627</v>
      </c>
      <c r="I23" s="1">
        <v>45231</v>
      </c>
      <c r="J23">
        <v>17528908</v>
      </c>
      <c r="K23" t="s">
        <v>107</v>
      </c>
      <c r="L23" t="s">
        <v>103</v>
      </c>
      <c r="M23" t="s">
        <v>34</v>
      </c>
      <c r="N23">
        <v>-31.25</v>
      </c>
      <c r="O23">
        <v>-31.25</v>
      </c>
      <c r="P23" t="s">
        <v>195</v>
      </c>
      <c r="Q23" t="s">
        <v>194</v>
      </c>
    </row>
    <row r="24" spans="1:17" x14ac:dyDescent="0.25">
      <c r="A24" s="1">
        <v>45692</v>
      </c>
      <c r="B24" t="s">
        <v>120</v>
      </c>
      <c r="C24" t="str">
        <f>CONCATENATE(B24,7)</f>
        <v>1QG2U95UQ167</v>
      </c>
      <c r="D24" t="s">
        <v>176</v>
      </c>
      <c r="E24" t="s">
        <v>82</v>
      </c>
      <c r="F24" t="s">
        <v>100</v>
      </c>
      <c r="G24" t="s">
        <v>28</v>
      </c>
      <c r="H24" s="1">
        <v>45536</v>
      </c>
      <c r="I24" s="1">
        <v>45231</v>
      </c>
      <c r="J24">
        <v>17528908</v>
      </c>
      <c r="K24" t="s">
        <v>107</v>
      </c>
      <c r="L24" t="s">
        <v>103</v>
      </c>
      <c r="M24" t="s">
        <v>34</v>
      </c>
      <c r="N24">
        <v>-31.25</v>
      </c>
      <c r="O24">
        <v>-31.25</v>
      </c>
      <c r="P24" t="s">
        <v>195</v>
      </c>
      <c r="Q24" t="s">
        <v>194</v>
      </c>
    </row>
    <row r="25" spans="1:17" x14ac:dyDescent="0.25">
      <c r="A25" s="1">
        <v>45692</v>
      </c>
      <c r="B25" t="s">
        <v>120</v>
      </c>
      <c r="C25" t="str">
        <f>CONCATENATE(B25,7)</f>
        <v>1QG2U95UQ167</v>
      </c>
      <c r="D25" t="s">
        <v>176</v>
      </c>
      <c r="E25" t="s">
        <v>82</v>
      </c>
      <c r="F25" t="s">
        <v>100</v>
      </c>
      <c r="G25" t="s">
        <v>28</v>
      </c>
      <c r="H25" s="1">
        <v>45597</v>
      </c>
      <c r="I25" s="1">
        <v>45231</v>
      </c>
      <c r="J25">
        <v>17528908</v>
      </c>
      <c r="K25" t="s">
        <v>107</v>
      </c>
      <c r="L25" t="s">
        <v>103</v>
      </c>
      <c r="M25" t="s">
        <v>34</v>
      </c>
      <c r="N25">
        <v>-31.25</v>
      </c>
      <c r="O25">
        <v>-31.25</v>
      </c>
      <c r="P25" t="s">
        <v>195</v>
      </c>
      <c r="Q25" t="s">
        <v>194</v>
      </c>
    </row>
    <row r="26" spans="1:17" x14ac:dyDescent="0.25">
      <c r="A26" s="1">
        <v>45692</v>
      </c>
      <c r="B26" t="s">
        <v>77</v>
      </c>
      <c r="C26" t="str">
        <f>CONCATENATE(B26,8)</f>
        <v>4RG8Q67YJ218</v>
      </c>
      <c r="D26" t="s">
        <v>189</v>
      </c>
      <c r="E26" t="s">
        <v>26</v>
      </c>
      <c r="F26" t="s">
        <v>27</v>
      </c>
      <c r="G26" t="s">
        <v>28</v>
      </c>
      <c r="H26" s="1">
        <v>45717</v>
      </c>
      <c r="I26" s="1">
        <v>45689</v>
      </c>
      <c r="J26">
        <v>16633294</v>
      </c>
      <c r="K26" t="s">
        <v>79</v>
      </c>
      <c r="L26" t="s">
        <v>33</v>
      </c>
      <c r="M26" t="s">
        <v>34</v>
      </c>
      <c r="N26">
        <v>401.5</v>
      </c>
      <c r="O26">
        <v>313</v>
      </c>
      <c r="P26" t="s">
        <v>124</v>
      </c>
      <c r="Q26" s="3" t="s">
        <v>130</v>
      </c>
    </row>
    <row r="27" spans="1:17" x14ac:dyDescent="0.25">
      <c r="A27" s="1">
        <v>45692</v>
      </c>
      <c r="B27" t="s">
        <v>77</v>
      </c>
      <c r="C27" t="str">
        <f>CONCATENATE(B27,88)</f>
        <v>4RG8Q67YJ2188</v>
      </c>
      <c r="D27" t="s">
        <v>189</v>
      </c>
      <c r="E27" t="s">
        <v>26</v>
      </c>
      <c r="F27" t="s">
        <v>27</v>
      </c>
      <c r="G27" t="s">
        <v>28</v>
      </c>
      <c r="H27" s="1">
        <v>45717</v>
      </c>
      <c r="I27" s="1">
        <v>45689</v>
      </c>
      <c r="J27">
        <v>20411454</v>
      </c>
      <c r="K27" t="s">
        <v>193</v>
      </c>
      <c r="L27" t="s">
        <v>33</v>
      </c>
      <c r="M27" t="s">
        <v>34</v>
      </c>
      <c r="N27">
        <v>401.5</v>
      </c>
      <c r="O27">
        <v>88.5</v>
      </c>
      <c r="P27" t="s">
        <v>125</v>
      </c>
    </row>
    <row r="28" spans="1:17" x14ac:dyDescent="0.25">
      <c r="A28" s="1">
        <v>45692</v>
      </c>
      <c r="B28" t="s">
        <v>93</v>
      </c>
      <c r="C28" t="str">
        <f>CONCATENATE(B28,8)</f>
        <v>7C31VU0CR958</v>
      </c>
      <c r="D28" t="s">
        <v>173</v>
      </c>
      <c r="E28" t="s">
        <v>49</v>
      </c>
      <c r="F28" t="s">
        <v>95</v>
      </c>
      <c r="G28" t="s">
        <v>28</v>
      </c>
      <c r="H28" s="1">
        <v>45689</v>
      </c>
      <c r="I28" s="1">
        <v>45658</v>
      </c>
      <c r="J28">
        <v>16202925</v>
      </c>
      <c r="K28" t="s">
        <v>96</v>
      </c>
      <c r="L28" t="s">
        <v>33</v>
      </c>
      <c r="M28" t="s">
        <v>34</v>
      </c>
      <c r="N28">
        <v>-438</v>
      </c>
      <c r="O28">
        <v>-313</v>
      </c>
      <c r="P28" t="s">
        <v>124</v>
      </c>
      <c r="Q28" t="s">
        <v>130</v>
      </c>
    </row>
    <row r="29" spans="1:17" x14ac:dyDescent="0.25">
      <c r="A29" s="1">
        <v>45692</v>
      </c>
      <c r="B29" t="s">
        <v>93</v>
      </c>
      <c r="C29" t="str">
        <f>CONCATENATE(B29,88)</f>
        <v>7C31VU0CR9588</v>
      </c>
      <c r="D29" t="s">
        <v>173</v>
      </c>
      <c r="E29" t="s">
        <v>49</v>
      </c>
      <c r="F29" t="s">
        <v>95</v>
      </c>
      <c r="G29" t="s">
        <v>28</v>
      </c>
      <c r="H29" s="1">
        <v>45689</v>
      </c>
      <c r="I29" s="1">
        <v>45658</v>
      </c>
      <c r="J29">
        <v>20411454</v>
      </c>
      <c r="K29" t="s">
        <v>193</v>
      </c>
      <c r="L29" t="s">
        <v>33</v>
      </c>
      <c r="M29" t="s">
        <v>34</v>
      </c>
      <c r="N29">
        <v>-438</v>
      </c>
      <c r="O29">
        <v>-125</v>
      </c>
      <c r="P29" t="s">
        <v>125</v>
      </c>
    </row>
    <row r="30" spans="1:17" x14ac:dyDescent="0.25">
      <c r="A30" s="1">
        <v>45692</v>
      </c>
      <c r="B30" t="s">
        <v>86</v>
      </c>
      <c r="C30" t="str">
        <f>CONCATENATE(B30,88)</f>
        <v>9Q36AJ6WW8988</v>
      </c>
      <c r="D30" t="s">
        <v>179</v>
      </c>
      <c r="E30" t="s">
        <v>82</v>
      </c>
      <c r="F30" t="s">
        <v>27</v>
      </c>
      <c r="G30" t="s">
        <v>28</v>
      </c>
      <c r="H30" s="1">
        <v>45717</v>
      </c>
      <c r="I30" s="1">
        <v>45689</v>
      </c>
      <c r="J30">
        <v>20411454</v>
      </c>
      <c r="K30" t="s">
        <v>193</v>
      </c>
      <c r="L30" t="s">
        <v>33</v>
      </c>
      <c r="M30" t="s">
        <v>34</v>
      </c>
      <c r="N30">
        <v>36.67</v>
      </c>
      <c r="O30">
        <v>36.67</v>
      </c>
      <c r="P30" t="s">
        <v>125</v>
      </c>
    </row>
    <row r="31" spans="1:17" x14ac:dyDescent="0.25">
      <c r="A31" s="1">
        <v>45692</v>
      </c>
      <c r="B31" t="s">
        <v>55</v>
      </c>
      <c r="C31" t="str">
        <f>CONCATENATE(B31,88)</f>
        <v>3VC6T80JU7488</v>
      </c>
      <c r="D31" t="s">
        <v>184</v>
      </c>
      <c r="E31" t="s">
        <v>26</v>
      </c>
      <c r="F31" t="s">
        <v>27</v>
      </c>
      <c r="G31" t="s">
        <v>28</v>
      </c>
      <c r="H31" s="1">
        <v>45717</v>
      </c>
      <c r="I31" s="1">
        <v>45689</v>
      </c>
      <c r="J31">
        <v>20411454</v>
      </c>
      <c r="K31" t="s">
        <v>193</v>
      </c>
      <c r="L31" t="s">
        <v>33</v>
      </c>
      <c r="M31" t="s">
        <v>34</v>
      </c>
      <c r="N31">
        <v>401.5</v>
      </c>
      <c r="O31">
        <v>88.5</v>
      </c>
      <c r="P31" t="s">
        <v>125</v>
      </c>
    </row>
    <row r="32" spans="1:17" x14ac:dyDescent="0.25">
      <c r="A32" s="1">
        <v>45692</v>
      </c>
      <c r="B32" t="s">
        <v>41</v>
      </c>
      <c r="C32" t="str">
        <f>CONCATENATE(B32,8)</f>
        <v>3A09F97EJ468</v>
      </c>
      <c r="D32" t="s">
        <v>183</v>
      </c>
      <c r="E32" t="s">
        <v>43</v>
      </c>
      <c r="F32" t="s">
        <v>27</v>
      </c>
      <c r="G32" t="s">
        <v>28</v>
      </c>
      <c r="H32" s="1">
        <v>45717</v>
      </c>
      <c r="I32" s="1">
        <v>45689</v>
      </c>
      <c r="J32">
        <v>1706194</v>
      </c>
      <c r="K32" t="s">
        <v>46</v>
      </c>
      <c r="L32" t="s">
        <v>33</v>
      </c>
      <c r="M32" t="s">
        <v>34</v>
      </c>
      <c r="N32">
        <v>401.5</v>
      </c>
      <c r="O32">
        <v>313</v>
      </c>
      <c r="P32" t="s">
        <v>124</v>
      </c>
      <c r="Q32" s="3" t="s">
        <v>130</v>
      </c>
    </row>
    <row r="33" spans="1:17" x14ac:dyDescent="0.25">
      <c r="A33" s="1">
        <v>45692</v>
      </c>
      <c r="B33" t="s">
        <v>41</v>
      </c>
      <c r="C33" t="str">
        <f>CONCATENATE(B33,88)</f>
        <v>3A09F97EJ4688</v>
      </c>
      <c r="D33" t="s">
        <v>183</v>
      </c>
      <c r="E33" t="s">
        <v>43</v>
      </c>
      <c r="F33" t="s">
        <v>27</v>
      </c>
      <c r="G33" t="s">
        <v>28</v>
      </c>
      <c r="H33" s="1">
        <v>45717</v>
      </c>
      <c r="I33" s="1">
        <v>45689</v>
      </c>
      <c r="J33">
        <v>20411454</v>
      </c>
      <c r="K33" t="s">
        <v>193</v>
      </c>
      <c r="L33" t="s">
        <v>33</v>
      </c>
      <c r="M33" t="s">
        <v>34</v>
      </c>
      <c r="N33">
        <v>401.5</v>
      </c>
      <c r="O33">
        <v>88.5</v>
      </c>
      <c r="P33" t="s">
        <v>125</v>
      </c>
    </row>
    <row r="34" spans="1:17" x14ac:dyDescent="0.25">
      <c r="A34" s="1">
        <v>45692</v>
      </c>
      <c r="B34" t="s">
        <v>36</v>
      </c>
      <c r="C34" t="str">
        <f>CONCATENATE(B34,8)</f>
        <v>8DD8RP2NU268</v>
      </c>
      <c r="D34" t="s">
        <v>182</v>
      </c>
      <c r="E34" t="s">
        <v>26</v>
      </c>
      <c r="F34" t="s">
        <v>27</v>
      </c>
      <c r="G34" t="s">
        <v>28</v>
      </c>
      <c r="H34" s="1">
        <v>45717</v>
      </c>
      <c r="I34" s="1">
        <v>45689</v>
      </c>
      <c r="J34">
        <v>20212926</v>
      </c>
      <c r="K34" t="s">
        <v>40</v>
      </c>
      <c r="L34" t="s">
        <v>33</v>
      </c>
      <c r="M34" t="s">
        <v>34</v>
      </c>
      <c r="N34">
        <v>401.5</v>
      </c>
      <c r="O34">
        <v>313</v>
      </c>
      <c r="P34" t="s">
        <v>124</v>
      </c>
      <c r="Q34" s="3" t="s">
        <v>130</v>
      </c>
    </row>
    <row r="35" spans="1:17" x14ac:dyDescent="0.25">
      <c r="A35" s="1">
        <v>45692</v>
      </c>
      <c r="B35" t="s">
        <v>36</v>
      </c>
      <c r="C35" t="str">
        <f>CONCATENATE(B35,88)</f>
        <v>8DD8RP2NU2688</v>
      </c>
      <c r="D35" t="s">
        <v>182</v>
      </c>
      <c r="E35" t="s">
        <v>26</v>
      </c>
      <c r="F35" t="s">
        <v>27</v>
      </c>
      <c r="G35" t="s">
        <v>28</v>
      </c>
      <c r="H35" s="1">
        <v>45717</v>
      </c>
      <c r="I35" s="1">
        <v>45689</v>
      </c>
      <c r="J35">
        <v>20411454</v>
      </c>
      <c r="K35" t="s">
        <v>193</v>
      </c>
      <c r="L35" t="s">
        <v>33</v>
      </c>
      <c r="M35" t="s">
        <v>34</v>
      </c>
      <c r="N35">
        <v>401.5</v>
      </c>
      <c r="O35">
        <v>88.5</v>
      </c>
      <c r="P35" t="s">
        <v>125</v>
      </c>
    </row>
    <row r="36" spans="1:17" x14ac:dyDescent="0.25">
      <c r="A36" s="1">
        <v>45692</v>
      </c>
      <c r="B36" t="s">
        <v>47</v>
      </c>
      <c r="C36" t="str">
        <f>CONCATENATE(B36,8)</f>
        <v>2AM9DP1NU138</v>
      </c>
      <c r="D36" t="s">
        <v>180</v>
      </c>
      <c r="E36" t="s">
        <v>49</v>
      </c>
      <c r="F36" t="s">
        <v>27</v>
      </c>
      <c r="G36" t="s">
        <v>28</v>
      </c>
      <c r="H36" s="1">
        <v>45689</v>
      </c>
      <c r="I36" s="1">
        <v>45658</v>
      </c>
      <c r="J36">
        <v>17195620</v>
      </c>
      <c r="K36" t="s">
        <v>53</v>
      </c>
      <c r="L36" t="s">
        <v>33</v>
      </c>
      <c r="M36" t="s">
        <v>34</v>
      </c>
      <c r="N36">
        <v>313</v>
      </c>
      <c r="O36">
        <v>313</v>
      </c>
      <c r="P36" t="s">
        <v>124</v>
      </c>
    </row>
    <row r="37" spans="1:17" x14ac:dyDescent="0.25">
      <c r="A37" s="1">
        <v>45692</v>
      </c>
      <c r="B37" t="s">
        <v>47</v>
      </c>
      <c r="C37" t="str">
        <f>CONCATENATE(B37,88)</f>
        <v>2AM9DP1NU1388</v>
      </c>
      <c r="D37" t="s">
        <v>180</v>
      </c>
      <c r="E37" t="s">
        <v>49</v>
      </c>
      <c r="F37" t="s">
        <v>27</v>
      </c>
      <c r="G37" t="s">
        <v>50</v>
      </c>
      <c r="H37" s="1">
        <v>45689</v>
      </c>
      <c r="I37" s="1">
        <v>45658</v>
      </c>
      <c r="J37">
        <v>20411454</v>
      </c>
      <c r="K37" t="s">
        <v>193</v>
      </c>
      <c r="L37" t="s">
        <v>33</v>
      </c>
      <c r="M37" t="s">
        <v>34</v>
      </c>
      <c r="N37">
        <v>125</v>
      </c>
      <c r="O37">
        <v>125</v>
      </c>
      <c r="P37" t="s">
        <v>125</v>
      </c>
    </row>
    <row r="38" spans="1:17" x14ac:dyDescent="0.25">
      <c r="A38" s="1">
        <v>45692</v>
      </c>
      <c r="B38" t="s">
        <v>111</v>
      </c>
      <c r="C38" t="str">
        <f>CONCATENATE(B38,61)</f>
        <v>1G80KV4EJ3461</v>
      </c>
      <c r="D38" t="s">
        <v>175</v>
      </c>
      <c r="E38" t="s">
        <v>82</v>
      </c>
      <c r="F38" t="s">
        <v>113</v>
      </c>
      <c r="G38" t="s">
        <v>28</v>
      </c>
      <c r="H38" s="1">
        <v>45689</v>
      </c>
      <c r="I38" s="1">
        <v>45689</v>
      </c>
      <c r="J38">
        <v>17886092</v>
      </c>
      <c r="K38" t="s">
        <v>85</v>
      </c>
      <c r="L38" t="s">
        <v>33</v>
      </c>
      <c r="M38" t="s">
        <v>34</v>
      </c>
      <c r="N38">
        <v>-40</v>
      </c>
      <c r="O38">
        <v>-40</v>
      </c>
      <c r="P38" s="3" t="s">
        <v>126</v>
      </c>
    </row>
    <row r="39" spans="1:17" x14ac:dyDescent="0.25">
      <c r="A39" s="1">
        <v>45692</v>
      </c>
      <c r="B39" t="s">
        <v>108</v>
      </c>
      <c r="C39" t="str">
        <f>CONCATENATE(B39,8)</f>
        <v>1E72CW1RH118</v>
      </c>
      <c r="D39" t="s">
        <v>174</v>
      </c>
      <c r="E39" t="s">
        <v>43</v>
      </c>
      <c r="F39" t="s">
        <v>95</v>
      </c>
      <c r="G39" t="s">
        <v>28</v>
      </c>
      <c r="H39" s="1">
        <v>45689</v>
      </c>
      <c r="I39" s="1">
        <v>45658</v>
      </c>
      <c r="J39">
        <v>18935660</v>
      </c>
      <c r="K39" t="s">
        <v>32</v>
      </c>
      <c r="L39" t="s">
        <v>33</v>
      </c>
      <c r="M39" t="s">
        <v>34</v>
      </c>
      <c r="N39">
        <v>-438</v>
      </c>
      <c r="O39">
        <v>-313</v>
      </c>
      <c r="P39" t="s">
        <v>124</v>
      </c>
      <c r="Q39" s="3" t="s">
        <v>130</v>
      </c>
    </row>
    <row r="40" spans="1:17" x14ac:dyDescent="0.25">
      <c r="A40" s="1">
        <v>45692</v>
      </c>
      <c r="B40" t="s">
        <v>108</v>
      </c>
      <c r="C40" t="str">
        <f>CONCATENATE(B40,88)</f>
        <v>1E72CW1RH1188</v>
      </c>
      <c r="D40" t="s">
        <v>174</v>
      </c>
      <c r="E40" t="s">
        <v>43</v>
      </c>
      <c r="F40" t="s">
        <v>95</v>
      </c>
      <c r="G40" t="s">
        <v>28</v>
      </c>
      <c r="H40" s="1">
        <v>45689</v>
      </c>
      <c r="I40" s="1">
        <v>45658</v>
      </c>
      <c r="J40">
        <v>20411454</v>
      </c>
      <c r="K40" t="s">
        <v>193</v>
      </c>
      <c r="L40" t="s">
        <v>33</v>
      </c>
      <c r="M40" t="s">
        <v>34</v>
      </c>
      <c r="N40">
        <v>-438</v>
      </c>
      <c r="O40">
        <v>-125</v>
      </c>
      <c r="P40" t="s">
        <v>125</v>
      </c>
    </row>
  </sheetData>
  <sortState xmlns:xlrd2="http://schemas.microsoft.com/office/spreadsheetml/2017/richdata2" ref="A3:Q40">
    <sortCondition ref="D3:D40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FFB3-06BE-384A-AFBA-75F023F9D646}">
  <dimension ref="A1:C40"/>
  <sheetViews>
    <sheetView workbookViewId="0">
      <selection activeCell="C2" sqref="C2:C40"/>
    </sheetView>
  </sheetViews>
  <sheetFormatPr defaultColWidth="11" defaultRowHeight="15.75" x14ac:dyDescent="0.25"/>
  <cols>
    <col min="1" max="1" width="19.5" bestFit="1" customWidth="1"/>
  </cols>
  <sheetData>
    <row r="1" spans="1:3" x14ac:dyDescent="0.25">
      <c r="A1" t="s">
        <v>133</v>
      </c>
    </row>
    <row r="2" spans="1:3" x14ac:dyDescent="0.25">
      <c r="A2" s="2" t="s">
        <v>134</v>
      </c>
      <c r="B2" t="s">
        <v>135</v>
      </c>
      <c r="C2" t="str">
        <f>CONCATENATE(B2, " ", A2)</f>
        <v>RHONDA PHILLIPS</v>
      </c>
    </row>
    <row r="3" spans="1:3" x14ac:dyDescent="0.25">
      <c r="A3" s="2" t="s">
        <v>134</v>
      </c>
      <c r="B3" t="s">
        <v>135</v>
      </c>
      <c r="C3" t="str">
        <f t="shared" ref="C3:C40" si="0">CONCATENATE(B3, " ", A3)</f>
        <v>RHONDA PHILLIPS</v>
      </c>
    </row>
    <row r="4" spans="1:3" x14ac:dyDescent="0.25">
      <c r="A4" s="2" t="s">
        <v>136</v>
      </c>
      <c r="B4" t="s">
        <v>137</v>
      </c>
      <c r="C4" t="str">
        <f t="shared" si="0"/>
        <v>YULONDA SHORT</v>
      </c>
    </row>
    <row r="5" spans="1:3" x14ac:dyDescent="0.25">
      <c r="A5" s="2" t="s">
        <v>136</v>
      </c>
      <c r="B5" t="s">
        <v>137</v>
      </c>
      <c r="C5" t="str">
        <f t="shared" si="0"/>
        <v>YULONDA SHORT</v>
      </c>
    </row>
    <row r="6" spans="1:3" x14ac:dyDescent="0.25">
      <c r="A6" t="s">
        <v>138</v>
      </c>
      <c r="B6" t="s">
        <v>139</v>
      </c>
      <c r="C6" t="str">
        <f t="shared" si="0"/>
        <v>VERNADEAN TOT</v>
      </c>
    </row>
    <row r="7" spans="1:3" x14ac:dyDescent="0.25">
      <c r="A7" t="s">
        <v>140</v>
      </c>
      <c r="B7" t="s">
        <v>141</v>
      </c>
      <c r="C7" t="str">
        <f t="shared" si="0"/>
        <v>MARK WROBLESKI</v>
      </c>
    </row>
    <row r="8" spans="1:3" x14ac:dyDescent="0.25">
      <c r="A8" t="s">
        <v>140</v>
      </c>
      <c r="B8" t="s">
        <v>141</v>
      </c>
      <c r="C8" t="str">
        <f t="shared" si="0"/>
        <v>MARK WROBLESKI</v>
      </c>
    </row>
    <row r="9" spans="1:3" x14ac:dyDescent="0.25">
      <c r="A9" t="s">
        <v>140</v>
      </c>
      <c r="B9" t="s">
        <v>141</v>
      </c>
      <c r="C9" t="str">
        <f t="shared" si="0"/>
        <v>MARK WROBLESKI</v>
      </c>
    </row>
    <row r="10" spans="1:3" x14ac:dyDescent="0.25">
      <c r="A10" t="s">
        <v>140</v>
      </c>
      <c r="B10" t="s">
        <v>141</v>
      </c>
      <c r="C10" t="str">
        <f t="shared" si="0"/>
        <v>MARK WROBLESKI</v>
      </c>
    </row>
    <row r="11" spans="1:3" x14ac:dyDescent="0.25">
      <c r="A11" t="s">
        <v>140</v>
      </c>
      <c r="B11" t="s">
        <v>141</v>
      </c>
      <c r="C11" t="str">
        <f t="shared" si="0"/>
        <v>MARK WROBLESKI</v>
      </c>
    </row>
    <row r="12" spans="1:3" x14ac:dyDescent="0.25">
      <c r="A12" t="s">
        <v>142</v>
      </c>
      <c r="B12" t="s">
        <v>143</v>
      </c>
      <c r="C12" t="str">
        <f t="shared" si="0"/>
        <v>LINDA RODGERS</v>
      </c>
    </row>
    <row r="13" spans="1:3" x14ac:dyDescent="0.25">
      <c r="A13" t="s">
        <v>144</v>
      </c>
      <c r="B13" t="s">
        <v>145</v>
      </c>
      <c r="C13" t="str">
        <f t="shared" si="0"/>
        <v>CHERYL HINTON</v>
      </c>
    </row>
    <row r="14" spans="1:3" x14ac:dyDescent="0.25">
      <c r="A14" t="s">
        <v>144</v>
      </c>
      <c r="B14" t="s">
        <v>146</v>
      </c>
      <c r="C14" t="str">
        <f t="shared" si="0"/>
        <v>RONALD HINTON</v>
      </c>
    </row>
    <row r="15" spans="1:3" x14ac:dyDescent="0.25">
      <c r="A15" t="s">
        <v>147</v>
      </c>
      <c r="B15" t="s">
        <v>148</v>
      </c>
      <c r="C15" t="str">
        <f t="shared" si="0"/>
        <v>THERESA BUTLER</v>
      </c>
    </row>
    <row r="16" spans="1:3" x14ac:dyDescent="0.25">
      <c r="A16" t="s">
        <v>147</v>
      </c>
      <c r="B16" t="s">
        <v>148</v>
      </c>
      <c r="C16" t="str">
        <f t="shared" si="0"/>
        <v>THERESA BUTLER</v>
      </c>
    </row>
    <row r="17" spans="1:3" x14ac:dyDescent="0.25">
      <c r="A17" s="2" t="s">
        <v>149</v>
      </c>
      <c r="B17" t="s">
        <v>150</v>
      </c>
      <c r="C17" t="str">
        <f t="shared" si="0"/>
        <v>KAY ANDERSON</v>
      </c>
    </row>
    <row r="18" spans="1:3" x14ac:dyDescent="0.25">
      <c r="A18" s="2" t="s">
        <v>149</v>
      </c>
      <c r="B18" t="s">
        <v>150</v>
      </c>
      <c r="C18" t="str">
        <f t="shared" si="0"/>
        <v>KAY ANDERSON</v>
      </c>
    </row>
    <row r="19" spans="1:3" x14ac:dyDescent="0.25">
      <c r="A19" s="2" t="s">
        <v>151</v>
      </c>
      <c r="B19" t="s">
        <v>152</v>
      </c>
      <c r="C19" t="str">
        <f t="shared" si="0"/>
        <v>SIFUENTES BANDA</v>
      </c>
    </row>
    <row r="20" spans="1:3" x14ac:dyDescent="0.25">
      <c r="A20" s="2" t="s">
        <v>151</v>
      </c>
      <c r="B20" t="s">
        <v>152</v>
      </c>
      <c r="C20" t="str">
        <f t="shared" si="0"/>
        <v>SIFUENTES BANDA</v>
      </c>
    </row>
    <row r="21" spans="1:3" x14ac:dyDescent="0.25">
      <c r="A21" s="2" t="s">
        <v>153</v>
      </c>
      <c r="B21" t="s">
        <v>154</v>
      </c>
      <c r="C21" t="str">
        <f t="shared" si="0"/>
        <v>SHARON BOEHMER</v>
      </c>
    </row>
    <row r="22" spans="1:3" x14ac:dyDescent="0.25">
      <c r="A22" s="2" t="s">
        <v>153</v>
      </c>
      <c r="B22" t="s">
        <v>154</v>
      </c>
      <c r="C22" t="str">
        <f t="shared" si="0"/>
        <v>SHARON BOEHMER</v>
      </c>
    </row>
    <row r="23" spans="1:3" x14ac:dyDescent="0.25">
      <c r="A23" s="2" t="s">
        <v>155</v>
      </c>
      <c r="B23" t="s">
        <v>156</v>
      </c>
      <c r="C23" t="str">
        <f t="shared" si="0"/>
        <v>SABINA CHAN</v>
      </c>
    </row>
    <row r="24" spans="1:3" x14ac:dyDescent="0.25">
      <c r="A24" s="2" t="s">
        <v>155</v>
      </c>
      <c r="B24" t="s">
        <v>156</v>
      </c>
      <c r="C24" t="str">
        <f t="shared" si="0"/>
        <v>SABINA CHAN</v>
      </c>
    </row>
    <row r="25" spans="1:3" x14ac:dyDescent="0.25">
      <c r="A25" s="2" t="s">
        <v>157</v>
      </c>
      <c r="B25" t="s">
        <v>158</v>
      </c>
      <c r="C25" t="str">
        <f t="shared" si="0"/>
        <v>ALLEN DARRINGTON</v>
      </c>
    </row>
    <row r="26" spans="1:3" x14ac:dyDescent="0.25">
      <c r="A26" s="2" t="s">
        <v>157</v>
      </c>
      <c r="B26" t="s">
        <v>158</v>
      </c>
      <c r="C26" t="str">
        <f t="shared" si="0"/>
        <v>ALLEN DARRINGTON</v>
      </c>
    </row>
    <row r="27" spans="1:3" x14ac:dyDescent="0.25">
      <c r="A27" s="2" t="s">
        <v>159</v>
      </c>
      <c r="B27" t="s">
        <v>160</v>
      </c>
      <c r="C27" t="str">
        <f t="shared" si="0"/>
        <v>CYNTHIA FIEDLER</v>
      </c>
    </row>
    <row r="28" spans="1:3" x14ac:dyDescent="0.25">
      <c r="A28" s="2" t="s">
        <v>159</v>
      </c>
      <c r="B28" t="s">
        <v>160</v>
      </c>
      <c r="C28" t="str">
        <f t="shared" si="0"/>
        <v>CYNTHIA FIEDLER</v>
      </c>
    </row>
    <row r="29" spans="1:3" x14ac:dyDescent="0.25">
      <c r="A29" s="2" t="s">
        <v>161</v>
      </c>
      <c r="B29" t="s">
        <v>162</v>
      </c>
      <c r="C29" t="str">
        <f t="shared" si="0"/>
        <v>CALVIN GAPINSKI</v>
      </c>
    </row>
    <row r="30" spans="1:3" x14ac:dyDescent="0.25">
      <c r="A30" s="2" t="s">
        <v>161</v>
      </c>
      <c r="B30" t="s">
        <v>162</v>
      </c>
      <c r="C30" t="str">
        <f t="shared" si="0"/>
        <v>CALVIN GAPINSKI</v>
      </c>
    </row>
    <row r="31" spans="1:3" x14ac:dyDescent="0.25">
      <c r="A31" s="2" t="s">
        <v>163</v>
      </c>
      <c r="B31" t="s">
        <v>164</v>
      </c>
      <c r="C31" t="str">
        <f t="shared" si="0"/>
        <v>DEBORAH GIBBS</v>
      </c>
    </row>
    <row r="32" spans="1:3" x14ac:dyDescent="0.25">
      <c r="A32" s="2" t="s">
        <v>163</v>
      </c>
      <c r="B32" t="s">
        <v>164</v>
      </c>
      <c r="C32" t="str">
        <f t="shared" si="0"/>
        <v>DEBORAH GIBBS</v>
      </c>
    </row>
    <row r="33" spans="1:3" x14ac:dyDescent="0.25">
      <c r="A33" s="2" t="s">
        <v>165</v>
      </c>
      <c r="B33" t="s">
        <v>166</v>
      </c>
      <c r="C33" t="str">
        <f t="shared" si="0"/>
        <v>NICOLA GIULIANO</v>
      </c>
    </row>
    <row r="34" spans="1:3" x14ac:dyDescent="0.25">
      <c r="A34" s="2" t="s">
        <v>165</v>
      </c>
      <c r="B34" t="s">
        <v>166</v>
      </c>
      <c r="C34" t="str">
        <f t="shared" si="0"/>
        <v>NICOLA GIULIANO</v>
      </c>
    </row>
    <row r="35" spans="1:3" x14ac:dyDescent="0.25">
      <c r="A35" s="2" t="s">
        <v>167</v>
      </c>
      <c r="B35" t="s">
        <v>168</v>
      </c>
      <c r="C35" t="str">
        <f t="shared" si="0"/>
        <v>COLLEEN MCABEE</v>
      </c>
    </row>
    <row r="36" spans="1:3" x14ac:dyDescent="0.25">
      <c r="A36" s="2" t="s">
        <v>167</v>
      </c>
      <c r="B36" t="s">
        <v>168</v>
      </c>
      <c r="C36" t="str">
        <f t="shared" si="0"/>
        <v>COLLEEN MCABEE</v>
      </c>
    </row>
    <row r="37" spans="1:3" x14ac:dyDescent="0.25">
      <c r="A37" s="2" t="s">
        <v>169</v>
      </c>
      <c r="B37" t="s">
        <v>170</v>
      </c>
      <c r="C37" t="str">
        <f t="shared" si="0"/>
        <v>JEFFREY SCHUTTE</v>
      </c>
    </row>
    <row r="38" spans="1:3" x14ac:dyDescent="0.25">
      <c r="A38" s="2" t="s">
        <v>169</v>
      </c>
      <c r="B38" t="s">
        <v>170</v>
      </c>
      <c r="C38" t="str">
        <f t="shared" si="0"/>
        <v>JEFFREY SCHUTTE</v>
      </c>
    </row>
    <row r="39" spans="1:3" x14ac:dyDescent="0.25">
      <c r="A39" s="2" t="s">
        <v>171</v>
      </c>
      <c r="B39" t="s">
        <v>172</v>
      </c>
      <c r="C39" t="str">
        <f t="shared" si="0"/>
        <v>AMY WHEELER</v>
      </c>
    </row>
    <row r="40" spans="1:3" x14ac:dyDescent="0.25">
      <c r="A40" s="2" t="s">
        <v>171</v>
      </c>
      <c r="B40" t="s">
        <v>172</v>
      </c>
      <c r="C40" t="str">
        <f t="shared" si="0"/>
        <v>AMY WHEELER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2025-02-05T19:38:17Z</dcterms:created>
  <dcterms:modified xsi:type="dcterms:W3CDTF">2025-02-14T15:15:16Z</dcterms:modified>
</cp:coreProperties>
</file>