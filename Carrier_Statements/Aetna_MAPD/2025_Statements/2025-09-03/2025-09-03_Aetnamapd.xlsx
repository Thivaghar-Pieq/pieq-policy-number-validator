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9-03-25\"/>
    </mc:Choice>
  </mc:AlternateContent>
  <xr:revisionPtr revIDLastSave="0" documentId="13_ncr:1_{FF0410C5-BE4F-4C97-8199-192DADE1E5AA}" xr6:coauthVersionLast="47" xr6:coauthVersionMax="47" xr10:uidLastSave="{00000000-0000-0000-0000-000000000000}"/>
  <bookViews>
    <workbookView xWindow="28680" yWindow="-120" windowWidth="29040" windowHeight="16440" activeTab="1" xr2:uid="{7EF8A70D-F778-4DD6-BDAE-99E11B6CAD76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B17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6" i="2"/>
  <c r="B15" i="2"/>
  <c r="B14" i="2"/>
  <c r="B13" i="2"/>
  <c r="B12" i="2"/>
  <c r="B11" i="2"/>
  <c r="B10" i="2"/>
  <c r="B9" i="2"/>
  <c r="B8" i="2"/>
  <c r="B7" i="2"/>
  <c r="B6" i="2"/>
  <c r="B4" i="2"/>
  <c r="B3" i="2"/>
  <c r="B2" i="2"/>
  <c r="B5" i="2"/>
  <c r="V32" i="2"/>
  <c r="V15" i="2"/>
  <c r="V29" i="2"/>
  <c r="V2" i="2"/>
  <c r="V24" i="2"/>
  <c r="V10" i="2"/>
  <c r="V22" i="2"/>
  <c r="V6" i="2"/>
  <c r="V20" i="2"/>
  <c r="V12" i="2"/>
  <c r="V18" i="2"/>
  <c r="V16" i="2"/>
</calcChain>
</file>

<file path=xl/sharedStrings.xml><?xml version="1.0" encoding="utf-8"?>
<sst xmlns="http://schemas.openxmlformats.org/spreadsheetml/2006/main" count="585" uniqueCount="163">
  <si>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</si>
  <si>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</si>
  <si>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</si>
  <si>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</si>
  <si>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</si>
  <si>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</si>
  <si>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</si>
  <si>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</si>
  <si>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</si>
  <si>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</si>
  <si>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</si>
  <si>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</si>
  <si>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</si>
  <si>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</si>
  <si>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</si>
  <si>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</si>
  <si>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</si>
  <si>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</si>
  <si>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</si>
  <si>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</si>
  <si>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</si>
  <si>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</si>
  <si>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</si>
  <si>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</si>
  <si>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9FW5UM2ME89</t>
  </si>
  <si>
    <t>NG102190934800</t>
  </si>
  <si>
    <t>BUCKLEY D,LISA</t>
  </si>
  <si>
    <t>PA</t>
  </si>
  <si>
    <t>New Business</t>
  </si>
  <si>
    <t>MAPD</t>
  </si>
  <si>
    <t>IMM608</t>
  </si>
  <si>
    <t>H3959-001</t>
  </si>
  <si>
    <t>LOA</t>
  </si>
  <si>
    <t>Inskipt, Deborah</t>
  </si>
  <si>
    <t>GMO</t>
  </si>
  <si>
    <t>Main Line Benefits LLC</t>
  </si>
  <si>
    <t xml:space="preserve">N  </t>
  </si>
  <si>
    <t>7XR8EQ1FQ64</t>
  </si>
  <si>
    <t>NG102190156500</t>
  </si>
  <si>
    <t>CONEY,JOELLEN</t>
  </si>
  <si>
    <t>IL</t>
  </si>
  <si>
    <t>IMM606</t>
  </si>
  <si>
    <t>H7301-013</t>
  </si>
  <si>
    <t>Walenga, Dale</t>
  </si>
  <si>
    <t>6DW8FK9HH22</t>
  </si>
  <si>
    <t>NG102191010500</t>
  </si>
  <si>
    <t>DUDEK E,LORI</t>
  </si>
  <si>
    <t>H3959-011</t>
  </si>
  <si>
    <t>Smith, Margaret</t>
  </si>
  <si>
    <t>2J22TR3TJ18</t>
  </si>
  <si>
    <t>NG102190026200</t>
  </si>
  <si>
    <t>FARLEY A,CHARLOTTE</t>
  </si>
  <si>
    <t>IMM619</t>
  </si>
  <si>
    <t>H7301-007</t>
  </si>
  <si>
    <t>Yale, Chad</t>
  </si>
  <si>
    <t>6YC6JM8XM49</t>
  </si>
  <si>
    <t>NG102190732500</t>
  </si>
  <si>
    <t>FOSTER L,MARVIN</t>
  </si>
  <si>
    <t>KS</t>
  </si>
  <si>
    <t>IMM607</t>
  </si>
  <si>
    <t>H2663-043</t>
  </si>
  <si>
    <t>Teipel, Gregory</t>
  </si>
  <si>
    <t>1N34T79JE65</t>
  </si>
  <si>
    <t>NG102191007700</t>
  </si>
  <si>
    <t>HACKATHORN L,CHERYL</t>
  </si>
  <si>
    <t>OH</t>
  </si>
  <si>
    <t>IMM617</t>
  </si>
  <si>
    <t>H0628-005</t>
  </si>
  <si>
    <t>Shepard, Jill</t>
  </si>
  <si>
    <t>7H73W95YW92</t>
  </si>
  <si>
    <t>NG102190996400</t>
  </si>
  <si>
    <t>HAVEL O,GREGG</t>
  </si>
  <si>
    <t>AR</t>
  </si>
  <si>
    <t>IMM605</t>
  </si>
  <si>
    <t>H1608-073</t>
  </si>
  <si>
    <t>4UE7NK1VM41</t>
  </si>
  <si>
    <t>NG102189954200</t>
  </si>
  <si>
    <t>LOPEZ,LAURA</t>
  </si>
  <si>
    <t>H5521-086</t>
  </si>
  <si>
    <t>Portugal, Gary</t>
  </si>
  <si>
    <t>6NY4TY6GG73</t>
  </si>
  <si>
    <t>NG102190926800</t>
  </si>
  <si>
    <t>LUNDIN J,MICHAEL</t>
  </si>
  <si>
    <t>Liskovec, Frank</t>
  </si>
  <si>
    <t>2ME2H46AG07</t>
  </si>
  <si>
    <t>NG102190262300</t>
  </si>
  <si>
    <t>MCDONALD L,JAMIE</t>
  </si>
  <si>
    <t>Hunsberger, Anthony</t>
  </si>
  <si>
    <t>8JY3DE2EM17</t>
  </si>
  <si>
    <t>NG102190771300</t>
  </si>
  <si>
    <t>MEEHAN L,MARCY</t>
  </si>
  <si>
    <t>H3959-036</t>
  </si>
  <si>
    <t>7D05T56HE72</t>
  </si>
  <si>
    <t>NG102190030600</t>
  </si>
  <si>
    <t>MEISSNER-PLEGGE J,BARBARA</t>
  </si>
  <si>
    <t>H1608-029</t>
  </si>
  <si>
    <t>2TW8D31KD20</t>
  </si>
  <si>
    <t>NG102190173100</t>
  </si>
  <si>
    <t>PAYNE-PRICE A,THERESA</t>
  </si>
  <si>
    <t>H3959-002</t>
  </si>
  <si>
    <t>PA9999999</t>
  </si>
  <si>
    <t>ME0000PA</t>
  </si>
  <si>
    <t>PENNSYLVANIA, JANE</t>
  </si>
  <si>
    <t>HRA</t>
  </si>
  <si>
    <t>PPO</t>
  </si>
  <si>
    <t>H5522-004</t>
  </si>
  <si>
    <t>HRA/T125023054004A/17528908/MEEHAN_MARCY</t>
  </si>
  <si>
    <t>MAIN LINE BENEFITS LLC</t>
  </si>
  <si>
    <t>N/A</t>
  </si>
  <si>
    <t>9QM0AM8WN08</t>
  </si>
  <si>
    <t>NG102190169900</t>
  </si>
  <si>
    <t>RAMANIO R,JOHN</t>
  </si>
  <si>
    <t>WI</t>
  </si>
  <si>
    <t>H5521-150</t>
  </si>
  <si>
    <t>3T83FV5VT91</t>
  </si>
  <si>
    <t>NG102190247800</t>
  </si>
  <si>
    <t>SCHULTE J,EARL</t>
  </si>
  <si>
    <t>7Q54A45AT70</t>
  </si>
  <si>
    <t>NG102190223100</t>
  </si>
  <si>
    <t>SMITH C,JUNE</t>
  </si>
  <si>
    <t>Total Payee Amount: $2109.15</t>
  </si>
  <si>
    <t>Aetna MAPD OVR 2025</t>
  </si>
  <si>
    <t>Aetna MAPD 2025*</t>
  </si>
  <si>
    <t>[%/$=353][prorate=4/12]</t>
  </si>
  <si>
    <t>[%/$=313][prorate=2/12]</t>
  </si>
  <si>
    <t>[%/$=313][prorate=4/12]</t>
  </si>
  <si>
    <t>[%/$=313][prorate=3/12]</t>
  </si>
  <si>
    <t>[%/$=313][prorate=5/12]</t>
  </si>
  <si>
    <t>Aetna 2025 CT, PA, DC*</t>
  </si>
  <si>
    <t>Main Line Benefits</t>
  </si>
  <si>
    <t>17528908N</t>
  </si>
  <si>
    <t>BUCKLEY</t>
  </si>
  <si>
    <t>LISA</t>
  </si>
  <si>
    <t>MEEHAN</t>
  </si>
  <si>
    <t>MARCY</t>
  </si>
  <si>
    <t>PAYNE-PRICE</t>
  </si>
  <si>
    <t>THERESA</t>
  </si>
  <si>
    <t>MCDONALD</t>
  </si>
  <si>
    <t>JAMIE</t>
  </si>
  <si>
    <t>LUNDIN</t>
  </si>
  <si>
    <t>MICHAEL</t>
  </si>
  <si>
    <t>SMITH</t>
  </si>
  <si>
    <t>JUNE</t>
  </si>
  <si>
    <t>LOPEZ</t>
  </si>
  <si>
    <t>LAURA</t>
  </si>
  <si>
    <t>MEISSNER-PLEGGE</t>
  </si>
  <si>
    <t>BARBARA</t>
  </si>
  <si>
    <t>HACKATHORN</t>
  </si>
  <si>
    <t>CHERYL</t>
  </si>
  <si>
    <t>SCHULTE</t>
  </si>
  <si>
    <t>EARL</t>
  </si>
  <si>
    <t>FOSTER</t>
  </si>
  <si>
    <t>MARVIN</t>
  </si>
  <si>
    <t>HAVEL</t>
  </si>
  <si>
    <t>GREGG</t>
  </si>
  <si>
    <t>RAMANIO</t>
  </si>
  <si>
    <t>JOHN</t>
  </si>
  <si>
    <t>CONEY</t>
  </si>
  <si>
    <t>JOELLEN</t>
  </si>
  <si>
    <t>FARLEY</t>
  </si>
  <si>
    <t>CHARLOTTE</t>
  </si>
  <si>
    <t>DUDEK</t>
  </si>
  <si>
    <t>LORI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</si>
</sst>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14" fillId="33" borderId="0" xfId="0" applyFont="1" applyFill="1"/>
    <xf numFmtId="14" fontId="14" fillId="33" borderId="0" xfId="0" applyNumberFormat="1" applyFont="1" applyFill="1"/>
    <xf numFmtId="0" fontId="0" fillId="33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1904D-B182-4E5A-A422-687E40B6E334}">
  <dimension ref="A1:X21"/>
  <sheetViews>
    <sheetView workbookViewId="0">
      <selection activeCell="K15" sqref="K15"/>
    </sheetView>
  </sheetViews>
  <sheetFormatPr defaultRowHeight="15" x14ac:dyDescent="0.25"/>
  <cols>
    <col min="2" max="2" width="17.28515625" bestFit="1" customWidth="1"/>
    <col min="3" max="3" width="15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45903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45901</v>
      </c>
      <c r="M2" s="1">
        <v>45901</v>
      </c>
      <c r="O2">
        <v>17528908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159.33000000000001</v>
      </c>
      <c r="V2" t="s">
        <v>36</v>
      </c>
      <c r="W2" s="1">
        <v>45888</v>
      </c>
      <c r="X2">
        <v>2025</v>
      </c>
    </row>
    <row r="3" spans="1:24" x14ac:dyDescent="0.25">
      <c r="A3" s="1">
        <v>45903</v>
      </c>
      <c r="B3" t="s">
        <v>37</v>
      </c>
      <c r="C3" t="s">
        <v>38</v>
      </c>
      <c r="E3" t="s">
        <v>39</v>
      </c>
      <c r="F3" t="s">
        <v>40</v>
      </c>
      <c r="G3" t="s">
        <v>28</v>
      </c>
      <c r="H3" t="s">
        <v>29</v>
      </c>
      <c r="I3" t="s">
        <v>41</v>
      </c>
      <c r="J3" t="s">
        <v>42</v>
      </c>
      <c r="L3" s="1">
        <v>45870</v>
      </c>
      <c r="M3" s="1">
        <v>45870</v>
      </c>
      <c r="O3">
        <v>8325282</v>
      </c>
      <c r="P3" t="s">
        <v>32</v>
      </c>
      <c r="Q3" t="s">
        <v>43</v>
      </c>
      <c r="R3">
        <v>8192</v>
      </c>
      <c r="S3" t="s">
        <v>34</v>
      </c>
      <c r="T3" t="s">
        <v>35</v>
      </c>
      <c r="U3">
        <v>182.5</v>
      </c>
      <c r="V3" t="s">
        <v>36</v>
      </c>
      <c r="W3" s="1">
        <v>45861</v>
      </c>
      <c r="X3">
        <v>2025</v>
      </c>
    </row>
    <row r="4" spans="1:24" x14ac:dyDescent="0.25">
      <c r="A4" s="1">
        <v>45903</v>
      </c>
      <c r="B4" t="s">
        <v>44</v>
      </c>
      <c r="C4" t="s">
        <v>45</v>
      </c>
      <c r="E4" t="s">
        <v>46</v>
      </c>
      <c r="F4" t="s">
        <v>27</v>
      </c>
      <c r="G4" t="s">
        <v>28</v>
      </c>
      <c r="H4" t="s">
        <v>29</v>
      </c>
      <c r="I4" t="s">
        <v>30</v>
      </c>
      <c r="J4" t="s">
        <v>47</v>
      </c>
      <c r="L4" s="1">
        <v>45931</v>
      </c>
      <c r="M4" s="1">
        <v>45931</v>
      </c>
      <c r="O4">
        <v>20253958</v>
      </c>
      <c r="P4" t="s">
        <v>32</v>
      </c>
      <c r="Q4" t="s">
        <v>48</v>
      </c>
      <c r="R4">
        <v>8192</v>
      </c>
      <c r="S4" t="s">
        <v>34</v>
      </c>
      <c r="T4" t="s">
        <v>35</v>
      </c>
      <c r="U4">
        <v>10</v>
      </c>
      <c r="V4" t="s">
        <v>36</v>
      </c>
      <c r="W4" s="1">
        <v>45888</v>
      </c>
      <c r="X4">
        <v>2025</v>
      </c>
    </row>
    <row r="5" spans="1:24" x14ac:dyDescent="0.25">
      <c r="A5" s="1">
        <v>45903</v>
      </c>
      <c r="B5" t="s">
        <v>49</v>
      </c>
      <c r="C5" t="s">
        <v>50</v>
      </c>
      <c r="E5" t="s">
        <v>51</v>
      </c>
      <c r="F5" t="s">
        <v>40</v>
      </c>
      <c r="G5" t="s">
        <v>28</v>
      </c>
      <c r="H5" t="s">
        <v>29</v>
      </c>
      <c r="I5" t="s">
        <v>52</v>
      </c>
      <c r="J5" t="s">
        <v>53</v>
      </c>
      <c r="L5" s="1">
        <v>45962</v>
      </c>
      <c r="M5" s="1">
        <v>45962</v>
      </c>
      <c r="O5">
        <v>20003537</v>
      </c>
      <c r="P5" t="s">
        <v>32</v>
      </c>
      <c r="Q5" t="s">
        <v>54</v>
      </c>
      <c r="R5">
        <v>8192</v>
      </c>
      <c r="S5" t="s">
        <v>34</v>
      </c>
      <c r="T5" t="s">
        <v>35</v>
      </c>
      <c r="U5">
        <v>73</v>
      </c>
      <c r="V5" t="s">
        <v>36</v>
      </c>
      <c r="W5" s="1">
        <v>45882</v>
      </c>
      <c r="X5">
        <v>2025</v>
      </c>
    </row>
    <row r="6" spans="1:24" x14ac:dyDescent="0.25">
      <c r="A6" s="1">
        <v>45903</v>
      </c>
      <c r="B6" t="s">
        <v>55</v>
      </c>
      <c r="C6" t="s">
        <v>56</v>
      </c>
      <c r="E6" t="s">
        <v>57</v>
      </c>
      <c r="F6" t="s">
        <v>58</v>
      </c>
      <c r="G6" t="s">
        <v>28</v>
      </c>
      <c r="H6" t="s">
        <v>29</v>
      </c>
      <c r="I6" t="s">
        <v>59</v>
      </c>
      <c r="J6" t="s">
        <v>60</v>
      </c>
      <c r="L6" s="1">
        <v>45931</v>
      </c>
      <c r="M6" s="1">
        <v>45931</v>
      </c>
      <c r="O6">
        <v>8307933</v>
      </c>
      <c r="P6" t="s">
        <v>32</v>
      </c>
      <c r="Q6" t="s">
        <v>61</v>
      </c>
      <c r="R6">
        <v>8192</v>
      </c>
      <c r="S6" t="s">
        <v>34</v>
      </c>
      <c r="T6" t="s">
        <v>35</v>
      </c>
      <c r="U6">
        <v>109.5</v>
      </c>
      <c r="V6" t="s">
        <v>36</v>
      </c>
      <c r="W6" s="1">
        <v>45887</v>
      </c>
      <c r="X6">
        <v>2025</v>
      </c>
    </row>
    <row r="7" spans="1:24" x14ac:dyDescent="0.25">
      <c r="A7" s="1">
        <v>45903</v>
      </c>
      <c r="B7" t="s">
        <v>62</v>
      </c>
      <c r="C7" t="s">
        <v>63</v>
      </c>
      <c r="E7" t="s">
        <v>64</v>
      </c>
      <c r="F7" t="s">
        <v>65</v>
      </c>
      <c r="G7" t="s">
        <v>28</v>
      </c>
      <c r="H7" t="s">
        <v>29</v>
      </c>
      <c r="I7" t="s">
        <v>66</v>
      </c>
      <c r="J7" t="s">
        <v>67</v>
      </c>
      <c r="L7" s="1">
        <v>45901</v>
      </c>
      <c r="M7" s="1">
        <v>45901</v>
      </c>
      <c r="O7">
        <v>18142208</v>
      </c>
      <c r="P7" t="s">
        <v>32</v>
      </c>
      <c r="Q7" t="s">
        <v>68</v>
      </c>
      <c r="R7">
        <v>8192</v>
      </c>
      <c r="S7" t="s">
        <v>34</v>
      </c>
      <c r="T7" t="s">
        <v>35</v>
      </c>
      <c r="U7">
        <v>146</v>
      </c>
      <c r="V7" t="s">
        <v>36</v>
      </c>
      <c r="W7" s="1">
        <v>45888</v>
      </c>
      <c r="X7">
        <v>2025</v>
      </c>
    </row>
    <row r="8" spans="1:24" x14ac:dyDescent="0.25">
      <c r="A8" s="1">
        <v>45903</v>
      </c>
      <c r="B8" t="s">
        <v>69</v>
      </c>
      <c r="C8" t="s">
        <v>70</v>
      </c>
      <c r="E8" t="s">
        <v>71</v>
      </c>
      <c r="F8" t="s">
        <v>72</v>
      </c>
      <c r="G8" t="s">
        <v>28</v>
      </c>
      <c r="H8" t="s">
        <v>29</v>
      </c>
      <c r="I8" t="s">
        <v>73</v>
      </c>
      <c r="J8" t="s">
        <v>74</v>
      </c>
      <c r="L8" s="1">
        <v>45901</v>
      </c>
      <c r="M8" s="1">
        <v>45901</v>
      </c>
      <c r="O8">
        <v>8307933</v>
      </c>
      <c r="P8" t="s">
        <v>32</v>
      </c>
      <c r="Q8" t="s">
        <v>61</v>
      </c>
      <c r="R8">
        <v>8192</v>
      </c>
      <c r="S8" t="s">
        <v>34</v>
      </c>
      <c r="T8" t="s">
        <v>35</v>
      </c>
      <c r="U8">
        <v>146</v>
      </c>
      <c r="V8" t="s">
        <v>36</v>
      </c>
      <c r="W8" s="1">
        <v>45888</v>
      </c>
      <c r="X8">
        <v>2025</v>
      </c>
    </row>
    <row r="9" spans="1:24" x14ac:dyDescent="0.25">
      <c r="A9" s="1">
        <v>45903</v>
      </c>
      <c r="B9" t="s">
        <v>75</v>
      </c>
      <c r="C9" t="s">
        <v>76</v>
      </c>
      <c r="E9" t="s">
        <v>77</v>
      </c>
      <c r="F9" t="s">
        <v>40</v>
      </c>
      <c r="G9" t="s">
        <v>28</v>
      </c>
      <c r="H9" t="s">
        <v>29</v>
      </c>
      <c r="I9" t="s">
        <v>41</v>
      </c>
      <c r="J9" t="s">
        <v>78</v>
      </c>
      <c r="L9" s="1">
        <v>45931</v>
      </c>
      <c r="M9" s="1">
        <v>45931</v>
      </c>
      <c r="O9">
        <v>9213293</v>
      </c>
      <c r="P9" t="s">
        <v>32</v>
      </c>
      <c r="Q9" t="s">
        <v>79</v>
      </c>
      <c r="R9">
        <v>8192</v>
      </c>
      <c r="S9" t="s">
        <v>34</v>
      </c>
      <c r="T9" t="s">
        <v>35</v>
      </c>
      <c r="U9">
        <v>109.5</v>
      </c>
      <c r="V9" t="s">
        <v>36</v>
      </c>
      <c r="W9" s="1">
        <v>45882</v>
      </c>
      <c r="X9">
        <v>2025</v>
      </c>
    </row>
    <row r="10" spans="1:24" x14ac:dyDescent="0.25">
      <c r="A10" s="1">
        <v>45903</v>
      </c>
      <c r="B10" t="s">
        <v>80</v>
      </c>
      <c r="C10" t="s">
        <v>81</v>
      </c>
      <c r="E10" t="s">
        <v>82</v>
      </c>
      <c r="F10" t="s">
        <v>40</v>
      </c>
      <c r="G10" t="s">
        <v>28</v>
      </c>
      <c r="H10" t="s">
        <v>29</v>
      </c>
      <c r="I10" t="s">
        <v>41</v>
      </c>
      <c r="J10" t="s">
        <v>42</v>
      </c>
      <c r="L10" s="1">
        <v>45901</v>
      </c>
      <c r="M10" s="1">
        <v>45901</v>
      </c>
      <c r="O10">
        <v>8814784</v>
      </c>
      <c r="P10" t="s">
        <v>32</v>
      </c>
      <c r="Q10" t="s">
        <v>83</v>
      </c>
      <c r="R10">
        <v>8192</v>
      </c>
      <c r="S10" t="s">
        <v>34</v>
      </c>
      <c r="T10" t="s">
        <v>35</v>
      </c>
      <c r="U10">
        <v>144.33000000000001</v>
      </c>
      <c r="V10" t="s">
        <v>36</v>
      </c>
      <c r="W10" s="1">
        <v>45888</v>
      </c>
      <c r="X10">
        <v>2025</v>
      </c>
    </row>
    <row r="11" spans="1:24" x14ac:dyDescent="0.25">
      <c r="A11" s="1">
        <v>45903</v>
      </c>
      <c r="B11" t="s">
        <v>84</v>
      </c>
      <c r="C11" t="s">
        <v>85</v>
      </c>
      <c r="E11" t="s">
        <v>86</v>
      </c>
      <c r="F11" t="s">
        <v>40</v>
      </c>
      <c r="G11" t="s">
        <v>28</v>
      </c>
      <c r="H11" t="s">
        <v>29</v>
      </c>
      <c r="I11" t="s">
        <v>41</v>
      </c>
      <c r="J11" t="s">
        <v>42</v>
      </c>
      <c r="L11" s="1">
        <v>45901</v>
      </c>
      <c r="M11" s="1">
        <v>45901</v>
      </c>
      <c r="O11">
        <v>7146581</v>
      </c>
      <c r="P11" t="s">
        <v>32</v>
      </c>
      <c r="Q11" t="s">
        <v>87</v>
      </c>
      <c r="R11">
        <v>8192</v>
      </c>
      <c r="S11" t="s">
        <v>34</v>
      </c>
      <c r="T11" t="s">
        <v>35</v>
      </c>
      <c r="U11">
        <v>146</v>
      </c>
      <c r="V11" t="s">
        <v>36</v>
      </c>
      <c r="W11" s="1">
        <v>45883</v>
      </c>
      <c r="X11">
        <v>2025</v>
      </c>
    </row>
    <row r="12" spans="1:24" x14ac:dyDescent="0.25">
      <c r="A12" s="1">
        <v>45903</v>
      </c>
      <c r="B12" t="s">
        <v>88</v>
      </c>
      <c r="C12" t="s">
        <v>89</v>
      </c>
      <c r="E12" t="s">
        <v>90</v>
      </c>
      <c r="F12" t="s">
        <v>27</v>
      </c>
      <c r="G12" t="s">
        <v>28</v>
      </c>
      <c r="H12" t="s">
        <v>29</v>
      </c>
      <c r="I12" t="s">
        <v>30</v>
      </c>
      <c r="J12" t="s">
        <v>91</v>
      </c>
      <c r="L12" s="1">
        <v>45901</v>
      </c>
      <c r="M12" s="1">
        <v>45901</v>
      </c>
      <c r="O12">
        <v>17528908</v>
      </c>
      <c r="P12" t="s">
        <v>32</v>
      </c>
      <c r="Q12" t="s">
        <v>33</v>
      </c>
      <c r="R12">
        <v>8192</v>
      </c>
      <c r="S12" t="s">
        <v>34</v>
      </c>
      <c r="T12" t="s">
        <v>35</v>
      </c>
      <c r="U12">
        <v>159.33000000000001</v>
      </c>
      <c r="V12" t="s">
        <v>36</v>
      </c>
      <c r="W12" s="1">
        <v>45887</v>
      </c>
      <c r="X12">
        <v>2025</v>
      </c>
    </row>
    <row r="13" spans="1:24" x14ac:dyDescent="0.25">
      <c r="A13" s="1">
        <v>45903</v>
      </c>
      <c r="B13" t="s">
        <v>92</v>
      </c>
      <c r="C13" t="s">
        <v>93</v>
      </c>
      <c r="E13" t="s">
        <v>94</v>
      </c>
      <c r="F13" t="s">
        <v>65</v>
      </c>
      <c r="G13" t="s">
        <v>28</v>
      </c>
      <c r="H13" t="s">
        <v>29</v>
      </c>
      <c r="I13" t="s">
        <v>66</v>
      </c>
      <c r="J13" t="s">
        <v>95</v>
      </c>
      <c r="L13" s="1">
        <v>45962</v>
      </c>
      <c r="M13" s="1">
        <v>45962</v>
      </c>
      <c r="O13">
        <v>18142208</v>
      </c>
      <c r="P13" t="s">
        <v>32</v>
      </c>
      <c r="Q13" t="s">
        <v>68</v>
      </c>
      <c r="R13">
        <v>8192</v>
      </c>
      <c r="S13" t="s">
        <v>34</v>
      </c>
      <c r="T13" t="s">
        <v>35</v>
      </c>
      <c r="U13">
        <v>73</v>
      </c>
      <c r="V13" t="s">
        <v>36</v>
      </c>
      <c r="W13" s="1">
        <v>45882</v>
      </c>
      <c r="X13">
        <v>2025</v>
      </c>
    </row>
    <row r="14" spans="1:24" x14ac:dyDescent="0.25">
      <c r="A14" s="1">
        <v>45903</v>
      </c>
      <c r="B14" t="s">
        <v>96</v>
      </c>
      <c r="C14" t="s">
        <v>97</v>
      </c>
      <c r="E14" t="s">
        <v>98</v>
      </c>
      <c r="F14" t="s">
        <v>27</v>
      </c>
      <c r="G14" t="s">
        <v>28</v>
      </c>
      <c r="H14" t="s">
        <v>29</v>
      </c>
      <c r="I14" t="s">
        <v>30</v>
      </c>
      <c r="J14" t="s">
        <v>99</v>
      </c>
      <c r="L14" s="1">
        <v>45901</v>
      </c>
      <c r="M14" s="1">
        <v>45901</v>
      </c>
      <c r="O14">
        <v>17528908</v>
      </c>
      <c r="P14" t="s">
        <v>32</v>
      </c>
      <c r="Q14" t="s">
        <v>33</v>
      </c>
      <c r="R14">
        <v>8192</v>
      </c>
      <c r="S14" t="s">
        <v>34</v>
      </c>
      <c r="T14" t="s">
        <v>35</v>
      </c>
      <c r="U14">
        <v>159.33000000000001</v>
      </c>
      <c r="V14" t="s">
        <v>36</v>
      </c>
      <c r="W14" s="1">
        <v>45883</v>
      </c>
      <c r="X14">
        <v>2025</v>
      </c>
    </row>
    <row r="15" spans="1:24" x14ac:dyDescent="0.25">
      <c r="A15" s="1">
        <v>45903</v>
      </c>
      <c r="B15" t="s">
        <v>100</v>
      </c>
      <c r="C15" t="s">
        <v>101</v>
      </c>
      <c r="E15" t="s">
        <v>102</v>
      </c>
      <c r="F15" t="s">
        <v>27</v>
      </c>
      <c r="G15" t="s">
        <v>103</v>
      </c>
      <c r="H15" t="s">
        <v>104</v>
      </c>
      <c r="I15" t="s">
        <v>30</v>
      </c>
      <c r="J15" t="s">
        <v>105</v>
      </c>
      <c r="K15" t="s">
        <v>106</v>
      </c>
      <c r="L15" s="1">
        <v>45870</v>
      </c>
      <c r="M15" s="1">
        <v>44562</v>
      </c>
      <c r="R15">
        <v>8192</v>
      </c>
      <c r="T15" t="s">
        <v>107</v>
      </c>
      <c r="U15">
        <v>55</v>
      </c>
      <c r="V15" t="s">
        <v>108</v>
      </c>
      <c r="W15" s="1">
        <v>44501</v>
      </c>
      <c r="X15">
        <v>2025</v>
      </c>
    </row>
    <row r="16" spans="1:24" x14ac:dyDescent="0.25">
      <c r="A16" s="1">
        <v>45903</v>
      </c>
      <c r="B16" t="s">
        <v>109</v>
      </c>
      <c r="C16" t="s">
        <v>110</v>
      </c>
      <c r="E16" t="s">
        <v>111</v>
      </c>
      <c r="F16" t="s">
        <v>112</v>
      </c>
      <c r="G16" t="s">
        <v>28</v>
      </c>
      <c r="H16" t="s">
        <v>29</v>
      </c>
      <c r="I16" t="s">
        <v>41</v>
      </c>
      <c r="J16" t="s">
        <v>113</v>
      </c>
      <c r="L16" s="1">
        <v>45901</v>
      </c>
      <c r="M16" s="1">
        <v>45901</v>
      </c>
      <c r="O16">
        <v>8325282</v>
      </c>
      <c r="P16" t="s">
        <v>32</v>
      </c>
      <c r="Q16" t="s">
        <v>43</v>
      </c>
      <c r="R16">
        <v>8192</v>
      </c>
      <c r="S16" t="s">
        <v>34</v>
      </c>
      <c r="T16" t="s">
        <v>35</v>
      </c>
      <c r="U16">
        <v>144.33000000000001</v>
      </c>
      <c r="V16" t="s">
        <v>36</v>
      </c>
      <c r="W16" s="1">
        <v>45883</v>
      </c>
      <c r="X16">
        <v>2025</v>
      </c>
    </row>
    <row r="17" spans="1:24" x14ac:dyDescent="0.25">
      <c r="A17" s="1">
        <v>45903</v>
      </c>
      <c r="B17" t="s">
        <v>114</v>
      </c>
      <c r="C17" t="s">
        <v>115</v>
      </c>
      <c r="E17" t="s">
        <v>116</v>
      </c>
      <c r="F17" t="s">
        <v>65</v>
      </c>
      <c r="G17" t="s">
        <v>28</v>
      </c>
      <c r="H17" t="s">
        <v>29</v>
      </c>
      <c r="I17" t="s">
        <v>66</v>
      </c>
      <c r="J17" t="s">
        <v>95</v>
      </c>
      <c r="L17" s="1">
        <v>45901</v>
      </c>
      <c r="M17" s="1">
        <v>45901</v>
      </c>
      <c r="O17">
        <v>18142208</v>
      </c>
      <c r="P17" t="s">
        <v>32</v>
      </c>
      <c r="Q17" t="s">
        <v>68</v>
      </c>
      <c r="R17">
        <v>8192</v>
      </c>
      <c r="S17" t="s">
        <v>34</v>
      </c>
      <c r="T17" t="s">
        <v>35</v>
      </c>
      <c r="U17">
        <v>146</v>
      </c>
      <c r="V17" t="s">
        <v>36</v>
      </c>
      <c r="W17" s="1">
        <v>45883</v>
      </c>
      <c r="X17">
        <v>2025</v>
      </c>
    </row>
    <row r="18" spans="1:24" x14ac:dyDescent="0.25">
      <c r="A18" s="1">
        <v>45903</v>
      </c>
      <c r="B18" t="s">
        <v>117</v>
      </c>
      <c r="C18" t="s">
        <v>118</v>
      </c>
      <c r="E18" t="s">
        <v>119</v>
      </c>
      <c r="F18" t="s">
        <v>40</v>
      </c>
      <c r="G18" t="s">
        <v>28</v>
      </c>
      <c r="H18" t="s">
        <v>29</v>
      </c>
      <c r="I18" t="s">
        <v>41</v>
      </c>
      <c r="J18" t="s">
        <v>42</v>
      </c>
      <c r="L18" s="1">
        <v>45901</v>
      </c>
      <c r="M18" s="1">
        <v>45901</v>
      </c>
      <c r="O18">
        <v>8814784</v>
      </c>
      <c r="P18" t="s">
        <v>32</v>
      </c>
      <c r="Q18" t="s">
        <v>83</v>
      </c>
      <c r="R18">
        <v>8192</v>
      </c>
      <c r="S18" t="s">
        <v>34</v>
      </c>
      <c r="T18" t="s">
        <v>35</v>
      </c>
      <c r="U18">
        <v>146</v>
      </c>
      <c r="V18" t="s">
        <v>36</v>
      </c>
      <c r="W18" s="1">
        <v>45883</v>
      </c>
      <c r="X18">
        <v>2025</v>
      </c>
    </row>
    <row r="21" spans="1:24" x14ac:dyDescent="0.25">
      <c r="A21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747EA-EFF3-44A0-BE78-8EE4C4226406}">
  <dimension ref="A1:AA32"/>
  <sheetViews>
    <sheetView tabSelected="1" workbookViewId="0">
      <selection activeCell="B9" sqref="B9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27.85546875" bestFit="1" customWidth="1"/>
    <col min="4" max="5" width="27.85546875" customWidth="1"/>
    <col min="7" max="7" width="13.42578125" bestFit="1" customWidth="1"/>
    <col min="9" max="9" width="15.7109375" bestFit="1" customWidth="1"/>
    <col min="10" max="10" width="13.5703125" bestFit="1" customWidth="1"/>
    <col min="11" max="11" width="18" bestFit="1" customWidth="1"/>
    <col min="13" max="13" width="20.140625" bestFit="1" customWidth="1"/>
    <col min="18" max="18" width="21.140625" bestFit="1" customWidth="1"/>
  </cols>
  <sheetData>
    <row r="1" spans="1:27" x14ac:dyDescent="0.25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20</v>
      </c>
    </row>
    <row r="2" spans="1:27" s="2" customFormat="1" x14ac:dyDescent="0.25">
      <c r="A2" s="2" t="s">
        <v>24</v>
      </c>
      <c r="B2" s="2" t="str">
        <f>CONCATENATE(A2,8)</f>
        <v>9FW5UM2ME898</v>
      </c>
      <c r="C2" s="2" t="s">
        <v>131</v>
      </c>
      <c r="D2" s="2" t="s">
        <v>132</v>
      </c>
      <c r="E2" s="2" t="str">
        <f>CONCATENATE(D2, " ",C2)</f>
        <v>LISA BUCKLEY</v>
      </c>
      <c r="F2" s="2" t="s">
        <v>27</v>
      </c>
      <c r="G2" s="2" t="s">
        <v>28</v>
      </c>
      <c r="H2" s="2" t="s">
        <v>29</v>
      </c>
      <c r="I2" s="3">
        <v>45901</v>
      </c>
      <c r="J2" s="3">
        <v>45901</v>
      </c>
      <c r="K2" s="6" t="s">
        <v>130</v>
      </c>
      <c r="L2" s="2" t="s">
        <v>32</v>
      </c>
      <c r="M2" s="2" t="s">
        <v>33</v>
      </c>
      <c r="N2" s="2">
        <v>8192</v>
      </c>
      <c r="O2" s="2" t="s">
        <v>34</v>
      </c>
      <c r="P2" s="2">
        <v>159.33000000000001</v>
      </c>
      <c r="Q2" s="2">
        <v>117.66</v>
      </c>
      <c r="R2" s="2" t="s">
        <v>128</v>
      </c>
      <c r="S2" s="2" t="s">
        <v>123</v>
      </c>
      <c r="V2" s="2">
        <f>353/12*4</f>
        <v>117.66666666666667</v>
      </c>
    </row>
    <row r="3" spans="1:27" s="2" customFormat="1" x14ac:dyDescent="0.25">
      <c r="A3" s="2" t="s">
        <v>88</v>
      </c>
      <c r="B3" s="2" t="str">
        <f>CONCATENATE(A3,8)</f>
        <v>8JY3DE2EM178</v>
      </c>
      <c r="C3" s="2" t="s">
        <v>133</v>
      </c>
      <c r="D3" s="2" t="s">
        <v>134</v>
      </c>
      <c r="E3" s="2" t="str">
        <f t="shared" ref="E3:E32" si="0">CONCATENATE(D3, " ",C3)</f>
        <v>MARCY MEEHAN</v>
      </c>
      <c r="F3" s="2" t="s">
        <v>27</v>
      </c>
      <c r="G3" s="2" t="s">
        <v>28</v>
      </c>
      <c r="H3" s="2" t="s">
        <v>29</v>
      </c>
      <c r="I3" s="3">
        <v>45901</v>
      </c>
      <c r="J3" s="3">
        <v>45901</v>
      </c>
      <c r="K3" s="6" t="s">
        <v>130</v>
      </c>
      <c r="L3" s="2" t="s">
        <v>32</v>
      </c>
      <c r="M3" s="2" t="s">
        <v>33</v>
      </c>
      <c r="N3" s="2">
        <v>8192</v>
      </c>
      <c r="O3" s="2" t="s">
        <v>34</v>
      </c>
      <c r="P3" s="2">
        <v>159.33000000000001</v>
      </c>
      <c r="Q3" s="2">
        <v>117.66</v>
      </c>
      <c r="R3" s="2" t="s">
        <v>128</v>
      </c>
      <c r="S3" s="2" t="s">
        <v>123</v>
      </c>
    </row>
    <row r="4" spans="1:27" s="2" customFormat="1" x14ac:dyDescent="0.25">
      <c r="A4" s="2" t="s">
        <v>96</v>
      </c>
      <c r="B4" s="2" t="str">
        <f>CONCATENATE(A4,8)</f>
        <v>2TW8D31KD208</v>
      </c>
      <c r="C4" s="2" t="s">
        <v>135</v>
      </c>
      <c r="D4" s="2" t="s">
        <v>136</v>
      </c>
      <c r="E4" s="2" t="str">
        <f t="shared" si="0"/>
        <v>THERESA PAYNE-PRICE</v>
      </c>
      <c r="F4" s="2" t="s">
        <v>27</v>
      </c>
      <c r="G4" s="2" t="s">
        <v>28</v>
      </c>
      <c r="H4" s="2" t="s">
        <v>29</v>
      </c>
      <c r="I4" s="3">
        <v>45901</v>
      </c>
      <c r="J4" s="3">
        <v>45901</v>
      </c>
      <c r="K4" s="6" t="s">
        <v>130</v>
      </c>
      <c r="L4" s="2" t="s">
        <v>32</v>
      </c>
      <c r="M4" s="2" t="s">
        <v>33</v>
      </c>
      <c r="N4" s="2">
        <v>8192</v>
      </c>
      <c r="O4" s="2" t="s">
        <v>34</v>
      </c>
      <c r="P4" s="2">
        <v>159.33000000000001</v>
      </c>
      <c r="Q4" s="2">
        <v>117.66</v>
      </c>
      <c r="R4" s="2" t="s">
        <v>128</v>
      </c>
      <c r="S4" s="2" t="s">
        <v>123</v>
      </c>
    </row>
    <row r="5" spans="1:27" s="4" customFormat="1" x14ac:dyDescent="0.25">
      <c r="A5" s="2" t="s">
        <v>84</v>
      </c>
      <c r="B5" s="2" t="str">
        <f>CONCATENATE(A5,8)</f>
        <v>2ME2H46AG078</v>
      </c>
      <c r="C5" s="2" t="s">
        <v>137</v>
      </c>
      <c r="D5" s="2" t="s">
        <v>138</v>
      </c>
      <c r="E5" s="2" t="str">
        <f t="shared" si="0"/>
        <v>JAMIE MCDONALD</v>
      </c>
      <c r="F5" s="2" t="s">
        <v>40</v>
      </c>
      <c r="G5" s="2" t="s">
        <v>28</v>
      </c>
      <c r="H5" s="2" t="s">
        <v>29</v>
      </c>
      <c r="I5" s="3">
        <v>45901</v>
      </c>
      <c r="J5" s="3">
        <v>45901</v>
      </c>
      <c r="K5" s="2">
        <v>7146581</v>
      </c>
      <c r="L5" s="2" t="s">
        <v>32</v>
      </c>
      <c r="M5" s="2" t="s">
        <v>87</v>
      </c>
      <c r="N5" s="2">
        <v>8192</v>
      </c>
      <c r="O5" s="2" t="s">
        <v>34</v>
      </c>
      <c r="P5" s="2">
        <v>146</v>
      </c>
      <c r="Q5" s="2">
        <v>104.33</v>
      </c>
      <c r="R5" s="2" t="s">
        <v>122</v>
      </c>
      <c r="S5" s="2" t="s">
        <v>125</v>
      </c>
      <c r="T5" s="2"/>
      <c r="U5" s="2"/>
      <c r="V5" s="2"/>
      <c r="W5" s="2"/>
      <c r="X5" s="2"/>
      <c r="Y5" s="2"/>
      <c r="Z5" s="2"/>
      <c r="AA5" s="2"/>
    </row>
    <row r="6" spans="1:27" s="4" customFormat="1" x14ac:dyDescent="0.25">
      <c r="A6" s="2" t="s">
        <v>80</v>
      </c>
      <c r="B6" s="2" t="str">
        <f>CONCATENATE(A6,8)</f>
        <v>6NY4TY6GG738</v>
      </c>
      <c r="C6" s="2" t="s">
        <v>139</v>
      </c>
      <c r="D6" s="2" t="s">
        <v>140</v>
      </c>
      <c r="E6" s="2" t="str">
        <f t="shared" si="0"/>
        <v>MICHAEL LUNDIN</v>
      </c>
      <c r="F6" s="2" t="s">
        <v>40</v>
      </c>
      <c r="G6" s="2" t="s">
        <v>28</v>
      </c>
      <c r="H6" s="2" t="s">
        <v>29</v>
      </c>
      <c r="I6" s="3">
        <v>45901</v>
      </c>
      <c r="J6" s="3">
        <v>45901</v>
      </c>
      <c r="K6" s="2">
        <v>8814784</v>
      </c>
      <c r="L6" s="2" t="s">
        <v>32</v>
      </c>
      <c r="M6" s="2" t="s">
        <v>83</v>
      </c>
      <c r="N6" s="2">
        <v>8192</v>
      </c>
      <c r="O6" s="2" t="s">
        <v>34</v>
      </c>
      <c r="P6" s="2">
        <v>144.33000000000001</v>
      </c>
      <c r="Q6" s="2">
        <v>104.33</v>
      </c>
      <c r="R6" s="2" t="s">
        <v>122</v>
      </c>
      <c r="S6" s="2" t="s">
        <v>125</v>
      </c>
      <c r="T6" s="2"/>
      <c r="U6" s="2"/>
      <c r="V6" s="2">
        <f>313/12*4</f>
        <v>104.33333333333333</v>
      </c>
      <c r="W6" s="2"/>
      <c r="X6" s="2"/>
      <c r="Y6" s="2"/>
      <c r="Z6" s="2"/>
      <c r="AA6" s="2"/>
    </row>
    <row r="7" spans="1:27" s="2" customFormat="1" x14ac:dyDescent="0.25">
      <c r="A7" s="2" t="s">
        <v>117</v>
      </c>
      <c r="B7" s="2" t="str">
        <f>CONCATENATE(A7,8)</f>
        <v>7Q54A45AT708</v>
      </c>
      <c r="C7" s="2" t="s">
        <v>141</v>
      </c>
      <c r="D7" s="2" t="s">
        <v>142</v>
      </c>
      <c r="E7" s="2" t="str">
        <f t="shared" si="0"/>
        <v>JUNE SMITH</v>
      </c>
      <c r="F7" s="2" t="s">
        <v>40</v>
      </c>
      <c r="G7" s="2" t="s">
        <v>28</v>
      </c>
      <c r="H7" s="2" t="s">
        <v>29</v>
      </c>
      <c r="I7" s="3">
        <v>45901</v>
      </c>
      <c r="J7" s="3">
        <v>45901</v>
      </c>
      <c r="K7" s="2">
        <v>8814784</v>
      </c>
      <c r="L7" s="2" t="s">
        <v>32</v>
      </c>
      <c r="M7" s="2" t="s">
        <v>83</v>
      </c>
      <c r="N7" s="2">
        <v>8192</v>
      </c>
      <c r="O7" s="2" t="s">
        <v>34</v>
      </c>
      <c r="P7" s="2">
        <v>146</v>
      </c>
      <c r="Q7" s="2">
        <v>104.33</v>
      </c>
      <c r="R7" s="2" t="s">
        <v>122</v>
      </c>
      <c r="S7" s="2" t="s">
        <v>125</v>
      </c>
    </row>
    <row r="8" spans="1:27" s="2" customFormat="1" x14ac:dyDescent="0.25">
      <c r="A8" s="2" t="s">
        <v>75</v>
      </c>
      <c r="B8" s="2" t="str">
        <f>CONCATENATE(A8,8)</f>
        <v>4UE7NK1VM418</v>
      </c>
      <c r="C8" s="2" t="s">
        <v>143</v>
      </c>
      <c r="D8" s="2" t="s">
        <v>144</v>
      </c>
      <c r="E8" s="2" t="str">
        <f t="shared" si="0"/>
        <v>LAURA LOPEZ</v>
      </c>
      <c r="F8" s="2" t="s">
        <v>40</v>
      </c>
      <c r="G8" s="2" t="s">
        <v>28</v>
      </c>
      <c r="H8" s="2" t="s">
        <v>29</v>
      </c>
      <c r="I8" s="3">
        <v>45931</v>
      </c>
      <c r="J8" s="3">
        <v>45931</v>
      </c>
      <c r="K8" s="2">
        <v>9213293</v>
      </c>
      <c r="L8" s="2" t="s">
        <v>32</v>
      </c>
      <c r="M8" s="2" t="s">
        <v>79</v>
      </c>
      <c r="N8" s="2">
        <v>8192</v>
      </c>
      <c r="O8" s="2" t="s">
        <v>34</v>
      </c>
      <c r="P8" s="2">
        <v>109.5</v>
      </c>
      <c r="Q8" s="2">
        <v>78.25</v>
      </c>
      <c r="R8" s="2" t="s">
        <v>122</v>
      </c>
      <c r="S8" s="2" t="s">
        <v>126</v>
      </c>
    </row>
    <row r="9" spans="1:27" s="4" customFormat="1" x14ac:dyDescent="0.25">
      <c r="A9" s="2" t="s">
        <v>92</v>
      </c>
      <c r="B9" s="2" t="str">
        <f>CONCATENATE(A9,8)</f>
        <v>7D05T56HE728</v>
      </c>
      <c r="C9" s="2" t="s">
        <v>145</v>
      </c>
      <c r="D9" s="2" t="s">
        <v>146</v>
      </c>
      <c r="E9" s="2" t="str">
        <f t="shared" si="0"/>
        <v>BARBARA MEISSNER-PLEGGE</v>
      </c>
      <c r="F9" s="2" t="s">
        <v>65</v>
      </c>
      <c r="G9" s="2" t="s">
        <v>28</v>
      </c>
      <c r="H9" s="2" t="s">
        <v>29</v>
      </c>
      <c r="I9" s="3">
        <v>45962</v>
      </c>
      <c r="J9" s="3">
        <v>45962</v>
      </c>
      <c r="K9" s="2">
        <v>18142208</v>
      </c>
      <c r="L9" s="2" t="s">
        <v>32</v>
      </c>
      <c r="M9" s="2" t="s">
        <v>68</v>
      </c>
      <c r="N9" s="2">
        <v>8192</v>
      </c>
      <c r="O9" s="2" t="s">
        <v>34</v>
      </c>
      <c r="P9" s="2">
        <v>73</v>
      </c>
      <c r="Q9" s="2">
        <v>52.17</v>
      </c>
      <c r="R9" s="2" t="s">
        <v>122</v>
      </c>
      <c r="S9" s="2" t="s">
        <v>124</v>
      </c>
      <c r="T9" s="2"/>
      <c r="U9" s="2"/>
      <c r="V9" s="2"/>
      <c r="W9" s="2"/>
      <c r="X9" s="2"/>
      <c r="Y9" s="2"/>
      <c r="Z9" s="2"/>
      <c r="AA9" s="2"/>
    </row>
    <row r="10" spans="1:27" s="4" customFormat="1" x14ac:dyDescent="0.25">
      <c r="A10" s="2" t="s">
        <v>62</v>
      </c>
      <c r="B10" s="2" t="str">
        <f>CONCATENATE(A10,8)</f>
        <v>1N34T79JE658</v>
      </c>
      <c r="C10" s="2" t="s">
        <v>147</v>
      </c>
      <c r="D10" s="2" t="s">
        <v>148</v>
      </c>
      <c r="E10" s="2" t="str">
        <f t="shared" si="0"/>
        <v>CHERYL HACKATHORN</v>
      </c>
      <c r="F10" s="2" t="s">
        <v>65</v>
      </c>
      <c r="G10" s="2" t="s">
        <v>28</v>
      </c>
      <c r="H10" s="2" t="s">
        <v>29</v>
      </c>
      <c r="I10" s="3">
        <v>45901</v>
      </c>
      <c r="J10" s="3">
        <v>45901</v>
      </c>
      <c r="K10" s="2">
        <v>18142208</v>
      </c>
      <c r="L10" s="2" t="s">
        <v>32</v>
      </c>
      <c r="M10" s="2" t="s">
        <v>68</v>
      </c>
      <c r="N10" s="2">
        <v>8192</v>
      </c>
      <c r="O10" s="2" t="s">
        <v>34</v>
      </c>
      <c r="P10" s="2">
        <v>146</v>
      </c>
      <c r="Q10" s="2">
        <v>104.33</v>
      </c>
      <c r="R10" s="2" t="s">
        <v>122</v>
      </c>
      <c r="S10" s="2" t="s">
        <v>125</v>
      </c>
      <c r="T10" s="2"/>
      <c r="U10" s="2"/>
      <c r="V10" s="2">
        <f>313/12*4</f>
        <v>104.33333333333333</v>
      </c>
      <c r="W10" s="2"/>
      <c r="X10" s="2"/>
      <c r="Y10" s="2"/>
      <c r="Z10" s="2"/>
      <c r="AA10" s="2"/>
    </row>
    <row r="11" spans="1:27" s="2" customFormat="1" x14ac:dyDescent="0.25">
      <c r="A11" s="2" t="s">
        <v>114</v>
      </c>
      <c r="B11" s="2" t="str">
        <f>CONCATENATE(A11,8)</f>
        <v>3T83FV5VT918</v>
      </c>
      <c r="C11" s="2" t="s">
        <v>149</v>
      </c>
      <c r="D11" s="2" t="s">
        <v>150</v>
      </c>
      <c r="E11" s="2" t="str">
        <f t="shared" si="0"/>
        <v>EARL SCHULTE</v>
      </c>
      <c r="F11" s="2" t="s">
        <v>65</v>
      </c>
      <c r="G11" s="2" t="s">
        <v>28</v>
      </c>
      <c r="H11" s="2" t="s">
        <v>29</v>
      </c>
      <c r="I11" s="3">
        <v>45901</v>
      </c>
      <c r="J11" s="3">
        <v>45901</v>
      </c>
      <c r="K11" s="2">
        <v>18142208</v>
      </c>
      <c r="L11" s="2" t="s">
        <v>32</v>
      </c>
      <c r="M11" s="2" t="s">
        <v>68</v>
      </c>
      <c r="N11" s="2">
        <v>8192</v>
      </c>
      <c r="O11" s="2" t="s">
        <v>34</v>
      </c>
      <c r="P11" s="2">
        <v>146</v>
      </c>
      <c r="Q11" s="2">
        <v>104.33</v>
      </c>
      <c r="R11" s="2" t="s">
        <v>122</v>
      </c>
      <c r="S11" s="2" t="s">
        <v>125</v>
      </c>
    </row>
    <row r="12" spans="1:27" s="4" customFormat="1" x14ac:dyDescent="0.25">
      <c r="A12" s="2" t="s">
        <v>55</v>
      </c>
      <c r="B12" s="2" t="str">
        <f>CONCATENATE(A12,8)</f>
        <v>6YC6JM8XM498</v>
      </c>
      <c r="C12" s="2" t="s">
        <v>151</v>
      </c>
      <c r="D12" s="2" t="s">
        <v>152</v>
      </c>
      <c r="E12" s="2" t="str">
        <f t="shared" si="0"/>
        <v>MARVIN FOSTER</v>
      </c>
      <c r="F12" s="2" t="s">
        <v>58</v>
      </c>
      <c r="G12" s="2" t="s">
        <v>28</v>
      </c>
      <c r="H12" s="2" t="s">
        <v>29</v>
      </c>
      <c r="I12" s="3">
        <v>45931</v>
      </c>
      <c r="J12" s="3">
        <v>45931</v>
      </c>
      <c r="K12" s="2">
        <v>8307933</v>
      </c>
      <c r="L12" s="2" t="s">
        <v>32</v>
      </c>
      <c r="M12" s="2" t="s">
        <v>61</v>
      </c>
      <c r="N12" s="2">
        <v>8192</v>
      </c>
      <c r="O12" s="2" t="s">
        <v>34</v>
      </c>
      <c r="P12" s="2">
        <v>109.5</v>
      </c>
      <c r="Q12" s="2">
        <v>78.25</v>
      </c>
      <c r="R12" s="2" t="s">
        <v>122</v>
      </c>
      <c r="S12" s="2" t="s">
        <v>126</v>
      </c>
      <c r="T12" s="2"/>
      <c r="U12" s="2"/>
      <c r="V12" s="2">
        <f>313/12*3</f>
        <v>78.25</v>
      </c>
      <c r="W12" s="2"/>
      <c r="X12" s="2"/>
      <c r="Y12" s="2"/>
      <c r="Z12" s="2"/>
      <c r="AA12" s="2"/>
    </row>
    <row r="13" spans="1:27" s="4" customFormat="1" x14ac:dyDescent="0.25">
      <c r="A13" s="2" t="s">
        <v>69</v>
      </c>
      <c r="B13" s="2" t="str">
        <f>CONCATENATE(A13,8)</f>
        <v>7H73W95YW928</v>
      </c>
      <c r="C13" s="2" t="s">
        <v>153</v>
      </c>
      <c r="D13" s="2" t="s">
        <v>154</v>
      </c>
      <c r="E13" s="2" t="str">
        <f t="shared" si="0"/>
        <v>GREGG HAVEL</v>
      </c>
      <c r="F13" s="2" t="s">
        <v>72</v>
      </c>
      <c r="G13" s="2" t="s">
        <v>28</v>
      </c>
      <c r="H13" s="2" t="s">
        <v>29</v>
      </c>
      <c r="I13" s="3">
        <v>45901</v>
      </c>
      <c r="J13" s="3">
        <v>45901</v>
      </c>
      <c r="K13" s="2">
        <v>8307933</v>
      </c>
      <c r="L13" s="2" t="s">
        <v>32</v>
      </c>
      <c r="M13" s="2" t="s">
        <v>61</v>
      </c>
      <c r="N13" s="2">
        <v>8192</v>
      </c>
      <c r="O13" s="2" t="s">
        <v>34</v>
      </c>
      <c r="P13" s="2">
        <v>146</v>
      </c>
      <c r="Q13" s="2">
        <v>104.33</v>
      </c>
      <c r="R13" s="2" t="s">
        <v>122</v>
      </c>
      <c r="S13" s="2" t="s">
        <v>125</v>
      </c>
      <c r="T13" s="2"/>
      <c r="U13" s="2"/>
      <c r="V13" s="2"/>
      <c r="W13" s="2"/>
      <c r="X13" s="2"/>
      <c r="Y13" s="2"/>
      <c r="Z13" s="2"/>
      <c r="AA13" s="2"/>
    </row>
    <row r="14" spans="1:27" s="4" customFormat="1" x14ac:dyDescent="0.25">
      <c r="A14" s="2" t="s">
        <v>109</v>
      </c>
      <c r="B14" s="2" t="str">
        <f>CONCATENATE(A14,8)</f>
        <v>9QM0AM8WN088</v>
      </c>
      <c r="C14" s="2" t="s">
        <v>155</v>
      </c>
      <c r="D14" s="2" t="s">
        <v>156</v>
      </c>
      <c r="E14" s="2" t="str">
        <f t="shared" si="0"/>
        <v>JOHN RAMANIO</v>
      </c>
      <c r="F14" s="2" t="s">
        <v>112</v>
      </c>
      <c r="G14" s="2" t="s">
        <v>28</v>
      </c>
      <c r="H14" s="2" t="s">
        <v>29</v>
      </c>
      <c r="I14" s="3">
        <v>45901</v>
      </c>
      <c r="J14" s="3">
        <v>45901</v>
      </c>
      <c r="K14" s="2">
        <v>8325282</v>
      </c>
      <c r="L14" s="2" t="s">
        <v>32</v>
      </c>
      <c r="M14" s="2" t="s">
        <v>43</v>
      </c>
      <c r="N14" s="2">
        <v>8192</v>
      </c>
      <c r="O14" s="2" t="s">
        <v>34</v>
      </c>
      <c r="P14" s="2">
        <v>144.33000000000001</v>
      </c>
      <c r="Q14" s="2">
        <v>104.33</v>
      </c>
      <c r="R14" s="2" t="s">
        <v>122</v>
      </c>
      <c r="S14" s="2" t="s">
        <v>125</v>
      </c>
      <c r="T14" s="2"/>
      <c r="U14" s="2"/>
      <c r="V14" s="2"/>
      <c r="W14" s="2"/>
      <c r="X14" s="2"/>
      <c r="Y14" s="2"/>
      <c r="Z14" s="2"/>
      <c r="AA14" s="2"/>
    </row>
    <row r="15" spans="1:27" s="2" customFormat="1" x14ac:dyDescent="0.25">
      <c r="A15" s="2" t="s">
        <v>37</v>
      </c>
      <c r="B15" s="2" t="str">
        <f>CONCATENATE(A15,8)</f>
        <v>7XR8EQ1FQ648</v>
      </c>
      <c r="C15" s="2" t="s">
        <v>157</v>
      </c>
      <c r="D15" s="2" t="s">
        <v>158</v>
      </c>
      <c r="E15" s="2" t="str">
        <f t="shared" si="0"/>
        <v>JOELLEN CONEY</v>
      </c>
      <c r="F15" s="2" t="s">
        <v>40</v>
      </c>
      <c r="G15" s="2" t="s">
        <v>28</v>
      </c>
      <c r="H15" s="2" t="s">
        <v>29</v>
      </c>
      <c r="I15" s="3">
        <v>45870</v>
      </c>
      <c r="J15" s="3">
        <v>45870</v>
      </c>
      <c r="K15" s="2">
        <v>8325282</v>
      </c>
      <c r="L15" s="2" t="s">
        <v>32</v>
      </c>
      <c r="M15" s="2" t="s">
        <v>43</v>
      </c>
      <c r="N15" s="2">
        <v>8192</v>
      </c>
      <c r="O15" s="2" t="s">
        <v>34</v>
      </c>
      <c r="P15" s="2">
        <v>182.5</v>
      </c>
      <c r="Q15" s="2">
        <v>130.41999999999999</v>
      </c>
      <c r="R15" s="2" t="s">
        <v>122</v>
      </c>
      <c r="S15" s="2" t="s">
        <v>127</v>
      </c>
      <c r="V15" s="2">
        <f>313/12*5</f>
        <v>130.41666666666666</v>
      </c>
    </row>
    <row r="16" spans="1:27" s="2" customFormat="1" x14ac:dyDescent="0.25">
      <c r="A16" s="2" t="s">
        <v>49</v>
      </c>
      <c r="B16" s="2" t="str">
        <f>CONCATENATE(A16,8)</f>
        <v>2J22TR3TJ188</v>
      </c>
      <c r="C16" s="2" t="s">
        <v>159</v>
      </c>
      <c r="D16" s="2" t="s">
        <v>160</v>
      </c>
      <c r="E16" s="2" t="str">
        <f t="shared" si="0"/>
        <v>CHARLOTTE FARLEY</v>
      </c>
      <c r="F16" s="2" t="s">
        <v>40</v>
      </c>
      <c r="G16" s="2" t="s">
        <v>28</v>
      </c>
      <c r="H16" s="2" t="s">
        <v>29</v>
      </c>
      <c r="I16" s="3">
        <v>45962</v>
      </c>
      <c r="J16" s="3">
        <v>45962</v>
      </c>
      <c r="K16" s="2">
        <v>20003537</v>
      </c>
      <c r="L16" s="2" t="s">
        <v>32</v>
      </c>
      <c r="M16" s="2" t="s">
        <v>54</v>
      </c>
      <c r="N16" s="2">
        <v>8192</v>
      </c>
      <c r="O16" s="2" t="s">
        <v>34</v>
      </c>
      <c r="P16" s="2">
        <v>73</v>
      </c>
      <c r="Q16" s="2">
        <v>52.17</v>
      </c>
      <c r="R16" s="2" t="s">
        <v>122</v>
      </c>
      <c r="S16" s="2" t="s">
        <v>124</v>
      </c>
      <c r="V16" s="2">
        <f>313/12*2</f>
        <v>52.166666666666664</v>
      </c>
    </row>
    <row r="17" spans="1:27" s="2" customFormat="1" x14ac:dyDescent="0.25">
      <c r="A17" s="4" t="s">
        <v>44</v>
      </c>
      <c r="B17" s="4" t="str">
        <f>CONCATENATE(A17,88)</f>
        <v>6DW8FK9HH2288</v>
      </c>
      <c r="C17" s="4" t="s">
        <v>161</v>
      </c>
      <c r="D17" s="4" t="s">
        <v>162</v>
      </c>
      <c r="E17" s="2" t="str">
        <f t="shared" si="0"/>
        <v>LORI DUDEK</v>
      </c>
      <c r="F17" s="4" t="s">
        <v>27</v>
      </c>
      <c r="G17" s="4" t="s">
        <v>28</v>
      </c>
      <c r="H17" s="4" t="s">
        <v>29</v>
      </c>
      <c r="I17" s="5">
        <v>45931</v>
      </c>
      <c r="J17" s="5">
        <v>45931</v>
      </c>
      <c r="K17" s="4">
        <v>20411454</v>
      </c>
      <c r="L17" s="4" t="s">
        <v>32</v>
      </c>
      <c r="M17" s="4" t="s">
        <v>129</v>
      </c>
      <c r="N17" s="4">
        <v>8192</v>
      </c>
      <c r="O17" s="4" t="s">
        <v>34</v>
      </c>
      <c r="P17" s="4">
        <v>10</v>
      </c>
      <c r="Q17" s="4">
        <v>10</v>
      </c>
      <c r="R17" s="4" t="s">
        <v>121</v>
      </c>
      <c r="S17" s="4"/>
      <c r="T17" s="4"/>
      <c r="U17" s="4"/>
      <c r="V17" s="4"/>
      <c r="W17" s="4"/>
      <c r="X17" s="4"/>
      <c r="Y17" s="4"/>
      <c r="Z17" s="4"/>
      <c r="AA17" s="4"/>
    </row>
    <row r="18" spans="1:27" s="2" customFormat="1" x14ac:dyDescent="0.25">
      <c r="A18" s="4" t="s">
        <v>49</v>
      </c>
      <c r="B18" s="4" t="str">
        <f>CONCATENATE(A18,88)</f>
        <v>2J22TR3TJ1888</v>
      </c>
      <c r="C18" s="4" t="s">
        <v>159</v>
      </c>
      <c r="D18" s="4" t="s">
        <v>160</v>
      </c>
      <c r="E18" s="2" t="str">
        <f t="shared" si="0"/>
        <v>CHARLOTTE FARLEY</v>
      </c>
      <c r="F18" s="4" t="s">
        <v>40</v>
      </c>
      <c r="G18" s="4" t="s">
        <v>28</v>
      </c>
      <c r="H18" s="4" t="s">
        <v>29</v>
      </c>
      <c r="I18" s="5">
        <v>45962</v>
      </c>
      <c r="J18" s="5">
        <v>45962</v>
      </c>
      <c r="K18" s="4">
        <v>20411454</v>
      </c>
      <c r="L18" s="4" t="s">
        <v>32</v>
      </c>
      <c r="M18" s="4" t="s">
        <v>129</v>
      </c>
      <c r="N18" s="4">
        <v>8192</v>
      </c>
      <c r="O18" s="4" t="s">
        <v>34</v>
      </c>
      <c r="P18" s="4">
        <v>73</v>
      </c>
      <c r="Q18" s="4">
        <v>20.83</v>
      </c>
      <c r="R18" s="4" t="s">
        <v>121</v>
      </c>
      <c r="S18" s="4"/>
      <c r="T18" s="4"/>
      <c r="U18" s="4"/>
      <c r="V18" s="4">
        <f>125/12*2</f>
        <v>20.833333333333332</v>
      </c>
      <c r="W18" s="4"/>
      <c r="X18" s="4"/>
      <c r="Y18" s="4"/>
      <c r="Z18" s="4"/>
      <c r="AA18" s="4"/>
    </row>
    <row r="19" spans="1:27" s="2" customFormat="1" x14ac:dyDescent="0.25">
      <c r="A19" s="4" t="s">
        <v>92</v>
      </c>
      <c r="B19" s="4" t="str">
        <f>CONCATENATE(A19,88)</f>
        <v>7D05T56HE7288</v>
      </c>
      <c r="C19" s="4" t="s">
        <v>145</v>
      </c>
      <c r="D19" s="4" t="s">
        <v>146</v>
      </c>
      <c r="E19" s="2" t="str">
        <f t="shared" si="0"/>
        <v>BARBARA MEISSNER-PLEGGE</v>
      </c>
      <c r="F19" s="4" t="s">
        <v>65</v>
      </c>
      <c r="G19" s="4" t="s">
        <v>28</v>
      </c>
      <c r="H19" s="4" t="s">
        <v>29</v>
      </c>
      <c r="I19" s="5">
        <v>45962</v>
      </c>
      <c r="J19" s="5">
        <v>45962</v>
      </c>
      <c r="K19" s="4">
        <v>20411454</v>
      </c>
      <c r="L19" s="4" t="s">
        <v>32</v>
      </c>
      <c r="M19" s="4" t="s">
        <v>129</v>
      </c>
      <c r="N19" s="4">
        <v>8192</v>
      </c>
      <c r="O19" s="4" t="s">
        <v>34</v>
      </c>
      <c r="P19" s="4">
        <v>73</v>
      </c>
      <c r="Q19" s="4">
        <v>20.83</v>
      </c>
      <c r="R19" s="4" t="s">
        <v>121</v>
      </c>
      <c r="S19" s="4"/>
      <c r="T19" s="4"/>
      <c r="U19" s="4"/>
      <c r="V19" s="4"/>
      <c r="W19" s="4"/>
      <c r="X19" s="4"/>
      <c r="Y19" s="4"/>
      <c r="Z19" s="4"/>
      <c r="AA19" s="4"/>
    </row>
    <row r="20" spans="1:27" s="4" customFormat="1" x14ac:dyDescent="0.25">
      <c r="A20" s="4" t="s">
        <v>55</v>
      </c>
      <c r="B20" s="4" t="str">
        <f>CONCATENATE(A20,88)</f>
        <v>6YC6JM8XM4988</v>
      </c>
      <c r="C20" s="4" t="s">
        <v>151</v>
      </c>
      <c r="D20" s="4" t="s">
        <v>152</v>
      </c>
      <c r="E20" s="2" t="str">
        <f t="shared" si="0"/>
        <v>MARVIN FOSTER</v>
      </c>
      <c r="F20" s="4" t="s">
        <v>58</v>
      </c>
      <c r="G20" s="4" t="s">
        <v>28</v>
      </c>
      <c r="H20" s="4" t="s">
        <v>29</v>
      </c>
      <c r="I20" s="5">
        <v>45931</v>
      </c>
      <c r="J20" s="5">
        <v>45931</v>
      </c>
      <c r="K20" s="4">
        <v>20411454</v>
      </c>
      <c r="L20" s="4" t="s">
        <v>32</v>
      </c>
      <c r="M20" s="4" t="s">
        <v>129</v>
      </c>
      <c r="N20" s="4">
        <v>8192</v>
      </c>
      <c r="O20" s="4" t="s">
        <v>34</v>
      </c>
      <c r="P20" s="4">
        <v>109.5</v>
      </c>
      <c r="Q20" s="4">
        <v>31.25</v>
      </c>
      <c r="R20" s="4" t="s">
        <v>121</v>
      </c>
      <c r="V20" s="4">
        <f>125/12*3</f>
        <v>31.25</v>
      </c>
    </row>
    <row r="21" spans="1:27" s="4" customFormat="1" x14ac:dyDescent="0.25">
      <c r="A21" s="4" t="s">
        <v>75</v>
      </c>
      <c r="B21" s="4" t="str">
        <f>CONCATENATE(A21,88)</f>
        <v>4UE7NK1VM4188</v>
      </c>
      <c r="C21" s="4" t="s">
        <v>143</v>
      </c>
      <c r="D21" s="4" t="s">
        <v>144</v>
      </c>
      <c r="E21" s="2" t="str">
        <f t="shared" si="0"/>
        <v>LAURA LOPEZ</v>
      </c>
      <c r="F21" s="4" t="s">
        <v>40</v>
      </c>
      <c r="G21" s="4" t="s">
        <v>28</v>
      </c>
      <c r="H21" s="4" t="s">
        <v>29</v>
      </c>
      <c r="I21" s="5">
        <v>45931</v>
      </c>
      <c r="J21" s="5">
        <v>45931</v>
      </c>
      <c r="K21" s="4">
        <v>20411454</v>
      </c>
      <c r="L21" s="4" t="s">
        <v>32</v>
      </c>
      <c r="M21" s="4" t="s">
        <v>129</v>
      </c>
      <c r="N21" s="4">
        <v>8192</v>
      </c>
      <c r="O21" s="4" t="s">
        <v>34</v>
      </c>
      <c r="P21" s="4">
        <v>109.5</v>
      </c>
      <c r="Q21" s="4">
        <v>31.25</v>
      </c>
      <c r="R21" s="4" t="s">
        <v>121</v>
      </c>
    </row>
    <row r="22" spans="1:27" s="4" customFormat="1" x14ac:dyDescent="0.25">
      <c r="A22" s="4" t="s">
        <v>80</v>
      </c>
      <c r="B22" s="4" t="str">
        <f>CONCATENATE(A22,88)</f>
        <v>6NY4TY6GG7388</v>
      </c>
      <c r="C22" s="4" t="s">
        <v>139</v>
      </c>
      <c r="D22" s="4" t="s">
        <v>140</v>
      </c>
      <c r="E22" s="2" t="str">
        <f t="shared" si="0"/>
        <v>MICHAEL LUNDIN</v>
      </c>
      <c r="F22" s="4" t="s">
        <v>40</v>
      </c>
      <c r="G22" s="4" t="s">
        <v>28</v>
      </c>
      <c r="H22" s="4" t="s">
        <v>29</v>
      </c>
      <c r="I22" s="5">
        <v>45901</v>
      </c>
      <c r="J22" s="5">
        <v>45901</v>
      </c>
      <c r="K22" s="4">
        <v>20411454</v>
      </c>
      <c r="L22" s="4" t="s">
        <v>32</v>
      </c>
      <c r="M22" s="4" t="s">
        <v>129</v>
      </c>
      <c r="N22" s="4">
        <v>8192</v>
      </c>
      <c r="O22" s="4" t="s">
        <v>34</v>
      </c>
      <c r="P22" s="4">
        <v>144.33000000000001</v>
      </c>
      <c r="Q22" s="4">
        <v>40</v>
      </c>
      <c r="R22" s="4" t="s">
        <v>121</v>
      </c>
      <c r="V22" s="4">
        <f>120/12*4</f>
        <v>40</v>
      </c>
    </row>
    <row r="23" spans="1:27" s="4" customFormat="1" x14ac:dyDescent="0.25">
      <c r="A23" s="4" t="s">
        <v>109</v>
      </c>
      <c r="B23" s="4" t="str">
        <f>CONCATENATE(A23,88)</f>
        <v>9QM0AM8WN0888</v>
      </c>
      <c r="C23" s="4" t="s">
        <v>155</v>
      </c>
      <c r="D23" s="4" t="s">
        <v>156</v>
      </c>
      <c r="E23" s="2" t="str">
        <f t="shared" si="0"/>
        <v>JOHN RAMANIO</v>
      </c>
      <c r="F23" s="4" t="s">
        <v>112</v>
      </c>
      <c r="G23" s="4" t="s">
        <v>28</v>
      </c>
      <c r="H23" s="4" t="s">
        <v>29</v>
      </c>
      <c r="I23" s="5">
        <v>45901</v>
      </c>
      <c r="J23" s="5">
        <v>45901</v>
      </c>
      <c r="K23" s="4">
        <v>20411454</v>
      </c>
      <c r="L23" s="4" t="s">
        <v>32</v>
      </c>
      <c r="M23" s="4" t="s">
        <v>129</v>
      </c>
      <c r="N23" s="4">
        <v>8192</v>
      </c>
      <c r="O23" s="4" t="s">
        <v>34</v>
      </c>
      <c r="P23" s="4">
        <v>144.33000000000001</v>
      </c>
      <c r="Q23" s="4">
        <v>40</v>
      </c>
      <c r="R23" s="4" t="s">
        <v>121</v>
      </c>
    </row>
    <row r="24" spans="1:27" s="4" customFormat="1" x14ac:dyDescent="0.25">
      <c r="A24" s="4" t="s">
        <v>62</v>
      </c>
      <c r="B24" s="4" t="str">
        <f>CONCATENATE(A24,88)</f>
        <v>1N34T79JE6588</v>
      </c>
      <c r="C24" s="4" t="s">
        <v>147</v>
      </c>
      <c r="D24" s="4" t="s">
        <v>148</v>
      </c>
      <c r="E24" s="2" t="str">
        <f t="shared" si="0"/>
        <v>CHERYL HACKATHORN</v>
      </c>
      <c r="F24" s="4" t="s">
        <v>65</v>
      </c>
      <c r="G24" s="4" t="s">
        <v>28</v>
      </c>
      <c r="H24" s="4" t="s">
        <v>29</v>
      </c>
      <c r="I24" s="5">
        <v>45901</v>
      </c>
      <c r="J24" s="5">
        <v>45901</v>
      </c>
      <c r="K24" s="4">
        <v>20411454</v>
      </c>
      <c r="L24" s="4" t="s">
        <v>32</v>
      </c>
      <c r="M24" s="4" t="s">
        <v>129</v>
      </c>
      <c r="N24" s="4">
        <v>8192</v>
      </c>
      <c r="O24" s="4" t="s">
        <v>34</v>
      </c>
      <c r="P24" s="4">
        <v>146</v>
      </c>
      <c r="Q24" s="4">
        <v>41.67</v>
      </c>
      <c r="R24" s="4" t="s">
        <v>121</v>
      </c>
      <c r="V24" s="4">
        <f>125/12*4</f>
        <v>41.666666666666664</v>
      </c>
    </row>
    <row r="25" spans="1:27" s="2" customFormat="1" x14ac:dyDescent="0.25">
      <c r="A25" s="4" t="s">
        <v>69</v>
      </c>
      <c r="B25" s="4" t="str">
        <f>CONCATENATE(A25,88)</f>
        <v>7H73W95YW9288</v>
      </c>
      <c r="C25" s="4" t="s">
        <v>153</v>
      </c>
      <c r="D25" s="4" t="s">
        <v>154</v>
      </c>
      <c r="E25" s="2" t="str">
        <f t="shared" si="0"/>
        <v>GREGG HAVEL</v>
      </c>
      <c r="F25" s="4" t="s">
        <v>72</v>
      </c>
      <c r="G25" s="4" t="s">
        <v>28</v>
      </c>
      <c r="H25" s="4" t="s">
        <v>29</v>
      </c>
      <c r="I25" s="5">
        <v>45901</v>
      </c>
      <c r="J25" s="5">
        <v>45901</v>
      </c>
      <c r="K25" s="4">
        <v>20411454</v>
      </c>
      <c r="L25" s="4" t="s">
        <v>32</v>
      </c>
      <c r="M25" s="4" t="s">
        <v>129</v>
      </c>
      <c r="N25" s="4">
        <v>8192</v>
      </c>
      <c r="O25" s="4" t="s">
        <v>34</v>
      </c>
      <c r="P25" s="4">
        <v>146</v>
      </c>
      <c r="Q25" s="4">
        <v>41.67</v>
      </c>
      <c r="R25" s="4" t="s">
        <v>121</v>
      </c>
      <c r="S25" s="4"/>
      <c r="T25" s="4"/>
      <c r="U25" s="4"/>
      <c r="V25" s="4"/>
      <c r="W25" s="4"/>
      <c r="X25" s="4"/>
      <c r="Y25" s="4"/>
      <c r="Z25" s="4"/>
      <c r="AA25" s="4"/>
    </row>
    <row r="26" spans="1:27" s="2" customFormat="1" x14ac:dyDescent="0.25">
      <c r="A26" s="4" t="s">
        <v>84</v>
      </c>
      <c r="B26" s="4" t="str">
        <f>CONCATENATE(A26,88)</f>
        <v>2ME2H46AG0788</v>
      </c>
      <c r="C26" s="4" t="s">
        <v>137</v>
      </c>
      <c r="D26" s="4" t="s">
        <v>138</v>
      </c>
      <c r="E26" s="2" t="str">
        <f t="shared" si="0"/>
        <v>JAMIE MCDONALD</v>
      </c>
      <c r="F26" s="4" t="s">
        <v>40</v>
      </c>
      <c r="G26" s="4" t="s">
        <v>28</v>
      </c>
      <c r="H26" s="4" t="s">
        <v>29</v>
      </c>
      <c r="I26" s="5">
        <v>45901</v>
      </c>
      <c r="J26" s="5">
        <v>45901</v>
      </c>
      <c r="K26" s="4">
        <v>20411454</v>
      </c>
      <c r="L26" s="4" t="s">
        <v>32</v>
      </c>
      <c r="M26" s="4" t="s">
        <v>129</v>
      </c>
      <c r="N26" s="4">
        <v>8192</v>
      </c>
      <c r="O26" s="4" t="s">
        <v>34</v>
      </c>
      <c r="P26" s="4">
        <v>146</v>
      </c>
      <c r="Q26" s="4">
        <v>41.67</v>
      </c>
      <c r="R26" s="4" t="s">
        <v>121</v>
      </c>
      <c r="S26" s="4"/>
      <c r="T26" s="4"/>
      <c r="U26" s="4"/>
      <c r="V26" s="4"/>
      <c r="W26" s="4"/>
      <c r="X26" s="4"/>
      <c r="Y26" s="4"/>
      <c r="Z26" s="4"/>
      <c r="AA26" s="4"/>
    </row>
    <row r="27" spans="1:27" s="2" customFormat="1" x14ac:dyDescent="0.25">
      <c r="A27" s="4" t="s">
        <v>114</v>
      </c>
      <c r="B27" s="4" t="str">
        <f>CONCATENATE(A27,88)</f>
        <v>3T83FV5VT9188</v>
      </c>
      <c r="C27" s="4" t="s">
        <v>149</v>
      </c>
      <c r="D27" s="4" t="s">
        <v>150</v>
      </c>
      <c r="E27" s="2" t="str">
        <f t="shared" si="0"/>
        <v>EARL SCHULTE</v>
      </c>
      <c r="F27" s="4" t="s">
        <v>65</v>
      </c>
      <c r="G27" s="4" t="s">
        <v>28</v>
      </c>
      <c r="H27" s="4" t="s">
        <v>29</v>
      </c>
      <c r="I27" s="5">
        <v>45901</v>
      </c>
      <c r="J27" s="5">
        <v>45901</v>
      </c>
      <c r="K27" s="4">
        <v>20411454</v>
      </c>
      <c r="L27" s="4" t="s">
        <v>32</v>
      </c>
      <c r="M27" s="4" t="s">
        <v>129</v>
      </c>
      <c r="N27" s="4">
        <v>8192</v>
      </c>
      <c r="O27" s="4" t="s">
        <v>34</v>
      </c>
      <c r="P27" s="4">
        <v>146</v>
      </c>
      <c r="Q27" s="4">
        <v>41.67</v>
      </c>
      <c r="R27" s="4" t="s">
        <v>121</v>
      </c>
      <c r="S27" s="4"/>
      <c r="T27" s="4"/>
      <c r="U27" s="4"/>
      <c r="V27" s="4"/>
      <c r="W27" s="4"/>
      <c r="X27" s="4"/>
      <c r="Y27" s="4"/>
      <c r="Z27" s="4"/>
      <c r="AA27" s="4"/>
    </row>
    <row r="28" spans="1:27" s="4" customFormat="1" x14ac:dyDescent="0.25">
      <c r="A28" s="4" t="s">
        <v>117</v>
      </c>
      <c r="B28" s="4" t="str">
        <f>CONCATENATE(A28,88)</f>
        <v>7Q54A45AT7088</v>
      </c>
      <c r="C28" s="4" t="s">
        <v>141</v>
      </c>
      <c r="D28" s="4" t="s">
        <v>142</v>
      </c>
      <c r="E28" s="2" t="str">
        <f t="shared" si="0"/>
        <v>JUNE SMITH</v>
      </c>
      <c r="F28" s="4" t="s">
        <v>40</v>
      </c>
      <c r="G28" s="4" t="s">
        <v>28</v>
      </c>
      <c r="H28" s="4" t="s">
        <v>29</v>
      </c>
      <c r="I28" s="5">
        <v>45901</v>
      </c>
      <c r="J28" s="5">
        <v>45901</v>
      </c>
      <c r="K28" s="4">
        <v>20411454</v>
      </c>
      <c r="L28" s="4" t="s">
        <v>32</v>
      </c>
      <c r="M28" s="4" t="s">
        <v>129</v>
      </c>
      <c r="N28" s="4">
        <v>8192</v>
      </c>
      <c r="O28" s="4" t="s">
        <v>34</v>
      </c>
      <c r="P28" s="4">
        <v>146</v>
      </c>
      <c r="Q28" s="4">
        <v>41.67</v>
      </c>
      <c r="R28" s="4" t="s">
        <v>121</v>
      </c>
    </row>
    <row r="29" spans="1:27" s="4" customFormat="1" x14ac:dyDescent="0.25">
      <c r="A29" s="4" t="s">
        <v>24</v>
      </c>
      <c r="B29" s="4" t="str">
        <f>CONCATENATE(A29,88)</f>
        <v>9FW5UM2ME8988</v>
      </c>
      <c r="C29" s="4" t="s">
        <v>131</v>
      </c>
      <c r="D29" s="4" t="s">
        <v>132</v>
      </c>
      <c r="E29" s="2" t="str">
        <f t="shared" si="0"/>
        <v>LISA BUCKLEY</v>
      </c>
      <c r="F29" s="4" t="s">
        <v>27</v>
      </c>
      <c r="G29" s="4" t="s">
        <v>28</v>
      </c>
      <c r="H29" s="4" t="s">
        <v>29</v>
      </c>
      <c r="I29" s="5">
        <v>45901</v>
      </c>
      <c r="J29" s="5">
        <v>45901</v>
      </c>
      <c r="K29" s="4">
        <v>20411454</v>
      </c>
      <c r="L29" s="4" t="s">
        <v>32</v>
      </c>
      <c r="M29" s="4" t="s">
        <v>129</v>
      </c>
      <c r="N29" s="4">
        <v>8192</v>
      </c>
      <c r="O29" s="4" t="s">
        <v>34</v>
      </c>
      <c r="P29" s="4">
        <v>159.33000000000001</v>
      </c>
      <c r="Q29" s="4">
        <v>41.67</v>
      </c>
      <c r="R29" s="4" t="s">
        <v>121</v>
      </c>
      <c r="V29" s="4">
        <f>125/12*4</f>
        <v>41.666666666666664</v>
      </c>
    </row>
    <row r="30" spans="1:27" s="4" customFormat="1" x14ac:dyDescent="0.25">
      <c r="A30" s="4" t="s">
        <v>88</v>
      </c>
      <c r="B30" s="4" t="str">
        <f>CONCATENATE(A30,88)</f>
        <v>8JY3DE2EM1788</v>
      </c>
      <c r="C30" s="4" t="s">
        <v>133</v>
      </c>
      <c r="D30" s="4" t="s">
        <v>134</v>
      </c>
      <c r="E30" s="2" t="str">
        <f t="shared" si="0"/>
        <v>MARCY MEEHAN</v>
      </c>
      <c r="F30" s="4" t="s">
        <v>27</v>
      </c>
      <c r="G30" s="4" t="s">
        <v>28</v>
      </c>
      <c r="H30" s="4" t="s">
        <v>29</v>
      </c>
      <c r="I30" s="5">
        <v>45901</v>
      </c>
      <c r="J30" s="5">
        <v>45901</v>
      </c>
      <c r="K30" s="4">
        <v>20411454</v>
      </c>
      <c r="L30" s="4" t="s">
        <v>32</v>
      </c>
      <c r="M30" s="4" t="s">
        <v>129</v>
      </c>
      <c r="N30" s="4">
        <v>8192</v>
      </c>
      <c r="O30" s="4" t="s">
        <v>34</v>
      </c>
      <c r="P30" s="4">
        <v>159.33000000000001</v>
      </c>
      <c r="Q30" s="4">
        <v>41.67</v>
      </c>
      <c r="R30" s="4" t="s">
        <v>121</v>
      </c>
    </row>
    <row r="31" spans="1:27" s="2" customFormat="1" x14ac:dyDescent="0.25">
      <c r="A31" s="4" t="s">
        <v>96</v>
      </c>
      <c r="B31" s="4" t="str">
        <f>CONCATENATE(A31,88)</f>
        <v>2TW8D31KD2088</v>
      </c>
      <c r="C31" s="4" t="s">
        <v>135</v>
      </c>
      <c r="D31" s="4" t="s">
        <v>136</v>
      </c>
      <c r="E31" s="2" t="str">
        <f t="shared" si="0"/>
        <v>THERESA PAYNE-PRICE</v>
      </c>
      <c r="F31" s="4" t="s">
        <v>27</v>
      </c>
      <c r="G31" s="4" t="s">
        <v>28</v>
      </c>
      <c r="H31" s="4" t="s">
        <v>29</v>
      </c>
      <c r="I31" s="5">
        <v>45901</v>
      </c>
      <c r="J31" s="5">
        <v>45901</v>
      </c>
      <c r="K31" s="4">
        <v>20411454</v>
      </c>
      <c r="L31" s="4" t="s">
        <v>32</v>
      </c>
      <c r="M31" s="4" t="s">
        <v>129</v>
      </c>
      <c r="N31" s="4">
        <v>8192</v>
      </c>
      <c r="O31" s="4" t="s">
        <v>34</v>
      </c>
      <c r="P31" s="4">
        <v>159.33000000000001</v>
      </c>
      <c r="Q31" s="4">
        <v>41.67</v>
      </c>
      <c r="R31" s="4" t="s">
        <v>121</v>
      </c>
      <c r="S31" s="4"/>
      <c r="T31" s="4"/>
      <c r="U31" s="4"/>
      <c r="V31" s="4"/>
      <c r="W31" s="4"/>
      <c r="X31" s="4"/>
      <c r="Y31" s="4"/>
      <c r="Z31" s="4"/>
      <c r="AA31" s="4"/>
    </row>
    <row r="32" spans="1:27" s="4" customFormat="1" x14ac:dyDescent="0.25">
      <c r="A32" s="4" t="s">
        <v>37</v>
      </c>
      <c r="B32" s="4" t="str">
        <f>CONCATENATE(A32,88)</f>
        <v>7XR8EQ1FQ6488</v>
      </c>
      <c r="C32" s="4" t="s">
        <v>157</v>
      </c>
      <c r="D32" s="4" t="s">
        <v>158</v>
      </c>
      <c r="E32" s="2" t="str">
        <f t="shared" si="0"/>
        <v>JOELLEN CONEY</v>
      </c>
      <c r="F32" s="4" t="s">
        <v>40</v>
      </c>
      <c r="G32" s="4" t="s">
        <v>28</v>
      </c>
      <c r="H32" s="4" t="s">
        <v>29</v>
      </c>
      <c r="I32" s="5">
        <v>45870</v>
      </c>
      <c r="J32" s="5">
        <v>45870</v>
      </c>
      <c r="K32" s="4">
        <v>20411454</v>
      </c>
      <c r="L32" s="4" t="s">
        <v>32</v>
      </c>
      <c r="M32" s="4" t="s">
        <v>129</v>
      </c>
      <c r="N32" s="4">
        <v>8192</v>
      </c>
      <c r="O32" s="4" t="s">
        <v>34</v>
      </c>
      <c r="P32" s="4">
        <v>182.5</v>
      </c>
      <c r="Q32" s="4">
        <v>52.08</v>
      </c>
      <c r="R32" s="4" t="s">
        <v>121</v>
      </c>
      <c r="V32" s="4">
        <f>125/12*5</f>
        <v>52.083333333333329</v>
      </c>
    </row>
  </sheetData>
  <sortState xmlns:xlrd2="http://schemas.microsoft.com/office/spreadsheetml/2017/richdata2" ref="A2:AA32">
    <sortCondition ref="R2:R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2025-09-04T18:42:31Z</dcterms:created>
  <dcterms:modified xsi:type="dcterms:W3CDTF">2025-09-08T12:18:40Z</dcterms:modified>
</cp:coreProperties>
</file>