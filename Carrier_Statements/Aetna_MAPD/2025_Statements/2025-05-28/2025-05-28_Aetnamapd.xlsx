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5-28-25\"/>
    </mc:Choice>
  </mc:AlternateContent>
  <xr:revisionPtr revIDLastSave="0" documentId="13_ncr:1_{85A8312D-908C-4134-87F5-0A48D2C7D43F}" xr6:coauthVersionLast="47" xr6:coauthVersionMax="47" xr10:uidLastSave="{00000000-0000-0000-0000-000000000000}"/>
  <bookViews>
    <workbookView xWindow="28680" yWindow="-120" windowWidth="29040" windowHeight="16440" activeTab="1" xr2:uid="{A609B3C4-D48D-411E-8DA7-EEFE49D0600D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6" i="2" l="1"/>
  <c r="B7" i="2"/>
  <c r="B5" i="2"/>
  <c r="B13" i="2"/>
  <c r="B12" i="2"/>
  <c r="B11" i="2"/>
  <c r="B10" i="2"/>
  <c r="B9" i="2"/>
  <c r="B8" i="2"/>
  <c r="B4" i="2"/>
  <c r="B3" i="2"/>
  <c r="B2" i="2"/>
</calcChain>
</file>

<file path=xl/sharedStrings.xml><?xml version="1.0" encoding="utf-8"?>
<sst xmlns="http://schemas.openxmlformats.org/spreadsheetml/2006/main" count="183" uniqueCount="74">
  <si>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</si>
  <si>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</si>
  <si>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</si>
  <si>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</si>
  <si>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</si>
  <si>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</si>
  <si>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</si>
  <si>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</si>
  <si>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</si>
  <si>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</si>
  <si>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</si>
  <si>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</si>
  <si>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</si>
  <si>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</si>
  <si>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</si>
  <si>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</si>
  <si>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</si>
  <si>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</si>
  <si>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</si>
  <si>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</si>
  <si>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</si>
  <si>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</si>
  <si>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</si>
  <si>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</si>
  <si>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6U60JQ5VJ22</t>
  </si>
  <si>
    <t>CERNY A,WILLIAM</t>
  </si>
  <si>
    <t>IL</t>
  </si>
  <si>
    <t>New Business</t>
  </si>
  <si>
    <t>MAPD</t>
  </si>
  <si>
    <t>IMM606</t>
  </si>
  <si>
    <t>H7301-013</t>
  </si>
  <si>
    <t>LOA</t>
  </si>
  <si>
    <t>Hunsberger, Anthony</t>
  </si>
  <si>
    <t>GMO</t>
  </si>
  <si>
    <t>Main Line Benefits LLC</t>
  </si>
  <si>
    <t xml:space="preserve">N  </t>
  </si>
  <si>
    <t>1CD2UG0XD03</t>
  </si>
  <si>
    <t>HOCHSPRUNG M,CHRISTINE</t>
  </si>
  <si>
    <t>Yale, Jacob</t>
  </si>
  <si>
    <t>3Y30G39YM11</t>
  </si>
  <si>
    <t>ROSA SERRANO R,MAGDALENA</t>
  </si>
  <si>
    <t>OH</t>
  </si>
  <si>
    <t>IMM617</t>
  </si>
  <si>
    <t>H5521-088</t>
  </si>
  <si>
    <t>Teipel, Gregory</t>
  </si>
  <si>
    <t>2M47AX1PU77</t>
  </si>
  <si>
    <t>SHELLY J,DAVID</t>
  </si>
  <si>
    <t>PA</t>
  </si>
  <si>
    <t>IMM608</t>
  </si>
  <si>
    <t>H3959-036</t>
  </si>
  <si>
    <t>McCorkle, Michelle</t>
  </si>
  <si>
    <t>7DR9WP2MF36</t>
  </si>
  <si>
    <t>STUDEBAKER K,DEBORAH</t>
  </si>
  <si>
    <t>CA</t>
  </si>
  <si>
    <t>Pro-Rata Payment</t>
  </si>
  <si>
    <t>IMM602</t>
  </si>
  <si>
    <t>H5521-581</t>
  </si>
  <si>
    <t>DAUGHERTY, MATTHEW</t>
  </si>
  <si>
    <t xml:space="preserve">Y  </t>
  </si>
  <si>
    <t>Pro-Rata Disenroll</t>
  </si>
  <si>
    <t>Aetna 2025 CA, NJ</t>
  </si>
  <si>
    <t>Aetna MAPD OVR 2025</t>
  </si>
  <si>
    <t>[%/$=780]</t>
  </si>
  <si>
    <t>[%/$=353][prorate=5/12]</t>
  </si>
  <si>
    <t>Aetna 2025 CT, PA, DC*</t>
  </si>
  <si>
    <t>Aetna MAPD 2025*</t>
  </si>
  <si>
    <t>[%/$=313][prorate=7/12]</t>
  </si>
  <si>
    <t>[%/$=780][prorate=5/12]</t>
  </si>
  <si>
    <t>CERNY, WILLIAM</t>
  </si>
  <si>
    <t>HOCHSPRUNG, CHRISTINE</t>
  </si>
  <si>
    <t>ROSA SERRANO, MAGDALENA</t>
  </si>
  <si>
    <t>SHELLY, DAVID</t>
  </si>
  <si>
    <t>STUDEBAKER, DEBORAH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</si>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</sst>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1C702-B797-441F-8B3C-59D045C85F83}">
  <dimension ref="A1:X7"/>
  <sheetViews>
    <sheetView workbookViewId="0">
      <selection activeCell="A6" sqref="A6:XFD6"/>
    </sheetView>
  </sheetViews>
  <sheetFormatPr defaultRowHeight="15" x14ac:dyDescent="0.25"/>
  <cols>
    <col min="1" max="1" width="29" bestFit="1" customWidth="1"/>
    <col min="7" max="7" width="17.28515625" bestFit="1" customWidth="1"/>
    <col min="14" max="14" width="10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45805</v>
      </c>
      <c r="B2" t="s">
        <v>24</v>
      </c>
      <c r="C2">
        <v>102172358300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45809</v>
      </c>
      <c r="M2" s="1">
        <v>45809</v>
      </c>
      <c r="O2">
        <v>7146581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255.5</v>
      </c>
      <c r="V2" t="s">
        <v>35</v>
      </c>
      <c r="W2" s="1">
        <v>45790</v>
      </c>
      <c r="X2">
        <v>2025</v>
      </c>
    </row>
    <row r="3" spans="1:24" x14ac:dyDescent="0.25">
      <c r="A3" s="1">
        <v>45805</v>
      </c>
      <c r="B3" t="s">
        <v>36</v>
      </c>
      <c r="C3">
        <v>102172138300</v>
      </c>
      <c r="E3" t="s">
        <v>37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L3" s="1">
        <v>45809</v>
      </c>
      <c r="M3" s="1">
        <v>45809</v>
      </c>
      <c r="O3">
        <v>18754354</v>
      </c>
      <c r="P3" t="s">
        <v>31</v>
      </c>
      <c r="Q3" t="s">
        <v>38</v>
      </c>
      <c r="R3">
        <v>8192</v>
      </c>
      <c r="S3" t="s">
        <v>33</v>
      </c>
      <c r="T3" t="s">
        <v>34</v>
      </c>
      <c r="U3">
        <v>255.5</v>
      </c>
      <c r="V3" t="s">
        <v>35</v>
      </c>
      <c r="W3" s="1">
        <v>45789</v>
      </c>
      <c r="X3">
        <v>2025</v>
      </c>
    </row>
    <row r="4" spans="1:24" x14ac:dyDescent="0.25">
      <c r="A4" s="1">
        <v>45805</v>
      </c>
      <c r="B4" t="s">
        <v>39</v>
      </c>
      <c r="C4">
        <v>102171601900</v>
      </c>
      <c r="E4" t="s">
        <v>40</v>
      </c>
      <c r="F4" t="s">
        <v>41</v>
      </c>
      <c r="G4" t="s">
        <v>27</v>
      </c>
      <c r="H4" t="s">
        <v>28</v>
      </c>
      <c r="I4" t="s">
        <v>42</v>
      </c>
      <c r="J4" t="s">
        <v>43</v>
      </c>
      <c r="L4" s="1">
        <v>45809</v>
      </c>
      <c r="M4" s="1">
        <v>45809</v>
      </c>
      <c r="O4">
        <v>8307933</v>
      </c>
      <c r="P4" t="s">
        <v>31</v>
      </c>
      <c r="Q4" t="s">
        <v>44</v>
      </c>
      <c r="R4">
        <v>8192</v>
      </c>
      <c r="S4" t="s">
        <v>33</v>
      </c>
      <c r="T4" t="s">
        <v>34</v>
      </c>
      <c r="U4">
        <v>255.5</v>
      </c>
      <c r="V4" t="s">
        <v>35</v>
      </c>
      <c r="W4" s="1">
        <v>45785</v>
      </c>
      <c r="X4">
        <v>2025</v>
      </c>
    </row>
    <row r="5" spans="1:24" x14ac:dyDescent="0.25">
      <c r="A5" s="1">
        <v>45805</v>
      </c>
      <c r="B5" t="s">
        <v>45</v>
      </c>
      <c r="C5">
        <v>102172052300</v>
      </c>
      <c r="E5" t="s">
        <v>46</v>
      </c>
      <c r="F5" t="s">
        <v>47</v>
      </c>
      <c r="G5" t="s">
        <v>27</v>
      </c>
      <c r="H5" t="s">
        <v>28</v>
      </c>
      <c r="I5" t="s">
        <v>48</v>
      </c>
      <c r="J5" t="s">
        <v>49</v>
      </c>
      <c r="L5" s="1">
        <v>45870</v>
      </c>
      <c r="M5" s="1">
        <v>45870</v>
      </c>
      <c r="O5">
        <v>18710070</v>
      </c>
      <c r="P5" t="s">
        <v>31</v>
      </c>
      <c r="Q5" t="s">
        <v>50</v>
      </c>
      <c r="R5">
        <v>8192</v>
      </c>
      <c r="S5" t="s">
        <v>33</v>
      </c>
      <c r="T5" t="s">
        <v>34</v>
      </c>
      <c r="U5">
        <v>199.17</v>
      </c>
      <c r="V5" t="s">
        <v>35</v>
      </c>
      <c r="W5" s="1">
        <v>45786</v>
      </c>
      <c r="X5">
        <v>2025</v>
      </c>
    </row>
    <row r="6" spans="1:24" x14ac:dyDescent="0.25">
      <c r="A6" s="1">
        <v>45805</v>
      </c>
      <c r="B6" t="s">
        <v>51</v>
      </c>
      <c r="C6">
        <v>101497408000</v>
      </c>
      <c r="E6" t="s">
        <v>52</v>
      </c>
      <c r="F6" t="s">
        <v>53</v>
      </c>
      <c r="G6" t="s">
        <v>54</v>
      </c>
      <c r="H6" t="s">
        <v>28</v>
      </c>
      <c r="I6" t="s">
        <v>55</v>
      </c>
      <c r="J6" t="s">
        <v>56</v>
      </c>
      <c r="L6" s="1">
        <v>45658</v>
      </c>
      <c r="M6" s="1">
        <v>45658</v>
      </c>
      <c r="N6" s="1">
        <v>45808</v>
      </c>
      <c r="O6">
        <v>16378851</v>
      </c>
      <c r="P6" t="s">
        <v>31</v>
      </c>
      <c r="Q6" t="s">
        <v>57</v>
      </c>
      <c r="R6">
        <v>8192</v>
      </c>
      <c r="S6" t="s">
        <v>33</v>
      </c>
      <c r="T6" t="s">
        <v>34</v>
      </c>
      <c r="U6">
        <v>381.25</v>
      </c>
      <c r="V6" t="s">
        <v>58</v>
      </c>
      <c r="W6" s="1">
        <v>45630</v>
      </c>
      <c r="X6">
        <v>2025</v>
      </c>
    </row>
    <row r="7" spans="1:24" x14ac:dyDescent="0.25">
      <c r="A7" s="1">
        <v>45805</v>
      </c>
      <c r="B7" t="s">
        <v>51</v>
      </c>
      <c r="C7">
        <v>101497408000</v>
      </c>
      <c r="E7" t="s">
        <v>52</v>
      </c>
      <c r="F7" t="s">
        <v>53</v>
      </c>
      <c r="G7" t="s">
        <v>59</v>
      </c>
      <c r="H7" t="s">
        <v>28</v>
      </c>
      <c r="I7" t="s">
        <v>55</v>
      </c>
      <c r="J7" t="s">
        <v>56</v>
      </c>
      <c r="L7" s="1">
        <v>45658</v>
      </c>
      <c r="M7" s="1">
        <v>45658</v>
      </c>
      <c r="N7" s="1">
        <v>45808</v>
      </c>
      <c r="O7">
        <v>16378851</v>
      </c>
      <c r="P7" t="s">
        <v>31</v>
      </c>
      <c r="Q7" t="s">
        <v>57</v>
      </c>
      <c r="R7">
        <v>8192</v>
      </c>
      <c r="S7" t="s">
        <v>33</v>
      </c>
      <c r="T7" t="s">
        <v>34</v>
      </c>
      <c r="U7">
        <v>-915</v>
      </c>
      <c r="V7" t="s">
        <v>58</v>
      </c>
      <c r="W7" s="1">
        <v>45630</v>
      </c>
      <c r="X7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7742-63BE-4B7F-A038-08F115F96E9D}">
  <dimension ref="A1:L13"/>
  <sheetViews>
    <sheetView tabSelected="1" workbookViewId="0">
      <selection activeCell="L2" sqref="L2:L13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28.85546875" bestFit="1" customWidth="1"/>
    <col min="4" max="4" width="13.7109375" bestFit="1" customWidth="1"/>
    <col min="5" max="5" width="7.85546875" bestFit="1" customWidth="1"/>
    <col min="9" max="9" width="22.140625" bestFit="1" customWidth="1"/>
    <col min="11" max="11" width="21.140625" bestFit="1" customWidth="1"/>
  </cols>
  <sheetData>
    <row r="1" spans="1:12" x14ac:dyDescent="0.25">
      <c r="A1" t="s">
        <v>1</v>
      </c>
      <c r="C1" t="s">
        <v>4</v>
      </c>
      <c r="D1" t="s">
        <v>5</v>
      </c>
      <c r="E1" t="s">
        <v>7</v>
      </c>
      <c r="F1" t="s">
        <v>11</v>
      </c>
      <c r="G1" t="s">
        <v>12</v>
      </c>
      <c r="H1" t="s">
        <v>14</v>
      </c>
      <c r="I1" t="s">
        <v>16</v>
      </c>
      <c r="J1" t="s">
        <v>20</v>
      </c>
    </row>
    <row r="2" spans="1:12" s="2" customFormat="1" x14ac:dyDescent="0.25">
      <c r="A2" s="2" t="s">
        <v>24</v>
      </c>
      <c r="B2" s="2" t="str">
        <f>CONCATENATE(A2,8)</f>
        <v>6U60JQ5VJ228</v>
      </c>
      <c r="C2" s="2" t="s">
        <v>68</v>
      </c>
      <c r="D2" s="2" t="s">
        <v>26</v>
      </c>
      <c r="E2" s="2" t="s">
        <v>28</v>
      </c>
      <c r="F2" s="3">
        <v>45839</v>
      </c>
      <c r="G2" s="3">
        <v>45809</v>
      </c>
      <c r="H2" s="2">
        <v>7146581</v>
      </c>
      <c r="I2" s="2" t="s">
        <v>32</v>
      </c>
      <c r="J2" s="2">
        <v>182.58</v>
      </c>
      <c r="K2" s="2" t="s">
        <v>65</v>
      </c>
      <c r="L2" s="2" t="s">
        <v>66</v>
      </c>
    </row>
    <row r="3" spans="1:12" s="2" customFormat="1" x14ac:dyDescent="0.25">
      <c r="A3" s="2" t="s">
        <v>36</v>
      </c>
      <c r="B3" s="2" t="str">
        <f>CONCATENATE(A3,8)</f>
        <v>1CD2UG0XD038</v>
      </c>
      <c r="C3" s="2" t="s">
        <v>69</v>
      </c>
      <c r="D3" s="2" t="s">
        <v>26</v>
      </c>
      <c r="E3" s="2" t="s">
        <v>28</v>
      </c>
      <c r="F3" s="3">
        <v>45839</v>
      </c>
      <c r="G3" s="3">
        <v>45809</v>
      </c>
      <c r="H3" s="2">
        <v>18754354</v>
      </c>
      <c r="I3" s="2" t="s">
        <v>38</v>
      </c>
      <c r="J3" s="2">
        <v>182.58</v>
      </c>
      <c r="K3" s="2" t="s">
        <v>65</v>
      </c>
      <c r="L3" s="2" t="s">
        <v>66</v>
      </c>
    </row>
    <row r="4" spans="1:12" s="2" customFormat="1" x14ac:dyDescent="0.25">
      <c r="A4" s="2" t="s">
        <v>39</v>
      </c>
      <c r="B4" s="2" t="str">
        <f>CONCATENATE(A4,8)</f>
        <v>3Y30G39YM118</v>
      </c>
      <c r="C4" s="2" t="s">
        <v>70</v>
      </c>
      <c r="D4" s="2" t="s">
        <v>41</v>
      </c>
      <c r="E4" s="2" t="s">
        <v>28</v>
      </c>
      <c r="F4" s="3">
        <v>45839</v>
      </c>
      <c r="G4" s="3">
        <v>45809</v>
      </c>
      <c r="H4" s="2">
        <v>8307933</v>
      </c>
      <c r="I4" s="2" t="s">
        <v>44</v>
      </c>
      <c r="J4" s="2">
        <v>182.58</v>
      </c>
      <c r="K4" s="2" t="s">
        <v>65</v>
      </c>
      <c r="L4" s="2" t="s">
        <v>66</v>
      </c>
    </row>
    <row r="5" spans="1:12" s="2" customFormat="1" x14ac:dyDescent="0.25">
      <c r="A5" s="2" t="s">
        <v>45</v>
      </c>
      <c r="B5" s="2" t="str">
        <f>CONCATENATE(A5,8)</f>
        <v>2M47AX1PU778</v>
      </c>
      <c r="C5" s="2" t="s">
        <v>71</v>
      </c>
      <c r="D5" s="2" t="s">
        <v>47</v>
      </c>
      <c r="E5" s="2" t="s">
        <v>28</v>
      </c>
      <c r="F5" s="3">
        <v>45901</v>
      </c>
      <c r="G5" s="3">
        <v>45870</v>
      </c>
      <c r="H5" s="2">
        <v>18710070</v>
      </c>
      <c r="I5" s="2" t="s">
        <v>50</v>
      </c>
      <c r="J5" s="2">
        <v>147.08000000000001</v>
      </c>
      <c r="K5" s="2" t="s">
        <v>64</v>
      </c>
      <c r="L5" s="2" t="s">
        <v>63</v>
      </c>
    </row>
    <row r="6" spans="1:12" s="2" customFormat="1" x14ac:dyDescent="0.25">
      <c r="A6" s="2" t="s">
        <v>51</v>
      </c>
      <c r="B6" s="2" t="str">
        <f>CONCATENATE(A6,7)</f>
        <v>7DR9WP2MF367</v>
      </c>
      <c r="C6" s="2" t="s">
        <v>72</v>
      </c>
      <c r="D6" s="2" t="s">
        <v>53</v>
      </c>
      <c r="E6" s="2" t="s">
        <v>28</v>
      </c>
      <c r="F6" s="3">
        <v>45809</v>
      </c>
      <c r="G6" s="3">
        <v>45658</v>
      </c>
      <c r="H6" s="2">
        <v>1706194</v>
      </c>
      <c r="I6" s="2" t="s">
        <v>57</v>
      </c>
      <c r="J6" s="2">
        <v>-780</v>
      </c>
      <c r="K6" s="2" t="s">
        <v>60</v>
      </c>
      <c r="L6" s="2" t="s">
        <v>62</v>
      </c>
    </row>
    <row r="7" spans="1:12" s="2" customFormat="1" x14ac:dyDescent="0.25">
      <c r="A7" s="2" t="s">
        <v>51</v>
      </c>
      <c r="B7" s="2" t="str">
        <f>CONCATENATE(A7,7)</f>
        <v>7DR9WP2MF367</v>
      </c>
      <c r="C7" s="2" t="s">
        <v>72</v>
      </c>
      <c r="D7" s="2" t="s">
        <v>53</v>
      </c>
      <c r="E7" s="2" t="s">
        <v>28</v>
      </c>
      <c r="F7" s="3">
        <v>45809</v>
      </c>
      <c r="G7" s="3">
        <v>45658</v>
      </c>
      <c r="H7" s="2">
        <v>1706194</v>
      </c>
      <c r="I7" s="2" t="s">
        <v>57</v>
      </c>
      <c r="J7" s="2">
        <v>325</v>
      </c>
      <c r="K7" s="2" t="s">
        <v>60</v>
      </c>
      <c r="L7" s="2" t="s">
        <v>67</v>
      </c>
    </row>
    <row r="8" spans="1:12" s="2" customFormat="1" x14ac:dyDescent="0.25">
      <c r="A8" s="2" t="s">
        <v>24</v>
      </c>
      <c r="B8" s="2" t="str">
        <f>CONCATENATE(A8,88)</f>
        <v>6U60JQ5VJ2288</v>
      </c>
      <c r="C8" s="2" t="s">
        <v>68</v>
      </c>
      <c r="D8" s="2" t="s">
        <v>26</v>
      </c>
      <c r="E8" s="2" t="s">
        <v>28</v>
      </c>
      <c r="F8" s="3">
        <v>45839</v>
      </c>
      <c r="G8" s="3">
        <v>45809</v>
      </c>
      <c r="H8" s="2">
        <v>20411454</v>
      </c>
      <c r="I8" s="2" t="s">
        <v>73</v>
      </c>
      <c r="J8" s="2">
        <v>72.92</v>
      </c>
      <c r="K8" s="2" t="s">
        <v>61</v>
      </c>
    </row>
    <row r="9" spans="1:12" s="2" customFormat="1" ht="15.75" customHeight="1" x14ac:dyDescent="0.25">
      <c r="A9" s="2" t="s">
        <v>36</v>
      </c>
      <c r="B9" s="2" t="str">
        <f>CONCATENATE(A9,88)</f>
        <v>1CD2UG0XD0388</v>
      </c>
      <c r="C9" s="2" t="s">
        <v>69</v>
      </c>
      <c r="D9" s="2" t="s">
        <v>26</v>
      </c>
      <c r="E9" s="2" t="s">
        <v>28</v>
      </c>
      <c r="F9" s="3">
        <v>45839</v>
      </c>
      <c r="G9" s="3">
        <v>45809</v>
      </c>
      <c r="H9" s="2">
        <v>20411454</v>
      </c>
      <c r="I9" s="2" t="s">
        <v>73</v>
      </c>
      <c r="J9" s="2">
        <v>72.92</v>
      </c>
      <c r="K9" s="2" t="s">
        <v>61</v>
      </c>
    </row>
    <row r="10" spans="1:12" s="2" customFormat="1" x14ac:dyDescent="0.25">
      <c r="A10" s="2" t="s">
        <v>39</v>
      </c>
      <c r="B10" s="2" t="str">
        <f>CONCATENATE(A10,88)</f>
        <v>3Y30G39YM1188</v>
      </c>
      <c r="C10" s="2" t="s">
        <v>70</v>
      </c>
      <c r="D10" s="2" t="s">
        <v>41</v>
      </c>
      <c r="E10" s="2" t="s">
        <v>28</v>
      </c>
      <c r="F10" s="3">
        <v>45839</v>
      </c>
      <c r="G10" s="3">
        <v>45809</v>
      </c>
      <c r="H10" s="2">
        <v>20411454</v>
      </c>
      <c r="I10" s="2" t="s">
        <v>73</v>
      </c>
      <c r="J10" s="2">
        <v>72.92</v>
      </c>
      <c r="K10" s="2" t="s">
        <v>61</v>
      </c>
    </row>
    <row r="11" spans="1:12" s="2" customFormat="1" x14ac:dyDescent="0.25">
      <c r="A11" s="2" t="s">
        <v>45</v>
      </c>
      <c r="B11" s="2" t="str">
        <f>CONCATENATE(A11,88)</f>
        <v>2M47AX1PU7788</v>
      </c>
      <c r="C11" s="2" t="s">
        <v>71</v>
      </c>
      <c r="D11" s="2" t="s">
        <v>47</v>
      </c>
      <c r="E11" s="2" t="s">
        <v>28</v>
      </c>
      <c r="F11" s="3">
        <v>45901</v>
      </c>
      <c r="G11" s="3">
        <v>45870</v>
      </c>
      <c r="H11" s="2">
        <v>20411454</v>
      </c>
      <c r="I11" s="2" t="s">
        <v>73</v>
      </c>
      <c r="J11" s="2">
        <v>52.08</v>
      </c>
      <c r="K11" s="2" t="s">
        <v>61</v>
      </c>
    </row>
    <row r="12" spans="1:12" s="2" customFormat="1" x14ac:dyDescent="0.25">
      <c r="A12" s="2" t="s">
        <v>51</v>
      </c>
      <c r="B12" s="2" t="str">
        <f>CONCATENATE(A12,88)</f>
        <v>7DR9WP2MF3688</v>
      </c>
      <c r="C12" s="2" t="s">
        <v>72</v>
      </c>
      <c r="D12" s="2" t="s">
        <v>53</v>
      </c>
      <c r="E12" s="2" t="s">
        <v>28</v>
      </c>
      <c r="F12" s="3">
        <v>45809</v>
      </c>
      <c r="G12" s="3">
        <v>45658</v>
      </c>
      <c r="H12" s="2">
        <v>20411454</v>
      </c>
      <c r="I12" s="2" t="s">
        <v>73</v>
      </c>
      <c r="J12" s="2">
        <v>56.25</v>
      </c>
      <c r="K12" s="2" t="s">
        <v>61</v>
      </c>
    </row>
    <row r="13" spans="1:12" s="2" customFormat="1" x14ac:dyDescent="0.25">
      <c r="A13" s="2" t="s">
        <v>51</v>
      </c>
      <c r="B13" s="2" t="str">
        <f>CONCATENATE(A13,88)</f>
        <v>7DR9WP2MF3688</v>
      </c>
      <c r="C13" s="2" t="s">
        <v>72</v>
      </c>
      <c r="D13" s="2" t="s">
        <v>53</v>
      </c>
      <c r="E13" s="2" t="s">
        <v>28</v>
      </c>
      <c r="F13" s="3">
        <v>45809</v>
      </c>
      <c r="G13" s="3">
        <v>45658</v>
      </c>
      <c r="H13" s="2">
        <v>20411454</v>
      </c>
      <c r="I13" s="2" t="s">
        <v>73</v>
      </c>
      <c r="J13" s="2">
        <v>-135</v>
      </c>
      <c r="K13" s="2" t="s">
        <v>61</v>
      </c>
    </row>
  </sheetData>
  <sortState xmlns:xlrd2="http://schemas.microsoft.com/office/spreadsheetml/2017/richdata2" ref="A2:Y13">
    <sortCondition ref="L2:L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2025-05-28T19:21:00Z</dcterms:created>
  <dcterms:modified xsi:type="dcterms:W3CDTF">2025-06-02T14:21:47Z</dcterms:modified>
</cp:coreProperties>
</file>