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Statements\04-08-25\"/>
    </mc:Choice>
  </mc:AlternateContent>
  <xr:revisionPtr revIDLastSave="0" documentId="13_ncr:1_{7B68F844-4C70-4F2B-86B9-42A4F33F6FFE}" xr6:coauthVersionLast="47" xr6:coauthVersionMax="47" xr10:uidLastSave="{00000000-0000-0000-0000-000000000000}"/>
  <bookViews>
    <workbookView xWindow="-57720" yWindow="-45" windowWidth="29040" windowHeight="15720" xr2:uid="{8EAB328D-FFDF-49CE-A1B8-22D64F435F25}"/>
  </bookViews>
  <sheets>
    <sheet name="Main Line Benefits LLC_med_comm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1" i="3"/>
  <c r="B2" i="2"/>
  <c r="B14" i="2"/>
  <c r="B13" i="2"/>
  <c r="B12" i="2"/>
  <c r="B11" i="2"/>
  <c r="B10" i="2"/>
  <c r="B9" i="2"/>
  <c r="B8" i="2"/>
  <c r="B7" i="2"/>
  <c r="B6" i="2"/>
  <c r="B5" i="2"/>
  <c r="B4" i="2"/>
  <c r="B3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6" i="2"/>
  <c r="B17" i="2"/>
  <c r="B18" i="2"/>
  <c r="B15" i="2"/>
  <c r="J19" i="2"/>
</calcChain>
</file>

<file path=xl/sharedStrings.xml><?xml version="1.0" encoding="utf-8"?>
<sst xmlns="http://schemas.openxmlformats.org/spreadsheetml/2006/main" count="491" uniqueCount="152">
  <si>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</si>
  <si>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</si>
  <si>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</si>
  <si>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</si>
  <si>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</si>
  <si>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</si>
  <si>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</si>
  <si>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</si>
  <si>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</si>
  <si>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</si>
  <si>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</si>
  <si>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</si>
  <si>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</si>
  <si>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</si>
  <si>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</si>
  <si>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</si>
  <si>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</si>
  <si>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</si>
  <si>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</si>
  <si>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</si>
  <si>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</si>
  <si>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</si>
  <si>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</si>
  <si>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</si>
  <si>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8C28VN1TK39</t>
  </si>
  <si>
    <t>ADAMS L,STEPHANIE</t>
  </si>
  <si>
    <t>IL</t>
  </si>
  <si>
    <t>New Business</t>
  </si>
  <si>
    <t>MAPD</t>
  </si>
  <si>
    <t>IMM606</t>
  </si>
  <si>
    <t>H5521-086</t>
  </si>
  <si>
    <t>LOA</t>
  </si>
  <si>
    <t>Teipel, Gregory</t>
  </si>
  <si>
    <t>GMO</t>
  </si>
  <si>
    <t>Main Line Benefits LLC</t>
  </si>
  <si>
    <t xml:space="preserve">N  </t>
  </si>
  <si>
    <t>3QY8Q03CA30</t>
  </si>
  <si>
    <t>COOK F,CRAIG</t>
  </si>
  <si>
    <t>H7301-013</t>
  </si>
  <si>
    <t>Liskovec, Frank</t>
  </si>
  <si>
    <t>4AX3CP2MH12</t>
  </si>
  <si>
    <t>COOK J,ELAINE</t>
  </si>
  <si>
    <t>9YP5EH7QU94</t>
  </si>
  <si>
    <t>CRIGHTON,IAN</t>
  </si>
  <si>
    <t>PA</t>
  </si>
  <si>
    <t>IMM608</t>
  </si>
  <si>
    <t>H5522-001</t>
  </si>
  <si>
    <t>Inskipt, Deborah</t>
  </si>
  <si>
    <t>4CQ0WM1PU36</t>
  </si>
  <si>
    <t>DESIK A,JACK</t>
  </si>
  <si>
    <t>HORN, JEFFREY</t>
  </si>
  <si>
    <t>2VR0V48TM01</t>
  </si>
  <si>
    <t>HOLYN O,DENNIS</t>
  </si>
  <si>
    <t>Holyn, Dennis</t>
  </si>
  <si>
    <t>7Q89DU7QV43</t>
  </si>
  <si>
    <t>KRIVANEK E,DIANNE</t>
  </si>
  <si>
    <t>H3959-011</t>
  </si>
  <si>
    <t>Powers, Timothy</t>
  </si>
  <si>
    <t>3PJ3Q11UY95</t>
  </si>
  <si>
    <t>KRIVANEK J,WILLIAM</t>
  </si>
  <si>
    <t>8X39RP4JG17</t>
  </si>
  <si>
    <t>MAIOLI M,MARSHA</t>
  </si>
  <si>
    <t>9GY6QW0VY66</t>
  </si>
  <si>
    <t>RUSNAK,MAUREEN</t>
  </si>
  <si>
    <t>Choi, Andrew</t>
  </si>
  <si>
    <t>7YE4VG0GG87</t>
  </si>
  <si>
    <t>SIBBLE S,KATHY</t>
  </si>
  <si>
    <t>Voluntarily Rapid Disenroll</t>
  </si>
  <si>
    <t>H3959-002</t>
  </si>
  <si>
    <t>7VM9ME3JJ15</t>
  </si>
  <si>
    <t>STAHURSKY S,STEVE</t>
  </si>
  <si>
    <t>FL</t>
  </si>
  <si>
    <t>IMM604</t>
  </si>
  <si>
    <t>H5521-272</t>
  </si>
  <si>
    <t>2CX1XY6NW94</t>
  </si>
  <si>
    <t>SZCZEPANSKI J,GLORIA</t>
  </si>
  <si>
    <t>SCHUMANN, BARRY</t>
  </si>
  <si>
    <t>5NP1RK9TQ02</t>
  </si>
  <si>
    <t>TAVORMINA E,JOSEPH</t>
  </si>
  <si>
    <t>H3959-076</t>
  </si>
  <si>
    <t>Hoffmann Jason</t>
  </si>
  <si>
    <t>7WV1GY4QW21</t>
  </si>
  <si>
    <t>TROCCIOLA J,RICHARD</t>
  </si>
  <si>
    <t>NJ</t>
  </si>
  <si>
    <t>IMM614</t>
  </si>
  <si>
    <t>H5521-037</t>
  </si>
  <si>
    <t>6YV1TW4AT20</t>
  </si>
  <si>
    <t>VRONOSKI L,BRENDA</t>
  </si>
  <si>
    <t>Smith, Margaret</t>
  </si>
  <si>
    <t>2GQ4X75KX89</t>
  </si>
  <si>
    <t>WESTBAY J,TONI</t>
  </si>
  <si>
    <t>IA</t>
  </si>
  <si>
    <t>IMM610</t>
  </si>
  <si>
    <t>H1608-001</t>
  </si>
  <si>
    <t>TAPPER, RANDY</t>
  </si>
  <si>
    <t>17528908N</t>
  </si>
  <si>
    <t>Aetna MAPD OVR 2025</t>
  </si>
  <si>
    <t>Aetna 2025 CA, NJ*</t>
  </si>
  <si>
    <t>Aetna MAPD 2025*</t>
  </si>
  <si>
    <t>[%/$=313][prorate=8/12]</t>
  </si>
  <si>
    <t>[%/$=313][prorate=12/12]</t>
  </si>
  <si>
    <t>[%/$=390][prorate=9/12]</t>
  </si>
  <si>
    <t>SIBBLE</t>
  </si>
  <si>
    <t>KATHY</t>
  </si>
  <si>
    <t>VRONOSKI</t>
  </si>
  <si>
    <t>BRENDA</t>
  </si>
  <si>
    <t>KRIVANEK</t>
  </si>
  <si>
    <t>DIANNE</t>
  </si>
  <si>
    <t>WILLIAM</t>
  </si>
  <si>
    <t>MAIOLI</t>
  </si>
  <si>
    <t>MARSHA</t>
  </si>
  <si>
    <t>RUSNAK</t>
  </si>
  <si>
    <t>MAUREEN</t>
  </si>
  <si>
    <t>HOLYN</t>
  </si>
  <si>
    <t>DENNIS</t>
  </si>
  <si>
    <t>DESIK</t>
  </si>
  <si>
    <t>JACK</t>
  </si>
  <si>
    <t>COOK</t>
  </si>
  <si>
    <t>CRAIG</t>
  </si>
  <si>
    <t>ELAINE</t>
  </si>
  <si>
    <t>SZCZEPANSKI</t>
  </si>
  <si>
    <t>GLORIA</t>
  </si>
  <si>
    <t>WESTBAY</t>
  </si>
  <si>
    <t>TONI</t>
  </si>
  <si>
    <t>ADAMS</t>
  </si>
  <si>
    <t>STEPHANIE</t>
  </si>
  <si>
    <t>STAHURSKY</t>
  </si>
  <si>
    <t>STEVE</t>
  </si>
  <si>
    <t>TAVORMINA</t>
  </si>
  <si>
    <t>JOSEPH</t>
  </si>
  <si>
    <t>CRIGHTON</t>
  </si>
  <si>
    <t>IAN</t>
  </si>
  <si>
    <t>TROCCIOLA</t>
  </si>
  <si>
    <t>RICHARD</t>
  </si>
  <si>
    <t>KATHY SIBBLE</t>
  </si>
  <si>
    <t>BRENDA VRONOSKI</t>
  </si>
  <si>
    <t>DIANNE KRIVANEK</t>
  </si>
  <si>
    <t>WILLIAM KRIVANEK</t>
  </si>
  <si>
    <t>MARSHA MAIOLI</t>
  </si>
  <si>
    <t>MAUREEN RUSNAK</t>
  </si>
  <si>
    <t>DENNIS HOLYN</t>
  </si>
  <si>
    <t>JACK DESIK</t>
  </si>
  <si>
    <t>CRAIG COOK</t>
  </si>
  <si>
    <t>ELAINE COOK</t>
  </si>
  <si>
    <t>GLORIA SZCZEPANSKI</t>
  </si>
  <si>
    <t>TONI WESTBAY</t>
  </si>
  <si>
    <t>STEPHANIE ADAMS</t>
  </si>
  <si>
    <t>STEVE STAHURSKY</t>
  </si>
  <si>
    <t>JOSEPH TAVORMINA</t>
  </si>
  <si>
    <t>IAN CRIGHTON</t>
  </si>
  <si>
    <t>RICHARD TROCCIOLA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</si>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</sst>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9" fillId="0" borderId="0" xfId="0" applyFont="1"/>
    <xf numFmtId="14" fontId="19" fillId="0" borderId="0" xfId="0" applyNumberFormat="1" applyFont="1"/>
    <xf numFmtId="0" fontId="19" fillId="0" borderId="0" xfId="0" applyFont="1" applyAlignment="1">
      <alignment horizontal="right"/>
    </xf>
    <xf numFmtId="14" fontId="0" fillId="33" borderId="0" xfId="0" applyNumberForma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95517-95EF-4C90-8ACC-C2D741501DED}">
  <dimension ref="A1:X35"/>
  <sheetViews>
    <sheetView tabSelected="1" topLeftCell="G1" workbookViewId="0">
      <selection activeCell="T25" sqref="T25"/>
    </sheetView>
  </sheetViews>
  <sheetFormatPr defaultRowHeight="15" x14ac:dyDescent="0.25"/>
  <cols>
    <col min="1" max="1" width="13.5703125" bestFit="1" customWidth="1"/>
    <col min="2" max="2" width="17.28515625" bestFit="1" customWidth="1"/>
    <col min="3" max="3" width="12" bestFit="1" customWidth="1"/>
    <col min="4" max="4" width="17.42578125" bestFit="1" customWidth="1"/>
    <col min="5" max="5" width="21.42578125" bestFit="1" customWidth="1"/>
    <col min="6" max="6" width="13.7109375" bestFit="1" customWidth="1"/>
    <col min="7" max="7" width="25.140625" bestFit="1" customWidth="1"/>
    <col min="8" max="8" width="7.85546875" bestFit="1" customWidth="1"/>
    <col min="9" max="9" width="8" bestFit="1" customWidth="1"/>
    <col min="10" max="10" width="10" bestFit="1" customWidth="1"/>
    <col min="11" max="11" width="24.7109375" bestFit="1" customWidth="1"/>
    <col min="12" max="12" width="15.7109375" bestFit="1" customWidth="1"/>
    <col min="13" max="13" width="13.5703125" bestFit="1" customWidth="1"/>
    <col min="14" max="14" width="10.140625" bestFit="1" customWidth="1"/>
    <col min="15" max="15" width="18" bestFit="1" customWidth="1"/>
    <col min="16" max="16" width="18.7109375" bestFit="1" customWidth="1"/>
    <col min="17" max="17" width="19.28515625" bestFit="1" customWidth="1"/>
    <col min="18" max="18" width="8.7109375" bestFit="1" customWidth="1"/>
    <col min="19" max="19" width="11.5703125" bestFit="1" customWidth="1"/>
    <col min="20" max="20" width="21" bestFit="1" customWidth="1"/>
    <col min="21" max="21" width="14.140625" bestFit="1" customWidth="1"/>
    <col min="22" max="22" width="9.42578125" bestFit="1" customWidth="1"/>
    <col min="23" max="23" width="14.140625" bestFit="1" customWidth="1"/>
    <col min="24" max="24" width="9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45755</v>
      </c>
      <c r="B2" t="s">
        <v>24</v>
      </c>
      <c r="C2">
        <v>102160449600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L2" s="1">
        <v>45748</v>
      </c>
      <c r="M2" s="1">
        <v>45748</v>
      </c>
      <c r="O2">
        <v>8307933</v>
      </c>
      <c r="P2" t="s">
        <v>31</v>
      </c>
      <c r="Q2" t="s">
        <v>32</v>
      </c>
      <c r="R2">
        <v>8192</v>
      </c>
      <c r="S2" t="s">
        <v>33</v>
      </c>
      <c r="T2" t="s">
        <v>34</v>
      </c>
      <c r="U2">
        <v>328.5</v>
      </c>
      <c r="V2" t="s">
        <v>35</v>
      </c>
      <c r="W2" s="1">
        <v>45736</v>
      </c>
      <c r="X2">
        <v>2025</v>
      </c>
    </row>
    <row r="3" spans="1:24" x14ac:dyDescent="0.25">
      <c r="A3" s="1">
        <v>45755</v>
      </c>
      <c r="B3" t="s">
        <v>36</v>
      </c>
      <c r="C3">
        <v>102161581100</v>
      </c>
      <c r="E3" t="s">
        <v>37</v>
      </c>
      <c r="F3" t="s">
        <v>26</v>
      </c>
      <c r="G3" t="s">
        <v>27</v>
      </c>
      <c r="H3" t="s">
        <v>28</v>
      </c>
      <c r="I3" t="s">
        <v>29</v>
      </c>
      <c r="J3" t="s">
        <v>38</v>
      </c>
      <c r="L3" s="1">
        <v>45748</v>
      </c>
      <c r="M3" s="1">
        <v>45748</v>
      </c>
      <c r="O3">
        <v>8814784</v>
      </c>
      <c r="P3" t="s">
        <v>31</v>
      </c>
      <c r="Q3" t="s">
        <v>39</v>
      </c>
      <c r="R3">
        <v>8192</v>
      </c>
      <c r="S3" t="s">
        <v>33</v>
      </c>
      <c r="T3" t="s">
        <v>34</v>
      </c>
      <c r="U3">
        <v>328.5</v>
      </c>
      <c r="V3" t="s">
        <v>35</v>
      </c>
      <c r="W3" s="1">
        <v>45741</v>
      </c>
      <c r="X3">
        <v>2025</v>
      </c>
    </row>
    <row r="4" spans="1:24" x14ac:dyDescent="0.25">
      <c r="A4" s="1">
        <v>45755</v>
      </c>
      <c r="B4" t="s">
        <v>40</v>
      </c>
      <c r="C4">
        <v>102161621900</v>
      </c>
      <c r="E4" t="s">
        <v>41</v>
      </c>
      <c r="F4" t="s">
        <v>26</v>
      </c>
      <c r="G4" t="s">
        <v>27</v>
      </c>
      <c r="H4" t="s">
        <v>28</v>
      </c>
      <c r="I4" t="s">
        <v>29</v>
      </c>
      <c r="J4" t="s">
        <v>38</v>
      </c>
      <c r="L4" s="1">
        <v>45748</v>
      </c>
      <c r="M4" s="1">
        <v>45748</v>
      </c>
      <c r="O4">
        <v>8814784</v>
      </c>
      <c r="P4" t="s">
        <v>31</v>
      </c>
      <c r="Q4" t="s">
        <v>39</v>
      </c>
      <c r="R4">
        <v>8192</v>
      </c>
      <c r="S4" t="s">
        <v>33</v>
      </c>
      <c r="T4" t="s">
        <v>34</v>
      </c>
      <c r="U4">
        <v>328.5</v>
      </c>
      <c r="V4" t="s">
        <v>35</v>
      </c>
      <c r="W4" s="1">
        <v>45741</v>
      </c>
      <c r="X4">
        <v>2025</v>
      </c>
    </row>
    <row r="5" spans="1:24" s="6" customFormat="1" x14ac:dyDescent="0.25">
      <c r="A5" s="5">
        <v>45755</v>
      </c>
      <c r="B5" s="6" t="s">
        <v>42</v>
      </c>
      <c r="C5" s="6">
        <v>102161520300</v>
      </c>
      <c r="E5" s="6" t="s">
        <v>43</v>
      </c>
      <c r="F5" s="6" t="s">
        <v>44</v>
      </c>
      <c r="G5" s="6" t="s">
        <v>27</v>
      </c>
      <c r="H5" s="6" t="s">
        <v>28</v>
      </c>
      <c r="I5" s="6" t="s">
        <v>45</v>
      </c>
      <c r="J5" s="6" t="s">
        <v>46</v>
      </c>
      <c r="L5" s="5">
        <v>45748</v>
      </c>
      <c r="M5" s="5">
        <v>45748</v>
      </c>
      <c r="O5" s="6">
        <v>17528908</v>
      </c>
      <c r="P5" s="6" t="s">
        <v>31</v>
      </c>
      <c r="Q5" s="6" t="s">
        <v>47</v>
      </c>
      <c r="R5" s="6">
        <v>8192</v>
      </c>
      <c r="S5" s="6" t="s">
        <v>33</v>
      </c>
      <c r="T5" s="6" t="s">
        <v>34</v>
      </c>
      <c r="U5" s="6">
        <v>358.5</v>
      </c>
      <c r="V5" s="6" t="s">
        <v>35</v>
      </c>
      <c r="W5" s="5">
        <v>45741</v>
      </c>
      <c r="X5" s="6">
        <v>2025</v>
      </c>
    </row>
    <row r="6" spans="1:24" x14ac:dyDescent="0.25">
      <c r="A6" s="1">
        <v>45755</v>
      </c>
      <c r="B6" t="s">
        <v>48</v>
      </c>
      <c r="C6">
        <v>102160410700</v>
      </c>
      <c r="E6" t="s">
        <v>49</v>
      </c>
      <c r="F6" t="s">
        <v>26</v>
      </c>
      <c r="G6" t="s">
        <v>27</v>
      </c>
      <c r="H6" t="s">
        <v>28</v>
      </c>
      <c r="I6" t="s">
        <v>29</v>
      </c>
      <c r="J6" t="s">
        <v>38</v>
      </c>
      <c r="L6" s="1">
        <v>45748</v>
      </c>
      <c r="M6" s="1">
        <v>45748</v>
      </c>
      <c r="O6">
        <v>2158366</v>
      </c>
      <c r="P6" t="s">
        <v>31</v>
      </c>
      <c r="Q6" t="s">
        <v>50</v>
      </c>
      <c r="R6">
        <v>8192</v>
      </c>
      <c r="S6" t="s">
        <v>33</v>
      </c>
      <c r="T6" t="s">
        <v>34</v>
      </c>
      <c r="U6">
        <v>328.5</v>
      </c>
      <c r="V6" t="s">
        <v>35</v>
      </c>
      <c r="W6" s="1">
        <v>45736</v>
      </c>
      <c r="X6">
        <v>2025</v>
      </c>
    </row>
    <row r="7" spans="1:24" x14ac:dyDescent="0.25">
      <c r="A7" s="1">
        <v>45755</v>
      </c>
      <c r="B7" t="s">
        <v>51</v>
      </c>
      <c r="C7">
        <v>101249635300</v>
      </c>
      <c r="E7" t="s">
        <v>52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  <c r="L7" s="1">
        <v>45748</v>
      </c>
      <c r="M7" s="1">
        <v>45748</v>
      </c>
      <c r="O7">
        <v>7152559</v>
      </c>
      <c r="P7" t="s">
        <v>31</v>
      </c>
      <c r="Q7" t="s">
        <v>53</v>
      </c>
      <c r="R7">
        <v>8192</v>
      </c>
      <c r="S7" t="s">
        <v>33</v>
      </c>
      <c r="T7" t="s">
        <v>34</v>
      </c>
      <c r="U7">
        <v>328.5</v>
      </c>
      <c r="V7" t="s">
        <v>35</v>
      </c>
      <c r="W7" s="1">
        <v>45741</v>
      </c>
      <c r="X7">
        <v>2025</v>
      </c>
    </row>
    <row r="8" spans="1:24" x14ac:dyDescent="0.25">
      <c r="A8" s="1">
        <v>45755</v>
      </c>
      <c r="B8" t="s">
        <v>54</v>
      </c>
      <c r="C8">
        <v>102161176900</v>
      </c>
      <c r="E8" t="s">
        <v>55</v>
      </c>
      <c r="F8" t="s">
        <v>44</v>
      </c>
      <c r="G8" t="s">
        <v>27</v>
      </c>
      <c r="H8" t="s">
        <v>28</v>
      </c>
      <c r="I8" t="s">
        <v>45</v>
      </c>
      <c r="J8" t="s">
        <v>56</v>
      </c>
      <c r="L8" s="1">
        <v>45748</v>
      </c>
      <c r="M8" s="1">
        <v>45748</v>
      </c>
      <c r="O8">
        <v>17886092</v>
      </c>
      <c r="P8" t="s">
        <v>31</v>
      </c>
      <c r="Q8" t="s">
        <v>57</v>
      </c>
      <c r="R8">
        <v>8192</v>
      </c>
      <c r="S8" t="s">
        <v>33</v>
      </c>
      <c r="T8" t="s">
        <v>34</v>
      </c>
      <c r="U8">
        <v>30</v>
      </c>
      <c r="V8" t="s">
        <v>35</v>
      </c>
      <c r="W8" s="1">
        <v>45740</v>
      </c>
      <c r="X8">
        <v>2025</v>
      </c>
    </row>
    <row r="9" spans="1:24" x14ac:dyDescent="0.25">
      <c r="A9" s="1">
        <v>45755</v>
      </c>
      <c r="B9" t="s">
        <v>58</v>
      </c>
      <c r="C9">
        <v>102161201900</v>
      </c>
      <c r="E9" t="s">
        <v>59</v>
      </c>
      <c r="F9" t="s">
        <v>44</v>
      </c>
      <c r="G9" t="s">
        <v>27</v>
      </c>
      <c r="H9" t="s">
        <v>28</v>
      </c>
      <c r="I9" t="s">
        <v>45</v>
      </c>
      <c r="J9" t="s">
        <v>56</v>
      </c>
      <c r="L9" s="1">
        <v>45748</v>
      </c>
      <c r="M9" s="1">
        <v>45748</v>
      </c>
      <c r="O9">
        <v>17886092</v>
      </c>
      <c r="P9" t="s">
        <v>31</v>
      </c>
      <c r="Q9" t="s">
        <v>57</v>
      </c>
      <c r="R9">
        <v>8192</v>
      </c>
      <c r="S9" t="s">
        <v>33</v>
      </c>
      <c r="T9" t="s">
        <v>34</v>
      </c>
      <c r="U9">
        <v>30</v>
      </c>
      <c r="V9" t="s">
        <v>35</v>
      </c>
      <c r="W9" s="1">
        <v>45740</v>
      </c>
      <c r="X9">
        <v>2025</v>
      </c>
    </row>
    <row r="10" spans="1:24" x14ac:dyDescent="0.25">
      <c r="A10" s="1">
        <v>45755</v>
      </c>
      <c r="B10" t="s">
        <v>60</v>
      </c>
      <c r="C10">
        <v>102162023700</v>
      </c>
      <c r="E10" t="s">
        <v>61</v>
      </c>
      <c r="F10" t="s">
        <v>44</v>
      </c>
      <c r="G10" t="s">
        <v>27</v>
      </c>
      <c r="H10" t="s">
        <v>28</v>
      </c>
      <c r="I10" t="s">
        <v>45</v>
      </c>
      <c r="J10" t="s">
        <v>46</v>
      </c>
      <c r="L10" s="1">
        <v>45809</v>
      </c>
      <c r="M10" s="1">
        <v>45809</v>
      </c>
      <c r="O10">
        <v>17528908</v>
      </c>
      <c r="P10" t="s">
        <v>31</v>
      </c>
      <c r="Q10" t="s">
        <v>47</v>
      </c>
      <c r="R10">
        <v>8192</v>
      </c>
      <c r="S10" t="s">
        <v>33</v>
      </c>
      <c r="T10" t="s">
        <v>34</v>
      </c>
      <c r="U10">
        <v>278.83</v>
      </c>
      <c r="V10" t="s">
        <v>35</v>
      </c>
      <c r="W10" s="1">
        <v>45742</v>
      </c>
      <c r="X10">
        <v>2025</v>
      </c>
    </row>
    <row r="11" spans="1:24" x14ac:dyDescent="0.25">
      <c r="A11" s="1">
        <v>45755</v>
      </c>
      <c r="B11" t="s">
        <v>62</v>
      </c>
      <c r="C11">
        <v>102160975500</v>
      </c>
      <c r="E11" t="s">
        <v>63</v>
      </c>
      <c r="F11" t="s">
        <v>26</v>
      </c>
      <c r="G11" t="s">
        <v>27</v>
      </c>
      <c r="H11" t="s">
        <v>28</v>
      </c>
      <c r="I11" t="s">
        <v>29</v>
      </c>
      <c r="J11" t="s">
        <v>30</v>
      </c>
      <c r="L11" s="1">
        <v>45748</v>
      </c>
      <c r="M11" s="1">
        <v>45748</v>
      </c>
      <c r="O11">
        <v>7470776</v>
      </c>
      <c r="P11" t="s">
        <v>31</v>
      </c>
      <c r="Q11" t="s">
        <v>64</v>
      </c>
      <c r="R11">
        <v>8192</v>
      </c>
      <c r="S11" t="s">
        <v>33</v>
      </c>
      <c r="T11" t="s">
        <v>34</v>
      </c>
      <c r="U11">
        <v>328.5</v>
      </c>
      <c r="V11" t="s">
        <v>35</v>
      </c>
      <c r="W11" s="1">
        <v>45737</v>
      </c>
      <c r="X11">
        <v>2025</v>
      </c>
    </row>
    <row r="12" spans="1:24" x14ac:dyDescent="0.25">
      <c r="A12" s="1">
        <v>45755</v>
      </c>
      <c r="B12" t="s">
        <v>65</v>
      </c>
      <c r="C12">
        <v>101540239900</v>
      </c>
      <c r="E12" t="s">
        <v>66</v>
      </c>
      <c r="F12" t="s">
        <v>44</v>
      </c>
      <c r="G12" t="s">
        <v>67</v>
      </c>
      <c r="H12" t="s">
        <v>28</v>
      </c>
      <c r="I12" t="s">
        <v>45</v>
      </c>
      <c r="J12" t="s">
        <v>68</v>
      </c>
      <c r="L12" s="1">
        <v>45658</v>
      </c>
      <c r="M12" s="1">
        <v>45658</v>
      </c>
      <c r="N12" s="1">
        <v>45747</v>
      </c>
      <c r="O12">
        <v>17886092</v>
      </c>
      <c r="P12" t="s">
        <v>31</v>
      </c>
      <c r="Q12" t="s">
        <v>57</v>
      </c>
      <c r="R12">
        <v>8192</v>
      </c>
      <c r="S12" t="s">
        <v>33</v>
      </c>
      <c r="T12" t="s">
        <v>34</v>
      </c>
      <c r="U12">
        <v>-40</v>
      </c>
      <c r="V12" t="s">
        <v>35</v>
      </c>
      <c r="W12" s="1">
        <v>45590</v>
      </c>
      <c r="X12">
        <v>2025</v>
      </c>
    </row>
    <row r="13" spans="1:24" x14ac:dyDescent="0.25">
      <c r="A13" s="1">
        <v>45755</v>
      </c>
      <c r="B13" t="s">
        <v>69</v>
      </c>
      <c r="C13">
        <v>101780531400</v>
      </c>
      <c r="E13" t="s">
        <v>70</v>
      </c>
      <c r="F13" t="s">
        <v>71</v>
      </c>
      <c r="G13" t="s">
        <v>27</v>
      </c>
      <c r="H13" t="s">
        <v>28</v>
      </c>
      <c r="I13" t="s">
        <v>72</v>
      </c>
      <c r="J13" t="s">
        <v>73</v>
      </c>
      <c r="L13" s="1">
        <v>45748</v>
      </c>
      <c r="M13" s="1">
        <v>45748</v>
      </c>
      <c r="O13">
        <v>8307933</v>
      </c>
      <c r="P13" t="s">
        <v>31</v>
      </c>
      <c r="Q13" t="s">
        <v>32</v>
      </c>
      <c r="R13">
        <v>8192</v>
      </c>
      <c r="S13" t="s">
        <v>33</v>
      </c>
      <c r="T13" t="s">
        <v>34</v>
      </c>
      <c r="U13">
        <v>328.5</v>
      </c>
      <c r="V13" t="s">
        <v>35</v>
      </c>
      <c r="W13" s="1">
        <v>45742</v>
      </c>
      <c r="X13">
        <v>2025</v>
      </c>
    </row>
    <row r="14" spans="1:24" x14ac:dyDescent="0.25">
      <c r="A14" s="1">
        <v>45755</v>
      </c>
      <c r="B14" t="s">
        <v>74</v>
      </c>
      <c r="C14">
        <v>102160426700</v>
      </c>
      <c r="E14" t="s">
        <v>75</v>
      </c>
      <c r="F14" t="s">
        <v>26</v>
      </c>
      <c r="G14" t="s">
        <v>27</v>
      </c>
      <c r="H14" t="s">
        <v>28</v>
      </c>
      <c r="I14" t="s">
        <v>29</v>
      </c>
      <c r="J14" t="s">
        <v>38</v>
      </c>
      <c r="L14" s="1">
        <v>45748</v>
      </c>
      <c r="M14" s="1">
        <v>45748</v>
      </c>
      <c r="O14">
        <v>19586992</v>
      </c>
      <c r="P14" t="s">
        <v>31</v>
      </c>
      <c r="Q14" t="s">
        <v>76</v>
      </c>
      <c r="R14">
        <v>8192</v>
      </c>
      <c r="S14" t="s">
        <v>33</v>
      </c>
      <c r="T14" t="s">
        <v>34</v>
      </c>
      <c r="U14">
        <v>328.5</v>
      </c>
      <c r="V14" t="s">
        <v>35</v>
      </c>
      <c r="W14" s="1">
        <v>45736</v>
      </c>
      <c r="X14">
        <v>2025</v>
      </c>
    </row>
    <row r="15" spans="1:24" x14ac:dyDescent="0.25">
      <c r="A15" s="1">
        <v>45755</v>
      </c>
      <c r="B15" t="s">
        <v>77</v>
      </c>
      <c r="C15">
        <v>101302951000</v>
      </c>
      <c r="E15" t="s">
        <v>78</v>
      </c>
      <c r="F15" t="s">
        <v>44</v>
      </c>
      <c r="G15" t="s">
        <v>27</v>
      </c>
      <c r="H15" t="s">
        <v>28</v>
      </c>
      <c r="I15" t="s">
        <v>45</v>
      </c>
      <c r="J15" t="s">
        <v>79</v>
      </c>
      <c r="L15" s="1">
        <v>45748</v>
      </c>
      <c r="M15" s="1">
        <v>45748</v>
      </c>
      <c r="O15">
        <v>15278437</v>
      </c>
      <c r="P15" t="s">
        <v>31</v>
      </c>
      <c r="Q15" t="s">
        <v>80</v>
      </c>
      <c r="R15">
        <v>8192</v>
      </c>
      <c r="S15" t="s">
        <v>33</v>
      </c>
      <c r="T15" t="s">
        <v>34</v>
      </c>
      <c r="U15">
        <v>358.5</v>
      </c>
      <c r="V15" t="s">
        <v>35</v>
      </c>
      <c r="W15" s="1">
        <v>45733</v>
      </c>
      <c r="X15">
        <v>2025</v>
      </c>
    </row>
    <row r="16" spans="1:24" x14ac:dyDescent="0.25">
      <c r="A16" s="1">
        <v>45755</v>
      </c>
      <c r="B16" t="s">
        <v>81</v>
      </c>
      <c r="C16">
        <v>102161130800</v>
      </c>
      <c r="E16" t="s">
        <v>82</v>
      </c>
      <c r="F16" t="s">
        <v>83</v>
      </c>
      <c r="G16" t="s">
        <v>27</v>
      </c>
      <c r="H16" t="s">
        <v>28</v>
      </c>
      <c r="I16" t="s">
        <v>84</v>
      </c>
      <c r="J16" t="s">
        <v>85</v>
      </c>
      <c r="L16" s="1">
        <v>45748</v>
      </c>
      <c r="M16" s="1">
        <v>45748</v>
      </c>
      <c r="O16">
        <v>15278437</v>
      </c>
      <c r="P16" t="s">
        <v>31</v>
      </c>
      <c r="Q16" t="s">
        <v>80</v>
      </c>
      <c r="R16">
        <v>8192</v>
      </c>
      <c r="S16" t="s">
        <v>33</v>
      </c>
      <c r="T16" t="s">
        <v>34</v>
      </c>
      <c r="U16">
        <v>393.75</v>
      </c>
      <c r="V16" t="s">
        <v>35</v>
      </c>
      <c r="W16" s="1">
        <v>45740</v>
      </c>
      <c r="X16">
        <v>2025</v>
      </c>
    </row>
    <row r="17" spans="1:24" x14ac:dyDescent="0.25">
      <c r="A17" s="1">
        <v>45755</v>
      </c>
      <c r="B17" t="s">
        <v>86</v>
      </c>
      <c r="C17">
        <v>102161969300</v>
      </c>
      <c r="E17" t="s">
        <v>87</v>
      </c>
      <c r="F17" t="s">
        <v>44</v>
      </c>
      <c r="G17" t="s">
        <v>27</v>
      </c>
      <c r="H17" t="s">
        <v>28</v>
      </c>
      <c r="I17" t="s">
        <v>45</v>
      </c>
      <c r="J17" t="s">
        <v>68</v>
      </c>
      <c r="L17" s="1">
        <v>45809</v>
      </c>
      <c r="M17" s="1">
        <v>45809</v>
      </c>
      <c r="O17">
        <v>20253958</v>
      </c>
      <c r="P17" t="s">
        <v>31</v>
      </c>
      <c r="Q17" t="s">
        <v>88</v>
      </c>
      <c r="R17">
        <v>8192</v>
      </c>
      <c r="S17" t="s">
        <v>33</v>
      </c>
      <c r="T17" t="s">
        <v>34</v>
      </c>
      <c r="U17">
        <v>23.33</v>
      </c>
      <c r="V17" t="s">
        <v>35</v>
      </c>
      <c r="W17" s="1">
        <v>45742</v>
      </c>
      <c r="X17">
        <v>2025</v>
      </c>
    </row>
    <row r="18" spans="1:24" x14ac:dyDescent="0.25">
      <c r="A18" s="1">
        <v>45755</v>
      </c>
      <c r="B18" t="s">
        <v>89</v>
      </c>
      <c r="C18">
        <v>102161745100</v>
      </c>
      <c r="E18" t="s">
        <v>90</v>
      </c>
      <c r="F18" t="s">
        <v>91</v>
      </c>
      <c r="G18" t="s">
        <v>27</v>
      </c>
      <c r="H18" t="s">
        <v>28</v>
      </c>
      <c r="I18" t="s">
        <v>92</v>
      </c>
      <c r="J18" t="s">
        <v>93</v>
      </c>
      <c r="L18" s="1">
        <v>45748</v>
      </c>
      <c r="M18" s="1">
        <v>45748</v>
      </c>
      <c r="O18">
        <v>18935660</v>
      </c>
      <c r="P18" t="s">
        <v>31</v>
      </c>
      <c r="Q18" t="s">
        <v>94</v>
      </c>
      <c r="R18">
        <v>8192</v>
      </c>
      <c r="S18" t="s">
        <v>33</v>
      </c>
      <c r="T18" t="s">
        <v>34</v>
      </c>
      <c r="U18">
        <v>328.5</v>
      </c>
      <c r="V18" t="s">
        <v>35</v>
      </c>
      <c r="W18" s="1">
        <v>45741</v>
      </c>
      <c r="X18">
        <v>2025</v>
      </c>
    </row>
    <row r="19" spans="1:24" x14ac:dyDescent="0.25">
      <c r="A19" s="1"/>
      <c r="L19" s="1"/>
      <c r="M19" s="1"/>
      <c r="W19" s="1"/>
    </row>
    <row r="20" spans="1:24" x14ac:dyDescent="0.25">
      <c r="A20" s="1"/>
      <c r="L20" s="1"/>
      <c r="M20" s="1"/>
      <c r="W20" s="1"/>
    </row>
    <row r="21" spans="1:24" x14ac:dyDescent="0.25">
      <c r="A21" s="1"/>
      <c r="L21" s="1"/>
      <c r="M21" s="1"/>
      <c r="W21" s="1"/>
    </row>
    <row r="22" spans="1:24" x14ac:dyDescent="0.25">
      <c r="A22" s="1"/>
      <c r="L22" s="1"/>
      <c r="M22" s="1"/>
      <c r="W22" s="1"/>
    </row>
    <row r="23" spans="1:24" x14ac:dyDescent="0.25">
      <c r="A23" s="1"/>
      <c r="L23" s="1"/>
      <c r="M23" s="1"/>
      <c r="W23" s="1"/>
    </row>
    <row r="24" spans="1:24" x14ac:dyDescent="0.25">
      <c r="A24" s="1"/>
      <c r="L24" s="1"/>
      <c r="M24" s="1"/>
      <c r="N24" s="1"/>
      <c r="W24" s="1"/>
    </row>
    <row r="25" spans="1:24" x14ac:dyDescent="0.25">
      <c r="A25" s="1"/>
      <c r="L25" s="1"/>
      <c r="M25" s="1"/>
      <c r="W25" s="1"/>
    </row>
    <row r="26" spans="1:24" x14ac:dyDescent="0.25">
      <c r="A26" s="1"/>
      <c r="L26" s="1"/>
      <c r="M26" s="1"/>
      <c r="W26" s="1"/>
    </row>
    <row r="27" spans="1:24" x14ac:dyDescent="0.25">
      <c r="A27" s="1"/>
      <c r="L27" s="1"/>
      <c r="M27" s="1"/>
      <c r="W27" s="1"/>
    </row>
    <row r="28" spans="1:24" x14ac:dyDescent="0.25">
      <c r="A28" s="1"/>
      <c r="L28" s="1"/>
      <c r="M28" s="1"/>
      <c r="W28" s="1"/>
    </row>
    <row r="29" spans="1:24" x14ac:dyDescent="0.25">
      <c r="A29" s="1"/>
      <c r="L29" s="1"/>
      <c r="M29" s="1"/>
      <c r="W29" s="1"/>
    </row>
    <row r="30" spans="1:24" x14ac:dyDescent="0.25">
      <c r="A30" s="1"/>
      <c r="L30" s="1"/>
      <c r="M30" s="1"/>
      <c r="W30" s="1"/>
    </row>
    <row r="31" spans="1:24" x14ac:dyDescent="0.25">
      <c r="A31" s="1"/>
      <c r="L31" s="1"/>
      <c r="M31" s="1"/>
      <c r="W31" s="1"/>
    </row>
    <row r="32" spans="1:24" x14ac:dyDescent="0.25">
      <c r="A32" s="1"/>
      <c r="L32" s="1"/>
      <c r="M32" s="1"/>
      <c r="W32" s="1"/>
    </row>
    <row r="33" spans="1:23" x14ac:dyDescent="0.25">
      <c r="A33" s="1"/>
      <c r="L33" s="1"/>
      <c r="M33" s="1"/>
      <c r="W33" s="1"/>
    </row>
    <row r="34" spans="1:23" x14ac:dyDescent="0.25">
      <c r="A34" s="1"/>
      <c r="L34" s="1"/>
      <c r="M34" s="1"/>
      <c r="N34" s="1"/>
      <c r="W34" s="1"/>
    </row>
    <row r="35" spans="1:23" x14ac:dyDescent="0.25">
      <c r="A35" s="1"/>
      <c r="L35" s="1"/>
      <c r="M35" s="1"/>
      <c r="N35" s="1"/>
      <c r="W3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D6D06-086B-4ED0-A4DE-8227D183D401}">
  <dimension ref="A1:L47"/>
  <sheetViews>
    <sheetView workbookViewId="0">
      <selection activeCell="L2" sqref="L2:L14"/>
    </sheetView>
  </sheetViews>
  <sheetFormatPr defaultColWidth="8.85546875" defaultRowHeight="15" x14ac:dyDescent="0.25"/>
  <cols>
    <col min="1" max="1" width="16.7109375" style="2" bestFit="1" customWidth="1"/>
    <col min="2" max="2" width="16.7109375" style="2" customWidth="1"/>
    <col min="3" max="3" width="20.7109375" style="2" bestFit="1" customWidth="1"/>
    <col min="4" max="4" width="13.28515625" style="2" bestFit="1" customWidth="1"/>
    <col min="5" max="5" width="7.7109375" style="2" bestFit="1" customWidth="1"/>
    <col min="6" max="6" width="13.28515625" style="2" bestFit="1" customWidth="1"/>
    <col min="7" max="7" width="17.42578125" style="2" bestFit="1" customWidth="1"/>
    <col min="8" max="8" width="18.7109375" style="2" bestFit="1" customWidth="1"/>
    <col min="9" max="9" width="13.7109375" style="2" bestFit="1" customWidth="1"/>
    <col min="10" max="10" width="8.85546875" style="2"/>
    <col min="11" max="11" width="20.5703125" style="2" bestFit="1" customWidth="1"/>
    <col min="12" max="16384" width="8.85546875" style="2"/>
  </cols>
  <sheetData>
    <row r="1" spans="1:12" x14ac:dyDescent="0.25">
      <c r="A1" s="2" t="s">
        <v>1</v>
      </c>
      <c r="C1" s="2" t="s">
        <v>4</v>
      </c>
      <c r="D1" s="2" t="s">
        <v>5</v>
      </c>
      <c r="E1" s="2" t="s">
        <v>7</v>
      </c>
      <c r="F1" s="2" t="s">
        <v>12</v>
      </c>
      <c r="G1" s="2" t="s">
        <v>14</v>
      </c>
      <c r="H1" s="2" t="s">
        <v>16</v>
      </c>
      <c r="I1" s="2" t="s">
        <v>20</v>
      </c>
    </row>
    <row r="2" spans="1:12" x14ac:dyDescent="0.25">
      <c r="A2" s="2" t="s">
        <v>81</v>
      </c>
      <c r="B2" s="2" t="str">
        <f t="shared" ref="B2:B14" si="0">_xlfn.CONCAT(A2,8)</f>
        <v>7WV1GY4QW218</v>
      </c>
      <c r="C2" s="2" t="s">
        <v>150</v>
      </c>
      <c r="D2" s="2" t="s">
        <v>83</v>
      </c>
      <c r="E2" s="2" t="s">
        <v>28</v>
      </c>
      <c r="F2" s="3">
        <v>45748</v>
      </c>
      <c r="G2" s="2">
        <v>15278437</v>
      </c>
      <c r="H2" s="2" t="s">
        <v>80</v>
      </c>
      <c r="I2" s="2">
        <v>393.75</v>
      </c>
      <c r="J2" s="2">
        <v>292.5</v>
      </c>
      <c r="K2" s="2" t="s">
        <v>97</v>
      </c>
      <c r="L2" s="2" t="s">
        <v>101</v>
      </c>
    </row>
    <row r="3" spans="1:12" x14ac:dyDescent="0.25">
      <c r="A3" s="2" t="s">
        <v>60</v>
      </c>
      <c r="B3" s="2" t="str">
        <f t="shared" si="0"/>
        <v>8X39RP4JG178</v>
      </c>
      <c r="C3" s="2" t="s">
        <v>138</v>
      </c>
      <c r="D3" s="2" t="s">
        <v>44</v>
      </c>
      <c r="E3" s="2" t="s">
        <v>28</v>
      </c>
      <c r="F3" s="3">
        <v>45809</v>
      </c>
      <c r="G3" s="4" t="s">
        <v>95</v>
      </c>
      <c r="H3" s="2" t="s">
        <v>47</v>
      </c>
      <c r="I3" s="2">
        <v>278.83</v>
      </c>
      <c r="J3" s="2">
        <v>208.67</v>
      </c>
      <c r="K3" s="2" t="s">
        <v>98</v>
      </c>
      <c r="L3" s="2" t="s">
        <v>99</v>
      </c>
    </row>
    <row r="4" spans="1:12" x14ac:dyDescent="0.25">
      <c r="A4" s="2" t="s">
        <v>62</v>
      </c>
      <c r="B4" s="2" t="str">
        <f t="shared" si="0"/>
        <v>9GY6QW0VY668</v>
      </c>
      <c r="C4" s="2" t="s">
        <v>139</v>
      </c>
      <c r="D4" s="2" t="s">
        <v>26</v>
      </c>
      <c r="E4" s="2" t="s">
        <v>28</v>
      </c>
      <c r="F4" s="3">
        <v>45748</v>
      </c>
      <c r="G4" s="2">
        <v>7470776</v>
      </c>
      <c r="H4" s="2" t="s">
        <v>64</v>
      </c>
      <c r="I4" s="2">
        <v>328.5</v>
      </c>
      <c r="J4" s="2">
        <v>313</v>
      </c>
      <c r="K4" s="2" t="s">
        <v>98</v>
      </c>
      <c r="L4" s="2" t="s">
        <v>100</v>
      </c>
    </row>
    <row r="5" spans="1:12" x14ac:dyDescent="0.25">
      <c r="A5" s="2" t="s">
        <v>51</v>
      </c>
      <c r="B5" s="2" t="str">
        <f t="shared" si="0"/>
        <v>2VR0V48TM018</v>
      </c>
      <c r="C5" s="2" t="s">
        <v>140</v>
      </c>
      <c r="D5" s="2" t="s">
        <v>26</v>
      </c>
      <c r="E5" s="2" t="s">
        <v>28</v>
      </c>
      <c r="F5" s="3">
        <v>45748</v>
      </c>
      <c r="G5" s="2">
        <v>7152559</v>
      </c>
      <c r="H5" s="2" t="s">
        <v>53</v>
      </c>
      <c r="I5" s="2">
        <v>328.5</v>
      </c>
      <c r="J5" s="2">
        <v>313</v>
      </c>
      <c r="K5" s="2" t="s">
        <v>98</v>
      </c>
      <c r="L5" s="2" t="s">
        <v>100</v>
      </c>
    </row>
    <row r="6" spans="1:12" x14ac:dyDescent="0.25">
      <c r="A6" s="2" t="s">
        <v>48</v>
      </c>
      <c r="B6" s="2" t="str">
        <f t="shared" si="0"/>
        <v>4CQ0WM1PU368</v>
      </c>
      <c r="C6" s="2" t="s">
        <v>141</v>
      </c>
      <c r="D6" s="2" t="s">
        <v>26</v>
      </c>
      <c r="E6" s="2" t="s">
        <v>28</v>
      </c>
      <c r="F6" s="3">
        <v>45748</v>
      </c>
      <c r="G6" s="2">
        <v>2158366</v>
      </c>
      <c r="H6" s="2" t="s">
        <v>50</v>
      </c>
      <c r="I6" s="2">
        <v>328.5</v>
      </c>
      <c r="J6" s="2">
        <v>313</v>
      </c>
      <c r="K6" s="2" t="s">
        <v>98</v>
      </c>
      <c r="L6" s="2" t="s">
        <v>100</v>
      </c>
    </row>
    <row r="7" spans="1:12" x14ac:dyDescent="0.25">
      <c r="A7" s="2" t="s">
        <v>36</v>
      </c>
      <c r="B7" s="2" t="str">
        <f t="shared" si="0"/>
        <v>3QY8Q03CA308</v>
      </c>
      <c r="C7" s="2" t="s">
        <v>142</v>
      </c>
      <c r="D7" s="2" t="s">
        <v>26</v>
      </c>
      <c r="E7" s="2" t="s">
        <v>28</v>
      </c>
      <c r="F7" s="3">
        <v>45748</v>
      </c>
      <c r="G7" s="2">
        <v>8814784</v>
      </c>
      <c r="H7" s="2" t="s">
        <v>39</v>
      </c>
      <c r="I7" s="2">
        <v>328.5</v>
      </c>
      <c r="J7" s="2">
        <v>313</v>
      </c>
      <c r="K7" s="2" t="s">
        <v>98</v>
      </c>
      <c r="L7" s="2" t="s">
        <v>100</v>
      </c>
    </row>
    <row r="8" spans="1:12" x14ac:dyDescent="0.25">
      <c r="A8" s="2" t="s">
        <v>40</v>
      </c>
      <c r="B8" s="2" t="str">
        <f t="shared" si="0"/>
        <v>4AX3CP2MH128</v>
      </c>
      <c r="C8" s="2" t="s">
        <v>143</v>
      </c>
      <c r="D8" s="2" t="s">
        <v>26</v>
      </c>
      <c r="E8" s="2" t="s">
        <v>28</v>
      </c>
      <c r="F8" s="3">
        <v>45748</v>
      </c>
      <c r="G8" s="2">
        <v>8814784</v>
      </c>
      <c r="H8" s="2" t="s">
        <v>39</v>
      </c>
      <c r="I8" s="2">
        <v>328.5</v>
      </c>
      <c r="J8" s="2">
        <v>313</v>
      </c>
      <c r="K8" s="2" t="s">
        <v>98</v>
      </c>
      <c r="L8" s="2" t="s">
        <v>100</v>
      </c>
    </row>
    <row r="9" spans="1:12" x14ac:dyDescent="0.25">
      <c r="A9" s="2" t="s">
        <v>74</v>
      </c>
      <c r="B9" s="2" t="str">
        <f t="shared" si="0"/>
        <v>2CX1XY6NW948</v>
      </c>
      <c r="C9" s="2" t="s">
        <v>144</v>
      </c>
      <c r="D9" s="2" t="s">
        <v>26</v>
      </c>
      <c r="E9" s="2" t="s">
        <v>28</v>
      </c>
      <c r="F9" s="3">
        <v>45748</v>
      </c>
      <c r="G9" s="2">
        <v>19586992</v>
      </c>
      <c r="H9" s="2" t="s">
        <v>76</v>
      </c>
      <c r="I9" s="2">
        <v>328.5</v>
      </c>
      <c r="J9" s="2">
        <v>313</v>
      </c>
      <c r="K9" s="2" t="s">
        <v>98</v>
      </c>
      <c r="L9" s="2" t="s">
        <v>100</v>
      </c>
    </row>
    <row r="10" spans="1:12" x14ac:dyDescent="0.25">
      <c r="A10" s="2" t="s">
        <v>89</v>
      </c>
      <c r="B10" s="2" t="str">
        <f t="shared" si="0"/>
        <v>2GQ4X75KX898</v>
      </c>
      <c r="C10" s="2" t="s">
        <v>145</v>
      </c>
      <c r="D10" s="2" t="s">
        <v>91</v>
      </c>
      <c r="E10" s="2" t="s">
        <v>28</v>
      </c>
      <c r="F10" s="3">
        <v>45748</v>
      </c>
      <c r="G10" s="2">
        <v>18935660</v>
      </c>
      <c r="H10" s="2" t="s">
        <v>94</v>
      </c>
      <c r="I10" s="2">
        <v>328.5</v>
      </c>
      <c r="J10" s="2">
        <v>313</v>
      </c>
      <c r="K10" s="2" t="s">
        <v>98</v>
      </c>
      <c r="L10" s="2" t="s">
        <v>100</v>
      </c>
    </row>
    <row r="11" spans="1:12" x14ac:dyDescent="0.25">
      <c r="A11" s="2" t="s">
        <v>24</v>
      </c>
      <c r="B11" s="2" t="str">
        <f t="shared" si="0"/>
        <v>8C28VN1TK398</v>
      </c>
      <c r="C11" s="2" t="s">
        <v>146</v>
      </c>
      <c r="D11" s="2" t="s">
        <v>26</v>
      </c>
      <c r="E11" s="2" t="s">
        <v>28</v>
      </c>
      <c r="F11" s="3">
        <v>45748</v>
      </c>
      <c r="G11" s="2">
        <v>8307933</v>
      </c>
      <c r="H11" s="2" t="s">
        <v>32</v>
      </c>
      <c r="I11" s="2">
        <v>328.5</v>
      </c>
      <c r="J11" s="2">
        <v>313</v>
      </c>
      <c r="K11" s="2" t="s">
        <v>98</v>
      </c>
      <c r="L11" s="2" t="s">
        <v>100</v>
      </c>
    </row>
    <row r="12" spans="1:12" x14ac:dyDescent="0.25">
      <c r="A12" s="2" t="s">
        <v>69</v>
      </c>
      <c r="B12" s="2" t="str">
        <f t="shared" si="0"/>
        <v>7VM9ME3JJ158</v>
      </c>
      <c r="C12" s="2" t="s">
        <v>147</v>
      </c>
      <c r="D12" s="2" t="s">
        <v>71</v>
      </c>
      <c r="E12" s="2" t="s">
        <v>28</v>
      </c>
      <c r="F12" s="3">
        <v>45748</v>
      </c>
      <c r="G12" s="2">
        <v>8307933</v>
      </c>
      <c r="H12" s="2" t="s">
        <v>32</v>
      </c>
      <c r="I12" s="2">
        <v>328.5</v>
      </c>
      <c r="J12" s="2">
        <v>313</v>
      </c>
      <c r="K12" s="2" t="s">
        <v>98</v>
      </c>
      <c r="L12" s="2" t="s">
        <v>100</v>
      </c>
    </row>
    <row r="13" spans="1:12" x14ac:dyDescent="0.25">
      <c r="A13" s="2" t="s">
        <v>77</v>
      </c>
      <c r="B13" s="2" t="str">
        <f t="shared" si="0"/>
        <v>5NP1RK9TQ028</v>
      </c>
      <c r="C13" s="2" t="s">
        <v>148</v>
      </c>
      <c r="D13" s="2" t="s">
        <v>44</v>
      </c>
      <c r="E13" s="2" t="s">
        <v>28</v>
      </c>
      <c r="F13" s="3">
        <v>45748</v>
      </c>
      <c r="G13" s="2">
        <v>15278437</v>
      </c>
      <c r="H13" s="2" t="s">
        <v>80</v>
      </c>
      <c r="I13" s="2">
        <v>358.5</v>
      </c>
      <c r="J13" s="2">
        <v>313</v>
      </c>
      <c r="K13" s="2" t="s">
        <v>98</v>
      </c>
      <c r="L13" s="2" t="s">
        <v>100</v>
      </c>
    </row>
    <row r="14" spans="1:12" x14ac:dyDescent="0.25">
      <c r="A14" s="2" t="s">
        <v>42</v>
      </c>
      <c r="B14" s="2" t="str">
        <f t="shared" si="0"/>
        <v>9YP5EH7QU948</v>
      </c>
      <c r="C14" s="2" t="s">
        <v>149</v>
      </c>
      <c r="D14" s="2" t="s">
        <v>44</v>
      </c>
      <c r="E14" s="2" t="s">
        <v>28</v>
      </c>
      <c r="F14" s="3">
        <v>45748</v>
      </c>
      <c r="G14" s="4" t="s">
        <v>95</v>
      </c>
      <c r="H14" s="2" t="s">
        <v>47</v>
      </c>
      <c r="I14" s="2">
        <v>358.5</v>
      </c>
      <c r="J14" s="2">
        <v>313</v>
      </c>
      <c r="K14" s="2" t="s">
        <v>98</v>
      </c>
      <c r="L14" s="2" t="s">
        <v>100</v>
      </c>
    </row>
    <row r="15" spans="1:12" x14ac:dyDescent="0.25">
      <c r="A15" s="2" t="s">
        <v>65</v>
      </c>
      <c r="B15" s="2" t="str">
        <f t="shared" ref="B15:B31" si="1">_xlfn.CONCAT(A15,88)</f>
        <v>7YE4VG0GG8788</v>
      </c>
      <c r="C15" s="2" t="s">
        <v>134</v>
      </c>
      <c r="D15" s="2" t="s">
        <v>44</v>
      </c>
      <c r="E15" s="2" t="s">
        <v>28</v>
      </c>
      <c r="F15" s="3">
        <v>45658</v>
      </c>
      <c r="G15" s="2">
        <v>20411454</v>
      </c>
      <c r="H15" s="2" t="s">
        <v>151</v>
      </c>
      <c r="I15" s="2">
        <v>-40</v>
      </c>
      <c r="J15" s="2">
        <v>-40</v>
      </c>
      <c r="K15" s="2" t="s">
        <v>96</v>
      </c>
    </row>
    <row r="16" spans="1:12" x14ac:dyDescent="0.25">
      <c r="A16" s="2" t="s">
        <v>86</v>
      </c>
      <c r="B16" s="2" t="str">
        <f t="shared" si="1"/>
        <v>6YV1TW4AT2088</v>
      </c>
      <c r="C16" s="2" t="s">
        <v>135</v>
      </c>
      <c r="D16" s="2" t="s">
        <v>44</v>
      </c>
      <c r="E16" s="2" t="s">
        <v>28</v>
      </c>
      <c r="F16" s="3">
        <v>45809</v>
      </c>
      <c r="G16" s="2">
        <v>20411454</v>
      </c>
      <c r="H16" s="2" t="s">
        <v>151</v>
      </c>
      <c r="I16" s="2">
        <v>23.33</v>
      </c>
      <c r="J16" s="2">
        <v>23.33</v>
      </c>
      <c r="K16" s="2" t="s">
        <v>96</v>
      </c>
    </row>
    <row r="17" spans="1:11" x14ac:dyDescent="0.25">
      <c r="A17" s="2" t="s">
        <v>54</v>
      </c>
      <c r="B17" s="2" t="str">
        <f t="shared" si="1"/>
        <v>7Q89DU7QV4388</v>
      </c>
      <c r="C17" s="2" t="s">
        <v>136</v>
      </c>
      <c r="D17" s="2" t="s">
        <v>44</v>
      </c>
      <c r="E17" s="2" t="s">
        <v>28</v>
      </c>
      <c r="F17" s="3">
        <v>45748</v>
      </c>
      <c r="G17" s="2">
        <v>20411454</v>
      </c>
      <c r="H17" s="2" t="s">
        <v>151</v>
      </c>
      <c r="I17" s="2">
        <v>30</v>
      </c>
      <c r="J17" s="2">
        <v>30</v>
      </c>
      <c r="K17" s="2" t="s">
        <v>96</v>
      </c>
    </row>
    <row r="18" spans="1:11" x14ac:dyDescent="0.25">
      <c r="A18" s="2" t="s">
        <v>58</v>
      </c>
      <c r="B18" s="2" t="str">
        <f t="shared" si="1"/>
        <v>3PJ3Q11UY9588</v>
      </c>
      <c r="C18" s="2" t="s">
        <v>137</v>
      </c>
      <c r="D18" s="2" t="s">
        <v>44</v>
      </c>
      <c r="E18" s="2" t="s">
        <v>28</v>
      </c>
      <c r="F18" s="3">
        <v>45748</v>
      </c>
      <c r="G18" s="2">
        <v>20411454</v>
      </c>
      <c r="H18" s="2" t="s">
        <v>151</v>
      </c>
      <c r="I18" s="2">
        <v>30</v>
      </c>
      <c r="J18" s="2">
        <v>30</v>
      </c>
      <c r="K18" s="2" t="s">
        <v>96</v>
      </c>
    </row>
    <row r="19" spans="1:11" x14ac:dyDescent="0.25">
      <c r="A19" s="2" t="s">
        <v>60</v>
      </c>
      <c r="B19" s="2" t="str">
        <f t="shared" si="1"/>
        <v>8X39RP4JG1788</v>
      </c>
      <c r="C19" s="2" t="s">
        <v>138</v>
      </c>
      <c r="D19" s="2" t="s">
        <v>44</v>
      </c>
      <c r="E19" s="2" t="s">
        <v>28</v>
      </c>
      <c r="F19" s="3">
        <v>45809</v>
      </c>
      <c r="G19" s="2">
        <v>20411454</v>
      </c>
      <c r="H19" s="2" t="s">
        <v>151</v>
      </c>
      <c r="I19" s="2">
        <v>278.83</v>
      </c>
      <c r="J19" s="2">
        <f>278.83-208.67</f>
        <v>70.16</v>
      </c>
      <c r="K19" s="2" t="s">
        <v>96</v>
      </c>
    </row>
    <row r="20" spans="1:11" x14ac:dyDescent="0.25">
      <c r="A20" s="2" t="s">
        <v>62</v>
      </c>
      <c r="B20" s="2" t="str">
        <f t="shared" si="1"/>
        <v>9GY6QW0VY6688</v>
      </c>
      <c r="C20" s="2" t="s">
        <v>139</v>
      </c>
      <c r="D20" s="2" t="s">
        <v>26</v>
      </c>
      <c r="E20" s="2" t="s">
        <v>28</v>
      </c>
      <c r="F20" s="3">
        <v>45748</v>
      </c>
      <c r="G20" s="2">
        <v>20411454</v>
      </c>
      <c r="H20" s="2" t="s">
        <v>151</v>
      </c>
      <c r="I20" s="2">
        <v>328.5</v>
      </c>
      <c r="J20" s="2">
        <v>15.5</v>
      </c>
      <c r="K20" s="2" t="s">
        <v>96</v>
      </c>
    </row>
    <row r="21" spans="1:11" x14ac:dyDescent="0.25">
      <c r="A21" s="2" t="s">
        <v>51</v>
      </c>
      <c r="B21" s="2" t="str">
        <f t="shared" si="1"/>
        <v>2VR0V48TM0188</v>
      </c>
      <c r="C21" s="2" t="s">
        <v>140</v>
      </c>
      <c r="D21" s="2" t="s">
        <v>26</v>
      </c>
      <c r="E21" s="2" t="s">
        <v>28</v>
      </c>
      <c r="F21" s="3">
        <v>45748</v>
      </c>
      <c r="G21" s="2">
        <v>20411454</v>
      </c>
      <c r="H21" s="2" t="s">
        <v>151</v>
      </c>
      <c r="I21" s="2">
        <v>328.5</v>
      </c>
      <c r="J21" s="2">
        <v>15.5</v>
      </c>
      <c r="K21" s="2" t="s">
        <v>96</v>
      </c>
    </row>
    <row r="22" spans="1:11" x14ac:dyDescent="0.25">
      <c r="A22" s="2" t="s">
        <v>48</v>
      </c>
      <c r="B22" s="2" t="str">
        <f t="shared" si="1"/>
        <v>4CQ0WM1PU3688</v>
      </c>
      <c r="C22" s="2" t="s">
        <v>141</v>
      </c>
      <c r="D22" s="2" t="s">
        <v>26</v>
      </c>
      <c r="E22" s="2" t="s">
        <v>28</v>
      </c>
      <c r="F22" s="3">
        <v>45748</v>
      </c>
      <c r="G22" s="2">
        <v>20411454</v>
      </c>
      <c r="H22" s="2" t="s">
        <v>151</v>
      </c>
      <c r="I22" s="2">
        <v>328.5</v>
      </c>
      <c r="J22" s="2">
        <v>15.5</v>
      </c>
      <c r="K22" s="2" t="s">
        <v>96</v>
      </c>
    </row>
    <row r="23" spans="1:11" x14ac:dyDescent="0.25">
      <c r="A23" s="2" t="s">
        <v>36</v>
      </c>
      <c r="B23" s="2" t="str">
        <f t="shared" si="1"/>
        <v>3QY8Q03CA3088</v>
      </c>
      <c r="C23" s="2" t="s">
        <v>142</v>
      </c>
      <c r="D23" s="2" t="s">
        <v>26</v>
      </c>
      <c r="E23" s="2" t="s">
        <v>28</v>
      </c>
      <c r="F23" s="3">
        <v>45748</v>
      </c>
      <c r="G23" s="2">
        <v>20411454</v>
      </c>
      <c r="H23" s="2" t="s">
        <v>151</v>
      </c>
      <c r="I23" s="2">
        <v>328.5</v>
      </c>
      <c r="J23" s="2">
        <v>15.5</v>
      </c>
      <c r="K23" s="2" t="s">
        <v>96</v>
      </c>
    </row>
    <row r="24" spans="1:11" x14ac:dyDescent="0.25">
      <c r="A24" s="2" t="s">
        <v>40</v>
      </c>
      <c r="B24" s="2" t="str">
        <f t="shared" si="1"/>
        <v>4AX3CP2MH1288</v>
      </c>
      <c r="C24" s="2" t="s">
        <v>143</v>
      </c>
      <c r="D24" s="2" t="s">
        <v>26</v>
      </c>
      <c r="E24" s="2" t="s">
        <v>28</v>
      </c>
      <c r="F24" s="3">
        <v>45748</v>
      </c>
      <c r="G24" s="2">
        <v>20411454</v>
      </c>
      <c r="H24" s="2" t="s">
        <v>151</v>
      </c>
      <c r="I24" s="2">
        <v>328.5</v>
      </c>
      <c r="J24" s="2">
        <v>15.5</v>
      </c>
      <c r="K24" s="2" t="s">
        <v>96</v>
      </c>
    </row>
    <row r="25" spans="1:11" x14ac:dyDescent="0.25">
      <c r="A25" s="2" t="s">
        <v>74</v>
      </c>
      <c r="B25" s="2" t="str">
        <f t="shared" si="1"/>
        <v>2CX1XY6NW9488</v>
      </c>
      <c r="C25" s="2" t="s">
        <v>144</v>
      </c>
      <c r="D25" s="2" t="s">
        <v>26</v>
      </c>
      <c r="E25" s="2" t="s">
        <v>28</v>
      </c>
      <c r="F25" s="3">
        <v>45748</v>
      </c>
      <c r="G25" s="2">
        <v>20411454</v>
      </c>
      <c r="H25" s="2" t="s">
        <v>151</v>
      </c>
      <c r="I25" s="2">
        <v>328.5</v>
      </c>
      <c r="J25" s="2">
        <v>15.5</v>
      </c>
      <c r="K25" s="2" t="s">
        <v>96</v>
      </c>
    </row>
    <row r="26" spans="1:11" x14ac:dyDescent="0.25">
      <c r="A26" s="2" t="s">
        <v>89</v>
      </c>
      <c r="B26" s="2" t="str">
        <f t="shared" si="1"/>
        <v>2GQ4X75KX8988</v>
      </c>
      <c r="C26" s="2" t="s">
        <v>145</v>
      </c>
      <c r="D26" s="2" t="s">
        <v>91</v>
      </c>
      <c r="E26" s="2" t="s">
        <v>28</v>
      </c>
      <c r="F26" s="3">
        <v>45748</v>
      </c>
      <c r="G26" s="2">
        <v>20411454</v>
      </c>
      <c r="H26" s="2" t="s">
        <v>151</v>
      </c>
      <c r="I26" s="2">
        <v>328.5</v>
      </c>
      <c r="J26" s="2">
        <v>15.5</v>
      </c>
      <c r="K26" s="2" t="s">
        <v>96</v>
      </c>
    </row>
    <row r="27" spans="1:11" x14ac:dyDescent="0.25">
      <c r="A27" s="2" t="s">
        <v>24</v>
      </c>
      <c r="B27" s="2" t="str">
        <f t="shared" si="1"/>
        <v>8C28VN1TK3988</v>
      </c>
      <c r="C27" s="2" t="s">
        <v>146</v>
      </c>
      <c r="D27" s="2" t="s">
        <v>26</v>
      </c>
      <c r="E27" s="2" t="s">
        <v>28</v>
      </c>
      <c r="F27" s="3">
        <v>45748</v>
      </c>
      <c r="G27" s="2">
        <v>20411454</v>
      </c>
      <c r="H27" s="2" t="s">
        <v>151</v>
      </c>
      <c r="I27" s="2">
        <v>328.5</v>
      </c>
      <c r="J27" s="2">
        <v>15.5</v>
      </c>
      <c r="K27" s="2" t="s">
        <v>96</v>
      </c>
    </row>
    <row r="28" spans="1:11" x14ac:dyDescent="0.25">
      <c r="A28" s="2" t="s">
        <v>69</v>
      </c>
      <c r="B28" s="2" t="str">
        <f t="shared" si="1"/>
        <v>7VM9ME3JJ1588</v>
      </c>
      <c r="C28" s="2" t="s">
        <v>147</v>
      </c>
      <c r="D28" s="2" t="s">
        <v>71</v>
      </c>
      <c r="E28" s="2" t="s">
        <v>28</v>
      </c>
      <c r="F28" s="3">
        <v>45748</v>
      </c>
      <c r="G28" s="2">
        <v>20411454</v>
      </c>
      <c r="H28" s="2" t="s">
        <v>151</v>
      </c>
      <c r="I28" s="2">
        <v>328.5</v>
      </c>
      <c r="J28" s="2">
        <v>15.5</v>
      </c>
      <c r="K28" s="2" t="s">
        <v>96</v>
      </c>
    </row>
    <row r="29" spans="1:11" x14ac:dyDescent="0.25">
      <c r="A29" s="2" t="s">
        <v>77</v>
      </c>
      <c r="B29" s="2" t="str">
        <f t="shared" si="1"/>
        <v>5NP1RK9TQ0288</v>
      </c>
      <c r="C29" s="2" t="s">
        <v>148</v>
      </c>
      <c r="D29" s="2" t="s">
        <v>44</v>
      </c>
      <c r="E29" s="2" t="s">
        <v>28</v>
      </c>
      <c r="F29" s="3">
        <v>45748</v>
      </c>
      <c r="G29" s="2">
        <v>20411454</v>
      </c>
      <c r="H29" s="2" t="s">
        <v>151</v>
      </c>
      <c r="I29" s="2">
        <v>358.5</v>
      </c>
      <c r="J29" s="2">
        <v>45.5</v>
      </c>
      <c r="K29" s="2" t="s">
        <v>96</v>
      </c>
    </row>
    <row r="30" spans="1:11" x14ac:dyDescent="0.25">
      <c r="A30" s="2" t="s">
        <v>42</v>
      </c>
      <c r="B30" s="2" t="str">
        <f t="shared" si="1"/>
        <v>9YP5EH7QU9488</v>
      </c>
      <c r="C30" s="2" t="s">
        <v>149</v>
      </c>
      <c r="D30" s="2" t="s">
        <v>44</v>
      </c>
      <c r="E30" s="2" t="s">
        <v>28</v>
      </c>
      <c r="F30" s="3">
        <v>45748</v>
      </c>
      <c r="G30" s="2">
        <v>20411454</v>
      </c>
      <c r="H30" s="2" t="s">
        <v>151</v>
      </c>
      <c r="I30" s="2">
        <v>358.5</v>
      </c>
      <c r="J30" s="2">
        <v>45.5</v>
      </c>
      <c r="K30" s="2" t="s">
        <v>96</v>
      </c>
    </row>
    <row r="31" spans="1:11" x14ac:dyDescent="0.25">
      <c r="A31" s="2" t="s">
        <v>81</v>
      </c>
      <c r="B31" s="2" t="str">
        <f t="shared" si="1"/>
        <v>7WV1GY4QW2188</v>
      </c>
      <c r="C31" s="2" t="s">
        <v>150</v>
      </c>
      <c r="D31" s="2" t="s">
        <v>83</v>
      </c>
      <c r="E31" s="2" t="s">
        <v>28</v>
      </c>
      <c r="F31" s="3">
        <v>45748</v>
      </c>
      <c r="G31" s="2">
        <v>20411454</v>
      </c>
      <c r="H31" s="2" t="s">
        <v>151</v>
      </c>
      <c r="I31" s="2">
        <v>393.75</v>
      </c>
      <c r="J31" s="2">
        <v>101.25</v>
      </c>
      <c r="K31" s="2" t="s">
        <v>96</v>
      </c>
    </row>
    <row r="32" spans="1:11" x14ac:dyDescent="0.25">
      <c r="F32" s="3"/>
    </row>
    <row r="33" spans="6:6" x14ac:dyDescent="0.25">
      <c r="F33" s="3"/>
    </row>
    <row r="34" spans="6:6" x14ac:dyDescent="0.25">
      <c r="F34" s="3"/>
    </row>
    <row r="35" spans="6:6" x14ac:dyDescent="0.25">
      <c r="F35" s="3"/>
    </row>
    <row r="36" spans="6:6" x14ac:dyDescent="0.25">
      <c r="F36" s="3"/>
    </row>
    <row r="37" spans="6:6" x14ac:dyDescent="0.25">
      <c r="F37" s="3"/>
    </row>
    <row r="38" spans="6:6" x14ac:dyDescent="0.25">
      <c r="F38" s="3"/>
    </row>
    <row r="39" spans="6:6" x14ac:dyDescent="0.25">
      <c r="F39" s="3"/>
    </row>
    <row r="40" spans="6:6" x14ac:dyDescent="0.25">
      <c r="F40" s="3"/>
    </row>
    <row r="41" spans="6:6" x14ac:dyDescent="0.25">
      <c r="F41" s="3"/>
    </row>
    <row r="42" spans="6:6" x14ac:dyDescent="0.25">
      <c r="F42" s="3"/>
    </row>
    <row r="43" spans="6:6" x14ac:dyDescent="0.25">
      <c r="F43" s="3"/>
    </row>
    <row r="44" spans="6:6" x14ac:dyDescent="0.25">
      <c r="F44" s="3"/>
    </row>
    <row r="45" spans="6:6" x14ac:dyDescent="0.25">
      <c r="F45" s="3"/>
    </row>
    <row r="46" spans="6:6" x14ac:dyDescent="0.25">
      <c r="F46" s="3"/>
    </row>
    <row r="47" spans="6:6" x14ac:dyDescent="0.25">
      <c r="F47" s="3"/>
    </row>
  </sheetData>
  <sortState xmlns:xlrd2="http://schemas.microsoft.com/office/spreadsheetml/2017/richdata2" ref="A2:Y31">
    <sortCondition ref="K2:K31"/>
  </sortState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8A1D7-1803-4110-A331-C361C68EBFFA}">
  <dimension ref="A1:C30"/>
  <sheetViews>
    <sheetView workbookViewId="0">
      <selection activeCell="C1" sqref="C1:C30"/>
    </sheetView>
  </sheetViews>
  <sheetFormatPr defaultRowHeight="15" x14ac:dyDescent="0.25"/>
  <sheetData>
    <row r="1" spans="1:3" x14ac:dyDescent="0.25">
      <c r="A1" s="2" t="s">
        <v>102</v>
      </c>
      <c r="B1" t="s">
        <v>103</v>
      </c>
      <c r="C1" t="str">
        <f>_xlfn.CONCAT(B1, " ", A1)</f>
        <v>KATHY SIBBLE</v>
      </c>
    </row>
    <row r="2" spans="1:3" x14ac:dyDescent="0.25">
      <c r="A2" s="2" t="s">
        <v>104</v>
      </c>
      <c r="B2" t="s">
        <v>105</v>
      </c>
      <c r="C2" t="str">
        <f t="shared" ref="C2:C30" si="0">_xlfn.CONCAT(B2, " ", A2)</f>
        <v>BRENDA VRONOSKI</v>
      </c>
    </row>
    <row r="3" spans="1:3" x14ac:dyDescent="0.25">
      <c r="A3" s="2" t="s">
        <v>106</v>
      </c>
      <c r="B3" t="s">
        <v>107</v>
      </c>
      <c r="C3" t="str">
        <f t="shared" si="0"/>
        <v>DIANNE KRIVANEK</v>
      </c>
    </row>
    <row r="4" spans="1:3" x14ac:dyDescent="0.25">
      <c r="A4" s="2" t="s">
        <v>106</v>
      </c>
      <c r="B4" t="s">
        <v>108</v>
      </c>
      <c r="C4" t="str">
        <f t="shared" si="0"/>
        <v>WILLIAM KRIVANEK</v>
      </c>
    </row>
    <row r="5" spans="1:3" x14ac:dyDescent="0.25">
      <c r="A5" s="2" t="s">
        <v>109</v>
      </c>
      <c r="B5" t="s">
        <v>110</v>
      </c>
      <c r="C5" t="str">
        <f t="shared" si="0"/>
        <v>MARSHA MAIOLI</v>
      </c>
    </row>
    <row r="6" spans="1:3" x14ac:dyDescent="0.25">
      <c r="A6" s="2" t="s">
        <v>109</v>
      </c>
      <c r="B6" t="s">
        <v>110</v>
      </c>
      <c r="C6" t="str">
        <f t="shared" si="0"/>
        <v>MARSHA MAIOLI</v>
      </c>
    </row>
    <row r="7" spans="1:3" x14ac:dyDescent="0.25">
      <c r="A7" s="2" t="s">
        <v>111</v>
      </c>
      <c r="B7" t="s">
        <v>112</v>
      </c>
      <c r="C7" t="str">
        <f t="shared" si="0"/>
        <v>MAUREEN RUSNAK</v>
      </c>
    </row>
    <row r="8" spans="1:3" x14ac:dyDescent="0.25">
      <c r="A8" s="2" t="s">
        <v>113</v>
      </c>
      <c r="B8" t="s">
        <v>114</v>
      </c>
      <c r="C8" t="str">
        <f t="shared" si="0"/>
        <v>DENNIS HOLYN</v>
      </c>
    </row>
    <row r="9" spans="1:3" x14ac:dyDescent="0.25">
      <c r="A9" s="2" t="s">
        <v>115</v>
      </c>
      <c r="B9" t="s">
        <v>116</v>
      </c>
      <c r="C9" t="str">
        <f t="shared" si="0"/>
        <v>JACK DESIK</v>
      </c>
    </row>
    <row r="10" spans="1:3" x14ac:dyDescent="0.25">
      <c r="A10" s="2" t="s">
        <v>117</v>
      </c>
      <c r="B10" t="s">
        <v>118</v>
      </c>
      <c r="C10" t="str">
        <f t="shared" si="0"/>
        <v>CRAIG COOK</v>
      </c>
    </row>
    <row r="11" spans="1:3" x14ac:dyDescent="0.25">
      <c r="A11" s="2" t="s">
        <v>117</v>
      </c>
      <c r="B11" t="s">
        <v>119</v>
      </c>
      <c r="C11" t="str">
        <f t="shared" si="0"/>
        <v>ELAINE COOK</v>
      </c>
    </row>
    <row r="12" spans="1:3" x14ac:dyDescent="0.25">
      <c r="A12" s="2" t="s">
        <v>120</v>
      </c>
      <c r="B12" t="s">
        <v>121</v>
      </c>
      <c r="C12" t="str">
        <f t="shared" si="0"/>
        <v>GLORIA SZCZEPANSKI</v>
      </c>
    </row>
    <row r="13" spans="1:3" x14ac:dyDescent="0.25">
      <c r="A13" s="2" t="s">
        <v>122</v>
      </c>
      <c r="B13" t="s">
        <v>123</v>
      </c>
      <c r="C13" t="str">
        <f t="shared" si="0"/>
        <v>TONI WESTBAY</v>
      </c>
    </row>
    <row r="14" spans="1:3" x14ac:dyDescent="0.25">
      <c r="A14" s="2" t="s">
        <v>124</v>
      </c>
      <c r="B14" t="s">
        <v>125</v>
      </c>
      <c r="C14" t="str">
        <f t="shared" si="0"/>
        <v>STEPHANIE ADAMS</v>
      </c>
    </row>
    <row r="15" spans="1:3" x14ac:dyDescent="0.25">
      <c r="A15" s="2" t="s">
        <v>126</v>
      </c>
      <c r="B15" t="s">
        <v>127</v>
      </c>
      <c r="C15" t="str">
        <f t="shared" si="0"/>
        <v>STEVE STAHURSKY</v>
      </c>
    </row>
    <row r="16" spans="1:3" x14ac:dyDescent="0.25">
      <c r="A16" s="2" t="s">
        <v>111</v>
      </c>
      <c r="B16" t="s">
        <v>112</v>
      </c>
      <c r="C16" t="str">
        <f t="shared" si="0"/>
        <v>MAUREEN RUSNAK</v>
      </c>
    </row>
    <row r="17" spans="1:3" x14ac:dyDescent="0.25">
      <c r="A17" s="2" t="s">
        <v>113</v>
      </c>
      <c r="B17" t="s">
        <v>114</v>
      </c>
      <c r="C17" t="str">
        <f t="shared" si="0"/>
        <v>DENNIS HOLYN</v>
      </c>
    </row>
    <row r="18" spans="1:3" x14ac:dyDescent="0.25">
      <c r="A18" s="2" t="s">
        <v>115</v>
      </c>
      <c r="B18" t="s">
        <v>116</v>
      </c>
      <c r="C18" t="str">
        <f t="shared" si="0"/>
        <v>JACK DESIK</v>
      </c>
    </row>
    <row r="19" spans="1:3" x14ac:dyDescent="0.25">
      <c r="A19" s="2" t="s">
        <v>117</v>
      </c>
      <c r="B19" t="s">
        <v>118</v>
      </c>
      <c r="C19" t="str">
        <f t="shared" si="0"/>
        <v>CRAIG COOK</v>
      </c>
    </row>
    <row r="20" spans="1:3" x14ac:dyDescent="0.25">
      <c r="A20" s="2" t="s">
        <v>117</v>
      </c>
      <c r="B20" t="s">
        <v>119</v>
      </c>
      <c r="C20" t="str">
        <f t="shared" si="0"/>
        <v>ELAINE COOK</v>
      </c>
    </row>
    <row r="21" spans="1:3" x14ac:dyDescent="0.25">
      <c r="A21" s="2" t="s">
        <v>120</v>
      </c>
      <c r="B21" t="s">
        <v>121</v>
      </c>
      <c r="C21" t="str">
        <f t="shared" si="0"/>
        <v>GLORIA SZCZEPANSKI</v>
      </c>
    </row>
    <row r="22" spans="1:3" x14ac:dyDescent="0.25">
      <c r="A22" s="2" t="s">
        <v>122</v>
      </c>
      <c r="B22" t="s">
        <v>123</v>
      </c>
      <c r="C22" t="str">
        <f t="shared" si="0"/>
        <v>TONI WESTBAY</v>
      </c>
    </row>
    <row r="23" spans="1:3" x14ac:dyDescent="0.25">
      <c r="A23" s="2" t="s">
        <v>124</v>
      </c>
      <c r="B23" t="s">
        <v>125</v>
      </c>
      <c r="C23" t="str">
        <f t="shared" si="0"/>
        <v>STEPHANIE ADAMS</v>
      </c>
    </row>
    <row r="24" spans="1:3" x14ac:dyDescent="0.25">
      <c r="A24" s="2" t="s">
        <v>126</v>
      </c>
      <c r="B24" t="s">
        <v>127</v>
      </c>
      <c r="C24" t="str">
        <f t="shared" si="0"/>
        <v>STEVE STAHURSKY</v>
      </c>
    </row>
    <row r="25" spans="1:3" x14ac:dyDescent="0.25">
      <c r="A25" s="2" t="s">
        <v>128</v>
      </c>
      <c r="B25" t="s">
        <v>129</v>
      </c>
      <c r="C25" t="str">
        <f t="shared" si="0"/>
        <v>JOSEPH TAVORMINA</v>
      </c>
    </row>
    <row r="26" spans="1:3" x14ac:dyDescent="0.25">
      <c r="A26" s="2" t="s">
        <v>130</v>
      </c>
      <c r="B26" t="s">
        <v>131</v>
      </c>
      <c r="C26" t="str">
        <f t="shared" si="0"/>
        <v>IAN CRIGHTON</v>
      </c>
    </row>
    <row r="27" spans="1:3" x14ac:dyDescent="0.25">
      <c r="A27" s="2" t="s">
        <v>128</v>
      </c>
      <c r="B27" t="s">
        <v>129</v>
      </c>
      <c r="C27" t="str">
        <f t="shared" si="0"/>
        <v>JOSEPH TAVORMINA</v>
      </c>
    </row>
    <row r="28" spans="1:3" x14ac:dyDescent="0.25">
      <c r="A28" s="2" t="s">
        <v>130</v>
      </c>
      <c r="B28" t="s">
        <v>131</v>
      </c>
      <c r="C28" t="str">
        <f t="shared" si="0"/>
        <v>IAN CRIGHTON</v>
      </c>
    </row>
    <row r="29" spans="1:3" x14ac:dyDescent="0.25">
      <c r="A29" s="2" t="s">
        <v>132</v>
      </c>
      <c r="B29" t="s">
        <v>133</v>
      </c>
      <c r="C29" t="str">
        <f t="shared" si="0"/>
        <v>RICHARD TROCCIOLA</v>
      </c>
    </row>
    <row r="30" spans="1:3" x14ac:dyDescent="0.25">
      <c r="A30" s="2" t="s">
        <v>132</v>
      </c>
      <c r="B30" t="s">
        <v>133</v>
      </c>
      <c r="C30" t="str">
        <f t="shared" si="0"/>
        <v>RICHARD TROCCIOLA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Line Benefits LLC_med_comm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2025-04-09T18:55:01Z</dcterms:created>
  <dcterms:modified xsi:type="dcterms:W3CDTF">2025-04-28T18:51:47Z</dcterms:modified>
</cp:coreProperties>
</file>