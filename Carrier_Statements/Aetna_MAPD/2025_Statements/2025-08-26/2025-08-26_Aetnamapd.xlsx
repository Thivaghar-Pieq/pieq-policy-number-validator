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8-26-25\"/>
    </mc:Choice>
  </mc:AlternateContent>
  <xr:revisionPtr revIDLastSave="0" documentId="13_ncr:1_{CF7C3113-EF1C-4916-A13B-24E84CBBB052}" xr6:coauthVersionLast="47" xr6:coauthVersionMax="47" xr10:uidLastSave="{00000000-0000-0000-0000-000000000000}"/>
  <bookViews>
    <workbookView xWindow="28680" yWindow="-120" windowWidth="29040" windowHeight="16440" activeTab="1" xr2:uid="{5A4D8485-7AD9-4FA2-B6D4-2FEB917A0852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3" i="2" l="1"/>
  <c r="F8" i="2"/>
  <c r="F6" i="2"/>
  <c r="F4" i="2"/>
  <c r="F5" i="2"/>
  <c r="F9" i="2"/>
  <c r="F7" i="2"/>
  <c r="F15" i="2"/>
  <c r="F13" i="2"/>
  <c r="F10" i="2"/>
  <c r="F11" i="2"/>
  <c r="F17" i="2"/>
  <c r="F14" i="2"/>
  <c r="F16" i="2"/>
  <c r="F12" i="2"/>
  <c r="F29" i="2"/>
  <c r="F20" i="2"/>
  <c r="F36" i="2"/>
  <c r="F30" i="2"/>
  <c r="F33" i="2"/>
  <c r="F26" i="2"/>
  <c r="F37" i="2"/>
  <c r="F35" i="2"/>
  <c r="F34" i="2"/>
  <c r="F43" i="2"/>
  <c r="F23" i="2"/>
  <c r="F28" i="2"/>
  <c r="F38" i="2"/>
  <c r="F24" i="2"/>
  <c r="F39" i="2"/>
  <c r="F27" i="2"/>
  <c r="F22" i="2"/>
  <c r="F40" i="2"/>
  <c r="F21" i="2"/>
  <c r="F41" i="2"/>
  <c r="F42" i="2"/>
  <c r="F44" i="2"/>
  <c r="F25" i="2"/>
  <c r="F18" i="2"/>
  <c r="F19" i="2"/>
  <c r="F31" i="2"/>
  <c r="F32" i="2"/>
  <c r="F50" i="2"/>
  <c r="F53" i="2"/>
  <c r="F60" i="2"/>
  <c r="F51" i="2"/>
  <c r="F55" i="2"/>
  <c r="F62" i="2"/>
  <c r="F63" i="2"/>
  <c r="F52" i="2"/>
  <c r="F49" i="2"/>
  <c r="F64" i="2"/>
  <c r="F48" i="2"/>
  <c r="F65" i="2"/>
  <c r="F45" i="2"/>
  <c r="F46" i="2"/>
  <c r="F56" i="2"/>
  <c r="F58" i="2"/>
  <c r="F59" i="2"/>
  <c r="F71" i="2"/>
  <c r="F66" i="2"/>
  <c r="F54" i="2"/>
  <c r="F47" i="2"/>
  <c r="F67" i="2"/>
  <c r="F72" i="2"/>
  <c r="F68" i="2"/>
  <c r="F57" i="2"/>
  <c r="F69" i="2"/>
  <c r="F70" i="2"/>
  <c r="F61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2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61" i="2"/>
  <c r="B70" i="2"/>
  <c r="B69" i="2"/>
  <c r="B57" i="2"/>
  <c r="B68" i="2"/>
  <c r="B72" i="2"/>
  <c r="B67" i="2"/>
  <c r="B47" i="2"/>
  <c r="B54" i="2"/>
  <c r="B66" i="2"/>
  <c r="B71" i="2"/>
  <c r="B59" i="2"/>
  <c r="B58" i="2"/>
  <c r="B56" i="2"/>
  <c r="B46" i="2"/>
  <c r="B45" i="2"/>
  <c r="B65" i="2"/>
  <c r="B48" i="2"/>
  <c r="B64" i="2"/>
  <c r="B49" i="2"/>
  <c r="B52" i="2"/>
  <c r="B63" i="2"/>
  <c r="B62" i="2"/>
  <c r="B55" i="2"/>
  <c r="B51" i="2"/>
  <c r="B60" i="2"/>
  <c r="B53" i="2"/>
  <c r="B50" i="2"/>
  <c r="B12" i="2"/>
  <c r="B16" i="2"/>
  <c r="B14" i="2"/>
  <c r="B17" i="2"/>
  <c r="B11" i="2"/>
  <c r="B10" i="2"/>
  <c r="B13" i="2"/>
  <c r="B15" i="2"/>
  <c r="B3" i="2"/>
  <c r="B32" i="2"/>
  <c r="B31" i="2"/>
  <c r="B19" i="2"/>
  <c r="B18" i="2"/>
  <c r="B25" i="2"/>
  <c r="B44" i="2"/>
  <c r="B42" i="2"/>
  <c r="B41" i="2"/>
  <c r="B21" i="2"/>
  <c r="B40" i="2"/>
  <c r="B22" i="2"/>
  <c r="B27" i="2"/>
  <c r="B39" i="2"/>
  <c r="B24" i="2"/>
  <c r="B38" i="2"/>
  <c r="B28" i="2"/>
  <c r="B23" i="2"/>
  <c r="B43" i="2"/>
  <c r="B34" i="2"/>
  <c r="B35" i="2"/>
  <c r="B37" i="2"/>
  <c r="B26" i="2"/>
  <c r="B33" i="2"/>
  <c r="B30" i="2"/>
  <c r="B36" i="2"/>
  <c r="B20" i="2"/>
  <c r="B29" i="2"/>
  <c r="B7" i="2"/>
  <c r="B9" i="2"/>
  <c r="B5" i="2"/>
  <c r="B4" i="2"/>
  <c r="B6" i="2"/>
  <c r="B8" i="2"/>
  <c r="B2" i="2"/>
  <c r="O121" i="2"/>
  <c r="O115" i="2"/>
</calcChain>
</file>

<file path=xl/sharedStrings.xml><?xml version="1.0" encoding="utf-8"?>
<sst xmlns="http://schemas.openxmlformats.org/spreadsheetml/2006/main" count="2447" uniqueCount="362">
  <si>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</si>
  <si>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</si>
  <si>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</si>
  <si>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</si>
  <si>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</si>
  <si>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</si>
  <si>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</si>
  <si>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</si>
  <si>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</si>
  <si>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</si>
  <si>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</si>
  <si>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</si>
  <si>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</si>
  <si>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</si>
  <si>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</si>
  <si>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</si>
  <si>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</si>
  <si>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</si>
  <si>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</si>
  <si>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</si>
  <si>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</si>
  <si>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</si>
  <si>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</si>
  <si>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</si>
  <si>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6PG1UR9VD26</t>
  </si>
  <si>
    <t>NG102181883500</t>
  </si>
  <si>
    <t>AFFRUNTI M,GENETTE</t>
  </si>
  <si>
    <t>IN</t>
  </si>
  <si>
    <t>CMS Trueup reversal</t>
  </si>
  <si>
    <t>MAPD</t>
  </si>
  <si>
    <t>IMM606</t>
  </si>
  <si>
    <t>H5521-408</t>
  </si>
  <si>
    <t>LOA</t>
  </si>
  <si>
    <t>Liskovec, Frank</t>
  </si>
  <si>
    <t>GMO</t>
  </si>
  <si>
    <t>Main Line Benefits LLC</t>
  </si>
  <si>
    <t xml:space="preserve">N  </t>
  </si>
  <si>
    <t>CMS Trueup</t>
  </si>
  <si>
    <t xml:space="preserve">Y  </t>
  </si>
  <si>
    <t>6U56RQ0HK62</t>
  </si>
  <si>
    <t>NG102183051300</t>
  </si>
  <si>
    <t>ANDRESKY E,CHARLOTTE</t>
  </si>
  <si>
    <t>NC</t>
  </si>
  <si>
    <t>IMM609</t>
  </si>
  <si>
    <t>H3146-001</t>
  </si>
  <si>
    <t>Teipel, Gregory</t>
  </si>
  <si>
    <t>6VE4UE1UP63</t>
  </si>
  <si>
    <t>NG102185144300</t>
  </si>
  <si>
    <t>BALOUGH C,DIANNE</t>
  </si>
  <si>
    <t>IL</t>
  </si>
  <si>
    <t>H7301-015</t>
  </si>
  <si>
    <t>Serio, Tom</t>
  </si>
  <si>
    <t>2A00K62XD31</t>
  </si>
  <si>
    <t>NG102182237600</t>
  </si>
  <si>
    <t>BAYSINGER J,PATRICK</t>
  </si>
  <si>
    <t>H5521-086</t>
  </si>
  <si>
    <t>SCHUMANN, BARRY</t>
  </si>
  <si>
    <t>3H39T83UW38</t>
  </si>
  <si>
    <t>NG102185121400</t>
  </si>
  <si>
    <t>BELLAVIA L,CHERYL</t>
  </si>
  <si>
    <t>H7301-013</t>
  </si>
  <si>
    <t>Walenga, Dale</t>
  </si>
  <si>
    <t>8TT8NJ8GH59</t>
  </si>
  <si>
    <t>NG102186765800</t>
  </si>
  <si>
    <t>BEND R,RONALD</t>
  </si>
  <si>
    <t>H7301-006</t>
  </si>
  <si>
    <t>Hunsberger, Anthony</t>
  </si>
  <si>
    <t>7RX0FF8TN17</t>
  </si>
  <si>
    <t>NG102186573600</t>
  </si>
  <si>
    <t>BYERLEY L,WILLIAM</t>
  </si>
  <si>
    <t>PA</t>
  </si>
  <si>
    <t>IMM608</t>
  </si>
  <si>
    <t>H5522-013</t>
  </si>
  <si>
    <t>Richter, Adam</t>
  </si>
  <si>
    <t>1WN3JE8UG93</t>
  </si>
  <si>
    <t>NG102186566000</t>
  </si>
  <si>
    <t>CACHO D,ELVIRA</t>
  </si>
  <si>
    <t>OH</t>
  </si>
  <si>
    <t>IMM617</t>
  </si>
  <si>
    <t>H0628-005</t>
  </si>
  <si>
    <t>SANTOS, RICARDO</t>
  </si>
  <si>
    <t>7EC3VX6TE02</t>
  </si>
  <si>
    <t>NG102184276900</t>
  </si>
  <si>
    <t>DANIELS S,THOMAS</t>
  </si>
  <si>
    <t>CO</t>
  </si>
  <si>
    <t>IMM610</t>
  </si>
  <si>
    <t>H3931-153</t>
  </si>
  <si>
    <t>Miller, Heather</t>
  </si>
  <si>
    <t>7NJ9KC2GK34</t>
  </si>
  <si>
    <t>NG102189788900</t>
  </si>
  <si>
    <t>DAUGHERTY P,MICHAEL</t>
  </si>
  <si>
    <t>New Business</t>
  </si>
  <si>
    <t>H5521-088</t>
  </si>
  <si>
    <t>1T02KU7XA00</t>
  </si>
  <si>
    <t>NG102185649100</t>
  </si>
  <si>
    <t>DAWSON L,BARBARA</t>
  </si>
  <si>
    <t>H3959-010</t>
  </si>
  <si>
    <t>McCorkle, Michelle</t>
  </si>
  <si>
    <t>2YT3WA2RQ05</t>
  </si>
  <si>
    <t>NG102189582400</t>
  </si>
  <si>
    <t>FERTIG A,REBECCA</t>
  </si>
  <si>
    <t>SC</t>
  </si>
  <si>
    <t>H5521-500</t>
  </si>
  <si>
    <t>6WG0NV5YF18</t>
  </si>
  <si>
    <t>NG101706129600</t>
  </si>
  <si>
    <t>FOLTZ M,KATHERINE</t>
  </si>
  <si>
    <t>TX</t>
  </si>
  <si>
    <t>IMM618</t>
  </si>
  <si>
    <t>H3288-008</t>
  </si>
  <si>
    <t>PRONEW</t>
  </si>
  <si>
    <t>7WN5XG5GV94</t>
  </si>
  <si>
    <t>NG102184427100</t>
  </si>
  <si>
    <t>FRY R,DAVID</t>
  </si>
  <si>
    <t>MO</t>
  </si>
  <si>
    <t>IMM607</t>
  </si>
  <si>
    <t>H2663-042</t>
  </si>
  <si>
    <t>4M51DJ2UG00</t>
  </si>
  <si>
    <t>NG102186402600</t>
  </si>
  <si>
    <t>GLACE A,RAYMOND</t>
  </si>
  <si>
    <t>MA</t>
  </si>
  <si>
    <t>H3959-041</t>
  </si>
  <si>
    <t>Smith, Margaret</t>
  </si>
  <si>
    <t>9UU4RR7AQ66</t>
  </si>
  <si>
    <t>NG102184194300</t>
  </si>
  <si>
    <t>HANCHOSKY T,JOHN</t>
  </si>
  <si>
    <t>6PR3G04HT96</t>
  </si>
  <si>
    <t>NG102189347200</t>
  </si>
  <si>
    <t>HODGE K,TRACEY</t>
  </si>
  <si>
    <t>H5522-004</t>
  </si>
  <si>
    <t>Luse, Alison</t>
  </si>
  <si>
    <t>7E60RN2NR47</t>
  </si>
  <si>
    <t>NG102186791500</t>
  </si>
  <si>
    <t>JOHNSON B,ANN</t>
  </si>
  <si>
    <t>2EH1PF5NE98</t>
  </si>
  <si>
    <t>NG102183716700</t>
  </si>
  <si>
    <t>JONES C,EDWARD</t>
  </si>
  <si>
    <t>H3959-001</t>
  </si>
  <si>
    <t>Inskipt, Deborah</t>
  </si>
  <si>
    <t>9H63MH5XV81</t>
  </si>
  <si>
    <t>NG102189713800</t>
  </si>
  <si>
    <t>LAPIER A,TAMMY</t>
  </si>
  <si>
    <t>H7301-002</t>
  </si>
  <si>
    <t>TAUGNER, CHRISTIAN</t>
  </si>
  <si>
    <t>5PV1CY7XR98</t>
  </si>
  <si>
    <t>NG102185986800</t>
  </si>
  <si>
    <t>LEINENBACH E,SUSAN</t>
  </si>
  <si>
    <t>H3959-011</t>
  </si>
  <si>
    <t>Powers, Timothy</t>
  </si>
  <si>
    <t>9YP4P53JY99</t>
  </si>
  <si>
    <t>NG102186764000</t>
  </si>
  <si>
    <t>LLOYD M,TIM</t>
  </si>
  <si>
    <t>WY</t>
  </si>
  <si>
    <t>IMM612</t>
  </si>
  <si>
    <t>H5521-197</t>
  </si>
  <si>
    <t>2R79EE8AJ23</t>
  </si>
  <si>
    <t>NG102185749400</t>
  </si>
  <si>
    <t>MARTIN W,JOHN</t>
  </si>
  <si>
    <t>H3959-002</t>
  </si>
  <si>
    <t>5Y17EU3PR73</t>
  </si>
  <si>
    <t>NG102184690900</t>
  </si>
  <si>
    <t>MASCHMEYER L,NANCY</t>
  </si>
  <si>
    <t>WI</t>
  </si>
  <si>
    <t>H5521-388</t>
  </si>
  <si>
    <t>4JC8DH2QH36</t>
  </si>
  <si>
    <t>NG102102295100</t>
  </si>
  <si>
    <t>MIKRUT Y,LOURDES</t>
  </si>
  <si>
    <t>AZ</t>
  </si>
  <si>
    <t>IMM601</t>
  </si>
  <si>
    <t>H5521-363</t>
  </si>
  <si>
    <t>DUNAVANT, MICHAEL</t>
  </si>
  <si>
    <t>1FE9VA6EP23</t>
  </si>
  <si>
    <t>NG102185649000</t>
  </si>
  <si>
    <t>MORLEY L,DIXIE</t>
  </si>
  <si>
    <t>H5522-022</t>
  </si>
  <si>
    <t>Stocker, Ryan</t>
  </si>
  <si>
    <t>8KN0N08RN38</t>
  </si>
  <si>
    <t>NG102183195600</t>
  </si>
  <si>
    <t>NELSEN E,SHARON</t>
  </si>
  <si>
    <t>HORN, JEFFREY</t>
  </si>
  <si>
    <t>1GP8VJ2JX28</t>
  </si>
  <si>
    <t>NG102186920500</t>
  </si>
  <si>
    <t>NEY J,ANDREW</t>
  </si>
  <si>
    <t>H5521-089</t>
  </si>
  <si>
    <t>3A75NR5PX54</t>
  </si>
  <si>
    <t>NG102184098400</t>
  </si>
  <si>
    <t>PALAZZO L,TERRIE</t>
  </si>
  <si>
    <t>H1206-002</t>
  </si>
  <si>
    <t>Hodgman, Timothy</t>
  </si>
  <si>
    <t>6FV6YC3XE48</t>
  </si>
  <si>
    <t>NG102184907800</t>
  </si>
  <si>
    <t>PHILLIPS E,GINGER</t>
  </si>
  <si>
    <t>OK</t>
  </si>
  <si>
    <t>H3288-020</t>
  </si>
  <si>
    <t>6JX7CK5PW64</t>
  </si>
  <si>
    <t>NG102186185100</t>
  </si>
  <si>
    <t>RAY J,RUBEN</t>
  </si>
  <si>
    <t>IMM619</t>
  </si>
  <si>
    <t>H7301-027</t>
  </si>
  <si>
    <t>9X63DM2UA95</t>
  </si>
  <si>
    <t>NG102184438000</t>
  </si>
  <si>
    <t>REBOLETTI M,DONNA</t>
  </si>
  <si>
    <t>9XY9RC6QF12</t>
  </si>
  <si>
    <t>NG102112917400</t>
  </si>
  <si>
    <t>RHODEN H,RONALD</t>
  </si>
  <si>
    <t>Pro-Rata Payment</t>
  </si>
  <si>
    <t>H5521-378</t>
  </si>
  <si>
    <t>Portugal, Gary</t>
  </si>
  <si>
    <t>Pro-Rata Disenroll</t>
  </si>
  <si>
    <t>7AM5YE7HP59</t>
  </si>
  <si>
    <t>NG102181870900</t>
  </si>
  <si>
    <t>SCHNORR A,KAREN</t>
  </si>
  <si>
    <t>6UJ5U19JX83</t>
  </si>
  <si>
    <t>NG101930241000</t>
  </si>
  <si>
    <t>SCOTT L,BELINDA</t>
  </si>
  <si>
    <t>H3959-035</t>
  </si>
  <si>
    <t>Roccia, Mark</t>
  </si>
  <si>
    <t>3YD8V07AC52</t>
  </si>
  <si>
    <t>NG102184490600</t>
  </si>
  <si>
    <t>SPASO C,NOEL</t>
  </si>
  <si>
    <t>Choi, Andrew</t>
  </si>
  <si>
    <t>1E71JU9UJ13</t>
  </si>
  <si>
    <t>NG102184515800</t>
  </si>
  <si>
    <t>SPASO F,RAYMOND</t>
  </si>
  <si>
    <t>7DR9WP2MF36</t>
  </si>
  <si>
    <t>NG101497408000</t>
  </si>
  <si>
    <t>STUDEBAKER K,DEBORAH</t>
  </si>
  <si>
    <t>CA</t>
  </si>
  <si>
    <t>IMM602</t>
  </si>
  <si>
    <t>H5521-581</t>
  </si>
  <si>
    <t>DAUGHERTY, MATTHEW</t>
  </si>
  <si>
    <t>9GQ0UY3DC02</t>
  </si>
  <si>
    <t>NG102183764700</t>
  </si>
  <si>
    <t>VONBERG D,THOMAS</t>
  </si>
  <si>
    <t>H4523-020</t>
  </si>
  <si>
    <t>5TM0DA0YH34</t>
  </si>
  <si>
    <t>NG102184099700</t>
  </si>
  <si>
    <t>WALKER A,DOREEN</t>
  </si>
  <si>
    <t>7W25G55WT55</t>
  </si>
  <si>
    <t>NG102182536000</t>
  </si>
  <si>
    <t>WILLOCKS I,CHERYL</t>
  </si>
  <si>
    <t>GA</t>
  </si>
  <si>
    <t>IMM605</t>
  </si>
  <si>
    <t>H5521-598</t>
  </si>
  <si>
    <t>Portugal, Stacey</t>
  </si>
  <si>
    <t>[%/$=626]</t>
  </si>
  <si>
    <t>Aetna MAPD 2025</t>
  </si>
  <si>
    <t>Aetna MAPD OVR 2025</t>
  </si>
  <si>
    <t>Aetna MAPD 2025*</t>
  </si>
  <si>
    <t>[%/$=313][prorate=6/12]</t>
  </si>
  <si>
    <t>Aetna 2025 CA, NJ*</t>
  </si>
  <si>
    <t>[%/$=390][prorate=5/12]</t>
  </si>
  <si>
    <t>[%/$=353][prorate=5/12]</t>
  </si>
  <si>
    <t>Aetna 2025 CT, PA, DC*</t>
  </si>
  <si>
    <t>[%/$=313][prorate=5/12]</t>
  </si>
  <si>
    <t>[%/$=313][prorate=4/12]</t>
  </si>
  <si>
    <t>[%/$=313][prorate=3/12]</t>
  </si>
  <si>
    <t>[%/$=353][prorate=3/12]</t>
  </si>
  <si>
    <t>[%/$=626][prorate=8/12]</t>
  </si>
  <si>
    <t>Aetna 2025 CT, PA, DC</t>
  </si>
  <si>
    <t>[%/$=705]</t>
  </si>
  <si>
    <t>[%/$=626][prorate=4/12]</t>
  </si>
  <si>
    <t>[%/$=626][prorate=5/12]</t>
  </si>
  <si>
    <t>Aetna 2025 CA, NJ</t>
  </si>
  <si>
    <t>[%/$=780][prorate=5/12]</t>
  </si>
  <si>
    <t>STUDEBAKER</t>
  </si>
  <si>
    <t>K</t>
  </si>
  <si>
    <t>DEBORAH</t>
  </si>
  <si>
    <t>BYERLEY</t>
  </si>
  <si>
    <t>L</t>
  </si>
  <si>
    <t>WILLIAM</t>
  </si>
  <si>
    <t>DAWSON</t>
  </si>
  <si>
    <t>BARBARA</t>
  </si>
  <si>
    <t>JONES</t>
  </si>
  <si>
    <t>C</t>
  </si>
  <si>
    <t>EDWARD</t>
  </si>
  <si>
    <t>MARTIN</t>
  </si>
  <si>
    <t>W</t>
  </si>
  <si>
    <t>JOHN</t>
  </si>
  <si>
    <t>MORLEY</t>
  </si>
  <si>
    <t>DIXIE</t>
  </si>
  <si>
    <t>WALKER</t>
  </si>
  <si>
    <t>A</t>
  </si>
  <si>
    <t>DOREEN</t>
  </si>
  <si>
    <t>SCOTT</t>
  </si>
  <si>
    <t>BELINDA</t>
  </si>
  <si>
    <t>HODGE</t>
  </si>
  <si>
    <t>TRACEY</t>
  </si>
  <si>
    <t>RHODEN</t>
  </si>
  <si>
    <t>H</t>
  </si>
  <si>
    <t>RONALD</t>
  </si>
  <si>
    <t>MIKRUT</t>
  </si>
  <si>
    <t>Y</t>
  </si>
  <si>
    <t>LOURDES</t>
  </si>
  <si>
    <t>FOLTZ</t>
  </si>
  <si>
    <t>M</t>
  </si>
  <si>
    <t>KATHERINE</t>
  </si>
  <si>
    <t>CACHO</t>
  </si>
  <si>
    <t>D</t>
  </si>
  <si>
    <t>ELVIRA</t>
  </si>
  <si>
    <t>AFFRUNTI</t>
  </si>
  <si>
    <t>GENETTE</t>
  </si>
  <si>
    <t>ANDRESKY</t>
  </si>
  <si>
    <t>E</t>
  </si>
  <si>
    <t>CHARLOTTE</t>
  </si>
  <si>
    <t>BALOUGH</t>
  </si>
  <si>
    <t>DIANNE</t>
  </si>
  <si>
    <t>BAYSINGER</t>
  </si>
  <si>
    <t>J</t>
  </si>
  <si>
    <t>PATRICK</t>
  </si>
  <si>
    <t>BELLAVIA</t>
  </si>
  <si>
    <t>CHERYL</t>
  </si>
  <si>
    <t>BEND</t>
  </si>
  <si>
    <t>R</t>
  </si>
  <si>
    <t>DANIELS</t>
  </si>
  <si>
    <t>S</t>
  </si>
  <si>
    <t>THOMAS</t>
  </si>
  <si>
    <t>FRY</t>
  </si>
  <si>
    <t>DAVID</t>
  </si>
  <si>
    <t>JOHNSON</t>
  </si>
  <si>
    <t>B</t>
  </si>
  <si>
    <t>ANN</t>
  </si>
  <si>
    <t>LLOYD</t>
  </si>
  <si>
    <t>TIM</t>
  </si>
  <si>
    <t>MASCHMEYER</t>
  </si>
  <si>
    <t>NANCY</t>
  </si>
  <si>
    <t>NELSEN</t>
  </si>
  <si>
    <t>SHARON</t>
  </si>
  <si>
    <t>NEY</t>
  </si>
  <si>
    <t>ANDREW</t>
  </si>
  <si>
    <t>PALAZZO</t>
  </si>
  <si>
    <t>TERRIE</t>
  </si>
  <si>
    <t>PHILLIPS</t>
  </si>
  <si>
    <t>GINGER</t>
  </si>
  <si>
    <t>RAY</t>
  </si>
  <si>
    <t>RUBEN</t>
  </si>
  <si>
    <t>REBOLETTI</t>
  </si>
  <si>
    <t>DONNA</t>
  </si>
  <si>
    <t>SCHNORR</t>
  </si>
  <si>
    <t>KAREN</t>
  </si>
  <si>
    <t>SPASO</t>
  </si>
  <si>
    <t>NOEL</t>
  </si>
  <si>
    <t>F</t>
  </si>
  <si>
    <t>RAYMOND</t>
  </si>
  <si>
    <t>VONBERG</t>
  </si>
  <si>
    <t>WILLOCKS</t>
  </si>
  <si>
    <t>I</t>
  </si>
  <si>
    <t>DAUGHERTY</t>
  </si>
  <si>
    <t>P</t>
  </si>
  <si>
    <t>MICHAEL</t>
  </si>
  <si>
    <t>FERTIG</t>
  </si>
  <si>
    <t>REBECCA</t>
  </si>
  <si>
    <t>LAPIER</t>
  </si>
  <si>
    <t>TAMMY</t>
  </si>
  <si>
    <t>GLACE</t>
  </si>
  <si>
    <t>HANCHOSKY</t>
  </si>
  <si>
    <t>T</t>
  </si>
  <si>
    <t>LEINENBACH</t>
  </si>
  <si>
    <t>SUSAN</t>
  </si>
  <si>
    <t>Main Line Benefits</t>
  </si>
  <si>
    <t>17528908N</t>
  </si>
  <si>
    <t>18710070N</t>
  </si>
  <si>
    <t>9254978N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</si>
</sst>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14" fillId="0" borderId="0" xfId="0" applyFont="1" applyFill="1"/>
    <xf numFmtId="0" fontId="18" fillId="0" borderId="0" xfId="0" applyFont="1" applyFill="1"/>
    <xf numFmtId="14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BFF8-AE51-4C29-BC36-A1F90D36842C}">
  <dimension ref="A1:X930"/>
  <sheetViews>
    <sheetView workbookViewId="0">
      <selection sqref="A1:XFD1048576"/>
    </sheetView>
  </sheetViews>
  <sheetFormatPr defaultRowHeight="15" x14ac:dyDescent="0.25"/>
  <cols>
    <col min="1" max="1" width="2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45895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45870</v>
      </c>
      <c r="M2" s="1">
        <v>45870</v>
      </c>
      <c r="O2">
        <v>8814784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-182.5</v>
      </c>
      <c r="V2" t="s">
        <v>36</v>
      </c>
      <c r="W2" s="1">
        <v>45838</v>
      </c>
      <c r="X2">
        <v>2025</v>
      </c>
    </row>
    <row r="3" spans="1:24" x14ac:dyDescent="0.25">
      <c r="A3" s="1">
        <v>45895</v>
      </c>
      <c r="B3" t="s">
        <v>24</v>
      </c>
      <c r="C3" t="s">
        <v>25</v>
      </c>
      <c r="E3" t="s">
        <v>26</v>
      </c>
      <c r="F3" t="s">
        <v>27</v>
      </c>
      <c r="G3" t="s">
        <v>37</v>
      </c>
      <c r="H3" t="s">
        <v>29</v>
      </c>
      <c r="I3" t="s">
        <v>30</v>
      </c>
      <c r="J3" t="s">
        <v>31</v>
      </c>
      <c r="L3" s="1">
        <v>45870</v>
      </c>
      <c r="M3" s="1">
        <v>45870</v>
      </c>
      <c r="O3">
        <v>8814784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751</v>
      </c>
      <c r="V3" t="s">
        <v>38</v>
      </c>
      <c r="W3" s="1">
        <v>45838</v>
      </c>
      <c r="X3">
        <v>2025</v>
      </c>
    </row>
    <row r="4" spans="1:24" x14ac:dyDescent="0.25">
      <c r="A4" s="1">
        <v>45895</v>
      </c>
      <c r="B4" t="s">
        <v>39</v>
      </c>
      <c r="C4" t="s">
        <v>40</v>
      </c>
      <c r="E4" t="s">
        <v>41</v>
      </c>
      <c r="F4" t="s">
        <v>42</v>
      </c>
      <c r="G4" t="s">
        <v>37</v>
      </c>
      <c r="H4" t="s">
        <v>29</v>
      </c>
      <c r="I4" t="s">
        <v>43</v>
      </c>
      <c r="J4" t="s">
        <v>44</v>
      </c>
      <c r="L4" s="1">
        <v>45931</v>
      </c>
      <c r="M4" s="1">
        <v>45931</v>
      </c>
      <c r="O4">
        <v>8307933</v>
      </c>
      <c r="P4" t="s">
        <v>32</v>
      </c>
      <c r="Q4" t="s">
        <v>45</v>
      </c>
      <c r="R4">
        <v>8192</v>
      </c>
      <c r="S4" t="s">
        <v>34</v>
      </c>
      <c r="T4" t="s">
        <v>35</v>
      </c>
      <c r="U4">
        <v>751</v>
      </c>
      <c r="V4" t="s">
        <v>38</v>
      </c>
      <c r="W4" s="1">
        <v>45845</v>
      </c>
      <c r="X4">
        <v>2025</v>
      </c>
    </row>
    <row r="5" spans="1:24" x14ac:dyDescent="0.25">
      <c r="A5" s="1">
        <v>45895</v>
      </c>
      <c r="B5" t="s">
        <v>39</v>
      </c>
      <c r="C5" t="s">
        <v>40</v>
      </c>
      <c r="E5" t="s">
        <v>41</v>
      </c>
      <c r="F5" t="s">
        <v>42</v>
      </c>
      <c r="G5" t="s">
        <v>28</v>
      </c>
      <c r="H5" t="s">
        <v>29</v>
      </c>
      <c r="I5" t="s">
        <v>43</v>
      </c>
      <c r="J5" t="s">
        <v>44</v>
      </c>
      <c r="L5" s="1">
        <v>45931</v>
      </c>
      <c r="M5" s="1">
        <v>45931</v>
      </c>
      <c r="O5">
        <v>8307933</v>
      </c>
      <c r="P5" t="s">
        <v>32</v>
      </c>
      <c r="Q5" t="s">
        <v>45</v>
      </c>
      <c r="R5">
        <v>8192</v>
      </c>
      <c r="S5" t="s">
        <v>34</v>
      </c>
      <c r="T5" t="s">
        <v>35</v>
      </c>
      <c r="U5">
        <v>-109.5</v>
      </c>
      <c r="V5" t="s">
        <v>36</v>
      </c>
      <c r="W5" s="1">
        <v>45845</v>
      </c>
      <c r="X5">
        <v>2025</v>
      </c>
    </row>
    <row r="6" spans="1:24" x14ac:dyDescent="0.25">
      <c r="A6" s="1">
        <v>45895</v>
      </c>
      <c r="B6" t="s">
        <v>46</v>
      </c>
      <c r="C6" t="s">
        <v>47</v>
      </c>
      <c r="E6" t="s">
        <v>48</v>
      </c>
      <c r="F6" t="s">
        <v>49</v>
      </c>
      <c r="G6" t="s">
        <v>37</v>
      </c>
      <c r="H6" t="s">
        <v>29</v>
      </c>
      <c r="I6" t="s">
        <v>30</v>
      </c>
      <c r="J6" t="s">
        <v>50</v>
      </c>
      <c r="L6" s="1">
        <v>45870</v>
      </c>
      <c r="M6" s="1">
        <v>45870</v>
      </c>
      <c r="O6">
        <v>20490188</v>
      </c>
      <c r="P6" t="s">
        <v>32</v>
      </c>
      <c r="Q6" t="s">
        <v>51</v>
      </c>
      <c r="R6">
        <v>8192</v>
      </c>
      <c r="S6" t="s">
        <v>34</v>
      </c>
      <c r="T6" t="s">
        <v>35</v>
      </c>
      <c r="U6">
        <v>751</v>
      </c>
      <c r="V6" t="s">
        <v>38</v>
      </c>
      <c r="W6" s="1">
        <v>45856</v>
      </c>
      <c r="X6">
        <v>2025</v>
      </c>
    </row>
    <row r="7" spans="1:24" x14ac:dyDescent="0.25">
      <c r="A7" s="1">
        <v>45895</v>
      </c>
      <c r="B7" t="s">
        <v>46</v>
      </c>
      <c r="C7" t="s">
        <v>47</v>
      </c>
      <c r="E7" t="s">
        <v>48</v>
      </c>
      <c r="F7" t="s">
        <v>49</v>
      </c>
      <c r="G7" t="s">
        <v>28</v>
      </c>
      <c r="H7" t="s">
        <v>29</v>
      </c>
      <c r="I7" t="s">
        <v>30</v>
      </c>
      <c r="J7" t="s">
        <v>50</v>
      </c>
      <c r="L7" s="1">
        <v>45870</v>
      </c>
      <c r="M7" s="1">
        <v>45870</v>
      </c>
      <c r="O7">
        <v>20490188</v>
      </c>
      <c r="P7" t="s">
        <v>32</v>
      </c>
      <c r="Q7" t="s">
        <v>51</v>
      </c>
      <c r="R7">
        <v>8192</v>
      </c>
      <c r="S7" t="s">
        <v>34</v>
      </c>
      <c r="T7" t="s">
        <v>35</v>
      </c>
      <c r="U7">
        <v>-182.5</v>
      </c>
      <c r="V7" t="s">
        <v>36</v>
      </c>
      <c r="W7" s="1">
        <v>45856</v>
      </c>
      <c r="X7">
        <v>2025</v>
      </c>
    </row>
    <row r="8" spans="1:24" x14ac:dyDescent="0.25">
      <c r="A8" s="1">
        <v>45895</v>
      </c>
      <c r="B8" t="s">
        <v>52</v>
      </c>
      <c r="C8" t="s">
        <v>53</v>
      </c>
      <c r="E8" t="s">
        <v>54</v>
      </c>
      <c r="F8" t="s">
        <v>49</v>
      </c>
      <c r="G8" t="s">
        <v>37</v>
      </c>
      <c r="H8" t="s">
        <v>29</v>
      </c>
      <c r="I8" t="s">
        <v>30</v>
      </c>
      <c r="J8" t="s">
        <v>55</v>
      </c>
      <c r="L8" s="1">
        <v>45901</v>
      </c>
      <c r="M8" s="1">
        <v>45901</v>
      </c>
      <c r="O8">
        <v>19586992</v>
      </c>
      <c r="P8" t="s">
        <v>32</v>
      </c>
      <c r="Q8" t="s">
        <v>56</v>
      </c>
      <c r="R8">
        <v>8192</v>
      </c>
      <c r="S8" t="s">
        <v>34</v>
      </c>
      <c r="T8" t="s">
        <v>35</v>
      </c>
      <c r="U8">
        <v>751</v>
      </c>
      <c r="V8" t="s">
        <v>38</v>
      </c>
      <c r="W8" s="1">
        <v>45839</v>
      </c>
      <c r="X8">
        <v>2025</v>
      </c>
    </row>
    <row r="9" spans="1:24" x14ac:dyDescent="0.25">
      <c r="A9" s="1">
        <v>45895</v>
      </c>
      <c r="B9" t="s">
        <v>52</v>
      </c>
      <c r="C9" t="s">
        <v>53</v>
      </c>
      <c r="E9" t="s">
        <v>54</v>
      </c>
      <c r="F9" t="s">
        <v>49</v>
      </c>
      <c r="G9" t="s">
        <v>28</v>
      </c>
      <c r="H9" t="s">
        <v>29</v>
      </c>
      <c r="I9" t="s">
        <v>30</v>
      </c>
      <c r="J9" t="s">
        <v>55</v>
      </c>
      <c r="L9" s="1">
        <v>45901</v>
      </c>
      <c r="M9" s="1">
        <v>45901</v>
      </c>
      <c r="O9">
        <v>19586992</v>
      </c>
      <c r="P9" t="s">
        <v>32</v>
      </c>
      <c r="Q9" t="s">
        <v>56</v>
      </c>
      <c r="R9">
        <v>8192</v>
      </c>
      <c r="S9" t="s">
        <v>34</v>
      </c>
      <c r="T9" t="s">
        <v>35</v>
      </c>
      <c r="U9">
        <v>-146</v>
      </c>
      <c r="V9" t="s">
        <v>36</v>
      </c>
      <c r="W9" s="1">
        <v>45839</v>
      </c>
      <c r="X9">
        <v>2025</v>
      </c>
    </row>
    <row r="10" spans="1:24" x14ac:dyDescent="0.25">
      <c r="A10" s="1">
        <v>45895</v>
      </c>
      <c r="B10" t="s">
        <v>57</v>
      </c>
      <c r="C10" t="s">
        <v>58</v>
      </c>
      <c r="E10" t="s">
        <v>59</v>
      </c>
      <c r="F10" t="s">
        <v>49</v>
      </c>
      <c r="G10" t="s">
        <v>28</v>
      </c>
      <c r="H10" t="s">
        <v>29</v>
      </c>
      <c r="I10" t="s">
        <v>30</v>
      </c>
      <c r="J10" t="s">
        <v>60</v>
      </c>
      <c r="L10" s="1">
        <v>45901</v>
      </c>
      <c r="M10" s="1">
        <v>45901</v>
      </c>
      <c r="O10">
        <v>8325282</v>
      </c>
      <c r="P10" t="s">
        <v>32</v>
      </c>
      <c r="Q10" t="s">
        <v>61</v>
      </c>
      <c r="R10">
        <v>8192</v>
      </c>
      <c r="S10" t="s">
        <v>34</v>
      </c>
      <c r="T10" t="s">
        <v>35</v>
      </c>
      <c r="U10">
        <v>-146</v>
      </c>
      <c r="V10" t="s">
        <v>36</v>
      </c>
      <c r="W10" s="1">
        <v>45856</v>
      </c>
      <c r="X10">
        <v>2025</v>
      </c>
    </row>
    <row r="11" spans="1:24" x14ac:dyDescent="0.25">
      <c r="A11" s="1">
        <v>45895</v>
      </c>
      <c r="B11" t="s">
        <v>57</v>
      </c>
      <c r="C11" t="s">
        <v>58</v>
      </c>
      <c r="E11" t="s">
        <v>59</v>
      </c>
      <c r="F11" t="s">
        <v>49</v>
      </c>
      <c r="G11" t="s">
        <v>37</v>
      </c>
      <c r="H11" t="s">
        <v>29</v>
      </c>
      <c r="I11" t="s">
        <v>30</v>
      </c>
      <c r="J11" t="s">
        <v>60</v>
      </c>
      <c r="L11" s="1">
        <v>45901</v>
      </c>
      <c r="M11" s="1">
        <v>45901</v>
      </c>
      <c r="O11">
        <v>8325282</v>
      </c>
      <c r="P11" t="s">
        <v>32</v>
      </c>
      <c r="Q11" t="s">
        <v>61</v>
      </c>
      <c r="R11">
        <v>8192</v>
      </c>
      <c r="S11" t="s">
        <v>34</v>
      </c>
      <c r="T11" t="s">
        <v>35</v>
      </c>
      <c r="U11">
        <v>751</v>
      </c>
      <c r="V11" t="s">
        <v>38</v>
      </c>
      <c r="W11" s="1">
        <v>45856</v>
      </c>
      <c r="X11">
        <v>2025</v>
      </c>
    </row>
    <row r="12" spans="1:24" x14ac:dyDescent="0.25">
      <c r="A12" s="1">
        <v>45895</v>
      </c>
      <c r="B12" t="s">
        <v>62</v>
      </c>
      <c r="C12" t="s">
        <v>63</v>
      </c>
      <c r="E12" t="s">
        <v>64</v>
      </c>
      <c r="F12" t="s">
        <v>49</v>
      </c>
      <c r="G12" t="s">
        <v>28</v>
      </c>
      <c r="H12" t="s">
        <v>29</v>
      </c>
      <c r="I12" t="s">
        <v>30</v>
      </c>
      <c r="J12" t="s">
        <v>65</v>
      </c>
      <c r="L12" s="1">
        <v>45870</v>
      </c>
      <c r="M12" s="1">
        <v>45870</v>
      </c>
      <c r="O12">
        <v>7146581</v>
      </c>
      <c r="P12" t="s">
        <v>32</v>
      </c>
      <c r="Q12" t="s">
        <v>66</v>
      </c>
      <c r="R12">
        <v>8192</v>
      </c>
      <c r="S12" t="s">
        <v>34</v>
      </c>
      <c r="T12" t="s">
        <v>35</v>
      </c>
      <c r="U12">
        <v>-182.5</v>
      </c>
      <c r="V12" t="s">
        <v>36</v>
      </c>
      <c r="W12" s="1">
        <v>45866</v>
      </c>
      <c r="X12">
        <v>2025</v>
      </c>
    </row>
    <row r="13" spans="1:24" x14ac:dyDescent="0.25">
      <c r="A13" s="1">
        <v>45895</v>
      </c>
      <c r="B13" t="s">
        <v>62</v>
      </c>
      <c r="C13" t="s">
        <v>63</v>
      </c>
      <c r="E13" t="s">
        <v>64</v>
      </c>
      <c r="F13" t="s">
        <v>49</v>
      </c>
      <c r="G13" t="s">
        <v>37</v>
      </c>
      <c r="H13" t="s">
        <v>29</v>
      </c>
      <c r="I13" t="s">
        <v>30</v>
      </c>
      <c r="J13" t="s">
        <v>65</v>
      </c>
      <c r="L13" s="1">
        <v>45870</v>
      </c>
      <c r="M13" s="1">
        <v>45870</v>
      </c>
      <c r="O13">
        <v>7146581</v>
      </c>
      <c r="P13" t="s">
        <v>32</v>
      </c>
      <c r="Q13" t="s">
        <v>66</v>
      </c>
      <c r="R13">
        <v>8192</v>
      </c>
      <c r="S13" t="s">
        <v>34</v>
      </c>
      <c r="T13" t="s">
        <v>35</v>
      </c>
      <c r="U13">
        <v>751</v>
      </c>
      <c r="V13" t="s">
        <v>38</v>
      </c>
      <c r="W13" s="1">
        <v>45866</v>
      </c>
      <c r="X13">
        <v>2025</v>
      </c>
    </row>
    <row r="14" spans="1:24" x14ac:dyDescent="0.25">
      <c r="A14" s="1">
        <v>45895</v>
      </c>
      <c r="B14" t="s">
        <v>67</v>
      </c>
      <c r="C14" t="s">
        <v>68</v>
      </c>
      <c r="E14" t="s">
        <v>69</v>
      </c>
      <c r="F14" t="s">
        <v>70</v>
      </c>
      <c r="G14" t="s">
        <v>28</v>
      </c>
      <c r="H14" t="s">
        <v>29</v>
      </c>
      <c r="I14" t="s">
        <v>71</v>
      </c>
      <c r="J14" t="s">
        <v>72</v>
      </c>
      <c r="L14" s="1">
        <v>45870</v>
      </c>
      <c r="M14" s="1">
        <v>45870</v>
      </c>
      <c r="O14">
        <v>9079571</v>
      </c>
      <c r="P14" t="s">
        <v>32</v>
      </c>
      <c r="Q14" t="s">
        <v>73</v>
      </c>
      <c r="R14">
        <v>8192</v>
      </c>
      <c r="S14" t="s">
        <v>34</v>
      </c>
      <c r="T14" t="s">
        <v>35</v>
      </c>
      <c r="U14">
        <v>-199.17</v>
      </c>
      <c r="V14" t="s">
        <v>36</v>
      </c>
      <c r="W14" s="1">
        <v>45865</v>
      </c>
      <c r="X14">
        <v>2025</v>
      </c>
    </row>
    <row r="15" spans="1:24" x14ac:dyDescent="0.25">
      <c r="A15" s="1">
        <v>45895</v>
      </c>
      <c r="B15" t="s">
        <v>67</v>
      </c>
      <c r="C15" t="s">
        <v>68</v>
      </c>
      <c r="E15" t="s">
        <v>69</v>
      </c>
      <c r="F15" t="s">
        <v>70</v>
      </c>
      <c r="G15" t="s">
        <v>37</v>
      </c>
      <c r="H15" t="s">
        <v>29</v>
      </c>
      <c r="I15" t="s">
        <v>71</v>
      </c>
      <c r="J15" t="s">
        <v>72</v>
      </c>
      <c r="L15" s="1">
        <v>45870</v>
      </c>
      <c r="M15" s="1">
        <v>45870</v>
      </c>
      <c r="O15">
        <v>9079571</v>
      </c>
      <c r="P15" t="s">
        <v>32</v>
      </c>
      <c r="Q15" t="s">
        <v>73</v>
      </c>
      <c r="R15">
        <v>8192</v>
      </c>
      <c r="S15" t="s">
        <v>34</v>
      </c>
      <c r="T15" t="s">
        <v>35</v>
      </c>
      <c r="U15">
        <v>830</v>
      </c>
      <c r="V15" t="s">
        <v>38</v>
      </c>
      <c r="W15" s="1">
        <v>45865</v>
      </c>
      <c r="X15">
        <v>2025</v>
      </c>
    </row>
    <row r="16" spans="1:24" x14ac:dyDescent="0.25">
      <c r="A16" s="1">
        <v>45895</v>
      </c>
      <c r="B16" t="s">
        <v>74</v>
      </c>
      <c r="C16" t="s">
        <v>75</v>
      </c>
      <c r="E16" t="s">
        <v>76</v>
      </c>
      <c r="F16" t="s">
        <v>77</v>
      </c>
      <c r="G16" t="s">
        <v>28</v>
      </c>
      <c r="H16" t="s">
        <v>29</v>
      </c>
      <c r="I16" t="s">
        <v>78</v>
      </c>
      <c r="J16" t="s">
        <v>79</v>
      </c>
      <c r="L16" s="1">
        <v>45870</v>
      </c>
      <c r="M16" s="1">
        <v>45870</v>
      </c>
      <c r="O16">
        <v>19200754</v>
      </c>
      <c r="P16" t="s">
        <v>32</v>
      </c>
      <c r="Q16" t="s">
        <v>80</v>
      </c>
      <c r="R16">
        <v>8192</v>
      </c>
      <c r="S16" t="s">
        <v>34</v>
      </c>
      <c r="T16" t="s">
        <v>35</v>
      </c>
      <c r="U16">
        <v>-180.42</v>
      </c>
      <c r="V16" t="s">
        <v>36</v>
      </c>
      <c r="W16" s="1">
        <v>45864</v>
      </c>
      <c r="X16">
        <v>2025</v>
      </c>
    </row>
    <row r="17" spans="1:24" x14ac:dyDescent="0.25">
      <c r="A17" s="1">
        <v>45895</v>
      </c>
      <c r="B17" t="s">
        <v>74</v>
      </c>
      <c r="C17" t="s">
        <v>75</v>
      </c>
      <c r="E17" t="s">
        <v>76</v>
      </c>
      <c r="F17" t="s">
        <v>77</v>
      </c>
      <c r="G17" t="s">
        <v>37</v>
      </c>
      <c r="H17" t="s">
        <v>29</v>
      </c>
      <c r="I17" t="s">
        <v>78</v>
      </c>
      <c r="J17" t="s">
        <v>79</v>
      </c>
      <c r="L17" s="1">
        <v>45870</v>
      </c>
      <c r="M17" s="1">
        <v>45870</v>
      </c>
      <c r="O17">
        <v>19200754</v>
      </c>
      <c r="P17" t="s">
        <v>32</v>
      </c>
      <c r="Q17" t="s">
        <v>80</v>
      </c>
      <c r="R17">
        <v>8192</v>
      </c>
      <c r="S17" t="s">
        <v>34</v>
      </c>
      <c r="T17" t="s">
        <v>35</v>
      </c>
      <c r="U17">
        <v>746</v>
      </c>
      <c r="V17" t="s">
        <v>38</v>
      </c>
      <c r="W17" s="1">
        <v>45864</v>
      </c>
      <c r="X17">
        <v>2025</v>
      </c>
    </row>
    <row r="18" spans="1:24" x14ac:dyDescent="0.25">
      <c r="A18" s="1">
        <v>45895</v>
      </c>
      <c r="B18" t="s">
        <v>81</v>
      </c>
      <c r="C18" t="s">
        <v>82</v>
      </c>
      <c r="E18" t="s">
        <v>83</v>
      </c>
      <c r="F18" t="s">
        <v>84</v>
      </c>
      <c r="G18" t="s">
        <v>37</v>
      </c>
      <c r="H18" t="s">
        <v>29</v>
      </c>
      <c r="I18" t="s">
        <v>85</v>
      </c>
      <c r="J18" t="s">
        <v>86</v>
      </c>
      <c r="L18" s="1">
        <v>45870</v>
      </c>
      <c r="M18" s="1">
        <v>45870</v>
      </c>
      <c r="O18">
        <v>16865615</v>
      </c>
      <c r="P18" t="s">
        <v>32</v>
      </c>
      <c r="Q18" t="s">
        <v>87</v>
      </c>
      <c r="R18">
        <v>8192</v>
      </c>
      <c r="S18" t="s">
        <v>34</v>
      </c>
      <c r="T18" t="s">
        <v>35</v>
      </c>
      <c r="U18">
        <v>751</v>
      </c>
      <c r="V18" t="s">
        <v>38</v>
      </c>
      <c r="W18" s="1">
        <v>45852</v>
      </c>
      <c r="X18">
        <v>2025</v>
      </c>
    </row>
    <row r="19" spans="1:24" x14ac:dyDescent="0.25">
      <c r="A19" s="1">
        <v>45895</v>
      </c>
      <c r="B19" t="s">
        <v>81</v>
      </c>
      <c r="C19" t="s">
        <v>82</v>
      </c>
      <c r="E19" t="s">
        <v>83</v>
      </c>
      <c r="F19" t="s">
        <v>84</v>
      </c>
      <c r="G19" t="s">
        <v>28</v>
      </c>
      <c r="H19" t="s">
        <v>29</v>
      </c>
      <c r="I19" t="s">
        <v>85</v>
      </c>
      <c r="J19" t="s">
        <v>86</v>
      </c>
      <c r="L19" s="1">
        <v>45870</v>
      </c>
      <c r="M19" s="1">
        <v>45870</v>
      </c>
      <c r="O19">
        <v>16865615</v>
      </c>
      <c r="P19" t="s">
        <v>32</v>
      </c>
      <c r="Q19" t="s">
        <v>87</v>
      </c>
      <c r="R19">
        <v>8192</v>
      </c>
      <c r="S19" t="s">
        <v>34</v>
      </c>
      <c r="T19" t="s">
        <v>35</v>
      </c>
      <c r="U19">
        <v>-182.5</v>
      </c>
      <c r="V19" t="s">
        <v>36</v>
      </c>
      <c r="W19" s="1">
        <v>45852</v>
      </c>
      <c r="X19">
        <v>2025</v>
      </c>
    </row>
    <row r="20" spans="1:24" x14ac:dyDescent="0.25">
      <c r="A20" s="1">
        <v>45895</v>
      </c>
      <c r="B20" t="s">
        <v>88</v>
      </c>
      <c r="C20" t="s">
        <v>89</v>
      </c>
      <c r="E20" t="s">
        <v>90</v>
      </c>
      <c r="F20" t="s">
        <v>77</v>
      </c>
      <c r="G20" t="s">
        <v>91</v>
      </c>
      <c r="H20" t="s">
        <v>29</v>
      </c>
      <c r="I20" t="s">
        <v>78</v>
      </c>
      <c r="J20" t="s">
        <v>92</v>
      </c>
      <c r="L20" s="1">
        <v>45931</v>
      </c>
      <c r="M20" s="1">
        <v>45931</v>
      </c>
      <c r="O20">
        <v>8307933</v>
      </c>
      <c r="P20" t="s">
        <v>32</v>
      </c>
      <c r="Q20" t="s">
        <v>45</v>
      </c>
      <c r="R20">
        <v>8192</v>
      </c>
      <c r="S20" t="s">
        <v>34</v>
      </c>
      <c r="T20" t="s">
        <v>35</v>
      </c>
      <c r="U20">
        <v>109.5</v>
      </c>
      <c r="V20" t="s">
        <v>36</v>
      </c>
      <c r="W20" s="1">
        <v>45881</v>
      </c>
      <c r="X20">
        <v>2025</v>
      </c>
    </row>
    <row r="21" spans="1:24" x14ac:dyDescent="0.25">
      <c r="A21" s="1">
        <v>45895</v>
      </c>
      <c r="B21" t="s">
        <v>93</v>
      </c>
      <c r="C21" t="s">
        <v>94</v>
      </c>
      <c r="E21" t="s">
        <v>95</v>
      </c>
      <c r="F21" t="s">
        <v>70</v>
      </c>
      <c r="G21" t="s">
        <v>37</v>
      </c>
      <c r="H21" t="s">
        <v>29</v>
      </c>
      <c r="I21" t="s">
        <v>71</v>
      </c>
      <c r="J21" t="s">
        <v>96</v>
      </c>
      <c r="L21" s="1">
        <v>45870</v>
      </c>
      <c r="M21" s="1">
        <v>45870</v>
      </c>
      <c r="O21">
        <v>18710070</v>
      </c>
      <c r="P21" t="s">
        <v>32</v>
      </c>
      <c r="Q21" t="s">
        <v>97</v>
      </c>
      <c r="R21">
        <v>8192</v>
      </c>
      <c r="S21" t="s">
        <v>34</v>
      </c>
      <c r="T21" t="s">
        <v>35</v>
      </c>
      <c r="U21">
        <v>830</v>
      </c>
      <c r="V21" t="s">
        <v>38</v>
      </c>
      <c r="W21" s="1">
        <v>45860</v>
      </c>
      <c r="X21">
        <v>2025</v>
      </c>
    </row>
    <row r="22" spans="1:24" x14ac:dyDescent="0.25">
      <c r="A22" s="1">
        <v>45895</v>
      </c>
      <c r="B22" t="s">
        <v>93</v>
      </c>
      <c r="C22" t="s">
        <v>94</v>
      </c>
      <c r="E22" t="s">
        <v>95</v>
      </c>
      <c r="F22" t="s">
        <v>70</v>
      </c>
      <c r="G22" t="s">
        <v>28</v>
      </c>
      <c r="H22" t="s">
        <v>29</v>
      </c>
      <c r="I22" t="s">
        <v>71</v>
      </c>
      <c r="J22" t="s">
        <v>96</v>
      </c>
      <c r="L22" s="1">
        <v>45870</v>
      </c>
      <c r="M22" s="1">
        <v>45870</v>
      </c>
      <c r="O22">
        <v>18710070</v>
      </c>
      <c r="P22" t="s">
        <v>32</v>
      </c>
      <c r="Q22" t="s">
        <v>97</v>
      </c>
      <c r="R22">
        <v>8192</v>
      </c>
      <c r="S22" t="s">
        <v>34</v>
      </c>
      <c r="T22" t="s">
        <v>35</v>
      </c>
      <c r="U22">
        <v>-199.17</v>
      </c>
      <c r="V22" t="s">
        <v>36</v>
      </c>
      <c r="W22" s="1">
        <v>45860</v>
      </c>
      <c r="X22">
        <v>2025</v>
      </c>
    </row>
    <row r="23" spans="1:24" x14ac:dyDescent="0.25">
      <c r="A23" s="1">
        <v>45895</v>
      </c>
      <c r="B23" t="s">
        <v>98</v>
      </c>
      <c r="C23" t="s">
        <v>99</v>
      </c>
      <c r="E23" t="s">
        <v>100</v>
      </c>
      <c r="F23" t="s">
        <v>101</v>
      </c>
      <c r="G23" t="s">
        <v>91</v>
      </c>
      <c r="H23" t="s">
        <v>29</v>
      </c>
      <c r="I23" t="s">
        <v>43</v>
      </c>
      <c r="J23" t="s">
        <v>102</v>
      </c>
      <c r="L23" s="1">
        <v>45931</v>
      </c>
      <c r="M23" s="1">
        <v>45931</v>
      </c>
      <c r="O23">
        <v>8307933</v>
      </c>
      <c r="P23" t="s">
        <v>32</v>
      </c>
      <c r="Q23" t="s">
        <v>45</v>
      </c>
      <c r="R23">
        <v>8192</v>
      </c>
      <c r="S23" t="s">
        <v>34</v>
      </c>
      <c r="T23" t="s">
        <v>35</v>
      </c>
      <c r="U23">
        <v>109.5</v>
      </c>
      <c r="V23" t="s">
        <v>36</v>
      </c>
      <c r="W23" s="1">
        <v>45880</v>
      </c>
      <c r="X23">
        <v>2025</v>
      </c>
    </row>
    <row r="24" spans="1:24" x14ac:dyDescent="0.25">
      <c r="A24" s="1">
        <v>45895</v>
      </c>
      <c r="B24" t="s">
        <v>103</v>
      </c>
      <c r="C24" t="s">
        <v>104</v>
      </c>
      <c r="E24" t="s">
        <v>105</v>
      </c>
      <c r="F24" t="s">
        <v>106</v>
      </c>
      <c r="G24" t="s">
        <v>28</v>
      </c>
      <c r="H24" t="s">
        <v>29</v>
      </c>
      <c r="I24" t="s">
        <v>107</v>
      </c>
      <c r="J24" t="s">
        <v>108</v>
      </c>
      <c r="L24" s="1">
        <v>45870</v>
      </c>
      <c r="M24" s="1">
        <v>45870</v>
      </c>
      <c r="O24">
        <v>8307933</v>
      </c>
      <c r="P24" t="s">
        <v>32</v>
      </c>
      <c r="Q24" t="s">
        <v>45</v>
      </c>
      <c r="R24">
        <v>8192</v>
      </c>
      <c r="S24" t="s">
        <v>34</v>
      </c>
      <c r="T24" t="s">
        <v>35</v>
      </c>
      <c r="U24">
        <v>-182.5</v>
      </c>
      <c r="V24" t="s">
        <v>36</v>
      </c>
      <c r="W24" s="1">
        <v>45859</v>
      </c>
      <c r="X24">
        <v>2025</v>
      </c>
    </row>
    <row r="25" spans="1:24" x14ac:dyDescent="0.25">
      <c r="A25" s="1">
        <v>45895</v>
      </c>
      <c r="B25" t="s">
        <v>103</v>
      </c>
      <c r="C25" t="s">
        <v>104</v>
      </c>
      <c r="E25" t="s">
        <v>105</v>
      </c>
      <c r="F25" t="s">
        <v>106</v>
      </c>
      <c r="G25" t="s">
        <v>109</v>
      </c>
      <c r="H25" t="s">
        <v>29</v>
      </c>
      <c r="I25" t="s">
        <v>107</v>
      </c>
      <c r="J25" t="s">
        <v>108</v>
      </c>
      <c r="L25" s="1">
        <v>45870</v>
      </c>
      <c r="M25" s="1">
        <v>45870</v>
      </c>
      <c r="O25">
        <v>8307933</v>
      </c>
      <c r="P25" t="s">
        <v>32</v>
      </c>
      <c r="Q25" t="s">
        <v>45</v>
      </c>
      <c r="R25">
        <v>8192</v>
      </c>
      <c r="S25" t="s">
        <v>34</v>
      </c>
      <c r="T25" t="s">
        <v>35</v>
      </c>
      <c r="U25">
        <v>312.92</v>
      </c>
      <c r="V25" t="s">
        <v>38</v>
      </c>
      <c r="W25" s="1">
        <v>45859</v>
      </c>
      <c r="X25">
        <v>2025</v>
      </c>
    </row>
    <row r="26" spans="1:24" x14ac:dyDescent="0.25">
      <c r="A26" s="1">
        <v>45895</v>
      </c>
      <c r="B26" t="s">
        <v>110</v>
      </c>
      <c r="C26" t="s">
        <v>111</v>
      </c>
      <c r="E26" t="s">
        <v>112</v>
      </c>
      <c r="F26" t="s">
        <v>113</v>
      </c>
      <c r="G26" t="s">
        <v>37</v>
      </c>
      <c r="H26" t="s">
        <v>29</v>
      </c>
      <c r="I26" t="s">
        <v>114</v>
      </c>
      <c r="J26" t="s">
        <v>115</v>
      </c>
      <c r="L26" s="1">
        <v>45870</v>
      </c>
      <c r="M26" s="1">
        <v>45870</v>
      </c>
      <c r="O26">
        <v>8307933</v>
      </c>
      <c r="P26" t="s">
        <v>32</v>
      </c>
      <c r="Q26" t="s">
        <v>45</v>
      </c>
      <c r="R26">
        <v>8192</v>
      </c>
      <c r="S26" t="s">
        <v>34</v>
      </c>
      <c r="T26" t="s">
        <v>35</v>
      </c>
      <c r="U26">
        <v>751</v>
      </c>
      <c r="V26" t="s">
        <v>38</v>
      </c>
      <c r="W26" s="1">
        <v>45853</v>
      </c>
      <c r="X26">
        <v>2025</v>
      </c>
    </row>
    <row r="27" spans="1:24" x14ac:dyDescent="0.25">
      <c r="A27" s="1">
        <v>45895</v>
      </c>
      <c r="B27" t="s">
        <v>110</v>
      </c>
      <c r="C27" t="s">
        <v>111</v>
      </c>
      <c r="E27" t="s">
        <v>112</v>
      </c>
      <c r="F27" t="s">
        <v>113</v>
      </c>
      <c r="G27" t="s">
        <v>28</v>
      </c>
      <c r="H27" t="s">
        <v>29</v>
      </c>
      <c r="I27" t="s">
        <v>114</v>
      </c>
      <c r="J27" t="s">
        <v>115</v>
      </c>
      <c r="L27" s="1">
        <v>45870</v>
      </c>
      <c r="M27" s="1">
        <v>45870</v>
      </c>
      <c r="O27">
        <v>8307933</v>
      </c>
      <c r="P27" t="s">
        <v>32</v>
      </c>
      <c r="Q27" t="s">
        <v>45</v>
      </c>
      <c r="R27">
        <v>8192</v>
      </c>
      <c r="S27" t="s">
        <v>34</v>
      </c>
      <c r="T27" t="s">
        <v>35</v>
      </c>
      <c r="U27">
        <v>-182.5</v>
      </c>
      <c r="V27" t="s">
        <v>36</v>
      </c>
      <c r="W27" s="1">
        <v>45853</v>
      </c>
      <c r="X27">
        <v>2025</v>
      </c>
    </row>
    <row r="28" spans="1:24" x14ac:dyDescent="0.25">
      <c r="A28" s="1">
        <v>45895</v>
      </c>
      <c r="B28" t="s">
        <v>116</v>
      </c>
      <c r="C28" t="s">
        <v>117</v>
      </c>
      <c r="E28" t="s">
        <v>118</v>
      </c>
      <c r="F28" t="s">
        <v>70</v>
      </c>
      <c r="G28" t="s">
        <v>37</v>
      </c>
      <c r="H28" t="s">
        <v>119</v>
      </c>
      <c r="I28" t="s">
        <v>71</v>
      </c>
      <c r="J28" t="s">
        <v>120</v>
      </c>
      <c r="L28" s="1">
        <v>45870</v>
      </c>
      <c r="M28" s="1">
        <v>45870</v>
      </c>
      <c r="O28">
        <v>20253958</v>
      </c>
      <c r="P28" t="s">
        <v>32</v>
      </c>
      <c r="Q28" t="s">
        <v>121</v>
      </c>
      <c r="R28">
        <v>8192</v>
      </c>
      <c r="S28" t="s">
        <v>34</v>
      </c>
      <c r="T28" t="s">
        <v>35</v>
      </c>
      <c r="U28">
        <v>40</v>
      </c>
      <c r="V28" t="s">
        <v>38</v>
      </c>
      <c r="W28" s="1">
        <v>45863</v>
      </c>
      <c r="X28">
        <v>2025</v>
      </c>
    </row>
    <row r="29" spans="1:24" x14ac:dyDescent="0.25">
      <c r="A29" s="1">
        <v>45895</v>
      </c>
      <c r="B29" t="s">
        <v>116</v>
      </c>
      <c r="C29" t="s">
        <v>117</v>
      </c>
      <c r="E29" t="s">
        <v>118</v>
      </c>
      <c r="F29" t="s">
        <v>70</v>
      </c>
      <c r="G29" t="s">
        <v>28</v>
      </c>
      <c r="H29" t="s">
        <v>119</v>
      </c>
      <c r="I29" t="s">
        <v>71</v>
      </c>
      <c r="J29" t="s">
        <v>120</v>
      </c>
      <c r="L29" s="1">
        <v>45870</v>
      </c>
      <c r="M29" s="1">
        <v>45870</v>
      </c>
      <c r="O29">
        <v>20253958</v>
      </c>
      <c r="P29" t="s">
        <v>32</v>
      </c>
      <c r="Q29" t="s">
        <v>121</v>
      </c>
      <c r="R29">
        <v>8192</v>
      </c>
      <c r="S29" t="s">
        <v>34</v>
      </c>
      <c r="T29" t="s">
        <v>35</v>
      </c>
      <c r="U29">
        <v>-16.670000000000002</v>
      </c>
      <c r="V29" t="s">
        <v>36</v>
      </c>
      <c r="W29" s="1">
        <v>45863</v>
      </c>
      <c r="X29">
        <v>2025</v>
      </c>
    </row>
    <row r="30" spans="1:24" x14ac:dyDescent="0.25">
      <c r="A30" s="1">
        <v>45895</v>
      </c>
      <c r="B30" t="s">
        <v>122</v>
      </c>
      <c r="C30" t="s">
        <v>123</v>
      </c>
      <c r="E30" t="s">
        <v>124</v>
      </c>
      <c r="F30" t="s">
        <v>70</v>
      </c>
      <c r="G30" t="s">
        <v>28</v>
      </c>
      <c r="H30" t="s">
        <v>119</v>
      </c>
      <c r="I30" t="s">
        <v>71</v>
      </c>
      <c r="J30" t="s">
        <v>120</v>
      </c>
      <c r="L30" s="1">
        <v>45870</v>
      </c>
      <c r="M30" s="1">
        <v>45870</v>
      </c>
      <c r="O30">
        <v>20253958</v>
      </c>
      <c r="P30" t="s">
        <v>32</v>
      </c>
      <c r="Q30" t="s">
        <v>121</v>
      </c>
      <c r="R30">
        <v>8192</v>
      </c>
      <c r="S30" t="s">
        <v>34</v>
      </c>
      <c r="T30" t="s">
        <v>35</v>
      </c>
      <c r="U30">
        <v>-16.670000000000002</v>
      </c>
      <c r="V30" t="s">
        <v>36</v>
      </c>
      <c r="W30" s="1">
        <v>45852</v>
      </c>
      <c r="X30">
        <v>2025</v>
      </c>
    </row>
    <row r="31" spans="1:24" x14ac:dyDescent="0.25">
      <c r="A31" s="1">
        <v>45895</v>
      </c>
      <c r="B31" t="s">
        <v>122</v>
      </c>
      <c r="C31" t="s">
        <v>123</v>
      </c>
      <c r="E31" t="s">
        <v>124</v>
      </c>
      <c r="F31" t="s">
        <v>70</v>
      </c>
      <c r="G31" t="s">
        <v>37</v>
      </c>
      <c r="H31" t="s">
        <v>119</v>
      </c>
      <c r="I31" t="s">
        <v>71</v>
      </c>
      <c r="J31" t="s">
        <v>120</v>
      </c>
      <c r="L31" s="1">
        <v>45870</v>
      </c>
      <c r="M31" s="1">
        <v>45870</v>
      </c>
      <c r="O31">
        <v>20253958</v>
      </c>
      <c r="P31" t="s">
        <v>32</v>
      </c>
      <c r="Q31" t="s">
        <v>121</v>
      </c>
      <c r="R31">
        <v>8192</v>
      </c>
      <c r="S31" t="s">
        <v>34</v>
      </c>
      <c r="T31" t="s">
        <v>35</v>
      </c>
      <c r="U31">
        <v>40</v>
      </c>
      <c r="V31" t="s">
        <v>38</v>
      </c>
      <c r="W31" s="1">
        <v>45852</v>
      </c>
      <c r="X31">
        <v>2025</v>
      </c>
    </row>
    <row r="32" spans="1:24" x14ac:dyDescent="0.25">
      <c r="A32" s="1">
        <v>45895</v>
      </c>
      <c r="B32" t="s">
        <v>125</v>
      </c>
      <c r="C32" t="s">
        <v>126</v>
      </c>
      <c r="E32" t="s">
        <v>127</v>
      </c>
      <c r="F32" t="s">
        <v>70</v>
      </c>
      <c r="G32" t="s">
        <v>91</v>
      </c>
      <c r="H32" t="s">
        <v>29</v>
      </c>
      <c r="I32" t="s">
        <v>71</v>
      </c>
      <c r="J32" t="s">
        <v>128</v>
      </c>
      <c r="L32" s="1">
        <v>45870</v>
      </c>
      <c r="M32" s="1">
        <v>45870</v>
      </c>
      <c r="O32">
        <v>9254978</v>
      </c>
      <c r="P32" t="s">
        <v>32</v>
      </c>
      <c r="Q32" t="s">
        <v>129</v>
      </c>
      <c r="R32">
        <v>8192</v>
      </c>
      <c r="S32" t="s">
        <v>34</v>
      </c>
      <c r="T32" t="s">
        <v>35</v>
      </c>
      <c r="U32">
        <v>197.08</v>
      </c>
      <c r="V32" t="s">
        <v>36</v>
      </c>
      <c r="W32" s="1">
        <v>45855</v>
      </c>
      <c r="X32">
        <v>2025</v>
      </c>
    </row>
    <row r="33" spans="1:24" x14ac:dyDescent="0.25">
      <c r="A33" s="1">
        <v>45895</v>
      </c>
      <c r="B33" t="s">
        <v>130</v>
      </c>
      <c r="C33" t="s">
        <v>131</v>
      </c>
      <c r="E33" t="s">
        <v>132</v>
      </c>
      <c r="F33" t="s">
        <v>49</v>
      </c>
      <c r="G33" t="s">
        <v>28</v>
      </c>
      <c r="H33" t="s">
        <v>29</v>
      </c>
      <c r="I33" t="s">
        <v>30</v>
      </c>
      <c r="J33" t="s">
        <v>60</v>
      </c>
      <c r="L33" s="1">
        <v>45870</v>
      </c>
      <c r="M33" s="1">
        <v>45870</v>
      </c>
      <c r="O33">
        <v>7146581</v>
      </c>
      <c r="P33" t="s">
        <v>32</v>
      </c>
      <c r="Q33" t="s">
        <v>66</v>
      </c>
      <c r="R33">
        <v>8192</v>
      </c>
      <c r="S33" t="s">
        <v>34</v>
      </c>
      <c r="T33" t="s">
        <v>35</v>
      </c>
      <c r="U33">
        <v>-182.5</v>
      </c>
      <c r="V33" t="s">
        <v>36</v>
      </c>
      <c r="W33" s="1">
        <v>45866</v>
      </c>
      <c r="X33">
        <v>2025</v>
      </c>
    </row>
    <row r="34" spans="1:24" x14ac:dyDescent="0.25">
      <c r="A34" s="1">
        <v>45895</v>
      </c>
      <c r="B34" t="s">
        <v>130</v>
      </c>
      <c r="C34" t="s">
        <v>131</v>
      </c>
      <c r="E34" t="s">
        <v>132</v>
      </c>
      <c r="F34" t="s">
        <v>49</v>
      </c>
      <c r="G34" t="s">
        <v>37</v>
      </c>
      <c r="H34" t="s">
        <v>29</v>
      </c>
      <c r="I34" t="s">
        <v>30</v>
      </c>
      <c r="J34" t="s">
        <v>60</v>
      </c>
      <c r="L34" s="1">
        <v>45870</v>
      </c>
      <c r="M34" s="1">
        <v>45870</v>
      </c>
      <c r="O34">
        <v>7146581</v>
      </c>
      <c r="P34" t="s">
        <v>32</v>
      </c>
      <c r="Q34" t="s">
        <v>66</v>
      </c>
      <c r="R34">
        <v>8192</v>
      </c>
      <c r="S34" t="s">
        <v>34</v>
      </c>
      <c r="T34" t="s">
        <v>35</v>
      </c>
      <c r="U34">
        <v>751</v>
      </c>
      <c r="V34" t="s">
        <v>38</v>
      </c>
      <c r="W34" s="1">
        <v>45866</v>
      </c>
      <c r="X34">
        <v>2025</v>
      </c>
    </row>
    <row r="35" spans="1:24" x14ac:dyDescent="0.25">
      <c r="A35" s="1">
        <v>45895</v>
      </c>
      <c r="B35" t="s">
        <v>133</v>
      </c>
      <c r="C35" t="s">
        <v>134</v>
      </c>
      <c r="E35" t="s">
        <v>135</v>
      </c>
      <c r="F35" t="s">
        <v>70</v>
      </c>
      <c r="G35" t="s">
        <v>28</v>
      </c>
      <c r="H35" t="s">
        <v>29</v>
      </c>
      <c r="I35" t="s">
        <v>71</v>
      </c>
      <c r="J35" t="s">
        <v>136</v>
      </c>
      <c r="L35" s="1">
        <v>45870</v>
      </c>
      <c r="M35" s="1">
        <v>45870</v>
      </c>
      <c r="O35">
        <v>17528908</v>
      </c>
      <c r="P35" t="s">
        <v>32</v>
      </c>
      <c r="Q35" t="s">
        <v>137</v>
      </c>
      <c r="R35">
        <v>8192</v>
      </c>
      <c r="S35" t="s">
        <v>34</v>
      </c>
      <c r="T35" t="s">
        <v>35</v>
      </c>
      <c r="U35">
        <v>-199.17</v>
      </c>
      <c r="V35" t="s">
        <v>36</v>
      </c>
      <c r="W35" s="1">
        <v>45848</v>
      </c>
      <c r="X35">
        <v>2025</v>
      </c>
    </row>
    <row r="36" spans="1:24" x14ac:dyDescent="0.25">
      <c r="A36" s="1">
        <v>45895</v>
      </c>
      <c r="B36" t="s">
        <v>133</v>
      </c>
      <c r="C36" t="s">
        <v>134</v>
      </c>
      <c r="E36" t="s">
        <v>135</v>
      </c>
      <c r="F36" t="s">
        <v>70</v>
      </c>
      <c r="G36" t="s">
        <v>37</v>
      </c>
      <c r="H36" t="s">
        <v>29</v>
      </c>
      <c r="I36" t="s">
        <v>71</v>
      </c>
      <c r="J36" t="s">
        <v>136</v>
      </c>
      <c r="L36" s="1">
        <v>45870</v>
      </c>
      <c r="M36" s="1">
        <v>45870</v>
      </c>
      <c r="O36">
        <v>17528908</v>
      </c>
      <c r="P36" t="s">
        <v>32</v>
      </c>
      <c r="Q36" t="s">
        <v>137</v>
      </c>
      <c r="R36">
        <v>8192</v>
      </c>
      <c r="S36" t="s">
        <v>34</v>
      </c>
      <c r="T36" t="s">
        <v>35</v>
      </c>
      <c r="U36">
        <v>830</v>
      </c>
      <c r="V36" t="s">
        <v>38</v>
      </c>
      <c r="W36" s="1">
        <v>45848</v>
      </c>
      <c r="X36">
        <v>2025</v>
      </c>
    </row>
    <row r="37" spans="1:24" x14ac:dyDescent="0.25">
      <c r="A37" s="1">
        <v>45895</v>
      </c>
      <c r="B37" t="s">
        <v>138</v>
      </c>
      <c r="C37" t="s">
        <v>139</v>
      </c>
      <c r="E37" t="s">
        <v>140</v>
      </c>
      <c r="F37" t="s">
        <v>49</v>
      </c>
      <c r="G37" t="s">
        <v>91</v>
      </c>
      <c r="H37" t="s">
        <v>29</v>
      </c>
      <c r="I37" t="s">
        <v>30</v>
      </c>
      <c r="J37" t="s">
        <v>141</v>
      </c>
      <c r="L37" s="1">
        <v>45901</v>
      </c>
      <c r="M37" s="1">
        <v>45901</v>
      </c>
      <c r="O37">
        <v>19681796</v>
      </c>
      <c r="P37" t="s">
        <v>32</v>
      </c>
      <c r="Q37" t="s">
        <v>142</v>
      </c>
      <c r="R37">
        <v>8192</v>
      </c>
      <c r="S37" t="s">
        <v>34</v>
      </c>
      <c r="T37" t="s">
        <v>35</v>
      </c>
      <c r="U37">
        <v>144.33000000000001</v>
      </c>
      <c r="V37" t="s">
        <v>36</v>
      </c>
      <c r="W37" s="1">
        <v>45881</v>
      </c>
      <c r="X37">
        <v>2025</v>
      </c>
    </row>
    <row r="38" spans="1:24" x14ac:dyDescent="0.25">
      <c r="A38" s="1">
        <v>45895</v>
      </c>
      <c r="B38" t="s">
        <v>143</v>
      </c>
      <c r="C38" t="s">
        <v>144</v>
      </c>
      <c r="E38" t="s">
        <v>145</v>
      </c>
      <c r="F38" t="s">
        <v>70</v>
      </c>
      <c r="G38" t="s">
        <v>28</v>
      </c>
      <c r="H38" t="s">
        <v>29</v>
      </c>
      <c r="I38" t="s">
        <v>71</v>
      </c>
      <c r="J38" t="s">
        <v>146</v>
      </c>
      <c r="L38" s="1">
        <v>45870</v>
      </c>
      <c r="M38" s="1">
        <v>45870</v>
      </c>
      <c r="O38">
        <v>17886092</v>
      </c>
      <c r="P38" t="s">
        <v>32</v>
      </c>
      <c r="Q38" t="s">
        <v>147</v>
      </c>
      <c r="R38">
        <v>8192</v>
      </c>
      <c r="S38" t="s">
        <v>34</v>
      </c>
      <c r="T38" t="s">
        <v>35</v>
      </c>
      <c r="U38">
        <v>-16.670000000000002</v>
      </c>
      <c r="V38" t="s">
        <v>36</v>
      </c>
      <c r="W38" s="1">
        <v>45861</v>
      </c>
      <c r="X38">
        <v>2025</v>
      </c>
    </row>
    <row r="39" spans="1:24" x14ac:dyDescent="0.25">
      <c r="A39" s="1">
        <v>45895</v>
      </c>
      <c r="B39" t="s">
        <v>143</v>
      </c>
      <c r="C39" t="s">
        <v>144</v>
      </c>
      <c r="E39" t="s">
        <v>145</v>
      </c>
      <c r="F39" t="s">
        <v>70</v>
      </c>
      <c r="G39" t="s">
        <v>37</v>
      </c>
      <c r="H39" t="s">
        <v>29</v>
      </c>
      <c r="I39" t="s">
        <v>71</v>
      </c>
      <c r="J39" t="s">
        <v>146</v>
      </c>
      <c r="L39" s="1">
        <v>45870</v>
      </c>
      <c r="M39" s="1">
        <v>45870</v>
      </c>
      <c r="O39">
        <v>17886092</v>
      </c>
      <c r="P39" t="s">
        <v>32</v>
      </c>
      <c r="Q39" t="s">
        <v>147</v>
      </c>
      <c r="R39">
        <v>8192</v>
      </c>
      <c r="S39" t="s">
        <v>34</v>
      </c>
      <c r="T39" t="s">
        <v>35</v>
      </c>
      <c r="U39">
        <v>40</v>
      </c>
      <c r="V39" t="s">
        <v>38</v>
      </c>
      <c r="W39" s="1">
        <v>45861</v>
      </c>
      <c r="X39">
        <v>2025</v>
      </c>
    </row>
    <row r="40" spans="1:24" x14ac:dyDescent="0.25">
      <c r="A40" s="1">
        <v>45895</v>
      </c>
      <c r="B40" t="s">
        <v>148</v>
      </c>
      <c r="C40" t="s">
        <v>149</v>
      </c>
      <c r="E40" t="s">
        <v>150</v>
      </c>
      <c r="F40" t="s">
        <v>151</v>
      </c>
      <c r="G40" t="s">
        <v>37</v>
      </c>
      <c r="H40" t="s">
        <v>29</v>
      </c>
      <c r="I40" t="s">
        <v>152</v>
      </c>
      <c r="J40" t="s">
        <v>153</v>
      </c>
      <c r="L40" s="1">
        <v>45901</v>
      </c>
      <c r="M40" s="1">
        <v>45901</v>
      </c>
      <c r="O40">
        <v>8307933</v>
      </c>
      <c r="P40" t="s">
        <v>32</v>
      </c>
      <c r="Q40" t="s">
        <v>45</v>
      </c>
      <c r="R40">
        <v>8192</v>
      </c>
      <c r="S40" t="s">
        <v>34</v>
      </c>
      <c r="T40" t="s">
        <v>35</v>
      </c>
      <c r="U40">
        <v>751</v>
      </c>
      <c r="V40" t="s">
        <v>38</v>
      </c>
      <c r="W40" s="1">
        <v>45866</v>
      </c>
      <c r="X40">
        <v>2025</v>
      </c>
    </row>
    <row r="41" spans="1:24" x14ac:dyDescent="0.25">
      <c r="A41" s="1">
        <v>45895</v>
      </c>
      <c r="B41" t="s">
        <v>148</v>
      </c>
      <c r="C41" t="s">
        <v>149</v>
      </c>
      <c r="E41" t="s">
        <v>150</v>
      </c>
      <c r="F41" t="s">
        <v>151</v>
      </c>
      <c r="G41" t="s">
        <v>28</v>
      </c>
      <c r="H41" t="s">
        <v>29</v>
      </c>
      <c r="I41" t="s">
        <v>152</v>
      </c>
      <c r="J41" t="s">
        <v>153</v>
      </c>
      <c r="L41" s="1">
        <v>45901</v>
      </c>
      <c r="M41" s="1">
        <v>45901</v>
      </c>
      <c r="O41">
        <v>8307933</v>
      </c>
      <c r="P41" t="s">
        <v>32</v>
      </c>
      <c r="Q41" t="s">
        <v>45</v>
      </c>
      <c r="R41">
        <v>8192</v>
      </c>
      <c r="S41" t="s">
        <v>34</v>
      </c>
      <c r="T41" t="s">
        <v>35</v>
      </c>
      <c r="U41">
        <v>-146</v>
      </c>
      <c r="V41" t="s">
        <v>36</v>
      </c>
      <c r="W41" s="1">
        <v>45866</v>
      </c>
      <c r="X41">
        <v>2025</v>
      </c>
    </row>
    <row r="42" spans="1:24" x14ac:dyDescent="0.25">
      <c r="A42" s="1">
        <v>45895</v>
      </c>
      <c r="B42" t="s">
        <v>154</v>
      </c>
      <c r="C42" t="s">
        <v>155</v>
      </c>
      <c r="E42" t="s">
        <v>156</v>
      </c>
      <c r="F42" t="s">
        <v>70</v>
      </c>
      <c r="G42" t="s">
        <v>28</v>
      </c>
      <c r="H42" t="s">
        <v>29</v>
      </c>
      <c r="I42" t="s">
        <v>71</v>
      </c>
      <c r="J42" t="s">
        <v>157</v>
      </c>
      <c r="L42" s="1">
        <v>45870</v>
      </c>
      <c r="M42" s="1">
        <v>45870</v>
      </c>
      <c r="O42">
        <v>17528908</v>
      </c>
      <c r="P42" t="s">
        <v>32</v>
      </c>
      <c r="Q42" t="s">
        <v>137</v>
      </c>
      <c r="R42">
        <v>8192</v>
      </c>
      <c r="S42" t="s">
        <v>34</v>
      </c>
      <c r="T42" t="s">
        <v>35</v>
      </c>
      <c r="U42">
        <v>-199.17</v>
      </c>
      <c r="V42" t="s">
        <v>36</v>
      </c>
      <c r="W42" s="1">
        <v>45860</v>
      </c>
      <c r="X42">
        <v>2025</v>
      </c>
    </row>
    <row r="43" spans="1:24" x14ac:dyDescent="0.25">
      <c r="A43" s="1">
        <v>45895</v>
      </c>
      <c r="B43" t="s">
        <v>154</v>
      </c>
      <c r="C43" t="s">
        <v>155</v>
      </c>
      <c r="E43" t="s">
        <v>156</v>
      </c>
      <c r="F43" t="s">
        <v>70</v>
      </c>
      <c r="G43" t="s">
        <v>37</v>
      </c>
      <c r="H43" t="s">
        <v>29</v>
      </c>
      <c r="I43" t="s">
        <v>71</v>
      </c>
      <c r="J43" t="s">
        <v>157</v>
      </c>
      <c r="L43" s="1">
        <v>45870</v>
      </c>
      <c r="M43" s="1">
        <v>45870</v>
      </c>
      <c r="O43">
        <v>17528908</v>
      </c>
      <c r="P43" t="s">
        <v>32</v>
      </c>
      <c r="Q43" t="s">
        <v>137</v>
      </c>
      <c r="R43">
        <v>8192</v>
      </c>
      <c r="S43" t="s">
        <v>34</v>
      </c>
      <c r="T43" t="s">
        <v>35</v>
      </c>
      <c r="U43">
        <v>830</v>
      </c>
      <c r="V43" t="s">
        <v>38</v>
      </c>
      <c r="W43" s="1">
        <v>45860</v>
      </c>
      <c r="X43">
        <v>2025</v>
      </c>
    </row>
    <row r="44" spans="1:24" x14ac:dyDescent="0.25">
      <c r="A44" s="1">
        <v>45895</v>
      </c>
      <c r="B44" t="s">
        <v>158</v>
      </c>
      <c r="C44" t="s">
        <v>159</v>
      </c>
      <c r="E44" t="s">
        <v>160</v>
      </c>
      <c r="F44" t="s">
        <v>161</v>
      </c>
      <c r="G44" t="s">
        <v>37</v>
      </c>
      <c r="H44" t="s">
        <v>29</v>
      </c>
      <c r="I44" t="s">
        <v>30</v>
      </c>
      <c r="J44" t="s">
        <v>162</v>
      </c>
      <c r="L44" s="1">
        <v>45901</v>
      </c>
      <c r="M44" s="1">
        <v>45901</v>
      </c>
      <c r="O44">
        <v>8814784</v>
      </c>
      <c r="P44" t="s">
        <v>32</v>
      </c>
      <c r="Q44" t="s">
        <v>33</v>
      </c>
      <c r="R44">
        <v>8192</v>
      </c>
      <c r="S44" t="s">
        <v>34</v>
      </c>
      <c r="T44" t="s">
        <v>35</v>
      </c>
      <c r="U44">
        <v>751</v>
      </c>
      <c r="V44" t="s">
        <v>38</v>
      </c>
      <c r="W44" s="1">
        <v>45854</v>
      </c>
      <c r="X44">
        <v>2025</v>
      </c>
    </row>
    <row r="45" spans="1:24" x14ac:dyDescent="0.25">
      <c r="A45" s="1">
        <v>45895</v>
      </c>
      <c r="B45" t="s">
        <v>158</v>
      </c>
      <c r="C45" t="s">
        <v>159</v>
      </c>
      <c r="E45" t="s">
        <v>160</v>
      </c>
      <c r="F45" t="s">
        <v>161</v>
      </c>
      <c r="G45" t="s">
        <v>28</v>
      </c>
      <c r="H45" t="s">
        <v>29</v>
      </c>
      <c r="I45" t="s">
        <v>30</v>
      </c>
      <c r="J45" t="s">
        <v>162</v>
      </c>
      <c r="L45" s="1">
        <v>45901</v>
      </c>
      <c r="M45" s="1">
        <v>45901</v>
      </c>
      <c r="O45">
        <v>8814784</v>
      </c>
      <c r="P45" t="s">
        <v>32</v>
      </c>
      <c r="Q45" t="s">
        <v>33</v>
      </c>
      <c r="R45">
        <v>8192</v>
      </c>
      <c r="S45" t="s">
        <v>34</v>
      </c>
      <c r="T45" t="s">
        <v>35</v>
      </c>
      <c r="U45">
        <v>-146</v>
      </c>
      <c r="V45" t="s">
        <v>36</v>
      </c>
      <c r="W45" s="1">
        <v>45854</v>
      </c>
      <c r="X45">
        <v>2025</v>
      </c>
    </row>
    <row r="46" spans="1:24" x14ac:dyDescent="0.25">
      <c r="A46" s="1">
        <v>45895</v>
      </c>
      <c r="B46" t="s">
        <v>163</v>
      </c>
      <c r="C46" t="s">
        <v>164</v>
      </c>
      <c r="E46" t="s">
        <v>165</v>
      </c>
      <c r="F46" t="s">
        <v>166</v>
      </c>
      <c r="G46" t="s">
        <v>109</v>
      </c>
      <c r="H46" t="s">
        <v>29</v>
      </c>
      <c r="I46" t="s">
        <v>167</v>
      </c>
      <c r="J46" t="s">
        <v>168</v>
      </c>
      <c r="L46" s="1">
        <v>45901</v>
      </c>
      <c r="M46" s="1">
        <v>45901</v>
      </c>
      <c r="O46">
        <v>18828278</v>
      </c>
      <c r="P46" t="s">
        <v>32</v>
      </c>
      <c r="Q46" t="s">
        <v>169</v>
      </c>
      <c r="R46">
        <v>8192</v>
      </c>
      <c r="S46" t="s">
        <v>34</v>
      </c>
      <c r="T46" t="s">
        <v>35</v>
      </c>
      <c r="U46">
        <v>250.33</v>
      </c>
      <c r="V46" t="s">
        <v>38</v>
      </c>
      <c r="W46" s="1">
        <v>45852</v>
      </c>
      <c r="X46">
        <v>2025</v>
      </c>
    </row>
    <row r="47" spans="1:24" x14ac:dyDescent="0.25">
      <c r="A47" s="1">
        <v>45895</v>
      </c>
      <c r="B47" t="s">
        <v>163</v>
      </c>
      <c r="C47" t="s">
        <v>164</v>
      </c>
      <c r="E47" t="s">
        <v>165</v>
      </c>
      <c r="F47" t="s">
        <v>166</v>
      </c>
      <c r="G47" t="s">
        <v>28</v>
      </c>
      <c r="H47" t="s">
        <v>29</v>
      </c>
      <c r="I47" t="s">
        <v>167</v>
      </c>
      <c r="J47" t="s">
        <v>168</v>
      </c>
      <c r="L47" s="1">
        <v>45901</v>
      </c>
      <c r="M47" s="1">
        <v>45901</v>
      </c>
      <c r="O47">
        <v>18828278</v>
      </c>
      <c r="P47" t="s">
        <v>32</v>
      </c>
      <c r="Q47" t="s">
        <v>169</v>
      </c>
      <c r="R47">
        <v>8192</v>
      </c>
      <c r="S47" t="s">
        <v>34</v>
      </c>
      <c r="T47" t="s">
        <v>35</v>
      </c>
      <c r="U47">
        <v>-146</v>
      </c>
      <c r="V47" t="s">
        <v>36</v>
      </c>
      <c r="W47" s="1">
        <v>45852</v>
      </c>
      <c r="X47">
        <v>2025</v>
      </c>
    </row>
    <row r="48" spans="1:24" x14ac:dyDescent="0.25">
      <c r="A48" s="1">
        <v>45895</v>
      </c>
      <c r="B48" t="s">
        <v>170</v>
      </c>
      <c r="C48" t="s">
        <v>171</v>
      </c>
      <c r="E48" t="s">
        <v>172</v>
      </c>
      <c r="F48" t="s">
        <v>70</v>
      </c>
      <c r="G48" t="s">
        <v>28</v>
      </c>
      <c r="H48" t="s">
        <v>29</v>
      </c>
      <c r="I48" t="s">
        <v>71</v>
      </c>
      <c r="J48" t="s">
        <v>173</v>
      </c>
      <c r="L48" s="1">
        <v>45870</v>
      </c>
      <c r="M48" s="1">
        <v>45870</v>
      </c>
      <c r="O48">
        <v>15950276</v>
      </c>
      <c r="P48" t="s">
        <v>32</v>
      </c>
      <c r="Q48" t="s">
        <v>174</v>
      </c>
      <c r="R48">
        <v>8192</v>
      </c>
      <c r="S48" t="s">
        <v>34</v>
      </c>
      <c r="T48" t="s">
        <v>35</v>
      </c>
      <c r="U48">
        <v>-199.17</v>
      </c>
      <c r="V48" t="s">
        <v>36</v>
      </c>
      <c r="W48" s="1">
        <v>45860</v>
      </c>
      <c r="X48">
        <v>2025</v>
      </c>
    </row>
    <row r="49" spans="1:24" x14ac:dyDescent="0.25">
      <c r="A49" s="1">
        <v>45895</v>
      </c>
      <c r="B49" t="s">
        <v>170</v>
      </c>
      <c r="C49" t="s">
        <v>171</v>
      </c>
      <c r="E49" t="s">
        <v>172</v>
      </c>
      <c r="F49" t="s">
        <v>70</v>
      </c>
      <c r="G49" t="s">
        <v>37</v>
      </c>
      <c r="H49" t="s">
        <v>29</v>
      </c>
      <c r="I49" t="s">
        <v>71</v>
      </c>
      <c r="J49" t="s">
        <v>173</v>
      </c>
      <c r="L49" s="1">
        <v>45870</v>
      </c>
      <c r="M49" s="1">
        <v>45870</v>
      </c>
      <c r="O49">
        <v>15950276</v>
      </c>
      <c r="P49" t="s">
        <v>32</v>
      </c>
      <c r="Q49" t="s">
        <v>174</v>
      </c>
      <c r="R49">
        <v>8192</v>
      </c>
      <c r="S49" t="s">
        <v>34</v>
      </c>
      <c r="T49" t="s">
        <v>35</v>
      </c>
      <c r="U49">
        <v>830</v>
      </c>
      <c r="V49" t="s">
        <v>38</v>
      </c>
      <c r="W49" s="1">
        <v>45860</v>
      </c>
      <c r="X49">
        <v>2025</v>
      </c>
    </row>
    <row r="50" spans="1:24" x14ac:dyDescent="0.25">
      <c r="A50" s="1">
        <v>45895</v>
      </c>
      <c r="B50" t="s">
        <v>175</v>
      </c>
      <c r="C50" t="s">
        <v>176</v>
      </c>
      <c r="E50" t="s">
        <v>177</v>
      </c>
      <c r="F50" t="s">
        <v>49</v>
      </c>
      <c r="G50" t="s">
        <v>28</v>
      </c>
      <c r="H50" t="s">
        <v>29</v>
      </c>
      <c r="I50" t="s">
        <v>30</v>
      </c>
      <c r="J50" t="s">
        <v>60</v>
      </c>
      <c r="L50" s="1">
        <v>45870</v>
      </c>
      <c r="M50" s="1">
        <v>45870</v>
      </c>
      <c r="O50">
        <v>2158366</v>
      </c>
      <c r="P50" t="s">
        <v>32</v>
      </c>
      <c r="Q50" t="s">
        <v>178</v>
      </c>
      <c r="R50">
        <v>8192</v>
      </c>
      <c r="S50" t="s">
        <v>34</v>
      </c>
      <c r="T50" t="s">
        <v>35</v>
      </c>
      <c r="U50">
        <v>-182.5</v>
      </c>
      <c r="V50" t="s">
        <v>36</v>
      </c>
      <c r="W50" s="1">
        <v>45845</v>
      </c>
      <c r="X50">
        <v>2025</v>
      </c>
    </row>
    <row r="51" spans="1:24" x14ac:dyDescent="0.25">
      <c r="A51" s="1">
        <v>45895</v>
      </c>
      <c r="B51" t="s">
        <v>175</v>
      </c>
      <c r="C51" t="s">
        <v>176</v>
      </c>
      <c r="E51" t="s">
        <v>177</v>
      </c>
      <c r="F51" t="s">
        <v>49</v>
      </c>
      <c r="G51" t="s">
        <v>37</v>
      </c>
      <c r="H51" t="s">
        <v>29</v>
      </c>
      <c r="I51" t="s">
        <v>30</v>
      </c>
      <c r="J51" t="s">
        <v>60</v>
      </c>
      <c r="L51" s="1">
        <v>45870</v>
      </c>
      <c r="M51" s="1">
        <v>45870</v>
      </c>
      <c r="O51">
        <v>2158366</v>
      </c>
      <c r="P51" t="s">
        <v>32</v>
      </c>
      <c r="Q51" t="s">
        <v>178</v>
      </c>
      <c r="R51">
        <v>8192</v>
      </c>
      <c r="S51" t="s">
        <v>34</v>
      </c>
      <c r="T51" t="s">
        <v>35</v>
      </c>
      <c r="U51">
        <v>751</v>
      </c>
      <c r="V51" t="s">
        <v>38</v>
      </c>
      <c r="W51" s="1">
        <v>45845</v>
      </c>
      <c r="X51">
        <v>2025</v>
      </c>
    </row>
    <row r="52" spans="1:24" x14ac:dyDescent="0.25">
      <c r="A52" s="1">
        <v>45895</v>
      </c>
      <c r="B52" t="s">
        <v>179</v>
      </c>
      <c r="C52" t="s">
        <v>180</v>
      </c>
      <c r="E52" t="s">
        <v>181</v>
      </c>
      <c r="F52" t="s">
        <v>77</v>
      </c>
      <c r="G52" t="s">
        <v>37</v>
      </c>
      <c r="H52" t="s">
        <v>29</v>
      </c>
      <c r="I52" t="s">
        <v>78</v>
      </c>
      <c r="J52" t="s">
        <v>182</v>
      </c>
      <c r="L52" s="1">
        <v>45870</v>
      </c>
      <c r="M52" s="1">
        <v>45870</v>
      </c>
      <c r="O52">
        <v>8307933</v>
      </c>
      <c r="P52" t="s">
        <v>32</v>
      </c>
      <c r="Q52" t="s">
        <v>45</v>
      </c>
      <c r="R52">
        <v>8192</v>
      </c>
      <c r="S52" t="s">
        <v>34</v>
      </c>
      <c r="T52" t="s">
        <v>35</v>
      </c>
      <c r="U52">
        <v>751</v>
      </c>
      <c r="V52" t="s">
        <v>38</v>
      </c>
      <c r="W52" s="1">
        <v>45867</v>
      </c>
      <c r="X52">
        <v>2025</v>
      </c>
    </row>
    <row r="53" spans="1:24" x14ac:dyDescent="0.25">
      <c r="A53" s="1">
        <v>45895</v>
      </c>
      <c r="B53" t="s">
        <v>179</v>
      </c>
      <c r="C53" t="s">
        <v>180</v>
      </c>
      <c r="E53" t="s">
        <v>181</v>
      </c>
      <c r="F53" t="s">
        <v>77</v>
      </c>
      <c r="G53" t="s">
        <v>28</v>
      </c>
      <c r="H53" t="s">
        <v>29</v>
      </c>
      <c r="I53" t="s">
        <v>78</v>
      </c>
      <c r="J53" t="s">
        <v>182</v>
      </c>
      <c r="L53" s="1">
        <v>45870</v>
      </c>
      <c r="M53" s="1">
        <v>45870</v>
      </c>
      <c r="O53">
        <v>8307933</v>
      </c>
      <c r="P53" t="s">
        <v>32</v>
      </c>
      <c r="Q53" t="s">
        <v>45</v>
      </c>
      <c r="R53">
        <v>8192</v>
      </c>
      <c r="S53" t="s">
        <v>34</v>
      </c>
      <c r="T53" t="s">
        <v>35</v>
      </c>
      <c r="U53">
        <v>-182.5</v>
      </c>
      <c r="V53" t="s">
        <v>36</v>
      </c>
      <c r="W53" s="1">
        <v>45867</v>
      </c>
      <c r="X53">
        <v>2025</v>
      </c>
    </row>
    <row r="54" spans="1:24" x14ac:dyDescent="0.25">
      <c r="A54" s="1">
        <v>45895</v>
      </c>
      <c r="B54" t="s">
        <v>183</v>
      </c>
      <c r="C54" t="s">
        <v>184</v>
      </c>
      <c r="E54" t="s">
        <v>185</v>
      </c>
      <c r="F54" t="s">
        <v>161</v>
      </c>
      <c r="G54" t="s">
        <v>37</v>
      </c>
      <c r="H54" t="s">
        <v>29</v>
      </c>
      <c r="I54" t="s">
        <v>30</v>
      </c>
      <c r="J54" t="s">
        <v>186</v>
      </c>
      <c r="L54" s="1">
        <v>45870</v>
      </c>
      <c r="M54" s="1">
        <v>45870</v>
      </c>
      <c r="O54">
        <v>18581063</v>
      </c>
      <c r="P54" t="s">
        <v>32</v>
      </c>
      <c r="Q54" t="s">
        <v>187</v>
      </c>
      <c r="R54">
        <v>8192</v>
      </c>
      <c r="S54" t="s">
        <v>34</v>
      </c>
      <c r="T54" t="s">
        <v>35</v>
      </c>
      <c r="U54">
        <v>751</v>
      </c>
      <c r="V54" t="s">
        <v>38</v>
      </c>
      <c r="W54" s="1">
        <v>45851</v>
      </c>
      <c r="X54">
        <v>2025</v>
      </c>
    </row>
    <row r="55" spans="1:24" x14ac:dyDescent="0.25">
      <c r="A55" s="1">
        <v>45895</v>
      </c>
      <c r="B55" t="s">
        <v>183</v>
      </c>
      <c r="C55" t="s">
        <v>184</v>
      </c>
      <c r="E55" t="s">
        <v>185</v>
      </c>
      <c r="F55" t="s">
        <v>161</v>
      </c>
      <c r="G55" t="s">
        <v>28</v>
      </c>
      <c r="H55" t="s">
        <v>29</v>
      </c>
      <c r="I55" t="s">
        <v>30</v>
      </c>
      <c r="J55" t="s">
        <v>186</v>
      </c>
      <c r="L55" s="1">
        <v>45870</v>
      </c>
      <c r="M55" s="1">
        <v>45870</v>
      </c>
      <c r="O55">
        <v>18581063</v>
      </c>
      <c r="P55" t="s">
        <v>32</v>
      </c>
      <c r="Q55" t="s">
        <v>187</v>
      </c>
      <c r="R55">
        <v>8192</v>
      </c>
      <c r="S55" t="s">
        <v>34</v>
      </c>
      <c r="T55" t="s">
        <v>35</v>
      </c>
      <c r="U55">
        <v>-182.5</v>
      </c>
      <c r="V55" t="s">
        <v>36</v>
      </c>
      <c r="W55" s="1">
        <v>45851</v>
      </c>
      <c r="X55">
        <v>2025</v>
      </c>
    </row>
    <row r="56" spans="1:24" x14ac:dyDescent="0.25">
      <c r="A56" s="1">
        <v>45895</v>
      </c>
      <c r="B56" t="s">
        <v>188</v>
      </c>
      <c r="C56" t="s">
        <v>189</v>
      </c>
      <c r="E56" t="s">
        <v>190</v>
      </c>
      <c r="F56" t="s">
        <v>191</v>
      </c>
      <c r="G56" t="s">
        <v>37</v>
      </c>
      <c r="H56" t="s">
        <v>29</v>
      </c>
      <c r="I56" t="s">
        <v>107</v>
      </c>
      <c r="J56" t="s">
        <v>192</v>
      </c>
      <c r="L56" s="1">
        <v>45870</v>
      </c>
      <c r="M56" s="1">
        <v>45870</v>
      </c>
      <c r="O56">
        <v>8307933</v>
      </c>
      <c r="P56" t="s">
        <v>32</v>
      </c>
      <c r="Q56" t="s">
        <v>45</v>
      </c>
      <c r="R56">
        <v>8192</v>
      </c>
      <c r="S56" t="s">
        <v>34</v>
      </c>
      <c r="T56" t="s">
        <v>35</v>
      </c>
      <c r="U56">
        <v>751</v>
      </c>
      <c r="V56" t="s">
        <v>38</v>
      </c>
      <c r="W56" s="1">
        <v>45855</v>
      </c>
      <c r="X56">
        <v>2025</v>
      </c>
    </row>
    <row r="57" spans="1:24" x14ac:dyDescent="0.25">
      <c r="A57" s="1">
        <v>45895</v>
      </c>
      <c r="B57" t="s">
        <v>188</v>
      </c>
      <c r="C57" t="s">
        <v>189</v>
      </c>
      <c r="E57" t="s">
        <v>190</v>
      </c>
      <c r="F57" t="s">
        <v>191</v>
      </c>
      <c r="G57" t="s">
        <v>28</v>
      </c>
      <c r="H57" t="s">
        <v>29</v>
      </c>
      <c r="I57" t="s">
        <v>107</v>
      </c>
      <c r="J57" t="s">
        <v>192</v>
      </c>
      <c r="L57" s="1">
        <v>45870</v>
      </c>
      <c r="M57" s="1">
        <v>45870</v>
      </c>
      <c r="O57">
        <v>8307933</v>
      </c>
      <c r="P57" t="s">
        <v>32</v>
      </c>
      <c r="Q57" t="s">
        <v>45</v>
      </c>
      <c r="R57">
        <v>8192</v>
      </c>
      <c r="S57" t="s">
        <v>34</v>
      </c>
      <c r="T57" t="s">
        <v>35</v>
      </c>
      <c r="U57">
        <v>-182.5</v>
      </c>
      <c r="V57" t="s">
        <v>36</v>
      </c>
      <c r="W57" s="1">
        <v>45855</v>
      </c>
      <c r="X57">
        <v>2025</v>
      </c>
    </row>
    <row r="58" spans="1:24" x14ac:dyDescent="0.25">
      <c r="A58" s="1">
        <v>45895</v>
      </c>
      <c r="B58" t="s">
        <v>193</v>
      </c>
      <c r="C58" t="s">
        <v>194</v>
      </c>
      <c r="E58" t="s">
        <v>195</v>
      </c>
      <c r="F58" t="s">
        <v>49</v>
      </c>
      <c r="G58" t="s">
        <v>28</v>
      </c>
      <c r="H58" t="s">
        <v>29</v>
      </c>
      <c r="I58" t="s">
        <v>196</v>
      </c>
      <c r="J58" t="s">
        <v>197</v>
      </c>
      <c r="L58" s="1">
        <v>45901</v>
      </c>
      <c r="M58" s="1">
        <v>45901</v>
      </c>
      <c r="O58">
        <v>8307933</v>
      </c>
      <c r="P58" t="s">
        <v>32</v>
      </c>
      <c r="Q58" t="s">
        <v>45</v>
      </c>
      <c r="R58">
        <v>8192</v>
      </c>
      <c r="S58" t="s">
        <v>34</v>
      </c>
      <c r="T58" t="s">
        <v>35</v>
      </c>
      <c r="U58">
        <v>-146</v>
      </c>
      <c r="V58" t="s">
        <v>36</v>
      </c>
      <c r="W58" s="1">
        <v>45862</v>
      </c>
      <c r="X58">
        <v>2025</v>
      </c>
    </row>
    <row r="59" spans="1:24" x14ac:dyDescent="0.25">
      <c r="A59" s="1">
        <v>45895</v>
      </c>
      <c r="B59" t="s">
        <v>193</v>
      </c>
      <c r="C59" t="s">
        <v>194</v>
      </c>
      <c r="E59" t="s">
        <v>195</v>
      </c>
      <c r="F59" t="s">
        <v>49</v>
      </c>
      <c r="G59" t="s">
        <v>37</v>
      </c>
      <c r="H59" t="s">
        <v>29</v>
      </c>
      <c r="I59" t="s">
        <v>196</v>
      </c>
      <c r="J59" t="s">
        <v>197</v>
      </c>
      <c r="L59" s="1">
        <v>45901</v>
      </c>
      <c r="M59" s="1">
        <v>45901</v>
      </c>
      <c r="O59">
        <v>8307933</v>
      </c>
      <c r="P59" t="s">
        <v>32</v>
      </c>
      <c r="Q59" t="s">
        <v>45</v>
      </c>
      <c r="R59">
        <v>8192</v>
      </c>
      <c r="S59" t="s">
        <v>34</v>
      </c>
      <c r="T59" t="s">
        <v>35</v>
      </c>
      <c r="U59">
        <v>751</v>
      </c>
      <c r="V59" t="s">
        <v>38</v>
      </c>
      <c r="W59" s="1">
        <v>45862</v>
      </c>
      <c r="X59">
        <v>2025</v>
      </c>
    </row>
    <row r="60" spans="1:24" x14ac:dyDescent="0.25">
      <c r="A60" s="1">
        <v>45895</v>
      </c>
      <c r="B60" t="s">
        <v>198</v>
      </c>
      <c r="C60" t="s">
        <v>199</v>
      </c>
      <c r="E60" t="s">
        <v>200</v>
      </c>
      <c r="F60" t="s">
        <v>49</v>
      </c>
      <c r="G60" t="s">
        <v>37</v>
      </c>
      <c r="H60" t="s">
        <v>29</v>
      </c>
      <c r="I60" t="s">
        <v>30</v>
      </c>
      <c r="J60" t="s">
        <v>60</v>
      </c>
      <c r="L60" s="1">
        <v>45901</v>
      </c>
      <c r="M60" s="1">
        <v>45901</v>
      </c>
      <c r="O60">
        <v>8325282</v>
      </c>
      <c r="P60" t="s">
        <v>32</v>
      </c>
      <c r="Q60" t="s">
        <v>61</v>
      </c>
      <c r="R60">
        <v>8192</v>
      </c>
      <c r="S60" t="s">
        <v>34</v>
      </c>
      <c r="T60" t="s">
        <v>35</v>
      </c>
      <c r="U60">
        <v>751</v>
      </c>
      <c r="V60" t="s">
        <v>38</v>
      </c>
      <c r="W60" s="1">
        <v>45853</v>
      </c>
      <c r="X60">
        <v>2025</v>
      </c>
    </row>
    <row r="61" spans="1:24" x14ac:dyDescent="0.25">
      <c r="A61" s="1">
        <v>45895</v>
      </c>
      <c r="B61" t="s">
        <v>198</v>
      </c>
      <c r="C61" t="s">
        <v>199</v>
      </c>
      <c r="E61" t="s">
        <v>200</v>
      </c>
      <c r="F61" t="s">
        <v>49</v>
      </c>
      <c r="G61" t="s">
        <v>28</v>
      </c>
      <c r="H61" t="s">
        <v>29</v>
      </c>
      <c r="I61" t="s">
        <v>30</v>
      </c>
      <c r="J61" t="s">
        <v>60</v>
      </c>
      <c r="L61" s="1">
        <v>45901</v>
      </c>
      <c r="M61" s="1">
        <v>45901</v>
      </c>
      <c r="O61">
        <v>8325282</v>
      </c>
      <c r="P61" t="s">
        <v>32</v>
      </c>
      <c r="Q61" t="s">
        <v>61</v>
      </c>
      <c r="R61">
        <v>8192</v>
      </c>
      <c r="S61" t="s">
        <v>34</v>
      </c>
      <c r="T61" t="s">
        <v>35</v>
      </c>
      <c r="U61">
        <v>-146</v>
      </c>
      <c r="V61" t="s">
        <v>36</v>
      </c>
      <c r="W61" s="1">
        <v>45853</v>
      </c>
      <c r="X61">
        <v>2025</v>
      </c>
    </row>
    <row r="62" spans="1:24" x14ac:dyDescent="0.25">
      <c r="A62" s="1">
        <v>45895</v>
      </c>
      <c r="B62" t="s">
        <v>201</v>
      </c>
      <c r="C62" t="s">
        <v>202</v>
      </c>
      <c r="E62" t="s">
        <v>203</v>
      </c>
      <c r="F62" t="s">
        <v>84</v>
      </c>
      <c r="G62" t="s">
        <v>204</v>
      </c>
      <c r="H62" t="s">
        <v>119</v>
      </c>
      <c r="I62" t="s">
        <v>85</v>
      </c>
      <c r="J62" t="s">
        <v>205</v>
      </c>
      <c r="L62" s="1">
        <v>45658</v>
      </c>
      <c r="M62" s="1">
        <v>45658</v>
      </c>
      <c r="N62" s="1">
        <v>45900</v>
      </c>
      <c r="O62">
        <v>9213293</v>
      </c>
      <c r="P62" t="s">
        <v>32</v>
      </c>
      <c r="Q62" t="s">
        <v>206</v>
      </c>
      <c r="R62">
        <v>8192</v>
      </c>
      <c r="S62" t="s">
        <v>34</v>
      </c>
      <c r="T62" t="s">
        <v>35</v>
      </c>
      <c r="U62">
        <v>500.67</v>
      </c>
      <c r="V62" t="s">
        <v>38</v>
      </c>
      <c r="W62" s="1">
        <v>45629</v>
      </c>
      <c r="X62">
        <v>2025</v>
      </c>
    </row>
    <row r="63" spans="1:24" x14ac:dyDescent="0.25">
      <c r="A63" s="1">
        <v>45895</v>
      </c>
      <c r="B63" t="s">
        <v>201</v>
      </c>
      <c r="C63" t="s">
        <v>202</v>
      </c>
      <c r="E63" t="s">
        <v>203</v>
      </c>
      <c r="F63" t="s">
        <v>84</v>
      </c>
      <c r="G63" t="s">
        <v>207</v>
      </c>
      <c r="H63" t="s">
        <v>119</v>
      </c>
      <c r="I63" t="s">
        <v>85</v>
      </c>
      <c r="J63" t="s">
        <v>205</v>
      </c>
      <c r="L63" s="1">
        <v>45658</v>
      </c>
      <c r="M63" s="1">
        <v>45658</v>
      </c>
      <c r="N63" s="1">
        <v>45900</v>
      </c>
      <c r="O63">
        <v>9213293</v>
      </c>
      <c r="P63" t="s">
        <v>32</v>
      </c>
      <c r="Q63" t="s">
        <v>206</v>
      </c>
      <c r="R63">
        <v>8192</v>
      </c>
      <c r="S63" t="s">
        <v>34</v>
      </c>
      <c r="T63" t="s">
        <v>35</v>
      </c>
      <c r="U63">
        <v>-751</v>
      </c>
      <c r="V63" t="s">
        <v>38</v>
      </c>
      <c r="W63" s="1">
        <v>45629</v>
      </c>
      <c r="X63">
        <v>2025</v>
      </c>
    </row>
    <row r="64" spans="1:24" x14ac:dyDescent="0.25">
      <c r="A64" s="1">
        <v>45895</v>
      </c>
      <c r="B64" t="s">
        <v>208</v>
      </c>
      <c r="C64" t="s">
        <v>209</v>
      </c>
      <c r="E64" t="s">
        <v>210</v>
      </c>
      <c r="F64" t="s">
        <v>49</v>
      </c>
      <c r="G64" t="s">
        <v>37</v>
      </c>
      <c r="H64" t="s">
        <v>29</v>
      </c>
      <c r="I64" t="s">
        <v>30</v>
      </c>
      <c r="J64" t="s">
        <v>60</v>
      </c>
      <c r="L64" s="1">
        <v>45839</v>
      </c>
      <c r="M64" s="1">
        <v>45839</v>
      </c>
      <c r="O64">
        <v>7146581</v>
      </c>
      <c r="P64" t="s">
        <v>32</v>
      </c>
      <c r="Q64" t="s">
        <v>66</v>
      </c>
      <c r="R64">
        <v>8192</v>
      </c>
      <c r="S64" t="s">
        <v>34</v>
      </c>
      <c r="T64" t="s">
        <v>35</v>
      </c>
      <c r="U64">
        <v>751</v>
      </c>
      <c r="V64" t="s">
        <v>38</v>
      </c>
      <c r="W64" s="1">
        <v>45838</v>
      </c>
      <c r="X64">
        <v>2025</v>
      </c>
    </row>
    <row r="65" spans="1:24" x14ac:dyDescent="0.25">
      <c r="A65" s="1">
        <v>45895</v>
      </c>
      <c r="B65" t="s">
        <v>208</v>
      </c>
      <c r="C65" t="s">
        <v>209</v>
      </c>
      <c r="E65" t="s">
        <v>210</v>
      </c>
      <c r="F65" t="s">
        <v>49</v>
      </c>
      <c r="G65" t="s">
        <v>28</v>
      </c>
      <c r="H65" t="s">
        <v>29</v>
      </c>
      <c r="I65" t="s">
        <v>30</v>
      </c>
      <c r="J65" t="s">
        <v>60</v>
      </c>
      <c r="L65" s="1">
        <v>45839</v>
      </c>
      <c r="M65" s="1">
        <v>45839</v>
      </c>
      <c r="O65">
        <v>7146581</v>
      </c>
      <c r="P65" t="s">
        <v>32</v>
      </c>
      <c r="Q65" t="s">
        <v>66</v>
      </c>
      <c r="R65">
        <v>8192</v>
      </c>
      <c r="S65" t="s">
        <v>34</v>
      </c>
      <c r="T65" t="s">
        <v>35</v>
      </c>
      <c r="U65">
        <v>-219</v>
      </c>
      <c r="V65" t="s">
        <v>36</v>
      </c>
      <c r="W65" s="1">
        <v>45838</v>
      </c>
      <c r="X65">
        <v>2025</v>
      </c>
    </row>
    <row r="66" spans="1:24" x14ac:dyDescent="0.25">
      <c r="A66" s="1">
        <v>45895</v>
      </c>
      <c r="B66" t="s">
        <v>211</v>
      </c>
      <c r="C66" t="s">
        <v>212</v>
      </c>
      <c r="E66" t="s">
        <v>213</v>
      </c>
      <c r="F66" t="s">
        <v>70</v>
      </c>
      <c r="G66" t="s">
        <v>91</v>
      </c>
      <c r="H66" t="s">
        <v>29</v>
      </c>
      <c r="I66" t="s">
        <v>71</v>
      </c>
      <c r="J66" t="s">
        <v>214</v>
      </c>
      <c r="L66" s="1">
        <v>45931</v>
      </c>
      <c r="M66" s="1">
        <v>45931</v>
      </c>
      <c r="O66">
        <v>21618313</v>
      </c>
      <c r="P66" t="s">
        <v>32</v>
      </c>
      <c r="Q66" t="s">
        <v>215</v>
      </c>
      <c r="R66">
        <v>8192</v>
      </c>
      <c r="S66" t="s">
        <v>34</v>
      </c>
      <c r="T66" t="s">
        <v>35</v>
      </c>
      <c r="U66">
        <v>119.5</v>
      </c>
      <c r="V66" t="s">
        <v>36</v>
      </c>
      <c r="W66" s="1">
        <v>45881</v>
      </c>
      <c r="X66">
        <v>2025</v>
      </c>
    </row>
    <row r="67" spans="1:24" x14ac:dyDescent="0.25">
      <c r="A67" s="1">
        <v>45895</v>
      </c>
      <c r="B67" t="s">
        <v>216</v>
      </c>
      <c r="C67" t="s">
        <v>217</v>
      </c>
      <c r="E67" t="s">
        <v>218</v>
      </c>
      <c r="F67" t="s">
        <v>49</v>
      </c>
      <c r="G67" t="s">
        <v>28</v>
      </c>
      <c r="H67" t="s">
        <v>29</v>
      </c>
      <c r="I67" t="s">
        <v>30</v>
      </c>
      <c r="J67" t="s">
        <v>55</v>
      </c>
      <c r="L67" s="1">
        <v>45870</v>
      </c>
      <c r="M67" s="1">
        <v>45870</v>
      </c>
      <c r="O67">
        <v>7470776</v>
      </c>
      <c r="P67" t="s">
        <v>32</v>
      </c>
      <c r="Q67" t="s">
        <v>219</v>
      </c>
      <c r="R67">
        <v>8192</v>
      </c>
      <c r="S67" t="s">
        <v>34</v>
      </c>
      <c r="T67" t="s">
        <v>35</v>
      </c>
      <c r="U67">
        <v>-182.5</v>
      </c>
      <c r="V67" t="s">
        <v>36</v>
      </c>
      <c r="W67" s="1">
        <v>45853</v>
      </c>
      <c r="X67">
        <v>2025</v>
      </c>
    </row>
    <row r="68" spans="1:24" x14ac:dyDescent="0.25">
      <c r="A68" s="1">
        <v>45895</v>
      </c>
      <c r="B68" t="s">
        <v>216</v>
      </c>
      <c r="C68" t="s">
        <v>217</v>
      </c>
      <c r="E68" t="s">
        <v>218</v>
      </c>
      <c r="F68" t="s">
        <v>49</v>
      </c>
      <c r="G68" t="s">
        <v>37</v>
      </c>
      <c r="H68" t="s">
        <v>29</v>
      </c>
      <c r="I68" t="s">
        <v>30</v>
      </c>
      <c r="J68" t="s">
        <v>55</v>
      </c>
      <c r="L68" s="1">
        <v>45870</v>
      </c>
      <c r="M68" s="1">
        <v>45870</v>
      </c>
      <c r="O68">
        <v>7470776</v>
      </c>
      <c r="P68" t="s">
        <v>32</v>
      </c>
      <c r="Q68" t="s">
        <v>219</v>
      </c>
      <c r="R68">
        <v>8192</v>
      </c>
      <c r="S68" t="s">
        <v>34</v>
      </c>
      <c r="T68" t="s">
        <v>35</v>
      </c>
      <c r="U68">
        <v>751</v>
      </c>
      <c r="V68" t="s">
        <v>38</v>
      </c>
      <c r="W68" s="1">
        <v>45853</v>
      </c>
      <c r="X68">
        <v>2025</v>
      </c>
    </row>
    <row r="69" spans="1:24" x14ac:dyDescent="0.25">
      <c r="A69" s="1">
        <v>45895</v>
      </c>
      <c r="B69" t="s">
        <v>220</v>
      </c>
      <c r="C69" t="s">
        <v>221</v>
      </c>
      <c r="E69" t="s">
        <v>222</v>
      </c>
      <c r="F69" t="s">
        <v>49</v>
      </c>
      <c r="G69" t="s">
        <v>37</v>
      </c>
      <c r="H69" t="s">
        <v>29</v>
      </c>
      <c r="I69" t="s">
        <v>30</v>
      </c>
      <c r="J69" t="s">
        <v>55</v>
      </c>
      <c r="L69" s="1">
        <v>45870</v>
      </c>
      <c r="M69" s="1">
        <v>45870</v>
      </c>
      <c r="O69">
        <v>7470776</v>
      </c>
      <c r="P69" t="s">
        <v>32</v>
      </c>
      <c r="Q69" t="s">
        <v>219</v>
      </c>
      <c r="R69">
        <v>8192</v>
      </c>
      <c r="S69" t="s">
        <v>34</v>
      </c>
      <c r="T69" t="s">
        <v>35</v>
      </c>
      <c r="U69">
        <v>751</v>
      </c>
      <c r="V69" t="s">
        <v>38</v>
      </c>
      <c r="W69" s="1">
        <v>45853</v>
      </c>
      <c r="X69">
        <v>2025</v>
      </c>
    </row>
    <row r="70" spans="1:24" x14ac:dyDescent="0.25">
      <c r="A70" s="1">
        <v>45895</v>
      </c>
      <c r="B70" t="s">
        <v>220</v>
      </c>
      <c r="C70" t="s">
        <v>221</v>
      </c>
      <c r="E70" t="s">
        <v>222</v>
      </c>
      <c r="F70" t="s">
        <v>49</v>
      </c>
      <c r="G70" t="s">
        <v>28</v>
      </c>
      <c r="H70" t="s">
        <v>29</v>
      </c>
      <c r="I70" t="s">
        <v>30</v>
      </c>
      <c r="J70" t="s">
        <v>55</v>
      </c>
      <c r="L70" s="1">
        <v>45870</v>
      </c>
      <c r="M70" s="1">
        <v>45870</v>
      </c>
      <c r="O70">
        <v>7470776</v>
      </c>
      <c r="P70" t="s">
        <v>32</v>
      </c>
      <c r="Q70" t="s">
        <v>219</v>
      </c>
      <c r="R70">
        <v>8192</v>
      </c>
      <c r="S70" t="s">
        <v>34</v>
      </c>
      <c r="T70" t="s">
        <v>35</v>
      </c>
      <c r="U70">
        <v>-182.5</v>
      </c>
      <c r="V70" t="s">
        <v>36</v>
      </c>
      <c r="W70" s="1">
        <v>45853</v>
      </c>
      <c r="X70">
        <v>2025</v>
      </c>
    </row>
    <row r="71" spans="1:24" x14ac:dyDescent="0.25">
      <c r="A71" s="1">
        <v>45895</v>
      </c>
      <c r="B71" t="s">
        <v>223</v>
      </c>
      <c r="C71" t="s">
        <v>224</v>
      </c>
      <c r="E71" t="s">
        <v>225</v>
      </c>
      <c r="F71" t="s">
        <v>226</v>
      </c>
      <c r="G71" t="s">
        <v>28</v>
      </c>
      <c r="H71" t="s">
        <v>29</v>
      </c>
      <c r="I71" t="s">
        <v>227</v>
      </c>
      <c r="J71" t="s">
        <v>228</v>
      </c>
      <c r="L71" s="1">
        <v>45870</v>
      </c>
      <c r="M71" s="1">
        <v>45870</v>
      </c>
      <c r="O71">
        <v>16378851</v>
      </c>
      <c r="P71" t="s">
        <v>32</v>
      </c>
      <c r="Q71" t="s">
        <v>229</v>
      </c>
      <c r="R71">
        <v>8192</v>
      </c>
      <c r="S71" t="s">
        <v>34</v>
      </c>
      <c r="T71" t="s">
        <v>35</v>
      </c>
      <c r="U71">
        <v>-218.75</v>
      </c>
      <c r="V71" t="s">
        <v>36</v>
      </c>
      <c r="W71" s="1">
        <v>45854</v>
      </c>
      <c r="X71">
        <v>2025</v>
      </c>
    </row>
    <row r="72" spans="1:24" x14ac:dyDescent="0.25">
      <c r="A72" s="1">
        <v>45895</v>
      </c>
      <c r="B72" t="s">
        <v>223</v>
      </c>
      <c r="C72" t="s">
        <v>224</v>
      </c>
      <c r="E72" t="s">
        <v>225</v>
      </c>
      <c r="F72" t="s">
        <v>226</v>
      </c>
      <c r="G72" t="s">
        <v>109</v>
      </c>
      <c r="H72" t="s">
        <v>29</v>
      </c>
      <c r="I72" t="s">
        <v>227</v>
      </c>
      <c r="J72" t="s">
        <v>228</v>
      </c>
      <c r="L72" s="1">
        <v>45870</v>
      </c>
      <c r="M72" s="1">
        <v>45870</v>
      </c>
      <c r="O72">
        <v>16378851</v>
      </c>
      <c r="P72" t="s">
        <v>32</v>
      </c>
      <c r="Q72" t="s">
        <v>229</v>
      </c>
      <c r="R72">
        <v>8192</v>
      </c>
      <c r="S72" t="s">
        <v>34</v>
      </c>
      <c r="T72" t="s">
        <v>35</v>
      </c>
      <c r="U72">
        <v>381.25</v>
      </c>
      <c r="V72" t="s">
        <v>38</v>
      </c>
      <c r="W72" s="1">
        <v>45854</v>
      </c>
      <c r="X72">
        <v>2025</v>
      </c>
    </row>
    <row r="73" spans="1:24" x14ac:dyDescent="0.25">
      <c r="A73" s="1">
        <v>45895</v>
      </c>
      <c r="B73" t="s">
        <v>230</v>
      </c>
      <c r="C73" t="s">
        <v>231</v>
      </c>
      <c r="E73" t="s">
        <v>232</v>
      </c>
      <c r="F73" t="s">
        <v>106</v>
      </c>
      <c r="G73" t="s">
        <v>37</v>
      </c>
      <c r="H73" t="s">
        <v>29</v>
      </c>
      <c r="I73" t="s">
        <v>107</v>
      </c>
      <c r="J73" t="s">
        <v>233</v>
      </c>
      <c r="L73" s="1">
        <v>45870</v>
      </c>
      <c r="M73" s="1">
        <v>45870</v>
      </c>
      <c r="O73">
        <v>9213293</v>
      </c>
      <c r="P73" t="s">
        <v>32</v>
      </c>
      <c r="Q73" t="s">
        <v>206</v>
      </c>
      <c r="R73">
        <v>8192</v>
      </c>
      <c r="S73" t="s">
        <v>34</v>
      </c>
      <c r="T73" t="s">
        <v>35</v>
      </c>
      <c r="U73">
        <v>751</v>
      </c>
      <c r="V73" t="s">
        <v>38</v>
      </c>
      <c r="W73" s="1">
        <v>45848</v>
      </c>
      <c r="X73">
        <v>2025</v>
      </c>
    </row>
    <row r="74" spans="1:24" x14ac:dyDescent="0.25">
      <c r="A74" s="1">
        <v>45895</v>
      </c>
      <c r="B74" t="s">
        <v>230</v>
      </c>
      <c r="C74" t="s">
        <v>231</v>
      </c>
      <c r="E74" t="s">
        <v>232</v>
      </c>
      <c r="F74" t="s">
        <v>106</v>
      </c>
      <c r="G74" t="s">
        <v>28</v>
      </c>
      <c r="H74" t="s">
        <v>29</v>
      </c>
      <c r="I74" t="s">
        <v>107</v>
      </c>
      <c r="J74" t="s">
        <v>233</v>
      </c>
      <c r="L74" s="1">
        <v>45870</v>
      </c>
      <c r="M74" s="1">
        <v>45870</v>
      </c>
      <c r="O74">
        <v>9213293</v>
      </c>
      <c r="P74" t="s">
        <v>32</v>
      </c>
      <c r="Q74" t="s">
        <v>206</v>
      </c>
      <c r="R74">
        <v>8192</v>
      </c>
      <c r="S74" t="s">
        <v>34</v>
      </c>
      <c r="T74" t="s">
        <v>35</v>
      </c>
      <c r="U74">
        <v>-182.5</v>
      </c>
      <c r="V74" t="s">
        <v>36</v>
      </c>
      <c r="W74" s="1">
        <v>45848</v>
      </c>
      <c r="X74">
        <v>2025</v>
      </c>
    </row>
    <row r="75" spans="1:24" x14ac:dyDescent="0.25">
      <c r="A75" s="1">
        <v>45895</v>
      </c>
      <c r="B75" t="s">
        <v>234</v>
      </c>
      <c r="C75" t="s">
        <v>235</v>
      </c>
      <c r="E75" t="s">
        <v>236</v>
      </c>
      <c r="F75" t="s">
        <v>70</v>
      </c>
      <c r="G75" t="s">
        <v>37</v>
      </c>
      <c r="H75" t="s">
        <v>29</v>
      </c>
      <c r="I75" t="s">
        <v>71</v>
      </c>
      <c r="J75" t="s">
        <v>136</v>
      </c>
      <c r="L75" s="1">
        <v>45870</v>
      </c>
      <c r="M75" s="1">
        <v>45870</v>
      </c>
      <c r="O75">
        <v>18710070</v>
      </c>
      <c r="P75" t="s">
        <v>32</v>
      </c>
      <c r="Q75" t="s">
        <v>97</v>
      </c>
      <c r="R75">
        <v>8192</v>
      </c>
      <c r="S75" t="s">
        <v>34</v>
      </c>
      <c r="T75" t="s">
        <v>35</v>
      </c>
      <c r="U75">
        <v>830</v>
      </c>
      <c r="V75" t="s">
        <v>38</v>
      </c>
      <c r="W75" s="1">
        <v>45851</v>
      </c>
      <c r="X75">
        <v>2025</v>
      </c>
    </row>
    <row r="76" spans="1:24" x14ac:dyDescent="0.25">
      <c r="A76" s="1">
        <v>45895</v>
      </c>
      <c r="B76" t="s">
        <v>234</v>
      </c>
      <c r="C76" t="s">
        <v>235</v>
      </c>
      <c r="E76" t="s">
        <v>236</v>
      </c>
      <c r="F76" t="s">
        <v>70</v>
      </c>
      <c r="G76" t="s">
        <v>28</v>
      </c>
      <c r="H76" t="s">
        <v>29</v>
      </c>
      <c r="I76" t="s">
        <v>71</v>
      </c>
      <c r="J76" t="s">
        <v>136</v>
      </c>
      <c r="L76" s="1">
        <v>45870</v>
      </c>
      <c r="M76" s="1">
        <v>45870</v>
      </c>
      <c r="O76">
        <v>18710070</v>
      </c>
      <c r="P76" t="s">
        <v>32</v>
      </c>
      <c r="Q76" t="s">
        <v>97</v>
      </c>
      <c r="R76">
        <v>8192</v>
      </c>
      <c r="S76" t="s">
        <v>34</v>
      </c>
      <c r="T76" t="s">
        <v>35</v>
      </c>
      <c r="U76">
        <v>-199.17</v>
      </c>
      <c r="V76" t="s">
        <v>36</v>
      </c>
      <c r="W76" s="1">
        <v>45851</v>
      </c>
      <c r="X76">
        <v>2025</v>
      </c>
    </row>
    <row r="77" spans="1:24" x14ac:dyDescent="0.25">
      <c r="A77" s="1">
        <v>45895</v>
      </c>
      <c r="B77" t="s">
        <v>237</v>
      </c>
      <c r="C77" t="s">
        <v>238</v>
      </c>
      <c r="E77" t="s">
        <v>239</v>
      </c>
      <c r="F77" t="s">
        <v>240</v>
      </c>
      <c r="G77" t="s">
        <v>28</v>
      </c>
      <c r="H77" t="s">
        <v>29</v>
      </c>
      <c r="I77" t="s">
        <v>241</v>
      </c>
      <c r="J77" t="s">
        <v>242</v>
      </c>
      <c r="L77" s="1">
        <v>45931</v>
      </c>
      <c r="M77" s="1">
        <v>45931</v>
      </c>
      <c r="O77">
        <v>19645587</v>
      </c>
      <c r="P77" t="s">
        <v>32</v>
      </c>
      <c r="Q77" t="s">
        <v>243</v>
      </c>
      <c r="R77">
        <v>8192</v>
      </c>
      <c r="S77" t="s">
        <v>34</v>
      </c>
      <c r="T77" t="s">
        <v>35</v>
      </c>
      <c r="U77">
        <v>-109.5</v>
      </c>
      <c r="V77" t="s">
        <v>36</v>
      </c>
      <c r="W77" s="1">
        <v>45840</v>
      </c>
      <c r="X77">
        <v>2025</v>
      </c>
    </row>
    <row r="78" spans="1:24" x14ac:dyDescent="0.25">
      <c r="A78" s="1">
        <v>45895</v>
      </c>
      <c r="B78" t="s">
        <v>237</v>
      </c>
      <c r="C78" t="s">
        <v>238</v>
      </c>
      <c r="E78" t="s">
        <v>239</v>
      </c>
      <c r="F78" t="s">
        <v>240</v>
      </c>
      <c r="G78" t="s">
        <v>37</v>
      </c>
      <c r="H78" t="s">
        <v>29</v>
      </c>
      <c r="I78" t="s">
        <v>241</v>
      </c>
      <c r="J78" t="s">
        <v>242</v>
      </c>
      <c r="L78" s="1">
        <v>45931</v>
      </c>
      <c r="M78" s="1">
        <v>45931</v>
      </c>
      <c r="O78">
        <v>19645587</v>
      </c>
      <c r="P78" t="s">
        <v>32</v>
      </c>
      <c r="Q78" t="s">
        <v>243</v>
      </c>
      <c r="R78">
        <v>8192</v>
      </c>
      <c r="S78" t="s">
        <v>34</v>
      </c>
      <c r="T78" t="s">
        <v>35</v>
      </c>
      <c r="U78">
        <v>751</v>
      </c>
      <c r="V78" t="s">
        <v>38</v>
      </c>
      <c r="W78" s="1">
        <v>45840</v>
      </c>
      <c r="X78">
        <v>2025</v>
      </c>
    </row>
    <row r="79" spans="1:24" x14ac:dyDescent="0.25">
      <c r="A79" s="1"/>
      <c r="L79" s="1"/>
      <c r="M79" s="1"/>
      <c r="W79" s="1"/>
    </row>
    <row r="80" spans="1:24" x14ac:dyDescent="0.25">
      <c r="A80" s="1"/>
      <c r="L80" s="1"/>
      <c r="M80" s="1"/>
      <c r="W80" s="1"/>
    </row>
    <row r="81" spans="1:23" x14ac:dyDescent="0.25">
      <c r="A81" s="1"/>
      <c r="L81" s="1"/>
      <c r="M81" s="1"/>
      <c r="W81" s="1"/>
    </row>
    <row r="82" spans="1:23" x14ac:dyDescent="0.25">
      <c r="A82" s="1"/>
      <c r="L82" s="1"/>
      <c r="M82" s="1"/>
      <c r="W82" s="1"/>
    </row>
    <row r="83" spans="1:23" x14ac:dyDescent="0.25">
      <c r="A83" s="1"/>
      <c r="L83" s="1"/>
      <c r="M83" s="1"/>
      <c r="W83" s="1"/>
    </row>
    <row r="84" spans="1:23" x14ac:dyDescent="0.25">
      <c r="A84" s="1"/>
      <c r="L84" s="1"/>
      <c r="M84" s="1"/>
      <c r="W84" s="1"/>
    </row>
    <row r="85" spans="1:23" x14ac:dyDescent="0.25">
      <c r="A85" s="1"/>
      <c r="L85" s="1"/>
      <c r="M85" s="1"/>
      <c r="W85" s="1"/>
    </row>
    <row r="86" spans="1:23" x14ac:dyDescent="0.25">
      <c r="A86" s="1"/>
      <c r="L86" s="1"/>
      <c r="M86" s="1"/>
      <c r="W86" s="1"/>
    </row>
    <row r="87" spans="1:23" x14ac:dyDescent="0.25">
      <c r="A87" s="1"/>
      <c r="L87" s="1"/>
      <c r="M87" s="1"/>
      <c r="W87" s="1"/>
    </row>
    <row r="88" spans="1:23" x14ac:dyDescent="0.25">
      <c r="A88" s="1"/>
      <c r="L88" s="1"/>
      <c r="M88" s="1"/>
      <c r="W88" s="1"/>
    </row>
    <row r="89" spans="1:23" x14ac:dyDescent="0.25">
      <c r="A89" s="1"/>
      <c r="L89" s="1"/>
      <c r="M89" s="1"/>
      <c r="W89" s="1"/>
    </row>
    <row r="90" spans="1:23" x14ac:dyDescent="0.25">
      <c r="A90" s="1"/>
      <c r="L90" s="1"/>
      <c r="M90" s="1"/>
      <c r="W90" s="1"/>
    </row>
    <row r="91" spans="1:23" x14ac:dyDescent="0.25">
      <c r="A91" s="1"/>
      <c r="L91" s="1"/>
      <c r="M91" s="1"/>
      <c r="W91" s="1"/>
    </row>
    <row r="92" spans="1:23" x14ac:dyDescent="0.25">
      <c r="A92" s="1"/>
      <c r="L92" s="1"/>
      <c r="M92" s="1"/>
      <c r="W92" s="1"/>
    </row>
    <row r="93" spans="1:23" x14ac:dyDescent="0.25">
      <c r="A93" s="1"/>
      <c r="L93" s="1"/>
      <c r="M93" s="1"/>
      <c r="W93" s="1"/>
    </row>
    <row r="94" spans="1:23" x14ac:dyDescent="0.25">
      <c r="A94" s="1"/>
      <c r="L94" s="1"/>
      <c r="M94" s="1"/>
      <c r="W94" s="1"/>
    </row>
    <row r="95" spans="1:23" x14ac:dyDescent="0.25">
      <c r="A95" s="1"/>
      <c r="L95" s="1"/>
      <c r="M95" s="1"/>
      <c r="W95" s="1"/>
    </row>
    <row r="96" spans="1:23" x14ac:dyDescent="0.25">
      <c r="A96" s="1"/>
      <c r="L96" s="1"/>
      <c r="M96" s="1"/>
      <c r="W96" s="1"/>
    </row>
    <row r="97" spans="1:23" x14ac:dyDescent="0.25">
      <c r="A97" s="1"/>
      <c r="L97" s="1"/>
      <c r="M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W103" s="1"/>
    </row>
    <row r="104" spans="1:23" x14ac:dyDescent="0.25">
      <c r="A104" s="1"/>
      <c r="L104" s="1"/>
      <c r="M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W115" s="1"/>
    </row>
    <row r="116" spans="1:23" x14ac:dyDescent="0.25">
      <c r="A116" s="1"/>
      <c r="L116" s="1"/>
      <c r="M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N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N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N402" s="1"/>
      <c r="W402" s="1"/>
    </row>
    <row r="403" spans="1:23" x14ac:dyDescent="0.25">
      <c r="A403" s="1"/>
      <c r="L403" s="1"/>
      <c r="M403" s="1"/>
      <c r="N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W520" s="1"/>
    </row>
    <row r="521" spans="1:23" x14ac:dyDescent="0.25">
      <c r="A521" s="1"/>
      <c r="L521" s="1"/>
      <c r="M521" s="1"/>
      <c r="W521" s="1"/>
    </row>
    <row r="522" spans="1:23" x14ac:dyDescent="0.25">
      <c r="A522" s="1"/>
      <c r="L522" s="1"/>
      <c r="M522" s="1"/>
      <c r="W522" s="1"/>
    </row>
    <row r="523" spans="1:23" x14ac:dyDescent="0.25">
      <c r="A523" s="1"/>
      <c r="L523" s="1"/>
      <c r="M523" s="1"/>
      <c r="W523" s="1"/>
    </row>
    <row r="524" spans="1:23" x14ac:dyDescent="0.25">
      <c r="A524" s="1"/>
      <c r="L524" s="1"/>
      <c r="M524" s="1"/>
      <c r="W524" s="1"/>
    </row>
    <row r="525" spans="1:23" x14ac:dyDescent="0.25">
      <c r="A525" s="1"/>
      <c r="L525" s="1"/>
      <c r="M525" s="1"/>
      <c r="W525" s="1"/>
    </row>
    <row r="526" spans="1:23" x14ac:dyDescent="0.25">
      <c r="A526" s="1"/>
      <c r="L526" s="1"/>
      <c r="M526" s="1"/>
      <c r="W526" s="1"/>
    </row>
    <row r="527" spans="1:23" x14ac:dyDescent="0.25">
      <c r="A527" s="1"/>
      <c r="L527" s="1"/>
      <c r="M527" s="1"/>
      <c r="W527" s="1"/>
    </row>
    <row r="528" spans="1:23" x14ac:dyDescent="0.25">
      <c r="A528" s="1"/>
      <c r="L528" s="1"/>
      <c r="M528" s="1"/>
      <c r="W528" s="1"/>
    </row>
    <row r="529" spans="1:23" x14ac:dyDescent="0.25">
      <c r="A529" s="1"/>
      <c r="L529" s="1"/>
      <c r="M529" s="1"/>
      <c r="W529" s="1"/>
    </row>
    <row r="530" spans="1:23" x14ac:dyDescent="0.25">
      <c r="A530" s="1"/>
      <c r="L530" s="1"/>
      <c r="M530" s="1"/>
      <c r="W530" s="1"/>
    </row>
    <row r="531" spans="1:23" x14ac:dyDescent="0.25">
      <c r="A531" s="1"/>
      <c r="L531" s="1"/>
      <c r="M531" s="1"/>
      <c r="W531" s="1"/>
    </row>
    <row r="532" spans="1:23" x14ac:dyDescent="0.25">
      <c r="A532" s="1"/>
      <c r="L532" s="1"/>
      <c r="M532" s="1"/>
      <c r="W532" s="1"/>
    </row>
    <row r="533" spans="1:23" x14ac:dyDescent="0.25">
      <c r="A533" s="1"/>
      <c r="L533" s="1"/>
      <c r="M533" s="1"/>
      <c r="W533" s="1"/>
    </row>
    <row r="534" spans="1:23" x14ac:dyDescent="0.25">
      <c r="A534" s="1"/>
      <c r="L534" s="1"/>
      <c r="M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W539" s="1"/>
    </row>
    <row r="540" spans="1:23" x14ac:dyDescent="0.25">
      <c r="A540" s="1"/>
      <c r="L540" s="1"/>
      <c r="M540" s="1"/>
      <c r="W540" s="1"/>
    </row>
    <row r="541" spans="1:23" x14ac:dyDescent="0.25">
      <c r="A541" s="1"/>
      <c r="L541" s="1"/>
      <c r="M541" s="1"/>
      <c r="W541" s="1"/>
    </row>
    <row r="542" spans="1:23" x14ac:dyDescent="0.25">
      <c r="A542" s="1"/>
      <c r="L542" s="1"/>
      <c r="M542" s="1"/>
      <c r="W542" s="1"/>
    </row>
    <row r="543" spans="1:23" x14ac:dyDescent="0.25">
      <c r="A543" s="1"/>
      <c r="L543" s="1"/>
      <c r="M543" s="1"/>
      <c r="W543" s="1"/>
    </row>
    <row r="544" spans="1:23" x14ac:dyDescent="0.25">
      <c r="A544" s="1"/>
      <c r="L544" s="1"/>
      <c r="M544" s="1"/>
      <c r="W544" s="1"/>
    </row>
    <row r="545" spans="1:23" x14ac:dyDescent="0.25">
      <c r="A545" s="1"/>
      <c r="L545" s="1"/>
      <c r="M545" s="1"/>
      <c r="W545" s="1"/>
    </row>
    <row r="546" spans="1:23" x14ac:dyDescent="0.25">
      <c r="A546" s="1"/>
      <c r="L546" s="1"/>
      <c r="M546" s="1"/>
      <c r="W546" s="1"/>
    </row>
    <row r="547" spans="1:23" x14ac:dyDescent="0.25">
      <c r="A547" s="1"/>
      <c r="L547" s="1"/>
      <c r="M547" s="1"/>
      <c r="W547" s="1"/>
    </row>
    <row r="548" spans="1:23" x14ac:dyDescent="0.25">
      <c r="A548" s="1"/>
      <c r="L548" s="1"/>
      <c r="M548" s="1"/>
      <c r="W548" s="1"/>
    </row>
    <row r="549" spans="1:23" x14ac:dyDescent="0.25">
      <c r="A549" s="1"/>
      <c r="L549" s="1"/>
      <c r="M549" s="1"/>
      <c r="W549" s="1"/>
    </row>
    <row r="550" spans="1:23" x14ac:dyDescent="0.25">
      <c r="A550" s="1"/>
      <c r="L550" s="1"/>
      <c r="M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N621" s="1"/>
      <c r="W621" s="1"/>
    </row>
    <row r="622" spans="1:23" x14ac:dyDescent="0.25">
      <c r="A622" s="1"/>
      <c r="L622" s="1"/>
      <c r="M622" s="1"/>
      <c r="N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W701" s="1"/>
    </row>
    <row r="702" spans="1:23" x14ac:dyDescent="0.25">
      <c r="A702" s="1"/>
      <c r="L702" s="1"/>
      <c r="M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N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N909" s="1"/>
      <c r="W909" s="1"/>
    </row>
    <row r="910" spans="1:23" x14ac:dyDescent="0.25">
      <c r="A910" s="1"/>
      <c r="L910" s="1"/>
      <c r="M910" s="1"/>
      <c r="N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N929" s="1"/>
      <c r="W929" s="1"/>
    </row>
    <row r="930" spans="1:23" x14ac:dyDescent="0.25">
      <c r="A930" s="1"/>
      <c r="L930" s="1"/>
      <c r="M930" s="1"/>
      <c r="N930" s="1"/>
      <c r="W93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2461-2663-4BE8-BA2C-A2DE9EBD3907}">
  <dimension ref="A1:AC1001"/>
  <sheetViews>
    <sheetView tabSelected="1" topLeftCell="A130" zoomScaleNormal="100" workbookViewId="0">
      <selection activeCell="Q2" sqref="Q2:Q72"/>
    </sheetView>
  </sheetViews>
  <sheetFormatPr defaultRowHeight="15" x14ac:dyDescent="0.25"/>
  <cols>
    <col min="1" max="1" width="17.28515625" style="2" bestFit="1" customWidth="1"/>
    <col min="2" max="2" width="18.7109375" style="2" customWidth="1"/>
    <col min="3" max="3" width="13.7109375" style="2" customWidth="1"/>
    <col min="4" max="4" width="6.5703125" style="2" customWidth="1"/>
    <col min="5" max="5" width="13.42578125" style="2" customWidth="1"/>
    <col min="6" max="6" width="23.42578125" style="2" customWidth="1"/>
    <col min="7" max="7" width="9.140625" style="2"/>
    <col min="8" max="8" width="19.42578125" style="2" bestFit="1" customWidth="1"/>
    <col min="9" max="9" width="9.140625" style="2"/>
    <col min="10" max="10" width="15.7109375" style="2" bestFit="1" customWidth="1"/>
    <col min="11" max="11" width="13.5703125" style="2" bestFit="1" customWidth="1"/>
    <col min="12" max="12" width="9.140625" style="2"/>
    <col min="13" max="13" width="22.140625" style="2" bestFit="1" customWidth="1"/>
    <col min="14" max="15" width="9.140625" style="2"/>
    <col min="16" max="16" width="21.5703125" style="2" bestFit="1" customWidth="1"/>
    <col min="17" max="17" width="23.140625" style="2" bestFit="1" customWidth="1"/>
    <col min="18" max="16384" width="9.140625" style="2"/>
  </cols>
  <sheetData>
    <row r="1" spans="1:29" x14ac:dyDescent="0.25">
      <c r="A1" s="2" t="s">
        <v>1</v>
      </c>
      <c r="C1" s="2" t="s">
        <v>4</v>
      </c>
      <c r="G1" s="2" t="s">
        <v>5</v>
      </c>
      <c r="H1" s="2" t="s">
        <v>6</v>
      </c>
      <c r="I1" s="2" t="s">
        <v>7</v>
      </c>
      <c r="J1" s="2" t="s">
        <v>11</v>
      </c>
      <c r="K1" s="2" t="s">
        <v>12</v>
      </c>
      <c r="L1" s="2" t="s">
        <v>14</v>
      </c>
      <c r="M1" s="2" t="s">
        <v>16</v>
      </c>
      <c r="N1" s="2" t="s">
        <v>20</v>
      </c>
    </row>
    <row r="2" spans="1:29" x14ac:dyDescent="0.25">
      <c r="A2" s="2" t="s">
        <v>223</v>
      </c>
      <c r="B2" s="2" t="str">
        <f>CONCATENATE(A2,7)</f>
        <v>7DR9WP2MF367</v>
      </c>
      <c r="C2" s="2" t="s">
        <v>264</v>
      </c>
      <c r="D2" s="2" t="s">
        <v>265</v>
      </c>
      <c r="E2" s="2" t="s">
        <v>266</v>
      </c>
      <c r="F2" s="2" t="str">
        <f>CONCATENATE(E2, " ",C2)</f>
        <v>DEBORAH STUDEBAKER</v>
      </c>
      <c r="G2" s="2" t="s">
        <v>226</v>
      </c>
      <c r="H2" s="2" t="s">
        <v>109</v>
      </c>
      <c r="I2" s="2" t="s">
        <v>29</v>
      </c>
      <c r="J2" s="3">
        <v>45870</v>
      </c>
      <c r="K2" s="3">
        <v>45870</v>
      </c>
      <c r="L2" s="2">
        <v>1706194</v>
      </c>
      <c r="M2" s="2" t="s">
        <v>229</v>
      </c>
      <c r="N2" s="2">
        <v>381.25</v>
      </c>
      <c r="O2" s="2">
        <v>325</v>
      </c>
      <c r="P2" s="2" t="s">
        <v>262</v>
      </c>
      <c r="Q2" s="2" t="s">
        <v>263</v>
      </c>
    </row>
    <row r="3" spans="1:29" x14ac:dyDescent="0.25">
      <c r="A3" s="2" t="s">
        <v>223</v>
      </c>
      <c r="B3" s="2" t="str">
        <f>CONCATENATE(A3,8)</f>
        <v>7DR9WP2MF368</v>
      </c>
      <c r="C3" s="2" t="s">
        <v>264</v>
      </c>
      <c r="D3" s="2" t="s">
        <v>265</v>
      </c>
      <c r="E3" s="2" t="s">
        <v>266</v>
      </c>
      <c r="F3" s="2" t="str">
        <f>CONCATENATE(E3, " ",C3)</f>
        <v>DEBORAH STUDEBAKER</v>
      </c>
      <c r="G3" s="2" t="s">
        <v>226</v>
      </c>
      <c r="H3" s="2" t="s">
        <v>28</v>
      </c>
      <c r="I3" s="2" t="s">
        <v>29</v>
      </c>
      <c r="J3" s="3">
        <v>45870</v>
      </c>
      <c r="K3" s="3">
        <v>45870</v>
      </c>
      <c r="L3" s="2">
        <v>1706194</v>
      </c>
      <c r="M3" s="2" t="s">
        <v>229</v>
      </c>
      <c r="N3" s="2">
        <v>-218.75</v>
      </c>
      <c r="O3" s="2">
        <v>-162.5</v>
      </c>
      <c r="P3" s="2" t="s">
        <v>249</v>
      </c>
      <c r="Q3" s="2" t="s">
        <v>250</v>
      </c>
    </row>
    <row r="4" spans="1:29" x14ac:dyDescent="0.25">
      <c r="A4" s="2" t="s">
        <v>133</v>
      </c>
      <c r="B4" s="2" t="str">
        <f>CONCATENATE(A4,7)</f>
        <v>2EH1PF5NE987</v>
      </c>
      <c r="C4" s="2" t="s">
        <v>272</v>
      </c>
      <c r="D4" s="2" t="s">
        <v>273</v>
      </c>
      <c r="E4" s="2" t="s">
        <v>274</v>
      </c>
      <c r="F4" s="2" t="str">
        <f>CONCATENATE(E4, " ",C4)</f>
        <v>EDWARD JONES</v>
      </c>
      <c r="G4" s="2" t="s">
        <v>70</v>
      </c>
      <c r="H4" s="2" t="s">
        <v>37</v>
      </c>
      <c r="I4" s="2" t="s">
        <v>29</v>
      </c>
      <c r="J4" s="3">
        <v>45870</v>
      </c>
      <c r="K4" s="3">
        <v>45870</v>
      </c>
      <c r="L4" s="2" t="s">
        <v>359</v>
      </c>
      <c r="M4" s="2" t="s">
        <v>137</v>
      </c>
      <c r="N4" s="2">
        <v>830</v>
      </c>
      <c r="O4" s="2">
        <v>705</v>
      </c>
      <c r="P4" s="2" t="s">
        <v>258</v>
      </c>
      <c r="Q4" s="2" t="s">
        <v>259</v>
      </c>
    </row>
    <row r="5" spans="1:29" x14ac:dyDescent="0.25">
      <c r="A5" s="2" t="s">
        <v>154</v>
      </c>
      <c r="B5" s="2" t="str">
        <f>CONCATENATE(A5,7)</f>
        <v>2R79EE8AJ237</v>
      </c>
      <c r="C5" s="2" t="s">
        <v>275</v>
      </c>
      <c r="D5" s="2" t="s">
        <v>276</v>
      </c>
      <c r="E5" s="2" t="s">
        <v>277</v>
      </c>
      <c r="F5" s="2" t="str">
        <f>CONCATENATE(E5, " ",C5)</f>
        <v>JOHN MARTIN</v>
      </c>
      <c r="G5" s="2" t="s">
        <v>70</v>
      </c>
      <c r="H5" s="2" t="s">
        <v>37</v>
      </c>
      <c r="I5" s="2" t="s">
        <v>29</v>
      </c>
      <c r="J5" s="3">
        <v>45870</v>
      </c>
      <c r="K5" s="3">
        <v>45870</v>
      </c>
      <c r="L5" s="2" t="s">
        <v>359</v>
      </c>
      <c r="M5" s="2" t="s">
        <v>137</v>
      </c>
      <c r="N5" s="2">
        <v>830</v>
      </c>
      <c r="O5" s="2">
        <v>705</v>
      </c>
      <c r="P5" s="2" t="s">
        <v>258</v>
      </c>
      <c r="Q5" s="2" t="s">
        <v>259</v>
      </c>
    </row>
    <row r="6" spans="1:29" x14ac:dyDescent="0.25">
      <c r="A6" s="2" t="s">
        <v>93</v>
      </c>
      <c r="B6" s="2" t="str">
        <f>CONCATENATE(A6,7)</f>
        <v>1T02KU7XA007</v>
      </c>
      <c r="C6" s="2" t="s">
        <v>270</v>
      </c>
      <c r="D6" s="2" t="s">
        <v>268</v>
      </c>
      <c r="E6" s="2" t="s">
        <v>271</v>
      </c>
      <c r="F6" s="2" t="str">
        <f>CONCATENATE(E6, " ",C6)</f>
        <v>BARBARA DAWSON</v>
      </c>
      <c r="G6" s="2" t="s">
        <v>70</v>
      </c>
      <c r="H6" s="2" t="s">
        <v>37</v>
      </c>
      <c r="I6" s="2" t="s">
        <v>29</v>
      </c>
      <c r="J6" s="3">
        <v>45870</v>
      </c>
      <c r="K6" s="3">
        <v>45870</v>
      </c>
      <c r="L6" s="2" t="s">
        <v>360</v>
      </c>
      <c r="M6" s="2" t="s">
        <v>97</v>
      </c>
      <c r="N6" s="2">
        <v>830</v>
      </c>
      <c r="O6" s="2">
        <v>705</v>
      </c>
      <c r="P6" s="2" t="s">
        <v>258</v>
      </c>
      <c r="Q6" s="2" t="s">
        <v>259</v>
      </c>
    </row>
    <row r="7" spans="1:29" x14ac:dyDescent="0.25">
      <c r="A7" s="2" t="s">
        <v>234</v>
      </c>
      <c r="B7" s="2" t="str">
        <f>CONCATENATE(A7,7)</f>
        <v>5TM0DA0YH347</v>
      </c>
      <c r="C7" s="2" t="s">
        <v>280</v>
      </c>
      <c r="D7" s="2" t="s">
        <v>281</v>
      </c>
      <c r="E7" s="2" t="s">
        <v>282</v>
      </c>
      <c r="F7" s="2" t="str">
        <f>CONCATENATE(E7, " ",C7)</f>
        <v>DOREEN WALKER</v>
      </c>
      <c r="G7" s="2" t="s">
        <v>70</v>
      </c>
      <c r="H7" s="2" t="s">
        <v>37</v>
      </c>
      <c r="I7" s="2" t="s">
        <v>29</v>
      </c>
      <c r="J7" s="3">
        <v>45870</v>
      </c>
      <c r="K7" s="3">
        <v>45870</v>
      </c>
      <c r="L7" s="2" t="s">
        <v>360</v>
      </c>
      <c r="M7" s="2" t="s">
        <v>97</v>
      </c>
      <c r="N7" s="2">
        <v>830</v>
      </c>
      <c r="O7" s="2">
        <v>705</v>
      </c>
      <c r="P7" s="2" t="s">
        <v>258</v>
      </c>
      <c r="Q7" s="2" t="s">
        <v>259</v>
      </c>
    </row>
    <row r="8" spans="1:29" x14ac:dyDescent="0.25">
      <c r="A8" s="2" t="s">
        <v>67</v>
      </c>
      <c r="B8" s="2" t="str">
        <f>CONCATENATE(A8,7)</f>
        <v>7RX0FF8TN177</v>
      </c>
      <c r="C8" s="2" t="s">
        <v>267</v>
      </c>
      <c r="D8" s="2" t="s">
        <v>268</v>
      </c>
      <c r="E8" s="2" t="s">
        <v>269</v>
      </c>
      <c r="F8" s="2" t="str">
        <f>CONCATENATE(E8, " ",C8)</f>
        <v>WILLIAM BYERLEY</v>
      </c>
      <c r="G8" s="2" t="s">
        <v>70</v>
      </c>
      <c r="H8" s="2" t="s">
        <v>37</v>
      </c>
      <c r="I8" s="2" t="s">
        <v>29</v>
      </c>
      <c r="J8" s="3">
        <v>45870</v>
      </c>
      <c r="K8" s="3">
        <v>45870</v>
      </c>
      <c r="L8" s="2">
        <v>9079571</v>
      </c>
      <c r="M8" s="2" t="s">
        <v>73</v>
      </c>
      <c r="N8" s="2">
        <v>830</v>
      </c>
      <c r="O8" s="2">
        <v>705</v>
      </c>
      <c r="P8" s="2" t="s">
        <v>258</v>
      </c>
      <c r="Q8" s="2" t="s">
        <v>259</v>
      </c>
    </row>
    <row r="9" spans="1:29" x14ac:dyDescent="0.25">
      <c r="A9" s="2" t="s">
        <v>170</v>
      </c>
      <c r="B9" s="2" t="str">
        <f>CONCATENATE(A9,7)</f>
        <v>1FE9VA6EP237</v>
      </c>
      <c r="C9" s="2" t="s">
        <v>278</v>
      </c>
      <c r="D9" s="2" t="s">
        <v>268</v>
      </c>
      <c r="E9" s="2" t="s">
        <v>279</v>
      </c>
      <c r="F9" s="2" t="str">
        <f>CONCATENATE(E9, " ",C9)</f>
        <v>DIXIE MORLEY</v>
      </c>
      <c r="G9" s="2" t="s">
        <v>70</v>
      </c>
      <c r="H9" s="2" t="s">
        <v>37</v>
      </c>
      <c r="I9" s="2" t="s">
        <v>29</v>
      </c>
      <c r="J9" s="3">
        <v>45870</v>
      </c>
      <c r="K9" s="3">
        <v>45870</v>
      </c>
      <c r="L9" s="2">
        <v>15950276</v>
      </c>
      <c r="M9" s="2" t="s">
        <v>174</v>
      </c>
      <c r="N9" s="2">
        <v>830</v>
      </c>
      <c r="O9" s="2">
        <v>705</v>
      </c>
      <c r="P9" s="2" t="s">
        <v>258</v>
      </c>
      <c r="Q9" s="2" t="s">
        <v>259</v>
      </c>
    </row>
    <row r="10" spans="1:29" x14ac:dyDescent="0.25">
      <c r="A10" s="2" t="s">
        <v>133</v>
      </c>
      <c r="B10" s="2" t="str">
        <f>CONCATENATE(A10,8)</f>
        <v>2EH1PF5NE988</v>
      </c>
      <c r="C10" s="2" t="s">
        <v>272</v>
      </c>
      <c r="D10" s="2" t="s">
        <v>273</v>
      </c>
      <c r="E10" s="2" t="s">
        <v>274</v>
      </c>
      <c r="F10" s="2" t="str">
        <f>CONCATENATE(E10, " ",C10)</f>
        <v>EDWARD JONES</v>
      </c>
      <c r="G10" s="2" t="s">
        <v>70</v>
      </c>
      <c r="H10" s="2" t="s">
        <v>28</v>
      </c>
      <c r="I10" s="2" t="s">
        <v>29</v>
      </c>
      <c r="J10" s="3">
        <v>45870</v>
      </c>
      <c r="K10" s="3">
        <v>45870</v>
      </c>
      <c r="L10" s="2" t="s">
        <v>359</v>
      </c>
      <c r="M10" s="2" t="s">
        <v>137</v>
      </c>
      <c r="N10" s="2">
        <v>-199.17</v>
      </c>
      <c r="O10" s="2">
        <v>-147.08000000000001</v>
      </c>
      <c r="P10" s="2" t="s">
        <v>252</v>
      </c>
      <c r="Q10" s="2" t="s">
        <v>251</v>
      </c>
    </row>
    <row r="11" spans="1:29" x14ac:dyDescent="0.25">
      <c r="A11" s="2" t="s">
        <v>154</v>
      </c>
      <c r="B11" s="2" t="str">
        <f>CONCATENATE(A11,8)</f>
        <v>2R79EE8AJ238</v>
      </c>
      <c r="C11" s="2" t="s">
        <v>275</v>
      </c>
      <c r="D11" s="2" t="s">
        <v>276</v>
      </c>
      <c r="E11" s="2" t="s">
        <v>277</v>
      </c>
      <c r="F11" s="2" t="str">
        <f>CONCATENATE(E11, " ",C11)</f>
        <v>JOHN MARTIN</v>
      </c>
      <c r="G11" s="2" t="s">
        <v>70</v>
      </c>
      <c r="H11" s="2" t="s">
        <v>28</v>
      </c>
      <c r="I11" s="2" t="s">
        <v>29</v>
      </c>
      <c r="J11" s="3">
        <v>45870</v>
      </c>
      <c r="K11" s="3">
        <v>45870</v>
      </c>
      <c r="L11" s="2" t="s">
        <v>359</v>
      </c>
      <c r="M11" s="2" t="s">
        <v>137</v>
      </c>
      <c r="N11" s="2">
        <v>-199.17</v>
      </c>
      <c r="O11" s="2">
        <v>-147.08000000000001</v>
      </c>
      <c r="P11" s="2" t="s">
        <v>252</v>
      </c>
      <c r="Q11" s="2" t="s">
        <v>251</v>
      </c>
    </row>
    <row r="12" spans="1:29" x14ac:dyDescent="0.25">
      <c r="A12" s="2" t="s">
        <v>125</v>
      </c>
      <c r="B12" s="2" t="str">
        <f>CONCATENATE(A12,8)</f>
        <v>6PR3G04HT968</v>
      </c>
      <c r="C12" s="2" t="s">
        <v>285</v>
      </c>
      <c r="D12" s="2" t="s">
        <v>265</v>
      </c>
      <c r="E12" s="2" t="s">
        <v>286</v>
      </c>
      <c r="F12" s="2" t="str">
        <f>CONCATENATE(E12, " ",C12)</f>
        <v>TRACEY HODGE</v>
      </c>
      <c r="G12" s="2" t="s">
        <v>70</v>
      </c>
      <c r="H12" s="2" t="s">
        <v>91</v>
      </c>
      <c r="I12" s="2" t="s">
        <v>29</v>
      </c>
      <c r="J12" s="3">
        <v>45870</v>
      </c>
      <c r="K12" s="3">
        <v>45870</v>
      </c>
      <c r="L12" s="2" t="s">
        <v>361</v>
      </c>
      <c r="M12" s="2" t="s">
        <v>129</v>
      </c>
      <c r="N12" s="2">
        <v>197.08</v>
      </c>
      <c r="O12" s="2">
        <v>147.08000000000001</v>
      </c>
      <c r="P12" s="2" t="s">
        <v>252</v>
      </c>
      <c r="Q12" s="2" t="s">
        <v>251</v>
      </c>
    </row>
    <row r="13" spans="1:29" x14ac:dyDescent="0.25">
      <c r="A13" s="2" t="s">
        <v>93</v>
      </c>
      <c r="B13" s="2" t="str">
        <f>CONCATENATE(A13,8)</f>
        <v>1T02KU7XA008</v>
      </c>
      <c r="C13" s="2" t="s">
        <v>270</v>
      </c>
      <c r="D13" s="2" t="s">
        <v>268</v>
      </c>
      <c r="E13" s="2" t="s">
        <v>271</v>
      </c>
      <c r="F13" s="2" t="str">
        <f>CONCATENATE(E13, " ",C13)</f>
        <v>BARBARA DAWSON</v>
      </c>
      <c r="G13" s="2" t="s">
        <v>70</v>
      </c>
      <c r="H13" s="2" t="s">
        <v>28</v>
      </c>
      <c r="I13" s="2" t="s">
        <v>29</v>
      </c>
      <c r="J13" s="3">
        <v>45870</v>
      </c>
      <c r="K13" s="3">
        <v>45870</v>
      </c>
      <c r="L13" s="2" t="s">
        <v>360</v>
      </c>
      <c r="M13" s="2" t="s">
        <v>97</v>
      </c>
      <c r="N13" s="2">
        <v>-199.17</v>
      </c>
      <c r="O13" s="2">
        <v>-147.08000000000001</v>
      </c>
      <c r="P13" s="2" t="s">
        <v>252</v>
      </c>
      <c r="Q13" s="2" t="s">
        <v>251</v>
      </c>
    </row>
    <row r="14" spans="1:29" s="4" customFormat="1" x14ac:dyDescent="0.25">
      <c r="A14" s="2" t="s">
        <v>234</v>
      </c>
      <c r="B14" s="2" t="str">
        <f>CONCATENATE(A14,8)</f>
        <v>5TM0DA0YH348</v>
      </c>
      <c r="C14" s="2" t="s">
        <v>280</v>
      </c>
      <c r="D14" s="2" t="s">
        <v>281</v>
      </c>
      <c r="E14" s="2" t="s">
        <v>282</v>
      </c>
      <c r="F14" s="2" t="str">
        <f>CONCATENATE(E14, " ",C14)</f>
        <v>DOREEN WALKER</v>
      </c>
      <c r="G14" s="2" t="s">
        <v>70</v>
      </c>
      <c r="H14" s="2" t="s">
        <v>28</v>
      </c>
      <c r="I14" s="2" t="s">
        <v>29</v>
      </c>
      <c r="J14" s="3">
        <v>45870</v>
      </c>
      <c r="K14" s="3">
        <v>45870</v>
      </c>
      <c r="L14" s="2" t="s">
        <v>360</v>
      </c>
      <c r="M14" s="2" t="s">
        <v>97</v>
      </c>
      <c r="N14" s="2">
        <v>-199.17</v>
      </c>
      <c r="O14" s="2">
        <v>-147.08000000000001</v>
      </c>
      <c r="P14" s="2" t="s">
        <v>252</v>
      </c>
      <c r="Q14" s="2" t="s">
        <v>251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s="4" customFormat="1" x14ac:dyDescent="0.25">
      <c r="A15" s="2" t="s">
        <v>67</v>
      </c>
      <c r="B15" s="2" t="str">
        <f>CONCATENATE(A15,8)</f>
        <v>7RX0FF8TN178</v>
      </c>
      <c r="C15" s="2" t="s">
        <v>267</v>
      </c>
      <c r="D15" s="2" t="s">
        <v>268</v>
      </c>
      <c r="E15" s="2" t="s">
        <v>269</v>
      </c>
      <c r="F15" s="2" t="str">
        <f>CONCATENATE(E15, " ",C15)</f>
        <v>WILLIAM BYERLEY</v>
      </c>
      <c r="G15" s="2" t="s">
        <v>70</v>
      </c>
      <c r="H15" s="2" t="s">
        <v>28</v>
      </c>
      <c r="I15" s="2" t="s">
        <v>29</v>
      </c>
      <c r="J15" s="3">
        <v>45870</v>
      </c>
      <c r="K15" s="3">
        <v>45870</v>
      </c>
      <c r="L15" s="2">
        <v>9079571</v>
      </c>
      <c r="M15" s="2" t="s">
        <v>73</v>
      </c>
      <c r="N15" s="2">
        <v>-199.17</v>
      </c>
      <c r="O15" s="2">
        <v>-147.08000000000001</v>
      </c>
      <c r="P15" s="2" t="s">
        <v>252</v>
      </c>
      <c r="Q15" s="2" t="s">
        <v>251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s="4" customFormat="1" x14ac:dyDescent="0.25">
      <c r="A16" s="2" t="s">
        <v>211</v>
      </c>
      <c r="B16" s="2" t="str">
        <f>CONCATENATE(A16,8)</f>
        <v>6UJ5U19JX838</v>
      </c>
      <c r="C16" s="2" t="s">
        <v>283</v>
      </c>
      <c r="D16" s="2" t="s">
        <v>268</v>
      </c>
      <c r="E16" s="2" t="s">
        <v>284</v>
      </c>
      <c r="F16" s="2" t="str">
        <f>CONCATENATE(E16, " ",C16)</f>
        <v>BELINDA SCOTT</v>
      </c>
      <c r="G16" s="2" t="s">
        <v>70</v>
      </c>
      <c r="H16" s="2" t="s">
        <v>91</v>
      </c>
      <c r="I16" s="2" t="s">
        <v>29</v>
      </c>
      <c r="J16" s="3">
        <v>45931</v>
      </c>
      <c r="K16" s="3">
        <v>45931</v>
      </c>
      <c r="L16" s="2">
        <v>21618313</v>
      </c>
      <c r="M16" s="2" t="s">
        <v>215</v>
      </c>
      <c r="N16" s="2">
        <v>119.5</v>
      </c>
      <c r="O16" s="2">
        <v>88.25</v>
      </c>
      <c r="P16" s="2" t="s">
        <v>252</v>
      </c>
      <c r="Q16" s="2" t="s">
        <v>256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s="4" customFormat="1" x14ac:dyDescent="0.25">
      <c r="A17" s="2" t="s">
        <v>170</v>
      </c>
      <c r="B17" s="2" t="str">
        <f>CONCATENATE(A17,8)</f>
        <v>1FE9VA6EP238</v>
      </c>
      <c r="C17" s="2" t="s">
        <v>278</v>
      </c>
      <c r="D17" s="2" t="s">
        <v>268</v>
      </c>
      <c r="E17" s="2" t="s">
        <v>279</v>
      </c>
      <c r="F17" s="2" t="str">
        <f>CONCATENATE(E17, " ",C17)</f>
        <v>DIXIE MORLEY</v>
      </c>
      <c r="G17" s="2" t="s">
        <v>70</v>
      </c>
      <c r="H17" s="2" t="s">
        <v>28</v>
      </c>
      <c r="I17" s="2" t="s">
        <v>29</v>
      </c>
      <c r="J17" s="3">
        <v>45870</v>
      </c>
      <c r="K17" s="3">
        <v>45870</v>
      </c>
      <c r="L17" s="2">
        <v>15950276</v>
      </c>
      <c r="M17" s="2" t="s">
        <v>174</v>
      </c>
      <c r="N17" s="2">
        <v>-199.17</v>
      </c>
      <c r="O17" s="2">
        <v>-147.08000000000001</v>
      </c>
      <c r="P17" s="2" t="s">
        <v>252</v>
      </c>
      <c r="Q17" s="2" t="s">
        <v>251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s="4" customFormat="1" x14ac:dyDescent="0.25">
      <c r="A18" s="2" t="s">
        <v>216</v>
      </c>
      <c r="B18" s="2" t="str">
        <f>CONCATENATE(A18,7)</f>
        <v>3YD8V07AC527</v>
      </c>
      <c r="C18" s="2" t="s">
        <v>339</v>
      </c>
      <c r="D18" s="2" t="s">
        <v>273</v>
      </c>
      <c r="E18" s="2" t="s">
        <v>340</v>
      </c>
      <c r="F18" s="2" t="str">
        <f>CONCATENATE(E18, " ",C18)</f>
        <v>NOEL SPASO</v>
      </c>
      <c r="G18" s="2" t="s">
        <v>49</v>
      </c>
      <c r="H18" s="2" t="s">
        <v>37</v>
      </c>
      <c r="I18" s="2" t="s">
        <v>29</v>
      </c>
      <c r="J18" s="3">
        <v>45870</v>
      </c>
      <c r="K18" s="3">
        <v>45870</v>
      </c>
      <c r="L18" s="2">
        <v>7470776</v>
      </c>
      <c r="M18" s="2" t="s">
        <v>219</v>
      </c>
      <c r="N18" s="2">
        <v>751</v>
      </c>
      <c r="O18" s="2">
        <v>626</v>
      </c>
      <c r="P18" s="2" t="s">
        <v>245</v>
      </c>
      <c r="Q18" s="2" t="s">
        <v>244</v>
      </c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s="4" customFormat="1" x14ac:dyDescent="0.25">
      <c r="A19" s="2" t="s">
        <v>220</v>
      </c>
      <c r="B19" s="2" t="str">
        <f>CONCATENATE(A19,7)</f>
        <v>1E71JU9UJ137</v>
      </c>
      <c r="C19" s="2" t="s">
        <v>339</v>
      </c>
      <c r="D19" s="2" t="s">
        <v>341</v>
      </c>
      <c r="E19" s="2" t="s">
        <v>342</v>
      </c>
      <c r="F19" s="2" t="str">
        <f>CONCATENATE(E19, " ",C19)</f>
        <v>RAYMOND SPASO</v>
      </c>
      <c r="G19" s="2" t="s">
        <v>49</v>
      </c>
      <c r="H19" s="2" t="s">
        <v>37</v>
      </c>
      <c r="I19" s="2" t="s">
        <v>29</v>
      </c>
      <c r="J19" s="3">
        <v>45870</v>
      </c>
      <c r="K19" s="3">
        <v>45870</v>
      </c>
      <c r="L19" s="2">
        <v>7470776</v>
      </c>
      <c r="M19" s="2" t="s">
        <v>219</v>
      </c>
      <c r="N19" s="2">
        <v>751</v>
      </c>
      <c r="O19" s="2">
        <v>626</v>
      </c>
      <c r="P19" s="2" t="s">
        <v>245</v>
      </c>
      <c r="Q19" s="2" t="s">
        <v>244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x14ac:dyDescent="0.25">
      <c r="A20" s="2" t="s">
        <v>163</v>
      </c>
      <c r="B20" s="2" t="str">
        <f>CONCATENATE(A20,7)</f>
        <v>4JC8DH2QH367</v>
      </c>
      <c r="C20" s="2" t="s">
        <v>290</v>
      </c>
      <c r="D20" s="2" t="s">
        <v>291</v>
      </c>
      <c r="E20" s="2" t="s">
        <v>292</v>
      </c>
      <c r="F20" s="2" t="str">
        <f>CONCATENATE(E20, " ",C20)</f>
        <v>LOURDES MIKRUT</v>
      </c>
      <c r="G20" s="2" t="s">
        <v>166</v>
      </c>
      <c r="H20" s="2" t="s">
        <v>109</v>
      </c>
      <c r="I20" s="2" t="s">
        <v>29</v>
      </c>
      <c r="J20" s="3">
        <v>45901</v>
      </c>
      <c r="K20" s="3">
        <v>45901</v>
      </c>
      <c r="L20" s="2">
        <v>18828278</v>
      </c>
      <c r="M20" s="2" t="s">
        <v>169</v>
      </c>
      <c r="N20" s="2">
        <v>250.33</v>
      </c>
      <c r="O20" s="2">
        <v>208.66</v>
      </c>
      <c r="P20" s="2" t="s">
        <v>245</v>
      </c>
      <c r="Q20" s="2" t="s">
        <v>260</v>
      </c>
    </row>
    <row r="21" spans="1:29" x14ac:dyDescent="0.25">
      <c r="A21" s="2" t="s">
        <v>183</v>
      </c>
      <c r="B21" s="2" t="str">
        <f>CONCATENATE(A21,7)</f>
        <v>3A75NR5PX547</v>
      </c>
      <c r="C21" s="2" t="s">
        <v>329</v>
      </c>
      <c r="D21" s="2" t="s">
        <v>268</v>
      </c>
      <c r="E21" s="2" t="s">
        <v>330</v>
      </c>
      <c r="F21" s="2" t="str">
        <f>CONCATENATE(E21, " ",C21)</f>
        <v>TERRIE PALAZZO</v>
      </c>
      <c r="G21" s="2" t="s">
        <v>161</v>
      </c>
      <c r="H21" s="2" t="s">
        <v>37</v>
      </c>
      <c r="I21" s="2" t="s">
        <v>29</v>
      </c>
      <c r="J21" s="3">
        <v>45870</v>
      </c>
      <c r="K21" s="3">
        <v>45870</v>
      </c>
      <c r="L21" s="2">
        <v>18581063</v>
      </c>
      <c r="M21" s="2" t="s">
        <v>187</v>
      </c>
      <c r="N21" s="2">
        <v>751</v>
      </c>
      <c r="O21" s="2">
        <v>626</v>
      </c>
      <c r="P21" s="2" t="s">
        <v>245</v>
      </c>
      <c r="Q21" s="2" t="s">
        <v>244</v>
      </c>
    </row>
    <row r="22" spans="1:29" x14ac:dyDescent="0.25">
      <c r="A22" s="2" t="s">
        <v>175</v>
      </c>
      <c r="B22" s="2" t="str">
        <f>CONCATENATE(A22,7)</f>
        <v>8KN0N08RN387</v>
      </c>
      <c r="C22" s="2" t="s">
        <v>325</v>
      </c>
      <c r="D22" s="2" t="s">
        <v>302</v>
      </c>
      <c r="E22" s="2" t="s">
        <v>326</v>
      </c>
      <c r="F22" s="2" t="str">
        <f>CONCATENATE(E22, " ",C22)</f>
        <v>SHARON NELSEN</v>
      </c>
      <c r="G22" s="2" t="s">
        <v>49</v>
      </c>
      <c r="H22" s="2" t="s">
        <v>37</v>
      </c>
      <c r="I22" s="2" t="s">
        <v>29</v>
      </c>
      <c r="J22" s="3">
        <v>45870</v>
      </c>
      <c r="K22" s="3">
        <v>45870</v>
      </c>
      <c r="L22" s="2">
        <v>2158366</v>
      </c>
      <c r="M22" s="2" t="s">
        <v>178</v>
      </c>
      <c r="N22" s="2">
        <v>751</v>
      </c>
      <c r="O22" s="2">
        <v>626</v>
      </c>
      <c r="P22" s="2" t="s">
        <v>245</v>
      </c>
      <c r="Q22" s="2" t="s">
        <v>244</v>
      </c>
    </row>
    <row r="23" spans="1:29" x14ac:dyDescent="0.25">
      <c r="A23" s="2" t="s">
        <v>62</v>
      </c>
      <c r="B23" s="2" t="str">
        <f>CONCATENATE(A23,7)</f>
        <v>8TT8NJ8GH597</v>
      </c>
      <c r="C23" s="2" t="s">
        <v>311</v>
      </c>
      <c r="D23" s="2" t="s">
        <v>312</v>
      </c>
      <c r="E23" s="2" t="s">
        <v>289</v>
      </c>
      <c r="F23" s="2" t="str">
        <f>CONCATENATE(E23, " ",C23)</f>
        <v>RONALD BEND</v>
      </c>
      <c r="G23" s="2" t="s">
        <v>49</v>
      </c>
      <c r="H23" s="2" t="s">
        <v>37</v>
      </c>
      <c r="I23" s="2" t="s">
        <v>29</v>
      </c>
      <c r="J23" s="3">
        <v>45870</v>
      </c>
      <c r="K23" s="3">
        <v>45870</v>
      </c>
      <c r="L23" s="2">
        <v>7146581</v>
      </c>
      <c r="M23" s="2" t="s">
        <v>66</v>
      </c>
      <c r="N23" s="2">
        <v>751</v>
      </c>
      <c r="O23" s="2">
        <v>626</v>
      </c>
      <c r="P23" s="2" t="s">
        <v>245</v>
      </c>
      <c r="Q23" s="2" t="s">
        <v>244</v>
      </c>
    </row>
    <row r="24" spans="1:29" x14ac:dyDescent="0.25">
      <c r="A24" s="2" t="s">
        <v>130</v>
      </c>
      <c r="B24" s="2" t="str">
        <f>CONCATENATE(A24,7)</f>
        <v>7E60RN2NR477</v>
      </c>
      <c r="C24" s="2" t="s">
        <v>318</v>
      </c>
      <c r="D24" s="2" t="s">
        <v>319</v>
      </c>
      <c r="E24" s="2" t="s">
        <v>320</v>
      </c>
      <c r="F24" s="2" t="str">
        <f>CONCATENATE(E24, " ",C24)</f>
        <v>ANN JOHNSON</v>
      </c>
      <c r="G24" s="2" t="s">
        <v>49</v>
      </c>
      <c r="H24" s="2" t="s">
        <v>37</v>
      </c>
      <c r="I24" s="2" t="s">
        <v>29</v>
      </c>
      <c r="J24" s="3">
        <v>45870</v>
      </c>
      <c r="K24" s="3">
        <v>45870</v>
      </c>
      <c r="L24" s="2">
        <v>7146581</v>
      </c>
      <c r="M24" s="2" t="s">
        <v>66</v>
      </c>
      <c r="N24" s="2">
        <v>751</v>
      </c>
      <c r="O24" s="2">
        <v>626</v>
      </c>
      <c r="P24" s="2" t="s">
        <v>245</v>
      </c>
      <c r="Q24" s="2" t="s">
        <v>244</v>
      </c>
    </row>
    <row r="25" spans="1:29" x14ac:dyDescent="0.25">
      <c r="A25" s="2" t="s">
        <v>208</v>
      </c>
      <c r="B25" s="2" t="str">
        <f>CONCATENATE(A25,7)</f>
        <v>7AM5YE7HP597</v>
      </c>
      <c r="C25" s="2" t="s">
        <v>337</v>
      </c>
      <c r="D25" s="2" t="s">
        <v>281</v>
      </c>
      <c r="E25" s="2" t="s">
        <v>338</v>
      </c>
      <c r="F25" s="2" t="str">
        <f>CONCATENATE(E25, " ",C25)</f>
        <v>KAREN SCHNORR</v>
      </c>
      <c r="G25" s="2" t="s">
        <v>49</v>
      </c>
      <c r="H25" s="2" t="s">
        <v>37</v>
      </c>
      <c r="I25" s="2" t="s">
        <v>29</v>
      </c>
      <c r="J25" s="3">
        <v>45839</v>
      </c>
      <c r="K25" s="3">
        <v>45839</v>
      </c>
      <c r="L25" s="2">
        <v>7146581</v>
      </c>
      <c r="M25" s="2" t="s">
        <v>66</v>
      </c>
      <c r="N25" s="2">
        <v>751</v>
      </c>
      <c r="O25" s="2">
        <v>626</v>
      </c>
      <c r="P25" s="2" t="s">
        <v>245</v>
      </c>
      <c r="Q25" s="2" t="s">
        <v>244</v>
      </c>
    </row>
    <row r="26" spans="1:29" x14ac:dyDescent="0.25">
      <c r="A26" s="2" t="s">
        <v>24</v>
      </c>
      <c r="B26" s="2" t="str">
        <f>CONCATENATE(A26,7)</f>
        <v>6PG1UR9VD267</v>
      </c>
      <c r="C26" s="2" t="s">
        <v>299</v>
      </c>
      <c r="D26" s="2" t="s">
        <v>294</v>
      </c>
      <c r="E26" s="2" t="s">
        <v>300</v>
      </c>
      <c r="F26" s="2" t="str">
        <f>CONCATENATE(E26, " ",C26)</f>
        <v>GENETTE AFFRUNTI</v>
      </c>
      <c r="G26" s="2" t="s">
        <v>27</v>
      </c>
      <c r="H26" s="2" t="s">
        <v>37</v>
      </c>
      <c r="I26" s="2" t="s">
        <v>29</v>
      </c>
      <c r="J26" s="3">
        <v>45870</v>
      </c>
      <c r="K26" s="3">
        <v>45870</v>
      </c>
      <c r="L26" s="2">
        <v>8814784</v>
      </c>
      <c r="M26" s="2" t="s">
        <v>33</v>
      </c>
      <c r="N26" s="2">
        <v>751</v>
      </c>
      <c r="O26" s="2">
        <v>626</v>
      </c>
      <c r="P26" s="2" t="s">
        <v>245</v>
      </c>
      <c r="Q26" s="2" t="s">
        <v>244</v>
      </c>
    </row>
    <row r="27" spans="1:29" x14ac:dyDescent="0.25">
      <c r="A27" s="2" t="s">
        <v>158</v>
      </c>
      <c r="B27" s="2" t="str">
        <f>CONCATENATE(A27,7)</f>
        <v>5Y17EU3PR737</v>
      </c>
      <c r="C27" s="2" t="s">
        <v>323</v>
      </c>
      <c r="D27" s="2" t="s">
        <v>268</v>
      </c>
      <c r="E27" s="2" t="s">
        <v>324</v>
      </c>
      <c r="F27" s="2" t="str">
        <f>CONCATENATE(E27, " ",C27)</f>
        <v>NANCY MASCHMEYER</v>
      </c>
      <c r="G27" s="2" t="s">
        <v>161</v>
      </c>
      <c r="H27" s="2" t="s">
        <v>37</v>
      </c>
      <c r="I27" s="2" t="s">
        <v>29</v>
      </c>
      <c r="J27" s="3">
        <v>45901</v>
      </c>
      <c r="K27" s="3">
        <v>45901</v>
      </c>
      <c r="L27" s="2">
        <v>8814784</v>
      </c>
      <c r="M27" s="2" t="s">
        <v>33</v>
      </c>
      <c r="N27" s="2">
        <v>751</v>
      </c>
      <c r="O27" s="2">
        <v>626</v>
      </c>
      <c r="P27" s="2" t="s">
        <v>245</v>
      </c>
      <c r="Q27" s="2" t="s">
        <v>244</v>
      </c>
    </row>
    <row r="28" spans="1:29" x14ac:dyDescent="0.25">
      <c r="A28" s="2" t="s">
        <v>81</v>
      </c>
      <c r="B28" s="2" t="str">
        <f>CONCATENATE(A28,7)</f>
        <v>7EC3VX6TE027</v>
      </c>
      <c r="C28" s="2" t="s">
        <v>313</v>
      </c>
      <c r="D28" s="2" t="s">
        <v>314</v>
      </c>
      <c r="E28" s="2" t="s">
        <v>315</v>
      </c>
      <c r="F28" s="2" t="str">
        <f>CONCATENATE(E28, " ",C28)</f>
        <v>THOMAS DANIELS</v>
      </c>
      <c r="G28" s="2" t="s">
        <v>84</v>
      </c>
      <c r="H28" s="2" t="s">
        <v>37</v>
      </c>
      <c r="I28" s="2" t="s">
        <v>29</v>
      </c>
      <c r="J28" s="3">
        <v>45870</v>
      </c>
      <c r="K28" s="3">
        <v>45870</v>
      </c>
      <c r="L28" s="2">
        <v>16865615</v>
      </c>
      <c r="M28" s="2" t="s">
        <v>87</v>
      </c>
      <c r="N28" s="2">
        <v>751</v>
      </c>
      <c r="O28" s="2">
        <v>626</v>
      </c>
      <c r="P28" s="2" t="s">
        <v>245</v>
      </c>
      <c r="Q28" s="2" t="s">
        <v>244</v>
      </c>
    </row>
    <row r="29" spans="1:29" x14ac:dyDescent="0.25">
      <c r="A29" s="2" t="s">
        <v>201</v>
      </c>
      <c r="B29" s="2" t="str">
        <f>CONCATENATE(A29,7)</f>
        <v>9XY9RC6QF127</v>
      </c>
      <c r="C29" s="2" t="s">
        <v>287</v>
      </c>
      <c r="D29" s="2" t="s">
        <v>288</v>
      </c>
      <c r="E29" s="2" t="s">
        <v>289</v>
      </c>
      <c r="F29" s="2" t="str">
        <f>CONCATENATE(E29, " ",C29)</f>
        <v>RONALD RHODEN</v>
      </c>
      <c r="G29" s="2" t="s">
        <v>84</v>
      </c>
      <c r="H29" s="2" t="s">
        <v>207</v>
      </c>
      <c r="I29" s="2" t="s">
        <v>119</v>
      </c>
      <c r="J29" s="3">
        <v>45658</v>
      </c>
      <c r="K29" s="3">
        <v>45658</v>
      </c>
      <c r="L29" s="2">
        <v>9213293</v>
      </c>
      <c r="M29" s="2" t="s">
        <v>206</v>
      </c>
      <c r="N29" s="2">
        <v>-751</v>
      </c>
      <c r="O29" s="2">
        <v>-626</v>
      </c>
      <c r="P29" s="2" t="s">
        <v>245</v>
      </c>
      <c r="Q29" s="2" t="s">
        <v>244</v>
      </c>
    </row>
    <row r="30" spans="1:29" x14ac:dyDescent="0.25">
      <c r="A30" s="2" t="s">
        <v>201</v>
      </c>
      <c r="B30" s="2" t="str">
        <f>CONCATENATE(A30,7)</f>
        <v>9XY9RC6QF127</v>
      </c>
      <c r="C30" s="2" t="s">
        <v>287</v>
      </c>
      <c r="D30" s="2" t="s">
        <v>288</v>
      </c>
      <c r="E30" s="2" t="s">
        <v>289</v>
      </c>
      <c r="F30" s="2" t="str">
        <f>CONCATENATE(E30, " ",C30)</f>
        <v>RONALD RHODEN</v>
      </c>
      <c r="G30" s="2" t="s">
        <v>84</v>
      </c>
      <c r="H30" s="2" t="s">
        <v>204</v>
      </c>
      <c r="I30" s="2" t="s">
        <v>119</v>
      </c>
      <c r="J30" s="3">
        <v>45658</v>
      </c>
      <c r="K30" s="3">
        <v>45658</v>
      </c>
      <c r="L30" s="2">
        <v>9213293</v>
      </c>
      <c r="M30" s="2" t="s">
        <v>206</v>
      </c>
      <c r="N30" s="2">
        <v>500.67</v>
      </c>
      <c r="O30" s="2">
        <v>417.33</v>
      </c>
      <c r="P30" s="2" t="s">
        <v>245</v>
      </c>
      <c r="Q30" s="2" t="s">
        <v>257</v>
      </c>
    </row>
    <row r="31" spans="1:29" x14ac:dyDescent="0.25">
      <c r="A31" s="2" t="s">
        <v>230</v>
      </c>
      <c r="B31" s="2" t="str">
        <f>CONCATENATE(A31,7)</f>
        <v>9GQ0UY3DC027</v>
      </c>
      <c r="C31" s="2" t="s">
        <v>343</v>
      </c>
      <c r="D31" s="2" t="s">
        <v>297</v>
      </c>
      <c r="E31" s="2" t="s">
        <v>315</v>
      </c>
      <c r="F31" s="2" t="str">
        <f>CONCATENATE(E31, " ",C31)</f>
        <v>THOMAS VONBERG</v>
      </c>
      <c r="G31" s="2" t="s">
        <v>106</v>
      </c>
      <c r="H31" s="2" t="s">
        <v>37</v>
      </c>
      <c r="I31" s="2" t="s">
        <v>29</v>
      </c>
      <c r="J31" s="3">
        <v>45870</v>
      </c>
      <c r="K31" s="3">
        <v>45870</v>
      </c>
      <c r="L31" s="2">
        <v>9213293</v>
      </c>
      <c r="M31" s="2" t="s">
        <v>206</v>
      </c>
      <c r="N31" s="2">
        <v>751</v>
      </c>
      <c r="O31" s="2">
        <v>626</v>
      </c>
      <c r="P31" s="2" t="s">
        <v>245</v>
      </c>
      <c r="Q31" s="2" t="s">
        <v>244</v>
      </c>
    </row>
    <row r="32" spans="1:29" x14ac:dyDescent="0.25">
      <c r="A32" s="2" t="s">
        <v>237</v>
      </c>
      <c r="B32" s="2" t="str">
        <f>CONCATENATE(A32,7)</f>
        <v>7W25G55WT557</v>
      </c>
      <c r="C32" s="2" t="s">
        <v>344</v>
      </c>
      <c r="D32" s="2" t="s">
        <v>345</v>
      </c>
      <c r="E32" s="2" t="s">
        <v>310</v>
      </c>
      <c r="F32" s="2" t="str">
        <f>CONCATENATE(E32, " ",C32)</f>
        <v>CHERYL WILLOCKS</v>
      </c>
      <c r="G32" s="2" t="s">
        <v>240</v>
      </c>
      <c r="H32" s="2" t="s">
        <v>37</v>
      </c>
      <c r="I32" s="2" t="s">
        <v>29</v>
      </c>
      <c r="J32" s="3">
        <v>45931</v>
      </c>
      <c r="K32" s="3">
        <v>45931</v>
      </c>
      <c r="L32" s="2">
        <v>19645587</v>
      </c>
      <c r="M32" s="2" t="s">
        <v>243</v>
      </c>
      <c r="N32" s="2">
        <v>751</v>
      </c>
      <c r="O32" s="2">
        <v>626</v>
      </c>
      <c r="P32" s="2" t="s">
        <v>245</v>
      </c>
      <c r="Q32" s="2" t="s">
        <v>244</v>
      </c>
    </row>
    <row r="33" spans="1:29" x14ac:dyDescent="0.25">
      <c r="A33" s="2" t="s">
        <v>74</v>
      </c>
      <c r="B33" s="2" t="str">
        <f>CONCATENATE(A33,7)</f>
        <v>1WN3JE8UG937</v>
      </c>
      <c r="C33" s="2" t="s">
        <v>296</v>
      </c>
      <c r="D33" s="2" t="s">
        <v>297</v>
      </c>
      <c r="E33" s="2" t="s">
        <v>298</v>
      </c>
      <c r="F33" s="2" t="str">
        <f>CONCATENATE(E33, " ",C33)</f>
        <v>ELVIRA CACHO</v>
      </c>
      <c r="G33" s="2" t="s">
        <v>77</v>
      </c>
      <c r="H33" s="2" t="s">
        <v>37</v>
      </c>
      <c r="I33" s="2" t="s">
        <v>29</v>
      </c>
      <c r="J33" s="3">
        <v>45870</v>
      </c>
      <c r="K33" s="3">
        <v>45870</v>
      </c>
      <c r="L33" s="2">
        <v>19200754</v>
      </c>
      <c r="M33" s="2" t="s">
        <v>80</v>
      </c>
      <c r="N33" s="2">
        <v>746</v>
      </c>
      <c r="O33" s="2">
        <v>626</v>
      </c>
      <c r="P33" s="2" t="s">
        <v>245</v>
      </c>
      <c r="Q33" s="2" t="s">
        <v>244</v>
      </c>
    </row>
    <row r="34" spans="1:29" s="4" customFormat="1" x14ac:dyDescent="0.25">
      <c r="A34" s="2" t="s">
        <v>52</v>
      </c>
      <c r="B34" s="2" t="str">
        <f>CONCATENATE(A34,7)</f>
        <v>2A00K62XD317</v>
      </c>
      <c r="C34" s="2" t="s">
        <v>306</v>
      </c>
      <c r="D34" s="2" t="s">
        <v>307</v>
      </c>
      <c r="E34" s="2" t="s">
        <v>308</v>
      </c>
      <c r="F34" s="2" t="str">
        <f>CONCATENATE(E34, " ",C34)</f>
        <v>PATRICK BAYSINGER</v>
      </c>
      <c r="G34" s="2" t="s">
        <v>49</v>
      </c>
      <c r="H34" s="2" t="s">
        <v>37</v>
      </c>
      <c r="I34" s="2" t="s">
        <v>29</v>
      </c>
      <c r="J34" s="3">
        <v>45901</v>
      </c>
      <c r="K34" s="3">
        <v>45901</v>
      </c>
      <c r="L34" s="2">
        <v>19586992</v>
      </c>
      <c r="M34" s="2" t="s">
        <v>56</v>
      </c>
      <c r="N34" s="2">
        <v>751</v>
      </c>
      <c r="O34" s="2">
        <v>626</v>
      </c>
      <c r="P34" s="2" t="s">
        <v>245</v>
      </c>
      <c r="Q34" s="2" t="s">
        <v>244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s="4" customFormat="1" x14ac:dyDescent="0.25">
      <c r="A35" s="2" t="s">
        <v>46</v>
      </c>
      <c r="B35" s="2" t="str">
        <f>CONCATENATE(A35,7)</f>
        <v>6VE4UE1UP637</v>
      </c>
      <c r="C35" s="2" t="s">
        <v>304</v>
      </c>
      <c r="D35" s="2" t="s">
        <v>273</v>
      </c>
      <c r="E35" s="2" t="s">
        <v>305</v>
      </c>
      <c r="F35" s="2" t="str">
        <f>CONCATENATE(E35, " ",C35)</f>
        <v>DIANNE BALOUGH</v>
      </c>
      <c r="G35" s="2" t="s">
        <v>49</v>
      </c>
      <c r="H35" s="2" t="s">
        <v>37</v>
      </c>
      <c r="I35" s="2" t="s">
        <v>29</v>
      </c>
      <c r="J35" s="3">
        <v>45870</v>
      </c>
      <c r="K35" s="3">
        <v>45870</v>
      </c>
      <c r="L35" s="2">
        <v>20490188</v>
      </c>
      <c r="M35" s="2" t="s">
        <v>51</v>
      </c>
      <c r="N35" s="2">
        <v>751</v>
      </c>
      <c r="O35" s="2">
        <v>626</v>
      </c>
      <c r="P35" s="2" t="s">
        <v>245</v>
      </c>
      <c r="Q35" s="2" t="s">
        <v>244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s="4" customFormat="1" x14ac:dyDescent="0.25">
      <c r="A36" s="2" t="s">
        <v>103</v>
      </c>
      <c r="B36" s="2" t="str">
        <f>CONCATENATE(A36,7)</f>
        <v>6WG0NV5YF187</v>
      </c>
      <c r="C36" s="2" t="s">
        <v>293</v>
      </c>
      <c r="D36" s="2" t="s">
        <v>294</v>
      </c>
      <c r="E36" s="2" t="s">
        <v>295</v>
      </c>
      <c r="F36" s="2" t="str">
        <f>CONCATENATE(E36, " ",C36)</f>
        <v>KATHERINE FOLTZ</v>
      </c>
      <c r="G36" s="2" t="s">
        <v>106</v>
      </c>
      <c r="H36" s="2" t="s">
        <v>109</v>
      </c>
      <c r="I36" s="2" t="s">
        <v>29</v>
      </c>
      <c r="J36" s="3">
        <v>45870</v>
      </c>
      <c r="K36" s="3">
        <v>45870</v>
      </c>
      <c r="L36" s="2">
        <v>8307933</v>
      </c>
      <c r="M36" s="2" t="s">
        <v>45</v>
      </c>
      <c r="N36" s="2">
        <v>312.92</v>
      </c>
      <c r="O36" s="2">
        <v>260.83</v>
      </c>
      <c r="P36" s="2" t="s">
        <v>245</v>
      </c>
      <c r="Q36" s="2" t="s">
        <v>261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s="4" customFormat="1" x14ac:dyDescent="0.25">
      <c r="A37" s="2" t="s">
        <v>39</v>
      </c>
      <c r="B37" s="2" t="str">
        <f>CONCATENATE(A37,7)</f>
        <v>6U56RQ0HK627</v>
      </c>
      <c r="C37" s="2" t="s">
        <v>301</v>
      </c>
      <c r="D37" s="2" t="s">
        <v>302</v>
      </c>
      <c r="E37" s="2" t="s">
        <v>303</v>
      </c>
      <c r="F37" s="2" t="str">
        <f>CONCATENATE(E37, " ",C37)</f>
        <v>CHARLOTTE ANDRESKY</v>
      </c>
      <c r="G37" s="2" t="s">
        <v>42</v>
      </c>
      <c r="H37" s="2" t="s">
        <v>37</v>
      </c>
      <c r="I37" s="2" t="s">
        <v>29</v>
      </c>
      <c r="J37" s="3">
        <v>45931</v>
      </c>
      <c r="K37" s="3">
        <v>45931</v>
      </c>
      <c r="L37" s="2">
        <v>8307933</v>
      </c>
      <c r="M37" s="2" t="s">
        <v>45</v>
      </c>
      <c r="N37" s="2">
        <v>751</v>
      </c>
      <c r="O37" s="2">
        <v>626</v>
      </c>
      <c r="P37" s="2" t="s">
        <v>245</v>
      </c>
      <c r="Q37" s="2" t="s">
        <v>244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s="4" customFormat="1" x14ac:dyDescent="0.25">
      <c r="A38" s="2" t="s">
        <v>110</v>
      </c>
      <c r="B38" s="2" t="str">
        <f>CONCATENATE(A38,7)</f>
        <v>7WN5XG5GV947</v>
      </c>
      <c r="C38" s="2" t="s">
        <v>316</v>
      </c>
      <c r="D38" s="2" t="s">
        <v>312</v>
      </c>
      <c r="E38" s="2" t="s">
        <v>317</v>
      </c>
      <c r="F38" s="2" t="str">
        <f>CONCATENATE(E38, " ",C38)</f>
        <v>DAVID FRY</v>
      </c>
      <c r="G38" s="2" t="s">
        <v>113</v>
      </c>
      <c r="H38" s="2" t="s">
        <v>37</v>
      </c>
      <c r="I38" s="2" t="s">
        <v>29</v>
      </c>
      <c r="J38" s="3">
        <v>45870</v>
      </c>
      <c r="K38" s="3">
        <v>45870</v>
      </c>
      <c r="L38" s="2">
        <v>8307933</v>
      </c>
      <c r="M38" s="2" t="s">
        <v>45</v>
      </c>
      <c r="N38" s="2">
        <v>751</v>
      </c>
      <c r="O38" s="2">
        <v>626</v>
      </c>
      <c r="P38" s="2" t="s">
        <v>245</v>
      </c>
      <c r="Q38" s="2" t="s">
        <v>244</v>
      </c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s="4" customFormat="1" x14ac:dyDescent="0.25">
      <c r="A39" s="2" t="s">
        <v>148</v>
      </c>
      <c r="B39" s="2" t="str">
        <f>CONCATENATE(A39,7)</f>
        <v>9YP4P53JY997</v>
      </c>
      <c r="C39" s="2" t="s">
        <v>321</v>
      </c>
      <c r="D39" s="2" t="s">
        <v>294</v>
      </c>
      <c r="E39" s="2" t="s">
        <v>322</v>
      </c>
      <c r="F39" s="2" t="str">
        <f>CONCATENATE(E39, " ",C39)</f>
        <v>TIM LLOYD</v>
      </c>
      <c r="G39" s="2" t="s">
        <v>151</v>
      </c>
      <c r="H39" s="2" t="s">
        <v>37</v>
      </c>
      <c r="I39" s="2" t="s">
        <v>29</v>
      </c>
      <c r="J39" s="3">
        <v>45901</v>
      </c>
      <c r="K39" s="3">
        <v>45901</v>
      </c>
      <c r="L39" s="2">
        <v>8307933</v>
      </c>
      <c r="M39" s="2" t="s">
        <v>45</v>
      </c>
      <c r="N39" s="2">
        <v>751</v>
      </c>
      <c r="O39" s="2">
        <v>626</v>
      </c>
      <c r="P39" s="2" t="s">
        <v>245</v>
      </c>
      <c r="Q39" s="2" t="s">
        <v>244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s="4" customFormat="1" x14ac:dyDescent="0.25">
      <c r="A40" s="2" t="s">
        <v>179</v>
      </c>
      <c r="B40" s="2" t="str">
        <f>CONCATENATE(A40,7)</f>
        <v>1GP8VJ2JX287</v>
      </c>
      <c r="C40" s="2" t="s">
        <v>327</v>
      </c>
      <c r="D40" s="2" t="s">
        <v>307</v>
      </c>
      <c r="E40" s="2" t="s">
        <v>328</v>
      </c>
      <c r="F40" s="2" t="str">
        <f>CONCATENATE(E40, " ",C40)</f>
        <v>ANDREW NEY</v>
      </c>
      <c r="G40" s="2" t="s">
        <v>77</v>
      </c>
      <c r="H40" s="2" t="s">
        <v>37</v>
      </c>
      <c r="I40" s="2" t="s">
        <v>29</v>
      </c>
      <c r="J40" s="3">
        <v>45870</v>
      </c>
      <c r="K40" s="3">
        <v>45870</v>
      </c>
      <c r="L40" s="2">
        <v>8307933</v>
      </c>
      <c r="M40" s="2" t="s">
        <v>45</v>
      </c>
      <c r="N40" s="2">
        <v>751</v>
      </c>
      <c r="O40" s="2">
        <v>626</v>
      </c>
      <c r="P40" s="2" t="s">
        <v>245</v>
      </c>
      <c r="Q40" s="2" t="s">
        <v>244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s="4" customFormat="1" x14ac:dyDescent="0.25">
      <c r="A41" s="2" t="s">
        <v>188</v>
      </c>
      <c r="B41" s="2" t="str">
        <f>CONCATENATE(A41,7)</f>
        <v>6FV6YC3XE487</v>
      </c>
      <c r="C41" s="2" t="s">
        <v>331</v>
      </c>
      <c r="D41" s="2" t="s">
        <v>302</v>
      </c>
      <c r="E41" s="2" t="s">
        <v>332</v>
      </c>
      <c r="F41" s="2" t="str">
        <f>CONCATENATE(E41, " ",C41)</f>
        <v>GINGER PHILLIPS</v>
      </c>
      <c r="G41" s="2" t="s">
        <v>191</v>
      </c>
      <c r="H41" s="2" t="s">
        <v>37</v>
      </c>
      <c r="I41" s="2" t="s">
        <v>29</v>
      </c>
      <c r="J41" s="3">
        <v>45870</v>
      </c>
      <c r="K41" s="3">
        <v>45870</v>
      </c>
      <c r="L41" s="2">
        <v>8307933</v>
      </c>
      <c r="M41" s="2" t="s">
        <v>45</v>
      </c>
      <c r="N41" s="2">
        <v>751</v>
      </c>
      <c r="O41" s="2">
        <v>626</v>
      </c>
      <c r="P41" s="2" t="s">
        <v>245</v>
      </c>
      <c r="Q41" s="2" t="s">
        <v>244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s="4" customFormat="1" x14ac:dyDescent="0.25">
      <c r="A42" s="2" t="s">
        <v>193</v>
      </c>
      <c r="B42" s="2" t="str">
        <f>CONCATENATE(A42,7)</f>
        <v>6JX7CK5PW647</v>
      </c>
      <c r="C42" s="2" t="s">
        <v>333</v>
      </c>
      <c r="D42" s="2" t="s">
        <v>307</v>
      </c>
      <c r="E42" s="2" t="s">
        <v>334</v>
      </c>
      <c r="F42" s="2" t="str">
        <f>CONCATENATE(E42, " ",C42)</f>
        <v>RUBEN RAY</v>
      </c>
      <c r="G42" s="2" t="s">
        <v>49</v>
      </c>
      <c r="H42" s="2" t="s">
        <v>37</v>
      </c>
      <c r="I42" s="2" t="s">
        <v>29</v>
      </c>
      <c r="J42" s="3">
        <v>45901</v>
      </c>
      <c r="K42" s="3">
        <v>45901</v>
      </c>
      <c r="L42" s="2">
        <v>8307933</v>
      </c>
      <c r="M42" s="2" t="s">
        <v>45</v>
      </c>
      <c r="N42" s="2">
        <v>751</v>
      </c>
      <c r="O42" s="2">
        <v>626</v>
      </c>
      <c r="P42" s="2" t="s">
        <v>245</v>
      </c>
      <c r="Q42" s="2" t="s">
        <v>244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s="4" customFormat="1" x14ac:dyDescent="0.25">
      <c r="A43" s="2" t="s">
        <v>57</v>
      </c>
      <c r="B43" s="2" t="str">
        <f>CONCATENATE(A43,7)</f>
        <v>3H39T83UW387</v>
      </c>
      <c r="C43" s="2" t="s">
        <v>309</v>
      </c>
      <c r="D43" s="2" t="s">
        <v>268</v>
      </c>
      <c r="E43" s="2" t="s">
        <v>310</v>
      </c>
      <c r="F43" s="2" t="str">
        <f>CONCATENATE(E43, " ",C43)</f>
        <v>CHERYL BELLAVIA</v>
      </c>
      <c r="G43" s="2" t="s">
        <v>49</v>
      </c>
      <c r="H43" s="2" t="s">
        <v>37</v>
      </c>
      <c r="I43" s="2" t="s">
        <v>29</v>
      </c>
      <c r="J43" s="3">
        <v>45901</v>
      </c>
      <c r="K43" s="3">
        <v>45901</v>
      </c>
      <c r="L43" s="2">
        <v>8325282</v>
      </c>
      <c r="M43" s="2" t="s">
        <v>61</v>
      </c>
      <c r="N43" s="2">
        <v>751</v>
      </c>
      <c r="O43" s="2">
        <v>626</v>
      </c>
      <c r="P43" s="2" t="s">
        <v>245</v>
      </c>
      <c r="Q43" s="2" t="s">
        <v>244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s="4" customFormat="1" x14ac:dyDescent="0.25">
      <c r="A44" s="2" t="s">
        <v>198</v>
      </c>
      <c r="B44" s="2" t="str">
        <f>CONCATENATE(A44,7)</f>
        <v>9X63DM2UA957</v>
      </c>
      <c r="C44" s="2" t="s">
        <v>335</v>
      </c>
      <c r="D44" s="2" t="s">
        <v>294</v>
      </c>
      <c r="E44" s="2" t="s">
        <v>336</v>
      </c>
      <c r="F44" s="2" t="str">
        <f>CONCATENATE(E44, " ",C44)</f>
        <v>DONNA REBOLETTI</v>
      </c>
      <c r="G44" s="2" t="s">
        <v>49</v>
      </c>
      <c r="H44" s="2" t="s">
        <v>37</v>
      </c>
      <c r="I44" s="2" t="s">
        <v>29</v>
      </c>
      <c r="J44" s="3">
        <v>45901</v>
      </c>
      <c r="K44" s="3">
        <v>45901</v>
      </c>
      <c r="L44" s="2">
        <v>8325282</v>
      </c>
      <c r="M44" s="2" t="s">
        <v>61</v>
      </c>
      <c r="N44" s="2">
        <v>751</v>
      </c>
      <c r="O44" s="2">
        <v>626</v>
      </c>
      <c r="P44" s="2" t="s">
        <v>245</v>
      </c>
      <c r="Q44" s="2" t="s">
        <v>244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s="4" customFormat="1" x14ac:dyDescent="0.25">
      <c r="A45" s="2" t="s">
        <v>216</v>
      </c>
      <c r="B45" s="2" t="str">
        <f>CONCATENATE(A45,8)</f>
        <v>3YD8V07AC528</v>
      </c>
      <c r="C45" s="2" t="s">
        <v>339</v>
      </c>
      <c r="D45" s="2" t="s">
        <v>273</v>
      </c>
      <c r="E45" s="2" t="s">
        <v>340</v>
      </c>
      <c r="F45" s="2" t="str">
        <f>CONCATENATE(E45, " ",C45)</f>
        <v>NOEL SPASO</v>
      </c>
      <c r="G45" s="2" t="s">
        <v>49</v>
      </c>
      <c r="H45" s="2" t="s">
        <v>28</v>
      </c>
      <c r="I45" s="2" t="s">
        <v>29</v>
      </c>
      <c r="J45" s="3">
        <v>45870</v>
      </c>
      <c r="K45" s="3">
        <v>45870</v>
      </c>
      <c r="L45" s="2">
        <v>7470776</v>
      </c>
      <c r="M45" s="2" t="s">
        <v>219</v>
      </c>
      <c r="N45" s="2">
        <v>-182.5</v>
      </c>
      <c r="O45" s="2">
        <v>-130.41999999999999</v>
      </c>
      <c r="P45" s="2" t="s">
        <v>247</v>
      </c>
      <c r="Q45" s="2" t="s">
        <v>253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s="4" customFormat="1" x14ac:dyDescent="0.25">
      <c r="A46" s="2" t="s">
        <v>220</v>
      </c>
      <c r="B46" s="2" t="str">
        <f>CONCATENATE(A46,8)</f>
        <v>1E71JU9UJ138</v>
      </c>
      <c r="C46" s="2" t="s">
        <v>339</v>
      </c>
      <c r="D46" s="2" t="s">
        <v>341</v>
      </c>
      <c r="E46" s="2" t="s">
        <v>342</v>
      </c>
      <c r="F46" s="2" t="str">
        <f>CONCATENATE(E46, " ",C46)</f>
        <v>RAYMOND SPASO</v>
      </c>
      <c r="G46" s="2" t="s">
        <v>49</v>
      </c>
      <c r="H46" s="2" t="s">
        <v>28</v>
      </c>
      <c r="I46" s="2" t="s">
        <v>29</v>
      </c>
      <c r="J46" s="3">
        <v>45870</v>
      </c>
      <c r="K46" s="3">
        <v>45870</v>
      </c>
      <c r="L46" s="2">
        <v>7470776</v>
      </c>
      <c r="M46" s="2" t="s">
        <v>219</v>
      </c>
      <c r="N46" s="2">
        <v>-182.5</v>
      </c>
      <c r="O46" s="2">
        <v>-130.41999999999999</v>
      </c>
      <c r="P46" s="2" t="s">
        <v>247</v>
      </c>
      <c r="Q46" s="2" t="s">
        <v>253</v>
      </c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s="4" customFormat="1" x14ac:dyDescent="0.25">
      <c r="A47" s="2" t="s">
        <v>163</v>
      </c>
      <c r="B47" s="2" t="str">
        <f>CONCATENATE(A47,8)</f>
        <v>4JC8DH2QH368</v>
      </c>
      <c r="C47" s="2" t="s">
        <v>290</v>
      </c>
      <c r="D47" s="2" t="s">
        <v>291</v>
      </c>
      <c r="E47" s="2" t="s">
        <v>292</v>
      </c>
      <c r="F47" s="2" t="str">
        <f>CONCATENATE(E47, " ",C47)</f>
        <v>LOURDES MIKRUT</v>
      </c>
      <c r="G47" s="2" t="s">
        <v>166</v>
      </c>
      <c r="H47" s="2" t="s">
        <v>28</v>
      </c>
      <c r="I47" s="2" t="s">
        <v>29</v>
      </c>
      <c r="J47" s="3">
        <v>45901</v>
      </c>
      <c r="K47" s="3">
        <v>45901</v>
      </c>
      <c r="L47" s="2">
        <v>18828278</v>
      </c>
      <c r="M47" s="2" t="s">
        <v>169</v>
      </c>
      <c r="N47" s="2">
        <v>-146</v>
      </c>
      <c r="O47" s="2">
        <v>-104.33</v>
      </c>
      <c r="P47" s="2" t="s">
        <v>247</v>
      </c>
      <c r="Q47" s="2" t="s">
        <v>254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x14ac:dyDescent="0.25">
      <c r="A48" s="2" t="s">
        <v>183</v>
      </c>
      <c r="B48" s="2" t="str">
        <f>CONCATENATE(A48,8)</f>
        <v>3A75NR5PX548</v>
      </c>
      <c r="C48" s="2" t="s">
        <v>329</v>
      </c>
      <c r="D48" s="2" t="s">
        <v>268</v>
      </c>
      <c r="E48" s="2" t="s">
        <v>330</v>
      </c>
      <c r="F48" s="2" t="str">
        <f>CONCATENATE(E48, " ",C48)</f>
        <v>TERRIE PALAZZO</v>
      </c>
      <c r="G48" s="2" t="s">
        <v>161</v>
      </c>
      <c r="H48" s="2" t="s">
        <v>28</v>
      </c>
      <c r="I48" s="2" t="s">
        <v>29</v>
      </c>
      <c r="J48" s="3">
        <v>45870</v>
      </c>
      <c r="K48" s="3">
        <v>45870</v>
      </c>
      <c r="L48" s="2">
        <v>18581063</v>
      </c>
      <c r="M48" s="2" t="s">
        <v>187</v>
      </c>
      <c r="N48" s="2">
        <v>-182.5</v>
      </c>
      <c r="O48" s="2">
        <v>-130.41999999999999</v>
      </c>
      <c r="P48" s="2" t="s">
        <v>247</v>
      </c>
      <c r="Q48" s="2" t="s">
        <v>253</v>
      </c>
    </row>
    <row r="49" spans="1:29" s="4" customFormat="1" x14ac:dyDescent="0.25">
      <c r="A49" s="2" t="s">
        <v>175</v>
      </c>
      <c r="B49" s="2" t="str">
        <f>CONCATENATE(A49,8)</f>
        <v>8KN0N08RN388</v>
      </c>
      <c r="C49" s="2" t="s">
        <v>325</v>
      </c>
      <c r="D49" s="2" t="s">
        <v>302</v>
      </c>
      <c r="E49" s="2" t="s">
        <v>326</v>
      </c>
      <c r="F49" s="2" t="str">
        <f>CONCATENATE(E49, " ",C49)</f>
        <v>SHARON NELSEN</v>
      </c>
      <c r="G49" s="2" t="s">
        <v>49</v>
      </c>
      <c r="H49" s="2" t="s">
        <v>28</v>
      </c>
      <c r="I49" s="2" t="s">
        <v>29</v>
      </c>
      <c r="J49" s="3">
        <v>45870</v>
      </c>
      <c r="K49" s="3">
        <v>45870</v>
      </c>
      <c r="L49" s="2">
        <v>2158366</v>
      </c>
      <c r="M49" s="2" t="s">
        <v>178</v>
      </c>
      <c r="N49" s="2">
        <v>-182.5</v>
      </c>
      <c r="O49" s="2">
        <v>-130.41999999999999</v>
      </c>
      <c r="P49" s="2" t="s">
        <v>247</v>
      </c>
      <c r="Q49" s="2" t="s">
        <v>253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2" t="s">
        <v>208</v>
      </c>
      <c r="B50" s="2" t="str">
        <f>CONCATENATE(A50,8)</f>
        <v>7AM5YE7HP598</v>
      </c>
      <c r="C50" s="2" t="s">
        <v>337</v>
      </c>
      <c r="D50" s="2" t="s">
        <v>281</v>
      </c>
      <c r="E50" s="2" t="s">
        <v>338</v>
      </c>
      <c r="F50" s="2" t="str">
        <f>CONCATENATE(E50, " ",C50)</f>
        <v>KAREN SCHNORR</v>
      </c>
      <c r="G50" s="2" t="s">
        <v>49</v>
      </c>
      <c r="H50" s="2" t="s">
        <v>28</v>
      </c>
      <c r="I50" s="2" t="s">
        <v>29</v>
      </c>
      <c r="J50" s="3">
        <v>45839</v>
      </c>
      <c r="K50" s="3">
        <v>45839</v>
      </c>
      <c r="L50" s="2">
        <v>7146581</v>
      </c>
      <c r="M50" s="2" t="s">
        <v>66</v>
      </c>
      <c r="N50" s="2">
        <v>-219</v>
      </c>
      <c r="O50" s="2">
        <v>-156.5</v>
      </c>
      <c r="P50" s="2" t="s">
        <v>247</v>
      </c>
      <c r="Q50" s="2" t="s">
        <v>248</v>
      </c>
    </row>
    <row r="51" spans="1:29" x14ac:dyDescent="0.25">
      <c r="A51" s="2" t="s">
        <v>62</v>
      </c>
      <c r="B51" s="2" t="str">
        <f>CONCATENATE(A51,8)</f>
        <v>8TT8NJ8GH598</v>
      </c>
      <c r="C51" s="2" t="s">
        <v>311</v>
      </c>
      <c r="D51" s="2" t="s">
        <v>312</v>
      </c>
      <c r="E51" s="2" t="s">
        <v>289</v>
      </c>
      <c r="F51" s="2" t="str">
        <f>CONCATENATE(E51, " ",C51)</f>
        <v>RONALD BEND</v>
      </c>
      <c r="G51" s="2" t="s">
        <v>49</v>
      </c>
      <c r="H51" s="2" t="s">
        <v>28</v>
      </c>
      <c r="I51" s="2" t="s">
        <v>29</v>
      </c>
      <c r="J51" s="3">
        <v>45870</v>
      </c>
      <c r="K51" s="3">
        <v>45870</v>
      </c>
      <c r="L51" s="2">
        <v>7146581</v>
      </c>
      <c r="M51" s="2" t="s">
        <v>66</v>
      </c>
      <c r="N51" s="2">
        <v>-182.5</v>
      </c>
      <c r="O51" s="2">
        <v>-130.41999999999999</v>
      </c>
      <c r="P51" s="2" t="s">
        <v>247</v>
      </c>
      <c r="Q51" s="2" t="s">
        <v>253</v>
      </c>
    </row>
    <row r="52" spans="1:29" x14ac:dyDescent="0.25">
      <c r="A52" s="2" t="s">
        <v>130</v>
      </c>
      <c r="B52" s="2" t="str">
        <f>CONCATENATE(A52,8)</f>
        <v>7E60RN2NR478</v>
      </c>
      <c r="C52" s="2" t="s">
        <v>318</v>
      </c>
      <c r="D52" s="2" t="s">
        <v>319</v>
      </c>
      <c r="E52" s="2" t="s">
        <v>320</v>
      </c>
      <c r="F52" s="2" t="str">
        <f>CONCATENATE(E52, " ",C52)</f>
        <v>ANN JOHNSON</v>
      </c>
      <c r="G52" s="2" t="s">
        <v>49</v>
      </c>
      <c r="H52" s="2" t="s">
        <v>28</v>
      </c>
      <c r="I52" s="2" t="s">
        <v>29</v>
      </c>
      <c r="J52" s="3">
        <v>45870</v>
      </c>
      <c r="K52" s="3">
        <v>45870</v>
      </c>
      <c r="L52" s="2">
        <v>7146581</v>
      </c>
      <c r="M52" s="2" t="s">
        <v>66</v>
      </c>
      <c r="N52" s="2">
        <v>-182.5</v>
      </c>
      <c r="O52" s="2">
        <v>-130.41999999999999</v>
      </c>
      <c r="P52" s="2" t="s">
        <v>247</v>
      </c>
      <c r="Q52" s="2" t="s">
        <v>253</v>
      </c>
    </row>
    <row r="53" spans="1:29" x14ac:dyDescent="0.25">
      <c r="A53" s="2" t="s">
        <v>24</v>
      </c>
      <c r="B53" s="2" t="str">
        <f>CONCATENATE(A53,8)</f>
        <v>6PG1UR9VD268</v>
      </c>
      <c r="C53" s="2" t="s">
        <v>299</v>
      </c>
      <c r="D53" s="2" t="s">
        <v>294</v>
      </c>
      <c r="E53" s="2" t="s">
        <v>300</v>
      </c>
      <c r="F53" s="2" t="str">
        <f>CONCATENATE(E53, " ",C53)</f>
        <v>GENETTE AFFRUNTI</v>
      </c>
      <c r="G53" s="2" t="s">
        <v>27</v>
      </c>
      <c r="H53" s="2" t="s">
        <v>28</v>
      </c>
      <c r="I53" s="2" t="s">
        <v>29</v>
      </c>
      <c r="J53" s="3">
        <v>45870</v>
      </c>
      <c r="K53" s="3">
        <v>45870</v>
      </c>
      <c r="L53" s="2">
        <v>8814784</v>
      </c>
      <c r="M53" s="2" t="s">
        <v>33</v>
      </c>
      <c r="N53" s="2">
        <v>-182.5</v>
      </c>
      <c r="O53" s="2">
        <v>-130.41999999999999</v>
      </c>
      <c r="P53" s="2" t="s">
        <v>247</v>
      </c>
      <c r="Q53" s="2" t="s">
        <v>253</v>
      </c>
    </row>
    <row r="54" spans="1:29" x14ac:dyDescent="0.25">
      <c r="A54" s="2" t="s">
        <v>158</v>
      </c>
      <c r="B54" s="2" t="str">
        <f>CONCATENATE(A54,8)</f>
        <v>5Y17EU3PR738</v>
      </c>
      <c r="C54" s="2" t="s">
        <v>323</v>
      </c>
      <c r="D54" s="2" t="s">
        <v>268</v>
      </c>
      <c r="E54" s="2" t="s">
        <v>324</v>
      </c>
      <c r="F54" s="2" t="str">
        <f>CONCATENATE(E54, " ",C54)</f>
        <v>NANCY MASCHMEYER</v>
      </c>
      <c r="G54" s="2" t="s">
        <v>161</v>
      </c>
      <c r="H54" s="2" t="s">
        <v>28</v>
      </c>
      <c r="I54" s="2" t="s">
        <v>29</v>
      </c>
      <c r="J54" s="3">
        <v>45901</v>
      </c>
      <c r="K54" s="3">
        <v>45901</v>
      </c>
      <c r="L54" s="2">
        <v>8814784</v>
      </c>
      <c r="M54" s="2" t="s">
        <v>33</v>
      </c>
      <c r="N54" s="2">
        <v>-146</v>
      </c>
      <c r="O54" s="2">
        <v>-104.33</v>
      </c>
      <c r="P54" s="2" t="s">
        <v>247</v>
      </c>
      <c r="Q54" s="2" t="s">
        <v>254</v>
      </c>
    </row>
    <row r="55" spans="1:29" x14ac:dyDescent="0.25">
      <c r="A55" s="2" t="s">
        <v>81</v>
      </c>
      <c r="B55" s="2" t="str">
        <f>CONCATENATE(A55,8)</f>
        <v>7EC3VX6TE028</v>
      </c>
      <c r="C55" s="2" t="s">
        <v>313</v>
      </c>
      <c r="D55" s="2" t="s">
        <v>314</v>
      </c>
      <c r="E55" s="2" t="s">
        <v>315</v>
      </c>
      <c r="F55" s="2" t="str">
        <f>CONCATENATE(E55, " ",C55)</f>
        <v>THOMAS DANIELS</v>
      </c>
      <c r="G55" s="2" t="s">
        <v>84</v>
      </c>
      <c r="H55" s="2" t="s">
        <v>28</v>
      </c>
      <c r="I55" s="2" t="s">
        <v>29</v>
      </c>
      <c r="J55" s="3">
        <v>45870</v>
      </c>
      <c r="K55" s="3">
        <v>45870</v>
      </c>
      <c r="L55" s="2">
        <v>16865615</v>
      </c>
      <c r="M55" s="2" t="s">
        <v>87</v>
      </c>
      <c r="N55" s="2">
        <v>-182.5</v>
      </c>
      <c r="O55" s="2">
        <v>-130.41999999999999</v>
      </c>
      <c r="P55" s="2" t="s">
        <v>247</v>
      </c>
      <c r="Q55" s="2" t="s">
        <v>253</v>
      </c>
    </row>
    <row r="56" spans="1:29" x14ac:dyDescent="0.25">
      <c r="A56" s="2" t="s">
        <v>230</v>
      </c>
      <c r="B56" s="2" t="str">
        <f>CONCATENATE(A56,8)</f>
        <v>9GQ0UY3DC028</v>
      </c>
      <c r="C56" s="2" t="s">
        <v>343</v>
      </c>
      <c r="D56" s="2" t="s">
        <v>297</v>
      </c>
      <c r="E56" s="2" t="s">
        <v>315</v>
      </c>
      <c r="F56" s="2" t="str">
        <f>CONCATENATE(E56, " ",C56)</f>
        <v>THOMAS VONBERG</v>
      </c>
      <c r="G56" s="2" t="s">
        <v>106</v>
      </c>
      <c r="H56" s="2" t="s">
        <v>28</v>
      </c>
      <c r="I56" s="2" t="s">
        <v>29</v>
      </c>
      <c r="J56" s="3">
        <v>45870</v>
      </c>
      <c r="K56" s="3">
        <v>45870</v>
      </c>
      <c r="L56" s="2">
        <v>9213293</v>
      </c>
      <c r="M56" s="2" t="s">
        <v>206</v>
      </c>
      <c r="N56" s="2">
        <v>-182.5</v>
      </c>
      <c r="O56" s="2">
        <v>-130.41999999999999</v>
      </c>
      <c r="P56" s="2" t="s">
        <v>247</v>
      </c>
      <c r="Q56" s="2" t="s">
        <v>253</v>
      </c>
    </row>
    <row r="57" spans="1:29" s="4" customFormat="1" x14ac:dyDescent="0.25">
      <c r="A57" s="2" t="s">
        <v>237</v>
      </c>
      <c r="B57" s="2" t="str">
        <f>CONCATENATE(A57,8)</f>
        <v>7W25G55WT558</v>
      </c>
      <c r="C57" s="2" t="s">
        <v>344</v>
      </c>
      <c r="D57" s="2" t="s">
        <v>345</v>
      </c>
      <c r="E57" s="2" t="s">
        <v>310</v>
      </c>
      <c r="F57" s="2" t="str">
        <f>CONCATENATE(E57, " ",C57)</f>
        <v>CHERYL WILLOCKS</v>
      </c>
      <c r="G57" s="2" t="s">
        <v>240</v>
      </c>
      <c r="H57" s="2" t="s">
        <v>28</v>
      </c>
      <c r="I57" s="2" t="s">
        <v>29</v>
      </c>
      <c r="J57" s="3">
        <v>45931</v>
      </c>
      <c r="K57" s="3">
        <v>45931</v>
      </c>
      <c r="L57" s="2">
        <v>19645587</v>
      </c>
      <c r="M57" s="2" t="s">
        <v>243</v>
      </c>
      <c r="N57" s="2">
        <v>-109.5</v>
      </c>
      <c r="O57" s="2">
        <v>-78.25</v>
      </c>
      <c r="P57" s="2" t="s">
        <v>247</v>
      </c>
      <c r="Q57" s="2" t="s">
        <v>255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s="4" customFormat="1" x14ac:dyDescent="0.25">
      <c r="A58" s="2" t="s">
        <v>74</v>
      </c>
      <c r="B58" s="2" t="str">
        <f>CONCATENATE(A58,8)</f>
        <v>1WN3JE8UG938</v>
      </c>
      <c r="C58" s="2" t="s">
        <v>296</v>
      </c>
      <c r="D58" s="2" t="s">
        <v>297</v>
      </c>
      <c r="E58" s="2" t="s">
        <v>298</v>
      </c>
      <c r="F58" s="2" t="str">
        <f>CONCATENATE(E58, " ",C58)</f>
        <v>ELVIRA CACHO</v>
      </c>
      <c r="G58" s="2" t="s">
        <v>77</v>
      </c>
      <c r="H58" s="2" t="s">
        <v>28</v>
      </c>
      <c r="I58" s="2" t="s">
        <v>29</v>
      </c>
      <c r="J58" s="3">
        <v>45870</v>
      </c>
      <c r="K58" s="3">
        <v>45870</v>
      </c>
      <c r="L58" s="2">
        <v>19200754</v>
      </c>
      <c r="M58" s="2" t="s">
        <v>80</v>
      </c>
      <c r="N58" s="2">
        <v>-180.42</v>
      </c>
      <c r="O58" s="2">
        <v>-130.41999999999999</v>
      </c>
      <c r="P58" s="2" t="s">
        <v>247</v>
      </c>
      <c r="Q58" s="2" t="s">
        <v>253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s="4" customFormat="1" x14ac:dyDescent="0.25">
      <c r="A59" s="2" t="s">
        <v>52</v>
      </c>
      <c r="B59" s="2" t="str">
        <f>CONCATENATE(A59,8)</f>
        <v>2A00K62XD318</v>
      </c>
      <c r="C59" s="2" t="s">
        <v>306</v>
      </c>
      <c r="D59" s="2" t="s">
        <v>307</v>
      </c>
      <c r="E59" s="2" t="s">
        <v>308</v>
      </c>
      <c r="F59" s="2" t="str">
        <f>CONCATENATE(E59, " ",C59)</f>
        <v>PATRICK BAYSINGER</v>
      </c>
      <c r="G59" s="2" t="s">
        <v>49</v>
      </c>
      <c r="H59" s="2" t="s">
        <v>28</v>
      </c>
      <c r="I59" s="2" t="s">
        <v>29</v>
      </c>
      <c r="J59" s="3">
        <v>45901</v>
      </c>
      <c r="K59" s="3">
        <v>45901</v>
      </c>
      <c r="L59" s="2">
        <v>19586992</v>
      </c>
      <c r="M59" s="2" t="s">
        <v>56</v>
      </c>
      <c r="N59" s="2">
        <v>-146</v>
      </c>
      <c r="O59" s="2">
        <v>-104.33</v>
      </c>
      <c r="P59" s="2" t="s">
        <v>247</v>
      </c>
      <c r="Q59" s="2" t="s">
        <v>254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s="4" customFormat="1" x14ac:dyDescent="0.25">
      <c r="A60" s="2" t="s">
        <v>46</v>
      </c>
      <c r="B60" s="2" t="str">
        <f>CONCATENATE(A60,8)</f>
        <v>6VE4UE1UP638</v>
      </c>
      <c r="C60" s="2" t="s">
        <v>304</v>
      </c>
      <c r="D60" s="2" t="s">
        <v>273</v>
      </c>
      <c r="E60" s="2" t="s">
        <v>305</v>
      </c>
      <c r="F60" s="2" t="str">
        <f>CONCATENATE(E60, " ",C60)</f>
        <v>DIANNE BALOUGH</v>
      </c>
      <c r="G60" s="2" t="s">
        <v>49</v>
      </c>
      <c r="H60" s="2" t="s">
        <v>28</v>
      </c>
      <c r="I60" s="2" t="s">
        <v>29</v>
      </c>
      <c r="J60" s="3">
        <v>45870</v>
      </c>
      <c r="K60" s="3">
        <v>45870</v>
      </c>
      <c r="L60" s="2">
        <v>20490188</v>
      </c>
      <c r="M60" s="2" t="s">
        <v>51</v>
      </c>
      <c r="N60" s="2">
        <v>-182.5</v>
      </c>
      <c r="O60" s="2">
        <v>-130.41999999999999</v>
      </c>
      <c r="P60" s="2" t="s">
        <v>247</v>
      </c>
      <c r="Q60" s="2" t="s">
        <v>253</v>
      </c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s="4" customFormat="1" x14ac:dyDescent="0.25">
      <c r="A61" s="2" t="s">
        <v>138</v>
      </c>
      <c r="B61" s="2" t="str">
        <f>CONCATENATE(A61,8)</f>
        <v>9H63MH5XV818</v>
      </c>
      <c r="C61" s="2" t="s">
        <v>351</v>
      </c>
      <c r="D61" s="2" t="s">
        <v>281</v>
      </c>
      <c r="E61" s="2" t="s">
        <v>352</v>
      </c>
      <c r="F61" s="2" t="str">
        <f>CONCATENATE(E61, " ",C61)</f>
        <v>TAMMY LAPIER</v>
      </c>
      <c r="G61" s="2" t="s">
        <v>49</v>
      </c>
      <c r="H61" s="2" t="s">
        <v>91</v>
      </c>
      <c r="I61" s="2" t="s">
        <v>29</v>
      </c>
      <c r="J61" s="3">
        <v>45901</v>
      </c>
      <c r="K61" s="3">
        <v>45901</v>
      </c>
      <c r="L61" s="2">
        <v>19681796</v>
      </c>
      <c r="M61" s="2" t="s">
        <v>142</v>
      </c>
      <c r="N61" s="2">
        <v>144.33000000000001</v>
      </c>
      <c r="O61" s="2">
        <v>104.33</v>
      </c>
      <c r="P61" s="2" t="s">
        <v>247</v>
      </c>
      <c r="Q61" s="2" t="s">
        <v>254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s="4" customFormat="1" x14ac:dyDescent="0.25">
      <c r="A62" s="2" t="s">
        <v>103</v>
      </c>
      <c r="B62" s="2" t="str">
        <f>CONCATENATE(A62,8)</f>
        <v>6WG0NV5YF188</v>
      </c>
      <c r="C62" s="2" t="s">
        <v>293</v>
      </c>
      <c r="D62" s="2" t="s">
        <v>294</v>
      </c>
      <c r="E62" s="2" t="s">
        <v>295</v>
      </c>
      <c r="F62" s="2" t="str">
        <f>CONCATENATE(E62, " ",C62)</f>
        <v>KATHERINE FOLTZ</v>
      </c>
      <c r="G62" s="2" t="s">
        <v>106</v>
      </c>
      <c r="H62" s="2" t="s">
        <v>28</v>
      </c>
      <c r="I62" s="2" t="s">
        <v>29</v>
      </c>
      <c r="J62" s="3">
        <v>45870</v>
      </c>
      <c r="K62" s="3">
        <v>45870</v>
      </c>
      <c r="L62" s="2">
        <v>8307933</v>
      </c>
      <c r="M62" s="2" t="s">
        <v>45</v>
      </c>
      <c r="N62" s="2">
        <v>-182.5</v>
      </c>
      <c r="O62" s="2">
        <v>-130.41999999999999</v>
      </c>
      <c r="P62" s="2" t="s">
        <v>247</v>
      </c>
      <c r="Q62" s="2" t="s">
        <v>253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s="4" customFormat="1" x14ac:dyDescent="0.25">
      <c r="A63" s="2" t="s">
        <v>110</v>
      </c>
      <c r="B63" s="2" t="str">
        <f>CONCATENATE(A63,8)</f>
        <v>7WN5XG5GV948</v>
      </c>
      <c r="C63" s="2" t="s">
        <v>316</v>
      </c>
      <c r="D63" s="2" t="s">
        <v>312</v>
      </c>
      <c r="E63" s="2" t="s">
        <v>317</v>
      </c>
      <c r="F63" s="2" t="str">
        <f>CONCATENATE(E63, " ",C63)</f>
        <v>DAVID FRY</v>
      </c>
      <c r="G63" s="2" t="s">
        <v>113</v>
      </c>
      <c r="H63" s="2" t="s">
        <v>28</v>
      </c>
      <c r="I63" s="2" t="s">
        <v>29</v>
      </c>
      <c r="J63" s="3">
        <v>45870</v>
      </c>
      <c r="K63" s="3">
        <v>45870</v>
      </c>
      <c r="L63" s="2">
        <v>8307933</v>
      </c>
      <c r="M63" s="2" t="s">
        <v>45</v>
      </c>
      <c r="N63" s="2">
        <v>-182.5</v>
      </c>
      <c r="O63" s="2">
        <v>-130.41999999999999</v>
      </c>
      <c r="P63" s="2" t="s">
        <v>247</v>
      </c>
      <c r="Q63" s="2" t="s">
        <v>253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x14ac:dyDescent="0.25">
      <c r="A64" s="2" t="s">
        <v>179</v>
      </c>
      <c r="B64" s="2" t="str">
        <f>CONCATENATE(A64,8)</f>
        <v>1GP8VJ2JX288</v>
      </c>
      <c r="C64" s="2" t="s">
        <v>327</v>
      </c>
      <c r="D64" s="2" t="s">
        <v>307</v>
      </c>
      <c r="E64" s="2" t="s">
        <v>328</v>
      </c>
      <c r="F64" s="2" t="str">
        <f>CONCATENATE(E64, " ",C64)</f>
        <v>ANDREW NEY</v>
      </c>
      <c r="G64" s="2" t="s">
        <v>77</v>
      </c>
      <c r="H64" s="2" t="s">
        <v>28</v>
      </c>
      <c r="I64" s="2" t="s">
        <v>29</v>
      </c>
      <c r="J64" s="3">
        <v>45870</v>
      </c>
      <c r="K64" s="3">
        <v>45870</v>
      </c>
      <c r="L64" s="2">
        <v>8307933</v>
      </c>
      <c r="M64" s="2" t="s">
        <v>45</v>
      </c>
      <c r="N64" s="2">
        <v>-182.5</v>
      </c>
      <c r="O64" s="2">
        <v>-130.41999999999999</v>
      </c>
      <c r="P64" s="2" t="s">
        <v>247</v>
      </c>
      <c r="Q64" s="2" t="s">
        <v>253</v>
      </c>
    </row>
    <row r="65" spans="1:29" x14ac:dyDescent="0.25">
      <c r="A65" s="2" t="s">
        <v>188</v>
      </c>
      <c r="B65" s="2" t="str">
        <f>CONCATENATE(A65,8)</f>
        <v>6FV6YC3XE488</v>
      </c>
      <c r="C65" s="2" t="s">
        <v>331</v>
      </c>
      <c r="D65" s="2" t="s">
        <v>302</v>
      </c>
      <c r="E65" s="2" t="s">
        <v>332</v>
      </c>
      <c r="F65" s="2" t="str">
        <f>CONCATENATE(E65, " ",C65)</f>
        <v>GINGER PHILLIPS</v>
      </c>
      <c r="G65" s="2" t="s">
        <v>191</v>
      </c>
      <c r="H65" s="2" t="s">
        <v>28</v>
      </c>
      <c r="I65" s="2" t="s">
        <v>29</v>
      </c>
      <c r="J65" s="3">
        <v>45870</v>
      </c>
      <c r="K65" s="3">
        <v>45870</v>
      </c>
      <c r="L65" s="2">
        <v>8307933</v>
      </c>
      <c r="M65" s="2" t="s">
        <v>45</v>
      </c>
      <c r="N65" s="2">
        <v>-182.5</v>
      </c>
      <c r="O65" s="2">
        <v>-130.41999999999999</v>
      </c>
      <c r="P65" s="2" t="s">
        <v>247</v>
      </c>
      <c r="Q65" s="2" t="s">
        <v>253</v>
      </c>
    </row>
    <row r="66" spans="1:29" s="4" customFormat="1" x14ac:dyDescent="0.25">
      <c r="A66" s="2" t="s">
        <v>148</v>
      </c>
      <c r="B66" s="2" t="str">
        <f>CONCATENATE(A66,8)</f>
        <v>9YP4P53JY998</v>
      </c>
      <c r="C66" s="2" t="s">
        <v>321</v>
      </c>
      <c r="D66" s="2" t="s">
        <v>294</v>
      </c>
      <c r="E66" s="2" t="s">
        <v>322</v>
      </c>
      <c r="F66" s="2" t="str">
        <f>CONCATENATE(E66, " ",C66)</f>
        <v>TIM LLOYD</v>
      </c>
      <c r="G66" s="2" t="s">
        <v>151</v>
      </c>
      <c r="H66" s="2" t="s">
        <v>28</v>
      </c>
      <c r="I66" s="2" t="s">
        <v>29</v>
      </c>
      <c r="J66" s="3">
        <v>45901</v>
      </c>
      <c r="K66" s="3">
        <v>45901</v>
      </c>
      <c r="L66" s="2">
        <v>8307933</v>
      </c>
      <c r="M66" s="2" t="s">
        <v>45</v>
      </c>
      <c r="N66" s="2">
        <v>-146</v>
      </c>
      <c r="O66" s="2">
        <v>-104.33</v>
      </c>
      <c r="P66" s="2" t="s">
        <v>247</v>
      </c>
      <c r="Q66" s="2" t="s">
        <v>254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s="4" customFormat="1" x14ac:dyDescent="0.25">
      <c r="A67" s="2" t="s">
        <v>193</v>
      </c>
      <c r="B67" s="2" t="str">
        <f>CONCATENATE(A67,8)</f>
        <v>6JX7CK5PW648</v>
      </c>
      <c r="C67" s="2" t="s">
        <v>333</v>
      </c>
      <c r="D67" s="2" t="s">
        <v>307</v>
      </c>
      <c r="E67" s="2" t="s">
        <v>334</v>
      </c>
      <c r="F67" s="2" t="str">
        <f>CONCATENATE(E67, " ",C67)</f>
        <v>RUBEN RAY</v>
      </c>
      <c r="G67" s="2" t="s">
        <v>49</v>
      </c>
      <c r="H67" s="2" t="s">
        <v>28</v>
      </c>
      <c r="I67" s="2" t="s">
        <v>29</v>
      </c>
      <c r="J67" s="3">
        <v>45901</v>
      </c>
      <c r="K67" s="3">
        <v>45901</v>
      </c>
      <c r="L67" s="2">
        <v>8307933</v>
      </c>
      <c r="M67" s="2" t="s">
        <v>45</v>
      </c>
      <c r="N67" s="2">
        <v>-146</v>
      </c>
      <c r="O67" s="2">
        <v>-104.33</v>
      </c>
      <c r="P67" s="2" t="s">
        <v>247</v>
      </c>
      <c r="Q67" s="2" t="s">
        <v>254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x14ac:dyDescent="0.25">
      <c r="A68" s="2" t="s">
        <v>39</v>
      </c>
      <c r="B68" s="2" t="str">
        <f>CONCATENATE(A68,8)</f>
        <v>6U56RQ0HK628</v>
      </c>
      <c r="C68" s="2" t="s">
        <v>301</v>
      </c>
      <c r="D68" s="2" t="s">
        <v>302</v>
      </c>
      <c r="E68" s="2" t="s">
        <v>303</v>
      </c>
      <c r="F68" s="2" t="str">
        <f>CONCATENATE(E68, " ",C68)</f>
        <v>CHARLOTTE ANDRESKY</v>
      </c>
      <c r="G68" s="2" t="s">
        <v>42</v>
      </c>
      <c r="H68" s="2" t="s">
        <v>28</v>
      </c>
      <c r="I68" s="2" t="s">
        <v>29</v>
      </c>
      <c r="J68" s="3">
        <v>45931</v>
      </c>
      <c r="K68" s="3">
        <v>45931</v>
      </c>
      <c r="L68" s="2">
        <v>8307933</v>
      </c>
      <c r="M68" s="2" t="s">
        <v>45</v>
      </c>
      <c r="N68" s="2">
        <v>-109.5</v>
      </c>
      <c r="O68" s="2">
        <v>-78.25</v>
      </c>
      <c r="P68" s="2" t="s">
        <v>247</v>
      </c>
      <c r="Q68" s="2" t="s">
        <v>255</v>
      </c>
    </row>
    <row r="69" spans="1:29" x14ac:dyDescent="0.25">
      <c r="A69" s="2" t="s">
        <v>88</v>
      </c>
      <c r="B69" s="2" t="str">
        <f>CONCATENATE(A69,8)</f>
        <v>7NJ9KC2GK348</v>
      </c>
      <c r="C69" s="2" t="s">
        <v>346</v>
      </c>
      <c r="D69" s="2" t="s">
        <v>347</v>
      </c>
      <c r="E69" s="2" t="s">
        <v>348</v>
      </c>
      <c r="F69" s="2" t="str">
        <f>CONCATENATE(E69, " ",C69)</f>
        <v>MICHAEL DAUGHERTY</v>
      </c>
      <c r="G69" s="2" t="s">
        <v>77</v>
      </c>
      <c r="H69" s="2" t="s">
        <v>91</v>
      </c>
      <c r="I69" s="2" t="s">
        <v>29</v>
      </c>
      <c r="J69" s="3">
        <v>45931</v>
      </c>
      <c r="K69" s="3">
        <v>45931</v>
      </c>
      <c r="L69" s="2">
        <v>8307933</v>
      </c>
      <c r="M69" s="2" t="s">
        <v>45</v>
      </c>
      <c r="N69" s="2">
        <v>109.5</v>
      </c>
      <c r="O69" s="2">
        <v>78.25</v>
      </c>
      <c r="P69" s="2" t="s">
        <v>247</v>
      </c>
      <c r="Q69" s="2" t="s">
        <v>255</v>
      </c>
    </row>
    <row r="70" spans="1:29" x14ac:dyDescent="0.25">
      <c r="A70" s="2" t="s">
        <v>98</v>
      </c>
      <c r="B70" s="2" t="str">
        <f>CONCATENATE(A70,8)</f>
        <v>2YT3WA2RQ058</v>
      </c>
      <c r="C70" s="2" t="s">
        <v>349</v>
      </c>
      <c r="D70" s="2" t="s">
        <v>281</v>
      </c>
      <c r="E70" s="2" t="s">
        <v>350</v>
      </c>
      <c r="F70" s="2" t="str">
        <f>CONCATENATE(E70, " ",C70)</f>
        <v>REBECCA FERTIG</v>
      </c>
      <c r="G70" s="2" t="s">
        <v>101</v>
      </c>
      <c r="H70" s="2" t="s">
        <v>91</v>
      </c>
      <c r="I70" s="2" t="s">
        <v>29</v>
      </c>
      <c r="J70" s="3">
        <v>45931</v>
      </c>
      <c r="K70" s="3">
        <v>45931</v>
      </c>
      <c r="L70" s="2">
        <v>8307933</v>
      </c>
      <c r="M70" s="2" t="s">
        <v>45</v>
      </c>
      <c r="N70" s="2">
        <v>109.5</v>
      </c>
      <c r="O70" s="2">
        <v>78.25</v>
      </c>
      <c r="P70" s="2" t="s">
        <v>247</v>
      </c>
      <c r="Q70" s="2" t="s">
        <v>255</v>
      </c>
    </row>
    <row r="71" spans="1:29" x14ac:dyDescent="0.25">
      <c r="A71" s="2" t="s">
        <v>57</v>
      </c>
      <c r="B71" s="2" t="str">
        <f>CONCATENATE(A71,8)</f>
        <v>3H39T83UW388</v>
      </c>
      <c r="C71" s="2" t="s">
        <v>309</v>
      </c>
      <c r="D71" s="2" t="s">
        <v>268</v>
      </c>
      <c r="E71" s="2" t="s">
        <v>310</v>
      </c>
      <c r="F71" s="2" t="str">
        <f>CONCATENATE(E71, " ",C71)</f>
        <v>CHERYL BELLAVIA</v>
      </c>
      <c r="G71" s="2" t="s">
        <v>49</v>
      </c>
      <c r="H71" s="2" t="s">
        <v>28</v>
      </c>
      <c r="I71" s="2" t="s">
        <v>29</v>
      </c>
      <c r="J71" s="3">
        <v>45901</v>
      </c>
      <c r="K71" s="3">
        <v>45901</v>
      </c>
      <c r="L71" s="2">
        <v>8325282</v>
      </c>
      <c r="M71" s="2" t="s">
        <v>61</v>
      </c>
      <c r="N71" s="2">
        <v>-146</v>
      </c>
      <c r="O71" s="2">
        <v>-104.33</v>
      </c>
      <c r="P71" s="2" t="s">
        <v>247</v>
      </c>
      <c r="Q71" s="2" t="s">
        <v>254</v>
      </c>
    </row>
    <row r="72" spans="1:29" x14ac:dyDescent="0.25">
      <c r="A72" s="2" t="s">
        <v>198</v>
      </c>
      <c r="B72" s="2" t="str">
        <f>CONCATENATE(A72,8)</f>
        <v>9X63DM2UA958</v>
      </c>
      <c r="C72" s="2" t="s">
        <v>335</v>
      </c>
      <c r="D72" s="2" t="s">
        <v>294</v>
      </c>
      <c r="E72" s="2" t="s">
        <v>336</v>
      </c>
      <c r="F72" s="2" t="str">
        <f>CONCATENATE(E72, " ",C72)</f>
        <v>DONNA REBOLETTI</v>
      </c>
      <c r="G72" s="2" t="s">
        <v>49</v>
      </c>
      <c r="H72" s="2" t="s">
        <v>28</v>
      </c>
      <c r="I72" s="2" t="s">
        <v>29</v>
      </c>
      <c r="J72" s="3">
        <v>45901</v>
      </c>
      <c r="K72" s="3">
        <v>45901</v>
      </c>
      <c r="L72" s="2">
        <v>8325282</v>
      </c>
      <c r="M72" s="2" t="s">
        <v>61</v>
      </c>
      <c r="N72" s="2">
        <v>-146</v>
      </c>
      <c r="O72" s="2">
        <v>-104.33</v>
      </c>
      <c r="P72" s="2" t="s">
        <v>247</v>
      </c>
      <c r="Q72" s="2" t="s">
        <v>254</v>
      </c>
    </row>
    <row r="73" spans="1:29" s="5" customFormat="1" x14ac:dyDescent="0.25">
      <c r="A73" s="5" t="s">
        <v>201</v>
      </c>
      <c r="B73" s="5" t="str">
        <f>CONCATENATE(A73,88)</f>
        <v>9XY9RC6QF1288</v>
      </c>
      <c r="C73" s="5" t="s">
        <v>287</v>
      </c>
      <c r="D73" s="5" t="s">
        <v>288</v>
      </c>
      <c r="E73" s="5" t="s">
        <v>289</v>
      </c>
      <c r="F73" s="2" t="str">
        <f>CONCATENATE(E73, " ",C73)</f>
        <v>RONALD RHODEN</v>
      </c>
      <c r="G73" s="5" t="s">
        <v>84</v>
      </c>
      <c r="H73" s="5" t="s">
        <v>207</v>
      </c>
      <c r="I73" s="5" t="s">
        <v>119</v>
      </c>
      <c r="J73" s="6">
        <v>45658</v>
      </c>
      <c r="K73" s="6">
        <v>45658</v>
      </c>
      <c r="L73" s="5">
        <v>20411454</v>
      </c>
      <c r="M73" s="5" t="s">
        <v>358</v>
      </c>
      <c r="N73" s="5">
        <v>-751</v>
      </c>
      <c r="O73" s="5">
        <v>-125</v>
      </c>
      <c r="P73" s="5" t="s">
        <v>246</v>
      </c>
    </row>
    <row r="74" spans="1:29" s="5" customFormat="1" x14ac:dyDescent="0.25">
      <c r="A74" s="5" t="s">
        <v>208</v>
      </c>
      <c r="B74" s="5" t="str">
        <f>CONCATENATE(A74,88)</f>
        <v>7AM5YE7HP5988</v>
      </c>
      <c r="C74" s="5" t="s">
        <v>337</v>
      </c>
      <c r="D74" s="5" t="s">
        <v>281</v>
      </c>
      <c r="E74" s="5" t="s">
        <v>338</v>
      </c>
      <c r="F74" s="2" t="str">
        <f>CONCATENATE(E74, " ",C74)</f>
        <v>KAREN SCHNORR</v>
      </c>
      <c r="G74" s="5" t="s">
        <v>49</v>
      </c>
      <c r="H74" s="5" t="s">
        <v>28</v>
      </c>
      <c r="I74" s="5" t="s">
        <v>29</v>
      </c>
      <c r="J74" s="6">
        <v>45839</v>
      </c>
      <c r="K74" s="6">
        <v>45839</v>
      </c>
      <c r="L74" s="5">
        <v>20411454</v>
      </c>
      <c r="M74" s="5" t="s">
        <v>358</v>
      </c>
      <c r="N74" s="5">
        <v>-219</v>
      </c>
      <c r="O74" s="5">
        <v>-62.5</v>
      </c>
      <c r="P74" s="5" t="s">
        <v>246</v>
      </c>
    </row>
    <row r="75" spans="1:29" s="5" customFormat="1" x14ac:dyDescent="0.25">
      <c r="A75" s="5" t="s">
        <v>223</v>
      </c>
      <c r="B75" s="5" t="str">
        <f>CONCATENATE(A75,88)</f>
        <v>7DR9WP2MF3688</v>
      </c>
      <c r="C75" s="5" t="s">
        <v>264</v>
      </c>
      <c r="D75" s="5" t="s">
        <v>265</v>
      </c>
      <c r="E75" s="5" t="s">
        <v>266</v>
      </c>
      <c r="F75" s="2" t="str">
        <f>CONCATENATE(E75, " ",C75)</f>
        <v>DEBORAH STUDEBAKER</v>
      </c>
      <c r="G75" s="5" t="s">
        <v>226</v>
      </c>
      <c r="H75" s="5" t="s">
        <v>28</v>
      </c>
      <c r="I75" s="5" t="s">
        <v>29</v>
      </c>
      <c r="J75" s="6">
        <v>45870</v>
      </c>
      <c r="K75" s="6">
        <v>45870</v>
      </c>
      <c r="L75" s="5">
        <v>20411454</v>
      </c>
      <c r="M75" s="5" t="s">
        <v>358</v>
      </c>
      <c r="N75" s="5">
        <v>-218.75</v>
      </c>
      <c r="O75" s="5">
        <v>-56.25</v>
      </c>
      <c r="P75" s="5" t="s">
        <v>246</v>
      </c>
    </row>
    <row r="76" spans="1:29" s="5" customFormat="1" x14ac:dyDescent="0.25">
      <c r="A76" s="5" t="s">
        <v>67</v>
      </c>
      <c r="B76" s="5" t="str">
        <f>CONCATENATE(A76,88)</f>
        <v>7RX0FF8TN1788</v>
      </c>
      <c r="C76" s="5" t="s">
        <v>267</v>
      </c>
      <c r="D76" s="5" t="s">
        <v>268</v>
      </c>
      <c r="E76" s="5" t="s">
        <v>269</v>
      </c>
      <c r="F76" s="2" t="str">
        <f>CONCATENATE(E76, " ",C76)</f>
        <v>WILLIAM BYERLEY</v>
      </c>
      <c r="G76" s="5" t="s">
        <v>70</v>
      </c>
      <c r="H76" s="5" t="s">
        <v>28</v>
      </c>
      <c r="I76" s="5" t="s">
        <v>29</v>
      </c>
      <c r="J76" s="6">
        <v>45870</v>
      </c>
      <c r="K76" s="6">
        <v>45870</v>
      </c>
      <c r="L76" s="5">
        <v>20411454</v>
      </c>
      <c r="M76" s="5" t="s">
        <v>358</v>
      </c>
      <c r="N76" s="5">
        <v>-199.17</v>
      </c>
      <c r="O76" s="5">
        <v>-52.08</v>
      </c>
      <c r="P76" s="5" t="s">
        <v>246</v>
      </c>
    </row>
    <row r="77" spans="1:29" s="5" customFormat="1" x14ac:dyDescent="0.25">
      <c r="A77" s="5" t="s">
        <v>93</v>
      </c>
      <c r="B77" s="5" t="str">
        <f>CONCATENATE(A77,88)</f>
        <v>1T02KU7XA0088</v>
      </c>
      <c r="C77" s="5" t="s">
        <v>270</v>
      </c>
      <c r="D77" s="5" t="s">
        <v>268</v>
      </c>
      <c r="E77" s="5" t="s">
        <v>271</v>
      </c>
      <c r="F77" s="2" t="str">
        <f>CONCATENATE(E77, " ",C77)</f>
        <v>BARBARA DAWSON</v>
      </c>
      <c r="G77" s="5" t="s">
        <v>70</v>
      </c>
      <c r="H77" s="5" t="s">
        <v>28</v>
      </c>
      <c r="I77" s="5" t="s">
        <v>29</v>
      </c>
      <c r="J77" s="6">
        <v>45870</v>
      </c>
      <c r="K77" s="6">
        <v>45870</v>
      </c>
      <c r="L77" s="5">
        <v>20411454</v>
      </c>
      <c r="M77" s="5" t="s">
        <v>358</v>
      </c>
      <c r="N77" s="5">
        <v>-199.17</v>
      </c>
      <c r="O77" s="5">
        <v>-52.08</v>
      </c>
      <c r="P77" s="5" t="s">
        <v>246</v>
      </c>
    </row>
    <row r="78" spans="1:29" s="5" customFormat="1" x14ac:dyDescent="0.25">
      <c r="A78" s="5" t="s">
        <v>133</v>
      </c>
      <c r="B78" s="5" t="str">
        <f>CONCATENATE(A78,88)</f>
        <v>2EH1PF5NE9888</v>
      </c>
      <c r="C78" s="5" t="s">
        <v>272</v>
      </c>
      <c r="D78" s="5" t="s">
        <v>273</v>
      </c>
      <c r="E78" s="5" t="s">
        <v>274</v>
      </c>
      <c r="F78" s="2" t="str">
        <f>CONCATENATE(E78, " ",C78)</f>
        <v>EDWARD JONES</v>
      </c>
      <c r="G78" s="5" t="s">
        <v>70</v>
      </c>
      <c r="H78" s="5" t="s">
        <v>28</v>
      </c>
      <c r="I78" s="5" t="s">
        <v>29</v>
      </c>
      <c r="J78" s="6">
        <v>45870</v>
      </c>
      <c r="K78" s="6">
        <v>45870</v>
      </c>
      <c r="L78" s="5">
        <v>20411454</v>
      </c>
      <c r="M78" s="5" t="s">
        <v>358</v>
      </c>
      <c r="N78" s="5">
        <v>-199.17</v>
      </c>
      <c r="O78" s="5">
        <v>-52.08</v>
      </c>
      <c r="P78" s="5" t="s">
        <v>246</v>
      </c>
    </row>
    <row r="79" spans="1:29" s="5" customFormat="1" x14ac:dyDescent="0.25">
      <c r="A79" s="5" t="s">
        <v>154</v>
      </c>
      <c r="B79" s="5" t="str">
        <f>CONCATENATE(A79,88)</f>
        <v>2R79EE8AJ2388</v>
      </c>
      <c r="C79" s="5" t="s">
        <v>275</v>
      </c>
      <c r="D79" s="5" t="s">
        <v>276</v>
      </c>
      <c r="E79" s="5" t="s">
        <v>277</v>
      </c>
      <c r="F79" s="2" t="str">
        <f>CONCATENATE(E79, " ",C79)</f>
        <v>JOHN MARTIN</v>
      </c>
      <c r="G79" s="5" t="s">
        <v>70</v>
      </c>
      <c r="H79" s="5" t="s">
        <v>28</v>
      </c>
      <c r="I79" s="5" t="s">
        <v>29</v>
      </c>
      <c r="J79" s="6">
        <v>45870</v>
      </c>
      <c r="K79" s="6">
        <v>45870</v>
      </c>
      <c r="L79" s="5">
        <v>20411454</v>
      </c>
      <c r="M79" s="5" t="s">
        <v>358</v>
      </c>
      <c r="N79" s="5">
        <v>-199.17</v>
      </c>
      <c r="O79" s="5">
        <v>-52.08</v>
      </c>
      <c r="P79" s="5" t="s">
        <v>246</v>
      </c>
    </row>
    <row r="80" spans="1:29" s="5" customFormat="1" x14ac:dyDescent="0.25">
      <c r="A80" s="5" t="s">
        <v>170</v>
      </c>
      <c r="B80" s="5" t="str">
        <f>CONCATENATE(A80,88)</f>
        <v>1FE9VA6EP2388</v>
      </c>
      <c r="C80" s="5" t="s">
        <v>278</v>
      </c>
      <c r="D80" s="5" t="s">
        <v>268</v>
      </c>
      <c r="E80" s="5" t="s">
        <v>279</v>
      </c>
      <c r="F80" s="2" t="str">
        <f>CONCATENATE(E80, " ",C80)</f>
        <v>DIXIE MORLEY</v>
      </c>
      <c r="G80" s="5" t="s">
        <v>70</v>
      </c>
      <c r="H80" s="5" t="s">
        <v>28</v>
      </c>
      <c r="I80" s="5" t="s">
        <v>29</v>
      </c>
      <c r="J80" s="6">
        <v>45870</v>
      </c>
      <c r="K80" s="6">
        <v>45870</v>
      </c>
      <c r="L80" s="5">
        <v>20411454</v>
      </c>
      <c r="M80" s="5" t="s">
        <v>358</v>
      </c>
      <c r="N80" s="5">
        <v>-199.17</v>
      </c>
      <c r="O80" s="5">
        <v>-52.08</v>
      </c>
      <c r="P80" s="5" t="s">
        <v>246</v>
      </c>
    </row>
    <row r="81" spans="1:16" s="5" customFormat="1" x14ac:dyDescent="0.25">
      <c r="A81" s="5" t="s">
        <v>234</v>
      </c>
      <c r="B81" s="5" t="str">
        <f>CONCATENATE(A81,88)</f>
        <v>5TM0DA0YH3488</v>
      </c>
      <c r="C81" s="5" t="s">
        <v>280</v>
      </c>
      <c r="D81" s="5" t="s">
        <v>281</v>
      </c>
      <c r="E81" s="5" t="s">
        <v>282</v>
      </c>
      <c r="F81" s="2" t="str">
        <f>CONCATENATE(E81, " ",C81)</f>
        <v>DOREEN WALKER</v>
      </c>
      <c r="G81" s="5" t="s">
        <v>70</v>
      </c>
      <c r="H81" s="5" t="s">
        <v>28</v>
      </c>
      <c r="I81" s="5" t="s">
        <v>29</v>
      </c>
      <c r="J81" s="6">
        <v>45870</v>
      </c>
      <c r="K81" s="6">
        <v>45870</v>
      </c>
      <c r="L81" s="5">
        <v>20411454</v>
      </c>
      <c r="M81" s="5" t="s">
        <v>358</v>
      </c>
      <c r="N81" s="5">
        <v>-199.17</v>
      </c>
      <c r="O81" s="5">
        <v>-52.08</v>
      </c>
      <c r="P81" s="5" t="s">
        <v>246</v>
      </c>
    </row>
    <row r="82" spans="1:16" s="5" customFormat="1" x14ac:dyDescent="0.25">
      <c r="A82" s="5" t="s">
        <v>24</v>
      </c>
      <c r="B82" s="5" t="str">
        <f>CONCATENATE(A82,88)</f>
        <v>6PG1UR9VD2688</v>
      </c>
      <c r="C82" s="5" t="s">
        <v>299</v>
      </c>
      <c r="D82" s="5" t="s">
        <v>294</v>
      </c>
      <c r="E82" s="5" t="s">
        <v>300</v>
      </c>
      <c r="F82" s="2" t="str">
        <f>CONCATENATE(E82, " ",C82)</f>
        <v>GENETTE AFFRUNTI</v>
      </c>
      <c r="G82" s="5" t="s">
        <v>27</v>
      </c>
      <c r="H82" s="5" t="s">
        <v>28</v>
      </c>
      <c r="I82" s="5" t="s">
        <v>29</v>
      </c>
      <c r="J82" s="6">
        <v>45870</v>
      </c>
      <c r="K82" s="6">
        <v>45870</v>
      </c>
      <c r="L82" s="5">
        <v>20411454</v>
      </c>
      <c r="M82" s="5" t="s">
        <v>358</v>
      </c>
      <c r="N82" s="5">
        <v>-182.5</v>
      </c>
      <c r="O82" s="5">
        <v>-52.08</v>
      </c>
      <c r="P82" s="5" t="s">
        <v>246</v>
      </c>
    </row>
    <row r="83" spans="1:16" s="5" customFormat="1" x14ac:dyDescent="0.25">
      <c r="A83" s="5" t="s">
        <v>46</v>
      </c>
      <c r="B83" s="5" t="str">
        <f>CONCATENATE(A83,88)</f>
        <v>6VE4UE1UP6388</v>
      </c>
      <c r="C83" s="5" t="s">
        <v>304</v>
      </c>
      <c r="D83" s="5" t="s">
        <v>273</v>
      </c>
      <c r="E83" s="5" t="s">
        <v>305</v>
      </c>
      <c r="F83" s="2" t="str">
        <f>CONCATENATE(E83, " ",C83)</f>
        <v>DIANNE BALOUGH</v>
      </c>
      <c r="G83" s="5" t="s">
        <v>49</v>
      </c>
      <c r="H83" s="5" t="s">
        <v>28</v>
      </c>
      <c r="I83" s="5" t="s">
        <v>29</v>
      </c>
      <c r="J83" s="6">
        <v>45870</v>
      </c>
      <c r="K83" s="6">
        <v>45870</v>
      </c>
      <c r="L83" s="5">
        <v>20411454</v>
      </c>
      <c r="M83" s="5" t="s">
        <v>358</v>
      </c>
      <c r="N83" s="5">
        <v>-182.5</v>
      </c>
      <c r="O83" s="5">
        <v>-52.08</v>
      </c>
      <c r="P83" s="5" t="s">
        <v>246</v>
      </c>
    </row>
    <row r="84" spans="1:16" s="5" customFormat="1" x14ac:dyDescent="0.25">
      <c r="A84" s="5" t="s">
        <v>62</v>
      </c>
      <c r="B84" s="5" t="str">
        <f>CONCATENATE(A84,88)</f>
        <v>8TT8NJ8GH5988</v>
      </c>
      <c r="C84" s="5" t="s">
        <v>311</v>
      </c>
      <c r="D84" s="5" t="s">
        <v>312</v>
      </c>
      <c r="E84" s="5" t="s">
        <v>289</v>
      </c>
      <c r="F84" s="2" t="str">
        <f>CONCATENATE(E84, " ",C84)</f>
        <v>RONALD BEND</v>
      </c>
      <c r="G84" s="5" t="s">
        <v>49</v>
      </c>
      <c r="H84" s="5" t="s">
        <v>28</v>
      </c>
      <c r="I84" s="5" t="s">
        <v>29</v>
      </c>
      <c r="J84" s="6">
        <v>45870</v>
      </c>
      <c r="K84" s="6">
        <v>45870</v>
      </c>
      <c r="L84" s="5">
        <v>20411454</v>
      </c>
      <c r="M84" s="5" t="s">
        <v>358</v>
      </c>
      <c r="N84" s="5">
        <v>-182.5</v>
      </c>
      <c r="O84" s="5">
        <v>-52.08</v>
      </c>
      <c r="P84" s="5" t="s">
        <v>246</v>
      </c>
    </row>
    <row r="85" spans="1:16" s="5" customFormat="1" x14ac:dyDescent="0.25">
      <c r="A85" s="5" t="s">
        <v>81</v>
      </c>
      <c r="B85" s="5" t="str">
        <f>CONCATENATE(A85,88)</f>
        <v>7EC3VX6TE0288</v>
      </c>
      <c r="C85" s="5" t="s">
        <v>313</v>
      </c>
      <c r="D85" s="5" t="s">
        <v>314</v>
      </c>
      <c r="E85" s="5" t="s">
        <v>315</v>
      </c>
      <c r="F85" s="2" t="str">
        <f>CONCATENATE(E85, " ",C85)</f>
        <v>THOMAS DANIELS</v>
      </c>
      <c r="G85" s="5" t="s">
        <v>84</v>
      </c>
      <c r="H85" s="5" t="s">
        <v>28</v>
      </c>
      <c r="I85" s="5" t="s">
        <v>29</v>
      </c>
      <c r="J85" s="6">
        <v>45870</v>
      </c>
      <c r="K85" s="6">
        <v>45870</v>
      </c>
      <c r="L85" s="5">
        <v>20411454</v>
      </c>
      <c r="M85" s="5" t="s">
        <v>358</v>
      </c>
      <c r="N85" s="5">
        <v>-182.5</v>
      </c>
      <c r="O85" s="5">
        <v>-52.08</v>
      </c>
      <c r="P85" s="5" t="s">
        <v>246</v>
      </c>
    </row>
    <row r="86" spans="1:16" s="5" customFormat="1" x14ac:dyDescent="0.25">
      <c r="A86" s="5" t="s">
        <v>103</v>
      </c>
      <c r="B86" s="5" t="str">
        <f>CONCATENATE(A86,88)</f>
        <v>6WG0NV5YF1888</v>
      </c>
      <c r="C86" s="5" t="s">
        <v>293</v>
      </c>
      <c r="D86" s="5" t="s">
        <v>294</v>
      </c>
      <c r="E86" s="5" t="s">
        <v>295</v>
      </c>
      <c r="F86" s="2" t="str">
        <f>CONCATENATE(E86, " ",C86)</f>
        <v>KATHERINE FOLTZ</v>
      </c>
      <c r="G86" s="5" t="s">
        <v>106</v>
      </c>
      <c r="H86" s="5" t="s">
        <v>28</v>
      </c>
      <c r="I86" s="5" t="s">
        <v>29</v>
      </c>
      <c r="J86" s="6">
        <v>45870</v>
      </c>
      <c r="K86" s="6">
        <v>45870</v>
      </c>
      <c r="L86" s="5">
        <v>20411454</v>
      </c>
      <c r="M86" s="5" t="s">
        <v>358</v>
      </c>
      <c r="N86" s="5">
        <v>-182.5</v>
      </c>
      <c r="O86" s="5">
        <v>-52.08</v>
      </c>
      <c r="P86" s="5" t="s">
        <v>246</v>
      </c>
    </row>
    <row r="87" spans="1:16" s="5" customFormat="1" x14ac:dyDescent="0.25">
      <c r="A87" s="5" t="s">
        <v>110</v>
      </c>
      <c r="B87" s="5" t="str">
        <f>CONCATENATE(A87,88)</f>
        <v>7WN5XG5GV9488</v>
      </c>
      <c r="C87" s="5" t="s">
        <v>316</v>
      </c>
      <c r="D87" s="5" t="s">
        <v>312</v>
      </c>
      <c r="E87" s="5" t="s">
        <v>317</v>
      </c>
      <c r="F87" s="2" t="str">
        <f>CONCATENATE(E87, " ",C87)</f>
        <v>DAVID FRY</v>
      </c>
      <c r="G87" s="5" t="s">
        <v>113</v>
      </c>
      <c r="H87" s="5" t="s">
        <v>28</v>
      </c>
      <c r="I87" s="5" t="s">
        <v>29</v>
      </c>
      <c r="J87" s="6">
        <v>45870</v>
      </c>
      <c r="K87" s="6">
        <v>45870</v>
      </c>
      <c r="L87" s="5">
        <v>20411454</v>
      </c>
      <c r="M87" s="5" t="s">
        <v>358</v>
      </c>
      <c r="N87" s="5">
        <v>-182.5</v>
      </c>
      <c r="O87" s="5">
        <v>-52.08</v>
      </c>
      <c r="P87" s="5" t="s">
        <v>246</v>
      </c>
    </row>
    <row r="88" spans="1:16" s="5" customFormat="1" x14ac:dyDescent="0.25">
      <c r="A88" s="5" t="s">
        <v>130</v>
      </c>
      <c r="B88" s="5" t="str">
        <f>CONCATENATE(A88,88)</f>
        <v>7E60RN2NR4788</v>
      </c>
      <c r="C88" s="5" t="s">
        <v>318</v>
      </c>
      <c r="D88" s="5" t="s">
        <v>319</v>
      </c>
      <c r="E88" s="5" t="s">
        <v>320</v>
      </c>
      <c r="F88" s="2" t="str">
        <f>CONCATENATE(E88, " ",C88)</f>
        <v>ANN JOHNSON</v>
      </c>
      <c r="G88" s="5" t="s">
        <v>49</v>
      </c>
      <c r="H88" s="5" t="s">
        <v>28</v>
      </c>
      <c r="I88" s="5" t="s">
        <v>29</v>
      </c>
      <c r="J88" s="6">
        <v>45870</v>
      </c>
      <c r="K88" s="6">
        <v>45870</v>
      </c>
      <c r="L88" s="5">
        <v>20411454</v>
      </c>
      <c r="M88" s="5" t="s">
        <v>358</v>
      </c>
      <c r="N88" s="5">
        <v>-182.5</v>
      </c>
      <c r="O88" s="5">
        <v>-52.08</v>
      </c>
      <c r="P88" s="5" t="s">
        <v>246</v>
      </c>
    </row>
    <row r="89" spans="1:16" s="5" customFormat="1" x14ac:dyDescent="0.25">
      <c r="A89" s="5" t="s">
        <v>175</v>
      </c>
      <c r="B89" s="5" t="str">
        <f>CONCATENATE(A89,88)</f>
        <v>8KN0N08RN3888</v>
      </c>
      <c r="C89" s="5" t="s">
        <v>325</v>
      </c>
      <c r="D89" s="5" t="s">
        <v>302</v>
      </c>
      <c r="E89" s="5" t="s">
        <v>326</v>
      </c>
      <c r="F89" s="2" t="str">
        <f>CONCATENATE(E89, " ",C89)</f>
        <v>SHARON NELSEN</v>
      </c>
      <c r="G89" s="5" t="s">
        <v>49</v>
      </c>
      <c r="H89" s="5" t="s">
        <v>28</v>
      </c>
      <c r="I89" s="5" t="s">
        <v>29</v>
      </c>
      <c r="J89" s="6">
        <v>45870</v>
      </c>
      <c r="K89" s="6">
        <v>45870</v>
      </c>
      <c r="L89" s="5">
        <v>20411454</v>
      </c>
      <c r="M89" s="5" t="s">
        <v>358</v>
      </c>
      <c r="N89" s="5">
        <v>-182.5</v>
      </c>
      <c r="O89" s="5">
        <v>-52.08</v>
      </c>
      <c r="P89" s="5" t="s">
        <v>246</v>
      </c>
    </row>
    <row r="90" spans="1:16" s="5" customFormat="1" x14ac:dyDescent="0.25">
      <c r="A90" s="5" t="s">
        <v>179</v>
      </c>
      <c r="B90" s="5" t="str">
        <f>CONCATENATE(A90,88)</f>
        <v>1GP8VJ2JX2888</v>
      </c>
      <c r="C90" s="5" t="s">
        <v>327</v>
      </c>
      <c r="D90" s="5" t="s">
        <v>307</v>
      </c>
      <c r="E90" s="5" t="s">
        <v>328</v>
      </c>
      <c r="F90" s="2" t="str">
        <f>CONCATENATE(E90, " ",C90)</f>
        <v>ANDREW NEY</v>
      </c>
      <c r="G90" s="5" t="s">
        <v>77</v>
      </c>
      <c r="H90" s="5" t="s">
        <v>28</v>
      </c>
      <c r="I90" s="5" t="s">
        <v>29</v>
      </c>
      <c r="J90" s="6">
        <v>45870</v>
      </c>
      <c r="K90" s="6">
        <v>45870</v>
      </c>
      <c r="L90" s="5">
        <v>20411454</v>
      </c>
      <c r="M90" s="5" t="s">
        <v>358</v>
      </c>
      <c r="N90" s="5">
        <v>-182.5</v>
      </c>
      <c r="O90" s="5">
        <v>-52.08</v>
      </c>
      <c r="P90" s="5" t="s">
        <v>246</v>
      </c>
    </row>
    <row r="91" spans="1:16" s="5" customFormat="1" x14ac:dyDescent="0.25">
      <c r="A91" s="5" t="s">
        <v>183</v>
      </c>
      <c r="B91" s="5" t="str">
        <f>CONCATENATE(A91,88)</f>
        <v>3A75NR5PX5488</v>
      </c>
      <c r="C91" s="5" t="s">
        <v>329</v>
      </c>
      <c r="D91" s="5" t="s">
        <v>268</v>
      </c>
      <c r="E91" s="5" t="s">
        <v>330</v>
      </c>
      <c r="F91" s="2" t="str">
        <f>CONCATENATE(E91, " ",C91)</f>
        <v>TERRIE PALAZZO</v>
      </c>
      <c r="G91" s="5" t="s">
        <v>161</v>
      </c>
      <c r="H91" s="5" t="s">
        <v>28</v>
      </c>
      <c r="I91" s="5" t="s">
        <v>29</v>
      </c>
      <c r="J91" s="6">
        <v>45870</v>
      </c>
      <c r="K91" s="6">
        <v>45870</v>
      </c>
      <c r="L91" s="5">
        <v>20411454</v>
      </c>
      <c r="M91" s="5" t="s">
        <v>358</v>
      </c>
      <c r="N91" s="5">
        <v>-182.5</v>
      </c>
      <c r="O91" s="5">
        <v>-52.08</v>
      </c>
      <c r="P91" s="5" t="s">
        <v>246</v>
      </c>
    </row>
    <row r="92" spans="1:16" s="5" customFormat="1" x14ac:dyDescent="0.25">
      <c r="A92" s="5" t="s">
        <v>188</v>
      </c>
      <c r="B92" s="5" t="str">
        <f>CONCATENATE(A92,88)</f>
        <v>6FV6YC3XE4888</v>
      </c>
      <c r="C92" s="5" t="s">
        <v>331</v>
      </c>
      <c r="D92" s="5" t="s">
        <v>302</v>
      </c>
      <c r="E92" s="5" t="s">
        <v>332</v>
      </c>
      <c r="F92" s="2" t="str">
        <f>CONCATENATE(E92, " ",C92)</f>
        <v>GINGER PHILLIPS</v>
      </c>
      <c r="G92" s="5" t="s">
        <v>191</v>
      </c>
      <c r="H92" s="5" t="s">
        <v>28</v>
      </c>
      <c r="I92" s="5" t="s">
        <v>29</v>
      </c>
      <c r="J92" s="6">
        <v>45870</v>
      </c>
      <c r="K92" s="6">
        <v>45870</v>
      </c>
      <c r="L92" s="5">
        <v>20411454</v>
      </c>
      <c r="M92" s="5" t="s">
        <v>358</v>
      </c>
      <c r="N92" s="5">
        <v>-182.5</v>
      </c>
      <c r="O92" s="5">
        <v>-52.08</v>
      </c>
      <c r="P92" s="5" t="s">
        <v>246</v>
      </c>
    </row>
    <row r="93" spans="1:16" s="5" customFormat="1" x14ac:dyDescent="0.25">
      <c r="A93" s="5" t="s">
        <v>216</v>
      </c>
      <c r="B93" s="5" t="str">
        <f>CONCATENATE(A93,88)</f>
        <v>3YD8V07AC5288</v>
      </c>
      <c r="C93" s="5" t="s">
        <v>339</v>
      </c>
      <c r="D93" s="5" t="s">
        <v>273</v>
      </c>
      <c r="E93" s="5" t="s">
        <v>340</v>
      </c>
      <c r="F93" s="2" t="str">
        <f>CONCATENATE(E93, " ",C93)</f>
        <v>NOEL SPASO</v>
      </c>
      <c r="G93" s="5" t="s">
        <v>49</v>
      </c>
      <c r="H93" s="5" t="s">
        <v>28</v>
      </c>
      <c r="I93" s="5" t="s">
        <v>29</v>
      </c>
      <c r="J93" s="6">
        <v>45870</v>
      </c>
      <c r="K93" s="6">
        <v>45870</v>
      </c>
      <c r="L93" s="5">
        <v>20411454</v>
      </c>
      <c r="M93" s="5" t="s">
        <v>358</v>
      </c>
      <c r="N93" s="5">
        <v>-182.5</v>
      </c>
      <c r="O93" s="5">
        <v>-52.08</v>
      </c>
      <c r="P93" s="5" t="s">
        <v>246</v>
      </c>
    </row>
    <row r="94" spans="1:16" s="5" customFormat="1" x14ac:dyDescent="0.25">
      <c r="A94" s="5" t="s">
        <v>220</v>
      </c>
      <c r="B94" s="5" t="str">
        <f>CONCATENATE(A94,88)</f>
        <v>1E71JU9UJ1388</v>
      </c>
      <c r="C94" s="5" t="s">
        <v>339</v>
      </c>
      <c r="D94" s="5" t="s">
        <v>341</v>
      </c>
      <c r="E94" s="5" t="s">
        <v>342</v>
      </c>
      <c r="F94" s="2" t="str">
        <f>CONCATENATE(E94, " ",C94)</f>
        <v>RAYMOND SPASO</v>
      </c>
      <c r="G94" s="5" t="s">
        <v>49</v>
      </c>
      <c r="H94" s="5" t="s">
        <v>28</v>
      </c>
      <c r="I94" s="5" t="s">
        <v>29</v>
      </c>
      <c r="J94" s="6">
        <v>45870</v>
      </c>
      <c r="K94" s="6">
        <v>45870</v>
      </c>
      <c r="L94" s="5">
        <v>20411454</v>
      </c>
      <c r="M94" s="5" t="s">
        <v>358</v>
      </c>
      <c r="N94" s="5">
        <v>-182.5</v>
      </c>
      <c r="O94" s="5">
        <v>-52.08</v>
      </c>
      <c r="P94" s="5" t="s">
        <v>246</v>
      </c>
    </row>
    <row r="95" spans="1:16" s="5" customFormat="1" x14ac:dyDescent="0.25">
      <c r="A95" s="5" t="s">
        <v>230</v>
      </c>
      <c r="B95" s="5" t="str">
        <f>CONCATENATE(A95,88)</f>
        <v>9GQ0UY3DC0288</v>
      </c>
      <c r="C95" s="5" t="s">
        <v>343</v>
      </c>
      <c r="D95" s="5" t="s">
        <v>297</v>
      </c>
      <c r="E95" s="5" t="s">
        <v>315</v>
      </c>
      <c r="F95" s="2" t="str">
        <f>CONCATENATE(E95, " ",C95)</f>
        <v>THOMAS VONBERG</v>
      </c>
      <c r="G95" s="5" t="s">
        <v>106</v>
      </c>
      <c r="H95" s="5" t="s">
        <v>28</v>
      </c>
      <c r="I95" s="5" t="s">
        <v>29</v>
      </c>
      <c r="J95" s="6">
        <v>45870</v>
      </c>
      <c r="K95" s="6">
        <v>45870</v>
      </c>
      <c r="L95" s="5">
        <v>20411454</v>
      </c>
      <c r="M95" s="5" t="s">
        <v>358</v>
      </c>
      <c r="N95" s="5">
        <v>-182.5</v>
      </c>
      <c r="O95" s="5">
        <v>-52.08</v>
      </c>
      <c r="P95" s="5" t="s">
        <v>246</v>
      </c>
    </row>
    <row r="96" spans="1:16" s="5" customFormat="1" x14ac:dyDescent="0.25">
      <c r="A96" s="5" t="s">
        <v>74</v>
      </c>
      <c r="B96" s="5" t="str">
        <f>CONCATENATE(A96,88)</f>
        <v>1WN3JE8UG9388</v>
      </c>
      <c r="C96" s="5" t="s">
        <v>296</v>
      </c>
      <c r="D96" s="5" t="s">
        <v>297</v>
      </c>
      <c r="E96" s="5" t="s">
        <v>298</v>
      </c>
      <c r="F96" s="2" t="str">
        <f>CONCATENATE(E96, " ",C96)</f>
        <v>ELVIRA CACHO</v>
      </c>
      <c r="G96" s="5" t="s">
        <v>77</v>
      </c>
      <c r="H96" s="5" t="s">
        <v>28</v>
      </c>
      <c r="I96" s="5" t="s">
        <v>29</v>
      </c>
      <c r="J96" s="6">
        <v>45870</v>
      </c>
      <c r="K96" s="6">
        <v>45870</v>
      </c>
      <c r="L96" s="5">
        <v>20411454</v>
      </c>
      <c r="M96" s="5" t="s">
        <v>358</v>
      </c>
      <c r="N96" s="5">
        <v>-180.42</v>
      </c>
      <c r="O96" s="5">
        <v>-50</v>
      </c>
      <c r="P96" s="5" t="s">
        <v>246</v>
      </c>
    </row>
    <row r="97" spans="1:16" s="5" customFormat="1" x14ac:dyDescent="0.25">
      <c r="A97" s="5" t="s">
        <v>52</v>
      </c>
      <c r="B97" s="5" t="str">
        <f>CONCATENATE(A97,88)</f>
        <v>2A00K62XD3188</v>
      </c>
      <c r="C97" s="5" t="s">
        <v>306</v>
      </c>
      <c r="D97" s="5" t="s">
        <v>307</v>
      </c>
      <c r="E97" s="5" t="s">
        <v>308</v>
      </c>
      <c r="F97" s="2" t="str">
        <f>CONCATENATE(E97, " ",C97)</f>
        <v>PATRICK BAYSINGER</v>
      </c>
      <c r="G97" s="5" t="s">
        <v>49</v>
      </c>
      <c r="H97" s="5" t="s">
        <v>28</v>
      </c>
      <c r="I97" s="5" t="s">
        <v>29</v>
      </c>
      <c r="J97" s="6">
        <v>45901</v>
      </c>
      <c r="K97" s="6">
        <v>45901</v>
      </c>
      <c r="L97" s="5">
        <v>20411454</v>
      </c>
      <c r="M97" s="5" t="s">
        <v>358</v>
      </c>
      <c r="N97" s="5">
        <v>-146</v>
      </c>
      <c r="O97" s="5">
        <v>-41.67</v>
      </c>
      <c r="P97" s="5" t="s">
        <v>246</v>
      </c>
    </row>
    <row r="98" spans="1:16" s="5" customFormat="1" x14ac:dyDescent="0.25">
      <c r="A98" s="5" t="s">
        <v>57</v>
      </c>
      <c r="B98" s="5" t="str">
        <f>CONCATENATE(A98,88)</f>
        <v>3H39T83UW3888</v>
      </c>
      <c r="C98" s="5" t="s">
        <v>309</v>
      </c>
      <c r="D98" s="5" t="s">
        <v>268</v>
      </c>
      <c r="E98" s="5" t="s">
        <v>310</v>
      </c>
      <c r="F98" s="2" t="str">
        <f>CONCATENATE(E98, " ",C98)</f>
        <v>CHERYL BELLAVIA</v>
      </c>
      <c r="G98" s="5" t="s">
        <v>49</v>
      </c>
      <c r="H98" s="5" t="s">
        <v>28</v>
      </c>
      <c r="I98" s="5" t="s">
        <v>29</v>
      </c>
      <c r="J98" s="6">
        <v>45901</v>
      </c>
      <c r="K98" s="6">
        <v>45901</v>
      </c>
      <c r="L98" s="5">
        <v>20411454</v>
      </c>
      <c r="M98" s="5" t="s">
        <v>358</v>
      </c>
      <c r="N98" s="5">
        <v>-146</v>
      </c>
      <c r="O98" s="5">
        <v>-41.67</v>
      </c>
      <c r="P98" s="5" t="s">
        <v>246</v>
      </c>
    </row>
    <row r="99" spans="1:16" s="5" customFormat="1" x14ac:dyDescent="0.25">
      <c r="A99" s="5" t="s">
        <v>148</v>
      </c>
      <c r="B99" s="5" t="str">
        <f>CONCATENATE(A99,88)</f>
        <v>9YP4P53JY9988</v>
      </c>
      <c r="C99" s="5" t="s">
        <v>321</v>
      </c>
      <c r="D99" s="5" t="s">
        <v>294</v>
      </c>
      <c r="E99" s="5" t="s">
        <v>322</v>
      </c>
      <c r="F99" s="2" t="str">
        <f>CONCATENATE(E99, " ",C99)</f>
        <v>TIM LLOYD</v>
      </c>
      <c r="G99" s="5" t="s">
        <v>151</v>
      </c>
      <c r="H99" s="5" t="s">
        <v>28</v>
      </c>
      <c r="I99" s="5" t="s">
        <v>29</v>
      </c>
      <c r="J99" s="6">
        <v>45901</v>
      </c>
      <c r="K99" s="6">
        <v>45901</v>
      </c>
      <c r="L99" s="5">
        <v>20411454</v>
      </c>
      <c r="M99" s="5" t="s">
        <v>358</v>
      </c>
      <c r="N99" s="5">
        <v>-146</v>
      </c>
      <c r="O99" s="5">
        <v>-41.67</v>
      </c>
      <c r="P99" s="5" t="s">
        <v>246</v>
      </c>
    </row>
    <row r="100" spans="1:16" s="5" customFormat="1" x14ac:dyDescent="0.25">
      <c r="A100" s="5" t="s">
        <v>158</v>
      </c>
      <c r="B100" s="5" t="str">
        <f>CONCATENATE(A100,88)</f>
        <v>5Y17EU3PR7388</v>
      </c>
      <c r="C100" s="5" t="s">
        <v>323</v>
      </c>
      <c r="D100" s="5" t="s">
        <v>268</v>
      </c>
      <c r="E100" s="5" t="s">
        <v>324</v>
      </c>
      <c r="F100" s="2" t="str">
        <f>CONCATENATE(E100, " ",C100)</f>
        <v>NANCY MASCHMEYER</v>
      </c>
      <c r="G100" s="5" t="s">
        <v>161</v>
      </c>
      <c r="H100" s="5" t="s">
        <v>28</v>
      </c>
      <c r="I100" s="5" t="s">
        <v>29</v>
      </c>
      <c r="J100" s="6">
        <v>45901</v>
      </c>
      <c r="K100" s="6">
        <v>45901</v>
      </c>
      <c r="L100" s="5">
        <v>20411454</v>
      </c>
      <c r="M100" s="5" t="s">
        <v>358</v>
      </c>
      <c r="N100" s="5">
        <v>-146</v>
      </c>
      <c r="O100" s="5">
        <v>-41.67</v>
      </c>
      <c r="P100" s="5" t="s">
        <v>246</v>
      </c>
    </row>
    <row r="101" spans="1:16" s="5" customFormat="1" x14ac:dyDescent="0.25">
      <c r="A101" s="5" t="s">
        <v>163</v>
      </c>
      <c r="B101" s="5" t="str">
        <f>CONCATENATE(A101,88)</f>
        <v>4JC8DH2QH3688</v>
      </c>
      <c r="C101" s="5" t="s">
        <v>290</v>
      </c>
      <c r="D101" s="5" t="s">
        <v>291</v>
      </c>
      <c r="E101" s="5" t="s">
        <v>292</v>
      </c>
      <c r="F101" s="2" t="str">
        <f>CONCATENATE(E101, " ",C101)</f>
        <v>LOURDES MIKRUT</v>
      </c>
      <c r="G101" s="5" t="s">
        <v>166</v>
      </c>
      <c r="H101" s="5" t="s">
        <v>28</v>
      </c>
      <c r="I101" s="5" t="s">
        <v>29</v>
      </c>
      <c r="J101" s="6">
        <v>45901</v>
      </c>
      <c r="K101" s="6">
        <v>45901</v>
      </c>
      <c r="L101" s="5">
        <v>20411454</v>
      </c>
      <c r="M101" s="5" t="s">
        <v>358</v>
      </c>
      <c r="N101" s="5">
        <v>-146</v>
      </c>
      <c r="O101" s="5">
        <v>-41.67</v>
      </c>
      <c r="P101" s="5" t="s">
        <v>246</v>
      </c>
    </row>
    <row r="102" spans="1:16" s="5" customFormat="1" x14ac:dyDescent="0.25">
      <c r="A102" s="5" t="s">
        <v>193</v>
      </c>
      <c r="B102" s="5" t="str">
        <f>CONCATENATE(A102,88)</f>
        <v>6JX7CK5PW6488</v>
      </c>
      <c r="C102" s="5" t="s">
        <v>333</v>
      </c>
      <c r="D102" s="5" t="s">
        <v>307</v>
      </c>
      <c r="E102" s="5" t="s">
        <v>334</v>
      </c>
      <c r="F102" s="2" t="str">
        <f>CONCATENATE(E102, " ",C102)</f>
        <v>RUBEN RAY</v>
      </c>
      <c r="G102" s="5" t="s">
        <v>49</v>
      </c>
      <c r="H102" s="5" t="s">
        <v>28</v>
      </c>
      <c r="I102" s="5" t="s">
        <v>29</v>
      </c>
      <c r="J102" s="6">
        <v>45901</v>
      </c>
      <c r="K102" s="6">
        <v>45901</v>
      </c>
      <c r="L102" s="5">
        <v>20411454</v>
      </c>
      <c r="M102" s="5" t="s">
        <v>358</v>
      </c>
      <c r="N102" s="5">
        <v>-146</v>
      </c>
      <c r="O102" s="5">
        <v>-41.67</v>
      </c>
      <c r="P102" s="5" t="s">
        <v>246</v>
      </c>
    </row>
    <row r="103" spans="1:16" s="5" customFormat="1" x14ac:dyDescent="0.25">
      <c r="A103" s="5" t="s">
        <v>198</v>
      </c>
      <c r="B103" s="5" t="str">
        <f>CONCATENATE(A103,88)</f>
        <v>9X63DM2UA9588</v>
      </c>
      <c r="C103" s="5" t="s">
        <v>335</v>
      </c>
      <c r="D103" s="5" t="s">
        <v>294</v>
      </c>
      <c r="E103" s="5" t="s">
        <v>336</v>
      </c>
      <c r="F103" s="2" t="str">
        <f>CONCATENATE(E103, " ",C103)</f>
        <v>DONNA REBOLETTI</v>
      </c>
      <c r="G103" s="5" t="s">
        <v>49</v>
      </c>
      <c r="H103" s="5" t="s">
        <v>28</v>
      </c>
      <c r="I103" s="5" t="s">
        <v>29</v>
      </c>
      <c r="J103" s="6">
        <v>45901</v>
      </c>
      <c r="K103" s="6">
        <v>45901</v>
      </c>
      <c r="L103" s="5">
        <v>20411454</v>
      </c>
      <c r="M103" s="5" t="s">
        <v>358</v>
      </c>
      <c r="N103" s="5">
        <v>-146</v>
      </c>
      <c r="O103" s="5">
        <v>-41.67</v>
      </c>
      <c r="P103" s="5" t="s">
        <v>246</v>
      </c>
    </row>
    <row r="104" spans="1:16" s="5" customFormat="1" x14ac:dyDescent="0.25">
      <c r="A104" s="5" t="s">
        <v>39</v>
      </c>
      <c r="B104" s="5" t="str">
        <f>CONCATENATE(A104,88)</f>
        <v>6U56RQ0HK6288</v>
      </c>
      <c r="C104" s="5" t="s">
        <v>301</v>
      </c>
      <c r="D104" s="5" t="s">
        <v>302</v>
      </c>
      <c r="E104" s="5" t="s">
        <v>303</v>
      </c>
      <c r="F104" s="2" t="str">
        <f>CONCATENATE(E104, " ",C104)</f>
        <v>CHARLOTTE ANDRESKY</v>
      </c>
      <c r="G104" s="5" t="s">
        <v>42</v>
      </c>
      <c r="H104" s="5" t="s">
        <v>28</v>
      </c>
      <c r="I104" s="5" t="s">
        <v>29</v>
      </c>
      <c r="J104" s="6">
        <v>45931</v>
      </c>
      <c r="K104" s="6">
        <v>45931</v>
      </c>
      <c r="L104" s="5">
        <v>20411454</v>
      </c>
      <c r="M104" s="5" t="s">
        <v>358</v>
      </c>
      <c r="N104" s="5">
        <v>-109.5</v>
      </c>
      <c r="O104" s="5">
        <v>-31.25</v>
      </c>
      <c r="P104" s="5" t="s">
        <v>246</v>
      </c>
    </row>
    <row r="105" spans="1:16" s="5" customFormat="1" x14ac:dyDescent="0.25">
      <c r="A105" s="5" t="s">
        <v>237</v>
      </c>
      <c r="B105" s="5" t="str">
        <f>CONCATENATE(A105,88)</f>
        <v>7W25G55WT5588</v>
      </c>
      <c r="C105" s="5" t="s">
        <v>344</v>
      </c>
      <c r="D105" s="5" t="s">
        <v>345</v>
      </c>
      <c r="E105" s="5" t="s">
        <v>310</v>
      </c>
      <c r="F105" s="2" t="str">
        <f>CONCATENATE(E105, " ",C105)</f>
        <v>CHERYL WILLOCKS</v>
      </c>
      <c r="G105" s="5" t="s">
        <v>240</v>
      </c>
      <c r="H105" s="5" t="s">
        <v>28</v>
      </c>
      <c r="I105" s="5" t="s">
        <v>29</v>
      </c>
      <c r="J105" s="6">
        <v>45931</v>
      </c>
      <c r="K105" s="6">
        <v>45931</v>
      </c>
      <c r="L105" s="5">
        <v>20411454</v>
      </c>
      <c r="M105" s="5" t="s">
        <v>358</v>
      </c>
      <c r="N105" s="5">
        <v>-109.5</v>
      </c>
      <c r="O105" s="5">
        <v>-31.25</v>
      </c>
      <c r="P105" s="5" t="s">
        <v>246</v>
      </c>
    </row>
    <row r="106" spans="1:16" s="5" customFormat="1" x14ac:dyDescent="0.25">
      <c r="A106" s="5" t="s">
        <v>116</v>
      </c>
      <c r="B106" s="5" t="str">
        <f>CONCATENATE(A106,88)</f>
        <v>4M51DJ2UG0088</v>
      </c>
      <c r="C106" s="5" t="s">
        <v>353</v>
      </c>
      <c r="D106" s="5" t="s">
        <v>281</v>
      </c>
      <c r="E106" s="5" t="s">
        <v>342</v>
      </c>
      <c r="F106" s="2" t="str">
        <f>CONCATENATE(E106, " ",C106)</f>
        <v>RAYMOND GLACE</v>
      </c>
      <c r="G106" s="5" t="s">
        <v>70</v>
      </c>
      <c r="H106" s="5" t="s">
        <v>28</v>
      </c>
      <c r="I106" s="5" t="s">
        <v>119</v>
      </c>
      <c r="J106" s="6">
        <v>45870</v>
      </c>
      <c r="K106" s="6">
        <v>45870</v>
      </c>
      <c r="L106" s="5">
        <v>20411454</v>
      </c>
      <c r="M106" s="5" t="s">
        <v>358</v>
      </c>
      <c r="N106" s="5">
        <v>-16.670000000000002</v>
      </c>
      <c r="O106" s="5">
        <v>-16.670000000000002</v>
      </c>
      <c r="P106" s="5" t="s">
        <v>246</v>
      </c>
    </row>
    <row r="107" spans="1:16" s="5" customFormat="1" x14ac:dyDescent="0.25">
      <c r="A107" s="5" t="s">
        <v>122</v>
      </c>
      <c r="B107" s="5" t="str">
        <f>CONCATENATE(A107,88)</f>
        <v>9UU4RR7AQ6688</v>
      </c>
      <c r="C107" s="5" t="s">
        <v>354</v>
      </c>
      <c r="D107" s="5" t="s">
        <v>355</v>
      </c>
      <c r="E107" s="5" t="s">
        <v>277</v>
      </c>
      <c r="F107" s="2" t="str">
        <f>CONCATENATE(E107, " ",C107)</f>
        <v>JOHN HANCHOSKY</v>
      </c>
      <c r="G107" s="5" t="s">
        <v>70</v>
      </c>
      <c r="H107" s="5" t="s">
        <v>28</v>
      </c>
      <c r="I107" s="5" t="s">
        <v>119</v>
      </c>
      <c r="J107" s="6">
        <v>45870</v>
      </c>
      <c r="K107" s="6">
        <v>45870</v>
      </c>
      <c r="L107" s="5">
        <v>20411454</v>
      </c>
      <c r="M107" s="5" t="s">
        <v>358</v>
      </c>
      <c r="N107" s="5">
        <v>-16.670000000000002</v>
      </c>
      <c r="O107" s="5">
        <v>-16.670000000000002</v>
      </c>
      <c r="P107" s="5" t="s">
        <v>246</v>
      </c>
    </row>
    <row r="108" spans="1:16" s="5" customFormat="1" x14ac:dyDescent="0.25">
      <c r="A108" s="5" t="s">
        <v>143</v>
      </c>
      <c r="B108" s="5" t="str">
        <f>CONCATENATE(A108,88)</f>
        <v>5PV1CY7XR9888</v>
      </c>
      <c r="C108" s="5" t="s">
        <v>356</v>
      </c>
      <c r="D108" s="5" t="s">
        <v>302</v>
      </c>
      <c r="E108" s="5" t="s">
        <v>357</v>
      </c>
      <c r="F108" s="2" t="str">
        <f>CONCATENATE(E108, " ",C108)</f>
        <v>SUSAN LEINENBACH</v>
      </c>
      <c r="G108" s="5" t="s">
        <v>70</v>
      </c>
      <c r="H108" s="5" t="s">
        <v>28</v>
      </c>
      <c r="I108" s="5" t="s">
        <v>29</v>
      </c>
      <c r="J108" s="6">
        <v>45870</v>
      </c>
      <c r="K108" s="6">
        <v>45870</v>
      </c>
      <c r="L108" s="5">
        <v>20411454</v>
      </c>
      <c r="M108" s="5" t="s">
        <v>358</v>
      </c>
      <c r="N108" s="5">
        <v>-16.670000000000002</v>
      </c>
      <c r="O108" s="5">
        <v>-16.670000000000002</v>
      </c>
      <c r="P108" s="5" t="s">
        <v>246</v>
      </c>
    </row>
    <row r="109" spans="1:16" s="5" customFormat="1" x14ac:dyDescent="0.25">
      <c r="A109" s="5" t="s">
        <v>116</v>
      </c>
      <c r="B109" s="5" t="str">
        <f>CONCATENATE(A109,88)</f>
        <v>4M51DJ2UG0088</v>
      </c>
      <c r="C109" s="5" t="s">
        <v>353</v>
      </c>
      <c r="D109" s="5" t="s">
        <v>281</v>
      </c>
      <c r="E109" s="5" t="s">
        <v>342</v>
      </c>
      <c r="F109" s="2" t="str">
        <f>CONCATENATE(E109, " ",C109)</f>
        <v>RAYMOND GLACE</v>
      </c>
      <c r="G109" s="5" t="s">
        <v>70</v>
      </c>
      <c r="H109" s="5" t="s">
        <v>37</v>
      </c>
      <c r="I109" s="5" t="s">
        <v>119</v>
      </c>
      <c r="J109" s="6">
        <v>45870</v>
      </c>
      <c r="K109" s="6">
        <v>45870</v>
      </c>
      <c r="L109" s="5">
        <v>20411454</v>
      </c>
      <c r="M109" s="5" t="s">
        <v>358</v>
      </c>
      <c r="N109" s="5">
        <v>40</v>
      </c>
      <c r="O109" s="5">
        <v>40</v>
      </c>
      <c r="P109" s="5" t="s">
        <v>246</v>
      </c>
    </row>
    <row r="110" spans="1:16" s="5" customFormat="1" x14ac:dyDescent="0.25">
      <c r="A110" s="5" t="s">
        <v>122</v>
      </c>
      <c r="B110" s="5" t="str">
        <f>CONCATENATE(A110,88)</f>
        <v>9UU4RR7AQ6688</v>
      </c>
      <c r="C110" s="5" t="s">
        <v>354</v>
      </c>
      <c r="D110" s="5" t="s">
        <v>355</v>
      </c>
      <c r="E110" s="5" t="s">
        <v>277</v>
      </c>
      <c r="F110" s="2" t="str">
        <f>CONCATENATE(E110, " ",C110)</f>
        <v>JOHN HANCHOSKY</v>
      </c>
      <c r="G110" s="5" t="s">
        <v>70</v>
      </c>
      <c r="H110" s="5" t="s">
        <v>37</v>
      </c>
      <c r="I110" s="5" t="s">
        <v>119</v>
      </c>
      <c r="J110" s="6">
        <v>45870</v>
      </c>
      <c r="K110" s="6">
        <v>45870</v>
      </c>
      <c r="L110" s="5">
        <v>20411454</v>
      </c>
      <c r="M110" s="5" t="s">
        <v>358</v>
      </c>
      <c r="N110" s="5">
        <v>40</v>
      </c>
      <c r="O110" s="5">
        <v>40</v>
      </c>
      <c r="P110" s="5" t="s">
        <v>246</v>
      </c>
    </row>
    <row r="111" spans="1:16" s="5" customFormat="1" x14ac:dyDescent="0.25">
      <c r="A111" s="5" t="s">
        <v>143</v>
      </c>
      <c r="B111" s="5" t="str">
        <f>CONCATENATE(A111,88)</f>
        <v>5PV1CY7XR9888</v>
      </c>
      <c r="C111" s="5" t="s">
        <v>356</v>
      </c>
      <c r="D111" s="5" t="s">
        <v>302</v>
      </c>
      <c r="E111" s="5" t="s">
        <v>357</v>
      </c>
      <c r="F111" s="2" t="str">
        <f>CONCATENATE(E111, " ",C111)</f>
        <v>SUSAN LEINENBACH</v>
      </c>
      <c r="G111" s="5" t="s">
        <v>70</v>
      </c>
      <c r="H111" s="5" t="s">
        <v>37</v>
      </c>
      <c r="I111" s="5" t="s">
        <v>29</v>
      </c>
      <c r="J111" s="6">
        <v>45870</v>
      </c>
      <c r="K111" s="6">
        <v>45870</v>
      </c>
      <c r="L111" s="5">
        <v>20411454</v>
      </c>
      <c r="M111" s="5" t="s">
        <v>358</v>
      </c>
      <c r="N111" s="5">
        <v>40</v>
      </c>
      <c r="O111" s="5">
        <v>40</v>
      </c>
      <c r="P111" s="5" t="s">
        <v>246</v>
      </c>
    </row>
    <row r="112" spans="1:16" s="5" customFormat="1" x14ac:dyDescent="0.25">
      <c r="A112" s="5" t="s">
        <v>88</v>
      </c>
      <c r="B112" s="5" t="str">
        <f>CONCATENATE(A112,88)</f>
        <v>7NJ9KC2GK3488</v>
      </c>
      <c r="C112" s="5" t="s">
        <v>346</v>
      </c>
      <c r="D112" s="5" t="s">
        <v>347</v>
      </c>
      <c r="E112" s="5" t="s">
        <v>348</v>
      </c>
      <c r="F112" s="2" t="str">
        <f>CONCATENATE(E112, " ",C112)</f>
        <v>MICHAEL DAUGHERTY</v>
      </c>
      <c r="G112" s="5" t="s">
        <v>77</v>
      </c>
      <c r="H112" s="5" t="s">
        <v>91</v>
      </c>
      <c r="I112" s="5" t="s">
        <v>29</v>
      </c>
      <c r="J112" s="6">
        <v>45931</v>
      </c>
      <c r="K112" s="6">
        <v>45931</v>
      </c>
      <c r="L112" s="5">
        <v>20411454</v>
      </c>
      <c r="M112" s="5" t="s">
        <v>358</v>
      </c>
      <c r="N112" s="5">
        <v>109.5</v>
      </c>
      <c r="O112" s="5">
        <v>31.25</v>
      </c>
      <c r="P112" s="5" t="s">
        <v>246</v>
      </c>
    </row>
    <row r="113" spans="1:16" s="5" customFormat="1" x14ac:dyDescent="0.25">
      <c r="A113" s="5" t="s">
        <v>98</v>
      </c>
      <c r="B113" s="5" t="str">
        <f>CONCATENATE(A113,88)</f>
        <v>2YT3WA2RQ0588</v>
      </c>
      <c r="C113" s="5" t="s">
        <v>349</v>
      </c>
      <c r="D113" s="5" t="s">
        <v>281</v>
      </c>
      <c r="E113" s="5" t="s">
        <v>350</v>
      </c>
      <c r="F113" s="2" t="str">
        <f>CONCATENATE(E113, " ",C113)</f>
        <v>REBECCA FERTIG</v>
      </c>
      <c r="G113" s="5" t="s">
        <v>101</v>
      </c>
      <c r="H113" s="5" t="s">
        <v>91</v>
      </c>
      <c r="I113" s="5" t="s">
        <v>29</v>
      </c>
      <c r="J113" s="6">
        <v>45931</v>
      </c>
      <c r="K113" s="6">
        <v>45931</v>
      </c>
      <c r="L113" s="5">
        <v>20411454</v>
      </c>
      <c r="M113" s="5" t="s">
        <v>358</v>
      </c>
      <c r="N113" s="5">
        <v>109.5</v>
      </c>
      <c r="O113" s="5">
        <v>31.25</v>
      </c>
      <c r="P113" s="5" t="s">
        <v>246</v>
      </c>
    </row>
    <row r="114" spans="1:16" s="5" customFormat="1" x14ac:dyDescent="0.25">
      <c r="A114" s="5" t="s">
        <v>211</v>
      </c>
      <c r="B114" s="5" t="str">
        <f>CONCATENATE(A114,88)</f>
        <v>6UJ5U19JX8388</v>
      </c>
      <c r="C114" s="5" t="s">
        <v>283</v>
      </c>
      <c r="D114" s="5" t="s">
        <v>268</v>
      </c>
      <c r="E114" s="5" t="s">
        <v>284</v>
      </c>
      <c r="F114" s="2" t="str">
        <f>CONCATENATE(E114, " ",C114)</f>
        <v>BELINDA SCOTT</v>
      </c>
      <c r="G114" s="5" t="s">
        <v>70</v>
      </c>
      <c r="H114" s="5" t="s">
        <v>91</v>
      </c>
      <c r="I114" s="5" t="s">
        <v>29</v>
      </c>
      <c r="J114" s="6">
        <v>45931</v>
      </c>
      <c r="K114" s="6">
        <v>45931</v>
      </c>
      <c r="L114" s="5">
        <v>20411454</v>
      </c>
      <c r="M114" s="5" t="s">
        <v>358</v>
      </c>
      <c r="N114" s="5">
        <v>119.5</v>
      </c>
      <c r="O114" s="5">
        <v>31.25</v>
      </c>
      <c r="P114" s="5" t="s">
        <v>246</v>
      </c>
    </row>
    <row r="115" spans="1:16" s="5" customFormat="1" x14ac:dyDescent="0.25">
      <c r="A115" s="5" t="s">
        <v>138</v>
      </c>
      <c r="B115" s="5" t="str">
        <f>CONCATENATE(A115,88)</f>
        <v>9H63MH5XV8188</v>
      </c>
      <c r="C115" s="5" t="s">
        <v>351</v>
      </c>
      <c r="D115" s="5" t="s">
        <v>281</v>
      </c>
      <c r="E115" s="5" t="s">
        <v>352</v>
      </c>
      <c r="F115" s="2" t="str">
        <f>CONCATENATE(E115, " ",C115)</f>
        <v>TAMMY LAPIER</v>
      </c>
      <c r="G115" s="5" t="s">
        <v>49</v>
      </c>
      <c r="H115" s="5" t="s">
        <v>91</v>
      </c>
      <c r="I115" s="5" t="s">
        <v>29</v>
      </c>
      <c r="J115" s="6">
        <v>45901</v>
      </c>
      <c r="K115" s="6">
        <v>45901</v>
      </c>
      <c r="L115" s="5">
        <v>20411454</v>
      </c>
      <c r="M115" s="5" t="s">
        <v>358</v>
      </c>
      <c r="N115" s="5">
        <v>144.33000000000001</v>
      </c>
      <c r="O115" s="5">
        <f>144.33-104.33</f>
        <v>40.000000000000014</v>
      </c>
      <c r="P115" s="5" t="s">
        <v>246</v>
      </c>
    </row>
    <row r="116" spans="1:16" s="5" customFormat="1" x14ac:dyDescent="0.25">
      <c r="A116" s="5" t="s">
        <v>125</v>
      </c>
      <c r="B116" s="5" t="str">
        <f>CONCATENATE(A116,88)</f>
        <v>6PR3G04HT9688</v>
      </c>
      <c r="C116" s="5" t="s">
        <v>285</v>
      </c>
      <c r="D116" s="5" t="s">
        <v>265</v>
      </c>
      <c r="E116" s="5" t="s">
        <v>286</v>
      </c>
      <c r="F116" s="2" t="str">
        <f>CONCATENATE(E116, " ",C116)</f>
        <v>TRACEY HODGE</v>
      </c>
      <c r="G116" s="5" t="s">
        <v>70</v>
      </c>
      <c r="H116" s="5" t="s">
        <v>91</v>
      </c>
      <c r="I116" s="5" t="s">
        <v>29</v>
      </c>
      <c r="J116" s="6">
        <v>45870</v>
      </c>
      <c r="K116" s="6">
        <v>45870</v>
      </c>
      <c r="L116" s="5">
        <v>20411454</v>
      </c>
      <c r="M116" s="5" t="s">
        <v>358</v>
      </c>
      <c r="N116" s="5">
        <v>197.08</v>
      </c>
      <c r="O116" s="5">
        <v>50</v>
      </c>
      <c r="P116" s="5" t="s">
        <v>246</v>
      </c>
    </row>
    <row r="117" spans="1:16" s="5" customFormat="1" x14ac:dyDescent="0.25">
      <c r="A117" s="5" t="s">
        <v>163</v>
      </c>
      <c r="B117" s="5" t="str">
        <f>CONCATENATE(A117,88)</f>
        <v>4JC8DH2QH3688</v>
      </c>
      <c r="C117" s="5" t="s">
        <v>290</v>
      </c>
      <c r="D117" s="5" t="s">
        <v>291</v>
      </c>
      <c r="E117" s="5" t="s">
        <v>292</v>
      </c>
      <c r="F117" s="2" t="str">
        <f>CONCATENATE(E117, " ",C117)</f>
        <v>LOURDES MIKRUT</v>
      </c>
      <c r="G117" s="5" t="s">
        <v>166</v>
      </c>
      <c r="H117" s="5" t="s">
        <v>109</v>
      </c>
      <c r="I117" s="5" t="s">
        <v>29</v>
      </c>
      <c r="J117" s="6">
        <v>45901</v>
      </c>
      <c r="K117" s="6">
        <v>45901</v>
      </c>
      <c r="L117" s="5">
        <v>20411454</v>
      </c>
      <c r="M117" s="5" t="s">
        <v>358</v>
      </c>
      <c r="N117" s="5">
        <v>250.33</v>
      </c>
      <c r="O117" s="5">
        <v>41.67</v>
      </c>
      <c r="P117" s="5" t="s">
        <v>246</v>
      </c>
    </row>
    <row r="118" spans="1:16" s="5" customFormat="1" x14ac:dyDescent="0.25">
      <c r="A118" s="5" t="s">
        <v>103</v>
      </c>
      <c r="B118" s="5" t="str">
        <f>CONCATENATE(A118,88)</f>
        <v>6WG0NV5YF1888</v>
      </c>
      <c r="C118" s="5" t="s">
        <v>293</v>
      </c>
      <c r="D118" s="5" t="s">
        <v>294</v>
      </c>
      <c r="E118" s="5" t="s">
        <v>295</v>
      </c>
      <c r="F118" s="2" t="str">
        <f>CONCATENATE(E118, " ",C118)</f>
        <v>KATHERINE FOLTZ</v>
      </c>
      <c r="G118" s="5" t="s">
        <v>106</v>
      </c>
      <c r="H118" s="5" t="s">
        <v>109</v>
      </c>
      <c r="I118" s="5" t="s">
        <v>29</v>
      </c>
      <c r="J118" s="6">
        <v>45870</v>
      </c>
      <c r="K118" s="6">
        <v>45870</v>
      </c>
      <c r="L118" s="5">
        <v>20411454</v>
      </c>
      <c r="M118" s="5" t="s">
        <v>358</v>
      </c>
      <c r="N118" s="5">
        <v>312.92</v>
      </c>
      <c r="O118" s="5">
        <v>52.08</v>
      </c>
      <c r="P118" s="5" t="s">
        <v>246</v>
      </c>
    </row>
    <row r="119" spans="1:16" s="5" customFormat="1" x14ac:dyDescent="0.25">
      <c r="A119" s="5" t="s">
        <v>223</v>
      </c>
      <c r="B119" s="5" t="str">
        <f>CONCATENATE(A119,88)</f>
        <v>7DR9WP2MF3688</v>
      </c>
      <c r="C119" s="5" t="s">
        <v>264</v>
      </c>
      <c r="D119" s="5" t="s">
        <v>265</v>
      </c>
      <c r="E119" s="5" t="s">
        <v>266</v>
      </c>
      <c r="F119" s="2" t="str">
        <f>CONCATENATE(E119, " ",C119)</f>
        <v>DEBORAH STUDEBAKER</v>
      </c>
      <c r="G119" s="5" t="s">
        <v>226</v>
      </c>
      <c r="H119" s="5" t="s">
        <v>109</v>
      </c>
      <c r="I119" s="5" t="s">
        <v>29</v>
      </c>
      <c r="J119" s="6">
        <v>45870</v>
      </c>
      <c r="K119" s="6">
        <v>45870</v>
      </c>
      <c r="L119" s="5">
        <v>20411454</v>
      </c>
      <c r="M119" s="5" t="s">
        <v>358</v>
      </c>
      <c r="N119" s="5">
        <v>381.25</v>
      </c>
      <c r="O119" s="5">
        <v>56.25</v>
      </c>
      <c r="P119" s="5" t="s">
        <v>246</v>
      </c>
    </row>
    <row r="120" spans="1:16" s="5" customFormat="1" x14ac:dyDescent="0.25">
      <c r="A120" s="5" t="s">
        <v>201</v>
      </c>
      <c r="B120" s="5" t="str">
        <f>CONCATENATE(A120,88)</f>
        <v>9XY9RC6QF1288</v>
      </c>
      <c r="C120" s="5" t="s">
        <v>287</v>
      </c>
      <c r="D120" s="5" t="s">
        <v>288</v>
      </c>
      <c r="E120" s="5" t="s">
        <v>289</v>
      </c>
      <c r="F120" s="2" t="str">
        <f>CONCATENATE(E120, " ",C120)</f>
        <v>RONALD RHODEN</v>
      </c>
      <c r="G120" s="5" t="s">
        <v>84</v>
      </c>
      <c r="H120" s="5" t="s">
        <v>204</v>
      </c>
      <c r="I120" s="5" t="s">
        <v>119</v>
      </c>
      <c r="J120" s="6">
        <v>45658</v>
      </c>
      <c r="K120" s="6">
        <v>45658</v>
      </c>
      <c r="L120" s="5">
        <v>20411454</v>
      </c>
      <c r="M120" s="5" t="s">
        <v>358</v>
      </c>
      <c r="N120" s="5">
        <v>500.67</v>
      </c>
      <c r="O120" s="5">
        <v>83.33</v>
      </c>
      <c r="P120" s="5" t="s">
        <v>246</v>
      </c>
    </row>
    <row r="121" spans="1:16" s="5" customFormat="1" x14ac:dyDescent="0.25">
      <c r="A121" s="5" t="s">
        <v>74</v>
      </c>
      <c r="B121" s="5" t="str">
        <f>CONCATENATE(A121,88)</f>
        <v>1WN3JE8UG9388</v>
      </c>
      <c r="C121" s="5" t="s">
        <v>296</v>
      </c>
      <c r="D121" s="5" t="s">
        <v>297</v>
      </c>
      <c r="E121" s="5" t="s">
        <v>298</v>
      </c>
      <c r="F121" s="2" t="str">
        <f>CONCATENATE(E121, " ",C121)</f>
        <v>ELVIRA CACHO</v>
      </c>
      <c r="G121" s="5" t="s">
        <v>77</v>
      </c>
      <c r="H121" s="5" t="s">
        <v>37</v>
      </c>
      <c r="I121" s="5" t="s">
        <v>29</v>
      </c>
      <c r="J121" s="6">
        <v>45870</v>
      </c>
      <c r="K121" s="6">
        <v>45870</v>
      </c>
      <c r="L121" s="5">
        <v>20411454</v>
      </c>
      <c r="M121" s="5" t="s">
        <v>358</v>
      </c>
      <c r="N121" s="5">
        <v>746</v>
      </c>
      <c r="O121" s="5">
        <f>746-626</f>
        <v>120</v>
      </c>
      <c r="P121" s="5" t="s">
        <v>246</v>
      </c>
    </row>
    <row r="122" spans="1:16" s="5" customFormat="1" x14ac:dyDescent="0.25">
      <c r="A122" s="5" t="s">
        <v>24</v>
      </c>
      <c r="B122" s="5" t="str">
        <f>CONCATENATE(A122,88)</f>
        <v>6PG1UR9VD2688</v>
      </c>
      <c r="C122" s="5" t="s">
        <v>299</v>
      </c>
      <c r="D122" s="5" t="s">
        <v>294</v>
      </c>
      <c r="E122" s="5" t="s">
        <v>300</v>
      </c>
      <c r="F122" s="2" t="str">
        <f>CONCATENATE(E122, " ",C122)</f>
        <v>GENETTE AFFRUNTI</v>
      </c>
      <c r="G122" s="5" t="s">
        <v>27</v>
      </c>
      <c r="H122" s="5" t="s">
        <v>37</v>
      </c>
      <c r="I122" s="5" t="s">
        <v>29</v>
      </c>
      <c r="J122" s="6">
        <v>45870</v>
      </c>
      <c r="K122" s="6">
        <v>45870</v>
      </c>
      <c r="L122" s="5">
        <v>20411454</v>
      </c>
      <c r="M122" s="5" t="s">
        <v>358</v>
      </c>
      <c r="N122" s="5">
        <v>751</v>
      </c>
      <c r="O122" s="5">
        <v>125</v>
      </c>
      <c r="P122" s="5" t="s">
        <v>246</v>
      </c>
    </row>
    <row r="123" spans="1:16" s="5" customFormat="1" x14ac:dyDescent="0.25">
      <c r="A123" s="5" t="s">
        <v>39</v>
      </c>
      <c r="B123" s="5" t="str">
        <f>CONCATENATE(A123,88)</f>
        <v>6U56RQ0HK6288</v>
      </c>
      <c r="C123" s="5" t="s">
        <v>301</v>
      </c>
      <c r="D123" s="5" t="s">
        <v>302</v>
      </c>
      <c r="E123" s="5" t="s">
        <v>303</v>
      </c>
      <c r="F123" s="2" t="str">
        <f>CONCATENATE(E123, " ",C123)</f>
        <v>CHARLOTTE ANDRESKY</v>
      </c>
      <c r="G123" s="5" t="s">
        <v>42</v>
      </c>
      <c r="H123" s="5" t="s">
        <v>37</v>
      </c>
      <c r="I123" s="5" t="s">
        <v>29</v>
      </c>
      <c r="J123" s="6">
        <v>45931</v>
      </c>
      <c r="K123" s="6">
        <v>45931</v>
      </c>
      <c r="L123" s="5">
        <v>20411454</v>
      </c>
      <c r="M123" s="5" t="s">
        <v>358</v>
      </c>
      <c r="N123" s="5">
        <v>751</v>
      </c>
      <c r="O123" s="5">
        <v>125</v>
      </c>
      <c r="P123" s="5" t="s">
        <v>246</v>
      </c>
    </row>
    <row r="124" spans="1:16" s="5" customFormat="1" x14ac:dyDescent="0.25">
      <c r="A124" s="5" t="s">
        <v>46</v>
      </c>
      <c r="B124" s="5" t="str">
        <f>CONCATENATE(A124,88)</f>
        <v>6VE4UE1UP6388</v>
      </c>
      <c r="C124" s="5" t="s">
        <v>304</v>
      </c>
      <c r="D124" s="5" t="s">
        <v>273</v>
      </c>
      <c r="E124" s="5" t="s">
        <v>305</v>
      </c>
      <c r="F124" s="2" t="str">
        <f>CONCATENATE(E124, " ",C124)</f>
        <v>DIANNE BALOUGH</v>
      </c>
      <c r="G124" s="5" t="s">
        <v>49</v>
      </c>
      <c r="H124" s="5" t="s">
        <v>37</v>
      </c>
      <c r="I124" s="5" t="s">
        <v>29</v>
      </c>
      <c r="J124" s="6">
        <v>45870</v>
      </c>
      <c r="K124" s="6">
        <v>45870</v>
      </c>
      <c r="L124" s="5">
        <v>20411454</v>
      </c>
      <c r="M124" s="5" t="s">
        <v>358</v>
      </c>
      <c r="N124" s="5">
        <v>751</v>
      </c>
      <c r="O124" s="5">
        <v>125</v>
      </c>
      <c r="P124" s="5" t="s">
        <v>246</v>
      </c>
    </row>
    <row r="125" spans="1:16" s="5" customFormat="1" x14ac:dyDescent="0.25">
      <c r="A125" s="5" t="s">
        <v>52</v>
      </c>
      <c r="B125" s="5" t="str">
        <f>CONCATENATE(A125,88)</f>
        <v>2A00K62XD3188</v>
      </c>
      <c r="C125" s="5" t="s">
        <v>306</v>
      </c>
      <c r="D125" s="5" t="s">
        <v>307</v>
      </c>
      <c r="E125" s="5" t="s">
        <v>308</v>
      </c>
      <c r="F125" s="2" t="str">
        <f>CONCATENATE(E125, " ",C125)</f>
        <v>PATRICK BAYSINGER</v>
      </c>
      <c r="G125" s="5" t="s">
        <v>49</v>
      </c>
      <c r="H125" s="5" t="s">
        <v>37</v>
      </c>
      <c r="I125" s="5" t="s">
        <v>29</v>
      </c>
      <c r="J125" s="6">
        <v>45901</v>
      </c>
      <c r="K125" s="6">
        <v>45901</v>
      </c>
      <c r="L125" s="5">
        <v>20411454</v>
      </c>
      <c r="M125" s="5" t="s">
        <v>358</v>
      </c>
      <c r="N125" s="5">
        <v>751</v>
      </c>
      <c r="O125" s="5">
        <v>125</v>
      </c>
      <c r="P125" s="5" t="s">
        <v>246</v>
      </c>
    </row>
    <row r="126" spans="1:16" s="5" customFormat="1" x14ac:dyDescent="0.25">
      <c r="A126" s="5" t="s">
        <v>57</v>
      </c>
      <c r="B126" s="5" t="str">
        <f>CONCATENATE(A126,88)</f>
        <v>3H39T83UW3888</v>
      </c>
      <c r="C126" s="5" t="s">
        <v>309</v>
      </c>
      <c r="D126" s="5" t="s">
        <v>268</v>
      </c>
      <c r="E126" s="5" t="s">
        <v>310</v>
      </c>
      <c r="F126" s="2" t="str">
        <f>CONCATENATE(E126, " ",C126)</f>
        <v>CHERYL BELLAVIA</v>
      </c>
      <c r="G126" s="5" t="s">
        <v>49</v>
      </c>
      <c r="H126" s="5" t="s">
        <v>37</v>
      </c>
      <c r="I126" s="5" t="s">
        <v>29</v>
      </c>
      <c r="J126" s="6">
        <v>45901</v>
      </c>
      <c r="K126" s="6">
        <v>45901</v>
      </c>
      <c r="L126" s="5">
        <v>20411454</v>
      </c>
      <c r="M126" s="5" t="s">
        <v>358</v>
      </c>
      <c r="N126" s="5">
        <v>751</v>
      </c>
      <c r="O126" s="5">
        <v>125</v>
      </c>
      <c r="P126" s="5" t="s">
        <v>246</v>
      </c>
    </row>
    <row r="127" spans="1:16" s="5" customFormat="1" x14ac:dyDescent="0.25">
      <c r="A127" s="5" t="s">
        <v>62</v>
      </c>
      <c r="B127" s="5" t="str">
        <f>CONCATENATE(A127,88)</f>
        <v>8TT8NJ8GH5988</v>
      </c>
      <c r="C127" s="5" t="s">
        <v>311</v>
      </c>
      <c r="D127" s="5" t="s">
        <v>312</v>
      </c>
      <c r="E127" s="5" t="s">
        <v>289</v>
      </c>
      <c r="F127" s="2" t="str">
        <f>CONCATENATE(E127, " ",C127)</f>
        <v>RONALD BEND</v>
      </c>
      <c r="G127" s="5" t="s">
        <v>49</v>
      </c>
      <c r="H127" s="5" t="s">
        <v>37</v>
      </c>
      <c r="I127" s="5" t="s">
        <v>29</v>
      </c>
      <c r="J127" s="6">
        <v>45870</v>
      </c>
      <c r="K127" s="6">
        <v>45870</v>
      </c>
      <c r="L127" s="5">
        <v>20411454</v>
      </c>
      <c r="M127" s="5" t="s">
        <v>358</v>
      </c>
      <c r="N127" s="5">
        <v>751</v>
      </c>
      <c r="O127" s="5">
        <v>125</v>
      </c>
      <c r="P127" s="5" t="s">
        <v>246</v>
      </c>
    </row>
    <row r="128" spans="1:16" s="5" customFormat="1" x14ac:dyDescent="0.25">
      <c r="A128" s="5" t="s">
        <v>81</v>
      </c>
      <c r="B128" s="5" t="str">
        <f>CONCATENATE(A128,88)</f>
        <v>7EC3VX6TE0288</v>
      </c>
      <c r="C128" s="5" t="s">
        <v>313</v>
      </c>
      <c r="D128" s="5" t="s">
        <v>314</v>
      </c>
      <c r="E128" s="5" t="s">
        <v>315</v>
      </c>
      <c r="F128" s="2" t="str">
        <f>CONCATENATE(E128, " ",C128)</f>
        <v>THOMAS DANIELS</v>
      </c>
      <c r="G128" s="5" t="s">
        <v>84</v>
      </c>
      <c r="H128" s="5" t="s">
        <v>37</v>
      </c>
      <c r="I128" s="5" t="s">
        <v>29</v>
      </c>
      <c r="J128" s="6">
        <v>45870</v>
      </c>
      <c r="K128" s="6">
        <v>45870</v>
      </c>
      <c r="L128" s="5">
        <v>20411454</v>
      </c>
      <c r="M128" s="5" t="s">
        <v>358</v>
      </c>
      <c r="N128" s="5">
        <v>751</v>
      </c>
      <c r="O128" s="5">
        <v>125</v>
      </c>
      <c r="P128" s="5" t="s">
        <v>246</v>
      </c>
    </row>
    <row r="129" spans="1:16" s="5" customFormat="1" x14ac:dyDescent="0.25">
      <c r="A129" s="5" t="s">
        <v>110</v>
      </c>
      <c r="B129" s="5" t="str">
        <f>CONCATENATE(A129,88)</f>
        <v>7WN5XG5GV9488</v>
      </c>
      <c r="C129" s="5" t="s">
        <v>316</v>
      </c>
      <c r="D129" s="5" t="s">
        <v>312</v>
      </c>
      <c r="E129" s="5" t="s">
        <v>317</v>
      </c>
      <c r="F129" s="2" t="str">
        <f>CONCATENATE(E129, " ",C129)</f>
        <v>DAVID FRY</v>
      </c>
      <c r="G129" s="5" t="s">
        <v>113</v>
      </c>
      <c r="H129" s="5" t="s">
        <v>37</v>
      </c>
      <c r="I129" s="5" t="s">
        <v>29</v>
      </c>
      <c r="J129" s="6">
        <v>45870</v>
      </c>
      <c r="K129" s="6">
        <v>45870</v>
      </c>
      <c r="L129" s="5">
        <v>20411454</v>
      </c>
      <c r="M129" s="5" t="s">
        <v>358</v>
      </c>
      <c r="N129" s="5">
        <v>751</v>
      </c>
      <c r="O129" s="5">
        <v>125</v>
      </c>
      <c r="P129" s="5" t="s">
        <v>246</v>
      </c>
    </row>
    <row r="130" spans="1:16" s="5" customFormat="1" x14ac:dyDescent="0.25">
      <c r="A130" s="5" t="s">
        <v>130</v>
      </c>
      <c r="B130" s="5" t="str">
        <f>CONCATENATE(A130,88)</f>
        <v>7E60RN2NR4788</v>
      </c>
      <c r="C130" s="5" t="s">
        <v>318</v>
      </c>
      <c r="D130" s="5" t="s">
        <v>319</v>
      </c>
      <c r="E130" s="5" t="s">
        <v>320</v>
      </c>
      <c r="F130" s="2" t="str">
        <f>CONCATENATE(E130, " ",C130)</f>
        <v>ANN JOHNSON</v>
      </c>
      <c r="G130" s="5" t="s">
        <v>49</v>
      </c>
      <c r="H130" s="5" t="s">
        <v>37</v>
      </c>
      <c r="I130" s="5" t="s">
        <v>29</v>
      </c>
      <c r="J130" s="6">
        <v>45870</v>
      </c>
      <c r="K130" s="6">
        <v>45870</v>
      </c>
      <c r="L130" s="5">
        <v>20411454</v>
      </c>
      <c r="M130" s="5" t="s">
        <v>358</v>
      </c>
      <c r="N130" s="5">
        <v>751</v>
      </c>
      <c r="O130" s="5">
        <v>125</v>
      </c>
      <c r="P130" s="5" t="s">
        <v>246</v>
      </c>
    </row>
    <row r="131" spans="1:16" s="5" customFormat="1" x14ac:dyDescent="0.25">
      <c r="A131" s="5" t="s">
        <v>148</v>
      </c>
      <c r="B131" s="5" t="str">
        <f>CONCATENATE(A131,88)</f>
        <v>9YP4P53JY9988</v>
      </c>
      <c r="C131" s="5" t="s">
        <v>321</v>
      </c>
      <c r="D131" s="5" t="s">
        <v>294</v>
      </c>
      <c r="E131" s="5" t="s">
        <v>322</v>
      </c>
      <c r="F131" s="2" t="str">
        <f>CONCATENATE(E131, " ",C131)</f>
        <v>TIM LLOYD</v>
      </c>
      <c r="G131" s="5" t="s">
        <v>151</v>
      </c>
      <c r="H131" s="5" t="s">
        <v>37</v>
      </c>
      <c r="I131" s="5" t="s">
        <v>29</v>
      </c>
      <c r="J131" s="6">
        <v>45901</v>
      </c>
      <c r="K131" s="6">
        <v>45901</v>
      </c>
      <c r="L131" s="5">
        <v>20411454</v>
      </c>
      <c r="M131" s="5" t="s">
        <v>358</v>
      </c>
      <c r="N131" s="5">
        <v>751</v>
      </c>
      <c r="O131" s="5">
        <v>125</v>
      </c>
      <c r="P131" s="5" t="s">
        <v>246</v>
      </c>
    </row>
    <row r="132" spans="1:16" s="5" customFormat="1" x14ac:dyDescent="0.25">
      <c r="A132" s="5" t="s">
        <v>158</v>
      </c>
      <c r="B132" s="5" t="str">
        <f>CONCATENATE(A132,88)</f>
        <v>5Y17EU3PR7388</v>
      </c>
      <c r="C132" s="5" t="s">
        <v>323</v>
      </c>
      <c r="D132" s="5" t="s">
        <v>268</v>
      </c>
      <c r="E132" s="5" t="s">
        <v>324</v>
      </c>
      <c r="F132" s="2" t="str">
        <f>CONCATENATE(E132, " ",C132)</f>
        <v>NANCY MASCHMEYER</v>
      </c>
      <c r="G132" s="5" t="s">
        <v>161</v>
      </c>
      <c r="H132" s="5" t="s">
        <v>37</v>
      </c>
      <c r="I132" s="5" t="s">
        <v>29</v>
      </c>
      <c r="J132" s="6">
        <v>45901</v>
      </c>
      <c r="K132" s="6">
        <v>45901</v>
      </c>
      <c r="L132" s="5">
        <v>20411454</v>
      </c>
      <c r="M132" s="5" t="s">
        <v>358</v>
      </c>
      <c r="N132" s="5">
        <v>751</v>
      </c>
      <c r="O132" s="5">
        <v>125</v>
      </c>
      <c r="P132" s="5" t="s">
        <v>246</v>
      </c>
    </row>
    <row r="133" spans="1:16" s="5" customFormat="1" x14ac:dyDescent="0.25">
      <c r="A133" s="5" t="s">
        <v>175</v>
      </c>
      <c r="B133" s="5" t="str">
        <f>CONCATENATE(A133,88)</f>
        <v>8KN0N08RN3888</v>
      </c>
      <c r="C133" s="5" t="s">
        <v>325</v>
      </c>
      <c r="D133" s="5" t="s">
        <v>302</v>
      </c>
      <c r="E133" s="5" t="s">
        <v>326</v>
      </c>
      <c r="F133" s="2" t="str">
        <f>CONCATENATE(E133, " ",C133)</f>
        <v>SHARON NELSEN</v>
      </c>
      <c r="G133" s="5" t="s">
        <v>49</v>
      </c>
      <c r="H133" s="5" t="s">
        <v>37</v>
      </c>
      <c r="I133" s="5" t="s">
        <v>29</v>
      </c>
      <c r="J133" s="6">
        <v>45870</v>
      </c>
      <c r="K133" s="6">
        <v>45870</v>
      </c>
      <c r="L133" s="5">
        <v>20411454</v>
      </c>
      <c r="M133" s="5" t="s">
        <v>358</v>
      </c>
      <c r="N133" s="5">
        <v>751</v>
      </c>
      <c r="O133" s="5">
        <v>125</v>
      </c>
      <c r="P133" s="5" t="s">
        <v>246</v>
      </c>
    </row>
    <row r="134" spans="1:16" s="5" customFormat="1" x14ac:dyDescent="0.25">
      <c r="A134" s="5" t="s">
        <v>179</v>
      </c>
      <c r="B134" s="5" t="str">
        <f>CONCATENATE(A134,88)</f>
        <v>1GP8VJ2JX2888</v>
      </c>
      <c r="C134" s="5" t="s">
        <v>327</v>
      </c>
      <c r="D134" s="5" t="s">
        <v>307</v>
      </c>
      <c r="E134" s="5" t="s">
        <v>328</v>
      </c>
      <c r="F134" s="2" t="str">
        <f>CONCATENATE(E134, " ",C134)</f>
        <v>ANDREW NEY</v>
      </c>
      <c r="G134" s="5" t="s">
        <v>77</v>
      </c>
      <c r="H134" s="5" t="s">
        <v>37</v>
      </c>
      <c r="I134" s="5" t="s">
        <v>29</v>
      </c>
      <c r="J134" s="6">
        <v>45870</v>
      </c>
      <c r="K134" s="6">
        <v>45870</v>
      </c>
      <c r="L134" s="5">
        <v>20411454</v>
      </c>
      <c r="M134" s="5" t="s">
        <v>358</v>
      </c>
      <c r="N134" s="5">
        <v>751</v>
      </c>
      <c r="O134" s="5">
        <v>125</v>
      </c>
      <c r="P134" s="5" t="s">
        <v>246</v>
      </c>
    </row>
    <row r="135" spans="1:16" s="5" customFormat="1" x14ac:dyDescent="0.25">
      <c r="A135" s="5" t="s">
        <v>183</v>
      </c>
      <c r="B135" s="5" t="str">
        <f>CONCATENATE(A135,88)</f>
        <v>3A75NR5PX5488</v>
      </c>
      <c r="C135" s="5" t="s">
        <v>329</v>
      </c>
      <c r="D135" s="5" t="s">
        <v>268</v>
      </c>
      <c r="E135" s="5" t="s">
        <v>330</v>
      </c>
      <c r="F135" s="2" t="str">
        <f>CONCATENATE(E135, " ",C135)</f>
        <v>TERRIE PALAZZO</v>
      </c>
      <c r="G135" s="5" t="s">
        <v>161</v>
      </c>
      <c r="H135" s="5" t="s">
        <v>37</v>
      </c>
      <c r="I135" s="5" t="s">
        <v>29</v>
      </c>
      <c r="J135" s="6">
        <v>45870</v>
      </c>
      <c r="K135" s="6">
        <v>45870</v>
      </c>
      <c r="L135" s="5">
        <v>20411454</v>
      </c>
      <c r="M135" s="5" t="s">
        <v>358</v>
      </c>
      <c r="N135" s="5">
        <v>751</v>
      </c>
      <c r="O135" s="5">
        <v>125</v>
      </c>
      <c r="P135" s="5" t="s">
        <v>246</v>
      </c>
    </row>
    <row r="136" spans="1:16" s="5" customFormat="1" x14ac:dyDescent="0.25">
      <c r="A136" s="5" t="s">
        <v>188</v>
      </c>
      <c r="B136" s="5" t="str">
        <f>CONCATENATE(A136,88)</f>
        <v>6FV6YC3XE4888</v>
      </c>
      <c r="C136" s="5" t="s">
        <v>331</v>
      </c>
      <c r="D136" s="5" t="s">
        <v>302</v>
      </c>
      <c r="E136" s="5" t="s">
        <v>332</v>
      </c>
      <c r="F136" s="2" t="str">
        <f>CONCATENATE(E136, " ",C136)</f>
        <v>GINGER PHILLIPS</v>
      </c>
      <c r="G136" s="5" t="s">
        <v>191</v>
      </c>
      <c r="H136" s="5" t="s">
        <v>37</v>
      </c>
      <c r="I136" s="5" t="s">
        <v>29</v>
      </c>
      <c r="J136" s="6">
        <v>45870</v>
      </c>
      <c r="K136" s="6">
        <v>45870</v>
      </c>
      <c r="L136" s="5">
        <v>20411454</v>
      </c>
      <c r="M136" s="5" t="s">
        <v>358</v>
      </c>
      <c r="N136" s="5">
        <v>751</v>
      </c>
      <c r="O136" s="5">
        <v>125</v>
      </c>
      <c r="P136" s="5" t="s">
        <v>246</v>
      </c>
    </row>
    <row r="137" spans="1:16" s="5" customFormat="1" x14ac:dyDescent="0.25">
      <c r="A137" s="5" t="s">
        <v>193</v>
      </c>
      <c r="B137" s="5" t="str">
        <f>CONCATENATE(A137,88)</f>
        <v>6JX7CK5PW6488</v>
      </c>
      <c r="C137" s="5" t="s">
        <v>333</v>
      </c>
      <c r="D137" s="5" t="s">
        <v>307</v>
      </c>
      <c r="E137" s="5" t="s">
        <v>334</v>
      </c>
      <c r="F137" s="2" t="str">
        <f>CONCATENATE(E137, " ",C137)</f>
        <v>RUBEN RAY</v>
      </c>
      <c r="G137" s="5" t="s">
        <v>49</v>
      </c>
      <c r="H137" s="5" t="s">
        <v>37</v>
      </c>
      <c r="I137" s="5" t="s">
        <v>29</v>
      </c>
      <c r="J137" s="6">
        <v>45901</v>
      </c>
      <c r="K137" s="6">
        <v>45901</v>
      </c>
      <c r="L137" s="5">
        <v>20411454</v>
      </c>
      <c r="M137" s="5" t="s">
        <v>358</v>
      </c>
      <c r="N137" s="5">
        <v>751</v>
      </c>
      <c r="O137" s="5">
        <v>125</v>
      </c>
      <c r="P137" s="5" t="s">
        <v>246</v>
      </c>
    </row>
    <row r="138" spans="1:16" s="5" customFormat="1" x14ac:dyDescent="0.25">
      <c r="A138" s="5" t="s">
        <v>198</v>
      </c>
      <c r="B138" s="5" t="str">
        <f>CONCATENATE(A138,88)</f>
        <v>9X63DM2UA9588</v>
      </c>
      <c r="C138" s="5" t="s">
        <v>335</v>
      </c>
      <c r="D138" s="5" t="s">
        <v>294</v>
      </c>
      <c r="E138" s="5" t="s">
        <v>336</v>
      </c>
      <c r="F138" s="2" t="str">
        <f>CONCATENATE(E138, " ",C138)</f>
        <v>DONNA REBOLETTI</v>
      </c>
      <c r="G138" s="5" t="s">
        <v>49</v>
      </c>
      <c r="H138" s="5" t="s">
        <v>37</v>
      </c>
      <c r="I138" s="5" t="s">
        <v>29</v>
      </c>
      <c r="J138" s="6">
        <v>45901</v>
      </c>
      <c r="K138" s="6">
        <v>45901</v>
      </c>
      <c r="L138" s="5">
        <v>20411454</v>
      </c>
      <c r="M138" s="5" t="s">
        <v>358</v>
      </c>
      <c r="N138" s="5">
        <v>751</v>
      </c>
      <c r="O138" s="5">
        <v>125</v>
      </c>
      <c r="P138" s="5" t="s">
        <v>246</v>
      </c>
    </row>
    <row r="139" spans="1:16" s="5" customFormat="1" x14ac:dyDescent="0.25">
      <c r="A139" s="5" t="s">
        <v>208</v>
      </c>
      <c r="B139" s="5" t="str">
        <f>CONCATENATE(A139,88)</f>
        <v>7AM5YE7HP5988</v>
      </c>
      <c r="C139" s="5" t="s">
        <v>337</v>
      </c>
      <c r="D139" s="5" t="s">
        <v>281</v>
      </c>
      <c r="E139" s="5" t="s">
        <v>338</v>
      </c>
      <c r="F139" s="2" t="str">
        <f>CONCATENATE(E139, " ",C139)</f>
        <v>KAREN SCHNORR</v>
      </c>
      <c r="G139" s="5" t="s">
        <v>49</v>
      </c>
      <c r="H139" s="5" t="s">
        <v>37</v>
      </c>
      <c r="I139" s="5" t="s">
        <v>29</v>
      </c>
      <c r="J139" s="6">
        <v>45839</v>
      </c>
      <c r="K139" s="6">
        <v>45839</v>
      </c>
      <c r="L139" s="5">
        <v>20411454</v>
      </c>
      <c r="M139" s="5" t="s">
        <v>358</v>
      </c>
      <c r="N139" s="5">
        <v>751</v>
      </c>
      <c r="O139" s="5">
        <v>125</v>
      </c>
      <c r="P139" s="5" t="s">
        <v>246</v>
      </c>
    </row>
    <row r="140" spans="1:16" s="5" customFormat="1" x14ac:dyDescent="0.25">
      <c r="A140" s="5" t="s">
        <v>216</v>
      </c>
      <c r="B140" s="5" t="str">
        <f>CONCATENATE(A140,88)</f>
        <v>3YD8V07AC5288</v>
      </c>
      <c r="C140" s="5" t="s">
        <v>339</v>
      </c>
      <c r="D140" s="5" t="s">
        <v>273</v>
      </c>
      <c r="E140" s="5" t="s">
        <v>340</v>
      </c>
      <c r="F140" s="2" t="str">
        <f>CONCATENATE(E140, " ",C140)</f>
        <v>NOEL SPASO</v>
      </c>
      <c r="G140" s="5" t="s">
        <v>49</v>
      </c>
      <c r="H140" s="5" t="s">
        <v>37</v>
      </c>
      <c r="I140" s="5" t="s">
        <v>29</v>
      </c>
      <c r="J140" s="6">
        <v>45870</v>
      </c>
      <c r="K140" s="6">
        <v>45870</v>
      </c>
      <c r="L140" s="5">
        <v>20411454</v>
      </c>
      <c r="M140" s="5" t="s">
        <v>358</v>
      </c>
      <c r="N140" s="5">
        <v>751</v>
      </c>
      <c r="O140" s="5">
        <v>125</v>
      </c>
      <c r="P140" s="5" t="s">
        <v>246</v>
      </c>
    </row>
    <row r="141" spans="1:16" s="5" customFormat="1" x14ac:dyDescent="0.25">
      <c r="A141" s="5" t="s">
        <v>220</v>
      </c>
      <c r="B141" s="5" t="str">
        <f>CONCATENATE(A141,88)</f>
        <v>1E71JU9UJ1388</v>
      </c>
      <c r="C141" s="5" t="s">
        <v>339</v>
      </c>
      <c r="D141" s="5" t="s">
        <v>341</v>
      </c>
      <c r="E141" s="5" t="s">
        <v>342</v>
      </c>
      <c r="F141" s="2" t="str">
        <f>CONCATENATE(E141, " ",C141)</f>
        <v>RAYMOND SPASO</v>
      </c>
      <c r="G141" s="5" t="s">
        <v>49</v>
      </c>
      <c r="H141" s="5" t="s">
        <v>37</v>
      </c>
      <c r="I141" s="5" t="s">
        <v>29</v>
      </c>
      <c r="J141" s="6">
        <v>45870</v>
      </c>
      <c r="K141" s="6">
        <v>45870</v>
      </c>
      <c r="L141" s="5">
        <v>20411454</v>
      </c>
      <c r="M141" s="5" t="s">
        <v>358</v>
      </c>
      <c r="N141" s="5">
        <v>751</v>
      </c>
      <c r="O141" s="5">
        <v>125</v>
      </c>
      <c r="P141" s="5" t="s">
        <v>246</v>
      </c>
    </row>
    <row r="142" spans="1:16" s="5" customFormat="1" x14ac:dyDescent="0.25">
      <c r="A142" s="5" t="s">
        <v>230</v>
      </c>
      <c r="B142" s="5" t="str">
        <f>CONCATENATE(A142,88)</f>
        <v>9GQ0UY3DC0288</v>
      </c>
      <c r="C142" s="5" t="s">
        <v>343</v>
      </c>
      <c r="D142" s="5" t="s">
        <v>297</v>
      </c>
      <c r="E142" s="5" t="s">
        <v>315</v>
      </c>
      <c r="F142" s="2" t="str">
        <f>CONCATENATE(E142, " ",C142)</f>
        <v>THOMAS VONBERG</v>
      </c>
      <c r="G142" s="5" t="s">
        <v>106</v>
      </c>
      <c r="H142" s="5" t="s">
        <v>37</v>
      </c>
      <c r="I142" s="5" t="s">
        <v>29</v>
      </c>
      <c r="J142" s="6">
        <v>45870</v>
      </c>
      <c r="K142" s="6">
        <v>45870</v>
      </c>
      <c r="L142" s="5">
        <v>20411454</v>
      </c>
      <c r="M142" s="5" t="s">
        <v>358</v>
      </c>
      <c r="N142" s="5">
        <v>751</v>
      </c>
      <c r="O142" s="5">
        <v>125</v>
      </c>
      <c r="P142" s="5" t="s">
        <v>246</v>
      </c>
    </row>
    <row r="143" spans="1:16" s="5" customFormat="1" x14ac:dyDescent="0.25">
      <c r="A143" s="5" t="s">
        <v>237</v>
      </c>
      <c r="B143" s="5" t="str">
        <f>CONCATENATE(A143,88)</f>
        <v>7W25G55WT5588</v>
      </c>
      <c r="C143" s="5" t="s">
        <v>344</v>
      </c>
      <c r="D143" s="5" t="s">
        <v>345</v>
      </c>
      <c r="E143" s="5" t="s">
        <v>310</v>
      </c>
      <c r="F143" s="2" t="str">
        <f>CONCATENATE(E143, " ",C143)</f>
        <v>CHERYL WILLOCKS</v>
      </c>
      <c r="G143" s="5" t="s">
        <v>240</v>
      </c>
      <c r="H143" s="5" t="s">
        <v>37</v>
      </c>
      <c r="I143" s="5" t="s">
        <v>29</v>
      </c>
      <c r="J143" s="6">
        <v>45931</v>
      </c>
      <c r="K143" s="6">
        <v>45931</v>
      </c>
      <c r="L143" s="5">
        <v>20411454</v>
      </c>
      <c r="M143" s="5" t="s">
        <v>358</v>
      </c>
      <c r="N143" s="5">
        <v>751</v>
      </c>
      <c r="O143" s="5">
        <v>125</v>
      </c>
      <c r="P143" s="5" t="s">
        <v>246</v>
      </c>
    </row>
    <row r="144" spans="1:16" s="5" customFormat="1" x14ac:dyDescent="0.25">
      <c r="A144" s="5" t="s">
        <v>67</v>
      </c>
      <c r="B144" s="5" t="str">
        <f>CONCATENATE(A144,88)</f>
        <v>7RX0FF8TN1788</v>
      </c>
      <c r="C144" s="5" t="s">
        <v>267</v>
      </c>
      <c r="D144" s="5" t="s">
        <v>268</v>
      </c>
      <c r="E144" s="5" t="s">
        <v>269</v>
      </c>
      <c r="F144" s="2" t="str">
        <f>CONCATENATE(E144, " ",C144)</f>
        <v>WILLIAM BYERLEY</v>
      </c>
      <c r="G144" s="5" t="s">
        <v>70</v>
      </c>
      <c r="H144" s="5" t="s">
        <v>37</v>
      </c>
      <c r="I144" s="5" t="s">
        <v>29</v>
      </c>
      <c r="J144" s="6">
        <v>45870</v>
      </c>
      <c r="K144" s="6">
        <v>45870</v>
      </c>
      <c r="L144" s="5">
        <v>20411454</v>
      </c>
      <c r="M144" s="5" t="s">
        <v>358</v>
      </c>
      <c r="N144" s="5">
        <v>830</v>
      </c>
      <c r="O144" s="5">
        <v>125</v>
      </c>
      <c r="P144" s="5" t="s">
        <v>246</v>
      </c>
    </row>
    <row r="145" spans="1:16" s="5" customFormat="1" x14ac:dyDescent="0.25">
      <c r="A145" s="5" t="s">
        <v>93</v>
      </c>
      <c r="B145" s="5" t="str">
        <f>CONCATENATE(A145,88)</f>
        <v>1T02KU7XA0088</v>
      </c>
      <c r="C145" s="5" t="s">
        <v>270</v>
      </c>
      <c r="D145" s="5" t="s">
        <v>268</v>
      </c>
      <c r="E145" s="5" t="s">
        <v>271</v>
      </c>
      <c r="F145" s="2" t="str">
        <f>CONCATENATE(E145, " ",C145)</f>
        <v>BARBARA DAWSON</v>
      </c>
      <c r="G145" s="5" t="s">
        <v>70</v>
      </c>
      <c r="H145" s="5" t="s">
        <v>37</v>
      </c>
      <c r="I145" s="5" t="s">
        <v>29</v>
      </c>
      <c r="J145" s="6">
        <v>45870</v>
      </c>
      <c r="K145" s="6">
        <v>45870</v>
      </c>
      <c r="L145" s="5">
        <v>20411454</v>
      </c>
      <c r="M145" s="5" t="s">
        <v>358</v>
      </c>
      <c r="N145" s="5">
        <v>830</v>
      </c>
      <c r="O145" s="5">
        <v>125</v>
      </c>
      <c r="P145" s="5" t="s">
        <v>246</v>
      </c>
    </row>
    <row r="146" spans="1:16" s="5" customFormat="1" x14ac:dyDescent="0.25">
      <c r="A146" s="5" t="s">
        <v>133</v>
      </c>
      <c r="B146" s="5" t="str">
        <f>CONCATENATE(A146,88)</f>
        <v>2EH1PF5NE9888</v>
      </c>
      <c r="C146" s="5" t="s">
        <v>272</v>
      </c>
      <c r="D146" s="5" t="s">
        <v>273</v>
      </c>
      <c r="E146" s="5" t="s">
        <v>274</v>
      </c>
      <c r="F146" s="2" t="str">
        <f>CONCATENATE(E146, " ",C146)</f>
        <v>EDWARD JONES</v>
      </c>
      <c r="G146" s="5" t="s">
        <v>70</v>
      </c>
      <c r="H146" s="5" t="s">
        <v>37</v>
      </c>
      <c r="I146" s="5" t="s">
        <v>29</v>
      </c>
      <c r="J146" s="6">
        <v>45870</v>
      </c>
      <c r="K146" s="6">
        <v>45870</v>
      </c>
      <c r="L146" s="5">
        <v>20411454</v>
      </c>
      <c r="M146" s="5" t="s">
        <v>358</v>
      </c>
      <c r="N146" s="5">
        <v>830</v>
      </c>
      <c r="O146" s="5">
        <v>125</v>
      </c>
      <c r="P146" s="5" t="s">
        <v>246</v>
      </c>
    </row>
    <row r="147" spans="1:16" s="5" customFormat="1" x14ac:dyDescent="0.25">
      <c r="A147" s="5" t="s">
        <v>154</v>
      </c>
      <c r="B147" s="5" t="str">
        <f>CONCATENATE(A147,88)</f>
        <v>2R79EE8AJ2388</v>
      </c>
      <c r="C147" s="5" t="s">
        <v>275</v>
      </c>
      <c r="D147" s="5" t="s">
        <v>276</v>
      </c>
      <c r="E147" s="5" t="s">
        <v>277</v>
      </c>
      <c r="F147" s="2" t="str">
        <f>CONCATENATE(E147, " ",C147)</f>
        <v>JOHN MARTIN</v>
      </c>
      <c r="G147" s="5" t="s">
        <v>70</v>
      </c>
      <c r="H147" s="5" t="s">
        <v>37</v>
      </c>
      <c r="I147" s="5" t="s">
        <v>29</v>
      </c>
      <c r="J147" s="6">
        <v>45870</v>
      </c>
      <c r="K147" s="6">
        <v>45870</v>
      </c>
      <c r="L147" s="5">
        <v>20411454</v>
      </c>
      <c r="M147" s="5" t="s">
        <v>358</v>
      </c>
      <c r="N147" s="5">
        <v>830</v>
      </c>
      <c r="O147" s="5">
        <v>125</v>
      </c>
      <c r="P147" s="5" t="s">
        <v>246</v>
      </c>
    </row>
    <row r="148" spans="1:16" s="5" customFormat="1" x14ac:dyDescent="0.25">
      <c r="A148" s="5" t="s">
        <v>170</v>
      </c>
      <c r="B148" s="5" t="str">
        <f>CONCATENATE(A148,88)</f>
        <v>1FE9VA6EP2388</v>
      </c>
      <c r="C148" s="5" t="s">
        <v>278</v>
      </c>
      <c r="D148" s="5" t="s">
        <v>268</v>
      </c>
      <c r="E148" s="5" t="s">
        <v>279</v>
      </c>
      <c r="F148" s="2" t="str">
        <f>CONCATENATE(E148, " ",C148)</f>
        <v>DIXIE MORLEY</v>
      </c>
      <c r="G148" s="5" t="s">
        <v>70</v>
      </c>
      <c r="H148" s="5" t="s">
        <v>37</v>
      </c>
      <c r="I148" s="5" t="s">
        <v>29</v>
      </c>
      <c r="J148" s="6">
        <v>45870</v>
      </c>
      <c r="K148" s="6">
        <v>45870</v>
      </c>
      <c r="L148" s="5">
        <v>20411454</v>
      </c>
      <c r="M148" s="5" t="s">
        <v>358</v>
      </c>
      <c r="N148" s="5">
        <v>830</v>
      </c>
      <c r="O148" s="5">
        <v>125</v>
      </c>
      <c r="P148" s="5" t="s">
        <v>246</v>
      </c>
    </row>
    <row r="149" spans="1:16" s="5" customFormat="1" x14ac:dyDescent="0.25">
      <c r="A149" s="5" t="s">
        <v>234</v>
      </c>
      <c r="B149" s="5" t="str">
        <f>CONCATENATE(A149,88)</f>
        <v>5TM0DA0YH3488</v>
      </c>
      <c r="C149" s="5" t="s">
        <v>280</v>
      </c>
      <c r="D149" s="5" t="s">
        <v>281</v>
      </c>
      <c r="E149" s="5" t="s">
        <v>282</v>
      </c>
      <c r="F149" s="2" t="str">
        <f>CONCATENATE(E149, " ",C149)</f>
        <v>DOREEN WALKER</v>
      </c>
      <c r="G149" s="5" t="s">
        <v>70</v>
      </c>
      <c r="H149" s="5" t="s">
        <v>37</v>
      </c>
      <c r="I149" s="5" t="s">
        <v>29</v>
      </c>
      <c r="J149" s="6">
        <v>45870</v>
      </c>
      <c r="K149" s="6">
        <v>45870</v>
      </c>
      <c r="L149" s="5">
        <v>20411454</v>
      </c>
      <c r="M149" s="5" t="s">
        <v>358</v>
      </c>
      <c r="N149" s="5">
        <v>830</v>
      </c>
      <c r="O149" s="5">
        <v>125</v>
      </c>
      <c r="P149" s="5" t="s">
        <v>246</v>
      </c>
    </row>
    <row r="150" spans="1:16" x14ac:dyDescent="0.25">
      <c r="J150" s="3"/>
      <c r="K150" s="3"/>
    </row>
    <row r="151" spans="1:16" x14ac:dyDescent="0.25">
      <c r="J151" s="3"/>
      <c r="K151" s="3"/>
    </row>
    <row r="152" spans="1:16" x14ac:dyDescent="0.25">
      <c r="J152" s="3"/>
      <c r="K152" s="3"/>
    </row>
    <row r="153" spans="1:16" x14ac:dyDescent="0.25">
      <c r="J153" s="3"/>
      <c r="K153" s="3"/>
    </row>
    <row r="154" spans="1:16" x14ac:dyDescent="0.25">
      <c r="J154" s="3"/>
      <c r="K154" s="3"/>
    </row>
    <row r="155" spans="1:16" x14ac:dyDescent="0.25">
      <c r="J155" s="3"/>
      <c r="K155" s="3"/>
    </row>
    <row r="156" spans="1:16" x14ac:dyDescent="0.25">
      <c r="J156" s="3"/>
      <c r="K156" s="3"/>
    </row>
    <row r="157" spans="1:16" x14ac:dyDescent="0.25">
      <c r="J157" s="3"/>
      <c r="K157" s="3"/>
    </row>
    <row r="158" spans="1:16" x14ac:dyDescent="0.25">
      <c r="J158" s="3"/>
      <c r="K158" s="3"/>
    </row>
    <row r="159" spans="1:16" x14ac:dyDescent="0.25">
      <c r="J159" s="3"/>
      <c r="K159" s="3"/>
    </row>
    <row r="160" spans="1:16" x14ac:dyDescent="0.25">
      <c r="J160" s="3"/>
      <c r="K160" s="3"/>
    </row>
    <row r="161" spans="10:11" x14ac:dyDescent="0.25">
      <c r="J161" s="3"/>
      <c r="K161" s="3"/>
    </row>
    <row r="162" spans="10:11" x14ac:dyDescent="0.25">
      <c r="J162" s="3"/>
      <c r="K162" s="3"/>
    </row>
    <row r="163" spans="10:11" x14ac:dyDescent="0.25">
      <c r="J163" s="3"/>
      <c r="K163" s="3"/>
    </row>
    <row r="164" spans="10:11" x14ac:dyDescent="0.25">
      <c r="J164" s="3"/>
      <c r="K164" s="3"/>
    </row>
    <row r="165" spans="10:11" x14ac:dyDescent="0.25">
      <c r="J165" s="3"/>
      <c r="K165" s="3"/>
    </row>
    <row r="166" spans="10:11" x14ac:dyDescent="0.25">
      <c r="J166" s="3"/>
      <c r="K166" s="3"/>
    </row>
    <row r="167" spans="10:11" x14ac:dyDescent="0.25">
      <c r="J167" s="3"/>
      <c r="K167" s="3"/>
    </row>
    <row r="168" spans="10:11" x14ac:dyDescent="0.25">
      <c r="J168" s="3"/>
      <c r="K168" s="3"/>
    </row>
    <row r="169" spans="10:11" x14ac:dyDescent="0.25">
      <c r="J169" s="3"/>
      <c r="K169" s="3"/>
    </row>
    <row r="170" spans="10:11" x14ac:dyDescent="0.25">
      <c r="J170" s="3"/>
      <c r="K170" s="3"/>
    </row>
    <row r="171" spans="10:11" x14ac:dyDescent="0.25">
      <c r="J171" s="3"/>
      <c r="K171" s="3"/>
    </row>
    <row r="172" spans="10:11" x14ac:dyDescent="0.25">
      <c r="J172" s="3"/>
      <c r="K172" s="3"/>
    </row>
    <row r="173" spans="10:11" x14ac:dyDescent="0.25">
      <c r="J173" s="3"/>
      <c r="K173" s="3"/>
    </row>
    <row r="174" spans="10:11" x14ac:dyDescent="0.25">
      <c r="J174" s="3"/>
      <c r="K174" s="3"/>
    </row>
    <row r="175" spans="10:11" x14ac:dyDescent="0.25">
      <c r="J175" s="3"/>
      <c r="K175" s="3"/>
    </row>
    <row r="176" spans="10:11" x14ac:dyDescent="0.25">
      <c r="J176" s="3"/>
      <c r="K176" s="3"/>
    </row>
    <row r="177" spans="10:11" x14ac:dyDescent="0.25">
      <c r="J177" s="3"/>
      <c r="K177" s="3"/>
    </row>
    <row r="178" spans="10:11" x14ac:dyDescent="0.25">
      <c r="J178" s="3"/>
      <c r="K178" s="3"/>
    </row>
    <row r="179" spans="10:11" x14ac:dyDescent="0.25">
      <c r="J179" s="3"/>
      <c r="K179" s="3"/>
    </row>
    <row r="180" spans="10:11" x14ac:dyDescent="0.25">
      <c r="J180" s="3"/>
      <c r="K180" s="3"/>
    </row>
    <row r="181" spans="10:11" x14ac:dyDescent="0.25">
      <c r="J181" s="3"/>
      <c r="K181" s="3"/>
    </row>
    <row r="182" spans="10:11" x14ac:dyDescent="0.25">
      <c r="J182" s="3"/>
      <c r="K182" s="3"/>
    </row>
    <row r="183" spans="10:11" x14ac:dyDescent="0.25">
      <c r="J183" s="3"/>
      <c r="K183" s="3"/>
    </row>
    <row r="184" spans="10:11" x14ac:dyDescent="0.25">
      <c r="J184" s="3"/>
      <c r="K184" s="3"/>
    </row>
    <row r="185" spans="10:11" x14ac:dyDescent="0.25">
      <c r="J185" s="3"/>
      <c r="K185" s="3"/>
    </row>
    <row r="186" spans="10:11" x14ac:dyDescent="0.25">
      <c r="J186" s="3"/>
      <c r="K186" s="3"/>
    </row>
    <row r="187" spans="10:11" x14ac:dyDescent="0.25">
      <c r="J187" s="3"/>
      <c r="K187" s="3"/>
    </row>
    <row r="188" spans="10:11" x14ac:dyDescent="0.25">
      <c r="J188" s="3"/>
      <c r="K188" s="3"/>
    </row>
    <row r="189" spans="10:11" x14ac:dyDescent="0.25">
      <c r="J189" s="3"/>
      <c r="K189" s="3"/>
    </row>
    <row r="190" spans="10:11" x14ac:dyDescent="0.25">
      <c r="J190" s="3"/>
      <c r="K190" s="3"/>
    </row>
    <row r="191" spans="10:11" x14ac:dyDescent="0.25">
      <c r="J191" s="3"/>
      <c r="K191" s="3"/>
    </row>
    <row r="192" spans="10:11" x14ac:dyDescent="0.25">
      <c r="J192" s="3"/>
      <c r="K192" s="3"/>
    </row>
    <row r="193" spans="10:11" x14ac:dyDescent="0.25">
      <c r="J193" s="3"/>
      <c r="K193" s="3"/>
    </row>
    <row r="194" spans="10:11" x14ac:dyDescent="0.25">
      <c r="J194" s="3"/>
      <c r="K194" s="3"/>
    </row>
    <row r="195" spans="10:11" x14ac:dyDescent="0.25">
      <c r="J195" s="3"/>
      <c r="K195" s="3"/>
    </row>
    <row r="196" spans="10:11" x14ac:dyDescent="0.25">
      <c r="J196" s="3"/>
      <c r="K196" s="3"/>
    </row>
    <row r="197" spans="10:11" x14ac:dyDescent="0.25">
      <c r="J197" s="3"/>
      <c r="K197" s="3"/>
    </row>
    <row r="198" spans="10:11" x14ac:dyDescent="0.25">
      <c r="J198" s="3"/>
      <c r="K198" s="3"/>
    </row>
    <row r="199" spans="10:11" x14ac:dyDescent="0.25">
      <c r="J199" s="3"/>
      <c r="K199" s="3"/>
    </row>
    <row r="200" spans="10:11" x14ac:dyDescent="0.25">
      <c r="J200" s="3"/>
      <c r="K200" s="3"/>
    </row>
    <row r="201" spans="10:11" x14ac:dyDescent="0.25">
      <c r="J201" s="3"/>
      <c r="K201" s="3"/>
    </row>
    <row r="202" spans="10:11" x14ac:dyDescent="0.25">
      <c r="J202" s="3"/>
      <c r="K202" s="3"/>
    </row>
    <row r="203" spans="10:11" x14ac:dyDescent="0.25">
      <c r="J203" s="3"/>
      <c r="K203" s="3"/>
    </row>
    <row r="204" spans="10:11" x14ac:dyDescent="0.25">
      <c r="J204" s="3"/>
      <c r="K204" s="3"/>
    </row>
    <row r="205" spans="10:11" x14ac:dyDescent="0.25">
      <c r="J205" s="3"/>
      <c r="K205" s="3"/>
    </row>
    <row r="206" spans="10:11" x14ac:dyDescent="0.25">
      <c r="J206" s="3"/>
      <c r="K206" s="3"/>
    </row>
    <row r="207" spans="10:11" x14ac:dyDescent="0.25">
      <c r="J207" s="3"/>
      <c r="K207" s="3"/>
    </row>
    <row r="208" spans="10:11" x14ac:dyDescent="0.25">
      <c r="J208" s="3"/>
      <c r="K208" s="3"/>
    </row>
    <row r="209" spans="10:11" x14ac:dyDescent="0.25">
      <c r="J209" s="3"/>
      <c r="K209" s="3"/>
    </row>
    <row r="210" spans="10:11" x14ac:dyDescent="0.25">
      <c r="J210" s="3"/>
      <c r="K210" s="3"/>
    </row>
    <row r="211" spans="10:11" x14ac:dyDescent="0.25">
      <c r="J211" s="3"/>
      <c r="K211" s="3"/>
    </row>
    <row r="212" spans="10:11" x14ac:dyDescent="0.25">
      <c r="J212" s="3"/>
      <c r="K212" s="3"/>
    </row>
    <row r="213" spans="10:11" x14ac:dyDescent="0.25">
      <c r="J213" s="3"/>
      <c r="K213" s="3"/>
    </row>
    <row r="214" spans="10:11" x14ac:dyDescent="0.25">
      <c r="J214" s="3"/>
      <c r="K214" s="3"/>
    </row>
    <row r="215" spans="10:11" x14ac:dyDescent="0.25">
      <c r="J215" s="3"/>
      <c r="K215" s="3"/>
    </row>
    <row r="216" spans="10:11" x14ac:dyDescent="0.25">
      <c r="J216" s="3"/>
      <c r="K216" s="3"/>
    </row>
    <row r="217" spans="10:11" x14ac:dyDescent="0.25">
      <c r="J217" s="3"/>
      <c r="K217" s="3"/>
    </row>
    <row r="218" spans="10:11" x14ac:dyDescent="0.25">
      <c r="J218" s="3"/>
      <c r="K218" s="3"/>
    </row>
    <row r="219" spans="10:11" x14ac:dyDescent="0.25">
      <c r="J219" s="3"/>
      <c r="K219" s="3"/>
    </row>
    <row r="220" spans="10:11" x14ac:dyDescent="0.25">
      <c r="J220" s="3"/>
      <c r="K220" s="3"/>
    </row>
    <row r="221" spans="10:11" x14ac:dyDescent="0.25">
      <c r="J221" s="3"/>
      <c r="K221" s="3"/>
    </row>
    <row r="222" spans="10:11" x14ac:dyDescent="0.25">
      <c r="J222" s="3"/>
      <c r="K222" s="3"/>
    </row>
    <row r="223" spans="10:11" x14ac:dyDescent="0.25">
      <c r="J223" s="3"/>
      <c r="K223" s="3"/>
    </row>
    <row r="224" spans="10:11" x14ac:dyDescent="0.25">
      <c r="J224" s="3"/>
      <c r="K224" s="3"/>
    </row>
    <row r="225" spans="10:11" x14ac:dyDescent="0.25">
      <c r="J225" s="3"/>
      <c r="K225" s="3"/>
    </row>
    <row r="226" spans="10:11" x14ac:dyDescent="0.25">
      <c r="J226" s="3"/>
      <c r="K226" s="3"/>
    </row>
    <row r="227" spans="10:11" x14ac:dyDescent="0.25">
      <c r="J227" s="3"/>
      <c r="K227" s="3"/>
    </row>
    <row r="228" spans="10:11" x14ac:dyDescent="0.25">
      <c r="J228" s="3"/>
      <c r="K228" s="3"/>
    </row>
    <row r="229" spans="10:11" x14ac:dyDescent="0.25">
      <c r="J229" s="3"/>
      <c r="K229" s="3"/>
    </row>
    <row r="230" spans="10:11" x14ac:dyDescent="0.25">
      <c r="J230" s="3"/>
      <c r="K230" s="3"/>
    </row>
    <row r="231" spans="10:11" x14ac:dyDescent="0.25">
      <c r="J231" s="3"/>
      <c r="K231" s="3"/>
    </row>
    <row r="232" spans="10:11" x14ac:dyDescent="0.25">
      <c r="J232" s="3"/>
      <c r="K232" s="3"/>
    </row>
    <row r="233" spans="10:11" x14ac:dyDescent="0.25">
      <c r="J233" s="3"/>
      <c r="K233" s="3"/>
    </row>
    <row r="234" spans="10:11" x14ac:dyDescent="0.25">
      <c r="J234" s="3"/>
      <c r="K234" s="3"/>
    </row>
    <row r="235" spans="10:11" x14ac:dyDescent="0.25">
      <c r="J235" s="3"/>
      <c r="K235" s="3"/>
    </row>
    <row r="236" spans="10:11" x14ac:dyDescent="0.25">
      <c r="J236" s="3"/>
      <c r="K236" s="3"/>
    </row>
    <row r="237" spans="10:11" x14ac:dyDescent="0.25">
      <c r="J237" s="3"/>
      <c r="K237" s="3"/>
    </row>
    <row r="238" spans="10:11" x14ac:dyDescent="0.25">
      <c r="J238" s="3"/>
      <c r="K238" s="3"/>
    </row>
    <row r="239" spans="10:11" x14ac:dyDescent="0.25">
      <c r="J239" s="3"/>
      <c r="K239" s="3"/>
    </row>
    <row r="240" spans="10:11" x14ac:dyDescent="0.25">
      <c r="J240" s="3"/>
      <c r="K240" s="3"/>
    </row>
    <row r="241" spans="10:11" x14ac:dyDescent="0.25">
      <c r="J241" s="3"/>
      <c r="K241" s="3"/>
    </row>
    <row r="242" spans="10:11" x14ac:dyDescent="0.25">
      <c r="J242" s="3"/>
      <c r="K242" s="3"/>
    </row>
    <row r="243" spans="10:11" x14ac:dyDescent="0.25">
      <c r="J243" s="3"/>
      <c r="K243" s="3"/>
    </row>
    <row r="244" spans="10:11" x14ac:dyDescent="0.25">
      <c r="J244" s="3"/>
      <c r="K244" s="3"/>
    </row>
    <row r="245" spans="10:11" x14ac:dyDescent="0.25">
      <c r="J245" s="3"/>
      <c r="K245" s="3"/>
    </row>
    <row r="246" spans="10:11" x14ac:dyDescent="0.25">
      <c r="J246" s="3"/>
      <c r="K246" s="3"/>
    </row>
    <row r="247" spans="10:11" x14ac:dyDescent="0.25">
      <c r="J247" s="3"/>
      <c r="K247" s="3"/>
    </row>
    <row r="248" spans="10:11" x14ac:dyDescent="0.25">
      <c r="J248" s="3"/>
      <c r="K248" s="3"/>
    </row>
    <row r="249" spans="10:11" x14ac:dyDescent="0.25">
      <c r="J249" s="3"/>
      <c r="K249" s="3"/>
    </row>
    <row r="250" spans="10:11" x14ac:dyDescent="0.25">
      <c r="J250" s="3"/>
      <c r="K250" s="3"/>
    </row>
    <row r="251" spans="10:11" x14ac:dyDescent="0.25">
      <c r="J251" s="3"/>
      <c r="K251" s="3"/>
    </row>
    <row r="252" spans="10:11" x14ac:dyDescent="0.25">
      <c r="J252" s="3"/>
      <c r="K252" s="3"/>
    </row>
    <row r="253" spans="10:11" x14ac:dyDescent="0.25">
      <c r="J253" s="3"/>
      <c r="K253" s="3"/>
    </row>
    <row r="254" spans="10:11" x14ac:dyDescent="0.25">
      <c r="J254" s="3"/>
      <c r="K254" s="3"/>
    </row>
    <row r="255" spans="10:11" x14ac:dyDescent="0.25">
      <c r="J255" s="3"/>
      <c r="K255" s="3"/>
    </row>
    <row r="256" spans="10:11" x14ac:dyDescent="0.25">
      <c r="J256" s="3"/>
      <c r="K256" s="3"/>
    </row>
    <row r="257" spans="10:11" x14ac:dyDescent="0.25">
      <c r="J257" s="3"/>
      <c r="K257" s="3"/>
    </row>
    <row r="258" spans="10:11" x14ac:dyDescent="0.25">
      <c r="J258" s="3"/>
      <c r="K258" s="3"/>
    </row>
    <row r="259" spans="10:11" x14ac:dyDescent="0.25">
      <c r="J259" s="3"/>
      <c r="K259" s="3"/>
    </row>
    <row r="260" spans="10:11" x14ac:dyDescent="0.25">
      <c r="J260" s="3"/>
      <c r="K260" s="3"/>
    </row>
    <row r="261" spans="10:11" x14ac:dyDescent="0.25">
      <c r="J261" s="3"/>
      <c r="K261" s="3"/>
    </row>
    <row r="262" spans="10:11" x14ac:dyDescent="0.25">
      <c r="J262" s="3"/>
      <c r="K262" s="3"/>
    </row>
    <row r="263" spans="10:11" x14ac:dyDescent="0.25">
      <c r="J263" s="3"/>
      <c r="K263" s="3"/>
    </row>
    <row r="264" spans="10:11" x14ac:dyDescent="0.25">
      <c r="J264" s="3"/>
      <c r="K264" s="3"/>
    </row>
    <row r="265" spans="10:11" x14ac:dyDescent="0.25">
      <c r="J265" s="3"/>
      <c r="K265" s="3"/>
    </row>
    <row r="266" spans="10:11" x14ac:dyDescent="0.25">
      <c r="J266" s="3"/>
      <c r="K266" s="3"/>
    </row>
    <row r="267" spans="10:11" x14ac:dyDescent="0.25">
      <c r="J267" s="3"/>
      <c r="K267" s="3"/>
    </row>
    <row r="268" spans="10:11" x14ac:dyDescent="0.25">
      <c r="J268" s="3"/>
      <c r="K268" s="3"/>
    </row>
    <row r="269" spans="10:11" x14ac:dyDescent="0.25">
      <c r="J269" s="3"/>
      <c r="K269" s="3"/>
    </row>
    <row r="270" spans="10:11" x14ac:dyDescent="0.25">
      <c r="J270" s="3"/>
      <c r="K270" s="3"/>
    </row>
    <row r="271" spans="10:11" x14ac:dyDescent="0.25">
      <c r="J271" s="3"/>
      <c r="K271" s="3"/>
    </row>
    <row r="272" spans="10:11" x14ac:dyDescent="0.25">
      <c r="J272" s="3"/>
      <c r="K272" s="3"/>
    </row>
    <row r="273" spans="10:11" x14ac:dyDescent="0.25">
      <c r="J273" s="3"/>
      <c r="K273" s="3"/>
    </row>
    <row r="274" spans="10:11" x14ac:dyDescent="0.25">
      <c r="J274" s="3"/>
      <c r="K274" s="3"/>
    </row>
    <row r="275" spans="10:11" x14ac:dyDescent="0.25">
      <c r="J275" s="3"/>
      <c r="K275" s="3"/>
    </row>
    <row r="276" spans="10:11" x14ac:dyDescent="0.25">
      <c r="J276" s="3"/>
      <c r="K276" s="3"/>
    </row>
    <row r="277" spans="10:11" x14ac:dyDescent="0.25">
      <c r="J277" s="3"/>
      <c r="K277" s="3"/>
    </row>
    <row r="278" spans="10:11" x14ac:dyDescent="0.25">
      <c r="J278" s="3"/>
      <c r="K278" s="3"/>
    </row>
    <row r="279" spans="10:11" x14ac:dyDescent="0.25">
      <c r="J279" s="3"/>
      <c r="K279" s="3"/>
    </row>
    <row r="280" spans="10:11" x14ac:dyDescent="0.25">
      <c r="J280" s="3"/>
      <c r="K280" s="3"/>
    </row>
    <row r="281" spans="10:11" x14ac:dyDescent="0.25">
      <c r="J281" s="3"/>
      <c r="K281" s="3"/>
    </row>
    <row r="282" spans="10:11" x14ac:dyDescent="0.25">
      <c r="J282" s="3"/>
      <c r="K282" s="3"/>
    </row>
    <row r="283" spans="10:11" x14ac:dyDescent="0.25">
      <c r="J283" s="3"/>
      <c r="K283" s="3"/>
    </row>
    <row r="284" spans="10:11" x14ac:dyDescent="0.25">
      <c r="J284" s="3"/>
      <c r="K284" s="3"/>
    </row>
    <row r="285" spans="10:11" x14ac:dyDescent="0.25">
      <c r="J285" s="3"/>
      <c r="K285" s="3"/>
    </row>
    <row r="286" spans="10:11" x14ac:dyDescent="0.25">
      <c r="J286" s="3"/>
      <c r="K286" s="3"/>
    </row>
    <row r="287" spans="10:11" x14ac:dyDescent="0.25">
      <c r="J287" s="3"/>
      <c r="K287" s="3"/>
    </row>
    <row r="288" spans="10:11" x14ac:dyDescent="0.25">
      <c r="J288" s="3"/>
      <c r="K288" s="3"/>
    </row>
    <row r="289" spans="10:11" x14ac:dyDescent="0.25">
      <c r="J289" s="3"/>
      <c r="K289" s="3"/>
    </row>
    <row r="290" spans="10:11" x14ac:dyDescent="0.25">
      <c r="J290" s="3"/>
      <c r="K290" s="3"/>
    </row>
    <row r="291" spans="10:11" x14ac:dyDescent="0.25">
      <c r="J291" s="3"/>
      <c r="K291" s="3"/>
    </row>
    <row r="292" spans="10:11" x14ac:dyDescent="0.25">
      <c r="J292" s="3"/>
      <c r="K292" s="3"/>
    </row>
    <row r="293" spans="10:11" x14ac:dyDescent="0.25">
      <c r="J293" s="3"/>
      <c r="K293" s="3"/>
    </row>
    <row r="294" spans="10:11" x14ac:dyDescent="0.25">
      <c r="J294" s="3"/>
      <c r="K294" s="3"/>
    </row>
    <row r="295" spans="10:11" x14ac:dyDescent="0.25">
      <c r="J295" s="3"/>
      <c r="K295" s="3"/>
    </row>
    <row r="296" spans="10:11" x14ac:dyDescent="0.25">
      <c r="J296" s="3"/>
      <c r="K296" s="3"/>
    </row>
    <row r="297" spans="10:11" x14ac:dyDescent="0.25">
      <c r="J297" s="3"/>
      <c r="K297" s="3"/>
    </row>
    <row r="298" spans="10:11" x14ac:dyDescent="0.25">
      <c r="J298" s="3"/>
      <c r="K298" s="3"/>
    </row>
    <row r="299" spans="10:11" x14ac:dyDescent="0.25">
      <c r="J299" s="3"/>
      <c r="K299" s="3"/>
    </row>
    <row r="300" spans="10:11" x14ac:dyDescent="0.25">
      <c r="J300" s="3"/>
      <c r="K300" s="3"/>
    </row>
    <row r="301" spans="10:11" x14ac:dyDescent="0.25">
      <c r="J301" s="3"/>
      <c r="K301" s="3"/>
    </row>
    <row r="302" spans="10:11" x14ac:dyDescent="0.25">
      <c r="J302" s="3"/>
      <c r="K302" s="3"/>
    </row>
    <row r="303" spans="10:11" x14ac:dyDescent="0.25">
      <c r="J303" s="3"/>
      <c r="K303" s="3"/>
    </row>
    <row r="304" spans="10:11" x14ac:dyDescent="0.25">
      <c r="J304" s="3"/>
      <c r="K304" s="3"/>
    </row>
    <row r="305" spans="10:11" x14ac:dyDescent="0.25">
      <c r="J305" s="3"/>
      <c r="K305" s="3"/>
    </row>
    <row r="306" spans="10:11" x14ac:dyDescent="0.25">
      <c r="J306" s="3"/>
      <c r="K306" s="3"/>
    </row>
    <row r="307" spans="10:11" x14ac:dyDescent="0.25">
      <c r="J307" s="3"/>
      <c r="K307" s="3"/>
    </row>
    <row r="308" spans="10:11" x14ac:dyDescent="0.25">
      <c r="J308" s="3"/>
      <c r="K308" s="3"/>
    </row>
    <row r="309" spans="10:11" x14ac:dyDescent="0.25">
      <c r="J309" s="3"/>
      <c r="K309" s="3"/>
    </row>
    <row r="310" spans="10:11" x14ac:dyDescent="0.25">
      <c r="J310" s="3"/>
      <c r="K310" s="3"/>
    </row>
    <row r="311" spans="10:11" x14ac:dyDescent="0.25">
      <c r="J311" s="3"/>
      <c r="K311" s="3"/>
    </row>
    <row r="312" spans="10:11" x14ac:dyDescent="0.25">
      <c r="J312" s="3"/>
      <c r="K312" s="3"/>
    </row>
    <row r="313" spans="10:11" x14ac:dyDescent="0.25">
      <c r="J313" s="3"/>
      <c r="K313" s="3"/>
    </row>
    <row r="314" spans="10:11" x14ac:dyDescent="0.25">
      <c r="J314" s="3"/>
      <c r="K314" s="3"/>
    </row>
    <row r="315" spans="10:11" x14ac:dyDescent="0.25">
      <c r="J315" s="3"/>
      <c r="K315" s="3"/>
    </row>
    <row r="316" spans="10:11" x14ac:dyDescent="0.25">
      <c r="J316" s="3"/>
      <c r="K316" s="3"/>
    </row>
    <row r="317" spans="10:11" x14ac:dyDescent="0.25">
      <c r="J317" s="3"/>
      <c r="K317" s="3"/>
    </row>
    <row r="318" spans="10:11" x14ac:dyDescent="0.25">
      <c r="J318" s="3"/>
      <c r="K318" s="3"/>
    </row>
    <row r="319" spans="10:11" x14ac:dyDescent="0.25">
      <c r="J319" s="3"/>
      <c r="K319" s="3"/>
    </row>
    <row r="320" spans="10:11" x14ac:dyDescent="0.25">
      <c r="J320" s="3"/>
      <c r="K320" s="3"/>
    </row>
    <row r="321" spans="10:11" x14ac:dyDescent="0.25">
      <c r="J321" s="3"/>
      <c r="K321" s="3"/>
    </row>
    <row r="322" spans="10:11" x14ac:dyDescent="0.25">
      <c r="J322" s="3"/>
      <c r="K322" s="3"/>
    </row>
    <row r="323" spans="10:11" x14ac:dyDescent="0.25">
      <c r="J323" s="3"/>
      <c r="K323" s="3"/>
    </row>
    <row r="324" spans="10:11" x14ac:dyDescent="0.25">
      <c r="J324" s="3"/>
      <c r="K324" s="3"/>
    </row>
    <row r="325" spans="10:11" x14ac:dyDescent="0.25">
      <c r="J325" s="3"/>
      <c r="K325" s="3"/>
    </row>
    <row r="326" spans="10:11" x14ac:dyDescent="0.25">
      <c r="J326" s="3"/>
      <c r="K326" s="3"/>
    </row>
    <row r="327" spans="10:11" x14ac:dyDescent="0.25">
      <c r="J327" s="3"/>
      <c r="K327" s="3"/>
    </row>
    <row r="328" spans="10:11" x14ac:dyDescent="0.25">
      <c r="J328" s="3"/>
      <c r="K328" s="3"/>
    </row>
    <row r="329" spans="10:11" x14ac:dyDescent="0.25">
      <c r="J329" s="3"/>
      <c r="K329" s="3"/>
    </row>
    <row r="330" spans="10:11" x14ac:dyDescent="0.25">
      <c r="J330" s="3"/>
      <c r="K330" s="3"/>
    </row>
    <row r="331" spans="10:11" x14ac:dyDescent="0.25">
      <c r="J331" s="3"/>
      <c r="K331" s="3"/>
    </row>
    <row r="332" spans="10:11" x14ac:dyDescent="0.25">
      <c r="J332" s="3"/>
      <c r="K332" s="3"/>
    </row>
    <row r="333" spans="10:11" x14ac:dyDescent="0.25">
      <c r="J333" s="3"/>
      <c r="K333" s="3"/>
    </row>
    <row r="334" spans="10:11" x14ac:dyDescent="0.25">
      <c r="J334" s="3"/>
      <c r="K334" s="3"/>
    </row>
    <row r="335" spans="10:11" x14ac:dyDescent="0.25">
      <c r="J335" s="3"/>
      <c r="K335" s="3"/>
    </row>
    <row r="336" spans="10:11" x14ac:dyDescent="0.25">
      <c r="J336" s="3"/>
      <c r="K336" s="3"/>
    </row>
    <row r="337" spans="10:11" x14ac:dyDescent="0.25">
      <c r="J337" s="3"/>
      <c r="K337" s="3"/>
    </row>
    <row r="338" spans="10:11" x14ac:dyDescent="0.25">
      <c r="J338" s="3"/>
      <c r="K338" s="3"/>
    </row>
    <row r="339" spans="10:11" x14ac:dyDescent="0.25">
      <c r="J339" s="3"/>
      <c r="K339" s="3"/>
    </row>
    <row r="340" spans="10:11" x14ac:dyDescent="0.25">
      <c r="J340" s="3"/>
      <c r="K340" s="3"/>
    </row>
    <row r="341" spans="10:11" x14ac:dyDescent="0.25">
      <c r="J341" s="3"/>
      <c r="K341" s="3"/>
    </row>
    <row r="342" spans="10:11" x14ac:dyDescent="0.25">
      <c r="J342" s="3"/>
      <c r="K342" s="3"/>
    </row>
    <row r="343" spans="10:11" x14ac:dyDescent="0.25">
      <c r="J343" s="3"/>
      <c r="K343" s="3"/>
    </row>
    <row r="344" spans="10:11" x14ac:dyDescent="0.25">
      <c r="J344" s="3"/>
      <c r="K344" s="3"/>
    </row>
    <row r="345" spans="10:11" x14ac:dyDescent="0.25">
      <c r="J345" s="3"/>
      <c r="K345" s="3"/>
    </row>
    <row r="346" spans="10:11" x14ac:dyDescent="0.25">
      <c r="J346" s="3"/>
      <c r="K346" s="3"/>
    </row>
    <row r="347" spans="10:11" x14ac:dyDescent="0.25">
      <c r="J347" s="3"/>
      <c r="K347" s="3"/>
    </row>
    <row r="348" spans="10:11" x14ac:dyDescent="0.25">
      <c r="J348" s="3"/>
      <c r="K348" s="3"/>
    </row>
    <row r="349" spans="10:11" x14ac:dyDescent="0.25">
      <c r="J349" s="3"/>
      <c r="K349" s="3"/>
    </row>
    <row r="350" spans="10:11" x14ac:dyDescent="0.25">
      <c r="J350" s="3"/>
      <c r="K350" s="3"/>
    </row>
    <row r="351" spans="10:11" x14ac:dyDescent="0.25">
      <c r="J351" s="3"/>
      <c r="K351" s="3"/>
    </row>
    <row r="352" spans="10:11" x14ac:dyDescent="0.25">
      <c r="J352" s="3"/>
      <c r="K352" s="3"/>
    </row>
    <row r="353" spans="10:11" x14ac:dyDescent="0.25">
      <c r="J353" s="3"/>
      <c r="K353" s="3"/>
    </row>
    <row r="354" spans="10:11" x14ac:dyDescent="0.25">
      <c r="J354" s="3"/>
      <c r="K354" s="3"/>
    </row>
    <row r="355" spans="10:11" x14ac:dyDescent="0.25">
      <c r="J355" s="3"/>
      <c r="K355" s="3"/>
    </row>
    <row r="356" spans="10:11" x14ac:dyDescent="0.25">
      <c r="J356" s="3"/>
      <c r="K356" s="3"/>
    </row>
    <row r="357" spans="10:11" x14ac:dyDescent="0.25">
      <c r="J357" s="3"/>
      <c r="K357" s="3"/>
    </row>
    <row r="358" spans="10:11" x14ac:dyDescent="0.25">
      <c r="J358" s="3"/>
      <c r="K358" s="3"/>
    </row>
    <row r="359" spans="10:11" x14ac:dyDescent="0.25">
      <c r="J359" s="3"/>
      <c r="K359" s="3"/>
    </row>
    <row r="360" spans="10:11" x14ac:dyDescent="0.25">
      <c r="J360" s="3"/>
      <c r="K360" s="3"/>
    </row>
    <row r="361" spans="10:11" x14ac:dyDescent="0.25">
      <c r="J361" s="3"/>
      <c r="K361" s="3"/>
    </row>
    <row r="362" spans="10:11" x14ac:dyDescent="0.25">
      <c r="J362" s="3"/>
      <c r="K362" s="3"/>
    </row>
    <row r="363" spans="10:11" x14ac:dyDescent="0.25">
      <c r="J363" s="3"/>
      <c r="K363" s="3"/>
    </row>
    <row r="364" spans="10:11" x14ac:dyDescent="0.25">
      <c r="J364" s="3"/>
      <c r="K364" s="3"/>
    </row>
    <row r="365" spans="10:11" x14ac:dyDescent="0.25">
      <c r="J365" s="3"/>
      <c r="K365" s="3"/>
    </row>
    <row r="366" spans="10:11" x14ac:dyDescent="0.25">
      <c r="J366" s="3"/>
      <c r="K366" s="3"/>
    </row>
    <row r="367" spans="10:11" x14ac:dyDescent="0.25">
      <c r="J367" s="3"/>
      <c r="K367" s="3"/>
    </row>
    <row r="368" spans="10:11" x14ac:dyDescent="0.25">
      <c r="J368" s="3"/>
      <c r="K368" s="3"/>
    </row>
    <row r="369" spans="10:11" x14ac:dyDescent="0.25">
      <c r="J369" s="3"/>
      <c r="K369" s="3"/>
    </row>
    <row r="370" spans="10:11" x14ac:dyDescent="0.25">
      <c r="J370" s="3"/>
      <c r="K370" s="3"/>
    </row>
    <row r="371" spans="10:11" x14ac:dyDescent="0.25">
      <c r="J371" s="3"/>
      <c r="K371" s="3"/>
    </row>
    <row r="372" spans="10:11" x14ac:dyDescent="0.25">
      <c r="J372" s="3"/>
      <c r="K372" s="3"/>
    </row>
    <row r="373" spans="10:11" x14ac:dyDescent="0.25">
      <c r="J373" s="3"/>
      <c r="K373" s="3"/>
    </row>
    <row r="374" spans="10:11" x14ac:dyDescent="0.25">
      <c r="J374" s="3"/>
      <c r="K374" s="3"/>
    </row>
    <row r="375" spans="10:11" x14ac:dyDescent="0.25">
      <c r="J375" s="3"/>
      <c r="K375" s="3"/>
    </row>
    <row r="376" spans="10:11" x14ac:dyDescent="0.25">
      <c r="J376" s="3"/>
      <c r="K376" s="3"/>
    </row>
    <row r="377" spans="10:11" x14ac:dyDescent="0.25">
      <c r="J377" s="3"/>
      <c r="K377" s="3"/>
    </row>
    <row r="378" spans="10:11" x14ac:dyDescent="0.25">
      <c r="J378" s="3"/>
      <c r="K378" s="3"/>
    </row>
    <row r="379" spans="10:11" x14ac:dyDescent="0.25">
      <c r="J379" s="3"/>
      <c r="K379" s="3"/>
    </row>
    <row r="380" spans="10:11" x14ac:dyDescent="0.25">
      <c r="J380" s="3"/>
      <c r="K380" s="3"/>
    </row>
    <row r="381" spans="10:11" x14ac:dyDescent="0.25">
      <c r="J381" s="3"/>
      <c r="K381" s="3"/>
    </row>
    <row r="382" spans="10:11" x14ac:dyDescent="0.25">
      <c r="J382" s="3"/>
      <c r="K382" s="3"/>
    </row>
    <row r="383" spans="10:11" x14ac:dyDescent="0.25">
      <c r="J383" s="3"/>
      <c r="K383" s="3"/>
    </row>
    <row r="384" spans="10:11" x14ac:dyDescent="0.25">
      <c r="J384" s="3"/>
      <c r="K384" s="3"/>
    </row>
    <row r="385" spans="10:11" x14ac:dyDescent="0.25">
      <c r="J385" s="3"/>
      <c r="K385" s="3"/>
    </row>
    <row r="386" spans="10:11" x14ac:dyDescent="0.25">
      <c r="J386" s="3"/>
      <c r="K386" s="3"/>
    </row>
    <row r="387" spans="10:11" x14ac:dyDescent="0.25">
      <c r="J387" s="3"/>
      <c r="K387" s="3"/>
    </row>
    <row r="388" spans="10:11" x14ac:dyDescent="0.25">
      <c r="J388" s="3"/>
      <c r="K388" s="3"/>
    </row>
    <row r="389" spans="10:11" x14ac:dyDescent="0.25">
      <c r="J389" s="3"/>
      <c r="K389" s="3"/>
    </row>
    <row r="390" spans="10:11" x14ac:dyDescent="0.25">
      <c r="J390" s="3"/>
      <c r="K390" s="3"/>
    </row>
    <row r="391" spans="10:11" x14ac:dyDescent="0.25">
      <c r="J391" s="3"/>
      <c r="K391" s="3"/>
    </row>
    <row r="392" spans="10:11" x14ac:dyDescent="0.25">
      <c r="J392" s="3"/>
      <c r="K392" s="3"/>
    </row>
    <row r="393" spans="10:11" x14ac:dyDescent="0.25">
      <c r="J393" s="3"/>
      <c r="K393" s="3"/>
    </row>
    <row r="394" spans="10:11" x14ac:dyDescent="0.25">
      <c r="J394" s="3"/>
      <c r="K394" s="3"/>
    </row>
    <row r="395" spans="10:11" x14ac:dyDescent="0.25">
      <c r="J395" s="3"/>
      <c r="K395" s="3"/>
    </row>
    <row r="396" spans="10:11" x14ac:dyDescent="0.25">
      <c r="J396" s="3"/>
      <c r="K396" s="3"/>
    </row>
    <row r="397" spans="10:11" x14ac:dyDescent="0.25">
      <c r="J397" s="3"/>
      <c r="K397" s="3"/>
    </row>
    <row r="398" spans="10:11" x14ac:dyDescent="0.25">
      <c r="J398" s="3"/>
      <c r="K398" s="3"/>
    </row>
    <row r="399" spans="10:11" x14ac:dyDescent="0.25">
      <c r="J399" s="3"/>
      <c r="K399" s="3"/>
    </row>
    <row r="400" spans="10:11" x14ac:dyDescent="0.25">
      <c r="J400" s="3"/>
      <c r="K400" s="3"/>
    </row>
    <row r="401" spans="10:11" x14ac:dyDescent="0.25">
      <c r="J401" s="3"/>
      <c r="K401" s="3"/>
    </row>
    <row r="402" spans="10:11" x14ac:dyDescent="0.25">
      <c r="J402" s="3"/>
      <c r="K402" s="3"/>
    </row>
    <row r="403" spans="10:11" x14ac:dyDescent="0.25">
      <c r="J403" s="3"/>
      <c r="K403" s="3"/>
    </row>
    <row r="404" spans="10:11" x14ac:dyDescent="0.25">
      <c r="J404" s="3"/>
      <c r="K404" s="3"/>
    </row>
    <row r="405" spans="10:11" x14ac:dyDescent="0.25">
      <c r="J405" s="3"/>
      <c r="K405" s="3"/>
    </row>
    <row r="406" spans="10:11" x14ac:dyDescent="0.25">
      <c r="J406" s="3"/>
      <c r="K406" s="3"/>
    </row>
    <row r="407" spans="10:11" x14ac:dyDescent="0.25">
      <c r="J407" s="3"/>
      <c r="K407" s="3"/>
    </row>
    <row r="408" spans="10:11" x14ac:dyDescent="0.25">
      <c r="J408" s="3"/>
      <c r="K408" s="3"/>
    </row>
    <row r="409" spans="10:11" x14ac:dyDescent="0.25">
      <c r="J409" s="3"/>
      <c r="K409" s="3"/>
    </row>
    <row r="410" spans="10:11" x14ac:dyDescent="0.25">
      <c r="J410" s="3"/>
      <c r="K410" s="3"/>
    </row>
    <row r="411" spans="10:11" x14ac:dyDescent="0.25">
      <c r="J411" s="3"/>
      <c r="K411" s="3"/>
    </row>
    <row r="412" spans="10:11" x14ac:dyDescent="0.25">
      <c r="J412" s="3"/>
      <c r="K412" s="3"/>
    </row>
    <row r="413" spans="10:11" x14ac:dyDescent="0.25">
      <c r="J413" s="3"/>
      <c r="K413" s="3"/>
    </row>
    <row r="414" spans="10:11" x14ac:dyDescent="0.25">
      <c r="J414" s="3"/>
      <c r="K414" s="3"/>
    </row>
    <row r="415" spans="10:11" x14ac:dyDescent="0.25">
      <c r="J415" s="3"/>
      <c r="K415" s="3"/>
    </row>
    <row r="416" spans="10:11" x14ac:dyDescent="0.25">
      <c r="J416" s="3"/>
      <c r="K416" s="3"/>
    </row>
    <row r="417" spans="10:11" x14ac:dyDescent="0.25">
      <c r="J417" s="3"/>
      <c r="K417" s="3"/>
    </row>
    <row r="418" spans="10:11" x14ac:dyDescent="0.25">
      <c r="J418" s="3"/>
      <c r="K418" s="3"/>
    </row>
    <row r="419" spans="10:11" x14ac:dyDescent="0.25">
      <c r="J419" s="3"/>
      <c r="K419" s="3"/>
    </row>
    <row r="420" spans="10:11" x14ac:dyDescent="0.25">
      <c r="J420" s="3"/>
      <c r="K420" s="3"/>
    </row>
    <row r="421" spans="10:11" x14ac:dyDescent="0.25">
      <c r="J421" s="3"/>
      <c r="K421" s="3"/>
    </row>
    <row r="422" spans="10:11" x14ac:dyDescent="0.25">
      <c r="J422" s="3"/>
      <c r="K422" s="3"/>
    </row>
    <row r="423" spans="10:11" x14ac:dyDescent="0.25">
      <c r="J423" s="3"/>
      <c r="K423" s="3"/>
    </row>
    <row r="424" spans="10:11" x14ac:dyDescent="0.25">
      <c r="J424" s="3"/>
      <c r="K424" s="3"/>
    </row>
    <row r="425" spans="10:11" x14ac:dyDescent="0.25">
      <c r="J425" s="3"/>
      <c r="K425" s="3"/>
    </row>
    <row r="426" spans="10:11" x14ac:dyDescent="0.25">
      <c r="J426" s="3"/>
      <c r="K426" s="3"/>
    </row>
    <row r="427" spans="10:11" x14ac:dyDescent="0.25">
      <c r="J427" s="3"/>
      <c r="K427" s="3"/>
    </row>
    <row r="428" spans="10:11" x14ac:dyDescent="0.25">
      <c r="J428" s="3"/>
      <c r="K428" s="3"/>
    </row>
    <row r="429" spans="10:11" x14ac:dyDescent="0.25">
      <c r="J429" s="3"/>
      <c r="K429" s="3"/>
    </row>
    <row r="430" spans="10:11" x14ac:dyDescent="0.25">
      <c r="J430" s="3"/>
      <c r="K430" s="3"/>
    </row>
    <row r="431" spans="10:11" x14ac:dyDescent="0.25">
      <c r="J431" s="3"/>
      <c r="K431" s="3"/>
    </row>
    <row r="432" spans="10:11" x14ac:dyDescent="0.25">
      <c r="J432" s="3"/>
      <c r="K432" s="3"/>
    </row>
    <row r="433" spans="10:11" x14ac:dyDescent="0.25">
      <c r="J433" s="3"/>
      <c r="K433" s="3"/>
    </row>
    <row r="434" spans="10:11" x14ac:dyDescent="0.25">
      <c r="J434" s="3"/>
      <c r="K434" s="3"/>
    </row>
    <row r="435" spans="10:11" x14ac:dyDescent="0.25">
      <c r="J435" s="3"/>
      <c r="K435" s="3"/>
    </row>
    <row r="436" spans="10:11" x14ac:dyDescent="0.25">
      <c r="J436" s="3"/>
      <c r="K436" s="3"/>
    </row>
    <row r="437" spans="10:11" x14ac:dyDescent="0.25">
      <c r="J437" s="3"/>
      <c r="K437" s="3"/>
    </row>
    <row r="438" spans="10:11" x14ac:dyDescent="0.25">
      <c r="J438" s="3"/>
      <c r="K438" s="3"/>
    </row>
    <row r="439" spans="10:11" x14ac:dyDescent="0.25">
      <c r="J439" s="3"/>
      <c r="K439" s="3"/>
    </row>
    <row r="440" spans="10:11" x14ac:dyDescent="0.25">
      <c r="J440" s="3"/>
      <c r="K440" s="3"/>
    </row>
    <row r="441" spans="10:11" x14ac:dyDescent="0.25">
      <c r="J441" s="3"/>
      <c r="K441" s="3"/>
    </row>
    <row r="442" spans="10:11" x14ac:dyDescent="0.25">
      <c r="J442" s="3"/>
      <c r="K442" s="3"/>
    </row>
    <row r="443" spans="10:11" x14ac:dyDescent="0.25">
      <c r="J443" s="3"/>
      <c r="K443" s="3"/>
    </row>
    <row r="444" spans="10:11" x14ac:dyDescent="0.25">
      <c r="J444" s="3"/>
      <c r="K444" s="3"/>
    </row>
    <row r="445" spans="10:11" x14ac:dyDescent="0.25">
      <c r="J445" s="3"/>
      <c r="K445" s="3"/>
    </row>
    <row r="446" spans="10:11" x14ac:dyDescent="0.25">
      <c r="J446" s="3"/>
      <c r="K446" s="3"/>
    </row>
    <row r="447" spans="10:11" x14ac:dyDescent="0.25">
      <c r="J447" s="3"/>
      <c r="K447" s="3"/>
    </row>
    <row r="448" spans="10:11" x14ac:dyDescent="0.25">
      <c r="J448" s="3"/>
      <c r="K448" s="3"/>
    </row>
    <row r="449" spans="10:11" x14ac:dyDescent="0.25">
      <c r="J449" s="3"/>
      <c r="K449" s="3"/>
    </row>
    <row r="450" spans="10:11" x14ac:dyDescent="0.25">
      <c r="J450" s="3"/>
      <c r="K450" s="3"/>
    </row>
    <row r="451" spans="10:11" x14ac:dyDescent="0.25">
      <c r="J451" s="3"/>
      <c r="K451" s="3"/>
    </row>
    <row r="452" spans="10:11" x14ac:dyDescent="0.25">
      <c r="J452" s="3"/>
      <c r="K452" s="3"/>
    </row>
    <row r="453" spans="10:11" x14ac:dyDescent="0.25">
      <c r="J453" s="3"/>
      <c r="K453" s="3"/>
    </row>
    <row r="454" spans="10:11" x14ac:dyDescent="0.25">
      <c r="J454" s="3"/>
      <c r="K454" s="3"/>
    </row>
    <row r="455" spans="10:11" x14ac:dyDescent="0.25">
      <c r="J455" s="3"/>
      <c r="K455" s="3"/>
    </row>
    <row r="456" spans="10:11" x14ac:dyDescent="0.25">
      <c r="J456" s="3"/>
      <c r="K456" s="3"/>
    </row>
    <row r="457" spans="10:11" x14ac:dyDescent="0.25">
      <c r="J457" s="3"/>
      <c r="K457" s="3"/>
    </row>
    <row r="458" spans="10:11" x14ac:dyDescent="0.25">
      <c r="J458" s="3"/>
      <c r="K458" s="3"/>
    </row>
    <row r="459" spans="10:11" x14ac:dyDescent="0.25">
      <c r="J459" s="3"/>
      <c r="K459" s="3"/>
    </row>
    <row r="460" spans="10:11" x14ac:dyDescent="0.25">
      <c r="J460" s="3"/>
      <c r="K460" s="3"/>
    </row>
    <row r="461" spans="10:11" x14ac:dyDescent="0.25">
      <c r="J461" s="3"/>
      <c r="K461" s="3"/>
    </row>
    <row r="462" spans="10:11" x14ac:dyDescent="0.25">
      <c r="J462" s="3"/>
      <c r="K462" s="3"/>
    </row>
    <row r="463" spans="10:11" x14ac:dyDescent="0.25">
      <c r="J463" s="3"/>
      <c r="K463" s="3"/>
    </row>
    <row r="464" spans="10:11" x14ac:dyDescent="0.25">
      <c r="J464" s="3"/>
      <c r="K464" s="3"/>
    </row>
    <row r="465" spans="10:11" x14ac:dyDescent="0.25">
      <c r="J465" s="3"/>
      <c r="K465" s="3"/>
    </row>
    <row r="466" spans="10:11" x14ac:dyDescent="0.25">
      <c r="J466" s="3"/>
      <c r="K466" s="3"/>
    </row>
    <row r="467" spans="10:11" x14ac:dyDescent="0.25">
      <c r="J467" s="3"/>
      <c r="K467" s="3"/>
    </row>
    <row r="468" spans="10:11" x14ac:dyDescent="0.25">
      <c r="J468" s="3"/>
      <c r="K468" s="3"/>
    </row>
    <row r="469" spans="10:11" x14ac:dyDescent="0.25">
      <c r="J469" s="3"/>
      <c r="K469" s="3"/>
    </row>
    <row r="470" spans="10:11" x14ac:dyDescent="0.25">
      <c r="J470" s="3"/>
      <c r="K470" s="3"/>
    </row>
    <row r="471" spans="10:11" x14ac:dyDescent="0.25">
      <c r="J471" s="3"/>
      <c r="K471" s="3"/>
    </row>
    <row r="472" spans="10:11" x14ac:dyDescent="0.25">
      <c r="J472" s="3"/>
      <c r="K472" s="3"/>
    </row>
    <row r="473" spans="10:11" x14ac:dyDescent="0.25">
      <c r="J473" s="3"/>
      <c r="K473" s="3"/>
    </row>
    <row r="474" spans="10:11" x14ac:dyDescent="0.25">
      <c r="J474" s="3"/>
      <c r="K474" s="3"/>
    </row>
    <row r="475" spans="10:11" x14ac:dyDescent="0.25">
      <c r="J475" s="3"/>
      <c r="K475" s="3"/>
    </row>
    <row r="476" spans="10:11" x14ac:dyDescent="0.25">
      <c r="J476" s="3"/>
      <c r="K476" s="3"/>
    </row>
    <row r="477" spans="10:11" x14ac:dyDescent="0.25">
      <c r="J477" s="3"/>
      <c r="K477" s="3"/>
    </row>
    <row r="478" spans="10:11" x14ac:dyDescent="0.25">
      <c r="J478" s="3"/>
      <c r="K478" s="3"/>
    </row>
    <row r="479" spans="10:11" x14ac:dyDescent="0.25">
      <c r="J479" s="3"/>
      <c r="K479" s="3"/>
    </row>
    <row r="480" spans="10:11" x14ac:dyDescent="0.25">
      <c r="J480" s="3"/>
      <c r="K480" s="3"/>
    </row>
    <row r="481" spans="10:11" x14ac:dyDescent="0.25">
      <c r="J481" s="3"/>
      <c r="K481" s="3"/>
    </row>
    <row r="482" spans="10:11" x14ac:dyDescent="0.25">
      <c r="J482" s="3"/>
      <c r="K482" s="3"/>
    </row>
    <row r="483" spans="10:11" x14ac:dyDescent="0.25">
      <c r="J483" s="3"/>
      <c r="K483" s="3"/>
    </row>
    <row r="484" spans="10:11" x14ac:dyDescent="0.25">
      <c r="J484" s="3"/>
      <c r="K484" s="3"/>
    </row>
    <row r="485" spans="10:11" x14ac:dyDescent="0.25">
      <c r="J485" s="3"/>
      <c r="K485" s="3"/>
    </row>
    <row r="486" spans="10:11" x14ac:dyDescent="0.25">
      <c r="J486" s="3"/>
      <c r="K486" s="3"/>
    </row>
    <row r="487" spans="10:11" x14ac:dyDescent="0.25">
      <c r="J487" s="3"/>
      <c r="K487" s="3"/>
    </row>
    <row r="488" spans="10:11" x14ac:dyDescent="0.25">
      <c r="J488" s="3"/>
      <c r="K488" s="3"/>
    </row>
    <row r="489" spans="10:11" x14ac:dyDescent="0.25">
      <c r="J489" s="3"/>
      <c r="K489" s="3"/>
    </row>
    <row r="490" spans="10:11" x14ac:dyDescent="0.25">
      <c r="J490" s="3"/>
      <c r="K490" s="3"/>
    </row>
    <row r="491" spans="10:11" x14ac:dyDescent="0.25">
      <c r="J491" s="3"/>
      <c r="K491" s="3"/>
    </row>
    <row r="492" spans="10:11" x14ac:dyDescent="0.25">
      <c r="J492" s="3"/>
      <c r="K492" s="3"/>
    </row>
    <row r="493" spans="10:11" x14ac:dyDescent="0.25">
      <c r="J493" s="3"/>
      <c r="K493" s="3"/>
    </row>
    <row r="494" spans="10:11" x14ac:dyDescent="0.25">
      <c r="J494" s="3"/>
      <c r="K494" s="3"/>
    </row>
    <row r="495" spans="10:11" x14ac:dyDescent="0.25">
      <c r="J495" s="3"/>
      <c r="K495" s="3"/>
    </row>
    <row r="496" spans="10:11" x14ac:dyDescent="0.25">
      <c r="J496" s="3"/>
      <c r="K496" s="3"/>
    </row>
    <row r="497" spans="10:11" x14ac:dyDescent="0.25">
      <c r="J497" s="3"/>
      <c r="K497" s="3"/>
    </row>
    <row r="498" spans="10:11" x14ac:dyDescent="0.25">
      <c r="J498" s="3"/>
      <c r="K498" s="3"/>
    </row>
    <row r="499" spans="10:11" x14ac:dyDescent="0.25">
      <c r="J499" s="3"/>
      <c r="K499" s="3"/>
    </row>
    <row r="500" spans="10:11" x14ac:dyDescent="0.25">
      <c r="J500" s="3"/>
      <c r="K500" s="3"/>
    </row>
    <row r="501" spans="10:11" x14ac:dyDescent="0.25">
      <c r="J501" s="3"/>
      <c r="K501" s="3"/>
    </row>
    <row r="502" spans="10:11" x14ac:dyDescent="0.25">
      <c r="J502" s="3"/>
      <c r="K502" s="3"/>
    </row>
    <row r="503" spans="10:11" x14ac:dyDescent="0.25">
      <c r="J503" s="3"/>
      <c r="K503" s="3"/>
    </row>
    <row r="504" spans="10:11" x14ac:dyDescent="0.25">
      <c r="J504" s="3"/>
      <c r="K504" s="3"/>
    </row>
    <row r="505" spans="10:11" x14ac:dyDescent="0.25">
      <c r="J505" s="3"/>
      <c r="K505" s="3"/>
    </row>
    <row r="506" spans="10:11" x14ac:dyDescent="0.25">
      <c r="J506" s="3"/>
      <c r="K506" s="3"/>
    </row>
    <row r="507" spans="10:11" x14ac:dyDescent="0.25">
      <c r="J507" s="3"/>
      <c r="K507" s="3"/>
    </row>
    <row r="508" spans="10:11" x14ac:dyDescent="0.25">
      <c r="J508" s="3"/>
      <c r="K508" s="3"/>
    </row>
    <row r="509" spans="10:11" x14ac:dyDescent="0.25">
      <c r="J509" s="3"/>
      <c r="K509" s="3"/>
    </row>
    <row r="510" spans="10:11" x14ac:dyDescent="0.25">
      <c r="J510" s="3"/>
      <c r="K510" s="3"/>
    </row>
    <row r="511" spans="10:11" x14ac:dyDescent="0.25">
      <c r="J511" s="3"/>
      <c r="K511" s="3"/>
    </row>
    <row r="512" spans="10:11" x14ac:dyDescent="0.25">
      <c r="J512" s="3"/>
      <c r="K512" s="3"/>
    </row>
    <row r="513" spans="10:11" x14ac:dyDescent="0.25">
      <c r="J513" s="3"/>
      <c r="K513" s="3"/>
    </row>
    <row r="514" spans="10:11" x14ac:dyDescent="0.25">
      <c r="J514" s="3"/>
      <c r="K514" s="3"/>
    </row>
    <row r="515" spans="10:11" x14ac:dyDescent="0.25">
      <c r="J515" s="3"/>
      <c r="K515" s="3"/>
    </row>
    <row r="516" spans="10:11" x14ac:dyDescent="0.25">
      <c r="J516" s="3"/>
      <c r="K516" s="3"/>
    </row>
    <row r="517" spans="10:11" x14ac:dyDescent="0.25">
      <c r="J517" s="3"/>
      <c r="K517" s="3"/>
    </row>
    <row r="518" spans="10:11" x14ac:dyDescent="0.25">
      <c r="J518" s="3"/>
      <c r="K518" s="3"/>
    </row>
    <row r="519" spans="10:11" x14ac:dyDescent="0.25">
      <c r="J519" s="3"/>
      <c r="K519" s="3"/>
    </row>
    <row r="520" spans="10:11" x14ac:dyDescent="0.25">
      <c r="J520" s="3"/>
      <c r="K520" s="3"/>
    </row>
    <row r="521" spans="10:11" x14ac:dyDescent="0.25">
      <c r="J521" s="3"/>
      <c r="K521" s="3"/>
    </row>
    <row r="522" spans="10:11" x14ac:dyDescent="0.25">
      <c r="J522" s="3"/>
      <c r="K522" s="3"/>
    </row>
    <row r="523" spans="10:11" x14ac:dyDescent="0.25">
      <c r="J523" s="3"/>
      <c r="K523" s="3"/>
    </row>
    <row r="524" spans="10:11" x14ac:dyDescent="0.25">
      <c r="J524" s="3"/>
      <c r="K524" s="3"/>
    </row>
    <row r="525" spans="10:11" x14ac:dyDescent="0.25">
      <c r="J525" s="3"/>
      <c r="K525" s="3"/>
    </row>
    <row r="526" spans="10:11" x14ac:dyDescent="0.25">
      <c r="J526" s="3"/>
      <c r="K526" s="3"/>
    </row>
    <row r="527" spans="10:11" x14ac:dyDescent="0.25">
      <c r="J527" s="3"/>
      <c r="K527" s="3"/>
    </row>
    <row r="528" spans="10:11" x14ac:dyDescent="0.25">
      <c r="J528" s="3"/>
      <c r="K528" s="3"/>
    </row>
    <row r="529" spans="10:11" x14ac:dyDescent="0.25">
      <c r="J529" s="3"/>
      <c r="K529" s="3"/>
    </row>
    <row r="530" spans="10:11" x14ac:dyDescent="0.25">
      <c r="J530" s="3"/>
      <c r="K530" s="3"/>
    </row>
    <row r="531" spans="10:11" x14ac:dyDescent="0.25">
      <c r="J531" s="3"/>
      <c r="K531" s="3"/>
    </row>
    <row r="532" spans="10:11" x14ac:dyDescent="0.25">
      <c r="J532" s="3"/>
      <c r="K532" s="3"/>
    </row>
    <row r="533" spans="10:11" x14ac:dyDescent="0.25">
      <c r="J533" s="3"/>
      <c r="K533" s="3"/>
    </row>
    <row r="534" spans="10:11" x14ac:dyDescent="0.25">
      <c r="J534" s="3"/>
      <c r="K534" s="3"/>
    </row>
    <row r="535" spans="10:11" x14ac:dyDescent="0.25">
      <c r="J535" s="3"/>
      <c r="K535" s="3"/>
    </row>
    <row r="536" spans="10:11" x14ac:dyDescent="0.25">
      <c r="J536" s="3"/>
      <c r="K536" s="3"/>
    </row>
    <row r="537" spans="10:11" x14ac:dyDescent="0.25">
      <c r="J537" s="3"/>
      <c r="K537" s="3"/>
    </row>
    <row r="538" spans="10:11" x14ac:dyDescent="0.25">
      <c r="J538" s="3"/>
      <c r="K538" s="3"/>
    </row>
    <row r="539" spans="10:11" x14ac:dyDescent="0.25">
      <c r="J539" s="3"/>
      <c r="K539" s="3"/>
    </row>
    <row r="540" spans="10:11" x14ac:dyDescent="0.25">
      <c r="J540" s="3"/>
      <c r="K540" s="3"/>
    </row>
    <row r="541" spans="10:11" x14ac:dyDescent="0.25">
      <c r="J541" s="3"/>
      <c r="K541" s="3"/>
    </row>
    <row r="542" spans="10:11" x14ac:dyDescent="0.25">
      <c r="J542" s="3"/>
      <c r="K542" s="3"/>
    </row>
    <row r="543" spans="10:11" x14ac:dyDescent="0.25">
      <c r="J543" s="3"/>
      <c r="K543" s="3"/>
    </row>
    <row r="544" spans="10:11" x14ac:dyDescent="0.25">
      <c r="J544" s="3"/>
      <c r="K544" s="3"/>
    </row>
    <row r="545" spans="10:11" x14ac:dyDescent="0.25">
      <c r="J545" s="3"/>
      <c r="K545" s="3"/>
    </row>
    <row r="546" spans="10:11" x14ac:dyDescent="0.25">
      <c r="J546" s="3"/>
      <c r="K546" s="3"/>
    </row>
    <row r="547" spans="10:11" x14ac:dyDescent="0.25">
      <c r="J547" s="3"/>
      <c r="K547" s="3"/>
    </row>
    <row r="548" spans="10:11" x14ac:dyDescent="0.25">
      <c r="J548" s="3"/>
      <c r="K548" s="3"/>
    </row>
    <row r="549" spans="10:11" x14ac:dyDescent="0.25">
      <c r="J549" s="3"/>
      <c r="K549" s="3"/>
    </row>
    <row r="550" spans="10:11" x14ac:dyDescent="0.25">
      <c r="J550" s="3"/>
      <c r="K550" s="3"/>
    </row>
    <row r="551" spans="10:11" x14ac:dyDescent="0.25">
      <c r="J551" s="3"/>
      <c r="K551" s="3"/>
    </row>
    <row r="552" spans="10:11" x14ac:dyDescent="0.25">
      <c r="J552" s="3"/>
      <c r="K552" s="3"/>
    </row>
    <row r="553" spans="10:11" x14ac:dyDescent="0.25">
      <c r="J553" s="3"/>
      <c r="K553" s="3"/>
    </row>
    <row r="554" spans="10:11" x14ac:dyDescent="0.25">
      <c r="J554" s="3"/>
      <c r="K554" s="3"/>
    </row>
    <row r="555" spans="10:11" x14ac:dyDescent="0.25">
      <c r="J555" s="3"/>
      <c r="K555" s="3"/>
    </row>
    <row r="556" spans="10:11" x14ac:dyDescent="0.25">
      <c r="J556" s="3"/>
      <c r="K556" s="3"/>
    </row>
    <row r="557" spans="10:11" x14ac:dyDescent="0.25">
      <c r="J557" s="3"/>
      <c r="K557" s="3"/>
    </row>
    <row r="558" spans="10:11" x14ac:dyDescent="0.25">
      <c r="J558" s="3"/>
      <c r="K558" s="3"/>
    </row>
    <row r="559" spans="10:11" x14ac:dyDescent="0.25">
      <c r="J559" s="3"/>
      <c r="K559" s="3"/>
    </row>
    <row r="560" spans="10:11" x14ac:dyDescent="0.25">
      <c r="J560" s="3"/>
      <c r="K560" s="3"/>
    </row>
    <row r="561" spans="10:11" x14ac:dyDescent="0.25">
      <c r="J561" s="3"/>
      <c r="K561" s="3"/>
    </row>
    <row r="562" spans="10:11" x14ac:dyDescent="0.25">
      <c r="J562" s="3"/>
      <c r="K562" s="3"/>
    </row>
    <row r="563" spans="10:11" x14ac:dyDescent="0.25">
      <c r="J563" s="3"/>
      <c r="K563" s="3"/>
    </row>
    <row r="564" spans="10:11" x14ac:dyDescent="0.25">
      <c r="J564" s="3"/>
      <c r="K564" s="3"/>
    </row>
    <row r="565" spans="10:11" x14ac:dyDescent="0.25">
      <c r="J565" s="3"/>
      <c r="K565" s="3"/>
    </row>
    <row r="566" spans="10:11" x14ac:dyDescent="0.25">
      <c r="J566" s="3"/>
      <c r="K566" s="3"/>
    </row>
    <row r="567" spans="10:11" x14ac:dyDescent="0.25">
      <c r="J567" s="3"/>
      <c r="K567" s="3"/>
    </row>
    <row r="568" spans="10:11" x14ac:dyDescent="0.25">
      <c r="J568" s="3"/>
      <c r="K568" s="3"/>
    </row>
    <row r="569" spans="10:11" x14ac:dyDescent="0.25">
      <c r="J569" s="3"/>
      <c r="K569" s="3"/>
    </row>
    <row r="570" spans="10:11" x14ac:dyDescent="0.25">
      <c r="J570" s="3"/>
      <c r="K570" s="3"/>
    </row>
    <row r="571" spans="10:11" x14ac:dyDescent="0.25">
      <c r="J571" s="3"/>
      <c r="K571" s="3"/>
    </row>
    <row r="572" spans="10:11" x14ac:dyDescent="0.25">
      <c r="J572" s="3"/>
      <c r="K572" s="3"/>
    </row>
    <row r="573" spans="10:11" x14ac:dyDescent="0.25">
      <c r="J573" s="3"/>
      <c r="K573" s="3"/>
    </row>
    <row r="574" spans="10:11" x14ac:dyDescent="0.25">
      <c r="J574" s="3"/>
      <c r="K574" s="3"/>
    </row>
    <row r="575" spans="10:11" x14ac:dyDescent="0.25">
      <c r="J575" s="3"/>
      <c r="K575" s="3"/>
    </row>
    <row r="576" spans="10:11" x14ac:dyDescent="0.25">
      <c r="J576" s="3"/>
      <c r="K576" s="3"/>
    </row>
    <row r="577" spans="10:11" x14ac:dyDescent="0.25">
      <c r="J577" s="3"/>
      <c r="K577" s="3"/>
    </row>
    <row r="578" spans="10:11" x14ac:dyDescent="0.25">
      <c r="J578" s="3"/>
      <c r="K578" s="3"/>
    </row>
    <row r="579" spans="10:11" x14ac:dyDescent="0.25">
      <c r="J579" s="3"/>
      <c r="K579" s="3"/>
    </row>
    <row r="580" spans="10:11" x14ac:dyDescent="0.25">
      <c r="J580" s="3"/>
      <c r="K580" s="3"/>
    </row>
    <row r="581" spans="10:11" x14ac:dyDescent="0.25">
      <c r="J581" s="3"/>
      <c r="K581" s="3"/>
    </row>
    <row r="582" spans="10:11" x14ac:dyDescent="0.25">
      <c r="J582" s="3"/>
      <c r="K582" s="3"/>
    </row>
    <row r="583" spans="10:11" x14ac:dyDescent="0.25">
      <c r="J583" s="3"/>
      <c r="K583" s="3"/>
    </row>
    <row r="584" spans="10:11" x14ac:dyDescent="0.25">
      <c r="J584" s="3"/>
      <c r="K584" s="3"/>
    </row>
    <row r="585" spans="10:11" x14ac:dyDescent="0.25">
      <c r="J585" s="3"/>
      <c r="K585" s="3"/>
    </row>
    <row r="586" spans="10:11" x14ac:dyDescent="0.25">
      <c r="J586" s="3"/>
      <c r="K586" s="3"/>
    </row>
    <row r="587" spans="10:11" x14ac:dyDescent="0.25">
      <c r="J587" s="3"/>
      <c r="K587" s="3"/>
    </row>
    <row r="588" spans="10:11" x14ac:dyDescent="0.25">
      <c r="J588" s="3"/>
      <c r="K588" s="3"/>
    </row>
    <row r="589" spans="10:11" x14ac:dyDescent="0.25">
      <c r="J589" s="3"/>
      <c r="K589" s="3"/>
    </row>
    <row r="590" spans="10:11" x14ac:dyDescent="0.25">
      <c r="J590" s="3"/>
      <c r="K590" s="3"/>
    </row>
    <row r="591" spans="10:11" x14ac:dyDescent="0.25">
      <c r="J591" s="3"/>
      <c r="K591" s="3"/>
    </row>
    <row r="592" spans="10:11" x14ac:dyDescent="0.25">
      <c r="J592" s="3"/>
      <c r="K592" s="3"/>
    </row>
    <row r="593" spans="10:11" x14ac:dyDescent="0.25">
      <c r="J593" s="3"/>
      <c r="K593" s="3"/>
    </row>
    <row r="594" spans="10:11" x14ac:dyDescent="0.25">
      <c r="J594" s="3"/>
      <c r="K594" s="3"/>
    </row>
    <row r="595" spans="10:11" x14ac:dyDescent="0.25">
      <c r="J595" s="3"/>
      <c r="K595" s="3"/>
    </row>
    <row r="596" spans="10:11" x14ac:dyDescent="0.25">
      <c r="J596" s="3"/>
      <c r="K596" s="3"/>
    </row>
    <row r="597" spans="10:11" x14ac:dyDescent="0.25">
      <c r="J597" s="3"/>
      <c r="K597" s="3"/>
    </row>
    <row r="598" spans="10:11" x14ac:dyDescent="0.25">
      <c r="J598" s="3"/>
      <c r="K598" s="3"/>
    </row>
    <row r="599" spans="10:11" x14ac:dyDescent="0.25">
      <c r="J599" s="3"/>
      <c r="K599" s="3"/>
    </row>
    <row r="600" spans="10:11" x14ac:dyDescent="0.25">
      <c r="J600" s="3"/>
      <c r="K600" s="3"/>
    </row>
    <row r="601" spans="10:11" x14ac:dyDescent="0.25">
      <c r="J601" s="3"/>
      <c r="K601" s="3"/>
    </row>
    <row r="602" spans="10:11" x14ac:dyDescent="0.25">
      <c r="J602" s="3"/>
      <c r="K602" s="3"/>
    </row>
    <row r="603" spans="10:11" x14ac:dyDescent="0.25">
      <c r="J603" s="3"/>
      <c r="K603" s="3"/>
    </row>
    <row r="604" spans="10:11" x14ac:dyDescent="0.25">
      <c r="J604" s="3"/>
      <c r="K604" s="3"/>
    </row>
    <row r="605" spans="10:11" x14ac:dyDescent="0.25">
      <c r="J605" s="3"/>
      <c r="K605" s="3"/>
    </row>
    <row r="606" spans="10:11" x14ac:dyDescent="0.25">
      <c r="J606" s="3"/>
      <c r="K606" s="3"/>
    </row>
    <row r="607" spans="10:11" x14ac:dyDescent="0.25">
      <c r="J607" s="3"/>
      <c r="K607" s="3"/>
    </row>
    <row r="608" spans="10:11" x14ac:dyDescent="0.25">
      <c r="J608" s="3"/>
      <c r="K608" s="3"/>
    </row>
    <row r="609" spans="10:11" x14ac:dyDescent="0.25">
      <c r="J609" s="3"/>
      <c r="K609" s="3"/>
    </row>
    <row r="610" spans="10:11" x14ac:dyDescent="0.25">
      <c r="J610" s="3"/>
      <c r="K610" s="3"/>
    </row>
    <row r="611" spans="10:11" x14ac:dyDescent="0.25">
      <c r="J611" s="3"/>
      <c r="K611" s="3"/>
    </row>
    <row r="612" spans="10:11" x14ac:dyDescent="0.25">
      <c r="J612" s="3"/>
      <c r="K612" s="3"/>
    </row>
    <row r="613" spans="10:11" x14ac:dyDescent="0.25">
      <c r="J613" s="3"/>
      <c r="K613" s="3"/>
    </row>
    <row r="614" spans="10:11" x14ac:dyDescent="0.25">
      <c r="J614" s="3"/>
      <c r="K614" s="3"/>
    </row>
    <row r="615" spans="10:11" x14ac:dyDescent="0.25">
      <c r="J615" s="3"/>
      <c r="K615" s="3"/>
    </row>
    <row r="616" spans="10:11" x14ac:dyDescent="0.25">
      <c r="J616" s="3"/>
      <c r="K616" s="3"/>
    </row>
    <row r="617" spans="10:11" x14ac:dyDescent="0.25">
      <c r="J617" s="3"/>
      <c r="K617" s="3"/>
    </row>
    <row r="618" spans="10:11" x14ac:dyDescent="0.25">
      <c r="J618" s="3"/>
      <c r="K618" s="3"/>
    </row>
    <row r="619" spans="10:11" x14ac:dyDescent="0.25">
      <c r="J619" s="3"/>
      <c r="K619" s="3"/>
    </row>
    <row r="620" spans="10:11" x14ac:dyDescent="0.25">
      <c r="J620" s="3"/>
      <c r="K620" s="3"/>
    </row>
    <row r="621" spans="10:11" x14ac:dyDescent="0.25">
      <c r="J621" s="3"/>
      <c r="K621" s="3"/>
    </row>
    <row r="622" spans="10:11" x14ac:dyDescent="0.25">
      <c r="J622" s="3"/>
      <c r="K622" s="3"/>
    </row>
    <row r="623" spans="10:11" x14ac:dyDescent="0.25">
      <c r="J623" s="3"/>
      <c r="K623" s="3"/>
    </row>
    <row r="624" spans="10:11" x14ac:dyDescent="0.25">
      <c r="J624" s="3"/>
      <c r="K624" s="3"/>
    </row>
    <row r="625" spans="10:11" x14ac:dyDescent="0.25">
      <c r="J625" s="3"/>
      <c r="K625" s="3"/>
    </row>
    <row r="626" spans="10:11" x14ac:dyDescent="0.25">
      <c r="J626" s="3"/>
      <c r="K626" s="3"/>
    </row>
    <row r="627" spans="10:11" x14ac:dyDescent="0.25">
      <c r="J627" s="3"/>
      <c r="K627" s="3"/>
    </row>
    <row r="628" spans="10:11" x14ac:dyDescent="0.25">
      <c r="J628" s="3"/>
      <c r="K628" s="3"/>
    </row>
    <row r="629" spans="10:11" x14ac:dyDescent="0.25">
      <c r="J629" s="3"/>
      <c r="K629" s="3"/>
    </row>
    <row r="630" spans="10:11" x14ac:dyDescent="0.25">
      <c r="J630" s="3"/>
      <c r="K630" s="3"/>
    </row>
    <row r="631" spans="10:11" x14ac:dyDescent="0.25">
      <c r="J631" s="3"/>
      <c r="K631" s="3"/>
    </row>
    <row r="632" spans="10:11" x14ac:dyDescent="0.25">
      <c r="J632" s="3"/>
      <c r="K632" s="3"/>
    </row>
    <row r="633" spans="10:11" x14ac:dyDescent="0.25">
      <c r="J633" s="3"/>
      <c r="K633" s="3"/>
    </row>
    <row r="634" spans="10:11" x14ac:dyDescent="0.25">
      <c r="J634" s="3"/>
      <c r="K634" s="3"/>
    </row>
    <row r="635" spans="10:11" x14ac:dyDescent="0.25">
      <c r="J635" s="3"/>
      <c r="K635" s="3"/>
    </row>
    <row r="636" spans="10:11" x14ac:dyDescent="0.25">
      <c r="J636" s="3"/>
      <c r="K636" s="3"/>
    </row>
    <row r="637" spans="10:11" x14ac:dyDescent="0.25">
      <c r="J637" s="3"/>
      <c r="K637" s="3"/>
    </row>
    <row r="638" spans="10:11" x14ac:dyDescent="0.25">
      <c r="J638" s="3"/>
      <c r="K638" s="3"/>
    </row>
    <row r="639" spans="10:11" x14ac:dyDescent="0.25">
      <c r="J639" s="3"/>
      <c r="K639" s="3"/>
    </row>
    <row r="640" spans="10:11" x14ac:dyDescent="0.25">
      <c r="J640" s="3"/>
      <c r="K640" s="3"/>
    </row>
    <row r="641" spans="10:11" x14ac:dyDescent="0.25">
      <c r="J641" s="3"/>
      <c r="K641" s="3"/>
    </row>
    <row r="642" spans="10:11" x14ac:dyDescent="0.25">
      <c r="J642" s="3"/>
      <c r="K642" s="3"/>
    </row>
    <row r="643" spans="10:11" x14ac:dyDescent="0.25">
      <c r="J643" s="3"/>
      <c r="K643" s="3"/>
    </row>
    <row r="644" spans="10:11" x14ac:dyDescent="0.25">
      <c r="J644" s="3"/>
      <c r="K644" s="3"/>
    </row>
    <row r="645" spans="10:11" x14ac:dyDescent="0.25">
      <c r="J645" s="3"/>
      <c r="K645" s="3"/>
    </row>
    <row r="646" spans="10:11" x14ac:dyDescent="0.25">
      <c r="J646" s="3"/>
      <c r="K646" s="3"/>
    </row>
    <row r="647" spans="10:11" x14ac:dyDescent="0.25">
      <c r="J647" s="3"/>
      <c r="K647" s="3"/>
    </row>
    <row r="648" spans="10:11" x14ac:dyDescent="0.25">
      <c r="J648" s="3"/>
      <c r="K648" s="3"/>
    </row>
    <row r="649" spans="10:11" x14ac:dyDescent="0.25">
      <c r="J649" s="3"/>
      <c r="K649" s="3"/>
    </row>
    <row r="650" spans="10:11" x14ac:dyDescent="0.25">
      <c r="J650" s="3"/>
      <c r="K650" s="3"/>
    </row>
    <row r="651" spans="10:11" x14ac:dyDescent="0.25">
      <c r="J651" s="3"/>
      <c r="K651" s="3"/>
    </row>
    <row r="652" spans="10:11" x14ac:dyDescent="0.25">
      <c r="J652" s="3"/>
      <c r="K652" s="3"/>
    </row>
    <row r="653" spans="10:11" x14ac:dyDescent="0.25">
      <c r="J653" s="3"/>
      <c r="K653" s="3"/>
    </row>
    <row r="654" spans="10:11" x14ac:dyDescent="0.25">
      <c r="J654" s="3"/>
      <c r="K654" s="3"/>
    </row>
    <row r="655" spans="10:11" x14ac:dyDescent="0.25">
      <c r="J655" s="3"/>
      <c r="K655" s="3"/>
    </row>
    <row r="656" spans="10:11" x14ac:dyDescent="0.25">
      <c r="J656" s="3"/>
      <c r="K656" s="3"/>
    </row>
    <row r="657" spans="10:11" x14ac:dyDescent="0.25">
      <c r="J657" s="3"/>
      <c r="K657" s="3"/>
    </row>
    <row r="658" spans="10:11" x14ac:dyDescent="0.25">
      <c r="J658" s="3"/>
      <c r="K658" s="3"/>
    </row>
    <row r="659" spans="10:11" x14ac:dyDescent="0.25">
      <c r="J659" s="3"/>
      <c r="K659" s="3"/>
    </row>
    <row r="660" spans="10:11" x14ac:dyDescent="0.25">
      <c r="J660" s="3"/>
      <c r="K660" s="3"/>
    </row>
    <row r="661" spans="10:11" x14ac:dyDescent="0.25">
      <c r="J661" s="3"/>
      <c r="K661" s="3"/>
    </row>
    <row r="662" spans="10:11" x14ac:dyDescent="0.25">
      <c r="J662" s="3"/>
      <c r="K662" s="3"/>
    </row>
    <row r="663" spans="10:11" x14ac:dyDescent="0.25">
      <c r="J663" s="3"/>
      <c r="K663" s="3"/>
    </row>
    <row r="664" spans="10:11" x14ac:dyDescent="0.25">
      <c r="J664" s="3"/>
      <c r="K664" s="3"/>
    </row>
    <row r="665" spans="10:11" x14ac:dyDescent="0.25">
      <c r="J665" s="3"/>
      <c r="K665" s="3"/>
    </row>
    <row r="666" spans="10:11" x14ac:dyDescent="0.25">
      <c r="J666" s="3"/>
      <c r="K666" s="3"/>
    </row>
    <row r="667" spans="10:11" x14ac:dyDescent="0.25">
      <c r="J667" s="3"/>
      <c r="K667" s="3"/>
    </row>
    <row r="668" spans="10:11" x14ac:dyDescent="0.25">
      <c r="J668" s="3"/>
      <c r="K668" s="3"/>
    </row>
    <row r="669" spans="10:11" x14ac:dyDescent="0.25">
      <c r="J669" s="3"/>
      <c r="K669" s="3"/>
    </row>
    <row r="670" spans="10:11" x14ac:dyDescent="0.25">
      <c r="J670" s="3"/>
      <c r="K670" s="3"/>
    </row>
    <row r="671" spans="10:11" x14ac:dyDescent="0.25">
      <c r="J671" s="3"/>
      <c r="K671" s="3"/>
    </row>
    <row r="672" spans="10:11" x14ac:dyDescent="0.25">
      <c r="J672" s="3"/>
      <c r="K672" s="3"/>
    </row>
    <row r="673" spans="10:11" x14ac:dyDescent="0.25">
      <c r="J673" s="3"/>
      <c r="K673" s="3"/>
    </row>
    <row r="674" spans="10:11" x14ac:dyDescent="0.25">
      <c r="J674" s="3"/>
      <c r="K674" s="3"/>
    </row>
    <row r="675" spans="10:11" x14ac:dyDescent="0.25">
      <c r="J675" s="3"/>
      <c r="K675" s="3"/>
    </row>
    <row r="676" spans="10:11" x14ac:dyDescent="0.25">
      <c r="J676" s="3"/>
      <c r="K676" s="3"/>
    </row>
    <row r="677" spans="10:11" x14ac:dyDescent="0.25">
      <c r="J677" s="3"/>
      <c r="K677" s="3"/>
    </row>
    <row r="678" spans="10:11" x14ac:dyDescent="0.25">
      <c r="J678" s="3"/>
      <c r="K678" s="3"/>
    </row>
    <row r="679" spans="10:11" x14ac:dyDescent="0.25">
      <c r="J679" s="3"/>
      <c r="K679" s="3"/>
    </row>
    <row r="680" spans="10:11" x14ac:dyDescent="0.25">
      <c r="J680" s="3"/>
      <c r="K680" s="3"/>
    </row>
    <row r="681" spans="10:11" x14ac:dyDescent="0.25">
      <c r="J681" s="3"/>
      <c r="K681" s="3"/>
    </row>
    <row r="682" spans="10:11" x14ac:dyDescent="0.25">
      <c r="J682" s="3"/>
      <c r="K682" s="3"/>
    </row>
    <row r="683" spans="10:11" x14ac:dyDescent="0.25">
      <c r="J683" s="3"/>
      <c r="K683" s="3"/>
    </row>
    <row r="684" spans="10:11" x14ac:dyDescent="0.25">
      <c r="J684" s="3"/>
      <c r="K684" s="3"/>
    </row>
    <row r="685" spans="10:11" x14ac:dyDescent="0.25">
      <c r="J685" s="3"/>
      <c r="K685" s="3"/>
    </row>
    <row r="686" spans="10:11" x14ac:dyDescent="0.25">
      <c r="J686" s="3"/>
      <c r="K686" s="3"/>
    </row>
    <row r="687" spans="10:11" x14ac:dyDescent="0.25">
      <c r="J687" s="3"/>
      <c r="K687" s="3"/>
    </row>
    <row r="688" spans="10:11" x14ac:dyDescent="0.25">
      <c r="J688" s="3"/>
      <c r="K688" s="3"/>
    </row>
    <row r="689" spans="10:11" x14ac:dyDescent="0.25">
      <c r="J689" s="3"/>
      <c r="K689" s="3"/>
    </row>
    <row r="690" spans="10:11" x14ac:dyDescent="0.25">
      <c r="J690" s="3"/>
      <c r="K690" s="3"/>
    </row>
    <row r="691" spans="10:11" x14ac:dyDescent="0.25">
      <c r="J691" s="3"/>
      <c r="K691" s="3"/>
    </row>
    <row r="692" spans="10:11" x14ac:dyDescent="0.25">
      <c r="J692" s="3"/>
      <c r="K692" s="3"/>
    </row>
    <row r="693" spans="10:11" x14ac:dyDescent="0.25">
      <c r="J693" s="3"/>
      <c r="K693" s="3"/>
    </row>
    <row r="694" spans="10:11" x14ac:dyDescent="0.25">
      <c r="J694" s="3"/>
      <c r="K694" s="3"/>
    </row>
    <row r="695" spans="10:11" x14ac:dyDescent="0.25">
      <c r="J695" s="3"/>
      <c r="K695" s="3"/>
    </row>
    <row r="696" spans="10:11" x14ac:dyDescent="0.25">
      <c r="J696" s="3"/>
      <c r="K696" s="3"/>
    </row>
    <row r="697" spans="10:11" x14ac:dyDescent="0.25">
      <c r="J697" s="3"/>
      <c r="K697" s="3"/>
    </row>
    <row r="698" spans="10:11" x14ac:dyDescent="0.25">
      <c r="J698" s="3"/>
      <c r="K698" s="3"/>
    </row>
    <row r="699" spans="10:11" x14ac:dyDescent="0.25">
      <c r="J699" s="3"/>
      <c r="K699" s="3"/>
    </row>
    <row r="700" spans="10:11" x14ac:dyDescent="0.25">
      <c r="J700" s="3"/>
      <c r="K700" s="3"/>
    </row>
    <row r="701" spans="10:11" x14ac:dyDescent="0.25">
      <c r="J701" s="3"/>
      <c r="K701" s="3"/>
    </row>
    <row r="702" spans="10:11" x14ac:dyDescent="0.25">
      <c r="J702" s="3"/>
      <c r="K702" s="3"/>
    </row>
    <row r="703" spans="10:11" x14ac:dyDescent="0.25">
      <c r="J703" s="3"/>
      <c r="K703" s="3"/>
    </row>
    <row r="704" spans="10:11" x14ac:dyDescent="0.25">
      <c r="J704" s="3"/>
      <c r="K704" s="3"/>
    </row>
    <row r="705" spans="10:11" x14ac:dyDescent="0.25">
      <c r="J705" s="3"/>
      <c r="K705" s="3"/>
    </row>
    <row r="706" spans="10:11" x14ac:dyDescent="0.25">
      <c r="J706" s="3"/>
      <c r="K706" s="3"/>
    </row>
    <row r="707" spans="10:11" x14ac:dyDescent="0.25">
      <c r="J707" s="3"/>
      <c r="K707" s="3"/>
    </row>
    <row r="708" spans="10:11" x14ac:dyDescent="0.25">
      <c r="J708" s="3"/>
      <c r="K708" s="3"/>
    </row>
    <row r="709" spans="10:11" x14ac:dyDescent="0.25">
      <c r="J709" s="3"/>
      <c r="K709" s="3"/>
    </row>
    <row r="710" spans="10:11" x14ac:dyDescent="0.25">
      <c r="J710" s="3"/>
      <c r="K710" s="3"/>
    </row>
    <row r="711" spans="10:11" x14ac:dyDescent="0.25">
      <c r="J711" s="3"/>
      <c r="K711" s="3"/>
    </row>
    <row r="712" spans="10:11" x14ac:dyDescent="0.25">
      <c r="J712" s="3"/>
      <c r="K712" s="3"/>
    </row>
    <row r="713" spans="10:11" x14ac:dyDescent="0.25">
      <c r="J713" s="3"/>
      <c r="K713" s="3"/>
    </row>
    <row r="714" spans="10:11" x14ac:dyDescent="0.25">
      <c r="J714" s="3"/>
      <c r="K714" s="3"/>
    </row>
    <row r="715" spans="10:11" x14ac:dyDescent="0.25">
      <c r="J715" s="3"/>
      <c r="K715" s="3"/>
    </row>
    <row r="716" spans="10:11" x14ac:dyDescent="0.25">
      <c r="J716" s="3"/>
      <c r="K716" s="3"/>
    </row>
    <row r="717" spans="10:11" x14ac:dyDescent="0.25">
      <c r="J717" s="3"/>
      <c r="K717" s="3"/>
    </row>
    <row r="718" spans="10:11" x14ac:dyDescent="0.25">
      <c r="J718" s="3"/>
      <c r="K718" s="3"/>
    </row>
    <row r="719" spans="10:11" x14ac:dyDescent="0.25">
      <c r="J719" s="3"/>
      <c r="K719" s="3"/>
    </row>
    <row r="720" spans="10:11" x14ac:dyDescent="0.25">
      <c r="J720" s="3"/>
      <c r="K720" s="3"/>
    </row>
    <row r="721" spans="10:11" x14ac:dyDescent="0.25">
      <c r="J721" s="3"/>
      <c r="K721" s="3"/>
    </row>
    <row r="722" spans="10:11" x14ac:dyDescent="0.25">
      <c r="J722" s="3"/>
      <c r="K722" s="3"/>
    </row>
    <row r="723" spans="10:11" x14ac:dyDescent="0.25">
      <c r="J723" s="3"/>
      <c r="K723" s="3"/>
    </row>
    <row r="724" spans="10:11" x14ac:dyDescent="0.25">
      <c r="J724" s="3"/>
      <c r="K724" s="3"/>
    </row>
    <row r="725" spans="10:11" x14ac:dyDescent="0.25">
      <c r="J725" s="3"/>
      <c r="K725" s="3"/>
    </row>
    <row r="726" spans="10:11" x14ac:dyDescent="0.25">
      <c r="J726" s="3"/>
      <c r="K726" s="3"/>
    </row>
    <row r="727" spans="10:11" x14ac:dyDescent="0.25">
      <c r="J727" s="3"/>
      <c r="K727" s="3"/>
    </row>
    <row r="728" spans="10:11" x14ac:dyDescent="0.25">
      <c r="J728" s="3"/>
      <c r="K728" s="3"/>
    </row>
    <row r="729" spans="10:11" x14ac:dyDescent="0.25">
      <c r="J729" s="3"/>
      <c r="K729" s="3"/>
    </row>
    <row r="730" spans="10:11" x14ac:dyDescent="0.25">
      <c r="J730" s="3"/>
      <c r="K730" s="3"/>
    </row>
    <row r="731" spans="10:11" x14ac:dyDescent="0.25">
      <c r="J731" s="3"/>
      <c r="K731" s="3"/>
    </row>
    <row r="732" spans="10:11" x14ac:dyDescent="0.25">
      <c r="J732" s="3"/>
      <c r="K732" s="3"/>
    </row>
    <row r="733" spans="10:11" x14ac:dyDescent="0.25">
      <c r="J733" s="3"/>
      <c r="K733" s="3"/>
    </row>
    <row r="734" spans="10:11" x14ac:dyDescent="0.25">
      <c r="J734" s="3"/>
      <c r="K734" s="3"/>
    </row>
    <row r="735" spans="10:11" x14ac:dyDescent="0.25">
      <c r="J735" s="3"/>
      <c r="K735" s="3"/>
    </row>
    <row r="736" spans="10:11" x14ac:dyDescent="0.25">
      <c r="J736" s="3"/>
      <c r="K736" s="3"/>
    </row>
    <row r="737" spans="10:11" x14ac:dyDescent="0.25">
      <c r="J737" s="3"/>
      <c r="K737" s="3"/>
    </row>
    <row r="738" spans="10:11" x14ac:dyDescent="0.25">
      <c r="J738" s="3"/>
      <c r="K738" s="3"/>
    </row>
    <row r="739" spans="10:11" x14ac:dyDescent="0.25">
      <c r="J739" s="3"/>
      <c r="K739" s="3"/>
    </row>
    <row r="740" spans="10:11" x14ac:dyDescent="0.25">
      <c r="J740" s="3"/>
      <c r="K740" s="3"/>
    </row>
    <row r="741" spans="10:11" x14ac:dyDescent="0.25">
      <c r="J741" s="3"/>
      <c r="K741" s="3"/>
    </row>
    <row r="742" spans="10:11" x14ac:dyDescent="0.25">
      <c r="J742" s="3"/>
      <c r="K742" s="3"/>
    </row>
    <row r="743" spans="10:11" x14ac:dyDescent="0.25">
      <c r="J743" s="3"/>
      <c r="K743" s="3"/>
    </row>
    <row r="744" spans="10:11" x14ac:dyDescent="0.25">
      <c r="J744" s="3"/>
      <c r="K744" s="3"/>
    </row>
    <row r="745" spans="10:11" x14ac:dyDescent="0.25">
      <c r="J745" s="3"/>
      <c r="K745" s="3"/>
    </row>
    <row r="746" spans="10:11" x14ac:dyDescent="0.25">
      <c r="J746" s="3"/>
      <c r="K746" s="3"/>
    </row>
    <row r="747" spans="10:11" x14ac:dyDescent="0.25">
      <c r="J747" s="3"/>
      <c r="K747" s="3"/>
    </row>
    <row r="748" spans="10:11" x14ac:dyDescent="0.25">
      <c r="J748" s="3"/>
      <c r="K748" s="3"/>
    </row>
    <row r="749" spans="10:11" x14ac:dyDescent="0.25">
      <c r="J749" s="3"/>
      <c r="K749" s="3"/>
    </row>
    <row r="750" spans="10:11" x14ac:dyDescent="0.25">
      <c r="J750" s="3"/>
      <c r="K750" s="3"/>
    </row>
    <row r="751" spans="10:11" x14ac:dyDescent="0.25">
      <c r="J751" s="3"/>
      <c r="K751" s="3"/>
    </row>
    <row r="752" spans="10:11" x14ac:dyDescent="0.25">
      <c r="J752" s="3"/>
      <c r="K752" s="3"/>
    </row>
    <row r="753" spans="10:11" x14ac:dyDescent="0.25">
      <c r="J753" s="3"/>
      <c r="K753" s="3"/>
    </row>
    <row r="754" spans="10:11" x14ac:dyDescent="0.25">
      <c r="J754" s="3"/>
      <c r="K754" s="3"/>
    </row>
    <row r="755" spans="10:11" x14ac:dyDescent="0.25">
      <c r="J755" s="3"/>
      <c r="K755" s="3"/>
    </row>
    <row r="756" spans="10:11" x14ac:dyDescent="0.25">
      <c r="J756" s="3"/>
      <c r="K756" s="3"/>
    </row>
    <row r="757" spans="10:11" x14ac:dyDescent="0.25">
      <c r="J757" s="3"/>
      <c r="K757" s="3"/>
    </row>
    <row r="758" spans="10:11" x14ac:dyDescent="0.25">
      <c r="J758" s="3"/>
      <c r="K758" s="3"/>
    </row>
    <row r="759" spans="10:11" x14ac:dyDescent="0.25">
      <c r="J759" s="3"/>
      <c r="K759" s="3"/>
    </row>
    <row r="760" spans="10:11" x14ac:dyDescent="0.25">
      <c r="J760" s="3"/>
      <c r="K760" s="3"/>
    </row>
    <row r="761" spans="10:11" x14ac:dyDescent="0.25">
      <c r="J761" s="3"/>
      <c r="K761" s="3"/>
    </row>
    <row r="762" spans="10:11" x14ac:dyDescent="0.25">
      <c r="J762" s="3"/>
      <c r="K762" s="3"/>
    </row>
    <row r="763" spans="10:11" x14ac:dyDescent="0.25">
      <c r="J763" s="3"/>
      <c r="K763" s="3"/>
    </row>
    <row r="764" spans="10:11" x14ac:dyDescent="0.25">
      <c r="J764" s="3"/>
      <c r="K764" s="3"/>
    </row>
    <row r="765" spans="10:11" x14ac:dyDescent="0.25">
      <c r="J765" s="3"/>
      <c r="K765" s="3"/>
    </row>
    <row r="766" spans="10:11" x14ac:dyDescent="0.25">
      <c r="J766" s="3"/>
      <c r="K766" s="3"/>
    </row>
    <row r="767" spans="10:11" x14ac:dyDescent="0.25">
      <c r="J767" s="3"/>
      <c r="K767" s="3"/>
    </row>
    <row r="768" spans="10:11" x14ac:dyDescent="0.25">
      <c r="J768" s="3"/>
      <c r="K768" s="3"/>
    </row>
    <row r="769" spans="10:11" x14ac:dyDescent="0.25">
      <c r="J769" s="3"/>
      <c r="K769" s="3"/>
    </row>
    <row r="770" spans="10:11" x14ac:dyDescent="0.25">
      <c r="J770" s="3"/>
      <c r="K770" s="3"/>
    </row>
    <row r="771" spans="10:11" x14ac:dyDescent="0.25">
      <c r="J771" s="3"/>
      <c r="K771" s="3"/>
    </row>
    <row r="772" spans="10:11" x14ac:dyDescent="0.25">
      <c r="J772" s="3"/>
      <c r="K772" s="3"/>
    </row>
    <row r="773" spans="10:11" x14ac:dyDescent="0.25">
      <c r="J773" s="3"/>
      <c r="K773" s="3"/>
    </row>
    <row r="774" spans="10:11" x14ac:dyDescent="0.25">
      <c r="J774" s="3"/>
      <c r="K774" s="3"/>
    </row>
    <row r="775" spans="10:11" x14ac:dyDescent="0.25">
      <c r="J775" s="3"/>
      <c r="K775" s="3"/>
    </row>
    <row r="776" spans="10:11" x14ac:dyDescent="0.25">
      <c r="J776" s="3"/>
      <c r="K776" s="3"/>
    </row>
    <row r="777" spans="10:11" x14ac:dyDescent="0.25">
      <c r="J777" s="3"/>
      <c r="K777" s="3"/>
    </row>
    <row r="778" spans="10:11" x14ac:dyDescent="0.25">
      <c r="J778" s="3"/>
      <c r="K778" s="3"/>
    </row>
    <row r="779" spans="10:11" x14ac:dyDescent="0.25">
      <c r="J779" s="3"/>
      <c r="K779" s="3"/>
    </row>
    <row r="780" spans="10:11" x14ac:dyDescent="0.25">
      <c r="J780" s="3"/>
      <c r="K780" s="3"/>
    </row>
    <row r="781" spans="10:11" x14ac:dyDescent="0.25">
      <c r="J781" s="3"/>
      <c r="K781" s="3"/>
    </row>
    <row r="782" spans="10:11" x14ac:dyDescent="0.25">
      <c r="J782" s="3"/>
      <c r="K782" s="3"/>
    </row>
    <row r="783" spans="10:11" x14ac:dyDescent="0.25">
      <c r="J783" s="3"/>
      <c r="K783" s="3"/>
    </row>
    <row r="784" spans="10:11" x14ac:dyDescent="0.25">
      <c r="J784" s="3"/>
      <c r="K784" s="3"/>
    </row>
    <row r="785" spans="10:11" x14ac:dyDescent="0.25">
      <c r="J785" s="3"/>
      <c r="K785" s="3"/>
    </row>
    <row r="786" spans="10:11" x14ac:dyDescent="0.25">
      <c r="J786" s="3"/>
      <c r="K786" s="3"/>
    </row>
    <row r="787" spans="10:11" x14ac:dyDescent="0.25">
      <c r="J787" s="3"/>
      <c r="K787" s="3"/>
    </row>
    <row r="788" spans="10:11" x14ac:dyDescent="0.25">
      <c r="J788" s="3"/>
      <c r="K788" s="3"/>
    </row>
    <row r="789" spans="10:11" x14ac:dyDescent="0.25">
      <c r="J789" s="3"/>
      <c r="K789" s="3"/>
    </row>
    <row r="790" spans="10:11" x14ac:dyDescent="0.25">
      <c r="J790" s="3"/>
      <c r="K790" s="3"/>
    </row>
    <row r="791" spans="10:11" x14ac:dyDescent="0.25">
      <c r="J791" s="3"/>
      <c r="K791" s="3"/>
    </row>
    <row r="792" spans="10:11" x14ac:dyDescent="0.25">
      <c r="J792" s="3"/>
      <c r="K792" s="3"/>
    </row>
    <row r="793" spans="10:11" x14ac:dyDescent="0.25">
      <c r="J793" s="3"/>
      <c r="K793" s="3"/>
    </row>
    <row r="794" spans="10:11" x14ac:dyDescent="0.25">
      <c r="J794" s="3"/>
      <c r="K794" s="3"/>
    </row>
    <row r="795" spans="10:11" x14ac:dyDescent="0.25">
      <c r="J795" s="3"/>
      <c r="K795" s="3"/>
    </row>
    <row r="796" spans="10:11" x14ac:dyDescent="0.25">
      <c r="J796" s="3"/>
      <c r="K796" s="3"/>
    </row>
    <row r="797" spans="10:11" x14ac:dyDescent="0.25">
      <c r="J797" s="3"/>
      <c r="K797" s="3"/>
    </row>
    <row r="798" spans="10:11" x14ac:dyDescent="0.25">
      <c r="J798" s="3"/>
      <c r="K798" s="3"/>
    </row>
    <row r="799" spans="10:11" x14ac:dyDescent="0.25">
      <c r="J799" s="3"/>
      <c r="K799" s="3"/>
    </row>
    <row r="800" spans="10:11" x14ac:dyDescent="0.25">
      <c r="J800" s="3"/>
      <c r="K800" s="3"/>
    </row>
    <row r="801" spans="10:11" x14ac:dyDescent="0.25">
      <c r="J801" s="3"/>
      <c r="K801" s="3"/>
    </row>
    <row r="802" spans="10:11" x14ac:dyDescent="0.25">
      <c r="J802" s="3"/>
      <c r="K802" s="3"/>
    </row>
    <row r="803" spans="10:11" x14ac:dyDescent="0.25">
      <c r="J803" s="3"/>
      <c r="K803" s="3"/>
    </row>
    <row r="804" spans="10:11" x14ac:dyDescent="0.25">
      <c r="J804" s="3"/>
      <c r="K804" s="3"/>
    </row>
    <row r="805" spans="10:11" x14ac:dyDescent="0.25">
      <c r="J805" s="3"/>
      <c r="K805" s="3"/>
    </row>
    <row r="806" spans="10:11" x14ac:dyDescent="0.25">
      <c r="J806" s="3"/>
      <c r="K806" s="3"/>
    </row>
    <row r="807" spans="10:11" x14ac:dyDescent="0.25">
      <c r="J807" s="3"/>
      <c r="K807" s="3"/>
    </row>
    <row r="808" spans="10:11" x14ac:dyDescent="0.25">
      <c r="J808" s="3"/>
      <c r="K808" s="3"/>
    </row>
    <row r="809" spans="10:11" x14ac:dyDescent="0.25">
      <c r="J809" s="3"/>
      <c r="K809" s="3"/>
    </row>
    <row r="810" spans="10:11" x14ac:dyDescent="0.25">
      <c r="J810" s="3"/>
      <c r="K810" s="3"/>
    </row>
    <row r="811" spans="10:11" x14ac:dyDescent="0.25">
      <c r="J811" s="3"/>
      <c r="K811" s="3"/>
    </row>
    <row r="812" spans="10:11" x14ac:dyDescent="0.25">
      <c r="J812" s="3"/>
      <c r="K812" s="3"/>
    </row>
    <row r="813" spans="10:11" x14ac:dyDescent="0.25">
      <c r="J813" s="3"/>
      <c r="K813" s="3"/>
    </row>
    <row r="814" spans="10:11" x14ac:dyDescent="0.25">
      <c r="J814" s="3"/>
      <c r="K814" s="3"/>
    </row>
    <row r="815" spans="10:11" x14ac:dyDescent="0.25">
      <c r="J815" s="3"/>
      <c r="K815" s="3"/>
    </row>
    <row r="816" spans="10:11" x14ac:dyDescent="0.25">
      <c r="J816" s="3"/>
      <c r="K816" s="3"/>
    </row>
    <row r="817" spans="10:11" x14ac:dyDescent="0.25">
      <c r="J817" s="3"/>
      <c r="K817" s="3"/>
    </row>
    <row r="818" spans="10:11" x14ac:dyDescent="0.25">
      <c r="J818" s="3"/>
      <c r="K818" s="3"/>
    </row>
    <row r="819" spans="10:11" x14ac:dyDescent="0.25">
      <c r="J819" s="3"/>
      <c r="K819" s="3"/>
    </row>
    <row r="820" spans="10:11" x14ac:dyDescent="0.25">
      <c r="J820" s="3"/>
      <c r="K820" s="3"/>
    </row>
    <row r="821" spans="10:11" x14ac:dyDescent="0.25">
      <c r="J821" s="3"/>
      <c r="K821" s="3"/>
    </row>
    <row r="822" spans="10:11" x14ac:dyDescent="0.25">
      <c r="J822" s="3"/>
      <c r="K822" s="3"/>
    </row>
    <row r="823" spans="10:11" x14ac:dyDescent="0.25">
      <c r="J823" s="3"/>
      <c r="K823" s="3"/>
    </row>
    <row r="824" spans="10:11" x14ac:dyDescent="0.25">
      <c r="J824" s="3"/>
      <c r="K824" s="3"/>
    </row>
    <row r="825" spans="10:11" x14ac:dyDescent="0.25">
      <c r="J825" s="3"/>
      <c r="K825" s="3"/>
    </row>
    <row r="826" spans="10:11" x14ac:dyDescent="0.25">
      <c r="J826" s="3"/>
      <c r="K826" s="3"/>
    </row>
    <row r="827" spans="10:11" x14ac:dyDescent="0.25">
      <c r="J827" s="3"/>
      <c r="K827" s="3"/>
    </row>
    <row r="828" spans="10:11" x14ac:dyDescent="0.25">
      <c r="J828" s="3"/>
      <c r="K828" s="3"/>
    </row>
    <row r="829" spans="10:11" x14ac:dyDescent="0.25">
      <c r="J829" s="3"/>
      <c r="K829" s="3"/>
    </row>
    <row r="830" spans="10:11" x14ac:dyDescent="0.25">
      <c r="J830" s="3"/>
      <c r="K830" s="3"/>
    </row>
    <row r="831" spans="10:11" x14ac:dyDescent="0.25">
      <c r="J831" s="3"/>
      <c r="K831" s="3"/>
    </row>
    <row r="832" spans="10:11" x14ac:dyDescent="0.25">
      <c r="J832" s="3"/>
      <c r="K832" s="3"/>
    </row>
    <row r="833" spans="10:11" x14ac:dyDescent="0.25">
      <c r="J833" s="3"/>
      <c r="K833" s="3"/>
    </row>
    <row r="834" spans="10:11" x14ac:dyDescent="0.25">
      <c r="J834" s="3"/>
      <c r="K834" s="3"/>
    </row>
    <row r="835" spans="10:11" x14ac:dyDescent="0.25">
      <c r="J835" s="3"/>
      <c r="K835" s="3"/>
    </row>
    <row r="836" spans="10:11" x14ac:dyDescent="0.25">
      <c r="J836" s="3"/>
      <c r="K836" s="3"/>
    </row>
    <row r="837" spans="10:11" x14ac:dyDescent="0.25">
      <c r="J837" s="3"/>
      <c r="K837" s="3"/>
    </row>
    <row r="838" spans="10:11" x14ac:dyDescent="0.25">
      <c r="J838" s="3"/>
      <c r="K838" s="3"/>
    </row>
    <row r="839" spans="10:11" x14ac:dyDescent="0.25">
      <c r="J839" s="3"/>
      <c r="K839" s="3"/>
    </row>
    <row r="840" spans="10:11" x14ac:dyDescent="0.25">
      <c r="J840" s="3"/>
      <c r="K840" s="3"/>
    </row>
    <row r="841" spans="10:11" x14ac:dyDescent="0.25">
      <c r="J841" s="3"/>
      <c r="K841" s="3"/>
    </row>
    <row r="842" spans="10:11" x14ac:dyDescent="0.25">
      <c r="J842" s="3"/>
      <c r="K842" s="3"/>
    </row>
    <row r="843" spans="10:11" x14ac:dyDescent="0.25">
      <c r="J843" s="3"/>
      <c r="K843" s="3"/>
    </row>
    <row r="844" spans="10:11" x14ac:dyDescent="0.25">
      <c r="J844" s="3"/>
      <c r="K844" s="3"/>
    </row>
    <row r="845" spans="10:11" x14ac:dyDescent="0.25">
      <c r="J845" s="3"/>
      <c r="K845" s="3"/>
    </row>
    <row r="846" spans="10:11" x14ac:dyDescent="0.25">
      <c r="J846" s="3"/>
      <c r="K846" s="3"/>
    </row>
    <row r="847" spans="10:11" x14ac:dyDescent="0.25">
      <c r="J847" s="3"/>
      <c r="K847" s="3"/>
    </row>
    <row r="848" spans="10:11" x14ac:dyDescent="0.25">
      <c r="J848" s="3"/>
      <c r="K848" s="3"/>
    </row>
    <row r="849" spans="10:11" x14ac:dyDescent="0.25">
      <c r="J849" s="3"/>
      <c r="K849" s="3"/>
    </row>
    <row r="850" spans="10:11" x14ac:dyDescent="0.25">
      <c r="J850" s="3"/>
      <c r="K850" s="3"/>
    </row>
    <row r="851" spans="10:11" x14ac:dyDescent="0.25">
      <c r="J851" s="3"/>
      <c r="K851" s="3"/>
    </row>
    <row r="852" spans="10:11" x14ac:dyDescent="0.25">
      <c r="J852" s="3"/>
      <c r="K852" s="3"/>
    </row>
    <row r="853" spans="10:11" x14ac:dyDescent="0.25">
      <c r="J853" s="3"/>
      <c r="K853" s="3"/>
    </row>
    <row r="854" spans="10:11" x14ac:dyDescent="0.25">
      <c r="J854" s="3"/>
      <c r="K854" s="3"/>
    </row>
    <row r="855" spans="10:11" x14ac:dyDescent="0.25">
      <c r="J855" s="3"/>
      <c r="K855" s="3"/>
    </row>
    <row r="856" spans="10:11" x14ac:dyDescent="0.25">
      <c r="J856" s="3"/>
      <c r="K856" s="3"/>
    </row>
    <row r="857" spans="10:11" x14ac:dyDescent="0.25">
      <c r="J857" s="3"/>
      <c r="K857" s="3"/>
    </row>
    <row r="858" spans="10:11" x14ac:dyDescent="0.25">
      <c r="J858" s="3"/>
      <c r="K858" s="3"/>
    </row>
    <row r="859" spans="10:11" x14ac:dyDescent="0.25">
      <c r="J859" s="3"/>
      <c r="K859" s="3"/>
    </row>
    <row r="860" spans="10:11" x14ac:dyDescent="0.25">
      <c r="J860" s="3"/>
      <c r="K860" s="3"/>
    </row>
    <row r="861" spans="10:11" x14ac:dyDescent="0.25">
      <c r="J861" s="3"/>
      <c r="K861" s="3"/>
    </row>
    <row r="862" spans="10:11" x14ac:dyDescent="0.25">
      <c r="J862" s="3"/>
      <c r="K862" s="3"/>
    </row>
    <row r="863" spans="10:11" x14ac:dyDescent="0.25">
      <c r="J863" s="3"/>
      <c r="K863" s="3"/>
    </row>
    <row r="864" spans="10:11" x14ac:dyDescent="0.25">
      <c r="J864" s="3"/>
      <c r="K864" s="3"/>
    </row>
    <row r="865" spans="10:11" x14ac:dyDescent="0.25">
      <c r="J865" s="3"/>
      <c r="K865" s="3"/>
    </row>
    <row r="866" spans="10:11" x14ac:dyDescent="0.25">
      <c r="J866" s="3"/>
      <c r="K866" s="3"/>
    </row>
    <row r="867" spans="10:11" x14ac:dyDescent="0.25">
      <c r="J867" s="3"/>
      <c r="K867" s="3"/>
    </row>
    <row r="868" spans="10:11" x14ac:dyDescent="0.25">
      <c r="J868" s="3"/>
      <c r="K868" s="3"/>
    </row>
    <row r="869" spans="10:11" x14ac:dyDescent="0.25">
      <c r="J869" s="3"/>
      <c r="K869" s="3"/>
    </row>
    <row r="870" spans="10:11" x14ac:dyDescent="0.25">
      <c r="J870" s="3"/>
      <c r="K870" s="3"/>
    </row>
    <row r="871" spans="10:11" x14ac:dyDescent="0.25">
      <c r="J871" s="3"/>
      <c r="K871" s="3"/>
    </row>
    <row r="872" spans="10:11" x14ac:dyDescent="0.25">
      <c r="J872" s="3"/>
      <c r="K872" s="3"/>
    </row>
    <row r="873" spans="10:11" x14ac:dyDescent="0.25">
      <c r="J873" s="3"/>
      <c r="K873" s="3"/>
    </row>
    <row r="874" spans="10:11" x14ac:dyDescent="0.25">
      <c r="J874" s="3"/>
      <c r="K874" s="3"/>
    </row>
    <row r="875" spans="10:11" x14ac:dyDescent="0.25">
      <c r="J875" s="3"/>
      <c r="K875" s="3"/>
    </row>
    <row r="876" spans="10:11" x14ac:dyDescent="0.25">
      <c r="J876" s="3"/>
      <c r="K876" s="3"/>
    </row>
    <row r="877" spans="10:11" x14ac:dyDescent="0.25">
      <c r="J877" s="3"/>
      <c r="K877" s="3"/>
    </row>
    <row r="878" spans="10:11" x14ac:dyDescent="0.25">
      <c r="J878" s="3"/>
      <c r="K878" s="3"/>
    </row>
    <row r="879" spans="10:11" x14ac:dyDescent="0.25">
      <c r="J879" s="3"/>
      <c r="K879" s="3"/>
    </row>
    <row r="880" spans="10:11" x14ac:dyDescent="0.25">
      <c r="J880" s="3"/>
      <c r="K880" s="3"/>
    </row>
    <row r="881" spans="10:11" x14ac:dyDescent="0.25">
      <c r="J881" s="3"/>
      <c r="K881" s="3"/>
    </row>
    <row r="882" spans="10:11" x14ac:dyDescent="0.25">
      <c r="J882" s="3"/>
      <c r="K882" s="3"/>
    </row>
    <row r="883" spans="10:11" x14ac:dyDescent="0.25">
      <c r="J883" s="3"/>
      <c r="K883" s="3"/>
    </row>
    <row r="884" spans="10:11" x14ac:dyDescent="0.25">
      <c r="J884" s="3"/>
      <c r="K884" s="3"/>
    </row>
    <row r="885" spans="10:11" x14ac:dyDescent="0.25">
      <c r="J885" s="3"/>
      <c r="K885" s="3"/>
    </row>
    <row r="886" spans="10:11" x14ac:dyDescent="0.25">
      <c r="J886" s="3"/>
      <c r="K886" s="3"/>
    </row>
    <row r="887" spans="10:11" x14ac:dyDescent="0.25">
      <c r="J887" s="3"/>
      <c r="K887" s="3"/>
    </row>
    <row r="888" spans="10:11" x14ac:dyDescent="0.25">
      <c r="J888" s="3"/>
      <c r="K888" s="3"/>
    </row>
    <row r="889" spans="10:11" x14ac:dyDescent="0.25">
      <c r="J889" s="3"/>
      <c r="K889" s="3"/>
    </row>
    <row r="890" spans="10:11" x14ac:dyDescent="0.25">
      <c r="J890" s="3"/>
      <c r="K890" s="3"/>
    </row>
    <row r="891" spans="10:11" x14ac:dyDescent="0.25">
      <c r="J891" s="3"/>
      <c r="K891" s="3"/>
    </row>
    <row r="892" spans="10:11" x14ac:dyDescent="0.25">
      <c r="J892" s="3"/>
      <c r="K892" s="3"/>
    </row>
    <row r="893" spans="10:11" x14ac:dyDescent="0.25">
      <c r="J893" s="3"/>
      <c r="K893" s="3"/>
    </row>
    <row r="894" spans="10:11" x14ac:dyDescent="0.25">
      <c r="J894" s="3"/>
      <c r="K894" s="3"/>
    </row>
    <row r="895" spans="10:11" x14ac:dyDescent="0.25">
      <c r="J895" s="3"/>
      <c r="K895" s="3"/>
    </row>
    <row r="896" spans="10:11" x14ac:dyDescent="0.25">
      <c r="J896" s="3"/>
      <c r="K896" s="3"/>
    </row>
    <row r="897" spans="10:11" x14ac:dyDescent="0.25">
      <c r="J897" s="3"/>
      <c r="K897" s="3"/>
    </row>
    <row r="898" spans="10:11" x14ac:dyDescent="0.25">
      <c r="J898" s="3"/>
      <c r="K898" s="3"/>
    </row>
    <row r="899" spans="10:11" x14ac:dyDescent="0.25">
      <c r="J899" s="3"/>
      <c r="K899" s="3"/>
    </row>
    <row r="900" spans="10:11" x14ac:dyDescent="0.25">
      <c r="J900" s="3"/>
      <c r="K900" s="3"/>
    </row>
    <row r="901" spans="10:11" x14ac:dyDescent="0.25">
      <c r="J901" s="3"/>
      <c r="K901" s="3"/>
    </row>
    <row r="902" spans="10:11" x14ac:dyDescent="0.25">
      <c r="J902" s="3"/>
      <c r="K902" s="3"/>
    </row>
    <row r="903" spans="10:11" x14ac:dyDescent="0.25">
      <c r="J903" s="3"/>
      <c r="K903" s="3"/>
    </row>
    <row r="904" spans="10:11" x14ac:dyDescent="0.25">
      <c r="J904" s="3"/>
      <c r="K904" s="3"/>
    </row>
    <row r="905" spans="10:11" x14ac:dyDescent="0.25">
      <c r="J905" s="3"/>
      <c r="K905" s="3"/>
    </row>
    <row r="906" spans="10:11" x14ac:dyDescent="0.25">
      <c r="J906" s="3"/>
      <c r="K906" s="3"/>
    </row>
    <row r="907" spans="10:11" x14ac:dyDescent="0.25">
      <c r="J907" s="3"/>
      <c r="K907" s="3"/>
    </row>
    <row r="908" spans="10:11" x14ac:dyDescent="0.25">
      <c r="J908" s="3"/>
      <c r="K908" s="3"/>
    </row>
    <row r="909" spans="10:11" x14ac:dyDescent="0.25">
      <c r="J909" s="3"/>
      <c r="K909" s="3"/>
    </row>
    <row r="910" spans="10:11" x14ac:dyDescent="0.25">
      <c r="J910" s="3"/>
      <c r="K910" s="3"/>
    </row>
    <row r="911" spans="10:11" x14ac:dyDescent="0.25">
      <c r="J911" s="3"/>
      <c r="K911" s="3"/>
    </row>
    <row r="912" spans="10:11" x14ac:dyDescent="0.25">
      <c r="J912" s="3"/>
      <c r="K912" s="3"/>
    </row>
    <row r="913" spans="10:11" x14ac:dyDescent="0.25">
      <c r="J913" s="3"/>
      <c r="K913" s="3"/>
    </row>
    <row r="914" spans="10:11" x14ac:dyDescent="0.25">
      <c r="J914" s="3"/>
      <c r="K914" s="3"/>
    </row>
    <row r="915" spans="10:11" x14ac:dyDescent="0.25">
      <c r="J915" s="3"/>
      <c r="K915" s="3"/>
    </row>
    <row r="916" spans="10:11" x14ac:dyDescent="0.25">
      <c r="J916" s="3"/>
      <c r="K916" s="3"/>
    </row>
    <row r="917" spans="10:11" x14ac:dyDescent="0.25">
      <c r="J917" s="3"/>
      <c r="K917" s="3"/>
    </row>
    <row r="918" spans="10:11" x14ac:dyDescent="0.25">
      <c r="J918" s="3"/>
      <c r="K918" s="3"/>
    </row>
    <row r="919" spans="10:11" x14ac:dyDescent="0.25">
      <c r="J919" s="3"/>
      <c r="K919" s="3"/>
    </row>
    <row r="920" spans="10:11" x14ac:dyDescent="0.25">
      <c r="J920" s="3"/>
      <c r="K920" s="3"/>
    </row>
    <row r="921" spans="10:11" x14ac:dyDescent="0.25">
      <c r="J921" s="3"/>
      <c r="K921" s="3"/>
    </row>
    <row r="922" spans="10:11" x14ac:dyDescent="0.25">
      <c r="J922" s="3"/>
      <c r="K922" s="3"/>
    </row>
    <row r="923" spans="10:11" x14ac:dyDescent="0.25">
      <c r="J923" s="3"/>
      <c r="K923" s="3"/>
    </row>
    <row r="924" spans="10:11" x14ac:dyDescent="0.25">
      <c r="J924" s="3"/>
      <c r="K924" s="3"/>
    </row>
    <row r="925" spans="10:11" x14ac:dyDescent="0.25">
      <c r="J925" s="3"/>
      <c r="K925" s="3"/>
    </row>
    <row r="926" spans="10:11" x14ac:dyDescent="0.25">
      <c r="J926" s="3"/>
      <c r="K926" s="3"/>
    </row>
    <row r="927" spans="10:11" x14ac:dyDescent="0.25">
      <c r="J927" s="3"/>
      <c r="K927" s="3"/>
    </row>
    <row r="928" spans="10:11" x14ac:dyDescent="0.25">
      <c r="J928" s="3"/>
      <c r="K928" s="3"/>
    </row>
    <row r="929" spans="10:11" x14ac:dyDescent="0.25">
      <c r="J929" s="3"/>
      <c r="K929" s="3"/>
    </row>
    <row r="930" spans="10:11" x14ac:dyDescent="0.25">
      <c r="J930" s="3"/>
      <c r="K930" s="3"/>
    </row>
    <row r="931" spans="10:11" x14ac:dyDescent="0.25">
      <c r="J931" s="3"/>
      <c r="K931" s="3"/>
    </row>
    <row r="932" spans="10:11" x14ac:dyDescent="0.25">
      <c r="J932" s="3"/>
      <c r="K932" s="3"/>
    </row>
    <row r="933" spans="10:11" x14ac:dyDescent="0.25">
      <c r="J933" s="3"/>
      <c r="K933" s="3"/>
    </row>
    <row r="934" spans="10:11" x14ac:dyDescent="0.25">
      <c r="J934" s="3"/>
      <c r="K934" s="3"/>
    </row>
    <row r="935" spans="10:11" x14ac:dyDescent="0.25">
      <c r="J935" s="3"/>
      <c r="K935" s="3"/>
    </row>
    <row r="936" spans="10:11" x14ac:dyDescent="0.25">
      <c r="J936" s="3"/>
      <c r="K936" s="3"/>
    </row>
    <row r="937" spans="10:11" x14ac:dyDescent="0.25">
      <c r="J937" s="3"/>
      <c r="K937" s="3"/>
    </row>
    <row r="938" spans="10:11" x14ac:dyDescent="0.25">
      <c r="J938" s="3"/>
      <c r="K938" s="3"/>
    </row>
    <row r="939" spans="10:11" x14ac:dyDescent="0.25">
      <c r="J939" s="3"/>
      <c r="K939" s="3"/>
    </row>
    <row r="940" spans="10:11" x14ac:dyDescent="0.25">
      <c r="J940" s="3"/>
      <c r="K940" s="3"/>
    </row>
    <row r="941" spans="10:11" x14ac:dyDescent="0.25">
      <c r="J941" s="3"/>
      <c r="K941" s="3"/>
    </row>
    <row r="942" spans="10:11" x14ac:dyDescent="0.25">
      <c r="J942" s="3"/>
      <c r="K942" s="3"/>
    </row>
    <row r="943" spans="10:11" x14ac:dyDescent="0.25">
      <c r="J943" s="3"/>
      <c r="K943" s="3"/>
    </row>
    <row r="944" spans="10:11" x14ac:dyDescent="0.25">
      <c r="J944" s="3"/>
      <c r="K944" s="3"/>
    </row>
    <row r="945" spans="10:11" x14ac:dyDescent="0.25">
      <c r="J945" s="3"/>
      <c r="K945" s="3"/>
    </row>
    <row r="946" spans="10:11" x14ac:dyDescent="0.25">
      <c r="J946" s="3"/>
      <c r="K946" s="3"/>
    </row>
    <row r="947" spans="10:11" x14ac:dyDescent="0.25">
      <c r="J947" s="3"/>
      <c r="K947" s="3"/>
    </row>
    <row r="948" spans="10:11" x14ac:dyDescent="0.25">
      <c r="J948" s="3"/>
      <c r="K948" s="3"/>
    </row>
    <row r="949" spans="10:11" x14ac:dyDescent="0.25">
      <c r="J949" s="3"/>
      <c r="K949" s="3"/>
    </row>
    <row r="950" spans="10:11" x14ac:dyDescent="0.25">
      <c r="J950" s="3"/>
      <c r="K950" s="3"/>
    </row>
    <row r="951" spans="10:11" x14ac:dyDescent="0.25">
      <c r="J951" s="3"/>
      <c r="K951" s="3"/>
    </row>
    <row r="952" spans="10:11" x14ac:dyDescent="0.25">
      <c r="J952" s="3"/>
      <c r="K952" s="3"/>
    </row>
    <row r="953" spans="10:11" x14ac:dyDescent="0.25">
      <c r="J953" s="3"/>
      <c r="K953" s="3"/>
    </row>
    <row r="954" spans="10:11" x14ac:dyDescent="0.25">
      <c r="J954" s="3"/>
      <c r="K954" s="3"/>
    </row>
    <row r="955" spans="10:11" x14ac:dyDescent="0.25">
      <c r="J955" s="3"/>
      <c r="K955" s="3"/>
    </row>
    <row r="956" spans="10:11" x14ac:dyDescent="0.25">
      <c r="J956" s="3"/>
      <c r="K956" s="3"/>
    </row>
    <row r="957" spans="10:11" x14ac:dyDescent="0.25">
      <c r="J957" s="3"/>
      <c r="K957" s="3"/>
    </row>
    <row r="958" spans="10:11" x14ac:dyDescent="0.25">
      <c r="J958" s="3"/>
      <c r="K958" s="3"/>
    </row>
    <row r="959" spans="10:11" x14ac:dyDescent="0.25">
      <c r="J959" s="3"/>
      <c r="K959" s="3"/>
    </row>
    <row r="960" spans="10:11" x14ac:dyDescent="0.25">
      <c r="J960" s="3"/>
      <c r="K960" s="3"/>
    </row>
    <row r="961" spans="10:11" x14ac:dyDescent="0.25">
      <c r="J961" s="3"/>
      <c r="K961" s="3"/>
    </row>
    <row r="962" spans="10:11" x14ac:dyDescent="0.25">
      <c r="J962" s="3"/>
      <c r="K962" s="3"/>
    </row>
    <row r="963" spans="10:11" x14ac:dyDescent="0.25">
      <c r="J963" s="3"/>
      <c r="K963" s="3"/>
    </row>
    <row r="964" spans="10:11" x14ac:dyDescent="0.25">
      <c r="J964" s="3"/>
      <c r="K964" s="3"/>
    </row>
    <row r="965" spans="10:11" x14ac:dyDescent="0.25">
      <c r="J965" s="3"/>
      <c r="K965" s="3"/>
    </row>
    <row r="966" spans="10:11" x14ac:dyDescent="0.25">
      <c r="J966" s="3"/>
      <c r="K966" s="3"/>
    </row>
    <row r="967" spans="10:11" x14ac:dyDescent="0.25">
      <c r="J967" s="3"/>
      <c r="K967" s="3"/>
    </row>
    <row r="968" spans="10:11" x14ac:dyDescent="0.25">
      <c r="J968" s="3"/>
      <c r="K968" s="3"/>
    </row>
    <row r="969" spans="10:11" x14ac:dyDescent="0.25">
      <c r="J969" s="3"/>
      <c r="K969" s="3"/>
    </row>
    <row r="970" spans="10:11" x14ac:dyDescent="0.25">
      <c r="J970" s="3"/>
      <c r="K970" s="3"/>
    </row>
    <row r="971" spans="10:11" x14ac:dyDescent="0.25">
      <c r="J971" s="3"/>
      <c r="K971" s="3"/>
    </row>
    <row r="972" spans="10:11" x14ac:dyDescent="0.25">
      <c r="J972" s="3"/>
      <c r="K972" s="3"/>
    </row>
    <row r="973" spans="10:11" x14ac:dyDescent="0.25">
      <c r="J973" s="3"/>
      <c r="K973" s="3"/>
    </row>
    <row r="974" spans="10:11" x14ac:dyDescent="0.25">
      <c r="J974" s="3"/>
      <c r="K974" s="3"/>
    </row>
    <row r="975" spans="10:11" x14ac:dyDescent="0.25">
      <c r="J975" s="3"/>
      <c r="K975" s="3"/>
    </row>
    <row r="976" spans="10:11" x14ac:dyDescent="0.25">
      <c r="J976" s="3"/>
      <c r="K976" s="3"/>
    </row>
    <row r="977" spans="10:11" x14ac:dyDescent="0.25">
      <c r="J977" s="3"/>
      <c r="K977" s="3"/>
    </row>
    <row r="978" spans="10:11" x14ac:dyDescent="0.25">
      <c r="J978" s="3"/>
      <c r="K978" s="3"/>
    </row>
    <row r="979" spans="10:11" x14ac:dyDescent="0.25">
      <c r="J979" s="3"/>
      <c r="K979" s="3"/>
    </row>
    <row r="980" spans="10:11" x14ac:dyDescent="0.25">
      <c r="J980" s="3"/>
      <c r="K980" s="3"/>
    </row>
    <row r="981" spans="10:11" x14ac:dyDescent="0.25">
      <c r="J981" s="3"/>
      <c r="K981" s="3"/>
    </row>
    <row r="982" spans="10:11" x14ac:dyDescent="0.25">
      <c r="J982" s="3"/>
      <c r="K982" s="3"/>
    </row>
    <row r="983" spans="10:11" x14ac:dyDescent="0.25">
      <c r="J983" s="3"/>
      <c r="K983" s="3"/>
    </row>
    <row r="984" spans="10:11" x14ac:dyDescent="0.25">
      <c r="J984" s="3"/>
      <c r="K984" s="3"/>
    </row>
    <row r="985" spans="10:11" x14ac:dyDescent="0.25">
      <c r="J985" s="3"/>
      <c r="K985" s="3"/>
    </row>
    <row r="986" spans="10:11" x14ac:dyDescent="0.25">
      <c r="J986" s="3"/>
      <c r="K986" s="3"/>
    </row>
    <row r="987" spans="10:11" x14ac:dyDescent="0.25">
      <c r="J987" s="3"/>
      <c r="K987" s="3"/>
    </row>
    <row r="988" spans="10:11" x14ac:dyDescent="0.25">
      <c r="J988" s="3"/>
      <c r="K988" s="3"/>
    </row>
    <row r="989" spans="10:11" x14ac:dyDescent="0.25">
      <c r="J989" s="3"/>
      <c r="K989" s="3"/>
    </row>
    <row r="990" spans="10:11" x14ac:dyDescent="0.25">
      <c r="J990" s="3"/>
      <c r="K990" s="3"/>
    </row>
    <row r="991" spans="10:11" x14ac:dyDescent="0.25">
      <c r="J991" s="3"/>
      <c r="K991" s="3"/>
    </row>
    <row r="992" spans="10:11" x14ac:dyDescent="0.25">
      <c r="J992" s="3"/>
      <c r="K992" s="3"/>
    </row>
    <row r="993" spans="10:11" x14ac:dyDescent="0.25">
      <c r="J993" s="3"/>
      <c r="K993" s="3"/>
    </row>
    <row r="994" spans="10:11" x14ac:dyDescent="0.25">
      <c r="J994" s="3"/>
      <c r="K994" s="3"/>
    </row>
    <row r="995" spans="10:11" x14ac:dyDescent="0.25">
      <c r="J995" s="3"/>
      <c r="K995" s="3"/>
    </row>
    <row r="996" spans="10:11" x14ac:dyDescent="0.25">
      <c r="J996" s="3"/>
      <c r="K996" s="3"/>
    </row>
    <row r="997" spans="10:11" x14ac:dyDescent="0.25">
      <c r="J997" s="3"/>
      <c r="K997" s="3"/>
    </row>
    <row r="998" spans="10:11" x14ac:dyDescent="0.25">
      <c r="J998" s="3"/>
      <c r="K998" s="3"/>
    </row>
    <row r="999" spans="10:11" x14ac:dyDescent="0.25">
      <c r="J999" s="3"/>
      <c r="K999" s="3"/>
    </row>
    <row r="1000" spans="10:11" x14ac:dyDescent="0.25">
      <c r="J1000" s="3"/>
      <c r="K1000" s="3"/>
    </row>
    <row r="1001" spans="10:11" x14ac:dyDescent="0.25">
      <c r="J1001" s="3"/>
      <c r="K1001" s="3"/>
    </row>
  </sheetData>
  <sortState xmlns:xlrd2="http://schemas.microsoft.com/office/spreadsheetml/2017/richdata2" ref="A2:AC149">
    <sortCondition ref="P2:P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2025-08-28T12:51:53Z</dcterms:created>
  <dcterms:modified xsi:type="dcterms:W3CDTF">2025-09-02T11:07:46Z</dcterms:modified>
</cp:coreProperties>
</file>