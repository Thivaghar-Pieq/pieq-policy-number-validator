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7-08-25\"/>
    </mc:Choice>
  </mc:AlternateContent>
  <xr:revisionPtr revIDLastSave="0" documentId="13_ncr:1_{0EBA34A5-1880-4AF9-AE01-BD71D768DB76}" xr6:coauthVersionLast="47" xr6:coauthVersionMax="47" xr10:uidLastSave="{00000000-0000-0000-0000-000000000000}"/>
  <bookViews>
    <workbookView xWindow="28680" yWindow="-120" windowWidth="29040" windowHeight="16440" activeTab="1" xr2:uid="{EB627429-E9CA-4900-A5C8-50BCEE6149B5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23" i="2" l="1"/>
  <c r="B22" i="2"/>
  <c r="B21" i="2"/>
  <c r="B20" i="2"/>
  <c r="B19" i="2"/>
  <c r="B18" i="2"/>
  <c r="B17" i="2"/>
  <c r="B16" i="2"/>
  <c r="B15" i="2"/>
  <c r="B14" i="2"/>
  <c r="B13" i="2"/>
  <c r="B12" i="2"/>
  <c r="B3" i="2"/>
  <c r="B11" i="2"/>
  <c r="B10" i="2"/>
  <c r="B9" i="2"/>
  <c r="B8" i="2"/>
  <c r="B7" i="2"/>
  <c r="B6" i="2"/>
  <c r="B5" i="2"/>
  <c r="B4" i="2"/>
  <c r="B2" i="2"/>
  <c r="R12" i="2"/>
  <c r="S11" i="2"/>
  <c r="R22" i="2"/>
  <c r="R11" i="2"/>
  <c r="S7" i="2"/>
  <c r="R18" i="2"/>
  <c r="R7" i="2"/>
  <c r="S4" i="2"/>
  <c r="R15" i="2"/>
  <c r="R4" i="2"/>
</calcChain>
</file>

<file path=xl/sharedStrings.xml><?xml version="1.0" encoding="utf-8"?>
<sst xmlns="http://schemas.openxmlformats.org/spreadsheetml/2006/main" count="368" uniqueCount="112">
  <si>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</si>
  <si>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</si>
  <si>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</si>
  <si>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</si>
  <si>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</si>
  <si>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</si>
  <si>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</si>
  <si>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</si>
  <si>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</si>
  <si>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</si>
  <si>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</si>
  <si>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</si>
  <si>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</si>
  <si>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</si>
  <si>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</si>
  <si>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</si>
  <si>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</si>
  <si>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</si>
  <si>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</si>
  <si>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</si>
  <si>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</si>
  <si>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</si>
  <si>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</si>
  <si>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</si>
  <si>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3XC4TV2XX88</t>
  </si>
  <si>
    <t>NG102180438800</t>
  </si>
  <si>
    <t>AGUAIZA A,MARIA</t>
  </si>
  <si>
    <t>IL</t>
  </si>
  <si>
    <t>New Business</t>
  </si>
  <si>
    <t>MAPD</t>
  </si>
  <si>
    <t>IMM606</t>
  </si>
  <si>
    <t>H7301-013</t>
  </si>
  <si>
    <t>LOA</t>
  </si>
  <si>
    <t>Herrera-Larsen, Esther</t>
  </si>
  <si>
    <t>GMO</t>
  </si>
  <si>
    <t>Main Line Benefits LLC</t>
  </si>
  <si>
    <t xml:space="preserve">N  </t>
  </si>
  <si>
    <t>6TH1KW7KK33</t>
  </si>
  <si>
    <t>NG102180688400</t>
  </si>
  <si>
    <t>BURDI,CARMELLA</t>
  </si>
  <si>
    <t>H5521-086</t>
  </si>
  <si>
    <t>Teipel, Gregory</t>
  </si>
  <si>
    <t>3KP3R00JM00</t>
  </si>
  <si>
    <t>NG102141630900</t>
  </si>
  <si>
    <t>FIEDLER L,CYNTHIA</t>
  </si>
  <si>
    <t>OH</t>
  </si>
  <si>
    <t>Exception</t>
  </si>
  <si>
    <t>IMM617</t>
  </si>
  <si>
    <t>H5521-565</t>
  </si>
  <si>
    <t>SCHUMANN, BARRY</t>
  </si>
  <si>
    <t xml:space="preserve">Y  </t>
  </si>
  <si>
    <t>3T14Q39DH66</t>
  </si>
  <si>
    <t>NG102179947100</t>
  </si>
  <si>
    <t>MASCHMEYER A,WILLIAM</t>
  </si>
  <si>
    <t>WI</t>
  </si>
  <si>
    <t>H5521-388</t>
  </si>
  <si>
    <t>Liskovec, Frank</t>
  </si>
  <si>
    <t>1R27XC6CR34</t>
  </si>
  <si>
    <t>NG102179989200</t>
  </si>
  <si>
    <t>REMELE J,SYLVESTER</t>
  </si>
  <si>
    <t>PA</t>
  </si>
  <si>
    <t>IMM608</t>
  </si>
  <si>
    <t>H3959-036</t>
  </si>
  <si>
    <t>Inskipt, Deborah</t>
  </si>
  <si>
    <t>5YM6UU4JC89</t>
  </si>
  <si>
    <t>NG102180643300</t>
  </si>
  <si>
    <t>ROWE L,LAURIE</t>
  </si>
  <si>
    <t>CO</t>
  </si>
  <si>
    <t>IMM610</t>
  </si>
  <si>
    <t>H5521-443</t>
  </si>
  <si>
    <t>Miller, Heather</t>
  </si>
  <si>
    <t>1XM4CQ4QN70</t>
  </si>
  <si>
    <t>NG101960796400</t>
  </si>
  <si>
    <t>URAM E,FRANKLIN</t>
  </si>
  <si>
    <t>FL</t>
  </si>
  <si>
    <t>MA</t>
  </si>
  <si>
    <t>IMM604</t>
  </si>
  <si>
    <t>H5521-440</t>
  </si>
  <si>
    <t>9VF4Q84GP83</t>
  </si>
  <si>
    <t>NG101993322100</t>
  </si>
  <si>
    <t>URAM J,CLAUDIA</t>
  </si>
  <si>
    <t>H5521-271</t>
  </si>
  <si>
    <t>4NA5RR4MX77</t>
  </si>
  <si>
    <t>NG101136775700</t>
  </si>
  <si>
    <t>WILKERSON J,DARLENE</t>
  </si>
  <si>
    <t>Pro-Rata Disenroll</t>
  </si>
  <si>
    <t>IMM619</t>
  </si>
  <si>
    <t>H7301-027</t>
  </si>
  <si>
    <t>Deaton, Pamela</t>
  </si>
  <si>
    <t>Pro-Rata Payment</t>
  </si>
  <si>
    <t>[%/$=313][prorate=12/12]</t>
  </si>
  <si>
    <t>Aetna MAPD 2025*</t>
  </si>
  <si>
    <t>Aetna MAPD OVR 2025</t>
  </si>
  <si>
    <t>[%/$=626][prorate=5/12]</t>
  </si>
  <si>
    <t>Aetna MAPD 2025</t>
  </si>
  <si>
    <t>[%/$=313][prorate=5/12]</t>
  </si>
  <si>
    <t>[%/$=313][prorate=6/12]</t>
  </si>
  <si>
    <t>Aetna 2025 CT, PA, DC*</t>
  </si>
  <si>
    <t>[%/$=353][prorate=6/12]</t>
  </si>
  <si>
    <t>[%/$=626]</t>
  </si>
  <si>
    <t>Main Line Benefits</t>
  </si>
  <si>
    <t>17528908N</t>
  </si>
  <si>
    <t>REMELE, SYLVESTER</t>
  </si>
  <si>
    <t>FIEDLER, CYNTHIA</t>
  </si>
  <si>
    <t>WILKERSON, DARLENE</t>
  </si>
  <si>
    <t>FIEDLER , CYNTHIA</t>
  </si>
  <si>
    <t>BURDI, CARMELLA</t>
  </si>
  <si>
    <t>MASCHMEYER, WILLIAM</t>
  </si>
  <si>
    <t>ROWE, LAURIE</t>
  </si>
  <si>
    <t>AGUAIZA, MARIA</t>
  </si>
  <si>
    <t>URAM, FRANKLIN</t>
  </si>
  <si>
    <t>URAM, CLAUDIA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</si>
</sst>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C27F-F87A-497B-83C8-D9D0F539D72A}">
  <dimension ref="A1:X33"/>
  <sheetViews>
    <sheetView workbookViewId="0">
      <selection activeCell="U1" sqref="U1:U1048576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45846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45839</v>
      </c>
      <c r="M2" s="1">
        <v>45839</v>
      </c>
      <c r="O2">
        <v>17301495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219</v>
      </c>
      <c r="V2" t="s">
        <v>36</v>
      </c>
      <c r="W2" s="1">
        <v>45831</v>
      </c>
      <c r="X2">
        <v>2025</v>
      </c>
    </row>
    <row r="3" spans="1:24" x14ac:dyDescent="0.25">
      <c r="A3" s="1">
        <v>45846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30</v>
      </c>
      <c r="J3" t="s">
        <v>40</v>
      </c>
      <c r="L3" s="1">
        <v>45870</v>
      </c>
      <c r="M3" s="1">
        <v>45870</v>
      </c>
      <c r="O3">
        <v>8307933</v>
      </c>
      <c r="P3" t="s">
        <v>32</v>
      </c>
      <c r="Q3" t="s">
        <v>41</v>
      </c>
      <c r="R3">
        <v>8192</v>
      </c>
      <c r="S3" t="s">
        <v>34</v>
      </c>
      <c r="T3" t="s">
        <v>35</v>
      </c>
      <c r="U3">
        <v>182.5</v>
      </c>
      <c r="V3" t="s">
        <v>36</v>
      </c>
      <c r="W3" s="1">
        <v>45832</v>
      </c>
      <c r="X3">
        <v>2025</v>
      </c>
    </row>
    <row r="4" spans="1:24" x14ac:dyDescent="0.25">
      <c r="A4" s="1">
        <v>45846</v>
      </c>
      <c r="B4" t="s">
        <v>42</v>
      </c>
      <c r="C4" t="s">
        <v>43</v>
      </c>
      <c r="E4" t="s">
        <v>44</v>
      </c>
      <c r="F4" t="s">
        <v>45</v>
      </c>
      <c r="G4" t="s">
        <v>46</v>
      </c>
      <c r="H4" t="s">
        <v>29</v>
      </c>
      <c r="I4" t="s">
        <v>47</v>
      </c>
      <c r="J4" t="s">
        <v>48</v>
      </c>
      <c r="L4" s="1">
        <v>45689</v>
      </c>
      <c r="M4" s="1">
        <v>45689</v>
      </c>
      <c r="O4">
        <v>19586992</v>
      </c>
      <c r="P4" t="s">
        <v>32</v>
      </c>
      <c r="Q4" t="s">
        <v>49</v>
      </c>
      <c r="R4">
        <v>8192</v>
      </c>
      <c r="S4" t="s">
        <v>34</v>
      </c>
      <c r="T4" t="s">
        <v>35</v>
      </c>
      <c r="U4">
        <v>-312.92</v>
      </c>
      <c r="V4" t="s">
        <v>50</v>
      </c>
      <c r="W4" s="1">
        <v>45675</v>
      </c>
      <c r="X4">
        <v>2025</v>
      </c>
    </row>
    <row r="5" spans="1:24" x14ac:dyDescent="0.25">
      <c r="A5" s="1">
        <v>45846</v>
      </c>
      <c r="B5" t="s">
        <v>42</v>
      </c>
      <c r="C5" t="s">
        <v>43</v>
      </c>
      <c r="E5" t="s">
        <v>44</v>
      </c>
      <c r="F5" t="s">
        <v>45</v>
      </c>
      <c r="G5" t="s">
        <v>46</v>
      </c>
      <c r="H5" t="s">
        <v>29</v>
      </c>
      <c r="I5" t="s">
        <v>47</v>
      </c>
      <c r="J5" t="s">
        <v>48</v>
      </c>
      <c r="L5" s="1">
        <v>45689</v>
      </c>
      <c r="M5" s="1">
        <v>45689</v>
      </c>
      <c r="O5">
        <v>19586992</v>
      </c>
      <c r="P5" t="s">
        <v>32</v>
      </c>
      <c r="Q5" t="s">
        <v>49</v>
      </c>
      <c r="R5">
        <v>8192</v>
      </c>
      <c r="S5" t="s">
        <v>34</v>
      </c>
      <c r="T5" t="s">
        <v>35</v>
      </c>
      <c r="U5">
        <v>751</v>
      </c>
      <c r="V5" t="s">
        <v>50</v>
      </c>
      <c r="W5" s="1">
        <v>45675</v>
      </c>
      <c r="X5">
        <v>2025</v>
      </c>
    </row>
    <row r="6" spans="1:24" x14ac:dyDescent="0.25">
      <c r="A6" s="1">
        <v>45846</v>
      </c>
      <c r="B6" t="s">
        <v>51</v>
      </c>
      <c r="C6" t="s">
        <v>52</v>
      </c>
      <c r="E6" t="s">
        <v>53</v>
      </c>
      <c r="F6" t="s">
        <v>54</v>
      </c>
      <c r="G6" t="s">
        <v>28</v>
      </c>
      <c r="H6" t="s">
        <v>29</v>
      </c>
      <c r="I6" t="s">
        <v>30</v>
      </c>
      <c r="J6" t="s">
        <v>55</v>
      </c>
      <c r="L6" s="1">
        <v>45870</v>
      </c>
      <c r="M6" s="1">
        <v>45870</v>
      </c>
      <c r="O6">
        <v>8814784</v>
      </c>
      <c r="P6" t="s">
        <v>32</v>
      </c>
      <c r="Q6" t="s">
        <v>56</v>
      </c>
      <c r="R6">
        <v>8192</v>
      </c>
      <c r="S6" t="s">
        <v>34</v>
      </c>
      <c r="T6" t="s">
        <v>35</v>
      </c>
      <c r="U6">
        <v>182.5</v>
      </c>
      <c r="V6" t="s">
        <v>36</v>
      </c>
      <c r="W6" s="1">
        <v>45827</v>
      </c>
      <c r="X6">
        <v>2025</v>
      </c>
    </row>
    <row r="7" spans="1:24" x14ac:dyDescent="0.25">
      <c r="A7" s="1">
        <v>45846</v>
      </c>
      <c r="B7" t="s">
        <v>57</v>
      </c>
      <c r="C7" t="s">
        <v>58</v>
      </c>
      <c r="E7" t="s">
        <v>59</v>
      </c>
      <c r="F7" t="s">
        <v>60</v>
      </c>
      <c r="G7" t="s">
        <v>28</v>
      </c>
      <c r="H7" t="s">
        <v>29</v>
      </c>
      <c r="I7" t="s">
        <v>61</v>
      </c>
      <c r="J7" t="s">
        <v>62</v>
      </c>
      <c r="L7" s="1">
        <v>45839</v>
      </c>
      <c r="M7" s="1">
        <v>45839</v>
      </c>
      <c r="O7">
        <v>17528908</v>
      </c>
      <c r="P7" t="s">
        <v>32</v>
      </c>
      <c r="Q7" t="s">
        <v>63</v>
      </c>
      <c r="R7">
        <v>8192</v>
      </c>
      <c r="S7" t="s">
        <v>34</v>
      </c>
      <c r="T7" t="s">
        <v>35</v>
      </c>
      <c r="U7">
        <v>239</v>
      </c>
      <c r="V7" t="s">
        <v>36</v>
      </c>
      <c r="W7" s="1">
        <v>45827</v>
      </c>
      <c r="X7">
        <v>2025</v>
      </c>
    </row>
    <row r="8" spans="1:24" x14ac:dyDescent="0.25">
      <c r="A8" s="1">
        <v>45846</v>
      </c>
      <c r="B8" t="s">
        <v>64</v>
      </c>
      <c r="C8" t="s">
        <v>65</v>
      </c>
      <c r="E8" t="s">
        <v>66</v>
      </c>
      <c r="F8" t="s">
        <v>67</v>
      </c>
      <c r="G8" t="s">
        <v>28</v>
      </c>
      <c r="H8" t="s">
        <v>29</v>
      </c>
      <c r="I8" t="s">
        <v>68</v>
      </c>
      <c r="J8" t="s">
        <v>69</v>
      </c>
      <c r="L8" s="1">
        <v>45870</v>
      </c>
      <c r="M8" s="1">
        <v>45870</v>
      </c>
      <c r="O8">
        <v>16865615</v>
      </c>
      <c r="P8" t="s">
        <v>32</v>
      </c>
      <c r="Q8" t="s">
        <v>70</v>
      </c>
      <c r="R8">
        <v>8192</v>
      </c>
      <c r="S8" t="s">
        <v>34</v>
      </c>
      <c r="T8" t="s">
        <v>35</v>
      </c>
      <c r="U8">
        <v>182.5</v>
      </c>
      <c r="V8" t="s">
        <v>36</v>
      </c>
      <c r="W8" s="1">
        <v>45832</v>
      </c>
      <c r="X8">
        <v>2025</v>
      </c>
    </row>
    <row r="9" spans="1:24" x14ac:dyDescent="0.25">
      <c r="A9" s="1">
        <v>45846</v>
      </c>
      <c r="B9" t="s">
        <v>71</v>
      </c>
      <c r="C9" t="s">
        <v>72</v>
      </c>
      <c r="E9" t="s">
        <v>73</v>
      </c>
      <c r="F9" t="s">
        <v>74</v>
      </c>
      <c r="G9" t="s">
        <v>28</v>
      </c>
      <c r="H9" t="s">
        <v>75</v>
      </c>
      <c r="I9" t="s">
        <v>76</v>
      </c>
      <c r="J9" t="s">
        <v>77</v>
      </c>
      <c r="L9" s="1">
        <v>45839</v>
      </c>
      <c r="M9" s="1">
        <v>45839</v>
      </c>
      <c r="O9">
        <v>17528908</v>
      </c>
      <c r="P9" t="s">
        <v>32</v>
      </c>
      <c r="Q9" t="s">
        <v>63</v>
      </c>
      <c r="R9">
        <v>8192</v>
      </c>
      <c r="S9" t="s">
        <v>34</v>
      </c>
      <c r="T9" t="s">
        <v>35</v>
      </c>
      <c r="U9">
        <v>219</v>
      </c>
      <c r="V9" t="s">
        <v>36</v>
      </c>
      <c r="W9" s="1">
        <v>45833</v>
      </c>
      <c r="X9">
        <v>2025</v>
      </c>
    </row>
    <row r="10" spans="1:24" x14ac:dyDescent="0.25">
      <c r="A10" s="1">
        <v>45846</v>
      </c>
      <c r="B10" t="s">
        <v>78</v>
      </c>
      <c r="C10" t="s">
        <v>79</v>
      </c>
      <c r="E10" t="s">
        <v>80</v>
      </c>
      <c r="F10" t="s">
        <v>74</v>
      </c>
      <c r="G10" t="s">
        <v>28</v>
      </c>
      <c r="H10" t="s">
        <v>29</v>
      </c>
      <c r="I10" t="s">
        <v>76</v>
      </c>
      <c r="J10" t="s">
        <v>81</v>
      </c>
      <c r="L10" s="1">
        <v>45839</v>
      </c>
      <c r="M10" s="1">
        <v>45839</v>
      </c>
      <c r="O10">
        <v>17528908</v>
      </c>
      <c r="P10" t="s">
        <v>32</v>
      </c>
      <c r="Q10" t="s">
        <v>63</v>
      </c>
      <c r="R10">
        <v>8192</v>
      </c>
      <c r="S10" t="s">
        <v>34</v>
      </c>
      <c r="T10" t="s">
        <v>35</v>
      </c>
      <c r="U10">
        <v>219</v>
      </c>
      <c r="V10" t="s">
        <v>36</v>
      </c>
      <c r="W10" s="1">
        <v>45833</v>
      </c>
      <c r="X10">
        <v>2025</v>
      </c>
    </row>
    <row r="11" spans="1:24" x14ac:dyDescent="0.25">
      <c r="A11" s="1">
        <v>45846</v>
      </c>
      <c r="B11" t="s">
        <v>82</v>
      </c>
      <c r="C11" t="s">
        <v>83</v>
      </c>
      <c r="E11" t="s">
        <v>84</v>
      </c>
      <c r="F11" t="s">
        <v>27</v>
      </c>
      <c r="G11" t="s">
        <v>85</v>
      </c>
      <c r="H11" t="s">
        <v>29</v>
      </c>
      <c r="I11" t="s">
        <v>86</v>
      </c>
      <c r="J11" t="s">
        <v>87</v>
      </c>
      <c r="L11" s="1">
        <v>45658</v>
      </c>
      <c r="M11" s="1">
        <v>45658</v>
      </c>
      <c r="N11" s="1">
        <v>45838</v>
      </c>
      <c r="O11">
        <v>8244481</v>
      </c>
      <c r="P11" t="s">
        <v>32</v>
      </c>
      <c r="Q11" t="s">
        <v>88</v>
      </c>
      <c r="R11">
        <v>8192</v>
      </c>
      <c r="S11" t="s">
        <v>34</v>
      </c>
      <c r="T11" t="s">
        <v>35</v>
      </c>
      <c r="U11">
        <v>-438</v>
      </c>
      <c r="V11" t="s">
        <v>36</v>
      </c>
      <c r="W11" s="1">
        <v>45601</v>
      </c>
      <c r="X11">
        <v>2025</v>
      </c>
    </row>
    <row r="12" spans="1:24" x14ac:dyDescent="0.25">
      <c r="A12" s="1">
        <v>45846</v>
      </c>
      <c r="B12" t="s">
        <v>82</v>
      </c>
      <c r="C12" t="s">
        <v>83</v>
      </c>
      <c r="E12" t="s">
        <v>84</v>
      </c>
      <c r="F12" t="s">
        <v>27</v>
      </c>
      <c r="G12" t="s">
        <v>89</v>
      </c>
      <c r="H12" t="s">
        <v>29</v>
      </c>
      <c r="I12" t="s">
        <v>86</v>
      </c>
      <c r="J12" t="s">
        <v>87</v>
      </c>
      <c r="L12" s="1">
        <v>45658</v>
      </c>
      <c r="M12" s="1">
        <v>45658</v>
      </c>
      <c r="N12" s="1">
        <v>45838</v>
      </c>
      <c r="O12">
        <v>8244481</v>
      </c>
      <c r="P12" t="s">
        <v>32</v>
      </c>
      <c r="Q12" t="s">
        <v>88</v>
      </c>
      <c r="R12">
        <v>8192</v>
      </c>
      <c r="S12" t="s">
        <v>34</v>
      </c>
      <c r="T12" t="s">
        <v>35</v>
      </c>
      <c r="U12">
        <v>219</v>
      </c>
      <c r="V12" t="s">
        <v>36</v>
      </c>
      <c r="W12" s="1">
        <v>45601</v>
      </c>
      <c r="X12">
        <v>2025</v>
      </c>
    </row>
    <row r="13" spans="1:24" x14ac:dyDescent="0.25">
      <c r="A13" s="1"/>
      <c r="L13" s="1"/>
      <c r="M13" s="1"/>
      <c r="N13" s="1"/>
      <c r="W13" s="1"/>
    </row>
    <row r="14" spans="1:24" x14ac:dyDescent="0.25">
      <c r="A14" s="1"/>
      <c r="L14" s="1"/>
      <c r="M14" s="1"/>
      <c r="W14" s="1"/>
    </row>
    <row r="15" spans="1:24" x14ac:dyDescent="0.25">
      <c r="A15" s="1"/>
      <c r="L15" s="1"/>
      <c r="M15" s="1"/>
      <c r="N15" s="1"/>
      <c r="W15" s="1"/>
    </row>
    <row r="16" spans="1:24" x14ac:dyDescent="0.25">
      <c r="A16" s="1"/>
      <c r="L16" s="1"/>
      <c r="M16" s="1"/>
      <c r="N16" s="1"/>
      <c r="W16" s="1"/>
    </row>
    <row r="17" spans="1:23" x14ac:dyDescent="0.25">
      <c r="A17" s="1"/>
      <c r="L17" s="1"/>
      <c r="M17" s="1"/>
      <c r="W17" s="1"/>
    </row>
    <row r="18" spans="1:23" x14ac:dyDescent="0.25">
      <c r="A18" s="1"/>
      <c r="L18" s="1"/>
      <c r="M18" s="1"/>
      <c r="W18" s="1"/>
    </row>
    <row r="19" spans="1:23" x14ac:dyDescent="0.25">
      <c r="A19" s="1"/>
      <c r="L19" s="1"/>
      <c r="M19" s="1"/>
      <c r="W19" s="1"/>
    </row>
    <row r="20" spans="1:23" x14ac:dyDescent="0.25">
      <c r="A20" s="1"/>
      <c r="L20" s="1"/>
      <c r="M20" s="1"/>
      <c r="W20" s="1"/>
    </row>
    <row r="21" spans="1:23" x14ac:dyDescent="0.25">
      <c r="A21" s="1"/>
      <c r="L21" s="1"/>
      <c r="M21" s="1"/>
      <c r="W21" s="1"/>
    </row>
    <row r="22" spans="1:23" x14ac:dyDescent="0.25">
      <c r="A22" s="1"/>
      <c r="L22" s="1"/>
      <c r="M22" s="1"/>
      <c r="W22" s="1"/>
    </row>
    <row r="23" spans="1:23" x14ac:dyDescent="0.25">
      <c r="A23" s="1"/>
      <c r="L23" s="1"/>
      <c r="M23" s="1"/>
      <c r="W23" s="1"/>
    </row>
    <row r="24" spans="1:23" x14ac:dyDescent="0.25">
      <c r="A24" s="1"/>
      <c r="L24" s="1"/>
      <c r="M24" s="1"/>
      <c r="N24" s="1"/>
      <c r="W24" s="1"/>
    </row>
    <row r="25" spans="1:23" x14ac:dyDescent="0.25">
      <c r="A25" s="1"/>
      <c r="L25" s="1"/>
      <c r="M25" s="1"/>
      <c r="N25" s="1"/>
      <c r="W25" s="1"/>
    </row>
    <row r="26" spans="1:23" x14ac:dyDescent="0.25">
      <c r="A26" s="1"/>
      <c r="L26" s="1"/>
      <c r="M26" s="1"/>
      <c r="W26" s="1"/>
    </row>
    <row r="27" spans="1:23" x14ac:dyDescent="0.25">
      <c r="A27" s="1"/>
      <c r="L27" s="1"/>
      <c r="M27" s="1"/>
      <c r="N27" s="1"/>
      <c r="W27" s="1"/>
    </row>
    <row r="28" spans="1:23" x14ac:dyDescent="0.25">
      <c r="A28" s="1"/>
      <c r="L28" s="1"/>
      <c r="M28" s="1"/>
      <c r="N28" s="1"/>
      <c r="W28" s="1"/>
    </row>
    <row r="29" spans="1:23" x14ac:dyDescent="0.25">
      <c r="A29" s="1"/>
      <c r="L29" s="1"/>
      <c r="M29" s="1"/>
      <c r="W29" s="1"/>
    </row>
    <row r="30" spans="1:23" x14ac:dyDescent="0.25">
      <c r="A30" s="1"/>
      <c r="L30" s="1"/>
      <c r="M30" s="1"/>
      <c r="W30" s="1"/>
    </row>
    <row r="31" spans="1:23" x14ac:dyDescent="0.25">
      <c r="A31" s="1"/>
      <c r="L31" s="1"/>
      <c r="M31" s="1"/>
      <c r="W31" s="1"/>
    </row>
    <row r="32" spans="1:23" x14ac:dyDescent="0.25">
      <c r="A32" s="1"/>
      <c r="L32" s="1"/>
      <c r="M32" s="1"/>
      <c r="W32" s="1"/>
    </row>
    <row r="33" spans="1:23" x14ac:dyDescent="0.25">
      <c r="A33" s="1"/>
      <c r="L33" s="1"/>
      <c r="M33" s="1"/>
      <c r="W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B04A-8612-4EB6-A8BF-4D5A5FBD6611}">
  <dimension ref="A1:S44"/>
  <sheetViews>
    <sheetView tabSelected="1" workbookViewId="0">
      <selection activeCell="L3" sqref="L3"/>
    </sheetView>
  </sheetViews>
  <sheetFormatPr defaultRowHeight="15" x14ac:dyDescent="0.25"/>
  <cols>
    <col min="1" max="1" width="17.28515625" style="2" bestFit="1" customWidth="1"/>
    <col min="2" max="2" width="17.28515625" style="2" customWidth="1"/>
    <col min="3" max="3" width="23.7109375" style="2" bestFit="1" customWidth="1"/>
    <col min="4" max="8" width="9.140625" style="2"/>
    <col min="9" max="9" width="18" style="2" bestFit="1" customWidth="1"/>
    <col min="10" max="10" width="9.140625" style="2"/>
    <col min="11" max="11" width="21" style="2" bestFit="1" customWidth="1"/>
    <col min="12" max="13" width="9.140625" style="2"/>
    <col min="14" max="14" width="17.85546875" style="2" bestFit="1" customWidth="1"/>
    <col min="15" max="16384" width="9.140625" style="2"/>
  </cols>
  <sheetData>
    <row r="1" spans="1:19" x14ac:dyDescent="0.25">
      <c r="A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11</v>
      </c>
      <c r="H1" s="2" t="s">
        <v>12</v>
      </c>
      <c r="I1" s="2" t="s">
        <v>14</v>
      </c>
      <c r="J1" s="2" t="s">
        <v>15</v>
      </c>
      <c r="K1" s="2" t="s">
        <v>16</v>
      </c>
      <c r="L1" s="2" t="s">
        <v>20</v>
      </c>
    </row>
    <row r="2" spans="1:19" x14ac:dyDescent="0.25">
      <c r="A2" s="2" t="s">
        <v>82</v>
      </c>
      <c r="B2" s="2" t="str">
        <f>CONCATENATE(A2,8)</f>
        <v>4NA5RR4MX778</v>
      </c>
      <c r="C2" s="2" t="s">
        <v>104</v>
      </c>
      <c r="D2" s="2" t="s">
        <v>27</v>
      </c>
      <c r="E2" s="2" t="s">
        <v>85</v>
      </c>
      <c r="F2" s="2" t="s">
        <v>29</v>
      </c>
      <c r="G2" s="3">
        <v>45658</v>
      </c>
      <c r="H2" s="3">
        <v>45658</v>
      </c>
      <c r="I2" s="2">
        <v>8244481</v>
      </c>
      <c r="J2" s="2" t="s">
        <v>32</v>
      </c>
      <c r="K2" s="2" t="s">
        <v>88</v>
      </c>
      <c r="L2" s="2">
        <v>-438</v>
      </c>
      <c r="M2" s="2">
        <v>-313</v>
      </c>
      <c r="N2" s="2" t="s">
        <v>91</v>
      </c>
      <c r="O2" s="2" t="s">
        <v>90</v>
      </c>
    </row>
    <row r="3" spans="1:19" x14ac:dyDescent="0.25">
      <c r="A3" s="2" t="s">
        <v>42</v>
      </c>
      <c r="B3" s="2" t="str">
        <f>CONCATENATE(A3,7)</f>
        <v>3KP3R00JM007</v>
      </c>
      <c r="C3" s="2" t="s">
        <v>105</v>
      </c>
      <c r="D3" s="2" t="s">
        <v>45</v>
      </c>
      <c r="E3" s="2" t="s">
        <v>46</v>
      </c>
      <c r="F3" s="2" t="s">
        <v>29</v>
      </c>
      <c r="G3" s="3">
        <v>45689</v>
      </c>
      <c r="H3" s="3">
        <v>45689</v>
      </c>
      <c r="I3" s="2">
        <v>19586992</v>
      </c>
      <c r="J3" s="2" t="s">
        <v>32</v>
      </c>
      <c r="K3" s="2" t="s">
        <v>49</v>
      </c>
      <c r="L3" s="2">
        <v>-312.92</v>
      </c>
      <c r="M3" s="2">
        <v>-260.83</v>
      </c>
      <c r="N3" s="2" t="s">
        <v>94</v>
      </c>
      <c r="O3" s="2" t="s">
        <v>93</v>
      </c>
    </row>
    <row r="4" spans="1:19" x14ac:dyDescent="0.25">
      <c r="A4" s="2" t="s">
        <v>37</v>
      </c>
      <c r="B4" s="2" t="str">
        <f t="shared" ref="B4:B10" si="0">CONCATENATE(A4,8)</f>
        <v>6TH1KW7KK338</v>
      </c>
      <c r="C4" s="2" t="s">
        <v>106</v>
      </c>
      <c r="D4" s="2" t="s">
        <v>27</v>
      </c>
      <c r="E4" s="2" t="s">
        <v>28</v>
      </c>
      <c r="F4" s="2" t="s">
        <v>29</v>
      </c>
      <c r="G4" s="3">
        <v>45870</v>
      </c>
      <c r="H4" s="3">
        <v>45870</v>
      </c>
      <c r="I4" s="2">
        <v>8307933</v>
      </c>
      <c r="J4" s="2" t="s">
        <v>32</v>
      </c>
      <c r="K4" s="2" t="s">
        <v>41</v>
      </c>
      <c r="L4" s="2">
        <v>182.5</v>
      </c>
      <c r="M4" s="2">
        <v>130.41999999999999</v>
      </c>
      <c r="N4" s="2" t="s">
        <v>91</v>
      </c>
      <c r="O4" s="2" t="s">
        <v>95</v>
      </c>
      <c r="R4" s="2">
        <f>313/12*5</f>
        <v>130.41666666666666</v>
      </c>
      <c r="S4" s="2">
        <f>130.42+52.08</f>
        <v>182.5</v>
      </c>
    </row>
    <row r="5" spans="1:19" x14ac:dyDescent="0.25">
      <c r="A5" s="2" t="s">
        <v>51</v>
      </c>
      <c r="B5" s="2" t="str">
        <f t="shared" si="0"/>
        <v>3T14Q39DH668</v>
      </c>
      <c r="C5" s="2" t="s">
        <v>107</v>
      </c>
      <c r="D5" s="2" t="s">
        <v>54</v>
      </c>
      <c r="E5" s="2" t="s">
        <v>28</v>
      </c>
      <c r="F5" s="2" t="s">
        <v>29</v>
      </c>
      <c r="G5" s="3">
        <v>45870</v>
      </c>
      <c r="H5" s="3">
        <v>45870</v>
      </c>
      <c r="I5" s="2">
        <v>8814784</v>
      </c>
      <c r="J5" s="2" t="s">
        <v>32</v>
      </c>
      <c r="K5" s="2" t="s">
        <v>56</v>
      </c>
      <c r="L5" s="2">
        <v>182.5</v>
      </c>
      <c r="M5" s="2">
        <v>130.41999999999999</v>
      </c>
      <c r="N5" s="2" t="s">
        <v>91</v>
      </c>
      <c r="O5" s="2" t="s">
        <v>95</v>
      </c>
    </row>
    <row r="6" spans="1:19" x14ac:dyDescent="0.25">
      <c r="A6" s="2" t="s">
        <v>64</v>
      </c>
      <c r="B6" s="2" t="str">
        <f t="shared" si="0"/>
        <v>5YM6UU4JC898</v>
      </c>
      <c r="C6" s="2" t="s">
        <v>108</v>
      </c>
      <c r="D6" s="2" t="s">
        <v>67</v>
      </c>
      <c r="E6" s="2" t="s">
        <v>28</v>
      </c>
      <c r="F6" s="2" t="s">
        <v>29</v>
      </c>
      <c r="G6" s="3">
        <v>45870</v>
      </c>
      <c r="H6" s="3">
        <v>45870</v>
      </c>
      <c r="I6" s="2">
        <v>16865615</v>
      </c>
      <c r="J6" s="2" t="s">
        <v>32</v>
      </c>
      <c r="K6" s="2" t="s">
        <v>70</v>
      </c>
      <c r="L6" s="2">
        <v>182.5</v>
      </c>
      <c r="M6" s="2">
        <v>130.41999999999999</v>
      </c>
      <c r="N6" s="2" t="s">
        <v>91</v>
      </c>
      <c r="O6" s="2" t="s">
        <v>95</v>
      </c>
    </row>
    <row r="7" spans="1:19" x14ac:dyDescent="0.25">
      <c r="A7" s="2" t="s">
        <v>24</v>
      </c>
      <c r="B7" s="2" t="str">
        <f t="shared" si="0"/>
        <v>3XC4TV2XX888</v>
      </c>
      <c r="C7" s="2" t="s">
        <v>109</v>
      </c>
      <c r="D7" s="2" t="s">
        <v>27</v>
      </c>
      <c r="E7" s="2" t="s">
        <v>28</v>
      </c>
      <c r="F7" s="2" t="s">
        <v>29</v>
      </c>
      <c r="G7" s="3">
        <v>45839</v>
      </c>
      <c r="H7" s="3">
        <v>45839</v>
      </c>
      <c r="I7" s="2">
        <v>17301495</v>
      </c>
      <c r="J7" s="2" t="s">
        <v>32</v>
      </c>
      <c r="K7" s="2" t="s">
        <v>33</v>
      </c>
      <c r="L7" s="2">
        <v>219</v>
      </c>
      <c r="M7" s="2">
        <v>156.5</v>
      </c>
      <c r="N7" s="2" t="s">
        <v>91</v>
      </c>
      <c r="O7" s="2" t="s">
        <v>96</v>
      </c>
      <c r="R7" s="2">
        <f>313/12*6</f>
        <v>156.5</v>
      </c>
      <c r="S7" s="2">
        <f>156.5+62.5</f>
        <v>219</v>
      </c>
    </row>
    <row r="8" spans="1:19" x14ac:dyDescent="0.25">
      <c r="A8" s="2" t="s">
        <v>71</v>
      </c>
      <c r="B8" s="2" t="str">
        <f t="shared" si="0"/>
        <v>1XM4CQ4QN708</v>
      </c>
      <c r="C8" s="2" t="s">
        <v>110</v>
      </c>
      <c r="D8" s="2" t="s">
        <v>74</v>
      </c>
      <c r="E8" s="2" t="s">
        <v>28</v>
      </c>
      <c r="F8" s="2" t="s">
        <v>75</v>
      </c>
      <c r="G8" s="3">
        <v>45839</v>
      </c>
      <c r="H8" s="3">
        <v>45839</v>
      </c>
      <c r="I8" s="2" t="s">
        <v>101</v>
      </c>
      <c r="J8" s="2" t="s">
        <v>32</v>
      </c>
      <c r="K8" s="2" t="s">
        <v>63</v>
      </c>
      <c r="L8" s="2">
        <v>219</v>
      </c>
      <c r="M8" s="2">
        <v>156.5</v>
      </c>
      <c r="N8" s="2" t="s">
        <v>91</v>
      </c>
      <c r="O8" s="2" t="s">
        <v>96</v>
      </c>
    </row>
    <row r="9" spans="1:19" x14ac:dyDescent="0.25">
      <c r="A9" s="2" t="s">
        <v>78</v>
      </c>
      <c r="B9" s="2" t="str">
        <f t="shared" si="0"/>
        <v>9VF4Q84GP838</v>
      </c>
      <c r="C9" s="2" t="s">
        <v>111</v>
      </c>
      <c r="D9" s="2" t="s">
        <v>74</v>
      </c>
      <c r="E9" s="2" t="s">
        <v>28</v>
      </c>
      <c r="F9" s="2" t="s">
        <v>29</v>
      </c>
      <c r="G9" s="3">
        <v>45839</v>
      </c>
      <c r="H9" s="3">
        <v>45839</v>
      </c>
      <c r="I9" s="2" t="s">
        <v>101</v>
      </c>
      <c r="J9" s="2" t="s">
        <v>32</v>
      </c>
      <c r="K9" s="2" t="s">
        <v>63</v>
      </c>
      <c r="L9" s="2">
        <v>219</v>
      </c>
      <c r="M9" s="2">
        <v>156.5</v>
      </c>
      <c r="N9" s="2" t="s">
        <v>91</v>
      </c>
      <c r="O9" s="2" t="s">
        <v>96</v>
      </c>
    </row>
    <row r="10" spans="1:19" x14ac:dyDescent="0.25">
      <c r="A10" s="2" t="s">
        <v>82</v>
      </c>
      <c r="B10" s="2" t="str">
        <f t="shared" si="0"/>
        <v>4NA5RR4MX778</v>
      </c>
      <c r="C10" s="2" t="s">
        <v>104</v>
      </c>
      <c r="D10" s="2" t="s">
        <v>27</v>
      </c>
      <c r="E10" s="2" t="s">
        <v>89</v>
      </c>
      <c r="F10" s="2" t="s">
        <v>29</v>
      </c>
      <c r="G10" s="3">
        <v>45658</v>
      </c>
      <c r="H10" s="3">
        <v>45658</v>
      </c>
      <c r="I10" s="2">
        <v>8244481</v>
      </c>
      <c r="J10" s="2" t="s">
        <v>32</v>
      </c>
      <c r="K10" s="2" t="s">
        <v>88</v>
      </c>
      <c r="L10" s="2">
        <v>219</v>
      </c>
      <c r="M10" s="2">
        <v>156.5</v>
      </c>
      <c r="N10" s="2" t="s">
        <v>91</v>
      </c>
      <c r="O10" s="2" t="s">
        <v>96</v>
      </c>
    </row>
    <row r="11" spans="1:19" x14ac:dyDescent="0.25">
      <c r="A11" s="2" t="s">
        <v>57</v>
      </c>
      <c r="B11" s="2" t="str">
        <f>CONCATENATE(A11,8)</f>
        <v>1R27XC6CR348</v>
      </c>
      <c r="C11" s="2" t="s">
        <v>102</v>
      </c>
      <c r="D11" s="2" t="s">
        <v>60</v>
      </c>
      <c r="E11" s="2" t="s">
        <v>28</v>
      </c>
      <c r="F11" s="2" t="s">
        <v>29</v>
      </c>
      <c r="G11" s="3">
        <v>45839</v>
      </c>
      <c r="H11" s="3">
        <v>45839</v>
      </c>
      <c r="I11" s="2" t="s">
        <v>101</v>
      </c>
      <c r="J11" s="2" t="s">
        <v>32</v>
      </c>
      <c r="K11" s="2" t="s">
        <v>63</v>
      </c>
      <c r="L11" s="2">
        <v>239</v>
      </c>
      <c r="M11" s="2">
        <v>176.5</v>
      </c>
      <c r="N11" s="2" t="s">
        <v>97</v>
      </c>
      <c r="O11" s="2" t="s">
        <v>98</v>
      </c>
      <c r="R11" s="2">
        <f>353/12*6</f>
        <v>176.5</v>
      </c>
      <c r="S11" s="2">
        <f>176.5+62.5</f>
        <v>239</v>
      </c>
    </row>
    <row r="12" spans="1:19" x14ac:dyDescent="0.25">
      <c r="A12" s="2" t="s">
        <v>42</v>
      </c>
      <c r="B12" s="2" t="str">
        <f>CONCATENATE(A12,7)</f>
        <v>3KP3R00JM007</v>
      </c>
      <c r="C12" s="2" t="s">
        <v>103</v>
      </c>
      <c r="D12" s="2" t="s">
        <v>45</v>
      </c>
      <c r="E12" s="2" t="s">
        <v>46</v>
      </c>
      <c r="F12" s="2" t="s">
        <v>29</v>
      </c>
      <c r="G12" s="3">
        <v>45689</v>
      </c>
      <c r="H12" s="3">
        <v>45689</v>
      </c>
      <c r="I12" s="2">
        <v>19586992</v>
      </c>
      <c r="J12" s="2" t="s">
        <v>32</v>
      </c>
      <c r="K12" s="2" t="s">
        <v>49</v>
      </c>
      <c r="L12" s="2">
        <v>751</v>
      </c>
      <c r="M12" s="2">
        <v>626</v>
      </c>
      <c r="N12" s="2" t="s">
        <v>94</v>
      </c>
      <c r="O12" s="2" t="s">
        <v>99</v>
      </c>
      <c r="R12" s="2">
        <f>626+125</f>
        <v>751</v>
      </c>
    </row>
    <row r="13" spans="1:19" x14ac:dyDescent="0.25">
      <c r="A13" s="2" t="s">
        <v>82</v>
      </c>
      <c r="B13" s="2" t="str">
        <f>CONCATENATE(A13,88)</f>
        <v>4NA5RR4MX7788</v>
      </c>
      <c r="C13" s="2" t="s">
        <v>104</v>
      </c>
      <c r="D13" s="2" t="s">
        <v>27</v>
      </c>
      <c r="E13" s="2" t="s">
        <v>85</v>
      </c>
      <c r="F13" s="2" t="s">
        <v>29</v>
      </c>
      <c r="G13" s="3">
        <v>45658</v>
      </c>
      <c r="H13" s="3">
        <v>45658</v>
      </c>
      <c r="I13" s="2">
        <v>20411454</v>
      </c>
      <c r="J13" s="2" t="s">
        <v>32</v>
      </c>
      <c r="K13" s="2" t="s">
        <v>100</v>
      </c>
      <c r="L13" s="2">
        <v>-438</v>
      </c>
      <c r="M13" s="2">
        <v>-125</v>
      </c>
      <c r="N13" s="2" t="s">
        <v>92</v>
      </c>
    </row>
    <row r="14" spans="1:19" x14ac:dyDescent="0.25">
      <c r="A14" s="2" t="s">
        <v>42</v>
      </c>
      <c r="B14" s="2" t="str">
        <f t="shared" ref="B14:B23" si="1">CONCATENATE(A14,88)</f>
        <v>3KP3R00JM0088</v>
      </c>
      <c r="C14" s="2" t="s">
        <v>105</v>
      </c>
      <c r="D14" s="2" t="s">
        <v>45</v>
      </c>
      <c r="E14" s="2" t="s">
        <v>46</v>
      </c>
      <c r="F14" s="2" t="s">
        <v>29</v>
      </c>
      <c r="G14" s="3">
        <v>45689</v>
      </c>
      <c r="H14" s="3">
        <v>45689</v>
      </c>
      <c r="I14" s="2">
        <v>20411454</v>
      </c>
      <c r="J14" s="2" t="s">
        <v>32</v>
      </c>
      <c r="K14" s="2" t="s">
        <v>100</v>
      </c>
      <c r="L14" s="2">
        <v>-312.92</v>
      </c>
      <c r="M14" s="2">
        <v>-52.08</v>
      </c>
      <c r="N14" s="2" t="s">
        <v>92</v>
      </c>
    </row>
    <row r="15" spans="1:19" x14ac:dyDescent="0.25">
      <c r="A15" s="2" t="s">
        <v>37</v>
      </c>
      <c r="B15" s="2" t="str">
        <f t="shared" si="1"/>
        <v>6TH1KW7KK3388</v>
      </c>
      <c r="C15" s="2" t="s">
        <v>106</v>
      </c>
      <c r="D15" s="2" t="s">
        <v>27</v>
      </c>
      <c r="E15" s="2" t="s">
        <v>28</v>
      </c>
      <c r="F15" s="2" t="s">
        <v>29</v>
      </c>
      <c r="G15" s="3">
        <v>45870</v>
      </c>
      <c r="H15" s="3">
        <v>45870</v>
      </c>
      <c r="I15" s="2">
        <v>20411454</v>
      </c>
      <c r="J15" s="2" t="s">
        <v>32</v>
      </c>
      <c r="K15" s="2" t="s">
        <v>100</v>
      </c>
      <c r="L15" s="2">
        <v>182.5</v>
      </c>
      <c r="M15" s="2">
        <v>52.08</v>
      </c>
      <c r="N15" s="2" t="s">
        <v>92</v>
      </c>
      <c r="R15" s="2">
        <f>125/12*5</f>
        <v>52.083333333333329</v>
      </c>
    </row>
    <row r="16" spans="1:19" x14ac:dyDescent="0.25">
      <c r="A16" s="2" t="s">
        <v>51</v>
      </c>
      <c r="B16" s="2" t="str">
        <f t="shared" si="1"/>
        <v>3T14Q39DH6688</v>
      </c>
      <c r="C16" s="2" t="s">
        <v>107</v>
      </c>
      <c r="D16" s="2" t="s">
        <v>54</v>
      </c>
      <c r="E16" s="2" t="s">
        <v>28</v>
      </c>
      <c r="F16" s="2" t="s">
        <v>29</v>
      </c>
      <c r="G16" s="3">
        <v>45870</v>
      </c>
      <c r="H16" s="3">
        <v>45870</v>
      </c>
      <c r="I16" s="2">
        <v>20411454</v>
      </c>
      <c r="J16" s="2" t="s">
        <v>32</v>
      </c>
      <c r="K16" s="2" t="s">
        <v>100</v>
      </c>
      <c r="L16" s="2">
        <v>182.5</v>
      </c>
      <c r="M16" s="2">
        <v>52.08</v>
      </c>
      <c r="N16" s="2" t="s">
        <v>92</v>
      </c>
    </row>
    <row r="17" spans="1:18" x14ac:dyDescent="0.25">
      <c r="A17" s="2" t="s">
        <v>64</v>
      </c>
      <c r="B17" s="2" t="str">
        <f t="shared" si="1"/>
        <v>5YM6UU4JC8988</v>
      </c>
      <c r="C17" s="2" t="s">
        <v>108</v>
      </c>
      <c r="D17" s="2" t="s">
        <v>67</v>
      </c>
      <c r="E17" s="2" t="s">
        <v>28</v>
      </c>
      <c r="F17" s="2" t="s">
        <v>29</v>
      </c>
      <c r="G17" s="3">
        <v>45870</v>
      </c>
      <c r="H17" s="3">
        <v>45870</v>
      </c>
      <c r="I17" s="2">
        <v>20411454</v>
      </c>
      <c r="J17" s="2" t="s">
        <v>32</v>
      </c>
      <c r="K17" s="2" t="s">
        <v>100</v>
      </c>
      <c r="L17" s="2">
        <v>182.5</v>
      </c>
      <c r="M17" s="2">
        <v>52.08</v>
      </c>
      <c r="N17" s="2" t="s">
        <v>92</v>
      </c>
    </row>
    <row r="18" spans="1:18" x14ac:dyDescent="0.25">
      <c r="A18" s="2" t="s">
        <v>24</v>
      </c>
      <c r="B18" s="2" t="str">
        <f t="shared" si="1"/>
        <v>3XC4TV2XX8888</v>
      </c>
      <c r="C18" s="2" t="s">
        <v>109</v>
      </c>
      <c r="D18" s="2" t="s">
        <v>27</v>
      </c>
      <c r="E18" s="2" t="s">
        <v>28</v>
      </c>
      <c r="F18" s="2" t="s">
        <v>29</v>
      </c>
      <c r="G18" s="3">
        <v>45839</v>
      </c>
      <c r="H18" s="3">
        <v>45839</v>
      </c>
      <c r="I18" s="2">
        <v>20411454</v>
      </c>
      <c r="J18" s="2" t="s">
        <v>32</v>
      </c>
      <c r="K18" s="2" t="s">
        <v>100</v>
      </c>
      <c r="L18" s="2">
        <v>219</v>
      </c>
      <c r="M18" s="2">
        <v>62.5</v>
      </c>
      <c r="N18" s="2" t="s">
        <v>92</v>
      </c>
      <c r="R18" s="2">
        <f>125/12*6</f>
        <v>62.5</v>
      </c>
    </row>
    <row r="19" spans="1:18" x14ac:dyDescent="0.25">
      <c r="A19" s="2" t="s">
        <v>71</v>
      </c>
      <c r="B19" s="2" t="str">
        <f t="shared" si="1"/>
        <v>1XM4CQ4QN7088</v>
      </c>
      <c r="C19" s="2" t="s">
        <v>110</v>
      </c>
      <c r="D19" s="2" t="s">
        <v>74</v>
      </c>
      <c r="E19" s="2" t="s">
        <v>28</v>
      </c>
      <c r="F19" s="2" t="s">
        <v>75</v>
      </c>
      <c r="G19" s="3">
        <v>45839</v>
      </c>
      <c r="H19" s="3">
        <v>45839</v>
      </c>
      <c r="I19" s="2">
        <v>20411454</v>
      </c>
      <c r="J19" s="2" t="s">
        <v>32</v>
      </c>
      <c r="K19" s="2" t="s">
        <v>100</v>
      </c>
      <c r="L19" s="2">
        <v>219</v>
      </c>
      <c r="M19" s="2">
        <v>62.5</v>
      </c>
      <c r="N19" s="2" t="s">
        <v>92</v>
      </c>
    </row>
    <row r="20" spans="1:18" x14ac:dyDescent="0.25">
      <c r="A20" s="2" t="s">
        <v>78</v>
      </c>
      <c r="B20" s="2" t="str">
        <f t="shared" si="1"/>
        <v>9VF4Q84GP8388</v>
      </c>
      <c r="C20" s="2" t="s">
        <v>111</v>
      </c>
      <c r="D20" s="2" t="s">
        <v>74</v>
      </c>
      <c r="E20" s="2" t="s">
        <v>28</v>
      </c>
      <c r="F20" s="2" t="s">
        <v>29</v>
      </c>
      <c r="G20" s="3">
        <v>45839</v>
      </c>
      <c r="H20" s="3">
        <v>45839</v>
      </c>
      <c r="I20" s="2">
        <v>20411454</v>
      </c>
      <c r="J20" s="2" t="s">
        <v>32</v>
      </c>
      <c r="K20" s="2" t="s">
        <v>100</v>
      </c>
      <c r="L20" s="2">
        <v>219</v>
      </c>
      <c r="M20" s="2">
        <v>62.5</v>
      </c>
      <c r="N20" s="2" t="s">
        <v>92</v>
      </c>
    </row>
    <row r="21" spans="1:18" x14ac:dyDescent="0.25">
      <c r="A21" s="2" t="s">
        <v>82</v>
      </c>
      <c r="B21" s="2" t="str">
        <f t="shared" si="1"/>
        <v>4NA5RR4MX7788</v>
      </c>
      <c r="C21" s="2" t="s">
        <v>104</v>
      </c>
      <c r="D21" s="2" t="s">
        <v>27</v>
      </c>
      <c r="E21" s="2" t="s">
        <v>89</v>
      </c>
      <c r="F21" s="2" t="s">
        <v>29</v>
      </c>
      <c r="G21" s="3">
        <v>45658</v>
      </c>
      <c r="H21" s="3">
        <v>45658</v>
      </c>
      <c r="I21" s="2">
        <v>20411454</v>
      </c>
      <c r="J21" s="2" t="s">
        <v>32</v>
      </c>
      <c r="K21" s="2" t="s">
        <v>100</v>
      </c>
      <c r="L21" s="2">
        <v>219</v>
      </c>
      <c r="M21" s="2">
        <v>62.5</v>
      </c>
      <c r="N21" s="2" t="s">
        <v>92</v>
      </c>
    </row>
    <row r="22" spans="1:18" x14ac:dyDescent="0.25">
      <c r="A22" s="2" t="s">
        <v>57</v>
      </c>
      <c r="B22" s="2" t="str">
        <f t="shared" si="1"/>
        <v>1R27XC6CR3488</v>
      </c>
      <c r="C22" s="2" t="s">
        <v>102</v>
      </c>
      <c r="D22" s="2" t="s">
        <v>60</v>
      </c>
      <c r="E22" s="2" t="s">
        <v>28</v>
      </c>
      <c r="F22" s="2" t="s">
        <v>29</v>
      </c>
      <c r="G22" s="3">
        <v>45839</v>
      </c>
      <c r="H22" s="3">
        <v>45839</v>
      </c>
      <c r="I22" s="2">
        <v>20411454</v>
      </c>
      <c r="J22" s="2" t="s">
        <v>32</v>
      </c>
      <c r="K22" s="2" t="s">
        <v>100</v>
      </c>
      <c r="L22" s="2">
        <v>239</v>
      </c>
      <c r="M22" s="2">
        <v>62.5</v>
      </c>
      <c r="N22" s="2" t="s">
        <v>92</v>
      </c>
      <c r="R22" s="2">
        <f>125/12*6</f>
        <v>62.5</v>
      </c>
    </row>
    <row r="23" spans="1:18" x14ac:dyDescent="0.25">
      <c r="A23" s="2" t="s">
        <v>42</v>
      </c>
      <c r="B23" s="2" t="str">
        <f t="shared" si="1"/>
        <v>3KP3R00JM0088</v>
      </c>
      <c r="C23" s="2" t="s">
        <v>103</v>
      </c>
      <c r="D23" s="2" t="s">
        <v>45</v>
      </c>
      <c r="E23" s="2" t="s">
        <v>46</v>
      </c>
      <c r="F23" s="2" t="s">
        <v>29</v>
      </c>
      <c r="G23" s="3">
        <v>45689</v>
      </c>
      <c r="H23" s="3">
        <v>45689</v>
      </c>
      <c r="I23" s="2">
        <v>20411454</v>
      </c>
      <c r="J23" s="2" t="s">
        <v>32</v>
      </c>
      <c r="K23" s="2" t="s">
        <v>100</v>
      </c>
      <c r="L23" s="2">
        <v>751</v>
      </c>
      <c r="M23" s="2">
        <v>125</v>
      </c>
      <c r="N23" s="2" t="s">
        <v>92</v>
      </c>
    </row>
    <row r="24" spans="1:18" x14ac:dyDescent="0.25">
      <c r="G24" s="3"/>
      <c r="H24" s="3"/>
    </row>
    <row r="25" spans="1:18" x14ac:dyDescent="0.25">
      <c r="G25" s="3"/>
      <c r="H25" s="3"/>
    </row>
    <row r="26" spans="1:18" x14ac:dyDescent="0.25">
      <c r="G26" s="3"/>
      <c r="H26" s="3"/>
    </row>
    <row r="27" spans="1:18" x14ac:dyDescent="0.25">
      <c r="G27" s="3"/>
      <c r="H27" s="3"/>
    </row>
    <row r="28" spans="1:18" x14ac:dyDescent="0.25">
      <c r="G28" s="3"/>
      <c r="H28" s="3"/>
    </row>
    <row r="29" spans="1:18" x14ac:dyDescent="0.25">
      <c r="G29" s="3"/>
      <c r="H29" s="3"/>
    </row>
    <row r="30" spans="1:18" x14ac:dyDescent="0.25">
      <c r="G30" s="3"/>
      <c r="H30" s="3"/>
    </row>
    <row r="31" spans="1:18" x14ac:dyDescent="0.25">
      <c r="G31" s="3"/>
      <c r="H31" s="3"/>
    </row>
    <row r="32" spans="1:18" x14ac:dyDescent="0.25">
      <c r="G32" s="3"/>
      <c r="H32" s="3"/>
    </row>
    <row r="33" spans="7:8" x14ac:dyDescent="0.25">
      <c r="G33" s="3"/>
      <c r="H33" s="3"/>
    </row>
    <row r="34" spans="7:8" x14ac:dyDescent="0.25">
      <c r="G34" s="3"/>
      <c r="H34" s="3"/>
    </row>
    <row r="35" spans="7:8" x14ac:dyDescent="0.25">
      <c r="G35" s="3"/>
      <c r="H35" s="3"/>
    </row>
    <row r="36" spans="7:8" x14ac:dyDescent="0.25">
      <c r="G36" s="3"/>
      <c r="H36" s="3"/>
    </row>
    <row r="37" spans="7:8" x14ac:dyDescent="0.25">
      <c r="G37" s="3"/>
      <c r="H37" s="3"/>
    </row>
    <row r="38" spans="7:8" x14ac:dyDescent="0.25">
      <c r="G38" s="3"/>
      <c r="H38" s="3"/>
    </row>
    <row r="39" spans="7:8" x14ac:dyDescent="0.25">
      <c r="G39" s="3"/>
      <c r="H39" s="3"/>
    </row>
    <row r="40" spans="7:8" x14ac:dyDescent="0.25">
      <c r="G40" s="3"/>
      <c r="H40" s="3"/>
    </row>
    <row r="41" spans="7:8" x14ac:dyDescent="0.25">
      <c r="G41" s="3"/>
      <c r="H41" s="3"/>
    </row>
    <row r="42" spans="7:8" x14ac:dyDescent="0.25">
      <c r="G42" s="3"/>
      <c r="H42" s="3"/>
    </row>
    <row r="43" spans="7:8" x14ac:dyDescent="0.25">
      <c r="G43" s="3"/>
      <c r="H43" s="3"/>
    </row>
    <row r="44" spans="7:8" x14ac:dyDescent="0.25">
      <c r="G44" s="3"/>
      <c r="H44" s="3"/>
    </row>
  </sheetData>
  <sortState xmlns:xlrd2="http://schemas.microsoft.com/office/spreadsheetml/2017/richdata2" ref="A2:Y12">
    <sortCondition ref="L2:L12"/>
  </sortState>
  <pageMargins left="0.7" right="0.7" top="0.75" bottom="0.75" header="0.3" footer="0.3"/>
  <ignoredErrors>
    <ignoredError sqref="B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2025-07-10T18:12:01Z</dcterms:created>
  <dcterms:modified xsi:type="dcterms:W3CDTF">2025-07-14T21:34:41Z</dcterms:modified>
</cp:coreProperties>
</file>