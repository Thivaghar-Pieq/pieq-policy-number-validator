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Benefits LLC_med_comm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1hDvmOnHDriBa6n6E5qfwMzzdW89ogl5NY0Ng+qjQTo="/>
    </ext>
  </extLst>
</workbook>
</file>

<file path=xl/sharedStrings.xml><?xml version="1.0" encoding="utf-8"?>
<sst xmlns="http://schemas.openxmlformats.org/spreadsheetml/2006/main" count="1816" uniqueCount="280">
  <si>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</si>
  <si>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</si>
  <si>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</si>
  <si>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</si>
  <si>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</si>
  <si>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</si>
  <si>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</si>
  <si>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</si>
  <si>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</si>
  <si>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</si>
  <si>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</si>
  <si>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</si>
  <si>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</si>
  <si>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</si>
  <si>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</si>
  <si>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</si>
  <si>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</si>
  <si>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</si>
  <si>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</si>
  <si>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</si>
  <si>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</si>
  <si>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</si>
  <si>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</si>
  <si>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</si>
  <si>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2HQ3HV1HJ78</t>
  </si>
  <si>
    <t>NG102194086500</t>
  </si>
  <si>
    <t>ANGERT A,MARGARET</t>
  </si>
  <si>
    <t>PA</t>
  </si>
  <si>
    <t>PRONEW</t>
  </si>
  <si>
    <t>MAPD</t>
  </si>
  <si>
    <t>IMM608</t>
  </si>
  <si>
    <t>H3959-002</t>
  </si>
  <si>
    <t>LOA</t>
  </si>
  <si>
    <t>Powers, Timothy</t>
  </si>
  <si>
    <t>GMO</t>
  </si>
  <si>
    <t>Main Line Benefits LLC</t>
  </si>
  <si>
    <t xml:space="preserve">Y  </t>
  </si>
  <si>
    <t>CMS Trueup reversal</t>
  </si>
  <si>
    <t xml:space="preserve">N  </t>
  </si>
  <si>
    <t>3EC1D83VF34</t>
  </si>
  <si>
    <t>NG102193872700</t>
  </si>
  <si>
    <t>BARNET L,JESSE</t>
  </si>
  <si>
    <t>IL</t>
  </si>
  <si>
    <t>CMS Trueup</t>
  </si>
  <si>
    <t>IMM606</t>
  </si>
  <si>
    <t>H5521-086</t>
  </si>
  <si>
    <t>Portugal, Gary</t>
  </si>
  <si>
    <t>3PJ3JU9HA86</t>
  </si>
  <si>
    <t>NG102194308100</t>
  </si>
  <si>
    <t>BOWDEN A,BARBARA</t>
  </si>
  <si>
    <t>H5522-017</t>
  </si>
  <si>
    <t>STERNER MURRAY</t>
  </si>
  <si>
    <t>4FH9DJ0EW12</t>
  </si>
  <si>
    <t>NG102198071300</t>
  </si>
  <si>
    <t>BOWSER L,CHERYL</t>
  </si>
  <si>
    <t>New Business</t>
  </si>
  <si>
    <t>Aguglia, Scott</t>
  </si>
  <si>
    <t>MMO</t>
  </si>
  <si>
    <t>4MD4N78NH07</t>
  </si>
  <si>
    <t>NG102197411400</t>
  </si>
  <si>
    <t>BRADY,MILAN</t>
  </si>
  <si>
    <t>OH</t>
  </si>
  <si>
    <t>IMM617</t>
  </si>
  <si>
    <t>H0628-005</t>
  </si>
  <si>
    <t>Shepard, Jill</t>
  </si>
  <si>
    <t>8MJ8C30QE39</t>
  </si>
  <si>
    <t>NG102198128900</t>
  </si>
  <si>
    <t>BRICE M,LINDA</t>
  </si>
  <si>
    <t>H3959-001</t>
  </si>
  <si>
    <t>Cousar, Alan</t>
  </si>
  <si>
    <t>7QF1YQ0DP34</t>
  </si>
  <si>
    <t>NG102193815600</t>
  </si>
  <si>
    <t>EULER S,PEGGY</t>
  </si>
  <si>
    <t>H7301-013</t>
  </si>
  <si>
    <t>TAUGNER, CHRISTIAN</t>
  </si>
  <si>
    <t>6Y85V40VN97</t>
  </si>
  <si>
    <t>NG102137272900</t>
  </si>
  <si>
    <t>GALIOTO W,JOHN</t>
  </si>
  <si>
    <t>Exception</t>
  </si>
  <si>
    <t>Robinson, Paul</t>
  </si>
  <si>
    <t>3WY6DA4KY76</t>
  </si>
  <si>
    <t>NG102195185500</t>
  </si>
  <si>
    <t>GRAHL M,DIANE</t>
  </si>
  <si>
    <t>FL</t>
  </si>
  <si>
    <t>IMM604</t>
  </si>
  <si>
    <t>H5521-438</t>
  </si>
  <si>
    <t>Yale, Richard</t>
  </si>
  <si>
    <t>8GE0YW0QC43</t>
  </si>
  <si>
    <t>NG102193288000</t>
  </si>
  <si>
    <t>GRASSIA A,MICHAEL</t>
  </si>
  <si>
    <t>H5522-022</t>
  </si>
  <si>
    <t>Stocker, Ryan</t>
  </si>
  <si>
    <t>4G77E15MR49</t>
  </si>
  <si>
    <t>NG102162854600</t>
  </si>
  <si>
    <t>GUNTER W,DARRELL</t>
  </si>
  <si>
    <t>Pro-Rata Payment</t>
  </si>
  <si>
    <t>H3959-052</t>
  </si>
  <si>
    <t>Foley, Carol</t>
  </si>
  <si>
    <t>Pro-Rata Disenroll</t>
  </si>
  <si>
    <t>9G01Y38DT33</t>
  </si>
  <si>
    <t>NG102193378500</t>
  </si>
  <si>
    <t>HAGEMEIER R,CURT</t>
  </si>
  <si>
    <t>IMM619</t>
  </si>
  <si>
    <t>H2663-017</t>
  </si>
  <si>
    <t>FRITZ, CAROL</t>
  </si>
  <si>
    <t>1NH2XX0EW01</t>
  </si>
  <si>
    <t>NG102195172200</t>
  </si>
  <si>
    <t>JOHNSON S,JANIE</t>
  </si>
  <si>
    <t>NJ</t>
  </si>
  <si>
    <t>IMM614</t>
  </si>
  <si>
    <t>H3152-082</t>
  </si>
  <si>
    <t>Roccia, Mark</t>
  </si>
  <si>
    <t>1AA5E62WQ61</t>
  </si>
  <si>
    <t>NG102193606100</t>
  </si>
  <si>
    <t>JONES H,ELIZABETH</t>
  </si>
  <si>
    <t>H7301-021</t>
  </si>
  <si>
    <t>Portugal, Stacey</t>
  </si>
  <si>
    <t>4HM7XN6GN57</t>
  </si>
  <si>
    <t>NG102197198600</t>
  </si>
  <si>
    <t>MASRI I,HAITHAM</t>
  </si>
  <si>
    <t>H0628-017</t>
  </si>
  <si>
    <t>BRANDT, STEVEN</t>
  </si>
  <si>
    <t>7AA0XY3KR02</t>
  </si>
  <si>
    <t>NG102193425800</t>
  </si>
  <si>
    <t>MCFADDEN C,KAREN</t>
  </si>
  <si>
    <t>H1609-059</t>
  </si>
  <si>
    <t>Richter Peter</t>
  </si>
  <si>
    <t>9C86YX8UQ79</t>
  </si>
  <si>
    <t>NG102198321300</t>
  </si>
  <si>
    <t>MONTGOMERY M,LINDA</t>
  </si>
  <si>
    <t>H7301-007</t>
  </si>
  <si>
    <t>Walenga, Dale</t>
  </si>
  <si>
    <t>4D43X47JA73</t>
  </si>
  <si>
    <t>NG102197829700</t>
  </si>
  <si>
    <t>MORRISON I,MARIA</t>
  </si>
  <si>
    <t>WI</t>
  </si>
  <si>
    <t>H5521-403</t>
  </si>
  <si>
    <t>Herrera-Larsen, Esther</t>
  </si>
  <si>
    <t>6VG1UA9GU20</t>
  </si>
  <si>
    <t>NG102195182600</t>
  </si>
  <si>
    <t>MULDOWNEY F,MICHAEL</t>
  </si>
  <si>
    <t>MA</t>
  </si>
  <si>
    <t>H3959-041</t>
  </si>
  <si>
    <t>KOZACHECK, ANNE MARIE</t>
  </si>
  <si>
    <t>3H30C63MW10</t>
  </si>
  <si>
    <t>NG102197415000</t>
  </si>
  <si>
    <t>MYRICK R,MELODY</t>
  </si>
  <si>
    <t>NC</t>
  </si>
  <si>
    <t>IMM609</t>
  </si>
  <si>
    <t>H5521-243</t>
  </si>
  <si>
    <t>Teipel, Gregory</t>
  </si>
  <si>
    <t>8AC1PC2MR33</t>
  </si>
  <si>
    <t>NG102197395700</t>
  </si>
  <si>
    <t>PANATTONI A,RENEE</t>
  </si>
  <si>
    <t>H7301-006</t>
  </si>
  <si>
    <t>Choi, Andrew</t>
  </si>
  <si>
    <t>8C59M52TU58</t>
  </si>
  <si>
    <t>NG102196568300</t>
  </si>
  <si>
    <t>PESTKA D,KAREN</t>
  </si>
  <si>
    <t>MO</t>
  </si>
  <si>
    <t>H2663-069</t>
  </si>
  <si>
    <t>7VM9K61GT12</t>
  </si>
  <si>
    <t>NG102198803100</t>
  </si>
  <si>
    <t>PFLEIDERER R,JOHN</t>
  </si>
  <si>
    <t>2CA8E06XF53</t>
  </si>
  <si>
    <t>NG102198826700</t>
  </si>
  <si>
    <t>PHILLIPS A,MARK</t>
  </si>
  <si>
    <t>H2663-041</t>
  </si>
  <si>
    <t>1HH6U70AK43</t>
  </si>
  <si>
    <t>NG102194922600</t>
  </si>
  <si>
    <t>POLETYNSKI M,ROBERT</t>
  </si>
  <si>
    <t>SC</t>
  </si>
  <si>
    <t>H5521-251</t>
  </si>
  <si>
    <t>Max, Ronald</t>
  </si>
  <si>
    <t>6EY2R94YX96</t>
  </si>
  <si>
    <t>NG102116172700</t>
  </si>
  <si>
    <t>SCHRENZEL B,RICHARD</t>
  </si>
  <si>
    <t>3RT5WP7QC64</t>
  </si>
  <si>
    <t>NG101930278400</t>
  </si>
  <si>
    <t>SHAUGHNESSY A,MARK</t>
  </si>
  <si>
    <t>H5521-500</t>
  </si>
  <si>
    <t>4YD4U43EF65</t>
  </si>
  <si>
    <t>NG102165414000</t>
  </si>
  <si>
    <t>SMITH J,NANCY</t>
  </si>
  <si>
    <t>AR</t>
  </si>
  <si>
    <t>IMM605</t>
  </si>
  <si>
    <t>H1608-073</t>
  </si>
  <si>
    <t>Pardue Thomas</t>
  </si>
  <si>
    <t>8CY1HY9CW35</t>
  </si>
  <si>
    <t>NG102198094500</t>
  </si>
  <si>
    <t>TORRES,NORMA</t>
  </si>
  <si>
    <t>AZ</t>
  </si>
  <si>
    <t>IMM601</t>
  </si>
  <si>
    <t>H3931-092</t>
  </si>
  <si>
    <t>6PP0TT4MA29</t>
  </si>
  <si>
    <t>NG102197877900</t>
  </si>
  <si>
    <t>WARNER E,CATHERYN</t>
  </si>
  <si>
    <t>H5522-001</t>
  </si>
  <si>
    <t>Inskipt, Deborah</t>
  </si>
  <si>
    <t>BOWSER</t>
  </si>
  <si>
    <t>CHERYL</t>
  </si>
  <si>
    <t>Aetna 2025 CT, PA, DC*</t>
  </si>
  <si>
    <t>[%/$=353][prorate=3/12]</t>
  </si>
  <si>
    <t>MASRI</t>
  </si>
  <si>
    <t>HAITHAM</t>
  </si>
  <si>
    <t>Aetna MAPD 2025</t>
  </si>
  <si>
    <t>[%/$=626]</t>
  </si>
  <si>
    <t>Aetna MAPD 2025*</t>
  </si>
  <si>
    <t>[%/$=313][prorate=3/12]</t>
  </si>
  <si>
    <t>PANATTONI</t>
  </si>
  <si>
    <t>RENEE</t>
  </si>
  <si>
    <t>[%/$=313][prorate=2/12]</t>
  </si>
  <si>
    <t>BRICE</t>
  </si>
  <si>
    <t>LINDA</t>
  </si>
  <si>
    <t>GUNTER</t>
  </si>
  <si>
    <t>DARRELL</t>
  </si>
  <si>
    <t>Aetna 2025 CT, PA, DC</t>
  </si>
  <si>
    <t>[%/$=705]</t>
  </si>
  <si>
    <t>[%/$=705][prorate=6/12]</t>
  </si>
  <si>
    <t>HAGEMEIER</t>
  </si>
  <si>
    <t>CURT</t>
  </si>
  <si>
    <t>MORRISON</t>
  </si>
  <si>
    <t>MARIA</t>
  </si>
  <si>
    <t>[%/$=626][prorate=3/12]</t>
  </si>
  <si>
    <t>WARNER</t>
  </si>
  <si>
    <t>CATHERYN</t>
  </si>
  <si>
    <t>MULDOWNEY</t>
  </si>
  <si>
    <t>MICHAEL</t>
  </si>
  <si>
    <t>POLETYNSKI</t>
  </si>
  <si>
    <t>ROBERT</t>
  </si>
  <si>
    <t>SMITH</t>
  </si>
  <si>
    <t>NANCY</t>
  </si>
  <si>
    <t>BARNET</t>
  </si>
  <si>
    <t>JESSE</t>
  </si>
  <si>
    <t>SCHRENZEL</t>
  </si>
  <si>
    <t>RICHARD</t>
  </si>
  <si>
    <t>[%/$=313][prorate=4/12]</t>
  </si>
  <si>
    <t>[%/$=313][prorate=1/12]</t>
  </si>
  <si>
    <t>JONES</t>
  </si>
  <si>
    <t>ELIZABETH</t>
  </si>
  <si>
    <t>TORRES</t>
  </si>
  <si>
    <t>NORMA</t>
  </si>
  <si>
    <t>MCFADDEN</t>
  </si>
  <si>
    <t>KAREN</t>
  </si>
  <si>
    <t>Aetna MAPD 2025 FL</t>
  </si>
  <si>
    <t>[%/$=741]</t>
  </si>
  <si>
    <t>Aetna MAPD 2025 FL*</t>
  </si>
  <si>
    <t>[%/$=358][prorate=3/12]</t>
  </si>
  <si>
    <t>GALIOTO</t>
  </si>
  <si>
    <t>JOHN</t>
  </si>
  <si>
    <t>[%/$=626][prorate=6/12]</t>
  </si>
  <si>
    <t>JOHNSON</t>
  </si>
  <si>
    <t>JANIE</t>
  </si>
  <si>
    <t>Aetna 2025 CA, NJ</t>
  </si>
  <si>
    <t>[%/$=780]</t>
  </si>
  <si>
    <t>Aetna 2025 CA, NJ*</t>
  </si>
  <si>
    <t>[%/$=390][prorate=1/12]</t>
  </si>
  <si>
    <t>BRADY</t>
  </si>
  <si>
    <t>MILAN</t>
  </si>
  <si>
    <t>PFLEIDERER</t>
  </si>
  <si>
    <t>BOWDEN</t>
  </si>
  <si>
    <t>BARBARA</t>
  </si>
  <si>
    <t>GRASSIA</t>
  </si>
  <si>
    <t>[%/$=353][prorate=4/12]</t>
  </si>
  <si>
    <t>EULER</t>
  </si>
  <si>
    <t>PEGGY</t>
  </si>
  <si>
    <t>MYRICK</t>
  </si>
  <si>
    <t>MELODY</t>
  </si>
  <si>
    <t>PESTKA</t>
  </si>
  <si>
    <t>PHILLIPS</t>
  </si>
  <si>
    <t>MARK</t>
  </si>
  <si>
    <t>MONTGOMERY</t>
  </si>
  <si>
    <t>SHAUGHNESSY</t>
  </si>
  <si>
    <t>GRAHL</t>
  </si>
  <si>
    <t>DIANE</t>
  </si>
  <si>
    <t>[%/$=358][prorate=2/12]</t>
  </si>
  <si>
    <t>Main Line Benefits</t>
  </si>
  <si>
    <t>Aetna MAPD OVR 2025</t>
  </si>
  <si>
    <t>ANGERT</t>
  </si>
  <si>
    <t>MARGARET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</si>
</sst>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0" xfId="0" applyFont="1"/>
    <xf borderId="1" fillId="2" fontId="2" numFmtId="0" xfId="0" applyBorder="1" applyFill="1" applyFont="1"/>
    <xf borderId="1" fillId="2" fontId="2" numFmtId="14" xfId="0" applyBorder="1" applyFont="1" applyNumberFormat="1"/>
    <xf borderId="1" fillId="3" fontId="2" numFmtId="0" xfId="0" applyBorder="1" applyFill="1" applyFont="1"/>
    <xf borderId="1" fillId="3" fontId="2" numFmtId="1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6.71"/>
    <col customWidth="1" min="3" max="3" width="16.57"/>
    <col customWidth="1" min="4" max="4" width="17.0"/>
    <col customWidth="1" min="5" max="5" width="22.71"/>
    <col customWidth="1" min="6" max="6" width="13.29"/>
    <col customWidth="1" min="7" max="7" width="18.57"/>
    <col customWidth="1" min="8" max="8" width="7.86"/>
    <col customWidth="1" min="9" max="9" width="8.43"/>
    <col customWidth="1" min="10" max="10" width="10.57"/>
    <col customWidth="1" min="11" max="11" width="23.29"/>
    <col customWidth="1" min="12" max="12" width="15.0"/>
    <col customWidth="1" min="13" max="13" width="12.86"/>
    <col customWidth="1" min="14" max="14" width="10.14"/>
    <col customWidth="1" min="15" max="15" width="17.14"/>
    <col customWidth="1" min="16" max="16" width="17.71"/>
    <col customWidth="1" min="17" max="17" width="23.43"/>
    <col customWidth="1" min="18" max="18" width="8.43"/>
    <col customWidth="1" min="19" max="19" width="11.0"/>
    <col customWidth="1" min="20" max="20" width="20.29"/>
    <col customWidth="1" min="21" max="21" width="13.43"/>
    <col customWidth="1" min="22" max="22" width="9.43"/>
    <col customWidth="1" min="23" max="23" width="13.86"/>
    <col customWidth="1" min="24" max="24" width="9.57"/>
    <col customWidth="1" min="2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2">
        <v>45951.0</v>
      </c>
      <c r="B2" s="1" t="s">
        <v>24</v>
      </c>
      <c r="C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L2" s="2">
        <v>45931.0</v>
      </c>
      <c r="M2" s="2">
        <v>45931.0</v>
      </c>
      <c r="O2" s="1">
        <v>1.7886092E7</v>
      </c>
      <c r="P2" s="1" t="s">
        <v>32</v>
      </c>
      <c r="Q2" s="1" t="s">
        <v>33</v>
      </c>
      <c r="R2" s="1">
        <v>8192.0</v>
      </c>
      <c r="S2" s="1" t="s">
        <v>34</v>
      </c>
      <c r="T2" s="1" t="s">
        <v>35</v>
      </c>
      <c r="U2" s="1">
        <v>10.0</v>
      </c>
      <c r="V2" s="1" t="s">
        <v>36</v>
      </c>
      <c r="W2" s="2">
        <v>45904.0</v>
      </c>
      <c r="X2" s="1">
        <v>2025.0</v>
      </c>
    </row>
    <row r="3">
      <c r="A3" s="2">
        <v>45951.0</v>
      </c>
      <c r="B3" s="1" t="s">
        <v>24</v>
      </c>
      <c r="C3" s="1" t="s">
        <v>25</v>
      </c>
      <c r="E3" s="1" t="s">
        <v>26</v>
      </c>
      <c r="F3" s="1" t="s">
        <v>27</v>
      </c>
      <c r="G3" s="1" t="s">
        <v>37</v>
      </c>
      <c r="H3" s="1" t="s">
        <v>29</v>
      </c>
      <c r="I3" s="1" t="s">
        <v>30</v>
      </c>
      <c r="J3" s="1" t="s">
        <v>31</v>
      </c>
      <c r="L3" s="2">
        <v>45931.0</v>
      </c>
      <c r="M3" s="2">
        <v>45931.0</v>
      </c>
      <c r="O3" s="1">
        <v>1.7886092E7</v>
      </c>
      <c r="P3" s="1" t="s">
        <v>32</v>
      </c>
      <c r="Q3" s="1" t="s">
        <v>33</v>
      </c>
      <c r="R3" s="1">
        <v>8192.0</v>
      </c>
      <c r="S3" s="1" t="s">
        <v>34</v>
      </c>
      <c r="T3" s="1" t="s">
        <v>35</v>
      </c>
      <c r="U3" s="1">
        <v>-10.0</v>
      </c>
      <c r="V3" s="1" t="s">
        <v>38</v>
      </c>
      <c r="W3" s="2">
        <v>45904.0</v>
      </c>
      <c r="X3" s="1">
        <v>2025.0</v>
      </c>
    </row>
    <row r="4">
      <c r="A4" s="2">
        <v>45951.0</v>
      </c>
      <c r="B4" s="1" t="s">
        <v>39</v>
      </c>
      <c r="C4" s="1" t="s">
        <v>40</v>
      </c>
      <c r="E4" s="1" t="s">
        <v>41</v>
      </c>
      <c r="F4" s="1" t="s">
        <v>42</v>
      </c>
      <c r="G4" s="1" t="s">
        <v>43</v>
      </c>
      <c r="H4" s="1" t="s">
        <v>29</v>
      </c>
      <c r="I4" s="1" t="s">
        <v>44</v>
      </c>
      <c r="J4" s="1" t="s">
        <v>45</v>
      </c>
      <c r="L4" s="2">
        <v>45992.0</v>
      </c>
      <c r="M4" s="2">
        <v>45992.0</v>
      </c>
      <c r="O4" s="1">
        <v>9213293.0</v>
      </c>
      <c r="P4" s="1" t="s">
        <v>32</v>
      </c>
      <c r="Q4" s="1" t="s">
        <v>46</v>
      </c>
      <c r="R4" s="1">
        <v>8192.0</v>
      </c>
      <c r="S4" s="1" t="s">
        <v>34</v>
      </c>
      <c r="T4" s="1" t="s">
        <v>35</v>
      </c>
      <c r="U4" s="1">
        <v>746.0</v>
      </c>
      <c r="V4" s="1" t="s">
        <v>36</v>
      </c>
      <c r="W4" s="2">
        <v>45903.0</v>
      </c>
      <c r="X4" s="1">
        <v>2025.0</v>
      </c>
    </row>
    <row r="5">
      <c r="A5" s="2">
        <v>45951.0</v>
      </c>
      <c r="B5" s="1" t="s">
        <v>39</v>
      </c>
      <c r="C5" s="1" t="s">
        <v>40</v>
      </c>
      <c r="E5" s="1" t="s">
        <v>41</v>
      </c>
      <c r="F5" s="1" t="s">
        <v>42</v>
      </c>
      <c r="G5" s="1" t="s">
        <v>37</v>
      </c>
      <c r="H5" s="1" t="s">
        <v>29</v>
      </c>
      <c r="I5" s="1" t="s">
        <v>44</v>
      </c>
      <c r="J5" s="1" t="s">
        <v>45</v>
      </c>
      <c r="L5" s="2">
        <v>45992.0</v>
      </c>
      <c r="M5" s="2">
        <v>45992.0</v>
      </c>
      <c r="O5" s="1">
        <v>9213293.0</v>
      </c>
      <c r="P5" s="1" t="s">
        <v>32</v>
      </c>
      <c r="Q5" s="1" t="s">
        <v>46</v>
      </c>
      <c r="R5" s="1">
        <v>8192.0</v>
      </c>
      <c r="S5" s="1" t="s">
        <v>34</v>
      </c>
      <c r="T5" s="1" t="s">
        <v>35</v>
      </c>
      <c r="U5" s="1">
        <v>-36.08</v>
      </c>
      <c r="V5" s="1" t="s">
        <v>38</v>
      </c>
      <c r="W5" s="2">
        <v>45903.0</v>
      </c>
      <c r="X5" s="1">
        <v>2025.0</v>
      </c>
    </row>
    <row r="6">
      <c r="A6" s="2">
        <v>45951.0</v>
      </c>
      <c r="B6" s="1" t="s">
        <v>47</v>
      </c>
      <c r="C6" s="1" t="s">
        <v>48</v>
      </c>
      <c r="E6" s="1" t="s">
        <v>49</v>
      </c>
      <c r="F6" s="1" t="s">
        <v>27</v>
      </c>
      <c r="G6" s="1" t="s">
        <v>43</v>
      </c>
      <c r="H6" s="1" t="s">
        <v>29</v>
      </c>
      <c r="I6" s="1" t="s">
        <v>30</v>
      </c>
      <c r="J6" s="1" t="s">
        <v>50</v>
      </c>
      <c r="L6" s="2">
        <v>45931.0</v>
      </c>
      <c r="M6" s="2">
        <v>45931.0</v>
      </c>
      <c r="O6" s="1">
        <v>1.6212649E7</v>
      </c>
      <c r="P6" s="1" t="s">
        <v>32</v>
      </c>
      <c r="Q6" s="1" t="s">
        <v>51</v>
      </c>
      <c r="R6" s="1">
        <v>8192.0</v>
      </c>
      <c r="S6" s="1" t="s">
        <v>34</v>
      </c>
      <c r="T6" s="1" t="s">
        <v>35</v>
      </c>
      <c r="U6" s="1">
        <v>830.0</v>
      </c>
      <c r="V6" s="1" t="s">
        <v>36</v>
      </c>
      <c r="W6" s="2">
        <v>45905.0</v>
      </c>
      <c r="X6" s="1">
        <v>2025.0</v>
      </c>
    </row>
    <row r="7">
      <c r="A7" s="2">
        <v>45951.0</v>
      </c>
      <c r="B7" s="1" t="s">
        <v>47</v>
      </c>
      <c r="C7" s="1" t="s">
        <v>48</v>
      </c>
      <c r="E7" s="1" t="s">
        <v>49</v>
      </c>
      <c r="F7" s="1" t="s">
        <v>27</v>
      </c>
      <c r="G7" s="1" t="s">
        <v>37</v>
      </c>
      <c r="H7" s="1" t="s">
        <v>29</v>
      </c>
      <c r="I7" s="1" t="s">
        <v>30</v>
      </c>
      <c r="J7" s="1" t="s">
        <v>50</v>
      </c>
      <c r="L7" s="2">
        <v>45931.0</v>
      </c>
      <c r="M7" s="2">
        <v>45931.0</v>
      </c>
      <c r="O7" s="1">
        <v>1.6212649E7</v>
      </c>
      <c r="P7" s="1" t="s">
        <v>32</v>
      </c>
      <c r="Q7" s="1" t="s">
        <v>51</v>
      </c>
      <c r="R7" s="1">
        <v>8192.0</v>
      </c>
      <c r="S7" s="1" t="s">
        <v>34</v>
      </c>
      <c r="T7" s="1" t="s">
        <v>35</v>
      </c>
      <c r="U7" s="1">
        <v>-119.5</v>
      </c>
      <c r="V7" s="1" t="s">
        <v>38</v>
      </c>
      <c r="W7" s="2">
        <v>45905.0</v>
      </c>
      <c r="X7" s="1">
        <v>2025.0</v>
      </c>
    </row>
    <row r="8">
      <c r="A8" s="2">
        <v>45951.0</v>
      </c>
      <c r="B8" s="1" t="s">
        <v>52</v>
      </c>
      <c r="C8" s="1" t="s">
        <v>53</v>
      </c>
      <c r="E8" s="1" t="s">
        <v>54</v>
      </c>
      <c r="F8" s="1" t="s">
        <v>27</v>
      </c>
      <c r="G8" s="1" t="s">
        <v>55</v>
      </c>
      <c r="H8" s="1" t="s">
        <v>29</v>
      </c>
      <c r="I8" s="1" t="s">
        <v>30</v>
      </c>
      <c r="J8" s="1" t="s">
        <v>50</v>
      </c>
      <c r="L8" s="2">
        <v>45931.0</v>
      </c>
      <c r="M8" s="2">
        <v>45931.0</v>
      </c>
      <c r="O8" s="1">
        <v>8971826.0</v>
      </c>
      <c r="P8" s="1" t="s">
        <v>32</v>
      </c>
      <c r="Q8" s="1" t="s">
        <v>56</v>
      </c>
      <c r="R8" s="1">
        <v>8192.0</v>
      </c>
      <c r="S8" s="1" t="s">
        <v>57</v>
      </c>
      <c r="T8" s="1" t="s">
        <v>35</v>
      </c>
      <c r="U8" s="1">
        <v>125.75</v>
      </c>
      <c r="V8" s="1" t="s">
        <v>38</v>
      </c>
      <c r="W8" s="2">
        <v>45930.0</v>
      </c>
      <c r="X8" s="1">
        <v>2025.0</v>
      </c>
    </row>
    <row r="9">
      <c r="A9" s="2">
        <v>45951.0</v>
      </c>
      <c r="B9" s="1" t="s">
        <v>58</v>
      </c>
      <c r="C9" s="1" t="s">
        <v>59</v>
      </c>
      <c r="E9" s="1" t="s">
        <v>60</v>
      </c>
      <c r="F9" s="1" t="s">
        <v>61</v>
      </c>
      <c r="G9" s="1" t="s">
        <v>43</v>
      </c>
      <c r="H9" s="1" t="s">
        <v>29</v>
      </c>
      <c r="I9" s="1" t="s">
        <v>62</v>
      </c>
      <c r="J9" s="1" t="s">
        <v>63</v>
      </c>
      <c r="L9" s="2">
        <v>45931.0</v>
      </c>
      <c r="M9" s="2">
        <v>45931.0</v>
      </c>
      <c r="O9" s="1">
        <v>1.8142208E7</v>
      </c>
      <c r="P9" s="1" t="s">
        <v>32</v>
      </c>
      <c r="Q9" s="1" t="s">
        <v>64</v>
      </c>
      <c r="R9" s="1">
        <v>8192.0</v>
      </c>
      <c r="S9" s="1" t="s">
        <v>57</v>
      </c>
      <c r="T9" s="1" t="s">
        <v>35</v>
      </c>
      <c r="U9" s="1">
        <v>776.0</v>
      </c>
      <c r="V9" s="1" t="s">
        <v>36</v>
      </c>
      <c r="W9" s="2">
        <v>45925.0</v>
      </c>
      <c r="X9" s="1">
        <v>2025.0</v>
      </c>
    </row>
    <row r="10">
      <c r="A10" s="2">
        <v>45951.0</v>
      </c>
      <c r="B10" s="1" t="s">
        <v>58</v>
      </c>
      <c r="C10" s="1" t="s">
        <v>59</v>
      </c>
      <c r="E10" s="1" t="s">
        <v>60</v>
      </c>
      <c r="F10" s="1" t="s">
        <v>61</v>
      </c>
      <c r="G10" s="1" t="s">
        <v>37</v>
      </c>
      <c r="H10" s="1" t="s">
        <v>29</v>
      </c>
      <c r="I10" s="1" t="s">
        <v>62</v>
      </c>
      <c r="J10" s="1" t="s">
        <v>63</v>
      </c>
      <c r="L10" s="2">
        <v>45931.0</v>
      </c>
      <c r="M10" s="2">
        <v>45931.0</v>
      </c>
      <c r="O10" s="1">
        <v>1.8142208E7</v>
      </c>
      <c r="P10" s="1" t="s">
        <v>32</v>
      </c>
      <c r="Q10" s="1" t="s">
        <v>64</v>
      </c>
      <c r="R10" s="1">
        <v>8192.0</v>
      </c>
      <c r="S10" s="1" t="s">
        <v>57</v>
      </c>
      <c r="T10" s="1" t="s">
        <v>35</v>
      </c>
      <c r="U10" s="1">
        <v>-115.75</v>
      </c>
      <c r="V10" s="1" t="s">
        <v>38</v>
      </c>
      <c r="W10" s="2">
        <v>45925.0</v>
      </c>
      <c r="X10" s="1">
        <v>2025.0</v>
      </c>
    </row>
    <row r="11">
      <c r="A11" s="2">
        <v>45951.0</v>
      </c>
      <c r="B11" s="1" t="s">
        <v>65</v>
      </c>
      <c r="C11" s="1" t="s">
        <v>66</v>
      </c>
      <c r="E11" s="1" t="s">
        <v>67</v>
      </c>
      <c r="F11" s="1" t="s">
        <v>27</v>
      </c>
      <c r="G11" s="1" t="s">
        <v>55</v>
      </c>
      <c r="H11" s="1" t="s">
        <v>29</v>
      </c>
      <c r="I11" s="1" t="s">
        <v>30</v>
      </c>
      <c r="J11" s="1" t="s">
        <v>68</v>
      </c>
      <c r="L11" s="2">
        <v>45931.0</v>
      </c>
      <c r="M11" s="2">
        <v>45931.0</v>
      </c>
      <c r="O11" s="1">
        <v>9544903.0</v>
      </c>
      <c r="P11" s="1" t="s">
        <v>32</v>
      </c>
      <c r="Q11" s="1" t="s">
        <v>69</v>
      </c>
      <c r="R11" s="1">
        <v>8192.0</v>
      </c>
      <c r="S11" s="1" t="s">
        <v>57</v>
      </c>
      <c r="T11" s="1" t="s">
        <v>35</v>
      </c>
      <c r="U11" s="1">
        <v>125.75</v>
      </c>
      <c r="V11" s="1" t="s">
        <v>38</v>
      </c>
      <c r="W11" s="2">
        <v>45930.0</v>
      </c>
      <c r="X11" s="1">
        <v>2025.0</v>
      </c>
    </row>
    <row r="12">
      <c r="A12" s="2">
        <v>45951.0</v>
      </c>
      <c r="B12" s="1" t="s">
        <v>70</v>
      </c>
      <c r="C12" s="1" t="s">
        <v>71</v>
      </c>
      <c r="E12" s="1" t="s">
        <v>72</v>
      </c>
      <c r="F12" s="1" t="s">
        <v>42</v>
      </c>
      <c r="G12" s="1" t="s">
        <v>43</v>
      </c>
      <c r="H12" s="1" t="s">
        <v>29</v>
      </c>
      <c r="I12" s="1" t="s">
        <v>44</v>
      </c>
      <c r="J12" s="1" t="s">
        <v>73</v>
      </c>
      <c r="L12" s="2">
        <v>45931.0</v>
      </c>
      <c r="M12" s="2">
        <v>45931.0</v>
      </c>
      <c r="O12" s="1">
        <v>1.9681796E7</v>
      </c>
      <c r="P12" s="1" t="s">
        <v>32</v>
      </c>
      <c r="Q12" s="1" t="s">
        <v>74</v>
      </c>
      <c r="R12" s="1">
        <v>8192.0</v>
      </c>
      <c r="S12" s="1" t="s">
        <v>34</v>
      </c>
      <c r="T12" s="1" t="s">
        <v>35</v>
      </c>
      <c r="U12" s="1">
        <v>746.0</v>
      </c>
      <c r="V12" s="1" t="s">
        <v>36</v>
      </c>
      <c r="W12" s="2">
        <v>45903.0</v>
      </c>
      <c r="X12" s="1">
        <v>2025.0</v>
      </c>
    </row>
    <row r="13">
      <c r="A13" s="2">
        <v>45951.0</v>
      </c>
      <c r="B13" s="1" t="s">
        <v>70</v>
      </c>
      <c r="C13" s="1" t="s">
        <v>71</v>
      </c>
      <c r="E13" s="1" t="s">
        <v>72</v>
      </c>
      <c r="F13" s="1" t="s">
        <v>42</v>
      </c>
      <c r="G13" s="1" t="s">
        <v>37</v>
      </c>
      <c r="H13" s="1" t="s">
        <v>29</v>
      </c>
      <c r="I13" s="1" t="s">
        <v>44</v>
      </c>
      <c r="J13" s="1" t="s">
        <v>73</v>
      </c>
      <c r="L13" s="2">
        <v>45931.0</v>
      </c>
      <c r="M13" s="2">
        <v>45931.0</v>
      </c>
      <c r="O13" s="1">
        <v>1.9681796E7</v>
      </c>
      <c r="P13" s="1" t="s">
        <v>32</v>
      </c>
      <c r="Q13" s="1" t="s">
        <v>74</v>
      </c>
      <c r="R13" s="1">
        <v>8192.0</v>
      </c>
      <c r="S13" s="1" t="s">
        <v>34</v>
      </c>
      <c r="T13" s="1" t="s">
        <v>35</v>
      </c>
      <c r="U13" s="1">
        <v>-108.25</v>
      </c>
      <c r="V13" s="1" t="s">
        <v>38</v>
      </c>
      <c r="W13" s="2">
        <v>45903.0</v>
      </c>
      <c r="X13" s="1">
        <v>2025.0</v>
      </c>
    </row>
    <row r="14">
      <c r="A14" s="2">
        <v>45951.0</v>
      </c>
      <c r="B14" s="1" t="s">
        <v>75</v>
      </c>
      <c r="C14" s="1" t="s">
        <v>76</v>
      </c>
      <c r="E14" s="1" t="s">
        <v>77</v>
      </c>
      <c r="F14" s="1" t="s">
        <v>42</v>
      </c>
      <c r="G14" s="1" t="s">
        <v>78</v>
      </c>
      <c r="H14" s="1" t="s">
        <v>29</v>
      </c>
      <c r="I14" s="1" t="s">
        <v>44</v>
      </c>
      <c r="J14" s="1" t="s">
        <v>73</v>
      </c>
      <c r="L14" s="2">
        <v>45689.0</v>
      </c>
      <c r="M14" s="2">
        <v>45689.0</v>
      </c>
      <c r="O14" s="1">
        <v>1.698346E7</v>
      </c>
      <c r="P14" s="1" t="s">
        <v>32</v>
      </c>
      <c r="Q14" s="1" t="s">
        <v>79</v>
      </c>
      <c r="R14" s="1">
        <v>8192.0</v>
      </c>
      <c r="S14" s="1" t="s">
        <v>34</v>
      </c>
      <c r="T14" s="1" t="s">
        <v>35</v>
      </c>
      <c r="U14" s="1">
        <v>751.0</v>
      </c>
      <c r="V14" s="1" t="s">
        <v>36</v>
      </c>
      <c r="W14" s="2">
        <v>45665.0</v>
      </c>
      <c r="X14" s="1">
        <v>2025.0</v>
      </c>
    </row>
    <row r="15">
      <c r="A15" s="2">
        <v>45951.0</v>
      </c>
      <c r="B15" s="1" t="s">
        <v>75</v>
      </c>
      <c r="C15" s="1" t="s">
        <v>76</v>
      </c>
      <c r="E15" s="1" t="s">
        <v>77</v>
      </c>
      <c r="F15" s="1" t="s">
        <v>42</v>
      </c>
      <c r="G15" s="1" t="s">
        <v>78</v>
      </c>
      <c r="H15" s="1" t="s">
        <v>29</v>
      </c>
      <c r="I15" s="1" t="s">
        <v>44</v>
      </c>
      <c r="J15" s="1" t="s">
        <v>73</v>
      </c>
      <c r="L15" s="2">
        <v>45689.0</v>
      </c>
      <c r="M15" s="2">
        <v>45689.0</v>
      </c>
      <c r="O15" s="1">
        <v>1.698346E7</v>
      </c>
      <c r="P15" s="1" t="s">
        <v>32</v>
      </c>
      <c r="Q15" s="1" t="s">
        <v>79</v>
      </c>
      <c r="R15" s="1">
        <v>8192.0</v>
      </c>
      <c r="S15" s="1" t="s">
        <v>34</v>
      </c>
      <c r="T15" s="1" t="s">
        <v>35</v>
      </c>
      <c r="U15" s="1">
        <v>-375.5</v>
      </c>
      <c r="V15" s="1" t="s">
        <v>36</v>
      </c>
      <c r="W15" s="2">
        <v>45665.0</v>
      </c>
      <c r="X15" s="1">
        <v>2025.0</v>
      </c>
    </row>
    <row r="16">
      <c r="A16" s="2">
        <v>45951.0</v>
      </c>
      <c r="B16" s="1" t="s">
        <v>80</v>
      </c>
      <c r="C16" s="1" t="s">
        <v>81</v>
      </c>
      <c r="E16" s="1" t="s">
        <v>82</v>
      </c>
      <c r="F16" s="1" t="s">
        <v>83</v>
      </c>
      <c r="G16" s="1" t="s">
        <v>43</v>
      </c>
      <c r="H16" s="1" t="s">
        <v>29</v>
      </c>
      <c r="I16" s="1" t="s">
        <v>84</v>
      </c>
      <c r="J16" s="1" t="s">
        <v>85</v>
      </c>
      <c r="L16" s="2">
        <v>45962.0</v>
      </c>
      <c r="M16" s="2">
        <v>45962.0</v>
      </c>
      <c r="O16" s="1">
        <v>1.6633294E7</v>
      </c>
      <c r="P16" s="1" t="s">
        <v>32</v>
      </c>
      <c r="Q16" s="1" t="s">
        <v>86</v>
      </c>
      <c r="R16" s="1">
        <v>8192.0</v>
      </c>
      <c r="S16" s="1" t="s">
        <v>57</v>
      </c>
      <c r="T16" s="1" t="s">
        <v>35</v>
      </c>
      <c r="U16" s="1">
        <v>761.0</v>
      </c>
      <c r="V16" s="1" t="s">
        <v>36</v>
      </c>
      <c r="W16" s="2">
        <v>45911.0</v>
      </c>
      <c r="X16" s="1">
        <v>2025.0</v>
      </c>
    </row>
    <row r="17">
      <c r="A17" s="2">
        <v>45951.0</v>
      </c>
      <c r="B17" s="1" t="s">
        <v>80</v>
      </c>
      <c r="C17" s="1" t="s">
        <v>81</v>
      </c>
      <c r="E17" s="1" t="s">
        <v>82</v>
      </c>
      <c r="F17" s="1" t="s">
        <v>83</v>
      </c>
      <c r="G17" s="1" t="s">
        <v>37</v>
      </c>
      <c r="H17" s="1" t="s">
        <v>29</v>
      </c>
      <c r="I17" s="1" t="s">
        <v>84</v>
      </c>
      <c r="J17" s="1" t="s">
        <v>85</v>
      </c>
      <c r="L17" s="2">
        <v>45962.0</v>
      </c>
      <c r="M17" s="2">
        <v>45962.0</v>
      </c>
      <c r="O17" s="1">
        <v>1.6633294E7</v>
      </c>
      <c r="P17" s="1" t="s">
        <v>32</v>
      </c>
      <c r="Q17" s="1" t="s">
        <v>86</v>
      </c>
      <c r="R17" s="1">
        <v>8192.0</v>
      </c>
      <c r="S17" s="1" t="s">
        <v>57</v>
      </c>
      <c r="T17" s="1" t="s">
        <v>35</v>
      </c>
      <c r="U17" s="1">
        <v>-74.67</v>
      </c>
      <c r="V17" s="1" t="s">
        <v>38</v>
      </c>
      <c r="W17" s="2">
        <v>45911.0</v>
      </c>
      <c r="X17" s="1">
        <v>2025.0</v>
      </c>
    </row>
    <row r="18">
      <c r="A18" s="2">
        <v>45951.0</v>
      </c>
      <c r="B18" s="1" t="s">
        <v>87</v>
      </c>
      <c r="C18" s="1" t="s">
        <v>88</v>
      </c>
      <c r="E18" s="1" t="s">
        <v>89</v>
      </c>
      <c r="F18" s="1" t="s">
        <v>27</v>
      </c>
      <c r="G18" s="1" t="s">
        <v>43</v>
      </c>
      <c r="H18" s="1" t="s">
        <v>29</v>
      </c>
      <c r="I18" s="1" t="s">
        <v>30</v>
      </c>
      <c r="J18" s="1" t="s">
        <v>90</v>
      </c>
      <c r="L18" s="2">
        <v>45901.0</v>
      </c>
      <c r="M18" s="2">
        <v>45901.0</v>
      </c>
      <c r="O18" s="1">
        <v>1.5950276E7</v>
      </c>
      <c r="P18" s="1" t="s">
        <v>32</v>
      </c>
      <c r="Q18" s="1" t="s">
        <v>91</v>
      </c>
      <c r="R18" s="1">
        <v>8192.0</v>
      </c>
      <c r="S18" s="1" t="s">
        <v>34</v>
      </c>
      <c r="T18" s="1" t="s">
        <v>35</v>
      </c>
      <c r="U18" s="1">
        <v>830.0</v>
      </c>
      <c r="V18" s="1" t="s">
        <v>36</v>
      </c>
      <c r="W18" s="2">
        <v>45899.0</v>
      </c>
      <c r="X18" s="1">
        <v>2025.0</v>
      </c>
    </row>
    <row r="19">
      <c r="A19" s="2">
        <v>45951.0</v>
      </c>
      <c r="B19" s="1" t="s">
        <v>87</v>
      </c>
      <c r="C19" s="1" t="s">
        <v>88</v>
      </c>
      <c r="E19" s="1" t="s">
        <v>89</v>
      </c>
      <c r="F19" s="1" t="s">
        <v>27</v>
      </c>
      <c r="G19" s="1" t="s">
        <v>37</v>
      </c>
      <c r="H19" s="1" t="s">
        <v>29</v>
      </c>
      <c r="I19" s="1" t="s">
        <v>30</v>
      </c>
      <c r="J19" s="1" t="s">
        <v>90</v>
      </c>
      <c r="L19" s="2">
        <v>45901.0</v>
      </c>
      <c r="M19" s="2">
        <v>45901.0</v>
      </c>
      <c r="O19" s="1">
        <v>1.5950276E7</v>
      </c>
      <c r="P19" s="1" t="s">
        <v>32</v>
      </c>
      <c r="Q19" s="1" t="s">
        <v>91</v>
      </c>
      <c r="R19" s="1">
        <v>8192.0</v>
      </c>
      <c r="S19" s="1" t="s">
        <v>34</v>
      </c>
      <c r="T19" s="1" t="s">
        <v>35</v>
      </c>
      <c r="U19" s="1">
        <v>-159.33</v>
      </c>
      <c r="V19" s="1" t="s">
        <v>38</v>
      </c>
      <c r="W19" s="2">
        <v>45899.0</v>
      </c>
      <c r="X19" s="1">
        <v>2025.0</v>
      </c>
    </row>
    <row r="20">
      <c r="A20" s="2">
        <v>45951.0</v>
      </c>
      <c r="B20" s="1" t="s">
        <v>92</v>
      </c>
      <c r="C20" s="1" t="s">
        <v>93</v>
      </c>
      <c r="E20" s="1" t="s">
        <v>94</v>
      </c>
      <c r="F20" s="1" t="s">
        <v>27</v>
      </c>
      <c r="G20" s="1" t="s">
        <v>95</v>
      </c>
      <c r="H20" s="1" t="s">
        <v>29</v>
      </c>
      <c r="I20" s="1" t="s">
        <v>30</v>
      </c>
      <c r="J20" s="1" t="s">
        <v>96</v>
      </c>
      <c r="L20" s="2">
        <v>45748.0</v>
      </c>
      <c r="M20" s="2">
        <v>45748.0</v>
      </c>
      <c r="N20" s="2">
        <v>45930.0</v>
      </c>
      <c r="O20" s="1">
        <v>1.7425766E7</v>
      </c>
      <c r="P20" s="1" t="s">
        <v>32</v>
      </c>
      <c r="Q20" s="1" t="s">
        <v>97</v>
      </c>
      <c r="R20" s="1">
        <v>8192.0</v>
      </c>
      <c r="S20" s="1" t="s">
        <v>34</v>
      </c>
      <c r="T20" s="1" t="s">
        <v>35</v>
      </c>
      <c r="U20" s="1">
        <v>415.0</v>
      </c>
      <c r="V20" s="1" t="s">
        <v>36</v>
      </c>
      <c r="W20" s="2">
        <v>45744.0</v>
      </c>
      <c r="X20" s="1">
        <v>2025.0</v>
      </c>
    </row>
    <row r="21" ht="15.75" customHeight="1">
      <c r="A21" s="2">
        <v>45951.0</v>
      </c>
      <c r="B21" s="1" t="s">
        <v>92</v>
      </c>
      <c r="C21" s="1" t="s">
        <v>93</v>
      </c>
      <c r="E21" s="1" t="s">
        <v>94</v>
      </c>
      <c r="F21" s="1" t="s">
        <v>27</v>
      </c>
      <c r="G21" s="1" t="s">
        <v>98</v>
      </c>
      <c r="H21" s="1" t="s">
        <v>29</v>
      </c>
      <c r="I21" s="1" t="s">
        <v>30</v>
      </c>
      <c r="J21" s="1" t="s">
        <v>96</v>
      </c>
      <c r="L21" s="2">
        <v>45748.0</v>
      </c>
      <c r="M21" s="2">
        <v>45748.0</v>
      </c>
      <c r="N21" s="2">
        <v>45930.0</v>
      </c>
      <c r="O21" s="1">
        <v>1.7425766E7</v>
      </c>
      <c r="P21" s="1" t="s">
        <v>32</v>
      </c>
      <c r="Q21" s="1" t="s">
        <v>97</v>
      </c>
      <c r="R21" s="1">
        <v>8192.0</v>
      </c>
      <c r="S21" s="1" t="s">
        <v>34</v>
      </c>
      <c r="T21" s="1" t="s">
        <v>35</v>
      </c>
      <c r="U21" s="1">
        <v>-830.0</v>
      </c>
      <c r="V21" s="1" t="s">
        <v>36</v>
      </c>
      <c r="W21" s="2">
        <v>45744.0</v>
      </c>
      <c r="X21" s="1">
        <v>2025.0</v>
      </c>
    </row>
    <row r="22" ht="15.75" customHeight="1">
      <c r="A22" s="2">
        <v>45951.0</v>
      </c>
      <c r="B22" s="1" t="s">
        <v>99</v>
      </c>
      <c r="C22" s="1" t="s">
        <v>100</v>
      </c>
      <c r="E22" s="1" t="s">
        <v>101</v>
      </c>
      <c r="F22" s="1" t="s">
        <v>42</v>
      </c>
      <c r="G22" s="1" t="s">
        <v>43</v>
      </c>
      <c r="H22" s="1" t="s">
        <v>29</v>
      </c>
      <c r="I22" s="1" t="s">
        <v>102</v>
      </c>
      <c r="J22" s="1" t="s">
        <v>103</v>
      </c>
      <c r="L22" s="2">
        <v>45931.0</v>
      </c>
      <c r="M22" s="2">
        <v>45931.0</v>
      </c>
      <c r="O22" s="1">
        <v>1.9268643E7</v>
      </c>
      <c r="P22" s="1" t="s">
        <v>32</v>
      </c>
      <c r="Q22" s="1" t="s">
        <v>104</v>
      </c>
      <c r="R22" s="1">
        <v>8192.0</v>
      </c>
      <c r="S22" s="1" t="s">
        <v>34</v>
      </c>
      <c r="T22" s="1" t="s">
        <v>35</v>
      </c>
      <c r="U22" s="1">
        <v>751.0</v>
      </c>
      <c r="V22" s="1" t="s">
        <v>36</v>
      </c>
      <c r="W22" s="2">
        <v>45898.0</v>
      </c>
      <c r="X22" s="1">
        <v>2025.0</v>
      </c>
    </row>
    <row r="23" ht="15.75" customHeight="1">
      <c r="A23" s="2">
        <v>45951.0</v>
      </c>
      <c r="B23" s="1" t="s">
        <v>99</v>
      </c>
      <c r="C23" s="1" t="s">
        <v>100</v>
      </c>
      <c r="E23" s="1" t="s">
        <v>101</v>
      </c>
      <c r="F23" s="1" t="s">
        <v>42</v>
      </c>
      <c r="G23" s="1" t="s">
        <v>37</v>
      </c>
      <c r="H23" s="1" t="s">
        <v>29</v>
      </c>
      <c r="I23" s="1" t="s">
        <v>102</v>
      </c>
      <c r="J23" s="1" t="s">
        <v>103</v>
      </c>
      <c r="L23" s="2">
        <v>45931.0</v>
      </c>
      <c r="M23" s="2">
        <v>45931.0</v>
      </c>
      <c r="O23" s="1">
        <v>1.9268643E7</v>
      </c>
      <c r="P23" s="1" t="s">
        <v>32</v>
      </c>
      <c r="Q23" s="1" t="s">
        <v>104</v>
      </c>
      <c r="R23" s="1">
        <v>8192.0</v>
      </c>
      <c r="S23" s="1" t="s">
        <v>34</v>
      </c>
      <c r="T23" s="1" t="s">
        <v>35</v>
      </c>
      <c r="U23" s="1">
        <v>-109.5</v>
      </c>
      <c r="V23" s="1" t="s">
        <v>38</v>
      </c>
      <c r="W23" s="2">
        <v>45898.0</v>
      </c>
      <c r="X23" s="1">
        <v>2025.0</v>
      </c>
    </row>
    <row r="24" ht="15.75" customHeight="1">
      <c r="A24" s="2">
        <v>45951.0</v>
      </c>
      <c r="B24" s="1" t="s">
        <v>105</v>
      </c>
      <c r="C24" s="1" t="s">
        <v>106</v>
      </c>
      <c r="E24" s="1" t="s">
        <v>107</v>
      </c>
      <c r="F24" s="1" t="s">
        <v>108</v>
      </c>
      <c r="G24" s="1" t="s">
        <v>43</v>
      </c>
      <c r="H24" s="1" t="s">
        <v>29</v>
      </c>
      <c r="I24" s="1" t="s">
        <v>109</v>
      </c>
      <c r="J24" s="1" t="s">
        <v>110</v>
      </c>
      <c r="L24" s="2">
        <v>45992.0</v>
      </c>
      <c r="M24" s="2">
        <v>45992.0</v>
      </c>
      <c r="O24" s="1">
        <v>2.1618313E7</v>
      </c>
      <c r="P24" s="1" t="s">
        <v>32</v>
      </c>
      <c r="Q24" s="1" t="s">
        <v>111</v>
      </c>
      <c r="R24" s="1">
        <v>8192.0</v>
      </c>
      <c r="S24" s="1" t="s">
        <v>57</v>
      </c>
      <c r="T24" s="1" t="s">
        <v>35</v>
      </c>
      <c r="U24" s="1">
        <v>955.0</v>
      </c>
      <c r="V24" s="1" t="s">
        <v>36</v>
      </c>
      <c r="W24" s="2">
        <v>45911.0</v>
      </c>
      <c r="X24" s="1">
        <v>2025.0</v>
      </c>
    </row>
    <row r="25" ht="15.75" customHeight="1">
      <c r="A25" s="2">
        <v>45951.0</v>
      </c>
      <c r="B25" s="1" t="s">
        <v>105</v>
      </c>
      <c r="C25" s="1" t="s">
        <v>106</v>
      </c>
      <c r="E25" s="1" t="s">
        <v>107</v>
      </c>
      <c r="F25" s="1" t="s">
        <v>108</v>
      </c>
      <c r="G25" s="1" t="s">
        <v>37</v>
      </c>
      <c r="H25" s="1" t="s">
        <v>29</v>
      </c>
      <c r="I25" s="1" t="s">
        <v>109</v>
      </c>
      <c r="J25" s="1" t="s">
        <v>110</v>
      </c>
      <c r="L25" s="2">
        <v>45992.0</v>
      </c>
      <c r="M25" s="2">
        <v>45992.0</v>
      </c>
      <c r="O25" s="1">
        <v>2.1618313E7</v>
      </c>
      <c r="P25" s="1" t="s">
        <v>32</v>
      </c>
      <c r="Q25" s="1" t="s">
        <v>111</v>
      </c>
      <c r="R25" s="1">
        <v>8192.0</v>
      </c>
      <c r="S25" s="1" t="s">
        <v>57</v>
      </c>
      <c r="T25" s="1" t="s">
        <v>35</v>
      </c>
      <c r="U25" s="1">
        <v>-47.08</v>
      </c>
      <c r="V25" s="1" t="s">
        <v>38</v>
      </c>
      <c r="W25" s="2">
        <v>45911.0</v>
      </c>
      <c r="X25" s="1">
        <v>2025.0</v>
      </c>
    </row>
    <row r="26" ht="15.75" customHeight="1">
      <c r="A26" s="2">
        <v>45951.0</v>
      </c>
      <c r="B26" s="1" t="s">
        <v>112</v>
      </c>
      <c r="C26" s="1" t="s">
        <v>113</v>
      </c>
      <c r="E26" s="1" t="s">
        <v>114</v>
      </c>
      <c r="F26" s="1" t="s">
        <v>42</v>
      </c>
      <c r="G26" s="1" t="s">
        <v>43</v>
      </c>
      <c r="H26" s="1" t="s">
        <v>29</v>
      </c>
      <c r="I26" s="1" t="s">
        <v>44</v>
      </c>
      <c r="J26" s="1" t="s">
        <v>115</v>
      </c>
      <c r="L26" s="2">
        <v>45992.0</v>
      </c>
      <c r="M26" s="2">
        <v>45992.0</v>
      </c>
      <c r="O26" s="1">
        <v>1.9645587E7</v>
      </c>
      <c r="P26" s="1" t="s">
        <v>32</v>
      </c>
      <c r="Q26" s="1" t="s">
        <v>116</v>
      </c>
      <c r="R26" s="1">
        <v>8192.0</v>
      </c>
      <c r="S26" s="1" t="s">
        <v>34</v>
      </c>
      <c r="T26" s="1" t="s">
        <v>35</v>
      </c>
      <c r="U26" s="1">
        <v>751.0</v>
      </c>
      <c r="V26" s="1" t="s">
        <v>36</v>
      </c>
      <c r="W26" s="2">
        <v>45902.0</v>
      </c>
      <c r="X26" s="1">
        <v>2025.0</v>
      </c>
    </row>
    <row r="27" ht="15.75" customHeight="1">
      <c r="A27" s="2">
        <v>45951.0</v>
      </c>
      <c r="B27" s="1" t="s">
        <v>112</v>
      </c>
      <c r="C27" s="1" t="s">
        <v>113</v>
      </c>
      <c r="E27" s="1" t="s">
        <v>114</v>
      </c>
      <c r="F27" s="1" t="s">
        <v>42</v>
      </c>
      <c r="G27" s="1" t="s">
        <v>37</v>
      </c>
      <c r="H27" s="1" t="s">
        <v>29</v>
      </c>
      <c r="I27" s="1" t="s">
        <v>44</v>
      </c>
      <c r="J27" s="1" t="s">
        <v>115</v>
      </c>
      <c r="L27" s="2">
        <v>45992.0</v>
      </c>
      <c r="M27" s="2">
        <v>45992.0</v>
      </c>
      <c r="O27" s="1">
        <v>1.9645587E7</v>
      </c>
      <c r="P27" s="1" t="s">
        <v>32</v>
      </c>
      <c r="Q27" s="1" t="s">
        <v>116</v>
      </c>
      <c r="R27" s="1">
        <v>8192.0</v>
      </c>
      <c r="S27" s="1" t="s">
        <v>34</v>
      </c>
      <c r="T27" s="1" t="s">
        <v>35</v>
      </c>
      <c r="U27" s="1">
        <v>-36.5</v>
      </c>
      <c r="V27" s="1" t="s">
        <v>38</v>
      </c>
      <c r="W27" s="2">
        <v>45902.0</v>
      </c>
      <c r="X27" s="1">
        <v>2025.0</v>
      </c>
    </row>
    <row r="28" ht="15.75" customHeight="1">
      <c r="A28" s="2">
        <v>45951.0</v>
      </c>
      <c r="B28" s="1" t="s">
        <v>117</v>
      </c>
      <c r="C28" s="1" t="s">
        <v>118</v>
      </c>
      <c r="E28" s="1" t="s">
        <v>119</v>
      </c>
      <c r="F28" s="1" t="s">
        <v>61</v>
      </c>
      <c r="G28" s="1" t="s">
        <v>43</v>
      </c>
      <c r="H28" s="1" t="s">
        <v>29</v>
      </c>
      <c r="I28" s="1" t="s">
        <v>62</v>
      </c>
      <c r="J28" s="1" t="s">
        <v>120</v>
      </c>
      <c r="L28" s="2">
        <v>45931.0</v>
      </c>
      <c r="M28" s="2">
        <v>45931.0</v>
      </c>
      <c r="O28" s="1">
        <v>1.9491313E7</v>
      </c>
      <c r="P28" s="1" t="s">
        <v>32</v>
      </c>
      <c r="Q28" s="1" t="s">
        <v>121</v>
      </c>
      <c r="R28" s="1">
        <v>8192.0</v>
      </c>
      <c r="S28" s="1" t="s">
        <v>57</v>
      </c>
      <c r="T28" s="1" t="s">
        <v>35</v>
      </c>
      <c r="U28" s="1">
        <v>776.0</v>
      </c>
      <c r="V28" s="1" t="s">
        <v>36</v>
      </c>
      <c r="W28" s="2">
        <v>45924.0</v>
      </c>
      <c r="X28" s="1">
        <v>2025.0</v>
      </c>
    </row>
    <row r="29" ht="15.75" customHeight="1">
      <c r="A29" s="2">
        <v>45951.0</v>
      </c>
      <c r="B29" s="1" t="s">
        <v>117</v>
      </c>
      <c r="C29" s="1" t="s">
        <v>118</v>
      </c>
      <c r="E29" s="1" t="s">
        <v>119</v>
      </c>
      <c r="F29" s="1" t="s">
        <v>61</v>
      </c>
      <c r="G29" s="1" t="s">
        <v>37</v>
      </c>
      <c r="H29" s="1" t="s">
        <v>29</v>
      </c>
      <c r="I29" s="1" t="s">
        <v>62</v>
      </c>
      <c r="J29" s="1" t="s">
        <v>120</v>
      </c>
      <c r="L29" s="2">
        <v>45931.0</v>
      </c>
      <c r="M29" s="2">
        <v>45931.0</v>
      </c>
      <c r="O29" s="1">
        <v>1.9491313E7</v>
      </c>
      <c r="P29" s="1" t="s">
        <v>32</v>
      </c>
      <c r="Q29" s="1" t="s">
        <v>121</v>
      </c>
      <c r="R29" s="1">
        <v>8192.0</v>
      </c>
      <c r="S29" s="1" t="s">
        <v>57</v>
      </c>
      <c r="T29" s="1" t="s">
        <v>35</v>
      </c>
      <c r="U29" s="1">
        <v>-115.75</v>
      </c>
      <c r="V29" s="1" t="s">
        <v>38</v>
      </c>
      <c r="W29" s="2">
        <v>45924.0</v>
      </c>
      <c r="X29" s="1">
        <v>2025.0</v>
      </c>
    </row>
    <row r="30" ht="15.75" customHeight="1">
      <c r="A30" s="2">
        <v>45951.0</v>
      </c>
      <c r="B30" s="1" t="s">
        <v>122</v>
      </c>
      <c r="C30" s="1" t="s">
        <v>123</v>
      </c>
      <c r="E30" s="1" t="s">
        <v>124</v>
      </c>
      <c r="F30" s="1" t="s">
        <v>83</v>
      </c>
      <c r="G30" s="1" t="s">
        <v>43</v>
      </c>
      <c r="H30" s="1" t="s">
        <v>29</v>
      </c>
      <c r="I30" s="1" t="s">
        <v>84</v>
      </c>
      <c r="J30" s="1" t="s">
        <v>125</v>
      </c>
      <c r="L30" s="2">
        <v>45931.0</v>
      </c>
      <c r="M30" s="2">
        <v>45931.0</v>
      </c>
      <c r="O30" s="1">
        <v>1.6509456E7</v>
      </c>
      <c r="P30" s="1" t="s">
        <v>32</v>
      </c>
      <c r="Q30" s="1" t="s">
        <v>126</v>
      </c>
      <c r="R30" s="1">
        <v>8192.0</v>
      </c>
      <c r="S30" s="1" t="s">
        <v>34</v>
      </c>
      <c r="T30" s="1" t="s">
        <v>35</v>
      </c>
      <c r="U30" s="1">
        <v>866.0</v>
      </c>
      <c r="V30" s="1" t="s">
        <v>36</v>
      </c>
      <c r="W30" s="2">
        <v>45898.0</v>
      </c>
      <c r="X30" s="1">
        <v>2025.0</v>
      </c>
    </row>
    <row r="31" ht="15.75" customHeight="1">
      <c r="A31" s="2">
        <v>45951.0</v>
      </c>
      <c r="B31" s="1" t="s">
        <v>122</v>
      </c>
      <c r="C31" s="1" t="s">
        <v>123</v>
      </c>
      <c r="E31" s="1" t="s">
        <v>124</v>
      </c>
      <c r="F31" s="1" t="s">
        <v>83</v>
      </c>
      <c r="G31" s="1" t="s">
        <v>37</v>
      </c>
      <c r="H31" s="1" t="s">
        <v>29</v>
      </c>
      <c r="I31" s="1" t="s">
        <v>84</v>
      </c>
      <c r="J31" s="1" t="s">
        <v>125</v>
      </c>
      <c r="L31" s="2">
        <v>45931.0</v>
      </c>
      <c r="M31" s="2">
        <v>45931.0</v>
      </c>
      <c r="O31" s="1">
        <v>1.6509456E7</v>
      </c>
      <c r="P31" s="1" t="s">
        <v>32</v>
      </c>
      <c r="Q31" s="1" t="s">
        <v>126</v>
      </c>
      <c r="R31" s="1">
        <v>8192.0</v>
      </c>
      <c r="S31" s="1" t="s">
        <v>34</v>
      </c>
      <c r="T31" s="1" t="s">
        <v>35</v>
      </c>
      <c r="U31" s="1">
        <v>-138.25</v>
      </c>
      <c r="V31" s="1" t="s">
        <v>38</v>
      </c>
      <c r="W31" s="2">
        <v>45898.0</v>
      </c>
      <c r="X31" s="1">
        <v>2025.0</v>
      </c>
    </row>
    <row r="32" ht="15.75" customHeight="1">
      <c r="A32" s="2">
        <v>45951.0</v>
      </c>
      <c r="B32" s="1" t="s">
        <v>127</v>
      </c>
      <c r="C32" s="1" t="s">
        <v>128</v>
      </c>
      <c r="E32" s="1" t="s">
        <v>129</v>
      </c>
      <c r="F32" s="1" t="s">
        <v>42</v>
      </c>
      <c r="G32" s="1" t="s">
        <v>55</v>
      </c>
      <c r="H32" s="1" t="s">
        <v>29</v>
      </c>
      <c r="I32" s="1" t="s">
        <v>102</v>
      </c>
      <c r="J32" s="1" t="s">
        <v>130</v>
      </c>
      <c r="L32" s="2">
        <v>45992.0</v>
      </c>
      <c r="M32" s="2">
        <v>45992.0</v>
      </c>
      <c r="O32" s="1">
        <v>8325282.0</v>
      </c>
      <c r="P32" s="1" t="s">
        <v>32</v>
      </c>
      <c r="Q32" s="1" t="s">
        <v>131</v>
      </c>
      <c r="R32" s="1">
        <v>8192.0</v>
      </c>
      <c r="S32" s="1" t="s">
        <v>57</v>
      </c>
      <c r="T32" s="1" t="s">
        <v>35</v>
      </c>
      <c r="U32" s="1">
        <v>37.33</v>
      </c>
      <c r="V32" s="1" t="s">
        <v>38</v>
      </c>
      <c r="W32" s="2">
        <v>45930.0</v>
      </c>
      <c r="X32" s="1">
        <v>2025.0</v>
      </c>
    </row>
    <row r="33" ht="15.75" customHeight="1">
      <c r="A33" s="2">
        <v>45951.0</v>
      </c>
      <c r="B33" s="1" t="s">
        <v>132</v>
      </c>
      <c r="C33" s="1" t="s">
        <v>133</v>
      </c>
      <c r="E33" s="1" t="s">
        <v>134</v>
      </c>
      <c r="F33" s="1" t="s">
        <v>135</v>
      </c>
      <c r="G33" s="1" t="s">
        <v>28</v>
      </c>
      <c r="H33" s="1" t="s">
        <v>29</v>
      </c>
      <c r="I33" s="1" t="s">
        <v>44</v>
      </c>
      <c r="J33" s="1" t="s">
        <v>136</v>
      </c>
      <c r="L33" s="2">
        <v>45931.0</v>
      </c>
      <c r="M33" s="2">
        <v>45931.0</v>
      </c>
      <c r="O33" s="1">
        <v>1.7301495E7</v>
      </c>
      <c r="P33" s="1" t="s">
        <v>32</v>
      </c>
      <c r="Q33" s="1" t="s">
        <v>137</v>
      </c>
      <c r="R33" s="1">
        <v>8192.0</v>
      </c>
      <c r="S33" s="1" t="s">
        <v>57</v>
      </c>
      <c r="T33" s="1" t="s">
        <v>35</v>
      </c>
      <c r="U33" s="1">
        <v>190.25</v>
      </c>
      <c r="V33" s="1" t="s">
        <v>36</v>
      </c>
      <c r="W33" s="2">
        <v>45929.0</v>
      </c>
      <c r="X33" s="1">
        <v>2025.0</v>
      </c>
    </row>
    <row r="34" ht="15.75" customHeight="1">
      <c r="A34" s="2">
        <v>45951.0</v>
      </c>
      <c r="B34" s="1" t="s">
        <v>132</v>
      </c>
      <c r="C34" s="1" t="s">
        <v>133</v>
      </c>
      <c r="E34" s="1" t="s">
        <v>134</v>
      </c>
      <c r="F34" s="1" t="s">
        <v>135</v>
      </c>
      <c r="G34" s="1" t="s">
        <v>37</v>
      </c>
      <c r="H34" s="1" t="s">
        <v>29</v>
      </c>
      <c r="I34" s="1" t="s">
        <v>44</v>
      </c>
      <c r="J34" s="1" t="s">
        <v>136</v>
      </c>
      <c r="L34" s="2">
        <v>45931.0</v>
      </c>
      <c r="M34" s="2">
        <v>45931.0</v>
      </c>
      <c r="O34" s="1">
        <v>1.7301495E7</v>
      </c>
      <c r="P34" s="1" t="s">
        <v>32</v>
      </c>
      <c r="Q34" s="1" t="s">
        <v>137</v>
      </c>
      <c r="R34" s="1">
        <v>8192.0</v>
      </c>
      <c r="S34" s="1" t="s">
        <v>57</v>
      </c>
      <c r="T34" s="1" t="s">
        <v>35</v>
      </c>
      <c r="U34" s="1">
        <v>-112.0</v>
      </c>
      <c r="V34" s="1" t="s">
        <v>38</v>
      </c>
      <c r="W34" s="2">
        <v>45929.0</v>
      </c>
      <c r="X34" s="1">
        <v>2025.0</v>
      </c>
    </row>
    <row r="35" ht="15.75" customHeight="1">
      <c r="A35" s="2">
        <v>45951.0</v>
      </c>
      <c r="B35" s="1" t="s">
        <v>138</v>
      </c>
      <c r="C35" s="1" t="s">
        <v>139</v>
      </c>
      <c r="E35" s="1" t="s">
        <v>140</v>
      </c>
      <c r="F35" s="1" t="s">
        <v>27</v>
      </c>
      <c r="G35" s="1" t="s">
        <v>43</v>
      </c>
      <c r="H35" s="1" t="s">
        <v>141</v>
      </c>
      <c r="I35" s="1" t="s">
        <v>30</v>
      </c>
      <c r="J35" s="1" t="s">
        <v>142</v>
      </c>
      <c r="L35" s="2">
        <v>45931.0</v>
      </c>
      <c r="M35" s="2">
        <v>45931.0</v>
      </c>
      <c r="O35" s="1">
        <v>1.927837E7</v>
      </c>
      <c r="P35" s="1" t="s">
        <v>32</v>
      </c>
      <c r="Q35" s="1" t="s">
        <v>143</v>
      </c>
      <c r="R35" s="1">
        <v>8192.0</v>
      </c>
      <c r="S35" s="1" t="s">
        <v>57</v>
      </c>
      <c r="T35" s="1" t="s">
        <v>35</v>
      </c>
      <c r="U35" s="1">
        <v>855.0</v>
      </c>
      <c r="V35" s="1" t="s">
        <v>36</v>
      </c>
      <c r="W35" s="2">
        <v>45911.0</v>
      </c>
      <c r="X35" s="1">
        <v>2025.0</v>
      </c>
    </row>
    <row r="36" ht="15.75" customHeight="1">
      <c r="A36" s="2">
        <v>45951.0</v>
      </c>
      <c r="B36" s="1" t="s">
        <v>138</v>
      </c>
      <c r="C36" s="1" t="s">
        <v>139</v>
      </c>
      <c r="E36" s="1" t="s">
        <v>140</v>
      </c>
      <c r="F36" s="1" t="s">
        <v>27</v>
      </c>
      <c r="G36" s="1" t="s">
        <v>37</v>
      </c>
      <c r="H36" s="1" t="s">
        <v>141</v>
      </c>
      <c r="I36" s="1" t="s">
        <v>30</v>
      </c>
      <c r="J36" s="1" t="s">
        <v>142</v>
      </c>
      <c r="L36" s="2">
        <v>45931.0</v>
      </c>
      <c r="M36" s="2">
        <v>45931.0</v>
      </c>
      <c r="O36" s="1">
        <v>1.927837E7</v>
      </c>
      <c r="P36" s="1" t="s">
        <v>32</v>
      </c>
      <c r="Q36" s="1" t="s">
        <v>143</v>
      </c>
      <c r="R36" s="1">
        <v>8192.0</v>
      </c>
      <c r="S36" s="1" t="s">
        <v>57</v>
      </c>
      <c r="T36" s="1" t="s">
        <v>35</v>
      </c>
      <c r="U36" s="1">
        <v>-125.75</v>
      </c>
      <c r="V36" s="1" t="s">
        <v>38</v>
      </c>
      <c r="W36" s="2">
        <v>45911.0</v>
      </c>
      <c r="X36" s="1">
        <v>2025.0</v>
      </c>
    </row>
    <row r="37" ht="15.75" customHeight="1">
      <c r="A37" s="2">
        <v>45951.0</v>
      </c>
      <c r="B37" s="1" t="s">
        <v>144</v>
      </c>
      <c r="C37" s="1" t="s">
        <v>145</v>
      </c>
      <c r="E37" s="1" t="s">
        <v>146</v>
      </c>
      <c r="F37" s="1" t="s">
        <v>147</v>
      </c>
      <c r="G37" s="1" t="s">
        <v>43</v>
      </c>
      <c r="H37" s="1" t="s">
        <v>29</v>
      </c>
      <c r="I37" s="1" t="s">
        <v>148</v>
      </c>
      <c r="J37" s="1" t="s">
        <v>149</v>
      </c>
      <c r="L37" s="2">
        <v>45962.0</v>
      </c>
      <c r="M37" s="2">
        <v>45962.0</v>
      </c>
      <c r="O37" s="1">
        <v>8307933.0</v>
      </c>
      <c r="P37" s="1" t="s">
        <v>32</v>
      </c>
      <c r="Q37" s="1" t="s">
        <v>150</v>
      </c>
      <c r="R37" s="1">
        <v>8192.0</v>
      </c>
      <c r="S37" s="1" t="s">
        <v>57</v>
      </c>
      <c r="T37" s="1" t="s">
        <v>35</v>
      </c>
      <c r="U37" s="1">
        <v>776.0</v>
      </c>
      <c r="V37" s="1" t="s">
        <v>36</v>
      </c>
      <c r="W37" s="2">
        <v>45925.0</v>
      </c>
      <c r="X37" s="1">
        <v>2025.0</v>
      </c>
    </row>
    <row r="38" ht="15.75" customHeight="1">
      <c r="A38" s="2">
        <v>45951.0</v>
      </c>
      <c r="B38" s="1" t="s">
        <v>144</v>
      </c>
      <c r="C38" s="1" t="s">
        <v>145</v>
      </c>
      <c r="E38" s="1" t="s">
        <v>146</v>
      </c>
      <c r="F38" s="1" t="s">
        <v>147</v>
      </c>
      <c r="G38" s="1" t="s">
        <v>37</v>
      </c>
      <c r="H38" s="1" t="s">
        <v>29</v>
      </c>
      <c r="I38" s="1" t="s">
        <v>148</v>
      </c>
      <c r="J38" s="1" t="s">
        <v>149</v>
      </c>
      <c r="L38" s="2">
        <v>45962.0</v>
      </c>
      <c r="M38" s="2">
        <v>45962.0</v>
      </c>
      <c r="O38" s="1">
        <v>8307933.0</v>
      </c>
      <c r="P38" s="1" t="s">
        <v>32</v>
      </c>
      <c r="Q38" s="1" t="s">
        <v>150</v>
      </c>
      <c r="R38" s="1">
        <v>8192.0</v>
      </c>
      <c r="S38" s="1" t="s">
        <v>57</v>
      </c>
      <c r="T38" s="1" t="s">
        <v>35</v>
      </c>
      <c r="U38" s="1">
        <v>-77.17</v>
      </c>
      <c r="V38" s="1" t="s">
        <v>38</v>
      </c>
      <c r="W38" s="2">
        <v>45925.0</v>
      </c>
      <c r="X38" s="1">
        <v>2025.0</v>
      </c>
    </row>
    <row r="39" ht="15.75" customHeight="1">
      <c r="A39" s="2">
        <v>45951.0</v>
      </c>
      <c r="B39" s="1" t="s">
        <v>151</v>
      </c>
      <c r="C39" s="1" t="s">
        <v>152</v>
      </c>
      <c r="E39" s="1" t="s">
        <v>153</v>
      </c>
      <c r="F39" s="1" t="s">
        <v>42</v>
      </c>
      <c r="G39" s="1" t="s">
        <v>43</v>
      </c>
      <c r="H39" s="1" t="s">
        <v>29</v>
      </c>
      <c r="I39" s="1" t="s">
        <v>44</v>
      </c>
      <c r="J39" s="1" t="s">
        <v>154</v>
      </c>
      <c r="L39" s="2">
        <v>45962.0</v>
      </c>
      <c r="M39" s="2">
        <v>45962.0</v>
      </c>
      <c r="O39" s="1">
        <v>7470776.0</v>
      </c>
      <c r="P39" s="1" t="s">
        <v>32</v>
      </c>
      <c r="Q39" s="1" t="s">
        <v>155</v>
      </c>
      <c r="R39" s="1">
        <v>8192.0</v>
      </c>
      <c r="S39" s="1" t="s">
        <v>57</v>
      </c>
      <c r="T39" s="1" t="s">
        <v>35</v>
      </c>
      <c r="U39" s="1">
        <v>776.0</v>
      </c>
      <c r="V39" s="1" t="s">
        <v>36</v>
      </c>
      <c r="W39" s="2">
        <v>45925.0</v>
      </c>
      <c r="X39" s="1">
        <v>2025.0</v>
      </c>
    </row>
    <row r="40" ht="15.75" customHeight="1">
      <c r="A40" s="2">
        <v>45951.0</v>
      </c>
      <c r="B40" s="1" t="s">
        <v>151</v>
      </c>
      <c r="C40" s="1" t="s">
        <v>152</v>
      </c>
      <c r="E40" s="1" t="s">
        <v>153</v>
      </c>
      <c r="F40" s="1" t="s">
        <v>42</v>
      </c>
      <c r="G40" s="1" t="s">
        <v>37</v>
      </c>
      <c r="H40" s="1" t="s">
        <v>29</v>
      </c>
      <c r="I40" s="1" t="s">
        <v>44</v>
      </c>
      <c r="J40" s="1" t="s">
        <v>154</v>
      </c>
      <c r="L40" s="2">
        <v>45962.0</v>
      </c>
      <c r="M40" s="2">
        <v>45962.0</v>
      </c>
      <c r="O40" s="1">
        <v>7470776.0</v>
      </c>
      <c r="P40" s="1" t="s">
        <v>32</v>
      </c>
      <c r="Q40" s="1" t="s">
        <v>155</v>
      </c>
      <c r="R40" s="1">
        <v>8192.0</v>
      </c>
      <c r="S40" s="1" t="s">
        <v>57</v>
      </c>
      <c r="T40" s="1" t="s">
        <v>35</v>
      </c>
      <c r="U40" s="1">
        <v>-77.17</v>
      </c>
      <c r="V40" s="1" t="s">
        <v>38</v>
      </c>
      <c r="W40" s="2">
        <v>45925.0</v>
      </c>
      <c r="X40" s="1">
        <v>2025.0</v>
      </c>
    </row>
    <row r="41" ht="15.75" customHeight="1">
      <c r="A41" s="2">
        <v>45951.0</v>
      </c>
      <c r="B41" s="1" t="s">
        <v>156</v>
      </c>
      <c r="C41" s="1" t="s">
        <v>157</v>
      </c>
      <c r="E41" s="1" t="s">
        <v>158</v>
      </c>
      <c r="F41" s="1" t="s">
        <v>159</v>
      </c>
      <c r="G41" s="1" t="s">
        <v>43</v>
      </c>
      <c r="H41" s="1" t="s">
        <v>141</v>
      </c>
      <c r="I41" s="1" t="s">
        <v>102</v>
      </c>
      <c r="J41" s="1" t="s">
        <v>160</v>
      </c>
      <c r="L41" s="2">
        <v>45962.0</v>
      </c>
      <c r="M41" s="2">
        <v>45962.0</v>
      </c>
      <c r="O41" s="1">
        <v>8307933.0</v>
      </c>
      <c r="P41" s="1" t="s">
        <v>32</v>
      </c>
      <c r="Q41" s="1" t="s">
        <v>150</v>
      </c>
      <c r="R41" s="1">
        <v>8192.0</v>
      </c>
      <c r="S41" s="1" t="s">
        <v>57</v>
      </c>
      <c r="T41" s="1" t="s">
        <v>35</v>
      </c>
      <c r="U41" s="1">
        <v>776.0</v>
      </c>
      <c r="V41" s="1" t="s">
        <v>36</v>
      </c>
      <c r="W41" s="2">
        <v>45919.0</v>
      </c>
      <c r="X41" s="1">
        <v>2025.0</v>
      </c>
    </row>
    <row r="42" ht="15.75" customHeight="1">
      <c r="A42" s="2">
        <v>45951.0</v>
      </c>
      <c r="B42" s="1" t="s">
        <v>156</v>
      </c>
      <c r="C42" s="1" t="s">
        <v>157</v>
      </c>
      <c r="E42" s="1" t="s">
        <v>158</v>
      </c>
      <c r="F42" s="1" t="s">
        <v>159</v>
      </c>
      <c r="G42" s="1" t="s">
        <v>37</v>
      </c>
      <c r="H42" s="1" t="s">
        <v>141</v>
      </c>
      <c r="I42" s="1" t="s">
        <v>102</v>
      </c>
      <c r="J42" s="1" t="s">
        <v>160</v>
      </c>
      <c r="L42" s="2">
        <v>45962.0</v>
      </c>
      <c r="M42" s="2">
        <v>45962.0</v>
      </c>
      <c r="O42" s="1">
        <v>8307933.0</v>
      </c>
      <c r="P42" s="1" t="s">
        <v>32</v>
      </c>
      <c r="Q42" s="1" t="s">
        <v>150</v>
      </c>
      <c r="R42" s="1">
        <v>8192.0</v>
      </c>
      <c r="S42" s="1" t="s">
        <v>57</v>
      </c>
      <c r="T42" s="1" t="s">
        <v>35</v>
      </c>
      <c r="U42" s="1">
        <v>-77.17</v>
      </c>
      <c r="V42" s="1" t="s">
        <v>38</v>
      </c>
      <c r="W42" s="2">
        <v>45919.0</v>
      </c>
      <c r="X42" s="1">
        <v>2025.0</v>
      </c>
    </row>
    <row r="43" ht="15.75" customHeight="1">
      <c r="A43" s="2">
        <v>45951.0</v>
      </c>
      <c r="B43" s="1" t="s">
        <v>161</v>
      </c>
      <c r="C43" s="1" t="s">
        <v>162</v>
      </c>
      <c r="E43" s="1" t="s">
        <v>163</v>
      </c>
      <c r="F43" s="1" t="s">
        <v>61</v>
      </c>
      <c r="G43" s="1" t="s">
        <v>55</v>
      </c>
      <c r="H43" s="1" t="s">
        <v>29</v>
      </c>
      <c r="I43" s="1" t="s">
        <v>62</v>
      </c>
      <c r="J43" s="1" t="s">
        <v>63</v>
      </c>
      <c r="L43" s="2">
        <v>45962.0</v>
      </c>
      <c r="M43" s="2">
        <v>45962.0</v>
      </c>
      <c r="O43" s="1">
        <v>1.8142208E7</v>
      </c>
      <c r="P43" s="1" t="s">
        <v>32</v>
      </c>
      <c r="Q43" s="1" t="s">
        <v>64</v>
      </c>
      <c r="R43" s="1">
        <v>8192.0</v>
      </c>
      <c r="S43" s="1" t="s">
        <v>57</v>
      </c>
      <c r="T43" s="1" t="s">
        <v>35</v>
      </c>
      <c r="U43" s="1">
        <v>77.17</v>
      </c>
      <c r="V43" s="1" t="s">
        <v>38</v>
      </c>
      <c r="W43" s="2">
        <v>45936.0</v>
      </c>
      <c r="X43" s="1">
        <v>2025.0</v>
      </c>
    </row>
    <row r="44" ht="15.75" customHeight="1">
      <c r="A44" s="2">
        <v>45951.0</v>
      </c>
      <c r="B44" s="1" t="s">
        <v>164</v>
      </c>
      <c r="C44" s="1" t="s">
        <v>165</v>
      </c>
      <c r="E44" s="1" t="s">
        <v>166</v>
      </c>
      <c r="F44" s="1" t="s">
        <v>159</v>
      </c>
      <c r="G44" s="1" t="s">
        <v>55</v>
      </c>
      <c r="H44" s="1" t="s">
        <v>29</v>
      </c>
      <c r="I44" s="1" t="s">
        <v>102</v>
      </c>
      <c r="J44" s="1" t="s">
        <v>167</v>
      </c>
      <c r="L44" s="2">
        <v>45992.0</v>
      </c>
      <c r="M44" s="2">
        <v>45992.0</v>
      </c>
      <c r="O44" s="1">
        <v>8307933.0</v>
      </c>
      <c r="P44" s="1" t="s">
        <v>32</v>
      </c>
      <c r="Q44" s="1" t="s">
        <v>150</v>
      </c>
      <c r="R44" s="1">
        <v>8192.0</v>
      </c>
      <c r="S44" s="1" t="s">
        <v>57</v>
      </c>
      <c r="T44" s="1" t="s">
        <v>35</v>
      </c>
      <c r="U44" s="1">
        <v>38.58</v>
      </c>
      <c r="V44" s="1" t="s">
        <v>38</v>
      </c>
      <c r="W44" s="2">
        <v>45936.0</v>
      </c>
      <c r="X44" s="1">
        <v>2025.0</v>
      </c>
    </row>
    <row r="45" ht="15.75" customHeight="1">
      <c r="A45" s="2">
        <v>45951.0</v>
      </c>
      <c r="B45" s="1" t="s">
        <v>168</v>
      </c>
      <c r="C45" s="1" t="s">
        <v>169</v>
      </c>
      <c r="E45" s="1" t="s">
        <v>170</v>
      </c>
      <c r="F45" s="1" t="s">
        <v>171</v>
      </c>
      <c r="G45" s="1" t="s">
        <v>43</v>
      </c>
      <c r="H45" s="1" t="s">
        <v>29</v>
      </c>
      <c r="I45" s="1" t="s">
        <v>148</v>
      </c>
      <c r="J45" s="1" t="s">
        <v>172</v>
      </c>
      <c r="L45" s="2">
        <v>45931.0</v>
      </c>
      <c r="M45" s="2">
        <v>45931.0</v>
      </c>
      <c r="O45" s="1">
        <v>5442438.0</v>
      </c>
      <c r="P45" s="1" t="s">
        <v>32</v>
      </c>
      <c r="Q45" s="1" t="s">
        <v>173</v>
      </c>
      <c r="R45" s="1">
        <v>8192.0</v>
      </c>
      <c r="S45" s="1" t="s">
        <v>34</v>
      </c>
      <c r="T45" s="1" t="s">
        <v>35</v>
      </c>
      <c r="U45" s="1">
        <v>746.0</v>
      </c>
      <c r="V45" s="1" t="s">
        <v>36</v>
      </c>
      <c r="W45" s="2">
        <v>45910.0</v>
      </c>
      <c r="X45" s="1">
        <v>2025.0</v>
      </c>
    </row>
    <row r="46" ht="15.75" customHeight="1">
      <c r="A46" s="2">
        <v>45951.0</v>
      </c>
      <c r="B46" s="1" t="s">
        <v>168</v>
      </c>
      <c r="C46" s="1" t="s">
        <v>169</v>
      </c>
      <c r="E46" s="1" t="s">
        <v>170</v>
      </c>
      <c r="F46" s="1" t="s">
        <v>171</v>
      </c>
      <c r="G46" s="1" t="s">
        <v>37</v>
      </c>
      <c r="H46" s="1" t="s">
        <v>29</v>
      </c>
      <c r="I46" s="1" t="s">
        <v>148</v>
      </c>
      <c r="J46" s="1" t="s">
        <v>172</v>
      </c>
      <c r="L46" s="2">
        <v>45931.0</v>
      </c>
      <c r="M46" s="2">
        <v>45931.0</v>
      </c>
      <c r="O46" s="1">
        <v>5442438.0</v>
      </c>
      <c r="P46" s="1" t="s">
        <v>32</v>
      </c>
      <c r="Q46" s="1" t="s">
        <v>173</v>
      </c>
      <c r="R46" s="1">
        <v>8192.0</v>
      </c>
      <c r="S46" s="1" t="s">
        <v>34</v>
      </c>
      <c r="T46" s="1" t="s">
        <v>35</v>
      </c>
      <c r="U46" s="1">
        <v>-108.25</v>
      </c>
      <c r="V46" s="1" t="s">
        <v>38</v>
      </c>
      <c r="W46" s="2">
        <v>45910.0</v>
      </c>
      <c r="X46" s="1">
        <v>2025.0</v>
      </c>
    </row>
    <row r="47" ht="15.75" customHeight="1">
      <c r="A47" s="2">
        <v>45951.0</v>
      </c>
      <c r="B47" s="1" t="s">
        <v>174</v>
      </c>
      <c r="C47" s="1" t="s">
        <v>175</v>
      </c>
      <c r="E47" s="1" t="s">
        <v>176</v>
      </c>
      <c r="F47" s="1" t="s">
        <v>42</v>
      </c>
      <c r="G47" s="1" t="s">
        <v>43</v>
      </c>
      <c r="H47" s="1" t="s">
        <v>29</v>
      </c>
      <c r="I47" s="1" t="s">
        <v>44</v>
      </c>
      <c r="J47" s="1" t="s">
        <v>73</v>
      </c>
      <c r="L47" s="2">
        <v>45901.0</v>
      </c>
      <c r="M47" s="2">
        <v>45901.0</v>
      </c>
      <c r="O47" s="1">
        <v>9213293.0</v>
      </c>
      <c r="P47" s="1" t="s">
        <v>32</v>
      </c>
      <c r="Q47" s="1" t="s">
        <v>46</v>
      </c>
      <c r="R47" s="1">
        <v>8192.0</v>
      </c>
      <c r="S47" s="1" t="s">
        <v>34</v>
      </c>
      <c r="T47" s="1" t="s">
        <v>35</v>
      </c>
      <c r="U47" s="1">
        <v>751.0</v>
      </c>
      <c r="V47" s="1" t="s">
        <v>36</v>
      </c>
      <c r="W47" s="2">
        <v>45899.0</v>
      </c>
      <c r="X47" s="1">
        <v>2025.0</v>
      </c>
    </row>
    <row r="48" ht="15.75" customHeight="1">
      <c r="A48" s="2">
        <v>45951.0</v>
      </c>
      <c r="B48" s="1" t="s">
        <v>174</v>
      </c>
      <c r="C48" s="1" t="s">
        <v>175</v>
      </c>
      <c r="E48" s="1" t="s">
        <v>176</v>
      </c>
      <c r="F48" s="1" t="s">
        <v>42</v>
      </c>
      <c r="G48" s="1" t="s">
        <v>37</v>
      </c>
      <c r="H48" s="1" t="s">
        <v>29</v>
      </c>
      <c r="I48" s="1" t="s">
        <v>44</v>
      </c>
      <c r="J48" s="1" t="s">
        <v>73</v>
      </c>
      <c r="L48" s="2">
        <v>45901.0</v>
      </c>
      <c r="M48" s="2">
        <v>45901.0</v>
      </c>
      <c r="O48" s="1">
        <v>9213293.0</v>
      </c>
      <c r="P48" s="1" t="s">
        <v>32</v>
      </c>
      <c r="Q48" s="1" t="s">
        <v>46</v>
      </c>
      <c r="R48" s="1">
        <v>8192.0</v>
      </c>
      <c r="S48" s="1" t="s">
        <v>34</v>
      </c>
      <c r="T48" s="1" t="s">
        <v>35</v>
      </c>
      <c r="U48" s="1">
        <v>-146.0</v>
      </c>
      <c r="V48" s="1" t="s">
        <v>38</v>
      </c>
      <c r="W48" s="2">
        <v>45899.0</v>
      </c>
      <c r="X48" s="1">
        <v>2025.0</v>
      </c>
    </row>
    <row r="49" ht="15.75" customHeight="1">
      <c r="A49" s="2">
        <v>45951.0</v>
      </c>
      <c r="B49" s="1" t="s">
        <v>177</v>
      </c>
      <c r="C49" s="1" t="s">
        <v>178</v>
      </c>
      <c r="E49" s="1" t="s">
        <v>179</v>
      </c>
      <c r="F49" s="1" t="s">
        <v>171</v>
      </c>
      <c r="G49" s="1" t="s">
        <v>95</v>
      </c>
      <c r="H49" s="1" t="s">
        <v>29</v>
      </c>
      <c r="I49" s="1" t="s">
        <v>148</v>
      </c>
      <c r="J49" s="1" t="s">
        <v>180</v>
      </c>
      <c r="L49" s="2">
        <v>45717.0</v>
      </c>
      <c r="M49" s="2">
        <v>45717.0</v>
      </c>
      <c r="N49" s="2">
        <v>45900.0</v>
      </c>
      <c r="O49" s="1">
        <v>1.6633294E7</v>
      </c>
      <c r="P49" s="1" t="s">
        <v>32</v>
      </c>
      <c r="Q49" s="1" t="s">
        <v>86</v>
      </c>
      <c r="R49" s="1">
        <v>8192.0</v>
      </c>
      <c r="S49" s="1" t="s">
        <v>34</v>
      </c>
      <c r="T49" s="1" t="s">
        <v>35</v>
      </c>
      <c r="U49" s="1">
        <v>375.5</v>
      </c>
      <c r="V49" s="1" t="s">
        <v>36</v>
      </c>
      <c r="W49" s="2">
        <v>45705.0</v>
      </c>
      <c r="X49" s="1">
        <v>2025.0</v>
      </c>
    </row>
    <row r="50" ht="15.75" customHeight="1">
      <c r="A50" s="2">
        <v>45951.0</v>
      </c>
      <c r="B50" s="1" t="s">
        <v>177</v>
      </c>
      <c r="C50" s="1" t="s">
        <v>178</v>
      </c>
      <c r="E50" s="1" t="s">
        <v>179</v>
      </c>
      <c r="F50" s="1" t="s">
        <v>171</v>
      </c>
      <c r="G50" s="1" t="s">
        <v>98</v>
      </c>
      <c r="H50" s="1" t="s">
        <v>29</v>
      </c>
      <c r="I50" s="1" t="s">
        <v>148</v>
      </c>
      <c r="J50" s="1" t="s">
        <v>180</v>
      </c>
      <c r="L50" s="2">
        <v>45717.0</v>
      </c>
      <c r="M50" s="2">
        <v>45717.0</v>
      </c>
      <c r="N50" s="2">
        <v>45900.0</v>
      </c>
      <c r="O50" s="1">
        <v>1.6633294E7</v>
      </c>
      <c r="P50" s="1" t="s">
        <v>32</v>
      </c>
      <c r="Q50" s="1" t="s">
        <v>86</v>
      </c>
      <c r="R50" s="1">
        <v>8192.0</v>
      </c>
      <c r="S50" s="1" t="s">
        <v>34</v>
      </c>
      <c r="T50" s="1" t="s">
        <v>35</v>
      </c>
      <c r="U50" s="1">
        <v>-751.0</v>
      </c>
      <c r="V50" s="1" t="s">
        <v>36</v>
      </c>
      <c r="W50" s="2">
        <v>45705.0</v>
      </c>
      <c r="X50" s="1">
        <v>2025.0</v>
      </c>
    </row>
    <row r="51" ht="15.75" customHeight="1">
      <c r="A51" s="2">
        <v>45951.0</v>
      </c>
      <c r="B51" s="1" t="s">
        <v>181</v>
      </c>
      <c r="C51" s="1" t="s">
        <v>182</v>
      </c>
      <c r="E51" s="1" t="s">
        <v>183</v>
      </c>
      <c r="F51" s="1" t="s">
        <v>184</v>
      </c>
      <c r="G51" s="1" t="s">
        <v>55</v>
      </c>
      <c r="H51" s="1" t="s">
        <v>29</v>
      </c>
      <c r="I51" s="1" t="s">
        <v>185</v>
      </c>
      <c r="J51" s="1" t="s">
        <v>186</v>
      </c>
      <c r="L51" s="2">
        <v>45931.0</v>
      </c>
      <c r="M51" s="2">
        <v>45931.0</v>
      </c>
      <c r="O51" s="1">
        <v>371819.0</v>
      </c>
      <c r="P51" s="1" t="s">
        <v>32</v>
      </c>
      <c r="Q51" s="1" t="s">
        <v>187</v>
      </c>
      <c r="R51" s="1">
        <v>8192.0</v>
      </c>
      <c r="S51" s="1" t="s">
        <v>57</v>
      </c>
      <c r="T51" s="1" t="s">
        <v>35</v>
      </c>
      <c r="U51" s="1">
        <v>112.0</v>
      </c>
      <c r="V51" s="1" t="s">
        <v>38</v>
      </c>
      <c r="W51" s="2">
        <v>45930.0</v>
      </c>
      <c r="X51" s="1">
        <v>2025.0</v>
      </c>
    </row>
    <row r="52" ht="15.75" customHeight="1">
      <c r="A52" s="2">
        <v>45951.0</v>
      </c>
      <c r="B52" s="1" t="s">
        <v>188</v>
      </c>
      <c r="C52" s="1" t="s">
        <v>189</v>
      </c>
      <c r="E52" s="1" t="s">
        <v>190</v>
      </c>
      <c r="F52" s="1" t="s">
        <v>191</v>
      </c>
      <c r="G52" s="1" t="s">
        <v>55</v>
      </c>
      <c r="H52" s="1" t="s">
        <v>29</v>
      </c>
      <c r="I52" s="1" t="s">
        <v>192</v>
      </c>
      <c r="J52" s="1" t="s">
        <v>193</v>
      </c>
      <c r="L52" s="2">
        <v>45962.0</v>
      </c>
      <c r="M52" s="2">
        <v>45962.0</v>
      </c>
      <c r="O52" s="1">
        <v>1.9645587E7</v>
      </c>
      <c r="P52" s="1" t="s">
        <v>32</v>
      </c>
      <c r="Q52" s="1" t="s">
        <v>116</v>
      </c>
      <c r="R52" s="1">
        <v>8192.0</v>
      </c>
      <c r="S52" s="1" t="s">
        <v>57</v>
      </c>
      <c r="T52" s="1" t="s">
        <v>35</v>
      </c>
      <c r="U52" s="1">
        <v>74.67</v>
      </c>
      <c r="V52" s="1" t="s">
        <v>38</v>
      </c>
      <c r="W52" s="2">
        <v>45930.0</v>
      </c>
      <c r="X52" s="1">
        <v>2025.0</v>
      </c>
    </row>
    <row r="53" ht="15.75" customHeight="1">
      <c r="A53" s="2">
        <v>45951.0</v>
      </c>
      <c r="B53" s="1" t="s">
        <v>194</v>
      </c>
      <c r="C53" s="1" t="s">
        <v>195</v>
      </c>
      <c r="E53" s="1" t="s">
        <v>196</v>
      </c>
      <c r="F53" s="1" t="s">
        <v>27</v>
      </c>
      <c r="G53" s="1" t="s">
        <v>43</v>
      </c>
      <c r="H53" s="1" t="s">
        <v>29</v>
      </c>
      <c r="I53" s="1" t="s">
        <v>30</v>
      </c>
      <c r="J53" s="1" t="s">
        <v>197</v>
      </c>
      <c r="L53" s="2">
        <v>45931.0</v>
      </c>
      <c r="M53" s="2">
        <v>45931.0</v>
      </c>
      <c r="O53" s="1">
        <v>1.7528908E7</v>
      </c>
      <c r="P53" s="1" t="s">
        <v>32</v>
      </c>
      <c r="Q53" s="1" t="s">
        <v>198</v>
      </c>
      <c r="R53" s="1">
        <v>8192.0</v>
      </c>
      <c r="S53" s="1" t="s">
        <v>57</v>
      </c>
      <c r="T53" s="1" t="s">
        <v>35</v>
      </c>
      <c r="U53" s="1">
        <v>855.0</v>
      </c>
      <c r="V53" s="1" t="s">
        <v>36</v>
      </c>
      <c r="W53" s="2">
        <v>45929.0</v>
      </c>
      <c r="X53" s="1">
        <v>2025.0</v>
      </c>
    </row>
    <row r="54" ht="15.75" customHeight="1">
      <c r="A54" s="2">
        <v>45951.0</v>
      </c>
      <c r="B54" s="1" t="s">
        <v>194</v>
      </c>
      <c r="C54" s="1" t="s">
        <v>195</v>
      </c>
      <c r="E54" s="1" t="s">
        <v>196</v>
      </c>
      <c r="F54" s="1" t="s">
        <v>27</v>
      </c>
      <c r="G54" s="1" t="s">
        <v>37</v>
      </c>
      <c r="H54" s="1" t="s">
        <v>29</v>
      </c>
      <c r="I54" s="1" t="s">
        <v>30</v>
      </c>
      <c r="J54" s="1" t="s">
        <v>197</v>
      </c>
      <c r="L54" s="2">
        <v>45931.0</v>
      </c>
      <c r="M54" s="2">
        <v>45931.0</v>
      </c>
      <c r="O54" s="1">
        <v>1.7528908E7</v>
      </c>
      <c r="P54" s="1" t="s">
        <v>32</v>
      </c>
      <c r="Q54" s="1" t="s">
        <v>198</v>
      </c>
      <c r="R54" s="1">
        <v>8192.0</v>
      </c>
      <c r="S54" s="1" t="s">
        <v>57</v>
      </c>
      <c r="T54" s="1" t="s">
        <v>35</v>
      </c>
      <c r="U54" s="1">
        <v>-125.75</v>
      </c>
      <c r="V54" s="1" t="s">
        <v>38</v>
      </c>
      <c r="W54" s="2">
        <v>45929.0</v>
      </c>
      <c r="X54" s="1">
        <v>2025.0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29"/>
    <col customWidth="1" min="3" max="5" width="23.14"/>
    <col customWidth="1" min="6" max="6" width="13.71"/>
    <col customWidth="1" min="7" max="8" width="8.71"/>
    <col customWidth="1" min="9" max="9" width="15.71"/>
    <col customWidth="1" min="10" max="10" width="13.57"/>
    <col customWidth="1" min="11" max="12" width="8.71"/>
    <col customWidth="1" min="13" max="13" width="24.29"/>
    <col customWidth="1" min="14" max="16" width="8.71"/>
    <col customWidth="1" min="17" max="17" width="21.14"/>
    <col customWidth="1" min="18" max="18" width="23.14"/>
    <col customWidth="1" min="19" max="27" width="8.71"/>
  </cols>
  <sheetData>
    <row r="1">
      <c r="A1" s="1" t="s">
        <v>1</v>
      </c>
      <c r="C1" s="1" t="s">
        <v>4</v>
      </c>
      <c r="F1" s="1" t="s">
        <v>5</v>
      </c>
      <c r="G1" s="1" t="s">
        <v>6</v>
      </c>
      <c r="H1" s="1" t="s">
        <v>7</v>
      </c>
      <c r="I1" s="1" t="s">
        <v>11</v>
      </c>
      <c r="J1" s="1" t="s">
        <v>12</v>
      </c>
      <c r="K1" s="1" t="s">
        <v>14</v>
      </c>
      <c r="L1" s="1" t="s">
        <v>15</v>
      </c>
      <c r="M1" s="1" t="s">
        <v>16</v>
      </c>
      <c r="N1" s="1" t="s">
        <v>18</v>
      </c>
      <c r="O1" s="1" t="s">
        <v>20</v>
      </c>
    </row>
    <row r="2">
      <c r="A2" s="3" t="s">
        <v>52</v>
      </c>
      <c r="B2" s="3" t="str">
        <f>CONCATENATE(A2,8)</f>
        <v>4FH9DJ0EW128</v>
      </c>
      <c r="C2" s="3" t="s">
        <v>199</v>
      </c>
      <c r="D2" s="3" t="s">
        <v>200</v>
      </c>
      <c r="E2" s="3" t="str">
        <f t="shared" ref="E2:E105" si="1">CONCATENATE(D2, " ",C2)</f>
        <v>CHERYL BOWSER</v>
      </c>
      <c r="F2" s="3" t="s">
        <v>27</v>
      </c>
      <c r="G2" s="3" t="s">
        <v>55</v>
      </c>
      <c r="H2" s="3" t="s">
        <v>29</v>
      </c>
      <c r="I2" s="2">
        <v>45931.0</v>
      </c>
      <c r="J2" s="2">
        <v>45931.0</v>
      </c>
      <c r="K2" s="3">
        <v>8971826.0</v>
      </c>
      <c r="L2" s="3" t="s">
        <v>32</v>
      </c>
      <c r="M2" s="3" t="s">
        <v>56</v>
      </c>
      <c r="N2" s="3" t="s">
        <v>57</v>
      </c>
      <c r="O2" s="3">
        <v>125.75</v>
      </c>
      <c r="P2" s="3">
        <f>353/12*3</f>
        <v>88.25</v>
      </c>
      <c r="Q2" s="3" t="s">
        <v>201</v>
      </c>
      <c r="R2" s="3" t="s">
        <v>202</v>
      </c>
      <c r="S2" s="3"/>
      <c r="T2" s="3"/>
      <c r="U2" s="3"/>
      <c r="V2" s="3"/>
      <c r="W2" s="3"/>
      <c r="X2" s="3"/>
      <c r="Y2" s="3"/>
      <c r="Z2" s="3"/>
      <c r="AA2" s="3"/>
    </row>
    <row r="3">
      <c r="A3" s="4" t="s">
        <v>117</v>
      </c>
      <c r="B3" s="4" t="str">
        <f>CONCATENATE(A3,7)</f>
        <v>4HM7XN6GN577</v>
      </c>
      <c r="C3" s="4" t="s">
        <v>203</v>
      </c>
      <c r="D3" s="4" t="s">
        <v>204</v>
      </c>
      <c r="E3" s="4" t="str">
        <f t="shared" si="1"/>
        <v>HAITHAM MASRI</v>
      </c>
      <c r="F3" s="4" t="s">
        <v>61</v>
      </c>
      <c r="G3" s="4" t="s">
        <v>43</v>
      </c>
      <c r="H3" s="4" t="s">
        <v>29</v>
      </c>
      <c r="I3" s="5">
        <v>45931.0</v>
      </c>
      <c r="J3" s="5">
        <v>45931.0</v>
      </c>
      <c r="K3" s="4">
        <v>1.9491313E7</v>
      </c>
      <c r="L3" s="4" t="s">
        <v>32</v>
      </c>
      <c r="M3" s="4" t="s">
        <v>121</v>
      </c>
      <c r="N3" s="4" t="s">
        <v>57</v>
      </c>
      <c r="O3" s="4">
        <v>776.0</v>
      </c>
      <c r="P3" s="4">
        <v>626.0</v>
      </c>
      <c r="Q3" s="4" t="s">
        <v>205</v>
      </c>
      <c r="R3" s="4" t="s">
        <v>206</v>
      </c>
      <c r="S3" s="4"/>
      <c r="T3" s="4"/>
      <c r="U3" s="4"/>
      <c r="V3" s="4"/>
      <c r="W3" s="4"/>
      <c r="X3" s="4"/>
      <c r="Y3" s="4"/>
      <c r="Z3" s="4"/>
      <c r="AA3" s="4"/>
    </row>
    <row r="4">
      <c r="A4" s="3" t="s">
        <v>117</v>
      </c>
      <c r="B4" s="3" t="str">
        <f>CONCATENATE(A4,8)</f>
        <v>4HM7XN6GN578</v>
      </c>
      <c r="C4" s="3" t="s">
        <v>203</v>
      </c>
      <c r="D4" s="3" t="s">
        <v>204</v>
      </c>
      <c r="E4" s="3" t="str">
        <f t="shared" si="1"/>
        <v>HAITHAM MASRI</v>
      </c>
      <c r="F4" s="3" t="s">
        <v>61</v>
      </c>
      <c r="G4" s="3" t="s">
        <v>37</v>
      </c>
      <c r="H4" s="3" t="s">
        <v>29</v>
      </c>
      <c r="I4" s="2">
        <v>45931.0</v>
      </c>
      <c r="J4" s="2">
        <v>45931.0</v>
      </c>
      <c r="K4" s="3">
        <v>1.9491313E7</v>
      </c>
      <c r="L4" s="3" t="s">
        <v>32</v>
      </c>
      <c r="M4" s="3" t="s">
        <v>121</v>
      </c>
      <c r="N4" s="3" t="s">
        <v>57</v>
      </c>
      <c r="O4" s="3">
        <v>-115.75</v>
      </c>
      <c r="P4" s="3">
        <v>-78.25</v>
      </c>
      <c r="Q4" s="3" t="s">
        <v>207</v>
      </c>
      <c r="R4" s="3" t="s">
        <v>208</v>
      </c>
      <c r="S4" s="3"/>
      <c r="T4" s="3"/>
      <c r="U4" s="3"/>
      <c r="V4" s="3"/>
      <c r="W4" s="3"/>
      <c r="X4" s="3"/>
      <c r="Y4" s="3"/>
      <c r="Z4" s="3"/>
      <c r="AA4" s="3"/>
    </row>
    <row r="5">
      <c r="A5" s="4" t="s">
        <v>151</v>
      </c>
      <c r="B5" s="4" t="str">
        <f>CONCATENATE(A5,7)</f>
        <v>8AC1PC2MR337</v>
      </c>
      <c r="C5" s="4" t="s">
        <v>209</v>
      </c>
      <c r="D5" s="4" t="s">
        <v>210</v>
      </c>
      <c r="E5" s="4" t="str">
        <f t="shared" si="1"/>
        <v>RENEE PANATTONI</v>
      </c>
      <c r="F5" s="4" t="s">
        <v>42</v>
      </c>
      <c r="G5" s="4" t="s">
        <v>43</v>
      </c>
      <c r="H5" s="4" t="s">
        <v>29</v>
      </c>
      <c r="I5" s="5">
        <v>45962.0</v>
      </c>
      <c r="J5" s="5">
        <v>45962.0</v>
      </c>
      <c r="K5" s="4">
        <v>7470776.0</v>
      </c>
      <c r="L5" s="4" t="s">
        <v>32</v>
      </c>
      <c r="M5" s="4" t="s">
        <v>155</v>
      </c>
      <c r="N5" s="4" t="s">
        <v>57</v>
      </c>
      <c r="O5" s="4">
        <v>776.0</v>
      </c>
      <c r="P5" s="4">
        <v>626.0</v>
      </c>
      <c r="Q5" s="4" t="s">
        <v>205</v>
      </c>
      <c r="R5" s="4" t="s">
        <v>206</v>
      </c>
      <c r="S5" s="4"/>
      <c r="T5" s="4"/>
      <c r="U5" s="4"/>
      <c r="V5" s="4"/>
      <c r="W5" s="4"/>
      <c r="X5" s="4"/>
      <c r="Y5" s="4"/>
      <c r="Z5" s="4"/>
      <c r="AA5" s="4"/>
    </row>
    <row r="6">
      <c r="A6" s="3" t="s">
        <v>151</v>
      </c>
      <c r="B6" s="3" t="str">
        <f t="shared" ref="B6:B7" si="2">CONCATENATE(A6,8)</f>
        <v>8AC1PC2MR338</v>
      </c>
      <c r="C6" s="3" t="s">
        <v>209</v>
      </c>
      <c r="D6" s="3" t="s">
        <v>210</v>
      </c>
      <c r="E6" s="3" t="str">
        <f t="shared" si="1"/>
        <v>RENEE PANATTONI</v>
      </c>
      <c r="F6" s="3" t="s">
        <v>42</v>
      </c>
      <c r="G6" s="3" t="s">
        <v>37</v>
      </c>
      <c r="H6" s="3" t="s">
        <v>29</v>
      </c>
      <c r="I6" s="2">
        <v>45962.0</v>
      </c>
      <c r="J6" s="2">
        <v>45962.0</v>
      </c>
      <c r="K6" s="3">
        <v>7470776.0</v>
      </c>
      <c r="L6" s="3" t="s">
        <v>32</v>
      </c>
      <c r="M6" s="3" t="s">
        <v>155</v>
      </c>
      <c r="N6" s="3" t="s">
        <v>57</v>
      </c>
      <c r="O6" s="3">
        <v>-77.17</v>
      </c>
      <c r="P6" s="3">
        <v>-52.17</v>
      </c>
      <c r="Q6" s="3" t="s">
        <v>207</v>
      </c>
      <c r="R6" s="3" t="s">
        <v>211</v>
      </c>
      <c r="S6" s="3"/>
      <c r="T6" s="3"/>
      <c r="U6" s="3"/>
      <c r="V6" s="3"/>
      <c r="W6" s="3"/>
      <c r="X6" s="3"/>
      <c r="Y6" s="3"/>
      <c r="Z6" s="3"/>
      <c r="AA6" s="3"/>
    </row>
    <row r="7">
      <c r="A7" s="3" t="s">
        <v>65</v>
      </c>
      <c r="B7" s="3" t="str">
        <f t="shared" si="2"/>
        <v>8MJ8C30QE398</v>
      </c>
      <c r="C7" s="3" t="s">
        <v>212</v>
      </c>
      <c r="D7" s="3" t="s">
        <v>213</v>
      </c>
      <c r="E7" s="3" t="str">
        <f t="shared" si="1"/>
        <v>LINDA BRICE</v>
      </c>
      <c r="F7" s="3" t="s">
        <v>27</v>
      </c>
      <c r="G7" s="3" t="s">
        <v>55</v>
      </c>
      <c r="H7" s="3" t="s">
        <v>29</v>
      </c>
      <c r="I7" s="2">
        <v>45931.0</v>
      </c>
      <c r="J7" s="2">
        <v>45931.0</v>
      </c>
      <c r="K7" s="3">
        <v>9544903.0</v>
      </c>
      <c r="L7" s="3" t="s">
        <v>32</v>
      </c>
      <c r="M7" s="3" t="s">
        <v>69</v>
      </c>
      <c r="N7" s="3" t="s">
        <v>57</v>
      </c>
      <c r="O7" s="3">
        <v>125.75</v>
      </c>
      <c r="P7" s="3">
        <f>353/12*3</f>
        <v>88.25</v>
      </c>
      <c r="Q7" s="3" t="s">
        <v>201</v>
      </c>
      <c r="R7" s="3" t="s">
        <v>202</v>
      </c>
      <c r="S7" s="3"/>
      <c r="T7" s="3"/>
      <c r="U7" s="3"/>
      <c r="V7" s="3"/>
      <c r="W7" s="3"/>
      <c r="X7" s="3"/>
      <c r="Y7" s="3"/>
      <c r="Z7" s="3"/>
      <c r="AA7" s="3"/>
    </row>
    <row r="8">
      <c r="A8" s="4" t="s">
        <v>92</v>
      </c>
      <c r="B8" s="4" t="str">
        <f t="shared" ref="B8:B10" si="3">CONCATENATE(A8,7)</f>
        <v>4G77E15MR497</v>
      </c>
      <c r="C8" s="4" t="s">
        <v>214</v>
      </c>
      <c r="D8" s="4" t="s">
        <v>215</v>
      </c>
      <c r="E8" s="4" t="str">
        <f t="shared" si="1"/>
        <v>DARRELL GUNTER</v>
      </c>
      <c r="F8" s="4" t="s">
        <v>27</v>
      </c>
      <c r="G8" s="4" t="s">
        <v>98</v>
      </c>
      <c r="H8" s="4" t="s">
        <v>29</v>
      </c>
      <c r="I8" s="5">
        <v>45748.0</v>
      </c>
      <c r="J8" s="5">
        <v>45748.0</v>
      </c>
      <c r="K8" s="4">
        <v>1.7425766E7</v>
      </c>
      <c r="L8" s="4" t="s">
        <v>32</v>
      </c>
      <c r="M8" s="4" t="s">
        <v>97</v>
      </c>
      <c r="N8" s="4" t="s">
        <v>34</v>
      </c>
      <c r="O8" s="4">
        <v>-830.0</v>
      </c>
      <c r="P8" s="4">
        <v>-705.0</v>
      </c>
      <c r="Q8" s="4" t="s">
        <v>216</v>
      </c>
      <c r="R8" s="4" t="s">
        <v>217</v>
      </c>
      <c r="S8" s="4"/>
      <c r="T8" s="4"/>
      <c r="U8" s="4"/>
      <c r="V8" s="4"/>
      <c r="W8" s="4"/>
      <c r="X8" s="4"/>
      <c r="Y8" s="4"/>
      <c r="Z8" s="4"/>
      <c r="AA8" s="4"/>
    </row>
    <row r="9">
      <c r="A9" s="4" t="s">
        <v>92</v>
      </c>
      <c r="B9" s="4" t="str">
        <f t="shared" si="3"/>
        <v>4G77E15MR497</v>
      </c>
      <c r="C9" s="4" t="s">
        <v>214</v>
      </c>
      <c r="D9" s="4" t="s">
        <v>215</v>
      </c>
      <c r="E9" s="4" t="str">
        <f t="shared" si="1"/>
        <v>DARRELL GUNTER</v>
      </c>
      <c r="F9" s="4" t="s">
        <v>27</v>
      </c>
      <c r="G9" s="4" t="s">
        <v>95</v>
      </c>
      <c r="H9" s="4" t="s">
        <v>29</v>
      </c>
      <c r="I9" s="5">
        <v>45748.0</v>
      </c>
      <c r="J9" s="5">
        <v>45748.0</v>
      </c>
      <c r="K9" s="4">
        <v>1.7425766E7</v>
      </c>
      <c r="L9" s="4" t="s">
        <v>32</v>
      </c>
      <c r="M9" s="4" t="s">
        <v>97</v>
      </c>
      <c r="N9" s="4" t="s">
        <v>34</v>
      </c>
      <c r="O9" s="4">
        <v>415.0</v>
      </c>
      <c r="P9" s="4">
        <f>705/12*6</f>
        <v>352.5</v>
      </c>
      <c r="Q9" s="4" t="s">
        <v>216</v>
      </c>
      <c r="R9" s="4" t="s">
        <v>218</v>
      </c>
      <c r="S9" s="4"/>
      <c r="T9" s="4"/>
      <c r="U9" s="4"/>
      <c r="V9" s="4"/>
      <c r="W9" s="4"/>
      <c r="X9" s="4"/>
      <c r="Y9" s="4"/>
      <c r="Z9" s="4"/>
      <c r="AA9" s="4"/>
    </row>
    <row r="10">
      <c r="A10" s="4" t="s">
        <v>99</v>
      </c>
      <c r="B10" s="4" t="str">
        <f t="shared" si="3"/>
        <v>9G01Y38DT337</v>
      </c>
      <c r="C10" s="4" t="s">
        <v>219</v>
      </c>
      <c r="D10" s="4" t="s">
        <v>220</v>
      </c>
      <c r="E10" s="4" t="str">
        <f t="shared" si="1"/>
        <v>CURT HAGEMEIER</v>
      </c>
      <c r="F10" s="4" t="s">
        <v>42</v>
      </c>
      <c r="G10" s="4" t="s">
        <v>43</v>
      </c>
      <c r="H10" s="4" t="s">
        <v>29</v>
      </c>
      <c r="I10" s="5">
        <v>45931.0</v>
      </c>
      <c r="J10" s="5">
        <v>45931.0</v>
      </c>
      <c r="K10" s="4">
        <v>1.9268643E7</v>
      </c>
      <c r="L10" s="4" t="s">
        <v>32</v>
      </c>
      <c r="M10" s="4" t="s">
        <v>104</v>
      </c>
      <c r="N10" s="4" t="s">
        <v>34</v>
      </c>
      <c r="O10" s="4">
        <v>751.0</v>
      </c>
      <c r="P10" s="4">
        <v>626.0</v>
      </c>
      <c r="Q10" s="4" t="s">
        <v>205</v>
      </c>
      <c r="R10" s="4" t="s">
        <v>206</v>
      </c>
      <c r="S10" s="4"/>
      <c r="T10" s="4"/>
      <c r="U10" s="4"/>
      <c r="V10" s="4"/>
      <c r="W10" s="4"/>
      <c r="X10" s="4"/>
      <c r="Y10" s="4"/>
      <c r="Z10" s="4"/>
      <c r="AA10" s="4"/>
    </row>
    <row r="11">
      <c r="A11" s="3" t="s">
        <v>99</v>
      </c>
      <c r="B11" s="3" t="str">
        <f>CONCATENATE(A11,8)</f>
        <v>9G01Y38DT338</v>
      </c>
      <c r="C11" s="3" t="s">
        <v>219</v>
      </c>
      <c r="D11" s="3" t="s">
        <v>220</v>
      </c>
      <c r="E11" s="3" t="str">
        <f t="shared" si="1"/>
        <v>CURT HAGEMEIER</v>
      </c>
      <c r="F11" s="3" t="s">
        <v>42</v>
      </c>
      <c r="G11" s="3" t="s">
        <v>37</v>
      </c>
      <c r="H11" s="3" t="s">
        <v>29</v>
      </c>
      <c r="I11" s="2">
        <v>45931.0</v>
      </c>
      <c r="J11" s="2">
        <v>45931.0</v>
      </c>
      <c r="K11" s="3">
        <v>1.9268643E7</v>
      </c>
      <c r="L11" s="3" t="s">
        <v>32</v>
      </c>
      <c r="M11" s="3" t="s">
        <v>104</v>
      </c>
      <c r="N11" s="3" t="s">
        <v>34</v>
      </c>
      <c r="O11" s="3">
        <v>-109.5</v>
      </c>
      <c r="P11" s="3">
        <v>-78.25</v>
      </c>
      <c r="Q11" s="3" t="s">
        <v>207</v>
      </c>
      <c r="R11" s="3" t="s">
        <v>208</v>
      </c>
      <c r="S11" s="3"/>
      <c r="T11" s="3"/>
      <c r="U11" s="3"/>
      <c r="V11" s="3"/>
      <c r="W11" s="3"/>
      <c r="X11" s="3"/>
      <c r="Y11" s="3"/>
      <c r="Z11" s="3"/>
      <c r="AA11" s="3"/>
    </row>
    <row r="12">
      <c r="A12" s="4" t="s">
        <v>132</v>
      </c>
      <c r="B12" s="4" t="str">
        <f>CONCATENATE(A12,7)</f>
        <v>4D43X47JA737</v>
      </c>
      <c r="C12" s="4" t="s">
        <v>221</v>
      </c>
      <c r="D12" s="4" t="s">
        <v>222</v>
      </c>
      <c r="E12" s="4" t="str">
        <f t="shared" si="1"/>
        <v>MARIA MORRISON</v>
      </c>
      <c r="F12" s="4" t="s">
        <v>135</v>
      </c>
      <c r="G12" s="4" t="s">
        <v>28</v>
      </c>
      <c r="H12" s="4" t="s">
        <v>29</v>
      </c>
      <c r="I12" s="5">
        <v>45931.0</v>
      </c>
      <c r="J12" s="5">
        <v>45931.0</v>
      </c>
      <c r="K12" s="4">
        <v>1.7301495E7</v>
      </c>
      <c r="L12" s="4" t="s">
        <v>32</v>
      </c>
      <c r="M12" s="4" t="s">
        <v>137</v>
      </c>
      <c r="N12" s="4" t="s">
        <v>57</v>
      </c>
      <c r="O12" s="4">
        <v>190.25</v>
      </c>
      <c r="P12" s="4">
        <f>626/12*3</f>
        <v>156.5</v>
      </c>
      <c r="Q12" s="4" t="s">
        <v>205</v>
      </c>
      <c r="R12" s="4" t="s">
        <v>223</v>
      </c>
      <c r="S12" s="4"/>
      <c r="T12" s="4"/>
      <c r="U12" s="4"/>
      <c r="V12" s="4"/>
      <c r="W12" s="4"/>
      <c r="X12" s="4"/>
      <c r="Y12" s="4"/>
      <c r="Z12" s="4"/>
      <c r="AA12" s="4"/>
    </row>
    <row r="13">
      <c r="A13" s="3" t="s">
        <v>132</v>
      </c>
      <c r="B13" s="3" t="str">
        <f>CONCATENATE(A13,8)</f>
        <v>4D43X47JA738</v>
      </c>
      <c r="C13" s="3" t="s">
        <v>221</v>
      </c>
      <c r="D13" s="3" t="s">
        <v>222</v>
      </c>
      <c r="E13" s="3" t="str">
        <f t="shared" si="1"/>
        <v>MARIA MORRISON</v>
      </c>
      <c r="F13" s="3" t="s">
        <v>135</v>
      </c>
      <c r="G13" s="3" t="s">
        <v>37</v>
      </c>
      <c r="H13" s="3" t="s">
        <v>29</v>
      </c>
      <c r="I13" s="2">
        <v>45931.0</v>
      </c>
      <c r="J13" s="2">
        <v>45931.0</v>
      </c>
      <c r="K13" s="3">
        <v>1.7301495E7</v>
      </c>
      <c r="L13" s="3" t="s">
        <v>32</v>
      </c>
      <c r="M13" s="3" t="s">
        <v>137</v>
      </c>
      <c r="N13" s="3" t="s">
        <v>57</v>
      </c>
      <c r="O13" s="3">
        <v>-112.0</v>
      </c>
      <c r="P13" s="3">
        <v>-78.25</v>
      </c>
      <c r="Q13" s="3" t="s">
        <v>207</v>
      </c>
      <c r="R13" s="3" t="s">
        <v>208</v>
      </c>
      <c r="S13" s="3"/>
      <c r="T13" s="3"/>
      <c r="U13" s="3"/>
      <c r="V13" s="3"/>
      <c r="W13" s="3"/>
      <c r="X13" s="3"/>
      <c r="Y13" s="3"/>
      <c r="Z13" s="3"/>
      <c r="AA13" s="3"/>
    </row>
    <row r="14">
      <c r="A14" s="4" t="s">
        <v>194</v>
      </c>
      <c r="B14" s="4" t="str">
        <f>CONCATENATE(A14,7)</f>
        <v>6PP0TT4MA297</v>
      </c>
      <c r="C14" s="4" t="s">
        <v>224</v>
      </c>
      <c r="D14" s="4" t="s">
        <v>225</v>
      </c>
      <c r="E14" s="4" t="str">
        <f t="shared" si="1"/>
        <v>CATHERYN WARNER</v>
      </c>
      <c r="F14" s="4" t="s">
        <v>27</v>
      </c>
      <c r="G14" s="4" t="s">
        <v>43</v>
      </c>
      <c r="H14" s="4" t="s">
        <v>29</v>
      </c>
      <c r="I14" s="5">
        <v>45931.0</v>
      </c>
      <c r="J14" s="5">
        <v>45931.0</v>
      </c>
      <c r="K14" s="4">
        <v>1.7528908E7</v>
      </c>
      <c r="L14" s="4" t="s">
        <v>32</v>
      </c>
      <c r="M14" s="4" t="s">
        <v>198</v>
      </c>
      <c r="N14" s="4" t="s">
        <v>57</v>
      </c>
      <c r="O14" s="4">
        <v>855.0</v>
      </c>
      <c r="P14" s="4">
        <v>705.0</v>
      </c>
      <c r="Q14" s="4" t="s">
        <v>216</v>
      </c>
      <c r="R14" s="4" t="s">
        <v>217</v>
      </c>
      <c r="S14" s="4"/>
      <c r="T14" s="4"/>
      <c r="U14" s="4"/>
      <c r="V14" s="4"/>
      <c r="W14" s="4"/>
      <c r="X14" s="4"/>
      <c r="Y14" s="4"/>
      <c r="Z14" s="4"/>
      <c r="AA14" s="4"/>
    </row>
    <row r="15">
      <c r="A15" s="3" t="s">
        <v>194</v>
      </c>
      <c r="B15" s="3" t="str">
        <f>CONCATENATE(A15,8)</f>
        <v>6PP0TT4MA298</v>
      </c>
      <c r="C15" s="3" t="s">
        <v>224</v>
      </c>
      <c r="D15" s="3" t="s">
        <v>225</v>
      </c>
      <c r="E15" s="3" t="str">
        <f t="shared" si="1"/>
        <v>CATHERYN WARNER</v>
      </c>
      <c r="F15" s="3" t="s">
        <v>27</v>
      </c>
      <c r="G15" s="3" t="s">
        <v>37</v>
      </c>
      <c r="H15" s="3" t="s">
        <v>29</v>
      </c>
      <c r="I15" s="2">
        <v>45931.0</v>
      </c>
      <c r="J15" s="2">
        <v>45931.0</v>
      </c>
      <c r="K15" s="3">
        <v>1.7528908E7</v>
      </c>
      <c r="L15" s="3" t="s">
        <v>32</v>
      </c>
      <c r="M15" s="3" t="s">
        <v>198</v>
      </c>
      <c r="N15" s="3" t="s">
        <v>57</v>
      </c>
      <c r="O15" s="3">
        <v>-125.75</v>
      </c>
      <c r="P15" s="3">
        <v>-88.25</v>
      </c>
      <c r="Q15" s="3" t="s">
        <v>201</v>
      </c>
      <c r="R15" s="3" t="s">
        <v>202</v>
      </c>
      <c r="S15" s="3"/>
      <c r="T15" s="3"/>
      <c r="U15" s="3"/>
      <c r="V15" s="3"/>
      <c r="W15" s="3"/>
      <c r="X15" s="3"/>
      <c r="Y15" s="3"/>
      <c r="Z15" s="3"/>
      <c r="AA15" s="3"/>
    </row>
    <row r="16">
      <c r="A16" s="4" t="s">
        <v>138</v>
      </c>
      <c r="B16" s="4" t="str">
        <f>CONCATENATE(A16,7)</f>
        <v>6VG1UA9GU207</v>
      </c>
      <c r="C16" s="4" t="s">
        <v>226</v>
      </c>
      <c r="D16" s="4" t="s">
        <v>227</v>
      </c>
      <c r="E16" s="4" t="str">
        <f t="shared" si="1"/>
        <v>MICHAEL MULDOWNEY</v>
      </c>
      <c r="F16" s="4" t="s">
        <v>27</v>
      </c>
      <c r="G16" s="4" t="s">
        <v>43</v>
      </c>
      <c r="H16" s="4" t="s">
        <v>141</v>
      </c>
      <c r="I16" s="5">
        <v>45931.0</v>
      </c>
      <c r="J16" s="5">
        <v>45931.0</v>
      </c>
      <c r="K16" s="4">
        <v>1.927837E7</v>
      </c>
      <c r="L16" s="4" t="s">
        <v>32</v>
      </c>
      <c r="M16" s="4" t="s">
        <v>143</v>
      </c>
      <c r="N16" s="4" t="s">
        <v>57</v>
      </c>
      <c r="O16" s="4">
        <v>855.0</v>
      </c>
      <c r="P16" s="4">
        <v>705.0</v>
      </c>
      <c r="Q16" s="4" t="s">
        <v>216</v>
      </c>
      <c r="R16" s="4" t="s">
        <v>217</v>
      </c>
      <c r="S16" s="4"/>
      <c r="T16" s="4"/>
      <c r="U16" s="4"/>
      <c r="V16" s="4"/>
      <c r="W16" s="4"/>
      <c r="X16" s="4"/>
      <c r="Y16" s="4"/>
      <c r="Z16" s="4"/>
      <c r="AA16" s="4"/>
    </row>
    <row r="17">
      <c r="A17" s="3" t="s">
        <v>138</v>
      </c>
      <c r="B17" s="3" t="str">
        <f>CONCATENATE(A17,8)</f>
        <v>6VG1UA9GU208</v>
      </c>
      <c r="C17" s="3" t="s">
        <v>226</v>
      </c>
      <c r="D17" s="3" t="s">
        <v>227</v>
      </c>
      <c r="E17" s="3" t="str">
        <f t="shared" si="1"/>
        <v>MICHAEL MULDOWNEY</v>
      </c>
      <c r="F17" s="3" t="s">
        <v>27</v>
      </c>
      <c r="G17" s="3" t="s">
        <v>37</v>
      </c>
      <c r="H17" s="3" t="s">
        <v>141</v>
      </c>
      <c r="I17" s="2">
        <v>45931.0</v>
      </c>
      <c r="J17" s="2">
        <v>45931.0</v>
      </c>
      <c r="K17" s="3">
        <v>1.927837E7</v>
      </c>
      <c r="L17" s="3" t="s">
        <v>32</v>
      </c>
      <c r="M17" s="3" t="s">
        <v>143</v>
      </c>
      <c r="N17" s="3" t="s">
        <v>57</v>
      </c>
      <c r="O17" s="3">
        <v>-125.75</v>
      </c>
      <c r="P17" s="3">
        <v>-88.25</v>
      </c>
      <c r="Q17" s="3" t="s">
        <v>201</v>
      </c>
      <c r="R17" s="3" t="s">
        <v>202</v>
      </c>
      <c r="S17" s="3"/>
      <c r="T17" s="3"/>
      <c r="U17" s="3"/>
      <c r="V17" s="3"/>
      <c r="W17" s="3"/>
      <c r="X17" s="3"/>
      <c r="Y17" s="3"/>
      <c r="Z17" s="3"/>
      <c r="AA17" s="3"/>
    </row>
    <row r="18">
      <c r="A18" s="4" t="s">
        <v>168</v>
      </c>
      <c r="B18" s="4" t="str">
        <f>CONCATENATE(A18,7)</f>
        <v>1HH6U70AK437</v>
      </c>
      <c r="C18" s="4" t="s">
        <v>228</v>
      </c>
      <c r="D18" s="4" t="s">
        <v>229</v>
      </c>
      <c r="E18" s="4" t="str">
        <f t="shared" si="1"/>
        <v>ROBERT POLETYNSKI</v>
      </c>
      <c r="F18" s="4" t="s">
        <v>171</v>
      </c>
      <c r="G18" s="4" t="s">
        <v>43</v>
      </c>
      <c r="H18" s="4" t="s">
        <v>29</v>
      </c>
      <c r="I18" s="5">
        <v>45931.0</v>
      </c>
      <c r="J18" s="5">
        <v>45931.0</v>
      </c>
      <c r="K18" s="4">
        <v>5442438.0</v>
      </c>
      <c r="L18" s="4" t="s">
        <v>32</v>
      </c>
      <c r="M18" s="4" t="s">
        <v>173</v>
      </c>
      <c r="N18" s="4" t="s">
        <v>34</v>
      </c>
      <c r="O18" s="4">
        <v>746.0</v>
      </c>
      <c r="P18" s="4">
        <v>626.0</v>
      </c>
      <c r="Q18" s="4" t="s">
        <v>205</v>
      </c>
      <c r="R18" s="4" t="s">
        <v>206</v>
      </c>
      <c r="S18" s="4"/>
      <c r="T18" s="4"/>
      <c r="U18" s="4"/>
      <c r="V18" s="4"/>
      <c r="W18" s="4"/>
      <c r="X18" s="4"/>
      <c r="Y18" s="4"/>
      <c r="Z18" s="4"/>
      <c r="AA18" s="4"/>
    </row>
    <row r="19">
      <c r="A19" s="3" t="s">
        <v>168</v>
      </c>
      <c r="B19" s="3" t="str">
        <f t="shared" ref="B19:B20" si="4">CONCATENATE(A19,8)</f>
        <v>1HH6U70AK438</v>
      </c>
      <c r="C19" s="3" t="s">
        <v>228</v>
      </c>
      <c r="D19" s="3" t="s">
        <v>229</v>
      </c>
      <c r="E19" s="3" t="str">
        <f t="shared" si="1"/>
        <v>ROBERT POLETYNSKI</v>
      </c>
      <c r="F19" s="3" t="s">
        <v>171</v>
      </c>
      <c r="G19" s="3" t="s">
        <v>37</v>
      </c>
      <c r="H19" s="3" t="s">
        <v>29</v>
      </c>
      <c r="I19" s="2">
        <v>45931.0</v>
      </c>
      <c r="J19" s="2">
        <v>45931.0</v>
      </c>
      <c r="K19" s="3">
        <v>5442438.0</v>
      </c>
      <c r="L19" s="3" t="s">
        <v>32</v>
      </c>
      <c r="M19" s="3" t="s">
        <v>173</v>
      </c>
      <c r="N19" s="3" t="s">
        <v>34</v>
      </c>
      <c r="O19" s="3">
        <v>-108.25</v>
      </c>
      <c r="P19" s="3">
        <v>-78.25</v>
      </c>
      <c r="Q19" s="3" t="s">
        <v>207</v>
      </c>
      <c r="R19" s="3" t="s">
        <v>208</v>
      </c>
      <c r="S19" s="3"/>
      <c r="T19" s="3"/>
      <c r="U19" s="3"/>
      <c r="V19" s="3"/>
      <c r="W19" s="3"/>
      <c r="X19" s="3"/>
      <c r="Y19" s="3"/>
      <c r="Z19" s="3"/>
      <c r="AA19" s="3"/>
    </row>
    <row r="20">
      <c r="A20" s="3" t="s">
        <v>181</v>
      </c>
      <c r="B20" s="3" t="str">
        <f t="shared" si="4"/>
        <v>4YD4U43EF658</v>
      </c>
      <c r="C20" s="3" t="s">
        <v>230</v>
      </c>
      <c r="D20" s="3" t="s">
        <v>231</v>
      </c>
      <c r="E20" s="3" t="str">
        <f t="shared" si="1"/>
        <v>NANCY SMITH</v>
      </c>
      <c r="F20" s="3" t="s">
        <v>184</v>
      </c>
      <c r="G20" s="3" t="s">
        <v>55</v>
      </c>
      <c r="H20" s="3" t="s">
        <v>29</v>
      </c>
      <c r="I20" s="2">
        <v>45931.0</v>
      </c>
      <c r="J20" s="2">
        <v>45931.0</v>
      </c>
      <c r="K20" s="3">
        <v>371819.0</v>
      </c>
      <c r="L20" s="3" t="s">
        <v>32</v>
      </c>
      <c r="M20" s="3" t="s">
        <v>187</v>
      </c>
      <c r="N20" s="3" t="s">
        <v>57</v>
      </c>
      <c r="O20" s="3">
        <v>112.0</v>
      </c>
      <c r="P20" s="3">
        <f>313/12*3</f>
        <v>78.25</v>
      </c>
      <c r="Q20" s="3" t="s">
        <v>207</v>
      </c>
      <c r="R20" s="3" t="s">
        <v>208</v>
      </c>
      <c r="S20" s="3"/>
      <c r="T20" s="3"/>
      <c r="U20" s="3"/>
      <c r="V20" s="3"/>
      <c r="W20" s="3"/>
      <c r="X20" s="3"/>
      <c r="Y20" s="3"/>
      <c r="Z20" s="3"/>
      <c r="AA20" s="3"/>
    </row>
    <row r="21" ht="15.75" customHeight="1">
      <c r="A21" s="4" t="s">
        <v>39</v>
      </c>
      <c r="B21" s="4" t="str">
        <f t="shared" ref="B21:B22" si="5">CONCATENATE(A21,7)</f>
        <v>3EC1D83VF347</v>
      </c>
      <c r="C21" s="4" t="s">
        <v>232</v>
      </c>
      <c r="D21" s="4" t="s">
        <v>233</v>
      </c>
      <c r="E21" s="4" t="str">
        <f t="shared" si="1"/>
        <v>JESSE BARNET</v>
      </c>
      <c r="F21" s="4" t="s">
        <v>42</v>
      </c>
      <c r="G21" s="4" t="s">
        <v>43</v>
      </c>
      <c r="H21" s="4" t="s">
        <v>29</v>
      </c>
      <c r="I21" s="5">
        <v>45992.0</v>
      </c>
      <c r="J21" s="5">
        <v>45992.0</v>
      </c>
      <c r="K21" s="4">
        <v>9213293.0</v>
      </c>
      <c r="L21" s="4" t="s">
        <v>32</v>
      </c>
      <c r="M21" s="4" t="s">
        <v>46</v>
      </c>
      <c r="N21" s="4" t="s">
        <v>34</v>
      </c>
      <c r="O21" s="4">
        <v>746.0</v>
      </c>
      <c r="P21" s="4">
        <v>626.0</v>
      </c>
      <c r="Q21" s="4" t="s">
        <v>205</v>
      </c>
      <c r="R21" s="4" t="s">
        <v>206</v>
      </c>
      <c r="S21" s="4"/>
      <c r="T21" s="4"/>
      <c r="U21" s="4"/>
      <c r="V21" s="4"/>
      <c r="W21" s="4"/>
      <c r="X21" s="4"/>
      <c r="Y21" s="4"/>
      <c r="Z21" s="4"/>
      <c r="AA21" s="4"/>
    </row>
    <row r="22" ht="15.75" customHeight="1">
      <c r="A22" s="4" t="s">
        <v>174</v>
      </c>
      <c r="B22" s="4" t="str">
        <f t="shared" si="5"/>
        <v>6EY2R94YX967</v>
      </c>
      <c r="C22" s="4" t="s">
        <v>234</v>
      </c>
      <c r="D22" s="4" t="s">
        <v>235</v>
      </c>
      <c r="E22" s="4" t="str">
        <f t="shared" si="1"/>
        <v>RICHARD SCHRENZEL</v>
      </c>
      <c r="F22" s="4" t="s">
        <v>42</v>
      </c>
      <c r="G22" s="4" t="s">
        <v>43</v>
      </c>
      <c r="H22" s="4" t="s">
        <v>29</v>
      </c>
      <c r="I22" s="5">
        <v>45901.0</v>
      </c>
      <c r="J22" s="5">
        <v>45901.0</v>
      </c>
      <c r="K22" s="4">
        <v>9213293.0</v>
      </c>
      <c r="L22" s="4" t="s">
        <v>32</v>
      </c>
      <c r="M22" s="4" t="s">
        <v>46</v>
      </c>
      <c r="N22" s="4" t="s">
        <v>34</v>
      </c>
      <c r="O22" s="4">
        <v>751.0</v>
      </c>
      <c r="P22" s="4">
        <v>626.0</v>
      </c>
      <c r="Q22" s="4" t="s">
        <v>205</v>
      </c>
      <c r="R22" s="4" t="s">
        <v>206</v>
      </c>
      <c r="S22" s="4"/>
      <c r="T22" s="4"/>
      <c r="U22" s="4"/>
      <c r="V22" s="4"/>
      <c r="W22" s="4"/>
      <c r="X22" s="4"/>
      <c r="Y22" s="4"/>
      <c r="Z22" s="4"/>
      <c r="AA22" s="4"/>
    </row>
    <row r="23" ht="15.75" customHeight="1">
      <c r="A23" s="3" t="s">
        <v>174</v>
      </c>
      <c r="B23" s="3" t="str">
        <f t="shared" ref="B23:B24" si="6">CONCATENATE(A23,8)</f>
        <v>6EY2R94YX968</v>
      </c>
      <c r="C23" s="3" t="s">
        <v>234</v>
      </c>
      <c r="D23" s="3" t="s">
        <v>235</v>
      </c>
      <c r="E23" s="3" t="str">
        <f t="shared" si="1"/>
        <v>RICHARD SCHRENZEL</v>
      </c>
      <c r="F23" s="3" t="s">
        <v>42</v>
      </c>
      <c r="G23" s="3" t="s">
        <v>37</v>
      </c>
      <c r="H23" s="3" t="s">
        <v>29</v>
      </c>
      <c r="I23" s="2">
        <v>45901.0</v>
      </c>
      <c r="J23" s="2">
        <v>45901.0</v>
      </c>
      <c r="K23" s="3">
        <v>9213293.0</v>
      </c>
      <c r="L23" s="3" t="s">
        <v>32</v>
      </c>
      <c r="M23" s="3" t="s">
        <v>46</v>
      </c>
      <c r="N23" s="3" t="s">
        <v>34</v>
      </c>
      <c r="O23" s="3">
        <v>-146.0</v>
      </c>
      <c r="P23" s="3">
        <v>-104.33</v>
      </c>
      <c r="Q23" s="3" t="s">
        <v>207</v>
      </c>
      <c r="R23" s="3" t="s">
        <v>236</v>
      </c>
      <c r="S23" s="3"/>
      <c r="T23" s="3"/>
      <c r="U23" s="3"/>
      <c r="V23" s="3"/>
      <c r="W23" s="3"/>
      <c r="X23" s="3"/>
      <c r="Y23" s="3"/>
      <c r="Z23" s="3"/>
      <c r="AA23" s="3"/>
    </row>
    <row r="24" ht="15.75" customHeight="1">
      <c r="A24" s="3" t="s">
        <v>39</v>
      </c>
      <c r="B24" s="3" t="str">
        <f t="shared" si="6"/>
        <v>3EC1D83VF348</v>
      </c>
      <c r="C24" s="3" t="s">
        <v>232</v>
      </c>
      <c r="D24" s="3" t="s">
        <v>233</v>
      </c>
      <c r="E24" s="3" t="str">
        <f t="shared" si="1"/>
        <v>JESSE BARNET</v>
      </c>
      <c r="F24" s="3" t="s">
        <v>42</v>
      </c>
      <c r="G24" s="3" t="s">
        <v>37</v>
      </c>
      <c r="H24" s="3" t="s">
        <v>29</v>
      </c>
      <c r="I24" s="2">
        <v>45992.0</v>
      </c>
      <c r="J24" s="2">
        <v>45992.0</v>
      </c>
      <c r="K24" s="3">
        <v>9213293.0</v>
      </c>
      <c r="L24" s="3" t="s">
        <v>32</v>
      </c>
      <c r="M24" s="3" t="s">
        <v>46</v>
      </c>
      <c r="N24" s="3" t="s">
        <v>34</v>
      </c>
      <c r="O24" s="3">
        <v>-36.08</v>
      </c>
      <c r="P24" s="3">
        <v>-26.08</v>
      </c>
      <c r="Q24" s="3" t="s">
        <v>207</v>
      </c>
      <c r="R24" s="3" t="s">
        <v>237</v>
      </c>
      <c r="S24" s="3"/>
      <c r="T24" s="3"/>
      <c r="U24" s="3"/>
      <c r="V24" s="3"/>
      <c r="W24" s="3"/>
      <c r="X24" s="3"/>
      <c r="Y24" s="3"/>
      <c r="Z24" s="3"/>
      <c r="AA24" s="3"/>
    </row>
    <row r="25" ht="15.75" customHeight="1">
      <c r="A25" s="4" t="s">
        <v>112</v>
      </c>
      <c r="B25" s="4" t="str">
        <f>CONCATENATE(A25,7)</f>
        <v>1AA5E62WQ617</v>
      </c>
      <c r="C25" s="4" t="s">
        <v>238</v>
      </c>
      <c r="D25" s="4" t="s">
        <v>239</v>
      </c>
      <c r="E25" s="4" t="str">
        <f t="shared" si="1"/>
        <v>ELIZABETH JONES</v>
      </c>
      <c r="F25" s="4" t="s">
        <v>42</v>
      </c>
      <c r="G25" s="4" t="s">
        <v>43</v>
      </c>
      <c r="H25" s="4" t="s">
        <v>29</v>
      </c>
      <c r="I25" s="5">
        <v>45992.0</v>
      </c>
      <c r="J25" s="5">
        <v>45992.0</v>
      </c>
      <c r="K25" s="4">
        <v>1.9645587E7</v>
      </c>
      <c r="L25" s="4" t="s">
        <v>32</v>
      </c>
      <c r="M25" s="4" t="s">
        <v>116</v>
      </c>
      <c r="N25" s="4" t="s">
        <v>34</v>
      </c>
      <c r="O25" s="4">
        <v>751.0</v>
      </c>
      <c r="P25" s="4">
        <v>626.0</v>
      </c>
      <c r="Q25" s="4" t="s">
        <v>205</v>
      </c>
      <c r="R25" s="4" t="s">
        <v>206</v>
      </c>
      <c r="S25" s="4"/>
      <c r="T25" s="4"/>
      <c r="U25" s="4"/>
      <c r="V25" s="4"/>
      <c r="W25" s="4"/>
      <c r="X25" s="4"/>
      <c r="Y25" s="4"/>
      <c r="Z25" s="4"/>
      <c r="AA25" s="4"/>
    </row>
    <row r="26" ht="15.75" customHeight="1">
      <c r="A26" s="3" t="s">
        <v>112</v>
      </c>
      <c r="B26" s="3" t="str">
        <f t="shared" ref="B26:B27" si="7">CONCATENATE(A26,8)</f>
        <v>1AA5E62WQ618</v>
      </c>
      <c r="C26" s="3" t="s">
        <v>238</v>
      </c>
      <c r="D26" s="3" t="s">
        <v>239</v>
      </c>
      <c r="E26" s="3" t="str">
        <f t="shared" si="1"/>
        <v>ELIZABETH JONES</v>
      </c>
      <c r="F26" s="3" t="s">
        <v>42</v>
      </c>
      <c r="G26" s="3" t="s">
        <v>37</v>
      </c>
      <c r="H26" s="3" t="s">
        <v>29</v>
      </c>
      <c r="I26" s="2">
        <v>45992.0</v>
      </c>
      <c r="J26" s="2">
        <v>45992.0</v>
      </c>
      <c r="K26" s="3">
        <v>1.9645587E7</v>
      </c>
      <c r="L26" s="3" t="s">
        <v>32</v>
      </c>
      <c r="M26" s="3" t="s">
        <v>116</v>
      </c>
      <c r="N26" s="3" t="s">
        <v>34</v>
      </c>
      <c r="O26" s="3">
        <v>-36.5</v>
      </c>
      <c r="P26" s="3">
        <v>-26.08</v>
      </c>
      <c r="Q26" s="3" t="s">
        <v>207</v>
      </c>
      <c r="R26" s="3" t="s">
        <v>237</v>
      </c>
      <c r="S26" s="3"/>
      <c r="T26" s="3"/>
      <c r="U26" s="3"/>
      <c r="V26" s="3"/>
      <c r="W26" s="3"/>
      <c r="X26" s="3"/>
      <c r="Y26" s="3"/>
      <c r="Z26" s="3"/>
      <c r="AA26" s="3"/>
    </row>
    <row r="27" ht="15.75" customHeight="1">
      <c r="A27" s="3" t="s">
        <v>188</v>
      </c>
      <c r="B27" s="3" t="str">
        <f t="shared" si="7"/>
        <v>8CY1HY9CW358</v>
      </c>
      <c r="C27" s="3" t="s">
        <v>240</v>
      </c>
      <c r="D27" s="3" t="s">
        <v>241</v>
      </c>
      <c r="E27" s="3" t="str">
        <f t="shared" si="1"/>
        <v>NORMA TORRES</v>
      </c>
      <c r="F27" s="3" t="s">
        <v>191</v>
      </c>
      <c r="G27" s="3" t="s">
        <v>55</v>
      </c>
      <c r="H27" s="3" t="s">
        <v>29</v>
      </c>
      <c r="I27" s="2">
        <v>45962.0</v>
      </c>
      <c r="J27" s="2">
        <v>45962.0</v>
      </c>
      <c r="K27" s="3">
        <v>1.9645587E7</v>
      </c>
      <c r="L27" s="3" t="s">
        <v>32</v>
      </c>
      <c r="M27" s="3" t="s">
        <v>116</v>
      </c>
      <c r="N27" s="3" t="s">
        <v>57</v>
      </c>
      <c r="O27" s="3">
        <v>74.67</v>
      </c>
      <c r="P27" s="3">
        <v>52.17</v>
      </c>
      <c r="Q27" s="3" t="s">
        <v>207</v>
      </c>
      <c r="R27" s="3" t="s">
        <v>211</v>
      </c>
      <c r="S27" s="3"/>
      <c r="T27" s="3"/>
      <c r="U27" s="3"/>
      <c r="V27" s="3"/>
      <c r="W27" s="3"/>
      <c r="X27" s="3"/>
      <c r="Y27" s="3"/>
      <c r="Z27" s="3"/>
      <c r="AA27" s="3"/>
    </row>
    <row r="28" ht="15.75" customHeight="1">
      <c r="A28" s="4" t="s">
        <v>122</v>
      </c>
      <c r="B28" s="4" t="str">
        <f>CONCATENATE(A28,7)</f>
        <v>7AA0XY3KR027</v>
      </c>
      <c r="C28" s="4" t="s">
        <v>242</v>
      </c>
      <c r="D28" s="4" t="s">
        <v>243</v>
      </c>
      <c r="E28" s="4" t="str">
        <f t="shared" si="1"/>
        <v>KAREN MCFADDEN</v>
      </c>
      <c r="F28" s="4" t="s">
        <v>83</v>
      </c>
      <c r="G28" s="4" t="s">
        <v>43</v>
      </c>
      <c r="H28" s="4" t="s">
        <v>29</v>
      </c>
      <c r="I28" s="5">
        <v>45931.0</v>
      </c>
      <c r="J28" s="5">
        <v>45931.0</v>
      </c>
      <c r="K28" s="4">
        <v>1.6509456E7</v>
      </c>
      <c r="L28" s="4" t="s">
        <v>32</v>
      </c>
      <c r="M28" s="4" t="s">
        <v>126</v>
      </c>
      <c r="N28" s="4" t="s">
        <v>34</v>
      </c>
      <c r="O28" s="4">
        <v>866.0</v>
      </c>
      <c r="P28" s="4">
        <v>741.0</v>
      </c>
      <c r="Q28" s="4" t="s">
        <v>244</v>
      </c>
      <c r="R28" s="4" t="s">
        <v>245</v>
      </c>
      <c r="S28" s="4"/>
      <c r="T28" s="4"/>
      <c r="U28" s="4"/>
      <c r="V28" s="4"/>
      <c r="W28" s="4"/>
      <c r="X28" s="4"/>
      <c r="Y28" s="4"/>
      <c r="Z28" s="4"/>
      <c r="AA28" s="4"/>
    </row>
    <row r="29" ht="15.75" customHeight="1">
      <c r="A29" s="3" t="s">
        <v>122</v>
      </c>
      <c r="B29" s="3" t="str">
        <f>CONCATENATE(A29,8)</f>
        <v>7AA0XY3KR028</v>
      </c>
      <c r="C29" s="3" t="s">
        <v>242</v>
      </c>
      <c r="D29" s="3" t="s">
        <v>243</v>
      </c>
      <c r="E29" s="3" t="str">
        <f t="shared" si="1"/>
        <v>KAREN MCFADDEN</v>
      </c>
      <c r="F29" s="3" t="s">
        <v>83</v>
      </c>
      <c r="G29" s="3" t="s">
        <v>37</v>
      </c>
      <c r="H29" s="3" t="s">
        <v>29</v>
      </c>
      <c r="I29" s="2">
        <v>45931.0</v>
      </c>
      <c r="J29" s="2">
        <v>45931.0</v>
      </c>
      <c r="K29" s="3">
        <v>1.6509456E7</v>
      </c>
      <c r="L29" s="3" t="s">
        <v>32</v>
      </c>
      <c r="M29" s="3" t="s">
        <v>126</v>
      </c>
      <c r="N29" s="3" t="s">
        <v>34</v>
      </c>
      <c r="O29" s="3">
        <v>-138.25</v>
      </c>
      <c r="P29" s="3">
        <v>-89.5</v>
      </c>
      <c r="Q29" s="3" t="s">
        <v>246</v>
      </c>
      <c r="R29" s="3" t="s">
        <v>247</v>
      </c>
      <c r="S29" s="3"/>
      <c r="T29" s="3"/>
      <c r="U29" s="3"/>
      <c r="V29" s="3"/>
      <c r="W29" s="3"/>
      <c r="X29" s="3"/>
      <c r="Y29" s="3"/>
      <c r="Z29" s="3"/>
      <c r="AA29" s="3"/>
    </row>
    <row r="30" ht="15.75" customHeight="1">
      <c r="A30" s="4" t="s">
        <v>75</v>
      </c>
      <c r="B30" s="4" t="str">
        <f t="shared" ref="B30:B32" si="8">CONCATENATE(A30,7)</f>
        <v>6Y85V40VN977</v>
      </c>
      <c r="C30" s="4" t="s">
        <v>248</v>
      </c>
      <c r="D30" s="4" t="s">
        <v>249</v>
      </c>
      <c r="E30" s="4" t="str">
        <f t="shared" si="1"/>
        <v>JOHN GALIOTO</v>
      </c>
      <c r="F30" s="4" t="s">
        <v>42</v>
      </c>
      <c r="G30" s="4" t="s">
        <v>78</v>
      </c>
      <c r="H30" s="4" t="s">
        <v>29</v>
      </c>
      <c r="I30" s="5">
        <v>45689.0</v>
      </c>
      <c r="J30" s="5">
        <v>45689.0</v>
      </c>
      <c r="K30" s="4">
        <v>1.698346E7</v>
      </c>
      <c r="L30" s="4" t="s">
        <v>32</v>
      </c>
      <c r="M30" s="4" t="s">
        <v>79</v>
      </c>
      <c r="N30" s="4" t="s">
        <v>34</v>
      </c>
      <c r="O30" s="4">
        <v>-375.5</v>
      </c>
      <c r="P30" s="4">
        <v>-313.0</v>
      </c>
      <c r="Q30" s="4" t="s">
        <v>205</v>
      </c>
      <c r="R30" s="4" t="s">
        <v>250</v>
      </c>
      <c r="S30" s="4"/>
      <c r="T30" s="4"/>
      <c r="U30" s="4"/>
      <c r="V30" s="4"/>
      <c r="W30" s="4"/>
      <c r="X30" s="4"/>
      <c r="Y30" s="4"/>
      <c r="Z30" s="4"/>
      <c r="AA30" s="4"/>
    </row>
    <row r="31" ht="15.75" customHeight="1">
      <c r="A31" s="4" t="s">
        <v>75</v>
      </c>
      <c r="B31" s="4" t="str">
        <f t="shared" si="8"/>
        <v>6Y85V40VN977</v>
      </c>
      <c r="C31" s="4" t="s">
        <v>248</v>
      </c>
      <c r="D31" s="4" t="s">
        <v>249</v>
      </c>
      <c r="E31" s="4" t="str">
        <f t="shared" si="1"/>
        <v>JOHN GALIOTO</v>
      </c>
      <c r="F31" s="4" t="s">
        <v>42</v>
      </c>
      <c r="G31" s="4" t="s">
        <v>78</v>
      </c>
      <c r="H31" s="4" t="s">
        <v>29</v>
      </c>
      <c r="I31" s="5">
        <v>45689.0</v>
      </c>
      <c r="J31" s="5">
        <v>45689.0</v>
      </c>
      <c r="K31" s="4">
        <v>1.698346E7</v>
      </c>
      <c r="L31" s="4" t="s">
        <v>32</v>
      </c>
      <c r="M31" s="4" t="s">
        <v>79</v>
      </c>
      <c r="N31" s="4" t="s">
        <v>34</v>
      </c>
      <c r="O31" s="4">
        <v>751.0</v>
      </c>
      <c r="P31" s="4">
        <v>626.0</v>
      </c>
      <c r="Q31" s="4" t="s">
        <v>205</v>
      </c>
      <c r="R31" s="4" t="s">
        <v>206</v>
      </c>
      <c r="S31" s="4"/>
      <c r="T31" s="4"/>
      <c r="U31" s="4"/>
      <c r="V31" s="4"/>
      <c r="W31" s="4"/>
      <c r="X31" s="4"/>
      <c r="Y31" s="4"/>
      <c r="Z31" s="4"/>
      <c r="AA31" s="4"/>
    </row>
    <row r="32" ht="15.75" customHeight="1">
      <c r="A32" s="4" t="s">
        <v>105</v>
      </c>
      <c r="B32" s="4" t="str">
        <f t="shared" si="8"/>
        <v>1NH2XX0EW017</v>
      </c>
      <c r="C32" s="4" t="s">
        <v>251</v>
      </c>
      <c r="D32" s="4" t="s">
        <v>252</v>
      </c>
      <c r="E32" s="4" t="str">
        <f t="shared" si="1"/>
        <v>JANIE JOHNSON</v>
      </c>
      <c r="F32" s="4" t="s">
        <v>108</v>
      </c>
      <c r="G32" s="4" t="s">
        <v>43</v>
      </c>
      <c r="H32" s="4" t="s">
        <v>29</v>
      </c>
      <c r="I32" s="5">
        <v>45992.0</v>
      </c>
      <c r="J32" s="5">
        <v>45992.0</v>
      </c>
      <c r="K32" s="4">
        <v>2.1618313E7</v>
      </c>
      <c r="L32" s="4" t="s">
        <v>32</v>
      </c>
      <c r="M32" s="4" t="s">
        <v>111</v>
      </c>
      <c r="N32" s="4" t="s">
        <v>57</v>
      </c>
      <c r="O32" s="4">
        <v>955.0</v>
      </c>
      <c r="P32" s="4">
        <v>780.0</v>
      </c>
      <c r="Q32" s="4" t="s">
        <v>253</v>
      </c>
      <c r="R32" s="4" t="s">
        <v>254</v>
      </c>
      <c r="S32" s="4"/>
      <c r="T32" s="4"/>
      <c r="U32" s="4"/>
      <c r="V32" s="4"/>
      <c r="W32" s="4"/>
      <c r="X32" s="4"/>
      <c r="Y32" s="4"/>
      <c r="Z32" s="4"/>
      <c r="AA32" s="4"/>
    </row>
    <row r="33" ht="15.75" customHeight="1">
      <c r="A33" s="3" t="s">
        <v>105</v>
      </c>
      <c r="B33" s="3" t="str">
        <f>CONCATENATE(A33,8)</f>
        <v>1NH2XX0EW018</v>
      </c>
      <c r="C33" s="3" t="s">
        <v>251</v>
      </c>
      <c r="D33" s="3" t="s">
        <v>252</v>
      </c>
      <c r="E33" s="3" t="str">
        <f t="shared" si="1"/>
        <v>JANIE JOHNSON</v>
      </c>
      <c r="F33" s="3" t="s">
        <v>108</v>
      </c>
      <c r="G33" s="3" t="s">
        <v>37</v>
      </c>
      <c r="H33" s="3" t="s">
        <v>29</v>
      </c>
      <c r="I33" s="2">
        <v>45992.0</v>
      </c>
      <c r="J33" s="2">
        <v>45992.0</v>
      </c>
      <c r="K33" s="3">
        <v>2.1618313E7</v>
      </c>
      <c r="L33" s="3" t="s">
        <v>32</v>
      </c>
      <c r="M33" s="3" t="s">
        <v>111</v>
      </c>
      <c r="N33" s="3" t="s">
        <v>57</v>
      </c>
      <c r="O33" s="3">
        <v>-47.08</v>
      </c>
      <c r="P33" s="3">
        <v>-32.5</v>
      </c>
      <c r="Q33" s="3" t="s">
        <v>255</v>
      </c>
      <c r="R33" s="3" t="s">
        <v>256</v>
      </c>
      <c r="S33" s="3"/>
      <c r="T33" s="3"/>
      <c r="U33" s="3"/>
      <c r="V33" s="3"/>
      <c r="W33" s="3"/>
      <c r="X33" s="3"/>
      <c r="Y33" s="3"/>
      <c r="Z33" s="3"/>
      <c r="AA33" s="3"/>
    </row>
    <row r="34" ht="15.75" customHeight="1">
      <c r="A34" s="4" t="s">
        <v>58</v>
      </c>
      <c r="B34" s="4" t="str">
        <f>CONCATENATE(A34,7)</f>
        <v>4MD4N78NH077</v>
      </c>
      <c r="C34" s="4" t="s">
        <v>257</v>
      </c>
      <c r="D34" s="4" t="s">
        <v>258</v>
      </c>
      <c r="E34" s="4" t="str">
        <f t="shared" si="1"/>
        <v>MILAN BRADY</v>
      </c>
      <c r="F34" s="4" t="s">
        <v>61</v>
      </c>
      <c r="G34" s="4" t="s">
        <v>43</v>
      </c>
      <c r="H34" s="4" t="s">
        <v>29</v>
      </c>
      <c r="I34" s="5">
        <v>45931.0</v>
      </c>
      <c r="J34" s="5">
        <v>45931.0</v>
      </c>
      <c r="K34" s="4">
        <v>1.8142208E7</v>
      </c>
      <c r="L34" s="4" t="s">
        <v>32</v>
      </c>
      <c r="M34" s="4" t="s">
        <v>64</v>
      </c>
      <c r="N34" s="4" t="s">
        <v>57</v>
      </c>
      <c r="O34" s="4">
        <v>776.0</v>
      </c>
      <c r="P34" s="4">
        <v>626.0</v>
      </c>
      <c r="Q34" s="4" t="s">
        <v>205</v>
      </c>
      <c r="R34" s="4" t="s">
        <v>206</v>
      </c>
      <c r="S34" s="4"/>
      <c r="T34" s="4"/>
      <c r="U34" s="4"/>
      <c r="V34" s="4"/>
      <c r="W34" s="4"/>
      <c r="X34" s="4"/>
      <c r="Y34" s="4"/>
      <c r="Z34" s="4"/>
      <c r="AA34" s="4"/>
    </row>
    <row r="35" ht="15.75" customHeight="1">
      <c r="A35" s="3" t="s">
        <v>58</v>
      </c>
      <c r="B35" s="3" t="str">
        <f t="shared" ref="B35:B36" si="9">CONCATENATE(A35,8)</f>
        <v>4MD4N78NH078</v>
      </c>
      <c r="C35" s="3" t="s">
        <v>257</v>
      </c>
      <c r="D35" s="3" t="s">
        <v>258</v>
      </c>
      <c r="E35" s="3" t="str">
        <f t="shared" si="1"/>
        <v>MILAN BRADY</v>
      </c>
      <c r="F35" s="3" t="s">
        <v>61</v>
      </c>
      <c r="G35" s="3" t="s">
        <v>37</v>
      </c>
      <c r="H35" s="3" t="s">
        <v>29</v>
      </c>
      <c r="I35" s="2">
        <v>45931.0</v>
      </c>
      <c r="J35" s="2">
        <v>45931.0</v>
      </c>
      <c r="K35" s="3">
        <v>1.8142208E7</v>
      </c>
      <c r="L35" s="3" t="s">
        <v>32</v>
      </c>
      <c r="M35" s="3" t="s">
        <v>64</v>
      </c>
      <c r="N35" s="3" t="s">
        <v>57</v>
      </c>
      <c r="O35" s="3">
        <v>-115.75</v>
      </c>
      <c r="P35" s="3">
        <v>-78.25</v>
      </c>
      <c r="Q35" s="3" t="s">
        <v>207</v>
      </c>
      <c r="R35" s="3" t="s">
        <v>208</v>
      </c>
      <c r="S35" s="3"/>
      <c r="T35" s="3"/>
      <c r="U35" s="3"/>
      <c r="V35" s="3"/>
      <c r="W35" s="3"/>
      <c r="X35" s="3"/>
      <c r="Y35" s="3"/>
      <c r="Z35" s="3"/>
      <c r="AA35" s="3"/>
    </row>
    <row r="36" ht="15.75" customHeight="1">
      <c r="A36" s="3" t="s">
        <v>161</v>
      </c>
      <c r="B36" s="3" t="str">
        <f t="shared" si="9"/>
        <v>7VM9K61GT128</v>
      </c>
      <c r="C36" s="3" t="s">
        <v>259</v>
      </c>
      <c r="D36" s="3" t="s">
        <v>249</v>
      </c>
      <c r="E36" s="3" t="str">
        <f t="shared" si="1"/>
        <v>JOHN PFLEIDERER</v>
      </c>
      <c r="F36" s="3" t="s">
        <v>61</v>
      </c>
      <c r="G36" s="3" t="s">
        <v>55</v>
      </c>
      <c r="H36" s="3" t="s">
        <v>29</v>
      </c>
      <c r="I36" s="2">
        <v>45962.0</v>
      </c>
      <c r="J36" s="2">
        <v>45962.0</v>
      </c>
      <c r="K36" s="3">
        <v>1.8142208E7</v>
      </c>
      <c r="L36" s="3" t="s">
        <v>32</v>
      </c>
      <c r="M36" s="3" t="s">
        <v>64</v>
      </c>
      <c r="N36" s="3" t="s">
        <v>57</v>
      </c>
      <c r="O36" s="3">
        <v>77.17</v>
      </c>
      <c r="P36" s="3">
        <v>52.17</v>
      </c>
      <c r="Q36" s="3" t="s">
        <v>207</v>
      </c>
      <c r="R36" s="3" t="s">
        <v>211</v>
      </c>
      <c r="S36" s="3"/>
      <c r="T36" s="3"/>
      <c r="U36" s="3"/>
      <c r="V36" s="3"/>
      <c r="W36" s="3"/>
      <c r="X36" s="3"/>
      <c r="Y36" s="3"/>
      <c r="Z36" s="3"/>
      <c r="AA36" s="3"/>
    </row>
    <row r="37" ht="15.75" customHeight="1">
      <c r="A37" s="4" t="s">
        <v>47</v>
      </c>
      <c r="B37" s="4" t="str">
        <f>CONCATENATE(A37,7)</f>
        <v>3PJ3JU9HA867</v>
      </c>
      <c r="C37" s="4" t="s">
        <v>260</v>
      </c>
      <c r="D37" s="4" t="s">
        <v>261</v>
      </c>
      <c r="E37" s="4" t="str">
        <f t="shared" si="1"/>
        <v>BARBARA BOWDEN</v>
      </c>
      <c r="F37" s="4" t="s">
        <v>27</v>
      </c>
      <c r="G37" s="4" t="s">
        <v>43</v>
      </c>
      <c r="H37" s="4" t="s">
        <v>29</v>
      </c>
      <c r="I37" s="5">
        <v>45931.0</v>
      </c>
      <c r="J37" s="5">
        <v>45931.0</v>
      </c>
      <c r="K37" s="4">
        <v>1.6212649E7</v>
      </c>
      <c r="L37" s="4" t="s">
        <v>32</v>
      </c>
      <c r="M37" s="4" t="s">
        <v>51</v>
      </c>
      <c r="N37" s="4" t="s">
        <v>34</v>
      </c>
      <c r="O37" s="4">
        <v>830.0</v>
      </c>
      <c r="P37" s="4">
        <v>705.0</v>
      </c>
      <c r="Q37" s="4" t="s">
        <v>216</v>
      </c>
      <c r="R37" s="4" t="s">
        <v>217</v>
      </c>
      <c r="S37" s="4"/>
      <c r="T37" s="4"/>
      <c r="U37" s="4"/>
      <c r="V37" s="4"/>
      <c r="W37" s="4"/>
      <c r="X37" s="4"/>
      <c r="Y37" s="4"/>
      <c r="Z37" s="4"/>
      <c r="AA37" s="4"/>
    </row>
    <row r="38" ht="15.75" customHeight="1">
      <c r="A38" s="3" t="s">
        <v>47</v>
      </c>
      <c r="B38" s="3" t="str">
        <f>CONCATENATE(A38,8)</f>
        <v>3PJ3JU9HA868</v>
      </c>
      <c r="C38" s="3" t="s">
        <v>260</v>
      </c>
      <c r="D38" s="3" t="s">
        <v>261</v>
      </c>
      <c r="E38" s="3" t="str">
        <f t="shared" si="1"/>
        <v>BARBARA BOWDEN</v>
      </c>
      <c r="F38" s="3" t="s">
        <v>27</v>
      </c>
      <c r="G38" s="3" t="s">
        <v>37</v>
      </c>
      <c r="H38" s="3" t="s">
        <v>29</v>
      </c>
      <c r="I38" s="2">
        <v>45931.0</v>
      </c>
      <c r="J38" s="2">
        <v>45931.0</v>
      </c>
      <c r="K38" s="3">
        <v>1.6212649E7</v>
      </c>
      <c r="L38" s="3" t="s">
        <v>32</v>
      </c>
      <c r="M38" s="3" t="s">
        <v>51</v>
      </c>
      <c r="N38" s="3" t="s">
        <v>34</v>
      </c>
      <c r="O38" s="3">
        <v>-119.5</v>
      </c>
      <c r="P38" s="3">
        <v>-88.25</v>
      </c>
      <c r="Q38" s="3" t="s">
        <v>201</v>
      </c>
      <c r="R38" s="3" t="s">
        <v>202</v>
      </c>
      <c r="S38" s="3"/>
      <c r="T38" s="3"/>
      <c r="U38" s="3"/>
      <c r="V38" s="3"/>
      <c r="W38" s="3"/>
      <c r="X38" s="3"/>
      <c r="Y38" s="3"/>
      <c r="Z38" s="3"/>
      <c r="AA38" s="3"/>
    </row>
    <row r="39" ht="15.75" customHeight="1">
      <c r="A39" s="4" t="s">
        <v>87</v>
      </c>
      <c r="B39" s="4" t="str">
        <f>CONCATENATE(A39,7)</f>
        <v>8GE0YW0QC437</v>
      </c>
      <c r="C39" s="4" t="s">
        <v>262</v>
      </c>
      <c r="D39" s="4" t="s">
        <v>227</v>
      </c>
      <c r="E39" s="4" t="str">
        <f t="shared" si="1"/>
        <v>MICHAEL GRASSIA</v>
      </c>
      <c r="F39" s="4" t="s">
        <v>27</v>
      </c>
      <c r="G39" s="4" t="s">
        <v>43</v>
      </c>
      <c r="H39" s="4" t="s">
        <v>29</v>
      </c>
      <c r="I39" s="5">
        <v>45901.0</v>
      </c>
      <c r="J39" s="5">
        <v>45901.0</v>
      </c>
      <c r="K39" s="4">
        <v>1.5950276E7</v>
      </c>
      <c r="L39" s="4" t="s">
        <v>32</v>
      </c>
      <c r="M39" s="4" t="s">
        <v>91</v>
      </c>
      <c r="N39" s="4" t="s">
        <v>34</v>
      </c>
      <c r="O39" s="4">
        <v>830.0</v>
      </c>
      <c r="P39" s="4">
        <v>705.0</v>
      </c>
      <c r="Q39" s="4" t="s">
        <v>216</v>
      </c>
      <c r="R39" s="4" t="s">
        <v>217</v>
      </c>
      <c r="S39" s="4"/>
      <c r="T39" s="4"/>
      <c r="U39" s="4"/>
      <c r="V39" s="4"/>
      <c r="W39" s="4"/>
      <c r="X39" s="4"/>
      <c r="Y39" s="4"/>
      <c r="Z39" s="4"/>
      <c r="AA39" s="4"/>
    </row>
    <row r="40" ht="15.75" customHeight="1">
      <c r="A40" s="3" t="s">
        <v>87</v>
      </c>
      <c r="B40" s="3" t="str">
        <f>CONCATENATE(A40,8)</f>
        <v>8GE0YW0QC438</v>
      </c>
      <c r="C40" s="3" t="s">
        <v>262</v>
      </c>
      <c r="D40" s="3" t="s">
        <v>227</v>
      </c>
      <c r="E40" s="3" t="str">
        <f t="shared" si="1"/>
        <v>MICHAEL GRASSIA</v>
      </c>
      <c r="F40" s="3" t="s">
        <v>27</v>
      </c>
      <c r="G40" s="3" t="s">
        <v>37</v>
      </c>
      <c r="H40" s="3" t="s">
        <v>29</v>
      </c>
      <c r="I40" s="2">
        <v>45901.0</v>
      </c>
      <c r="J40" s="2">
        <v>45901.0</v>
      </c>
      <c r="K40" s="3">
        <v>1.5950276E7</v>
      </c>
      <c r="L40" s="3" t="s">
        <v>32</v>
      </c>
      <c r="M40" s="3" t="s">
        <v>91</v>
      </c>
      <c r="N40" s="3" t="s">
        <v>34</v>
      </c>
      <c r="O40" s="3">
        <v>-159.33</v>
      </c>
      <c r="P40" s="3">
        <v>-117.67</v>
      </c>
      <c r="Q40" s="3" t="s">
        <v>201</v>
      </c>
      <c r="R40" s="3" t="s">
        <v>263</v>
      </c>
      <c r="S40" s="3"/>
      <c r="T40" s="3"/>
      <c r="U40" s="3"/>
      <c r="V40" s="3"/>
      <c r="W40" s="3"/>
      <c r="X40" s="3"/>
      <c r="Y40" s="3"/>
      <c r="Z40" s="3"/>
      <c r="AA40" s="3"/>
    </row>
    <row r="41" ht="15.75" customHeight="1">
      <c r="A41" s="4" t="s">
        <v>70</v>
      </c>
      <c r="B41" s="4" t="str">
        <f>CONCATENATE(A41,7)</f>
        <v>7QF1YQ0DP347</v>
      </c>
      <c r="C41" s="4" t="s">
        <v>264</v>
      </c>
      <c r="D41" s="4" t="s">
        <v>265</v>
      </c>
      <c r="E41" s="4" t="str">
        <f t="shared" si="1"/>
        <v>PEGGY EULER</v>
      </c>
      <c r="F41" s="4" t="s">
        <v>42</v>
      </c>
      <c r="G41" s="4" t="s">
        <v>43</v>
      </c>
      <c r="H41" s="4" t="s">
        <v>29</v>
      </c>
      <c r="I41" s="5">
        <v>45931.0</v>
      </c>
      <c r="J41" s="5">
        <v>45931.0</v>
      </c>
      <c r="K41" s="4">
        <v>1.9681796E7</v>
      </c>
      <c r="L41" s="4" t="s">
        <v>32</v>
      </c>
      <c r="M41" s="4" t="s">
        <v>74</v>
      </c>
      <c r="N41" s="4" t="s">
        <v>34</v>
      </c>
      <c r="O41" s="4">
        <v>746.0</v>
      </c>
      <c r="P41" s="4">
        <v>626.0</v>
      </c>
      <c r="Q41" s="4" t="s">
        <v>205</v>
      </c>
      <c r="R41" s="4" t="s">
        <v>206</v>
      </c>
      <c r="S41" s="4"/>
      <c r="T41" s="4"/>
      <c r="U41" s="4"/>
      <c r="V41" s="4"/>
      <c r="W41" s="4"/>
      <c r="X41" s="4"/>
      <c r="Y41" s="4"/>
      <c r="Z41" s="4"/>
      <c r="AA41" s="4"/>
    </row>
    <row r="42" ht="15.75" customHeight="1">
      <c r="A42" s="3" t="s">
        <v>70</v>
      </c>
      <c r="B42" s="3" t="str">
        <f>CONCATENATE(A42,8)</f>
        <v>7QF1YQ0DP348</v>
      </c>
      <c r="C42" s="3" t="s">
        <v>264</v>
      </c>
      <c r="D42" s="3" t="s">
        <v>265</v>
      </c>
      <c r="E42" s="3" t="str">
        <f t="shared" si="1"/>
        <v>PEGGY EULER</v>
      </c>
      <c r="F42" s="3" t="s">
        <v>42</v>
      </c>
      <c r="G42" s="3" t="s">
        <v>37</v>
      </c>
      <c r="H42" s="3" t="s">
        <v>29</v>
      </c>
      <c r="I42" s="2">
        <v>45931.0</v>
      </c>
      <c r="J42" s="2">
        <v>45931.0</v>
      </c>
      <c r="K42" s="3">
        <v>1.9681796E7</v>
      </c>
      <c r="L42" s="3" t="s">
        <v>32</v>
      </c>
      <c r="M42" s="3" t="s">
        <v>74</v>
      </c>
      <c r="N42" s="3" t="s">
        <v>34</v>
      </c>
      <c r="O42" s="3">
        <v>-108.25</v>
      </c>
      <c r="P42" s="3">
        <v>-78.25</v>
      </c>
      <c r="Q42" s="3" t="s">
        <v>207</v>
      </c>
      <c r="R42" s="3" t="s">
        <v>208</v>
      </c>
      <c r="S42" s="3"/>
      <c r="T42" s="3"/>
      <c r="U42" s="3"/>
      <c r="V42" s="3"/>
      <c r="W42" s="3"/>
      <c r="X42" s="3"/>
      <c r="Y42" s="3"/>
      <c r="Z42" s="3"/>
      <c r="AA42" s="3"/>
    </row>
    <row r="43" ht="15.75" customHeight="1">
      <c r="A43" s="4" t="s">
        <v>144</v>
      </c>
      <c r="B43" s="4" t="str">
        <f t="shared" ref="B43:B44" si="10">CONCATENATE(A43,7)</f>
        <v>3H30C63MW107</v>
      </c>
      <c r="C43" s="4" t="s">
        <v>266</v>
      </c>
      <c r="D43" s="4" t="s">
        <v>267</v>
      </c>
      <c r="E43" s="4" t="str">
        <f t="shared" si="1"/>
        <v>MELODY MYRICK</v>
      </c>
      <c r="F43" s="4" t="s">
        <v>147</v>
      </c>
      <c r="G43" s="4" t="s">
        <v>43</v>
      </c>
      <c r="H43" s="4" t="s">
        <v>29</v>
      </c>
      <c r="I43" s="5">
        <v>45962.0</v>
      </c>
      <c r="J43" s="5">
        <v>45962.0</v>
      </c>
      <c r="K43" s="4">
        <v>8307933.0</v>
      </c>
      <c r="L43" s="4" t="s">
        <v>32</v>
      </c>
      <c r="M43" s="4" t="s">
        <v>150</v>
      </c>
      <c r="N43" s="4" t="s">
        <v>57</v>
      </c>
      <c r="O43" s="4">
        <v>776.0</v>
      </c>
      <c r="P43" s="4">
        <v>626.0</v>
      </c>
      <c r="Q43" s="4" t="s">
        <v>205</v>
      </c>
      <c r="R43" s="4" t="s">
        <v>206</v>
      </c>
      <c r="S43" s="4"/>
      <c r="T43" s="4"/>
      <c r="U43" s="4"/>
      <c r="V43" s="4"/>
      <c r="W43" s="4"/>
      <c r="X43" s="4"/>
      <c r="Y43" s="4"/>
      <c r="Z43" s="4"/>
      <c r="AA43" s="4"/>
    </row>
    <row r="44" ht="15.75" customHeight="1">
      <c r="A44" s="4" t="s">
        <v>156</v>
      </c>
      <c r="B44" s="4" t="str">
        <f t="shared" si="10"/>
        <v>8C59M52TU587</v>
      </c>
      <c r="C44" s="4" t="s">
        <v>268</v>
      </c>
      <c r="D44" s="4" t="s">
        <v>243</v>
      </c>
      <c r="E44" s="4" t="str">
        <f t="shared" si="1"/>
        <v>KAREN PESTKA</v>
      </c>
      <c r="F44" s="4" t="s">
        <v>159</v>
      </c>
      <c r="G44" s="4" t="s">
        <v>43</v>
      </c>
      <c r="H44" s="4" t="s">
        <v>141</v>
      </c>
      <c r="I44" s="5">
        <v>45962.0</v>
      </c>
      <c r="J44" s="5">
        <v>45962.0</v>
      </c>
      <c r="K44" s="4">
        <v>8307933.0</v>
      </c>
      <c r="L44" s="4" t="s">
        <v>32</v>
      </c>
      <c r="M44" s="4" t="s">
        <v>150</v>
      </c>
      <c r="N44" s="4" t="s">
        <v>57</v>
      </c>
      <c r="O44" s="4">
        <v>776.0</v>
      </c>
      <c r="P44" s="4">
        <v>626.0</v>
      </c>
      <c r="Q44" s="4" t="s">
        <v>205</v>
      </c>
      <c r="R44" s="4" t="s">
        <v>206</v>
      </c>
      <c r="S44" s="4"/>
      <c r="T44" s="4"/>
      <c r="U44" s="4"/>
      <c r="V44" s="4"/>
      <c r="W44" s="4"/>
      <c r="X44" s="4"/>
      <c r="Y44" s="4"/>
      <c r="Z44" s="4"/>
      <c r="AA44" s="4"/>
    </row>
    <row r="45" ht="15.75" customHeight="1">
      <c r="A45" s="3" t="s">
        <v>144</v>
      </c>
      <c r="B45" s="3" t="str">
        <f t="shared" ref="B45:B48" si="11">CONCATENATE(A45,8)</f>
        <v>3H30C63MW108</v>
      </c>
      <c r="C45" s="3" t="s">
        <v>266</v>
      </c>
      <c r="D45" s="3" t="s">
        <v>267</v>
      </c>
      <c r="E45" s="3" t="str">
        <f t="shared" si="1"/>
        <v>MELODY MYRICK</v>
      </c>
      <c r="F45" s="3" t="s">
        <v>147</v>
      </c>
      <c r="G45" s="3" t="s">
        <v>37</v>
      </c>
      <c r="H45" s="3" t="s">
        <v>29</v>
      </c>
      <c r="I45" s="2">
        <v>45962.0</v>
      </c>
      <c r="J45" s="2">
        <v>45962.0</v>
      </c>
      <c r="K45" s="3">
        <v>8307933.0</v>
      </c>
      <c r="L45" s="3" t="s">
        <v>32</v>
      </c>
      <c r="M45" s="3" t="s">
        <v>150</v>
      </c>
      <c r="N45" s="3" t="s">
        <v>57</v>
      </c>
      <c r="O45" s="3">
        <v>-77.17</v>
      </c>
      <c r="P45" s="3">
        <v>-52.17</v>
      </c>
      <c r="Q45" s="3" t="s">
        <v>207</v>
      </c>
      <c r="R45" s="3" t="s">
        <v>211</v>
      </c>
      <c r="S45" s="3"/>
      <c r="T45" s="3"/>
      <c r="U45" s="3"/>
      <c r="V45" s="3"/>
      <c r="W45" s="3"/>
      <c r="X45" s="3"/>
      <c r="Y45" s="3"/>
      <c r="Z45" s="3"/>
      <c r="AA45" s="3"/>
    </row>
    <row r="46" ht="15.75" customHeight="1">
      <c r="A46" s="3" t="s">
        <v>156</v>
      </c>
      <c r="B46" s="3" t="str">
        <f t="shared" si="11"/>
        <v>8C59M52TU588</v>
      </c>
      <c r="C46" s="3" t="s">
        <v>268</v>
      </c>
      <c r="D46" s="3" t="s">
        <v>243</v>
      </c>
      <c r="E46" s="3" t="str">
        <f t="shared" si="1"/>
        <v>KAREN PESTKA</v>
      </c>
      <c r="F46" s="3" t="s">
        <v>159</v>
      </c>
      <c r="G46" s="3" t="s">
        <v>37</v>
      </c>
      <c r="H46" s="3" t="s">
        <v>141</v>
      </c>
      <c r="I46" s="2">
        <v>45962.0</v>
      </c>
      <c r="J46" s="2">
        <v>45962.0</v>
      </c>
      <c r="K46" s="3">
        <v>8307933.0</v>
      </c>
      <c r="L46" s="3" t="s">
        <v>32</v>
      </c>
      <c r="M46" s="3" t="s">
        <v>150</v>
      </c>
      <c r="N46" s="3" t="s">
        <v>57</v>
      </c>
      <c r="O46" s="3">
        <v>-77.17</v>
      </c>
      <c r="P46" s="3">
        <v>-52.17</v>
      </c>
      <c r="Q46" s="3" t="s">
        <v>207</v>
      </c>
      <c r="R46" s="3" t="s">
        <v>211</v>
      </c>
      <c r="S46" s="3"/>
      <c r="T46" s="3"/>
      <c r="U46" s="3"/>
      <c r="V46" s="3"/>
      <c r="W46" s="3"/>
      <c r="X46" s="3"/>
      <c r="Y46" s="3"/>
      <c r="Z46" s="3"/>
      <c r="AA46" s="3"/>
    </row>
    <row r="47" ht="15.75" customHeight="1">
      <c r="A47" s="3" t="s">
        <v>164</v>
      </c>
      <c r="B47" s="3" t="str">
        <f t="shared" si="11"/>
        <v>2CA8E06XF538</v>
      </c>
      <c r="C47" s="3" t="s">
        <v>269</v>
      </c>
      <c r="D47" s="3" t="s">
        <v>270</v>
      </c>
      <c r="E47" s="3" t="str">
        <f t="shared" si="1"/>
        <v>MARK PHILLIPS</v>
      </c>
      <c r="F47" s="3" t="s">
        <v>159</v>
      </c>
      <c r="G47" s="3" t="s">
        <v>55</v>
      </c>
      <c r="H47" s="3" t="s">
        <v>29</v>
      </c>
      <c r="I47" s="2">
        <v>45992.0</v>
      </c>
      <c r="J47" s="2">
        <v>45992.0</v>
      </c>
      <c r="K47" s="3">
        <v>8307933.0</v>
      </c>
      <c r="L47" s="3" t="s">
        <v>32</v>
      </c>
      <c r="M47" s="3" t="s">
        <v>150</v>
      </c>
      <c r="N47" s="3" t="s">
        <v>57</v>
      </c>
      <c r="O47" s="3">
        <v>38.58</v>
      </c>
      <c r="P47" s="3">
        <v>26.08</v>
      </c>
      <c r="Q47" s="3" t="s">
        <v>207</v>
      </c>
      <c r="R47" s="3" t="s">
        <v>237</v>
      </c>
      <c r="S47" s="3"/>
      <c r="T47" s="3"/>
      <c r="U47" s="3"/>
      <c r="V47" s="3"/>
      <c r="W47" s="3"/>
      <c r="X47" s="3"/>
      <c r="Y47" s="3"/>
      <c r="Z47" s="3"/>
      <c r="AA47" s="3"/>
    </row>
    <row r="48" ht="15.75" customHeight="1">
      <c r="A48" s="3" t="s">
        <v>127</v>
      </c>
      <c r="B48" s="3" t="str">
        <f t="shared" si="11"/>
        <v>9C86YX8UQ798</v>
      </c>
      <c r="C48" s="3" t="s">
        <v>271</v>
      </c>
      <c r="D48" s="3" t="s">
        <v>213</v>
      </c>
      <c r="E48" s="3" t="str">
        <f t="shared" si="1"/>
        <v>LINDA MONTGOMERY</v>
      </c>
      <c r="F48" s="3" t="s">
        <v>42</v>
      </c>
      <c r="G48" s="3" t="s">
        <v>55</v>
      </c>
      <c r="H48" s="3" t="s">
        <v>29</v>
      </c>
      <c r="I48" s="2">
        <v>45992.0</v>
      </c>
      <c r="J48" s="2">
        <v>45992.0</v>
      </c>
      <c r="K48" s="3">
        <v>8325282.0</v>
      </c>
      <c r="L48" s="3" t="s">
        <v>32</v>
      </c>
      <c r="M48" s="3" t="s">
        <v>131</v>
      </c>
      <c r="N48" s="3" t="s">
        <v>57</v>
      </c>
      <c r="O48" s="3">
        <v>37.33</v>
      </c>
      <c r="P48" s="3">
        <v>26.08</v>
      </c>
      <c r="Q48" s="3" t="s">
        <v>207</v>
      </c>
      <c r="R48" s="3" t="s">
        <v>237</v>
      </c>
      <c r="S48" s="3"/>
      <c r="T48" s="3"/>
      <c r="U48" s="3"/>
      <c r="V48" s="3"/>
      <c r="W48" s="3"/>
      <c r="X48" s="3"/>
      <c r="Y48" s="3"/>
      <c r="Z48" s="3"/>
      <c r="AA48" s="3"/>
    </row>
    <row r="49" ht="15.75" customHeight="1">
      <c r="A49" s="4" t="s">
        <v>177</v>
      </c>
      <c r="B49" s="4" t="str">
        <f t="shared" ref="B49:B51" si="12">CONCATENATE(A49,7)</f>
        <v>3RT5WP7QC647</v>
      </c>
      <c r="C49" s="4" t="s">
        <v>272</v>
      </c>
      <c r="D49" s="4" t="s">
        <v>270</v>
      </c>
      <c r="E49" s="4" t="str">
        <f t="shared" si="1"/>
        <v>MARK SHAUGHNESSY</v>
      </c>
      <c r="F49" s="4" t="s">
        <v>171</v>
      </c>
      <c r="G49" s="4" t="s">
        <v>98</v>
      </c>
      <c r="H49" s="4" t="s">
        <v>29</v>
      </c>
      <c r="I49" s="5">
        <v>45717.0</v>
      </c>
      <c r="J49" s="5">
        <v>45717.0</v>
      </c>
      <c r="K49" s="4">
        <v>1.6633294E7</v>
      </c>
      <c r="L49" s="4" t="s">
        <v>32</v>
      </c>
      <c r="M49" s="4" t="s">
        <v>86</v>
      </c>
      <c r="N49" s="4" t="s">
        <v>34</v>
      </c>
      <c r="O49" s="4">
        <v>-751.0</v>
      </c>
      <c r="P49" s="4">
        <v>-626.0</v>
      </c>
      <c r="Q49" s="4" t="s">
        <v>205</v>
      </c>
      <c r="R49" s="4" t="s">
        <v>206</v>
      </c>
      <c r="S49" s="4"/>
      <c r="T49" s="4"/>
      <c r="U49" s="4"/>
      <c r="V49" s="4"/>
      <c r="W49" s="4"/>
      <c r="X49" s="4"/>
      <c r="Y49" s="4"/>
      <c r="Z49" s="4"/>
      <c r="AA49" s="4"/>
    </row>
    <row r="50" ht="15.75" customHeight="1">
      <c r="A50" s="4" t="s">
        <v>177</v>
      </c>
      <c r="B50" s="4" t="str">
        <f t="shared" si="12"/>
        <v>3RT5WP7QC647</v>
      </c>
      <c r="C50" s="4" t="s">
        <v>272</v>
      </c>
      <c r="D50" s="4" t="s">
        <v>270</v>
      </c>
      <c r="E50" s="4" t="str">
        <f t="shared" si="1"/>
        <v>MARK SHAUGHNESSY</v>
      </c>
      <c r="F50" s="4" t="s">
        <v>171</v>
      </c>
      <c r="G50" s="4" t="s">
        <v>95</v>
      </c>
      <c r="H50" s="4" t="s">
        <v>29</v>
      </c>
      <c r="I50" s="5">
        <v>45717.0</v>
      </c>
      <c r="J50" s="5">
        <v>45717.0</v>
      </c>
      <c r="K50" s="4">
        <v>1.6633294E7</v>
      </c>
      <c r="L50" s="4" t="s">
        <v>32</v>
      </c>
      <c r="M50" s="4" t="s">
        <v>86</v>
      </c>
      <c r="N50" s="4" t="s">
        <v>34</v>
      </c>
      <c r="O50" s="4">
        <v>375.5</v>
      </c>
      <c r="P50" s="4">
        <v>313.0</v>
      </c>
      <c r="Q50" s="4" t="s">
        <v>205</v>
      </c>
      <c r="R50" s="4" t="s">
        <v>250</v>
      </c>
      <c r="S50" s="4"/>
      <c r="T50" s="4"/>
      <c r="U50" s="4"/>
      <c r="V50" s="4"/>
      <c r="W50" s="4"/>
      <c r="X50" s="4"/>
      <c r="Y50" s="4"/>
      <c r="Z50" s="4"/>
      <c r="AA50" s="4"/>
    </row>
    <row r="51" ht="15.75" customHeight="1">
      <c r="A51" s="4" t="s">
        <v>80</v>
      </c>
      <c r="B51" s="4" t="str">
        <f t="shared" si="12"/>
        <v>3WY6DA4KY767</v>
      </c>
      <c r="C51" s="4" t="s">
        <v>273</v>
      </c>
      <c r="D51" s="4" t="s">
        <v>274</v>
      </c>
      <c r="E51" s="4" t="str">
        <f t="shared" si="1"/>
        <v>DIANE GRAHL</v>
      </c>
      <c r="F51" s="4" t="s">
        <v>83</v>
      </c>
      <c r="G51" s="4" t="s">
        <v>43</v>
      </c>
      <c r="H51" s="4" t="s">
        <v>29</v>
      </c>
      <c r="I51" s="5">
        <v>45962.0</v>
      </c>
      <c r="J51" s="5">
        <v>45962.0</v>
      </c>
      <c r="K51" s="4">
        <v>1.6633294E7</v>
      </c>
      <c r="L51" s="4" t="s">
        <v>32</v>
      </c>
      <c r="M51" s="4" t="s">
        <v>86</v>
      </c>
      <c r="N51" s="4" t="s">
        <v>57</v>
      </c>
      <c r="O51" s="4">
        <v>761.0</v>
      </c>
      <c r="P51" s="4">
        <v>626.0</v>
      </c>
      <c r="Q51" s="4" t="s">
        <v>205</v>
      </c>
      <c r="R51" s="4" t="s">
        <v>206</v>
      </c>
      <c r="S51" s="4"/>
      <c r="T51" s="4"/>
      <c r="U51" s="4"/>
      <c r="V51" s="4"/>
      <c r="W51" s="4"/>
      <c r="X51" s="4"/>
      <c r="Y51" s="4"/>
      <c r="Z51" s="4"/>
      <c r="AA51" s="4"/>
    </row>
    <row r="52" ht="15.75" customHeight="1">
      <c r="A52" s="3" t="s">
        <v>80</v>
      </c>
      <c r="B52" s="3" t="str">
        <f>CONCATENATE(A52,8)</f>
        <v>3WY6DA4KY768</v>
      </c>
      <c r="C52" s="3" t="s">
        <v>273</v>
      </c>
      <c r="D52" s="3" t="s">
        <v>274</v>
      </c>
      <c r="E52" s="3" t="str">
        <f t="shared" si="1"/>
        <v>DIANE GRAHL</v>
      </c>
      <c r="F52" s="3" t="s">
        <v>83</v>
      </c>
      <c r="G52" s="3" t="s">
        <v>37</v>
      </c>
      <c r="H52" s="3" t="s">
        <v>29</v>
      </c>
      <c r="I52" s="2">
        <v>45962.0</v>
      </c>
      <c r="J52" s="2">
        <v>45962.0</v>
      </c>
      <c r="K52" s="3">
        <v>1.6633294E7</v>
      </c>
      <c r="L52" s="3" t="s">
        <v>32</v>
      </c>
      <c r="M52" s="3" t="s">
        <v>86</v>
      </c>
      <c r="N52" s="3" t="s">
        <v>57</v>
      </c>
      <c r="O52" s="3">
        <v>-74.67</v>
      </c>
      <c r="P52" s="3">
        <v>-59.67</v>
      </c>
      <c r="Q52" s="3" t="s">
        <v>246</v>
      </c>
      <c r="R52" s="3" t="s">
        <v>275</v>
      </c>
      <c r="S52" s="3"/>
      <c r="T52" s="3"/>
      <c r="U52" s="3"/>
      <c r="V52" s="3"/>
      <c r="W52" s="3"/>
      <c r="X52" s="3"/>
      <c r="Y52" s="3"/>
      <c r="Z52" s="3"/>
      <c r="AA52" s="3"/>
    </row>
    <row r="53" ht="15.75" customHeight="1">
      <c r="A53" s="6" t="s">
        <v>92</v>
      </c>
      <c r="B53" s="6" t="str">
        <f t="shared" ref="B53:B105" si="13">CONCATENATE(A53,"OVR")</f>
        <v>4G77E15MR49OVR</v>
      </c>
      <c r="C53" s="6" t="s">
        <v>214</v>
      </c>
      <c r="D53" s="6" t="s">
        <v>215</v>
      </c>
      <c r="E53" s="6" t="str">
        <f t="shared" si="1"/>
        <v>DARRELL GUNTER</v>
      </c>
      <c r="F53" s="6" t="s">
        <v>27</v>
      </c>
      <c r="G53" s="6" t="s">
        <v>98</v>
      </c>
      <c r="H53" s="6" t="s">
        <v>29</v>
      </c>
      <c r="I53" s="7">
        <v>45748.0</v>
      </c>
      <c r="J53" s="7">
        <v>45748.0</v>
      </c>
      <c r="K53" s="6">
        <v>2.0411454E7</v>
      </c>
      <c r="L53" s="6" t="s">
        <v>32</v>
      </c>
      <c r="M53" s="6" t="s">
        <v>276</v>
      </c>
      <c r="N53" s="6" t="s">
        <v>34</v>
      </c>
      <c r="O53" s="6">
        <v>-830.0</v>
      </c>
      <c r="P53" s="6">
        <v>-125.0</v>
      </c>
      <c r="Q53" s="6" t="s">
        <v>277</v>
      </c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ht="15.75" customHeight="1">
      <c r="A54" s="6" t="s">
        <v>177</v>
      </c>
      <c r="B54" s="6" t="str">
        <f t="shared" si="13"/>
        <v>3RT5WP7QC64OVR</v>
      </c>
      <c r="C54" s="6" t="s">
        <v>272</v>
      </c>
      <c r="D54" s="6" t="s">
        <v>270</v>
      </c>
      <c r="E54" s="6" t="str">
        <f t="shared" si="1"/>
        <v>MARK SHAUGHNESSY</v>
      </c>
      <c r="F54" s="6" t="s">
        <v>171</v>
      </c>
      <c r="G54" s="6" t="s">
        <v>98</v>
      </c>
      <c r="H54" s="6" t="s">
        <v>29</v>
      </c>
      <c r="I54" s="7">
        <v>45717.0</v>
      </c>
      <c r="J54" s="7">
        <v>45717.0</v>
      </c>
      <c r="K54" s="6">
        <v>2.0411454E7</v>
      </c>
      <c r="L54" s="6" t="s">
        <v>32</v>
      </c>
      <c r="M54" s="6" t="s">
        <v>276</v>
      </c>
      <c r="N54" s="6" t="s">
        <v>34</v>
      </c>
      <c r="O54" s="6">
        <v>-751.0</v>
      </c>
      <c r="P54" s="6">
        <v>-125.0</v>
      </c>
      <c r="Q54" s="6" t="s">
        <v>277</v>
      </c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ht="15.75" customHeight="1">
      <c r="A55" s="6" t="s">
        <v>75</v>
      </c>
      <c r="B55" s="6" t="str">
        <f t="shared" si="13"/>
        <v>6Y85V40VN97OVR</v>
      </c>
      <c r="C55" s="6" t="s">
        <v>248</v>
      </c>
      <c r="D55" s="6" t="s">
        <v>249</v>
      </c>
      <c r="E55" s="6" t="str">
        <f t="shared" si="1"/>
        <v>JOHN GALIOTO</v>
      </c>
      <c r="F55" s="6" t="s">
        <v>42</v>
      </c>
      <c r="G55" s="6" t="s">
        <v>78</v>
      </c>
      <c r="H55" s="6" t="s">
        <v>29</v>
      </c>
      <c r="I55" s="7">
        <v>45689.0</v>
      </c>
      <c r="J55" s="7">
        <v>45689.0</v>
      </c>
      <c r="K55" s="6">
        <v>2.0411454E7</v>
      </c>
      <c r="L55" s="6" t="s">
        <v>32</v>
      </c>
      <c r="M55" s="6" t="s">
        <v>276</v>
      </c>
      <c r="N55" s="6" t="s">
        <v>34</v>
      </c>
      <c r="O55" s="6">
        <v>-375.5</v>
      </c>
      <c r="P55" s="6">
        <f>-125/12*6</f>
        <v>-62.5</v>
      </c>
      <c r="Q55" s="6" t="s">
        <v>277</v>
      </c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ht="15.75" customHeight="1">
      <c r="A56" s="6" t="s">
        <v>87</v>
      </c>
      <c r="B56" s="6" t="str">
        <f t="shared" si="13"/>
        <v>8GE0YW0QC43OVR</v>
      </c>
      <c r="C56" s="6" t="s">
        <v>262</v>
      </c>
      <c r="D56" s="6" t="s">
        <v>227</v>
      </c>
      <c r="E56" s="6" t="str">
        <f t="shared" si="1"/>
        <v>MICHAEL GRASSIA</v>
      </c>
      <c r="F56" s="6" t="s">
        <v>27</v>
      </c>
      <c r="G56" s="6" t="s">
        <v>37</v>
      </c>
      <c r="H56" s="6" t="s">
        <v>29</v>
      </c>
      <c r="I56" s="7">
        <v>45901.0</v>
      </c>
      <c r="J56" s="7">
        <v>45901.0</v>
      </c>
      <c r="K56" s="6">
        <v>2.0411454E7</v>
      </c>
      <c r="L56" s="6" t="s">
        <v>32</v>
      </c>
      <c r="M56" s="6" t="s">
        <v>276</v>
      </c>
      <c r="N56" s="6" t="s">
        <v>34</v>
      </c>
      <c r="O56" s="6">
        <v>-159.33</v>
      </c>
      <c r="P56" s="6">
        <v>-41.66</v>
      </c>
      <c r="Q56" s="6" t="s">
        <v>277</v>
      </c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ht="15.75" customHeight="1">
      <c r="A57" s="6" t="s">
        <v>174</v>
      </c>
      <c r="B57" s="6" t="str">
        <f t="shared" si="13"/>
        <v>6EY2R94YX96OVR</v>
      </c>
      <c r="C57" s="6" t="s">
        <v>234</v>
      </c>
      <c r="D57" s="6" t="s">
        <v>235</v>
      </c>
      <c r="E57" s="6" t="str">
        <f t="shared" si="1"/>
        <v>RICHARD SCHRENZEL</v>
      </c>
      <c r="F57" s="6" t="s">
        <v>42</v>
      </c>
      <c r="G57" s="6" t="s">
        <v>37</v>
      </c>
      <c r="H57" s="6" t="s">
        <v>29</v>
      </c>
      <c r="I57" s="7">
        <v>45901.0</v>
      </c>
      <c r="J57" s="7">
        <v>45901.0</v>
      </c>
      <c r="K57" s="6">
        <v>2.0411454E7</v>
      </c>
      <c r="L57" s="6" t="s">
        <v>32</v>
      </c>
      <c r="M57" s="6" t="s">
        <v>276</v>
      </c>
      <c r="N57" s="6" t="s">
        <v>34</v>
      </c>
      <c r="O57" s="6">
        <v>-146.0</v>
      </c>
      <c r="P57" s="6">
        <v>-41.67</v>
      </c>
      <c r="Q57" s="6" t="s">
        <v>277</v>
      </c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ht="15.75" customHeight="1">
      <c r="A58" s="6" t="s">
        <v>122</v>
      </c>
      <c r="B58" s="6" t="str">
        <f t="shared" si="13"/>
        <v>7AA0XY3KR02OVR</v>
      </c>
      <c r="C58" s="6" t="s">
        <v>242</v>
      </c>
      <c r="D58" s="6" t="s">
        <v>243</v>
      </c>
      <c r="E58" s="6" t="str">
        <f t="shared" si="1"/>
        <v>KAREN MCFADDEN</v>
      </c>
      <c r="F58" s="6" t="s">
        <v>83</v>
      </c>
      <c r="G58" s="6" t="s">
        <v>37</v>
      </c>
      <c r="H58" s="6" t="s">
        <v>29</v>
      </c>
      <c r="I58" s="7">
        <v>45931.0</v>
      </c>
      <c r="J58" s="7">
        <v>45931.0</v>
      </c>
      <c r="K58" s="6">
        <v>2.0411454E7</v>
      </c>
      <c r="L58" s="6" t="s">
        <v>32</v>
      </c>
      <c r="M58" s="6" t="s">
        <v>276</v>
      </c>
      <c r="N58" s="6" t="s">
        <v>34</v>
      </c>
      <c r="O58" s="6">
        <v>-138.25</v>
      </c>
      <c r="P58" s="6">
        <v>-48.75</v>
      </c>
      <c r="Q58" s="6" t="s">
        <v>277</v>
      </c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ht="15.75" customHeight="1">
      <c r="A59" s="6" t="s">
        <v>138</v>
      </c>
      <c r="B59" s="6" t="str">
        <f t="shared" si="13"/>
        <v>6VG1UA9GU20OVR</v>
      </c>
      <c r="C59" s="6" t="s">
        <v>226</v>
      </c>
      <c r="D59" s="6" t="s">
        <v>227</v>
      </c>
      <c r="E59" s="6" t="str">
        <f t="shared" si="1"/>
        <v>MICHAEL MULDOWNEY</v>
      </c>
      <c r="F59" s="6" t="s">
        <v>27</v>
      </c>
      <c r="G59" s="6" t="s">
        <v>37</v>
      </c>
      <c r="H59" s="6" t="s">
        <v>141</v>
      </c>
      <c r="I59" s="7">
        <v>45931.0</v>
      </c>
      <c r="J59" s="7">
        <v>45931.0</v>
      </c>
      <c r="K59" s="6">
        <v>2.0411454E7</v>
      </c>
      <c r="L59" s="6" t="s">
        <v>32</v>
      </c>
      <c r="M59" s="6" t="s">
        <v>276</v>
      </c>
      <c r="N59" s="6" t="s">
        <v>57</v>
      </c>
      <c r="O59" s="6">
        <v>-125.75</v>
      </c>
      <c r="P59" s="6">
        <v>-37.5</v>
      </c>
      <c r="Q59" s="6" t="s">
        <v>277</v>
      </c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ht="15.75" customHeight="1">
      <c r="A60" s="6" t="s">
        <v>194</v>
      </c>
      <c r="B60" s="6" t="str">
        <f t="shared" si="13"/>
        <v>6PP0TT4MA29OVR</v>
      </c>
      <c r="C60" s="6" t="s">
        <v>224</v>
      </c>
      <c r="D60" s="6" t="s">
        <v>225</v>
      </c>
      <c r="E60" s="6" t="str">
        <f t="shared" si="1"/>
        <v>CATHERYN WARNER</v>
      </c>
      <c r="F60" s="6" t="s">
        <v>27</v>
      </c>
      <c r="G60" s="6" t="s">
        <v>37</v>
      </c>
      <c r="H60" s="6" t="s">
        <v>29</v>
      </c>
      <c r="I60" s="7">
        <v>45931.0</v>
      </c>
      <c r="J60" s="7">
        <v>45931.0</v>
      </c>
      <c r="K60" s="6">
        <v>2.0411454E7</v>
      </c>
      <c r="L60" s="6" t="s">
        <v>32</v>
      </c>
      <c r="M60" s="6" t="s">
        <v>276</v>
      </c>
      <c r="N60" s="6" t="s">
        <v>57</v>
      </c>
      <c r="O60" s="6">
        <v>-125.75</v>
      </c>
      <c r="P60" s="6">
        <v>-37.5</v>
      </c>
      <c r="Q60" s="6" t="s">
        <v>277</v>
      </c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ht="15.75" customHeight="1">
      <c r="A61" s="6" t="s">
        <v>47</v>
      </c>
      <c r="B61" s="6" t="str">
        <f t="shared" si="13"/>
        <v>3PJ3JU9HA86OVR</v>
      </c>
      <c r="C61" s="6" t="s">
        <v>260</v>
      </c>
      <c r="D61" s="6" t="s">
        <v>261</v>
      </c>
      <c r="E61" s="6" t="str">
        <f t="shared" si="1"/>
        <v>BARBARA BOWDEN</v>
      </c>
      <c r="F61" s="6" t="s">
        <v>27</v>
      </c>
      <c r="G61" s="6" t="s">
        <v>37</v>
      </c>
      <c r="H61" s="6" t="s">
        <v>29</v>
      </c>
      <c r="I61" s="7">
        <v>45931.0</v>
      </c>
      <c r="J61" s="7">
        <v>45931.0</v>
      </c>
      <c r="K61" s="6">
        <v>2.0411454E7</v>
      </c>
      <c r="L61" s="6" t="s">
        <v>32</v>
      </c>
      <c r="M61" s="6" t="s">
        <v>276</v>
      </c>
      <c r="N61" s="6" t="s">
        <v>34</v>
      </c>
      <c r="O61" s="6">
        <v>-119.5</v>
      </c>
      <c r="P61" s="6">
        <f>-125/12*3</f>
        <v>-31.25</v>
      </c>
      <c r="Q61" s="6" t="s">
        <v>277</v>
      </c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ht="15.75" customHeight="1">
      <c r="A62" s="6" t="s">
        <v>58</v>
      </c>
      <c r="B62" s="6" t="str">
        <f t="shared" si="13"/>
        <v>4MD4N78NH07OVR</v>
      </c>
      <c r="C62" s="6" t="s">
        <v>257</v>
      </c>
      <c r="D62" s="6" t="s">
        <v>258</v>
      </c>
      <c r="E62" s="6" t="str">
        <f t="shared" si="1"/>
        <v>MILAN BRADY</v>
      </c>
      <c r="F62" s="6" t="s">
        <v>61</v>
      </c>
      <c r="G62" s="6" t="s">
        <v>37</v>
      </c>
      <c r="H62" s="6" t="s">
        <v>29</v>
      </c>
      <c r="I62" s="7">
        <v>45931.0</v>
      </c>
      <c r="J62" s="7">
        <v>45931.0</v>
      </c>
      <c r="K62" s="6">
        <v>2.0411454E7</v>
      </c>
      <c r="L62" s="6" t="s">
        <v>32</v>
      </c>
      <c r="M62" s="6" t="s">
        <v>276</v>
      </c>
      <c r="N62" s="6" t="s">
        <v>57</v>
      </c>
      <c r="O62" s="6">
        <v>-115.75</v>
      </c>
      <c r="P62" s="6">
        <f t="shared" ref="P62:P63" si="14">-150/12*3</f>
        <v>-37.5</v>
      </c>
      <c r="Q62" s="6" t="s">
        <v>277</v>
      </c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ht="15.75" customHeight="1">
      <c r="A63" s="6" t="s">
        <v>117</v>
      </c>
      <c r="B63" s="6" t="str">
        <f t="shared" si="13"/>
        <v>4HM7XN6GN57OVR</v>
      </c>
      <c r="C63" s="6" t="s">
        <v>203</v>
      </c>
      <c r="D63" s="6" t="s">
        <v>204</v>
      </c>
      <c r="E63" s="6" t="str">
        <f t="shared" si="1"/>
        <v>HAITHAM MASRI</v>
      </c>
      <c r="F63" s="6" t="s">
        <v>61</v>
      </c>
      <c r="G63" s="6" t="s">
        <v>37</v>
      </c>
      <c r="H63" s="6" t="s">
        <v>29</v>
      </c>
      <c r="I63" s="7">
        <v>45931.0</v>
      </c>
      <c r="J63" s="7">
        <v>45931.0</v>
      </c>
      <c r="K63" s="6">
        <v>2.0411454E7</v>
      </c>
      <c r="L63" s="6" t="s">
        <v>32</v>
      </c>
      <c r="M63" s="6" t="s">
        <v>276</v>
      </c>
      <c r="N63" s="6" t="s">
        <v>57</v>
      </c>
      <c r="O63" s="6">
        <v>-115.75</v>
      </c>
      <c r="P63" s="6">
        <f t="shared" si="14"/>
        <v>-37.5</v>
      </c>
      <c r="Q63" s="6" t="s">
        <v>277</v>
      </c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ht="15.75" customHeight="1">
      <c r="A64" s="6" t="s">
        <v>132</v>
      </c>
      <c r="B64" s="6" t="str">
        <f t="shared" si="13"/>
        <v>4D43X47JA73OVR</v>
      </c>
      <c r="C64" s="6" t="s">
        <v>221</v>
      </c>
      <c r="D64" s="6" t="s">
        <v>222</v>
      </c>
      <c r="E64" s="6" t="str">
        <f t="shared" si="1"/>
        <v>MARIA MORRISON</v>
      </c>
      <c r="F64" s="6" t="s">
        <v>135</v>
      </c>
      <c r="G64" s="6" t="s">
        <v>37</v>
      </c>
      <c r="H64" s="6" t="s">
        <v>29</v>
      </c>
      <c r="I64" s="7">
        <v>45931.0</v>
      </c>
      <c r="J64" s="7">
        <v>45931.0</v>
      </c>
      <c r="K64" s="6">
        <v>2.0411454E7</v>
      </c>
      <c r="L64" s="6" t="s">
        <v>32</v>
      </c>
      <c r="M64" s="6" t="s">
        <v>276</v>
      </c>
      <c r="N64" s="6" t="s">
        <v>57</v>
      </c>
      <c r="O64" s="6">
        <v>-112.0</v>
      </c>
      <c r="P64" s="6">
        <v>-33.75</v>
      </c>
      <c r="Q64" s="6" t="s">
        <v>277</v>
      </c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ht="15.75" customHeight="1">
      <c r="A65" s="6" t="s">
        <v>99</v>
      </c>
      <c r="B65" s="6" t="str">
        <f t="shared" si="13"/>
        <v>9G01Y38DT33OVR</v>
      </c>
      <c r="C65" s="6" t="s">
        <v>219</v>
      </c>
      <c r="D65" s="6" t="s">
        <v>220</v>
      </c>
      <c r="E65" s="6" t="str">
        <f t="shared" si="1"/>
        <v>CURT HAGEMEIER</v>
      </c>
      <c r="F65" s="6" t="s">
        <v>42</v>
      </c>
      <c r="G65" s="6" t="s">
        <v>37</v>
      </c>
      <c r="H65" s="6" t="s">
        <v>29</v>
      </c>
      <c r="I65" s="7">
        <v>45931.0</v>
      </c>
      <c r="J65" s="7">
        <v>45931.0</v>
      </c>
      <c r="K65" s="6">
        <v>2.0411454E7</v>
      </c>
      <c r="L65" s="6" t="s">
        <v>32</v>
      </c>
      <c r="M65" s="6" t="s">
        <v>276</v>
      </c>
      <c r="N65" s="6" t="s">
        <v>34</v>
      </c>
      <c r="O65" s="6">
        <v>-109.5</v>
      </c>
      <c r="P65" s="6">
        <f>-125/12*3</f>
        <v>-31.25</v>
      </c>
      <c r="Q65" s="6" t="s">
        <v>277</v>
      </c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ht="15.75" customHeight="1">
      <c r="A66" s="6" t="s">
        <v>70</v>
      </c>
      <c r="B66" s="6" t="str">
        <f t="shared" si="13"/>
        <v>7QF1YQ0DP34OVR</v>
      </c>
      <c r="C66" s="6" t="s">
        <v>264</v>
      </c>
      <c r="D66" s="6" t="s">
        <v>265</v>
      </c>
      <c r="E66" s="6" t="str">
        <f t="shared" si="1"/>
        <v>PEGGY EULER</v>
      </c>
      <c r="F66" s="6" t="s">
        <v>42</v>
      </c>
      <c r="G66" s="6" t="s">
        <v>37</v>
      </c>
      <c r="H66" s="6" t="s">
        <v>29</v>
      </c>
      <c r="I66" s="7">
        <v>45931.0</v>
      </c>
      <c r="J66" s="7">
        <v>45931.0</v>
      </c>
      <c r="K66" s="6">
        <v>2.0411454E7</v>
      </c>
      <c r="L66" s="6" t="s">
        <v>32</v>
      </c>
      <c r="M66" s="6" t="s">
        <v>276</v>
      </c>
      <c r="N66" s="6" t="s">
        <v>34</v>
      </c>
      <c r="O66" s="6">
        <v>-108.25</v>
      </c>
      <c r="P66" s="6">
        <v>-30.0</v>
      </c>
      <c r="Q66" s="6" t="s">
        <v>277</v>
      </c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ht="15.75" customHeight="1">
      <c r="A67" s="6" t="s">
        <v>168</v>
      </c>
      <c r="B67" s="6" t="str">
        <f t="shared" si="13"/>
        <v>1HH6U70AK43OVR</v>
      </c>
      <c r="C67" s="6" t="s">
        <v>228</v>
      </c>
      <c r="D67" s="6" t="s">
        <v>229</v>
      </c>
      <c r="E67" s="6" t="str">
        <f t="shared" si="1"/>
        <v>ROBERT POLETYNSKI</v>
      </c>
      <c r="F67" s="6" t="s">
        <v>171</v>
      </c>
      <c r="G67" s="6" t="s">
        <v>37</v>
      </c>
      <c r="H67" s="6" t="s">
        <v>29</v>
      </c>
      <c r="I67" s="7">
        <v>45931.0</v>
      </c>
      <c r="J67" s="7">
        <v>45931.0</v>
      </c>
      <c r="K67" s="6">
        <v>2.0411454E7</v>
      </c>
      <c r="L67" s="6" t="s">
        <v>32</v>
      </c>
      <c r="M67" s="6" t="s">
        <v>276</v>
      </c>
      <c r="N67" s="6" t="s">
        <v>34</v>
      </c>
      <c r="O67" s="6">
        <v>-108.25</v>
      </c>
      <c r="P67" s="6">
        <v>-30.0</v>
      </c>
      <c r="Q67" s="6" t="s">
        <v>277</v>
      </c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ht="15.75" customHeight="1">
      <c r="A68" s="6" t="s">
        <v>144</v>
      </c>
      <c r="B68" s="6" t="str">
        <f t="shared" si="13"/>
        <v>3H30C63MW10OVR</v>
      </c>
      <c r="C68" s="6" t="s">
        <v>266</v>
      </c>
      <c r="D68" s="6" t="s">
        <v>267</v>
      </c>
      <c r="E68" s="6" t="str">
        <f t="shared" si="1"/>
        <v>MELODY MYRICK</v>
      </c>
      <c r="F68" s="6" t="s">
        <v>147</v>
      </c>
      <c r="G68" s="6" t="s">
        <v>37</v>
      </c>
      <c r="H68" s="6" t="s">
        <v>29</v>
      </c>
      <c r="I68" s="7">
        <v>45962.0</v>
      </c>
      <c r="J68" s="7">
        <v>45962.0</v>
      </c>
      <c r="K68" s="6">
        <v>2.0411454E7</v>
      </c>
      <c r="L68" s="6" t="s">
        <v>32</v>
      </c>
      <c r="M68" s="6" t="s">
        <v>276</v>
      </c>
      <c r="N68" s="6" t="s">
        <v>57</v>
      </c>
      <c r="O68" s="6">
        <v>-77.17</v>
      </c>
      <c r="P68" s="6">
        <v>-25.0</v>
      </c>
      <c r="Q68" s="6" t="s">
        <v>277</v>
      </c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ht="15.75" customHeight="1">
      <c r="A69" s="6" t="s">
        <v>151</v>
      </c>
      <c r="B69" s="6" t="str">
        <f t="shared" si="13"/>
        <v>8AC1PC2MR33OVR</v>
      </c>
      <c r="C69" s="6" t="s">
        <v>209</v>
      </c>
      <c r="D69" s="6" t="s">
        <v>210</v>
      </c>
      <c r="E69" s="6" t="str">
        <f t="shared" si="1"/>
        <v>RENEE PANATTONI</v>
      </c>
      <c r="F69" s="6" t="s">
        <v>42</v>
      </c>
      <c r="G69" s="6" t="s">
        <v>37</v>
      </c>
      <c r="H69" s="6" t="s">
        <v>29</v>
      </c>
      <c r="I69" s="7">
        <v>45962.0</v>
      </c>
      <c r="J69" s="7">
        <v>45962.0</v>
      </c>
      <c r="K69" s="6">
        <v>2.0411454E7</v>
      </c>
      <c r="L69" s="6" t="s">
        <v>32</v>
      </c>
      <c r="M69" s="6" t="s">
        <v>276</v>
      </c>
      <c r="N69" s="6" t="s">
        <v>57</v>
      </c>
      <c r="O69" s="6">
        <v>-77.17</v>
      </c>
      <c r="P69" s="6">
        <v>-25.0</v>
      </c>
      <c r="Q69" s="6" t="s">
        <v>277</v>
      </c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ht="15.75" customHeight="1">
      <c r="A70" s="6" t="s">
        <v>156</v>
      </c>
      <c r="B70" s="6" t="str">
        <f t="shared" si="13"/>
        <v>8C59M52TU58OVR</v>
      </c>
      <c r="C70" s="6" t="s">
        <v>268</v>
      </c>
      <c r="D70" s="6" t="s">
        <v>243</v>
      </c>
      <c r="E70" s="6" t="str">
        <f t="shared" si="1"/>
        <v>KAREN PESTKA</v>
      </c>
      <c r="F70" s="6" t="s">
        <v>159</v>
      </c>
      <c r="G70" s="6" t="s">
        <v>37</v>
      </c>
      <c r="H70" s="6" t="s">
        <v>141</v>
      </c>
      <c r="I70" s="7">
        <v>45962.0</v>
      </c>
      <c r="J70" s="7">
        <v>45962.0</v>
      </c>
      <c r="K70" s="6">
        <v>2.0411454E7</v>
      </c>
      <c r="L70" s="6" t="s">
        <v>32</v>
      </c>
      <c r="M70" s="6" t="s">
        <v>276</v>
      </c>
      <c r="N70" s="6" t="s">
        <v>57</v>
      </c>
      <c r="O70" s="6">
        <v>-77.17</v>
      </c>
      <c r="P70" s="6">
        <v>-25.0</v>
      </c>
      <c r="Q70" s="6" t="s">
        <v>277</v>
      </c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ht="15.75" customHeight="1">
      <c r="A71" s="6" t="s">
        <v>80</v>
      </c>
      <c r="B71" s="6" t="str">
        <f t="shared" si="13"/>
        <v>3WY6DA4KY76OVR</v>
      </c>
      <c r="C71" s="6" t="s">
        <v>273</v>
      </c>
      <c r="D71" s="6" t="s">
        <v>274</v>
      </c>
      <c r="E71" s="6" t="str">
        <f t="shared" si="1"/>
        <v>DIANE GRAHL</v>
      </c>
      <c r="F71" s="6" t="s">
        <v>83</v>
      </c>
      <c r="G71" s="6" t="s">
        <v>37</v>
      </c>
      <c r="H71" s="6" t="s">
        <v>29</v>
      </c>
      <c r="I71" s="7">
        <v>45962.0</v>
      </c>
      <c r="J71" s="7">
        <v>45962.0</v>
      </c>
      <c r="K71" s="6">
        <v>2.0411454E7</v>
      </c>
      <c r="L71" s="6" t="s">
        <v>32</v>
      </c>
      <c r="M71" s="6" t="s">
        <v>276</v>
      </c>
      <c r="N71" s="6" t="s">
        <v>57</v>
      </c>
      <c r="O71" s="6">
        <v>-74.67</v>
      </c>
      <c r="P71" s="6">
        <v>-15.0</v>
      </c>
      <c r="Q71" s="6" t="s">
        <v>277</v>
      </c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ht="15.75" customHeight="1">
      <c r="A72" s="6" t="s">
        <v>105</v>
      </c>
      <c r="B72" s="6" t="str">
        <f t="shared" si="13"/>
        <v>1NH2XX0EW01OVR</v>
      </c>
      <c r="C72" s="6" t="s">
        <v>251</v>
      </c>
      <c r="D72" s="6" t="s">
        <v>252</v>
      </c>
      <c r="E72" s="6" t="str">
        <f t="shared" si="1"/>
        <v>JANIE JOHNSON</v>
      </c>
      <c r="F72" s="6" t="s">
        <v>108</v>
      </c>
      <c r="G72" s="6" t="s">
        <v>37</v>
      </c>
      <c r="H72" s="6" t="s">
        <v>29</v>
      </c>
      <c r="I72" s="7">
        <v>45992.0</v>
      </c>
      <c r="J72" s="7">
        <v>45992.0</v>
      </c>
      <c r="K72" s="6">
        <v>2.0411454E7</v>
      </c>
      <c r="L72" s="6" t="s">
        <v>32</v>
      </c>
      <c r="M72" s="6" t="s">
        <v>276</v>
      </c>
      <c r="N72" s="6" t="s">
        <v>57</v>
      </c>
      <c r="O72" s="6">
        <v>-47.08</v>
      </c>
      <c r="P72" s="6">
        <v>-14.58</v>
      </c>
      <c r="Q72" s="6" t="s">
        <v>277</v>
      </c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ht="15.75" customHeight="1">
      <c r="A73" s="6" t="s">
        <v>112</v>
      </c>
      <c r="B73" s="6" t="str">
        <f t="shared" si="13"/>
        <v>1AA5E62WQ61OVR</v>
      </c>
      <c r="C73" s="6" t="s">
        <v>238</v>
      </c>
      <c r="D73" s="6" t="s">
        <v>239</v>
      </c>
      <c r="E73" s="6" t="str">
        <f t="shared" si="1"/>
        <v>ELIZABETH JONES</v>
      </c>
      <c r="F73" s="6" t="s">
        <v>42</v>
      </c>
      <c r="G73" s="6" t="s">
        <v>37</v>
      </c>
      <c r="H73" s="6" t="s">
        <v>29</v>
      </c>
      <c r="I73" s="7">
        <v>45992.0</v>
      </c>
      <c r="J73" s="7">
        <v>45992.0</v>
      </c>
      <c r="K73" s="6">
        <v>2.0411454E7</v>
      </c>
      <c r="L73" s="6" t="s">
        <v>32</v>
      </c>
      <c r="M73" s="6" t="s">
        <v>276</v>
      </c>
      <c r="N73" s="6" t="s">
        <v>34</v>
      </c>
      <c r="O73" s="6">
        <v>-36.5</v>
      </c>
      <c r="P73" s="6">
        <v>-10.42</v>
      </c>
      <c r="Q73" s="6" t="s">
        <v>277</v>
      </c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ht="15.75" customHeight="1">
      <c r="A74" s="6" t="s">
        <v>39</v>
      </c>
      <c r="B74" s="6" t="str">
        <f t="shared" si="13"/>
        <v>3EC1D83VF34OVR</v>
      </c>
      <c r="C74" s="6" t="s">
        <v>232</v>
      </c>
      <c r="D74" s="6" t="s">
        <v>233</v>
      </c>
      <c r="E74" s="6" t="str">
        <f t="shared" si="1"/>
        <v>JESSE BARNET</v>
      </c>
      <c r="F74" s="6" t="s">
        <v>42</v>
      </c>
      <c r="G74" s="6" t="s">
        <v>37</v>
      </c>
      <c r="H74" s="6" t="s">
        <v>29</v>
      </c>
      <c r="I74" s="7">
        <v>45992.0</v>
      </c>
      <c r="J74" s="7">
        <v>45992.0</v>
      </c>
      <c r="K74" s="6">
        <v>2.0411454E7</v>
      </c>
      <c r="L74" s="6" t="s">
        <v>32</v>
      </c>
      <c r="M74" s="6" t="s">
        <v>276</v>
      </c>
      <c r="N74" s="6" t="s">
        <v>34</v>
      </c>
      <c r="O74" s="6">
        <v>-36.08</v>
      </c>
      <c r="P74" s="6">
        <v>-10.0</v>
      </c>
      <c r="Q74" s="6" t="s">
        <v>277</v>
      </c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ht="15.75" customHeight="1">
      <c r="A75" s="6" t="s">
        <v>24</v>
      </c>
      <c r="B75" s="6" t="str">
        <f t="shared" si="13"/>
        <v>2HQ3HV1HJ78OVR</v>
      </c>
      <c r="C75" s="6" t="s">
        <v>278</v>
      </c>
      <c r="D75" s="6" t="s">
        <v>279</v>
      </c>
      <c r="E75" s="6" t="str">
        <f t="shared" si="1"/>
        <v>MARGARET ANGERT</v>
      </c>
      <c r="F75" s="6" t="s">
        <v>27</v>
      </c>
      <c r="G75" s="6" t="s">
        <v>37</v>
      </c>
      <c r="H75" s="6" t="s">
        <v>29</v>
      </c>
      <c r="I75" s="7">
        <v>45931.0</v>
      </c>
      <c r="J75" s="7">
        <v>45931.0</v>
      </c>
      <c r="K75" s="6">
        <v>2.0411454E7</v>
      </c>
      <c r="L75" s="6" t="s">
        <v>32</v>
      </c>
      <c r="M75" s="6" t="s">
        <v>276</v>
      </c>
      <c r="N75" s="6" t="s">
        <v>34</v>
      </c>
      <c r="O75" s="6">
        <v>-10.0</v>
      </c>
      <c r="P75" s="6">
        <v>-10.0</v>
      </c>
      <c r="Q75" s="6" t="s">
        <v>277</v>
      </c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ht="15.75" customHeight="1">
      <c r="A76" s="6" t="s">
        <v>24</v>
      </c>
      <c r="B76" s="6" t="str">
        <f t="shared" si="13"/>
        <v>2HQ3HV1HJ78OVR</v>
      </c>
      <c r="C76" s="6" t="s">
        <v>278</v>
      </c>
      <c r="D76" s="6" t="s">
        <v>279</v>
      </c>
      <c r="E76" s="6" t="str">
        <f t="shared" si="1"/>
        <v>MARGARET ANGERT</v>
      </c>
      <c r="F76" s="6" t="s">
        <v>27</v>
      </c>
      <c r="G76" s="6" t="s">
        <v>28</v>
      </c>
      <c r="H76" s="6" t="s">
        <v>29</v>
      </c>
      <c r="I76" s="7">
        <v>45931.0</v>
      </c>
      <c r="J76" s="7">
        <v>45931.0</v>
      </c>
      <c r="K76" s="6">
        <v>2.0411454E7</v>
      </c>
      <c r="L76" s="6" t="s">
        <v>32</v>
      </c>
      <c r="M76" s="6" t="s">
        <v>276</v>
      </c>
      <c r="N76" s="6" t="s">
        <v>34</v>
      </c>
      <c r="O76" s="6">
        <v>10.0</v>
      </c>
      <c r="P76" s="6">
        <v>10.0</v>
      </c>
      <c r="Q76" s="6" t="s">
        <v>277</v>
      </c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ht="15.75" customHeight="1">
      <c r="A77" s="6" t="s">
        <v>127</v>
      </c>
      <c r="B77" s="6" t="str">
        <f t="shared" si="13"/>
        <v>9C86YX8UQ79OVR</v>
      </c>
      <c r="C77" s="6" t="s">
        <v>271</v>
      </c>
      <c r="D77" s="6" t="s">
        <v>213</v>
      </c>
      <c r="E77" s="6" t="str">
        <f t="shared" si="1"/>
        <v>LINDA MONTGOMERY</v>
      </c>
      <c r="F77" s="6" t="s">
        <v>42</v>
      </c>
      <c r="G77" s="6" t="s">
        <v>55</v>
      </c>
      <c r="H77" s="6" t="s">
        <v>29</v>
      </c>
      <c r="I77" s="7">
        <v>45992.0</v>
      </c>
      <c r="J77" s="7">
        <v>45992.0</v>
      </c>
      <c r="K77" s="6">
        <v>2.0411454E7</v>
      </c>
      <c r="L77" s="6" t="s">
        <v>32</v>
      </c>
      <c r="M77" s="6" t="s">
        <v>276</v>
      </c>
      <c r="N77" s="6" t="s">
        <v>57</v>
      </c>
      <c r="O77" s="6">
        <v>37.33</v>
      </c>
      <c r="P77" s="6">
        <f>135/12</f>
        <v>11.25</v>
      </c>
      <c r="Q77" s="6" t="s">
        <v>277</v>
      </c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ht="15.75" customHeight="1">
      <c r="A78" s="6" t="s">
        <v>164</v>
      </c>
      <c r="B78" s="6" t="str">
        <f t="shared" si="13"/>
        <v>2CA8E06XF53OVR</v>
      </c>
      <c r="C78" s="6" t="s">
        <v>269</v>
      </c>
      <c r="D78" s="6" t="s">
        <v>270</v>
      </c>
      <c r="E78" s="6" t="str">
        <f t="shared" si="1"/>
        <v>MARK PHILLIPS</v>
      </c>
      <c r="F78" s="6" t="s">
        <v>159</v>
      </c>
      <c r="G78" s="6" t="s">
        <v>55</v>
      </c>
      <c r="H78" s="6" t="s">
        <v>29</v>
      </c>
      <c r="I78" s="7">
        <v>45992.0</v>
      </c>
      <c r="J78" s="7">
        <v>45992.0</v>
      </c>
      <c r="K78" s="6">
        <v>2.0411454E7</v>
      </c>
      <c r="L78" s="6" t="s">
        <v>32</v>
      </c>
      <c r="M78" s="6" t="s">
        <v>276</v>
      </c>
      <c r="N78" s="6" t="s">
        <v>57</v>
      </c>
      <c r="O78" s="6">
        <v>38.58</v>
      </c>
      <c r="P78" s="6">
        <f>150/12</f>
        <v>12.5</v>
      </c>
      <c r="Q78" s="6" t="s">
        <v>277</v>
      </c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ht="15.75" customHeight="1">
      <c r="A79" s="6" t="s">
        <v>188</v>
      </c>
      <c r="B79" s="6" t="str">
        <f t="shared" si="13"/>
        <v>8CY1HY9CW35OVR</v>
      </c>
      <c r="C79" s="6" t="s">
        <v>240</v>
      </c>
      <c r="D79" s="6" t="s">
        <v>241</v>
      </c>
      <c r="E79" s="6" t="str">
        <f t="shared" si="1"/>
        <v>NORMA TORRES</v>
      </c>
      <c r="F79" s="6" t="s">
        <v>191</v>
      </c>
      <c r="G79" s="6" t="s">
        <v>55</v>
      </c>
      <c r="H79" s="6" t="s">
        <v>29</v>
      </c>
      <c r="I79" s="7">
        <v>45962.0</v>
      </c>
      <c r="J79" s="7">
        <v>45962.0</v>
      </c>
      <c r="K79" s="6">
        <v>2.0411454E7</v>
      </c>
      <c r="L79" s="6" t="s">
        <v>32</v>
      </c>
      <c r="M79" s="6" t="s">
        <v>276</v>
      </c>
      <c r="N79" s="6" t="s">
        <v>57</v>
      </c>
      <c r="O79" s="6">
        <v>74.67</v>
      </c>
      <c r="P79" s="6">
        <f>135/12*2</f>
        <v>22.5</v>
      </c>
      <c r="Q79" s="6" t="s">
        <v>277</v>
      </c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ht="15.75" customHeight="1">
      <c r="A80" s="6" t="s">
        <v>161</v>
      </c>
      <c r="B80" s="6" t="str">
        <f t="shared" si="13"/>
        <v>7VM9K61GT12OVR</v>
      </c>
      <c r="C80" s="6" t="s">
        <v>259</v>
      </c>
      <c r="D80" s="6" t="s">
        <v>249</v>
      </c>
      <c r="E80" s="6" t="str">
        <f t="shared" si="1"/>
        <v>JOHN PFLEIDERER</v>
      </c>
      <c r="F80" s="6" t="s">
        <v>61</v>
      </c>
      <c r="G80" s="6" t="s">
        <v>55</v>
      </c>
      <c r="H80" s="6" t="s">
        <v>29</v>
      </c>
      <c r="I80" s="7">
        <v>45962.0</v>
      </c>
      <c r="J80" s="7">
        <v>45962.0</v>
      </c>
      <c r="K80" s="6">
        <v>2.0411454E7</v>
      </c>
      <c r="L80" s="6" t="s">
        <v>32</v>
      </c>
      <c r="M80" s="6" t="s">
        <v>276</v>
      </c>
      <c r="N80" s="6" t="s">
        <v>57</v>
      </c>
      <c r="O80" s="6">
        <v>77.17</v>
      </c>
      <c r="P80" s="6">
        <f>150/12*2</f>
        <v>25</v>
      </c>
      <c r="Q80" s="6" t="s">
        <v>277</v>
      </c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ht="15.75" customHeight="1">
      <c r="A81" s="6" t="s">
        <v>181</v>
      </c>
      <c r="B81" s="6" t="str">
        <f t="shared" si="13"/>
        <v>4YD4U43EF65OVR</v>
      </c>
      <c r="C81" s="6" t="s">
        <v>230</v>
      </c>
      <c r="D81" s="6" t="s">
        <v>231</v>
      </c>
      <c r="E81" s="6" t="str">
        <f t="shared" si="1"/>
        <v>NANCY SMITH</v>
      </c>
      <c r="F81" s="6" t="s">
        <v>184</v>
      </c>
      <c r="G81" s="6" t="s">
        <v>55</v>
      </c>
      <c r="H81" s="6" t="s">
        <v>29</v>
      </c>
      <c r="I81" s="7">
        <v>45931.0</v>
      </c>
      <c r="J81" s="7">
        <v>45931.0</v>
      </c>
      <c r="K81" s="6">
        <v>2.0411454E7</v>
      </c>
      <c r="L81" s="6" t="s">
        <v>32</v>
      </c>
      <c r="M81" s="6" t="s">
        <v>276</v>
      </c>
      <c r="N81" s="6" t="s">
        <v>57</v>
      </c>
      <c r="O81" s="6">
        <v>112.0</v>
      </c>
      <c r="P81" s="6">
        <f>135/12*3</f>
        <v>33.75</v>
      </c>
      <c r="Q81" s="6" t="s">
        <v>277</v>
      </c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ht="15.75" customHeight="1">
      <c r="A82" s="6" t="s">
        <v>52</v>
      </c>
      <c r="B82" s="6" t="str">
        <f t="shared" si="13"/>
        <v>4FH9DJ0EW12OVR</v>
      </c>
      <c r="C82" s="6" t="s">
        <v>199</v>
      </c>
      <c r="D82" s="6" t="s">
        <v>200</v>
      </c>
      <c r="E82" s="6" t="str">
        <f t="shared" si="1"/>
        <v>CHERYL BOWSER</v>
      </c>
      <c r="F82" s="6" t="s">
        <v>27</v>
      </c>
      <c r="G82" s="6" t="s">
        <v>55</v>
      </c>
      <c r="H82" s="6" t="s">
        <v>29</v>
      </c>
      <c r="I82" s="7">
        <v>45931.0</v>
      </c>
      <c r="J82" s="7">
        <v>45931.0</v>
      </c>
      <c r="K82" s="6">
        <v>2.0411454E7</v>
      </c>
      <c r="L82" s="6" t="s">
        <v>32</v>
      </c>
      <c r="M82" s="6" t="s">
        <v>276</v>
      </c>
      <c r="N82" s="6" t="s">
        <v>57</v>
      </c>
      <c r="O82" s="6">
        <v>125.75</v>
      </c>
      <c r="P82" s="6">
        <f t="shared" ref="P82:P83" si="15">150/12*3</f>
        <v>37.5</v>
      </c>
      <c r="Q82" s="6" t="s">
        <v>277</v>
      </c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ht="15.75" customHeight="1">
      <c r="A83" s="6" t="s">
        <v>65</v>
      </c>
      <c r="B83" s="6" t="str">
        <f t="shared" si="13"/>
        <v>8MJ8C30QE39OVR</v>
      </c>
      <c r="C83" s="6" t="s">
        <v>212</v>
      </c>
      <c r="D83" s="6" t="s">
        <v>213</v>
      </c>
      <c r="E83" s="6" t="str">
        <f t="shared" si="1"/>
        <v>LINDA BRICE</v>
      </c>
      <c r="F83" s="6" t="s">
        <v>27</v>
      </c>
      <c r="G83" s="6" t="s">
        <v>55</v>
      </c>
      <c r="H83" s="6" t="s">
        <v>29</v>
      </c>
      <c r="I83" s="7">
        <v>45931.0</v>
      </c>
      <c r="J83" s="7">
        <v>45931.0</v>
      </c>
      <c r="K83" s="6">
        <v>2.0411454E7</v>
      </c>
      <c r="L83" s="6" t="s">
        <v>32</v>
      </c>
      <c r="M83" s="6" t="s">
        <v>276</v>
      </c>
      <c r="N83" s="6" t="s">
        <v>57</v>
      </c>
      <c r="O83" s="6">
        <v>125.75</v>
      </c>
      <c r="P83" s="6">
        <f t="shared" si="15"/>
        <v>37.5</v>
      </c>
      <c r="Q83" s="6" t="s">
        <v>277</v>
      </c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ht="15.75" customHeight="1">
      <c r="A84" s="6" t="s">
        <v>132</v>
      </c>
      <c r="B84" s="6" t="str">
        <f t="shared" si="13"/>
        <v>4D43X47JA73OVR</v>
      </c>
      <c r="C84" s="6" t="s">
        <v>221</v>
      </c>
      <c r="D84" s="6" t="s">
        <v>222</v>
      </c>
      <c r="E84" s="6" t="str">
        <f t="shared" si="1"/>
        <v>MARIA MORRISON</v>
      </c>
      <c r="F84" s="6" t="s">
        <v>135</v>
      </c>
      <c r="G84" s="6" t="s">
        <v>28</v>
      </c>
      <c r="H84" s="6" t="s">
        <v>29</v>
      </c>
      <c r="I84" s="7">
        <v>45931.0</v>
      </c>
      <c r="J84" s="7">
        <v>45931.0</v>
      </c>
      <c r="K84" s="6">
        <v>2.0411454E7</v>
      </c>
      <c r="L84" s="6" t="s">
        <v>32</v>
      </c>
      <c r="M84" s="6" t="s">
        <v>276</v>
      </c>
      <c r="N84" s="6" t="s">
        <v>57</v>
      </c>
      <c r="O84" s="6">
        <v>190.25</v>
      </c>
      <c r="P84" s="6">
        <f>135/12*3</f>
        <v>33.75</v>
      </c>
      <c r="Q84" s="6" t="s">
        <v>277</v>
      </c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ht="15.75" customHeight="1">
      <c r="A85" s="6" t="s">
        <v>177</v>
      </c>
      <c r="B85" s="6" t="str">
        <f t="shared" si="13"/>
        <v>3RT5WP7QC64OVR</v>
      </c>
      <c r="C85" s="6" t="s">
        <v>272</v>
      </c>
      <c r="D85" s="6" t="s">
        <v>270</v>
      </c>
      <c r="E85" s="6" t="str">
        <f t="shared" si="1"/>
        <v>MARK SHAUGHNESSY</v>
      </c>
      <c r="F85" s="6" t="s">
        <v>171</v>
      </c>
      <c r="G85" s="6" t="s">
        <v>95</v>
      </c>
      <c r="H85" s="6" t="s">
        <v>29</v>
      </c>
      <c r="I85" s="7">
        <v>45717.0</v>
      </c>
      <c r="J85" s="7">
        <v>45717.0</v>
      </c>
      <c r="K85" s="6">
        <v>2.0411454E7</v>
      </c>
      <c r="L85" s="6" t="s">
        <v>32</v>
      </c>
      <c r="M85" s="6" t="s">
        <v>276</v>
      </c>
      <c r="N85" s="6" t="s">
        <v>34</v>
      </c>
      <c r="O85" s="6">
        <v>375.5</v>
      </c>
      <c r="P85" s="6">
        <v>62.5</v>
      </c>
      <c r="Q85" s="6" t="s">
        <v>277</v>
      </c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ht="15.75" customHeight="1">
      <c r="A86" s="6" t="s">
        <v>92</v>
      </c>
      <c r="B86" s="6" t="str">
        <f t="shared" si="13"/>
        <v>4G77E15MR49OVR</v>
      </c>
      <c r="C86" s="6" t="s">
        <v>214</v>
      </c>
      <c r="D86" s="6" t="s">
        <v>215</v>
      </c>
      <c r="E86" s="6" t="str">
        <f t="shared" si="1"/>
        <v>DARRELL GUNTER</v>
      </c>
      <c r="F86" s="6" t="s">
        <v>27</v>
      </c>
      <c r="G86" s="6" t="s">
        <v>95</v>
      </c>
      <c r="H86" s="6" t="s">
        <v>29</v>
      </c>
      <c r="I86" s="7">
        <v>45748.0</v>
      </c>
      <c r="J86" s="7">
        <v>45748.0</v>
      </c>
      <c r="K86" s="6">
        <v>2.0411454E7</v>
      </c>
      <c r="L86" s="6" t="s">
        <v>32</v>
      </c>
      <c r="M86" s="6" t="s">
        <v>276</v>
      </c>
      <c r="N86" s="6" t="s">
        <v>34</v>
      </c>
      <c r="O86" s="6">
        <v>415.0</v>
      </c>
      <c r="P86" s="6">
        <f>125/12*6</f>
        <v>62.5</v>
      </c>
      <c r="Q86" s="6" t="s">
        <v>277</v>
      </c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ht="15.75" customHeight="1">
      <c r="A87" s="6" t="s">
        <v>39</v>
      </c>
      <c r="B87" s="6" t="str">
        <f t="shared" si="13"/>
        <v>3EC1D83VF34OVR</v>
      </c>
      <c r="C87" s="6" t="s">
        <v>232</v>
      </c>
      <c r="D87" s="6" t="s">
        <v>233</v>
      </c>
      <c r="E87" s="6" t="str">
        <f t="shared" si="1"/>
        <v>JESSE BARNET</v>
      </c>
      <c r="F87" s="6" t="s">
        <v>42</v>
      </c>
      <c r="G87" s="6" t="s">
        <v>43</v>
      </c>
      <c r="H87" s="6" t="s">
        <v>29</v>
      </c>
      <c r="I87" s="7">
        <v>45992.0</v>
      </c>
      <c r="J87" s="7">
        <v>45992.0</v>
      </c>
      <c r="K87" s="6">
        <v>2.0411454E7</v>
      </c>
      <c r="L87" s="6" t="s">
        <v>32</v>
      </c>
      <c r="M87" s="6" t="s">
        <v>276</v>
      </c>
      <c r="N87" s="6" t="s">
        <v>34</v>
      </c>
      <c r="O87" s="6">
        <v>746.0</v>
      </c>
      <c r="P87" s="6">
        <v>120.0</v>
      </c>
      <c r="Q87" s="6" t="s">
        <v>277</v>
      </c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ht="15.75" customHeight="1">
      <c r="A88" s="6" t="s">
        <v>70</v>
      </c>
      <c r="B88" s="6" t="str">
        <f t="shared" si="13"/>
        <v>7QF1YQ0DP34OVR</v>
      </c>
      <c r="C88" s="6" t="s">
        <v>264</v>
      </c>
      <c r="D88" s="6" t="s">
        <v>265</v>
      </c>
      <c r="E88" s="6" t="str">
        <f t="shared" si="1"/>
        <v>PEGGY EULER</v>
      </c>
      <c r="F88" s="6" t="s">
        <v>42</v>
      </c>
      <c r="G88" s="6" t="s">
        <v>43</v>
      </c>
      <c r="H88" s="6" t="s">
        <v>29</v>
      </c>
      <c r="I88" s="7">
        <v>45931.0</v>
      </c>
      <c r="J88" s="7">
        <v>45931.0</v>
      </c>
      <c r="K88" s="6">
        <v>2.0411454E7</v>
      </c>
      <c r="L88" s="6" t="s">
        <v>32</v>
      </c>
      <c r="M88" s="6" t="s">
        <v>276</v>
      </c>
      <c r="N88" s="6" t="s">
        <v>34</v>
      </c>
      <c r="O88" s="6">
        <v>746.0</v>
      </c>
      <c r="P88" s="6">
        <v>120.0</v>
      </c>
      <c r="Q88" s="6" t="s">
        <v>277</v>
      </c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ht="15.75" customHeight="1">
      <c r="A89" s="6" t="s">
        <v>168</v>
      </c>
      <c r="B89" s="6" t="str">
        <f t="shared" si="13"/>
        <v>1HH6U70AK43OVR</v>
      </c>
      <c r="C89" s="6" t="s">
        <v>228</v>
      </c>
      <c r="D89" s="6" t="s">
        <v>229</v>
      </c>
      <c r="E89" s="6" t="str">
        <f t="shared" si="1"/>
        <v>ROBERT POLETYNSKI</v>
      </c>
      <c r="F89" s="6" t="s">
        <v>171</v>
      </c>
      <c r="G89" s="6" t="s">
        <v>43</v>
      </c>
      <c r="H89" s="6" t="s">
        <v>29</v>
      </c>
      <c r="I89" s="7">
        <v>45931.0</v>
      </c>
      <c r="J89" s="7">
        <v>45931.0</v>
      </c>
      <c r="K89" s="6">
        <v>2.0411454E7</v>
      </c>
      <c r="L89" s="6" t="s">
        <v>32</v>
      </c>
      <c r="M89" s="6" t="s">
        <v>276</v>
      </c>
      <c r="N89" s="6" t="s">
        <v>34</v>
      </c>
      <c r="O89" s="6">
        <v>746.0</v>
      </c>
      <c r="P89" s="6">
        <v>120.0</v>
      </c>
      <c r="Q89" s="6" t="s">
        <v>277</v>
      </c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ht="15.75" customHeight="1">
      <c r="A90" s="6" t="s">
        <v>75</v>
      </c>
      <c r="B90" s="6" t="str">
        <f t="shared" si="13"/>
        <v>6Y85V40VN97OVR</v>
      </c>
      <c r="C90" s="6" t="s">
        <v>248</v>
      </c>
      <c r="D90" s="6" t="s">
        <v>249</v>
      </c>
      <c r="E90" s="6" t="str">
        <f t="shared" si="1"/>
        <v>JOHN GALIOTO</v>
      </c>
      <c r="F90" s="6" t="s">
        <v>42</v>
      </c>
      <c r="G90" s="6" t="s">
        <v>78</v>
      </c>
      <c r="H90" s="6" t="s">
        <v>29</v>
      </c>
      <c r="I90" s="7">
        <v>45689.0</v>
      </c>
      <c r="J90" s="7">
        <v>45689.0</v>
      </c>
      <c r="K90" s="6">
        <v>2.0411454E7</v>
      </c>
      <c r="L90" s="6" t="s">
        <v>32</v>
      </c>
      <c r="M90" s="6" t="s">
        <v>276</v>
      </c>
      <c r="N90" s="6" t="s">
        <v>34</v>
      </c>
      <c r="O90" s="6">
        <v>751.0</v>
      </c>
      <c r="P90" s="6">
        <v>125.0</v>
      </c>
      <c r="Q90" s="6" t="s">
        <v>277</v>
      </c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ht="15.75" customHeight="1">
      <c r="A91" s="6" t="s">
        <v>99</v>
      </c>
      <c r="B91" s="6" t="str">
        <f t="shared" si="13"/>
        <v>9G01Y38DT33OVR</v>
      </c>
      <c r="C91" s="6" t="s">
        <v>219</v>
      </c>
      <c r="D91" s="6" t="s">
        <v>220</v>
      </c>
      <c r="E91" s="6" t="str">
        <f t="shared" si="1"/>
        <v>CURT HAGEMEIER</v>
      </c>
      <c r="F91" s="6" t="s">
        <v>42</v>
      </c>
      <c r="G91" s="6" t="s">
        <v>43</v>
      </c>
      <c r="H91" s="6" t="s">
        <v>29</v>
      </c>
      <c r="I91" s="7">
        <v>45931.0</v>
      </c>
      <c r="J91" s="7">
        <v>45931.0</v>
      </c>
      <c r="K91" s="6">
        <v>2.0411454E7</v>
      </c>
      <c r="L91" s="6" t="s">
        <v>32</v>
      </c>
      <c r="M91" s="6" t="s">
        <v>276</v>
      </c>
      <c r="N91" s="6" t="s">
        <v>34</v>
      </c>
      <c r="O91" s="6">
        <v>751.0</v>
      </c>
      <c r="P91" s="6">
        <v>125.0</v>
      </c>
      <c r="Q91" s="6" t="s">
        <v>277</v>
      </c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ht="15.75" customHeight="1">
      <c r="A92" s="6" t="s">
        <v>112</v>
      </c>
      <c r="B92" s="6" t="str">
        <f t="shared" si="13"/>
        <v>1AA5E62WQ61OVR</v>
      </c>
      <c r="C92" s="6" t="s">
        <v>238</v>
      </c>
      <c r="D92" s="6" t="s">
        <v>239</v>
      </c>
      <c r="E92" s="6" t="str">
        <f t="shared" si="1"/>
        <v>ELIZABETH JONES</v>
      </c>
      <c r="F92" s="6" t="s">
        <v>42</v>
      </c>
      <c r="G92" s="6" t="s">
        <v>43</v>
      </c>
      <c r="H92" s="6" t="s">
        <v>29</v>
      </c>
      <c r="I92" s="7">
        <v>45992.0</v>
      </c>
      <c r="J92" s="7">
        <v>45992.0</v>
      </c>
      <c r="K92" s="6">
        <v>2.0411454E7</v>
      </c>
      <c r="L92" s="6" t="s">
        <v>32</v>
      </c>
      <c r="M92" s="6" t="s">
        <v>276</v>
      </c>
      <c r="N92" s="6" t="s">
        <v>34</v>
      </c>
      <c r="O92" s="6">
        <v>751.0</v>
      </c>
      <c r="P92" s="6">
        <v>125.0</v>
      </c>
      <c r="Q92" s="6" t="s">
        <v>277</v>
      </c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ht="15.75" customHeight="1">
      <c r="A93" s="6" t="s">
        <v>174</v>
      </c>
      <c r="B93" s="6" t="str">
        <f t="shared" si="13"/>
        <v>6EY2R94YX96OVR</v>
      </c>
      <c r="C93" s="6" t="s">
        <v>234</v>
      </c>
      <c r="D93" s="6" t="s">
        <v>235</v>
      </c>
      <c r="E93" s="6" t="str">
        <f t="shared" si="1"/>
        <v>RICHARD SCHRENZEL</v>
      </c>
      <c r="F93" s="6" t="s">
        <v>42</v>
      </c>
      <c r="G93" s="6" t="s">
        <v>43</v>
      </c>
      <c r="H93" s="6" t="s">
        <v>29</v>
      </c>
      <c r="I93" s="7">
        <v>45901.0</v>
      </c>
      <c r="J93" s="7">
        <v>45901.0</v>
      </c>
      <c r="K93" s="6">
        <v>2.0411454E7</v>
      </c>
      <c r="L93" s="6" t="s">
        <v>32</v>
      </c>
      <c r="M93" s="6" t="s">
        <v>276</v>
      </c>
      <c r="N93" s="6" t="s">
        <v>34</v>
      </c>
      <c r="O93" s="6">
        <v>751.0</v>
      </c>
      <c r="P93" s="6">
        <v>125.0</v>
      </c>
      <c r="Q93" s="6" t="s">
        <v>277</v>
      </c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ht="15.75" customHeight="1">
      <c r="A94" s="6" t="s">
        <v>80</v>
      </c>
      <c r="B94" s="6" t="str">
        <f t="shared" si="13"/>
        <v>3WY6DA4KY76OVR</v>
      </c>
      <c r="C94" s="6" t="s">
        <v>273</v>
      </c>
      <c r="D94" s="6" t="s">
        <v>274</v>
      </c>
      <c r="E94" s="6" t="str">
        <f t="shared" si="1"/>
        <v>DIANE GRAHL</v>
      </c>
      <c r="F94" s="6" t="s">
        <v>83</v>
      </c>
      <c r="G94" s="6" t="s">
        <v>43</v>
      </c>
      <c r="H94" s="6" t="s">
        <v>29</v>
      </c>
      <c r="I94" s="7">
        <v>45962.0</v>
      </c>
      <c r="J94" s="7">
        <v>45962.0</v>
      </c>
      <c r="K94" s="6">
        <v>2.0411454E7</v>
      </c>
      <c r="L94" s="6" t="s">
        <v>32</v>
      </c>
      <c r="M94" s="6" t="s">
        <v>276</v>
      </c>
      <c r="N94" s="6" t="s">
        <v>57</v>
      </c>
      <c r="O94" s="6">
        <v>761.0</v>
      </c>
      <c r="P94" s="6">
        <v>135.0</v>
      </c>
      <c r="Q94" s="6" t="s">
        <v>277</v>
      </c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ht="15.75" customHeight="1">
      <c r="A95" s="6" t="s">
        <v>58</v>
      </c>
      <c r="B95" s="6" t="str">
        <f t="shared" si="13"/>
        <v>4MD4N78NH07OVR</v>
      </c>
      <c r="C95" s="6" t="s">
        <v>257</v>
      </c>
      <c r="D95" s="6" t="s">
        <v>258</v>
      </c>
      <c r="E95" s="6" t="str">
        <f t="shared" si="1"/>
        <v>MILAN BRADY</v>
      </c>
      <c r="F95" s="6" t="s">
        <v>61</v>
      </c>
      <c r="G95" s="6" t="s">
        <v>43</v>
      </c>
      <c r="H95" s="6" t="s">
        <v>29</v>
      </c>
      <c r="I95" s="7">
        <v>45931.0</v>
      </c>
      <c r="J95" s="7">
        <v>45931.0</v>
      </c>
      <c r="K95" s="6">
        <v>2.0411454E7</v>
      </c>
      <c r="L95" s="6" t="s">
        <v>32</v>
      </c>
      <c r="M95" s="6" t="s">
        <v>276</v>
      </c>
      <c r="N95" s="6" t="s">
        <v>57</v>
      </c>
      <c r="O95" s="6">
        <v>776.0</v>
      </c>
      <c r="P95" s="6">
        <v>150.0</v>
      </c>
      <c r="Q95" s="6" t="s">
        <v>277</v>
      </c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ht="15.75" customHeight="1">
      <c r="A96" s="6" t="s">
        <v>117</v>
      </c>
      <c r="B96" s="6" t="str">
        <f t="shared" si="13"/>
        <v>4HM7XN6GN57OVR</v>
      </c>
      <c r="C96" s="6" t="s">
        <v>203</v>
      </c>
      <c r="D96" s="6" t="s">
        <v>204</v>
      </c>
      <c r="E96" s="6" t="str">
        <f t="shared" si="1"/>
        <v>HAITHAM MASRI</v>
      </c>
      <c r="F96" s="6" t="s">
        <v>61</v>
      </c>
      <c r="G96" s="6" t="s">
        <v>43</v>
      </c>
      <c r="H96" s="6" t="s">
        <v>29</v>
      </c>
      <c r="I96" s="7">
        <v>45931.0</v>
      </c>
      <c r="J96" s="7">
        <v>45931.0</v>
      </c>
      <c r="K96" s="6">
        <v>2.0411454E7</v>
      </c>
      <c r="L96" s="6" t="s">
        <v>32</v>
      </c>
      <c r="M96" s="6" t="s">
        <v>276</v>
      </c>
      <c r="N96" s="6" t="s">
        <v>57</v>
      </c>
      <c r="O96" s="6">
        <v>776.0</v>
      </c>
      <c r="P96" s="6">
        <v>150.0</v>
      </c>
      <c r="Q96" s="6" t="s">
        <v>277</v>
      </c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ht="15.75" customHeight="1">
      <c r="A97" s="6" t="s">
        <v>144</v>
      </c>
      <c r="B97" s="6" t="str">
        <f t="shared" si="13"/>
        <v>3H30C63MW10OVR</v>
      </c>
      <c r="C97" s="6" t="s">
        <v>266</v>
      </c>
      <c r="D97" s="6" t="s">
        <v>267</v>
      </c>
      <c r="E97" s="6" t="str">
        <f t="shared" si="1"/>
        <v>MELODY MYRICK</v>
      </c>
      <c r="F97" s="6" t="s">
        <v>147</v>
      </c>
      <c r="G97" s="6" t="s">
        <v>43</v>
      </c>
      <c r="H97" s="6" t="s">
        <v>29</v>
      </c>
      <c r="I97" s="7">
        <v>45962.0</v>
      </c>
      <c r="J97" s="7">
        <v>45962.0</v>
      </c>
      <c r="K97" s="6">
        <v>2.0411454E7</v>
      </c>
      <c r="L97" s="6" t="s">
        <v>32</v>
      </c>
      <c r="M97" s="6" t="s">
        <v>276</v>
      </c>
      <c r="N97" s="6" t="s">
        <v>57</v>
      </c>
      <c r="O97" s="6">
        <v>776.0</v>
      </c>
      <c r="P97" s="6">
        <v>150.0</v>
      </c>
      <c r="Q97" s="6" t="s">
        <v>277</v>
      </c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ht="15.75" customHeight="1">
      <c r="A98" s="6" t="s">
        <v>151</v>
      </c>
      <c r="B98" s="6" t="str">
        <f t="shared" si="13"/>
        <v>8AC1PC2MR33OVR</v>
      </c>
      <c r="C98" s="6" t="s">
        <v>209</v>
      </c>
      <c r="D98" s="6" t="s">
        <v>210</v>
      </c>
      <c r="E98" s="6" t="str">
        <f t="shared" si="1"/>
        <v>RENEE PANATTONI</v>
      </c>
      <c r="F98" s="6" t="s">
        <v>42</v>
      </c>
      <c r="G98" s="6" t="s">
        <v>43</v>
      </c>
      <c r="H98" s="6" t="s">
        <v>29</v>
      </c>
      <c r="I98" s="7">
        <v>45962.0</v>
      </c>
      <c r="J98" s="7">
        <v>45962.0</v>
      </c>
      <c r="K98" s="6">
        <v>2.0411454E7</v>
      </c>
      <c r="L98" s="6" t="s">
        <v>32</v>
      </c>
      <c r="M98" s="6" t="s">
        <v>276</v>
      </c>
      <c r="N98" s="6" t="s">
        <v>57</v>
      </c>
      <c r="O98" s="6">
        <v>776.0</v>
      </c>
      <c r="P98" s="6">
        <v>150.0</v>
      </c>
      <c r="Q98" s="6" t="s">
        <v>277</v>
      </c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ht="15.75" customHeight="1">
      <c r="A99" s="6" t="s">
        <v>156</v>
      </c>
      <c r="B99" s="6" t="str">
        <f t="shared" si="13"/>
        <v>8C59M52TU58OVR</v>
      </c>
      <c r="C99" s="6" t="s">
        <v>268</v>
      </c>
      <c r="D99" s="6" t="s">
        <v>243</v>
      </c>
      <c r="E99" s="6" t="str">
        <f t="shared" si="1"/>
        <v>KAREN PESTKA</v>
      </c>
      <c r="F99" s="6" t="s">
        <v>159</v>
      </c>
      <c r="G99" s="6" t="s">
        <v>43</v>
      </c>
      <c r="H99" s="6" t="s">
        <v>141</v>
      </c>
      <c r="I99" s="7">
        <v>45962.0</v>
      </c>
      <c r="J99" s="7">
        <v>45962.0</v>
      </c>
      <c r="K99" s="6">
        <v>2.0411454E7</v>
      </c>
      <c r="L99" s="6" t="s">
        <v>32</v>
      </c>
      <c r="M99" s="6" t="s">
        <v>276</v>
      </c>
      <c r="N99" s="6" t="s">
        <v>57</v>
      </c>
      <c r="O99" s="6">
        <v>776.0</v>
      </c>
      <c r="P99" s="6">
        <v>150.0</v>
      </c>
      <c r="Q99" s="6" t="s">
        <v>277</v>
      </c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ht="15.75" customHeight="1">
      <c r="A100" s="6" t="s">
        <v>47</v>
      </c>
      <c r="B100" s="6" t="str">
        <f t="shared" si="13"/>
        <v>3PJ3JU9HA86OVR</v>
      </c>
      <c r="C100" s="6" t="s">
        <v>260</v>
      </c>
      <c r="D100" s="6" t="s">
        <v>261</v>
      </c>
      <c r="E100" s="6" t="str">
        <f t="shared" si="1"/>
        <v>BARBARA BOWDEN</v>
      </c>
      <c r="F100" s="6" t="s">
        <v>27</v>
      </c>
      <c r="G100" s="6" t="s">
        <v>43</v>
      </c>
      <c r="H100" s="6" t="s">
        <v>29</v>
      </c>
      <c r="I100" s="7">
        <v>45931.0</v>
      </c>
      <c r="J100" s="7">
        <v>45931.0</v>
      </c>
      <c r="K100" s="6">
        <v>2.0411454E7</v>
      </c>
      <c r="L100" s="6" t="s">
        <v>32</v>
      </c>
      <c r="M100" s="6" t="s">
        <v>276</v>
      </c>
      <c r="N100" s="6" t="s">
        <v>34</v>
      </c>
      <c r="O100" s="6">
        <v>830.0</v>
      </c>
      <c r="P100" s="6">
        <v>125.0</v>
      </c>
      <c r="Q100" s="6" t="s">
        <v>277</v>
      </c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ht="15.75" customHeight="1">
      <c r="A101" s="6" t="s">
        <v>87</v>
      </c>
      <c r="B101" s="6" t="str">
        <f t="shared" si="13"/>
        <v>8GE0YW0QC43OVR</v>
      </c>
      <c r="C101" s="6" t="s">
        <v>262</v>
      </c>
      <c r="D101" s="6" t="s">
        <v>227</v>
      </c>
      <c r="E101" s="6" t="str">
        <f t="shared" si="1"/>
        <v>MICHAEL GRASSIA</v>
      </c>
      <c r="F101" s="6" t="s">
        <v>27</v>
      </c>
      <c r="G101" s="6" t="s">
        <v>43</v>
      </c>
      <c r="H101" s="6" t="s">
        <v>29</v>
      </c>
      <c r="I101" s="7">
        <v>45901.0</v>
      </c>
      <c r="J101" s="7">
        <v>45901.0</v>
      </c>
      <c r="K101" s="6">
        <v>2.0411454E7</v>
      </c>
      <c r="L101" s="6" t="s">
        <v>32</v>
      </c>
      <c r="M101" s="6" t="s">
        <v>276</v>
      </c>
      <c r="N101" s="6" t="s">
        <v>34</v>
      </c>
      <c r="O101" s="6">
        <v>830.0</v>
      </c>
      <c r="P101" s="6">
        <v>125.0</v>
      </c>
      <c r="Q101" s="6" t="s">
        <v>277</v>
      </c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ht="15.75" customHeight="1">
      <c r="A102" s="6" t="s">
        <v>138</v>
      </c>
      <c r="B102" s="6" t="str">
        <f t="shared" si="13"/>
        <v>6VG1UA9GU20OVR</v>
      </c>
      <c r="C102" s="6" t="s">
        <v>226</v>
      </c>
      <c r="D102" s="6" t="s">
        <v>227</v>
      </c>
      <c r="E102" s="6" t="str">
        <f t="shared" si="1"/>
        <v>MICHAEL MULDOWNEY</v>
      </c>
      <c r="F102" s="6" t="s">
        <v>27</v>
      </c>
      <c r="G102" s="6" t="s">
        <v>43</v>
      </c>
      <c r="H102" s="6" t="s">
        <v>141</v>
      </c>
      <c r="I102" s="7">
        <v>45931.0</v>
      </c>
      <c r="J102" s="7">
        <v>45931.0</v>
      </c>
      <c r="K102" s="6">
        <v>2.0411454E7</v>
      </c>
      <c r="L102" s="6" t="s">
        <v>32</v>
      </c>
      <c r="M102" s="6" t="s">
        <v>276</v>
      </c>
      <c r="N102" s="6" t="s">
        <v>57</v>
      </c>
      <c r="O102" s="6">
        <v>855.0</v>
      </c>
      <c r="P102" s="6">
        <v>150.0</v>
      </c>
      <c r="Q102" s="6" t="s">
        <v>277</v>
      </c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ht="15.75" customHeight="1">
      <c r="A103" s="6" t="s">
        <v>194</v>
      </c>
      <c r="B103" s="6" t="str">
        <f t="shared" si="13"/>
        <v>6PP0TT4MA29OVR</v>
      </c>
      <c r="C103" s="6" t="s">
        <v>224</v>
      </c>
      <c r="D103" s="6" t="s">
        <v>225</v>
      </c>
      <c r="E103" s="6" t="str">
        <f t="shared" si="1"/>
        <v>CATHERYN WARNER</v>
      </c>
      <c r="F103" s="6" t="s">
        <v>27</v>
      </c>
      <c r="G103" s="6" t="s">
        <v>43</v>
      </c>
      <c r="H103" s="6" t="s">
        <v>29</v>
      </c>
      <c r="I103" s="7">
        <v>45931.0</v>
      </c>
      <c r="J103" s="7">
        <v>45931.0</v>
      </c>
      <c r="K103" s="6">
        <v>2.0411454E7</v>
      </c>
      <c r="L103" s="6" t="s">
        <v>32</v>
      </c>
      <c r="M103" s="6" t="s">
        <v>276</v>
      </c>
      <c r="N103" s="6" t="s">
        <v>57</v>
      </c>
      <c r="O103" s="6">
        <v>855.0</v>
      </c>
      <c r="P103" s="6">
        <v>150.0</v>
      </c>
      <c r="Q103" s="6" t="s">
        <v>277</v>
      </c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ht="15.75" customHeight="1">
      <c r="A104" s="6" t="s">
        <v>122</v>
      </c>
      <c r="B104" s="6" t="str">
        <f t="shared" si="13"/>
        <v>7AA0XY3KR02OVR</v>
      </c>
      <c r="C104" s="6" t="s">
        <v>242</v>
      </c>
      <c r="D104" s="6" t="s">
        <v>243</v>
      </c>
      <c r="E104" s="6" t="str">
        <f t="shared" si="1"/>
        <v>KAREN MCFADDEN</v>
      </c>
      <c r="F104" s="6" t="s">
        <v>83</v>
      </c>
      <c r="G104" s="6" t="s">
        <v>43</v>
      </c>
      <c r="H104" s="6" t="s">
        <v>29</v>
      </c>
      <c r="I104" s="7">
        <v>45931.0</v>
      </c>
      <c r="J104" s="7">
        <v>45931.0</v>
      </c>
      <c r="K104" s="6">
        <v>2.0411454E7</v>
      </c>
      <c r="L104" s="6" t="s">
        <v>32</v>
      </c>
      <c r="M104" s="6" t="s">
        <v>276</v>
      </c>
      <c r="N104" s="6" t="s">
        <v>34</v>
      </c>
      <c r="O104" s="6">
        <v>866.0</v>
      </c>
      <c r="P104" s="6">
        <v>125.0</v>
      </c>
      <c r="Q104" s="6" t="s">
        <v>277</v>
      </c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ht="15.75" customHeight="1">
      <c r="A105" s="6" t="s">
        <v>105</v>
      </c>
      <c r="B105" s="6" t="str">
        <f t="shared" si="13"/>
        <v>1NH2XX0EW01OVR</v>
      </c>
      <c r="C105" s="6" t="s">
        <v>251</v>
      </c>
      <c r="D105" s="6" t="s">
        <v>252</v>
      </c>
      <c r="E105" s="6" t="str">
        <f t="shared" si="1"/>
        <v>JANIE JOHNSON</v>
      </c>
      <c r="F105" s="6" t="s">
        <v>108</v>
      </c>
      <c r="G105" s="6" t="s">
        <v>43</v>
      </c>
      <c r="H105" s="6" t="s">
        <v>29</v>
      </c>
      <c r="I105" s="7">
        <v>45992.0</v>
      </c>
      <c r="J105" s="7">
        <v>45992.0</v>
      </c>
      <c r="K105" s="6">
        <v>2.0411454E7</v>
      </c>
      <c r="L105" s="6" t="s">
        <v>32</v>
      </c>
      <c r="M105" s="6" t="s">
        <v>276</v>
      </c>
      <c r="N105" s="6" t="s">
        <v>57</v>
      </c>
      <c r="O105" s="6">
        <v>955.0</v>
      </c>
      <c r="P105" s="6">
        <f>955-780</f>
        <v>175</v>
      </c>
      <c r="Q105" s="6" t="s">
        <v>277</v>
      </c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2025-10-23T20:01:10Z</dcterms:created>
  <dc:creator>Loula Irene Cabel</dc:creator>
</cp:coreProperties>
</file>