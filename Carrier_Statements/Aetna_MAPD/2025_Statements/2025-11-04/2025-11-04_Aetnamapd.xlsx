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1-4-25\"/>
    </mc:Choice>
  </mc:AlternateContent>
  <xr:revisionPtr revIDLastSave="0" documentId="13_ncr:1_{91D9AC9F-6B7D-4874-9578-F5FDD0053042}" xr6:coauthVersionLast="47" xr6:coauthVersionMax="47" xr10:uidLastSave="{00000000-0000-0000-0000-000000000000}"/>
  <bookViews>
    <workbookView xWindow="28680" yWindow="-120" windowWidth="29040" windowHeight="16440" activeTab="1" xr2:uid="{B41C3D0C-5963-42BC-B310-B185C429CE06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15" i="2" l="1"/>
  <c r="E7" i="2"/>
  <c r="E16" i="2"/>
  <c r="E8" i="2"/>
  <c r="E17" i="2"/>
  <c r="E9" i="2"/>
  <c r="E18" i="2"/>
  <c r="E19" i="2"/>
  <c r="E5" i="2"/>
  <c r="E20" i="2"/>
  <c r="E10" i="2"/>
  <c r="E21" i="2"/>
  <c r="E11" i="2"/>
  <c r="E22" i="2"/>
  <c r="E12" i="2"/>
  <c r="E23" i="2"/>
  <c r="E13" i="2"/>
  <c r="E24" i="2"/>
  <c r="E2" i="2"/>
  <c r="E25" i="2"/>
  <c r="E3" i="2"/>
  <c r="E26" i="2"/>
  <c r="E27" i="2"/>
  <c r="E14" i="2"/>
  <c r="E28" i="2"/>
  <c r="E4" i="2"/>
  <c r="E29" i="2"/>
  <c r="E6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5" i="2"/>
  <c r="B4" i="2"/>
  <c r="B14" i="2"/>
  <c r="B3" i="2"/>
  <c r="B2" i="2"/>
  <c r="B13" i="2"/>
  <c r="B12" i="2"/>
  <c r="B11" i="2"/>
  <c r="B10" i="2"/>
  <c r="B9" i="2"/>
  <c r="B8" i="2"/>
  <c r="B7" i="2"/>
  <c r="B6" i="2"/>
</calcChain>
</file>

<file path=xl/sharedStrings.xml><?xml version="1.0" encoding="utf-8"?>
<sst xmlns="http://schemas.openxmlformats.org/spreadsheetml/2006/main" count="442" uniqueCount="128">
  <si>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</si>
  <si>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</si>
  <si>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</si>
  <si>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</si>
  <si>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</si>
  <si>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</si>
  <si>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</si>
  <si>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</si>
  <si>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</si>
  <si>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</si>
  <si>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</si>
  <si>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</si>
  <si>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</si>
  <si>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</si>
  <si>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</si>
  <si>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</si>
  <si>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</si>
  <si>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</si>
  <si>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</si>
  <si>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</si>
  <si>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</si>
  <si>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</si>
  <si>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</si>
  <si>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</si>
  <si>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6MP3KM5DY99</t>
  </si>
  <si>
    <t>NG101827299600</t>
  </si>
  <si>
    <t>BIEBL,ANNA</t>
  </si>
  <si>
    <t>MD</t>
  </si>
  <si>
    <t>Pro-Rata Payment</t>
  </si>
  <si>
    <t>MAPD</t>
  </si>
  <si>
    <t>IMM603</t>
  </si>
  <si>
    <t>H5521-482</t>
  </si>
  <si>
    <t>LOA</t>
  </si>
  <si>
    <t>Kucan, Thomas</t>
  </si>
  <si>
    <t>GMO</t>
  </si>
  <si>
    <t>Main Line Benefits LLC</t>
  </si>
  <si>
    <t xml:space="preserve">N  </t>
  </si>
  <si>
    <t>Pro-Rata Disenroll</t>
  </si>
  <si>
    <t>4N85GH7HW54</t>
  </si>
  <si>
    <t>NG102097734400</t>
  </si>
  <si>
    <t>BRUCE,KATIE</t>
  </si>
  <si>
    <t>IL</t>
  </si>
  <si>
    <t>IMM606</t>
  </si>
  <si>
    <t>H7301-013</t>
  </si>
  <si>
    <t>Holyn, Dennis</t>
  </si>
  <si>
    <t>5QP6WA9KM49</t>
  </si>
  <si>
    <t>NG102200160000</t>
  </si>
  <si>
    <t>CRABTREE E,JOYCE</t>
  </si>
  <si>
    <t>PA</t>
  </si>
  <si>
    <t>New Business</t>
  </si>
  <si>
    <t>IMM608</t>
  </si>
  <si>
    <t>H3959-002</t>
  </si>
  <si>
    <t>Powers, Timothy</t>
  </si>
  <si>
    <t>MMO</t>
  </si>
  <si>
    <t>7NJ9KC2GK34</t>
  </si>
  <si>
    <t>NG102189788900</t>
  </si>
  <si>
    <t>DAUGHERTY P,MICHAEL</t>
  </si>
  <si>
    <t>OH</t>
  </si>
  <si>
    <t>Voluntarily Rapid Disenroll</t>
  </si>
  <si>
    <t>IMM617</t>
  </si>
  <si>
    <t>H5521-088</t>
  </si>
  <si>
    <t>Teipel, Gregory</t>
  </si>
  <si>
    <t xml:space="preserve">Y  </t>
  </si>
  <si>
    <t>H0628-001</t>
  </si>
  <si>
    <t>8XD3KQ9NP01</t>
  </si>
  <si>
    <t>NG102169838900</t>
  </si>
  <si>
    <t>DELACRUZ,VIRGINIA</t>
  </si>
  <si>
    <t>H5521-086</t>
  </si>
  <si>
    <t>Serio, Tom</t>
  </si>
  <si>
    <t>7VH6QR7YQ56</t>
  </si>
  <si>
    <t>NG102200136700</t>
  </si>
  <si>
    <t>DIAZ E,JOSE</t>
  </si>
  <si>
    <t>Portugal, Gary</t>
  </si>
  <si>
    <t>5HN8W32AM30</t>
  </si>
  <si>
    <t>NG102201468200</t>
  </si>
  <si>
    <t>KWIATEK L,DONNA</t>
  </si>
  <si>
    <t>H5522-001</t>
  </si>
  <si>
    <t>Inskipt, Deborah</t>
  </si>
  <si>
    <t>9W91JR8AN08</t>
  </si>
  <si>
    <t>NG102202984700</t>
  </si>
  <si>
    <t>LANE M,THERESA</t>
  </si>
  <si>
    <t>2FT0QJ8TN03</t>
  </si>
  <si>
    <t>NG102200216400</t>
  </si>
  <si>
    <t>VAVRO L,LORI</t>
  </si>
  <si>
    <t>5NP5QF9WH56</t>
  </si>
  <si>
    <t>NG102200107100</t>
  </si>
  <si>
    <t>VONDRASEK R,TOM</t>
  </si>
  <si>
    <t>5WQ4E61HT05</t>
  </si>
  <si>
    <t>NG102204612900</t>
  </si>
  <si>
    <t>YUROSKY,JOSEPH</t>
  </si>
  <si>
    <t>Total Payee Amount: $-553.34</t>
  </si>
  <si>
    <t>[%/$=353][prorate=1/12]</t>
  </si>
  <si>
    <t>[%/$=353][prorate=2/12]</t>
  </si>
  <si>
    <t>[%/$=313][prorate=10/12]</t>
  </si>
  <si>
    <t>[%/$=313][prorate=12/12]</t>
  </si>
  <si>
    <t>[%/$=313][prorate=2/12]</t>
  </si>
  <si>
    <t>[%/$=313][prorate=6/12]</t>
  </si>
  <si>
    <t>[%/$=313][prorate=8/12]</t>
  </si>
  <si>
    <t>[%/$=313][prorate=1/12]</t>
  </si>
  <si>
    <t>[%/$=626]</t>
  </si>
  <si>
    <t>Aetna 2025 CT, PA, DC*</t>
  </si>
  <si>
    <t>Aetna MAPD 2025</t>
  </si>
  <si>
    <t>Aetna MAPD 2025*</t>
  </si>
  <si>
    <t>Aetna MAPD OVR 2025</t>
  </si>
  <si>
    <t>Main Line Benefits</t>
  </si>
  <si>
    <t>BIEBL</t>
  </si>
  <si>
    <t>ANNA</t>
  </si>
  <si>
    <t>BRUCE</t>
  </si>
  <si>
    <t>KATIE</t>
  </si>
  <si>
    <t>CRABTREE</t>
  </si>
  <si>
    <t>JOYCE</t>
  </si>
  <si>
    <t>DAUGHERTY</t>
  </si>
  <si>
    <t>MICHAEL</t>
  </si>
  <si>
    <t>DELACRUZ</t>
  </si>
  <si>
    <t>VIRGINIA</t>
  </si>
  <si>
    <t>DIAZ</t>
  </si>
  <si>
    <t>JOSE</t>
  </si>
  <si>
    <t>KWIATEK</t>
  </si>
  <si>
    <t>DONNA</t>
  </si>
  <si>
    <t>LANE</t>
  </si>
  <si>
    <t>THERESA</t>
  </si>
  <si>
    <t>VAVRO</t>
  </si>
  <si>
    <t>LORI</t>
  </si>
  <si>
    <t>VONDRASEK</t>
  </si>
  <si>
    <t>TOM</t>
  </si>
  <si>
    <t>YUROSKY</t>
  </si>
  <si>
    <t>JOSEPH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</si>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</sst>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B31F-17B6-4068-A097-85C8C6DB8371}">
  <dimension ref="A1:X19"/>
  <sheetViews>
    <sheetView topLeftCell="G1" workbookViewId="0">
      <selection activeCell="U2" sqref="U2:U16"/>
    </sheetView>
  </sheetViews>
  <sheetFormatPr defaultRowHeight="15" x14ac:dyDescent="0.25"/>
  <cols>
    <col min="1" max="1" width="27.7109375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22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45965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45658</v>
      </c>
      <c r="M2" s="1">
        <v>45658</v>
      </c>
      <c r="N2" s="1">
        <v>45961</v>
      </c>
      <c r="O2">
        <v>16202925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365</v>
      </c>
      <c r="V2" t="s">
        <v>36</v>
      </c>
      <c r="W2" s="1">
        <v>45593</v>
      </c>
      <c r="X2">
        <v>2025</v>
      </c>
    </row>
    <row r="3" spans="1:24" x14ac:dyDescent="0.25">
      <c r="A3" s="1">
        <v>45965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45658</v>
      </c>
      <c r="M3" s="1">
        <v>45658</v>
      </c>
      <c r="N3" s="1">
        <v>45961</v>
      </c>
      <c r="O3">
        <v>16202925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-438</v>
      </c>
      <c r="V3" t="s">
        <v>36</v>
      </c>
      <c r="W3" s="1">
        <v>45593</v>
      </c>
      <c r="X3">
        <v>2025</v>
      </c>
    </row>
    <row r="4" spans="1:24" x14ac:dyDescent="0.25">
      <c r="A4" s="1">
        <v>45965</v>
      </c>
      <c r="B4" t="s">
        <v>38</v>
      </c>
      <c r="C4" t="s">
        <v>39</v>
      </c>
      <c r="E4" t="s">
        <v>40</v>
      </c>
      <c r="F4" t="s">
        <v>41</v>
      </c>
      <c r="G4" t="s">
        <v>28</v>
      </c>
      <c r="H4" t="s">
        <v>29</v>
      </c>
      <c r="I4" t="s">
        <v>42</v>
      </c>
      <c r="J4" t="s">
        <v>43</v>
      </c>
      <c r="L4" s="1">
        <v>45658</v>
      </c>
      <c r="M4" s="1">
        <v>45658</v>
      </c>
      <c r="N4" s="1">
        <v>45961</v>
      </c>
      <c r="O4">
        <v>7152559</v>
      </c>
      <c r="P4" t="s">
        <v>32</v>
      </c>
      <c r="Q4" t="s">
        <v>44</v>
      </c>
      <c r="R4">
        <v>8192</v>
      </c>
      <c r="S4" t="s">
        <v>34</v>
      </c>
      <c r="T4" t="s">
        <v>35</v>
      </c>
      <c r="U4">
        <v>365</v>
      </c>
      <c r="V4" t="s">
        <v>36</v>
      </c>
      <c r="W4" s="1">
        <v>45614</v>
      </c>
      <c r="X4">
        <v>2025</v>
      </c>
    </row>
    <row r="5" spans="1:24" x14ac:dyDescent="0.25">
      <c r="A5" s="1">
        <v>45965</v>
      </c>
      <c r="B5" t="s">
        <v>38</v>
      </c>
      <c r="C5" t="s">
        <v>39</v>
      </c>
      <c r="E5" t="s">
        <v>40</v>
      </c>
      <c r="F5" t="s">
        <v>41</v>
      </c>
      <c r="G5" t="s">
        <v>37</v>
      </c>
      <c r="H5" t="s">
        <v>29</v>
      </c>
      <c r="I5" t="s">
        <v>42</v>
      </c>
      <c r="J5" t="s">
        <v>43</v>
      </c>
      <c r="L5" s="1">
        <v>45658</v>
      </c>
      <c r="M5" s="1">
        <v>45658</v>
      </c>
      <c r="N5" s="1">
        <v>45961</v>
      </c>
      <c r="O5">
        <v>7152559</v>
      </c>
      <c r="P5" t="s">
        <v>32</v>
      </c>
      <c r="Q5" t="s">
        <v>44</v>
      </c>
      <c r="R5">
        <v>8192</v>
      </c>
      <c r="S5" t="s">
        <v>34</v>
      </c>
      <c r="T5" t="s">
        <v>35</v>
      </c>
      <c r="U5">
        <v>-438</v>
      </c>
      <c r="V5" t="s">
        <v>36</v>
      </c>
      <c r="W5" s="1">
        <v>45614</v>
      </c>
      <c r="X5">
        <v>2025</v>
      </c>
    </row>
    <row r="6" spans="1:24" x14ac:dyDescent="0.25">
      <c r="A6" s="1">
        <v>45965</v>
      </c>
      <c r="B6" t="s">
        <v>45</v>
      </c>
      <c r="C6" t="s">
        <v>46</v>
      </c>
      <c r="E6" t="s">
        <v>47</v>
      </c>
      <c r="F6" t="s">
        <v>48</v>
      </c>
      <c r="G6" t="s">
        <v>49</v>
      </c>
      <c r="H6" t="s">
        <v>29</v>
      </c>
      <c r="I6" t="s">
        <v>50</v>
      </c>
      <c r="J6" t="s">
        <v>51</v>
      </c>
      <c r="L6" s="1">
        <v>45962</v>
      </c>
      <c r="M6" s="1">
        <v>45962</v>
      </c>
      <c r="O6">
        <v>17886092</v>
      </c>
      <c r="P6" t="s">
        <v>32</v>
      </c>
      <c r="Q6" t="s">
        <v>52</v>
      </c>
      <c r="R6">
        <v>8192</v>
      </c>
      <c r="S6" t="s">
        <v>53</v>
      </c>
      <c r="T6" t="s">
        <v>35</v>
      </c>
      <c r="U6">
        <v>10.83</v>
      </c>
      <c r="V6" t="s">
        <v>36</v>
      </c>
      <c r="W6" s="1">
        <v>45945</v>
      </c>
      <c r="X6">
        <v>2025</v>
      </c>
    </row>
    <row r="7" spans="1:24" x14ac:dyDescent="0.25">
      <c r="A7" s="1">
        <v>45965</v>
      </c>
      <c r="B7" t="s">
        <v>54</v>
      </c>
      <c r="C7" t="s">
        <v>55</v>
      </c>
      <c r="E7" t="s">
        <v>56</v>
      </c>
      <c r="F7" t="s">
        <v>57</v>
      </c>
      <c r="G7" t="s">
        <v>58</v>
      </c>
      <c r="H7" t="s">
        <v>29</v>
      </c>
      <c r="I7" t="s">
        <v>59</v>
      </c>
      <c r="J7" t="s">
        <v>60</v>
      </c>
      <c r="L7" s="1">
        <v>45931</v>
      </c>
      <c r="M7" s="1">
        <v>45931</v>
      </c>
      <c r="N7" s="1">
        <v>45961</v>
      </c>
      <c r="O7">
        <v>8307933</v>
      </c>
      <c r="P7" t="s">
        <v>32</v>
      </c>
      <c r="Q7" t="s">
        <v>61</v>
      </c>
      <c r="R7">
        <v>8192</v>
      </c>
      <c r="S7" t="s">
        <v>34</v>
      </c>
      <c r="T7" t="s">
        <v>35</v>
      </c>
      <c r="U7">
        <v>-751</v>
      </c>
      <c r="V7" t="s">
        <v>62</v>
      </c>
      <c r="W7" s="1">
        <v>45881</v>
      </c>
      <c r="X7">
        <v>2025</v>
      </c>
    </row>
    <row r="8" spans="1:24" x14ac:dyDescent="0.25">
      <c r="A8" s="1">
        <v>45965</v>
      </c>
      <c r="B8" t="s">
        <v>54</v>
      </c>
      <c r="C8" t="s">
        <v>55</v>
      </c>
      <c r="E8" t="s">
        <v>56</v>
      </c>
      <c r="F8" t="s">
        <v>57</v>
      </c>
      <c r="G8" t="s">
        <v>49</v>
      </c>
      <c r="H8" t="s">
        <v>29</v>
      </c>
      <c r="I8" t="s">
        <v>59</v>
      </c>
      <c r="J8" t="s">
        <v>63</v>
      </c>
      <c r="L8" s="1">
        <v>45962</v>
      </c>
      <c r="M8" s="1">
        <v>45962</v>
      </c>
      <c r="O8">
        <v>8307933</v>
      </c>
      <c r="P8" t="s">
        <v>32</v>
      </c>
      <c r="Q8" t="s">
        <v>61</v>
      </c>
      <c r="R8">
        <v>8192</v>
      </c>
      <c r="S8" t="s">
        <v>53</v>
      </c>
      <c r="T8" t="s">
        <v>35</v>
      </c>
      <c r="U8">
        <v>77.17</v>
      </c>
      <c r="V8" t="s">
        <v>36</v>
      </c>
      <c r="W8" s="1">
        <v>45945</v>
      </c>
      <c r="X8">
        <v>2025</v>
      </c>
    </row>
    <row r="9" spans="1:24" x14ac:dyDescent="0.25">
      <c r="A9" s="1">
        <v>45965</v>
      </c>
      <c r="B9" t="s">
        <v>64</v>
      </c>
      <c r="C9" t="s">
        <v>65</v>
      </c>
      <c r="E9" t="s">
        <v>66</v>
      </c>
      <c r="F9" t="s">
        <v>41</v>
      </c>
      <c r="G9" t="s">
        <v>28</v>
      </c>
      <c r="H9" t="s">
        <v>29</v>
      </c>
      <c r="I9" t="s">
        <v>42</v>
      </c>
      <c r="J9" t="s">
        <v>67</v>
      </c>
      <c r="L9" s="1">
        <v>45778</v>
      </c>
      <c r="M9" s="1">
        <v>45778</v>
      </c>
      <c r="N9" s="1">
        <v>45961</v>
      </c>
      <c r="O9">
        <v>20490188</v>
      </c>
      <c r="P9" t="s">
        <v>32</v>
      </c>
      <c r="Q9" t="s">
        <v>68</v>
      </c>
      <c r="R9">
        <v>8192</v>
      </c>
      <c r="S9" t="s">
        <v>34</v>
      </c>
      <c r="T9" t="s">
        <v>35</v>
      </c>
      <c r="U9">
        <v>219</v>
      </c>
      <c r="V9" t="s">
        <v>36</v>
      </c>
      <c r="W9" s="1">
        <v>45777</v>
      </c>
      <c r="X9">
        <v>2025</v>
      </c>
    </row>
    <row r="10" spans="1:24" x14ac:dyDescent="0.25">
      <c r="A10" s="1">
        <v>45965</v>
      </c>
      <c r="B10" t="s">
        <v>64</v>
      </c>
      <c r="C10" t="s">
        <v>65</v>
      </c>
      <c r="E10" t="s">
        <v>66</v>
      </c>
      <c r="F10" t="s">
        <v>41</v>
      </c>
      <c r="G10" t="s">
        <v>37</v>
      </c>
      <c r="H10" t="s">
        <v>29</v>
      </c>
      <c r="I10" t="s">
        <v>42</v>
      </c>
      <c r="J10" t="s">
        <v>67</v>
      </c>
      <c r="L10" s="1">
        <v>45778</v>
      </c>
      <c r="M10" s="1">
        <v>45778</v>
      </c>
      <c r="N10" s="1">
        <v>45961</v>
      </c>
      <c r="O10">
        <v>20490188</v>
      </c>
      <c r="P10" t="s">
        <v>32</v>
      </c>
      <c r="Q10" t="s">
        <v>68</v>
      </c>
      <c r="R10">
        <v>8192</v>
      </c>
      <c r="S10" t="s">
        <v>34</v>
      </c>
      <c r="T10" t="s">
        <v>35</v>
      </c>
      <c r="U10">
        <v>-292</v>
      </c>
      <c r="V10" t="s">
        <v>36</v>
      </c>
      <c r="W10" s="1">
        <v>45777</v>
      </c>
      <c r="X10">
        <v>2025</v>
      </c>
    </row>
    <row r="11" spans="1:24" x14ac:dyDescent="0.25">
      <c r="A11" s="1">
        <v>45965</v>
      </c>
      <c r="B11" t="s">
        <v>69</v>
      </c>
      <c r="C11" t="s">
        <v>70</v>
      </c>
      <c r="E11" t="s">
        <v>71</v>
      </c>
      <c r="F11" t="s">
        <v>41</v>
      </c>
      <c r="G11" t="s">
        <v>49</v>
      </c>
      <c r="H11" t="s">
        <v>29</v>
      </c>
      <c r="I11" t="s">
        <v>42</v>
      </c>
      <c r="J11" t="s">
        <v>67</v>
      </c>
      <c r="L11" s="1">
        <v>45992</v>
      </c>
      <c r="M11" s="1">
        <v>45992</v>
      </c>
      <c r="O11">
        <v>9213293</v>
      </c>
      <c r="P11" t="s">
        <v>32</v>
      </c>
      <c r="Q11" t="s">
        <v>72</v>
      </c>
      <c r="R11">
        <v>8192</v>
      </c>
      <c r="S11" t="s">
        <v>53</v>
      </c>
      <c r="T11" t="s">
        <v>35</v>
      </c>
      <c r="U11">
        <v>37.33</v>
      </c>
      <c r="V11" t="s">
        <v>36</v>
      </c>
      <c r="W11" s="1">
        <v>45945</v>
      </c>
      <c r="X11">
        <v>2025</v>
      </c>
    </row>
    <row r="12" spans="1:24" x14ac:dyDescent="0.25">
      <c r="A12" s="1">
        <v>45965</v>
      </c>
      <c r="B12" t="s">
        <v>73</v>
      </c>
      <c r="C12" t="s">
        <v>74</v>
      </c>
      <c r="E12" t="s">
        <v>75</v>
      </c>
      <c r="F12" t="s">
        <v>48</v>
      </c>
      <c r="G12" t="s">
        <v>49</v>
      </c>
      <c r="H12" t="s">
        <v>29</v>
      </c>
      <c r="I12" t="s">
        <v>50</v>
      </c>
      <c r="J12" t="s">
        <v>76</v>
      </c>
      <c r="L12" s="1">
        <v>45992</v>
      </c>
      <c r="M12" s="1">
        <v>45992</v>
      </c>
      <c r="O12">
        <v>17528908</v>
      </c>
      <c r="P12" t="s">
        <v>32</v>
      </c>
      <c r="Q12" t="s">
        <v>77</v>
      </c>
      <c r="R12">
        <v>8192</v>
      </c>
      <c r="S12" t="s">
        <v>53</v>
      </c>
      <c r="T12" t="s">
        <v>35</v>
      </c>
      <c r="U12">
        <v>40.67</v>
      </c>
      <c r="V12" t="s">
        <v>36</v>
      </c>
      <c r="W12" s="1">
        <v>45946</v>
      </c>
      <c r="X12">
        <v>2025</v>
      </c>
    </row>
    <row r="13" spans="1:24" x14ac:dyDescent="0.25">
      <c r="A13" s="1">
        <v>45965</v>
      </c>
      <c r="B13" t="s">
        <v>78</v>
      </c>
      <c r="C13" t="s">
        <v>79</v>
      </c>
      <c r="E13" t="s">
        <v>80</v>
      </c>
      <c r="F13" t="s">
        <v>48</v>
      </c>
      <c r="G13" t="s">
        <v>49</v>
      </c>
      <c r="H13" t="s">
        <v>29</v>
      </c>
      <c r="I13" t="s">
        <v>50</v>
      </c>
      <c r="J13" t="s">
        <v>51</v>
      </c>
      <c r="L13" s="1">
        <v>45962</v>
      </c>
      <c r="M13" s="1">
        <v>45962</v>
      </c>
      <c r="O13">
        <v>17528908</v>
      </c>
      <c r="P13" t="s">
        <v>32</v>
      </c>
      <c r="Q13" t="s">
        <v>77</v>
      </c>
      <c r="R13">
        <v>8192</v>
      </c>
      <c r="S13" t="s">
        <v>53</v>
      </c>
      <c r="T13" t="s">
        <v>35</v>
      </c>
      <c r="U13">
        <v>83.83</v>
      </c>
      <c r="V13" t="s">
        <v>36</v>
      </c>
      <c r="W13" s="1">
        <v>45947</v>
      </c>
      <c r="X13">
        <v>2025</v>
      </c>
    </row>
    <row r="14" spans="1:24" x14ac:dyDescent="0.25">
      <c r="A14" s="1">
        <v>45965</v>
      </c>
      <c r="B14" t="s">
        <v>81</v>
      </c>
      <c r="C14" t="s">
        <v>82</v>
      </c>
      <c r="E14" t="s">
        <v>83</v>
      </c>
      <c r="F14" t="s">
        <v>48</v>
      </c>
      <c r="G14" t="s">
        <v>49</v>
      </c>
      <c r="H14" t="s">
        <v>29</v>
      </c>
      <c r="I14" t="s">
        <v>50</v>
      </c>
      <c r="J14" t="s">
        <v>51</v>
      </c>
      <c r="L14" s="1">
        <v>45962</v>
      </c>
      <c r="M14" s="1">
        <v>45962</v>
      </c>
      <c r="O14">
        <v>17886092</v>
      </c>
      <c r="P14" t="s">
        <v>32</v>
      </c>
      <c r="Q14" t="s">
        <v>52</v>
      </c>
      <c r="R14">
        <v>8192</v>
      </c>
      <c r="S14" t="s">
        <v>53</v>
      </c>
      <c r="T14" t="s">
        <v>35</v>
      </c>
      <c r="U14">
        <v>10.83</v>
      </c>
      <c r="V14" t="s">
        <v>36</v>
      </c>
      <c r="W14" s="1">
        <v>45945</v>
      </c>
      <c r="X14">
        <v>2025</v>
      </c>
    </row>
    <row r="15" spans="1:24" x14ac:dyDescent="0.25">
      <c r="A15" s="1">
        <v>45965</v>
      </c>
      <c r="B15" t="s">
        <v>84</v>
      </c>
      <c r="C15" t="s">
        <v>85</v>
      </c>
      <c r="E15" t="s">
        <v>86</v>
      </c>
      <c r="F15" t="s">
        <v>41</v>
      </c>
      <c r="G15" t="s">
        <v>49</v>
      </c>
      <c r="H15" t="s">
        <v>29</v>
      </c>
      <c r="I15" t="s">
        <v>42</v>
      </c>
      <c r="J15" t="s">
        <v>67</v>
      </c>
      <c r="L15" s="1">
        <v>45962</v>
      </c>
      <c r="M15" s="1">
        <v>45962</v>
      </c>
      <c r="O15">
        <v>9213293</v>
      </c>
      <c r="P15" t="s">
        <v>32</v>
      </c>
      <c r="Q15" t="s">
        <v>72</v>
      </c>
      <c r="R15">
        <v>8192</v>
      </c>
      <c r="S15" t="s">
        <v>53</v>
      </c>
      <c r="T15" t="s">
        <v>35</v>
      </c>
      <c r="U15">
        <v>74.67</v>
      </c>
      <c r="V15" t="s">
        <v>36</v>
      </c>
      <c r="W15" s="1">
        <v>45945</v>
      </c>
      <c r="X15">
        <v>2025</v>
      </c>
    </row>
    <row r="16" spans="1:24" x14ac:dyDescent="0.25">
      <c r="A16" s="1">
        <v>45965</v>
      </c>
      <c r="B16" t="s">
        <v>87</v>
      </c>
      <c r="C16" t="s">
        <v>88</v>
      </c>
      <c r="E16" t="s">
        <v>89</v>
      </c>
      <c r="F16" t="s">
        <v>48</v>
      </c>
      <c r="G16" t="s">
        <v>49</v>
      </c>
      <c r="H16" t="s">
        <v>29</v>
      </c>
      <c r="I16" t="s">
        <v>50</v>
      </c>
      <c r="J16" t="s">
        <v>51</v>
      </c>
      <c r="L16" s="1">
        <v>45962</v>
      </c>
      <c r="M16" s="1">
        <v>45962</v>
      </c>
      <c r="O16">
        <v>17528908</v>
      </c>
      <c r="P16" t="s">
        <v>32</v>
      </c>
      <c r="Q16" t="s">
        <v>77</v>
      </c>
      <c r="R16">
        <v>8192</v>
      </c>
      <c r="S16" t="s">
        <v>53</v>
      </c>
      <c r="T16" t="s">
        <v>35</v>
      </c>
      <c r="U16">
        <v>81.33</v>
      </c>
      <c r="V16" t="s">
        <v>36</v>
      </c>
      <c r="W16" s="1">
        <v>45950</v>
      </c>
      <c r="X16">
        <v>2025</v>
      </c>
    </row>
    <row r="19" spans="1:1" x14ac:dyDescent="0.25">
      <c r="A19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F80E-7AB3-4AF4-9CF7-8FA38989D369}">
  <dimension ref="A1:P29"/>
  <sheetViews>
    <sheetView tabSelected="1" workbookViewId="0">
      <selection activeCell="P2" sqref="P2:P14"/>
    </sheetView>
  </sheetViews>
  <sheetFormatPr defaultRowHeight="15" x14ac:dyDescent="0.25"/>
  <cols>
    <col min="1" max="1" width="17.28515625" bestFit="1" customWidth="1"/>
    <col min="2" max="2" width="18.140625" bestFit="1" customWidth="1"/>
    <col min="3" max="3" width="22" bestFit="1" customWidth="1"/>
    <col min="4" max="5" width="22" customWidth="1"/>
    <col min="6" max="6" width="10.140625" customWidth="1"/>
    <col min="7" max="7" width="15.7109375" bestFit="1" customWidth="1"/>
    <col min="8" max="8" width="13.5703125" bestFit="1" customWidth="1"/>
    <col min="9" max="9" width="10.7109375" bestFit="1" customWidth="1"/>
    <col min="10" max="10" width="18" bestFit="1" customWidth="1"/>
    <col min="11" max="11" width="19.28515625" bestFit="1" customWidth="1"/>
    <col min="12" max="13" width="7.7109375" customWidth="1"/>
    <col min="14" max="14" width="9.28515625" customWidth="1"/>
    <col min="15" max="15" width="21.5703125" bestFit="1" customWidth="1"/>
  </cols>
  <sheetData>
    <row r="1" spans="1:16" x14ac:dyDescent="0.25">
      <c r="A1" t="s">
        <v>1</v>
      </c>
      <c r="C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16</v>
      </c>
      <c r="L1" t="s">
        <v>18</v>
      </c>
      <c r="M1" t="s">
        <v>20</v>
      </c>
    </row>
    <row r="2" spans="1:16" s="2" customFormat="1" x14ac:dyDescent="0.25">
      <c r="A2" s="2" t="s">
        <v>73</v>
      </c>
      <c r="B2" s="2" t="str">
        <f>CONCATENATE(A2,8)</f>
        <v>5HN8W32AM308</v>
      </c>
      <c r="C2" s="2" t="s">
        <v>117</v>
      </c>
      <c r="D2" s="2" t="s">
        <v>118</v>
      </c>
      <c r="E2" s="2" t="str">
        <f>CONCATENATE(D2, " ",C2)</f>
        <v>DONNA KWIATEK</v>
      </c>
      <c r="F2" s="2" t="s">
        <v>48</v>
      </c>
      <c r="G2" s="3">
        <v>45992</v>
      </c>
      <c r="H2" s="3">
        <v>45992</v>
      </c>
      <c r="J2" s="2" t="s">
        <v>127</v>
      </c>
      <c r="K2" s="2" t="s">
        <v>77</v>
      </c>
      <c r="L2" s="2" t="s">
        <v>53</v>
      </c>
      <c r="M2" s="2">
        <v>40.67</v>
      </c>
      <c r="N2" s="2">
        <v>29.42</v>
      </c>
      <c r="O2" s="4" t="s">
        <v>100</v>
      </c>
      <c r="P2" s="2" t="s">
        <v>91</v>
      </c>
    </row>
    <row r="3" spans="1:16" s="2" customFormat="1" x14ac:dyDescent="0.25">
      <c r="A3" s="2" t="s">
        <v>78</v>
      </c>
      <c r="B3" s="2" t="str">
        <f>CONCATENATE(A3,8)</f>
        <v>9W91JR8AN088</v>
      </c>
      <c r="C3" s="2" t="s">
        <v>119</v>
      </c>
      <c r="D3" s="2" t="s">
        <v>120</v>
      </c>
      <c r="E3" s="2" t="str">
        <f>CONCATENATE(D3, " ",C3)</f>
        <v>THERESA LANE</v>
      </c>
      <c r="F3" s="2" t="s">
        <v>48</v>
      </c>
      <c r="G3" s="3">
        <v>45962</v>
      </c>
      <c r="H3" s="3">
        <v>45962</v>
      </c>
      <c r="J3" s="2" t="s">
        <v>127</v>
      </c>
      <c r="K3" s="2" t="s">
        <v>77</v>
      </c>
      <c r="L3" s="2" t="s">
        <v>53</v>
      </c>
      <c r="M3" s="2">
        <v>83.83</v>
      </c>
      <c r="N3" s="2">
        <v>58.83</v>
      </c>
      <c r="O3" s="4" t="s">
        <v>100</v>
      </c>
      <c r="P3" s="2" t="s">
        <v>92</v>
      </c>
    </row>
    <row r="4" spans="1:16" s="2" customFormat="1" x14ac:dyDescent="0.25">
      <c r="A4" s="2" t="s">
        <v>87</v>
      </c>
      <c r="B4" s="2" t="str">
        <f>CONCATENATE(A4,8)</f>
        <v>5WQ4E61HT058</v>
      </c>
      <c r="C4" s="2" t="s">
        <v>125</v>
      </c>
      <c r="D4" s="2" t="s">
        <v>126</v>
      </c>
      <c r="E4" s="2" t="str">
        <f>CONCATENATE(D4, " ",C4)</f>
        <v>JOSEPH YUROSKY</v>
      </c>
      <c r="F4" s="2" t="s">
        <v>48</v>
      </c>
      <c r="G4" s="3">
        <v>45962</v>
      </c>
      <c r="H4" s="3">
        <v>45962</v>
      </c>
      <c r="J4" s="2" t="s">
        <v>127</v>
      </c>
      <c r="K4" s="2" t="s">
        <v>77</v>
      </c>
      <c r="L4" s="2" t="s">
        <v>53</v>
      </c>
      <c r="M4" s="2">
        <v>81.33</v>
      </c>
      <c r="N4" s="2">
        <v>58.83</v>
      </c>
      <c r="O4" s="4" t="s">
        <v>100</v>
      </c>
      <c r="P4" s="2" t="s">
        <v>92</v>
      </c>
    </row>
    <row r="5" spans="1:16" s="2" customFormat="1" x14ac:dyDescent="0.25">
      <c r="A5" s="2" t="s">
        <v>54</v>
      </c>
      <c r="B5" s="2" t="str">
        <f>CONCATENATE(A5,7)</f>
        <v>7NJ9KC2GK347</v>
      </c>
      <c r="C5" s="2" t="s">
        <v>111</v>
      </c>
      <c r="D5" s="2" t="s">
        <v>112</v>
      </c>
      <c r="E5" s="2" t="str">
        <f>CONCATENATE(D5, " ",C5)</f>
        <v>MICHAEL DAUGHERTY</v>
      </c>
      <c r="F5" s="2" t="s">
        <v>57</v>
      </c>
      <c r="G5" s="3">
        <v>45931</v>
      </c>
      <c r="H5" s="3">
        <v>45931</v>
      </c>
      <c r="I5" s="3">
        <v>45961</v>
      </c>
      <c r="J5" s="2">
        <v>8307933</v>
      </c>
      <c r="K5" s="2" t="s">
        <v>61</v>
      </c>
      <c r="L5" s="2" t="s">
        <v>34</v>
      </c>
      <c r="M5" s="2">
        <v>-751</v>
      </c>
      <c r="N5" s="2">
        <v>-626</v>
      </c>
      <c r="O5" s="2" t="s">
        <v>101</v>
      </c>
      <c r="P5" s="2" t="s">
        <v>99</v>
      </c>
    </row>
    <row r="6" spans="1:16" s="2" customFormat="1" x14ac:dyDescent="0.25">
      <c r="A6" s="2" t="s">
        <v>24</v>
      </c>
      <c r="B6" s="2" t="str">
        <f>CONCATENATE(A6,8)</f>
        <v>6MP3KM5DY998</v>
      </c>
      <c r="C6" s="2" t="s">
        <v>105</v>
      </c>
      <c r="D6" s="2" t="s">
        <v>106</v>
      </c>
      <c r="E6" s="2" t="str">
        <f>CONCATENATE(D6, " ",C6)</f>
        <v>ANNA BIEBL</v>
      </c>
      <c r="F6" s="2" t="s">
        <v>27</v>
      </c>
      <c r="G6" s="3">
        <v>45658</v>
      </c>
      <c r="H6" s="3">
        <v>45658</v>
      </c>
      <c r="I6" s="3">
        <v>45961</v>
      </c>
      <c r="J6" s="2">
        <v>16202925</v>
      </c>
      <c r="K6" s="2" t="s">
        <v>33</v>
      </c>
      <c r="L6" s="2" t="s">
        <v>34</v>
      </c>
      <c r="M6" s="2">
        <v>365</v>
      </c>
      <c r="N6" s="2">
        <v>260.83</v>
      </c>
      <c r="O6" s="4" t="s">
        <v>102</v>
      </c>
      <c r="P6" s="2" t="s">
        <v>93</v>
      </c>
    </row>
    <row r="7" spans="1:16" s="2" customFormat="1" x14ac:dyDescent="0.25">
      <c r="A7" s="2" t="s">
        <v>24</v>
      </c>
      <c r="B7" s="2" t="str">
        <f>CONCATENATE(A7,8)</f>
        <v>6MP3KM5DY998</v>
      </c>
      <c r="C7" s="2" t="s">
        <v>105</v>
      </c>
      <c r="D7" s="2" t="s">
        <v>106</v>
      </c>
      <c r="E7" s="2" t="str">
        <f>CONCATENATE(D7, " ",C7)</f>
        <v>ANNA BIEBL</v>
      </c>
      <c r="F7" s="2" t="s">
        <v>27</v>
      </c>
      <c r="G7" s="3">
        <v>45658</v>
      </c>
      <c r="H7" s="3">
        <v>45658</v>
      </c>
      <c r="I7" s="3">
        <v>45961</v>
      </c>
      <c r="J7" s="2">
        <v>16202925</v>
      </c>
      <c r="K7" s="2" t="s">
        <v>33</v>
      </c>
      <c r="L7" s="2" t="s">
        <v>34</v>
      </c>
      <c r="M7" s="2">
        <v>-438</v>
      </c>
      <c r="N7" s="2">
        <v>-313</v>
      </c>
      <c r="O7" s="4" t="s">
        <v>102</v>
      </c>
      <c r="P7" s="2" t="s">
        <v>94</v>
      </c>
    </row>
    <row r="8" spans="1:16" s="2" customFormat="1" x14ac:dyDescent="0.25">
      <c r="A8" s="2" t="s">
        <v>38</v>
      </c>
      <c r="B8" s="2" t="str">
        <f>CONCATENATE(A8,8)</f>
        <v>4N85GH7HW548</v>
      </c>
      <c r="C8" s="2" t="s">
        <v>107</v>
      </c>
      <c r="D8" s="2" t="s">
        <v>108</v>
      </c>
      <c r="E8" s="2" t="str">
        <f>CONCATENATE(D8, " ",C8)</f>
        <v>KATIE BRUCE</v>
      </c>
      <c r="F8" s="2" t="s">
        <v>41</v>
      </c>
      <c r="G8" s="3">
        <v>45658</v>
      </c>
      <c r="H8" s="3">
        <v>45658</v>
      </c>
      <c r="I8" s="3">
        <v>45961</v>
      </c>
      <c r="J8" s="2">
        <v>7152559</v>
      </c>
      <c r="K8" s="2" t="s">
        <v>44</v>
      </c>
      <c r="L8" s="2" t="s">
        <v>34</v>
      </c>
      <c r="M8" s="2">
        <v>365</v>
      </c>
      <c r="N8" s="2">
        <v>260.83</v>
      </c>
      <c r="O8" s="4" t="s">
        <v>102</v>
      </c>
      <c r="P8" s="2" t="s">
        <v>93</v>
      </c>
    </row>
    <row r="9" spans="1:16" s="2" customFormat="1" x14ac:dyDescent="0.25">
      <c r="A9" s="2" t="s">
        <v>38</v>
      </c>
      <c r="B9" s="2" t="str">
        <f>CONCATENATE(A9,8)</f>
        <v>4N85GH7HW548</v>
      </c>
      <c r="C9" s="2" t="s">
        <v>107</v>
      </c>
      <c r="D9" s="2" t="s">
        <v>108</v>
      </c>
      <c r="E9" s="2" t="str">
        <f>CONCATENATE(D9, " ",C9)</f>
        <v>KATIE BRUCE</v>
      </c>
      <c r="F9" s="2" t="s">
        <v>41</v>
      </c>
      <c r="G9" s="3">
        <v>45658</v>
      </c>
      <c r="H9" s="3">
        <v>45658</v>
      </c>
      <c r="I9" s="3">
        <v>45961</v>
      </c>
      <c r="J9" s="2">
        <v>7152559</v>
      </c>
      <c r="K9" s="2" t="s">
        <v>44</v>
      </c>
      <c r="L9" s="2" t="s">
        <v>34</v>
      </c>
      <c r="M9" s="2">
        <v>-438</v>
      </c>
      <c r="N9" s="2">
        <v>-313</v>
      </c>
      <c r="O9" s="4" t="s">
        <v>102</v>
      </c>
      <c r="P9" s="2" t="s">
        <v>94</v>
      </c>
    </row>
    <row r="10" spans="1:16" s="2" customFormat="1" x14ac:dyDescent="0.25">
      <c r="A10" s="2" t="s">
        <v>54</v>
      </c>
      <c r="B10" s="2" t="str">
        <f>CONCATENATE(A10,8)</f>
        <v>7NJ9KC2GK348</v>
      </c>
      <c r="C10" s="2" t="s">
        <v>111</v>
      </c>
      <c r="D10" s="2" t="s">
        <v>112</v>
      </c>
      <c r="E10" s="2" t="str">
        <f>CONCATENATE(D10, " ",C10)</f>
        <v>MICHAEL DAUGHERTY</v>
      </c>
      <c r="F10" s="2" t="s">
        <v>57</v>
      </c>
      <c r="G10" s="3">
        <v>45962</v>
      </c>
      <c r="H10" s="3">
        <v>45962</v>
      </c>
      <c r="J10" s="2">
        <v>8307933</v>
      </c>
      <c r="K10" s="2" t="s">
        <v>61</v>
      </c>
      <c r="L10" s="2" t="s">
        <v>53</v>
      </c>
      <c r="M10" s="2">
        <v>77.17</v>
      </c>
      <c r="N10" s="2">
        <v>52.17</v>
      </c>
      <c r="O10" s="4" t="s">
        <v>102</v>
      </c>
      <c r="P10" s="2" t="s">
        <v>95</v>
      </c>
    </row>
    <row r="11" spans="1:16" s="2" customFormat="1" x14ac:dyDescent="0.25">
      <c r="A11" s="2" t="s">
        <v>64</v>
      </c>
      <c r="B11" s="2" t="str">
        <f>CONCATENATE(A11,8)</f>
        <v>8XD3KQ9NP018</v>
      </c>
      <c r="C11" s="2" t="s">
        <v>113</v>
      </c>
      <c r="D11" s="2" t="s">
        <v>114</v>
      </c>
      <c r="E11" s="2" t="str">
        <f>CONCATENATE(D11, " ",C11)</f>
        <v>VIRGINIA DELACRUZ</v>
      </c>
      <c r="F11" s="2" t="s">
        <v>41</v>
      </c>
      <c r="G11" s="3">
        <v>45778</v>
      </c>
      <c r="H11" s="3">
        <v>45778</v>
      </c>
      <c r="I11" s="3">
        <v>45961</v>
      </c>
      <c r="J11" s="2">
        <v>20490188</v>
      </c>
      <c r="K11" s="2" t="s">
        <v>68</v>
      </c>
      <c r="L11" s="2" t="s">
        <v>34</v>
      </c>
      <c r="M11" s="2">
        <v>219</v>
      </c>
      <c r="N11" s="2">
        <v>156.5</v>
      </c>
      <c r="O11" s="4" t="s">
        <v>102</v>
      </c>
      <c r="P11" s="2" t="s">
        <v>96</v>
      </c>
    </row>
    <row r="12" spans="1:16" s="2" customFormat="1" x14ac:dyDescent="0.25">
      <c r="A12" s="2" t="s">
        <v>64</v>
      </c>
      <c r="B12" s="2" t="str">
        <f>CONCATENATE(A12,8)</f>
        <v>8XD3KQ9NP018</v>
      </c>
      <c r="C12" s="2" t="s">
        <v>113</v>
      </c>
      <c r="D12" s="2" t="s">
        <v>114</v>
      </c>
      <c r="E12" s="2" t="str">
        <f>CONCATENATE(D12, " ",C12)</f>
        <v>VIRGINIA DELACRUZ</v>
      </c>
      <c r="F12" s="2" t="s">
        <v>41</v>
      </c>
      <c r="G12" s="3">
        <v>45778</v>
      </c>
      <c r="H12" s="3">
        <v>45778</v>
      </c>
      <c r="I12" s="3">
        <v>45961</v>
      </c>
      <c r="J12" s="2">
        <v>20490188</v>
      </c>
      <c r="K12" s="2" t="s">
        <v>68</v>
      </c>
      <c r="L12" s="2" t="s">
        <v>34</v>
      </c>
      <c r="M12" s="2">
        <v>-292</v>
      </c>
      <c r="N12" s="2">
        <v>-208.67</v>
      </c>
      <c r="O12" s="4" t="s">
        <v>102</v>
      </c>
      <c r="P12" s="2" t="s">
        <v>97</v>
      </c>
    </row>
    <row r="13" spans="1:16" s="2" customFormat="1" x14ac:dyDescent="0.25">
      <c r="A13" s="2" t="s">
        <v>69</v>
      </c>
      <c r="B13" s="2" t="str">
        <f>CONCATENATE(A13,8)</f>
        <v>7VH6QR7YQ568</v>
      </c>
      <c r="C13" s="2" t="s">
        <v>115</v>
      </c>
      <c r="D13" s="2" t="s">
        <v>116</v>
      </c>
      <c r="E13" s="2" t="str">
        <f>CONCATENATE(D13, " ",C13)</f>
        <v>JOSE DIAZ</v>
      </c>
      <c r="F13" s="2" t="s">
        <v>41</v>
      </c>
      <c r="G13" s="3">
        <v>45992</v>
      </c>
      <c r="H13" s="3">
        <v>45992</v>
      </c>
      <c r="J13" s="2">
        <v>9213293</v>
      </c>
      <c r="K13" s="2" t="s">
        <v>72</v>
      </c>
      <c r="L13" s="2" t="s">
        <v>53</v>
      </c>
      <c r="M13" s="2">
        <v>37.33</v>
      </c>
      <c r="N13" s="2">
        <v>26.08</v>
      </c>
      <c r="O13" s="4" t="s">
        <v>102</v>
      </c>
      <c r="P13" s="2" t="s">
        <v>98</v>
      </c>
    </row>
    <row r="14" spans="1:16" s="2" customFormat="1" x14ac:dyDescent="0.25">
      <c r="A14" s="2" t="s">
        <v>84</v>
      </c>
      <c r="B14" s="2" t="str">
        <f>CONCATENATE(A14,8)</f>
        <v>5NP5QF9WH568</v>
      </c>
      <c r="C14" s="2" t="s">
        <v>123</v>
      </c>
      <c r="D14" s="2" t="s">
        <v>124</v>
      </c>
      <c r="E14" s="2" t="str">
        <f>CONCATENATE(D14, " ",C14)</f>
        <v>TOM VONDRASEK</v>
      </c>
      <c r="F14" s="2" t="s">
        <v>41</v>
      </c>
      <c r="G14" s="3">
        <v>45962</v>
      </c>
      <c r="H14" s="3">
        <v>45962</v>
      </c>
      <c r="J14" s="2">
        <v>9213293</v>
      </c>
      <c r="K14" s="2" t="s">
        <v>72</v>
      </c>
      <c r="L14" s="2" t="s">
        <v>53</v>
      </c>
      <c r="M14" s="2">
        <v>74.67</v>
      </c>
      <c r="N14" s="2">
        <v>52.17</v>
      </c>
      <c r="O14" s="4" t="s">
        <v>102</v>
      </c>
      <c r="P14" s="2" t="s">
        <v>95</v>
      </c>
    </row>
    <row r="15" spans="1:16" s="2" customFormat="1" x14ac:dyDescent="0.25">
      <c r="A15" s="2" t="s">
        <v>24</v>
      </c>
      <c r="B15" s="2" t="str">
        <f>CONCATENATE(A15,"OVR")</f>
        <v>6MP3KM5DY99OVR</v>
      </c>
      <c r="C15" s="2" t="s">
        <v>105</v>
      </c>
      <c r="D15" s="2" t="s">
        <v>106</v>
      </c>
      <c r="E15" s="2" t="str">
        <f>CONCATENATE(D15, " ",C15)</f>
        <v>ANNA BIEBL</v>
      </c>
      <c r="F15" s="2" t="s">
        <v>27</v>
      </c>
      <c r="G15" s="3">
        <v>45658</v>
      </c>
      <c r="H15" s="3">
        <v>45658</v>
      </c>
      <c r="I15" s="3">
        <v>45961</v>
      </c>
      <c r="J15" s="2">
        <v>20411454</v>
      </c>
      <c r="K15" s="2" t="s">
        <v>104</v>
      </c>
      <c r="L15" s="2" t="s">
        <v>34</v>
      </c>
      <c r="M15" s="2">
        <v>365</v>
      </c>
      <c r="N15" s="2">
        <v>104.17</v>
      </c>
      <c r="O15" s="4" t="s">
        <v>103</v>
      </c>
    </row>
    <row r="16" spans="1:16" s="2" customFormat="1" x14ac:dyDescent="0.25">
      <c r="A16" s="2" t="s">
        <v>24</v>
      </c>
      <c r="B16" s="2" t="str">
        <f>CONCATENATE(A16,"OVR")</f>
        <v>6MP3KM5DY99OVR</v>
      </c>
      <c r="C16" s="2" t="s">
        <v>105</v>
      </c>
      <c r="D16" s="2" t="s">
        <v>106</v>
      </c>
      <c r="E16" s="2" t="str">
        <f>CONCATENATE(D16, " ",C16)</f>
        <v>ANNA BIEBL</v>
      </c>
      <c r="F16" s="2" t="s">
        <v>27</v>
      </c>
      <c r="G16" s="3">
        <v>45658</v>
      </c>
      <c r="H16" s="3">
        <v>45658</v>
      </c>
      <c r="I16" s="3">
        <v>45961</v>
      </c>
      <c r="J16" s="2">
        <v>20411454</v>
      </c>
      <c r="K16" s="2" t="s">
        <v>104</v>
      </c>
      <c r="L16" s="2" t="s">
        <v>34</v>
      </c>
      <c r="M16" s="2">
        <v>-438</v>
      </c>
      <c r="N16" s="2">
        <v>-125</v>
      </c>
      <c r="O16" s="4" t="s">
        <v>103</v>
      </c>
    </row>
    <row r="17" spans="1:15" s="2" customFormat="1" x14ac:dyDescent="0.25">
      <c r="A17" s="2" t="s">
        <v>38</v>
      </c>
      <c r="B17" s="2" t="str">
        <f>CONCATENATE(A17,"OVR")</f>
        <v>4N85GH7HW54OVR</v>
      </c>
      <c r="C17" s="2" t="s">
        <v>107</v>
      </c>
      <c r="D17" s="2" t="s">
        <v>108</v>
      </c>
      <c r="E17" s="2" t="str">
        <f>CONCATENATE(D17, " ",C17)</f>
        <v>KATIE BRUCE</v>
      </c>
      <c r="F17" s="2" t="s">
        <v>41</v>
      </c>
      <c r="G17" s="3">
        <v>45658</v>
      </c>
      <c r="H17" s="3">
        <v>45658</v>
      </c>
      <c r="I17" s="3">
        <v>45961</v>
      </c>
      <c r="J17" s="2">
        <v>20411454</v>
      </c>
      <c r="K17" s="2" t="s">
        <v>104</v>
      </c>
      <c r="L17" s="2" t="s">
        <v>34</v>
      </c>
      <c r="M17" s="2">
        <v>365</v>
      </c>
      <c r="N17" s="2">
        <v>104.17</v>
      </c>
      <c r="O17" s="4" t="s">
        <v>103</v>
      </c>
    </row>
    <row r="18" spans="1:15" s="2" customFormat="1" x14ac:dyDescent="0.25">
      <c r="A18" s="2" t="s">
        <v>38</v>
      </c>
      <c r="B18" s="2" t="str">
        <f>CONCATENATE(A18,"OVR")</f>
        <v>4N85GH7HW54OVR</v>
      </c>
      <c r="C18" s="2" t="s">
        <v>107</v>
      </c>
      <c r="D18" s="2" t="s">
        <v>108</v>
      </c>
      <c r="E18" s="2" t="str">
        <f>CONCATENATE(D18, " ",C18)</f>
        <v>KATIE BRUCE</v>
      </c>
      <c r="F18" s="2" t="s">
        <v>41</v>
      </c>
      <c r="G18" s="3">
        <v>45658</v>
      </c>
      <c r="H18" s="3">
        <v>45658</v>
      </c>
      <c r="I18" s="3">
        <v>45961</v>
      </c>
      <c r="J18" s="2">
        <v>20411454</v>
      </c>
      <c r="K18" s="2" t="s">
        <v>104</v>
      </c>
      <c r="L18" s="2" t="s">
        <v>34</v>
      </c>
      <c r="M18" s="2">
        <v>-438</v>
      </c>
      <c r="N18" s="2">
        <v>-125</v>
      </c>
      <c r="O18" s="4" t="s">
        <v>103</v>
      </c>
    </row>
    <row r="19" spans="1:15" s="2" customFormat="1" x14ac:dyDescent="0.25">
      <c r="A19" s="2" t="s">
        <v>45</v>
      </c>
      <c r="B19" s="2" t="str">
        <f>CONCATENATE(A19,"OVR")</f>
        <v>5QP6WA9KM49OVR</v>
      </c>
      <c r="C19" s="2" t="s">
        <v>109</v>
      </c>
      <c r="D19" s="2" t="s">
        <v>110</v>
      </c>
      <c r="E19" s="2" t="str">
        <f>CONCATENATE(D19, " ",C19)</f>
        <v>JOYCE CRABTREE</v>
      </c>
      <c r="F19" s="2" t="s">
        <v>48</v>
      </c>
      <c r="G19" s="3">
        <v>45962</v>
      </c>
      <c r="H19" s="3">
        <v>45962</v>
      </c>
      <c r="J19" s="2">
        <v>20411454</v>
      </c>
      <c r="K19" s="2" t="s">
        <v>104</v>
      </c>
      <c r="L19" s="2" t="s">
        <v>53</v>
      </c>
      <c r="M19" s="2">
        <v>10.83</v>
      </c>
      <c r="N19" s="2">
        <v>10.83</v>
      </c>
      <c r="O19" s="4" t="s">
        <v>103</v>
      </c>
    </row>
    <row r="20" spans="1:15" s="2" customFormat="1" x14ac:dyDescent="0.25">
      <c r="A20" s="2" t="s">
        <v>54</v>
      </c>
      <c r="B20" s="2" t="str">
        <f>CONCATENATE(A20,"OVR")</f>
        <v>7NJ9KC2GK34OVR</v>
      </c>
      <c r="C20" s="2" t="s">
        <v>111</v>
      </c>
      <c r="D20" s="2" t="s">
        <v>112</v>
      </c>
      <c r="E20" s="2" t="str">
        <f>CONCATENATE(D20, " ",C20)</f>
        <v>MICHAEL DAUGHERTY</v>
      </c>
      <c r="F20" s="2" t="s">
        <v>57</v>
      </c>
      <c r="G20" s="3">
        <v>45931</v>
      </c>
      <c r="H20" s="3">
        <v>45931</v>
      </c>
      <c r="I20" s="3">
        <v>45961</v>
      </c>
      <c r="J20" s="2">
        <v>20411454</v>
      </c>
      <c r="K20" s="2" t="s">
        <v>104</v>
      </c>
      <c r="L20" s="2" t="s">
        <v>34</v>
      </c>
      <c r="M20" s="2">
        <v>-751</v>
      </c>
      <c r="N20" s="2">
        <v>-125</v>
      </c>
      <c r="O20" s="4" t="s">
        <v>103</v>
      </c>
    </row>
    <row r="21" spans="1:15" s="2" customFormat="1" x14ac:dyDescent="0.25">
      <c r="A21" s="2" t="s">
        <v>54</v>
      </c>
      <c r="B21" s="2" t="str">
        <f>CONCATENATE(A21,"OVR")</f>
        <v>7NJ9KC2GK34OVR</v>
      </c>
      <c r="C21" s="2" t="s">
        <v>111</v>
      </c>
      <c r="D21" s="2" t="s">
        <v>112</v>
      </c>
      <c r="E21" s="2" t="str">
        <f>CONCATENATE(D21, " ",C21)</f>
        <v>MICHAEL DAUGHERTY</v>
      </c>
      <c r="F21" s="2" t="s">
        <v>57</v>
      </c>
      <c r="G21" s="3">
        <v>45962</v>
      </c>
      <c r="H21" s="3">
        <v>45962</v>
      </c>
      <c r="J21" s="2">
        <v>20411454</v>
      </c>
      <c r="K21" s="2" t="s">
        <v>104</v>
      </c>
      <c r="L21" s="2" t="s">
        <v>53</v>
      </c>
      <c r="M21" s="2">
        <v>77.17</v>
      </c>
      <c r="N21" s="2">
        <v>25</v>
      </c>
      <c r="O21" s="4" t="s">
        <v>103</v>
      </c>
    </row>
    <row r="22" spans="1:15" s="2" customFormat="1" x14ac:dyDescent="0.25">
      <c r="A22" s="2" t="s">
        <v>64</v>
      </c>
      <c r="B22" s="2" t="str">
        <f>CONCATENATE(A22,"OVR")</f>
        <v>8XD3KQ9NP01OVR</v>
      </c>
      <c r="C22" s="2" t="s">
        <v>113</v>
      </c>
      <c r="D22" s="2" t="s">
        <v>114</v>
      </c>
      <c r="E22" s="2" t="str">
        <f>CONCATENATE(D22, " ",C22)</f>
        <v>VIRGINIA DELACRUZ</v>
      </c>
      <c r="F22" s="2" t="s">
        <v>41</v>
      </c>
      <c r="G22" s="3">
        <v>45778</v>
      </c>
      <c r="H22" s="3">
        <v>45778</v>
      </c>
      <c r="I22" s="3">
        <v>45961</v>
      </c>
      <c r="J22" s="2">
        <v>20411454</v>
      </c>
      <c r="K22" s="2" t="s">
        <v>104</v>
      </c>
      <c r="L22" s="2" t="s">
        <v>34</v>
      </c>
      <c r="M22" s="2">
        <v>219</v>
      </c>
      <c r="N22" s="2">
        <v>62.5</v>
      </c>
      <c r="O22" s="4" t="s">
        <v>103</v>
      </c>
    </row>
    <row r="23" spans="1:15" s="2" customFormat="1" x14ac:dyDescent="0.25">
      <c r="A23" s="2" t="s">
        <v>64</v>
      </c>
      <c r="B23" s="2" t="str">
        <f>CONCATENATE(A23,"OVR")</f>
        <v>8XD3KQ9NP01OVR</v>
      </c>
      <c r="C23" s="2" t="s">
        <v>113</v>
      </c>
      <c r="D23" s="2" t="s">
        <v>114</v>
      </c>
      <c r="E23" s="2" t="str">
        <f>CONCATENATE(D23, " ",C23)</f>
        <v>VIRGINIA DELACRUZ</v>
      </c>
      <c r="F23" s="2" t="s">
        <v>41</v>
      </c>
      <c r="G23" s="3">
        <v>45778</v>
      </c>
      <c r="H23" s="3">
        <v>45778</v>
      </c>
      <c r="I23" s="3">
        <v>45961</v>
      </c>
      <c r="J23" s="2">
        <v>20411454</v>
      </c>
      <c r="K23" s="2" t="s">
        <v>104</v>
      </c>
      <c r="L23" s="2" t="s">
        <v>34</v>
      </c>
      <c r="M23" s="2">
        <v>-292</v>
      </c>
      <c r="N23" s="2">
        <v>-83.33</v>
      </c>
      <c r="O23" s="4" t="s">
        <v>103</v>
      </c>
    </row>
    <row r="24" spans="1:15" s="2" customFormat="1" x14ac:dyDescent="0.25">
      <c r="A24" s="2" t="s">
        <v>69</v>
      </c>
      <c r="B24" s="2" t="str">
        <f>CONCATENATE(A24,"OVR")</f>
        <v>7VH6QR7YQ56OVR</v>
      </c>
      <c r="C24" s="2" t="s">
        <v>115</v>
      </c>
      <c r="D24" s="2" t="s">
        <v>116</v>
      </c>
      <c r="E24" s="2" t="str">
        <f>CONCATENATE(D24, " ",C24)</f>
        <v>JOSE DIAZ</v>
      </c>
      <c r="F24" s="2" t="s">
        <v>41</v>
      </c>
      <c r="G24" s="3">
        <v>45992</v>
      </c>
      <c r="H24" s="3">
        <v>45992</v>
      </c>
      <c r="J24" s="2">
        <v>20411454</v>
      </c>
      <c r="K24" s="2" t="s">
        <v>104</v>
      </c>
      <c r="L24" s="2" t="s">
        <v>53</v>
      </c>
      <c r="M24" s="2">
        <v>37.33</v>
      </c>
      <c r="N24" s="2">
        <v>11.25</v>
      </c>
      <c r="O24" s="4" t="s">
        <v>103</v>
      </c>
    </row>
    <row r="25" spans="1:15" s="2" customFormat="1" x14ac:dyDescent="0.25">
      <c r="A25" s="2" t="s">
        <v>73</v>
      </c>
      <c r="B25" s="2" t="str">
        <f>CONCATENATE(A25,"OVR")</f>
        <v>5HN8W32AM30OVR</v>
      </c>
      <c r="C25" s="2" t="s">
        <v>117</v>
      </c>
      <c r="D25" s="2" t="s">
        <v>118</v>
      </c>
      <c r="E25" s="2" t="str">
        <f>CONCATENATE(D25, " ",C25)</f>
        <v>DONNA KWIATEK</v>
      </c>
      <c r="F25" s="2" t="s">
        <v>48</v>
      </c>
      <c r="G25" s="3">
        <v>45992</v>
      </c>
      <c r="H25" s="3">
        <v>45992</v>
      </c>
      <c r="J25" s="2">
        <v>20411454</v>
      </c>
      <c r="K25" s="2" t="s">
        <v>104</v>
      </c>
      <c r="L25" s="2" t="s">
        <v>53</v>
      </c>
      <c r="M25" s="2">
        <v>40.67</v>
      </c>
      <c r="N25" s="2">
        <v>11.25</v>
      </c>
      <c r="O25" s="4" t="s">
        <v>103</v>
      </c>
    </row>
    <row r="26" spans="1:15" s="2" customFormat="1" x14ac:dyDescent="0.25">
      <c r="A26" s="2" t="s">
        <v>78</v>
      </c>
      <c r="B26" s="2" t="str">
        <f>CONCATENATE(A26,"OVR")</f>
        <v>9W91JR8AN08OVR</v>
      </c>
      <c r="C26" s="2" t="s">
        <v>119</v>
      </c>
      <c r="D26" s="2" t="s">
        <v>120</v>
      </c>
      <c r="E26" s="2" t="str">
        <f>CONCATENATE(D26, " ",C26)</f>
        <v>THERESA LANE</v>
      </c>
      <c r="F26" s="2" t="s">
        <v>48</v>
      </c>
      <c r="G26" s="3">
        <v>45962</v>
      </c>
      <c r="H26" s="3">
        <v>45962</v>
      </c>
      <c r="J26" s="2">
        <v>20411454</v>
      </c>
      <c r="K26" s="2" t="s">
        <v>104</v>
      </c>
      <c r="L26" s="2" t="s">
        <v>53</v>
      </c>
      <c r="M26" s="2">
        <v>83.83</v>
      </c>
      <c r="N26" s="2">
        <v>25</v>
      </c>
      <c r="O26" s="4" t="s">
        <v>103</v>
      </c>
    </row>
    <row r="27" spans="1:15" s="2" customFormat="1" x14ac:dyDescent="0.25">
      <c r="A27" s="2" t="s">
        <v>81</v>
      </c>
      <c r="B27" s="2" t="str">
        <f>CONCATENATE(A27,"OVR")</f>
        <v>2FT0QJ8TN03OVR</v>
      </c>
      <c r="C27" s="2" t="s">
        <v>121</v>
      </c>
      <c r="D27" s="2" t="s">
        <v>122</v>
      </c>
      <c r="E27" s="2" t="str">
        <f>CONCATENATE(D27, " ",C27)</f>
        <v>LORI VAVRO</v>
      </c>
      <c r="F27" s="2" t="s">
        <v>48</v>
      </c>
      <c r="G27" s="3">
        <v>45962</v>
      </c>
      <c r="H27" s="3">
        <v>45962</v>
      </c>
      <c r="J27" s="2">
        <v>20411454</v>
      </c>
      <c r="K27" s="2" t="s">
        <v>104</v>
      </c>
      <c r="L27" s="2" t="s">
        <v>53</v>
      </c>
      <c r="M27" s="2">
        <v>10.83</v>
      </c>
      <c r="N27" s="2">
        <v>10.83</v>
      </c>
      <c r="O27" s="4" t="s">
        <v>103</v>
      </c>
    </row>
    <row r="28" spans="1:15" s="2" customFormat="1" x14ac:dyDescent="0.25">
      <c r="A28" s="2" t="s">
        <v>84</v>
      </c>
      <c r="B28" s="2" t="str">
        <f>CONCATENATE(A28,"OVR")</f>
        <v>5NP5QF9WH56OVR</v>
      </c>
      <c r="C28" s="2" t="s">
        <v>123</v>
      </c>
      <c r="D28" s="2" t="s">
        <v>124</v>
      </c>
      <c r="E28" s="2" t="str">
        <f>CONCATENATE(D28, " ",C28)</f>
        <v>TOM VONDRASEK</v>
      </c>
      <c r="F28" s="2" t="s">
        <v>41</v>
      </c>
      <c r="G28" s="3">
        <v>45962</v>
      </c>
      <c r="H28" s="3">
        <v>45962</v>
      </c>
      <c r="J28" s="2">
        <v>20411454</v>
      </c>
      <c r="K28" s="2" t="s">
        <v>104</v>
      </c>
      <c r="L28" s="2" t="s">
        <v>53</v>
      </c>
      <c r="M28" s="2">
        <v>74.67</v>
      </c>
      <c r="N28" s="2">
        <v>22.5</v>
      </c>
      <c r="O28" s="4" t="s">
        <v>103</v>
      </c>
    </row>
    <row r="29" spans="1:15" s="2" customFormat="1" x14ac:dyDescent="0.25">
      <c r="A29" s="2" t="s">
        <v>87</v>
      </c>
      <c r="B29" s="2" t="str">
        <f>CONCATENATE(A29,"OVR")</f>
        <v>5WQ4E61HT05OVR</v>
      </c>
      <c r="C29" s="2" t="s">
        <v>125</v>
      </c>
      <c r="D29" s="2" t="s">
        <v>126</v>
      </c>
      <c r="E29" s="2" t="str">
        <f>CONCATENATE(D29, " ",C29)</f>
        <v>JOSEPH YUROSKY</v>
      </c>
      <c r="F29" s="2" t="s">
        <v>48</v>
      </c>
      <c r="G29" s="3">
        <v>45962</v>
      </c>
      <c r="H29" s="3">
        <v>45962</v>
      </c>
      <c r="J29" s="2">
        <v>20411454</v>
      </c>
      <c r="K29" s="2" t="s">
        <v>104</v>
      </c>
      <c r="L29" s="2" t="s">
        <v>53</v>
      </c>
      <c r="M29" s="2">
        <v>81.33</v>
      </c>
      <c r="N29" s="2">
        <v>22.5</v>
      </c>
      <c r="O29" s="4" t="s">
        <v>103</v>
      </c>
    </row>
  </sheetData>
  <sortState xmlns:xlrd2="http://schemas.microsoft.com/office/spreadsheetml/2017/richdata2" ref="A2:AD29">
    <sortCondition ref="O2:O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2025-11-06T12:58:16Z</dcterms:created>
  <dcterms:modified xsi:type="dcterms:W3CDTF">2025-11-07T15:26:05Z</dcterms:modified>
</cp:coreProperties>
</file>