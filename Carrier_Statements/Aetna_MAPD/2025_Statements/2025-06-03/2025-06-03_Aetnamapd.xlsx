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6-03-25\"/>
    </mc:Choice>
  </mc:AlternateContent>
  <xr:revisionPtr revIDLastSave="0" documentId="13_ncr:9_{EE6DCFA9-29FE-45FE-A664-331B02F0EC9B}" xr6:coauthVersionLast="47" xr6:coauthVersionMax="47" xr10:uidLastSave="{00000000-0000-0000-0000-000000000000}"/>
  <bookViews>
    <workbookView xWindow="28680" yWindow="-120" windowWidth="29040" windowHeight="16440" activeTab="1" xr2:uid="{B2C80960-D5C5-4823-8F08-3E3CB1972112}"/>
  </bookViews>
  <sheets>
    <sheet name="Main Line Benefits LLC_med_comm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C14" i="2" l="1"/>
  <c r="C13" i="2"/>
  <c r="C12" i="2"/>
  <c r="C11" i="2"/>
  <c r="C10" i="2"/>
  <c r="C9" i="2"/>
  <c r="C8" i="2"/>
  <c r="C6" i="2"/>
  <c r="C5" i="2"/>
  <c r="C4" i="2"/>
  <c r="C3" i="2"/>
  <c r="C2" i="2"/>
  <c r="C7" i="2"/>
  <c r="C15" i="2"/>
  <c r="P15" i="2"/>
  <c r="P6" i="2"/>
  <c r="P3" i="2"/>
  <c r="P5" i="2"/>
  <c r="P2" i="2"/>
</calcChain>
</file>

<file path=xl/sharedStrings.xml><?xml version="1.0" encoding="utf-8"?>
<sst xmlns="http://schemas.openxmlformats.org/spreadsheetml/2006/main" count="231" uniqueCount="74">
  <si>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</si>
  <si>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</si>
  <si>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</si>
  <si>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</si>
  <si>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</si>
  <si>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</si>
  <si>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</si>
  <si>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</si>
  <si>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</si>
  <si>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</si>
  <si>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</si>
  <si>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</si>
  <si>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</si>
  <si>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</si>
  <si>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</si>
  <si>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</si>
  <si>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</si>
  <si>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</si>
  <si>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</si>
  <si>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</si>
  <si>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</si>
  <si>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</si>
  <si>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</si>
  <si>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</si>
  <si>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3G99FX4CF12</t>
  </si>
  <si>
    <t>CRANK J,ROBBY</t>
  </si>
  <si>
    <t>KS</t>
  </si>
  <si>
    <t>New Business</t>
  </si>
  <si>
    <t>MAPD</t>
  </si>
  <si>
    <t>IMM607</t>
  </si>
  <si>
    <t>H2663-028</t>
  </si>
  <si>
    <t>LOA</t>
  </si>
  <si>
    <t>Teipel, Gregory</t>
  </si>
  <si>
    <t>GMO</t>
  </si>
  <si>
    <t>Main Line Benefits LLC</t>
  </si>
  <si>
    <t xml:space="preserve">N  </t>
  </si>
  <si>
    <t>8T59RT0NA34</t>
  </si>
  <si>
    <t>JONES J,MICHAEL</t>
  </si>
  <si>
    <t>CO</t>
  </si>
  <si>
    <t>IMM610</t>
  </si>
  <si>
    <t>H5521-443</t>
  </si>
  <si>
    <t>Lee, Joel</t>
  </si>
  <si>
    <t>6K12C01NG85</t>
  </si>
  <si>
    <t>KWIATKOWSKI M,MARY</t>
  </si>
  <si>
    <t>PA</t>
  </si>
  <si>
    <t>IMM608</t>
  </si>
  <si>
    <t>H5522-001</t>
  </si>
  <si>
    <t>Inskipt, Deborah</t>
  </si>
  <si>
    <t>4RG8UV8NF50</t>
  </si>
  <si>
    <t>SCHUTTE R,JEFFREY</t>
  </si>
  <si>
    <t>Pro-Rata Disenroll</t>
  </si>
  <si>
    <t>H5522-005</t>
  </si>
  <si>
    <t>2GC2CN7FG95</t>
  </si>
  <si>
    <t>SIEGEL B,PAMELA</t>
  </si>
  <si>
    <t>H5521-261</t>
  </si>
  <si>
    <t>9QY2XE2RH04</t>
  </si>
  <si>
    <t>WESTWOOD M,DENISE</t>
  </si>
  <si>
    <t>Total Payee Amount: $1586.50</t>
  </si>
  <si>
    <t>Aetna 2025 CT, PA, DC*</t>
  </si>
  <si>
    <t>Aetna MAPD 2025*</t>
  </si>
  <si>
    <t>Aetna MAPD OVR 2025</t>
  </si>
  <si>
    <t>[%/$=353][prorate=12/12]</t>
  </si>
  <si>
    <t>[%/$=353][prorate=7/12]</t>
  </si>
  <si>
    <t>[%/$=353][prorate=6/12]</t>
  </si>
  <si>
    <t>[%/$=353][prorate=4/12]</t>
  </si>
  <si>
    <t>[%/$=313][prorate=7/12]</t>
  </si>
  <si>
    <t>ROBBY CRANK</t>
  </si>
  <si>
    <t>MICHAEL JONES</t>
  </si>
  <si>
    <t>MARY KWIATKOWSKI</t>
  </si>
  <si>
    <t>JEFFREY SCHUTTE</t>
  </si>
  <si>
    <t>PAMELA SIEGEL</t>
  </si>
  <si>
    <t>DENISE WESTWOOD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</si>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</sst>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9C8E-9C56-4388-8E67-5BF0182D5DE3}">
  <dimension ref="A1:X11"/>
  <sheetViews>
    <sheetView workbookViewId="0">
      <selection sqref="A1:XFD1048576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45811</v>
      </c>
      <c r="B2" t="s">
        <v>24</v>
      </c>
      <c r="C2">
        <v>102173389000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45809</v>
      </c>
      <c r="M2" s="1">
        <v>45809</v>
      </c>
      <c r="O2">
        <v>8307933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255.5</v>
      </c>
      <c r="V2" t="s">
        <v>35</v>
      </c>
      <c r="W2" s="1">
        <v>45796</v>
      </c>
      <c r="X2">
        <v>2025</v>
      </c>
    </row>
    <row r="3" spans="1:24" x14ac:dyDescent="0.25">
      <c r="A3" s="1">
        <v>45811</v>
      </c>
      <c r="B3" t="s">
        <v>36</v>
      </c>
      <c r="C3">
        <v>102173686600</v>
      </c>
      <c r="E3" t="s">
        <v>37</v>
      </c>
      <c r="F3" t="s">
        <v>38</v>
      </c>
      <c r="G3" t="s">
        <v>27</v>
      </c>
      <c r="H3" t="s">
        <v>28</v>
      </c>
      <c r="I3" t="s">
        <v>39</v>
      </c>
      <c r="J3" t="s">
        <v>40</v>
      </c>
      <c r="L3" s="1">
        <v>45809</v>
      </c>
      <c r="M3" s="1">
        <v>45809</v>
      </c>
      <c r="O3">
        <v>6634327</v>
      </c>
      <c r="P3" t="s">
        <v>31</v>
      </c>
      <c r="Q3" t="s">
        <v>41</v>
      </c>
      <c r="R3">
        <v>8192</v>
      </c>
      <c r="S3" t="s">
        <v>33</v>
      </c>
      <c r="T3" t="s">
        <v>34</v>
      </c>
      <c r="U3">
        <v>255.5</v>
      </c>
      <c r="V3" t="s">
        <v>35</v>
      </c>
      <c r="W3" s="1">
        <v>45797</v>
      </c>
      <c r="X3">
        <v>2025</v>
      </c>
    </row>
    <row r="4" spans="1:24" x14ac:dyDescent="0.25">
      <c r="A4" s="1">
        <v>45811</v>
      </c>
      <c r="B4" t="s">
        <v>42</v>
      </c>
      <c r="C4">
        <v>102066652900</v>
      </c>
      <c r="E4" t="s">
        <v>43</v>
      </c>
      <c r="F4" t="s">
        <v>44</v>
      </c>
      <c r="G4" t="s">
        <v>27</v>
      </c>
      <c r="H4" t="s">
        <v>28</v>
      </c>
      <c r="I4" t="s">
        <v>45</v>
      </c>
      <c r="J4" t="s">
        <v>46</v>
      </c>
      <c r="L4" s="1">
        <v>45809</v>
      </c>
      <c r="M4" s="1">
        <v>45809</v>
      </c>
      <c r="O4">
        <v>17528908</v>
      </c>
      <c r="P4" t="s">
        <v>31</v>
      </c>
      <c r="Q4" t="s">
        <v>47</v>
      </c>
      <c r="R4">
        <v>8192</v>
      </c>
      <c r="S4" t="s">
        <v>33</v>
      </c>
      <c r="T4" t="s">
        <v>34</v>
      </c>
      <c r="U4">
        <v>278.83</v>
      </c>
      <c r="V4" t="s">
        <v>35</v>
      </c>
      <c r="W4" s="1">
        <v>45796</v>
      </c>
      <c r="X4">
        <v>2025</v>
      </c>
    </row>
    <row r="5" spans="1:24" x14ac:dyDescent="0.25">
      <c r="A5" s="1">
        <v>45811</v>
      </c>
      <c r="B5" t="s">
        <v>48</v>
      </c>
      <c r="C5">
        <v>101068686100</v>
      </c>
      <c r="E5" t="s">
        <v>49</v>
      </c>
      <c r="F5" t="s">
        <v>44</v>
      </c>
      <c r="G5" t="s">
        <v>50</v>
      </c>
      <c r="H5" t="s">
        <v>28</v>
      </c>
      <c r="I5" t="s">
        <v>45</v>
      </c>
      <c r="J5" t="s">
        <v>51</v>
      </c>
      <c r="L5" s="1">
        <v>45689</v>
      </c>
      <c r="M5" s="1">
        <v>45689</v>
      </c>
      <c r="O5">
        <v>17528908</v>
      </c>
      <c r="P5" t="s">
        <v>31</v>
      </c>
      <c r="Q5" t="s">
        <v>47</v>
      </c>
      <c r="R5">
        <v>8192</v>
      </c>
      <c r="S5" t="s">
        <v>33</v>
      </c>
      <c r="T5" t="s">
        <v>34</v>
      </c>
      <c r="U5">
        <v>-159.33000000000001</v>
      </c>
      <c r="V5" t="s">
        <v>35</v>
      </c>
      <c r="W5" s="1">
        <v>45666</v>
      </c>
      <c r="X5">
        <v>2025</v>
      </c>
    </row>
    <row r="6" spans="1:24" x14ac:dyDescent="0.25">
      <c r="A6" s="1">
        <v>45811</v>
      </c>
      <c r="B6" t="s">
        <v>48</v>
      </c>
      <c r="C6">
        <v>101068686100</v>
      </c>
      <c r="E6" t="s">
        <v>49</v>
      </c>
      <c r="F6" t="s">
        <v>44</v>
      </c>
      <c r="G6" t="s">
        <v>50</v>
      </c>
      <c r="H6" t="s">
        <v>28</v>
      </c>
      <c r="I6" t="s">
        <v>45</v>
      </c>
      <c r="J6" t="s">
        <v>51</v>
      </c>
      <c r="L6" s="1">
        <v>45689</v>
      </c>
      <c r="M6" s="1">
        <v>45689</v>
      </c>
      <c r="O6">
        <v>17528908</v>
      </c>
      <c r="P6" t="s">
        <v>31</v>
      </c>
      <c r="Q6" t="s">
        <v>47</v>
      </c>
      <c r="R6">
        <v>8192</v>
      </c>
      <c r="S6" t="s">
        <v>33</v>
      </c>
      <c r="T6" t="s">
        <v>34</v>
      </c>
      <c r="U6">
        <v>438.17</v>
      </c>
      <c r="V6" t="s">
        <v>35</v>
      </c>
      <c r="W6" s="1">
        <v>45666</v>
      </c>
      <c r="X6">
        <v>2025</v>
      </c>
    </row>
    <row r="7" spans="1:24" x14ac:dyDescent="0.25">
      <c r="A7" s="1">
        <v>45811</v>
      </c>
      <c r="B7" t="s">
        <v>52</v>
      </c>
      <c r="C7">
        <v>102173406800</v>
      </c>
      <c r="E7" t="s">
        <v>53</v>
      </c>
      <c r="F7" t="s">
        <v>44</v>
      </c>
      <c r="G7" t="s">
        <v>27</v>
      </c>
      <c r="H7" t="s">
        <v>28</v>
      </c>
      <c r="I7" t="s">
        <v>45</v>
      </c>
      <c r="J7" t="s">
        <v>54</v>
      </c>
      <c r="L7" s="1">
        <v>45839</v>
      </c>
      <c r="M7" s="1">
        <v>45839</v>
      </c>
      <c r="O7">
        <v>17528908</v>
      </c>
      <c r="P7" t="s">
        <v>31</v>
      </c>
      <c r="Q7" t="s">
        <v>47</v>
      </c>
      <c r="R7">
        <v>8192</v>
      </c>
      <c r="S7" t="s">
        <v>33</v>
      </c>
      <c r="T7" t="s">
        <v>34</v>
      </c>
      <c r="U7">
        <v>239</v>
      </c>
      <c r="V7" t="s">
        <v>35</v>
      </c>
      <c r="W7" s="1">
        <v>45796</v>
      </c>
      <c r="X7">
        <v>2025</v>
      </c>
    </row>
    <row r="8" spans="1:24" x14ac:dyDescent="0.25">
      <c r="A8" s="1">
        <v>45811</v>
      </c>
      <c r="B8" t="s">
        <v>55</v>
      </c>
      <c r="C8">
        <v>101095513800</v>
      </c>
      <c r="E8" t="s">
        <v>56</v>
      </c>
      <c r="F8" t="s">
        <v>44</v>
      </c>
      <c r="G8" t="s">
        <v>27</v>
      </c>
      <c r="H8" t="s">
        <v>28</v>
      </c>
      <c r="I8" t="s">
        <v>45</v>
      </c>
      <c r="J8" t="s">
        <v>54</v>
      </c>
      <c r="L8" s="1">
        <v>45809</v>
      </c>
      <c r="M8" s="1">
        <v>45809</v>
      </c>
      <c r="O8">
        <v>17528908</v>
      </c>
      <c r="P8" t="s">
        <v>31</v>
      </c>
      <c r="Q8" t="s">
        <v>47</v>
      </c>
      <c r="R8">
        <v>8192</v>
      </c>
      <c r="S8" t="s">
        <v>33</v>
      </c>
      <c r="T8" t="s">
        <v>34</v>
      </c>
      <c r="U8">
        <v>278.83</v>
      </c>
      <c r="V8" t="s">
        <v>35</v>
      </c>
      <c r="W8" s="1">
        <v>45782</v>
      </c>
      <c r="X8">
        <v>2025</v>
      </c>
    </row>
    <row r="11" spans="1:24" x14ac:dyDescent="0.25">
      <c r="A1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81E4-BE50-461E-AABD-7D02FC5A342D}">
  <dimension ref="A1:P15"/>
  <sheetViews>
    <sheetView tabSelected="1" workbookViewId="0">
      <selection activeCell="O2" sqref="O2:O15"/>
    </sheetView>
  </sheetViews>
  <sheetFormatPr defaultRowHeight="15" x14ac:dyDescent="0.25"/>
  <cols>
    <col min="1" max="1" width="9.140625" style="3"/>
    <col min="2" max="2" width="17.28515625" style="3" bestFit="1" customWidth="1"/>
    <col min="3" max="3" width="17.28515625" style="3" customWidth="1"/>
    <col min="4" max="4" width="22.28515625" style="3" bestFit="1" customWidth="1"/>
    <col min="5" max="5" width="17.28515625" style="3" bestFit="1" customWidth="1"/>
    <col min="6" max="9" width="9.140625" style="3"/>
    <col min="10" max="10" width="19.28515625" style="3" bestFit="1" customWidth="1"/>
    <col min="11" max="13" width="9.140625" style="3"/>
    <col min="14" max="14" width="21.5703125" style="3" bestFit="1" customWidth="1"/>
    <col min="15" max="15" width="24.140625" style="3" bestFit="1" customWidth="1"/>
    <col min="16" max="16384" width="9.140625" style="3"/>
  </cols>
  <sheetData>
    <row r="1" spans="1:16" x14ac:dyDescent="0.25">
      <c r="A1" s="3" t="s">
        <v>0</v>
      </c>
      <c r="B1" s="3" t="s">
        <v>1</v>
      </c>
      <c r="D1" s="3" t="s">
        <v>4</v>
      </c>
      <c r="E1" s="3" t="s">
        <v>6</v>
      </c>
      <c r="F1" s="3" t="s">
        <v>7</v>
      </c>
      <c r="G1" s="3" t="s">
        <v>11</v>
      </c>
      <c r="H1" s="3" t="s">
        <v>12</v>
      </c>
      <c r="I1" s="3" t="s">
        <v>14</v>
      </c>
      <c r="J1" s="3" t="s">
        <v>16</v>
      </c>
      <c r="K1" s="3" t="s">
        <v>17</v>
      </c>
      <c r="L1" s="3" t="s">
        <v>18</v>
      </c>
      <c r="M1" s="3" t="s">
        <v>20</v>
      </c>
    </row>
    <row r="2" spans="1:16" x14ac:dyDescent="0.25">
      <c r="A2" s="2">
        <v>45811</v>
      </c>
      <c r="B2" s="3" t="s">
        <v>42</v>
      </c>
      <c r="C2" s="3" t="str">
        <f>CONCATENATE(B2,8)</f>
        <v>6K12C01NG858</v>
      </c>
      <c r="D2" s="3" t="s">
        <v>68</v>
      </c>
      <c r="E2" s="3" t="s">
        <v>27</v>
      </c>
      <c r="F2" s="3" t="s">
        <v>28</v>
      </c>
      <c r="G2" s="2">
        <v>45809</v>
      </c>
      <c r="H2" s="2">
        <v>45809</v>
      </c>
      <c r="I2" s="3" t="s">
        <v>73</v>
      </c>
      <c r="J2" s="3" t="s">
        <v>47</v>
      </c>
      <c r="K2" s="3">
        <v>8192</v>
      </c>
      <c r="L2" s="3" t="s">
        <v>33</v>
      </c>
      <c r="M2" s="3">
        <v>205.92</v>
      </c>
      <c r="N2" s="3" t="s">
        <v>58</v>
      </c>
      <c r="O2" s="3" t="s">
        <v>62</v>
      </c>
      <c r="P2" s="3">
        <f>353/12*7</f>
        <v>205.91666666666669</v>
      </c>
    </row>
    <row r="3" spans="1:16" x14ac:dyDescent="0.25">
      <c r="A3" s="2">
        <v>45811</v>
      </c>
      <c r="B3" s="3" t="s">
        <v>48</v>
      </c>
      <c r="C3" s="3" t="str">
        <f>CONCATENATE(B3,8)</f>
        <v>4RG8UV8NF508</v>
      </c>
      <c r="D3" s="3" t="s">
        <v>69</v>
      </c>
      <c r="E3" s="3" t="s">
        <v>50</v>
      </c>
      <c r="F3" s="3" t="s">
        <v>28</v>
      </c>
      <c r="G3" s="2">
        <v>45689</v>
      </c>
      <c r="H3" s="2">
        <v>45689</v>
      </c>
      <c r="I3" s="3" t="s">
        <v>73</v>
      </c>
      <c r="J3" s="3" t="s">
        <v>47</v>
      </c>
      <c r="K3" s="3">
        <v>8192</v>
      </c>
      <c r="L3" s="3" t="s">
        <v>33</v>
      </c>
      <c r="M3" s="3">
        <v>-117.67</v>
      </c>
      <c r="N3" s="3" t="s">
        <v>58</v>
      </c>
      <c r="O3" s="3" t="s">
        <v>64</v>
      </c>
      <c r="P3" s="3">
        <f>353/12*4</f>
        <v>117.66666666666667</v>
      </c>
    </row>
    <row r="4" spans="1:16" x14ac:dyDescent="0.25">
      <c r="A4" s="2">
        <v>45811</v>
      </c>
      <c r="B4" s="3" t="s">
        <v>48</v>
      </c>
      <c r="C4" s="3" t="str">
        <f>CONCATENATE(B4,8)</f>
        <v>4RG8UV8NF508</v>
      </c>
      <c r="D4" s="3" t="s">
        <v>69</v>
      </c>
      <c r="E4" s="3" t="s">
        <v>50</v>
      </c>
      <c r="F4" s="3" t="s">
        <v>28</v>
      </c>
      <c r="G4" s="2">
        <v>45689</v>
      </c>
      <c r="H4" s="2">
        <v>45689</v>
      </c>
      <c r="I4" s="3" t="s">
        <v>73</v>
      </c>
      <c r="J4" s="3" t="s">
        <v>47</v>
      </c>
      <c r="K4" s="3">
        <v>8192</v>
      </c>
      <c r="L4" s="3" t="s">
        <v>33</v>
      </c>
      <c r="M4" s="3">
        <v>353</v>
      </c>
      <c r="N4" s="3" t="s">
        <v>58</v>
      </c>
      <c r="O4" s="3" t="s">
        <v>61</v>
      </c>
    </row>
    <row r="5" spans="1:16" x14ac:dyDescent="0.25">
      <c r="A5" s="2">
        <v>45811</v>
      </c>
      <c r="B5" s="3" t="s">
        <v>52</v>
      </c>
      <c r="C5" s="3" t="str">
        <f>CONCATENATE(B5,8)</f>
        <v>2GC2CN7FG958</v>
      </c>
      <c r="D5" s="3" t="s">
        <v>70</v>
      </c>
      <c r="E5" s="3" t="s">
        <v>27</v>
      </c>
      <c r="F5" s="3" t="s">
        <v>28</v>
      </c>
      <c r="G5" s="2">
        <v>45839</v>
      </c>
      <c r="H5" s="2">
        <v>45839</v>
      </c>
      <c r="I5" s="3" t="s">
        <v>73</v>
      </c>
      <c r="J5" s="3" t="s">
        <v>47</v>
      </c>
      <c r="K5" s="3">
        <v>8192</v>
      </c>
      <c r="L5" s="3" t="s">
        <v>33</v>
      </c>
      <c r="M5" s="3">
        <v>176.5</v>
      </c>
      <c r="N5" s="3" t="s">
        <v>58</v>
      </c>
      <c r="O5" s="3" t="s">
        <v>63</v>
      </c>
      <c r="P5" s="3">
        <f>353/12*6</f>
        <v>176.5</v>
      </c>
    </row>
    <row r="6" spans="1:16" x14ac:dyDescent="0.25">
      <c r="A6" s="2">
        <v>45811</v>
      </c>
      <c r="B6" s="3" t="s">
        <v>55</v>
      </c>
      <c r="C6" s="3" t="str">
        <f>CONCATENATE(B6,8)</f>
        <v>9QY2XE2RH048</v>
      </c>
      <c r="D6" s="3" t="s">
        <v>71</v>
      </c>
      <c r="E6" s="3" t="s">
        <v>27</v>
      </c>
      <c r="F6" s="3" t="s">
        <v>28</v>
      </c>
      <c r="G6" s="2">
        <v>45809</v>
      </c>
      <c r="H6" s="2">
        <v>45809</v>
      </c>
      <c r="I6" s="3" t="s">
        <v>73</v>
      </c>
      <c r="J6" s="3" t="s">
        <v>47</v>
      </c>
      <c r="K6" s="3">
        <v>8192</v>
      </c>
      <c r="L6" s="3" t="s">
        <v>33</v>
      </c>
      <c r="M6" s="3">
        <v>205.92</v>
      </c>
      <c r="N6" s="3" t="s">
        <v>58</v>
      </c>
      <c r="O6" s="3" t="s">
        <v>62</v>
      </c>
      <c r="P6" s="3">
        <f>353/12*7</f>
        <v>205.91666666666669</v>
      </c>
    </row>
    <row r="7" spans="1:16" x14ac:dyDescent="0.25">
      <c r="A7" s="2">
        <v>45811</v>
      </c>
      <c r="B7" s="3" t="s">
        <v>36</v>
      </c>
      <c r="C7" s="3" t="str">
        <f>CONCATENATE(B7,8)</f>
        <v>8T59RT0NA348</v>
      </c>
      <c r="D7" s="3" t="s">
        <v>67</v>
      </c>
      <c r="E7" s="3" t="s">
        <v>27</v>
      </c>
      <c r="F7" s="3" t="s">
        <v>28</v>
      </c>
      <c r="G7" s="2">
        <v>45809</v>
      </c>
      <c r="H7" s="2">
        <v>45809</v>
      </c>
      <c r="I7" s="3">
        <v>6634327</v>
      </c>
      <c r="J7" s="3" t="s">
        <v>41</v>
      </c>
      <c r="K7" s="3">
        <v>8192</v>
      </c>
      <c r="L7" s="3" t="s">
        <v>33</v>
      </c>
      <c r="M7" s="3">
        <v>182.58</v>
      </c>
      <c r="N7" s="3" t="s">
        <v>59</v>
      </c>
      <c r="O7" s="3" t="s">
        <v>65</v>
      </c>
    </row>
    <row r="8" spans="1:16" x14ac:dyDescent="0.25">
      <c r="A8" s="2">
        <v>45811</v>
      </c>
      <c r="B8" s="3" t="s">
        <v>24</v>
      </c>
      <c r="C8" s="3" t="str">
        <f>CONCATENATE(B8,88)</f>
        <v>3G99FX4CF1288</v>
      </c>
      <c r="D8" s="3" t="s">
        <v>66</v>
      </c>
      <c r="E8" s="3" t="s">
        <v>27</v>
      </c>
      <c r="F8" s="3" t="s">
        <v>28</v>
      </c>
      <c r="G8" s="2">
        <v>45809</v>
      </c>
      <c r="H8" s="2">
        <v>45809</v>
      </c>
      <c r="I8" s="3">
        <v>20411454</v>
      </c>
      <c r="J8" s="3" t="s">
        <v>72</v>
      </c>
      <c r="K8" s="3">
        <v>8192</v>
      </c>
      <c r="L8" s="3" t="s">
        <v>33</v>
      </c>
      <c r="M8" s="3">
        <v>72.92</v>
      </c>
      <c r="N8" s="3" t="s">
        <v>60</v>
      </c>
    </row>
    <row r="9" spans="1:16" x14ac:dyDescent="0.25">
      <c r="A9" s="2">
        <v>45811</v>
      </c>
      <c r="B9" s="3" t="s">
        <v>36</v>
      </c>
      <c r="C9" s="3" t="str">
        <f>CONCATENATE(B9,88)</f>
        <v>8T59RT0NA3488</v>
      </c>
      <c r="D9" s="3" t="s">
        <v>67</v>
      </c>
      <c r="E9" s="3" t="s">
        <v>27</v>
      </c>
      <c r="F9" s="3" t="s">
        <v>28</v>
      </c>
      <c r="G9" s="2">
        <v>45809</v>
      </c>
      <c r="H9" s="2">
        <v>45809</v>
      </c>
      <c r="I9" s="3">
        <v>20411454</v>
      </c>
      <c r="J9" s="3" t="s">
        <v>72</v>
      </c>
      <c r="K9" s="3">
        <v>8192</v>
      </c>
      <c r="L9" s="3" t="s">
        <v>33</v>
      </c>
      <c r="M9" s="3">
        <v>72.92</v>
      </c>
      <c r="N9" s="3" t="s">
        <v>60</v>
      </c>
    </row>
    <row r="10" spans="1:16" x14ac:dyDescent="0.25">
      <c r="A10" s="2">
        <v>45811</v>
      </c>
      <c r="B10" s="3" t="s">
        <v>42</v>
      </c>
      <c r="C10" s="3" t="str">
        <f>CONCATENATE(B10,88)</f>
        <v>6K12C01NG8588</v>
      </c>
      <c r="D10" s="3" t="s">
        <v>68</v>
      </c>
      <c r="E10" s="3" t="s">
        <v>27</v>
      </c>
      <c r="F10" s="3" t="s">
        <v>28</v>
      </c>
      <c r="G10" s="2">
        <v>45809</v>
      </c>
      <c r="H10" s="2">
        <v>45809</v>
      </c>
      <c r="I10" s="3">
        <v>20411454</v>
      </c>
      <c r="J10" s="3" t="s">
        <v>72</v>
      </c>
      <c r="K10" s="3">
        <v>8192</v>
      </c>
      <c r="L10" s="3" t="s">
        <v>33</v>
      </c>
      <c r="M10" s="3">
        <v>72.91</v>
      </c>
      <c r="N10" s="3" t="s">
        <v>60</v>
      </c>
    </row>
    <row r="11" spans="1:16" x14ac:dyDescent="0.25">
      <c r="A11" s="2">
        <v>45811</v>
      </c>
      <c r="B11" s="3" t="s">
        <v>48</v>
      </c>
      <c r="C11" s="3" t="str">
        <f>CONCATENATE(B11,88)</f>
        <v>4RG8UV8NF5088</v>
      </c>
      <c r="D11" s="3" t="s">
        <v>69</v>
      </c>
      <c r="E11" s="3" t="s">
        <v>50</v>
      </c>
      <c r="F11" s="3" t="s">
        <v>28</v>
      </c>
      <c r="G11" s="2">
        <v>45689</v>
      </c>
      <c r="H11" s="2">
        <v>45689</v>
      </c>
      <c r="I11" s="3">
        <v>20411454</v>
      </c>
      <c r="J11" s="3" t="s">
        <v>72</v>
      </c>
      <c r="K11" s="3">
        <v>8192</v>
      </c>
      <c r="L11" s="3" t="s">
        <v>33</v>
      </c>
      <c r="M11" s="3">
        <v>-41.67</v>
      </c>
      <c r="N11" s="3" t="s">
        <v>60</v>
      </c>
    </row>
    <row r="12" spans="1:16" x14ac:dyDescent="0.25">
      <c r="A12" s="2">
        <v>45811</v>
      </c>
      <c r="B12" s="3" t="s">
        <v>48</v>
      </c>
      <c r="C12" s="3" t="str">
        <f>CONCATENATE(B12,88)</f>
        <v>4RG8UV8NF5088</v>
      </c>
      <c r="D12" s="3" t="s">
        <v>69</v>
      </c>
      <c r="E12" s="3" t="s">
        <v>50</v>
      </c>
      <c r="F12" s="3" t="s">
        <v>28</v>
      </c>
      <c r="G12" s="2">
        <v>45689</v>
      </c>
      <c r="H12" s="2">
        <v>45689</v>
      </c>
      <c r="I12" s="3">
        <v>20411454</v>
      </c>
      <c r="J12" s="3" t="s">
        <v>72</v>
      </c>
      <c r="K12" s="3">
        <v>8192</v>
      </c>
      <c r="L12" s="3" t="s">
        <v>33</v>
      </c>
      <c r="M12" s="3">
        <v>85.17</v>
      </c>
      <c r="N12" s="3" t="s">
        <v>60</v>
      </c>
    </row>
    <row r="13" spans="1:16" x14ac:dyDescent="0.25">
      <c r="A13" s="2">
        <v>45811</v>
      </c>
      <c r="B13" s="3" t="s">
        <v>52</v>
      </c>
      <c r="C13" s="3" t="str">
        <f>CONCATENATE(B13,88)</f>
        <v>2GC2CN7FG9588</v>
      </c>
      <c r="D13" s="3" t="s">
        <v>70</v>
      </c>
      <c r="E13" s="3" t="s">
        <v>27</v>
      </c>
      <c r="F13" s="3" t="s">
        <v>28</v>
      </c>
      <c r="G13" s="2">
        <v>45839</v>
      </c>
      <c r="H13" s="2">
        <v>45839</v>
      </c>
      <c r="I13" s="3">
        <v>20411454</v>
      </c>
      <c r="J13" s="3" t="s">
        <v>72</v>
      </c>
      <c r="K13" s="3">
        <v>8192</v>
      </c>
      <c r="L13" s="3" t="s">
        <v>33</v>
      </c>
      <c r="M13" s="3">
        <v>62.5</v>
      </c>
      <c r="N13" s="3" t="s">
        <v>60</v>
      </c>
    </row>
    <row r="14" spans="1:16" x14ac:dyDescent="0.25">
      <c r="A14" s="2">
        <v>45811</v>
      </c>
      <c r="B14" s="3" t="s">
        <v>55</v>
      </c>
      <c r="C14" s="3" t="str">
        <f>CONCATENATE(B14,88)</f>
        <v>9QY2XE2RH0488</v>
      </c>
      <c r="D14" s="3" t="s">
        <v>71</v>
      </c>
      <c r="E14" s="3" t="s">
        <v>27</v>
      </c>
      <c r="F14" s="3" t="s">
        <v>28</v>
      </c>
      <c r="G14" s="2">
        <v>45809</v>
      </c>
      <c r="H14" s="2">
        <v>45809</v>
      </c>
      <c r="I14" s="3">
        <v>20411454</v>
      </c>
      <c r="J14" s="3" t="s">
        <v>72</v>
      </c>
      <c r="K14" s="3">
        <v>8192</v>
      </c>
      <c r="L14" s="3" t="s">
        <v>33</v>
      </c>
      <c r="M14" s="3">
        <v>72.91</v>
      </c>
      <c r="N14" s="3" t="s">
        <v>60</v>
      </c>
    </row>
    <row r="15" spans="1:16" x14ac:dyDescent="0.25">
      <c r="A15" s="2">
        <v>45811</v>
      </c>
      <c r="B15" s="3" t="s">
        <v>24</v>
      </c>
      <c r="C15" s="3" t="str">
        <f>CONCATENATE(B15,8)</f>
        <v>3G99FX4CF128</v>
      </c>
      <c r="D15" s="3" t="s">
        <v>66</v>
      </c>
      <c r="E15" s="3" t="s">
        <v>27</v>
      </c>
      <c r="F15" s="3" t="s">
        <v>28</v>
      </c>
      <c r="G15" s="2">
        <v>45809</v>
      </c>
      <c r="H15" s="2">
        <v>45809</v>
      </c>
      <c r="I15" s="3">
        <v>8307933</v>
      </c>
      <c r="J15" s="3" t="s">
        <v>32</v>
      </c>
      <c r="K15" s="3">
        <v>8192</v>
      </c>
      <c r="L15" s="3" t="s">
        <v>33</v>
      </c>
      <c r="M15" s="3">
        <v>182.58</v>
      </c>
      <c r="N15" s="3" t="s">
        <v>59</v>
      </c>
      <c r="O15" s="3" t="s">
        <v>65</v>
      </c>
      <c r="P15" s="3">
        <f>313/12*7</f>
        <v>182.58333333333331</v>
      </c>
    </row>
  </sheetData>
  <sortState xmlns:xlrd2="http://schemas.microsoft.com/office/spreadsheetml/2017/richdata2" ref="A2:Y15">
    <sortCondition ref="J2:J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2025-06-04T13:28:52Z</dcterms:created>
  <dcterms:modified xsi:type="dcterms:W3CDTF">2025-06-04T18:59:58Z</dcterms:modified>
</cp:coreProperties>
</file>