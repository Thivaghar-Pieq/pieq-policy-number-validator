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9-30-25\"/>
    </mc:Choice>
  </mc:AlternateContent>
  <xr:revisionPtr revIDLastSave="0" documentId="13_ncr:9_{C665EA24-387D-4EEB-B2E9-664C70DAAB88}" xr6:coauthVersionLast="47" xr6:coauthVersionMax="47" xr10:uidLastSave="{00000000-0000-0000-0000-000000000000}"/>
  <bookViews>
    <workbookView xWindow="28680" yWindow="-120" windowWidth="29040" windowHeight="16440" activeTab="1" xr2:uid="{17B3AA48-914B-4433-B158-31F1A043C38F}"/>
  </bookViews>
  <sheets>
    <sheet name="Main Line Benefits LLC_med_comm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11" i="2" l="1"/>
  <c r="B12" i="2"/>
  <c r="B13" i="2"/>
  <c r="B14" i="2"/>
  <c r="B15" i="2"/>
  <c r="B16" i="2"/>
  <c r="B17" i="2"/>
  <c r="B18" i="2"/>
  <c r="B10" i="2"/>
  <c r="B3" i="2"/>
  <c r="B4" i="2"/>
  <c r="B5" i="2"/>
  <c r="B6" i="2"/>
  <c r="B7" i="2"/>
  <c r="B8" i="2"/>
  <c r="B9" i="2"/>
  <c r="B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  <c r="P17" i="2"/>
  <c r="P3" i="2"/>
  <c r="P16" i="2"/>
  <c r="P8" i="2"/>
  <c r="P15" i="2"/>
  <c r="P4" i="2"/>
  <c r="P7" i="2"/>
</calcChain>
</file>

<file path=xl/sharedStrings.xml><?xml version="1.0" encoding="utf-8"?>
<sst xmlns="http://schemas.openxmlformats.org/spreadsheetml/2006/main" count="331" uniqueCount="107">
  <si>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</si>
  <si>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</si>
  <si>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</si>
  <si>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</si>
  <si>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</si>
  <si>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</si>
  <si>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</si>
  <si>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</si>
  <si>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</si>
  <si>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</si>
  <si>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</si>
  <si>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</si>
  <si>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</si>
  <si>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</si>
  <si>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</si>
  <si>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</si>
  <si>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</si>
  <si>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</si>
  <si>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</si>
  <si>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</si>
  <si>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</si>
  <si>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</si>
  <si>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</si>
  <si>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</si>
  <si>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8JH7W36RD37</t>
  </si>
  <si>
    <t>NG102195495700</t>
  </si>
  <si>
    <t>DALEY P,KENNETH</t>
  </si>
  <si>
    <t>PA</t>
  </si>
  <si>
    <t>New Business</t>
  </si>
  <si>
    <t>MAPD</t>
  </si>
  <si>
    <t>IMM608</t>
  </si>
  <si>
    <t>H5522-022</t>
  </si>
  <si>
    <t>LOA</t>
  </si>
  <si>
    <t>Stocker, Ryan</t>
  </si>
  <si>
    <t>MMO</t>
  </si>
  <si>
    <t>Main Line Benefits LLC</t>
  </si>
  <si>
    <t xml:space="preserve">N  </t>
  </si>
  <si>
    <t>4KT6K59XP83</t>
  </si>
  <si>
    <t>NG102144960200</t>
  </si>
  <si>
    <t>DOE B,SOLOMON</t>
  </si>
  <si>
    <t>Pro-Rata Payment</t>
  </si>
  <si>
    <t>H3959-052</t>
  </si>
  <si>
    <t>AG4</t>
  </si>
  <si>
    <t>GBASSANA, FREDERICK</t>
  </si>
  <si>
    <t>GMO</t>
  </si>
  <si>
    <t>Pro-Rata Disenroll</t>
  </si>
  <si>
    <t>6H65KU9NX92</t>
  </si>
  <si>
    <t>NG102075322100</t>
  </si>
  <si>
    <t>GARCIA,RAMON</t>
  </si>
  <si>
    <t>IL</t>
  </si>
  <si>
    <t>IMM606</t>
  </si>
  <si>
    <t>H7301-013</t>
  </si>
  <si>
    <t>Portugal, Gary</t>
  </si>
  <si>
    <t>3WY6DA4KY76</t>
  </si>
  <si>
    <t>NG102195185500</t>
  </si>
  <si>
    <t>GRAHL M,DIANE</t>
  </si>
  <si>
    <t>FL</t>
  </si>
  <si>
    <t>IMM604</t>
  </si>
  <si>
    <t>H5521-438</t>
  </si>
  <si>
    <t>Yale, Richard</t>
  </si>
  <si>
    <t>1NH2XX0EW01</t>
  </si>
  <si>
    <t>NG102195172200</t>
  </si>
  <si>
    <t>JOHNSON S,JANIE</t>
  </si>
  <si>
    <t>NJ</t>
  </si>
  <si>
    <t>IMM614</t>
  </si>
  <si>
    <t>H3152-082</t>
  </si>
  <si>
    <t>Roccia, Mark</t>
  </si>
  <si>
    <t>6VG1UA9GU20</t>
  </si>
  <si>
    <t>NG102195182600</t>
  </si>
  <si>
    <t>MULDOWNEY F,MICHAEL</t>
  </si>
  <si>
    <t>MA</t>
  </si>
  <si>
    <t>H3959-041</t>
  </si>
  <si>
    <t>KOZACHECK, ANNE MARIE</t>
  </si>
  <si>
    <t>1HH6U70AK43</t>
  </si>
  <si>
    <t>NG102194922600</t>
  </si>
  <si>
    <t>POLETYNSKI M,ROBERT</t>
  </si>
  <si>
    <t>SC</t>
  </si>
  <si>
    <t>IMM609</t>
  </si>
  <si>
    <t>H5521-251</t>
  </si>
  <si>
    <t>Max, Ronald</t>
  </si>
  <si>
    <t>Aetna MAPD OVR 2025</t>
  </si>
  <si>
    <t>Aetna 2025 CA, NJ*</t>
  </si>
  <si>
    <t>Aetna MAPD 2025*</t>
  </si>
  <si>
    <t>Aetna MAPD 2025 FL*</t>
  </si>
  <si>
    <t>Aetna 2025 CT, PA, DC*</t>
  </si>
  <si>
    <t>[%/$=313][prorate=3/12]</t>
  </si>
  <si>
    <t>[%/$=313][prorate=12/12]</t>
  </si>
  <si>
    <t>[%/$=390][prorate=1/12]</t>
  </si>
  <si>
    <t>[%/$=358][prorate=2/12]</t>
  </si>
  <si>
    <t>[%/$=353][prorate=2/12]</t>
  </si>
  <si>
    <t>[%/$=353][prorate=3/12]</t>
  </si>
  <si>
    <t>[%/$=313][prorate=3912]</t>
  </si>
  <si>
    <t>Main Line Benefits</t>
  </si>
  <si>
    <t>DOE</t>
  </si>
  <si>
    <t>SOLOMON</t>
  </si>
  <si>
    <t>MULDOWNEY</t>
  </si>
  <si>
    <t>MICHAEL</t>
  </si>
  <si>
    <t>POLETYNSKI</t>
  </si>
  <si>
    <t>ROBERT</t>
  </si>
  <si>
    <t>GARCIA</t>
  </si>
  <si>
    <t>RAMON</t>
  </si>
  <si>
    <t>JOHNSON</t>
  </si>
  <si>
    <t>JANIE</t>
  </si>
  <si>
    <t>DALEY</t>
  </si>
  <si>
    <t>KENNETH</t>
  </si>
  <si>
    <t>GRAHL</t>
  </si>
  <si>
    <t>DIANE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</si>
</sst>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4" fillId="33" borderId="0" xfId="0" applyFont="1" applyFill="1"/>
    <xf numFmtId="14" fontId="14" fillId="33" borderId="0" xfId="0" applyNumberFormat="1" applyFont="1" applyFill="1"/>
    <xf numFmtId="0" fontId="0" fillId="0" borderId="0" xfId="0" applyFill="1"/>
    <xf numFmtId="14" fontId="0" fillId="0" borderId="0" xfId="0" applyNumberFormat="1" applyFill="1"/>
    <xf numFmtId="0" fontId="14" fillId="0" borderId="0" xfId="0" applyFont="1" applyFill="1"/>
    <xf numFmtId="0" fontId="18" fillId="0" borderId="0" xfId="0" applyFont="1" applyFill="1"/>
    <xf numFmtId="1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86FE-EAA1-4E93-9D39-4ABC83992058}">
  <dimension ref="A1:X10"/>
  <sheetViews>
    <sheetView workbookViewId="0">
      <selection sqref="A1:XFD1048576"/>
    </sheetView>
  </sheetViews>
  <sheetFormatPr defaultRowHeight="15" x14ac:dyDescent="0.25"/>
  <cols>
    <col min="1" max="1" width="2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45930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45931</v>
      </c>
      <c r="M2" s="1">
        <v>45931</v>
      </c>
      <c r="O2">
        <v>15950276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125.75</v>
      </c>
      <c r="V2" t="s">
        <v>36</v>
      </c>
      <c r="W2" s="1">
        <v>45913</v>
      </c>
      <c r="X2">
        <v>2025</v>
      </c>
    </row>
    <row r="3" spans="1:24" x14ac:dyDescent="0.25">
      <c r="A3" s="1">
        <v>45930</v>
      </c>
      <c r="B3" t="s">
        <v>37</v>
      </c>
      <c r="C3" t="s">
        <v>38</v>
      </c>
      <c r="E3" t="s">
        <v>39</v>
      </c>
      <c r="F3" t="s">
        <v>27</v>
      </c>
      <c r="G3" t="s">
        <v>40</v>
      </c>
      <c r="H3" t="s">
        <v>29</v>
      </c>
      <c r="I3" t="s">
        <v>30</v>
      </c>
      <c r="J3" t="s">
        <v>41</v>
      </c>
      <c r="L3" s="1">
        <v>45689</v>
      </c>
      <c r="M3" s="1">
        <v>45689</v>
      </c>
      <c r="N3" s="1">
        <v>45930</v>
      </c>
      <c r="O3">
        <v>18657307</v>
      </c>
      <c r="P3" t="s">
        <v>42</v>
      </c>
      <c r="Q3" t="s">
        <v>43</v>
      </c>
      <c r="R3">
        <v>8192</v>
      </c>
      <c r="S3" t="s">
        <v>44</v>
      </c>
      <c r="T3" t="s">
        <v>35</v>
      </c>
      <c r="U3">
        <v>83.34</v>
      </c>
      <c r="V3" t="s">
        <v>36</v>
      </c>
      <c r="W3" s="1">
        <v>45685</v>
      </c>
      <c r="X3">
        <v>2025</v>
      </c>
    </row>
    <row r="4" spans="1:24" x14ac:dyDescent="0.25">
      <c r="A4" s="1">
        <v>45930</v>
      </c>
      <c r="B4" t="s">
        <v>37</v>
      </c>
      <c r="C4" t="s">
        <v>38</v>
      </c>
      <c r="E4" t="s">
        <v>39</v>
      </c>
      <c r="F4" t="s">
        <v>27</v>
      </c>
      <c r="G4" t="s">
        <v>45</v>
      </c>
      <c r="H4" t="s">
        <v>29</v>
      </c>
      <c r="I4" t="s">
        <v>30</v>
      </c>
      <c r="J4" t="s">
        <v>41</v>
      </c>
      <c r="L4" s="1">
        <v>45689</v>
      </c>
      <c r="M4" s="1">
        <v>45689</v>
      </c>
      <c r="N4" s="1">
        <v>45930</v>
      </c>
      <c r="O4">
        <v>18657307</v>
      </c>
      <c r="P4" t="s">
        <v>42</v>
      </c>
      <c r="Q4" t="s">
        <v>43</v>
      </c>
      <c r="R4">
        <v>8192</v>
      </c>
      <c r="S4" t="s">
        <v>44</v>
      </c>
      <c r="T4" t="s">
        <v>35</v>
      </c>
      <c r="U4">
        <v>-114.59</v>
      </c>
      <c r="V4" t="s">
        <v>36</v>
      </c>
      <c r="W4" s="1">
        <v>45685</v>
      </c>
      <c r="X4">
        <v>2025</v>
      </c>
    </row>
    <row r="5" spans="1:24" x14ac:dyDescent="0.25">
      <c r="A5" s="1">
        <v>45930</v>
      </c>
      <c r="B5" t="s">
        <v>46</v>
      </c>
      <c r="C5" t="s">
        <v>47</v>
      </c>
      <c r="E5" t="s">
        <v>48</v>
      </c>
      <c r="F5" t="s">
        <v>49</v>
      </c>
      <c r="G5" t="s">
        <v>40</v>
      </c>
      <c r="H5" t="s">
        <v>29</v>
      </c>
      <c r="I5" t="s">
        <v>50</v>
      </c>
      <c r="J5" t="s">
        <v>51</v>
      </c>
      <c r="L5" s="1">
        <v>45658</v>
      </c>
      <c r="M5" s="1">
        <v>45658</v>
      </c>
      <c r="N5" s="1">
        <v>45930</v>
      </c>
      <c r="O5">
        <v>9213293</v>
      </c>
      <c r="P5" t="s">
        <v>32</v>
      </c>
      <c r="Q5" t="s">
        <v>52</v>
      </c>
      <c r="R5">
        <v>8192</v>
      </c>
      <c r="S5" t="s">
        <v>44</v>
      </c>
      <c r="T5" t="s">
        <v>35</v>
      </c>
      <c r="U5">
        <v>328.5</v>
      </c>
      <c r="V5" t="s">
        <v>36</v>
      </c>
      <c r="W5" s="1">
        <v>45588</v>
      </c>
      <c r="X5">
        <v>2025</v>
      </c>
    </row>
    <row r="6" spans="1:24" x14ac:dyDescent="0.25">
      <c r="A6" s="1">
        <v>45930</v>
      </c>
      <c r="B6" t="s">
        <v>46</v>
      </c>
      <c r="C6" t="s">
        <v>47</v>
      </c>
      <c r="E6" t="s">
        <v>48</v>
      </c>
      <c r="F6" t="s">
        <v>49</v>
      </c>
      <c r="G6" t="s">
        <v>45</v>
      </c>
      <c r="H6" t="s">
        <v>29</v>
      </c>
      <c r="I6" t="s">
        <v>50</v>
      </c>
      <c r="J6" t="s">
        <v>51</v>
      </c>
      <c r="L6" s="1">
        <v>45658</v>
      </c>
      <c r="M6" s="1">
        <v>45658</v>
      </c>
      <c r="N6" s="1">
        <v>45930</v>
      </c>
      <c r="O6">
        <v>9213293</v>
      </c>
      <c r="P6" t="s">
        <v>32</v>
      </c>
      <c r="Q6" t="s">
        <v>52</v>
      </c>
      <c r="R6">
        <v>8192</v>
      </c>
      <c r="S6" t="s">
        <v>44</v>
      </c>
      <c r="T6" t="s">
        <v>35</v>
      </c>
      <c r="U6">
        <v>-438</v>
      </c>
      <c r="V6" t="s">
        <v>36</v>
      </c>
      <c r="W6" s="1">
        <v>45588</v>
      </c>
      <c r="X6">
        <v>2025</v>
      </c>
    </row>
    <row r="7" spans="1:24" x14ac:dyDescent="0.25">
      <c r="A7" s="1">
        <v>45930</v>
      </c>
      <c r="B7" t="s">
        <v>53</v>
      </c>
      <c r="C7" t="s">
        <v>54</v>
      </c>
      <c r="E7" t="s">
        <v>55</v>
      </c>
      <c r="F7" t="s">
        <v>56</v>
      </c>
      <c r="G7" t="s">
        <v>28</v>
      </c>
      <c r="H7" t="s">
        <v>29</v>
      </c>
      <c r="I7" t="s">
        <v>57</v>
      </c>
      <c r="J7" t="s">
        <v>58</v>
      </c>
      <c r="L7" s="1">
        <v>45962</v>
      </c>
      <c r="M7" s="1">
        <v>45962</v>
      </c>
      <c r="O7">
        <v>16633294</v>
      </c>
      <c r="P7" t="s">
        <v>32</v>
      </c>
      <c r="Q7" t="s">
        <v>59</v>
      </c>
      <c r="R7">
        <v>8192</v>
      </c>
      <c r="S7" t="s">
        <v>34</v>
      </c>
      <c r="T7" t="s">
        <v>35</v>
      </c>
      <c r="U7">
        <v>74.67</v>
      </c>
      <c r="V7" t="s">
        <v>36</v>
      </c>
      <c r="W7" s="1">
        <v>45911</v>
      </c>
      <c r="X7">
        <v>2025</v>
      </c>
    </row>
    <row r="8" spans="1:24" x14ac:dyDescent="0.25">
      <c r="A8" s="1">
        <v>45930</v>
      </c>
      <c r="B8" t="s">
        <v>60</v>
      </c>
      <c r="C8" t="s">
        <v>61</v>
      </c>
      <c r="E8" t="s">
        <v>62</v>
      </c>
      <c r="F8" t="s">
        <v>63</v>
      </c>
      <c r="G8" t="s">
        <v>28</v>
      </c>
      <c r="H8" t="s">
        <v>29</v>
      </c>
      <c r="I8" t="s">
        <v>64</v>
      </c>
      <c r="J8" t="s">
        <v>65</v>
      </c>
      <c r="L8" s="1">
        <v>45992</v>
      </c>
      <c r="M8" s="1">
        <v>45992</v>
      </c>
      <c r="O8">
        <v>21618313</v>
      </c>
      <c r="P8" t="s">
        <v>32</v>
      </c>
      <c r="Q8" t="s">
        <v>66</v>
      </c>
      <c r="R8">
        <v>8192</v>
      </c>
      <c r="S8" t="s">
        <v>34</v>
      </c>
      <c r="T8" t="s">
        <v>35</v>
      </c>
      <c r="U8">
        <v>47.08</v>
      </c>
      <c r="V8" t="s">
        <v>36</v>
      </c>
      <c r="W8" s="1">
        <v>45911</v>
      </c>
      <c r="X8">
        <v>2025</v>
      </c>
    </row>
    <row r="9" spans="1:24" x14ac:dyDescent="0.25">
      <c r="A9" s="1">
        <v>45930</v>
      </c>
      <c r="B9" t="s">
        <v>67</v>
      </c>
      <c r="C9" t="s">
        <v>68</v>
      </c>
      <c r="E9" t="s">
        <v>69</v>
      </c>
      <c r="F9" t="s">
        <v>27</v>
      </c>
      <c r="G9" t="s">
        <v>28</v>
      </c>
      <c r="H9" t="s">
        <v>70</v>
      </c>
      <c r="I9" t="s">
        <v>30</v>
      </c>
      <c r="J9" t="s">
        <v>71</v>
      </c>
      <c r="L9" s="1">
        <v>45931</v>
      </c>
      <c r="M9" s="1">
        <v>45931</v>
      </c>
      <c r="O9">
        <v>19278370</v>
      </c>
      <c r="P9" t="s">
        <v>32</v>
      </c>
      <c r="Q9" t="s">
        <v>72</v>
      </c>
      <c r="R9">
        <v>8192</v>
      </c>
      <c r="S9" t="s">
        <v>34</v>
      </c>
      <c r="T9" t="s">
        <v>35</v>
      </c>
      <c r="U9">
        <v>125.75</v>
      </c>
      <c r="V9" t="s">
        <v>36</v>
      </c>
      <c r="W9" s="1">
        <v>45911</v>
      </c>
      <c r="X9">
        <v>2025</v>
      </c>
    </row>
    <row r="10" spans="1:24" x14ac:dyDescent="0.25">
      <c r="A10" s="1">
        <v>45930</v>
      </c>
      <c r="B10" t="s">
        <v>73</v>
      </c>
      <c r="C10" t="s">
        <v>74</v>
      </c>
      <c r="E10" t="s">
        <v>75</v>
      </c>
      <c r="F10" t="s">
        <v>76</v>
      </c>
      <c r="G10" t="s">
        <v>28</v>
      </c>
      <c r="H10" t="s">
        <v>29</v>
      </c>
      <c r="I10" t="s">
        <v>77</v>
      </c>
      <c r="J10" t="s">
        <v>78</v>
      </c>
      <c r="L10" s="1">
        <v>45931</v>
      </c>
      <c r="M10" s="1">
        <v>45931</v>
      </c>
      <c r="O10">
        <v>5442438</v>
      </c>
      <c r="P10" t="s">
        <v>32</v>
      </c>
      <c r="Q10" t="s">
        <v>79</v>
      </c>
      <c r="R10">
        <v>8192</v>
      </c>
      <c r="S10" t="s">
        <v>44</v>
      </c>
      <c r="T10" t="s">
        <v>35</v>
      </c>
      <c r="U10">
        <v>108.25</v>
      </c>
      <c r="V10" t="s">
        <v>36</v>
      </c>
      <c r="W10" s="1">
        <v>45910</v>
      </c>
      <c r="X10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245F-159F-4623-9642-711BF9884AA5}">
  <dimension ref="A1:AA18"/>
  <sheetViews>
    <sheetView tabSelected="1" topLeftCell="B1" workbookViewId="0">
      <selection activeCell="Q9" sqref="Q9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3.140625" bestFit="1" customWidth="1"/>
    <col min="4" max="5" width="23.140625" customWidth="1"/>
    <col min="7" max="7" width="17.28515625" bestFit="1" customWidth="1"/>
    <col min="8" max="8" width="13.5703125" bestFit="1" customWidth="1"/>
    <col min="9" max="9" width="18" bestFit="1" customWidth="1"/>
    <col min="11" max="11" width="24.28515625" bestFit="1" customWidth="1"/>
    <col min="17" max="17" width="21.5703125" bestFit="1" customWidth="1"/>
    <col min="18" max="18" width="24.140625" bestFit="1" customWidth="1"/>
  </cols>
  <sheetData>
    <row r="1" spans="1:27" x14ac:dyDescent="0.25">
      <c r="A1" t="s">
        <v>1</v>
      </c>
      <c r="C1" t="s">
        <v>4</v>
      </c>
      <c r="F1" t="s">
        <v>5</v>
      </c>
      <c r="G1" t="s">
        <v>6</v>
      </c>
      <c r="H1" t="s">
        <v>12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</row>
    <row r="2" spans="1:27" s="4" customFormat="1" x14ac:dyDescent="0.25">
      <c r="A2" s="4" t="s">
        <v>37</v>
      </c>
      <c r="B2" s="4" t="str">
        <f>CONCATENATE(A2,8)</f>
        <v>4KT6K59XP838</v>
      </c>
      <c r="C2" s="4" t="s">
        <v>93</v>
      </c>
      <c r="D2" s="4" t="s">
        <v>94</v>
      </c>
      <c r="E2" s="4" t="str">
        <f>CONCATENATE(D2, " ",C2)</f>
        <v>SOLOMON DOE</v>
      </c>
      <c r="F2" s="4" t="s">
        <v>27</v>
      </c>
      <c r="G2" s="4" t="s">
        <v>40</v>
      </c>
      <c r="H2" s="5">
        <v>45689</v>
      </c>
      <c r="I2" s="4">
        <v>18657307</v>
      </c>
      <c r="J2" s="4" t="s">
        <v>42</v>
      </c>
      <c r="K2" s="4" t="s">
        <v>43</v>
      </c>
      <c r="L2" s="4">
        <v>8192</v>
      </c>
      <c r="M2" s="4" t="s">
        <v>44</v>
      </c>
      <c r="N2" s="4" t="s">
        <v>35</v>
      </c>
      <c r="O2" s="4">
        <v>83.34</v>
      </c>
      <c r="P2" s="4">
        <v>58.83</v>
      </c>
      <c r="Q2" s="4" t="s">
        <v>84</v>
      </c>
      <c r="R2" s="4" t="s">
        <v>89</v>
      </c>
    </row>
    <row r="3" spans="1:27" s="6" customFormat="1" x14ac:dyDescent="0.25">
      <c r="A3" s="7" t="s">
        <v>67</v>
      </c>
      <c r="B3" s="4" t="str">
        <f t="shared" ref="B3:B9" si="0">CONCATENATE(A3,8)</f>
        <v>6VG1UA9GU208</v>
      </c>
      <c r="C3" s="7" t="s">
        <v>95</v>
      </c>
      <c r="D3" s="7" t="s">
        <v>96</v>
      </c>
      <c r="E3" s="4" t="str">
        <f t="shared" ref="E3:E18" si="1">CONCATENATE(D3, " ",C3)</f>
        <v>MICHAEL MULDOWNEY</v>
      </c>
      <c r="F3" s="7" t="s">
        <v>27</v>
      </c>
      <c r="G3" s="7" t="s">
        <v>28</v>
      </c>
      <c r="H3" s="8">
        <v>45931</v>
      </c>
      <c r="I3" s="7">
        <v>19278370</v>
      </c>
      <c r="J3" s="7" t="s">
        <v>32</v>
      </c>
      <c r="K3" s="7" t="s">
        <v>72</v>
      </c>
      <c r="L3" s="7">
        <v>8192</v>
      </c>
      <c r="M3" s="7" t="s">
        <v>34</v>
      </c>
      <c r="N3" s="7" t="s">
        <v>35</v>
      </c>
      <c r="O3" s="7">
        <v>125.75</v>
      </c>
      <c r="P3" s="7">
        <f>353/12*3</f>
        <v>88.25</v>
      </c>
      <c r="Q3" s="4" t="s">
        <v>84</v>
      </c>
      <c r="R3" s="4" t="s">
        <v>90</v>
      </c>
      <c r="S3" s="7"/>
      <c r="T3" s="7"/>
      <c r="U3" s="7"/>
      <c r="V3" s="7"/>
      <c r="W3" s="7"/>
      <c r="X3" s="7"/>
      <c r="Y3" s="7"/>
      <c r="Z3" s="7"/>
      <c r="AA3" s="7"/>
    </row>
    <row r="4" spans="1:27" s="6" customFormat="1" x14ac:dyDescent="0.25">
      <c r="A4" s="4" t="s">
        <v>73</v>
      </c>
      <c r="B4" s="4" t="str">
        <f t="shared" si="0"/>
        <v>1HH6U70AK438</v>
      </c>
      <c r="C4" s="4" t="s">
        <v>97</v>
      </c>
      <c r="D4" s="4" t="s">
        <v>98</v>
      </c>
      <c r="E4" s="4" t="str">
        <f t="shared" si="1"/>
        <v>ROBERT POLETYNSKI</v>
      </c>
      <c r="F4" s="4" t="s">
        <v>76</v>
      </c>
      <c r="G4" s="4" t="s">
        <v>28</v>
      </c>
      <c r="H4" s="5">
        <v>45931</v>
      </c>
      <c r="I4" s="4">
        <v>5442438</v>
      </c>
      <c r="J4" s="4" t="s">
        <v>32</v>
      </c>
      <c r="K4" s="4" t="s">
        <v>79</v>
      </c>
      <c r="L4" s="4">
        <v>8192</v>
      </c>
      <c r="M4" s="4" t="s">
        <v>44</v>
      </c>
      <c r="N4" s="4" t="s">
        <v>35</v>
      </c>
      <c r="O4" s="4">
        <v>108.25</v>
      </c>
      <c r="P4" s="4">
        <f>313/12*3</f>
        <v>78.25</v>
      </c>
      <c r="Q4" s="4" t="s">
        <v>82</v>
      </c>
      <c r="R4" s="4" t="s">
        <v>85</v>
      </c>
      <c r="S4" s="4"/>
      <c r="T4" s="4"/>
      <c r="U4" s="4"/>
      <c r="V4" s="4"/>
      <c r="W4" s="4"/>
      <c r="X4" s="4"/>
      <c r="Y4" s="4"/>
      <c r="Z4" s="4"/>
      <c r="AA4" s="4"/>
    </row>
    <row r="5" spans="1:27" s="4" customFormat="1" x14ac:dyDescent="0.25">
      <c r="A5" s="4" t="s">
        <v>46</v>
      </c>
      <c r="B5" s="4" t="str">
        <f t="shared" si="0"/>
        <v>6H65KU9NX928</v>
      </c>
      <c r="C5" s="4" t="s">
        <v>99</v>
      </c>
      <c r="D5" s="4" t="s">
        <v>100</v>
      </c>
      <c r="E5" s="4" t="str">
        <f t="shared" si="1"/>
        <v>RAMON GARCIA</v>
      </c>
      <c r="F5" s="4" t="s">
        <v>49</v>
      </c>
      <c r="G5" s="4" t="s">
        <v>45</v>
      </c>
      <c r="H5" s="5">
        <v>45658</v>
      </c>
      <c r="I5" s="4">
        <v>9213293</v>
      </c>
      <c r="J5" s="4" t="s">
        <v>32</v>
      </c>
      <c r="K5" s="4" t="s">
        <v>52</v>
      </c>
      <c r="L5" s="4">
        <v>8192</v>
      </c>
      <c r="M5" s="4" t="s">
        <v>44</v>
      </c>
      <c r="N5" s="4" t="s">
        <v>35</v>
      </c>
      <c r="O5" s="4">
        <v>-438</v>
      </c>
      <c r="P5" s="4">
        <v>-313</v>
      </c>
      <c r="Q5" s="4" t="s">
        <v>82</v>
      </c>
      <c r="R5" s="4" t="s">
        <v>86</v>
      </c>
    </row>
    <row r="6" spans="1:27" s="6" customFormat="1" x14ac:dyDescent="0.25">
      <c r="A6" s="4" t="s">
        <v>46</v>
      </c>
      <c r="B6" s="4" t="str">
        <f t="shared" si="0"/>
        <v>6H65KU9NX928</v>
      </c>
      <c r="C6" s="4" t="s">
        <v>99</v>
      </c>
      <c r="D6" s="4" t="s">
        <v>100</v>
      </c>
      <c r="E6" s="4" t="str">
        <f t="shared" si="1"/>
        <v>RAMON GARCIA</v>
      </c>
      <c r="F6" s="4" t="s">
        <v>49</v>
      </c>
      <c r="G6" s="4" t="s">
        <v>40</v>
      </c>
      <c r="H6" s="5">
        <v>45658</v>
      </c>
      <c r="I6" s="4">
        <v>9213293</v>
      </c>
      <c r="J6" s="4" t="s">
        <v>32</v>
      </c>
      <c r="K6" s="4" t="s">
        <v>52</v>
      </c>
      <c r="L6" s="4">
        <v>8192</v>
      </c>
      <c r="M6" s="4" t="s">
        <v>44</v>
      </c>
      <c r="N6" s="4" t="s">
        <v>35</v>
      </c>
      <c r="O6" s="4">
        <v>328.5</v>
      </c>
      <c r="P6" s="4">
        <v>234.75</v>
      </c>
      <c r="Q6" s="4" t="s">
        <v>82</v>
      </c>
      <c r="R6" s="4" t="s">
        <v>91</v>
      </c>
      <c r="S6" s="4"/>
      <c r="T6" s="4"/>
      <c r="U6" s="4"/>
      <c r="V6" s="4"/>
      <c r="W6" s="4"/>
      <c r="X6" s="4"/>
      <c r="Y6" s="4"/>
      <c r="Z6" s="4"/>
      <c r="AA6" s="4"/>
    </row>
    <row r="7" spans="1:27" s="4" customFormat="1" x14ac:dyDescent="0.25">
      <c r="A7" s="4" t="s">
        <v>60</v>
      </c>
      <c r="B7" s="4" t="str">
        <f t="shared" si="0"/>
        <v>1NH2XX0EW018</v>
      </c>
      <c r="C7" s="4" t="s">
        <v>101</v>
      </c>
      <c r="D7" s="4" t="s">
        <v>102</v>
      </c>
      <c r="E7" s="4" t="str">
        <f t="shared" si="1"/>
        <v>JANIE JOHNSON</v>
      </c>
      <c r="F7" s="4" t="s">
        <v>63</v>
      </c>
      <c r="G7" s="4" t="s">
        <v>28</v>
      </c>
      <c r="H7" s="5">
        <v>45992</v>
      </c>
      <c r="I7" s="4">
        <v>21618313</v>
      </c>
      <c r="J7" s="4" t="s">
        <v>32</v>
      </c>
      <c r="K7" s="4" t="s">
        <v>66</v>
      </c>
      <c r="L7" s="4">
        <v>8192</v>
      </c>
      <c r="M7" s="4" t="s">
        <v>34</v>
      </c>
      <c r="N7" s="4" t="s">
        <v>35</v>
      </c>
      <c r="O7" s="4">
        <v>47.08</v>
      </c>
      <c r="P7" s="4">
        <f>390/12</f>
        <v>32.5</v>
      </c>
      <c r="Q7" s="4" t="s">
        <v>81</v>
      </c>
      <c r="R7" s="4" t="s">
        <v>87</v>
      </c>
    </row>
    <row r="8" spans="1:27" s="6" customFormat="1" x14ac:dyDescent="0.25">
      <c r="A8" s="4" t="s">
        <v>24</v>
      </c>
      <c r="B8" s="4" t="str">
        <f t="shared" si="0"/>
        <v>8JH7W36RD378</v>
      </c>
      <c r="C8" s="4" t="s">
        <v>103</v>
      </c>
      <c r="D8" s="4" t="s">
        <v>104</v>
      </c>
      <c r="E8" s="4" t="str">
        <f t="shared" si="1"/>
        <v>KENNETH DALEY</v>
      </c>
      <c r="F8" s="4" t="s">
        <v>27</v>
      </c>
      <c r="G8" s="4" t="s">
        <v>28</v>
      </c>
      <c r="H8" s="5">
        <v>45931</v>
      </c>
      <c r="I8" s="4">
        <v>15950276</v>
      </c>
      <c r="J8" s="4" t="s">
        <v>32</v>
      </c>
      <c r="K8" s="4" t="s">
        <v>33</v>
      </c>
      <c r="L8" s="4">
        <v>8192</v>
      </c>
      <c r="M8" s="4" t="s">
        <v>34</v>
      </c>
      <c r="N8" s="4" t="s">
        <v>35</v>
      </c>
      <c r="O8" s="4">
        <v>125.75</v>
      </c>
      <c r="P8" s="4">
        <f>353/12*3</f>
        <v>88.25</v>
      </c>
      <c r="Q8" s="4" t="s">
        <v>84</v>
      </c>
      <c r="R8" s="4" t="s">
        <v>90</v>
      </c>
      <c r="S8" s="4"/>
      <c r="T8" s="4"/>
      <c r="U8" s="4"/>
      <c r="V8" s="4"/>
      <c r="W8" s="4"/>
      <c r="X8" s="4"/>
      <c r="Y8" s="4"/>
      <c r="Z8" s="4"/>
      <c r="AA8" s="4"/>
    </row>
    <row r="9" spans="1:27" s="4" customFormat="1" x14ac:dyDescent="0.25">
      <c r="A9" s="4" t="s">
        <v>53</v>
      </c>
      <c r="B9" s="4" t="str">
        <f t="shared" si="0"/>
        <v>3WY6DA4KY768</v>
      </c>
      <c r="C9" s="4" t="s">
        <v>105</v>
      </c>
      <c r="D9" s="4" t="s">
        <v>106</v>
      </c>
      <c r="E9" s="4" t="str">
        <f t="shared" si="1"/>
        <v>DIANE GRAHL</v>
      </c>
      <c r="F9" s="4" t="s">
        <v>56</v>
      </c>
      <c r="G9" s="4" t="s">
        <v>28</v>
      </c>
      <c r="H9" s="5">
        <v>45962</v>
      </c>
      <c r="I9" s="4">
        <v>16633294</v>
      </c>
      <c r="J9" s="4" t="s">
        <v>32</v>
      </c>
      <c r="K9" s="4" t="s">
        <v>59</v>
      </c>
      <c r="L9" s="4">
        <v>8192</v>
      </c>
      <c r="M9" s="4" t="s">
        <v>34</v>
      </c>
      <c r="N9" s="4" t="s">
        <v>35</v>
      </c>
      <c r="O9" s="4">
        <v>74.67</v>
      </c>
      <c r="P9" s="4">
        <v>59.67</v>
      </c>
      <c r="Q9" s="4" t="s">
        <v>83</v>
      </c>
      <c r="R9" s="4" t="s">
        <v>88</v>
      </c>
    </row>
    <row r="10" spans="1:27" s="2" customFormat="1" x14ac:dyDescent="0.25">
      <c r="A10" s="2" t="s">
        <v>46</v>
      </c>
      <c r="B10" s="2" t="str">
        <f>CONCATENATE(A10,"OVR")</f>
        <v>6H65KU9NX92OVR</v>
      </c>
      <c r="C10" s="2" t="s">
        <v>99</v>
      </c>
      <c r="D10" s="2" t="s">
        <v>100</v>
      </c>
      <c r="E10" s="2" t="str">
        <f t="shared" si="1"/>
        <v>RAMON GARCIA</v>
      </c>
      <c r="F10" s="2" t="s">
        <v>49</v>
      </c>
      <c r="G10" s="2" t="s">
        <v>45</v>
      </c>
      <c r="H10" s="3">
        <v>45658</v>
      </c>
      <c r="I10" s="2">
        <v>20411454</v>
      </c>
      <c r="J10" s="2" t="s">
        <v>32</v>
      </c>
      <c r="K10" s="2" t="s">
        <v>92</v>
      </c>
      <c r="L10" s="2">
        <v>8192</v>
      </c>
      <c r="M10" s="2" t="s">
        <v>44</v>
      </c>
      <c r="N10" s="2" t="s">
        <v>35</v>
      </c>
      <c r="O10" s="2">
        <v>-438</v>
      </c>
      <c r="P10" s="2">
        <v>-125</v>
      </c>
      <c r="Q10" s="2" t="s">
        <v>80</v>
      </c>
    </row>
    <row r="11" spans="1:27" s="2" customFormat="1" x14ac:dyDescent="0.25">
      <c r="A11" s="2" t="s">
        <v>37</v>
      </c>
      <c r="B11" s="2" t="str">
        <f t="shared" ref="B11:B18" si="2">CONCATENATE(A11,"OVR")</f>
        <v>4KT6K59XP83OVR</v>
      </c>
      <c r="C11" s="2" t="s">
        <v>93</v>
      </c>
      <c r="D11" s="2" t="s">
        <v>94</v>
      </c>
      <c r="E11" s="2" t="str">
        <f t="shared" si="1"/>
        <v>SOLOMON DOE</v>
      </c>
      <c r="F11" s="2" t="s">
        <v>27</v>
      </c>
      <c r="G11" s="2" t="s">
        <v>45</v>
      </c>
      <c r="H11" s="3">
        <v>45689</v>
      </c>
      <c r="I11" s="2">
        <v>20411454</v>
      </c>
      <c r="J11" s="2" t="s">
        <v>42</v>
      </c>
      <c r="K11" s="2" t="s">
        <v>92</v>
      </c>
      <c r="L11" s="2">
        <v>8192</v>
      </c>
      <c r="M11" s="2" t="s">
        <v>44</v>
      </c>
      <c r="N11" s="2" t="s">
        <v>35</v>
      </c>
      <c r="O11" s="2">
        <v>-114.59</v>
      </c>
      <c r="P11" s="2">
        <v>-114.59</v>
      </c>
      <c r="Q11" s="2" t="s">
        <v>80</v>
      </c>
    </row>
    <row r="12" spans="1:27" s="2" customFormat="1" x14ac:dyDescent="0.25">
      <c r="A12" s="2" t="s">
        <v>60</v>
      </c>
      <c r="B12" s="2" t="str">
        <f t="shared" si="2"/>
        <v>1NH2XX0EW01OVR</v>
      </c>
      <c r="C12" s="2" t="s">
        <v>101</v>
      </c>
      <c r="D12" s="2" t="s">
        <v>102</v>
      </c>
      <c r="E12" s="2" t="str">
        <f t="shared" si="1"/>
        <v>JANIE JOHNSON</v>
      </c>
      <c r="F12" s="2" t="s">
        <v>63</v>
      </c>
      <c r="G12" s="2" t="s">
        <v>28</v>
      </c>
      <c r="H12" s="3">
        <v>45992</v>
      </c>
      <c r="I12" s="2">
        <v>20411454</v>
      </c>
      <c r="J12" s="2" t="s">
        <v>32</v>
      </c>
      <c r="K12" s="2" t="s">
        <v>92</v>
      </c>
      <c r="L12" s="2">
        <v>8192</v>
      </c>
      <c r="M12" s="2" t="s">
        <v>34</v>
      </c>
      <c r="N12" s="2" t="s">
        <v>35</v>
      </c>
      <c r="O12" s="2">
        <v>47.08</v>
      </c>
      <c r="P12" s="2">
        <v>14.58</v>
      </c>
      <c r="Q12" s="2" t="s">
        <v>80</v>
      </c>
    </row>
    <row r="13" spans="1:27" s="2" customFormat="1" x14ac:dyDescent="0.25">
      <c r="A13" s="2" t="s">
        <v>53</v>
      </c>
      <c r="B13" s="2" t="str">
        <f t="shared" si="2"/>
        <v>3WY6DA4KY76OVR</v>
      </c>
      <c r="C13" s="2" t="s">
        <v>105</v>
      </c>
      <c r="D13" s="2" t="s">
        <v>106</v>
      </c>
      <c r="E13" s="2" t="str">
        <f t="shared" si="1"/>
        <v>DIANE GRAHL</v>
      </c>
      <c r="F13" s="2" t="s">
        <v>56</v>
      </c>
      <c r="G13" s="2" t="s">
        <v>28</v>
      </c>
      <c r="H13" s="3">
        <v>45962</v>
      </c>
      <c r="I13" s="2">
        <v>20411454</v>
      </c>
      <c r="J13" s="2" t="s">
        <v>32</v>
      </c>
      <c r="K13" s="2" t="s">
        <v>92</v>
      </c>
      <c r="L13" s="2">
        <v>8192</v>
      </c>
      <c r="M13" s="2" t="s">
        <v>34</v>
      </c>
      <c r="N13" s="2" t="s">
        <v>35</v>
      </c>
      <c r="O13" s="2">
        <v>74.67</v>
      </c>
      <c r="P13" s="2">
        <v>15</v>
      </c>
      <c r="Q13" s="2" t="s">
        <v>80</v>
      </c>
    </row>
    <row r="14" spans="1:27" s="2" customFormat="1" x14ac:dyDescent="0.25">
      <c r="A14" s="2" t="s">
        <v>37</v>
      </c>
      <c r="B14" s="2" t="str">
        <f t="shared" si="2"/>
        <v>4KT6K59XP83OVR</v>
      </c>
      <c r="C14" s="2" t="s">
        <v>93</v>
      </c>
      <c r="D14" s="2" t="s">
        <v>94</v>
      </c>
      <c r="E14" s="2" t="str">
        <f t="shared" si="1"/>
        <v>SOLOMON DOE</v>
      </c>
      <c r="F14" s="2" t="s">
        <v>27</v>
      </c>
      <c r="G14" s="2" t="s">
        <v>40</v>
      </c>
      <c r="H14" s="3">
        <v>45689</v>
      </c>
      <c r="I14" s="2">
        <v>20411454</v>
      </c>
      <c r="J14" s="2" t="s">
        <v>42</v>
      </c>
      <c r="K14" s="2" t="s">
        <v>92</v>
      </c>
      <c r="L14" s="2">
        <v>8192</v>
      </c>
      <c r="M14" s="2" t="s">
        <v>44</v>
      </c>
      <c r="N14" s="2" t="s">
        <v>35</v>
      </c>
      <c r="O14" s="2">
        <v>83.34</v>
      </c>
      <c r="P14" s="2">
        <v>24.51</v>
      </c>
      <c r="Q14" s="2" t="s">
        <v>80</v>
      </c>
    </row>
    <row r="15" spans="1:27" s="2" customFormat="1" x14ac:dyDescent="0.25">
      <c r="A15" s="2" t="s">
        <v>73</v>
      </c>
      <c r="B15" s="2" t="str">
        <f t="shared" si="2"/>
        <v>1HH6U70AK43OVR</v>
      </c>
      <c r="C15" s="2" t="s">
        <v>97</v>
      </c>
      <c r="D15" s="2" t="s">
        <v>98</v>
      </c>
      <c r="E15" s="2" t="str">
        <f t="shared" si="1"/>
        <v>ROBERT POLETYNSKI</v>
      </c>
      <c r="F15" s="2" t="s">
        <v>76</v>
      </c>
      <c r="G15" s="2" t="s">
        <v>28</v>
      </c>
      <c r="H15" s="3">
        <v>45931</v>
      </c>
      <c r="I15" s="2">
        <v>20411454</v>
      </c>
      <c r="J15" s="2" t="s">
        <v>32</v>
      </c>
      <c r="K15" s="2" t="s">
        <v>92</v>
      </c>
      <c r="L15" s="2">
        <v>8192</v>
      </c>
      <c r="M15" s="2" t="s">
        <v>44</v>
      </c>
      <c r="N15" s="2" t="s">
        <v>35</v>
      </c>
      <c r="O15" s="2">
        <v>108.25</v>
      </c>
      <c r="P15" s="2">
        <f>120/12*3</f>
        <v>30</v>
      </c>
      <c r="Q15" s="2" t="s">
        <v>80</v>
      </c>
    </row>
    <row r="16" spans="1:27" s="2" customFormat="1" x14ac:dyDescent="0.25">
      <c r="A16" s="2" t="s">
        <v>24</v>
      </c>
      <c r="B16" s="2" t="str">
        <f t="shared" si="2"/>
        <v>8JH7W36RD37OVR</v>
      </c>
      <c r="C16" s="2" t="s">
        <v>103</v>
      </c>
      <c r="D16" s="2" t="s">
        <v>104</v>
      </c>
      <c r="E16" s="2" t="str">
        <f t="shared" si="1"/>
        <v>KENNETH DALEY</v>
      </c>
      <c r="F16" s="2" t="s">
        <v>27</v>
      </c>
      <c r="G16" s="2" t="s">
        <v>28</v>
      </c>
      <c r="H16" s="3">
        <v>45931</v>
      </c>
      <c r="I16" s="2">
        <v>20411454</v>
      </c>
      <c r="J16" s="2" t="s">
        <v>32</v>
      </c>
      <c r="K16" s="2" t="s">
        <v>92</v>
      </c>
      <c r="L16" s="2">
        <v>8192</v>
      </c>
      <c r="M16" s="2" t="s">
        <v>34</v>
      </c>
      <c r="N16" s="2" t="s">
        <v>35</v>
      </c>
      <c r="O16" s="2">
        <v>125.75</v>
      </c>
      <c r="P16" s="2">
        <f>150/12*3</f>
        <v>37.5</v>
      </c>
      <c r="Q16" s="2" t="s">
        <v>80</v>
      </c>
    </row>
    <row r="17" spans="1:17" s="2" customFormat="1" x14ac:dyDescent="0.25">
      <c r="A17" s="2" t="s">
        <v>67</v>
      </c>
      <c r="B17" s="2" t="str">
        <f t="shared" si="2"/>
        <v>6VG1UA9GU20OVR</v>
      </c>
      <c r="C17" s="2" t="s">
        <v>95</v>
      </c>
      <c r="D17" s="2" t="s">
        <v>96</v>
      </c>
      <c r="E17" s="2" t="str">
        <f t="shared" si="1"/>
        <v>MICHAEL MULDOWNEY</v>
      </c>
      <c r="F17" s="2" t="s">
        <v>27</v>
      </c>
      <c r="G17" s="2" t="s">
        <v>28</v>
      </c>
      <c r="H17" s="3">
        <v>45931</v>
      </c>
      <c r="I17" s="2">
        <v>20411454</v>
      </c>
      <c r="J17" s="2" t="s">
        <v>32</v>
      </c>
      <c r="K17" s="2" t="s">
        <v>92</v>
      </c>
      <c r="L17" s="2">
        <v>8192</v>
      </c>
      <c r="M17" s="2" t="s">
        <v>34</v>
      </c>
      <c r="N17" s="2" t="s">
        <v>35</v>
      </c>
      <c r="O17" s="2">
        <v>125.75</v>
      </c>
      <c r="P17" s="2">
        <f>150/12*3</f>
        <v>37.5</v>
      </c>
      <c r="Q17" s="2" t="s">
        <v>80</v>
      </c>
    </row>
    <row r="18" spans="1:17" s="2" customFormat="1" x14ac:dyDescent="0.25">
      <c r="A18" s="2" t="s">
        <v>46</v>
      </c>
      <c r="B18" s="2" t="str">
        <f t="shared" si="2"/>
        <v>6H65KU9NX92OVR</v>
      </c>
      <c r="C18" s="2" t="s">
        <v>99</v>
      </c>
      <c r="D18" s="2" t="s">
        <v>100</v>
      </c>
      <c r="E18" s="2" t="str">
        <f t="shared" si="1"/>
        <v>RAMON GARCIA</v>
      </c>
      <c r="F18" s="2" t="s">
        <v>49</v>
      </c>
      <c r="G18" s="2" t="s">
        <v>40</v>
      </c>
      <c r="H18" s="3">
        <v>45658</v>
      </c>
      <c r="I18" s="2">
        <v>20411454</v>
      </c>
      <c r="J18" s="2" t="s">
        <v>32</v>
      </c>
      <c r="K18" s="2" t="s">
        <v>92</v>
      </c>
      <c r="L18" s="2">
        <v>8192</v>
      </c>
      <c r="M18" s="2" t="s">
        <v>44</v>
      </c>
      <c r="N18" s="2" t="s">
        <v>35</v>
      </c>
      <c r="O18" s="2">
        <v>328.5</v>
      </c>
      <c r="P18" s="2">
        <v>93.75</v>
      </c>
      <c r="Q18" s="2" t="s">
        <v>80</v>
      </c>
    </row>
  </sheetData>
  <sortState xmlns:xlrd2="http://schemas.microsoft.com/office/spreadsheetml/2017/richdata2" ref="A2:AA9">
    <sortCondition ref="K2:K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2025-10-05T12:59:36Z</dcterms:created>
  <dcterms:modified xsi:type="dcterms:W3CDTF">2025-10-05T13:51:43Z</dcterms:modified>
</cp:coreProperties>
</file>