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9-09-25\"/>
    </mc:Choice>
  </mc:AlternateContent>
  <xr:revisionPtr revIDLastSave="0" documentId="13_ncr:9_{31377F64-1100-44F3-BD3B-C6560DB2B166}" xr6:coauthVersionLast="47" xr6:coauthVersionMax="47" xr10:uidLastSave="{00000000-0000-0000-0000-000000000000}"/>
  <bookViews>
    <workbookView xWindow="28680" yWindow="-120" windowWidth="29040" windowHeight="16440" activeTab="1" xr2:uid="{0C13B881-A43D-4FA1-91C3-85BB4A1E1C3F}"/>
  </bookViews>
  <sheets>
    <sheet name="Main Line Benefits LLC_med_comm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" i="2"/>
  <c r="B14" i="2"/>
  <c r="B15" i="2"/>
  <c r="B16" i="2"/>
  <c r="B17" i="2"/>
  <c r="B18" i="2"/>
  <c r="B19" i="2"/>
  <c r="B20" i="2"/>
  <c r="B21" i="2"/>
  <c r="B22" i="2"/>
  <c r="B23" i="2"/>
  <c r="B24" i="2"/>
  <c r="B25" i="2"/>
  <c r="B13" i="2"/>
  <c r="B12" i="2"/>
  <c r="B11" i="2"/>
  <c r="B10" i="2"/>
  <c r="B9" i="2"/>
  <c r="B8" i="2"/>
  <c r="B7" i="2"/>
  <c r="B6" i="2"/>
  <c r="B5" i="2"/>
  <c r="B4" i="2"/>
  <c r="B3" i="2"/>
  <c r="B2" i="2"/>
  <c r="T21" i="2"/>
  <c r="T2" i="2"/>
  <c r="T19" i="2"/>
  <c r="T9" i="2"/>
  <c r="T18" i="2"/>
  <c r="T8" i="2"/>
  <c r="T15" i="2"/>
  <c r="T6" i="2"/>
  <c r="W4" i="2"/>
  <c r="T4" i="2"/>
  <c r="W13" i="2"/>
  <c r="T13" i="2"/>
</calcChain>
</file>

<file path=xl/sharedStrings.xml><?xml version="1.0" encoding="utf-8"?>
<sst xmlns="http://schemas.openxmlformats.org/spreadsheetml/2006/main" count="431" uniqueCount="126">
  <si>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</si>
  <si>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</si>
  <si>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</si>
  <si>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</si>
  <si>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</si>
  <si>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</si>
  <si>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</si>
  <si>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</si>
  <si>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</si>
  <si>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</si>
  <si>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</si>
  <si>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</si>
  <si>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</si>
  <si>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</si>
  <si>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</si>
  <si>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</si>
  <si>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</si>
  <si>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</si>
  <si>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</si>
  <si>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</si>
  <si>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</si>
  <si>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</si>
  <si>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</si>
  <si>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</si>
  <si>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6T32GW1KC02</t>
  </si>
  <si>
    <t>NG102058608300</t>
  </si>
  <si>
    <t>CHRISTIAN M,DEONTAE</t>
  </si>
  <si>
    <t>MD</t>
  </si>
  <si>
    <t>Pro-Rata Payment</t>
  </si>
  <si>
    <t>MAPD</t>
  </si>
  <si>
    <t>IMM603</t>
  </si>
  <si>
    <t>H5521-482</t>
  </si>
  <si>
    <t>LOA</t>
  </si>
  <si>
    <t>Kucan, Thomas</t>
  </si>
  <si>
    <t>GMO</t>
  </si>
  <si>
    <t>Main Line Benefits LLC</t>
  </si>
  <si>
    <t xml:space="preserve">N  </t>
  </si>
  <si>
    <t>Pro-Rata Disenroll</t>
  </si>
  <si>
    <t>7HK9PU5JR39</t>
  </si>
  <si>
    <t>NG101149746900</t>
  </si>
  <si>
    <t>COMUNALE C,JOHN</t>
  </si>
  <si>
    <t>OH</t>
  </si>
  <si>
    <t>New Business</t>
  </si>
  <si>
    <t>IMM617</t>
  </si>
  <si>
    <t>H0628-013</t>
  </si>
  <si>
    <t>Shepard, Jill</t>
  </si>
  <si>
    <t>6KX3N54JC80</t>
  </si>
  <si>
    <t>NG102191790000</t>
  </si>
  <si>
    <t>GAHAGAN RUGH C,TERESA</t>
  </si>
  <si>
    <t>PA</t>
  </si>
  <si>
    <t>IMM608</t>
  </si>
  <si>
    <t>H3959-036</t>
  </si>
  <si>
    <t>Powers, Timothy</t>
  </si>
  <si>
    <t>1JN8R36NU54</t>
  </si>
  <si>
    <t>NG101825784200</t>
  </si>
  <si>
    <t>HUFF A,JULIE</t>
  </si>
  <si>
    <t>IL</t>
  </si>
  <si>
    <t>H5521-087</t>
  </si>
  <si>
    <t>SCHUMANN, BARRY</t>
  </si>
  <si>
    <t>IMM606</t>
  </si>
  <si>
    <t>H5521-086</t>
  </si>
  <si>
    <t>8PY3U04GV04</t>
  </si>
  <si>
    <t>NG102191654400</t>
  </si>
  <si>
    <t>JEPPERSON R,SCOTT</t>
  </si>
  <si>
    <t>IA</t>
  </si>
  <si>
    <t>IMM610</t>
  </si>
  <si>
    <t>H1608-001</t>
  </si>
  <si>
    <t>Teipel, Gregory</t>
  </si>
  <si>
    <t>2G93HJ2DH93</t>
  </si>
  <si>
    <t>NG102096467800</t>
  </si>
  <si>
    <t>KJELLESVIK T,ALBERT</t>
  </si>
  <si>
    <t>H7301-006</t>
  </si>
  <si>
    <t>Hunsberger, Anthony</t>
  </si>
  <si>
    <t xml:space="preserve">Y  </t>
  </si>
  <si>
    <t>8JQ8VN7MC22</t>
  </si>
  <si>
    <t>NG102192129000</t>
  </si>
  <si>
    <t>MINTO C,STEVEN</t>
  </si>
  <si>
    <t>H3959-002</t>
  </si>
  <si>
    <t>9GR5WG9VU77</t>
  </si>
  <si>
    <t>NG101377388700</t>
  </si>
  <si>
    <t>SLEZAK E,TRICIA</t>
  </si>
  <si>
    <t>TX</t>
  </si>
  <si>
    <t>IMM618</t>
  </si>
  <si>
    <t>H3288-016</t>
  </si>
  <si>
    <t>Drapac, Stephanie</t>
  </si>
  <si>
    <t>8CP0NT0JC21</t>
  </si>
  <si>
    <t>NG102191441500</t>
  </si>
  <si>
    <t>SMITH R,STEPHEN</t>
  </si>
  <si>
    <t>H7301-013</t>
  </si>
  <si>
    <t>Liskovec, Frank</t>
  </si>
  <si>
    <t>Aetna MAPD 2025</t>
  </si>
  <si>
    <t>Aetna MAPD 2025*</t>
  </si>
  <si>
    <t>Aetna MAPD OVR 2025</t>
  </si>
  <si>
    <t>[%/$=313][prorate=12/12]</t>
  </si>
  <si>
    <t>[%/$=626][prorate=8/12]</t>
  </si>
  <si>
    <t>[%/$=626]</t>
  </si>
  <si>
    <t>[%/$=313][prorate=8/12]</t>
  </si>
  <si>
    <t>[%/$=313][prorate=4/12]</t>
  </si>
  <si>
    <t>[%/$=313][prorate=9/12]</t>
  </si>
  <si>
    <t>[%/$=313][prorate=3/12]</t>
  </si>
  <si>
    <t>Main Line Benefits</t>
  </si>
  <si>
    <t>KJELLESVIK</t>
  </si>
  <si>
    <t>T</t>
  </si>
  <si>
    <t>ALBERT</t>
  </si>
  <si>
    <t>CHRISTIAN</t>
  </si>
  <si>
    <t>M</t>
  </si>
  <si>
    <t>DEONTAE</t>
  </si>
  <si>
    <t>COMUNALE</t>
  </si>
  <si>
    <t>C</t>
  </si>
  <si>
    <t>JOHN</t>
  </si>
  <si>
    <t>HUFF</t>
  </si>
  <si>
    <t>A</t>
  </si>
  <si>
    <t>JULIE</t>
  </si>
  <si>
    <t>JEPPERSON</t>
  </si>
  <si>
    <t>R</t>
  </si>
  <si>
    <t>SCOTT</t>
  </si>
  <si>
    <t>SLEZAK</t>
  </si>
  <si>
    <t>E</t>
  </si>
  <si>
    <t>TRICIA</t>
  </si>
  <si>
    <t>SMITH</t>
  </si>
  <si>
    <t>STEPHEN</t>
  </si>
  <si>
    <t>GAHAGAN</t>
  </si>
  <si>
    <t>RUGH</t>
  </si>
  <si>
    <t>TERESA</t>
  </si>
  <si>
    <t>MINTO</t>
  </si>
  <si>
    <t>STEVEN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</si>
</sst>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9482-5B20-4389-AEB7-F1B9B0F480C9}">
  <dimension ref="A1:X31"/>
  <sheetViews>
    <sheetView workbookViewId="0">
      <selection sqref="A1:XFD1048576"/>
    </sheetView>
  </sheetViews>
  <sheetFormatPr defaultRowHeight="15" x14ac:dyDescent="0.25"/>
  <cols>
    <col min="1" max="1" width="28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45909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45658</v>
      </c>
      <c r="M2" s="1">
        <v>45658</v>
      </c>
      <c r="N2" s="1">
        <v>45900</v>
      </c>
      <c r="O2">
        <v>16202925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292</v>
      </c>
      <c r="V2" t="s">
        <v>36</v>
      </c>
      <c r="W2" s="1">
        <v>45596</v>
      </c>
      <c r="X2">
        <v>2025</v>
      </c>
    </row>
    <row r="3" spans="1:24" x14ac:dyDescent="0.25">
      <c r="A3" s="1">
        <v>45909</v>
      </c>
      <c r="B3" t="s">
        <v>24</v>
      </c>
      <c r="C3" t="s">
        <v>25</v>
      </c>
      <c r="E3" t="s">
        <v>26</v>
      </c>
      <c r="F3" t="s">
        <v>27</v>
      </c>
      <c r="G3" t="s">
        <v>37</v>
      </c>
      <c r="H3" t="s">
        <v>29</v>
      </c>
      <c r="I3" t="s">
        <v>30</v>
      </c>
      <c r="J3" t="s">
        <v>31</v>
      </c>
      <c r="L3" s="1">
        <v>45658</v>
      </c>
      <c r="M3" s="1">
        <v>45658</v>
      </c>
      <c r="N3" s="1">
        <v>45900</v>
      </c>
      <c r="O3">
        <v>16202925</v>
      </c>
      <c r="P3" t="s">
        <v>32</v>
      </c>
      <c r="Q3" t="s">
        <v>33</v>
      </c>
      <c r="R3">
        <v>8192</v>
      </c>
      <c r="S3" t="s">
        <v>34</v>
      </c>
      <c r="T3" t="s">
        <v>35</v>
      </c>
      <c r="U3">
        <v>-438</v>
      </c>
      <c r="V3" t="s">
        <v>36</v>
      </c>
      <c r="W3" s="1">
        <v>45596</v>
      </c>
      <c r="X3">
        <v>2025</v>
      </c>
    </row>
    <row r="4" spans="1:24" x14ac:dyDescent="0.25">
      <c r="A4" s="1">
        <v>45909</v>
      </c>
      <c r="B4" t="s">
        <v>38</v>
      </c>
      <c r="C4" t="s">
        <v>39</v>
      </c>
      <c r="E4" t="s">
        <v>40</v>
      </c>
      <c r="F4" t="s">
        <v>41</v>
      </c>
      <c r="G4" t="s">
        <v>42</v>
      </c>
      <c r="H4" t="s">
        <v>29</v>
      </c>
      <c r="I4" t="s">
        <v>43</v>
      </c>
      <c r="J4" t="s">
        <v>44</v>
      </c>
      <c r="L4" s="1">
        <v>45901</v>
      </c>
      <c r="M4" s="1">
        <v>45901</v>
      </c>
      <c r="O4">
        <v>18142208</v>
      </c>
      <c r="P4" t="s">
        <v>32</v>
      </c>
      <c r="Q4" t="s">
        <v>45</v>
      </c>
      <c r="R4">
        <v>8192</v>
      </c>
      <c r="S4" t="s">
        <v>34</v>
      </c>
      <c r="T4" t="s">
        <v>35</v>
      </c>
      <c r="U4">
        <v>146</v>
      </c>
      <c r="V4" t="s">
        <v>36</v>
      </c>
      <c r="W4" s="1">
        <v>45896</v>
      </c>
      <c r="X4">
        <v>2025</v>
      </c>
    </row>
    <row r="5" spans="1:24" x14ac:dyDescent="0.25">
      <c r="A5" s="1">
        <v>45909</v>
      </c>
      <c r="B5" t="s">
        <v>46</v>
      </c>
      <c r="C5" t="s">
        <v>47</v>
      </c>
      <c r="E5" t="s">
        <v>48</v>
      </c>
      <c r="F5" t="s">
        <v>49</v>
      </c>
      <c r="G5" t="s">
        <v>42</v>
      </c>
      <c r="H5" t="s">
        <v>29</v>
      </c>
      <c r="I5" t="s">
        <v>50</v>
      </c>
      <c r="J5" t="s">
        <v>51</v>
      </c>
      <c r="L5" s="1">
        <v>45901</v>
      </c>
      <c r="M5" s="1">
        <v>45901</v>
      </c>
      <c r="O5">
        <v>17886092</v>
      </c>
      <c r="P5" t="s">
        <v>32</v>
      </c>
      <c r="Q5" t="s">
        <v>52</v>
      </c>
      <c r="R5">
        <v>8192</v>
      </c>
      <c r="S5" t="s">
        <v>34</v>
      </c>
      <c r="T5" t="s">
        <v>35</v>
      </c>
      <c r="U5">
        <v>13.33</v>
      </c>
      <c r="V5" t="s">
        <v>36</v>
      </c>
      <c r="W5" s="1">
        <v>45891</v>
      </c>
      <c r="X5">
        <v>2025</v>
      </c>
    </row>
    <row r="6" spans="1:24" x14ac:dyDescent="0.25">
      <c r="A6" s="1">
        <v>45909</v>
      </c>
      <c r="B6" t="s">
        <v>53</v>
      </c>
      <c r="C6" t="s">
        <v>54</v>
      </c>
      <c r="E6" t="s">
        <v>55</v>
      </c>
      <c r="F6" t="s">
        <v>56</v>
      </c>
      <c r="G6" t="s">
        <v>37</v>
      </c>
      <c r="H6" t="s">
        <v>29</v>
      </c>
      <c r="I6" t="s">
        <v>43</v>
      </c>
      <c r="J6" t="s">
        <v>57</v>
      </c>
      <c r="L6" s="1">
        <v>45658</v>
      </c>
      <c r="M6" s="1">
        <v>45658</v>
      </c>
      <c r="N6" s="1">
        <v>45930</v>
      </c>
      <c r="O6">
        <v>19586992</v>
      </c>
      <c r="P6" t="s">
        <v>32</v>
      </c>
      <c r="Q6" t="s">
        <v>58</v>
      </c>
      <c r="R6">
        <v>8192</v>
      </c>
      <c r="S6" t="s">
        <v>34</v>
      </c>
      <c r="T6" t="s">
        <v>35</v>
      </c>
      <c r="U6">
        <v>-438</v>
      </c>
      <c r="V6" t="s">
        <v>36</v>
      </c>
      <c r="W6" s="1">
        <v>45608</v>
      </c>
      <c r="X6">
        <v>2025</v>
      </c>
    </row>
    <row r="7" spans="1:24" x14ac:dyDescent="0.25">
      <c r="A7" s="1">
        <v>45909</v>
      </c>
      <c r="B7" t="s">
        <v>53</v>
      </c>
      <c r="C7" t="s">
        <v>54</v>
      </c>
      <c r="E7" t="s">
        <v>55</v>
      </c>
      <c r="F7" t="s">
        <v>56</v>
      </c>
      <c r="G7" t="s">
        <v>28</v>
      </c>
      <c r="H7" t="s">
        <v>29</v>
      </c>
      <c r="I7" t="s">
        <v>43</v>
      </c>
      <c r="J7" t="s">
        <v>57</v>
      </c>
      <c r="L7" s="1">
        <v>45658</v>
      </c>
      <c r="M7" s="1">
        <v>45658</v>
      </c>
      <c r="N7" s="1">
        <v>45930</v>
      </c>
      <c r="O7">
        <v>19586992</v>
      </c>
      <c r="P7" t="s">
        <v>32</v>
      </c>
      <c r="Q7" t="s">
        <v>58</v>
      </c>
      <c r="R7">
        <v>8192</v>
      </c>
      <c r="S7" t="s">
        <v>34</v>
      </c>
      <c r="T7" t="s">
        <v>35</v>
      </c>
      <c r="U7">
        <v>328.5</v>
      </c>
      <c r="V7" t="s">
        <v>36</v>
      </c>
      <c r="W7" s="1">
        <v>45608</v>
      </c>
      <c r="X7">
        <v>2025</v>
      </c>
    </row>
    <row r="8" spans="1:24" x14ac:dyDescent="0.25">
      <c r="A8" s="1">
        <v>45909</v>
      </c>
      <c r="B8" t="s">
        <v>53</v>
      </c>
      <c r="C8" t="s">
        <v>54</v>
      </c>
      <c r="E8" t="s">
        <v>55</v>
      </c>
      <c r="F8" t="s">
        <v>56</v>
      </c>
      <c r="G8" t="s">
        <v>42</v>
      </c>
      <c r="H8" t="s">
        <v>29</v>
      </c>
      <c r="I8" t="s">
        <v>59</v>
      </c>
      <c r="J8" t="s">
        <v>60</v>
      </c>
      <c r="L8" s="1">
        <v>45931</v>
      </c>
      <c r="M8" s="1">
        <v>45931</v>
      </c>
      <c r="O8">
        <v>19586992</v>
      </c>
      <c r="P8" t="s">
        <v>32</v>
      </c>
      <c r="Q8" t="s">
        <v>58</v>
      </c>
      <c r="R8">
        <v>8192</v>
      </c>
      <c r="S8" t="s">
        <v>34</v>
      </c>
      <c r="T8" t="s">
        <v>35</v>
      </c>
      <c r="U8">
        <v>109.5</v>
      </c>
      <c r="V8" t="s">
        <v>36</v>
      </c>
      <c r="W8" s="1">
        <v>45890</v>
      </c>
      <c r="X8">
        <v>2025</v>
      </c>
    </row>
    <row r="9" spans="1:24" x14ac:dyDescent="0.25">
      <c r="A9" s="1">
        <v>45909</v>
      </c>
      <c r="B9" t="s">
        <v>61</v>
      </c>
      <c r="C9" t="s">
        <v>62</v>
      </c>
      <c r="E9" t="s">
        <v>63</v>
      </c>
      <c r="F9" t="s">
        <v>64</v>
      </c>
      <c r="G9" t="s">
        <v>42</v>
      </c>
      <c r="H9" t="s">
        <v>29</v>
      </c>
      <c r="I9" t="s">
        <v>65</v>
      </c>
      <c r="J9" t="s">
        <v>66</v>
      </c>
      <c r="L9" s="1">
        <v>45931</v>
      </c>
      <c r="M9" s="1">
        <v>45931</v>
      </c>
      <c r="O9">
        <v>8307933</v>
      </c>
      <c r="P9" t="s">
        <v>32</v>
      </c>
      <c r="Q9" t="s">
        <v>67</v>
      </c>
      <c r="R9">
        <v>8192</v>
      </c>
      <c r="S9" t="s">
        <v>34</v>
      </c>
      <c r="T9" t="s">
        <v>35</v>
      </c>
      <c r="U9">
        <v>109.5</v>
      </c>
      <c r="V9" t="s">
        <v>36</v>
      </c>
      <c r="W9" s="1">
        <v>45891</v>
      </c>
      <c r="X9">
        <v>2025</v>
      </c>
    </row>
    <row r="10" spans="1:24" x14ac:dyDescent="0.25">
      <c r="A10" s="1">
        <v>45909</v>
      </c>
      <c r="B10" t="s">
        <v>68</v>
      </c>
      <c r="C10" t="s">
        <v>69</v>
      </c>
      <c r="E10" t="s">
        <v>70</v>
      </c>
      <c r="F10" t="s">
        <v>56</v>
      </c>
      <c r="G10" t="s">
        <v>28</v>
      </c>
      <c r="H10" t="s">
        <v>29</v>
      </c>
      <c r="I10" t="s">
        <v>59</v>
      </c>
      <c r="J10" t="s">
        <v>71</v>
      </c>
      <c r="L10" s="1">
        <v>45658</v>
      </c>
      <c r="M10" s="1">
        <v>45658</v>
      </c>
      <c r="N10" s="1">
        <v>45900</v>
      </c>
      <c r="O10">
        <v>7146581</v>
      </c>
      <c r="P10" t="s">
        <v>32</v>
      </c>
      <c r="Q10" t="s">
        <v>72</v>
      </c>
      <c r="R10">
        <v>8192</v>
      </c>
      <c r="S10" t="s">
        <v>34</v>
      </c>
      <c r="T10" t="s">
        <v>35</v>
      </c>
      <c r="U10">
        <v>500.67</v>
      </c>
      <c r="V10" t="s">
        <v>73</v>
      </c>
      <c r="W10" s="1">
        <v>45612</v>
      </c>
      <c r="X10">
        <v>2025</v>
      </c>
    </row>
    <row r="11" spans="1:24" x14ac:dyDescent="0.25">
      <c r="A11" s="1">
        <v>45909</v>
      </c>
      <c r="B11" t="s">
        <v>68</v>
      </c>
      <c r="C11" t="s">
        <v>69</v>
      </c>
      <c r="E11" t="s">
        <v>70</v>
      </c>
      <c r="F11" t="s">
        <v>56</v>
      </c>
      <c r="G11" t="s">
        <v>37</v>
      </c>
      <c r="H11" t="s">
        <v>29</v>
      </c>
      <c r="I11" t="s">
        <v>59</v>
      </c>
      <c r="J11" t="s">
        <v>71</v>
      </c>
      <c r="L11" s="1">
        <v>45658</v>
      </c>
      <c r="M11" s="1">
        <v>45658</v>
      </c>
      <c r="N11" s="1">
        <v>45900</v>
      </c>
      <c r="O11">
        <v>7146581</v>
      </c>
      <c r="P11" t="s">
        <v>32</v>
      </c>
      <c r="Q11" t="s">
        <v>72</v>
      </c>
      <c r="R11">
        <v>8192</v>
      </c>
      <c r="S11" t="s">
        <v>34</v>
      </c>
      <c r="T11" t="s">
        <v>35</v>
      </c>
      <c r="U11">
        <v>-751</v>
      </c>
      <c r="V11" t="s">
        <v>73</v>
      </c>
      <c r="W11" s="1">
        <v>45612</v>
      </c>
      <c r="X11">
        <v>2025</v>
      </c>
    </row>
    <row r="12" spans="1:24" x14ac:dyDescent="0.25">
      <c r="A12" s="1">
        <v>45909</v>
      </c>
      <c r="B12" t="s">
        <v>74</v>
      </c>
      <c r="C12" t="s">
        <v>75</v>
      </c>
      <c r="E12" t="s">
        <v>76</v>
      </c>
      <c r="F12" t="s">
        <v>49</v>
      </c>
      <c r="G12" t="s">
        <v>42</v>
      </c>
      <c r="H12" t="s">
        <v>29</v>
      </c>
      <c r="I12" t="s">
        <v>50</v>
      </c>
      <c r="J12" t="s">
        <v>77</v>
      </c>
      <c r="L12" s="1">
        <v>45901</v>
      </c>
      <c r="M12" s="1">
        <v>45901</v>
      </c>
      <c r="O12">
        <v>17886092</v>
      </c>
      <c r="P12" t="s">
        <v>32</v>
      </c>
      <c r="Q12" t="s">
        <v>52</v>
      </c>
      <c r="R12">
        <v>8192</v>
      </c>
      <c r="S12" t="s">
        <v>34</v>
      </c>
      <c r="T12" t="s">
        <v>35</v>
      </c>
      <c r="U12">
        <v>13.33</v>
      </c>
      <c r="V12" t="s">
        <v>36</v>
      </c>
      <c r="W12" s="1">
        <v>45894</v>
      </c>
      <c r="X12">
        <v>2025</v>
      </c>
    </row>
    <row r="13" spans="1:24" x14ac:dyDescent="0.25">
      <c r="A13" s="1">
        <v>45909</v>
      </c>
      <c r="B13" t="s">
        <v>78</v>
      </c>
      <c r="C13" t="s">
        <v>79</v>
      </c>
      <c r="E13" t="s">
        <v>80</v>
      </c>
      <c r="F13" t="s">
        <v>81</v>
      </c>
      <c r="G13" t="s">
        <v>42</v>
      </c>
      <c r="H13" t="s">
        <v>29</v>
      </c>
      <c r="I13" t="s">
        <v>82</v>
      </c>
      <c r="J13" t="s">
        <v>83</v>
      </c>
      <c r="L13" s="1">
        <v>45901</v>
      </c>
      <c r="M13" s="1">
        <v>45901</v>
      </c>
      <c r="O13">
        <v>17126004</v>
      </c>
      <c r="P13" t="s">
        <v>32</v>
      </c>
      <c r="Q13" t="s">
        <v>84</v>
      </c>
      <c r="R13">
        <v>8192</v>
      </c>
      <c r="S13" t="s">
        <v>34</v>
      </c>
      <c r="T13" t="s">
        <v>35</v>
      </c>
      <c r="U13">
        <v>146</v>
      </c>
      <c r="V13" t="s">
        <v>36</v>
      </c>
      <c r="W13" s="1">
        <v>45889</v>
      </c>
      <c r="X13">
        <v>2025</v>
      </c>
    </row>
    <row r="14" spans="1:24" x14ac:dyDescent="0.25">
      <c r="A14" s="1">
        <v>45909</v>
      </c>
      <c r="B14" t="s">
        <v>85</v>
      </c>
      <c r="C14" t="s">
        <v>86</v>
      </c>
      <c r="E14" t="s">
        <v>87</v>
      </c>
      <c r="F14" t="s">
        <v>56</v>
      </c>
      <c r="G14" t="s">
        <v>42</v>
      </c>
      <c r="H14" t="s">
        <v>29</v>
      </c>
      <c r="I14" t="s">
        <v>59</v>
      </c>
      <c r="J14" t="s">
        <v>88</v>
      </c>
      <c r="L14" s="1">
        <v>45901</v>
      </c>
      <c r="M14" s="1">
        <v>45901</v>
      </c>
      <c r="O14">
        <v>8814784</v>
      </c>
      <c r="P14" t="s">
        <v>32</v>
      </c>
      <c r="Q14" t="s">
        <v>89</v>
      </c>
      <c r="R14">
        <v>8192</v>
      </c>
      <c r="S14" t="s">
        <v>34</v>
      </c>
      <c r="T14" t="s">
        <v>35</v>
      </c>
      <c r="U14">
        <v>146</v>
      </c>
      <c r="V14" t="s">
        <v>36</v>
      </c>
      <c r="W14" s="1">
        <v>45890</v>
      </c>
      <c r="X14">
        <v>2025</v>
      </c>
    </row>
    <row r="15" spans="1:24" x14ac:dyDescent="0.25">
      <c r="A15" s="1"/>
      <c r="L15" s="1"/>
      <c r="M15" s="1"/>
      <c r="W15" s="1"/>
    </row>
    <row r="16" spans="1:24" x14ac:dyDescent="0.25">
      <c r="A16" s="1"/>
      <c r="L16" s="1"/>
      <c r="M16" s="1"/>
      <c r="W16" s="1"/>
    </row>
    <row r="17" spans="1:23" x14ac:dyDescent="0.25">
      <c r="A17" s="1"/>
      <c r="L17" s="1"/>
      <c r="M17" s="1"/>
      <c r="W17" s="1"/>
    </row>
    <row r="18" spans="1:23" x14ac:dyDescent="0.25">
      <c r="A18" s="1"/>
      <c r="L18" s="1"/>
      <c r="M18" s="1"/>
      <c r="W18" s="1"/>
    </row>
    <row r="19" spans="1:23" x14ac:dyDescent="0.25">
      <c r="A19" s="1"/>
      <c r="L19" s="1"/>
      <c r="M19" s="1"/>
      <c r="W19" s="1"/>
    </row>
    <row r="20" spans="1:23" x14ac:dyDescent="0.25">
      <c r="A20" s="1"/>
      <c r="L20" s="1"/>
      <c r="M20" s="1"/>
      <c r="W20" s="1"/>
    </row>
    <row r="21" spans="1:23" x14ac:dyDescent="0.25">
      <c r="A21" s="1"/>
      <c r="L21" s="1"/>
      <c r="M21" s="1"/>
      <c r="W21" s="1"/>
    </row>
    <row r="22" spans="1:23" x14ac:dyDescent="0.25">
      <c r="A22" s="1"/>
      <c r="L22" s="1"/>
      <c r="M22" s="1"/>
      <c r="W22" s="1"/>
    </row>
    <row r="23" spans="1:23" x14ac:dyDescent="0.25">
      <c r="A23" s="1"/>
      <c r="L23" s="1"/>
      <c r="M23" s="1"/>
      <c r="W23" s="1"/>
    </row>
    <row r="24" spans="1:23" x14ac:dyDescent="0.25">
      <c r="A24" s="1"/>
      <c r="L24" s="1"/>
      <c r="M24" s="1"/>
      <c r="W24" s="1"/>
    </row>
    <row r="25" spans="1:23" x14ac:dyDescent="0.25">
      <c r="A25" s="1"/>
      <c r="L25" s="1"/>
      <c r="M25" s="1"/>
      <c r="W25" s="1"/>
    </row>
    <row r="26" spans="1:23" x14ac:dyDescent="0.25">
      <c r="A26" s="1"/>
      <c r="L26" s="1"/>
      <c r="M26" s="1"/>
      <c r="W26" s="1"/>
    </row>
    <row r="27" spans="1:23" x14ac:dyDescent="0.25">
      <c r="A27" s="1"/>
      <c r="L27" s="1"/>
      <c r="M27" s="1"/>
      <c r="W27" s="1"/>
    </row>
    <row r="28" spans="1:23" x14ac:dyDescent="0.25">
      <c r="A28" s="1"/>
      <c r="L28" s="1"/>
      <c r="M28" s="1"/>
      <c r="W28" s="1"/>
    </row>
    <row r="29" spans="1:23" x14ac:dyDescent="0.25">
      <c r="A29" s="1"/>
      <c r="L29" s="1"/>
      <c r="M29" s="1"/>
      <c r="W29" s="1"/>
    </row>
    <row r="30" spans="1:23" x14ac:dyDescent="0.25">
      <c r="A30" s="1"/>
      <c r="L30" s="1"/>
      <c r="M30" s="1"/>
      <c r="W30" s="1"/>
    </row>
    <row r="31" spans="1:23" x14ac:dyDescent="0.25">
      <c r="A31" s="1"/>
      <c r="L31" s="1"/>
      <c r="M31" s="1"/>
      <c r="W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3EF7-8F02-4C6A-9EA8-9A34FE71AEBD}">
  <dimension ref="A1:W42"/>
  <sheetViews>
    <sheetView tabSelected="1" topLeftCell="G1" workbookViewId="0">
      <selection activeCell="R2" sqref="R2:R12"/>
    </sheetView>
  </sheetViews>
  <sheetFormatPr defaultRowHeight="15" x14ac:dyDescent="0.25"/>
  <cols>
    <col min="1" max="1" width="17.28515625" style="2" bestFit="1" customWidth="1"/>
    <col min="2" max="2" width="17.28515625" style="2" customWidth="1"/>
    <col min="3" max="3" width="24.5703125" style="2" bestFit="1" customWidth="1"/>
    <col min="4" max="6" width="24.5703125" style="2" customWidth="1"/>
    <col min="7" max="7" width="17.28515625" style="2" bestFit="1" customWidth="1"/>
    <col min="8" max="8" width="9.140625" style="2"/>
    <col min="9" max="9" width="15.7109375" style="2" bestFit="1" customWidth="1"/>
    <col min="10" max="10" width="13.5703125" style="2" bestFit="1" customWidth="1"/>
    <col min="11" max="11" width="10.140625" style="2" bestFit="1" customWidth="1"/>
    <col min="12" max="12" width="11.5703125" style="2" customWidth="1"/>
    <col min="13" max="13" width="9.140625" style="2"/>
    <col min="14" max="14" width="20.140625" style="2" bestFit="1" customWidth="1"/>
    <col min="15" max="15" width="14.140625" style="2" bestFit="1" customWidth="1"/>
    <col min="16" max="16" width="9.140625" style="2"/>
    <col min="17" max="17" width="21.140625" style="2" bestFit="1" customWidth="1"/>
    <col min="18" max="18" width="24.140625" style="2" bestFit="1" customWidth="1"/>
    <col min="19" max="16384" width="9.140625" style="2"/>
  </cols>
  <sheetData>
    <row r="1" spans="1:23" x14ac:dyDescent="0.25">
      <c r="A1" s="2" t="s">
        <v>1</v>
      </c>
      <c r="C1" s="2" t="s">
        <v>4</v>
      </c>
      <c r="G1" s="2" t="s">
        <v>6</v>
      </c>
      <c r="H1" s="2" t="s">
        <v>7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20</v>
      </c>
    </row>
    <row r="2" spans="1:23" x14ac:dyDescent="0.25">
      <c r="A2" s="2" t="s">
        <v>68</v>
      </c>
      <c r="B2" s="2" t="str">
        <f>CONCATENATE(A2,7)</f>
        <v>2G93HJ2DH937</v>
      </c>
      <c r="C2" s="2" t="s">
        <v>101</v>
      </c>
      <c r="D2" s="2" t="s">
        <v>102</v>
      </c>
      <c r="E2" s="2" t="s">
        <v>103</v>
      </c>
      <c r="F2" s="2" t="str">
        <f>CONCATENATE(E2, " ",C2)</f>
        <v>ALBERT KJELLESVIK</v>
      </c>
      <c r="G2" s="2" t="s">
        <v>28</v>
      </c>
      <c r="H2" s="2" t="s">
        <v>29</v>
      </c>
      <c r="I2" s="3">
        <v>45658</v>
      </c>
      <c r="J2" s="3">
        <v>45658</v>
      </c>
      <c r="K2" s="3">
        <v>45900</v>
      </c>
      <c r="L2" s="2">
        <v>7146581</v>
      </c>
      <c r="M2" s="2" t="s">
        <v>32</v>
      </c>
      <c r="N2" s="2" t="s">
        <v>72</v>
      </c>
      <c r="O2" s="2">
        <v>500.67</v>
      </c>
      <c r="P2" s="2">
        <v>417.34</v>
      </c>
      <c r="Q2" s="2" t="s">
        <v>90</v>
      </c>
      <c r="R2" s="2" t="s">
        <v>94</v>
      </c>
      <c r="T2" s="2">
        <f>626/12*8</f>
        <v>417.33333333333331</v>
      </c>
    </row>
    <row r="3" spans="1:23" x14ac:dyDescent="0.25">
      <c r="A3" s="2" t="s">
        <v>68</v>
      </c>
      <c r="B3" s="2" t="str">
        <f>CONCATENATE(A3,7)</f>
        <v>2G93HJ2DH937</v>
      </c>
      <c r="C3" s="2" t="s">
        <v>101</v>
      </c>
      <c r="D3" s="2" t="s">
        <v>102</v>
      </c>
      <c r="E3" s="2" t="s">
        <v>103</v>
      </c>
      <c r="F3" s="2" t="str">
        <f t="shared" ref="F3:F25" si="0">CONCATENATE(E3, " ",C3)</f>
        <v>ALBERT KJELLESVIK</v>
      </c>
      <c r="G3" s="2" t="s">
        <v>37</v>
      </c>
      <c r="H3" s="2" t="s">
        <v>29</v>
      </c>
      <c r="I3" s="3">
        <v>45658</v>
      </c>
      <c r="J3" s="3">
        <v>45658</v>
      </c>
      <c r="K3" s="3">
        <v>45900</v>
      </c>
      <c r="L3" s="2">
        <v>7146581</v>
      </c>
      <c r="M3" s="2" t="s">
        <v>32</v>
      </c>
      <c r="N3" s="2" t="s">
        <v>72</v>
      </c>
      <c r="O3" s="2">
        <v>-751</v>
      </c>
      <c r="P3" s="2">
        <v>-626</v>
      </c>
      <c r="Q3" s="2" t="s">
        <v>90</v>
      </c>
      <c r="R3" s="2" t="s">
        <v>95</v>
      </c>
    </row>
    <row r="4" spans="1:23" x14ac:dyDescent="0.25">
      <c r="A4" s="2" t="s">
        <v>24</v>
      </c>
      <c r="B4" s="2" t="str">
        <f>CONCATENATE(A4,8)</f>
        <v>6T32GW1KC028</v>
      </c>
      <c r="C4" s="2" t="s">
        <v>104</v>
      </c>
      <c r="D4" s="2" t="s">
        <v>105</v>
      </c>
      <c r="E4" s="2" t="s">
        <v>106</v>
      </c>
      <c r="F4" s="2" t="str">
        <f t="shared" si="0"/>
        <v>DEONTAE CHRISTIAN</v>
      </c>
      <c r="G4" s="2" t="s">
        <v>28</v>
      </c>
      <c r="H4" s="2" t="s">
        <v>29</v>
      </c>
      <c r="I4" s="3">
        <v>45658</v>
      </c>
      <c r="J4" s="3">
        <v>45658</v>
      </c>
      <c r="K4" s="3">
        <v>45900</v>
      </c>
      <c r="L4" s="2">
        <v>16202925</v>
      </c>
      <c r="M4" s="2" t="s">
        <v>32</v>
      </c>
      <c r="N4" s="2" t="s">
        <v>33</v>
      </c>
      <c r="O4" s="2">
        <v>292</v>
      </c>
      <c r="P4" s="2">
        <v>208.67</v>
      </c>
      <c r="Q4" s="2" t="s">
        <v>91</v>
      </c>
      <c r="R4" s="2" t="s">
        <v>96</v>
      </c>
      <c r="T4" s="2">
        <f>313/12*8</f>
        <v>208.66666666666666</v>
      </c>
      <c r="W4" s="2">
        <f>626/12*4</f>
        <v>208.66666666666666</v>
      </c>
    </row>
    <row r="5" spans="1:23" x14ac:dyDescent="0.25">
      <c r="A5" s="2" t="s">
        <v>24</v>
      </c>
      <c r="B5" s="2" t="str">
        <f t="shared" ref="B5:B12" si="1">CONCATENATE(A5,8)</f>
        <v>6T32GW1KC028</v>
      </c>
      <c r="C5" s="2" t="s">
        <v>104</v>
      </c>
      <c r="D5" s="2" t="s">
        <v>105</v>
      </c>
      <c r="E5" s="2" t="s">
        <v>106</v>
      </c>
      <c r="F5" s="2" t="str">
        <f t="shared" si="0"/>
        <v>DEONTAE CHRISTIAN</v>
      </c>
      <c r="G5" s="2" t="s">
        <v>37</v>
      </c>
      <c r="H5" s="2" t="s">
        <v>29</v>
      </c>
      <c r="I5" s="3">
        <v>45658</v>
      </c>
      <c r="J5" s="3">
        <v>45658</v>
      </c>
      <c r="K5" s="3">
        <v>45900</v>
      </c>
      <c r="L5" s="2">
        <v>16202925</v>
      </c>
      <c r="M5" s="2" t="s">
        <v>32</v>
      </c>
      <c r="N5" s="2" t="s">
        <v>33</v>
      </c>
      <c r="O5" s="2">
        <v>-438</v>
      </c>
      <c r="P5" s="2">
        <v>-313</v>
      </c>
      <c r="Q5" s="2" t="s">
        <v>91</v>
      </c>
      <c r="R5" s="2" t="s">
        <v>93</v>
      </c>
    </row>
    <row r="6" spans="1:23" x14ac:dyDescent="0.25">
      <c r="A6" s="2" t="s">
        <v>38</v>
      </c>
      <c r="B6" s="2" t="str">
        <f t="shared" si="1"/>
        <v>7HK9PU5JR398</v>
      </c>
      <c r="C6" s="2" t="s">
        <v>107</v>
      </c>
      <c r="D6" s="2" t="s">
        <v>108</v>
      </c>
      <c r="E6" s="2" t="s">
        <v>109</v>
      </c>
      <c r="F6" s="2" t="str">
        <f t="shared" si="0"/>
        <v>JOHN COMUNALE</v>
      </c>
      <c r="G6" s="2" t="s">
        <v>42</v>
      </c>
      <c r="H6" s="2" t="s">
        <v>29</v>
      </c>
      <c r="I6" s="3">
        <v>45901</v>
      </c>
      <c r="J6" s="3">
        <v>45901</v>
      </c>
      <c r="L6" s="2">
        <v>18142208</v>
      </c>
      <c r="M6" s="2" t="s">
        <v>32</v>
      </c>
      <c r="N6" s="2" t="s">
        <v>45</v>
      </c>
      <c r="O6" s="2">
        <v>146</v>
      </c>
      <c r="P6" s="2">
        <v>104.33</v>
      </c>
      <c r="Q6" s="2" t="s">
        <v>91</v>
      </c>
      <c r="R6" s="2" t="s">
        <v>97</v>
      </c>
      <c r="T6" s="2">
        <f>313/12*4</f>
        <v>104.33333333333333</v>
      </c>
    </row>
    <row r="7" spans="1:23" x14ac:dyDescent="0.25">
      <c r="A7" s="2" t="s">
        <v>53</v>
      </c>
      <c r="B7" s="2" t="str">
        <f t="shared" si="1"/>
        <v>1JN8R36NU548</v>
      </c>
      <c r="C7" s="2" t="s">
        <v>110</v>
      </c>
      <c r="D7" s="2" t="s">
        <v>111</v>
      </c>
      <c r="E7" s="2" t="s">
        <v>112</v>
      </c>
      <c r="F7" s="2" t="str">
        <f t="shared" si="0"/>
        <v>JULIE HUFF</v>
      </c>
      <c r="G7" s="2" t="s">
        <v>37</v>
      </c>
      <c r="H7" s="2" t="s">
        <v>29</v>
      </c>
      <c r="I7" s="3">
        <v>45658</v>
      </c>
      <c r="J7" s="3">
        <v>45658</v>
      </c>
      <c r="K7" s="3">
        <v>45930</v>
      </c>
      <c r="L7" s="2">
        <v>19586992</v>
      </c>
      <c r="M7" s="2" t="s">
        <v>32</v>
      </c>
      <c r="N7" s="2" t="s">
        <v>58</v>
      </c>
      <c r="O7" s="2">
        <v>-438</v>
      </c>
      <c r="P7" s="2">
        <v>-313</v>
      </c>
      <c r="Q7" s="2" t="s">
        <v>91</v>
      </c>
      <c r="R7" s="2" t="s">
        <v>93</v>
      </c>
    </row>
    <row r="8" spans="1:23" x14ac:dyDescent="0.25">
      <c r="A8" s="2" t="s">
        <v>53</v>
      </c>
      <c r="B8" s="2" t="str">
        <f t="shared" si="1"/>
        <v>1JN8R36NU548</v>
      </c>
      <c r="C8" s="2" t="s">
        <v>110</v>
      </c>
      <c r="D8" s="2" t="s">
        <v>111</v>
      </c>
      <c r="E8" s="2" t="s">
        <v>112</v>
      </c>
      <c r="F8" s="2" t="str">
        <f t="shared" si="0"/>
        <v>JULIE HUFF</v>
      </c>
      <c r="G8" s="2" t="s">
        <v>28</v>
      </c>
      <c r="H8" s="2" t="s">
        <v>29</v>
      </c>
      <c r="I8" s="3">
        <v>45658</v>
      </c>
      <c r="J8" s="3">
        <v>45658</v>
      </c>
      <c r="K8" s="3">
        <v>45930</v>
      </c>
      <c r="L8" s="2">
        <v>19586992</v>
      </c>
      <c r="M8" s="2" t="s">
        <v>32</v>
      </c>
      <c r="N8" s="2" t="s">
        <v>58</v>
      </c>
      <c r="O8" s="2">
        <v>328.5</v>
      </c>
      <c r="P8" s="2">
        <v>234.75</v>
      </c>
      <c r="Q8" s="2" t="s">
        <v>91</v>
      </c>
      <c r="R8" s="2" t="s">
        <v>98</v>
      </c>
      <c r="T8" s="2">
        <f>313/12*9</f>
        <v>234.75</v>
      </c>
    </row>
    <row r="9" spans="1:23" x14ac:dyDescent="0.25">
      <c r="A9" s="2" t="s">
        <v>53</v>
      </c>
      <c r="B9" s="2" t="str">
        <f t="shared" si="1"/>
        <v>1JN8R36NU548</v>
      </c>
      <c r="C9" s="2" t="s">
        <v>110</v>
      </c>
      <c r="D9" s="2" t="s">
        <v>111</v>
      </c>
      <c r="E9" s="2" t="s">
        <v>112</v>
      </c>
      <c r="F9" s="2" t="str">
        <f t="shared" si="0"/>
        <v>JULIE HUFF</v>
      </c>
      <c r="G9" s="2" t="s">
        <v>42</v>
      </c>
      <c r="H9" s="2" t="s">
        <v>29</v>
      </c>
      <c r="I9" s="3">
        <v>45931</v>
      </c>
      <c r="J9" s="3">
        <v>45931</v>
      </c>
      <c r="L9" s="2">
        <v>19586992</v>
      </c>
      <c r="M9" s="2" t="s">
        <v>32</v>
      </c>
      <c r="N9" s="2" t="s">
        <v>58</v>
      </c>
      <c r="O9" s="2">
        <v>109.5</v>
      </c>
      <c r="P9" s="2">
        <v>78.25</v>
      </c>
      <c r="Q9" s="2" t="s">
        <v>91</v>
      </c>
      <c r="R9" s="2" t="s">
        <v>99</v>
      </c>
      <c r="T9" s="2">
        <f>313/12*3</f>
        <v>78.25</v>
      </c>
    </row>
    <row r="10" spans="1:23" x14ac:dyDescent="0.25">
      <c r="A10" s="2" t="s">
        <v>61</v>
      </c>
      <c r="B10" s="2" t="str">
        <f t="shared" si="1"/>
        <v>8PY3U04GV048</v>
      </c>
      <c r="C10" s="2" t="s">
        <v>113</v>
      </c>
      <c r="D10" s="2" t="s">
        <v>114</v>
      </c>
      <c r="E10" s="2" t="s">
        <v>115</v>
      </c>
      <c r="F10" s="2" t="str">
        <f t="shared" si="0"/>
        <v>SCOTT JEPPERSON</v>
      </c>
      <c r="G10" s="2" t="s">
        <v>42</v>
      </c>
      <c r="H10" s="2" t="s">
        <v>29</v>
      </c>
      <c r="I10" s="3">
        <v>45931</v>
      </c>
      <c r="J10" s="3">
        <v>45931</v>
      </c>
      <c r="L10" s="2">
        <v>8307933</v>
      </c>
      <c r="M10" s="2" t="s">
        <v>32</v>
      </c>
      <c r="N10" s="2" t="s">
        <v>67</v>
      </c>
      <c r="O10" s="2">
        <v>109.5</v>
      </c>
      <c r="P10" s="2">
        <v>78.25</v>
      </c>
      <c r="Q10" s="2" t="s">
        <v>91</v>
      </c>
      <c r="R10" s="2" t="s">
        <v>99</v>
      </c>
    </row>
    <row r="11" spans="1:23" x14ac:dyDescent="0.25">
      <c r="A11" s="2" t="s">
        <v>78</v>
      </c>
      <c r="B11" s="2" t="str">
        <f t="shared" si="1"/>
        <v>9GR5WG9VU778</v>
      </c>
      <c r="C11" s="2" t="s">
        <v>116</v>
      </c>
      <c r="D11" s="2" t="s">
        <v>117</v>
      </c>
      <c r="E11" s="2" t="s">
        <v>118</v>
      </c>
      <c r="F11" s="2" t="str">
        <f t="shared" si="0"/>
        <v>TRICIA SLEZAK</v>
      </c>
      <c r="G11" s="2" t="s">
        <v>42</v>
      </c>
      <c r="H11" s="2" t="s">
        <v>29</v>
      </c>
      <c r="I11" s="3">
        <v>45901</v>
      </c>
      <c r="J11" s="3">
        <v>45901</v>
      </c>
      <c r="L11" s="2">
        <v>17126004</v>
      </c>
      <c r="M11" s="2" t="s">
        <v>32</v>
      </c>
      <c r="N11" s="2" t="s">
        <v>84</v>
      </c>
      <c r="O11" s="2">
        <v>146</v>
      </c>
      <c r="P11" s="2">
        <v>104.33</v>
      </c>
      <c r="Q11" s="2" t="s">
        <v>91</v>
      </c>
      <c r="R11" s="2" t="s">
        <v>97</v>
      </c>
    </row>
    <row r="12" spans="1:23" x14ac:dyDescent="0.25">
      <c r="A12" s="2" t="s">
        <v>85</v>
      </c>
      <c r="B12" s="2" t="str">
        <f t="shared" si="1"/>
        <v>8CP0NT0JC218</v>
      </c>
      <c r="C12" s="2" t="s">
        <v>119</v>
      </c>
      <c r="D12" s="2" t="s">
        <v>114</v>
      </c>
      <c r="E12" s="2" t="s">
        <v>120</v>
      </c>
      <c r="F12" s="2" t="str">
        <f t="shared" si="0"/>
        <v>STEPHEN SMITH</v>
      </c>
      <c r="G12" s="2" t="s">
        <v>42</v>
      </c>
      <c r="H12" s="2" t="s">
        <v>29</v>
      </c>
      <c r="I12" s="3">
        <v>45901</v>
      </c>
      <c r="J12" s="3">
        <v>45901</v>
      </c>
      <c r="L12" s="2">
        <v>8814784</v>
      </c>
      <c r="M12" s="2" t="s">
        <v>32</v>
      </c>
      <c r="N12" s="2" t="s">
        <v>89</v>
      </c>
      <c r="O12" s="2">
        <v>146</v>
      </c>
      <c r="P12" s="2">
        <v>104.33</v>
      </c>
      <c r="Q12" s="2" t="s">
        <v>91</v>
      </c>
      <c r="R12" s="2" t="s">
        <v>97</v>
      </c>
    </row>
    <row r="13" spans="1:23" x14ac:dyDescent="0.25">
      <c r="A13" s="2" t="s">
        <v>24</v>
      </c>
      <c r="B13" s="2" t="str">
        <f>CONCATENATE(A13,88)</f>
        <v>6T32GW1KC0288</v>
      </c>
      <c r="C13" s="2" t="s">
        <v>104</v>
      </c>
      <c r="D13" s="2" t="s">
        <v>105</v>
      </c>
      <c r="E13" s="2" t="s">
        <v>106</v>
      </c>
      <c r="F13" s="2" t="str">
        <f t="shared" si="0"/>
        <v>DEONTAE CHRISTIAN</v>
      </c>
      <c r="G13" s="2" t="s">
        <v>28</v>
      </c>
      <c r="H13" s="2" t="s">
        <v>29</v>
      </c>
      <c r="I13" s="3">
        <v>45658</v>
      </c>
      <c r="J13" s="3">
        <v>45658</v>
      </c>
      <c r="K13" s="3">
        <v>45900</v>
      </c>
      <c r="L13" s="2">
        <v>20411454</v>
      </c>
      <c r="M13" s="2" t="s">
        <v>32</v>
      </c>
      <c r="N13" s="2" t="s">
        <v>100</v>
      </c>
      <c r="O13" s="2">
        <v>292</v>
      </c>
      <c r="P13" s="2">
        <v>83.33</v>
      </c>
      <c r="Q13" s="2" t="s">
        <v>92</v>
      </c>
      <c r="T13" s="2">
        <f>125/12*8</f>
        <v>83.333333333333329</v>
      </c>
      <c r="W13" s="2">
        <f>125/12*4</f>
        <v>41.666666666666664</v>
      </c>
    </row>
    <row r="14" spans="1:23" x14ac:dyDescent="0.25">
      <c r="A14" s="2" t="s">
        <v>24</v>
      </c>
      <c r="B14" s="2" t="str">
        <f t="shared" ref="B14:B25" si="2">CONCATENATE(A14,88)</f>
        <v>6T32GW1KC0288</v>
      </c>
      <c r="C14" s="2" t="s">
        <v>104</v>
      </c>
      <c r="D14" s="2" t="s">
        <v>105</v>
      </c>
      <c r="E14" s="2" t="s">
        <v>106</v>
      </c>
      <c r="F14" s="2" t="str">
        <f t="shared" si="0"/>
        <v>DEONTAE CHRISTIAN</v>
      </c>
      <c r="G14" s="2" t="s">
        <v>37</v>
      </c>
      <c r="H14" s="2" t="s">
        <v>29</v>
      </c>
      <c r="I14" s="3">
        <v>45658</v>
      </c>
      <c r="J14" s="3">
        <v>45658</v>
      </c>
      <c r="K14" s="3">
        <v>45900</v>
      </c>
      <c r="L14" s="2">
        <v>20411454</v>
      </c>
      <c r="M14" s="2" t="s">
        <v>32</v>
      </c>
      <c r="N14" s="2" t="s">
        <v>100</v>
      </c>
      <c r="O14" s="2">
        <v>-438</v>
      </c>
      <c r="P14" s="2">
        <v>-125</v>
      </c>
      <c r="Q14" s="2" t="s">
        <v>92</v>
      </c>
    </row>
    <row r="15" spans="1:23" x14ac:dyDescent="0.25">
      <c r="A15" s="2" t="s">
        <v>38</v>
      </c>
      <c r="B15" s="2" t="str">
        <f t="shared" si="2"/>
        <v>7HK9PU5JR3988</v>
      </c>
      <c r="C15" s="2" t="s">
        <v>107</v>
      </c>
      <c r="D15" s="2" t="s">
        <v>108</v>
      </c>
      <c r="E15" s="2" t="s">
        <v>109</v>
      </c>
      <c r="F15" s="2" t="str">
        <f t="shared" si="0"/>
        <v>JOHN COMUNALE</v>
      </c>
      <c r="G15" s="2" t="s">
        <v>42</v>
      </c>
      <c r="H15" s="2" t="s">
        <v>29</v>
      </c>
      <c r="I15" s="3">
        <v>45901</v>
      </c>
      <c r="J15" s="3">
        <v>45901</v>
      </c>
      <c r="L15" s="2">
        <v>20411454</v>
      </c>
      <c r="M15" s="2" t="s">
        <v>32</v>
      </c>
      <c r="N15" s="2" t="s">
        <v>100</v>
      </c>
      <c r="O15" s="2">
        <v>146</v>
      </c>
      <c r="P15" s="2">
        <v>41.67</v>
      </c>
      <c r="Q15" s="2" t="s">
        <v>92</v>
      </c>
      <c r="T15" s="2">
        <f>125/12*4</f>
        <v>41.666666666666664</v>
      </c>
    </row>
    <row r="16" spans="1:23" x14ac:dyDescent="0.25">
      <c r="A16" s="2" t="s">
        <v>46</v>
      </c>
      <c r="B16" s="2" t="str">
        <f t="shared" si="2"/>
        <v>6KX3N54JC8088</v>
      </c>
      <c r="C16" s="2" t="s">
        <v>121</v>
      </c>
      <c r="D16" s="2" t="s">
        <v>122</v>
      </c>
      <c r="E16" s="2" t="s">
        <v>123</v>
      </c>
      <c r="F16" s="2" t="str">
        <f t="shared" si="0"/>
        <v>TERESA GAHAGAN</v>
      </c>
      <c r="G16" s="2" t="s">
        <v>42</v>
      </c>
      <c r="H16" s="2" t="s">
        <v>29</v>
      </c>
      <c r="I16" s="3">
        <v>45901</v>
      </c>
      <c r="J16" s="3">
        <v>45901</v>
      </c>
      <c r="L16" s="2">
        <v>20411454</v>
      </c>
      <c r="M16" s="2" t="s">
        <v>32</v>
      </c>
      <c r="N16" s="2" t="s">
        <v>100</v>
      </c>
      <c r="O16" s="2">
        <v>13.33</v>
      </c>
      <c r="P16" s="2">
        <v>13.33</v>
      </c>
      <c r="Q16" s="2" t="s">
        <v>92</v>
      </c>
    </row>
    <row r="17" spans="1:20" x14ac:dyDescent="0.25">
      <c r="A17" s="2" t="s">
        <v>53</v>
      </c>
      <c r="B17" s="2" t="str">
        <f t="shared" si="2"/>
        <v>1JN8R36NU5488</v>
      </c>
      <c r="C17" s="2" t="s">
        <v>110</v>
      </c>
      <c r="D17" s="2" t="s">
        <v>111</v>
      </c>
      <c r="E17" s="2" t="s">
        <v>112</v>
      </c>
      <c r="F17" s="2" t="str">
        <f t="shared" si="0"/>
        <v>JULIE HUFF</v>
      </c>
      <c r="G17" s="2" t="s">
        <v>37</v>
      </c>
      <c r="H17" s="2" t="s">
        <v>29</v>
      </c>
      <c r="I17" s="3">
        <v>45658</v>
      </c>
      <c r="J17" s="3">
        <v>45658</v>
      </c>
      <c r="K17" s="3">
        <v>45930</v>
      </c>
      <c r="L17" s="2">
        <v>20411454</v>
      </c>
      <c r="M17" s="2" t="s">
        <v>32</v>
      </c>
      <c r="N17" s="2" t="s">
        <v>100</v>
      </c>
      <c r="O17" s="2">
        <v>-438</v>
      </c>
      <c r="P17" s="2">
        <v>-125</v>
      </c>
      <c r="Q17" s="2" t="s">
        <v>92</v>
      </c>
    </row>
    <row r="18" spans="1:20" x14ac:dyDescent="0.25">
      <c r="A18" s="2" t="s">
        <v>53</v>
      </c>
      <c r="B18" s="2" t="str">
        <f t="shared" si="2"/>
        <v>1JN8R36NU5488</v>
      </c>
      <c r="C18" s="2" t="s">
        <v>110</v>
      </c>
      <c r="D18" s="2" t="s">
        <v>111</v>
      </c>
      <c r="E18" s="2" t="s">
        <v>112</v>
      </c>
      <c r="F18" s="2" t="str">
        <f t="shared" si="0"/>
        <v>JULIE HUFF</v>
      </c>
      <c r="G18" s="2" t="s">
        <v>28</v>
      </c>
      <c r="H18" s="2" t="s">
        <v>29</v>
      </c>
      <c r="I18" s="3">
        <v>45658</v>
      </c>
      <c r="J18" s="3">
        <v>45658</v>
      </c>
      <c r="K18" s="3">
        <v>45930</v>
      </c>
      <c r="L18" s="2">
        <v>20411454</v>
      </c>
      <c r="M18" s="2" t="s">
        <v>32</v>
      </c>
      <c r="N18" s="2" t="s">
        <v>100</v>
      </c>
      <c r="O18" s="2">
        <v>328.5</v>
      </c>
      <c r="P18" s="2">
        <v>93.75</v>
      </c>
      <c r="Q18" s="2" t="s">
        <v>92</v>
      </c>
      <c r="T18" s="2">
        <f>125/12*9</f>
        <v>93.75</v>
      </c>
    </row>
    <row r="19" spans="1:20" x14ac:dyDescent="0.25">
      <c r="A19" s="2" t="s">
        <v>53</v>
      </c>
      <c r="B19" s="2" t="str">
        <f t="shared" si="2"/>
        <v>1JN8R36NU5488</v>
      </c>
      <c r="C19" s="2" t="s">
        <v>110</v>
      </c>
      <c r="D19" s="2" t="s">
        <v>111</v>
      </c>
      <c r="E19" s="2" t="s">
        <v>112</v>
      </c>
      <c r="F19" s="2" t="str">
        <f t="shared" si="0"/>
        <v>JULIE HUFF</v>
      </c>
      <c r="G19" s="2" t="s">
        <v>42</v>
      </c>
      <c r="H19" s="2" t="s">
        <v>29</v>
      </c>
      <c r="I19" s="3">
        <v>45931</v>
      </c>
      <c r="J19" s="3">
        <v>45931</v>
      </c>
      <c r="L19" s="2">
        <v>20411454</v>
      </c>
      <c r="M19" s="2" t="s">
        <v>32</v>
      </c>
      <c r="N19" s="2" t="s">
        <v>100</v>
      </c>
      <c r="O19" s="2">
        <v>109.5</v>
      </c>
      <c r="P19" s="2">
        <v>31.25</v>
      </c>
      <c r="Q19" s="2" t="s">
        <v>92</v>
      </c>
      <c r="T19" s="2">
        <f>125/12*3</f>
        <v>31.25</v>
      </c>
    </row>
    <row r="20" spans="1:20" x14ac:dyDescent="0.25">
      <c r="A20" s="2" t="s">
        <v>61</v>
      </c>
      <c r="B20" s="2" t="str">
        <f t="shared" si="2"/>
        <v>8PY3U04GV0488</v>
      </c>
      <c r="C20" s="2" t="s">
        <v>113</v>
      </c>
      <c r="D20" s="2" t="s">
        <v>114</v>
      </c>
      <c r="E20" s="2" t="s">
        <v>115</v>
      </c>
      <c r="F20" s="2" t="str">
        <f t="shared" si="0"/>
        <v>SCOTT JEPPERSON</v>
      </c>
      <c r="G20" s="2" t="s">
        <v>42</v>
      </c>
      <c r="H20" s="2" t="s">
        <v>29</v>
      </c>
      <c r="I20" s="3">
        <v>45931</v>
      </c>
      <c r="J20" s="3">
        <v>45931</v>
      </c>
      <c r="L20" s="2">
        <v>20411454</v>
      </c>
      <c r="M20" s="2" t="s">
        <v>32</v>
      </c>
      <c r="N20" s="2" t="s">
        <v>100</v>
      </c>
      <c r="O20" s="2">
        <v>109.5</v>
      </c>
      <c r="P20" s="2">
        <v>31.25</v>
      </c>
      <c r="Q20" s="2" t="s">
        <v>92</v>
      </c>
    </row>
    <row r="21" spans="1:20" x14ac:dyDescent="0.25">
      <c r="A21" s="2" t="s">
        <v>68</v>
      </c>
      <c r="B21" s="2" t="str">
        <f t="shared" si="2"/>
        <v>2G93HJ2DH9388</v>
      </c>
      <c r="C21" s="2" t="s">
        <v>101</v>
      </c>
      <c r="D21" s="2" t="s">
        <v>102</v>
      </c>
      <c r="E21" s="2" t="s">
        <v>103</v>
      </c>
      <c r="F21" s="2" t="str">
        <f t="shared" si="0"/>
        <v>ALBERT KJELLESVIK</v>
      </c>
      <c r="G21" s="2" t="s">
        <v>28</v>
      </c>
      <c r="H21" s="2" t="s">
        <v>29</v>
      </c>
      <c r="I21" s="3">
        <v>45658</v>
      </c>
      <c r="J21" s="3">
        <v>45658</v>
      </c>
      <c r="K21" s="3">
        <v>45900</v>
      </c>
      <c r="L21" s="2">
        <v>20411454</v>
      </c>
      <c r="M21" s="2" t="s">
        <v>32</v>
      </c>
      <c r="N21" s="2" t="s">
        <v>100</v>
      </c>
      <c r="O21" s="2">
        <v>500.67</v>
      </c>
      <c r="P21" s="2">
        <v>83.33</v>
      </c>
      <c r="Q21" s="2" t="s">
        <v>92</v>
      </c>
      <c r="T21" s="2">
        <f>125/12*8</f>
        <v>83.333333333333329</v>
      </c>
    </row>
    <row r="22" spans="1:20" x14ac:dyDescent="0.25">
      <c r="A22" s="2" t="s">
        <v>68</v>
      </c>
      <c r="B22" s="2" t="str">
        <f t="shared" si="2"/>
        <v>2G93HJ2DH9388</v>
      </c>
      <c r="C22" s="2" t="s">
        <v>101</v>
      </c>
      <c r="D22" s="2" t="s">
        <v>102</v>
      </c>
      <c r="E22" s="2" t="s">
        <v>103</v>
      </c>
      <c r="F22" s="2" t="str">
        <f t="shared" si="0"/>
        <v>ALBERT KJELLESVIK</v>
      </c>
      <c r="G22" s="2" t="s">
        <v>37</v>
      </c>
      <c r="H22" s="2" t="s">
        <v>29</v>
      </c>
      <c r="I22" s="3">
        <v>45658</v>
      </c>
      <c r="J22" s="3">
        <v>45658</v>
      </c>
      <c r="K22" s="3">
        <v>45900</v>
      </c>
      <c r="L22" s="2">
        <v>20411454</v>
      </c>
      <c r="M22" s="2" t="s">
        <v>32</v>
      </c>
      <c r="N22" s="2" t="s">
        <v>100</v>
      </c>
      <c r="O22" s="2">
        <v>-751</v>
      </c>
      <c r="P22" s="2">
        <v>-125</v>
      </c>
      <c r="Q22" s="2" t="s">
        <v>92</v>
      </c>
    </row>
    <row r="23" spans="1:20" x14ac:dyDescent="0.25">
      <c r="A23" s="2" t="s">
        <v>74</v>
      </c>
      <c r="B23" s="2" t="str">
        <f t="shared" si="2"/>
        <v>8JQ8VN7MC2288</v>
      </c>
      <c r="C23" s="2" t="s">
        <v>124</v>
      </c>
      <c r="D23" s="2" t="s">
        <v>108</v>
      </c>
      <c r="E23" s="2" t="s">
        <v>125</v>
      </c>
      <c r="F23" s="2" t="str">
        <f t="shared" si="0"/>
        <v>STEVEN MINTO</v>
      </c>
      <c r="G23" s="2" t="s">
        <v>42</v>
      </c>
      <c r="H23" s="2" t="s">
        <v>29</v>
      </c>
      <c r="I23" s="3">
        <v>45901</v>
      </c>
      <c r="J23" s="3">
        <v>45901</v>
      </c>
      <c r="L23" s="2">
        <v>20411454</v>
      </c>
      <c r="M23" s="2" t="s">
        <v>32</v>
      </c>
      <c r="N23" s="2" t="s">
        <v>100</v>
      </c>
      <c r="O23" s="2">
        <v>13.33</v>
      </c>
      <c r="P23" s="2">
        <v>13.33</v>
      </c>
      <c r="Q23" s="2" t="s">
        <v>92</v>
      </c>
    </row>
    <row r="24" spans="1:20" x14ac:dyDescent="0.25">
      <c r="A24" s="2" t="s">
        <v>78</v>
      </c>
      <c r="B24" s="2" t="str">
        <f t="shared" si="2"/>
        <v>9GR5WG9VU7788</v>
      </c>
      <c r="C24" s="2" t="s">
        <v>116</v>
      </c>
      <c r="D24" s="2" t="s">
        <v>117</v>
      </c>
      <c r="E24" s="2" t="s">
        <v>118</v>
      </c>
      <c r="F24" s="2" t="str">
        <f t="shared" si="0"/>
        <v>TRICIA SLEZAK</v>
      </c>
      <c r="G24" s="2" t="s">
        <v>42</v>
      </c>
      <c r="H24" s="2" t="s">
        <v>29</v>
      </c>
      <c r="I24" s="3">
        <v>45901</v>
      </c>
      <c r="J24" s="3">
        <v>45901</v>
      </c>
      <c r="L24" s="2">
        <v>20411454</v>
      </c>
      <c r="M24" s="2" t="s">
        <v>32</v>
      </c>
      <c r="N24" s="2" t="s">
        <v>100</v>
      </c>
      <c r="O24" s="2">
        <v>146</v>
      </c>
      <c r="P24" s="2">
        <v>41.67</v>
      </c>
      <c r="Q24" s="2" t="s">
        <v>92</v>
      </c>
    </row>
    <row r="25" spans="1:20" x14ac:dyDescent="0.25">
      <c r="A25" s="2" t="s">
        <v>85</v>
      </c>
      <c r="B25" s="2" t="str">
        <f t="shared" si="2"/>
        <v>8CP0NT0JC2188</v>
      </c>
      <c r="C25" s="2" t="s">
        <v>119</v>
      </c>
      <c r="D25" s="2" t="s">
        <v>114</v>
      </c>
      <c r="E25" s="2" t="s">
        <v>120</v>
      </c>
      <c r="F25" s="2" t="str">
        <f t="shared" si="0"/>
        <v>STEPHEN SMITH</v>
      </c>
      <c r="G25" s="2" t="s">
        <v>42</v>
      </c>
      <c r="H25" s="2" t="s">
        <v>29</v>
      </c>
      <c r="I25" s="3">
        <v>45901</v>
      </c>
      <c r="J25" s="3">
        <v>45901</v>
      </c>
      <c r="L25" s="2">
        <v>20411454</v>
      </c>
      <c r="M25" s="2" t="s">
        <v>32</v>
      </c>
      <c r="N25" s="2" t="s">
        <v>100</v>
      </c>
      <c r="O25" s="2">
        <v>146</v>
      </c>
      <c r="P25" s="2">
        <v>41.67</v>
      </c>
      <c r="Q25" s="2" t="s">
        <v>92</v>
      </c>
    </row>
    <row r="26" spans="1:20" x14ac:dyDescent="0.25">
      <c r="I26" s="3"/>
      <c r="J26" s="3"/>
    </row>
    <row r="27" spans="1:20" x14ac:dyDescent="0.25">
      <c r="I27" s="3"/>
      <c r="J27" s="3"/>
    </row>
    <row r="28" spans="1:20" x14ac:dyDescent="0.25">
      <c r="I28" s="3"/>
      <c r="J28" s="3"/>
    </row>
    <row r="29" spans="1:20" x14ac:dyDescent="0.25">
      <c r="I29" s="3"/>
      <c r="J29" s="3"/>
    </row>
    <row r="30" spans="1:20" x14ac:dyDescent="0.25">
      <c r="I30" s="3"/>
      <c r="J30" s="3"/>
    </row>
    <row r="31" spans="1:20" x14ac:dyDescent="0.25">
      <c r="I31" s="3"/>
      <c r="J31" s="3"/>
    </row>
    <row r="32" spans="1:20" x14ac:dyDescent="0.25">
      <c r="I32" s="3"/>
      <c r="J32" s="3"/>
    </row>
    <row r="33" spans="9:10" x14ac:dyDescent="0.25">
      <c r="I33" s="3"/>
      <c r="J33" s="3"/>
    </row>
    <row r="34" spans="9:10" x14ac:dyDescent="0.25">
      <c r="I34" s="3"/>
      <c r="J34" s="3"/>
    </row>
    <row r="35" spans="9:10" x14ac:dyDescent="0.25">
      <c r="I35" s="3"/>
      <c r="J35" s="3"/>
    </row>
    <row r="36" spans="9:10" x14ac:dyDescent="0.25">
      <c r="I36" s="3"/>
      <c r="J36" s="3"/>
    </row>
    <row r="37" spans="9:10" x14ac:dyDescent="0.25">
      <c r="I37" s="3"/>
      <c r="J37" s="3"/>
    </row>
    <row r="38" spans="9:10" x14ac:dyDescent="0.25">
      <c r="I38" s="3"/>
      <c r="J38" s="3"/>
    </row>
    <row r="39" spans="9:10" x14ac:dyDescent="0.25">
      <c r="I39" s="3"/>
      <c r="J39" s="3"/>
    </row>
    <row r="40" spans="9:10" x14ac:dyDescent="0.25">
      <c r="I40" s="3"/>
      <c r="J40" s="3"/>
    </row>
    <row r="41" spans="9:10" x14ac:dyDescent="0.25">
      <c r="I41" s="3"/>
      <c r="J41" s="3"/>
    </row>
    <row r="42" spans="9:10" x14ac:dyDescent="0.25">
      <c r="I42" s="3"/>
      <c r="J42" s="3"/>
    </row>
  </sheetData>
  <sortState xmlns:xlrd2="http://schemas.microsoft.com/office/spreadsheetml/2017/richdata2" ref="A2:AB25">
    <sortCondition ref="Q2:Q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2025-09-11T17:25:55Z</dcterms:created>
  <dcterms:modified xsi:type="dcterms:W3CDTF">2025-09-11T20:50:41Z</dcterms:modified>
</cp:coreProperties>
</file>