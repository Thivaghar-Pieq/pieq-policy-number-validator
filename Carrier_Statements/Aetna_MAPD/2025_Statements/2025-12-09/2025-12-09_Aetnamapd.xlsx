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2-9-25\"/>
    </mc:Choice>
  </mc:AlternateContent>
  <xr:revisionPtr revIDLastSave="0" documentId="13_ncr:1_{FFFA819A-6744-47C6-BF3B-300FE4EC21C5}" xr6:coauthVersionLast="47" xr6:coauthVersionMax="47" xr10:uidLastSave="{00000000-0000-0000-0000-000000000000}"/>
  <bookViews>
    <workbookView xWindow="28680" yWindow="-120" windowWidth="29040" windowHeight="16440" activeTab="1" xr2:uid="{8D95CB0C-633D-4E85-8498-80ACDAEE327E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2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" i="2"/>
  <c r="B3" i="2"/>
  <c r="B2" i="2"/>
</calcChain>
</file>

<file path=xl/sharedStrings.xml><?xml version="1.0" encoding="utf-8"?>
<sst xmlns="http://schemas.openxmlformats.org/spreadsheetml/2006/main" count="932" uniqueCount="273">
  <si>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</si>
  <si>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</si>
  <si>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</si>
  <si>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</si>
  <si>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</si>
  <si>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</si>
  <si>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</si>
  <si>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</si>
  <si>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</si>
  <si>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</si>
  <si>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</si>
  <si>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</si>
  <si>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</si>
  <si>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</si>
  <si>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</si>
  <si>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</si>
  <si>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</si>
  <si>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</si>
  <si>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</si>
  <si>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</si>
  <si>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</si>
  <si>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</si>
  <si>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</si>
  <si>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</si>
  <si>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5PA4AQ3RG93</t>
  </si>
  <si>
    <t>NG101137276600</t>
  </si>
  <si>
    <t>ALTON M,ALICIA</t>
  </si>
  <si>
    <t>IL</t>
  </si>
  <si>
    <t>Channel Change</t>
  </si>
  <si>
    <t>MAPD</t>
  </si>
  <si>
    <t>IMM606</t>
  </si>
  <si>
    <t>H7301-002</t>
  </si>
  <si>
    <t>LOA</t>
  </si>
  <si>
    <t>Roller, Jason</t>
  </si>
  <si>
    <t>MMO</t>
  </si>
  <si>
    <t>Main Line Benefits LLC</t>
  </si>
  <si>
    <t xml:space="preserve">N  </t>
  </si>
  <si>
    <t>9RY7NQ8UN78</t>
  </si>
  <si>
    <t>NG102230808100</t>
  </si>
  <si>
    <t>BENTLEY J,BEVERLY</t>
  </si>
  <si>
    <t>PA</t>
  </si>
  <si>
    <t>New Business</t>
  </si>
  <si>
    <t>MA</t>
  </si>
  <si>
    <t>IMM608</t>
  </si>
  <si>
    <t>H3959-041</t>
  </si>
  <si>
    <t>Powers, Timothy</t>
  </si>
  <si>
    <t>3NW2HP8RG81</t>
  </si>
  <si>
    <t>NG102230278700</t>
  </si>
  <si>
    <t>BORISH L,PATRICIA</t>
  </si>
  <si>
    <t>IMM619</t>
  </si>
  <si>
    <t>H7301-009</t>
  </si>
  <si>
    <t>Deaton, Pamela</t>
  </si>
  <si>
    <t>2YH0UR6KG39</t>
  </si>
  <si>
    <t>NG102230025800</t>
  </si>
  <si>
    <t>BRADDOCK E,GEORGE</t>
  </si>
  <si>
    <t>WI</t>
  </si>
  <si>
    <t>H5521-195</t>
  </si>
  <si>
    <t>Hodgman, Timothy</t>
  </si>
  <si>
    <t>1RY4F15PV03</t>
  </si>
  <si>
    <t>NG102230014500</t>
  </si>
  <si>
    <t>BRADDOCK S,PEGGY</t>
  </si>
  <si>
    <t>7NG3V94GN14</t>
  </si>
  <si>
    <t>MEQNQMZM00001984088</t>
  </si>
  <si>
    <t>CRAIG E,ARNETTA</t>
  </si>
  <si>
    <t>H9771-001</t>
  </si>
  <si>
    <t>Portugal, Gary</t>
  </si>
  <si>
    <t>7MW5M47WX83</t>
  </si>
  <si>
    <t>NG102230720100</t>
  </si>
  <si>
    <t>DEVOS,TERRY</t>
  </si>
  <si>
    <t>OH</t>
  </si>
  <si>
    <t>IMM617</t>
  </si>
  <si>
    <t>H0628-005</t>
  </si>
  <si>
    <t>Shepard, Jill</t>
  </si>
  <si>
    <t>4Y25VA8MN71</t>
  </si>
  <si>
    <t>NG102230347100</t>
  </si>
  <si>
    <t>DISKIN A,RONALD</t>
  </si>
  <si>
    <t>H7301-021</t>
  </si>
  <si>
    <t>3DM7HN3MK36</t>
  </si>
  <si>
    <t>NG102230203400</t>
  </si>
  <si>
    <t>DISKIN A,SANDRA</t>
  </si>
  <si>
    <t>1ME1T05UA32</t>
  </si>
  <si>
    <t>MEQNQMZM00001912124</t>
  </si>
  <si>
    <t>DUFFIELD L,PEGGY</t>
  </si>
  <si>
    <t>MI</t>
  </si>
  <si>
    <t>H9314-001</t>
  </si>
  <si>
    <t>Brousseau, Christopher</t>
  </si>
  <si>
    <t>3AM7J02HP59</t>
  </si>
  <si>
    <t>NG101131798400</t>
  </si>
  <si>
    <t>FINLEY A,JOYCE</t>
  </si>
  <si>
    <t>FRITZ, CAROL</t>
  </si>
  <si>
    <t>1GJ9RG6QW13</t>
  </si>
  <si>
    <t>NG102230319400</t>
  </si>
  <si>
    <t>HARVEY M,KAREN</t>
  </si>
  <si>
    <t>H0628-033</t>
  </si>
  <si>
    <t>BRANDT, STEVEN</t>
  </si>
  <si>
    <t>9G48E16DN63</t>
  </si>
  <si>
    <t>NG102230373800</t>
  </si>
  <si>
    <t>HILL J,BARBARA</t>
  </si>
  <si>
    <t>H7301-007</t>
  </si>
  <si>
    <t>Sherman, Matthew</t>
  </si>
  <si>
    <t>8QG2AG6WT88</t>
  </si>
  <si>
    <t>NG102230090800</t>
  </si>
  <si>
    <t>HILL L,WILLIAM</t>
  </si>
  <si>
    <t>4YR1M28DC33</t>
  </si>
  <si>
    <t>NG102230703000</t>
  </si>
  <si>
    <t>HINCHBERGER L,LINDA</t>
  </si>
  <si>
    <t>H5522-005</t>
  </si>
  <si>
    <t>7MP6NU2CX48</t>
  </si>
  <si>
    <t>NG101049220800</t>
  </si>
  <si>
    <t>HOMISON J,FRANK</t>
  </si>
  <si>
    <t>Pro-Rata Payment</t>
  </si>
  <si>
    <t>H3959-036</t>
  </si>
  <si>
    <t>GMO</t>
  </si>
  <si>
    <t>Pro-Rata Disenroll</t>
  </si>
  <si>
    <t>8EP4UE8GD82</t>
  </si>
  <si>
    <t>NG102229878600</t>
  </si>
  <si>
    <t>HOWE M,EULA</t>
  </si>
  <si>
    <t>H5522-001</t>
  </si>
  <si>
    <t>Inskipt, Deborah</t>
  </si>
  <si>
    <t>7W63N60FK73</t>
  </si>
  <si>
    <t>NG102230820400</t>
  </si>
  <si>
    <t>KINSEY R,MICHELE</t>
  </si>
  <si>
    <t>6VQ9T78XG36</t>
  </si>
  <si>
    <t>NG102230700500</t>
  </si>
  <si>
    <t>KULUSIC C,MARY</t>
  </si>
  <si>
    <t>H5521-086</t>
  </si>
  <si>
    <t>SCHUMANN, BARRY</t>
  </si>
  <si>
    <t>8QA9R20GW26</t>
  </si>
  <si>
    <t>NG101130395600</t>
  </si>
  <si>
    <t>LAMBERT G,VELMA</t>
  </si>
  <si>
    <t>1K07AY5VY30</t>
  </si>
  <si>
    <t>NG102231450200</t>
  </si>
  <si>
    <t>NAYDIHOR,DAVID</t>
  </si>
  <si>
    <t>OH9999999</t>
  </si>
  <si>
    <t>ME0000OH</t>
  </si>
  <si>
    <t>OHIO, JANE</t>
  </si>
  <si>
    <t>HRA</t>
  </si>
  <si>
    <t>PPO</t>
  </si>
  <si>
    <t>H5521-087</t>
  </si>
  <si>
    <t>HRA/T1250333121831A/18142208/RAPE_GILBERT</t>
  </si>
  <si>
    <t>MAIN LINE BENEFITS LLC</t>
  </si>
  <si>
    <t>N/A</t>
  </si>
  <si>
    <t>HRA/I856I7132R/19491313/BOWEN_GAYLE</t>
  </si>
  <si>
    <t>4TN1XD7KR22</t>
  </si>
  <si>
    <t>NG102230117000</t>
  </si>
  <si>
    <t>OLDEEN A,GARY</t>
  </si>
  <si>
    <t>DUNAVANT, MICHAEL</t>
  </si>
  <si>
    <t>9R30VQ4GH28</t>
  </si>
  <si>
    <t>NG102229802600</t>
  </si>
  <si>
    <t>PAXTON A,GREGG</t>
  </si>
  <si>
    <t>7U18UJ0NU25</t>
  </si>
  <si>
    <t>NG102229934600</t>
  </si>
  <si>
    <t>RINER S,BRENDA</t>
  </si>
  <si>
    <t>H3192-013</t>
  </si>
  <si>
    <t>6D41TD9DG98</t>
  </si>
  <si>
    <t>NG102230343100</t>
  </si>
  <si>
    <t>ROBINSON G,CYNTHIA</t>
  </si>
  <si>
    <t>7YW0HF3YU01</t>
  </si>
  <si>
    <t>NG101351741000</t>
  </si>
  <si>
    <t>ROGERS A,JOCELYN</t>
  </si>
  <si>
    <t>IN</t>
  </si>
  <si>
    <t>Voluntarily Rapid Disenroll</t>
  </si>
  <si>
    <t>H3192-005</t>
  </si>
  <si>
    <t>Yale, Richard</t>
  </si>
  <si>
    <t>8RY1JU7YP10</t>
  </si>
  <si>
    <t>NG102090618000</t>
  </si>
  <si>
    <t>SINGH T,NAYAN</t>
  </si>
  <si>
    <t>H5521-016</t>
  </si>
  <si>
    <t>4F23TR0JG76</t>
  </si>
  <si>
    <t>NG102230810500</t>
  </si>
  <si>
    <t>SMART K,SANDRA</t>
  </si>
  <si>
    <t>H5521-231</t>
  </si>
  <si>
    <t>Green, Danna</t>
  </si>
  <si>
    <t>6EA5ND2DN79</t>
  </si>
  <si>
    <t>NG102083459200</t>
  </si>
  <si>
    <t>SOMMERS F,THOMAS</t>
  </si>
  <si>
    <t>H7301-015</t>
  </si>
  <si>
    <t>Walenga, Dale</t>
  </si>
  <si>
    <t>4KF1FD8RU18</t>
  </si>
  <si>
    <t>NG101457065800</t>
  </si>
  <si>
    <t>STANCY C,MARY</t>
  </si>
  <si>
    <t>Involuntarily Rapid Disenroll</t>
  </si>
  <si>
    <t>H1206-004</t>
  </si>
  <si>
    <t>8M17MG5UQ52</t>
  </si>
  <si>
    <t>MEQNPDZM00002451399</t>
  </si>
  <si>
    <t>THAMMAVONG,KHAM</t>
  </si>
  <si>
    <t>THANADABOUTH, PATSAMON</t>
  </si>
  <si>
    <t>8N90NT6CD39</t>
  </si>
  <si>
    <t>NG101626134200</t>
  </si>
  <si>
    <t>WARRINGTON E,MARJORIE</t>
  </si>
  <si>
    <t>IA</t>
  </si>
  <si>
    <t>IMM610</t>
  </si>
  <si>
    <t>H1609-068</t>
  </si>
  <si>
    <t>SANTOS, RICARDO</t>
  </si>
  <si>
    <t>7PU8FG1GA64</t>
  </si>
  <si>
    <t>NG102152552400</t>
  </si>
  <si>
    <t>WILKER,KEVIN</t>
  </si>
  <si>
    <t>H3959-011</t>
  </si>
  <si>
    <t>7RP5Q59RV86</t>
  </si>
  <si>
    <t>MEQNDVYM00000136973</t>
  </si>
  <si>
    <t>WILSON M,JEANNE</t>
  </si>
  <si>
    <t>Portugal, Stacey</t>
  </si>
  <si>
    <t>8HM9QJ1HN28</t>
  </si>
  <si>
    <t>NG102229932000</t>
  </si>
  <si>
    <t>ZIMMER G,EDITH</t>
  </si>
  <si>
    <t>Aetna MAPD OVR 2025</t>
  </si>
  <si>
    <t>Aetna MAPD 2025*</t>
  </si>
  <si>
    <t>[%/$=313][prorate=12/12]</t>
  </si>
  <si>
    <t>Main Line Benefits</t>
  </si>
  <si>
    <t>SOMMERS</t>
  </si>
  <si>
    <t>THOMAS</t>
  </si>
  <si>
    <t>WARRINGTON</t>
  </si>
  <si>
    <t>MARJORIE</t>
  </si>
  <si>
    <t>STANCY</t>
  </si>
  <si>
    <t>MARY</t>
  </si>
  <si>
    <t>ROGERS</t>
  </si>
  <si>
    <t>JOCELYN</t>
  </si>
  <si>
    <t>HOMISON</t>
  </si>
  <si>
    <t>FRANK</t>
  </si>
  <si>
    <t>BENTLEY</t>
  </si>
  <si>
    <t>BEVERLY</t>
  </si>
  <si>
    <t>HINCHBERGER</t>
  </si>
  <si>
    <t>LINDA</t>
  </si>
  <si>
    <t>HOWE</t>
  </si>
  <si>
    <t>EULA</t>
  </si>
  <si>
    <t>LAMBERT</t>
  </si>
  <si>
    <t>VELMA</t>
  </si>
  <si>
    <t>PAXTON</t>
  </si>
  <si>
    <t>GREGG</t>
  </si>
  <si>
    <t>ALTON</t>
  </si>
  <si>
    <t>ALICIA</t>
  </si>
  <si>
    <t>BORISH</t>
  </si>
  <si>
    <t>PATRICIA</t>
  </si>
  <si>
    <t>BRADDOCK</t>
  </si>
  <si>
    <t>GEORGE</t>
  </si>
  <si>
    <t>PEGGY</t>
  </si>
  <si>
    <t>CRAIG</t>
  </si>
  <si>
    <t>ARNETTA</t>
  </si>
  <si>
    <t>DEVOS</t>
  </si>
  <si>
    <t>TERRY</t>
  </si>
  <si>
    <t>DISKIN</t>
  </si>
  <si>
    <t>RONALD</t>
  </si>
  <si>
    <t>SANDRA</t>
  </si>
  <si>
    <t>DUFFIELD</t>
  </si>
  <si>
    <t>FINLEY</t>
  </si>
  <si>
    <t>JOYCE</t>
  </si>
  <si>
    <t>HARVEY</t>
  </si>
  <si>
    <t>KAREN</t>
  </si>
  <si>
    <t>HILL</t>
  </si>
  <si>
    <t>BARBARA</t>
  </si>
  <si>
    <t>WILLIAM</t>
  </si>
  <si>
    <t>KINSEY</t>
  </si>
  <si>
    <t>MICHELE</t>
  </si>
  <si>
    <t>KULUSIC</t>
  </si>
  <si>
    <t>NAYDIHOR</t>
  </si>
  <si>
    <t>DAVID</t>
  </si>
  <si>
    <t>OLDEEN</t>
  </si>
  <si>
    <t>GARY</t>
  </si>
  <si>
    <t>RINER</t>
  </si>
  <si>
    <t>BRENDA</t>
  </si>
  <si>
    <t>ROBINSON</t>
  </si>
  <si>
    <t>CYNTHIA</t>
  </si>
  <si>
    <t>SINGH</t>
  </si>
  <si>
    <t>NAYAN</t>
  </si>
  <si>
    <t>SMART</t>
  </si>
  <si>
    <t>THAMMAVONG</t>
  </si>
  <si>
    <t>KHAM</t>
  </si>
  <si>
    <t>WILKER</t>
  </si>
  <si>
    <t>KEVIN</t>
  </si>
  <si>
    <t>WILSON</t>
  </si>
  <si>
    <t>JEANNE</t>
  </si>
  <si>
    <t>ZIMMER</t>
  </si>
  <si>
    <t>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</si>
</sst>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22E-A591-402F-AEAD-13F3081A5B86}">
  <dimension ref="A1:X197"/>
  <sheetViews>
    <sheetView topLeftCell="I1" workbookViewId="0">
      <selection activeCell="U1" sqref="U1:U1048576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25.85546875" bestFit="1" customWidth="1"/>
    <col min="6" max="6" width="13.7109375" bestFit="1" customWidth="1"/>
    <col min="7" max="7" width="26.7109375" bestFit="1" customWidth="1"/>
    <col min="8" max="8" width="7.85546875" bestFit="1" customWidth="1"/>
    <col min="9" max="9" width="8" bestFit="1" customWidth="1"/>
    <col min="10" max="10" width="10" bestFit="1" customWidth="1"/>
    <col min="11" max="11" width="50.5703125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46000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16228684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150</v>
      </c>
      <c r="V2" t="s">
        <v>36</v>
      </c>
      <c r="W2" s="1">
        <v>45971</v>
      </c>
      <c r="X2">
        <v>2025</v>
      </c>
    </row>
    <row r="3" spans="1:24" x14ac:dyDescent="0.25">
      <c r="A3" s="1">
        <v>46000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L3" s="1">
        <v>46023</v>
      </c>
      <c r="M3" s="1">
        <v>46023</v>
      </c>
      <c r="O3">
        <v>17886092</v>
      </c>
      <c r="P3" t="s">
        <v>32</v>
      </c>
      <c r="Q3" t="s">
        <v>45</v>
      </c>
      <c r="R3">
        <v>8192</v>
      </c>
      <c r="S3" t="s">
        <v>34</v>
      </c>
      <c r="T3" t="s">
        <v>35</v>
      </c>
      <c r="U3">
        <v>65</v>
      </c>
      <c r="V3" t="s">
        <v>36</v>
      </c>
      <c r="W3" s="1">
        <v>45980</v>
      </c>
      <c r="X3">
        <v>2025</v>
      </c>
    </row>
    <row r="4" spans="1:24" x14ac:dyDescent="0.25">
      <c r="A4" s="1">
        <v>46000</v>
      </c>
      <c r="B4" t="s">
        <v>46</v>
      </c>
      <c r="C4" t="s">
        <v>47</v>
      </c>
      <c r="E4" t="s">
        <v>48</v>
      </c>
      <c r="F4" t="s">
        <v>27</v>
      </c>
      <c r="G4" t="s">
        <v>41</v>
      </c>
      <c r="H4" t="s">
        <v>29</v>
      </c>
      <c r="I4" t="s">
        <v>49</v>
      </c>
      <c r="J4" t="s">
        <v>50</v>
      </c>
      <c r="L4" s="1">
        <v>46023</v>
      </c>
      <c r="M4" s="1">
        <v>46023</v>
      </c>
      <c r="O4">
        <v>8244481</v>
      </c>
      <c r="P4" t="s">
        <v>32</v>
      </c>
      <c r="Q4" t="s">
        <v>51</v>
      </c>
      <c r="R4">
        <v>8192</v>
      </c>
      <c r="S4" t="s">
        <v>34</v>
      </c>
      <c r="T4" t="s">
        <v>35</v>
      </c>
      <c r="U4">
        <v>150</v>
      </c>
      <c r="V4" t="s">
        <v>36</v>
      </c>
      <c r="W4" s="1">
        <v>45980</v>
      </c>
      <c r="X4">
        <v>2025</v>
      </c>
    </row>
    <row r="5" spans="1:24" x14ac:dyDescent="0.25">
      <c r="A5" s="1">
        <v>46000</v>
      </c>
      <c r="B5" t="s">
        <v>52</v>
      </c>
      <c r="C5" t="s">
        <v>53</v>
      </c>
      <c r="E5" t="s">
        <v>54</v>
      </c>
      <c r="F5" t="s">
        <v>55</v>
      </c>
      <c r="G5" t="s">
        <v>41</v>
      </c>
      <c r="H5" t="s">
        <v>29</v>
      </c>
      <c r="I5" t="s">
        <v>30</v>
      </c>
      <c r="J5" t="s">
        <v>56</v>
      </c>
      <c r="L5" s="1">
        <v>46023</v>
      </c>
      <c r="M5" s="1">
        <v>46023</v>
      </c>
      <c r="O5">
        <v>18581063</v>
      </c>
      <c r="P5" t="s">
        <v>32</v>
      </c>
      <c r="Q5" t="s">
        <v>57</v>
      </c>
      <c r="R5">
        <v>8192</v>
      </c>
      <c r="S5" t="s">
        <v>34</v>
      </c>
      <c r="T5" t="s">
        <v>35</v>
      </c>
      <c r="U5">
        <v>150</v>
      </c>
      <c r="V5" t="s">
        <v>36</v>
      </c>
      <c r="W5" s="1">
        <v>45980</v>
      </c>
      <c r="X5">
        <v>2025</v>
      </c>
    </row>
    <row r="6" spans="1:24" x14ac:dyDescent="0.25">
      <c r="A6" s="1">
        <v>46000</v>
      </c>
      <c r="B6" t="s">
        <v>58</v>
      </c>
      <c r="C6" t="s">
        <v>59</v>
      </c>
      <c r="E6" t="s">
        <v>60</v>
      </c>
      <c r="F6" t="s">
        <v>55</v>
      </c>
      <c r="G6" t="s">
        <v>41</v>
      </c>
      <c r="H6" t="s">
        <v>29</v>
      </c>
      <c r="I6" t="s">
        <v>30</v>
      </c>
      <c r="J6" t="s">
        <v>56</v>
      </c>
      <c r="L6" s="1">
        <v>46023</v>
      </c>
      <c r="M6" s="1">
        <v>46023</v>
      </c>
      <c r="O6">
        <v>18581063</v>
      </c>
      <c r="P6" t="s">
        <v>32</v>
      </c>
      <c r="Q6" t="s">
        <v>57</v>
      </c>
      <c r="R6">
        <v>8192</v>
      </c>
      <c r="S6" t="s">
        <v>34</v>
      </c>
      <c r="T6" t="s">
        <v>35</v>
      </c>
      <c r="U6">
        <v>150</v>
      </c>
      <c r="V6" t="s">
        <v>36</v>
      </c>
      <c r="W6" s="1">
        <v>45980</v>
      </c>
      <c r="X6">
        <v>2025</v>
      </c>
    </row>
    <row r="7" spans="1:24" x14ac:dyDescent="0.25">
      <c r="A7" s="1">
        <v>46000</v>
      </c>
      <c r="B7" t="s">
        <v>61</v>
      </c>
      <c r="C7" t="s">
        <v>62</v>
      </c>
      <c r="E7" t="s">
        <v>63</v>
      </c>
      <c r="F7" t="s">
        <v>27</v>
      </c>
      <c r="G7" t="s">
        <v>41</v>
      </c>
      <c r="H7" t="s">
        <v>29</v>
      </c>
      <c r="I7" t="s">
        <v>30</v>
      </c>
      <c r="J7" t="s">
        <v>64</v>
      </c>
      <c r="L7" s="1">
        <v>46023</v>
      </c>
      <c r="M7" s="1">
        <v>46023</v>
      </c>
      <c r="O7">
        <v>9213293</v>
      </c>
      <c r="P7" t="s">
        <v>32</v>
      </c>
      <c r="Q7" t="s">
        <v>65</v>
      </c>
      <c r="R7">
        <v>8192</v>
      </c>
      <c r="S7" t="s">
        <v>34</v>
      </c>
      <c r="T7" t="s">
        <v>35</v>
      </c>
      <c r="U7">
        <v>150</v>
      </c>
      <c r="V7" t="s">
        <v>36</v>
      </c>
      <c r="W7" s="1">
        <v>45971</v>
      </c>
      <c r="X7">
        <v>2025</v>
      </c>
    </row>
    <row r="8" spans="1:24" x14ac:dyDescent="0.25">
      <c r="A8" s="1">
        <v>46000</v>
      </c>
      <c r="B8" t="s">
        <v>66</v>
      </c>
      <c r="C8" t="s">
        <v>67</v>
      </c>
      <c r="E8" t="s">
        <v>68</v>
      </c>
      <c r="F8" t="s">
        <v>69</v>
      </c>
      <c r="G8" t="s">
        <v>41</v>
      </c>
      <c r="H8" t="s">
        <v>29</v>
      </c>
      <c r="I8" t="s">
        <v>70</v>
      </c>
      <c r="J8" t="s">
        <v>71</v>
      </c>
      <c r="L8" s="1">
        <v>46023</v>
      </c>
      <c r="M8" s="1">
        <v>46023</v>
      </c>
      <c r="O8">
        <v>18142208</v>
      </c>
      <c r="P8" t="s">
        <v>32</v>
      </c>
      <c r="Q8" t="s">
        <v>72</v>
      </c>
      <c r="R8">
        <v>8192</v>
      </c>
      <c r="S8" t="s">
        <v>34</v>
      </c>
      <c r="T8" t="s">
        <v>35</v>
      </c>
      <c r="U8">
        <v>150</v>
      </c>
      <c r="V8" t="s">
        <v>36</v>
      </c>
      <c r="W8" s="1">
        <v>45980</v>
      </c>
      <c r="X8">
        <v>2025</v>
      </c>
    </row>
    <row r="9" spans="1:24" x14ac:dyDescent="0.25">
      <c r="A9" s="1">
        <v>46000</v>
      </c>
      <c r="B9" t="s">
        <v>73</v>
      </c>
      <c r="C9" t="s">
        <v>74</v>
      </c>
      <c r="E9" t="s">
        <v>75</v>
      </c>
      <c r="F9" t="s">
        <v>27</v>
      </c>
      <c r="G9" t="s">
        <v>41</v>
      </c>
      <c r="H9" t="s">
        <v>29</v>
      </c>
      <c r="I9" t="s">
        <v>30</v>
      </c>
      <c r="J9" t="s">
        <v>76</v>
      </c>
      <c r="L9" s="1">
        <v>46023</v>
      </c>
      <c r="M9" s="1">
        <v>46023</v>
      </c>
      <c r="O9">
        <v>16228684</v>
      </c>
      <c r="P9" t="s">
        <v>32</v>
      </c>
      <c r="Q9" t="s">
        <v>33</v>
      </c>
      <c r="R9">
        <v>8192</v>
      </c>
      <c r="S9" t="s">
        <v>34</v>
      </c>
      <c r="T9" t="s">
        <v>35</v>
      </c>
      <c r="U9">
        <v>150</v>
      </c>
      <c r="V9" t="s">
        <v>36</v>
      </c>
      <c r="W9" s="1">
        <v>45980</v>
      </c>
      <c r="X9">
        <v>2025</v>
      </c>
    </row>
    <row r="10" spans="1:24" x14ac:dyDescent="0.25">
      <c r="A10" s="1">
        <v>46000</v>
      </c>
      <c r="B10" t="s">
        <v>77</v>
      </c>
      <c r="C10" t="s">
        <v>78</v>
      </c>
      <c r="E10" t="s">
        <v>79</v>
      </c>
      <c r="F10" t="s">
        <v>27</v>
      </c>
      <c r="G10" t="s">
        <v>41</v>
      </c>
      <c r="H10" t="s">
        <v>29</v>
      </c>
      <c r="I10" t="s">
        <v>30</v>
      </c>
      <c r="J10" t="s">
        <v>76</v>
      </c>
      <c r="L10" s="1">
        <v>46023</v>
      </c>
      <c r="M10" s="1">
        <v>46023</v>
      </c>
      <c r="O10">
        <v>16228684</v>
      </c>
      <c r="P10" t="s">
        <v>32</v>
      </c>
      <c r="Q10" t="s">
        <v>33</v>
      </c>
      <c r="R10">
        <v>8192</v>
      </c>
      <c r="S10" t="s">
        <v>34</v>
      </c>
      <c r="T10" t="s">
        <v>35</v>
      </c>
      <c r="U10">
        <v>150</v>
      </c>
      <c r="V10" t="s">
        <v>36</v>
      </c>
      <c r="W10" s="1">
        <v>45980</v>
      </c>
      <c r="X10">
        <v>2025</v>
      </c>
    </row>
    <row r="11" spans="1:24" x14ac:dyDescent="0.25">
      <c r="A11" s="1">
        <v>46000</v>
      </c>
      <c r="B11" t="s">
        <v>80</v>
      </c>
      <c r="C11" t="s">
        <v>81</v>
      </c>
      <c r="E11" t="s">
        <v>82</v>
      </c>
      <c r="F11" t="s">
        <v>83</v>
      </c>
      <c r="G11" t="s">
        <v>41</v>
      </c>
      <c r="H11" t="s">
        <v>29</v>
      </c>
      <c r="I11" t="s">
        <v>30</v>
      </c>
      <c r="J11" t="s">
        <v>84</v>
      </c>
      <c r="L11" s="1">
        <v>46023</v>
      </c>
      <c r="M11" s="1">
        <v>46023</v>
      </c>
      <c r="O11">
        <v>21435997</v>
      </c>
      <c r="P11" t="s">
        <v>32</v>
      </c>
      <c r="Q11" t="s">
        <v>85</v>
      </c>
      <c r="R11">
        <v>8192</v>
      </c>
      <c r="S11" t="s">
        <v>34</v>
      </c>
      <c r="T11" t="s">
        <v>35</v>
      </c>
      <c r="U11">
        <v>150</v>
      </c>
      <c r="V11" t="s">
        <v>36</v>
      </c>
      <c r="W11" s="1">
        <v>45976</v>
      </c>
      <c r="X11">
        <v>2025</v>
      </c>
    </row>
    <row r="12" spans="1:24" x14ac:dyDescent="0.25">
      <c r="A12" s="1">
        <v>46000</v>
      </c>
      <c r="B12" t="s">
        <v>86</v>
      </c>
      <c r="C12" t="s">
        <v>87</v>
      </c>
      <c r="E12" t="s">
        <v>88</v>
      </c>
      <c r="F12" t="s">
        <v>27</v>
      </c>
      <c r="G12" t="s">
        <v>41</v>
      </c>
      <c r="H12" t="s">
        <v>29</v>
      </c>
      <c r="I12" t="s">
        <v>49</v>
      </c>
      <c r="J12" t="s">
        <v>50</v>
      </c>
      <c r="L12" s="1">
        <v>46023</v>
      </c>
      <c r="M12" s="1">
        <v>46023</v>
      </c>
      <c r="O12">
        <v>19268643</v>
      </c>
      <c r="P12" t="s">
        <v>32</v>
      </c>
      <c r="Q12" t="s">
        <v>89</v>
      </c>
      <c r="R12">
        <v>8192</v>
      </c>
      <c r="S12" t="s">
        <v>34</v>
      </c>
      <c r="T12" t="s">
        <v>35</v>
      </c>
      <c r="U12">
        <v>150</v>
      </c>
      <c r="V12" t="s">
        <v>36</v>
      </c>
      <c r="W12" s="1">
        <v>45980</v>
      </c>
      <c r="X12">
        <v>2025</v>
      </c>
    </row>
    <row r="13" spans="1:24" x14ac:dyDescent="0.25">
      <c r="A13" s="1">
        <v>46000</v>
      </c>
      <c r="B13" t="s">
        <v>90</v>
      </c>
      <c r="C13" t="s">
        <v>91</v>
      </c>
      <c r="E13" t="s">
        <v>92</v>
      </c>
      <c r="F13" t="s">
        <v>69</v>
      </c>
      <c r="G13" t="s">
        <v>41</v>
      </c>
      <c r="H13" t="s">
        <v>29</v>
      </c>
      <c r="I13" t="s">
        <v>70</v>
      </c>
      <c r="J13" t="s">
        <v>93</v>
      </c>
      <c r="L13" s="1">
        <v>46023</v>
      </c>
      <c r="M13" s="1">
        <v>46023</v>
      </c>
      <c r="O13">
        <v>19491313</v>
      </c>
      <c r="P13" t="s">
        <v>32</v>
      </c>
      <c r="Q13" t="s">
        <v>94</v>
      </c>
      <c r="R13">
        <v>8192</v>
      </c>
      <c r="S13" t="s">
        <v>34</v>
      </c>
      <c r="T13" t="s">
        <v>35</v>
      </c>
      <c r="U13">
        <v>150</v>
      </c>
      <c r="V13" t="s">
        <v>36</v>
      </c>
      <c r="W13" s="1">
        <v>45980</v>
      </c>
      <c r="X13">
        <v>2025</v>
      </c>
    </row>
    <row r="14" spans="1:24" x14ac:dyDescent="0.25">
      <c r="A14" s="1">
        <v>46000</v>
      </c>
      <c r="B14" t="s">
        <v>95</v>
      </c>
      <c r="C14" t="s">
        <v>96</v>
      </c>
      <c r="E14" t="s">
        <v>97</v>
      </c>
      <c r="F14" t="s">
        <v>27</v>
      </c>
      <c r="G14" t="s">
        <v>41</v>
      </c>
      <c r="H14" t="s">
        <v>29</v>
      </c>
      <c r="I14" t="s">
        <v>49</v>
      </c>
      <c r="J14" t="s">
        <v>98</v>
      </c>
      <c r="L14" s="1">
        <v>46023</v>
      </c>
      <c r="M14" s="1">
        <v>46023</v>
      </c>
      <c r="O14">
        <v>8812322</v>
      </c>
      <c r="P14" t="s">
        <v>32</v>
      </c>
      <c r="Q14" t="s">
        <v>99</v>
      </c>
      <c r="R14">
        <v>8192</v>
      </c>
      <c r="S14" t="s">
        <v>34</v>
      </c>
      <c r="T14" t="s">
        <v>35</v>
      </c>
      <c r="U14">
        <v>150</v>
      </c>
      <c r="V14" t="s">
        <v>36</v>
      </c>
      <c r="W14" s="1">
        <v>45980</v>
      </c>
      <c r="X14">
        <v>2025</v>
      </c>
    </row>
    <row r="15" spans="1:24" x14ac:dyDescent="0.25">
      <c r="A15" s="1">
        <v>46000</v>
      </c>
      <c r="B15" t="s">
        <v>100</v>
      </c>
      <c r="C15" t="s">
        <v>101</v>
      </c>
      <c r="E15" t="s">
        <v>102</v>
      </c>
      <c r="F15" t="s">
        <v>27</v>
      </c>
      <c r="G15" t="s">
        <v>41</v>
      </c>
      <c r="H15" t="s">
        <v>29</v>
      </c>
      <c r="I15" t="s">
        <v>49</v>
      </c>
      <c r="J15" t="s">
        <v>98</v>
      </c>
      <c r="L15" s="1">
        <v>46023</v>
      </c>
      <c r="M15" s="1">
        <v>46023</v>
      </c>
      <c r="O15">
        <v>8812322</v>
      </c>
      <c r="P15" t="s">
        <v>32</v>
      </c>
      <c r="Q15" t="s">
        <v>99</v>
      </c>
      <c r="R15">
        <v>8192</v>
      </c>
      <c r="S15" t="s">
        <v>34</v>
      </c>
      <c r="T15" t="s">
        <v>35</v>
      </c>
      <c r="U15">
        <v>150</v>
      </c>
      <c r="V15" t="s">
        <v>36</v>
      </c>
      <c r="W15" s="1">
        <v>45980</v>
      </c>
      <c r="X15">
        <v>2025</v>
      </c>
    </row>
    <row r="16" spans="1:24" x14ac:dyDescent="0.25">
      <c r="A16" s="1">
        <v>46000</v>
      </c>
      <c r="B16" t="s">
        <v>103</v>
      </c>
      <c r="C16" t="s">
        <v>104</v>
      </c>
      <c r="E16" t="s">
        <v>105</v>
      </c>
      <c r="F16" t="s">
        <v>40</v>
      </c>
      <c r="G16" t="s">
        <v>41</v>
      </c>
      <c r="H16" t="s">
        <v>29</v>
      </c>
      <c r="I16" t="s">
        <v>43</v>
      </c>
      <c r="J16" t="s">
        <v>106</v>
      </c>
      <c r="L16" s="1">
        <v>46023</v>
      </c>
      <c r="M16" s="1">
        <v>46023</v>
      </c>
      <c r="O16">
        <v>17886092</v>
      </c>
      <c r="P16" t="s">
        <v>32</v>
      </c>
      <c r="Q16" t="s">
        <v>45</v>
      </c>
      <c r="R16">
        <v>8192</v>
      </c>
      <c r="S16" t="s">
        <v>34</v>
      </c>
      <c r="T16" t="s">
        <v>35</v>
      </c>
      <c r="U16">
        <v>65</v>
      </c>
      <c r="V16" t="s">
        <v>36</v>
      </c>
      <c r="W16" s="1">
        <v>45980</v>
      </c>
      <c r="X16">
        <v>2025</v>
      </c>
    </row>
    <row r="17" spans="1:24" x14ac:dyDescent="0.25">
      <c r="A17" s="1">
        <v>46000</v>
      </c>
      <c r="B17" t="s">
        <v>107</v>
      </c>
      <c r="C17" t="s">
        <v>108</v>
      </c>
      <c r="E17" t="s">
        <v>109</v>
      </c>
      <c r="F17" t="s">
        <v>40</v>
      </c>
      <c r="G17" t="s">
        <v>110</v>
      </c>
      <c r="H17" t="s">
        <v>29</v>
      </c>
      <c r="I17" t="s">
        <v>43</v>
      </c>
      <c r="J17" t="s">
        <v>111</v>
      </c>
      <c r="L17" s="1">
        <v>45658</v>
      </c>
      <c r="M17" s="1">
        <v>45658</v>
      </c>
      <c r="N17" s="1">
        <v>45991</v>
      </c>
      <c r="O17">
        <v>17886092</v>
      </c>
      <c r="P17" t="s">
        <v>32</v>
      </c>
      <c r="Q17" t="s">
        <v>45</v>
      </c>
      <c r="R17">
        <v>8192</v>
      </c>
      <c r="S17" t="s">
        <v>112</v>
      </c>
      <c r="T17" t="s">
        <v>35</v>
      </c>
      <c r="U17">
        <v>36.67</v>
      </c>
      <c r="V17" t="s">
        <v>36</v>
      </c>
      <c r="W17" s="1">
        <v>45630</v>
      </c>
      <c r="X17">
        <v>2025</v>
      </c>
    </row>
    <row r="18" spans="1:24" x14ac:dyDescent="0.25">
      <c r="A18" s="1">
        <v>46000</v>
      </c>
      <c r="B18" t="s">
        <v>107</v>
      </c>
      <c r="C18" t="s">
        <v>108</v>
      </c>
      <c r="E18" t="s">
        <v>109</v>
      </c>
      <c r="F18" t="s">
        <v>40</v>
      </c>
      <c r="G18" t="s">
        <v>113</v>
      </c>
      <c r="H18" t="s">
        <v>29</v>
      </c>
      <c r="I18" t="s">
        <v>43</v>
      </c>
      <c r="J18" t="s">
        <v>111</v>
      </c>
      <c r="L18" s="1">
        <v>45658</v>
      </c>
      <c r="M18" s="1">
        <v>45658</v>
      </c>
      <c r="N18" s="1">
        <v>45991</v>
      </c>
      <c r="O18">
        <v>17886092</v>
      </c>
      <c r="P18" t="s">
        <v>32</v>
      </c>
      <c r="Q18" t="s">
        <v>45</v>
      </c>
      <c r="R18">
        <v>8192</v>
      </c>
      <c r="S18" t="s">
        <v>112</v>
      </c>
      <c r="T18" t="s">
        <v>35</v>
      </c>
      <c r="U18">
        <v>-40</v>
      </c>
      <c r="V18" t="s">
        <v>36</v>
      </c>
      <c r="W18" s="1">
        <v>45630</v>
      </c>
      <c r="X18">
        <v>2025</v>
      </c>
    </row>
    <row r="19" spans="1:24" x14ac:dyDescent="0.25">
      <c r="A19" s="1">
        <v>46000</v>
      </c>
      <c r="B19" t="s">
        <v>114</v>
      </c>
      <c r="C19" t="s">
        <v>115</v>
      </c>
      <c r="E19" t="s">
        <v>116</v>
      </c>
      <c r="F19" t="s">
        <v>40</v>
      </c>
      <c r="G19" t="s">
        <v>41</v>
      </c>
      <c r="H19" t="s">
        <v>29</v>
      </c>
      <c r="I19" t="s">
        <v>43</v>
      </c>
      <c r="J19" t="s">
        <v>117</v>
      </c>
      <c r="L19" s="1">
        <v>46023</v>
      </c>
      <c r="M19" s="1">
        <v>46023</v>
      </c>
      <c r="O19">
        <v>17528908</v>
      </c>
      <c r="P19" t="s">
        <v>32</v>
      </c>
      <c r="Q19" t="s">
        <v>118</v>
      </c>
      <c r="R19">
        <v>8192</v>
      </c>
      <c r="S19" t="s">
        <v>34</v>
      </c>
      <c r="T19" t="s">
        <v>35</v>
      </c>
      <c r="U19">
        <v>135</v>
      </c>
      <c r="V19" t="s">
        <v>36</v>
      </c>
      <c r="W19" s="1">
        <v>45976</v>
      </c>
      <c r="X19">
        <v>2025</v>
      </c>
    </row>
    <row r="20" spans="1:24" x14ac:dyDescent="0.25">
      <c r="A20" s="1">
        <v>46000</v>
      </c>
      <c r="B20" t="s">
        <v>119</v>
      </c>
      <c r="C20" t="s">
        <v>120</v>
      </c>
      <c r="E20" t="s">
        <v>121</v>
      </c>
      <c r="F20" t="s">
        <v>69</v>
      </c>
      <c r="G20" t="s">
        <v>41</v>
      </c>
      <c r="H20" t="s">
        <v>29</v>
      </c>
      <c r="I20" t="s">
        <v>70</v>
      </c>
      <c r="J20" t="s">
        <v>71</v>
      </c>
      <c r="L20" s="1">
        <v>46023</v>
      </c>
      <c r="M20" s="1">
        <v>46023</v>
      </c>
      <c r="O20">
        <v>18142208</v>
      </c>
      <c r="P20" t="s">
        <v>32</v>
      </c>
      <c r="Q20" t="s">
        <v>72</v>
      </c>
      <c r="R20">
        <v>8192</v>
      </c>
      <c r="S20" t="s">
        <v>34</v>
      </c>
      <c r="T20" t="s">
        <v>35</v>
      </c>
      <c r="U20">
        <v>150</v>
      </c>
      <c r="V20" t="s">
        <v>36</v>
      </c>
      <c r="W20" s="1">
        <v>45980</v>
      </c>
      <c r="X20">
        <v>2025</v>
      </c>
    </row>
    <row r="21" spans="1:24" x14ac:dyDescent="0.25">
      <c r="A21" s="1">
        <v>46000</v>
      </c>
      <c r="B21" t="s">
        <v>122</v>
      </c>
      <c r="C21" t="s">
        <v>123</v>
      </c>
      <c r="E21" t="s">
        <v>124</v>
      </c>
      <c r="F21" t="s">
        <v>27</v>
      </c>
      <c r="G21" t="s">
        <v>41</v>
      </c>
      <c r="H21" t="s">
        <v>29</v>
      </c>
      <c r="I21" t="s">
        <v>30</v>
      </c>
      <c r="J21" t="s">
        <v>125</v>
      </c>
      <c r="L21" s="1">
        <v>46023</v>
      </c>
      <c r="M21" s="1">
        <v>46023</v>
      </c>
      <c r="O21">
        <v>19586992</v>
      </c>
      <c r="P21" t="s">
        <v>32</v>
      </c>
      <c r="Q21" t="s">
        <v>126</v>
      </c>
      <c r="R21">
        <v>8192</v>
      </c>
      <c r="S21" t="s">
        <v>34</v>
      </c>
      <c r="T21" t="s">
        <v>35</v>
      </c>
      <c r="U21">
        <v>150</v>
      </c>
      <c r="V21" t="s">
        <v>36</v>
      </c>
      <c r="W21" s="1">
        <v>45980</v>
      </c>
      <c r="X21">
        <v>2025</v>
      </c>
    </row>
    <row r="22" spans="1:24" x14ac:dyDescent="0.25">
      <c r="A22" s="1">
        <v>46000</v>
      </c>
      <c r="B22" t="s">
        <v>127</v>
      </c>
      <c r="C22" t="s">
        <v>128</v>
      </c>
      <c r="E22" t="s">
        <v>129</v>
      </c>
      <c r="F22" t="s">
        <v>27</v>
      </c>
      <c r="G22" t="s">
        <v>41</v>
      </c>
      <c r="H22" t="s">
        <v>29</v>
      </c>
      <c r="I22" t="s">
        <v>49</v>
      </c>
      <c r="J22" t="s">
        <v>50</v>
      </c>
      <c r="L22" s="1">
        <v>46023</v>
      </c>
      <c r="M22" s="1">
        <v>46023</v>
      </c>
      <c r="O22">
        <v>19268643</v>
      </c>
      <c r="P22" t="s">
        <v>32</v>
      </c>
      <c r="Q22" t="s">
        <v>89</v>
      </c>
      <c r="R22">
        <v>8192</v>
      </c>
      <c r="S22" t="s">
        <v>34</v>
      </c>
      <c r="T22" t="s">
        <v>35</v>
      </c>
      <c r="U22">
        <v>135</v>
      </c>
      <c r="V22" t="s">
        <v>36</v>
      </c>
      <c r="W22" s="1">
        <v>45980</v>
      </c>
      <c r="X22">
        <v>2025</v>
      </c>
    </row>
    <row r="23" spans="1:24" x14ac:dyDescent="0.25">
      <c r="A23" s="1">
        <v>46000</v>
      </c>
      <c r="B23" t="s">
        <v>130</v>
      </c>
      <c r="C23" t="s">
        <v>131</v>
      </c>
      <c r="E23" t="s">
        <v>132</v>
      </c>
      <c r="F23" t="s">
        <v>55</v>
      </c>
      <c r="G23" t="s">
        <v>41</v>
      </c>
      <c r="H23" t="s">
        <v>29</v>
      </c>
      <c r="I23" t="s">
        <v>30</v>
      </c>
      <c r="J23" t="s">
        <v>56</v>
      </c>
      <c r="L23" s="1">
        <v>46023</v>
      </c>
      <c r="M23" s="1">
        <v>46023</v>
      </c>
      <c r="O23">
        <v>18581063</v>
      </c>
      <c r="P23" t="s">
        <v>32</v>
      </c>
      <c r="Q23" t="s">
        <v>57</v>
      </c>
      <c r="R23">
        <v>8192</v>
      </c>
      <c r="S23" t="s">
        <v>34</v>
      </c>
      <c r="T23" t="s">
        <v>35</v>
      </c>
      <c r="U23">
        <v>150</v>
      </c>
      <c r="V23" t="s">
        <v>36</v>
      </c>
      <c r="W23" s="1">
        <v>45981</v>
      </c>
      <c r="X23">
        <v>2025</v>
      </c>
    </row>
    <row r="24" spans="1:24" x14ac:dyDescent="0.25">
      <c r="A24" s="1">
        <v>46000</v>
      </c>
      <c r="B24" t="s">
        <v>133</v>
      </c>
      <c r="C24" t="s">
        <v>134</v>
      </c>
      <c r="E24" t="s">
        <v>135</v>
      </c>
      <c r="F24" t="s">
        <v>69</v>
      </c>
      <c r="G24" t="s">
        <v>136</v>
      </c>
      <c r="H24" t="s">
        <v>137</v>
      </c>
      <c r="I24" t="s">
        <v>70</v>
      </c>
      <c r="J24" t="s">
        <v>138</v>
      </c>
      <c r="K24" t="s">
        <v>139</v>
      </c>
      <c r="L24" s="1">
        <v>45992</v>
      </c>
      <c r="M24" s="1">
        <v>44562</v>
      </c>
      <c r="R24">
        <v>8192</v>
      </c>
      <c r="T24" t="s">
        <v>140</v>
      </c>
      <c r="U24">
        <v>55</v>
      </c>
      <c r="V24" t="s">
        <v>141</v>
      </c>
      <c r="W24" s="1">
        <v>44501</v>
      </c>
      <c r="X24">
        <v>2025</v>
      </c>
    </row>
    <row r="25" spans="1:24" x14ac:dyDescent="0.25">
      <c r="A25" s="1">
        <v>46000</v>
      </c>
      <c r="B25" t="s">
        <v>133</v>
      </c>
      <c r="C25" t="s">
        <v>134</v>
      </c>
      <c r="E25" t="s">
        <v>135</v>
      </c>
      <c r="F25" t="s">
        <v>69</v>
      </c>
      <c r="G25" t="s">
        <v>136</v>
      </c>
      <c r="H25" t="s">
        <v>137</v>
      </c>
      <c r="I25" t="s">
        <v>70</v>
      </c>
      <c r="J25" t="s">
        <v>138</v>
      </c>
      <c r="K25" t="s">
        <v>142</v>
      </c>
      <c r="L25" s="1">
        <v>45992</v>
      </c>
      <c r="M25" s="1">
        <v>44562</v>
      </c>
      <c r="R25">
        <v>8192</v>
      </c>
      <c r="T25" t="s">
        <v>140</v>
      </c>
      <c r="U25">
        <v>55</v>
      </c>
      <c r="V25" t="s">
        <v>141</v>
      </c>
      <c r="W25" s="1">
        <v>44501</v>
      </c>
      <c r="X25">
        <v>2025</v>
      </c>
    </row>
    <row r="26" spans="1:24" x14ac:dyDescent="0.25">
      <c r="A26" s="1">
        <v>46000</v>
      </c>
      <c r="B26" t="s">
        <v>143</v>
      </c>
      <c r="C26" t="s">
        <v>144</v>
      </c>
      <c r="E26" t="s">
        <v>145</v>
      </c>
      <c r="F26" t="s">
        <v>27</v>
      </c>
      <c r="G26" t="s">
        <v>41</v>
      </c>
      <c r="H26" t="s">
        <v>29</v>
      </c>
      <c r="I26" t="s">
        <v>49</v>
      </c>
      <c r="J26" t="s">
        <v>50</v>
      </c>
      <c r="L26" s="1">
        <v>46023</v>
      </c>
      <c r="M26" s="1">
        <v>46023</v>
      </c>
      <c r="O26">
        <v>18828278</v>
      </c>
      <c r="P26" t="s">
        <v>32</v>
      </c>
      <c r="Q26" t="s">
        <v>146</v>
      </c>
      <c r="R26">
        <v>8192</v>
      </c>
      <c r="S26" t="s">
        <v>34</v>
      </c>
      <c r="T26" t="s">
        <v>35</v>
      </c>
      <c r="U26">
        <v>150</v>
      </c>
      <c r="V26" t="s">
        <v>36</v>
      </c>
      <c r="W26" s="1">
        <v>45980</v>
      </c>
      <c r="X26">
        <v>2025</v>
      </c>
    </row>
    <row r="27" spans="1:24" x14ac:dyDescent="0.25">
      <c r="A27" s="1">
        <v>46000</v>
      </c>
      <c r="B27" t="s">
        <v>147</v>
      </c>
      <c r="C27" t="s">
        <v>148</v>
      </c>
      <c r="E27" t="s">
        <v>149</v>
      </c>
      <c r="F27" t="s">
        <v>27</v>
      </c>
      <c r="G27" t="s">
        <v>41</v>
      </c>
      <c r="H27" t="s">
        <v>29</v>
      </c>
      <c r="I27" t="s">
        <v>49</v>
      </c>
      <c r="J27" t="s">
        <v>98</v>
      </c>
      <c r="L27" s="1">
        <v>46023</v>
      </c>
      <c r="M27" s="1">
        <v>46023</v>
      </c>
      <c r="O27">
        <v>18828278</v>
      </c>
      <c r="P27" t="s">
        <v>32</v>
      </c>
      <c r="Q27" t="s">
        <v>146</v>
      </c>
      <c r="R27">
        <v>8192</v>
      </c>
      <c r="S27" t="s">
        <v>34</v>
      </c>
      <c r="T27" t="s">
        <v>35</v>
      </c>
      <c r="U27">
        <v>135</v>
      </c>
      <c r="V27" t="s">
        <v>36</v>
      </c>
      <c r="W27" s="1">
        <v>45978</v>
      </c>
      <c r="X27">
        <v>2025</v>
      </c>
    </row>
    <row r="28" spans="1:24" x14ac:dyDescent="0.25">
      <c r="A28" s="1">
        <v>46000</v>
      </c>
      <c r="B28" t="s">
        <v>150</v>
      </c>
      <c r="C28" t="s">
        <v>151</v>
      </c>
      <c r="E28" t="s">
        <v>152</v>
      </c>
      <c r="F28" t="s">
        <v>27</v>
      </c>
      <c r="G28" t="s">
        <v>41</v>
      </c>
      <c r="H28" t="s">
        <v>29</v>
      </c>
      <c r="I28" t="s">
        <v>30</v>
      </c>
      <c r="J28" t="s">
        <v>153</v>
      </c>
      <c r="L28" s="1">
        <v>46023</v>
      </c>
      <c r="M28" s="1">
        <v>46023</v>
      </c>
      <c r="O28">
        <v>16228684</v>
      </c>
      <c r="P28" t="s">
        <v>32</v>
      </c>
      <c r="Q28" t="s">
        <v>33</v>
      </c>
      <c r="R28">
        <v>8192</v>
      </c>
      <c r="S28" t="s">
        <v>34</v>
      </c>
      <c r="T28" t="s">
        <v>35</v>
      </c>
      <c r="U28">
        <v>150</v>
      </c>
      <c r="V28" t="s">
        <v>36</v>
      </c>
      <c r="W28" s="1">
        <v>45980</v>
      </c>
      <c r="X28">
        <v>2025</v>
      </c>
    </row>
    <row r="29" spans="1:24" x14ac:dyDescent="0.25">
      <c r="A29" s="1">
        <v>46000</v>
      </c>
      <c r="B29" t="s">
        <v>154</v>
      </c>
      <c r="C29" t="s">
        <v>155</v>
      </c>
      <c r="E29" t="s">
        <v>156</v>
      </c>
      <c r="F29" t="s">
        <v>27</v>
      </c>
      <c r="G29" t="s">
        <v>41</v>
      </c>
      <c r="H29" t="s">
        <v>29</v>
      </c>
      <c r="I29" t="s">
        <v>49</v>
      </c>
      <c r="J29" t="s">
        <v>50</v>
      </c>
      <c r="L29" s="1">
        <v>46023</v>
      </c>
      <c r="M29" s="1">
        <v>46023</v>
      </c>
      <c r="O29">
        <v>8244481</v>
      </c>
      <c r="P29" t="s">
        <v>32</v>
      </c>
      <c r="Q29" t="s">
        <v>51</v>
      </c>
      <c r="R29">
        <v>8192</v>
      </c>
      <c r="S29" t="s">
        <v>34</v>
      </c>
      <c r="T29" t="s">
        <v>35</v>
      </c>
      <c r="U29">
        <v>150</v>
      </c>
      <c r="V29" t="s">
        <v>36</v>
      </c>
      <c r="W29" s="1">
        <v>45980</v>
      </c>
      <c r="X29">
        <v>2025</v>
      </c>
    </row>
    <row r="30" spans="1:24" x14ac:dyDescent="0.25">
      <c r="A30" s="1">
        <v>46000</v>
      </c>
      <c r="B30" t="s">
        <v>157</v>
      </c>
      <c r="C30" t="s">
        <v>158</v>
      </c>
      <c r="E30" t="s">
        <v>159</v>
      </c>
      <c r="F30" t="s">
        <v>160</v>
      </c>
      <c r="G30" t="s">
        <v>161</v>
      </c>
      <c r="H30" t="s">
        <v>29</v>
      </c>
      <c r="I30" t="s">
        <v>30</v>
      </c>
      <c r="J30" t="s">
        <v>162</v>
      </c>
      <c r="L30" s="1">
        <v>46023</v>
      </c>
      <c r="M30" s="1">
        <v>46023</v>
      </c>
      <c r="N30" s="1">
        <v>46023</v>
      </c>
      <c r="O30">
        <v>16633294</v>
      </c>
      <c r="P30" t="s">
        <v>32</v>
      </c>
      <c r="Q30" t="s">
        <v>163</v>
      </c>
      <c r="R30">
        <v>8192</v>
      </c>
      <c r="S30" t="s">
        <v>34</v>
      </c>
      <c r="T30" t="s">
        <v>35</v>
      </c>
      <c r="U30">
        <v>-135</v>
      </c>
      <c r="V30" t="s">
        <v>36</v>
      </c>
      <c r="W30" s="1">
        <v>45946</v>
      </c>
      <c r="X30">
        <v>2025</v>
      </c>
    </row>
    <row r="31" spans="1:24" x14ac:dyDescent="0.25">
      <c r="A31" s="1">
        <v>46000</v>
      </c>
      <c r="B31" t="s">
        <v>164</v>
      </c>
      <c r="C31" t="s">
        <v>165</v>
      </c>
      <c r="E31" t="s">
        <v>166</v>
      </c>
      <c r="F31" t="s">
        <v>27</v>
      </c>
      <c r="G31" t="s">
        <v>41</v>
      </c>
      <c r="H31" t="s">
        <v>29</v>
      </c>
      <c r="I31" t="s">
        <v>30</v>
      </c>
      <c r="J31" t="s">
        <v>167</v>
      </c>
      <c r="L31" s="1">
        <v>46023</v>
      </c>
      <c r="M31" s="1">
        <v>46023</v>
      </c>
      <c r="O31">
        <v>9213293</v>
      </c>
      <c r="P31" t="s">
        <v>32</v>
      </c>
      <c r="Q31" t="s">
        <v>65</v>
      </c>
      <c r="R31">
        <v>8192</v>
      </c>
      <c r="S31" t="s">
        <v>34</v>
      </c>
      <c r="T31" t="s">
        <v>35</v>
      </c>
      <c r="U31">
        <v>150</v>
      </c>
      <c r="V31" t="s">
        <v>36</v>
      </c>
      <c r="W31" s="1">
        <v>45980</v>
      </c>
      <c r="X31">
        <v>2025</v>
      </c>
    </row>
    <row r="32" spans="1:24" x14ac:dyDescent="0.25">
      <c r="A32" s="1">
        <v>46000</v>
      </c>
      <c r="B32" t="s">
        <v>168</v>
      </c>
      <c r="C32" t="s">
        <v>169</v>
      </c>
      <c r="E32" t="s">
        <v>170</v>
      </c>
      <c r="F32" t="s">
        <v>160</v>
      </c>
      <c r="G32" t="s">
        <v>41</v>
      </c>
      <c r="H32" t="s">
        <v>29</v>
      </c>
      <c r="I32" t="s">
        <v>30</v>
      </c>
      <c r="J32" t="s">
        <v>171</v>
      </c>
      <c r="L32" s="1">
        <v>46023</v>
      </c>
      <c r="M32" s="1">
        <v>46023</v>
      </c>
      <c r="O32">
        <v>16849453</v>
      </c>
      <c r="P32" t="s">
        <v>32</v>
      </c>
      <c r="Q32" t="s">
        <v>172</v>
      </c>
      <c r="R32">
        <v>8192</v>
      </c>
      <c r="S32" t="s">
        <v>34</v>
      </c>
      <c r="T32" t="s">
        <v>35</v>
      </c>
      <c r="U32">
        <v>150</v>
      </c>
      <c r="V32" t="s">
        <v>36</v>
      </c>
      <c r="W32" s="1">
        <v>45980</v>
      </c>
      <c r="X32">
        <v>2025</v>
      </c>
    </row>
    <row r="33" spans="1:24" x14ac:dyDescent="0.25">
      <c r="A33" s="1">
        <v>46000</v>
      </c>
      <c r="B33" t="s">
        <v>173</v>
      </c>
      <c r="C33" t="s">
        <v>174</v>
      </c>
      <c r="E33" t="s">
        <v>175</v>
      </c>
      <c r="F33" t="s">
        <v>27</v>
      </c>
      <c r="G33" t="s">
        <v>110</v>
      </c>
      <c r="H33" t="s">
        <v>29</v>
      </c>
      <c r="I33" t="s">
        <v>30</v>
      </c>
      <c r="J33" t="s">
        <v>176</v>
      </c>
      <c r="L33" s="1">
        <v>45658</v>
      </c>
      <c r="M33" s="1">
        <v>45658</v>
      </c>
      <c r="N33" s="1">
        <v>45991</v>
      </c>
      <c r="O33">
        <v>8325282</v>
      </c>
      <c r="P33" t="s">
        <v>32</v>
      </c>
      <c r="Q33" t="s">
        <v>177</v>
      </c>
      <c r="R33">
        <v>8192</v>
      </c>
      <c r="S33" t="s">
        <v>112</v>
      </c>
      <c r="T33" t="s">
        <v>35</v>
      </c>
      <c r="U33">
        <v>401.5</v>
      </c>
      <c r="V33" t="s">
        <v>36</v>
      </c>
      <c r="W33" s="1">
        <v>45597</v>
      </c>
      <c r="X33">
        <v>2025</v>
      </c>
    </row>
    <row r="34" spans="1:24" x14ac:dyDescent="0.25">
      <c r="A34" s="1">
        <v>46000</v>
      </c>
      <c r="B34" t="s">
        <v>173</v>
      </c>
      <c r="C34" t="s">
        <v>174</v>
      </c>
      <c r="E34" t="s">
        <v>175</v>
      </c>
      <c r="F34" t="s">
        <v>27</v>
      </c>
      <c r="G34" t="s">
        <v>113</v>
      </c>
      <c r="H34" t="s">
        <v>29</v>
      </c>
      <c r="I34" t="s">
        <v>30</v>
      </c>
      <c r="J34" t="s">
        <v>176</v>
      </c>
      <c r="L34" s="1">
        <v>45658</v>
      </c>
      <c r="M34" s="1">
        <v>45658</v>
      </c>
      <c r="N34" s="1">
        <v>45991</v>
      </c>
      <c r="O34">
        <v>8325282</v>
      </c>
      <c r="P34" t="s">
        <v>32</v>
      </c>
      <c r="Q34" t="s">
        <v>177</v>
      </c>
      <c r="R34">
        <v>8192</v>
      </c>
      <c r="S34" t="s">
        <v>112</v>
      </c>
      <c r="T34" t="s">
        <v>35</v>
      </c>
      <c r="U34">
        <v>-438</v>
      </c>
      <c r="V34" t="s">
        <v>36</v>
      </c>
      <c r="W34" s="1">
        <v>45597</v>
      </c>
      <c r="X34">
        <v>2025</v>
      </c>
    </row>
    <row r="35" spans="1:24" x14ac:dyDescent="0.25">
      <c r="A35" s="1">
        <v>46000</v>
      </c>
      <c r="B35" t="s">
        <v>178</v>
      </c>
      <c r="C35" t="s">
        <v>179</v>
      </c>
      <c r="E35" t="s">
        <v>180</v>
      </c>
      <c r="F35" t="s">
        <v>27</v>
      </c>
      <c r="G35" t="s">
        <v>181</v>
      </c>
      <c r="H35" t="s">
        <v>29</v>
      </c>
      <c r="I35" t="s">
        <v>30</v>
      </c>
      <c r="J35" t="s">
        <v>182</v>
      </c>
      <c r="L35" s="1">
        <v>46023</v>
      </c>
      <c r="M35" s="1">
        <v>46023</v>
      </c>
      <c r="N35" s="1">
        <v>46023</v>
      </c>
      <c r="O35">
        <v>8325282</v>
      </c>
      <c r="P35" t="s">
        <v>32</v>
      </c>
      <c r="Q35" t="s">
        <v>177</v>
      </c>
      <c r="R35">
        <v>8192</v>
      </c>
      <c r="S35" t="s">
        <v>34</v>
      </c>
      <c r="T35" t="s">
        <v>35</v>
      </c>
      <c r="U35">
        <v>-135</v>
      </c>
      <c r="V35" t="s">
        <v>36</v>
      </c>
      <c r="W35" s="1">
        <v>45968</v>
      </c>
      <c r="X35">
        <v>2025</v>
      </c>
    </row>
    <row r="36" spans="1:24" x14ac:dyDescent="0.25">
      <c r="A36" s="1">
        <v>46000</v>
      </c>
      <c r="B36" t="s">
        <v>183</v>
      </c>
      <c r="C36" t="s">
        <v>184</v>
      </c>
      <c r="E36" t="s">
        <v>185</v>
      </c>
      <c r="F36" t="s">
        <v>27</v>
      </c>
      <c r="G36" t="s">
        <v>41</v>
      </c>
      <c r="H36" t="s">
        <v>29</v>
      </c>
      <c r="I36" t="s">
        <v>30</v>
      </c>
      <c r="J36" t="s">
        <v>64</v>
      </c>
      <c r="L36" s="1">
        <v>46023</v>
      </c>
      <c r="M36" s="1">
        <v>46023</v>
      </c>
      <c r="O36">
        <v>8405446</v>
      </c>
      <c r="P36" t="s">
        <v>32</v>
      </c>
      <c r="Q36" t="s">
        <v>186</v>
      </c>
      <c r="R36">
        <v>8192</v>
      </c>
      <c r="S36" t="s">
        <v>34</v>
      </c>
      <c r="T36" t="s">
        <v>35</v>
      </c>
      <c r="U36">
        <v>150</v>
      </c>
      <c r="V36" t="s">
        <v>36</v>
      </c>
      <c r="W36" s="1">
        <v>45968</v>
      </c>
      <c r="X36">
        <v>2025</v>
      </c>
    </row>
    <row r="37" spans="1:24" x14ac:dyDescent="0.25">
      <c r="A37" s="1">
        <v>46000</v>
      </c>
      <c r="B37" t="s">
        <v>187</v>
      </c>
      <c r="C37" t="s">
        <v>188</v>
      </c>
      <c r="E37" t="s">
        <v>189</v>
      </c>
      <c r="F37" t="s">
        <v>190</v>
      </c>
      <c r="G37" t="s">
        <v>28</v>
      </c>
      <c r="H37" t="s">
        <v>29</v>
      </c>
      <c r="I37" t="s">
        <v>191</v>
      </c>
      <c r="J37" t="s">
        <v>192</v>
      </c>
      <c r="L37" s="1">
        <v>46023</v>
      </c>
      <c r="M37" s="1">
        <v>46023</v>
      </c>
      <c r="O37">
        <v>19200754</v>
      </c>
      <c r="P37" t="s">
        <v>32</v>
      </c>
      <c r="Q37" t="s">
        <v>193</v>
      </c>
      <c r="R37">
        <v>8192</v>
      </c>
      <c r="S37" t="s">
        <v>34</v>
      </c>
      <c r="T37" t="s">
        <v>35</v>
      </c>
      <c r="U37">
        <v>-150</v>
      </c>
      <c r="V37" t="s">
        <v>36</v>
      </c>
      <c r="W37" s="1">
        <v>45974</v>
      </c>
      <c r="X37">
        <v>2025</v>
      </c>
    </row>
    <row r="38" spans="1:24" x14ac:dyDescent="0.25">
      <c r="A38" s="1">
        <v>46000</v>
      </c>
      <c r="B38" t="s">
        <v>194</v>
      </c>
      <c r="C38" t="s">
        <v>195</v>
      </c>
      <c r="E38" t="s">
        <v>196</v>
      </c>
      <c r="F38" t="s">
        <v>40</v>
      </c>
      <c r="G38" t="s">
        <v>41</v>
      </c>
      <c r="H38" t="s">
        <v>29</v>
      </c>
      <c r="I38" t="s">
        <v>43</v>
      </c>
      <c r="J38" t="s">
        <v>197</v>
      </c>
      <c r="L38" s="1">
        <v>46023</v>
      </c>
      <c r="M38" s="1">
        <v>46023</v>
      </c>
      <c r="O38">
        <v>17528908</v>
      </c>
      <c r="P38" t="s">
        <v>32</v>
      </c>
      <c r="Q38" t="s">
        <v>118</v>
      </c>
      <c r="R38">
        <v>8192</v>
      </c>
      <c r="S38" t="s">
        <v>34</v>
      </c>
      <c r="T38" t="s">
        <v>35</v>
      </c>
      <c r="U38">
        <v>150</v>
      </c>
      <c r="V38" t="s">
        <v>36</v>
      </c>
      <c r="W38" s="1">
        <v>45973</v>
      </c>
      <c r="X38">
        <v>2025</v>
      </c>
    </row>
    <row r="39" spans="1:24" x14ac:dyDescent="0.25">
      <c r="A39" s="1">
        <v>46000</v>
      </c>
      <c r="B39" t="s">
        <v>198</v>
      </c>
      <c r="C39" t="s">
        <v>199</v>
      </c>
      <c r="E39" t="s">
        <v>200</v>
      </c>
      <c r="F39" t="s">
        <v>27</v>
      </c>
      <c r="G39" t="s">
        <v>41</v>
      </c>
      <c r="H39" t="s">
        <v>29</v>
      </c>
      <c r="I39" t="s">
        <v>30</v>
      </c>
      <c r="J39" t="s">
        <v>64</v>
      </c>
      <c r="L39" s="1">
        <v>46023</v>
      </c>
      <c r="M39" s="1">
        <v>46023</v>
      </c>
      <c r="O39">
        <v>19645587</v>
      </c>
      <c r="P39" t="s">
        <v>32</v>
      </c>
      <c r="Q39" t="s">
        <v>201</v>
      </c>
      <c r="R39">
        <v>8192</v>
      </c>
      <c r="S39" t="s">
        <v>34</v>
      </c>
      <c r="T39" t="s">
        <v>35</v>
      </c>
      <c r="U39">
        <v>150</v>
      </c>
      <c r="V39" t="s">
        <v>36</v>
      </c>
      <c r="W39" s="1">
        <v>45951</v>
      </c>
      <c r="X39">
        <v>2025</v>
      </c>
    </row>
    <row r="40" spans="1:24" x14ac:dyDescent="0.25">
      <c r="A40" s="1">
        <v>46000</v>
      </c>
      <c r="B40" t="s">
        <v>202</v>
      </c>
      <c r="C40" t="s">
        <v>203</v>
      </c>
      <c r="E40" t="s">
        <v>204</v>
      </c>
      <c r="F40" t="s">
        <v>27</v>
      </c>
      <c r="G40" t="s">
        <v>41</v>
      </c>
      <c r="H40" t="s">
        <v>29</v>
      </c>
      <c r="I40" t="s">
        <v>30</v>
      </c>
      <c r="J40" t="s">
        <v>153</v>
      </c>
      <c r="L40" s="1">
        <v>46023</v>
      </c>
      <c r="M40" s="1">
        <v>46023</v>
      </c>
      <c r="O40">
        <v>16228684</v>
      </c>
      <c r="P40" t="s">
        <v>32</v>
      </c>
      <c r="Q40" t="s">
        <v>33</v>
      </c>
      <c r="R40">
        <v>8192</v>
      </c>
      <c r="S40" t="s">
        <v>34</v>
      </c>
      <c r="T40" t="s">
        <v>35</v>
      </c>
      <c r="U40">
        <v>150</v>
      </c>
      <c r="V40" t="s">
        <v>36</v>
      </c>
      <c r="W40" s="1">
        <v>45980</v>
      </c>
      <c r="X40">
        <v>2025</v>
      </c>
    </row>
    <row r="41" spans="1:24" x14ac:dyDescent="0.25">
      <c r="A41" s="1"/>
      <c r="L41" s="1"/>
      <c r="M41" s="1"/>
      <c r="W41" s="1"/>
    </row>
    <row r="42" spans="1:24" x14ac:dyDescent="0.25">
      <c r="A42" s="1"/>
      <c r="L42" s="1"/>
      <c r="M42" s="1"/>
      <c r="W42" s="1"/>
    </row>
    <row r="43" spans="1:24" x14ac:dyDescent="0.25">
      <c r="A43" s="1"/>
      <c r="L43" s="1"/>
      <c r="M43" s="1"/>
      <c r="W43" s="1"/>
    </row>
    <row r="44" spans="1:24" x14ac:dyDescent="0.25">
      <c r="A44" s="1"/>
      <c r="L44" s="1"/>
      <c r="M44" s="1"/>
      <c r="W44" s="1"/>
    </row>
    <row r="45" spans="1:24" x14ac:dyDescent="0.25">
      <c r="A45" s="1"/>
      <c r="L45" s="1"/>
      <c r="M45" s="1"/>
      <c r="W45" s="1"/>
    </row>
    <row r="46" spans="1:24" x14ac:dyDescent="0.25">
      <c r="A46" s="1"/>
      <c r="L46" s="1"/>
      <c r="M46" s="1"/>
      <c r="W46" s="1"/>
    </row>
    <row r="47" spans="1:24" x14ac:dyDescent="0.25">
      <c r="A47" s="1"/>
      <c r="L47" s="1"/>
      <c r="M47" s="1"/>
      <c r="W47" s="1"/>
    </row>
    <row r="48" spans="1:24" x14ac:dyDescent="0.25">
      <c r="A48" s="1"/>
      <c r="L48" s="1"/>
      <c r="M48" s="1"/>
      <c r="W48" s="1"/>
    </row>
    <row r="49" spans="1:23" x14ac:dyDescent="0.25">
      <c r="A49" s="1"/>
      <c r="L49" s="1"/>
      <c r="M49" s="1"/>
      <c r="W49" s="1"/>
    </row>
    <row r="50" spans="1:23" x14ac:dyDescent="0.25">
      <c r="A50" s="1"/>
      <c r="L50" s="1"/>
      <c r="M50" s="1"/>
      <c r="N50" s="1"/>
      <c r="W50" s="1"/>
    </row>
    <row r="51" spans="1:23" x14ac:dyDescent="0.25">
      <c r="A51" s="1"/>
      <c r="L51" s="1"/>
      <c r="M51" s="1"/>
      <c r="W51" s="1"/>
    </row>
    <row r="52" spans="1:23" x14ac:dyDescent="0.25">
      <c r="A52" s="1"/>
      <c r="L52" s="1"/>
      <c r="M52" s="1"/>
      <c r="W52" s="1"/>
    </row>
    <row r="53" spans="1:23" x14ac:dyDescent="0.25">
      <c r="A53" s="1"/>
      <c r="L53" s="1"/>
      <c r="M53" s="1"/>
      <c r="W53" s="1"/>
    </row>
    <row r="54" spans="1:23" x14ac:dyDescent="0.25">
      <c r="A54" s="1"/>
      <c r="L54" s="1"/>
      <c r="M54" s="1"/>
      <c r="W54" s="1"/>
    </row>
    <row r="55" spans="1:23" x14ac:dyDescent="0.25">
      <c r="A55" s="1"/>
      <c r="L55" s="1"/>
      <c r="M55" s="1"/>
      <c r="W55" s="1"/>
    </row>
    <row r="56" spans="1:23" x14ac:dyDescent="0.25">
      <c r="A56" s="1"/>
      <c r="L56" s="1"/>
      <c r="M56" s="1"/>
      <c r="W56" s="1"/>
    </row>
    <row r="57" spans="1:23" x14ac:dyDescent="0.25">
      <c r="A57" s="1"/>
      <c r="L57" s="1"/>
      <c r="M57" s="1"/>
      <c r="N57" s="1"/>
      <c r="W57" s="1"/>
    </row>
    <row r="58" spans="1:23" x14ac:dyDescent="0.25">
      <c r="A58" s="1"/>
      <c r="L58" s="1"/>
      <c r="M58" s="1"/>
      <c r="N58" s="1"/>
      <c r="W58" s="1"/>
    </row>
    <row r="59" spans="1:23" x14ac:dyDescent="0.25">
      <c r="A59" s="1"/>
      <c r="L59" s="1"/>
      <c r="M59" s="1"/>
      <c r="W59" s="1"/>
    </row>
    <row r="60" spans="1:23" x14ac:dyDescent="0.25">
      <c r="A60" s="1"/>
      <c r="L60" s="1"/>
      <c r="M60" s="1"/>
      <c r="W60" s="1"/>
    </row>
    <row r="61" spans="1:23" x14ac:dyDescent="0.25">
      <c r="A61" s="1"/>
      <c r="L61" s="1"/>
      <c r="M61" s="1"/>
      <c r="W61" s="1"/>
    </row>
    <row r="62" spans="1:23" x14ac:dyDescent="0.25">
      <c r="A62" s="1"/>
      <c r="L62" s="1"/>
      <c r="M62" s="1"/>
      <c r="W62" s="1"/>
    </row>
    <row r="63" spans="1:23" x14ac:dyDescent="0.25">
      <c r="A63" s="1"/>
      <c r="L63" s="1"/>
      <c r="M63" s="1"/>
      <c r="W63" s="1"/>
    </row>
    <row r="64" spans="1:23" x14ac:dyDescent="0.25">
      <c r="A64" s="1"/>
      <c r="L64" s="1"/>
      <c r="M64" s="1"/>
      <c r="W64" s="1"/>
    </row>
    <row r="65" spans="1:23" x14ac:dyDescent="0.25">
      <c r="A65" s="1"/>
      <c r="L65" s="1"/>
      <c r="M65" s="1"/>
      <c r="W65" s="1"/>
    </row>
    <row r="66" spans="1:23" x14ac:dyDescent="0.25">
      <c r="A66" s="1"/>
      <c r="L66" s="1"/>
      <c r="M66" s="1"/>
      <c r="W66" s="1"/>
    </row>
    <row r="67" spans="1:23" x14ac:dyDescent="0.25">
      <c r="A67" s="1"/>
      <c r="L67" s="1"/>
      <c r="M67" s="1"/>
      <c r="W67" s="1"/>
    </row>
    <row r="68" spans="1:23" x14ac:dyDescent="0.25">
      <c r="A68" s="1"/>
      <c r="L68" s="1"/>
      <c r="M68" s="1"/>
      <c r="W68" s="1"/>
    </row>
    <row r="69" spans="1:23" x14ac:dyDescent="0.25">
      <c r="A69" s="1"/>
      <c r="L69" s="1"/>
      <c r="M69" s="1"/>
      <c r="W69" s="1"/>
    </row>
    <row r="70" spans="1:23" x14ac:dyDescent="0.25">
      <c r="A70" s="1"/>
      <c r="L70" s="1"/>
      <c r="M70" s="1"/>
      <c r="W70" s="1"/>
    </row>
    <row r="71" spans="1:23" x14ac:dyDescent="0.25">
      <c r="A71" s="1"/>
      <c r="L71" s="1"/>
      <c r="M71" s="1"/>
      <c r="W71" s="1"/>
    </row>
    <row r="72" spans="1:23" x14ac:dyDescent="0.25">
      <c r="A72" s="1"/>
      <c r="L72" s="1"/>
      <c r="M72" s="1"/>
      <c r="W72" s="1"/>
    </row>
    <row r="73" spans="1:23" x14ac:dyDescent="0.25">
      <c r="A73" s="1"/>
      <c r="L73" s="1"/>
      <c r="M73" s="1"/>
      <c r="W73" s="1"/>
    </row>
    <row r="74" spans="1:23" x14ac:dyDescent="0.25">
      <c r="A74" s="1"/>
      <c r="L74" s="1"/>
      <c r="M74" s="1"/>
      <c r="W74" s="1"/>
    </row>
    <row r="75" spans="1:23" x14ac:dyDescent="0.25">
      <c r="A75" s="1"/>
      <c r="L75" s="1"/>
      <c r="M75" s="1"/>
      <c r="W75" s="1"/>
    </row>
    <row r="76" spans="1:23" x14ac:dyDescent="0.25">
      <c r="A76" s="1"/>
      <c r="L76" s="1"/>
      <c r="M76" s="1"/>
      <c r="W76" s="1"/>
    </row>
    <row r="77" spans="1:23" x14ac:dyDescent="0.25">
      <c r="A77" s="1"/>
      <c r="L77" s="1"/>
      <c r="M77" s="1"/>
      <c r="W77" s="1"/>
    </row>
    <row r="78" spans="1:23" x14ac:dyDescent="0.25">
      <c r="A78" s="1"/>
      <c r="L78" s="1"/>
      <c r="M78" s="1"/>
      <c r="W78" s="1"/>
    </row>
    <row r="79" spans="1:23" x14ac:dyDescent="0.25">
      <c r="A79" s="1"/>
      <c r="L79" s="1"/>
      <c r="M79" s="1"/>
      <c r="W79" s="1"/>
    </row>
    <row r="80" spans="1:23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N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N115" s="1"/>
      <c r="W115" s="1"/>
    </row>
    <row r="116" spans="1:23" x14ac:dyDescent="0.25">
      <c r="A116" s="1"/>
      <c r="L116" s="1"/>
      <c r="M116" s="1"/>
      <c r="N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N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N134" s="1"/>
      <c r="W134" s="1"/>
    </row>
    <row r="135" spans="1:23" x14ac:dyDescent="0.25">
      <c r="A135" s="1"/>
      <c r="L135" s="1"/>
      <c r="M135" s="1"/>
      <c r="N135" s="1"/>
      <c r="W135" s="1"/>
    </row>
    <row r="136" spans="1:23" x14ac:dyDescent="0.25">
      <c r="A136" s="1"/>
      <c r="L136" s="1"/>
      <c r="M136" s="1"/>
      <c r="N136" s="1"/>
      <c r="W136" s="1"/>
    </row>
    <row r="137" spans="1:23" x14ac:dyDescent="0.25">
      <c r="A137" s="1"/>
      <c r="L137" s="1"/>
      <c r="M137" s="1"/>
      <c r="N137" s="1"/>
      <c r="W137" s="1"/>
    </row>
    <row r="138" spans="1:23" x14ac:dyDescent="0.25">
      <c r="A138" s="1"/>
      <c r="L138" s="1"/>
      <c r="M138" s="1"/>
      <c r="N138" s="1"/>
      <c r="W138" s="1"/>
    </row>
    <row r="139" spans="1:23" x14ac:dyDescent="0.25">
      <c r="A139" s="1"/>
      <c r="L139" s="1"/>
      <c r="M139" s="1"/>
      <c r="N139" s="1"/>
      <c r="W139" s="1"/>
    </row>
    <row r="140" spans="1:23" x14ac:dyDescent="0.25">
      <c r="A140" s="1"/>
      <c r="L140" s="1"/>
      <c r="M140" s="1"/>
      <c r="N140" s="1"/>
      <c r="W140" s="1"/>
    </row>
    <row r="141" spans="1:23" x14ac:dyDescent="0.25">
      <c r="A141" s="1"/>
      <c r="L141" s="1"/>
      <c r="M141" s="1"/>
      <c r="N141" s="1"/>
      <c r="W141" s="1"/>
    </row>
    <row r="142" spans="1:23" x14ac:dyDescent="0.25">
      <c r="A142" s="1"/>
      <c r="L142" s="1"/>
      <c r="M142" s="1"/>
      <c r="N142" s="1"/>
      <c r="W142" s="1"/>
    </row>
    <row r="143" spans="1:23" x14ac:dyDescent="0.25">
      <c r="A143" s="1"/>
      <c r="L143" s="1"/>
      <c r="M143" s="1"/>
      <c r="N143" s="1"/>
      <c r="W143" s="1"/>
    </row>
    <row r="144" spans="1:23" x14ac:dyDescent="0.25">
      <c r="A144" s="1"/>
      <c r="L144" s="1"/>
      <c r="M144" s="1"/>
      <c r="N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BF4A-6BBB-4656-8C1A-5856098D5518}">
  <dimension ref="A1:AA197"/>
  <sheetViews>
    <sheetView tabSelected="1" topLeftCell="C1" zoomScaleNormal="100" workbookViewId="0">
      <selection activeCell="E9" sqref="E9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5.85546875" bestFit="1" customWidth="1"/>
    <col min="4" max="5" width="25.85546875" customWidth="1"/>
    <col min="6" max="6" width="13.7109375" bestFit="1" customWidth="1"/>
    <col min="7" max="7" width="15.140625" customWidth="1"/>
    <col min="8" max="8" width="7.85546875" bestFit="1" customWidth="1"/>
    <col min="9" max="9" width="15.7109375" bestFit="1" customWidth="1"/>
    <col min="10" max="10" width="13.5703125" bestFit="1" customWidth="1"/>
    <col min="11" max="11" width="11.85546875" customWidth="1"/>
    <col min="12" max="12" width="7.28515625" customWidth="1"/>
    <col min="13" max="13" width="18.5703125" customWidth="1"/>
    <col min="14" max="14" width="8.7109375" bestFit="1" customWidth="1"/>
    <col min="15" max="15" width="11.5703125" bestFit="1" customWidth="1"/>
    <col min="16" max="16" width="14.140625" bestFit="1" customWidth="1"/>
    <col min="17" max="17" width="21.1406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20</v>
      </c>
    </row>
    <row r="2" spans="1:27" s="4" customFormat="1" x14ac:dyDescent="0.25">
      <c r="A2" s="4" t="s">
        <v>173</v>
      </c>
      <c r="B2" s="4" t="str">
        <f>CONCATENATE(A2,8)</f>
        <v>6EA5ND2DN798</v>
      </c>
      <c r="C2" s="4" t="s">
        <v>209</v>
      </c>
      <c r="D2" s="4" t="s">
        <v>210</v>
      </c>
      <c r="E2" s="4" t="str">
        <f>CONCATENATE(D2," ",C2)</f>
        <v>THOMAS SOMMERS</v>
      </c>
      <c r="F2" s="4" t="s">
        <v>27</v>
      </c>
      <c r="G2" s="4" t="s">
        <v>113</v>
      </c>
      <c r="H2" s="4" t="s">
        <v>29</v>
      </c>
      <c r="I2" s="5">
        <v>45658</v>
      </c>
      <c r="J2" s="5">
        <v>45658</v>
      </c>
      <c r="K2" s="4">
        <v>8325282</v>
      </c>
      <c r="L2" s="4" t="s">
        <v>32</v>
      </c>
      <c r="M2" s="4" t="s">
        <v>177</v>
      </c>
      <c r="N2" s="4">
        <v>8192</v>
      </c>
      <c r="O2" s="4" t="s">
        <v>112</v>
      </c>
      <c r="P2" s="4">
        <v>-313</v>
      </c>
      <c r="Q2" s="4" t="s">
        <v>206</v>
      </c>
      <c r="R2" s="4" t="s">
        <v>207</v>
      </c>
    </row>
    <row r="3" spans="1:27" s="2" customFormat="1" x14ac:dyDescent="0.25">
      <c r="A3" t="s">
        <v>173</v>
      </c>
      <c r="B3" s="4" t="str">
        <f>CONCATENATE(A3,8)</f>
        <v>6EA5ND2DN798</v>
      </c>
      <c r="C3" t="s">
        <v>209</v>
      </c>
      <c r="D3" t="s">
        <v>210</v>
      </c>
      <c r="E3" s="4" t="str">
        <f t="shared" ref="E3:E40" si="0">CONCATENATE(D3," ",C3)</f>
        <v>THOMAS SOMMERS</v>
      </c>
      <c r="F3" t="s">
        <v>27</v>
      </c>
      <c r="G3" t="s">
        <v>110</v>
      </c>
      <c r="H3" t="s">
        <v>29</v>
      </c>
      <c r="I3" s="1">
        <v>45658</v>
      </c>
      <c r="J3" s="1">
        <v>45658</v>
      </c>
      <c r="K3">
        <v>8325282</v>
      </c>
      <c r="L3" t="s">
        <v>32</v>
      </c>
      <c r="M3" t="s">
        <v>177</v>
      </c>
      <c r="N3">
        <v>8192</v>
      </c>
      <c r="O3" t="s">
        <v>112</v>
      </c>
      <c r="P3">
        <v>313</v>
      </c>
      <c r="Q3" s="4" t="s">
        <v>206</v>
      </c>
      <c r="R3" s="4" t="s">
        <v>207</v>
      </c>
      <c r="S3"/>
      <c r="T3"/>
      <c r="U3"/>
      <c r="V3"/>
      <c r="W3"/>
      <c r="X3"/>
      <c r="Y3"/>
      <c r="Z3"/>
      <c r="AA3"/>
    </row>
    <row r="4" spans="1:27" s="2" customFormat="1" x14ac:dyDescent="0.25">
      <c r="A4" s="2" t="s">
        <v>173</v>
      </c>
      <c r="B4" s="2" t="str">
        <f>CONCATENATE(A4,"OVR")</f>
        <v>6EA5ND2DN79OVR</v>
      </c>
      <c r="C4" s="2" t="s">
        <v>209</v>
      </c>
      <c r="D4" s="2" t="s">
        <v>210</v>
      </c>
      <c r="E4" s="2" t="str">
        <f t="shared" si="0"/>
        <v>THOMAS SOMMERS</v>
      </c>
      <c r="F4" s="2" t="s">
        <v>27</v>
      </c>
      <c r="G4" s="2" t="s">
        <v>113</v>
      </c>
      <c r="H4" s="2" t="s">
        <v>29</v>
      </c>
      <c r="I4" s="3">
        <v>45658</v>
      </c>
      <c r="J4" s="3">
        <v>45658</v>
      </c>
      <c r="K4" s="2">
        <v>20411454</v>
      </c>
      <c r="L4" s="2" t="s">
        <v>32</v>
      </c>
      <c r="M4" s="2" t="s">
        <v>208</v>
      </c>
      <c r="N4" s="2">
        <v>8192</v>
      </c>
      <c r="O4" s="2" t="s">
        <v>112</v>
      </c>
      <c r="P4" s="2">
        <v>-125</v>
      </c>
      <c r="Q4" s="2" t="s">
        <v>205</v>
      </c>
    </row>
    <row r="5" spans="1:27" s="2" customFormat="1" x14ac:dyDescent="0.25">
      <c r="A5" s="2" t="s">
        <v>187</v>
      </c>
      <c r="B5" s="2" t="str">
        <f t="shared" ref="B5:B40" si="1">CONCATENATE(A5,"OVR")</f>
        <v>8N90NT6CD39OVR</v>
      </c>
      <c r="C5" s="2" t="s">
        <v>211</v>
      </c>
      <c r="D5" s="2" t="s">
        <v>212</v>
      </c>
      <c r="E5" s="2" t="str">
        <f t="shared" si="0"/>
        <v>MARJORIE WARRINGTON</v>
      </c>
      <c r="F5" s="2" t="s">
        <v>190</v>
      </c>
      <c r="G5" s="2" t="s">
        <v>28</v>
      </c>
      <c r="H5" s="2" t="s">
        <v>29</v>
      </c>
      <c r="I5" s="3">
        <v>46023</v>
      </c>
      <c r="J5" s="3">
        <v>46023</v>
      </c>
      <c r="K5" s="2">
        <v>20411454</v>
      </c>
      <c r="L5" s="2" t="s">
        <v>32</v>
      </c>
      <c r="M5" s="2" t="s">
        <v>208</v>
      </c>
      <c r="N5" s="2">
        <v>8192</v>
      </c>
      <c r="O5" s="2" t="s">
        <v>34</v>
      </c>
      <c r="P5" s="2">
        <v>-150</v>
      </c>
      <c r="Q5" s="2" t="s">
        <v>205</v>
      </c>
    </row>
    <row r="6" spans="1:27" s="2" customFormat="1" x14ac:dyDescent="0.25">
      <c r="A6" s="2" t="s">
        <v>178</v>
      </c>
      <c r="B6" s="2" t="str">
        <f t="shared" si="1"/>
        <v>4KF1FD8RU18OVR</v>
      </c>
      <c r="C6" s="2" t="s">
        <v>213</v>
      </c>
      <c r="D6" s="2" t="s">
        <v>214</v>
      </c>
      <c r="E6" s="2" t="str">
        <f t="shared" si="0"/>
        <v>MARY STANCY</v>
      </c>
      <c r="F6" s="2" t="s">
        <v>27</v>
      </c>
      <c r="G6" s="2" t="s">
        <v>181</v>
      </c>
      <c r="H6" s="2" t="s">
        <v>29</v>
      </c>
      <c r="I6" s="3">
        <v>46023</v>
      </c>
      <c r="J6" s="3">
        <v>46023</v>
      </c>
      <c r="K6" s="2">
        <v>20411454</v>
      </c>
      <c r="L6" s="2" t="s">
        <v>32</v>
      </c>
      <c r="M6" s="2" t="s">
        <v>208</v>
      </c>
      <c r="N6" s="2">
        <v>8192</v>
      </c>
      <c r="O6" s="2" t="s">
        <v>34</v>
      </c>
      <c r="P6" s="2">
        <v>-135</v>
      </c>
      <c r="Q6" s="2" t="s">
        <v>205</v>
      </c>
    </row>
    <row r="7" spans="1:27" s="2" customFormat="1" x14ac:dyDescent="0.25">
      <c r="A7" s="2" t="s">
        <v>157</v>
      </c>
      <c r="B7" s="2" t="str">
        <f t="shared" si="1"/>
        <v>7YW0HF3YU01OVR</v>
      </c>
      <c r="C7" s="2" t="s">
        <v>215</v>
      </c>
      <c r="D7" s="2" t="s">
        <v>216</v>
      </c>
      <c r="E7" s="2" t="str">
        <f t="shared" si="0"/>
        <v>JOCELYN ROGERS</v>
      </c>
      <c r="F7" s="2" t="s">
        <v>160</v>
      </c>
      <c r="G7" s="2" t="s">
        <v>161</v>
      </c>
      <c r="H7" s="2" t="s">
        <v>29</v>
      </c>
      <c r="I7" s="3">
        <v>46023</v>
      </c>
      <c r="J7" s="3">
        <v>46023</v>
      </c>
      <c r="K7" s="2">
        <v>20411454</v>
      </c>
      <c r="L7" s="2" t="s">
        <v>32</v>
      </c>
      <c r="M7" s="2" t="s">
        <v>208</v>
      </c>
      <c r="N7" s="2">
        <v>8192</v>
      </c>
      <c r="O7" s="2" t="s">
        <v>34</v>
      </c>
      <c r="P7" s="2">
        <v>-135</v>
      </c>
      <c r="Q7" s="2" t="s">
        <v>205</v>
      </c>
    </row>
    <row r="8" spans="1:27" s="2" customFormat="1" x14ac:dyDescent="0.25">
      <c r="A8" s="2" t="s">
        <v>107</v>
      </c>
      <c r="B8" s="2" t="str">
        <f t="shared" si="1"/>
        <v>7MP6NU2CX48OVR</v>
      </c>
      <c r="C8" s="2" t="s">
        <v>217</v>
      </c>
      <c r="D8" s="2" t="s">
        <v>218</v>
      </c>
      <c r="E8" s="2" t="str">
        <f t="shared" si="0"/>
        <v>FRANK HOMISON</v>
      </c>
      <c r="F8" s="2" t="s">
        <v>40</v>
      </c>
      <c r="G8" s="2" t="s">
        <v>113</v>
      </c>
      <c r="H8" s="2" t="s">
        <v>29</v>
      </c>
      <c r="I8" s="3">
        <v>45658</v>
      </c>
      <c r="J8" s="3">
        <v>45658</v>
      </c>
      <c r="K8" s="2">
        <v>20411454</v>
      </c>
      <c r="L8" s="2" t="s">
        <v>32</v>
      </c>
      <c r="M8" s="2" t="s">
        <v>208</v>
      </c>
      <c r="N8" s="2">
        <v>8192</v>
      </c>
      <c r="O8" s="2" t="s">
        <v>112</v>
      </c>
      <c r="P8" s="2">
        <v>-40</v>
      </c>
      <c r="Q8" s="2" t="s">
        <v>205</v>
      </c>
    </row>
    <row r="9" spans="1:27" s="2" customFormat="1" x14ac:dyDescent="0.25">
      <c r="A9" s="2" t="s">
        <v>107</v>
      </c>
      <c r="B9" s="2" t="str">
        <f t="shared" si="1"/>
        <v>7MP6NU2CX48OVR</v>
      </c>
      <c r="C9" s="2" t="s">
        <v>217</v>
      </c>
      <c r="D9" s="2" t="s">
        <v>218</v>
      </c>
      <c r="E9" s="2" t="str">
        <f t="shared" si="0"/>
        <v>FRANK HOMISON</v>
      </c>
      <c r="F9" s="2" t="s">
        <v>40</v>
      </c>
      <c r="G9" s="2" t="s">
        <v>110</v>
      </c>
      <c r="H9" s="2" t="s">
        <v>29</v>
      </c>
      <c r="I9" s="3">
        <v>45658</v>
      </c>
      <c r="J9" s="3">
        <v>45658</v>
      </c>
      <c r="K9" s="2">
        <v>20411454</v>
      </c>
      <c r="L9" s="2" t="s">
        <v>32</v>
      </c>
      <c r="M9" s="2" t="s">
        <v>208</v>
      </c>
      <c r="N9" s="2">
        <v>8192</v>
      </c>
      <c r="O9" s="2" t="s">
        <v>112</v>
      </c>
      <c r="P9" s="2">
        <v>36.67</v>
      </c>
      <c r="Q9" s="2" t="s">
        <v>205</v>
      </c>
    </row>
    <row r="10" spans="1:27" s="2" customFormat="1" x14ac:dyDescent="0.25">
      <c r="A10" s="2" t="s">
        <v>37</v>
      </c>
      <c r="B10" s="2" t="str">
        <f t="shared" si="1"/>
        <v>9RY7NQ8UN78OVR</v>
      </c>
      <c r="C10" s="2" t="s">
        <v>219</v>
      </c>
      <c r="D10" s="2" t="s">
        <v>220</v>
      </c>
      <c r="E10" s="2" t="str">
        <f t="shared" si="0"/>
        <v>BEVERLY BENTLEY</v>
      </c>
      <c r="F10" s="2" t="s">
        <v>40</v>
      </c>
      <c r="G10" s="2" t="s">
        <v>41</v>
      </c>
      <c r="H10" s="2" t="s">
        <v>42</v>
      </c>
      <c r="I10" s="3">
        <v>46023</v>
      </c>
      <c r="J10" s="3">
        <v>46023</v>
      </c>
      <c r="K10" s="2">
        <v>20411454</v>
      </c>
      <c r="L10" s="2" t="s">
        <v>32</v>
      </c>
      <c r="M10" s="2" t="s">
        <v>208</v>
      </c>
      <c r="N10" s="2">
        <v>8192</v>
      </c>
      <c r="O10" s="2" t="s">
        <v>34</v>
      </c>
      <c r="P10" s="2">
        <v>65</v>
      </c>
      <c r="Q10" s="2" t="s">
        <v>205</v>
      </c>
    </row>
    <row r="11" spans="1:27" s="2" customFormat="1" x14ac:dyDescent="0.25">
      <c r="A11" s="2" t="s">
        <v>103</v>
      </c>
      <c r="B11" s="2" t="str">
        <f t="shared" si="1"/>
        <v>4YR1M28DC33OVR</v>
      </c>
      <c r="C11" s="2" t="s">
        <v>221</v>
      </c>
      <c r="D11" s="2" t="s">
        <v>222</v>
      </c>
      <c r="E11" s="2" t="str">
        <f t="shared" si="0"/>
        <v>LINDA HINCHBERGER</v>
      </c>
      <c r="F11" s="2" t="s">
        <v>40</v>
      </c>
      <c r="G11" s="2" t="s">
        <v>41</v>
      </c>
      <c r="H11" s="2" t="s">
        <v>29</v>
      </c>
      <c r="I11" s="3">
        <v>46023</v>
      </c>
      <c r="J11" s="3">
        <v>46023</v>
      </c>
      <c r="K11" s="2">
        <v>20411454</v>
      </c>
      <c r="L11" s="2" t="s">
        <v>32</v>
      </c>
      <c r="M11" s="2" t="s">
        <v>208</v>
      </c>
      <c r="N11" s="2">
        <v>8192</v>
      </c>
      <c r="O11" s="2" t="s">
        <v>34</v>
      </c>
      <c r="P11" s="2">
        <v>65</v>
      </c>
      <c r="Q11" s="2" t="s">
        <v>205</v>
      </c>
    </row>
    <row r="12" spans="1:27" s="2" customFormat="1" x14ac:dyDescent="0.25">
      <c r="A12" s="2" t="s">
        <v>114</v>
      </c>
      <c r="B12" s="2" t="str">
        <f t="shared" si="1"/>
        <v>8EP4UE8GD82OVR</v>
      </c>
      <c r="C12" s="2" t="s">
        <v>223</v>
      </c>
      <c r="D12" s="2" t="s">
        <v>224</v>
      </c>
      <c r="E12" s="2" t="str">
        <f t="shared" si="0"/>
        <v>EULA HOWE</v>
      </c>
      <c r="F12" s="2" t="s">
        <v>40</v>
      </c>
      <c r="G12" s="2" t="s">
        <v>41</v>
      </c>
      <c r="H12" s="2" t="s">
        <v>29</v>
      </c>
      <c r="I12" s="3">
        <v>46023</v>
      </c>
      <c r="J12" s="3">
        <v>46023</v>
      </c>
      <c r="K12" s="2">
        <v>20411454</v>
      </c>
      <c r="L12" s="2" t="s">
        <v>32</v>
      </c>
      <c r="M12" s="2" t="s">
        <v>208</v>
      </c>
      <c r="N12" s="2">
        <v>8192</v>
      </c>
      <c r="O12" s="2" t="s">
        <v>34</v>
      </c>
      <c r="P12" s="2">
        <v>135</v>
      </c>
      <c r="Q12" s="2" t="s">
        <v>205</v>
      </c>
    </row>
    <row r="13" spans="1:27" s="2" customFormat="1" x14ac:dyDescent="0.25">
      <c r="A13" s="2" t="s">
        <v>127</v>
      </c>
      <c r="B13" s="2" t="str">
        <f t="shared" si="1"/>
        <v>8QA9R20GW26OVR</v>
      </c>
      <c r="C13" s="2" t="s">
        <v>225</v>
      </c>
      <c r="D13" s="2" t="s">
        <v>226</v>
      </c>
      <c r="E13" s="2" t="str">
        <f t="shared" si="0"/>
        <v>VELMA LAMBERT</v>
      </c>
      <c r="F13" s="2" t="s">
        <v>27</v>
      </c>
      <c r="G13" s="2" t="s">
        <v>41</v>
      </c>
      <c r="H13" s="2" t="s">
        <v>29</v>
      </c>
      <c r="I13" s="3">
        <v>46023</v>
      </c>
      <c r="J13" s="3">
        <v>46023</v>
      </c>
      <c r="K13" s="2">
        <v>20411454</v>
      </c>
      <c r="L13" s="2" t="s">
        <v>32</v>
      </c>
      <c r="M13" s="2" t="s">
        <v>208</v>
      </c>
      <c r="N13" s="2">
        <v>8192</v>
      </c>
      <c r="O13" s="2" t="s">
        <v>34</v>
      </c>
      <c r="P13" s="2">
        <v>135</v>
      </c>
      <c r="Q13" s="2" t="s">
        <v>205</v>
      </c>
    </row>
    <row r="14" spans="1:27" s="2" customFormat="1" x14ac:dyDescent="0.25">
      <c r="A14" s="2" t="s">
        <v>147</v>
      </c>
      <c r="B14" s="2" t="str">
        <f t="shared" si="1"/>
        <v>9R30VQ4GH28OVR</v>
      </c>
      <c r="C14" s="2" t="s">
        <v>227</v>
      </c>
      <c r="D14" s="2" t="s">
        <v>228</v>
      </c>
      <c r="E14" s="2" t="str">
        <f t="shared" si="0"/>
        <v>GREGG PAXTON</v>
      </c>
      <c r="F14" s="2" t="s">
        <v>27</v>
      </c>
      <c r="G14" s="2" t="s">
        <v>41</v>
      </c>
      <c r="H14" s="2" t="s">
        <v>29</v>
      </c>
      <c r="I14" s="3">
        <v>46023</v>
      </c>
      <c r="J14" s="3">
        <v>46023</v>
      </c>
      <c r="K14" s="2">
        <v>20411454</v>
      </c>
      <c r="L14" s="2" t="s">
        <v>32</v>
      </c>
      <c r="M14" s="2" t="s">
        <v>208</v>
      </c>
      <c r="N14" s="2">
        <v>8192</v>
      </c>
      <c r="O14" s="2" t="s">
        <v>34</v>
      </c>
      <c r="P14" s="2">
        <v>135</v>
      </c>
      <c r="Q14" s="2" t="s">
        <v>205</v>
      </c>
    </row>
    <row r="15" spans="1:27" s="2" customFormat="1" x14ac:dyDescent="0.25">
      <c r="A15" s="2" t="s">
        <v>24</v>
      </c>
      <c r="B15" s="2" t="str">
        <f t="shared" si="1"/>
        <v>5PA4AQ3RG93OVR</v>
      </c>
      <c r="C15" s="2" t="s">
        <v>229</v>
      </c>
      <c r="D15" s="2" t="s">
        <v>230</v>
      </c>
      <c r="E15" s="2" t="str">
        <f t="shared" si="0"/>
        <v>ALICIA ALTON</v>
      </c>
      <c r="F15" s="2" t="s">
        <v>27</v>
      </c>
      <c r="G15" s="2" t="s">
        <v>28</v>
      </c>
      <c r="H15" s="2" t="s">
        <v>29</v>
      </c>
      <c r="I15" s="3">
        <v>46023</v>
      </c>
      <c r="J15" s="3">
        <v>46023</v>
      </c>
      <c r="K15" s="2">
        <v>20411454</v>
      </c>
      <c r="L15" s="2" t="s">
        <v>32</v>
      </c>
      <c r="M15" s="2" t="s">
        <v>208</v>
      </c>
      <c r="N15" s="2">
        <v>8192</v>
      </c>
      <c r="O15" s="2" t="s">
        <v>34</v>
      </c>
      <c r="P15" s="2">
        <v>150</v>
      </c>
      <c r="Q15" s="2" t="s">
        <v>205</v>
      </c>
    </row>
    <row r="16" spans="1:27" s="2" customFormat="1" x14ac:dyDescent="0.25">
      <c r="A16" s="2" t="s">
        <v>46</v>
      </c>
      <c r="B16" s="2" t="str">
        <f t="shared" si="1"/>
        <v>3NW2HP8RG81OVR</v>
      </c>
      <c r="C16" s="2" t="s">
        <v>231</v>
      </c>
      <c r="D16" s="2" t="s">
        <v>232</v>
      </c>
      <c r="E16" s="2" t="str">
        <f t="shared" si="0"/>
        <v>PATRICIA BORISH</v>
      </c>
      <c r="F16" s="2" t="s">
        <v>27</v>
      </c>
      <c r="G16" s="2" t="s">
        <v>41</v>
      </c>
      <c r="H16" s="2" t="s">
        <v>29</v>
      </c>
      <c r="I16" s="3">
        <v>46023</v>
      </c>
      <c r="J16" s="3">
        <v>46023</v>
      </c>
      <c r="K16" s="2">
        <v>20411454</v>
      </c>
      <c r="L16" s="2" t="s">
        <v>32</v>
      </c>
      <c r="M16" s="2" t="s">
        <v>208</v>
      </c>
      <c r="N16" s="2">
        <v>8192</v>
      </c>
      <c r="O16" s="2" t="s">
        <v>34</v>
      </c>
      <c r="P16" s="2">
        <v>150</v>
      </c>
      <c r="Q16" s="2" t="s">
        <v>205</v>
      </c>
    </row>
    <row r="17" spans="1:17" s="2" customFormat="1" x14ac:dyDescent="0.25">
      <c r="A17" s="2" t="s">
        <v>52</v>
      </c>
      <c r="B17" s="2" t="str">
        <f t="shared" si="1"/>
        <v>2YH0UR6KG39OVR</v>
      </c>
      <c r="C17" s="2" t="s">
        <v>233</v>
      </c>
      <c r="D17" s="2" t="s">
        <v>234</v>
      </c>
      <c r="E17" s="2" t="str">
        <f t="shared" si="0"/>
        <v>GEORGE BRADDOCK</v>
      </c>
      <c r="F17" s="2" t="s">
        <v>55</v>
      </c>
      <c r="G17" s="2" t="s">
        <v>41</v>
      </c>
      <c r="H17" s="2" t="s">
        <v>29</v>
      </c>
      <c r="I17" s="3">
        <v>46023</v>
      </c>
      <c r="J17" s="3">
        <v>46023</v>
      </c>
      <c r="K17" s="2">
        <v>20411454</v>
      </c>
      <c r="L17" s="2" t="s">
        <v>32</v>
      </c>
      <c r="M17" s="2" t="s">
        <v>208</v>
      </c>
      <c r="N17" s="2">
        <v>8192</v>
      </c>
      <c r="O17" s="2" t="s">
        <v>34</v>
      </c>
      <c r="P17" s="2">
        <v>150</v>
      </c>
      <c r="Q17" s="2" t="s">
        <v>205</v>
      </c>
    </row>
    <row r="18" spans="1:17" s="2" customFormat="1" x14ac:dyDescent="0.25">
      <c r="A18" s="2" t="s">
        <v>58</v>
      </c>
      <c r="B18" s="2" t="str">
        <f t="shared" si="1"/>
        <v>1RY4F15PV03OVR</v>
      </c>
      <c r="C18" s="2" t="s">
        <v>233</v>
      </c>
      <c r="D18" s="2" t="s">
        <v>235</v>
      </c>
      <c r="E18" s="2" t="str">
        <f t="shared" si="0"/>
        <v>PEGGY BRADDOCK</v>
      </c>
      <c r="F18" s="2" t="s">
        <v>55</v>
      </c>
      <c r="G18" s="2" t="s">
        <v>41</v>
      </c>
      <c r="H18" s="2" t="s">
        <v>29</v>
      </c>
      <c r="I18" s="3">
        <v>46023</v>
      </c>
      <c r="J18" s="3">
        <v>46023</v>
      </c>
      <c r="K18" s="2">
        <v>20411454</v>
      </c>
      <c r="L18" s="2" t="s">
        <v>32</v>
      </c>
      <c r="M18" s="2" t="s">
        <v>208</v>
      </c>
      <c r="N18" s="2">
        <v>8192</v>
      </c>
      <c r="O18" s="2" t="s">
        <v>34</v>
      </c>
      <c r="P18" s="2">
        <v>150</v>
      </c>
      <c r="Q18" s="2" t="s">
        <v>205</v>
      </c>
    </row>
    <row r="19" spans="1:17" s="2" customFormat="1" x14ac:dyDescent="0.25">
      <c r="A19" s="2" t="s">
        <v>61</v>
      </c>
      <c r="B19" s="2" t="str">
        <f t="shared" si="1"/>
        <v>7NG3V94GN14OVR</v>
      </c>
      <c r="C19" s="2" t="s">
        <v>236</v>
      </c>
      <c r="D19" s="2" t="s">
        <v>237</v>
      </c>
      <c r="E19" s="2" t="str">
        <f t="shared" si="0"/>
        <v>ARNETTA CRAIG</v>
      </c>
      <c r="F19" s="2" t="s">
        <v>27</v>
      </c>
      <c r="G19" s="2" t="s">
        <v>41</v>
      </c>
      <c r="H19" s="2" t="s">
        <v>29</v>
      </c>
      <c r="I19" s="3">
        <v>46023</v>
      </c>
      <c r="J19" s="3">
        <v>46023</v>
      </c>
      <c r="K19" s="2">
        <v>20411454</v>
      </c>
      <c r="L19" s="2" t="s">
        <v>32</v>
      </c>
      <c r="M19" s="2" t="s">
        <v>208</v>
      </c>
      <c r="N19" s="2">
        <v>8192</v>
      </c>
      <c r="O19" s="2" t="s">
        <v>34</v>
      </c>
      <c r="P19" s="2">
        <v>150</v>
      </c>
      <c r="Q19" s="2" t="s">
        <v>205</v>
      </c>
    </row>
    <row r="20" spans="1:17" s="2" customFormat="1" x14ac:dyDescent="0.25">
      <c r="A20" s="2" t="s">
        <v>66</v>
      </c>
      <c r="B20" s="2" t="str">
        <f t="shared" si="1"/>
        <v>7MW5M47WX83OVR</v>
      </c>
      <c r="C20" s="2" t="s">
        <v>238</v>
      </c>
      <c r="D20" s="2" t="s">
        <v>239</v>
      </c>
      <c r="E20" s="2" t="str">
        <f t="shared" si="0"/>
        <v>TERRY DEVOS</v>
      </c>
      <c r="F20" s="2" t="s">
        <v>69</v>
      </c>
      <c r="G20" s="2" t="s">
        <v>41</v>
      </c>
      <c r="H20" s="2" t="s">
        <v>29</v>
      </c>
      <c r="I20" s="3">
        <v>46023</v>
      </c>
      <c r="J20" s="3">
        <v>46023</v>
      </c>
      <c r="K20" s="2">
        <v>20411454</v>
      </c>
      <c r="L20" s="2" t="s">
        <v>32</v>
      </c>
      <c r="M20" s="2" t="s">
        <v>208</v>
      </c>
      <c r="N20" s="2">
        <v>8192</v>
      </c>
      <c r="O20" s="2" t="s">
        <v>34</v>
      </c>
      <c r="P20" s="2">
        <v>150</v>
      </c>
      <c r="Q20" s="2" t="s">
        <v>205</v>
      </c>
    </row>
    <row r="21" spans="1:17" s="2" customFormat="1" x14ac:dyDescent="0.25">
      <c r="A21" s="2" t="s">
        <v>73</v>
      </c>
      <c r="B21" s="2" t="str">
        <f t="shared" si="1"/>
        <v>4Y25VA8MN71OVR</v>
      </c>
      <c r="C21" s="2" t="s">
        <v>240</v>
      </c>
      <c r="D21" s="2" t="s">
        <v>241</v>
      </c>
      <c r="E21" s="2" t="str">
        <f t="shared" si="0"/>
        <v>RONALD DISKIN</v>
      </c>
      <c r="F21" s="2" t="s">
        <v>27</v>
      </c>
      <c r="G21" s="2" t="s">
        <v>41</v>
      </c>
      <c r="H21" s="2" t="s">
        <v>29</v>
      </c>
      <c r="I21" s="3">
        <v>46023</v>
      </c>
      <c r="J21" s="3">
        <v>46023</v>
      </c>
      <c r="K21" s="2">
        <v>20411454</v>
      </c>
      <c r="L21" s="2" t="s">
        <v>32</v>
      </c>
      <c r="M21" s="2" t="s">
        <v>208</v>
      </c>
      <c r="N21" s="2">
        <v>8192</v>
      </c>
      <c r="O21" s="2" t="s">
        <v>34</v>
      </c>
      <c r="P21" s="2">
        <v>150</v>
      </c>
      <c r="Q21" s="2" t="s">
        <v>205</v>
      </c>
    </row>
    <row r="22" spans="1:17" s="2" customFormat="1" x14ac:dyDescent="0.25">
      <c r="A22" s="2" t="s">
        <v>77</v>
      </c>
      <c r="B22" s="2" t="str">
        <f t="shared" si="1"/>
        <v>3DM7HN3MK36OVR</v>
      </c>
      <c r="C22" s="2" t="s">
        <v>240</v>
      </c>
      <c r="D22" s="2" t="s">
        <v>242</v>
      </c>
      <c r="E22" s="2" t="str">
        <f t="shared" si="0"/>
        <v>SANDRA DISKIN</v>
      </c>
      <c r="F22" s="2" t="s">
        <v>27</v>
      </c>
      <c r="G22" s="2" t="s">
        <v>41</v>
      </c>
      <c r="H22" s="2" t="s">
        <v>29</v>
      </c>
      <c r="I22" s="3">
        <v>46023</v>
      </c>
      <c r="J22" s="3">
        <v>46023</v>
      </c>
      <c r="K22" s="2">
        <v>20411454</v>
      </c>
      <c r="L22" s="2" t="s">
        <v>32</v>
      </c>
      <c r="M22" s="2" t="s">
        <v>208</v>
      </c>
      <c r="N22" s="2">
        <v>8192</v>
      </c>
      <c r="O22" s="2" t="s">
        <v>34</v>
      </c>
      <c r="P22" s="2">
        <v>150</v>
      </c>
      <c r="Q22" s="2" t="s">
        <v>205</v>
      </c>
    </row>
    <row r="23" spans="1:17" s="2" customFormat="1" x14ac:dyDescent="0.25">
      <c r="A23" s="2" t="s">
        <v>80</v>
      </c>
      <c r="B23" s="2" t="str">
        <f t="shared" si="1"/>
        <v>1ME1T05UA32OVR</v>
      </c>
      <c r="C23" s="2" t="s">
        <v>243</v>
      </c>
      <c r="D23" s="2" t="s">
        <v>235</v>
      </c>
      <c r="E23" s="2" t="str">
        <f t="shared" si="0"/>
        <v>PEGGY DUFFIELD</v>
      </c>
      <c r="F23" s="2" t="s">
        <v>83</v>
      </c>
      <c r="G23" s="2" t="s">
        <v>41</v>
      </c>
      <c r="H23" s="2" t="s">
        <v>29</v>
      </c>
      <c r="I23" s="3">
        <v>46023</v>
      </c>
      <c r="J23" s="3">
        <v>46023</v>
      </c>
      <c r="K23" s="2">
        <v>20411454</v>
      </c>
      <c r="L23" s="2" t="s">
        <v>32</v>
      </c>
      <c r="M23" s="2" t="s">
        <v>208</v>
      </c>
      <c r="N23" s="2">
        <v>8192</v>
      </c>
      <c r="O23" s="2" t="s">
        <v>34</v>
      </c>
      <c r="P23" s="2">
        <v>150</v>
      </c>
      <c r="Q23" s="2" t="s">
        <v>205</v>
      </c>
    </row>
    <row r="24" spans="1:17" s="2" customFormat="1" x14ac:dyDescent="0.25">
      <c r="A24" s="2" t="s">
        <v>86</v>
      </c>
      <c r="B24" s="2" t="str">
        <f t="shared" si="1"/>
        <v>3AM7J02HP59OVR</v>
      </c>
      <c r="C24" s="2" t="s">
        <v>244</v>
      </c>
      <c r="D24" s="2" t="s">
        <v>245</v>
      </c>
      <c r="E24" s="2" t="str">
        <f t="shared" si="0"/>
        <v>JOYCE FINLEY</v>
      </c>
      <c r="F24" s="2" t="s">
        <v>27</v>
      </c>
      <c r="G24" s="2" t="s">
        <v>41</v>
      </c>
      <c r="H24" s="2" t="s">
        <v>29</v>
      </c>
      <c r="I24" s="3">
        <v>46023</v>
      </c>
      <c r="J24" s="3">
        <v>46023</v>
      </c>
      <c r="K24" s="2">
        <v>20411454</v>
      </c>
      <c r="L24" s="2" t="s">
        <v>32</v>
      </c>
      <c r="M24" s="2" t="s">
        <v>208</v>
      </c>
      <c r="N24" s="2">
        <v>8192</v>
      </c>
      <c r="O24" s="2" t="s">
        <v>34</v>
      </c>
      <c r="P24" s="2">
        <v>150</v>
      </c>
      <c r="Q24" s="2" t="s">
        <v>205</v>
      </c>
    </row>
    <row r="25" spans="1:17" s="2" customFormat="1" x14ac:dyDescent="0.25">
      <c r="A25" s="2" t="s">
        <v>90</v>
      </c>
      <c r="B25" s="2" t="str">
        <f t="shared" si="1"/>
        <v>1GJ9RG6QW13OVR</v>
      </c>
      <c r="C25" s="2" t="s">
        <v>246</v>
      </c>
      <c r="D25" s="2" t="s">
        <v>247</v>
      </c>
      <c r="E25" s="2" t="str">
        <f t="shared" si="0"/>
        <v>KAREN HARVEY</v>
      </c>
      <c r="F25" s="2" t="s">
        <v>69</v>
      </c>
      <c r="G25" s="2" t="s">
        <v>41</v>
      </c>
      <c r="H25" s="2" t="s">
        <v>29</v>
      </c>
      <c r="I25" s="3">
        <v>46023</v>
      </c>
      <c r="J25" s="3">
        <v>46023</v>
      </c>
      <c r="K25" s="2">
        <v>20411454</v>
      </c>
      <c r="L25" s="2" t="s">
        <v>32</v>
      </c>
      <c r="M25" s="2" t="s">
        <v>208</v>
      </c>
      <c r="N25" s="2">
        <v>8192</v>
      </c>
      <c r="O25" s="2" t="s">
        <v>34</v>
      </c>
      <c r="P25" s="2">
        <v>150</v>
      </c>
      <c r="Q25" s="2" t="s">
        <v>205</v>
      </c>
    </row>
    <row r="26" spans="1:17" s="2" customFormat="1" x14ac:dyDescent="0.25">
      <c r="A26" s="2" t="s">
        <v>95</v>
      </c>
      <c r="B26" s="2" t="str">
        <f t="shared" si="1"/>
        <v>9G48E16DN63OVR</v>
      </c>
      <c r="C26" s="2" t="s">
        <v>248</v>
      </c>
      <c r="D26" s="2" t="s">
        <v>249</v>
      </c>
      <c r="E26" s="2" t="str">
        <f t="shared" si="0"/>
        <v>BARBARA HILL</v>
      </c>
      <c r="F26" s="2" t="s">
        <v>27</v>
      </c>
      <c r="G26" s="2" t="s">
        <v>41</v>
      </c>
      <c r="H26" s="2" t="s">
        <v>29</v>
      </c>
      <c r="I26" s="3">
        <v>46023</v>
      </c>
      <c r="J26" s="3">
        <v>46023</v>
      </c>
      <c r="K26" s="2">
        <v>20411454</v>
      </c>
      <c r="L26" s="2" t="s">
        <v>32</v>
      </c>
      <c r="M26" s="2" t="s">
        <v>208</v>
      </c>
      <c r="N26" s="2">
        <v>8192</v>
      </c>
      <c r="O26" s="2" t="s">
        <v>34</v>
      </c>
      <c r="P26" s="2">
        <v>150</v>
      </c>
      <c r="Q26" s="2" t="s">
        <v>205</v>
      </c>
    </row>
    <row r="27" spans="1:17" s="2" customFormat="1" x14ac:dyDescent="0.25">
      <c r="A27" s="2" t="s">
        <v>100</v>
      </c>
      <c r="B27" s="2" t="str">
        <f t="shared" si="1"/>
        <v>8QG2AG6WT88OVR</v>
      </c>
      <c r="C27" s="2" t="s">
        <v>248</v>
      </c>
      <c r="D27" s="2" t="s">
        <v>250</v>
      </c>
      <c r="E27" s="2" t="str">
        <f t="shared" si="0"/>
        <v>WILLIAM HILL</v>
      </c>
      <c r="F27" s="2" t="s">
        <v>27</v>
      </c>
      <c r="G27" s="2" t="s">
        <v>41</v>
      </c>
      <c r="H27" s="2" t="s">
        <v>29</v>
      </c>
      <c r="I27" s="3">
        <v>46023</v>
      </c>
      <c r="J27" s="3">
        <v>46023</v>
      </c>
      <c r="K27" s="2">
        <v>20411454</v>
      </c>
      <c r="L27" s="2" t="s">
        <v>32</v>
      </c>
      <c r="M27" s="2" t="s">
        <v>208</v>
      </c>
      <c r="N27" s="2">
        <v>8192</v>
      </c>
      <c r="O27" s="2" t="s">
        <v>34</v>
      </c>
      <c r="P27" s="2">
        <v>150</v>
      </c>
      <c r="Q27" s="2" t="s">
        <v>205</v>
      </c>
    </row>
    <row r="28" spans="1:17" s="2" customFormat="1" x14ac:dyDescent="0.25">
      <c r="A28" s="2" t="s">
        <v>119</v>
      </c>
      <c r="B28" s="2" t="str">
        <f t="shared" si="1"/>
        <v>7W63N60FK73OVR</v>
      </c>
      <c r="C28" s="2" t="s">
        <v>251</v>
      </c>
      <c r="D28" s="2" t="s">
        <v>252</v>
      </c>
      <c r="E28" s="2" t="str">
        <f t="shared" si="0"/>
        <v>MICHELE KINSEY</v>
      </c>
      <c r="F28" s="2" t="s">
        <v>69</v>
      </c>
      <c r="G28" s="2" t="s">
        <v>41</v>
      </c>
      <c r="H28" s="2" t="s">
        <v>29</v>
      </c>
      <c r="I28" s="3">
        <v>46023</v>
      </c>
      <c r="J28" s="3">
        <v>46023</v>
      </c>
      <c r="K28" s="2">
        <v>20411454</v>
      </c>
      <c r="L28" s="2" t="s">
        <v>32</v>
      </c>
      <c r="M28" s="2" t="s">
        <v>208</v>
      </c>
      <c r="N28" s="2">
        <v>8192</v>
      </c>
      <c r="O28" s="2" t="s">
        <v>34</v>
      </c>
      <c r="P28" s="2">
        <v>150</v>
      </c>
      <c r="Q28" s="2" t="s">
        <v>205</v>
      </c>
    </row>
    <row r="29" spans="1:17" s="2" customFormat="1" x14ac:dyDescent="0.25">
      <c r="A29" s="2" t="s">
        <v>122</v>
      </c>
      <c r="B29" s="2" t="str">
        <f t="shared" si="1"/>
        <v>6VQ9T78XG36OVR</v>
      </c>
      <c r="C29" s="2" t="s">
        <v>253</v>
      </c>
      <c r="D29" s="2" t="s">
        <v>214</v>
      </c>
      <c r="E29" s="2" t="str">
        <f t="shared" si="0"/>
        <v>MARY KULUSIC</v>
      </c>
      <c r="F29" s="2" t="s">
        <v>27</v>
      </c>
      <c r="G29" s="2" t="s">
        <v>41</v>
      </c>
      <c r="H29" s="2" t="s">
        <v>29</v>
      </c>
      <c r="I29" s="3">
        <v>46023</v>
      </c>
      <c r="J29" s="3">
        <v>46023</v>
      </c>
      <c r="K29" s="2">
        <v>20411454</v>
      </c>
      <c r="L29" s="2" t="s">
        <v>32</v>
      </c>
      <c r="M29" s="2" t="s">
        <v>208</v>
      </c>
      <c r="N29" s="2">
        <v>8192</v>
      </c>
      <c r="O29" s="2" t="s">
        <v>34</v>
      </c>
      <c r="P29" s="2">
        <v>150</v>
      </c>
      <c r="Q29" s="2" t="s">
        <v>205</v>
      </c>
    </row>
    <row r="30" spans="1:17" s="2" customFormat="1" x14ac:dyDescent="0.25">
      <c r="A30" s="2" t="s">
        <v>130</v>
      </c>
      <c r="B30" s="2" t="str">
        <f t="shared" si="1"/>
        <v>1K07AY5VY30OVR</v>
      </c>
      <c r="C30" s="2" t="s">
        <v>254</v>
      </c>
      <c r="D30" s="2" t="s">
        <v>255</v>
      </c>
      <c r="E30" s="2" t="str">
        <f t="shared" si="0"/>
        <v>DAVID NAYDIHOR</v>
      </c>
      <c r="F30" s="2" t="s">
        <v>55</v>
      </c>
      <c r="G30" s="2" t="s">
        <v>41</v>
      </c>
      <c r="H30" s="2" t="s">
        <v>29</v>
      </c>
      <c r="I30" s="3">
        <v>46023</v>
      </c>
      <c r="J30" s="3">
        <v>46023</v>
      </c>
      <c r="K30" s="2">
        <v>20411454</v>
      </c>
      <c r="L30" s="2" t="s">
        <v>32</v>
      </c>
      <c r="M30" s="2" t="s">
        <v>208</v>
      </c>
      <c r="N30" s="2">
        <v>8192</v>
      </c>
      <c r="O30" s="2" t="s">
        <v>34</v>
      </c>
      <c r="P30" s="2">
        <v>150</v>
      </c>
      <c r="Q30" s="2" t="s">
        <v>205</v>
      </c>
    </row>
    <row r="31" spans="1:17" s="2" customFormat="1" x14ac:dyDescent="0.25">
      <c r="A31" s="2" t="s">
        <v>143</v>
      </c>
      <c r="B31" s="2" t="str">
        <f t="shared" si="1"/>
        <v>4TN1XD7KR22OVR</v>
      </c>
      <c r="C31" s="2" t="s">
        <v>256</v>
      </c>
      <c r="D31" s="2" t="s">
        <v>257</v>
      </c>
      <c r="E31" s="2" t="str">
        <f t="shared" si="0"/>
        <v>GARY OLDEEN</v>
      </c>
      <c r="F31" s="2" t="s">
        <v>27</v>
      </c>
      <c r="G31" s="2" t="s">
        <v>41</v>
      </c>
      <c r="H31" s="2" t="s">
        <v>29</v>
      </c>
      <c r="I31" s="3">
        <v>46023</v>
      </c>
      <c r="J31" s="3">
        <v>46023</v>
      </c>
      <c r="K31" s="2">
        <v>20411454</v>
      </c>
      <c r="L31" s="2" t="s">
        <v>32</v>
      </c>
      <c r="M31" s="2" t="s">
        <v>208</v>
      </c>
      <c r="N31" s="2">
        <v>8192</v>
      </c>
      <c r="O31" s="2" t="s">
        <v>34</v>
      </c>
      <c r="P31" s="2">
        <v>150</v>
      </c>
      <c r="Q31" s="2" t="s">
        <v>205</v>
      </c>
    </row>
    <row r="32" spans="1:17" s="2" customFormat="1" x14ac:dyDescent="0.25">
      <c r="A32" s="2" t="s">
        <v>150</v>
      </c>
      <c r="B32" s="2" t="str">
        <f t="shared" si="1"/>
        <v>7U18UJ0NU25OVR</v>
      </c>
      <c r="C32" s="2" t="s">
        <v>258</v>
      </c>
      <c r="D32" s="2" t="s">
        <v>259</v>
      </c>
      <c r="E32" s="2" t="str">
        <f t="shared" si="0"/>
        <v>BRENDA RINER</v>
      </c>
      <c r="F32" s="2" t="s">
        <v>27</v>
      </c>
      <c r="G32" s="2" t="s">
        <v>41</v>
      </c>
      <c r="H32" s="2" t="s">
        <v>29</v>
      </c>
      <c r="I32" s="3">
        <v>46023</v>
      </c>
      <c r="J32" s="3">
        <v>46023</v>
      </c>
      <c r="K32" s="2">
        <v>20411454</v>
      </c>
      <c r="L32" s="2" t="s">
        <v>32</v>
      </c>
      <c r="M32" s="2" t="s">
        <v>208</v>
      </c>
      <c r="N32" s="2">
        <v>8192</v>
      </c>
      <c r="O32" s="2" t="s">
        <v>34</v>
      </c>
      <c r="P32" s="2">
        <v>150</v>
      </c>
      <c r="Q32" s="2" t="s">
        <v>205</v>
      </c>
    </row>
    <row r="33" spans="1:17" s="2" customFormat="1" x14ac:dyDescent="0.25">
      <c r="A33" s="2" t="s">
        <v>154</v>
      </c>
      <c r="B33" s="2" t="str">
        <f t="shared" si="1"/>
        <v>6D41TD9DG98OVR</v>
      </c>
      <c r="C33" s="2" t="s">
        <v>260</v>
      </c>
      <c r="D33" s="2" t="s">
        <v>261</v>
      </c>
      <c r="E33" s="2" t="str">
        <f t="shared" si="0"/>
        <v>CYNTHIA ROBINSON</v>
      </c>
      <c r="F33" s="2" t="s">
        <v>27</v>
      </c>
      <c r="G33" s="2" t="s">
        <v>41</v>
      </c>
      <c r="H33" s="2" t="s">
        <v>29</v>
      </c>
      <c r="I33" s="3">
        <v>46023</v>
      </c>
      <c r="J33" s="3">
        <v>46023</v>
      </c>
      <c r="K33" s="2">
        <v>20411454</v>
      </c>
      <c r="L33" s="2" t="s">
        <v>32</v>
      </c>
      <c r="M33" s="2" t="s">
        <v>208</v>
      </c>
      <c r="N33" s="2">
        <v>8192</v>
      </c>
      <c r="O33" s="2" t="s">
        <v>34</v>
      </c>
      <c r="P33" s="2">
        <v>150</v>
      </c>
      <c r="Q33" s="2" t="s">
        <v>205</v>
      </c>
    </row>
    <row r="34" spans="1:17" s="2" customFormat="1" x14ac:dyDescent="0.25">
      <c r="A34" s="2" t="s">
        <v>164</v>
      </c>
      <c r="B34" s="2" t="str">
        <f t="shared" si="1"/>
        <v>8RY1JU7YP10OVR</v>
      </c>
      <c r="C34" s="2" t="s">
        <v>262</v>
      </c>
      <c r="D34" s="2" t="s">
        <v>263</v>
      </c>
      <c r="E34" s="2" t="str">
        <f t="shared" si="0"/>
        <v>NAYAN SINGH</v>
      </c>
      <c r="F34" s="2" t="s">
        <v>27</v>
      </c>
      <c r="G34" s="2" t="s">
        <v>41</v>
      </c>
      <c r="H34" s="2" t="s">
        <v>29</v>
      </c>
      <c r="I34" s="3">
        <v>46023</v>
      </c>
      <c r="J34" s="3">
        <v>46023</v>
      </c>
      <c r="K34" s="2">
        <v>20411454</v>
      </c>
      <c r="L34" s="2" t="s">
        <v>32</v>
      </c>
      <c r="M34" s="2" t="s">
        <v>208</v>
      </c>
      <c r="N34" s="2">
        <v>8192</v>
      </c>
      <c r="O34" s="2" t="s">
        <v>34</v>
      </c>
      <c r="P34" s="2">
        <v>150</v>
      </c>
      <c r="Q34" s="2" t="s">
        <v>205</v>
      </c>
    </row>
    <row r="35" spans="1:17" s="2" customFormat="1" x14ac:dyDescent="0.25">
      <c r="A35" s="2" t="s">
        <v>168</v>
      </c>
      <c r="B35" s="2" t="str">
        <f t="shared" si="1"/>
        <v>4F23TR0JG76OVR</v>
      </c>
      <c r="C35" s="2" t="s">
        <v>264</v>
      </c>
      <c r="D35" s="2" t="s">
        <v>242</v>
      </c>
      <c r="E35" s="2" t="str">
        <f t="shared" si="0"/>
        <v>SANDRA SMART</v>
      </c>
      <c r="F35" s="2" t="s">
        <v>160</v>
      </c>
      <c r="G35" s="2" t="s">
        <v>41</v>
      </c>
      <c r="H35" s="2" t="s">
        <v>29</v>
      </c>
      <c r="I35" s="3">
        <v>46023</v>
      </c>
      <c r="J35" s="3">
        <v>46023</v>
      </c>
      <c r="K35" s="2">
        <v>20411454</v>
      </c>
      <c r="L35" s="2" t="s">
        <v>32</v>
      </c>
      <c r="M35" s="2" t="s">
        <v>208</v>
      </c>
      <c r="N35" s="2">
        <v>8192</v>
      </c>
      <c r="O35" s="2" t="s">
        <v>34</v>
      </c>
      <c r="P35" s="2">
        <v>150</v>
      </c>
      <c r="Q35" s="2" t="s">
        <v>205</v>
      </c>
    </row>
    <row r="36" spans="1:17" s="2" customFormat="1" x14ac:dyDescent="0.25">
      <c r="A36" s="2" t="s">
        <v>183</v>
      </c>
      <c r="B36" s="2" t="str">
        <f t="shared" si="1"/>
        <v>8M17MG5UQ52OVR</v>
      </c>
      <c r="C36" s="2" t="s">
        <v>265</v>
      </c>
      <c r="D36" s="2" t="s">
        <v>266</v>
      </c>
      <c r="E36" s="2" t="str">
        <f t="shared" si="0"/>
        <v>KHAM THAMMAVONG</v>
      </c>
      <c r="F36" s="2" t="s">
        <v>27</v>
      </c>
      <c r="G36" s="2" t="s">
        <v>41</v>
      </c>
      <c r="H36" s="2" t="s">
        <v>29</v>
      </c>
      <c r="I36" s="3">
        <v>46023</v>
      </c>
      <c r="J36" s="3">
        <v>46023</v>
      </c>
      <c r="K36" s="2">
        <v>20411454</v>
      </c>
      <c r="L36" s="2" t="s">
        <v>32</v>
      </c>
      <c r="M36" s="2" t="s">
        <v>208</v>
      </c>
      <c r="N36" s="2">
        <v>8192</v>
      </c>
      <c r="O36" s="2" t="s">
        <v>34</v>
      </c>
      <c r="P36" s="2">
        <v>150</v>
      </c>
      <c r="Q36" s="2" t="s">
        <v>205</v>
      </c>
    </row>
    <row r="37" spans="1:17" s="2" customFormat="1" x14ac:dyDescent="0.25">
      <c r="A37" s="2" t="s">
        <v>194</v>
      </c>
      <c r="B37" s="2" t="str">
        <f t="shared" si="1"/>
        <v>7PU8FG1GA64OVR</v>
      </c>
      <c r="C37" s="2" t="s">
        <v>267</v>
      </c>
      <c r="D37" s="2" t="s">
        <v>268</v>
      </c>
      <c r="E37" s="2" t="str">
        <f t="shared" si="0"/>
        <v>KEVIN WILKER</v>
      </c>
      <c r="F37" s="2" t="s">
        <v>40</v>
      </c>
      <c r="G37" s="2" t="s">
        <v>41</v>
      </c>
      <c r="H37" s="2" t="s">
        <v>29</v>
      </c>
      <c r="I37" s="3">
        <v>46023</v>
      </c>
      <c r="J37" s="3">
        <v>46023</v>
      </c>
      <c r="K37" s="2">
        <v>20411454</v>
      </c>
      <c r="L37" s="2" t="s">
        <v>32</v>
      </c>
      <c r="M37" s="2" t="s">
        <v>208</v>
      </c>
      <c r="N37" s="2">
        <v>8192</v>
      </c>
      <c r="O37" s="2" t="s">
        <v>34</v>
      </c>
      <c r="P37" s="2">
        <v>150</v>
      </c>
      <c r="Q37" s="2" t="s">
        <v>205</v>
      </c>
    </row>
    <row r="38" spans="1:17" s="2" customFormat="1" x14ac:dyDescent="0.25">
      <c r="A38" s="2" t="s">
        <v>198</v>
      </c>
      <c r="B38" s="2" t="str">
        <f t="shared" si="1"/>
        <v>7RP5Q59RV86OVR</v>
      </c>
      <c r="C38" s="2" t="s">
        <v>269</v>
      </c>
      <c r="D38" s="2" t="s">
        <v>270</v>
      </c>
      <c r="E38" s="2" t="str">
        <f t="shared" si="0"/>
        <v>JEANNE WILSON</v>
      </c>
      <c r="F38" s="2" t="s">
        <v>27</v>
      </c>
      <c r="G38" s="2" t="s">
        <v>41</v>
      </c>
      <c r="H38" s="2" t="s">
        <v>29</v>
      </c>
      <c r="I38" s="3">
        <v>46023</v>
      </c>
      <c r="J38" s="3">
        <v>46023</v>
      </c>
      <c r="K38" s="2">
        <v>20411454</v>
      </c>
      <c r="L38" s="2" t="s">
        <v>32</v>
      </c>
      <c r="M38" s="2" t="s">
        <v>208</v>
      </c>
      <c r="N38" s="2">
        <v>8192</v>
      </c>
      <c r="O38" s="2" t="s">
        <v>34</v>
      </c>
      <c r="P38" s="2">
        <v>150</v>
      </c>
      <c r="Q38" s="2" t="s">
        <v>205</v>
      </c>
    </row>
    <row r="39" spans="1:17" s="2" customFormat="1" x14ac:dyDescent="0.25">
      <c r="A39" s="2" t="s">
        <v>202</v>
      </c>
      <c r="B39" s="2" t="str">
        <f t="shared" si="1"/>
        <v>8HM9QJ1HN28OVR</v>
      </c>
      <c r="C39" s="2" t="s">
        <v>271</v>
      </c>
      <c r="D39" s="2" t="s">
        <v>272</v>
      </c>
      <c r="E39" s="2" t="str">
        <f t="shared" si="0"/>
        <v>EDITH ZIMMER</v>
      </c>
      <c r="F39" s="2" t="s">
        <v>27</v>
      </c>
      <c r="G39" s="2" t="s">
        <v>41</v>
      </c>
      <c r="H39" s="2" t="s">
        <v>29</v>
      </c>
      <c r="I39" s="3">
        <v>46023</v>
      </c>
      <c r="J39" s="3">
        <v>46023</v>
      </c>
      <c r="K39" s="2">
        <v>20411454</v>
      </c>
      <c r="L39" s="2" t="s">
        <v>32</v>
      </c>
      <c r="M39" s="2" t="s">
        <v>208</v>
      </c>
      <c r="N39" s="2">
        <v>8192</v>
      </c>
      <c r="O39" s="2" t="s">
        <v>34</v>
      </c>
      <c r="P39" s="2">
        <v>150</v>
      </c>
      <c r="Q39" s="2" t="s">
        <v>205</v>
      </c>
    </row>
    <row r="40" spans="1:17" s="2" customFormat="1" x14ac:dyDescent="0.25">
      <c r="A40" s="2" t="s">
        <v>173</v>
      </c>
      <c r="B40" s="2" t="str">
        <f t="shared" si="1"/>
        <v>6EA5ND2DN79OVR</v>
      </c>
      <c r="C40" s="2" t="s">
        <v>209</v>
      </c>
      <c r="D40" s="2" t="s">
        <v>210</v>
      </c>
      <c r="E40" s="2" t="str">
        <f t="shared" si="0"/>
        <v>THOMAS SOMMERS</v>
      </c>
      <c r="F40" s="2" t="s">
        <v>27</v>
      </c>
      <c r="G40" s="2" t="s">
        <v>110</v>
      </c>
      <c r="H40" s="2" t="s">
        <v>29</v>
      </c>
      <c r="I40" s="3">
        <v>45658</v>
      </c>
      <c r="J40" s="3">
        <v>45658</v>
      </c>
      <c r="K40" s="2">
        <v>20411454</v>
      </c>
      <c r="L40" s="2" t="s">
        <v>32</v>
      </c>
      <c r="M40" s="2" t="s">
        <v>208</v>
      </c>
      <c r="N40" s="2">
        <v>8192</v>
      </c>
      <c r="O40" s="2" t="s">
        <v>112</v>
      </c>
      <c r="P40" s="2">
        <v>88.5</v>
      </c>
      <c r="Q40" s="2" t="s">
        <v>205</v>
      </c>
    </row>
    <row r="41" spans="1:17" x14ac:dyDescent="0.25">
      <c r="I41" s="1"/>
      <c r="J41" s="1"/>
    </row>
    <row r="42" spans="1:17" x14ac:dyDescent="0.25">
      <c r="I42" s="1"/>
      <c r="J42" s="1"/>
    </row>
    <row r="43" spans="1:17" x14ac:dyDescent="0.25">
      <c r="I43" s="1"/>
      <c r="J43" s="1"/>
    </row>
    <row r="44" spans="1:17" x14ac:dyDescent="0.25">
      <c r="I44" s="1"/>
      <c r="J44" s="1"/>
    </row>
    <row r="45" spans="1:17" x14ac:dyDescent="0.25">
      <c r="I45" s="1"/>
      <c r="J45" s="1"/>
    </row>
    <row r="46" spans="1:17" x14ac:dyDescent="0.25">
      <c r="I46" s="1"/>
      <c r="J46" s="1"/>
    </row>
    <row r="47" spans="1:17" x14ac:dyDescent="0.25">
      <c r="I47" s="1"/>
      <c r="J47" s="1"/>
    </row>
    <row r="48" spans="1:17" x14ac:dyDescent="0.25">
      <c r="I48" s="1"/>
      <c r="J48" s="1"/>
    </row>
    <row r="49" spans="9:10" x14ac:dyDescent="0.25">
      <c r="I49" s="1"/>
      <c r="J49" s="1"/>
    </row>
    <row r="50" spans="9:10" x14ac:dyDescent="0.25">
      <c r="I50" s="1"/>
      <c r="J50" s="1"/>
    </row>
    <row r="51" spans="9:10" x14ac:dyDescent="0.25">
      <c r="I51" s="1"/>
      <c r="J51" s="1"/>
    </row>
    <row r="52" spans="9:10" x14ac:dyDescent="0.25">
      <c r="I52" s="1"/>
      <c r="J52" s="1"/>
    </row>
    <row r="53" spans="9:10" x14ac:dyDescent="0.25">
      <c r="I53" s="1"/>
      <c r="J53" s="1"/>
    </row>
    <row r="54" spans="9:10" x14ac:dyDescent="0.25">
      <c r="I54" s="1"/>
      <c r="J54" s="1"/>
    </row>
    <row r="55" spans="9:10" x14ac:dyDescent="0.25">
      <c r="I55" s="1"/>
      <c r="J55" s="1"/>
    </row>
    <row r="56" spans="9:10" x14ac:dyDescent="0.25">
      <c r="I56" s="1"/>
      <c r="J56" s="1"/>
    </row>
    <row r="57" spans="9:10" x14ac:dyDescent="0.25">
      <c r="I57" s="1"/>
      <c r="J57" s="1"/>
    </row>
    <row r="58" spans="9:10" x14ac:dyDescent="0.25">
      <c r="I58" s="1"/>
      <c r="J58" s="1"/>
    </row>
    <row r="59" spans="9:10" x14ac:dyDescent="0.25">
      <c r="I59" s="1"/>
      <c r="J59" s="1"/>
    </row>
    <row r="60" spans="9:10" x14ac:dyDescent="0.25">
      <c r="I60" s="1"/>
      <c r="J60" s="1"/>
    </row>
    <row r="61" spans="9:10" x14ac:dyDescent="0.25">
      <c r="I61" s="1"/>
      <c r="J61" s="1"/>
    </row>
    <row r="62" spans="9:10" x14ac:dyDescent="0.25">
      <c r="I62" s="1"/>
      <c r="J62" s="1"/>
    </row>
    <row r="63" spans="9:10" x14ac:dyDescent="0.25">
      <c r="I63" s="1"/>
      <c r="J63" s="1"/>
    </row>
    <row r="64" spans="9:10" x14ac:dyDescent="0.25">
      <c r="I64" s="1"/>
      <c r="J64" s="1"/>
    </row>
    <row r="65" spans="9:10" x14ac:dyDescent="0.25">
      <c r="I65" s="1"/>
      <c r="J65" s="1"/>
    </row>
    <row r="66" spans="9:10" x14ac:dyDescent="0.25">
      <c r="I66" s="1"/>
      <c r="J66" s="1"/>
    </row>
    <row r="67" spans="9:10" x14ac:dyDescent="0.25">
      <c r="I67" s="1"/>
      <c r="J67" s="1"/>
    </row>
    <row r="68" spans="9:10" x14ac:dyDescent="0.25">
      <c r="I68" s="1"/>
      <c r="J68" s="1"/>
    </row>
    <row r="69" spans="9:10" x14ac:dyDescent="0.25">
      <c r="I69" s="1"/>
      <c r="J69" s="1"/>
    </row>
    <row r="70" spans="9:10" x14ac:dyDescent="0.25">
      <c r="I70" s="1"/>
      <c r="J70" s="1"/>
    </row>
    <row r="71" spans="9:10" x14ac:dyDescent="0.25">
      <c r="I71" s="1"/>
      <c r="J71" s="1"/>
    </row>
    <row r="72" spans="9:10" x14ac:dyDescent="0.25">
      <c r="I72" s="1"/>
      <c r="J72" s="1"/>
    </row>
    <row r="73" spans="9:10" x14ac:dyDescent="0.25">
      <c r="I73" s="1"/>
      <c r="J73" s="1"/>
    </row>
    <row r="74" spans="9:10" x14ac:dyDescent="0.25">
      <c r="I74" s="1"/>
      <c r="J74" s="1"/>
    </row>
    <row r="75" spans="9:10" x14ac:dyDescent="0.25">
      <c r="I75" s="1"/>
      <c r="J75" s="1"/>
    </row>
    <row r="76" spans="9:10" x14ac:dyDescent="0.25">
      <c r="I76" s="1"/>
      <c r="J76" s="1"/>
    </row>
    <row r="77" spans="9:10" x14ac:dyDescent="0.25">
      <c r="I77" s="1"/>
      <c r="J77" s="1"/>
    </row>
    <row r="78" spans="9:10" x14ac:dyDescent="0.25">
      <c r="I78" s="1"/>
      <c r="J78" s="1"/>
    </row>
    <row r="79" spans="9:10" x14ac:dyDescent="0.25">
      <c r="I79" s="1"/>
      <c r="J79" s="1"/>
    </row>
    <row r="80" spans="9:10" x14ac:dyDescent="0.25">
      <c r="I80" s="1"/>
      <c r="J80" s="1"/>
    </row>
    <row r="81" spans="9:10" x14ac:dyDescent="0.25">
      <c r="I81" s="1"/>
      <c r="J81" s="1"/>
    </row>
    <row r="82" spans="9:10" x14ac:dyDescent="0.25">
      <c r="I82" s="1"/>
      <c r="J82" s="1"/>
    </row>
    <row r="83" spans="9:10" x14ac:dyDescent="0.25">
      <c r="I83" s="1"/>
      <c r="J83" s="1"/>
    </row>
    <row r="84" spans="9:10" x14ac:dyDescent="0.25">
      <c r="I84" s="1"/>
      <c r="J84" s="1"/>
    </row>
    <row r="85" spans="9:10" x14ac:dyDescent="0.25">
      <c r="I85" s="1"/>
      <c r="J85" s="1"/>
    </row>
    <row r="86" spans="9:10" x14ac:dyDescent="0.25">
      <c r="I86" s="1"/>
      <c r="J86" s="1"/>
    </row>
    <row r="87" spans="9:10" x14ac:dyDescent="0.25">
      <c r="I87" s="1"/>
      <c r="J87" s="1"/>
    </row>
    <row r="88" spans="9:10" x14ac:dyDescent="0.25">
      <c r="I88" s="1"/>
      <c r="J88" s="1"/>
    </row>
    <row r="89" spans="9:10" x14ac:dyDescent="0.25">
      <c r="I89" s="1"/>
      <c r="J89" s="1"/>
    </row>
    <row r="90" spans="9:10" x14ac:dyDescent="0.25">
      <c r="I90" s="1"/>
      <c r="J90" s="1"/>
    </row>
    <row r="91" spans="9:10" x14ac:dyDescent="0.25">
      <c r="I91" s="1"/>
      <c r="J91" s="1"/>
    </row>
    <row r="92" spans="9:10" x14ac:dyDescent="0.25">
      <c r="I92" s="1"/>
      <c r="J92" s="1"/>
    </row>
    <row r="93" spans="9:10" x14ac:dyDescent="0.25">
      <c r="I93" s="1"/>
      <c r="J93" s="1"/>
    </row>
    <row r="94" spans="9:10" x14ac:dyDescent="0.25">
      <c r="I94" s="1"/>
      <c r="J94" s="1"/>
    </row>
    <row r="95" spans="9:10" x14ac:dyDescent="0.25">
      <c r="I95" s="1"/>
      <c r="J95" s="1"/>
    </row>
    <row r="96" spans="9:10" x14ac:dyDescent="0.25">
      <c r="I96" s="1"/>
      <c r="J96" s="1"/>
    </row>
    <row r="97" spans="9:10" x14ac:dyDescent="0.25">
      <c r="I97" s="1"/>
      <c r="J97" s="1"/>
    </row>
    <row r="98" spans="9:10" x14ac:dyDescent="0.25">
      <c r="I98" s="1"/>
      <c r="J98" s="1"/>
    </row>
    <row r="99" spans="9:10" x14ac:dyDescent="0.25">
      <c r="I99" s="1"/>
      <c r="J99" s="1"/>
    </row>
    <row r="100" spans="9:10" x14ac:dyDescent="0.25">
      <c r="I100" s="1"/>
      <c r="J100" s="1"/>
    </row>
    <row r="101" spans="9:10" x14ac:dyDescent="0.25">
      <c r="I101" s="1"/>
      <c r="J101" s="1"/>
    </row>
    <row r="102" spans="9:10" x14ac:dyDescent="0.25">
      <c r="I102" s="1"/>
      <c r="J102" s="1"/>
    </row>
    <row r="103" spans="9:10" x14ac:dyDescent="0.25">
      <c r="I103" s="1"/>
      <c r="J103" s="1"/>
    </row>
    <row r="104" spans="9:10" x14ac:dyDescent="0.25">
      <c r="I104" s="1"/>
      <c r="J104" s="1"/>
    </row>
    <row r="105" spans="9:10" x14ac:dyDescent="0.25">
      <c r="I105" s="1"/>
      <c r="J105" s="1"/>
    </row>
    <row r="106" spans="9:10" x14ac:dyDescent="0.25">
      <c r="I106" s="1"/>
      <c r="J106" s="1"/>
    </row>
    <row r="107" spans="9:10" x14ac:dyDescent="0.25">
      <c r="I107" s="1"/>
      <c r="J107" s="1"/>
    </row>
    <row r="108" spans="9:10" x14ac:dyDescent="0.25">
      <c r="I108" s="1"/>
      <c r="J108" s="1"/>
    </row>
    <row r="109" spans="9:10" x14ac:dyDescent="0.25">
      <c r="I109" s="1"/>
      <c r="J109" s="1"/>
    </row>
    <row r="110" spans="9:10" x14ac:dyDescent="0.25">
      <c r="I110" s="1"/>
      <c r="J110" s="1"/>
    </row>
    <row r="111" spans="9:10" x14ac:dyDescent="0.25">
      <c r="I111" s="1"/>
      <c r="J111" s="1"/>
    </row>
    <row r="112" spans="9:10" x14ac:dyDescent="0.25">
      <c r="I112" s="1"/>
      <c r="J112" s="1"/>
    </row>
    <row r="113" spans="9:10" x14ac:dyDescent="0.25">
      <c r="I113" s="1"/>
      <c r="J113" s="1"/>
    </row>
    <row r="114" spans="9:10" x14ac:dyDescent="0.25">
      <c r="I114" s="1"/>
      <c r="J114" s="1"/>
    </row>
    <row r="115" spans="9:10" x14ac:dyDescent="0.25">
      <c r="I115" s="1"/>
      <c r="J115" s="1"/>
    </row>
    <row r="116" spans="9:10" x14ac:dyDescent="0.25">
      <c r="I116" s="1"/>
      <c r="J116" s="1"/>
    </row>
    <row r="117" spans="9:10" x14ac:dyDescent="0.25">
      <c r="I117" s="1"/>
      <c r="J117" s="1"/>
    </row>
    <row r="118" spans="9:10" x14ac:dyDescent="0.25">
      <c r="I118" s="1"/>
      <c r="J118" s="1"/>
    </row>
    <row r="119" spans="9:10" x14ac:dyDescent="0.25">
      <c r="I119" s="1"/>
      <c r="J119" s="1"/>
    </row>
    <row r="120" spans="9:10" x14ac:dyDescent="0.25">
      <c r="I120" s="1"/>
      <c r="J120" s="1"/>
    </row>
    <row r="121" spans="9:10" x14ac:dyDescent="0.25">
      <c r="I121" s="1"/>
      <c r="J121" s="1"/>
    </row>
    <row r="122" spans="9:10" x14ac:dyDescent="0.25">
      <c r="I122" s="1"/>
      <c r="J122" s="1"/>
    </row>
    <row r="123" spans="9:10" x14ac:dyDescent="0.25">
      <c r="I123" s="1"/>
      <c r="J123" s="1"/>
    </row>
    <row r="124" spans="9:10" x14ac:dyDescent="0.25">
      <c r="I124" s="1"/>
      <c r="J124" s="1"/>
    </row>
    <row r="125" spans="9:10" x14ac:dyDescent="0.25">
      <c r="I125" s="1"/>
      <c r="J125" s="1"/>
    </row>
    <row r="126" spans="9:10" x14ac:dyDescent="0.25">
      <c r="I126" s="1"/>
      <c r="J126" s="1"/>
    </row>
    <row r="127" spans="9:10" x14ac:dyDescent="0.25">
      <c r="I127" s="1"/>
      <c r="J127" s="1"/>
    </row>
    <row r="128" spans="9:10" x14ac:dyDescent="0.25">
      <c r="I128" s="1"/>
      <c r="J128" s="1"/>
    </row>
    <row r="129" spans="9:10" x14ac:dyDescent="0.25">
      <c r="I129" s="1"/>
      <c r="J129" s="1"/>
    </row>
    <row r="130" spans="9:10" x14ac:dyDescent="0.25">
      <c r="I130" s="1"/>
      <c r="J130" s="1"/>
    </row>
    <row r="131" spans="9:10" x14ac:dyDescent="0.25">
      <c r="I131" s="1"/>
      <c r="J131" s="1"/>
    </row>
    <row r="132" spans="9:10" x14ac:dyDescent="0.25">
      <c r="I132" s="1"/>
      <c r="J132" s="1"/>
    </row>
    <row r="133" spans="9:10" x14ac:dyDescent="0.25">
      <c r="I133" s="1"/>
      <c r="J133" s="1"/>
    </row>
    <row r="134" spans="9:10" x14ac:dyDescent="0.25">
      <c r="I134" s="1"/>
      <c r="J134" s="1"/>
    </row>
    <row r="135" spans="9:10" x14ac:dyDescent="0.25">
      <c r="I135" s="1"/>
      <c r="J135" s="1"/>
    </row>
    <row r="136" spans="9:10" x14ac:dyDescent="0.25">
      <c r="I136" s="1"/>
      <c r="J136" s="1"/>
    </row>
    <row r="137" spans="9:10" x14ac:dyDescent="0.25">
      <c r="I137" s="1"/>
      <c r="J137" s="1"/>
    </row>
    <row r="138" spans="9:10" x14ac:dyDescent="0.25">
      <c r="I138" s="1"/>
      <c r="J138" s="1"/>
    </row>
    <row r="139" spans="9:10" x14ac:dyDescent="0.25">
      <c r="I139" s="1"/>
      <c r="J139" s="1"/>
    </row>
    <row r="140" spans="9:10" x14ac:dyDescent="0.25">
      <c r="I140" s="1"/>
      <c r="J140" s="1"/>
    </row>
    <row r="141" spans="9:10" x14ac:dyDescent="0.25">
      <c r="I141" s="1"/>
      <c r="J141" s="1"/>
    </row>
    <row r="142" spans="9:10" x14ac:dyDescent="0.25">
      <c r="I142" s="1"/>
      <c r="J142" s="1"/>
    </row>
    <row r="143" spans="9:10" x14ac:dyDescent="0.25">
      <c r="I143" s="1"/>
      <c r="J143" s="1"/>
    </row>
    <row r="144" spans="9:10" x14ac:dyDescent="0.25">
      <c r="I144" s="1"/>
      <c r="J144" s="1"/>
    </row>
    <row r="145" spans="9:10" x14ac:dyDescent="0.25">
      <c r="I145" s="1"/>
      <c r="J145" s="1"/>
    </row>
    <row r="146" spans="9:10" x14ac:dyDescent="0.25">
      <c r="I146" s="1"/>
      <c r="J146" s="1"/>
    </row>
    <row r="147" spans="9:10" x14ac:dyDescent="0.25">
      <c r="I147" s="1"/>
      <c r="J147" s="1"/>
    </row>
    <row r="148" spans="9:10" x14ac:dyDescent="0.25">
      <c r="I148" s="1"/>
      <c r="J148" s="1"/>
    </row>
    <row r="149" spans="9:10" x14ac:dyDescent="0.25">
      <c r="I149" s="1"/>
      <c r="J149" s="1"/>
    </row>
    <row r="150" spans="9:10" x14ac:dyDescent="0.25">
      <c r="I150" s="1"/>
      <c r="J150" s="1"/>
    </row>
    <row r="151" spans="9:10" x14ac:dyDescent="0.25">
      <c r="I151" s="1"/>
      <c r="J151" s="1"/>
    </row>
    <row r="152" spans="9:10" x14ac:dyDescent="0.25">
      <c r="I152" s="1"/>
      <c r="J152" s="1"/>
    </row>
    <row r="153" spans="9:10" x14ac:dyDescent="0.25">
      <c r="I153" s="1"/>
      <c r="J153" s="1"/>
    </row>
    <row r="154" spans="9:10" x14ac:dyDescent="0.25">
      <c r="I154" s="1"/>
      <c r="J154" s="1"/>
    </row>
    <row r="155" spans="9:10" x14ac:dyDescent="0.25">
      <c r="I155" s="1"/>
      <c r="J155" s="1"/>
    </row>
    <row r="156" spans="9:10" x14ac:dyDescent="0.25">
      <c r="I156" s="1"/>
      <c r="J156" s="1"/>
    </row>
    <row r="157" spans="9:10" x14ac:dyDescent="0.25">
      <c r="I157" s="1"/>
      <c r="J157" s="1"/>
    </row>
    <row r="158" spans="9:10" x14ac:dyDescent="0.25">
      <c r="I158" s="1"/>
      <c r="J158" s="1"/>
    </row>
    <row r="159" spans="9:10" x14ac:dyDescent="0.25">
      <c r="I159" s="1"/>
      <c r="J159" s="1"/>
    </row>
    <row r="160" spans="9:10" x14ac:dyDescent="0.25">
      <c r="I160" s="1"/>
      <c r="J160" s="1"/>
    </row>
    <row r="161" spans="9:10" x14ac:dyDescent="0.25">
      <c r="I161" s="1"/>
      <c r="J161" s="1"/>
    </row>
    <row r="162" spans="9:10" x14ac:dyDescent="0.25">
      <c r="I162" s="1"/>
      <c r="J162" s="1"/>
    </row>
    <row r="163" spans="9:10" x14ac:dyDescent="0.25">
      <c r="I163" s="1"/>
      <c r="J163" s="1"/>
    </row>
    <row r="164" spans="9:10" x14ac:dyDescent="0.25">
      <c r="I164" s="1"/>
      <c r="J164" s="1"/>
    </row>
    <row r="165" spans="9:10" x14ac:dyDescent="0.25">
      <c r="I165" s="1"/>
      <c r="J165" s="1"/>
    </row>
    <row r="166" spans="9:10" x14ac:dyDescent="0.25">
      <c r="I166" s="1"/>
      <c r="J166" s="1"/>
    </row>
    <row r="167" spans="9:10" x14ac:dyDescent="0.25">
      <c r="I167" s="1"/>
      <c r="J167" s="1"/>
    </row>
    <row r="168" spans="9:10" x14ac:dyDescent="0.25">
      <c r="I168" s="1"/>
      <c r="J168" s="1"/>
    </row>
    <row r="169" spans="9:10" x14ac:dyDescent="0.25">
      <c r="I169" s="1"/>
      <c r="J169" s="1"/>
    </row>
    <row r="170" spans="9:10" x14ac:dyDescent="0.25">
      <c r="I170" s="1"/>
      <c r="J170" s="1"/>
    </row>
    <row r="171" spans="9:10" x14ac:dyDescent="0.25">
      <c r="I171" s="1"/>
      <c r="J171" s="1"/>
    </row>
    <row r="172" spans="9:10" x14ac:dyDescent="0.25">
      <c r="I172" s="1"/>
      <c r="J172" s="1"/>
    </row>
    <row r="173" spans="9:10" x14ac:dyDescent="0.25">
      <c r="I173" s="1"/>
      <c r="J173" s="1"/>
    </row>
    <row r="174" spans="9:10" x14ac:dyDescent="0.25">
      <c r="I174" s="1"/>
      <c r="J174" s="1"/>
    </row>
    <row r="175" spans="9:10" x14ac:dyDescent="0.25">
      <c r="I175" s="1"/>
      <c r="J175" s="1"/>
    </row>
    <row r="176" spans="9:10" x14ac:dyDescent="0.25">
      <c r="I176" s="1"/>
      <c r="J176" s="1"/>
    </row>
    <row r="177" spans="9:10" x14ac:dyDescent="0.25">
      <c r="I177" s="1"/>
      <c r="J177" s="1"/>
    </row>
    <row r="178" spans="9:10" x14ac:dyDescent="0.25">
      <c r="I178" s="1"/>
      <c r="J178" s="1"/>
    </row>
    <row r="179" spans="9:10" x14ac:dyDescent="0.25">
      <c r="I179" s="1"/>
      <c r="J179" s="1"/>
    </row>
    <row r="180" spans="9:10" x14ac:dyDescent="0.25">
      <c r="I180" s="1"/>
      <c r="J180" s="1"/>
    </row>
    <row r="181" spans="9:10" x14ac:dyDescent="0.25">
      <c r="I181" s="1"/>
      <c r="J181" s="1"/>
    </row>
    <row r="182" spans="9:10" x14ac:dyDescent="0.25">
      <c r="I182" s="1"/>
      <c r="J182" s="1"/>
    </row>
    <row r="183" spans="9:10" x14ac:dyDescent="0.25">
      <c r="I183" s="1"/>
      <c r="J183" s="1"/>
    </row>
    <row r="184" spans="9:10" x14ac:dyDescent="0.25">
      <c r="I184" s="1"/>
      <c r="J184" s="1"/>
    </row>
    <row r="185" spans="9:10" x14ac:dyDescent="0.25">
      <c r="I185" s="1"/>
      <c r="J185" s="1"/>
    </row>
    <row r="186" spans="9:10" x14ac:dyDescent="0.25">
      <c r="I186" s="1"/>
      <c r="J186" s="1"/>
    </row>
    <row r="187" spans="9:10" x14ac:dyDescent="0.25">
      <c r="I187" s="1"/>
      <c r="J187" s="1"/>
    </row>
    <row r="188" spans="9:10" x14ac:dyDescent="0.25">
      <c r="I188" s="1"/>
      <c r="J188" s="1"/>
    </row>
    <row r="189" spans="9:10" x14ac:dyDescent="0.25">
      <c r="I189" s="1"/>
      <c r="J189" s="1"/>
    </row>
    <row r="190" spans="9:10" x14ac:dyDescent="0.25">
      <c r="I190" s="1"/>
      <c r="J190" s="1"/>
    </row>
    <row r="191" spans="9:10" x14ac:dyDescent="0.25">
      <c r="I191" s="1"/>
      <c r="J191" s="1"/>
    </row>
    <row r="192" spans="9:10" x14ac:dyDescent="0.25">
      <c r="I192" s="1"/>
      <c r="J192" s="1"/>
    </row>
    <row r="193" spans="9:10" x14ac:dyDescent="0.25">
      <c r="I193" s="1"/>
      <c r="J193" s="1"/>
    </row>
    <row r="194" spans="9:10" x14ac:dyDescent="0.25">
      <c r="I194" s="1"/>
      <c r="J194" s="1"/>
    </row>
    <row r="195" spans="9:10" x14ac:dyDescent="0.25">
      <c r="I195" s="1"/>
      <c r="J195" s="1"/>
    </row>
    <row r="196" spans="9:10" x14ac:dyDescent="0.25">
      <c r="I196" s="1"/>
      <c r="J196" s="1"/>
    </row>
    <row r="197" spans="9:10" x14ac:dyDescent="0.25">
      <c r="I197" s="1"/>
      <c r="J197" s="1"/>
    </row>
  </sheetData>
  <sortState xmlns:xlrd2="http://schemas.microsoft.com/office/spreadsheetml/2017/richdata2" ref="A2:AA40">
    <sortCondition ref="Q2:Q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2025-12-11T06:29:27Z</dcterms:created>
  <dcterms:modified xsi:type="dcterms:W3CDTF">2025-12-11T19:51:21Z</dcterms:modified>
</cp:coreProperties>
</file>