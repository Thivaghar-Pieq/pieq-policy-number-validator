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7-01-25\"/>
    </mc:Choice>
  </mc:AlternateContent>
  <xr:revisionPtr revIDLastSave="0" documentId="13_ncr:1_{6D612216-F5D5-4104-999F-5EC211145B6C}" xr6:coauthVersionLast="47" xr6:coauthVersionMax="47" xr10:uidLastSave="{00000000-0000-0000-0000-000000000000}"/>
  <bookViews>
    <workbookView xWindow="28680" yWindow="-120" windowWidth="29040" windowHeight="16440" xr2:uid="{297F7379-48F1-4427-86B9-133946849EBF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F10" i="2" l="1"/>
  <c r="F16" i="2"/>
  <c r="F11" i="2"/>
  <c r="F12" i="2"/>
  <c r="F13" i="2"/>
  <c r="F14" i="2"/>
  <c r="F17" i="2"/>
  <c r="F2" i="2"/>
  <c r="F6" i="2"/>
  <c r="F7" i="2"/>
  <c r="F3" i="2"/>
  <c r="F15" i="2"/>
  <c r="F19" i="2"/>
  <c r="F5" i="2"/>
  <c r="F4" i="2"/>
  <c r="F8" i="2"/>
  <c r="F18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9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8" i="2"/>
  <c r="B8" i="2"/>
  <c r="B4" i="2"/>
  <c r="B5" i="2"/>
  <c r="B19" i="2"/>
  <c r="B15" i="2"/>
  <c r="B3" i="2"/>
  <c r="B7" i="2"/>
  <c r="B6" i="2"/>
  <c r="B2" i="2"/>
  <c r="B17" i="2"/>
  <c r="B14" i="2"/>
  <c r="B13" i="2"/>
  <c r="B12" i="2"/>
  <c r="B11" i="2"/>
  <c r="B16" i="2"/>
  <c r="B10" i="2"/>
  <c r="B9" i="2"/>
</calcChain>
</file>

<file path=xl/sharedStrings.xml><?xml version="1.0" encoding="utf-8"?>
<sst xmlns="http://schemas.openxmlformats.org/spreadsheetml/2006/main" count="701" uniqueCount="189">
  <si>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</si>
  <si>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</si>
  <si>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</si>
  <si>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</si>
  <si>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</si>
  <si>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</si>
  <si>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</si>
  <si>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</si>
  <si>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</si>
  <si>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</si>
  <si>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</si>
  <si>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</si>
  <si>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</si>
  <si>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</si>
  <si>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</si>
  <si>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</si>
  <si>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</si>
  <si>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</si>
  <si>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</si>
  <si>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</si>
  <si>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</si>
  <si>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</si>
  <si>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</si>
  <si>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</si>
  <si>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8CV1UA1JW92</t>
  </si>
  <si>
    <t>NG102144511800</t>
  </si>
  <si>
    <t>BUSSE P,SUSAN</t>
  </si>
  <si>
    <t>IL</t>
  </si>
  <si>
    <t>Voluntarily Rapid Disenroll</t>
  </si>
  <si>
    <t>MAPD</t>
  </si>
  <si>
    <t>IMM606</t>
  </si>
  <si>
    <t>H7301-013</t>
  </si>
  <si>
    <t>LOA</t>
  </si>
  <si>
    <t>Liskovec, Frank</t>
  </si>
  <si>
    <t>GMO</t>
  </si>
  <si>
    <t>Main Line Benefits LLC</t>
  </si>
  <si>
    <t xml:space="preserve">Y  </t>
  </si>
  <si>
    <t>7M88D22JJ54</t>
  </si>
  <si>
    <t>NG102179360200</t>
  </si>
  <si>
    <t>DAVIS L,ANGELA</t>
  </si>
  <si>
    <t>New Business</t>
  </si>
  <si>
    <t>TAUGNER, CHRISTIAN</t>
  </si>
  <si>
    <t xml:space="preserve">N  </t>
  </si>
  <si>
    <t>3KP3R00JM00</t>
  </si>
  <si>
    <t>NG102141630900</t>
  </si>
  <si>
    <t>FIEDLER L,CYNTHIA</t>
  </si>
  <si>
    <t>OH</t>
  </si>
  <si>
    <t>Pro-Rata Disenroll</t>
  </si>
  <si>
    <t>IMM617</t>
  </si>
  <si>
    <t>H5521-565</t>
  </si>
  <si>
    <t>SCHUMANN, BARRY</t>
  </si>
  <si>
    <t>Pro-Rata Payment</t>
  </si>
  <si>
    <t>7HN4EC9CT73</t>
  </si>
  <si>
    <t>NG102179150500</t>
  </si>
  <si>
    <t>GARCIA,IGNACIO</t>
  </si>
  <si>
    <t>ABDUL, SAADIA</t>
  </si>
  <si>
    <t>1E14K04RP71</t>
  </si>
  <si>
    <t>NG102178830400</t>
  </si>
  <si>
    <t>HUBERTY H,MICHAEL</t>
  </si>
  <si>
    <t>HORN, JEFFREY</t>
  </si>
  <si>
    <t>8V25KH2HE83</t>
  </si>
  <si>
    <t>NG102178218100</t>
  </si>
  <si>
    <t>JAMOU Z,RIMOND</t>
  </si>
  <si>
    <t>5A25J34YC52</t>
  </si>
  <si>
    <t>NG102178491500</t>
  </si>
  <si>
    <t>MCGRATH P,JUNE</t>
  </si>
  <si>
    <t>PA</t>
  </si>
  <si>
    <t>IMM608</t>
  </si>
  <si>
    <t>H5522-022</t>
  </si>
  <si>
    <t>Stocker, Ryan</t>
  </si>
  <si>
    <t>9X78VN5CQ30</t>
  </si>
  <si>
    <t>NG102179506900</t>
  </si>
  <si>
    <t>MILLER D,MARK</t>
  </si>
  <si>
    <t>IN</t>
  </si>
  <si>
    <t>H5521-223</t>
  </si>
  <si>
    <t>Choi, Andrew</t>
  </si>
  <si>
    <t>1D50TG0MC15</t>
  </si>
  <si>
    <t>NG102179372000</t>
  </si>
  <si>
    <t>OFFENHEISER W,BRENT</t>
  </si>
  <si>
    <t>H7301-006</t>
  </si>
  <si>
    <t>Serio, Tom</t>
  </si>
  <si>
    <t>PA9999999</t>
  </si>
  <si>
    <t>ME0000PA</t>
  </si>
  <si>
    <t>PENNSYLVANIA, JANE</t>
  </si>
  <si>
    <t>HRA</t>
  </si>
  <si>
    <t>PPO</t>
  </si>
  <si>
    <t>H5522-004</t>
  </si>
  <si>
    <t>HRA/T125017039267A/17528908/REMELE_SYLVESTER</t>
  </si>
  <si>
    <t>MAIN LINE BENEFITS LLC</t>
  </si>
  <si>
    <t>N/A</t>
  </si>
  <si>
    <t>8QW0CH7HE48</t>
  </si>
  <si>
    <t>NG101123136100</t>
  </si>
  <si>
    <t>PRITTS K,DORINE</t>
  </si>
  <si>
    <t>Involuntarily Rapid Disenroll</t>
  </si>
  <si>
    <t>H3959-032</t>
  </si>
  <si>
    <t>Powers, Timothy</t>
  </si>
  <si>
    <t>Involuntary Pro-Rata Payment</t>
  </si>
  <si>
    <t>1K16V32QJ57</t>
  </si>
  <si>
    <t>NG102179510800</t>
  </si>
  <si>
    <t>SAXTON,DIANA</t>
  </si>
  <si>
    <t>H5522-001</t>
  </si>
  <si>
    <t>Inskipt, Deborah</t>
  </si>
  <si>
    <t>4RG8UV8NF50</t>
  </si>
  <si>
    <t>NG101068686100</t>
  </si>
  <si>
    <t>SCHUTTE R,JEFFREY</t>
  </si>
  <si>
    <t>H5522-005</t>
  </si>
  <si>
    <t>4UY3E31HN70</t>
  </si>
  <si>
    <t>NG102178275700</t>
  </si>
  <si>
    <t>SMITH A,CYNTHIA</t>
  </si>
  <si>
    <t>WI</t>
  </si>
  <si>
    <t>H5521-403</t>
  </si>
  <si>
    <t>7EY0DY5TT32</t>
  </si>
  <si>
    <t>NG102179509500</t>
  </si>
  <si>
    <t>SOMMER C,SUSAN</t>
  </si>
  <si>
    <t>TX</t>
  </si>
  <si>
    <t>IMM618</t>
  </si>
  <si>
    <t>H4523-001</t>
  </si>
  <si>
    <t>Teipel, Gregory</t>
  </si>
  <si>
    <t>7J45NP1FT87</t>
  </si>
  <si>
    <t>NG101856887200</t>
  </si>
  <si>
    <t>SOYOYE B,BOLAJOKO</t>
  </si>
  <si>
    <t>H5521-086</t>
  </si>
  <si>
    <t>Holyn, Dennis</t>
  </si>
  <si>
    <t>4A27UX2XW50</t>
  </si>
  <si>
    <t>NG102179379000</t>
  </si>
  <si>
    <t>VARGAS,ANGELICA</t>
  </si>
  <si>
    <t>Herrera-Larsen, Esther</t>
  </si>
  <si>
    <t>3NX3PA5YC98</t>
  </si>
  <si>
    <t>NG102179152300</t>
  </si>
  <si>
    <t>WARF G,CAROLYN</t>
  </si>
  <si>
    <t>Hunsberger, Anthony</t>
  </si>
  <si>
    <t>[%/$=353][prorate=12/12]</t>
  </si>
  <si>
    <t>Aetna 2025 CT, PA, DC*</t>
  </si>
  <si>
    <t>Aetna MAPD OVR 2025</t>
  </si>
  <si>
    <t>Aetna MAPD 2025</t>
  </si>
  <si>
    <t>[%/$=626]</t>
  </si>
  <si>
    <t>Aetna MAPD 2025*</t>
  </si>
  <si>
    <t>[%/$=313][prorate=4/12]</t>
  </si>
  <si>
    <t>[%/$=353][prorate=5/12]</t>
  </si>
  <si>
    <t>[%/$=313][prorate=6/12]</t>
  </si>
  <si>
    <t>[%/$=353][prorate=6/12]</t>
  </si>
  <si>
    <t>[%/$=313][prorate=7/12]</t>
  </si>
  <si>
    <t>[%/$=626][prorate=5/12]</t>
  </si>
  <si>
    <t>SCHUTTE</t>
  </si>
  <si>
    <t>R</t>
  </si>
  <si>
    <t>JEFFREY</t>
  </si>
  <si>
    <t>MCGRATH</t>
  </si>
  <si>
    <t>P</t>
  </si>
  <si>
    <t>JUNE</t>
  </si>
  <si>
    <t>SAXTON</t>
  </si>
  <si>
    <t>DIANA</t>
  </si>
  <si>
    <t>BUSSE</t>
  </si>
  <si>
    <t>SUSAN</t>
  </si>
  <si>
    <t>FIEDLER</t>
  </si>
  <si>
    <t>L</t>
  </si>
  <si>
    <t>CYNTHIA</t>
  </si>
  <si>
    <t>SMITH</t>
  </si>
  <si>
    <t>A</t>
  </si>
  <si>
    <t>GARCIA</t>
  </si>
  <si>
    <t>IGNACIO</t>
  </si>
  <si>
    <t>HUBERTY</t>
  </si>
  <si>
    <t>H</t>
  </si>
  <si>
    <t>MICHAEL</t>
  </si>
  <si>
    <t>JAMOU</t>
  </si>
  <si>
    <t>Z</t>
  </si>
  <si>
    <t>RIMOND</t>
  </si>
  <si>
    <t>MILLER</t>
  </si>
  <si>
    <t>D</t>
  </si>
  <si>
    <t>MARK</t>
  </si>
  <si>
    <t>OFFENHEISER</t>
  </si>
  <si>
    <t>W</t>
  </si>
  <si>
    <t>BRENT</t>
  </si>
  <si>
    <t>SOMMER</t>
  </si>
  <si>
    <t>C</t>
  </si>
  <si>
    <t>SOYOYE</t>
  </si>
  <si>
    <t>B</t>
  </si>
  <si>
    <t>BOLAJOKO</t>
  </si>
  <si>
    <t>VARGAS</t>
  </si>
  <si>
    <t>ANGELICA</t>
  </si>
  <si>
    <t>WARF</t>
  </si>
  <si>
    <t>G</t>
  </si>
  <si>
    <t>CAROLYN</t>
  </si>
  <si>
    <t>DAVIS</t>
  </si>
  <si>
    <t>ANGELA</t>
  </si>
  <si>
    <t>PRITTS</t>
  </si>
  <si>
    <t>K</t>
  </si>
  <si>
    <t>DORINE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</si>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</sst>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2451-7108-4B0D-AAC3-2DACE96C6B6C}">
  <dimension ref="A1:X22"/>
  <sheetViews>
    <sheetView tabSelected="1" workbookViewId="0">
      <selection activeCell="K12" sqref="K12"/>
    </sheetView>
  </sheetViews>
  <sheetFormatPr defaultRowHeight="15" x14ac:dyDescent="0.25"/>
  <cols>
    <col min="3" max="3" width="15.85546875" bestFit="1" customWidth="1"/>
    <col min="5" max="5" width="21.85546875" bestFit="1" customWidth="1"/>
    <col min="11" max="11" width="47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45839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45748</v>
      </c>
      <c r="M2" s="1">
        <v>45748</v>
      </c>
      <c r="N2" s="1">
        <v>45838</v>
      </c>
      <c r="O2">
        <v>8814784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-751</v>
      </c>
      <c r="V2" t="s">
        <v>36</v>
      </c>
      <c r="W2" s="1">
        <v>45684</v>
      </c>
      <c r="X2">
        <v>2025</v>
      </c>
    </row>
    <row r="3" spans="1:24" x14ac:dyDescent="0.25">
      <c r="A3" s="1">
        <v>45839</v>
      </c>
      <c r="B3" t="s">
        <v>37</v>
      </c>
      <c r="C3" t="s">
        <v>38</v>
      </c>
      <c r="E3" t="s">
        <v>39</v>
      </c>
      <c r="F3" t="s">
        <v>27</v>
      </c>
      <c r="G3" t="s">
        <v>40</v>
      </c>
      <c r="H3" t="s">
        <v>29</v>
      </c>
      <c r="I3" t="s">
        <v>30</v>
      </c>
      <c r="J3" t="s">
        <v>31</v>
      </c>
      <c r="L3" s="1">
        <v>45809</v>
      </c>
      <c r="M3" s="1">
        <v>45809</v>
      </c>
      <c r="O3">
        <v>19681796</v>
      </c>
      <c r="P3" t="s">
        <v>32</v>
      </c>
      <c r="Q3" t="s">
        <v>41</v>
      </c>
      <c r="R3">
        <v>8192</v>
      </c>
      <c r="S3" t="s">
        <v>34</v>
      </c>
      <c r="T3" t="s">
        <v>35</v>
      </c>
      <c r="U3">
        <v>252.58</v>
      </c>
      <c r="V3" t="s">
        <v>42</v>
      </c>
      <c r="W3" s="1">
        <v>45807</v>
      </c>
      <c r="X3">
        <v>2025</v>
      </c>
    </row>
    <row r="4" spans="1:24" x14ac:dyDescent="0.25">
      <c r="A4" s="1">
        <v>45839</v>
      </c>
      <c r="B4" t="s">
        <v>43</v>
      </c>
      <c r="C4" t="s">
        <v>44</v>
      </c>
      <c r="E4" t="s">
        <v>45</v>
      </c>
      <c r="F4" t="s">
        <v>46</v>
      </c>
      <c r="G4" t="s">
        <v>47</v>
      </c>
      <c r="H4" t="s">
        <v>29</v>
      </c>
      <c r="I4" t="s">
        <v>48</v>
      </c>
      <c r="J4" t="s">
        <v>49</v>
      </c>
      <c r="L4" s="1">
        <v>45689</v>
      </c>
      <c r="M4" s="1">
        <v>45689</v>
      </c>
      <c r="N4" s="1">
        <v>45838</v>
      </c>
      <c r="O4">
        <v>19586992</v>
      </c>
      <c r="P4" t="s">
        <v>32</v>
      </c>
      <c r="Q4" t="s">
        <v>50</v>
      </c>
      <c r="R4">
        <v>8192</v>
      </c>
      <c r="S4" t="s">
        <v>34</v>
      </c>
      <c r="T4" t="s">
        <v>35</v>
      </c>
      <c r="U4">
        <v>-751</v>
      </c>
      <c r="V4" t="s">
        <v>36</v>
      </c>
      <c r="W4" s="1">
        <v>45675</v>
      </c>
      <c r="X4">
        <v>2025</v>
      </c>
    </row>
    <row r="5" spans="1:24" x14ac:dyDescent="0.25">
      <c r="A5" s="1">
        <v>45839</v>
      </c>
      <c r="B5" t="s">
        <v>43</v>
      </c>
      <c r="C5" t="s">
        <v>44</v>
      </c>
      <c r="E5" t="s">
        <v>45</v>
      </c>
      <c r="F5" t="s">
        <v>46</v>
      </c>
      <c r="G5" t="s">
        <v>51</v>
      </c>
      <c r="H5" t="s">
        <v>29</v>
      </c>
      <c r="I5" t="s">
        <v>48</v>
      </c>
      <c r="J5" t="s">
        <v>49</v>
      </c>
      <c r="L5" s="1">
        <v>45689</v>
      </c>
      <c r="M5" s="1">
        <v>45689</v>
      </c>
      <c r="N5" s="1">
        <v>45838</v>
      </c>
      <c r="O5">
        <v>19586992</v>
      </c>
      <c r="P5" t="s">
        <v>32</v>
      </c>
      <c r="Q5" t="s">
        <v>50</v>
      </c>
      <c r="R5">
        <v>8192</v>
      </c>
      <c r="S5" t="s">
        <v>34</v>
      </c>
      <c r="T5" t="s">
        <v>35</v>
      </c>
      <c r="U5">
        <v>312.92</v>
      </c>
      <c r="V5" t="s">
        <v>36</v>
      </c>
      <c r="W5" s="1">
        <v>45675</v>
      </c>
      <c r="X5">
        <v>2025</v>
      </c>
    </row>
    <row r="6" spans="1:24" x14ac:dyDescent="0.25">
      <c r="A6" s="1">
        <v>45839</v>
      </c>
      <c r="B6" t="s">
        <v>52</v>
      </c>
      <c r="C6" t="s">
        <v>53</v>
      </c>
      <c r="E6" t="s">
        <v>54</v>
      </c>
      <c r="F6" t="s">
        <v>27</v>
      </c>
      <c r="G6" t="s">
        <v>40</v>
      </c>
      <c r="H6" t="s">
        <v>29</v>
      </c>
      <c r="I6" t="s">
        <v>30</v>
      </c>
      <c r="J6" t="s">
        <v>31</v>
      </c>
      <c r="L6" s="1">
        <v>45839</v>
      </c>
      <c r="M6" s="1">
        <v>45839</v>
      </c>
      <c r="O6">
        <v>19396223</v>
      </c>
      <c r="P6" t="s">
        <v>32</v>
      </c>
      <c r="Q6" t="s">
        <v>55</v>
      </c>
      <c r="R6">
        <v>8192</v>
      </c>
      <c r="S6" t="s">
        <v>34</v>
      </c>
      <c r="T6" t="s">
        <v>35</v>
      </c>
      <c r="U6">
        <v>216.5</v>
      </c>
      <c r="V6" t="s">
        <v>42</v>
      </c>
      <c r="W6" s="1">
        <v>45824</v>
      </c>
      <c r="X6">
        <v>2025</v>
      </c>
    </row>
    <row r="7" spans="1:24" x14ac:dyDescent="0.25">
      <c r="A7" s="1">
        <v>45839</v>
      </c>
      <c r="B7" t="s">
        <v>56</v>
      </c>
      <c r="C7" t="s">
        <v>57</v>
      </c>
      <c r="E7" t="s">
        <v>58</v>
      </c>
      <c r="F7" t="s">
        <v>27</v>
      </c>
      <c r="G7" t="s">
        <v>40</v>
      </c>
      <c r="H7" t="s">
        <v>29</v>
      </c>
      <c r="I7" t="s">
        <v>30</v>
      </c>
      <c r="J7" t="s">
        <v>31</v>
      </c>
      <c r="L7" s="1">
        <v>45839</v>
      </c>
      <c r="M7" s="1">
        <v>45839</v>
      </c>
      <c r="O7">
        <v>2158366</v>
      </c>
      <c r="P7" t="s">
        <v>32</v>
      </c>
      <c r="Q7" t="s">
        <v>59</v>
      </c>
      <c r="R7">
        <v>8192</v>
      </c>
      <c r="S7" t="s">
        <v>34</v>
      </c>
      <c r="T7" t="s">
        <v>35</v>
      </c>
      <c r="U7">
        <v>219</v>
      </c>
      <c r="V7" t="s">
        <v>42</v>
      </c>
      <c r="W7" s="1">
        <v>45821</v>
      </c>
      <c r="X7">
        <v>2025</v>
      </c>
    </row>
    <row r="8" spans="1:24" x14ac:dyDescent="0.25">
      <c r="A8" s="1">
        <v>45839</v>
      </c>
      <c r="B8" t="s">
        <v>60</v>
      </c>
      <c r="C8" t="s">
        <v>61</v>
      </c>
      <c r="E8" t="s">
        <v>62</v>
      </c>
      <c r="F8" t="s">
        <v>27</v>
      </c>
      <c r="G8" t="s">
        <v>40</v>
      </c>
      <c r="H8" t="s">
        <v>29</v>
      </c>
      <c r="I8" t="s">
        <v>30</v>
      </c>
      <c r="J8" t="s">
        <v>31</v>
      </c>
      <c r="L8" s="1">
        <v>45839</v>
      </c>
      <c r="M8" s="1">
        <v>45839</v>
      </c>
      <c r="O8">
        <v>2158366</v>
      </c>
      <c r="P8" t="s">
        <v>32</v>
      </c>
      <c r="Q8" t="s">
        <v>59</v>
      </c>
      <c r="R8">
        <v>8192</v>
      </c>
      <c r="S8" t="s">
        <v>34</v>
      </c>
      <c r="T8" t="s">
        <v>35</v>
      </c>
      <c r="U8">
        <v>219</v>
      </c>
      <c r="V8" t="s">
        <v>42</v>
      </c>
      <c r="W8" s="1">
        <v>45819</v>
      </c>
      <c r="X8">
        <v>2025</v>
      </c>
    </row>
    <row r="9" spans="1:24" x14ac:dyDescent="0.25">
      <c r="A9" s="1">
        <v>45839</v>
      </c>
      <c r="B9" t="s">
        <v>63</v>
      </c>
      <c r="C9" t="s">
        <v>64</v>
      </c>
      <c r="E9" t="s">
        <v>65</v>
      </c>
      <c r="F9" t="s">
        <v>66</v>
      </c>
      <c r="G9" t="s">
        <v>40</v>
      </c>
      <c r="H9" t="s">
        <v>29</v>
      </c>
      <c r="I9" t="s">
        <v>67</v>
      </c>
      <c r="J9" t="s">
        <v>68</v>
      </c>
      <c r="L9" s="1">
        <v>45839</v>
      </c>
      <c r="M9" s="1">
        <v>45839</v>
      </c>
      <c r="O9">
        <v>15950276</v>
      </c>
      <c r="P9" t="s">
        <v>32</v>
      </c>
      <c r="Q9" t="s">
        <v>69</v>
      </c>
      <c r="R9">
        <v>8192</v>
      </c>
      <c r="S9" t="s">
        <v>34</v>
      </c>
      <c r="T9" t="s">
        <v>35</v>
      </c>
      <c r="U9">
        <v>239</v>
      </c>
      <c r="V9" t="s">
        <v>42</v>
      </c>
      <c r="W9" s="1">
        <v>45820</v>
      </c>
      <c r="X9">
        <v>2025</v>
      </c>
    </row>
    <row r="10" spans="1:24" x14ac:dyDescent="0.25">
      <c r="A10" s="1">
        <v>45839</v>
      </c>
      <c r="B10" t="s">
        <v>70</v>
      </c>
      <c r="C10" t="s">
        <v>71</v>
      </c>
      <c r="E10" t="s">
        <v>72</v>
      </c>
      <c r="F10" t="s">
        <v>73</v>
      </c>
      <c r="G10" t="s">
        <v>40</v>
      </c>
      <c r="H10" t="s">
        <v>29</v>
      </c>
      <c r="I10" t="s">
        <v>30</v>
      </c>
      <c r="J10" t="s">
        <v>74</v>
      </c>
      <c r="L10" s="1">
        <v>45839</v>
      </c>
      <c r="M10" s="1">
        <v>45839</v>
      </c>
      <c r="O10">
        <v>7470776</v>
      </c>
      <c r="P10" t="s">
        <v>32</v>
      </c>
      <c r="Q10" t="s">
        <v>75</v>
      </c>
      <c r="R10">
        <v>8192</v>
      </c>
      <c r="S10" t="s">
        <v>34</v>
      </c>
      <c r="T10" t="s">
        <v>35</v>
      </c>
      <c r="U10">
        <v>219</v>
      </c>
      <c r="V10" t="s">
        <v>42</v>
      </c>
      <c r="W10" s="1">
        <v>45825</v>
      </c>
      <c r="X10">
        <v>2025</v>
      </c>
    </row>
    <row r="11" spans="1:24" x14ac:dyDescent="0.25">
      <c r="A11" s="1">
        <v>45839</v>
      </c>
      <c r="B11" t="s">
        <v>76</v>
      </c>
      <c r="C11" t="s">
        <v>77</v>
      </c>
      <c r="E11" t="s">
        <v>78</v>
      </c>
      <c r="F11" t="s">
        <v>27</v>
      </c>
      <c r="G11" t="s">
        <v>40</v>
      </c>
      <c r="H11" t="s">
        <v>29</v>
      </c>
      <c r="I11" t="s">
        <v>30</v>
      </c>
      <c r="J11" t="s">
        <v>79</v>
      </c>
      <c r="L11" s="1">
        <v>45839</v>
      </c>
      <c r="M11" s="1">
        <v>45839</v>
      </c>
      <c r="O11">
        <v>20490188</v>
      </c>
      <c r="P11" t="s">
        <v>32</v>
      </c>
      <c r="Q11" t="s">
        <v>80</v>
      </c>
      <c r="R11">
        <v>8192</v>
      </c>
      <c r="S11" t="s">
        <v>34</v>
      </c>
      <c r="T11" t="s">
        <v>35</v>
      </c>
      <c r="U11">
        <v>219</v>
      </c>
      <c r="V11" t="s">
        <v>42</v>
      </c>
      <c r="W11" s="1">
        <v>45825</v>
      </c>
      <c r="X11">
        <v>2025</v>
      </c>
    </row>
    <row r="12" spans="1:24" s="3" customFormat="1" x14ac:dyDescent="0.25">
      <c r="A12" s="2">
        <v>45839</v>
      </c>
      <c r="B12" s="3" t="s">
        <v>81</v>
      </c>
      <c r="C12" s="3" t="s">
        <v>82</v>
      </c>
      <c r="E12" s="3" t="s">
        <v>83</v>
      </c>
      <c r="F12" s="3" t="s">
        <v>66</v>
      </c>
      <c r="G12" s="3" t="s">
        <v>84</v>
      </c>
      <c r="H12" s="3" t="s">
        <v>85</v>
      </c>
      <c r="I12" s="3" t="s">
        <v>67</v>
      </c>
      <c r="J12" s="3" t="s">
        <v>86</v>
      </c>
      <c r="K12" s="3" t="s">
        <v>87</v>
      </c>
      <c r="L12" s="2">
        <v>45809</v>
      </c>
      <c r="M12" s="2">
        <v>44562</v>
      </c>
      <c r="R12" s="3">
        <v>8192</v>
      </c>
      <c r="T12" s="3" t="s">
        <v>88</v>
      </c>
      <c r="U12" s="3">
        <v>55</v>
      </c>
      <c r="V12" s="3" t="s">
        <v>89</v>
      </c>
      <c r="W12" s="2">
        <v>44501</v>
      </c>
      <c r="X12" s="3">
        <v>2025</v>
      </c>
    </row>
    <row r="13" spans="1:24" x14ac:dyDescent="0.25">
      <c r="A13" s="1">
        <v>45839</v>
      </c>
      <c r="B13" t="s">
        <v>90</v>
      </c>
      <c r="C13" t="s">
        <v>91</v>
      </c>
      <c r="E13" t="s">
        <v>92</v>
      </c>
      <c r="F13" t="s">
        <v>66</v>
      </c>
      <c r="G13" t="s">
        <v>93</v>
      </c>
      <c r="H13" t="s">
        <v>29</v>
      </c>
      <c r="I13" t="s">
        <v>67</v>
      </c>
      <c r="J13" t="s">
        <v>94</v>
      </c>
      <c r="L13" s="1">
        <v>45748</v>
      </c>
      <c r="M13" s="1">
        <v>45748</v>
      </c>
      <c r="N13" s="1">
        <v>45838</v>
      </c>
      <c r="O13">
        <v>17886092</v>
      </c>
      <c r="P13" t="s">
        <v>32</v>
      </c>
      <c r="Q13" t="s">
        <v>95</v>
      </c>
      <c r="R13">
        <v>8192</v>
      </c>
      <c r="S13" t="s">
        <v>34</v>
      </c>
      <c r="T13" t="s">
        <v>35</v>
      </c>
      <c r="U13">
        <v>-30</v>
      </c>
      <c r="V13" t="s">
        <v>42</v>
      </c>
      <c r="W13" s="1">
        <v>45723</v>
      </c>
      <c r="X13">
        <v>2025</v>
      </c>
    </row>
    <row r="14" spans="1:24" x14ac:dyDescent="0.25">
      <c r="A14" s="1">
        <v>45839</v>
      </c>
      <c r="B14" t="s">
        <v>90</v>
      </c>
      <c r="C14" t="s">
        <v>91</v>
      </c>
      <c r="E14" t="s">
        <v>92</v>
      </c>
      <c r="F14" t="s">
        <v>66</v>
      </c>
      <c r="G14" t="s">
        <v>96</v>
      </c>
      <c r="H14" t="s">
        <v>29</v>
      </c>
      <c r="I14" t="s">
        <v>67</v>
      </c>
      <c r="J14" t="s">
        <v>94</v>
      </c>
      <c r="L14" s="1">
        <v>45748</v>
      </c>
      <c r="M14" s="1">
        <v>45748</v>
      </c>
      <c r="N14" s="1">
        <v>45838</v>
      </c>
      <c r="O14">
        <v>17886092</v>
      </c>
      <c r="P14" t="s">
        <v>32</v>
      </c>
      <c r="Q14" t="s">
        <v>95</v>
      </c>
      <c r="R14">
        <v>8192</v>
      </c>
      <c r="S14" t="s">
        <v>34</v>
      </c>
      <c r="T14" t="s">
        <v>35</v>
      </c>
      <c r="U14">
        <v>10</v>
      </c>
      <c r="V14" t="s">
        <v>42</v>
      </c>
      <c r="W14" s="1">
        <v>45723</v>
      </c>
      <c r="X14">
        <v>2025</v>
      </c>
    </row>
    <row r="15" spans="1:24" x14ac:dyDescent="0.25">
      <c r="A15" s="1">
        <v>45839</v>
      </c>
      <c r="B15" t="s">
        <v>97</v>
      </c>
      <c r="C15" t="s">
        <v>98</v>
      </c>
      <c r="E15" t="s">
        <v>99</v>
      </c>
      <c r="F15" t="s">
        <v>66</v>
      </c>
      <c r="G15" t="s">
        <v>40</v>
      </c>
      <c r="H15" t="s">
        <v>29</v>
      </c>
      <c r="I15" t="s">
        <v>67</v>
      </c>
      <c r="J15" t="s">
        <v>100</v>
      </c>
      <c r="L15" s="1">
        <v>45839</v>
      </c>
      <c r="M15" s="1">
        <v>45839</v>
      </c>
      <c r="O15">
        <v>17528908</v>
      </c>
      <c r="P15" t="s">
        <v>32</v>
      </c>
      <c r="Q15" t="s">
        <v>101</v>
      </c>
      <c r="R15">
        <v>8192</v>
      </c>
      <c r="S15" t="s">
        <v>34</v>
      </c>
      <c r="T15" t="s">
        <v>35</v>
      </c>
      <c r="U15">
        <v>239</v>
      </c>
      <c r="V15" t="s">
        <v>42</v>
      </c>
      <c r="W15" s="1">
        <v>45825</v>
      </c>
      <c r="X15">
        <v>2025</v>
      </c>
    </row>
    <row r="16" spans="1:24" x14ac:dyDescent="0.25">
      <c r="A16" s="1">
        <v>45839</v>
      </c>
      <c r="B16" t="s">
        <v>102</v>
      </c>
      <c r="C16" t="s">
        <v>103</v>
      </c>
      <c r="E16" t="s">
        <v>104</v>
      </c>
      <c r="F16" t="s">
        <v>66</v>
      </c>
      <c r="G16" t="s">
        <v>51</v>
      </c>
      <c r="H16" t="s">
        <v>29</v>
      </c>
      <c r="I16" t="s">
        <v>67</v>
      </c>
      <c r="J16" t="s">
        <v>105</v>
      </c>
      <c r="L16" s="1">
        <v>45689</v>
      </c>
      <c r="M16" s="1">
        <v>45689</v>
      </c>
      <c r="N16" s="1">
        <v>45838</v>
      </c>
      <c r="O16">
        <v>17528908</v>
      </c>
      <c r="P16" t="s">
        <v>32</v>
      </c>
      <c r="Q16" t="s">
        <v>101</v>
      </c>
      <c r="R16">
        <v>8192</v>
      </c>
      <c r="S16" t="s">
        <v>34</v>
      </c>
      <c r="T16" t="s">
        <v>35</v>
      </c>
      <c r="U16">
        <v>199.17</v>
      </c>
      <c r="V16" t="s">
        <v>42</v>
      </c>
      <c r="W16" s="1">
        <v>45666</v>
      </c>
      <c r="X16">
        <v>2025</v>
      </c>
    </row>
    <row r="17" spans="1:24" x14ac:dyDescent="0.25">
      <c r="A17" s="1">
        <v>45839</v>
      </c>
      <c r="B17" t="s">
        <v>102</v>
      </c>
      <c r="C17" t="s">
        <v>103</v>
      </c>
      <c r="E17" t="s">
        <v>104</v>
      </c>
      <c r="F17" t="s">
        <v>66</v>
      </c>
      <c r="G17" t="s">
        <v>47</v>
      </c>
      <c r="H17" t="s">
        <v>29</v>
      </c>
      <c r="I17" t="s">
        <v>67</v>
      </c>
      <c r="J17" t="s">
        <v>105</v>
      </c>
      <c r="L17" s="1">
        <v>45689</v>
      </c>
      <c r="M17" s="1">
        <v>45689</v>
      </c>
      <c r="N17" s="1">
        <v>45838</v>
      </c>
      <c r="O17">
        <v>17528908</v>
      </c>
      <c r="P17" t="s">
        <v>32</v>
      </c>
      <c r="Q17" t="s">
        <v>101</v>
      </c>
      <c r="R17">
        <v>8192</v>
      </c>
      <c r="S17" t="s">
        <v>34</v>
      </c>
      <c r="T17" t="s">
        <v>35</v>
      </c>
      <c r="U17">
        <v>-438.17</v>
      </c>
      <c r="V17" t="s">
        <v>42</v>
      </c>
      <c r="W17" s="1">
        <v>45666</v>
      </c>
      <c r="X17">
        <v>2025</v>
      </c>
    </row>
    <row r="18" spans="1:24" x14ac:dyDescent="0.25">
      <c r="A18" s="1">
        <v>45839</v>
      </c>
      <c r="B18" t="s">
        <v>106</v>
      </c>
      <c r="C18" t="s">
        <v>107</v>
      </c>
      <c r="E18" t="s">
        <v>108</v>
      </c>
      <c r="F18" t="s">
        <v>109</v>
      </c>
      <c r="G18" t="s">
        <v>40</v>
      </c>
      <c r="H18" t="s">
        <v>29</v>
      </c>
      <c r="I18" t="s">
        <v>30</v>
      </c>
      <c r="J18" t="s">
        <v>110</v>
      </c>
      <c r="L18" s="1">
        <v>45901</v>
      </c>
      <c r="M18" s="1">
        <v>45901</v>
      </c>
      <c r="O18">
        <v>19681796</v>
      </c>
      <c r="P18" t="s">
        <v>32</v>
      </c>
      <c r="Q18" t="s">
        <v>41</v>
      </c>
      <c r="R18">
        <v>8192</v>
      </c>
      <c r="S18" t="s">
        <v>34</v>
      </c>
      <c r="T18" t="s">
        <v>35</v>
      </c>
      <c r="U18">
        <v>144.33000000000001</v>
      </c>
      <c r="V18" t="s">
        <v>42</v>
      </c>
      <c r="W18" s="1">
        <v>45819</v>
      </c>
      <c r="X18">
        <v>2025</v>
      </c>
    </row>
    <row r="19" spans="1:24" x14ac:dyDescent="0.25">
      <c r="A19" s="1">
        <v>45839</v>
      </c>
      <c r="B19" t="s">
        <v>111</v>
      </c>
      <c r="C19" t="s">
        <v>112</v>
      </c>
      <c r="E19" t="s">
        <v>113</v>
      </c>
      <c r="F19" t="s">
        <v>114</v>
      </c>
      <c r="G19" t="s">
        <v>40</v>
      </c>
      <c r="H19" t="s">
        <v>29</v>
      </c>
      <c r="I19" t="s">
        <v>115</v>
      </c>
      <c r="J19" t="s">
        <v>116</v>
      </c>
      <c r="L19" s="1">
        <v>45839</v>
      </c>
      <c r="M19" s="1">
        <v>45839</v>
      </c>
      <c r="O19">
        <v>8307933</v>
      </c>
      <c r="P19" t="s">
        <v>32</v>
      </c>
      <c r="Q19" t="s">
        <v>117</v>
      </c>
      <c r="R19">
        <v>8192</v>
      </c>
      <c r="S19" t="s">
        <v>34</v>
      </c>
      <c r="T19" t="s">
        <v>35</v>
      </c>
      <c r="U19">
        <v>219</v>
      </c>
      <c r="V19" t="s">
        <v>42</v>
      </c>
      <c r="W19" s="1">
        <v>45825</v>
      </c>
      <c r="X19">
        <v>2025</v>
      </c>
    </row>
    <row r="20" spans="1:24" x14ac:dyDescent="0.25">
      <c r="A20" s="1">
        <v>45839</v>
      </c>
      <c r="B20" t="s">
        <v>118</v>
      </c>
      <c r="C20" t="s">
        <v>119</v>
      </c>
      <c r="E20" t="s">
        <v>120</v>
      </c>
      <c r="F20" t="s">
        <v>27</v>
      </c>
      <c r="G20" t="s">
        <v>40</v>
      </c>
      <c r="H20" t="s">
        <v>29</v>
      </c>
      <c r="I20" t="s">
        <v>30</v>
      </c>
      <c r="J20" t="s">
        <v>121</v>
      </c>
      <c r="L20" s="1">
        <v>45839</v>
      </c>
      <c r="M20" s="1">
        <v>45839</v>
      </c>
      <c r="O20">
        <v>7152559</v>
      </c>
      <c r="P20" t="s">
        <v>32</v>
      </c>
      <c r="Q20" t="s">
        <v>122</v>
      </c>
      <c r="R20">
        <v>8192</v>
      </c>
      <c r="S20" t="s">
        <v>34</v>
      </c>
      <c r="T20" t="s">
        <v>35</v>
      </c>
      <c r="U20">
        <v>219</v>
      </c>
      <c r="V20" t="s">
        <v>42</v>
      </c>
      <c r="W20" s="1">
        <v>45820</v>
      </c>
      <c r="X20">
        <v>2025</v>
      </c>
    </row>
    <row r="21" spans="1:24" x14ac:dyDescent="0.25">
      <c r="A21" s="1">
        <v>45839</v>
      </c>
      <c r="B21" t="s">
        <v>123</v>
      </c>
      <c r="C21" t="s">
        <v>124</v>
      </c>
      <c r="E21" t="s">
        <v>125</v>
      </c>
      <c r="F21" t="s">
        <v>27</v>
      </c>
      <c r="G21" t="s">
        <v>40</v>
      </c>
      <c r="H21" t="s">
        <v>29</v>
      </c>
      <c r="I21" t="s">
        <v>30</v>
      </c>
      <c r="J21" t="s">
        <v>31</v>
      </c>
      <c r="L21" s="1">
        <v>45839</v>
      </c>
      <c r="M21" s="1">
        <v>45839</v>
      </c>
      <c r="O21">
        <v>17301495</v>
      </c>
      <c r="P21" t="s">
        <v>32</v>
      </c>
      <c r="Q21" t="s">
        <v>126</v>
      </c>
      <c r="R21">
        <v>8192</v>
      </c>
      <c r="S21" t="s">
        <v>34</v>
      </c>
      <c r="T21" t="s">
        <v>35</v>
      </c>
      <c r="U21">
        <v>219</v>
      </c>
      <c r="V21" t="s">
        <v>42</v>
      </c>
      <c r="W21" s="1">
        <v>45825</v>
      </c>
      <c r="X21">
        <v>2025</v>
      </c>
    </row>
    <row r="22" spans="1:24" x14ac:dyDescent="0.25">
      <c r="A22" s="1">
        <v>45839</v>
      </c>
      <c r="B22" t="s">
        <v>127</v>
      </c>
      <c r="C22" t="s">
        <v>128</v>
      </c>
      <c r="E22" t="s">
        <v>129</v>
      </c>
      <c r="F22" t="s">
        <v>27</v>
      </c>
      <c r="G22" t="s">
        <v>40</v>
      </c>
      <c r="H22" t="s">
        <v>29</v>
      </c>
      <c r="I22" t="s">
        <v>30</v>
      </c>
      <c r="J22" t="s">
        <v>31</v>
      </c>
      <c r="L22" s="1">
        <v>45839</v>
      </c>
      <c r="M22" s="1">
        <v>45839</v>
      </c>
      <c r="O22">
        <v>7146581</v>
      </c>
      <c r="P22" t="s">
        <v>32</v>
      </c>
      <c r="Q22" t="s">
        <v>130</v>
      </c>
      <c r="R22">
        <v>8192</v>
      </c>
      <c r="S22" t="s">
        <v>34</v>
      </c>
      <c r="T22" t="s">
        <v>35</v>
      </c>
      <c r="U22">
        <v>219</v>
      </c>
      <c r="V22" t="s">
        <v>42</v>
      </c>
      <c r="W22" s="1">
        <v>45824</v>
      </c>
      <c r="X22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1CD6-8CBC-44B1-BAE0-9A21F0BF8476}">
  <dimension ref="A1:R39"/>
  <sheetViews>
    <sheetView workbookViewId="0">
      <selection activeCell="Q21" sqref="Q21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21.85546875" bestFit="1" customWidth="1"/>
    <col min="4" max="6" width="21.85546875" customWidth="1"/>
    <col min="17" max="17" width="21.5703125" bestFit="1" customWidth="1"/>
  </cols>
  <sheetData>
    <row r="1" spans="1:18" x14ac:dyDescent="0.25">
      <c r="A1" t="s">
        <v>1</v>
      </c>
      <c r="C1" t="s">
        <v>4</v>
      </c>
      <c r="G1" t="s">
        <v>5</v>
      </c>
      <c r="H1" t="s">
        <v>6</v>
      </c>
      <c r="I1" t="s">
        <v>7</v>
      </c>
      <c r="J1" t="s">
        <v>11</v>
      </c>
      <c r="K1" t="s">
        <v>12</v>
      </c>
      <c r="L1" t="s">
        <v>14</v>
      </c>
      <c r="M1" t="s">
        <v>15</v>
      </c>
      <c r="N1" t="s">
        <v>16</v>
      </c>
      <c r="O1" t="s">
        <v>20</v>
      </c>
    </row>
    <row r="2" spans="1:18" x14ac:dyDescent="0.25">
      <c r="A2" t="s">
        <v>52</v>
      </c>
      <c r="B2" t="str">
        <f t="shared" ref="B2:B11" si="0">CONCATENATE(A2,8)</f>
        <v>7HN4EC9CT738</v>
      </c>
      <c r="C2" t="s">
        <v>158</v>
      </c>
      <c r="E2" t="s">
        <v>159</v>
      </c>
      <c r="F2" t="str">
        <f t="shared" ref="F2:F19" si="1">CONCATENATE(E2, " ",C2)</f>
        <v>IGNACIO GARCIA</v>
      </c>
      <c r="G2" t="s">
        <v>27</v>
      </c>
      <c r="H2" t="s">
        <v>40</v>
      </c>
      <c r="I2" t="s">
        <v>29</v>
      </c>
      <c r="J2" s="1">
        <v>45839</v>
      </c>
      <c r="K2" s="1">
        <v>45839</v>
      </c>
      <c r="L2">
        <v>19396223</v>
      </c>
      <c r="M2" t="s">
        <v>32</v>
      </c>
      <c r="N2" t="s">
        <v>55</v>
      </c>
      <c r="O2">
        <v>216.5</v>
      </c>
      <c r="P2">
        <v>156.5</v>
      </c>
      <c r="Q2" t="s">
        <v>136</v>
      </c>
      <c r="R2" t="s">
        <v>139</v>
      </c>
    </row>
    <row r="3" spans="1:18" x14ac:dyDescent="0.25">
      <c r="A3" t="s">
        <v>70</v>
      </c>
      <c r="B3" t="str">
        <f t="shared" si="0"/>
        <v>9X78VN5CQ308</v>
      </c>
      <c r="C3" t="s">
        <v>166</v>
      </c>
      <c r="D3" t="s">
        <v>167</v>
      </c>
      <c r="E3" t="s">
        <v>168</v>
      </c>
      <c r="F3" t="str">
        <f t="shared" si="1"/>
        <v>MARK MILLER</v>
      </c>
      <c r="G3" t="s">
        <v>73</v>
      </c>
      <c r="H3" t="s">
        <v>40</v>
      </c>
      <c r="I3" t="s">
        <v>29</v>
      </c>
      <c r="J3" s="1">
        <v>45839</v>
      </c>
      <c r="K3" s="1">
        <v>45839</v>
      </c>
      <c r="L3">
        <v>7470776</v>
      </c>
      <c r="M3" t="s">
        <v>32</v>
      </c>
      <c r="N3" t="s">
        <v>75</v>
      </c>
      <c r="O3">
        <v>219</v>
      </c>
      <c r="P3">
        <v>156.5</v>
      </c>
      <c r="Q3" t="s">
        <v>136</v>
      </c>
      <c r="R3" t="s">
        <v>139</v>
      </c>
    </row>
    <row r="4" spans="1:18" x14ac:dyDescent="0.25">
      <c r="A4" t="s">
        <v>123</v>
      </c>
      <c r="B4" t="str">
        <f t="shared" si="0"/>
        <v>4A27UX2XW508</v>
      </c>
      <c r="C4" t="s">
        <v>177</v>
      </c>
      <c r="E4" t="s">
        <v>178</v>
      </c>
      <c r="F4" t="str">
        <f t="shared" si="1"/>
        <v>ANGELICA VARGAS</v>
      </c>
      <c r="G4" t="s">
        <v>27</v>
      </c>
      <c r="H4" t="s">
        <v>40</v>
      </c>
      <c r="I4" t="s">
        <v>29</v>
      </c>
      <c r="J4" s="1">
        <v>45839</v>
      </c>
      <c r="K4" s="1">
        <v>45839</v>
      </c>
      <c r="L4">
        <v>17301495</v>
      </c>
      <c r="M4" t="s">
        <v>32</v>
      </c>
      <c r="N4" t="s">
        <v>126</v>
      </c>
      <c r="O4">
        <v>219</v>
      </c>
      <c r="P4">
        <v>156.5</v>
      </c>
      <c r="Q4" t="s">
        <v>136</v>
      </c>
      <c r="R4" t="s">
        <v>139</v>
      </c>
    </row>
    <row r="5" spans="1:18" x14ac:dyDescent="0.25">
      <c r="A5" t="s">
        <v>118</v>
      </c>
      <c r="B5" t="str">
        <f t="shared" si="0"/>
        <v>7J45NP1FT878</v>
      </c>
      <c r="C5" t="s">
        <v>174</v>
      </c>
      <c r="D5" t="s">
        <v>175</v>
      </c>
      <c r="E5" t="s">
        <v>176</v>
      </c>
      <c r="F5" t="str">
        <f t="shared" si="1"/>
        <v>BOLAJOKO SOYOYE</v>
      </c>
      <c r="G5" t="s">
        <v>27</v>
      </c>
      <c r="H5" t="s">
        <v>40</v>
      </c>
      <c r="I5" t="s">
        <v>29</v>
      </c>
      <c r="J5" s="1">
        <v>45839</v>
      </c>
      <c r="K5" s="1">
        <v>45839</v>
      </c>
      <c r="L5">
        <v>7152559</v>
      </c>
      <c r="M5" t="s">
        <v>32</v>
      </c>
      <c r="N5" t="s">
        <v>122</v>
      </c>
      <c r="O5">
        <v>219</v>
      </c>
      <c r="P5">
        <v>156.5</v>
      </c>
      <c r="Q5" t="s">
        <v>136</v>
      </c>
      <c r="R5" t="s">
        <v>139</v>
      </c>
    </row>
    <row r="6" spans="1:18" x14ac:dyDescent="0.25">
      <c r="A6" t="s">
        <v>56</v>
      </c>
      <c r="B6" t="str">
        <f t="shared" si="0"/>
        <v>1E14K04RP718</v>
      </c>
      <c r="C6" t="s">
        <v>160</v>
      </c>
      <c r="D6" t="s">
        <v>161</v>
      </c>
      <c r="E6" t="s">
        <v>162</v>
      </c>
      <c r="F6" t="str">
        <f t="shared" si="1"/>
        <v>MICHAEL HUBERTY</v>
      </c>
      <c r="G6" t="s">
        <v>27</v>
      </c>
      <c r="H6" t="s">
        <v>40</v>
      </c>
      <c r="I6" t="s">
        <v>29</v>
      </c>
      <c r="J6" s="1">
        <v>45839</v>
      </c>
      <c r="K6" s="1">
        <v>45839</v>
      </c>
      <c r="L6">
        <v>2158366</v>
      </c>
      <c r="M6" t="s">
        <v>32</v>
      </c>
      <c r="N6" t="s">
        <v>59</v>
      </c>
      <c r="O6">
        <v>219</v>
      </c>
      <c r="P6">
        <v>156.5</v>
      </c>
      <c r="Q6" t="s">
        <v>136</v>
      </c>
      <c r="R6" t="s">
        <v>139</v>
      </c>
    </row>
    <row r="7" spans="1:18" x14ac:dyDescent="0.25">
      <c r="A7" t="s">
        <v>60</v>
      </c>
      <c r="B7" t="str">
        <f t="shared" si="0"/>
        <v>8V25KH2HE838</v>
      </c>
      <c r="C7" t="s">
        <v>163</v>
      </c>
      <c r="D7" t="s">
        <v>164</v>
      </c>
      <c r="E7" t="s">
        <v>165</v>
      </c>
      <c r="F7" t="str">
        <f t="shared" si="1"/>
        <v>RIMOND JAMOU</v>
      </c>
      <c r="G7" t="s">
        <v>27</v>
      </c>
      <c r="H7" t="s">
        <v>40</v>
      </c>
      <c r="I7" t="s">
        <v>29</v>
      </c>
      <c r="J7" s="1">
        <v>45839</v>
      </c>
      <c r="K7" s="1">
        <v>45839</v>
      </c>
      <c r="L7">
        <v>2158366</v>
      </c>
      <c r="M7" t="s">
        <v>32</v>
      </c>
      <c r="N7" t="s">
        <v>59</v>
      </c>
      <c r="O7">
        <v>219</v>
      </c>
      <c r="P7">
        <v>156.5</v>
      </c>
      <c r="Q7" t="s">
        <v>136</v>
      </c>
      <c r="R7" t="s">
        <v>139</v>
      </c>
    </row>
    <row r="8" spans="1:18" x14ac:dyDescent="0.25">
      <c r="A8" t="s">
        <v>127</v>
      </c>
      <c r="B8" t="str">
        <f t="shared" si="0"/>
        <v>3NX3PA5YC988</v>
      </c>
      <c r="C8" t="s">
        <v>179</v>
      </c>
      <c r="D8" t="s">
        <v>180</v>
      </c>
      <c r="E8" t="s">
        <v>181</v>
      </c>
      <c r="F8" t="str">
        <f t="shared" si="1"/>
        <v>CAROLYN WARF</v>
      </c>
      <c r="G8" t="s">
        <v>27</v>
      </c>
      <c r="H8" t="s">
        <v>40</v>
      </c>
      <c r="I8" t="s">
        <v>29</v>
      </c>
      <c r="J8" s="1">
        <v>45839</v>
      </c>
      <c r="K8" s="1">
        <v>45839</v>
      </c>
      <c r="L8">
        <v>7146581</v>
      </c>
      <c r="M8" t="s">
        <v>32</v>
      </c>
      <c r="N8" t="s">
        <v>130</v>
      </c>
      <c r="O8">
        <v>219</v>
      </c>
      <c r="P8">
        <v>156.5</v>
      </c>
      <c r="Q8" t="s">
        <v>136</v>
      </c>
      <c r="R8" t="s">
        <v>139</v>
      </c>
    </row>
    <row r="9" spans="1:18" x14ac:dyDescent="0.25">
      <c r="A9" t="s">
        <v>102</v>
      </c>
      <c r="B9" t="str">
        <f t="shared" si="0"/>
        <v>4RG8UV8NF508</v>
      </c>
      <c r="C9" t="s">
        <v>143</v>
      </c>
      <c r="D9" t="s">
        <v>144</v>
      </c>
      <c r="E9" t="s">
        <v>145</v>
      </c>
      <c r="F9" t="str">
        <f t="shared" si="1"/>
        <v>JEFFREY SCHUTTE</v>
      </c>
      <c r="G9" t="s">
        <v>66</v>
      </c>
      <c r="H9" t="s">
        <v>47</v>
      </c>
      <c r="I9" t="s">
        <v>29</v>
      </c>
      <c r="J9" s="1">
        <v>45689</v>
      </c>
      <c r="K9" s="1">
        <v>45689</v>
      </c>
      <c r="L9" t="s">
        <v>188</v>
      </c>
      <c r="M9" t="s">
        <v>32</v>
      </c>
      <c r="N9" t="s">
        <v>101</v>
      </c>
      <c r="O9">
        <v>-438.17</v>
      </c>
      <c r="P9">
        <v>-353</v>
      </c>
      <c r="Q9" t="s">
        <v>132</v>
      </c>
      <c r="R9" t="s">
        <v>131</v>
      </c>
    </row>
    <row r="10" spans="1:18" x14ac:dyDescent="0.25">
      <c r="A10" t="s">
        <v>102</v>
      </c>
      <c r="B10" t="str">
        <f t="shared" si="0"/>
        <v>4RG8UV8NF508</v>
      </c>
      <c r="C10" t="s">
        <v>143</v>
      </c>
      <c r="D10" t="s">
        <v>144</v>
      </c>
      <c r="E10" t="s">
        <v>145</v>
      </c>
      <c r="F10" t="str">
        <f t="shared" si="1"/>
        <v>JEFFREY SCHUTTE</v>
      </c>
      <c r="G10" t="s">
        <v>66</v>
      </c>
      <c r="H10" t="s">
        <v>51</v>
      </c>
      <c r="I10" t="s">
        <v>29</v>
      </c>
      <c r="J10" s="1">
        <v>45689</v>
      </c>
      <c r="K10" s="1">
        <v>45689</v>
      </c>
      <c r="L10" t="s">
        <v>188</v>
      </c>
      <c r="M10" t="s">
        <v>32</v>
      </c>
      <c r="N10" t="s">
        <v>101</v>
      </c>
      <c r="O10">
        <v>199.17</v>
      </c>
      <c r="P10">
        <v>147.08000000000001</v>
      </c>
      <c r="Q10" t="s">
        <v>132</v>
      </c>
      <c r="R10" t="s">
        <v>138</v>
      </c>
    </row>
    <row r="11" spans="1:18" x14ac:dyDescent="0.25">
      <c r="A11" t="s">
        <v>97</v>
      </c>
      <c r="B11" t="str">
        <f t="shared" si="0"/>
        <v>1K16V32QJ578</v>
      </c>
      <c r="C11" t="s">
        <v>149</v>
      </c>
      <c r="E11" t="s">
        <v>150</v>
      </c>
      <c r="F11" t="str">
        <f t="shared" si="1"/>
        <v>DIANA SAXTON</v>
      </c>
      <c r="G11" t="s">
        <v>66</v>
      </c>
      <c r="H11" t="s">
        <v>40</v>
      </c>
      <c r="I11" t="s">
        <v>29</v>
      </c>
      <c r="J11" s="1">
        <v>45839</v>
      </c>
      <c r="K11" s="1">
        <v>45839</v>
      </c>
      <c r="L11" t="s">
        <v>188</v>
      </c>
      <c r="M11" t="s">
        <v>32</v>
      </c>
      <c r="N11" t="s">
        <v>101</v>
      </c>
      <c r="O11">
        <v>239</v>
      </c>
      <c r="P11">
        <v>176.5</v>
      </c>
      <c r="Q11" t="s">
        <v>132</v>
      </c>
      <c r="R11" t="s">
        <v>140</v>
      </c>
    </row>
    <row r="12" spans="1:18" x14ac:dyDescent="0.25">
      <c r="A12" t="s">
        <v>24</v>
      </c>
      <c r="B12" t="str">
        <f>CONCATENATE(A12,7)</f>
        <v>8CV1UA1JW927</v>
      </c>
      <c r="C12" t="s">
        <v>151</v>
      </c>
      <c r="D12" t="s">
        <v>147</v>
      </c>
      <c r="E12" t="s">
        <v>152</v>
      </c>
      <c r="F12" t="str">
        <f t="shared" si="1"/>
        <v>SUSAN BUSSE</v>
      </c>
      <c r="G12" t="s">
        <v>27</v>
      </c>
      <c r="H12" t="s">
        <v>28</v>
      </c>
      <c r="I12" t="s">
        <v>29</v>
      </c>
      <c r="J12" s="1">
        <v>45748</v>
      </c>
      <c r="K12" s="1">
        <v>45748</v>
      </c>
      <c r="L12">
        <v>8814784</v>
      </c>
      <c r="M12" t="s">
        <v>32</v>
      </c>
      <c r="N12" t="s">
        <v>33</v>
      </c>
      <c r="O12">
        <v>-751</v>
      </c>
      <c r="P12">
        <v>-626</v>
      </c>
      <c r="Q12" t="s">
        <v>134</v>
      </c>
      <c r="R12" t="s">
        <v>135</v>
      </c>
    </row>
    <row r="13" spans="1:18" x14ac:dyDescent="0.25">
      <c r="A13" t="s">
        <v>43</v>
      </c>
      <c r="B13" t="str">
        <f>CONCATENATE(A13,7)</f>
        <v>3KP3R00JM007</v>
      </c>
      <c r="C13" t="s">
        <v>153</v>
      </c>
      <c r="D13" t="s">
        <v>154</v>
      </c>
      <c r="E13" t="s">
        <v>155</v>
      </c>
      <c r="F13" t="str">
        <f t="shared" si="1"/>
        <v>CYNTHIA FIEDLER</v>
      </c>
      <c r="G13" t="s">
        <v>46</v>
      </c>
      <c r="H13" t="s">
        <v>47</v>
      </c>
      <c r="I13" t="s">
        <v>29</v>
      </c>
      <c r="J13" s="1">
        <v>45689</v>
      </c>
      <c r="K13" s="1">
        <v>45689</v>
      </c>
      <c r="L13">
        <v>19586992</v>
      </c>
      <c r="M13" t="s">
        <v>32</v>
      </c>
      <c r="N13" t="s">
        <v>50</v>
      </c>
      <c r="O13">
        <v>-751</v>
      </c>
      <c r="P13">
        <v>-626</v>
      </c>
      <c r="Q13" t="s">
        <v>134</v>
      </c>
      <c r="R13" t="s">
        <v>135</v>
      </c>
    </row>
    <row r="14" spans="1:18" x14ac:dyDescent="0.25">
      <c r="A14" t="s">
        <v>43</v>
      </c>
      <c r="B14" t="str">
        <f>CONCATENATE(A14,7)</f>
        <v>3KP3R00JM007</v>
      </c>
      <c r="C14" t="s">
        <v>153</v>
      </c>
      <c r="D14" t="s">
        <v>154</v>
      </c>
      <c r="E14" t="s">
        <v>155</v>
      </c>
      <c r="F14" t="str">
        <f t="shared" si="1"/>
        <v>CYNTHIA FIEDLER</v>
      </c>
      <c r="G14" t="s">
        <v>46</v>
      </c>
      <c r="H14" t="s">
        <v>51</v>
      </c>
      <c r="I14" t="s">
        <v>29</v>
      </c>
      <c r="J14" s="1">
        <v>45689</v>
      </c>
      <c r="K14" s="1">
        <v>45689</v>
      </c>
      <c r="L14">
        <v>19586992</v>
      </c>
      <c r="M14" t="s">
        <v>32</v>
      </c>
      <c r="N14" t="s">
        <v>50</v>
      </c>
      <c r="O14">
        <v>312.92</v>
      </c>
      <c r="P14">
        <v>260.83</v>
      </c>
      <c r="Q14" t="s">
        <v>134</v>
      </c>
      <c r="R14" t="s">
        <v>142</v>
      </c>
    </row>
    <row r="15" spans="1:18" x14ac:dyDescent="0.25">
      <c r="A15" t="s">
        <v>76</v>
      </c>
      <c r="B15" t="str">
        <f>CONCATENATE(A15,8)</f>
        <v>1D50TG0MC158</v>
      </c>
      <c r="C15" t="s">
        <v>169</v>
      </c>
      <c r="D15" t="s">
        <v>170</v>
      </c>
      <c r="E15" t="s">
        <v>171</v>
      </c>
      <c r="F15" t="str">
        <f t="shared" si="1"/>
        <v>BRENT OFFENHEISER</v>
      </c>
      <c r="G15" t="s">
        <v>27</v>
      </c>
      <c r="H15" t="s">
        <v>40</v>
      </c>
      <c r="I15" t="s">
        <v>29</v>
      </c>
      <c r="J15" s="1">
        <v>45839</v>
      </c>
      <c r="K15" s="1">
        <v>45839</v>
      </c>
      <c r="L15">
        <v>20490188</v>
      </c>
      <c r="M15" t="s">
        <v>32</v>
      </c>
      <c r="N15" t="s">
        <v>80</v>
      </c>
      <c r="O15">
        <v>219</v>
      </c>
      <c r="P15">
        <v>156.5</v>
      </c>
      <c r="Q15" t="s">
        <v>136</v>
      </c>
      <c r="R15" t="s">
        <v>139</v>
      </c>
    </row>
    <row r="16" spans="1:18" x14ac:dyDescent="0.25">
      <c r="A16" t="s">
        <v>63</v>
      </c>
      <c r="B16" t="str">
        <f>CONCATENATE(A16,8)</f>
        <v>5A25J34YC528</v>
      </c>
      <c r="C16" t="s">
        <v>146</v>
      </c>
      <c r="D16" t="s">
        <v>147</v>
      </c>
      <c r="E16" t="s">
        <v>148</v>
      </c>
      <c r="F16" t="str">
        <f t="shared" si="1"/>
        <v>JUNE MCGRATH</v>
      </c>
      <c r="G16" t="s">
        <v>66</v>
      </c>
      <c r="H16" t="s">
        <v>40</v>
      </c>
      <c r="I16" t="s">
        <v>29</v>
      </c>
      <c r="J16" s="1">
        <v>45839</v>
      </c>
      <c r="K16" s="1">
        <v>45839</v>
      </c>
      <c r="L16">
        <v>15950276</v>
      </c>
      <c r="M16" t="s">
        <v>32</v>
      </c>
      <c r="N16" t="s">
        <v>69</v>
      </c>
      <c r="O16">
        <v>239</v>
      </c>
      <c r="P16">
        <v>176.5</v>
      </c>
      <c r="Q16" t="s">
        <v>132</v>
      </c>
      <c r="R16" t="s">
        <v>140</v>
      </c>
    </row>
    <row r="17" spans="1:18" x14ac:dyDescent="0.25">
      <c r="A17" t="s">
        <v>106</v>
      </c>
      <c r="B17" t="str">
        <f>CONCATENATE(A17,8)</f>
        <v>4UY3E31HN708</v>
      </c>
      <c r="C17" t="s">
        <v>156</v>
      </c>
      <c r="D17" t="s">
        <v>157</v>
      </c>
      <c r="E17" t="s">
        <v>155</v>
      </c>
      <c r="F17" t="str">
        <f t="shared" si="1"/>
        <v>CYNTHIA SMITH</v>
      </c>
      <c r="G17" t="s">
        <v>109</v>
      </c>
      <c r="H17" t="s">
        <v>40</v>
      </c>
      <c r="I17" t="s">
        <v>29</v>
      </c>
      <c r="J17" s="1">
        <v>45901</v>
      </c>
      <c r="K17" s="1">
        <v>45901</v>
      </c>
      <c r="L17">
        <v>19681796</v>
      </c>
      <c r="M17" t="s">
        <v>32</v>
      </c>
      <c r="N17" t="s">
        <v>41</v>
      </c>
      <c r="O17">
        <v>144.33000000000001</v>
      </c>
      <c r="P17">
        <v>104.33</v>
      </c>
      <c r="Q17" t="s">
        <v>136</v>
      </c>
      <c r="R17" t="s">
        <v>137</v>
      </c>
    </row>
    <row r="18" spans="1:18" x14ac:dyDescent="0.25">
      <c r="A18" t="s">
        <v>37</v>
      </c>
      <c r="B18" t="str">
        <f>CONCATENATE(A18,8)</f>
        <v>7M88D22JJ548</v>
      </c>
      <c r="C18" t="s">
        <v>182</v>
      </c>
      <c r="D18" t="s">
        <v>154</v>
      </c>
      <c r="E18" t="s">
        <v>183</v>
      </c>
      <c r="F18" t="str">
        <f t="shared" si="1"/>
        <v>ANGELA DAVIS</v>
      </c>
      <c r="G18" t="s">
        <v>27</v>
      </c>
      <c r="H18" t="s">
        <v>40</v>
      </c>
      <c r="I18" t="s">
        <v>29</v>
      </c>
      <c r="J18" s="1">
        <v>45809</v>
      </c>
      <c r="K18" s="1">
        <v>45809</v>
      </c>
      <c r="L18">
        <v>19681796</v>
      </c>
      <c r="M18" t="s">
        <v>32</v>
      </c>
      <c r="N18" t="s">
        <v>41</v>
      </c>
      <c r="O18">
        <v>252.58</v>
      </c>
      <c r="P18">
        <v>182.58</v>
      </c>
      <c r="Q18" t="s">
        <v>136</v>
      </c>
      <c r="R18" t="s">
        <v>141</v>
      </c>
    </row>
    <row r="19" spans="1:18" x14ac:dyDescent="0.25">
      <c r="A19" t="s">
        <v>111</v>
      </c>
      <c r="B19" t="str">
        <f>CONCATENATE(A19,8)</f>
        <v>7EY0DY5TT328</v>
      </c>
      <c r="C19" t="s">
        <v>172</v>
      </c>
      <c r="D19" t="s">
        <v>173</v>
      </c>
      <c r="E19" t="s">
        <v>152</v>
      </c>
      <c r="F19" t="str">
        <f t="shared" si="1"/>
        <v>SUSAN SOMMER</v>
      </c>
      <c r="G19" t="s">
        <v>114</v>
      </c>
      <c r="H19" t="s">
        <v>40</v>
      </c>
      <c r="I19" t="s">
        <v>29</v>
      </c>
      <c r="J19" s="1">
        <v>45839</v>
      </c>
      <c r="K19" s="1">
        <v>45839</v>
      </c>
      <c r="L19">
        <v>8307933</v>
      </c>
      <c r="M19" t="s">
        <v>32</v>
      </c>
      <c r="N19" t="s">
        <v>117</v>
      </c>
      <c r="O19">
        <v>219</v>
      </c>
      <c r="P19">
        <v>156.5</v>
      </c>
      <c r="Q19" t="s">
        <v>136</v>
      </c>
      <c r="R19" t="s">
        <v>139</v>
      </c>
    </row>
    <row r="20" spans="1:18" x14ac:dyDescent="0.25">
      <c r="A20" t="s">
        <v>24</v>
      </c>
      <c r="B20" t="str">
        <f>CONCATENATE(A20,88)</f>
        <v>8CV1UA1JW9288</v>
      </c>
      <c r="C20" t="s">
        <v>151</v>
      </c>
      <c r="D20" t="s">
        <v>147</v>
      </c>
      <c r="E20" t="s">
        <v>152</v>
      </c>
      <c r="F20" t="str">
        <f t="shared" ref="F20:F39" si="2">CONCATENATE(E20, " ",C20)</f>
        <v>SUSAN BUSSE</v>
      </c>
      <c r="G20" t="s">
        <v>27</v>
      </c>
      <c r="H20" t="s">
        <v>28</v>
      </c>
      <c r="I20" t="s">
        <v>29</v>
      </c>
      <c r="J20" s="1">
        <v>45748</v>
      </c>
      <c r="K20" s="1">
        <v>45748</v>
      </c>
      <c r="L20">
        <v>20411454</v>
      </c>
      <c r="M20" t="s">
        <v>32</v>
      </c>
      <c r="N20" t="s">
        <v>187</v>
      </c>
      <c r="O20">
        <v>-751</v>
      </c>
      <c r="P20">
        <v>-125</v>
      </c>
      <c r="Q20" t="s">
        <v>133</v>
      </c>
    </row>
    <row r="21" spans="1:18" x14ac:dyDescent="0.25">
      <c r="A21" t="s">
        <v>43</v>
      </c>
      <c r="B21" t="str">
        <f t="shared" ref="B21:B39" si="3">CONCATENATE(A21,88)</f>
        <v>3KP3R00JM0088</v>
      </c>
      <c r="C21" t="s">
        <v>153</v>
      </c>
      <c r="D21" t="s">
        <v>154</v>
      </c>
      <c r="E21" t="s">
        <v>155</v>
      </c>
      <c r="F21" t="str">
        <f t="shared" si="2"/>
        <v>CYNTHIA FIEDLER</v>
      </c>
      <c r="G21" t="s">
        <v>46</v>
      </c>
      <c r="H21" t="s">
        <v>47</v>
      </c>
      <c r="I21" t="s">
        <v>29</v>
      </c>
      <c r="J21" s="1">
        <v>45689</v>
      </c>
      <c r="K21" s="1">
        <v>45689</v>
      </c>
      <c r="L21">
        <v>20411454</v>
      </c>
      <c r="M21" t="s">
        <v>32</v>
      </c>
      <c r="N21" t="s">
        <v>187</v>
      </c>
      <c r="O21">
        <v>-751</v>
      </c>
      <c r="P21">
        <v>-125</v>
      </c>
      <c r="Q21" t="s">
        <v>133</v>
      </c>
    </row>
    <row r="22" spans="1:18" x14ac:dyDescent="0.25">
      <c r="A22" t="s">
        <v>102</v>
      </c>
      <c r="B22" t="str">
        <f t="shared" si="3"/>
        <v>4RG8UV8NF5088</v>
      </c>
      <c r="C22" t="s">
        <v>143</v>
      </c>
      <c r="D22" t="s">
        <v>144</v>
      </c>
      <c r="E22" t="s">
        <v>145</v>
      </c>
      <c r="F22" t="str">
        <f t="shared" si="2"/>
        <v>JEFFREY SCHUTTE</v>
      </c>
      <c r="G22" t="s">
        <v>66</v>
      </c>
      <c r="H22" t="s">
        <v>47</v>
      </c>
      <c r="I22" t="s">
        <v>29</v>
      </c>
      <c r="J22" s="1">
        <v>45689</v>
      </c>
      <c r="K22" s="1">
        <v>45689</v>
      </c>
      <c r="L22">
        <v>20411454</v>
      </c>
      <c r="M22" t="s">
        <v>32</v>
      </c>
      <c r="N22" t="s">
        <v>187</v>
      </c>
      <c r="O22">
        <v>-438.17</v>
      </c>
      <c r="P22">
        <v>-85.17</v>
      </c>
      <c r="Q22" t="s">
        <v>133</v>
      </c>
    </row>
    <row r="23" spans="1:18" x14ac:dyDescent="0.25">
      <c r="A23" t="s">
        <v>90</v>
      </c>
      <c r="B23" t="str">
        <f t="shared" si="3"/>
        <v>8QW0CH7HE4888</v>
      </c>
      <c r="C23" t="s">
        <v>184</v>
      </c>
      <c r="D23" t="s">
        <v>185</v>
      </c>
      <c r="E23" t="s">
        <v>186</v>
      </c>
      <c r="F23" t="str">
        <f t="shared" si="2"/>
        <v>DORINE PRITTS</v>
      </c>
      <c r="G23" t="s">
        <v>66</v>
      </c>
      <c r="H23" t="s">
        <v>93</v>
      </c>
      <c r="I23" t="s">
        <v>29</v>
      </c>
      <c r="J23" s="1">
        <v>45748</v>
      </c>
      <c r="K23" s="1">
        <v>45748</v>
      </c>
      <c r="L23">
        <v>20411454</v>
      </c>
      <c r="M23" t="s">
        <v>32</v>
      </c>
      <c r="N23" t="s">
        <v>187</v>
      </c>
      <c r="O23">
        <v>-30</v>
      </c>
      <c r="P23">
        <v>-30</v>
      </c>
      <c r="Q23" t="s">
        <v>133</v>
      </c>
    </row>
    <row r="24" spans="1:18" x14ac:dyDescent="0.25">
      <c r="A24" t="s">
        <v>90</v>
      </c>
      <c r="B24" t="str">
        <f t="shared" si="3"/>
        <v>8QW0CH7HE4888</v>
      </c>
      <c r="C24" t="s">
        <v>184</v>
      </c>
      <c r="D24" t="s">
        <v>185</v>
      </c>
      <c r="E24" t="s">
        <v>186</v>
      </c>
      <c r="F24" t="str">
        <f t="shared" si="2"/>
        <v>DORINE PRITTS</v>
      </c>
      <c r="G24" t="s">
        <v>66</v>
      </c>
      <c r="H24" t="s">
        <v>96</v>
      </c>
      <c r="I24" t="s">
        <v>29</v>
      </c>
      <c r="J24" s="1">
        <v>45748</v>
      </c>
      <c r="K24" s="1">
        <v>45748</v>
      </c>
      <c r="L24">
        <v>20411454</v>
      </c>
      <c r="M24" t="s">
        <v>32</v>
      </c>
      <c r="N24" t="s">
        <v>187</v>
      </c>
      <c r="O24">
        <v>10</v>
      </c>
      <c r="P24">
        <v>10</v>
      </c>
      <c r="Q24" t="s">
        <v>133</v>
      </c>
    </row>
    <row r="25" spans="1:18" x14ac:dyDescent="0.25">
      <c r="A25" t="s">
        <v>106</v>
      </c>
      <c r="B25" t="str">
        <f t="shared" si="3"/>
        <v>4UY3E31HN7088</v>
      </c>
      <c r="C25" t="s">
        <v>156</v>
      </c>
      <c r="D25" t="s">
        <v>157</v>
      </c>
      <c r="E25" t="s">
        <v>155</v>
      </c>
      <c r="F25" t="str">
        <f t="shared" si="2"/>
        <v>CYNTHIA SMITH</v>
      </c>
      <c r="G25" t="s">
        <v>109</v>
      </c>
      <c r="H25" t="s">
        <v>40</v>
      </c>
      <c r="I25" t="s">
        <v>29</v>
      </c>
      <c r="J25" s="1">
        <v>45901</v>
      </c>
      <c r="K25" s="1">
        <v>45901</v>
      </c>
      <c r="L25">
        <v>20411454</v>
      </c>
      <c r="M25" t="s">
        <v>32</v>
      </c>
      <c r="N25" t="s">
        <v>187</v>
      </c>
      <c r="O25">
        <v>144.33000000000001</v>
      </c>
      <c r="P25">
        <v>40</v>
      </c>
      <c r="Q25" t="s">
        <v>133</v>
      </c>
    </row>
    <row r="26" spans="1:18" x14ac:dyDescent="0.25">
      <c r="A26" t="s">
        <v>102</v>
      </c>
      <c r="B26" t="str">
        <f t="shared" si="3"/>
        <v>4RG8UV8NF5088</v>
      </c>
      <c r="C26" t="s">
        <v>143</v>
      </c>
      <c r="D26" t="s">
        <v>144</v>
      </c>
      <c r="E26" t="s">
        <v>145</v>
      </c>
      <c r="F26" t="str">
        <f t="shared" si="2"/>
        <v>JEFFREY SCHUTTE</v>
      </c>
      <c r="G26" t="s">
        <v>66</v>
      </c>
      <c r="H26" t="s">
        <v>51</v>
      </c>
      <c r="I26" t="s">
        <v>29</v>
      </c>
      <c r="J26" s="1">
        <v>45689</v>
      </c>
      <c r="K26" s="1">
        <v>45689</v>
      </c>
      <c r="L26">
        <v>20411454</v>
      </c>
      <c r="M26" t="s">
        <v>32</v>
      </c>
      <c r="N26" t="s">
        <v>187</v>
      </c>
      <c r="O26">
        <v>199.17</v>
      </c>
      <c r="P26">
        <v>52.08</v>
      </c>
      <c r="Q26" t="s">
        <v>133</v>
      </c>
    </row>
    <row r="27" spans="1:18" x14ac:dyDescent="0.25">
      <c r="A27" t="s">
        <v>52</v>
      </c>
      <c r="B27" t="str">
        <f t="shared" si="3"/>
        <v>7HN4EC9CT7388</v>
      </c>
      <c r="C27" t="s">
        <v>158</v>
      </c>
      <c r="E27" t="s">
        <v>159</v>
      </c>
      <c r="F27" t="str">
        <f t="shared" si="2"/>
        <v>IGNACIO GARCIA</v>
      </c>
      <c r="G27" t="s">
        <v>27</v>
      </c>
      <c r="H27" t="s">
        <v>40</v>
      </c>
      <c r="I27" t="s">
        <v>29</v>
      </c>
      <c r="J27" s="1">
        <v>45839</v>
      </c>
      <c r="K27" s="1">
        <v>45839</v>
      </c>
      <c r="L27">
        <v>20411454</v>
      </c>
      <c r="M27" t="s">
        <v>32</v>
      </c>
      <c r="N27" t="s">
        <v>187</v>
      </c>
      <c r="O27">
        <v>216.5</v>
      </c>
      <c r="P27">
        <v>60</v>
      </c>
      <c r="Q27" t="s">
        <v>133</v>
      </c>
    </row>
    <row r="28" spans="1:18" x14ac:dyDescent="0.25">
      <c r="A28" t="s">
        <v>56</v>
      </c>
      <c r="B28" t="str">
        <f t="shared" si="3"/>
        <v>1E14K04RP7188</v>
      </c>
      <c r="C28" t="s">
        <v>160</v>
      </c>
      <c r="D28" t="s">
        <v>161</v>
      </c>
      <c r="E28" t="s">
        <v>162</v>
      </c>
      <c r="F28" t="str">
        <f t="shared" si="2"/>
        <v>MICHAEL HUBERTY</v>
      </c>
      <c r="G28" t="s">
        <v>27</v>
      </c>
      <c r="H28" t="s">
        <v>40</v>
      </c>
      <c r="I28" t="s">
        <v>29</v>
      </c>
      <c r="J28" s="1">
        <v>45839</v>
      </c>
      <c r="K28" s="1">
        <v>45839</v>
      </c>
      <c r="L28">
        <v>20411454</v>
      </c>
      <c r="M28" t="s">
        <v>32</v>
      </c>
      <c r="N28" t="s">
        <v>187</v>
      </c>
      <c r="O28">
        <v>219</v>
      </c>
      <c r="P28">
        <v>62.5</v>
      </c>
      <c r="Q28" t="s">
        <v>133</v>
      </c>
    </row>
    <row r="29" spans="1:18" x14ac:dyDescent="0.25">
      <c r="A29" t="s">
        <v>60</v>
      </c>
      <c r="B29" t="str">
        <f t="shared" si="3"/>
        <v>8V25KH2HE8388</v>
      </c>
      <c r="C29" t="s">
        <v>163</v>
      </c>
      <c r="D29" t="s">
        <v>164</v>
      </c>
      <c r="E29" t="s">
        <v>165</v>
      </c>
      <c r="F29" t="str">
        <f t="shared" si="2"/>
        <v>RIMOND JAMOU</v>
      </c>
      <c r="G29" t="s">
        <v>27</v>
      </c>
      <c r="H29" t="s">
        <v>40</v>
      </c>
      <c r="I29" t="s">
        <v>29</v>
      </c>
      <c r="J29" s="1">
        <v>45839</v>
      </c>
      <c r="K29" s="1">
        <v>45839</v>
      </c>
      <c r="L29">
        <v>20411454</v>
      </c>
      <c r="M29" t="s">
        <v>32</v>
      </c>
      <c r="N29" t="s">
        <v>187</v>
      </c>
      <c r="O29">
        <v>219</v>
      </c>
      <c r="P29">
        <v>62.5</v>
      </c>
      <c r="Q29" t="s">
        <v>133</v>
      </c>
    </row>
    <row r="30" spans="1:18" x14ac:dyDescent="0.25">
      <c r="A30" t="s">
        <v>70</v>
      </c>
      <c r="B30" t="str">
        <f t="shared" si="3"/>
        <v>9X78VN5CQ3088</v>
      </c>
      <c r="C30" t="s">
        <v>166</v>
      </c>
      <c r="D30" t="s">
        <v>167</v>
      </c>
      <c r="E30" t="s">
        <v>168</v>
      </c>
      <c r="F30" t="str">
        <f t="shared" si="2"/>
        <v>MARK MILLER</v>
      </c>
      <c r="G30" t="s">
        <v>73</v>
      </c>
      <c r="H30" t="s">
        <v>40</v>
      </c>
      <c r="I30" t="s">
        <v>29</v>
      </c>
      <c r="J30" s="1">
        <v>45839</v>
      </c>
      <c r="K30" s="1">
        <v>45839</v>
      </c>
      <c r="L30">
        <v>20411454</v>
      </c>
      <c r="M30" t="s">
        <v>32</v>
      </c>
      <c r="N30" t="s">
        <v>187</v>
      </c>
      <c r="O30">
        <v>219</v>
      </c>
      <c r="P30">
        <v>62.5</v>
      </c>
      <c r="Q30" t="s">
        <v>133</v>
      </c>
    </row>
    <row r="31" spans="1:18" x14ac:dyDescent="0.25">
      <c r="A31" t="s">
        <v>76</v>
      </c>
      <c r="B31" t="str">
        <f t="shared" si="3"/>
        <v>1D50TG0MC1588</v>
      </c>
      <c r="C31" t="s">
        <v>169</v>
      </c>
      <c r="D31" t="s">
        <v>170</v>
      </c>
      <c r="E31" t="s">
        <v>171</v>
      </c>
      <c r="F31" t="str">
        <f t="shared" si="2"/>
        <v>BRENT OFFENHEISER</v>
      </c>
      <c r="G31" t="s">
        <v>27</v>
      </c>
      <c r="H31" t="s">
        <v>40</v>
      </c>
      <c r="I31" t="s">
        <v>29</v>
      </c>
      <c r="J31" s="1">
        <v>45839</v>
      </c>
      <c r="K31" s="1">
        <v>45839</v>
      </c>
      <c r="L31">
        <v>20411454</v>
      </c>
      <c r="M31" t="s">
        <v>32</v>
      </c>
      <c r="N31" t="s">
        <v>187</v>
      </c>
      <c r="O31">
        <v>219</v>
      </c>
      <c r="P31">
        <v>62.5</v>
      </c>
      <c r="Q31" t="s">
        <v>133</v>
      </c>
    </row>
    <row r="32" spans="1:18" x14ac:dyDescent="0.25">
      <c r="A32" t="s">
        <v>111</v>
      </c>
      <c r="B32" t="str">
        <f t="shared" si="3"/>
        <v>7EY0DY5TT3288</v>
      </c>
      <c r="C32" t="s">
        <v>172</v>
      </c>
      <c r="D32" t="s">
        <v>173</v>
      </c>
      <c r="E32" t="s">
        <v>152</v>
      </c>
      <c r="F32" t="str">
        <f t="shared" si="2"/>
        <v>SUSAN SOMMER</v>
      </c>
      <c r="G32" t="s">
        <v>114</v>
      </c>
      <c r="H32" t="s">
        <v>40</v>
      </c>
      <c r="I32" t="s">
        <v>29</v>
      </c>
      <c r="J32" s="1">
        <v>45839</v>
      </c>
      <c r="K32" s="1">
        <v>45839</v>
      </c>
      <c r="L32">
        <v>20411454</v>
      </c>
      <c r="M32" t="s">
        <v>32</v>
      </c>
      <c r="N32" t="s">
        <v>187</v>
      </c>
      <c r="O32">
        <v>219</v>
      </c>
      <c r="P32">
        <v>62.5</v>
      </c>
      <c r="Q32" t="s">
        <v>133</v>
      </c>
    </row>
    <row r="33" spans="1:17" x14ac:dyDescent="0.25">
      <c r="A33" t="s">
        <v>118</v>
      </c>
      <c r="B33" t="str">
        <f t="shared" si="3"/>
        <v>7J45NP1FT8788</v>
      </c>
      <c r="C33" t="s">
        <v>174</v>
      </c>
      <c r="D33" t="s">
        <v>175</v>
      </c>
      <c r="E33" t="s">
        <v>176</v>
      </c>
      <c r="F33" t="str">
        <f t="shared" si="2"/>
        <v>BOLAJOKO SOYOYE</v>
      </c>
      <c r="G33" t="s">
        <v>27</v>
      </c>
      <c r="H33" t="s">
        <v>40</v>
      </c>
      <c r="I33" t="s">
        <v>29</v>
      </c>
      <c r="J33" s="1">
        <v>45839</v>
      </c>
      <c r="K33" s="1">
        <v>45839</v>
      </c>
      <c r="L33">
        <v>20411454</v>
      </c>
      <c r="M33" t="s">
        <v>32</v>
      </c>
      <c r="N33" t="s">
        <v>187</v>
      </c>
      <c r="O33">
        <v>219</v>
      </c>
      <c r="P33">
        <v>62.5</v>
      </c>
      <c r="Q33" t="s">
        <v>133</v>
      </c>
    </row>
    <row r="34" spans="1:17" x14ac:dyDescent="0.25">
      <c r="A34" t="s">
        <v>123</v>
      </c>
      <c r="B34" t="str">
        <f t="shared" si="3"/>
        <v>4A27UX2XW5088</v>
      </c>
      <c r="C34" t="s">
        <v>177</v>
      </c>
      <c r="E34" t="s">
        <v>178</v>
      </c>
      <c r="F34" t="str">
        <f t="shared" si="2"/>
        <v>ANGELICA VARGAS</v>
      </c>
      <c r="G34" t="s">
        <v>27</v>
      </c>
      <c r="H34" t="s">
        <v>40</v>
      </c>
      <c r="I34" t="s">
        <v>29</v>
      </c>
      <c r="J34" s="1">
        <v>45839</v>
      </c>
      <c r="K34" s="1">
        <v>45839</v>
      </c>
      <c r="L34">
        <v>20411454</v>
      </c>
      <c r="M34" t="s">
        <v>32</v>
      </c>
      <c r="N34" t="s">
        <v>187</v>
      </c>
      <c r="O34">
        <v>219</v>
      </c>
      <c r="P34">
        <v>62.5</v>
      </c>
      <c r="Q34" t="s">
        <v>133</v>
      </c>
    </row>
    <row r="35" spans="1:17" x14ac:dyDescent="0.25">
      <c r="A35" t="s">
        <v>127</v>
      </c>
      <c r="B35" t="str">
        <f t="shared" si="3"/>
        <v>3NX3PA5YC9888</v>
      </c>
      <c r="C35" t="s">
        <v>179</v>
      </c>
      <c r="D35" t="s">
        <v>180</v>
      </c>
      <c r="E35" t="s">
        <v>181</v>
      </c>
      <c r="F35" t="str">
        <f t="shared" si="2"/>
        <v>CAROLYN WARF</v>
      </c>
      <c r="G35" t="s">
        <v>27</v>
      </c>
      <c r="H35" t="s">
        <v>40</v>
      </c>
      <c r="I35" t="s">
        <v>29</v>
      </c>
      <c r="J35" s="1">
        <v>45839</v>
      </c>
      <c r="K35" s="1">
        <v>45839</v>
      </c>
      <c r="L35">
        <v>20411454</v>
      </c>
      <c r="M35" t="s">
        <v>32</v>
      </c>
      <c r="N35" t="s">
        <v>187</v>
      </c>
      <c r="O35">
        <v>219</v>
      </c>
      <c r="P35">
        <v>62.5</v>
      </c>
      <c r="Q35" t="s">
        <v>133</v>
      </c>
    </row>
    <row r="36" spans="1:17" x14ac:dyDescent="0.25">
      <c r="A36" t="s">
        <v>63</v>
      </c>
      <c r="B36" t="str">
        <f t="shared" si="3"/>
        <v>5A25J34YC5288</v>
      </c>
      <c r="C36" t="s">
        <v>146</v>
      </c>
      <c r="D36" t="s">
        <v>147</v>
      </c>
      <c r="E36" t="s">
        <v>148</v>
      </c>
      <c r="F36" t="str">
        <f t="shared" si="2"/>
        <v>JUNE MCGRATH</v>
      </c>
      <c r="G36" t="s">
        <v>66</v>
      </c>
      <c r="H36" t="s">
        <v>40</v>
      </c>
      <c r="I36" t="s">
        <v>29</v>
      </c>
      <c r="J36" s="1">
        <v>45839</v>
      </c>
      <c r="K36" s="1">
        <v>45839</v>
      </c>
      <c r="L36">
        <v>20411454</v>
      </c>
      <c r="M36" t="s">
        <v>32</v>
      </c>
      <c r="N36" t="s">
        <v>187</v>
      </c>
      <c r="O36">
        <v>239</v>
      </c>
      <c r="P36">
        <v>62.5</v>
      </c>
      <c r="Q36" t="s">
        <v>133</v>
      </c>
    </row>
    <row r="37" spans="1:17" x14ac:dyDescent="0.25">
      <c r="A37" t="s">
        <v>97</v>
      </c>
      <c r="B37" t="str">
        <f t="shared" si="3"/>
        <v>1K16V32QJ5788</v>
      </c>
      <c r="C37" t="s">
        <v>149</v>
      </c>
      <c r="E37" t="s">
        <v>150</v>
      </c>
      <c r="F37" t="str">
        <f t="shared" si="2"/>
        <v>DIANA SAXTON</v>
      </c>
      <c r="G37" t="s">
        <v>66</v>
      </c>
      <c r="H37" t="s">
        <v>40</v>
      </c>
      <c r="I37" t="s">
        <v>29</v>
      </c>
      <c r="J37" s="1">
        <v>45839</v>
      </c>
      <c r="K37" s="1">
        <v>45839</v>
      </c>
      <c r="L37">
        <v>20411454</v>
      </c>
      <c r="M37" t="s">
        <v>32</v>
      </c>
      <c r="N37" t="s">
        <v>187</v>
      </c>
      <c r="O37">
        <v>239</v>
      </c>
      <c r="P37">
        <v>62.5</v>
      </c>
      <c r="Q37" t="s">
        <v>133</v>
      </c>
    </row>
    <row r="38" spans="1:17" x14ac:dyDescent="0.25">
      <c r="A38" t="s">
        <v>37</v>
      </c>
      <c r="B38" t="str">
        <f t="shared" si="3"/>
        <v>7M88D22JJ5488</v>
      </c>
      <c r="C38" t="s">
        <v>182</v>
      </c>
      <c r="D38" t="s">
        <v>154</v>
      </c>
      <c r="E38" t="s">
        <v>183</v>
      </c>
      <c r="F38" t="str">
        <f t="shared" si="2"/>
        <v>ANGELA DAVIS</v>
      </c>
      <c r="G38" t="s">
        <v>27</v>
      </c>
      <c r="H38" t="s">
        <v>40</v>
      </c>
      <c r="I38" t="s">
        <v>29</v>
      </c>
      <c r="J38" s="1">
        <v>45809</v>
      </c>
      <c r="K38" s="1">
        <v>45809</v>
      </c>
      <c r="L38">
        <v>20411454</v>
      </c>
      <c r="M38" t="s">
        <v>32</v>
      </c>
      <c r="N38" t="s">
        <v>187</v>
      </c>
      <c r="O38">
        <v>252.58</v>
      </c>
      <c r="P38">
        <v>70</v>
      </c>
      <c r="Q38" t="s">
        <v>133</v>
      </c>
    </row>
    <row r="39" spans="1:17" x14ac:dyDescent="0.25">
      <c r="A39" t="s">
        <v>43</v>
      </c>
      <c r="B39" t="str">
        <f t="shared" si="3"/>
        <v>3KP3R00JM0088</v>
      </c>
      <c r="C39" t="s">
        <v>153</v>
      </c>
      <c r="D39" t="s">
        <v>154</v>
      </c>
      <c r="E39" t="s">
        <v>155</v>
      </c>
      <c r="F39" t="str">
        <f t="shared" si="2"/>
        <v>CYNTHIA FIEDLER</v>
      </c>
      <c r="G39" t="s">
        <v>46</v>
      </c>
      <c r="H39" t="s">
        <v>51</v>
      </c>
      <c r="I39" t="s">
        <v>29</v>
      </c>
      <c r="J39" s="1">
        <v>45689</v>
      </c>
      <c r="K39" s="1">
        <v>45689</v>
      </c>
      <c r="L39">
        <v>20411454</v>
      </c>
      <c r="M39" t="s">
        <v>32</v>
      </c>
      <c r="N39" t="s">
        <v>187</v>
      </c>
      <c r="O39">
        <v>312.92</v>
      </c>
      <c r="P39">
        <v>52.08</v>
      </c>
      <c r="Q39" t="s">
        <v>133</v>
      </c>
    </row>
  </sheetData>
  <sortState xmlns:xlrd2="http://schemas.microsoft.com/office/spreadsheetml/2017/richdata2" ref="A2:AB19">
    <sortCondition ref="N2:N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2025-07-01T18:34:02Z</dcterms:created>
  <dcterms:modified xsi:type="dcterms:W3CDTF">2025-07-09T14:39:03Z</dcterms:modified>
</cp:coreProperties>
</file>