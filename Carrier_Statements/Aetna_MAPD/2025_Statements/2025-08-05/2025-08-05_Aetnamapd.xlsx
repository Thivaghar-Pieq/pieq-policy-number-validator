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08-05-25\"/>
    </mc:Choice>
  </mc:AlternateContent>
  <xr:revisionPtr revIDLastSave="0" documentId="13_ncr:1_{0FA52868-96BF-4680-A1BF-7DA4E77E354C}" xr6:coauthVersionLast="47" xr6:coauthVersionMax="47" xr10:uidLastSave="{00000000-0000-0000-0000-000000000000}"/>
  <bookViews>
    <workbookView xWindow="-57720" yWindow="-45" windowWidth="29040" windowHeight="15720" xr2:uid="{537B6205-5C89-46A4-BBE4-0DE3F61C2A7C}"/>
  </bookViews>
  <sheets>
    <sheet name="Main Line Benefits LLC_med_comm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2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O34" i="2"/>
  <c r="O3" i="2"/>
  <c r="O33" i="2"/>
  <c r="O4" i="2"/>
  <c r="O32" i="2"/>
  <c r="O31" i="2"/>
  <c r="O30" i="2"/>
  <c r="O10" i="2"/>
  <c r="O6" i="2"/>
  <c r="O5" i="2"/>
  <c r="O29" i="2"/>
  <c r="O8" i="2"/>
  <c r="O28" i="2"/>
  <c r="O27" i="2"/>
  <c r="O26" i="2"/>
  <c r="O13" i="2"/>
  <c r="O12" i="2"/>
  <c r="O11" i="2"/>
  <c r="O25" i="2"/>
  <c r="O9" i="2"/>
  <c r="O24" i="2"/>
  <c r="O23" i="2"/>
  <c r="O7" i="2"/>
  <c r="O14" i="2"/>
</calcChain>
</file>

<file path=xl/sharedStrings.xml><?xml version="1.0" encoding="utf-8"?>
<sst xmlns="http://schemas.openxmlformats.org/spreadsheetml/2006/main" count="607" uniqueCount="146">
  <si>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</si>
  <si>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</si>
  <si>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</si>
  <si>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</si>
  <si>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</si>
  <si>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</si>
  <si>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</si>
  <si>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</si>
  <si>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</si>
  <si>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</si>
  <si>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</si>
  <si>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</si>
  <si>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</si>
  <si>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</si>
  <si>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</si>
  <si>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</si>
  <si>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</si>
  <si>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</si>
  <si>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</si>
  <si>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</si>
  <si>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</si>
  <si>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</si>
  <si>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</si>
  <si>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</si>
  <si>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6VE4UE1UP63</t>
  </si>
  <si>
    <t>NG102185144300</t>
  </si>
  <si>
    <t>BALOUGH C,DIANNE</t>
  </si>
  <si>
    <t>IL</t>
  </si>
  <si>
    <t>New Business</t>
  </si>
  <si>
    <t>MAPD</t>
  </si>
  <si>
    <t>IMM606</t>
  </si>
  <si>
    <t>H7301-015</t>
  </si>
  <si>
    <t>LOA</t>
  </si>
  <si>
    <t>Serio, Tom</t>
  </si>
  <si>
    <t>GMO</t>
  </si>
  <si>
    <t>Main Line Benefits LLC</t>
  </si>
  <si>
    <t xml:space="preserve">N  </t>
  </si>
  <si>
    <t>3H39T83UW38</t>
  </si>
  <si>
    <t>NG102185121400</t>
  </si>
  <si>
    <t>BELLAVIA L,CHERYL</t>
  </si>
  <si>
    <t>H7301-013</t>
  </si>
  <si>
    <t>Walenga, Dale</t>
  </si>
  <si>
    <t>1T02KU7XA00</t>
  </si>
  <si>
    <t>NG102185649100</t>
  </si>
  <si>
    <t>DAWSON L,BARBARA</t>
  </si>
  <si>
    <t>PA</t>
  </si>
  <si>
    <t>IMM608</t>
  </si>
  <si>
    <t>H3959-010</t>
  </si>
  <si>
    <t>McCorkle, Michelle</t>
  </si>
  <si>
    <t>6WG0NV5YF18</t>
  </si>
  <si>
    <t>NG101706129600</t>
  </si>
  <si>
    <t>FOLTZ M,KATHERINE</t>
  </si>
  <si>
    <t>TX</t>
  </si>
  <si>
    <t>IMM618</t>
  </si>
  <si>
    <t>H3288-008</t>
  </si>
  <si>
    <t>Teipel, Gregory</t>
  </si>
  <si>
    <t>7X76D87NU61</t>
  </si>
  <si>
    <t>NG101683202900</t>
  </si>
  <si>
    <t>FOLTZ,JIM</t>
  </si>
  <si>
    <t>4FJ2F78DU81</t>
  </si>
  <si>
    <t>NG101183336000</t>
  </si>
  <si>
    <t>LECHNER A,JUDITH</t>
  </si>
  <si>
    <t>Exception</t>
  </si>
  <si>
    <t>H3959-011</t>
  </si>
  <si>
    <t>Powers, Timothy</t>
  </si>
  <si>
    <t>LMO</t>
  </si>
  <si>
    <t>2R79EE8AJ23</t>
  </si>
  <si>
    <t>NG102185749400</t>
  </si>
  <si>
    <t>MARTIN W,JOHN</t>
  </si>
  <si>
    <t>H3959-002</t>
  </si>
  <si>
    <t>Inskipt, Deborah</t>
  </si>
  <si>
    <t>5Y17EU3PR73</t>
  </si>
  <si>
    <t>NG102184690900</t>
  </si>
  <si>
    <t>MASCHMEYER L,NANCY</t>
  </si>
  <si>
    <t>WI</t>
  </si>
  <si>
    <t>H5521-388</t>
  </si>
  <si>
    <t>Liskovec, Frank</t>
  </si>
  <si>
    <t>6KX3HM6HF91</t>
  </si>
  <si>
    <t>NG101117303700</t>
  </si>
  <si>
    <t>MIHELIC E,FRANK</t>
  </si>
  <si>
    <t>MA</t>
  </si>
  <si>
    <t>H3959-041</t>
  </si>
  <si>
    <t>1FE9VA6EP23</t>
  </si>
  <si>
    <t>NG102185649000</t>
  </si>
  <si>
    <t>MORLEY L,DIXIE</t>
  </si>
  <si>
    <t>H5522-022</t>
  </si>
  <si>
    <t>Stocker, Ryan</t>
  </si>
  <si>
    <t>6FV6YC3XE48</t>
  </si>
  <si>
    <t>NG102184907800</t>
  </si>
  <si>
    <t>PHILLIPS E,GINGER</t>
  </si>
  <si>
    <t>OK</t>
  </si>
  <si>
    <t>H3288-020</t>
  </si>
  <si>
    <t>7DR9WP2MF36</t>
  </si>
  <si>
    <t>NG101497408000</t>
  </si>
  <si>
    <t>STUDEBAKER K,DEBORAH</t>
  </si>
  <si>
    <t>CA</t>
  </si>
  <si>
    <t>IMM602</t>
  </si>
  <si>
    <t>H5521-581</t>
  </si>
  <si>
    <t>DAUGHERTY, MATTHEW</t>
  </si>
  <si>
    <t>8ET1W48WC04</t>
  </si>
  <si>
    <t>NG101355592100</t>
  </si>
  <si>
    <t>WALTERS R,BARRY</t>
  </si>
  <si>
    <t>AZ</t>
  </si>
  <si>
    <t>Pro-Rata Payment</t>
  </si>
  <si>
    <t>IMM601</t>
  </si>
  <si>
    <t>H5521-554</t>
  </si>
  <si>
    <t>Choi, Andrew</t>
  </si>
  <si>
    <t>Pro-Rata Disenroll</t>
  </si>
  <si>
    <t>Total Payee Amount: $1872.43</t>
  </si>
  <si>
    <t>Aetna MAPD OVR 2025</t>
  </si>
  <si>
    <t>Aetna MAPD 2025*</t>
  </si>
  <si>
    <t>Aetna 2025 CT, PA, DC*</t>
  </si>
  <si>
    <t>Aetna 2025 CA, NJ*</t>
  </si>
  <si>
    <t>[%/$=313][prorate=12/12]</t>
  </si>
  <si>
    <t>[%/$=313][prorate=4/12]</t>
  </si>
  <si>
    <t>[%/$=313][prorate=5/12]</t>
  </si>
  <si>
    <t>[%/$=353][prorate=5/12]</t>
  </si>
  <si>
    <t>[%/$=390][prorate=5/12]</t>
  </si>
  <si>
    <t>[%/$=313][prorate=7/12]</t>
  </si>
  <si>
    <t>Main Line Benefits</t>
  </si>
  <si>
    <t>17528908N</t>
  </si>
  <si>
    <t>WALTERS</t>
  </si>
  <si>
    <t>BARRY</t>
  </si>
  <si>
    <t>STUDEBAKER</t>
  </si>
  <si>
    <t>DEBORAH</t>
  </si>
  <si>
    <t>MARTIN</t>
  </si>
  <si>
    <t>JOHN</t>
  </si>
  <si>
    <t>MIHELIC</t>
  </si>
  <si>
    <t>FRANK</t>
  </si>
  <si>
    <t>MASCHMEYER</t>
  </si>
  <si>
    <t>NANCY</t>
  </si>
  <si>
    <t>DAWSON</t>
  </si>
  <si>
    <t>BARBARA</t>
  </si>
  <si>
    <t>BALOUGH</t>
  </si>
  <si>
    <t>DIANNE</t>
  </si>
  <si>
    <t>MORLEY</t>
  </si>
  <si>
    <t>DIXIE</t>
  </si>
  <si>
    <t>FOLTZ</t>
  </si>
  <si>
    <t>KATHERINE</t>
  </si>
  <si>
    <t>JIM</t>
  </si>
  <si>
    <t>PHILLIPS</t>
  </si>
  <si>
    <t>GINGER</t>
  </si>
  <si>
    <t>BELLAVIA</t>
  </si>
  <si>
    <t>CHERYL</t>
  </si>
  <si>
    <t>LECHNER</t>
  </si>
  <si>
    <t>JUDITH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</si>
</sst>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0" xfId="0" applyFont="1"/>
    <xf numFmtId="14" fontId="18" fillId="0" borderId="0" xfId="0" applyNumberFormat="1" applyFont="1"/>
    <xf numFmtId="0" fontId="18" fillId="0" borderId="0" xfId="0" applyFont="1" applyAlignment="1">
      <alignment horizontal="right"/>
    </xf>
    <xf numFmtId="2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7781C-95B0-4885-BAEC-1D17AFA8C8A4}">
  <dimension ref="A1:X24"/>
  <sheetViews>
    <sheetView tabSelected="1" workbookViewId="0">
      <selection activeCell="B21" sqref="B21"/>
    </sheetView>
  </sheetViews>
  <sheetFormatPr defaultRowHeight="15" x14ac:dyDescent="0.25"/>
  <cols>
    <col min="1" max="1" width="28" bestFit="1" customWidth="1"/>
    <col min="2" max="2" width="17.28515625" bestFit="1" customWidth="1"/>
    <col min="3" max="3" width="15.85546875" bestFit="1" customWidth="1"/>
    <col min="4" max="4" width="14.140625" bestFit="1" customWidth="1"/>
    <col min="5" max="5" width="17.42578125" bestFit="1" customWidth="1"/>
    <col min="6" max="6" width="23.42578125" bestFit="1" customWidth="1"/>
    <col min="7" max="7" width="13.7109375" bestFit="1" customWidth="1"/>
    <col min="8" max="8" width="17.28515625" bestFit="1" customWidth="1"/>
    <col min="9" max="9" width="7.85546875" bestFit="1" customWidth="1"/>
    <col min="10" max="10" width="8" bestFit="1" customWidth="1"/>
    <col min="11" max="11" width="10" bestFit="1" customWidth="1"/>
    <col min="12" max="12" width="24.7109375" bestFit="1" customWidth="1"/>
    <col min="13" max="13" width="15.7109375" bestFit="1" customWidth="1"/>
    <col min="14" max="14" width="13.5703125" bestFit="1" customWidth="1"/>
    <col min="15" max="15" width="10.140625" bestFit="1" customWidth="1"/>
    <col min="16" max="16" width="18" bestFit="1" customWidth="1"/>
    <col min="17" max="17" width="18.7109375" bestFit="1" customWidth="1"/>
    <col min="18" max="18" width="22.140625" bestFit="1" customWidth="1"/>
    <col min="19" max="19" width="8.7109375" bestFit="1" customWidth="1"/>
    <col min="20" max="20" width="11.5703125" bestFit="1" customWidth="1"/>
    <col min="21" max="21" width="21" bestFit="1" customWidth="1"/>
    <col min="22" max="22" width="9.42578125" bestFit="1" customWidth="1"/>
    <col min="23" max="23" width="14.140625" bestFit="1" customWidth="1"/>
    <col min="24" max="24" width="9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20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21</v>
      </c>
      <c r="W1" t="s">
        <v>22</v>
      </c>
      <c r="X1" t="s">
        <v>23</v>
      </c>
    </row>
    <row r="2" spans="1:24" x14ac:dyDescent="0.25">
      <c r="A2" s="1">
        <v>45874</v>
      </c>
      <c r="B2" t="s">
        <v>24</v>
      </c>
      <c r="C2" t="s">
        <v>25</v>
      </c>
      <c r="D2">
        <v>182.5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M2" s="1">
        <v>45870</v>
      </c>
      <c r="N2" s="1">
        <v>45870</v>
      </c>
      <c r="P2">
        <v>20490188</v>
      </c>
      <c r="Q2" t="s">
        <v>32</v>
      </c>
      <c r="R2" t="s">
        <v>33</v>
      </c>
      <c r="S2">
        <v>8192</v>
      </c>
      <c r="T2" t="s">
        <v>34</v>
      </c>
      <c r="U2" t="s">
        <v>35</v>
      </c>
      <c r="V2" t="s">
        <v>36</v>
      </c>
      <c r="W2" s="1">
        <v>45856</v>
      </c>
      <c r="X2">
        <v>2025</v>
      </c>
    </row>
    <row r="3" spans="1:24" x14ac:dyDescent="0.25">
      <c r="A3" s="1">
        <v>45874</v>
      </c>
      <c r="B3" t="s">
        <v>37</v>
      </c>
      <c r="C3" t="s">
        <v>38</v>
      </c>
      <c r="D3">
        <v>146</v>
      </c>
      <c r="F3" t="s">
        <v>39</v>
      </c>
      <c r="G3" t="s">
        <v>27</v>
      </c>
      <c r="H3" t="s">
        <v>28</v>
      </c>
      <c r="I3" t="s">
        <v>29</v>
      </c>
      <c r="J3" t="s">
        <v>30</v>
      </c>
      <c r="K3" t="s">
        <v>40</v>
      </c>
      <c r="M3" s="1">
        <v>45901</v>
      </c>
      <c r="N3" s="1">
        <v>45901</v>
      </c>
      <c r="P3">
        <v>8325282</v>
      </c>
      <c r="Q3" t="s">
        <v>32</v>
      </c>
      <c r="R3" t="s">
        <v>41</v>
      </c>
      <c r="S3">
        <v>8192</v>
      </c>
      <c r="T3" t="s">
        <v>34</v>
      </c>
      <c r="U3" t="s">
        <v>35</v>
      </c>
      <c r="V3" t="s">
        <v>36</v>
      </c>
      <c r="W3" s="1">
        <v>45856</v>
      </c>
      <c r="X3">
        <v>2025</v>
      </c>
    </row>
    <row r="4" spans="1:24" x14ac:dyDescent="0.25">
      <c r="A4" s="1">
        <v>45874</v>
      </c>
      <c r="B4" t="s">
        <v>42</v>
      </c>
      <c r="C4" t="s">
        <v>43</v>
      </c>
      <c r="D4">
        <v>199.17</v>
      </c>
      <c r="F4" t="s">
        <v>44</v>
      </c>
      <c r="G4" t="s">
        <v>45</v>
      </c>
      <c r="H4" t="s">
        <v>28</v>
      </c>
      <c r="I4" t="s">
        <v>29</v>
      </c>
      <c r="J4" t="s">
        <v>46</v>
      </c>
      <c r="K4" t="s">
        <v>47</v>
      </c>
      <c r="M4" s="1">
        <v>45870</v>
      </c>
      <c r="N4" s="1">
        <v>45870</v>
      </c>
      <c r="P4">
        <v>18710070</v>
      </c>
      <c r="Q4" t="s">
        <v>32</v>
      </c>
      <c r="R4" t="s">
        <v>48</v>
      </c>
      <c r="S4">
        <v>8192</v>
      </c>
      <c r="T4" t="s">
        <v>34</v>
      </c>
      <c r="U4" t="s">
        <v>35</v>
      </c>
      <c r="V4" t="s">
        <v>36</v>
      </c>
      <c r="W4" s="1">
        <v>45860</v>
      </c>
      <c r="X4">
        <v>2025</v>
      </c>
    </row>
    <row r="5" spans="1:24" x14ac:dyDescent="0.25">
      <c r="A5" s="1">
        <v>45874</v>
      </c>
      <c r="B5" t="s">
        <v>49</v>
      </c>
      <c r="C5" t="s">
        <v>50</v>
      </c>
      <c r="D5">
        <v>182.5</v>
      </c>
      <c r="F5" t="s">
        <v>51</v>
      </c>
      <c r="G5" t="s">
        <v>52</v>
      </c>
      <c r="H5" t="s">
        <v>28</v>
      </c>
      <c r="I5" t="s">
        <v>29</v>
      </c>
      <c r="J5" t="s">
        <v>53</v>
      </c>
      <c r="K5" t="s">
        <v>54</v>
      </c>
      <c r="M5" s="1">
        <v>45870</v>
      </c>
      <c r="N5" s="1">
        <v>45870</v>
      </c>
      <c r="P5">
        <v>8307933</v>
      </c>
      <c r="Q5" t="s">
        <v>32</v>
      </c>
      <c r="R5" t="s">
        <v>55</v>
      </c>
      <c r="S5">
        <v>8192</v>
      </c>
      <c r="T5" t="s">
        <v>34</v>
      </c>
      <c r="U5" t="s">
        <v>35</v>
      </c>
      <c r="V5" t="s">
        <v>36</v>
      </c>
      <c r="W5" s="1">
        <v>45859</v>
      </c>
      <c r="X5">
        <v>2025</v>
      </c>
    </row>
    <row r="6" spans="1:24" x14ac:dyDescent="0.25">
      <c r="A6" s="1">
        <v>45874</v>
      </c>
      <c r="B6" t="s">
        <v>56</v>
      </c>
      <c r="C6" t="s">
        <v>57</v>
      </c>
      <c r="D6">
        <v>182.5</v>
      </c>
      <c r="F6" t="s">
        <v>58</v>
      </c>
      <c r="G6" t="s">
        <v>52</v>
      </c>
      <c r="H6" t="s">
        <v>28</v>
      </c>
      <c r="I6" t="s">
        <v>29</v>
      </c>
      <c r="J6" t="s">
        <v>53</v>
      </c>
      <c r="K6" t="s">
        <v>54</v>
      </c>
      <c r="M6" s="1">
        <v>45870</v>
      </c>
      <c r="N6" s="1">
        <v>45870</v>
      </c>
      <c r="P6">
        <v>8307933</v>
      </c>
      <c r="Q6" t="s">
        <v>32</v>
      </c>
      <c r="R6" t="s">
        <v>55</v>
      </c>
      <c r="S6">
        <v>8192</v>
      </c>
      <c r="T6" t="s">
        <v>34</v>
      </c>
      <c r="U6" t="s">
        <v>35</v>
      </c>
      <c r="V6" t="s">
        <v>36</v>
      </c>
      <c r="W6" s="1">
        <v>45859</v>
      </c>
      <c r="X6">
        <v>2025</v>
      </c>
    </row>
    <row r="7" spans="1:24" x14ac:dyDescent="0.25">
      <c r="A7" s="1">
        <v>45874</v>
      </c>
      <c r="B7" t="s">
        <v>59</v>
      </c>
      <c r="C7" t="s">
        <v>60</v>
      </c>
      <c r="D7">
        <v>2.5</v>
      </c>
      <c r="F7" t="s">
        <v>61</v>
      </c>
      <c r="G7" t="s">
        <v>45</v>
      </c>
      <c r="H7" t="s">
        <v>62</v>
      </c>
      <c r="I7" t="s">
        <v>29</v>
      </c>
      <c r="J7" t="s">
        <v>46</v>
      </c>
      <c r="K7" t="s">
        <v>63</v>
      </c>
      <c r="M7" s="1">
        <v>45839</v>
      </c>
      <c r="N7" s="1">
        <v>45292</v>
      </c>
      <c r="P7">
        <v>17886092</v>
      </c>
      <c r="Q7" t="s">
        <v>32</v>
      </c>
      <c r="R7" t="s">
        <v>64</v>
      </c>
      <c r="S7">
        <v>8192</v>
      </c>
      <c r="T7" t="s">
        <v>65</v>
      </c>
      <c r="U7" t="s">
        <v>35</v>
      </c>
      <c r="V7" t="s">
        <v>36</v>
      </c>
      <c r="W7" s="1">
        <v>45263</v>
      </c>
      <c r="X7">
        <v>2025</v>
      </c>
    </row>
    <row r="8" spans="1:24" x14ac:dyDescent="0.25">
      <c r="A8" s="1">
        <v>45874</v>
      </c>
      <c r="B8" t="s">
        <v>59</v>
      </c>
      <c r="C8" t="s">
        <v>60</v>
      </c>
      <c r="D8">
        <v>2.5</v>
      </c>
      <c r="F8" t="s">
        <v>61</v>
      </c>
      <c r="G8" t="s">
        <v>45</v>
      </c>
      <c r="H8" t="s">
        <v>62</v>
      </c>
      <c r="I8" t="s">
        <v>29</v>
      </c>
      <c r="J8" t="s">
        <v>46</v>
      </c>
      <c r="K8" t="s">
        <v>63</v>
      </c>
      <c r="M8" s="1">
        <v>45748</v>
      </c>
      <c r="N8" s="1">
        <v>45292</v>
      </c>
      <c r="P8">
        <v>17886092</v>
      </c>
      <c r="Q8" t="s">
        <v>32</v>
      </c>
      <c r="R8" t="s">
        <v>64</v>
      </c>
      <c r="S8">
        <v>8192</v>
      </c>
      <c r="T8" t="s">
        <v>65</v>
      </c>
      <c r="U8" t="s">
        <v>35</v>
      </c>
      <c r="V8" t="s">
        <v>36</v>
      </c>
      <c r="W8" s="1">
        <v>45263</v>
      </c>
      <c r="X8">
        <v>2025</v>
      </c>
    </row>
    <row r="9" spans="1:24" x14ac:dyDescent="0.25">
      <c r="A9" s="1">
        <v>45874</v>
      </c>
      <c r="B9" t="s">
        <v>59</v>
      </c>
      <c r="C9" t="s">
        <v>60</v>
      </c>
      <c r="D9">
        <v>2.5</v>
      </c>
      <c r="F9" t="s">
        <v>61</v>
      </c>
      <c r="G9" t="s">
        <v>45</v>
      </c>
      <c r="H9" t="s">
        <v>62</v>
      </c>
      <c r="I9" t="s">
        <v>29</v>
      </c>
      <c r="J9" t="s">
        <v>46</v>
      </c>
      <c r="K9" t="s">
        <v>63</v>
      </c>
      <c r="M9" s="1">
        <v>45658</v>
      </c>
      <c r="N9" s="1">
        <v>45292</v>
      </c>
      <c r="P9">
        <v>17886092</v>
      </c>
      <c r="Q9" t="s">
        <v>32</v>
      </c>
      <c r="R9" t="s">
        <v>64</v>
      </c>
      <c r="S9">
        <v>8192</v>
      </c>
      <c r="T9" t="s">
        <v>65</v>
      </c>
      <c r="U9" t="s">
        <v>35</v>
      </c>
      <c r="V9" t="s">
        <v>36</v>
      </c>
      <c r="W9" s="1">
        <v>45263</v>
      </c>
      <c r="X9">
        <v>2025</v>
      </c>
    </row>
    <row r="10" spans="1:24" x14ac:dyDescent="0.25">
      <c r="A10" s="1">
        <v>45874</v>
      </c>
      <c r="B10" t="s">
        <v>59</v>
      </c>
      <c r="C10" t="s">
        <v>60</v>
      </c>
      <c r="D10">
        <v>2.5</v>
      </c>
      <c r="F10" t="s">
        <v>61</v>
      </c>
      <c r="G10" t="s">
        <v>45</v>
      </c>
      <c r="H10" t="s">
        <v>62</v>
      </c>
      <c r="I10" t="s">
        <v>29</v>
      </c>
      <c r="J10" t="s">
        <v>46</v>
      </c>
      <c r="K10" t="s">
        <v>63</v>
      </c>
      <c r="M10" s="1">
        <v>45809</v>
      </c>
      <c r="N10" s="1">
        <v>45292</v>
      </c>
      <c r="P10">
        <v>17886092</v>
      </c>
      <c r="Q10" t="s">
        <v>32</v>
      </c>
      <c r="R10" t="s">
        <v>64</v>
      </c>
      <c r="S10">
        <v>8192</v>
      </c>
      <c r="T10" t="s">
        <v>65</v>
      </c>
      <c r="U10" t="s">
        <v>35</v>
      </c>
      <c r="V10" t="s">
        <v>36</v>
      </c>
      <c r="W10" s="1">
        <v>45263</v>
      </c>
      <c r="X10">
        <v>2025</v>
      </c>
    </row>
    <row r="11" spans="1:24" x14ac:dyDescent="0.25">
      <c r="A11" s="1">
        <v>45874</v>
      </c>
      <c r="B11" t="s">
        <v>59</v>
      </c>
      <c r="C11" t="s">
        <v>60</v>
      </c>
      <c r="D11">
        <v>2.5</v>
      </c>
      <c r="F11" t="s">
        <v>61</v>
      </c>
      <c r="G11" t="s">
        <v>45</v>
      </c>
      <c r="H11" t="s">
        <v>62</v>
      </c>
      <c r="I11" t="s">
        <v>29</v>
      </c>
      <c r="J11" t="s">
        <v>46</v>
      </c>
      <c r="K11" t="s">
        <v>63</v>
      </c>
      <c r="M11" s="1">
        <v>45778</v>
      </c>
      <c r="N11" s="1">
        <v>45292</v>
      </c>
      <c r="P11">
        <v>17886092</v>
      </c>
      <c r="Q11" t="s">
        <v>32</v>
      </c>
      <c r="R11" t="s">
        <v>64</v>
      </c>
      <c r="S11">
        <v>8192</v>
      </c>
      <c r="T11" t="s">
        <v>65</v>
      </c>
      <c r="U11" t="s">
        <v>35</v>
      </c>
      <c r="V11" t="s">
        <v>36</v>
      </c>
      <c r="W11" s="1">
        <v>45263</v>
      </c>
      <c r="X11">
        <v>2025</v>
      </c>
    </row>
    <row r="12" spans="1:24" x14ac:dyDescent="0.25">
      <c r="A12" s="1">
        <v>45874</v>
      </c>
      <c r="B12" t="s">
        <v>59</v>
      </c>
      <c r="C12" t="s">
        <v>60</v>
      </c>
      <c r="D12">
        <v>2.5</v>
      </c>
      <c r="F12" t="s">
        <v>61</v>
      </c>
      <c r="G12" t="s">
        <v>45</v>
      </c>
      <c r="H12" t="s">
        <v>62</v>
      </c>
      <c r="I12" t="s">
        <v>29</v>
      </c>
      <c r="J12" t="s">
        <v>46</v>
      </c>
      <c r="K12" t="s">
        <v>63</v>
      </c>
      <c r="M12" s="1">
        <v>45689</v>
      </c>
      <c r="N12" s="1">
        <v>45292</v>
      </c>
      <c r="P12">
        <v>17886092</v>
      </c>
      <c r="Q12" t="s">
        <v>32</v>
      </c>
      <c r="R12" t="s">
        <v>64</v>
      </c>
      <c r="S12">
        <v>8192</v>
      </c>
      <c r="T12" t="s">
        <v>65</v>
      </c>
      <c r="U12" t="s">
        <v>35</v>
      </c>
      <c r="V12" t="s">
        <v>36</v>
      </c>
      <c r="W12" s="1">
        <v>45263</v>
      </c>
      <c r="X12">
        <v>2025</v>
      </c>
    </row>
    <row r="13" spans="1:24" x14ac:dyDescent="0.25">
      <c r="A13" s="1">
        <v>45874</v>
      </c>
      <c r="B13" t="s">
        <v>59</v>
      </c>
      <c r="C13" t="s">
        <v>60</v>
      </c>
      <c r="D13">
        <v>2.5</v>
      </c>
      <c r="F13" t="s">
        <v>61</v>
      </c>
      <c r="G13" t="s">
        <v>45</v>
      </c>
      <c r="H13" t="s">
        <v>62</v>
      </c>
      <c r="I13" t="s">
        <v>29</v>
      </c>
      <c r="J13" t="s">
        <v>46</v>
      </c>
      <c r="K13" t="s">
        <v>63</v>
      </c>
      <c r="M13" s="1">
        <v>45717</v>
      </c>
      <c r="N13" s="1">
        <v>45292</v>
      </c>
      <c r="P13">
        <v>17886092</v>
      </c>
      <c r="Q13" t="s">
        <v>32</v>
      </c>
      <c r="R13" t="s">
        <v>64</v>
      </c>
      <c r="S13">
        <v>8192</v>
      </c>
      <c r="T13" t="s">
        <v>65</v>
      </c>
      <c r="U13" t="s">
        <v>35</v>
      </c>
      <c r="V13" t="s">
        <v>36</v>
      </c>
      <c r="W13" s="1">
        <v>45263</v>
      </c>
      <c r="X13">
        <v>2025</v>
      </c>
    </row>
    <row r="14" spans="1:24" x14ac:dyDescent="0.25">
      <c r="A14" s="1">
        <v>45874</v>
      </c>
      <c r="B14" t="s">
        <v>66</v>
      </c>
      <c r="C14" t="s">
        <v>67</v>
      </c>
      <c r="D14">
        <v>199.17</v>
      </c>
      <c r="F14" t="s">
        <v>68</v>
      </c>
      <c r="G14" t="s">
        <v>45</v>
      </c>
      <c r="H14" t="s">
        <v>28</v>
      </c>
      <c r="I14" t="s">
        <v>29</v>
      </c>
      <c r="J14" t="s">
        <v>46</v>
      </c>
      <c r="K14" t="s">
        <v>69</v>
      </c>
      <c r="M14" s="1">
        <v>45870</v>
      </c>
      <c r="N14" s="1">
        <v>45870</v>
      </c>
      <c r="P14">
        <v>17528908</v>
      </c>
      <c r="Q14" t="s">
        <v>32</v>
      </c>
      <c r="R14" t="s">
        <v>70</v>
      </c>
      <c r="S14">
        <v>8192</v>
      </c>
      <c r="T14" t="s">
        <v>34</v>
      </c>
      <c r="U14" t="s">
        <v>35</v>
      </c>
      <c r="V14" t="s">
        <v>36</v>
      </c>
      <c r="W14" s="1">
        <v>45860</v>
      </c>
      <c r="X14">
        <v>2025</v>
      </c>
    </row>
    <row r="15" spans="1:24" x14ac:dyDescent="0.25">
      <c r="A15" s="1">
        <v>45874</v>
      </c>
      <c r="B15" t="s">
        <v>71</v>
      </c>
      <c r="C15" t="s">
        <v>72</v>
      </c>
      <c r="D15">
        <v>146</v>
      </c>
      <c r="F15" t="s">
        <v>73</v>
      </c>
      <c r="G15" t="s">
        <v>74</v>
      </c>
      <c r="H15" t="s">
        <v>28</v>
      </c>
      <c r="I15" t="s">
        <v>29</v>
      </c>
      <c r="J15" t="s">
        <v>30</v>
      </c>
      <c r="K15" t="s">
        <v>75</v>
      </c>
      <c r="M15" s="1">
        <v>45901</v>
      </c>
      <c r="N15" s="1">
        <v>45901</v>
      </c>
      <c r="P15">
        <v>8814784</v>
      </c>
      <c r="Q15" t="s">
        <v>32</v>
      </c>
      <c r="R15" t="s">
        <v>76</v>
      </c>
      <c r="S15">
        <v>8192</v>
      </c>
      <c r="T15" t="s">
        <v>34</v>
      </c>
      <c r="U15" t="s">
        <v>35</v>
      </c>
      <c r="V15" t="s">
        <v>36</v>
      </c>
      <c r="W15" s="1">
        <v>45854</v>
      </c>
      <c r="X15">
        <v>2025</v>
      </c>
    </row>
    <row r="16" spans="1:24" x14ac:dyDescent="0.25">
      <c r="A16" s="1">
        <v>45874</v>
      </c>
      <c r="B16" t="s">
        <v>77</v>
      </c>
      <c r="C16" t="s">
        <v>78</v>
      </c>
      <c r="D16">
        <v>199.17</v>
      </c>
      <c r="F16" t="s">
        <v>79</v>
      </c>
      <c r="G16" t="s">
        <v>45</v>
      </c>
      <c r="H16" t="s">
        <v>28</v>
      </c>
      <c r="I16" t="s">
        <v>80</v>
      </c>
      <c r="J16" t="s">
        <v>46</v>
      </c>
      <c r="K16" t="s">
        <v>81</v>
      </c>
      <c r="M16" s="1">
        <v>45870</v>
      </c>
      <c r="N16" s="1">
        <v>45870</v>
      </c>
      <c r="P16">
        <v>17528908</v>
      </c>
      <c r="Q16" t="s">
        <v>32</v>
      </c>
      <c r="R16" t="s">
        <v>70</v>
      </c>
      <c r="S16">
        <v>8192</v>
      </c>
      <c r="T16" t="s">
        <v>34</v>
      </c>
      <c r="U16" t="s">
        <v>35</v>
      </c>
      <c r="V16" t="s">
        <v>36</v>
      </c>
      <c r="W16" s="1">
        <v>45852</v>
      </c>
      <c r="X16">
        <v>2025</v>
      </c>
    </row>
    <row r="17" spans="1:24" x14ac:dyDescent="0.25">
      <c r="A17" s="1">
        <v>45874</v>
      </c>
      <c r="B17" t="s">
        <v>82</v>
      </c>
      <c r="C17" t="s">
        <v>83</v>
      </c>
      <c r="D17">
        <v>199.17</v>
      </c>
      <c r="F17" t="s">
        <v>84</v>
      </c>
      <c r="G17" t="s">
        <v>45</v>
      </c>
      <c r="H17" t="s">
        <v>28</v>
      </c>
      <c r="I17" t="s">
        <v>29</v>
      </c>
      <c r="J17" t="s">
        <v>46</v>
      </c>
      <c r="K17" t="s">
        <v>85</v>
      </c>
      <c r="M17" s="1">
        <v>45870</v>
      </c>
      <c r="N17" s="1">
        <v>45870</v>
      </c>
      <c r="P17">
        <v>15950276</v>
      </c>
      <c r="Q17" t="s">
        <v>32</v>
      </c>
      <c r="R17" t="s">
        <v>86</v>
      </c>
      <c r="S17">
        <v>8192</v>
      </c>
      <c r="T17" t="s">
        <v>34</v>
      </c>
      <c r="U17" t="s">
        <v>35</v>
      </c>
      <c r="V17" t="s">
        <v>36</v>
      </c>
      <c r="W17" s="1">
        <v>45860</v>
      </c>
      <c r="X17">
        <v>2025</v>
      </c>
    </row>
    <row r="18" spans="1:24" x14ac:dyDescent="0.25">
      <c r="A18" s="1">
        <v>45874</v>
      </c>
      <c r="B18" t="s">
        <v>87</v>
      </c>
      <c r="C18" t="s">
        <v>88</v>
      </c>
      <c r="D18">
        <v>182.5</v>
      </c>
      <c r="F18" t="s">
        <v>89</v>
      </c>
      <c r="G18" t="s">
        <v>90</v>
      </c>
      <c r="H18" t="s">
        <v>28</v>
      </c>
      <c r="I18" t="s">
        <v>29</v>
      </c>
      <c r="J18" t="s">
        <v>53</v>
      </c>
      <c r="K18" t="s">
        <v>91</v>
      </c>
      <c r="M18" s="1">
        <v>45870</v>
      </c>
      <c r="N18" s="1">
        <v>45870</v>
      </c>
      <c r="P18">
        <v>8307933</v>
      </c>
      <c r="Q18" t="s">
        <v>32</v>
      </c>
      <c r="R18" t="s">
        <v>55</v>
      </c>
      <c r="S18">
        <v>8192</v>
      </c>
      <c r="T18" t="s">
        <v>34</v>
      </c>
      <c r="U18" t="s">
        <v>35</v>
      </c>
      <c r="V18" t="s">
        <v>36</v>
      </c>
      <c r="W18" s="1">
        <v>45855</v>
      </c>
      <c r="X18">
        <v>2025</v>
      </c>
    </row>
    <row r="19" spans="1:24" x14ac:dyDescent="0.25">
      <c r="A19" s="1">
        <v>45874</v>
      </c>
      <c r="B19" t="s">
        <v>92</v>
      </c>
      <c r="C19" t="s">
        <v>93</v>
      </c>
      <c r="D19">
        <v>218.75</v>
      </c>
      <c r="F19" t="s">
        <v>94</v>
      </c>
      <c r="G19" t="s">
        <v>95</v>
      </c>
      <c r="H19" t="s">
        <v>28</v>
      </c>
      <c r="I19" t="s">
        <v>29</v>
      </c>
      <c r="J19" t="s">
        <v>96</v>
      </c>
      <c r="K19" t="s">
        <v>97</v>
      </c>
      <c r="M19" s="1">
        <v>45870</v>
      </c>
      <c r="N19" s="1">
        <v>45870</v>
      </c>
      <c r="P19">
        <v>16378851</v>
      </c>
      <c r="Q19" t="s">
        <v>32</v>
      </c>
      <c r="R19" t="s">
        <v>98</v>
      </c>
      <c r="S19">
        <v>8192</v>
      </c>
      <c r="T19" t="s">
        <v>34</v>
      </c>
      <c r="U19" t="s">
        <v>35</v>
      </c>
      <c r="V19" t="s">
        <v>36</v>
      </c>
      <c r="W19" s="1">
        <v>45854</v>
      </c>
      <c r="X19">
        <v>2025</v>
      </c>
    </row>
    <row r="20" spans="1:24" x14ac:dyDescent="0.25">
      <c r="A20" s="1">
        <v>45874</v>
      </c>
      <c r="B20" t="s">
        <v>99</v>
      </c>
      <c r="C20" t="s">
        <v>100</v>
      </c>
      <c r="D20">
        <v>255.5</v>
      </c>
      <c r="F20" t="s">
        <v>101</v>
      </c>
      <c r="G20" t="s">
        <v>102</v>
      </c>
      <c r="H20" t="s">
        <v>103</v>
      </c>
      <c r="I20" t="s">
        <v>29</v>
      </c>
      <c r="J20" t="s">
        <v>104</v>
      </c>
      <c r="K20" t="s">
        <v>105</v>
      </c>
      <c r="M20" s="1">
        <v>45658</v>
      </c>
      <c r="N20" s="1">
        <v>45658</v>
      </c>
      <c r="O20" s="1">
        <v>45869</v>
      </c>
      <c r="P20">
        <v>7470776</v>
      </c>
      <c r="Q20" t="s">
        <v>32</v>
      </c>
      <c r="R20" t="s">
        <v>106</v>
      </c>
      <c r="S20">
        <v>8192</v>
      </c>
      <c r="T20" t="s">
        <v>34</v>
      </c>
      <c r="U20" t="s">
        <v>35</v>
      </c>
      <c r="V20" t="s">
        <v>36</v>
      </c>
      <c r="W20" s="1">
        <v>45608</v>
      </c>
      <c r="X20">
        <v>2025</v>
      </c>
    </row>
    <row r="21" spans="1:24" x14ac:dyDescent="0.25">
      <c r="A21" s="1">
        <v>45874</v>
      </c>
      <c r="B21" t="s">
        <v>99</v>
      </c>
      <c r="C21" t="s">
        <v>100</v>
      </c>
      <c r="D21">
        <v>-438</v>
      </c>
      <c r="F21" t="s">
        <v>101</v>
      </c>
      <c r="G21" t="s">
        <v>102</v>
      </c>
      <c r="H21" t="s">
        <v>107</v>
      </c>
      <c r="I21" t="s">
        <v>29</v>
      </c>
      <c r="J21" t="s">
        <v>104</v>
      </c>
      <c r="K21" t="s">
        <v>105</v>
      </c>
      <c r="M21" s="1">
        <v>45658</v>
      </c>
      <c r="N21" s="1">
        <v>45658</v>
      </c>
      <c r="O21" s="1">
        <v>45869</v>
      </c>
      <c r="P21">
        <v>7470776</v>
      </c>
      <c r="Q21" t="s">
        <v>32</v>
      </c>
      <c r="R21" t="s">
        <v>106</v>
      </c>
      <c r="S21">
        <v>8192</v>
      </c>
      <c r="T21" t="s">
        <v>34</v>
      </c>
      <c r="U21" t="s">
        <v>35</v>
      </c>
      <c r="V21" t="s">
        <v>36</v>
      </c>
      <c r="W21" s="1">
        <v>45608</v>
      </c>
      <c r="X21">
        <v>2025</v>
      </c>
    </row>
    <row r="24" spans="1:24" x14ac:dyDescent="0.25">
      <c r="A24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6A901-F055-4F16-ADA9-4A6ACEB9FC8B}">
  <dimension ref="A1:Q34"/>
  <sheetViews>
    <sheetView topLeftCell="H1" workbookViewId="0">
      <selection activeCell="K18" sqref="K18"/>
    </sheetView>
  </sheetViews>
  <sheetFormatPr defaultRowHeight="15" x14ac:dyDescent="0.25"/>
  <cols>
    <col min="1" max="1" width="17.28515625" style="2" bestFit="1" customWidth="1"/>
    <col min="2" max="2" width="17.28515625" style="2" customWidth="1"/>
    <col min="3" max="3" width="23.42578125" style="2" bestFit="1" customWidth="1"/>
    <col min="4" max="5" width="23.42578125" style="2" customWidth="1"/>
    <col min="6" max="6" width="13.7109375" style="2" bestFit="1" customWidth="1"/>
    <col min="7" max="7" width="17.28515625" style="2" bestFit="1" customWidth="1"/>
    <col min="8" max="8" width="7.85546875" style="2" bestFit="1" customWidth="1"/>
    <col min="9" max="9" width="13.5703125" style="2" bestFit="1" customWidth="1"/>
    <col min="10" max="10" width="13.5703125" style="2" customWidth="1"/>
    <col min="11" max="11" width="18" style="2" bestFit="1" customWidth="1"/>
    <col min="12" max="12" width="18.7109375" style="2" bestFit="1" customWidth="1"/>
    <col min="13" max="13" width="22.140625" style="2" bestFit="1" customWidth="1"/>
    <col min="14" max="14" width="14.140625" style="2" bestFit="1" customWidth="1"/>
    <col min="15" max="15" width="14.140625" style="2" customWidth="1"/>
    <col min="16" max="16" width="21.140625" style="2" bestFit="1" customWidth="1"/>
    <col min="17" max="16384" width="9.140625" style="2"/>
  </cols>
  <sheetData>
    <row r="1" spans="1:17" x14ac:dyDescent="0.25">
      <c r="A1" s="2" t="s">
        <v>1</v>
      </c>
      <c r="C1" s="2" t="s">
        <v>4</v>
      </c>
      <c r="F1" s="2" t="s">
        <v>5</v>
      </c>
      <c r="G1" s="2" t="s">
        <v>6</v>
      </c>
      <c r="H1" s="2" t="s">
        <v>7</v>
      </c>
      <c r="I1" s="2" t="s">
        <v>12</v>
      </c>
      <c r="K1" s="2" t="s">
        <v>14</v>
      </c>
      <c r="L1" s="2" t="s">
        <v>15</v>
      </c>
      <c r="M1" s="2" t="s">
        <v>16</v>
      </c>
      <c r="N1" s="2" t="s">
        <v>20</v>
      </c>
    </row>
    <row r="2" spans="1:17" x14ac:dyDescent="0.25">
      <c r="A2" s="2" t="s">
        <v>99</v>
      </c>
      <c r="B2" s="2" t="str">
        <f>CONCATENATE(A2,8)</f>
        <v>8ET1W48WC048</v>
      </c>
      <c r="C2" s="2" t="s">
        <v>121</v>
      </c>
      <c r="D2" s="2" t="s">
        <v>122</v>
      </c>
      <c r="E2" s="2" t="str">
        <f>CONCATENATE(D2, " ",C2)</f>
        <v>BARRY WALTERS</v>
      </c>
      <c r="F2" s="2" t="s">
        <v>102</v>
      </c>
      <c r="G2" s="2" t="s">
        <v>107</v>
      </c>
      <c r="H2" s="2" t="s">
        <v>29</v>
      </c>
      <c r="I2" s="3">
        <v>45658</v>
      </c>
      <c r="J2" s="3">
        <v>45870</v>
      </c>
      <c r="K2" s="4">
        <v>7470776</v>
      </c>
      <c r="L2" s="2" t="s">
        <v>32</v>
      </c>
      <c r="M2" s="2" t="s">
        <v>106</v>
      </c>
      <c r="N2" s="2">
        <v>-438</v>
      </c>
      <c r="O2" s="2">
        <v>-313</v>
      </c>
      <c r="P2" s="2" t="s">
        <v>110</v>
      </c>
      <c r="Q2" s="2" t="s">
        <v>113</v>
      </c>
    </row>
    <row r="3" spans="1:17" x14ac:dyDescent="0.25">
      <c r="A3" s="2" t="s">
        <v>99</v>
      </c>
      <c r="B3" s="2" t="str">
        <f t="shared" ref="B3:B14" si="0">CONCATENATE(A3,8)</f>
        <v>8ET1W48WC048</v>
      </c>
      <c r="C3" s="2" t="s">
        <v>121</v>
      </c>
      <c r="D3" s="2" t="s">
        <v>122</v>
      </c>
      <c r="E3" s="2" t="str">
        <f t="shared" ref="E3:E34" si="1">CONCATENATE(D3, " ",C3)</f>
        <v>BARRY WALTERS</v>
      </c>
      <c r="F3" s="2" t="s">
        <v>102</v>
      </c>
      <c r="G3" s="2" t="s">
        <v>103</v>
      </c>
      <c r="H3" s="2" t="s">
        <v>29</v>
      </c>
      <c r="I3" s="3">
        <v>45658</v>
      </c>
      <c r="J3" s="3">
        <v>45870</v>
      </c>
      <c r="K3" s="4">
        <v>7470776</v>
      </c>
      <c r="L3" s="2" t="s">
        <v>32</v>
      </c>
      <c r="M3" s="2" t="s">
        <v>106</v>
      </c>
      <c r="N3" s="2">
        <v>255.5</v>
      </c>
      <c r="O3" s="5">
        <f>313/12*7</f>
        <v>182.58333333333331</v>
      </c>
      <c r="P3" s="2" t="s">
        <v>110</v>
      </c>
      <c r="Q3" s="2" t="s">
        <v>118</v>
      </c>
    </row>
    <row r="4" spans="1:17" x14ac:dyDescent="0.25">
      <c r="A4" s="2" t="s">
        <v>92</v>
      </c>
      <c r="B4" s="2" t="str">
        <f t="shared" si="0"/>
        <v>7DR9WP2MF368</v>
      </c>
      <c r="C4" s="2" t="s">
        <v>123</v>
      </c>
      <c r="D4" s="2" t="s">
        <v>124</v>
      </c>
      <c r="E4" s="2" t="str">
        <f t="shared" si="1"/>
        <v>DEBORAH STUDEBAKER</v>
      </c>
      <c r="F4" s="2" t="s">
        <v>95</v>
      </c>
      <c r="G4" s="2" t="s">
        <v>28</v>
      </c>
      <c r="H4" s="2" t="s">
        <v>29</v>
      </c>
      <c r="I4" s="3">
        <v>45870</v>
      </c>
      <c r="J4" s="3">
        <v>45901</v>
      </c>
      <c r="K4" s="4">
        <v>1706194</v>
      </c>
      <c r="L4" s="2" t="s">
        <v>32</v>
      </c>
      <c r="M4" s="2" t="s">
        <v>98</v>
      </c>
      <c r="N4" s="2">
        <v>218.75</v>
      </c>
      <c r="O4" s="2">
        <f>390/12*5</f>
        <v>162.5</v>
      </c>
      <c r="P4" s="2" t="s">
        <v>112</v>
      </c>
      <c r="Q4" s="2" t="s">
        <v>117</v>
      </c>
    </row>
    <row r="5" spans="1:17" x14ac:dyDescent="0.25">
      <c r="A5" s="2" t="s">
        <v>66</v>
      </c>
      <c r="B5" s="2" t="str">
        <f t="shared" si="0"/>
        <v>2R79EE8AJ238</v>
      </c>
      <c r="C5" s="2" t="s">
        <v>125</v>
      </c>
      <c r="D5" s="2" t="s">
        <v>126</v>
      </c>
      <c r="E5" s="2" t="str">
        <f t="shared" si="1"/>
        <v>JOHN MARTIN</v>
      </c>
      <c r="F5" s="2" t="s">
        <v>45</v>
      </c>
      <c r="G5" s="2" t="s">
        <v>28</v>
      </c>
      <c r="H5" s="2" t="s">
        <v>29</v>
      </c>
      <c r="I5" s="3">
        <v>45870</v>
      </c>
      <c r="J5" s="3">
        <v>45901</v>
      </c>
      <c r="K5" s="4" t="s">
        <v>120</v>
      </c>
      <c r="L5" s="2" t="s">
        <v>32</v>
      </c>
      <c r="M5" s="2" t="s">
        <v>70</v>
      </c>
      <c r="N5" s="2">
        <v>199.17</v>
      </c>
      <c r="O5" s="5">
        <f>353/12*5</f>
        <v>147.08333333333334</v>
      </c>
      <c r="P5" s="2" t="s">
        <v>111</v>
      </c>
      <c r="Q5" s="2" t="s">
        <v>116</v>
      </c>
    </row>
    <row r="6" spans="1:17" x14ac:dyDescent="0.25">
      <c r="A6" s="2" t="s">
        <v>77</v>
      </c>
      <c r="B6" s="2" t="str">
        <f t="shared" si="0"/>
        <v>6KX3HM6HF918</v>
      </c>
      <c r="C6" s="2" t="s">
        <v>127</v>
      </c>
      <c r="D6" s="2" t="s">
        <v>128</v>
      </c>
      <c r="E6" s="2" t="str">
        <f t="shared" si="1"/>
        <v>FRANK MIHELIC</v>
      </c>
      <c r="F6" s="2" t="s">
        <v>45</v>
      </c>
      <c r="G6" s="2" t="s">
        <v>28</v>
      </c>
      <c r="H6" s="2" t="s">
        <v>80</v>
      </c>
      <c r="I6" s="3">
        <v>45870</v>
      </c>
      <c r="J6" s="3">
        <v>45901</v>
      </c>
      <c r="K6" s="4" t="s">
        <v>120</v>
      </c>
      <c r="L6" s="2" t="s">
        <v>32</v>
      </c>
      <c r="M6" s="2" t="s">
        <v>70</v>
      </c>
      <c r="N6" s="2">
        <v>199.17</v>
      </c>
      <c r="O6" s="5">
        <f>353/12*5</f>
        <v>147.08333333333334</v>
      </c>
      <c r="P6" s="2" t="s">
        <v>111</v>
      </c>
      <c r="Q6" s="2" t="s">
        <v>116</v>
      </c>
    </row>
    <row r="7" spans="1:17" x14ac:dyDescent="0.25">
      <c r="A7" s="2" t="s">
        <v>71</v>
      </c>
      <c r="B7" s="2" t="str">
        <f t="shared" si="0"/>
        <v>5Y17EU3PR738</v>
      </c>
      <c r="C7" s="2" t="s">
        <v>129</v>
      </c>
      <c r="D7" s="2" t="s">
        <v>130</v>
      </c>
      <c r="E7" s="2" t="str">
        <f t="shared" si="1"/>
        <v>NANCY MASCHMEYER</v>
      </c>
      <c r="F7" s="2" t="s">
        <v>74</v>
      </c>
      <c r="G7" s="2" t="s">
        <v>28</v>
      </c>
      <c r="H7" s="2" t="s">
        <v>29</v>
      </c>
      <c r="I7" s="3">
        <v>45901</v>
      </c>
      <c r="J7" s="3">
        <v>45931</v>
      </c>
      <c r="K7" s="4">
        <v>8814784</v>
      </c>
      <c r="L7" s="2" t="s">
        <v>32</v>
      </c>
      <c r="M7" s="2" t="s">
        <v>76</v>
      </c>
      <c r="N7" s="2">
        <v>146</v>
      </c>
      <c r="O7" s="5">
        <f>313/12*4</f>
        <v>104.33333333333333</v>
      </c>
      <c r="P7" s="2" t="s">
        <v>110</v>
      </c>
      <c r="Q7" s="2" t="s">
        <v>114</v>
      </c>
    </row>
    <row r="8" spans="1:17" x14ac:dyDescent="0.25">
      <c r="A8" s="2" t="s">
        <v>42</v>
      </c>
      <c r="B8" s="2" t="str">
        <f t="shared" si="0"/>
        <v>1T02KU7XA008</v>
      </c>
      <c r="C8" s="2" t="s">
        <v>131</v>
      </c>
      <c r="D8" s="2" t="s">
        <v>132</v>
      </c>
      <c r="E8" s="2" t="str">
        <f t="shared" si="1"/>
        <v>BARBARA DAWSON</v>
      </c>
      <c r="F8" s="2" t="s">
        <v>45</v>
      </c>
      <c r="G8" s="2" t="s">
        <v>28</v>
      </c>
      <c r="H8" s="2" t="s">
        <v>29</v>
      </c>
      <c r="I8" s="3">
        <v>45870</v>
      </c>
      <c r="J8" s="3">
        <v>45901</v>
      </c>
      <c r="K8" s="4">
        <v>18710070</v>
      </c>
      <c r="L8" s="2" t="s">
        <v>32</v>
      </c>
      <c r="M8" s="2" t="s">
        <v>48</v>
      </c>
      <c r="N8" s="2">
        <v>199.17</v>
      </c>
      <c r="O8" s="5">
        <f>353/12*5</f>
        <v>147.08333333333334</v>
      </c>
      <c r="P8" s="2" t="s">
        <v>111</v>
      </c>
      <c r="Q8" s="2" t="s">
        <v>116</v>
      </c>
    </row>
    <row r="9" spans="1:17" x14ac:dyDescent="0.25">
      <c r="A9" s="2" t="s">
        <v>24</v>
      </c>
      <c r="B9" s="2" t="str">
        <f t="shared" si="0"/>
        <v>6VE4UE1UP638</v>
      </c>
      <c r="C9" s="2" t="s">
        <v>133</v>
      </c>
      <c r="D9" s="2" t="s">
        <v>134</v>
      </c>
      <c r="E9" s="2" t="str">
        <f t="shared" si="1"/>
        <v>DIANNE BALOUGH</v>
      </c>
      <c r="F9" s="2" t="s">
        <v>27</v>
      </c>
      <c r="G9" s="2" t="s">
        <v>28</v>
      </c>
      <c r="H9" s="2" t="s">
        <v>29</v>
      </c>
      <c r="I9" s="3">
        <v>45870</v>
      </c>
      <c r="J9" s="3">
        <v>45901</v>
      </c>
      <c r="K9" s="4">
        <v>20490188</v>
      </c>
      <c r="L9" s="2" t="s">
        <v>32</v>
      </c>
      <c r="M9" s="2" t="s">
        <v>33</v>
      </c>
      <c r="N9" s="2">
        <v>182.5</v>
      </c>
      <c r="O9" s="5">
        <f>313/12*5</f>
        <v>130.41666666666666</v>
      </c>
      <c r="P9" s="2" t="s">
        <v>110</v>
      </c>
      <c r="Q9" s="2" t="s">
        <v>115</v>
      </c>
    </row>
    <row r="10" spans="1:17" x14ac:dyDescent="0.25">
      <c r="A10" s="2" t="s">
        <v>82</v>
      </c>
      <c r="B10" s="2" t="str">
        <f t="shared" si="0"/>
        <v>1FE9VA6EP238</v>
      </c>
      <c r="C10" s="2" t="s">
        <v>135</v>
      </c>
      <c r="D10" s="2" t="s">
        <v>136</v>
      </c>
      <c r="E10" s="2" t="str">
        <f t="shared" si="1"/>
        <v>DIXIE MORLEY</v>
      </c>
      <c r="F10" s="2" t="s">
        <v>45</v>
      </c>
      <c r="G10" s="2" t="s">
        <v>28</v>
      </c>
      <c r="H10" s="2" t="s">
        <v>29</v>
      </c>
      <c r="I10" s="3">
        <v>45870</v>
      </c>
      <c r="J10" s="3">
        <v>45901</v>
      </c>
      <c r="K10" s="4">
        <v>15950276</v>
      </c>
      <c r="L10" s="2" t="s">
        <v>32</v>
      </c>
      <c r="M10" s="2" t="s">
        <v>86</v>
      </c>
      <c r="N10" s="2">
        <v>199.17</v>
      </c>
      <c r="O10" s="5">
        <f>353/12*5</f>
        <v>147.08333333333334</v>
      </c>
      <c r="P10" s="2" t="s">
        <v>111</v>
      </c>
      <c r="Q10" s="2" t="s">
        <v>116</v>
      </c>
    </row>
    <row r="11" spans="1:17" x14ac:dyDescent="0.25">
      <c r="A11" s="2" t="s">
        <v>49</v>
      </c>
      <c r="B11" s="2" t="str">
        <f t="shared" si="0"/>
        <v>6WG0NV5YF188</v>
      </c>
      <c r="C11" s="2" t="s">
        <v>137</v>
      </c>
      <c r="D11" s="2" t="s">
        <v>138</v>
      </c>
      <c r="E11" s="2" t="str">
        <f t="shared" si="1"/>
        <v>KATHERINE FOLTZ</v>
      </c>
      <c r="F11" s="2" t="s">
        <v>52</v>
      </c>
      <c r="G11" s="2" t="s">
        <v>28</v>
      </c>
      <c r="H11" s="2" t="s">
        <v>29</v>
      </c>
      <c r="I11" s="3">
        <v>45870</v>
      </c>
      <c r="J11" s="3">
        <v>45901</v>
      </c>
      <c r="K11" s="4">
        <v>8307933</v>
      </c>
      <c r="L11" s="2" t="s">
        <v>32</v>
      </c>
      <c r="M11" s="2" t="s">
        <v>55</v>
      </c>
      <c r="N11" s="2">
        <v>182.5</v>
      </c>
      <c r="O11" s="5">
        <f>313/12*5</f>
        <v>130.41666666666666</v>
      </c>
      <c r="P11" s="2" t="s">
        <v>110</v>
      </c>
      <c r="Q11" s="2" t="s">
        <v>115</v>
      </c>
    </row>
    <row r="12" spans="1:17" x14ac:dyDescent="0.25">
      <c r="A12" s="2" t="s">
        <v>56</v>
      </c>
      <c r="B12" s="2" t="str">
        <f t="shared" si="0"/>
        <v>7X76D87NU618</v>
      </c>
      <c r="C12" s="2" t="s">
        <v>137</v>
      </c>
      <c r="D12" s="2" t="s">
        <v>139</v>
      </c>
      <c r="E12" s="2" t="str">
        <f t="shared" si="1"/>
        <v>JIM FOLTZ</v>
      </c>
      <c r="F12" s="2" t="s">
        <v>52</v>
      </c>
      <c r="G12" s="2" t="s">
        <v>28</v>
      </c>
      <c r="H12" s="2" t="s">
        <v>29</v>
      </c>
      <c r="I12" s="3">
        <v>45870</v>
      </c>
      <c r="J12" s="3">
        <v>45901</v>
      </c>
      <c r="K12" s="4">
        <v>8307933</v>
      </c>
      <c r="L12" s="2" t="s">
        <v>32</v>
      </c>
      <c r="M12" s="2" t="s">
        <v>55</v>
      </c>
      <c r="N12" s="2">
        <v>182.5</v>
      </c>
      <c r="O12" s="5">
        <f>313/12*5</f>
        <v>130.41666666666666</v>
      </c>
      <c r="P12" s="2" t="s">
        <v>110</v>
      </c>
      <c r="Q12" s="2" t="s">
        <v>115</v>
      </c>
    </row>
    <row r="13" spans="1:17" x14ac:dyDescent="0.25">
      <c r="A13" s="2" t="s">
        <v>87</v>
      </c>
      <c r="B13" s="2" t="str">
        <f t="shared" si="0"/>
        <v>6FV6YC3XE488</v>
      </c>
      <c r="C13" s="2" t="s">
        <v>140</v>
      </c>
      <c r="D13" s="2" t="s">
        <v>141</v>
      </c>
      <c r="E13" s="2" t="str">
        <f t="shared" si="1"/>
        <v>GINGER PHILLIPS</v>
      </c>
      <c r="F13" s="2" t="s">
        <v>90</v>
      </c>
      <c r="G13" s="2" t="s">
        <v>28</v>
      </c>
      <c r="H13" s="2" t="s">
        <v>29</v>
      </c>
      <c r="I13" s="3">
        <v>45870</v>
      </c>
      <c r="J13" s="3">
        <v>45901</v>
      </c>
      <c r="K13" s="4">
        <v>8307933</v>
      </c>
      <c r="L13" s="2" t="s">
        <v>32</v>
      </c>
      <c r="M13" s="2" t="s">
        <v>55</v>
      </c>
      <c r="N13" s="2">
        <v>182.5</v>
      </c>
      <c r="O13" s="5">
        <f>313/12*5</f>
        <v>130.41666666666666</v>
      </c>
      <c r="P13" s="2" t="s">
        <v>110</v>
      </c>
      <c r="Q13" s="2" t="s">
        <v>115</v>
      </c>
    </row>
    <row r="14" spans="1:17" x14ac:dyDescent="0.25">
      <c r="A14" s="2" t="s">
        <v>37</v>
      </c>
      <c r="B14" s="2" t="str">
        <f t="shared" si="0"/>
        <v>3H39T83UW388</v>
      </c>
      <c r="C14" s="2" t="s">
        <v>142</v>
      </c>
      <c r="D14" s="2" t="s">
        <v>143</v>
      </c>
      <c r="E14" s="2" t="str">
        <f t="shared" si="1"/>
        <v>CHERYL BELLAVIA</v>
      </c>
      <c r="F14" s="2" t="s">
        <v>27</v>
      </c>
      <c r="G14" s="2" t="s">
        <v>28</v>
      </c>
      <c r="H14" s="2" t="s">
        <v>29</v>
      </c>
      <c r="I14" s="3">
        <v>45901</v>
      </c>
      <c r="J14" s="3">
        <v>45931</v>
      </c>
      <c r="K14" s="4">
        <v>8325282</v>
      </c>
      <c r="L14" s="2" t="s">
        <v>32</v>
      </c>
      <c r="M14" s="2" t="s">
        <v>41</v>
      </c>
      <c r="N14" s="2">
        <v>146</v>
      </c>
      <c r="O14" s="5">
        <f>313/12*4</f>
        <v>104.33333333333333</v>
      </c>
      <c r="P14" s="2" t="s">
        <v>110</v>
      </c>
      <c r="Q14" s="2" t="s">
        <v>114</v>
      </c>
    </row>
    <row r="15" spans="1:17" x14ac:dyDescent="0.25">
      <c r="A15" s="2" t="s">
        <v>99</v>
      </c>
      <c r="B15" s="2" t="str">
        <f>CONCATENATE(A15,88)</f>
        <v>8ET1W48WC0488</v>
      </c>
      <c r="C15" s="2" t="s">
        <v>121</v>
      </c>
      <c r="D15" s="2" t="s">
        <v>122</v>
      </c>
      <c r="E15" s="2" t="str">
        <f t="shared" si="1"/>
        <v>BARRY WALTERS</v>
      </c>
      <c r="F15" s="2" t="s">
        <v>102</v>
      </c>
      <c r="G15" s="2" t="s">
        <v>107</v>
      </c>
      <c r="H15" s="2" t="s">
        <v>29</v>
      </c>
      <c r="I15" s="3">
        <v>45658</v>
      </c>
      <c r="J15" s="3">
        <v>45870</v>
      </c>
      <c r="K15" s="2">
        <v>20411454</v>
      </c>
      <c r="L15" s="2" t="s">
        <v>32</v>
      </c>
      <c r="M15" s="2" t="s">
        <v>119</v>
      </c>
      <c r="N15" s="2">
        <v>-438</v>
      </c>
      <c r="O15" s="2">
        <v>-125</v>
      </c>
      <c r="P15" s="2" t="s">
        <v>109</v>
      </c>
    </row>
    <row r="16" spans="1:17" x14ac:dyDescent="0.25">
      <c r="A16" s="2" t="s">
        <v>59</v>
      </c>
      <c r="B16" s="2" t="str">
        <f t="shared" ref="B16:B34" si="2">CONCATENATE(A16,88)</f>
        <v>4FJ2F78DU8188</v>
      </c>
      <c r="C16" s="2" t="s">
        <v>144</v>
      </c>
      <c r="D16" s="2" t="s">
        <v>145</v>
      </c>
      <c r="E16" s="2" t="str">
        <f t="shared" si="1"/>
        <v>JUDITH LECHNER</v>
      </c>
      <c r="F16" s="2" t="s">
        <v>45</v>
      </c>
      <c r="G16" s="2" t="s">
        <v>62</v>
      </c>
      <c r="H16" s="2" t="s">
        <v>29</v>
      </c>
      <c r="I16" s="3">
        <v>45292</v>
      </c>
      <c r="J16" s="3">
        <v>45870</v>
      </c>
      <c r="K16" s="2">
        <v>20411454</v>
      </c>
      <c r="L16" s="2" t="s">
        <v>32</v>
      </c>
      <c r="M16" s="2" t="s">
        <v>119</v>
      </c>
      <c r="N16" s="2">
        <v>2.5</v>
      </c>
      <c r="O16" s="2">
        <v>2.5</v>
      </c>
      <c r="P16" s="2" t="s">
        <v>109</v>
      </c>
    </row>
    <row r="17" spans="1:16" x14ac:dyDescent="0.25">
      <c r="A17" s="2" t="s">
        <v>59</v>
      </c>
      <c r="B17" s="2" t="str">
        <f t="shared" si="2"/>
        <v>4FJ2F78DU8188</v>
      </c>
      <c r="C17" s="2" t="s">
        <v>144</v>
      </c>
      <c r="D17" s="2" t="s">
        <v>145</v>
      </c>
      <c r="E17" s="2" t="str">
        <f t="shared" si="1"/>
        <v>JUDITH LECHNER</v>
      </c>
      <c r="F17" s="2" t="s">
        <v>45</v>
      </c>
      <c r="G17" s="2" t="s">
        <v>62</v>
      </c>
      <c r="H17" s="2" t="s">
        <v>29</v>
      </c>
      <c r="I17" s="3">
        <v>45292</v>
      </c>
      <c r="J17" s="3">
        <v>45839</v>
      </c>
      <c r="K17" s="2">
        <v>20411454</v>
      </c>
      <c r="L17" s="2" t="s">
        <v>32</v>
      </c>
      <c r="M17" s="2" t="s">
        <v>119</v>
      </c>
      <c r="N17" s="2">
        <v>2.5</v>
      </c>
      <c r="O17" s="2">
        <v>2.5</v>
      </c>
      <c r="P17" s="2" t="s">
        <v>109</v>
      </c>
    </row>
    <row r="18" spans="1:16" x14ac:dyDescent="0.25">
      <c r="A18" s="2" t="s">
        <v>59</v>
      </c>
      <c r="B18" s="2" t="str">
        <f t="shared" si="2"/>
        <v>4FJ2F78DU8188</v>
      </c>
      <c r="C18" s="2" t="s">
        <v>144</v>
      </c>
      <c r="D18" s="2" t="s">
        <v>145</v>
      </c>
      <c r="E18" s="2" t="str">
        <f t="shared" si="1"/>
        <v>JUDITH LECHNER</v>
      </c>
      <c r="F18" s="2" t="s">
        <v>45</v>
      </c>
      <c r="G18" s="2" t="s">
        <v>62</v>
      </c>
      <c r="H18" s="2" t="s">
        <v>29</v>
      </c>
      <c r="I18" s="3">
        <v>45292</v>
      </c>
      <c r="J18" s="3">
        <v>45809</v>
      </c>
      <c r="K18" s="2">
        <v>20411454</v>
      </c>
      <c r="L18" s="2" t="s">
        <v>32</v>
      </c>
      <c r="M18" s="2" t="s">
        <v>119</v>
      </c>
      <c r="N18" s="2">
        <v>2.5</v>
      </c>
      <c r="O18" s="2">
        <v>2.5</v>
      </c>
      <c r="P18" s="2" t="s">
        <v>109</v>
      </c>
    </row>
    <row r="19" spans="1:16" x14ac:dyDescent="0.25">
      <c r="A19" s="2" t="s">
        <v>59</v>
      </c>
      <c r="B19" s="2" t="str">
        <f t="shared" si="2"/>
        <v>4FJ2F78DU8188</v>
      </c>
      <c r="C19" s="2" t="s">
        <v>144</v>
      </c>
      <c r="D19" s="2" t="s">
        <v>145</v>
      </c>
      <c r="E19" s="2" t="str">
        <f t="shared" si="1"/>
        <v>JUDITH LECHNER</v>
      </c>
      <c r="F19" s="2" t="s">
        <v>45</v>
      </c>
      <c r="G19" s="2" t="s">
        <v>62</v>
      </c>
      <c r="H19" s="2" t="s">
        <v>29</v>
      </c>
      <c r="I19" s="3">
        <v>45292</v>
      </c>
      <c r="J19" s="3">
        <v>45778</v>
      </c>
      <c r="K19" s="2">
        <v>20411454</v>
      </c>
      <c r="L19" s="2" t="s">
        <v>32</v>
      </c>
      <c r="M19" s="2" t="s">
        <v>119</v>
      </c>
      <c r="N19" s="2">
        <v>2.5</v>
      </c>
      <c r="O19" s="2">
        <v>2.5</v>
      </c>
      <c r="P19" s="2" t="s">
        <v>109</v>
      </c>
    </row>
    <row r="20" spans="1:16" x14ac:dyDescent="0.25">
      <c r="A20" s="2" t="s">
        <v>59</v>
      </c>
      <c r="B20" s="2" t="str">
        <f t="shared" si="2"/>
        <v>4FJ2F78DU8188</v>
      </c>
      <c r="C20" s="2" t="s">
        <v>144</v>
      </c>
      <c r="D20" s="2" t="s">
        <v>145</v>
      </c>
      <c r="E20" s="2" t="str">
        <f t="shared" si="1"/>
        <v>JUDITH LECHNER</v>
      </c>
      <c r="F20" s="2" t="s">
        <v>45</v>
      </c>
      <c r="G20" s="2" t="s">
        <v>62</v>
      </c>
      <c r="H20" s="2" t="s">
        <v>29</v>
      </c>
      <c r="I20" s="3">
        <v>45292</v>
      </c>
      <c r="J20" s="3">
        <v>45748</v>
      </c>
      <c r="K20" s="2">
        <v>20411454</v>
      </c>
      <c r="L20" s="2" t="s">
        <v>32</v>
      </c>
      <c r="M20" s="2" t="s">
        <v>119</v>
      </c>
      <c r="N20" s="2">
        <v>2.5</v>
      </c>
      <c r="O20" s="2">
        <v>2.5</v>
      </c>
      <c r="P20" s="2" t="s">
        <v>109</v>
      </c>
    </row>
    <row r="21" spans="1:16" x14ac:dyDescent="0.25">
      <c r="A21" s="2" t="s">
        <v>59</v>
      </c>
      <c r="B21" s="2" t="str">
        <f t="shared" si="2"/>
        <v>4FJ2F78DU8188</v>
      </c>
      <c r="C21" s="2" t="s">
        <v>144</v>
      </c>
      <c r="D21" s="2" t="s">
        <v>145</v>
      </c>
      <c r="E21" s="2" t="str">
        <f t="shared" si="1"/>
        <v>JUDITH LECHNER</v>
      </c>
      <c r="F21" s="2" t="s">
        <v>45</v>
      </c>
      <c r="G21" s="2" t="s">
        <v>62</v>
      </c>
      <c r="H21" s="2" t="s">
        <v>29</v>
      </c>
      <c r="I21" s="3">
        <v>45292</v>
      </c>
      <c r="J21" s="3">
        <v>45717</v>
      </c>
      <c r="K21" s="2">
        <v>20411454</v>
      </c>
      <c r="L21" s="2" t="s">
        <v>32</v>
      </c>
      <c r="M21" s="2" t="s">
        <v>119</v>
      </c>
      <c r="N21" s="2">
        <v>2.5</v>
      </c>
      <c r="O21" s="2">
        <v>2.5</v>
      </c>
      <c r="P21" s="2" t="s">
        <v>109</v>
      </c>
    </row>
    <row r="22" spans="1:16" x14ac:dyDescent="0.25">
      <c r="A22" s="2" t="s">
        <v>59</v>
      </c>
      <c r="B22" s="2" t="str">
        <f t="shared" si="2"/>
        <v>4FJ2F78DU8188</v>
      </c>
      <c r="C22" s="2" t="s">
        <v>144</v>
      </c>
      <c r="D22" s="2" t="s">
        <v>145</v>
      </c>
      <c r="E22" s="2" t="str">
        <f t="shared" si="1"/>
        <v>JUDITH LECHNER</v>
      </c>
      <c r="F22" s="2" t="s">
        <v>45</v>
      </c>
      <c r="G22" s="2" t="s">
        <v>62</v>
      </c>
      <c r="H22" s="2" t="s">
        <v>29</v>
      </c>
      <c r="I22" s="3">
        <v>45292</v>
      </c>
      <c r="J22" s="3">
        <v>45689</v>
      </c>
      <c r="K22" s="2">
        <v>20411454</v>
      </c>
      <c r="L22" s="2" t="s">
        <v>32</v>
      </c>
      <c r="M22" s="2" t="s">
        <v>119</v>
      </c>
      <c r="N22" s="2">
        <v>2.5</v>
      </c>
      <c r="O22" s="2">
        <v>2.5</v>
      </c>
      <c r="P22" s="2" t="s">
        <v>109</v>
      </c>
    </row>
    <row r="23" spans="1:16" x14ac:dyDescent="0.25">
      <c r="A23" s="2" t="s">
        <v>37</v>
      </c>
      <c r="B23" s="2" t="str">
        <f t="shared" si="2"/>
        <v>3H39T83UW3888</v>
      </c>
      <c r="C23" s="2" t="s">
        <v>142</v>
      </c>
      <c r="D23" s="2" t="s">
        <v>143</v>
      </c>
      <c r="E23" s="2" t="str">
        <f t="shared" si="1"/>
        <v>CHERYL BELLAVIA</v>
      </c>
      <c r="F23" s="2" t="s">
        <v>27</v>
      </c>
      <c r="G23" s="2" t="s">
        <v>28</v>
      </c>
      <c r="H23" s="2" t="s">
        <v>29</v>
      </c>
      <c r="I23" s="3">
        <v>45901</v>
      </c>
      <c r="J23" s="3">
        <v>45931</v>
      </c>
      <c r="K23" s="2">
        <v>20411454</v>
      </c>
      <c r="L23" s="2" t="s">
        <v>32</v>
      </c>
      <c r="M23" s="2" t="s">
        <v>119</v>
      </c>
      <c r="N23" s="2">
        <v>146</v>
      </c>
      <c r="O23" s="5">
        <f>125/12*4</f>
        <v>41.666666666666664</v>
      </c>
      <c r="P23" s="2" t="s">
        <v>109</v>
      </c>
    </row>
    <row r="24" spans="1:16" x14ac:dyDescent="0.25">
      <c r="A24" s="2" t="s">
        <v>71</v>
      </c>
      <c r="B24" s="2" t="str">
        <f t="shared" si="2"/>
        <v>5Y17EU3PR7388</v>
      </c>
      <c r="C24" s="2" t="s">
        <v>129</v>
      </c>
      <c r="D24" s="2" t="s">
        <v>130</v>
      </c>
      <c r="E24" s="2" t="str">
        <f t="shared" si="1"/>
        <v>NANCY MASCHMEYER</v>
      </c>
      <c r="F24" s="2" t="s">
        <v>74</v>
      </c>
      <c r="G24" s="2" t="s">
        <v>28</v>
      </c>
      <c r="H24" s="2" t="s">
        <v>29</v>
      </c>
      <c r="I24" s="3">
        <v>45901</v>
      </c>
      <c r="J24" s="3">
        <v>45931</v>
      </c>
      <c r="K24" s="2">
        <v>20411454</v>
      </c>
      <c r="L24" s="2" t="s">
        <v>32</v>
      </c>
      <c r="M24" s="2" t="s">
        <v>119</v>
      </c>
      <c r="N24" s="2">
        <v>146</v>
      </c>
      <c r="O24" s="5">
        <f>125/12*4</f>
        <v>41.666666666666664</v>
      </c>
      <c r="P24" s="2" t="s">
        <v>109</v>
      </c>
    </row>
    <row r="25" spans="1:16" x14ac:dyDescent="0.25">
      <c r="A25" s="2" t="s">
        <v>24</v>
      </c>
      <c r="B25" s="2" t="str">
        <f t="shared" si="2"/>
        <v>6VE4UE1UP6388</v>
      </c>
      <c r="C25" s="2" t="s">
        <v>133</v>
      </c>
      <c r="D25" s="2" t="s">
        <v>134</v>
      </c>
      <c r="E25" s="2" t="str">
        <f t="shared" si="1"/>
        <v>DIANNE BALOUGH</v>
      </c>
      <c r="F25" s="2" t="s">
        <v>27</v>
      </c>
      <c r="G25" s="2" t="s">
        <v>28</v>
      </c>
      <c r="H25" s="2" t="s">
        <v>29</v>
      </c>
      <c r="I25" s="3">
        <v>45870</v>
      </c>
      <c r="J25" s="3">
        <v>45901</v>
      </c>
      <c r="K25" s="2">
        <v>20411454</v>
      </c>
      <c r="L25" s="2" t="s">
        <v>32</v>
      </c>
      <c r="M25" s="2" t="s">
        <v>119</v>
      </c>
      <c r="N25" s="2">
        <v>182.5</v>
      </c>
      <c r="O25" s="5">
        <f t="shared" ref="O25:O32" si="3">125/12*5</f>
        <v>52.083333333333329</v>
      </c>
      <c r="P25" s="2" t="s">
        <v>109</v>
      </c>
    </row>
    <row r="26" spans="1:16" x14ac:dyDescent="0.25">
      <c r="A26" s="2" t="s">
        <v>49</v>
      </c>
      <c r="B26" s="2" t="str">
        <f t="shared" si="2"/>
        <v>6WG0NV5YF1888</v>
      </c>
      <c r="C26" s="2" t="s">
        <v>137</v>
      </c>
      <c r="D26" s="2" t="s">
        <v>138</v>
      </c>
      <c r="E26" s="2" t="str">
        <f t="shared" si="1"/>
        <v>KATHERINE FOLTZ</v>
      </c>
      <c r="F26" s="2" t="s">
        <v>52</v>
      </c>
      <c r="G26" s="2" t="s">
        <v>28</v>
      </c>
      <c r="H26" s="2" t="s">
        <v>29</v>
      </c>
      <c r="I26" s="3">
        <v>45870</v>
      </c>
      <c r="J26" s="3">
        <v>45901</v>
      </c>
      <c r="K26" s="2">
        <v>20411454</v>
      </c>
      <c r="L26" s="2" t="s">
        <v>32</v>
      </c>
      <c r="M26" s="2" t="s">
        <v>119</v>
      </c>
      <c r="N26" s="2">
        <v>182.5</v>
      </c>
      <c r="O26" s="5">
        <f t="shared" si="3"/>
        <v>52.083333333333329</v>
      </c>
      <c r="P26" s="2" t="s">
        <v>109</v>
      </c>
    </row>
    <row r="27" spans="1:16" x14ac:dyDescent="0.25">
      <c r="A27" s="2" t="s">
        <v>56</v>
      </c>
      <c r="B27" s="2" t="str">
        <f t="shared" si="2"/>
        <v>7X76D87NU6188</v>
      </c>
      <c r="C27" s="2" t="s">
        <v>137</v>
      </c>
      <c r="D27" s="2" t="s">
        <v>139</v>
      </c>
      <c r="E27" s="2" t="str">
        <f t="shared" si="1"/>
        <v>JIM FOLTZ</v>
      </c>
      <c r="F27" s="2" t="s">
        <v>52</v>
      </c>
      <c r="G27" s="2" t="s">
        <v>28</v>
      </c>
      <c r="H27" s="2" t="s">
        <v>29</v>
      </c>
      <c r="I27" s="3">
        <v>45870</v>
      </c>
      <c r="J27" s="3">
        <v>45901</v>
      </c>
      <c r="K27" s="2">
        <v>20411454</v>
      </c>
      <c r="L27" s="2" t="s">
        <v>32</v>
      </c>
      <c r="M27" s="2" t="s">
        <v>119</v>
      </c>
      <c r="N27" s="2">
        <v>182.5</v>
      </c>
      <c r="O27" s="5">
        <f t="shared" si="3"/>
        <v>52.083333333333329</v>
      </c>
      <c r="P27" s="2" t="s">
        <v>109</v>
      </c>
    </row>
    <row r="28" spans="1:16" x14ac:dyDescent="0.25">
      <c r="A28" s="2" t="s">
        <v>87</v>
      </c>
      <c r="B28" s="2" t="str">
        <f t="shared" si="2"/>
        <v>6FV6YC3XE4888</v>
      </c>
      <c r="C28" s="2" t="s">
        <v>140</v>
      </c>
      <c r="D28" s="2" t="s">
        <v>141</v>
      </c>
      <c r="E28" s="2" t="str">
        <f t="shared" si="1"/>
        <v>GINGER PHILLIPS</v>
      </c>
      <c r="F28" s="2" t="s">
        <v>90</v>
      </c>
      <c r="G28" s="2" t="s">
        <v>28</v>
      </c>
      <c r="H28" s="2" t="s">
        <v>29</v>
      </c>
      <c r="I28" s="3">
        <v>45870</v>
      </c>
      <c r="J28" s="3">
        <v>45901</v>
      </c>
      <c r="K28" s="2">
        <v>20411454</v>
      </c>
      <c r="L28" s="2" t="s">
        <v>32</v>
      </c>
      <c r="M28" s="2" t="s">
        <v>119</v>
      </c>
      <c r="N28" s="2">
        <v>182.5</v>
      </c>
      <c r="O28" s="5">
        <f t="shared" si="3"/>
        <v>52.083333333333329</v>
      </c>
      <c r="P28" s="2" t="s">
        <v>109</v>
      </c>
    </row>
    <row r="29" spans="1:16" x14ac:dyDescent="0.25">
      <c r="A29" s="2" t="s">
        <v>42</v>
      </c>
      <c r="B29" s="2" t="str">
        <f t="shared" si="2"/>
        <v>1T02KU7XA0088</v>
      </c>
      <c r="C29" s="2" t="s">
        <v>131</v>
      </c>
      <c r="D29" s="2" t="s">
        <v>132</v>
      </c>
      <c r="E29" s="2" t="str">
        <f t="shared" si="1"/>
        <v>BARBARA DAWSON</v>
      </c>
      <c r="F29" s="2" t="s">
        <v>45</v>
      </c>
      <c r="G29" s="2" t="s">
        <v>28</v>
      </c>
      <c r="H29" s="2" t="s">
        <v>29</v>
      </c>
      <c r="I29" s="3">
        <v>45870</v>
      </c>
      <c r="J29" s="3">
        <v>45901</v>
      </c>
      <c r="K29" s="2">
        <v>20411454</v>
      </c>
      <c r="L29" s="2" t="s">
        <v>32</v>
      </c>
      <c r="M29" s="2" t="s">
        <v>119</v>
      </c>
      <c r="N29" s="2">
        <v>199.17</v>
      </c>
      <c r="O29" s="5">
        <f t="shared" si="3"/>
        <v>52.083333333333329</v>
      </c>
      <c r="P29" s="2" t="s">
        <v>109</v>
      </c>
    </row>
    <row r="30" spans="1:16" x14ac:dyDescent="0.25">
      <c r="A30" s="2" t="s">
        <v>66</v>
      </c>
      <c r="B30" s="2" t="str">
        <f t="shared" si="2"/>
        <v>2R79EE8AJ2388</v>
      </c>
      <c r="C30" s="2" t="s">
        <v>125</v>
      </c>
      <c r="D30" s="2" t="s">
        <v>126</v>
      </c>
      <c r="E30" s="2" t="str">
        <f t="shared" si="1"/>
        <v>JOHN MARTIN</v>
      </c>
      <c r="F30" s="2" t="s">
        <v>45</v>
      </c>
      <c r="G30" s="2" t="s">
        <v>28</v>
      </c>
      <c r="H30" s="2" t="s">
        <v>29</v>
      </c>
      <c r="I30" s="3">
        <v>45870</v>
      </c>
      <c r="J30" s="3">
        <v>45901</v>
      </c>
      <c r="K30" s="2">
        <v>20411454</v>
      </c>
      <c r="L30" s="2" t="s">
        <v>32</v>
      </c>
      <c r="M30" s="2" t="s">
        <v>119</v>
      </c>
      <c r="N30" s="2">
        <v>199.17</v>
      </c>
      <c r="O30" s="5">
        <f t="shared" si="3"/>
        <v>52.083333333333329</v>
      </c>
      <c r="P30" s="2" t="s">
        <v>109</v>
      </c>
    </row>
    <row r="31" spans="1:16" x14ac:dyDescent="0.25">
      <c r="A31" s="2" t="s">
        <v>77</v>
      </c>
      <c r="B31" s="2" t="str">
        <f t="shared" si="2"/>
        <v>6KX3HM6HF9188</v>
      </c>
      <c r="C31" s="2" t="s">
        <v>127</v>
      </c>
      <c r="D31" s="2" t="s">
        <v>128</v>
      </c>
      <c r="E31" s="2" t="str">
        <f t="shared" si="1"/>
        <v>FRANK MIHELIC</v>
      </c>
      <c r="F31" s="2" t="s">
        <v>45</v>
      </c>
      <c r="G31" s="2" t="s">
        <v>28</v>
      </c>
      <c r="H31" s="2" t="s">
        <v>80</v>
      </c>
      <c r="I31" s="3">
        <v>45870</v>
      </c>
      <c r="J31" s="3">
        <v>45901</v>
      </c>
      <c r="K31" s="2">
        <v>20411454</v>
      </c>
      <c r="L31" s="2" t="s">
        <v>32</v>
      </c>
      <c r="M31" s="2" t="s">
        <v>119</v>
      </c>
      <c r="N31" s="2">
        <v>199.17</v>
      </c>
      <c r="O31" s="5">
        <f t="shared" si="3"/>
        <v>52.083333333333329</v>
      </c>
      <c r="P31" s="2" t="s">
        <v>109</v>
      </c>
    </row>
    <row r="32" spans="1:16" x14ac:dyDescent="0.25">
      <c r="A32" s="2" t="s">
        <v>82</v>
      </c>
      <c r="B32" s="2" t="str">
        <f t="shared" si="2"/>
        <v>1FE9VA6EP2388</v>
      </c>
      <c r="C32" s="2" t="s">
        <v>135</v>
      </c>
      <c r="D32" s="2" t="s">
        <v>136</v>
      </c>
      <c r="E32" s="2" t="str">
        <f t="shared" si="1"/>
        <v>DIXIE MORLEY</v>
      </c>
      <c r="F32" s="2" t="s">
        <v>45</v>
      </c>
      <c r="G32" s="2" t="s">
        <v>28</v>
      </c>
      <c r="H32" s="2" t="s">
        <v>29</v>
      </c>
      <c r="I32" s="3">
        <v>45870</v>
      </c>
      <c r="J32" s="3">
        <v>45901</v>
      </c>
      <c r="K32" s="2">
        <v>20411454</v>
      </c>
      <c r="L32" s="2" t="s">
        <v>32</v>
      </c>
      <c r="M32" s="2" t="s">
        <v>119</v>
      </c>
      <c r="N32" s="2">
        <v>199.17</v>
      </c>
      <c r="O32" s="5">
        <f t="shared" si="3"/>
        <v>52.083333333333329</v>
      </c>
      <c r="P32" s="2" t="s">
        <v>109</v>
      </c>
    </row>
    <row r="33" spans="1:16" x14ac:dyDescent="0.25">
      <c r="A33" s="2" t="s">
        <v>92</v>
      </c>
      <c r="B33" s="2" t="str">
        <f t="shared" si="2"/>
        <v>7DR9WP2MF3688</v>
      </c>
      <c r="C33" s="2" t="s">
        <v>123</v>
      </c>
      <c r="D33" s="2" t="s">
        <v>124</v>
      </c>
      <c r="E33" s="2" t="str">
        <f t="shared" si="1"/>
        <v>DEBORAH STUDEBAKER</v>
      </c>
      <c r="F33" s="2" t="s">
        <v>95</v>
      </c>
      <c r="G33" s="2" t="s">
        <v>28</v>
      </c>
      <c r="H33" s="2" t="s">
        <v>29</v>
      </c>
      <c r="I33" s="3">
        <v>45870</v>
      </c>
      <c r="J33" s="3">
        <v>45901</v>
      </c>
      <c r="K33" s="2">
        <v>20411454</v>
      </c>
      <c r="L33" s="2" t="s">
        <v>32</v>
      </c>
      <c r="M33" s="2" t="s">
        <v>119</v>
      </c>
      <c r="N33" s="2">
        <v>218.75</v>
      </c>
      <c r="O33" s="2">
        <f>135/12*5</f>
        <v>56.25</v>
      </c>
      <c r="P33" s="2" t="s">
        <v>109</v>
      </c>
    </row>
    <row r="34" spans="1:16" x14ac:dyDescent="0.25">
      <c r="A34" s="2" t="s">
        <v>99</v>
      </c>
      <c r="B34" s="2" t="str">
        <f t="shared" si="2"/>
        <v>8ET1W48WC0488</v>
      </c>
      <c r="C34" s="2" t="s">
        <v>121</v>
      </c>
      <c r="D34" s="2" t="s">
        <v>122</v>
      </c>
      <c r="E34" s="2" t="str">
        <f t="shared" si="1"/>
        <v>BARRY WALTERS</v>
      </c>
      <c r="F34" s="2" t="s">
        <v>102</v>
      </c>
      <c r="G34" s="2" t="s">
        <v>103</v>
      </c>
      <c r="H34" s="2" t="s">
        <v>29</v>
      </c>
      <c r="I34" s="3">
        <v>45658</v>
      </c>
      <c r="J34" s="3">
        <v>45870</v>
      </c>
      <c r="K34" s="2">
        <v>20411454</v>
      </c>
      <c r="L34" s="2" t="s">
        <v>32</v>
      </c>
      <c r="M34" s="2" t="s">
        <v>119</v>
      </c>
      <c r="N34" s="2">
        <v>255.5</v>
      </c>
      <c r="O34" s="5">
        <f>125/12*7</f>
        <v>72.916666666666657</v>
      </c>
      <c r="P34" s="2" t="s">
        <v>109</v>
      </c>
    </row>
  </sheetData>
  <sortState xmlns:xlrd2="http://schemas.microsoft.com/office/spreadsheetml/2017/richdata2" ref="A2:AC14">
    <sortCondition ref="M2:M14"/>
  </sortState>
  <pageMargins left="0.7" right="0.7" top="0.75" bottom="0.75" header="0.3" footer="0.3"/>
  <ignoredErrors>
    <ignoredError sqref="O7:O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2025-08-06T20:07:51Z</dcterms:created>
  <dcterms:modified xsi:type="dcterms:W3CDTF">2025-08-12T15:53:51Z</dcterms:modified>
</cp:coreProperties>
</file>