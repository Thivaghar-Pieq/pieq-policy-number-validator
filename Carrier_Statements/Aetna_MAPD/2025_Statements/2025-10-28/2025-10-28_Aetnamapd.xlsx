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0-28-25\"/>
    </mc:Choice>
  </mc:AlternateContent>
  <xr:revisionPtr revIDLastSave="0" documentId="13_ncr:1_{6880A421-FC28-4BD0-9261-FB80A0A29297}" xr6:coauthVersionLast="47" xr6:coauthVersionMax="47" xr10:uidLastSave="{00000000-0000-0000-0000-000000000000}"/>
  <bookViews>
    <workbookView xWindow="28680" yWindow="-120" windowWidth="29040" windowHeight="16440" activeTab="1" xr2:uid="{0AF43AA0-E97E-4451-AC81-7AD3C3DFC22F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  <c r="B4" i="2"/>
  <c r="B16" i="2"/>
  <c r="B18" i="2"/>
  <c r="B17" i="2"/>
  <c r="B15" i="2"/>
  <c r="B14" i="2"/>
  <c r="B13" i="2"/>
  <c r="B12" i="2"/>
  <c r="B11" i="2"/>
  <c r="B10" i="2"/>
  <c r="B5" i="2"/>
  <c r="B9" i="2"/>
  <c r="B8" i="2"/>
  <c r="B7" i="2"/>
  <c r="B6" i="2"/>
  <c r="B3" i="2"/>
  <c r="B2" i="2"/>
  <c r="O18" i="2"/>
  <c r="O3" i="2"/>
  <c r="O2" i="2"/>
  <c r="O17" i="2"/>
  <c r="O15" i="2"/>
  <c r="O9" i="2"/>
  <c r="O14" i="2"/>
  <c r="O13" i="2"/>
  <c r="O4" i="2"/>
  <c r="O10" i="2"/>
  <c r="O6" i="2"/>
</calcChain>
</file>

<file path=xl/sharedStrings.xml><?xml version="1.0" encoding="utf-8"?>
<sst xmlns="http://schemas.openxmlformats.org/spreadsheetml/2006/main" count="313" uniqueCount="111">
  <si>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</si>
  <si>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</si>
  <si>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</si>
  <si>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</si>
  <si>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</si>
  <si>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</si>
  <si>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</si>
  <si>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</si>
  <si>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</si>
  <si>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</si>
  <si>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</si>
  <si>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</si>
  <si>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</si>
  <si>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</si>
  <si>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</si>
  <si>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</si>
  <si>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</si>
  <si>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</si>
  <si>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</si>
  <si>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</si>
  <si>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</si>
  <si>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</si>
  <si>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</si>
  <si>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</si>
  <si>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6MX9AQ6XW34</t>
  </si>
  <si>
    <t>NG102199083900</t>
  </si>
  <si>
    <t>CLARK M,KATHY</t>
  </si>
  <si>
    <t>TN</t>
  </si>
  <si>
    <t>New Business</t>
  </si>
  <si>
    <t>MAPD</t>
  </si>
  <si>
    <t>IMM609</t>
  </si>
  <si>
    <t>H5521-254</t>
  </si>
  <si>
    <t>LOA</t>
  </si>
  <si>
    <t>Teipel, Gregory</t>
  </si>
  <si>
    <t>MMO</t>
  </si>
  <si>
    <t>Main Line Benefits LLC</t>
  </si>
  <si>
    <t xml:space="preserve">N  </t>
  </si>
  <si>
    <t>4GU4HF9WT78</t>
  </si>
  <si>
    <t>NG102079343200</t>
  </si>
  <si>
    <t>DELLETT D,STEPHEN</t>
  </si>
  <si>
    <t>IL</t>
  </si>
  <si>
    <t>Pro-Rata Payment</t>
  </si>
  <si>
    <t>IMM606</t>
  </si>
  <si>
    <t>H7301-006</t>
  </si>
  <si>
    <t>Serio, Tom</t>
  </si>
  <si>
    <t>GMO</t>
  </si>
  <si>
    <t xml:space="preserve">Y  </t>
  </si>
  <si>
    <t>Pro-Rata Disenroll</t>
  </si>
  <si>
    <t>8F73V59FX03</t>
  </si>
  <si>
    <t>NG102199276800</t>
  </si>
  <si>
    <t>EHRLICHMAN M,SCOTT</t>
  </si>
  <si>
    <t>WI</t>
  </si>
  <si>
    <t>H5521-195</t>
  </si>
  <si>
    <t>Walenga, Dale</t>
  </si>
  <si>
    <t>8U41DY3CR26</t>
  </si>
  <si>
    <t>NG102199039300</t>
  </si>
  <si>
    <t>KINGPHAVONG,PHANOMPHONE</t>
  </si>
  <si>
    <t>H3192-013</t>
  </si>
  <si>
    <t>THANADABOUTH, PATSAMON</t>
  </si>
  <si>
    <t>8VA3ED8FT92</t>
  </si>
  <si>
    <t>NG102199475100</t>
  </si>
  <si>
    <t>MACHNE J,MICHAEL</t>
  </si>
  <si>
    <t>OH</t>
  </si>
  <si>
    <t>IMM617</t>
  </si>
  <si>
    <t>H1608-029</t>
  </si>
  <si>
    <t>Shepard, Jill</t>
  </si>
  <si>
    <t>1UQ0JE6EX19</t>
  </si>
  <si>
    <t>NG101780371900</t>
  </si>
  <si>
    <t>MORRIS C,BONNIE</t>
  </si>
  <si>
    <t>PA</t>
  </si>
  <si>
    <t>Renewal Termination</t>
  </si>
  <si>
    <t>IMM608</t>
  </si>
  <si>
    <t>H3959-011</t>
  </si>
  <si>
    <t>Powers, Timothy</t>
  </si>
  <si>
    <t>LMO</t>
  </si>
  <si>
    <t>6D86H72AY46</t>
  </si>
  <si>
    <t>NG101485219300</t>
  </si>
  <si>
    <t>STIMMEL A,KURT</t>
  </si>
  <si>
    <t>H3959-010</t>
  </si>
  <si>
    <t>McCorkle, Michelle</t>
  </si>
  <si>
    <t>2C12F72DV96</t>
  </si>
  <si>
    <t>NG102198925900</t>
  </si>
  <si>
    <t>WYNNE A,MARY</t>
  </si>
  <si>
    <t>H5522-028</t>
  </si>
  <si>
    <t>Richter Peter</t>
  </si>
  <si>
    <t>Aetna MAPD OVR 2025</t>
  </si>
  <si>
    <t>Aetna MAPD 2025</t>
  </si>
  <si>
    <t>Aetna MAPD 2025*</t>
  </si>
  <si>
    <t>Aetna 2025 CT, PA, DC*</t>
  </si>
  <si>
    <t>[%/$=313][prorate=2/12]</t>
  </si>
  <si>
    <t>[%/$=353][prorate=3/12]</t>
  </si>
  <si>
    <t>[%/$=353][prorate=1/12]</t>
  </si>
  <si>
    <t>[%/$=626][prorate=9/12]</t>
  </si>
  <si>
    <t>[%/$=626]</t>
  </si>
  <si>
    <t>Main Line Benefits</t>
  </si>
  <si>
    <t>STIMMEL</t>
  </si>
  <si>
    <t>KURT</t>
  </si>
  <si>
    <t>WYNNE</t>
  </si>
  <si>
    <t>MARY</t>
  </si>
  <si>
    <t>DELLETT</t>
  </si>
  <si>
    <t>STEPHEN</t>
  </si>
  <si>
    <t>CLARK</t>
  </si>
  <si>
    <t>KATHY</t>
  </si>
  <si>
    <t>EHRLICHMAN</t>
  </si>
  <si>
    <t>SCOTT</t>
  </si>
  <si>
    <t>KINGPHAVONG</t>
  </si>
  <si>
    <t>PHANOMPHONE</t>
  </si>
  <si>
    <t>MACHNE</t>
  </si>
  <si>
    <t>MICHAEL</t>
  </si>
  <si>
    <t>MORRIS</t>
  </si>
  <si>
    <t>BONNIE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</si>
</sst>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C433-9761-4DA3-94B5-3B13E4122EB1}">
  <dimension ref="A1:X887"/>
  <sheetViews>
    <sheetView workbookViewId="0">
      <selection activeCell="U1" sqref="U1:U1048576"/>
    </sheetView>
  </sheetViews>
  <sheetFormatPr defaultRowHeight="15" x14ac:dyDescent="0.25"/>
  <cols>
    <col min="1" max="1" width="29" bestFit="1" customWidth="1"/>
    <col min="12" max="12" width="15.7109375" bestFit="1" customWidth="1"/>
    <col min="14" max="14" width="10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45958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45962</v>
      </c>
      <c r="M2" s="1">
        <v>45962</v>
      </c>
      <c r="O2">
        <v>8307933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77.17</v>
      </c>
      <c r="V2" t="s">
        <v>36</v>
      </c>
      <c r="W2" s="1">
        <v>45938</v>
      </c>
      <c r="X2">
        <v>2025</v>
      </c>
    </row>
    <row r="3" spans="1:24" x14ac:dyDescent="0.25">
      <c r="A3" s="1">
        <v>45958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  <c r="H3" t="s">
        <v>29</v>
      </c>
      <c r="I3" t="s">
        <v>42</v>
      </c>
      <c r="J3" t="s">
        <v>43</v>
      </c>
      <c r="L3" s="1">
        <v>45658</v>
      </c>
      <c r="M3" s="1">
        <v>45658</v>
      </c>
      <c r="N3" s="1">
        <v>45930</v>
      </c>
      <c r="O3">
        <v>20490188</v>
      </c>
      <c r="P3" t="s">
        <v>32</v>
      </c>
      <c r="Q3" t="s">
        <v>44</v>
      </c>
      <c r="R3">
        <v>8192</v>
      </c>
      <c r="S3" t="s">
        <v>45</v>
      </c>
      <c r="T3" t="s">
        <v>35</v>
      </c>
      <c r="U3">
        <v>563.25</v>
      </c>
      <c r="V3" t="s">
        <v>46</v>
      </c>
      <c r="W3" s="1">
        <v>45593</v>
      </c>
      <c r="X3">
        <v>2025</v>
      </c>
    </row>
    <row r="4" spans="1:24" x14ac:dyDescent="0.25">
      <c r="A4" s="1">
        <v>45958</v>
      </c>
      <c r="B4" t="s">
        <v>37</v>
      </c>
      <c r="C4" t="s">
        <v>38</v>
      </c>
      <c r="E4" t="s">
        <v>39</v>
      </c>
      <c r="F4" t="s">
        <v>40</v>
      </c>
      <c r="G4" t="s">
        <v>47</v>
      </c>
      <c r="H4" t="s">
        <v>29</v>
      </c>
      <c r="I4" t="s">
        <v>42</v>
      </c>
      <c r="J4" t="s">
        <v>43</v>
      </c>
      <c r="L4" s="1">
        <v>45658</v>
      </c>
      <c r="M4" s="1">
        <v>45658</v>
      </c>
      <c r="N4" s="1">
        <v>45930</v>
      </c>
      <c r="O4">
        <v>20490188</v>
      </c>
      <c r="P4" t="s">
        <v>32</v>
      </c>
      <c r="Q4" t="s">
        <v>44</v>
      </c>
      <c r="R4">
        <v>8192</v>
      </c>
      <c r="S4" t="s">
        <v>45</v>
      </c>
      <c r="T4" t="s">
        <v>35</v>
      </c>
      <c r="U4">
        <v>-751</v>
      </c>
      <c r="V4" t="s">
        <v>46</v>
      </c>
      <c r="W4" s="1">
        <v>45593</v>
      </c>
      <c r="X4">
        <v>2025</v>
      </c>
    </row>
    <row r="5" spans="1:24" x14ac:dyDescent="0.25">
      <c r="A5" s="1">
        <v>45958</v>
      </c>
      <c r="B5" t="s">
        <v>48</v>
      </c>
      <c r="C5" t="s">
        <v>49</v>
      </c>
      <c r="E5" t="s">
        <v>50</v>
      </c>
      <c r="F5" t="s">
        <v>51</v>
      </c>
      <c r="G5" t="s">
        <v>28</v>
      </c>
      <c r="H5" t="s">
        <v>29</v>
      </c>
      <c r="I5" t="s">
        <v>42</v>
      </c>
      <c r="J5" t="s">
        <v>52</v>
      </c>
      <c r="L5" s="1">
        <v>45962</v>
      </c>
      <c r="M5" s="1">
        <v>45962</v>
      </c>
      <c r="O5">
        <v>8325282</v>
      </c>
      <c r="P5" t="s">
        <v>32</v>
      </c>
      <c r="Q5" t="s">
        <v>53</v>
      </c>
      <c r="R5">
        <v>8192</v>
      </c>
      <c r="S5" t="s">
        <v>34</v>
      </c>
      <c r="T5" t="s">
        <v>35</v>
      </c>
      <c r="U5">
        <v>74.67</v>
      </c>
      <c r="V5" t="s">
        <v>36</v>
      </c>
      <c r="W5" s="1">
        <v>45940</v>
      </c>
      <c r="X5">
        <v>2025</v>
      </c>
    </row>
    <row r="6" spans="1:24" x14ac:dyDescent="0.25">
      <c r="A6" s="1">
        <v>45958</v>
      </c>
      <c r="B6" t="s">
        <v>54</v>
      </c>
      <c r="C6" t="s">
        <v>55</v>
      </c>
      <c r="E6" t="s">
        <v>56</v>
      </c>
      <c r="F6" t="s">
        <v>40</v>
      </c>
      <c r="G6" t="s">
        <v>28</v>
      </c>
      <c r="H6" t="s">
        <v>29</v>
      </c>
      <c r="I6" t="s">
        <v>42</v>
      </c>
      <c r="J6" t="s">
        <v>57</v>
      </c>
      <c r="L6" s="1">
        <v>45962</v>
      </c>
      <c r="M6" s="1">
        <v>45962</v>
      </c>
      <c r="O6">
        <v>8405446</v>
      </c>
      <c r="P6" t="s">
        <v>32</v>
      </c>
      <c r="Q6" t="s">
        <v>58</v>
      </c>
      <c r="R6">
        <v>8192</v>
      </c>
      <c r="S6" t="s">
        <v>34</v>
      </c>
      <c r="T6" t="s">
        <v>35</v>
      </c>
      <c r="U6">
        <v>74.67</v>
      </c>
      <c r="V6" t="s">
        <v>36</v>
      </c>
      <c r="W6" s="1">
        <v>45938</v>
      </c>
      <c r="X6">
        <v>2025</v>
      </c>
    </row>
    <row r="7" spans="1:24" x14ac:dyDescent="0.25">
      <c r="A7" s="1">
        <v>45958</v>
      </c>
      <c r="B7" t="s">
        <v>59</v>
      </c>
      <c r="C7" t="s">
        <v>60</v>
      </c>
      <c r="E7" t="s">
        <v>61</v>
      </c>
      <c r="F7" t="s">
        <v>62</v>
      </c>
      <c r="G7" t="s">
        <v>28</v>
      </c>
      <c r="H7" t="s">
        <v>29</v>
      </c>
      <c r="I7" t="s">
        <v>63</v>
      </c>
      <c r="J7" t="s">
        <v>64</v>
      </c>
      <c r="L7" s="1">
        <v>45962</v>
      </c>
      <c r="M7" s="1">
        <v>45962</v>
      </c>
      <c r="O7">
        <v>18142208</v>
      </c>
      <c r="P7" t="s">
        <v>32</v>
      </c>
      <c r="Q7" t="s">
        <v>65</v>
      </c>
      <c r="R7">
        <v>8192</v>
      </c>
      <c r="S7" t="s">
        <v>34</v>
      </c>
      <c r="T7" t="s">
        <v>35</v>
      </c>
      <c r="U7">
        <v>77.17</v>
      </c>
      <c r="V7" t="s">
        <v>36</v>
      </c>
      <c r="W7" s="1">
        <v>45943</v>
      </c>
      <c r="X7">
        <v>2025</v>
      </c>
    </row>
    <row r="8" spans="1:24" x14ac:dyDescent="0.25">
      <c r="A8" s="1">
        <v>45958</v>
      </c>
      <c r="B8" t="s">
        <v>66</v>
      </c>
      <c r="C8" t="s">
        <v>67</v>
      </c>
      <c r="E8" t="s">
        <v>68</v>
      </c>
      <c r="F8" t="s">
        <v>69</v>
      </c>
      <c r="G8" t="s">
        <v>70</v>
      </c>
      <c r="H8" t="s">
        <v>29</v>
      </c>
      <c r="I8" t="s">
        <v>71</v>
      </c>
      <c r="J8" t="s">
        <v>72</v>
      </c>
      <c r="L8" s="1">
        <v>45931</v>
      </c>
      <c r="M8" s="1">
        <v>45292</v>
      </c>
      <c r="N8" s="1">
        <v>45930</v>
      </c>
      <c r="O8">
        <v>17886092</v>
      </c>
      <c r="P8" t="s">
        <v>32</v>
      </c>
      <c r="Q8" t="s">
        <v>73</v>
      </c>
      <c r="R8">
        <v>8192</v>
      </c>
      <c r="S8" t="s">
        <v>74</v>
      </c>
      <c r="T8" t="s">
        <v>35</v>
      </c>
      <c r="U8">
        <v>-2.5</v>
      </c>
      <c r="V8" t="s">
        <v>36</v>
      </c>
      <c r="W8" s="1">
        <v>45215</v>
      </c>
      <c r="X8">
        <v>2025</v>
      </c>
    </row>
    <row r="9" spans="1:24" x14ac:dyDescent="0.25">
      <c r="A9" s="1">
        <v>45958</v>
      </c>
      <c r="B9" t="s">
        <v>75</v>
      </c>
      <c r="C9" t="s">
        <v>76</v>
      </c>
      <c r="E9" t="s">
        <v>77</v>
      </c>
      <c r="F9" t="s">
        <v>69</v>
      </c>
      <c r="G9" t="s">
        <v>28</v>
      </c>
      <c r="H9" t="s">
        <v>29</v>
      </c>
      <c r="I9" t="s">
        <v>71</v>
      </c>
      <c r="J9" t="s">
        <v>78</v>
      </c>
      <c r="L9" s="1">
        <v>45931</v>
      </c>
      <c r="M9" s="1">
        <v>45931</v>
      </c>
      <c r="O9">
        <v>18710070</v>
      </c>
      <c r="P9" t="s">
        <v>32</v>
      </c>
      <c r="Q9" t="s">
        <v>79</v>
      </c>
      <c r="R9">
        <v>8192</v>
      </c>
      <c r="S9" t="s">
        <v>34</v>
      </c>
      <c r="T9" t="s">
        <v>35</v>
      </c>
      <c r="U9">
        <v>125.75</v>
      </c>
      <c r="V9" t="s">
        <v>36</v>
      </c>
      <c r="W9" s="1">
        <v>45930</v>
      </c>
      <c r="X9">
        <v>2025</v>
      </c>
    </row>
    <row r="10" spans="1:24" x14ac:dyDescent="0.25">
      <c r="A10" s="1">
        <v>45958</v>
      </c>
      <c r="B10" t="s">
        <v>80</v>
      </c>
      <c r="C10" t="s">
        <v>81</v>
      </c>
      <c r="E10" t="s">
        <v>82</v>
      </c>
      <c r="F10" t="s">
        <v>69</v>
      </c>
      <c r="G10" t="s">
        <v>28</v>
      </c>
      <c r="H10" t="s">
        <v>29</v>
      </c>
      <c r="I10" t="s">
        <v>71</v>
      </c>
      <c r="J10" t="s">
        <v>83</v>
      </c>
      <c r="L10" s="1">
        <v>45992</v>
      </c>
      <c r="M10" s="1">
        <v>45992</v>
      </c>
      <c r="O10">
        <v>16509456</v>
      </c>
      <c r="P10" t="s">
        <v>32</v>
      </c>
      <c r="Q10" t="s">
        <v>84</v>
      </c>
      <c r="R10">
        <v>8192</v>
      </c>
      <c r="S10" t="s">
        <v>34</v>
      </c>
      <c r="T10" t="s">
        <v>35</v>
      </c>
      <c r="U10">
        <v>40.67</v>
      </c>
      <c r="V10" t="s">
        <v>36</v>
      </c>
      <c r="W10" s="1">
        <v>45937</v>
      </c>
      <c r="X10">
        <v>2025</v>
      </c>
    </row>
    <row r="11" spans="1:24" x14ac:dyDescent="0.25">
      <c r="A11" s="1"/>
      <c r="L11" s="1"/>
      <c r="M11" s="1"/>
      <c r="W11" s="1"/>
    </row>
    <row r="12" spans="1:24" x14ac:dyDescent="0.25">
      <c r="A12" s="1"/>
      <c r="L12" s="1"/>
      <c r="M12" s="1"/>
      <c r="W12" s="1"/>
    </row>
    <row r="13" spans="1:24" x14ac:dyDescent="0.25">
      <c r="A13" s="1"/>
      <c r="L13" s="1"/>
      <c r="M13" s="1"/>
      <c r="W13" s="1"/>
    </row>
    <row r="14" spans="1:24" x14ac:dyDescent="0.25">
      <c r="A14" s="1"/>
      <c r="L14" s="1"/>
      <c r="M14" s="1"/>
      <c r="W14" s="1"/>
    </row>
    <row r="15" spans="1:24" x14ac:dyDescent="0.25">
      <c r="A15" s="1"/>
      <c r="L15" s="1"/>
      <c r="M15" s="1"/>
      <c r="W15" s="1"/>
    </row>
    <row r="16" spans="1:24" x14ac:dyDescent="0.25">
      <c r="A16" s="1"/>
      <c r="L16" s="1"/>
      <c r="M16" s="1"/>
      <c r="W16" s="1"/>
    </row>
    <row r="17" spans="1:23" x14ac:dyDescent="0.25">
      <c r="A17" s="1"/>
      <c r="L17" s="1"/>
      <c r="M17" s="1"/>
      <c r="W17" s="1"/>
    </row>
    <row r="18" spans="1:23" x14ac:dyDescent="0.25">
      <c r="A18" s="1"/>
      <c r="L18" s="1"/>
      <c r="M18" s="1"/>
      <c r="W18" s="1"/>
    </row>
    <row r="19" spans="1:23" x14ac:dyDescent="0.25">
      <c r="A19" s="1"/>
      <c r="L19" s="1"/>
      <c r="M19" s="1"/>
      <c r="W19" s="1"/>
    </row>
    <row r="20" spans="1:23" x14ac:dyDescent="0.25">
      <c r="A20" s="1"/>
      <c r="L20" s="1"/>
      <c r="M20" s="1"/>
      <c r="W20" s="1"/>
    </row>
    <row r="21" spans="1:23" x14ac:dyDescent="0.25">
      <c r="A21" s="1"/>
      <c r="L21" s="1"/>
      <c r="M21" s="1"/>
      <c r="W21" s="1"/>
    </row>
    <row r="22" spans="1:23" x14ac:dyDescent="0.25">
      <c r="A22" s="1"/>
      <c r="L22" s="1"/>
      <c r="M22" s="1"/>
      <c r="W22" s="1"/>
    </row>
    <row r="23" spans="1:23" x14ac:dyDescent="0.25">
      <c r="A23" s="1"/>
      <c r="L23" s="1"/>
      <c r="M23" s="1"/>
      <c r="W23" s="1"/>
    </row>
    <row r="24" spans="1:23" x14ac:dyDescent="0.25">
      <c r="A24" s="1"/>
      <c r="L24" s="1"/>
      <c r="M24" s="1"/>
      <c r="W24" s="1"/>
    </row>
    <row r="25" spans="1:23" x14ac:dyDescent="0.25">
      <c r="A25" s="1"/>
      <c r="L25" s="1"/>
      <c r="M25" s="1"/>
      <c r="W25" s="1"/>
    </row>
    <row r="26" spans="1:23" x14ac:dyDescent="0.25">
      <c r="A26" s="1"/>
      <c r="L26" s="1"/>
      <c r="M26" s="1"/>
      <c r="W26" s="1"/>
    </row>
    <row r="27" spans="1:23" x14ac:dyDescent="0.25">
      <c r="A27" s="1"/>
      <c r="L27" s="1"/>
      <c r="M27" s="1"/>
      <c r="W27" s="1"/>
    </row>
    <row r="28" spans="1:23" x14ac:dyDescent="0.25">
      <c r="A28" s="1"/>
      <c r="L28" s="1"/>
      <c r="M28" s="1"/>
      <c r="W28" s="1"/>
    </row>
    <row r="29" spans="1:23" x14ac:dyDescent="0.25">
      <c r="A29" s="1"/>
      <c r="L29" s="1"/>
      <c r="M29" s="1"/>
      <c r="N29" s="1"/>
      <c r="W29" s="1"/>
    </row>
    <row r="30" spans="1:23" x14ac:dyDescent="0.25">
      <c r="A30" s="1"/>
      <c r="L30" s="1"/>
      <c r="M30" s="1"/>
      <c r="N30" s="1"/>
      <c r="W30" s="1"/>
    </row>
    <row r="31" spans="1:23" x14ac:dyDescent="0.25">
      <c r="A31" s="1"/>
      <c r="L31" s="1"/>
      <c r="M31" s="1"/>
      <c r="W31" s="1"/>
    </row>
    <row r="32" spans="1:23" x14ac:dyDescent="0.25">
      <c r="A32" s="1"/>
      <c r="L32" s="1"/>
      <c r="M32" s="1"/>
      <c r="W32" s="1"/>
    </row>
    <row r="33" spans="1:23" x14ac:dyDescent="0.25">
      <c r="A33" s="1"/>
      <c r="L33" s="1"/>
      <c r="M33" s="1"/>
      <c r="W33" s="1"/>
    </row>
    <row r="34" spans="1:23" x14ac:dyDescent="0.25">
      <c r="A34" s="1"/>
      <c r="L34" s="1"/>
      <c r="M34" s="1"/>
      <c r="W34" s="1"/>
    </row>
    <row r="35" spans="1:23" x14ac:dyDescent="0.25">
      <c r="A35" s="1"/>
      <c r="L35" s="1"/>
      <c r="M35" s="1"/>
      <c r="W35" s="1"/>
    </row>
    <row r="36" spans="1:23" x14ac:dyDescent="0.25">
      <c r="A36" s="1"/>
      <c r="L36" s="1"/>
      <c r="M36" s="1"/>
      <c r="W36" s="1"/>
    </row>
    <row r="37" spans="1:23" x14ac:dyDescent="0.25">
      <c r="A37" s="1"/>
      <c r="L37" s="1"/>
      <c r="M37" s="1"/>
      <c r="W37" s="1"/>
    </row>
    <row r="38" spans="1:23" x14ac:dyDescent="0.25">
      <c r="A38" s="1"/>
      <c r="L38" s="1"/>
      <c r="M38" s="1"/>
      <c r="W38" s="1"/>
    </row>
    <row r="39" spans="1:23" x14ac:dyDescent="0.25">
      <c r="A39" s="1"/>
      <c r="L39" s="1"/>
      <c r="M39" s="1"/>
      <c r="W39" s="1"/>
    </row>
    <row r="40" spans="1:23" x14ac:dyDescent="0.25">
      <c r="A40" s="1"/>
      <c r="L40" s="1"/>
      <c r="M40" s="1"/>
      <c r="W40" s="1"/>
    </row>
    <row r="41" spans="1:23" x14ac:dyDescent="0.25">
      <c r="A41" s="1"/>
      <c r="L41" s="1"/>
      <c r="M41" s="1"/>
      <c r="W41" s="1"/>
    </row>
    <row r="42" spans="1:23" x14ac:dyDescent="0.25">
      <c r="A42" s="1"/>
      <c r="L42" s="1"/>
      <c r="M42" s="1"/>
      <c r="W42" s="1"/>
    </row>
    <row r="43" spans="1:23" x14ac:dyDescent="0.25">
      <c r="A43" s="1"/>
      <c r="L43" s="1"/>
      <c r="M43" s="1"/>
      <c r="W43" s="1"/>
    </row>
    <row r="44" spans="1:23" x14ac:dyDescent="0.25">
      <c r="A44" s="1"/>
      <c r="L44" s="1"/>
      <c r="M44" s="1"/>
      <c r="W44" s="1"/>
    </row>
    <row r="45" spans="1:23" x14ac:dyDescent="0.25">
      <c r="A45" s="1"/>
      <c r="L45" s="1"/>
      <c r="M45" s="1"/>
      <c r="W45" s="1"/>
    </row>
    <row r="46" spans="1:23" x14ac:dyDescent="0.25">
      <c r="A46" s="1"/>
      <c r="L46" s="1"/>
      <c r="M46" s="1"/>
      <c r="W46" s="1"/>
    </row>
    <row r="47" spans="1:23" x14ac:dyDescent="0.25">
      <c r="A47" s="1"/>
      <c r="L47" s="1"/>
      <c r="M47" s="1"/>
      <c r="W47" s="1"/>
    </row>
    <row r="48" spans="1:23" x14ac:dyDescent="0.25">
      <c r="A48" s="1"/>
      <c r="L48" s="1"/>
      <c r="M48" s="1"/>
      <c r="W48" s="1"/>
    </row>
    <row r="49" spans="1:23" x14ac:dyDescent="0.25">
      <c r="A49" s="1"/>
      <c r="L49" s="1"/>
      <c r="M49" s="1"/>
      <c r="W49" s="1"/>
    </row>
    <row r="50" spans="1:23" x14ac:dyDescent="0.25">
      <c r="A50" s="1"/>
      <c r="L50" s="1"/>
      <c r="M50" s="1"/>
      <c r="W50" s="1"/>
    </row>
    <row r="51" spans="1:23" x14ac:dyDescent="0.25">
      <c r="A51" s="1"/>
      <c r="L51" s="1"/>
      <c r="M51" s="1"/>
      <c r="W51" s="1"/>
    </row>
    <row r="52" spans="1:23" x14ac:dyDescent="0.25">
      <c r="A52" s="1"/>
      <c r="L52" s="1"/>
      <c r="M52" s="1"/>
      <c r="W52" s="1"/>
    </row>
    <row r="53" spans="1:23" x14ac:dyDescent="0.25">
      <c r="A53" s="1"/>
      <c r="L53" s="1"/>
      <c r="M53" s="1"/>
      <c r="W53" s="1"/>
    </row>
    <row r="54" spans="1:23" x14ac:dyDescent="0.25">
      <c r="A54" s="1"/>
      <c r="L54" s="1"/>
      <c r="M54" s="1"/>
      <c r="W54" s="1"/>
    </row>
    <row r="55" spans="1:23" x14ac:dyDescent="0.25">
      <c r="A55" s="1"/>
      <c r="L55" s="1"/>
      <c r="M55" s="1"/>
      <c r="W55" s="1"/>
    </row>
    <row r="56" spans="1:23" x14ac:dyDescent="0.25">
      <c r="A56" s="1"/>
      <c r="L56" s="1"/>
      <c r="M56" s="1"/>
      <c r="W56" s="1"/>
    </row>
    <row r="57" spans="1:23" x14ac:dyDescent="0.25">
      <c r="A57" s="1"/>
      <c r="L57" s="1"/>
      <c r="M57" s="1"/>
      <c r="W57" s="1"/>
    </row>
    <row r="58" spans="1:23" x14ac:dyDescent="0.25">
      <c r="A58" s="1"/>
      <c r="L58" s="1"/>
      <c r="M58" s="1"/>
      <c r="N58" s="1"/>
      <c r="W58" s="1"/>
    </row>
    <row r="59" spans="1:23" x14ac:dyDescent="0.25">
      <c r="A59" s="1"/>
      <c r="L59" s="1"/>
      <c r="M59" s="1"/>
      <c r="N59" s="1"/>
      <c r="W59" s="1"/>
    </row>
    <row r="60" spans="1:23" x14ac:dyDescent="0.25">
      <c r="A60" s="1"/>
      <c r="L60" s="1"/>
      <c r="M60" s="1"/>
      <c r="W60" s="1"/>
    </row>
    <row r="61" spans="1:23" x14ac:dyDescent="0.25">
      <c r="A61" s="1"/>
      <c r="L61" s="1"/>
      <c r="M61" s="1"/>
      <c r="W61" s="1"/>
    </row>
    <row r="62" spans="1:23" x14ac:dyDescent="0.25">
      <c r="A62" s="1"/>
      <c r="L62" s="1"/>
      <c r="M62" s="1"/>
      <c r="W62" s="1"/>
    </row>
    <row r="63" spans="1:23" x14ac:dyDescent="0.25">
      <c r="A63" s="1"/>
      <c r="L63" s="1"/>
      <c r="M63" s="1"/>
      <c r="W63" s="1"/>
    </row>
    <row r="64" spans="1:23" x14ac:dyDescent="0.25">
      <c r="A64" s="1"/>
      <c r="L64" s="1"/>
      <c r="M64" s="1"/>
      <c r="W64" s="1"/>
    </row>
    <row r="65" spans="1:23" x14ac:dyDescent="0.25">
      <c r="A65" s="1"/>
      <c r="L65" s="1"/>
      <c r="M65" s="1"/>
      <c r="W65" s="1"/>
    </row>
    <row r="66" spans="1:23" x14ac:dyDescent="0.25">
      <c r="A66" s="1"/>
      <c r="L66" s="1"/>
      <c r="M66" s="1"/>
      <c r="W66" s="1"/>
    </row>
    <row r="67" spans="1:23" x14ac:dyDescent="0.25">
      <c r="A67" s="1"/>
      <c r="L67" s="1"/>
      <c r="M67" s="1"/>
      <c r="W67" s="1"/>
    </row>
    <row r="68" spans="1:23" x14ac:dyDescent="0.25">
      <c r="A68" s="1"/>
      <c r="L68" s="1"/>
      <c r="M68" s="1"/>
      <c r="W68" s="1"/>
    </row>
    <row r="69" spans="1:23" x14ac:dyDescent="0.25">
      <c r="A69" s="1"/>
      <c r="L69" s="1"/>
      <c r="M69" s="1"/>
      <c r="W69" s="1"/>
    </row>
    <row r="70" spans="1:23" x14ac:dyDescent="0.25">
      <c r="A70" s="1"/>
      <c r="L70" s="1"/>
      <c r="M70" s="1"/>
      <c r="W70" s="1"/>
    </row>
    <row r="71" spans="1:23" x14ac:dyDescent="0.25">
      <c r="A71" s="1"/>
      <c r="L71" s="1"/>
      <c r="M71" s="1"/>
      <c r="W71" s="1"/>
    </row>
    <row r="72" spans="1:23" x14ac:dyDescent="0.25">
      <c r="A72" s="1"/>
      <c r="L72" s="1"/>
      <c r="M72" s="1"/>
      <c r="N72" s="1"/>
      <c r="W72" s="1"/>
    </row>
    <row r="73" spans="1:23" x14ac:dyDescent="0.25">
      <c r="A73" s="1"/>
      <c r="L73" s="1"/>
      <c r="M73" s="1"/>
      <c r="W73" s="1"/>
    </row>
    <row r="74" spans="1:23" x14ac:dyDescent="0.25">
      <c r="A74" s="1"/>
      <c r="L74" s="1"/>
      <c r="M74" s="1"/>
      <c r="W74" s="1"/>
    </row>
    <row r="75" spans="1:23" x14ac:dyDescent="0.25">
      <c r="A75" s="1"/>
      <c r="L75" s="1"/>
      <c r="M75" s="1"/>
      <c r="W75" s="1"/>
    </row>
    <row r="76" spans="1:23" x14ac:dyDescent="0.25">
      <c r="A76" s="1"/>
      <c r="L76" s="1"/>
      <c r="M76" s="1"/>
      <c r="W76" s="1"/>
    </row>
    <row r="77" spans="1:23" x14ac:dyDescent="0.25">
      <c r="A77" s="1"/>
      <c r="L77" s="1"/>
      <c r="M77" s="1"/>
      <c r="W77" s="1"/>
    </row>
    <row r="78" spans="1:23" x14ac:dyDescent="0.25">
      <c r="A78" s="1"/>
      <c r="L78" s="1"/>
      <c r="M78" s="1"/>
      <c r="W78" s="1"/>
    </row>
    <row r="79" spans="1:23" x14ac:dyDescent="0.25">
      <c r="A79" s="1"/>
      <c r="L79" s="1"/>
      <c r="M79" s="1"/>
      <c r="W79" s="1"/>
    </row>
    <row r="80" spans="1:23" x14ac:dyDescent="0.25">
      <c r="A80" s="1"/>
      <c r="L80" s="1"/>
      <c r="M80" s="1"/>
      <c r="W80" s="1"/>
    </row>
    <row r="81" spans="1:23" x14ac:dyDescent="0.25">
      <c r="A81" s="1"/>
      <c r="L81" s="1"/>
      <c r="M81" s="1"/>
      <c r="W81" s="1"/>
    </row>
    <row r="82" spans="1:23" x14ac:dyDescent="0.25">
      <c r="A82" s="1"/>
      <c r="L82" s="1"/>
      <c r="M82" s="1"/>
      <c r="W82" s="1"/>
    </row>
    <row r="83" spans="1:23" x14ac:dyDescent="0.25">
      <c r="A83" s="1"/>
      <c r="L83" s="1"/>
      <c r="M83" s="1"/>
      <c r="W83" s="1"/>
    </row>
    <row r="84" spans="1:23" x14ac:dyDescent="0.25">
      <c r="A84" s="1"/>
      <c r="L84" s="1"/>
      <c r="M84" s="1"/>
      <c r="W84" s="1"/>
    </row>
    <row r="85" spans="1:23" x14ac:dyDescent="0.25">
      <c r="A85" s="1"/>
      <c r="L85" s="1"/>
      <c r="M85" s="1"/>
      <c r="W85" s="1"/>
    </row>
    <row r="86" spans="1:23" x14ac:dyDescent="0.25">
      <c r="A86" s="1"/>
      <c r="L86" s="1"/>
      <c r="M86" s="1"/>
      <c r="W86" s="1"/>
    </row>
    <row r="87" spans="1:23" x14ac:dyDescent="0.25">
      <c r="A87" s="1"/>
      <c r="L87" s="1"/>
      <c r="M87" s="1"/>
      <c r="W87" s="1"/>
    </row>
    <row r="88" spans="1:23" x14ac:dyDescent="0.25">
      <c r="A88" s="1"/>
      <c r="L88" s="1"/>
      <c r="M88" s="1"/>
      <c r="W88" s="1"/>
    </row>
    <row r="89" spans="1:23" x14ac:dyDescent="0.25">
      <c r="A89" s="1"/>
      <c r="L89" s="1"/>
      <c r="M89" s="1"/>
      <c r="W89" s="1"/>
    </row>
    <row r="90" spans="1:23" x14ac:dyDescent="0.25">
      <c r="A90" s="1"/>
      <c r="L90" s="1"/>
      <c r="M90" s="1"/>
      <c r="W90" s="1"/>
    </row>
    <row r="91" spans="1:23" x14ac:dyDescent="0.25">
      <c r="A91" s="1"/>
      <c r="L91" s="1"/>
      <c r="M91" s="1"/>
      <c r="W91" s="1"/>
    </row>
    <row r="92" spans="1:23" x14ac:dyDescent="0.25">
      <c r="A92" s="1"/>
      <c r="L92" s="1"/>
      <c r="M92" s="1"/>
      <c r="W92" s="1"/>
    </row>
    <row r="93" spans="1:23" x14ac:dyDescent="0.25">
      <c r="A93" s="1"/>
      <c r="L93" s="1"/>
      <c r="M93" s="1"/>
      <c r="W93" s="1"/>
    </row>
    <row r="94" spans="1:23" x14ac:dyDescent="0.25">
      <c r="A94" s="1"/>
      <c r="L94" s="1"/>
      <c r="M94" s="1"/>
      <c r="W94" s="1"/>
    </row>
    <row r="95" spans="1:23" x14ac:dyDescent="0.25">
      <c r="A95" s="1"/>
      <c r="L95" s="1"/>
      <c r="M95" s="1"/>
      <c r="W95" s="1"/>
    </row>
    <row r="96" spans="1:23" x14ac:dyDescent="0.25">
      <c r="A96" s="1"/>
      <c r="L96" s="1"/>
      <c r="M96" s="1"/>
      <c r="W96" s="1"/>
    </row>
    <row r="97" spans="1:23" x14ac:dyDescent="0.25">
      <c r="A97" s="1"/>
      <c r="L97" s="1"/>
      <c r="M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W103" s="1"/>
    </row>
    <row r="104" spans="1:23" x14ac:dyDescent="0.25">
      <c r="A104" s="1"/>
      <c r="L104" s="1"/>
      <c r="M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W115" s="1"/>
    </row>
    <row r="116" spans="1:23" x14ac:dyDescent="0.25">
      <c r="A116" s="1"/>
      <c r="L116" s="1"/>
      <c r="M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N615" s="1"/>
      <c r="W615" s="1"/>
    </row>
    <row r="616" spans="1:23" x14ac:dyDescent="0.25">
      <c r="A616" s="1"/>
      <c r="L616" s="1"/>
      <c r="M616" s="1"/>
      <c r="N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N748" s="1"/>
      <c r="W748" s="1"/>
    </row>
    <row r="749" spans="1:23" x14ac:dyDescent="0.25">
      <c r="A749" s="1"/>
      <c r="L749" s="1"/>
      <c r="M749" s="1"/>
      <c r="N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N884" s="1"/>
      <c r="W884" s="1"/>
    </row>
    <row r="885" spans="1:23" x14ac:dyDescent="0.25">
      <c r="A885" s="1"/>
      <c r="L885" s="1"/>
      <c r="M885" s="1"/>
      <c r="N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2B82-C62B-4813-81E9-B489FA2A0979}">
  <dimension ref="A1:AA895"/>
  <sheetViews>
    <sheetView tabSelected="1" workbookViewId="0">
      <selection activeCell="Q2" sqref="Q2:Q9"/>
    </sheetView>
  </sheetViews>
  <sheetFormatPr defaultRowHeight="15" x14ac:dyDescent="0.25"/>
  <cols>
    <col min="1" max="1" width="17.28515625" bestFit="1" customWidth="1"/>
    <col min="2" max="2" width="25.5703125" customWidth="1"/>
    <col min="3" max="3" width="17.42578125" customWidth="1"/>
    <col min="4" max="4" width="18" customWidth="1"/>
    <col min="5" max="5" width="30.42578125" customWidth="1"/>
    <col min="6" max="6" width="13.7109375" bestFit="1" customWidth="1"/>
    <col min="8" max="8" width="15.7109375" bestFit="1" customWidth="1"/>
    <col min="9" max="9" width="13.5703125" bestFit="1" customWidth="1"/>
    <col min="12" max="12" width="27.85546875" bestFit="1" customWidth="1"/>
    <col min="16" max="16" width="21.140625" bestFit="1" customWidth="1"/>
  </cols>
  <sheetData>
    <row r="1" spans="1:27" x14ac:dyDescent="0.25">
      <c r="A1" t="s">
        <v>1</v>
      </c>
      <c r="C1" t="s">
        <v>4</v>
      </c>
      <c r="F1" t="s">
        <v>5</v>
      </c>
      <c r="G1" t="s">
        <v>6</v>
      </c>
      <c r="H1" t="s">
        <v>11</v>
      </c>
      <c r="I1" t="s">
        <v>12</v>
      </c>
      <c r="J1" t="s">
        <v>14</v>
      </c>
      <c r="K1" t="s">
        <v>15</v>
      </c>
      <c r="L1" t="s">
        <v>16</v>
      </c>
      <c r="M1" t="s">
        <v>18</v>
      </c>
      <c r="N1" t="s">
        <v>20</v>
      </c>
    </row>
    <row r="2" spans="1:27" s="2" customFormat="1" x14ac:dyDescent="0.25">
      <c r="A2" s="2" t="s">
        <v>75</v>
      </c>
      <c r="B2" s="2" t="str">
        <f>CONCATENATE(A2,8)</f>
        <v>6D86H72AY468</v>
      </c>
      <c r="C2" s="2" t="s">
        <v>95</v>
      </c>
      <c r="D2" s="2" t="s">
        <v>96</v>
      </c>
      <c r="E2" s="2" t="str">
        <f>CONCATENATE(D2, " ",C2)</f>
        <v>KURT STIMMEL</v>
      </c>
      <c r="F2" s="2" t="s">
        <v>69</v>
      </c>
      <c r="G2" s="2" t="s">
        <v>28</v>
      </c>
      <c r="H2" s="3">
        <v>45931</v>
      </c>
      <c r="I2" s="3">
        <v>45931</v>
      </c>
      <c r="J2" s="2">
        <v>18710070</v>
      </c>
      <c r="K2" s="2" t="s">
        <v>32</v>
      </c>
      <c r="L2" s="2" t="s">
        <v>79</v>
      </c>
      <c r="M2" s="2" t="s">
        <v>34</v>
      </c>
      <c r="N2" s="2">
        <v>125.75</v>
      </c>
      <c r="O2" s="2">
        <f>353/12*3</f>
        <v>88.25</v>
      </c>
      <c r="P2" s="2" t="s">
        <v>88</v>
      </c>
      <c r="Q2" s="2" t="s">
        <v>90</v>
      </c>
    </row>
    <row r="3" spans="1:27" s="2" customFormat="1" x14ac:dyDescent="0.25">
      <c r="A3" s="2" t="s">
        <v>80</v>
      </c>
      <c r="B3" s="2" t="str">
        <f>CONCATENATE(A3,8)</f>
        <v>2C12F72DV968</v>
      </c>
      <c r="C3" s="2" t="s">
        <v>97</v>
      </c>
      <c r="D3" s="2" t="s">
        <v>98</v>
      </c>
      <c r="E3" s="2" t="str">
        <f t="shared" ref="E3:E18" si="0">CONCATENATE(D3, " ",C3)</f>
        <v>MARY WYNNE</v>
      </c>
      <c r="F3" s="2" t="s">
        <v>69</v>
      </c>
      <c r="G3" s="2" t="s">
        <v>28</v>
      </c>
      <c r="H3" s="3">
        <v>45992</v>
      </c>
      <c r="I3" s="3">
        <v>45992</v>
      </c>
      <c r="J3" s="2">
        <v>16509456</v>
      </c>
      <c r="K3" s="2" t="s">
        <v>32</v>
      </c>
      <c r="L3" s="2" t="s">
        <v>84</v>
      </c>
      <c r="M3" s="2" t="s">
        <v>34</v>
      </c>
      <c r="N3" s="2">
        <v>40.67</v>
      </c>
      <c r="O3" s="4">
        <f>353/12*1</f>
        <v>29.416666666666668</v>
      </c>
      <c r="P3" s="2" t="s">
        <v>88</v>
      </c>
      <c r="Q3" s="2" t="s">
        <v>91</v>
      </c>
    </row>
    <row r="4" spans="1:27" s="7" customFormat="1" x14ac:dyDescent="0.25">
      <c r="A4" s="7" t="s">
        <v>37</v>
      </c>
      <c r="B4" s="7" t="str">
        <f>CONCATENATE(A4,7)</f>
        <v>4GU4HF9WT787</v>
      </c>
      <c r="C4" s="7" t="s">
        <v>99</v>
      </c>
      <c r="D4" s="7" t="s">
        <v>100</v>
      </c>
      <c r="E4" s="2" t="str">
        <f t="shared" si="0"/>
        <v>STEPHEN DELLETT</v>
      </c>
      <c r="F4" s="7" t="s">
        <v>40</v>
      </c>
      <c r="G4" s="7" t="s">
        <v>41</v>
      </c>
      <c r="H4" s="8">
        <v>45658</v>
      </c>
      <c r="I4" s="8">
        <v>45658</v>
      </c>
      <c r="J4" s="7">
        <v>20490188</v>
      </c>
      <c r="K4" s="7" t="s">
        <v>32</v>
      </c>
      <c r="L4" s="7" t="s">
        <v>44</v>
      </c>
      <c r="M4" s="7" t="s">
        <v>45</v>
      </c>
      <c r="N4" s="7">
        <v>563.25</v>
      </c>
      <c r="O4" s="7">
        <f>626/12*9</f>
        <v>469.5</v>
      </c>
      <c r="P4" s="7" t="s">
        <v>86</v>
      </c>
      <c r="Q4" s="7" t="s">
        <v>92</v>
      </c>
    </row>
    <row r="5" spans="1:27" s="2" customFormat="1" x14ac:dyDescent="0.25">
      <c r="A5" s="7" t="s">
        <v>37</v>
      </c>
      <c r="B5" s="7" t="str">
        <f>CONCATENATE(A5,7)</f>
        <v>4GU4HF9WT787</v>
      </c>
      <c r="C5" s="7" t="s">
        <v>99</v>
      </c>
      <c r="D5" s="7" t="s">
        <v>100</v>
      </c>
      <c r="E5" s="2" t="str">
        <f t="shared" si="0"/>
        <v>STEPHEN DELLETT</v>
      </c>
      <c r="F5" s="7" t="s">
        <v>40</v>
      </c>
      <c r="G5" s="7" t="s">
        <v>47</v>
      </c>
      <c r="H5" s="8">
        <v>45658</v>
      </c>
      <c r="I5" s="8">
        <v>45658</v>
      </c>
      <c r="J5" s="7">
        <v>20490188</v>
      </c>
      <c r="K5" s="7" t="s">
        <v>32</v>
      </c>
      <c r="L5" s="7" t="s">
        <v>44</v>
      </c>
      <c r="M5" s="7" t="s">
        <v>45</v>
      </c>
      <c r="N5" s="7">
        <v>-751</v>
      </c>
      <c r="O5" s="7">
        <v>-626</v>
      </c>
      <c r="P5" s="7" t="s">
        <v>86</v>
      </c>
      <c r="Q5" s="7" t="s">
        <v>93</v>
      </c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7" customFormat="1" x14ac:dyDescent="0.25">
      <c r="A6" s="2" t="s">
        <v>24</v>
      </c>
      <c r="B6" s="2" t="str">
        <f t="shared" ref="B6:B9" si="1">CONCATENATE(A6,8)</f>
        <v>6MX9AQ6XW348</v>
      </c>
      <c r="C6" s="2" t="s">
        <v>101</v>
      </c>
      <c r="D6" s="2" t="s">
        <v>102</v>
      </c>
      <c r="E6" s="2" t="str">
        <f t="shared" si="0"/>
        <v>KATHY CLARK</v>
      </c>
      <c r="F6" s="2" t="s">
        <v>27</v>
      </c>
      <c r="G6" s="2" t="s">
        <v>28</v>
      </c>
      <c r="H6" s="3">
        <v>45962</v>
      </c>
      <c r="I6" s="3">
        <v>45962</v>
      </c>
      <c r="J6" s="2">
        <v>8307933</v>
      </c>
      <c r="K6" s="2" t="s">
        <v>32</v>
      </c>
      <c r="L6" s="2" t="s">
        <v>33</v>
      </c>
      <c r="M6" s="2" t="s">
        <v>34</v>
      </c>
      <c r="N6" s="2">
        <v>77.17</v>
      </c>
      <c r="O6" s="4">
        <f>313/12*2</f>
        <v>52.166666666666664</v>
      </c>
      <c r="P6" s="2" t="s">
        <v>87</v>
      </c>
      <c r="Q6" s="2" t="s">
        <v>89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s="2" customFormat="1" x14ac:dyDescent="0.25">
      <c r="A7" s="2" t="s">
        <v>48</v>
      </c>
      <c r="B7" s="2" t="str">
        <f t="shared" si="1"/>
        <v>8F73V59FX038</v>
      </c>
      <c r="C7" s="2" t="s">
        <v>103</v>
      </c>
      <c r="D7" s="2" t="s">
        <v>104</v>
      </c>
      <c r="E7" s="2" t="str">
        <f t="shared" si="0"/>
        <v>SCOTT EHRLICHMAN</v>
      </c>
      <c r="F7" s="2" t="s">
        <v>51</v>
      </c>
      <c r="G7" s="2" t="s">
        <v>28</v>
      </c>
      <c r="H7" s="3">
        <v>45962</v>
      </c>
      <c r="I7" s="3">
        <v>45962</v>
      </c>
      <c r="J7" s="2">
        <v>8325282</v>
      </c>
      <c r="K7" s="2" t="s">
        <v>32</v>
      </c>
      <c r="L7" s="2" t="s">
        <v>53</v>
      </c>
      <c r="M7" s="2" t="s">
        <v>34</v>
      </c>
      <c r="N7" s="2">
        <v>74.67</v>
      </c>
      <c r="O7" s="2">
        <v>52.17</v>
      </c>
      <c r="P7" s="2" t="s">
        <v>87</v>
      </c>
      <c r="Q7" s="2" t="s">
        <v>89</v>
      </c>
    </row>
    <row r="8" spans="1:27" s="2" customFormat="1" x14ac:dyDescent="0.25">
      <c r="A8" s="2" t="s">
        <v>54</v>
      </c>
      <c r="B8" s="2" t="str">
        <f t="shared" si="1"/>
        <v>8U41DY3CR268</v>
      </c>
      <c r="C8" s="2" t="s">
        <v>105</v>
      </c>
      <c r="D8" s="2" t="s">
        <v>106</v>
      </c>
      <c r="E8" s="2" t="str">
        <f t="shared" si="0"/>
        <v>PHANOMPHONE KINGPHAVONG</v>
      </c>
      <c r="F8" s="2" t="s">
        <v>40</v>
      </c>
      <c r="G8" s="2" t="s">
        <v>28</v>
      </c>
      <c r="H8" s="3">
        <v>45962</v>
      </c>
      <c r="I8" s="3">
        <v>45962</v>
      </c>
      <c r="J8" s="2">
        <v>8405446</v>
      </c>
      <c r="K8" s="2" t="s">
        <v>32</v>
      </c>
      <c r="L8" s="2" t="s">
        <v>58</v>
      </c>
      <c r="M8" s="2" t="s">
        <v>34</v>
      </c>
      <c r="N8" s="2">
        <v>74.67</v>
      </c>
      <c r="O8" s="2">
        <v>52.17</v>
      </c>
      <c r="P8" s="2" t="s">
        <v>87</v>
      </c>
      <c r="Q8" s="2" t="s">
        <v>89</v>
      </c>
    </row>
    <row r="9" spans="1:27" s="2" customFormat="1" x14ac:dyDescent="0.25">
      <c r="A9" s="2" t="s">
        <v>59</v>
      </c>
      <c r="B9" s="2" t="str">
        <f t="shared" si="1"/>
        <v>8VA3ED8FT928</v>
      </c>
      <c r="C9" s="2" t="s">
        <v>107</v>
      </c>
      <c r="D9" s="2" t="s">
        <v>108</v>
      </c>
      <c r="E9" s="2" t="str">
        <f t="shared" si="0"/>
        <v>MICHAEL MACHNE</v>
      </c>
      <c r="F9" s="2" t="s">
        <v>62</v>
      </c>
      <c r="G9" s="2" t="s">
        <v>28</v>
      </c>
      <c r="H9" s="3">
        <v>45962</v>
      </c>
      <c r="I9" s="3">
        <v>45962</v>
      </c>
      <c r="J9" s="2">
        <v>18142208</v>
      </c>
      <c r="K9" s="2" t="s">
        <v>32</v>
      </c>
      <c r="L9" s="2" t="s">
        <v>65</v>
      </c>
      <c r="M9" s="2" t="s">
        <v>34</v>
      </c>
      <c r="N9" s="2">
        <v>77.17</v>
      </c>
      <c r="O9" s="4">
        <f>313/12*2</f>
        <v>52.166666666666664</v>
      </c>
      <c r="P9" s="2" t="s">
        <v>87</v>
      </c>
      <c r="Q9" s="2" t="s">
        <v>89</v>
      </c>
    </row>
    <row r="10" spans="1:27" s="2" customFormat="1" x14ac:dyDescent="0.25">
      <c r="A10" s="2" t="s">
        <v>24</v>
      </c>
      <c r="B10" s="2" t="str">
        <f>CONCATENATE(A10,"OVR")</f>
        <v>6MX9AQ6XW34OVR</v>
      </c>
      <c r="C10" s="2" t="s">
        <v>101</v>
      </c>
      <c r="D10" s="2" t="s">
        <v>102</v>
      </c>
      <c r="E10" s="2" t="str">
        <f t="shared" si="0"/>
        <v>KATHY CLARK</v>
      </c>
      <c r="F10" s="2" t="s">
        <v>27</v>
      </c>
      <c r="G10" s="2" t="s">
        <v>28</v>
      </c>
      <c r="H10" s="3">
        <v>45962</v>
      </c>
      <c r="I10" s="3">
        <v>45962</v>
      </c>
      <c r="J10" s="2">
        <v>20411454</v>
      </c>
      <c r="K10" s="2" t="s">
        <v>32</v>
      </c>
      <c r="L10" s="2" t="s">
        <v>94</v>
      </c>
      <c r="M10" s="2" t="s">
        <v>34</v>
      </c>
      <c r="N10" s="2">
        <v>77.17</v>
      </c>
      <c r="O10" s="2">
        <f>150/12*2</f>
        <v>25</v>
      </c>
      <c r="P10" s="2" t="s">
        <v>85</v>
      </c>
    </row>
    <row r="11" spans="1:27" s="2" customFormat="1" x14ac:dyDescent="0.25">
      <c r="A11" s="2" t="s">
        <v>37</v>
      </c>
      <c r="B11" s="2" t="str">
        <f t="shared" ref="B11:B15" si="2">CONCATENATE(A11,"OVR")</f>
        <v>4GU4HF9WT78OVR</v>
      </c>
      <c r="C11" s="2" t="s">
        <v>99</v>
      </c>
      <c r="D11" s="2" t="s">
        <v>100</v>
      </c>
      <c r="E11" s="2" t="str">
        <f t="shared" si="0"/>
        <v>STEPHEN DELLETT</v>
      </c>
      <c r="F11" s="2" t="s">
        <v>40</v>
      </c>
      <c r="G11" s="2" t="s">
        <v>41</v>
      </c>
      <c r="H11" s="3">
        <v>45658</v>
      </c>
      <c r="I11" s="3">
        <v>45658</v>
      </c>
      <c r="J11" s="2">
        <v>20411454</v>
      </c>
      <c r="K11" s="2" t="s">
        <v>32</v>
      </c>
      <c r="L11" s="2" t="s">
        <v>94</v>
      </c>
      <c r="M11" s="2" t="s">
        <v>45</v>
      </c>
      <c r="N11" s="2">
        <v>563.25</v>
      </c>
      <c r="O11" s="2">
        <v>93.75</v>
      </c>
      <c r="P11" s="2" t="s">
        <v>85</v>
      </c>
    </row>
    <row r="12" spans="1:27" s="2" customFormat="1" x14ac:dyDescent="0.25">
      <c r="A12" s="2" t="s">
        <v>37</v>
      </c>
      <c r="B12" s="2" t="str">
        <f t="shared" si="2"/>
        <v>4GU4HF9WT78OVR</v>
      </c>
      <c r="C12" s="2" t="s">
        <v>99</v>
      </c>
      <c r="D12" s="2" t="s">
        <v>100</v>
      </c>
      <c r="E12" s="2" t="str">
        <f t="shared" si="0"/>
        <v>STEPHEN DELLETT</v>
      </c>
      <c r="F12" s="2" t="s">
        <v>40</v>
      </c>
      <c r="G12" s="2" t="s">
        <v>47</v>
      </c>
      <c r="H12" s="3">
        <v>45658</v>
      </c>
      <c r="I12" s="3">
        <v>45658</v>
      </c>
      <c r="J12" s="2">
        <v>20411454</v>
      </c>
      <c r="K12" s="2" t="s">
        <v>32</v>
      </c>
      <c r="L12" s="2" t="s">
        <v>94</v>
      </c>
      <c r="M12" s="2" t="s">
        <v>45</v>
      </c>
      <c r="N12" s="2">
        <v>-751</v>
      </c>
      <c r="O12" s="2">
        <v>-125</v>
      </c>
      <c r="P12" s="2" t="s">
        <v>85</v>
      </c>
    </row>
    <row r="13" spans="1:27" s="2" customFormat="1" x14ac:dyDescent="0.25">
      <c r="A13" s="2" t="s">
        <v>48</v>
      </c>
      <c r="B13" s="2" t="str">
        <f t="shared" si="2"/>
        <v>8F73V59FX03OVR</v>
      </c>
      <c r="C13" s="2" t="s">
        <v>103</v>
      </c>
      <c r="D13" s="2" t="s">
        <v>104</v>
      </c>
      <c r="E13" s="2" t="str">
        <f t="shared" si="0"/>
        <v>SCOTT EHRLICHMAN</v>
      </c>
      <c r="F13" s="2" t="s">
        <v>51</v>
      </c>
      <c r="G13" s="2" t="s">
        <v>28</v>
      </c>
      <c r="H13" s="3">
        <v>45962</v>
      </c>
      <c r="I13" s="3">
        <v>45962</v>
      </c>
      <c r="J13" s="2">
        <v>20411454</v>
      </c>
      <c r="K13" s="2" t="s">
        <v>32</v>
      </c>
      <c r="L13" s="2" t="s">
        <v>94</v>
      </c>
      <c r="M13" s="2" t="s">
        <v>34</v>
      </c>
      <c r="N13" s="2">
        <v>74.67</v>
      </c>
      <c r="O13" s="2">
        <f>135/12*2</f>
        <v>22.5</v>
      </c>
      <c r="P13" s="2" t="s">
        <v>85</v>
      </c>
    </row>
    <row r="14" spans="1:27" s="5" customFormat="1" x14ac:dyDescent="0.25">
      <c r="A14" s="2" t="s">
        <v>54</v>
      </c>
      <c r="B14" s="2" t="str">
        <f t="shared" si="2"/>
        <v>8U41DY3CR26OVR</v>
      </c>
      <c r="C14" s="2" t="s">
        <v>105</v>
      </c>
      <c r="D14" s="2" t="s">
        <v>106</v>
      </c>
      <c r="E14" s="2" t="str">
        <f t="shared" si="0"/>
        <v>PHANOMPHONE KINGPHAVONG</v>
      </c>
      <c r="F14" s="2" t="s">
        <v>40</v>
      </c>
      <c r="G14" s="2" t="s">
        <v>28</v>
      </c>
      <c r="H14" s="3">
        <v>45962</v>
      </c>
      <c r="I14" s="3">
        <v>45962</v>
      </c>
      <c r="J14" s="2">
        <v>20411454</v>
      </c>
      <c r="K14" s="2" t="s">
        <v>32</v>
      </c>
      <c r="L14" s="2" t="s">
        <v>94</v>
      </c>
      <c r="M14" s="2" t="s">
        <v>34</v>
      </c>
      <c r="N14" s="2">
        <v>74.67</v>
      </c>
      <c r="O14" s="2">
        <f>135/12*2</f>
        <v>22.5</v>
      </c>
      <c r="P14" s="2" t="s">
        <v>85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s="2" customFormat="1" x14ac:dyDescent="0.25">
      <c r="A15" s="2" t="s">
        <v>59</v>
      </c>
      <c r="B15" s="2" t="str">
        <f t="shared" si="2"/>
        <v>8VA3ED8FT92OVR</v>
      </c>
      <c r="C15" s="2" t="s">
        <v>107</v>
      </c>
      <c r="D15" s="2" t="s">
        <v>108</v>
      </c>
      <c r="E15" s="2" t="str">
        <f t="shared" si="0"/>
        <v>MICHAEL MACHNE</v>
      </c>
      <c r="F15" s="2" t="s">
        <v>62</v>
      </c>
      <c r="G15" s="2" t="s">
        <v>28</v>
      </c>
      <c r="H15" s="3">
        <v>45962</v>
      </c>
      <c r="I15" s="3">
        <v>45962</v>
      </c>
      <c r="J15" s="2">
        <v>20411454</v>
      </c>
      <c r="K15" s="2" t="s">
        <v>32</v>
      </c>
      <c r="L15" s="2" t="s">
        <v>94</v>
      </c>
      <c r="M15" s="2" t="s">
        <v>34</v>
      </c>
      <c r="N15" s="2">
        <v>77.17</v>
      </c>
      <c r="O15" s="2">
        <f>150/12*2</f>
        <v>25</v>
      </c>
      <c r="P15" s="2" t="s">
        <v>85</v>
      </c>
    </row>
    <row r="16" spans="1:27" s="5" customFormat="1" x14ac:dyDescent="0.25">
      <c r="A16" s="5" t="s">
        <v>66</v>
      </c>
      <c r="B16" s="5" t="str">
        <f>CONCATENATE(A16,"OVR")</f>
        <v>1UQ0JE6EX19OVR</v>
      </c>
      <c r="C16" s="5" t="s">
        <v>109</v>
      </c>
      <c r="D16" s="5" t="s">
        <v>110</v>
      </c>
      <c r="E16" s="2" t="str">
        <f t="shared" si="0"/>
        <v>BONNIE MORRIS</v>
      </c>
      <c r="F16" s="5" t="s">
        <v>69</v>
      </c>
      <c r="G16" s="5" t="s">
        <v>70</v>
      </c>
      <c r="H16" s="6">
        <v>45931</v>
      </c>
      <c r="I16" s="6">
        <v>45292</v>
      </c>
      <c r="J16" s="5">
        <v>20411454</v>
      </c>
      <c r="K16" s="5" t="s">
        <v>32</v>
      </c>
      <c r="L16" s="5" t="s">
        <v>94</v>
      </c>
      <c r="M16" s="5" t="s">
        <v>74</v>
      </c>
      <c r="N16" s="5">
        <v>-2.5</v>
      </c>
      <c r="O16" s="5">
        <v>-2.5</v>
      </c>
      <c r="P16" s="5" t="s">
        <v>85</v>
      </c>
    </row>
    <row r="17" spans="1:16" s="2" customFormat="1" x14ac:dyDescent="0.25">
      <c r="A17" s="2" t="s">
        <v>75</v>
      </c>
      <c r="B17" s="2" t="str">
        <f t="shared" ref="B17:B18" si="3">CONCATENATE(A17,"OVR")</f>
        <v>6D86H72AY46OVR</v>
      </c>
      <c r="C17" s="2" t="s">
        <v>95</v>
      </c>
      <c r="D17" s="2" t="s">
        <v>96</v>
      </c>
      <c r="E17" s="2" t="str">
        <f t="shared" si="0"/>
        <v>KURT STIMMEL</v>
      </c>
      <c r="F17" s="2" t="s">
        <v>69</v>
      </c>
      <c r="G17" s="2" t="s">
        <v>28</v>
      </c>
      <c r="H17" s="3">
        <v>45931</v>
      </c>
      <c r="I17" s="3">
        <v>45931</v>
      </c>
      <c r="J17" s="2">
        <v>20411454</v>
      </c>
      <c r="K17" s="2" t="s">
        <v>32</v>
      </c>
      <c r="L17" s="2" t="s">
        <v>94</v>
      </c>
      <c r="M17" s="2" t="s">
        <v>34</v>
      </c>
      <c r="N17" s="2">
        <v>125.75</v>
      </c>
      <c r="O17" s="2">
        <f>150/12*3</f>
        <v>37.5</v>
      </c>
      <c r="P17" s="2" t="s">
        <v>85</v>
      </c>
    </row>
    <row r="18" spans="1:16" s="2" customFormat="1" x14ac:dyDescent="0.25">
      <c r="A18" s="2" t="s">
        <v>80</v>
      </c>
      <c r="B18" s="2" t="str">
        <f t="shared" si="3"/>
        <v>2C12F72DV96OVR</v>
      </c>
      <c r="C18" s="2" t="s">
        <v>97</v>
      </c>
      <c r="D18" s="2" t="s">
        <v>98</v>
      </c>
      <c r="E18" s="2" t="str">
        <f t="shared" si="0"/>
        <v>MARY WYNNE</v>
      </c>
      <c r="F18" s="2" t="s">
        <v>69</v>
      </c>
      <c r="G18" s="2" t="s">
        <v>28</v>
      </c>
      <c r="H18" s="3">
        <v>45992</v>
      </c>
      <c r="I18" s="3">
        <v>45992</v>
      </c>
      <c r="J18" s="2">
        <v>20411454</v>
      </c>
      <c r="K18" s="2" t="s">
        <v>32</v>
      </c>
      <c r="L18" s="2" t="s">
        <v>94</v>
      </c>
      <c r="M18" s="2" t="s">
        <v>34</v>
      </c>
      <c r="N18" s="2">
        <v>40.67</v>
      </c>
      <c r="O18" s="4">
        <f>135/12*1</f>
        <v>11.25</v>
      </c>
      <c r="P18" s="2" t="s">
        <v>85</v>
      </c>
    </row>
    <row r="19" spans="1:16" x14ac:dyDescent="0.25">
      <c r="H19" s="1"/>
      <c r="I19" s="1"/>
    </row>
    <row r="20" spans="1:16" x14ac:dyDescent="0.25">
      <c r="H20" s="1"/>
      <c r="I20" s="1"/>
    </row>
    <row r="21" spans="1:16" x14ac:dyDescent="0.25">
      <c r="H21" s="1"/>
      <c r="I21" s="1"/>
    </row>
    <row r="22" spans="1:16" x14ac:dyDescent="0.25">
      <c r="H22" s="1"/>
      <c r="I22" s="1"/>
    </row>
    <row r="23" spans="1:16" x14ac:dyDescent="0.25">
      <c r="H23" s="1"/>
      <c r="I23" s="1"/>
    </row>
    <row r="24" spans="1:16" x14ac:dyDescent="0.25">
      <c r="H24" s="1"/>
      <c r="I24" s="1"/>
    </row>
    <row r="25" spans="1:16" x14ac:dyDescent="0.25">
      <c r="H25" s="1"/>
      <c r="I25" s="1"/>
    </row>
    <row r="26" spans="1:16" x14ac:dyDescent="0.25">
      <c r="H26" s="1"/>
      <c r="I26" s="1"/>
    </row>
    <row r="27" spans="1:16" x14ac:dyDescent="0.25">
      <c r="H27" s="1"/>
      <c r="I27" s="1"/>
    </row>
    <row r="28" spans="1:16" x14ac:dyDescent="0.25">
      <c r="H28" s="1"/>
      <c r="I28" s="1"/>
    </row>
    <row r="29" spans="1:16" x14ac:dyDescent="0.25">
      <c r="H29" s="1"/>
      <c r="I29" s="1"/>
    </row>
    <row r="30" spans="1:16" x14ac:dyDescent="0.25">
      <c r="H30" s="1"/>
      <c r="I30" s="1"/>
    </row>
    <row r="31" spans="1:16" x14ac:dyDescent="0.25">
      <c r="H31" s="1"/>
      <c r="I31" s="1"/>
    </row>
    <row r="32" spans="1:16" x14ac:dyDescent="0.25">
      <c r="H32" s="1"/>
      <c r="I32" s="1"/>
    </row>
    <row r="33" spans="8:9" x14ac:dyDescent="0.25">
      <c r="H33" s="1"/>
      <c r="I33" s="1"/>
    </row>
    <row r="34" spans="8:9" x14ac:dyDescent="0.25">
      <c r="H34" s="1"/>
      <c r="I34" s="1"/>
    </row>
    <row r="35" spans="8:9" x14ac:dyDescent="0.25">
      <c r="H35" s="1"/>
      <c r="I35" s="1"/>
    </row>
    <row r="36" spans="8:9" x14ac:dyDescent="0.25">
      <c r="H36" s="1"/>
      <c r="I36" s="1"/>
    </row>
    <row r="37" spans="8:9" x14ac:dyDescent="0.25">
      <c r="H37" s="1"/>
      <c r="I37" s="1"/>
    </row>
    <row r="38" spans="8:9" x14ac:dyDescent="0.25">
      <c r="H38" s="1"/>
      <c r="I38" s="1"/>
    </row>
    <row r="39" spans="8:9" x14ac:dyDescent="0.25">
      <c r="H39" s="1"/>
      <c r="I39" s="1"/>
    </row>
    <row r="40" spans="8:9" x14ac:dyDescent="0.25">
      <c r="H40" s="1"/>
      <c r="I40" s="1"/>
    </row>
    <row r="41" spans="8:9" x14ac:dyDescent="0.25">
      <c r="H41" s="1"/>
      <c r="I41" s="1"/>
    </row>
    <row r="42" spans="8:9" x14ac:dyDescent="0.25">
      <c r="H42" s="1"/>
      <c r="I42" s="1"/>
    </row>
    <row r="43" spans="8:9" x14ac:dyDescent="0.25">
      <c r="H43" s="1"/>
      <c r="I43" s="1"/>
    </row>
    <row r="44" spans="8:9" x14ac:dyDescent="0.25">
      <c r="H44" s="1"/>
      <c r="I44" s="1"/>
    </row>
    <row r="45" spans="8:9" x14ac:dyDescent="0.25">
      <c r="H45" s="1"/>
      <c r="I45" s="1"/>
    </row>
    <row r="46" spans="8:9" x14ac:dyDescent="0.25">
      <c r="H46" s="1"/>
      <c r="I46" s="1"/>
    </row>
    <row r="47" spans="8:9" x14ac:dyDescent="0.25">
      <c r="H47" s="1"/>
      <c r="I47" s="1"/>
    </row>
    <row r="48" spans="8:9" x14ac:dyDescent="0.25">
      <c r="H48" s="1"/>
      <c r="I48" s="1"/>
    </row>
    <row r="49" spans="8:9" x14ac:dyDescent="0.25">
      <c r="H49" s="1"/>
      <c r="I49" s="1"/>
    </row>
    <row r="50" spans="8:9" x14ac:dyDescent="0.25">
      <c r="H50" s="1"/>
      <c r="I50" s="1"/>
    </row>
    <row r="51" spans="8:9" x14ac:dyDescent="0.25">
      <c r="H51" s="1"/>
      <c r="I51" s="1"/>
    </row>
    <row r="52" spans="8:9" x14ac:dyDescent="0.25">
      <c r="H52" s="1"/>
      <c r="I52" s="1"/>
    </row>
    <row r="53" spans="8:9" x14ac:dyDescent="0.25">
      <c r="H53" s="1"/>
      <c r="I53" s="1"/>
    </row>
    <row r="54" spans="8:9" x14ac:dyDescent="0.25">
      <c r="H54" s="1"/>
      <c r="I54" s="1"/>
    </row>
    <row r="55" spans="8:9" x14ac:dyDescent="0.25">
      <c r="H55" s="1"/>
      <c r="I55" s="1"/>
    </row>
    <row r="56" spans="8:9" x14ac:dyDescent="0.25">
      <c r="H56" s="1"/>
      <c r="I56" s="1"/>
    </row>
    <row r="57" spans="8:9" x14ac:dyDescent="0.25">
      <c r="H57" s="1"/>
      <c r="I57" s="1"/>
    </row>
    <row r="58" spans="8:9" x14ac:dyDescent="0.25">
      <c r="H58" s="1"/>
      <c r="I58" s="1"/>
    </row>
    <row r="59" spans="8:9" x14ac:dyDescent="0.25">
      <c r="H59" s="1"/>
      <c r="I59" s="1"/>
    </row>
    <row r="60" spans="8:9" x14ac:dyDescent="0.25">
      <c r="H60" s="1"/>
      <c r="I60" s="1"/>
    </row>
    <row r="61" spans="8:9" x14ac:dyDescent="0.25">
      <c r="H61" s="1"/>
      <c r="I61" s="1"/>
    </row>
    <row r="62" spans="8:9" x14ac:dyDescent="0.25">
      <c r="H62" s="1"/>
      <c r="I62" s="1"/>
    </row>
    <row r="63" spans="8:9" x14ac:dyDescent="0.25">
      <c r="H63" s="1"/>
      <c r="I63" s="1"/>
    </row>
    <row r="64" spans="8:9" x14ac:dyDescent="0.25">
      <c r="H64" s="1"/>
      <c r="I64" s="1"/>
    </row>
    <row r="65" spans="8:9" x14ac:dyDescent="0.25">
      <c r="H65" s="1"/>
      <c r="I65" s="1"/>
    </row>
    <row r="66" spans="8:9" x14ac:dyDescent="0.25">
      <c r="H66" s="1"/>
      <c r="I66" s="1"/>
    </row>
    <row r="67" spans="8:9" x14ac:dyDescent="0.25">
      <c r="H67" s="1"/>
      <c r="I67" s="1"/>
    </row>
    <row r="68" spans="8:9" x14ac:dyDescent="0.25">
      <c r="H68" s="1"/>
      <c r="I68" s="1"/>
    </row>
    <row r="69" spans="8:9" x14ac:dyDescent="0.25">
      <c r="H69" s="1"/>
      <c r="I69" s="1"/>
    </row>
    <row r="70" spans="8:9" x14ac:dyDescent="0.25">
      <c r="H70" s="1"/>
      <c r="I70" s="1"/>
    </row>
    <row r="71" spans="8:9" x14ac:dyDescent="0.25">
      <c r="H71" s="1"/>
      <c r="I71" s="1"/>
    </row>
    <row r="72" spans="8:9" x14ac:dyDescent="0.25">
      <c r="H72" s="1"/>
      <c r="I72" s="1"/>
    </row>
    <row r="73" spans="8:9" x14ac:dyDescent="0.25">
      <c r="H73" s="1"/>
      <c r="I73" s="1"/>
    </row>
    <row r="74" spans="8:9" x14ac:dyDescent="0.25">
      <c r="H74" s="1"/>
      <c r="I74" s="1"/>
    </row>
    <row r="75" spans="8:9" x14ac:dyDescent="0.25">
      <c r="H75" s="1"/>
      <c r="I75" s="1"/>
    </row>
    <row r="76" spans="8:9" x14ac:dyDescent="0.25">
      <c r="H76" s="1"/>
      <c r="I76" s="1"/>
    </row>
    <row r="77" spans="8:9" x14ac:dyDescent="0.25">
      <c r="H77" s="1"/>
      <c r="I77" s="1"/>
    </row>
    <row r="78" spans="8:9" x14ac:dyDescent="0.25">
      <c r="H78" s="1"/>
      <c r="I78" s="1"/>
    </row>
    <row r="79" spans="8:9" x14ac:dyDescent="0.25">
      <c r="H79" s="1"/>
      <c r="I79" s="1"/>
    </row>
    <row r="80" spans="8:9" x14ac:dyDescent="0.25">
      <c r="H80" s="1"/>
      <c r="I80" s="1"/>
    </row>
    <row r="81" spans="8:9" x14ac:dyDescent="0.25">
      <c r="H81" s="1"/>
      <c r="I81" s="1"/>
    </row>
    <row r="82" spans="8:9" x14ac:dyDescent="0.25">
      <c r="H82" s="1"/>
      <c r="I82" s="1"/>
    </row>
    <row r="83" spans="8:9" x14ac:dyDescent="0.25">
      <c r="H83" s="1"/>
      <c r="I83" s="1"/>
    </row>
    <row r="84" spans="8:9" x14ac:dyDescent="0.25">
      <c r="H84" s="1"/>
      <c r="I84" s="1"/>
    </row>
    <row r="85" spans="8:9" x14ac:dyDescent="0.25">
      <c r="H85" s="1"/>
      <c r="I85" s="1"/>
    </row>
    <row r="86" spans="8:9" x14ac:dyDescent="0.25">
      <c r="H86" s="1"/>
      <c r="I86" s="1"/>
    </row>
    <row r="87" spans="8:9" x14ac:dyDescent="0.25">
      <c r="H87" s="1"/>
      <c r="I87" s="1"/>
    </row>
    <row r="88" spans="8:9" x14ac:dyDescent="0.25">
      <c r="H88" s="1"/>
      <c r="I88" s="1"/>
    </row>
    <row r="89" spans="8:9" x14ac:dyDescent="0.25">
      <c r="H89" s="1"/>
      <c r="I89" s="1"/>
    </row>
    <row r="90" spans="8:9" x14ac:dyDescent="0.25">
      <c r="H90" s="1"/>
      <c r="I90" s="1"/>
    </row>
    <row r="91" spans="8:9" x14ac:dyDescent="0.25">
      <c r="H91" s="1"/>
      <c r="I91" s="1"/>
    </row>
    <row r="92" spans="8:9" x14ac:dyDescent="0.25">
      <c r="H92" s="1"/>
      <c r="I92" s="1"/>
    </row>
    <row r="93" spans="8:9" x14ac:dyDescent="0.25">
      <c r="H93" s="1"/>
      <c r="I93" s="1"/>
    </row>
    <row r="94" spans="8:9" x14ac:dyDescent="0.25">
      <c r="H94" s="1"/>
      <c r="I94" s="1"/>
    </row>
    <row r="95" spans="8:9" x14ac:dyDescent="0.25">
      <c r="H95" s="1"/>
      <c r="I95" s="1"/>
    </row>
    <row r="96" spans="8:9" x14ac:dyDescent="0.25">
      <c r="H96" s="1"/>
      <c r="I96" s="1"/>
    </row>
    <row r="97" spans="8:9" x14ac:dyDescent="0.25">
      <c r="H97" s="1"/>
      <c r="I97" s="1"/>
    </row>
    <row r="98" spans="8:9" x14ac:dyDescent="0.25">
      <c r="H98" s="1"/>
      <c r="I98" s="1"/>
    </row>
    <row r="99" spans="8:9" x14ac:dyDescent="0.25">
      <c r="H99" s="1"/>
      <c r="I99" s="1"/>
    </row>
    <row r="100" spans="8:9" x14ac:dyDescent="0.25">
      <c r="H100" s="1"/>
      <c r="I100" s="1"/>
    </row>
    <row r="101" spans="8:9" x14ac:dyDescent="0.25">
      <c r="H101" s="1"/>
      <c r="I101" s="1"/>
    </row>
    <row r="102" spans="8:9" x14ac:dyDescent="0.25">
      <c r="H102" s="1"/>
      <c r="I102" s="1"/>
    </row>
    <row r="103" spans="8:9" x14ac:dyDescent="0.25">
      <c r="H103" s="1"/>
      <c r="I103" s="1"/>
    </row>
    <row r="104" spans="8:9" x14ac:dyDescent="0.25">
      <c r="H104" s="1"/>
      <c r="I104" s="1"/>
    </row>
    <row r="105" spans="8:9" x14ac:dyDescent="0.25">
      <c r="H105" s="1"/>
      <c r="I105" s="1"/>
    </row>
    <row r="106" spans="8:9" x14ac:dyDescent="0.25">
      <c r="H106" s="1"/>
      <c r="I106" s="1"/>
    </row>
    <row r="107" spans="8:9" x14ac:dyDescent="0.25">
      <c r="H107" s="1"/>
      <c r="I107" s="1"/>
    </row>
    <row r="108" spans="8:9" x14ac:dyDescent="0.25">
      <c r="H108" s="1"/>
      <c r="I108" s="1"/>
    </row>
    <row r="109" spans="8:9" x14ac:dyDescent="0.25">
      <c r="H109" s="1"/>
      <c r="I109" s="1"/>
    </row>
    <row r="110" spans="8:9" x14ac:dyDescent="0.25">
      <c r="H110" s="1"/>
      <c r="I110" s="1"/>
    </row>
    <row r="111" spans="8:9" x14ac:dyDescent="0.25">
      <c r="H111" s="1"/>
      <c r="I111" s="1"/>
    </row>
    <row r="112" spans="8:9" x14ac:dyDescent="0.25">
      <c r="H112" s="1"/>
      <c r="I112" s="1"/>
    </row>
    <row r="113" spans="8:9" x14ac:dyDescent="0.25">
      <c r="H113" s="1"/>
      <c r="I113" s="1"/>
    </row>
    <row r="114" spans="8:9" x14ac:dyDescent="0.25">
      <c r="H114" s="1"/>
      <c r="I114" s="1"/>
    </row>
    <row r="115" spans="8:9" x14ac:dyDescent="0.25">
      <c r="H115" s="1"/>
      <c r="I115" s="1"/>
    </row>
    <row r="116" spans="8:9" x14ac:dyDescent="0.25">
      <c r="H116" s="1"/>
      <c r="I116" s="1"/>
    </row>
    <row r="117" spans="8:9" x14ac:dyDescent="0.25">
      <c r="H117" s="1"/>
      <c r="I117" s="1"/>
    </row>
    <row r="118" spans="8:9" x14ac:dyDescent="0.25">
      <c r="H118" s="1"/>
      <c r="I118" s="1"/>
    </row>
    <row r="119" spans="8:9" x14ac:dyDescent="0.25">
      <c r="H119" s="1"/>
      <c r="I119" s="1"/>
    </row>
    <row r="120" spans="8:9" x14ac:dyDescent="0.25">
      <c r="H120" s="1"/>
      <c r="I120" s="1"/>
    </row>
    <row r="121" spans="8:9" x14ac:dyDescent="0.25">
      <c r="H121" s="1"/>
      <c r="I121" s="1"/>
    </row>
    <row r="122" spans="8:9" x14ac:dyDescent="0.25">
      <c r="H122" s="1"/>
      <c r="I122" s="1"/>
    </row>
    <row r="123" spans="8:9" x14ac:dyDescent="0.25">
      <c r="H123" s="1"/>
      <c r="I123" s="1"/>
    </row>
    <row r="124" spans="8:9" x14ac:dyDescent="0.25">
      <c r="H124" s="1"/>
      <c r="I124" s="1"/>
    </row>
    <row r="125" spans="8:9" x14ac:dyDescent="0.25">
      <c r="H125" s="1"/>
      <c r="I125" s="1"/>
    </row>
    <row r="126" spans="8:9" x14ac:dyDescent="0.25">
      <c r="H126" s="1"/>
      <c r="I126" s="1"/>
    </row>
    <row r="127" spans="8:9" x14ac:dyDescent="0.25">
      <c r="H127" s="1"/>
      <c r="I127" s="1"/>
    </row>
    <row r="128" spans="8:9" x14ac:dyDescent="0.25">
      <c r="H128" s="1"/>
      <c r="I128" s="1"/>
    </row>
    <row r="129" spans="8:9" x14ac:dyDescent="0.25">
      <c r="H129" s="1"/>
      <c r="I129" s="1"/>
    </row>
    <row r="130" spans="8:9" x14ac:dyDescent="0.25">
      <c r="H130" s="1"/>
      <c r="I130" s="1"/>
    </row>
    <row r="131" spans="8:9" x14ac:dyDescent="0.25">
      <c r="H131" s="1"/>
      <c r="I131" s="1"/>
    </row>
    <row r="132" spans="8:9" x14ac:dyDescent="0.25">
      <c r="H132" s="1"/>
      <c r="I132" s="1"/>
    </row>
    <row r="133" spans="8:9" x14ac:dyDescent="0.25">
      <c r="H133" s="1"/>
      <c r="I133" s="1"/>
    </row>
    <row r="134" spans="8:9" x14ac:dyDescent="0.25">
      <c r="H134" s="1"/>
      <c r="I134" s="1"/>
    </row>
    <row r="135" spans="8:9" x14ac:dyDescent="0.25">
      <c r="H135" s="1"/>
      <c r="I135" s="1"/>
    </row>
    <row r="136" spans="8:9" x14ac:dyDescent="0.25">
      <c r="H136" s="1"/>
      <c r="I136" s="1"/>
    </row>
    <row r="137" spans="8:9" x14ac:dyDescent="0.25">
      <c r="H137" s="1"/>
      <c r="I137" s="1"/>
    </row>
    <row r="138" spans="8:9" x14ac:dyDescent="0.25">
      <c r="H138" s="1"/>
      <c r="I138" s="1"/>
    </row>
    <row r="139" spans="8:9" x14ac:dyDescent="0.25">
      <c r="H139" s="1"/>
      <c r="I139" s="1"/>
    </row>
    <row r="140" spans="8:9" x14ac:dyDescent="0.25">
      <c r="H140" s="1"/>
      <c r="I140" s="1"/>
    </row>
    <row r="141" spans="8:9" x14ac:dyDescent="0.25">
      <c r="H141" s="1"/>
      <c r="I141" s="1"/>
    </row>
    <row r="142" spans="8:9" x14ac:dyDescent="0.25">
      <c r="H142" s="1"/>
      <c r="I142" s="1"/>
    </row>
    <row r="143" spans="8:9" x14ac:dyDescent="0.25">
      <c r="H143" s="1"/>
      <c r="I143" s="1"/>
    </row>
    <row r="144" spans="8:9" x14ac:dyDescent="0.25">
      <c r="H144" s="1"/>
      <c r="I144" s="1"/>
    </row>
    <row r="145" spans="8:9" x14ac:dyDescent="0.25">
      <c r="H145" s="1"/>
      <c r="I145" s="1"/>
    </row>
    <row r="146" spans="8:9" x14ac:dyDescent="0.25">
      <c r="H146" s="1"/>
      <c r="I146" s="1"/>
    </row>
    <row r="147" spans="8:9" x14ac:dyDescent="0.25">
      <c r="H147" s="1"/>
      <c r="I147" s="1"/>
    </row>
    <row r="148" spans="8:9" x14ac:dyDescent="0.25">
      <c r="H148" s="1"/>
      <c r="I148" s="1"/>
    </row>
    <row r="149" spans="8:9" x14ac:dyDescent="0.25">
      <c r="H149" s="1"/>
      <c r="I149" s="1"/>
    </row>
    <row r="150" spans="8:9" x14ac:dyDescent="0.25">
      <c r="H150" s="1"/>
      <c r="I150" s="1"/>
    </row>
    <row r="151" spans="8:9" x14ac:dyDescent="0.25">
      <c r="H151" s="1"/>
      <c r="I151" s="1"/>
    </row>
    <row r="152" spans="8:9" x14ac:dyDescent="0.25">
      <c r="H152" s="1"/>
      <c r="I152" s="1"/>
    </row>
    <row r="153" spans="8:9" x14ac:dyDescent="0.25">
      <c r="H153" s="1"/>
      <c r="I153" s="1"/>
    </row>
    <row r="154" spans="8:9" x14ac:dyDescent="0.25">
      <c r="H154" s="1"/>
      <c r="I154" s="1"/>
    </row>
    <row r="155" spans="8:9" x14ac:dyDescent="0.25">
      <c r="H155" s="1"/>
      <c r="I155" s="1"/>
    </row>
    <row r="156" spans="8:9" x14ac:dyDescent="0.25">
      <c r="H156" s="1"/>
      <c r="I156" s="1"/>
    </row>
    <row r="157" spans="8:9" x14ac:dyDescent="0.25">
      <c r="H157" s="1"/>
      <c r="I157" s="1"/>
    </row>
    <row r="158" spans="8:9" x14ac:dyDescent="0.25">
      <c r="H158" s="1"/>
      <c r="I158" s="1"/>
    </row>
    <row r="159" spans="8:9" x14ac:dyDescent="0.25">
      <c r="H159" s="1"/>
      <c r="I159" s="1"/>
    </row>
    <row r="160" spans="8:9" x14ac:dyDescent="0.25">
      <c r="H160" s="1"/>
      <c r="I160" s="1"/>
    </row>
    <row r="161" spans="8:9" x14ac:dyDescent="0.25">
      <c r="H161" s="1"/>
      <c r="I161" s="1"/>
    </row>
    <row r="162" spans="8:9" x14ac:dyDescent="0.25">
      <c r="H162" s="1"/>
      <c r="I162" s="1"/>
    </row>
    <row r="163" spans="8:9" x14ac:dyDescent="0.25">
      <c r="H163" s="1"/>
      <c r="I163" s="1"/>
    </row>
    <row r="164" spans="8:9" x14ac:dyDescent="0.25">
      <c r="H164" s="1"/>
      <c r="I164" s="1"/>
    </row>
    <row r="165" spans="8:9" x14ac:dyDescent="0.25">
      <c r="H165" s="1"/>
      <c r="I165" s="1"/>
    </row>
    <row r="166" spans="8:9" x14ac:dyDescent="0.25">
      <c r="H166" s="1"/>
      <c r="I166" s="1"/>
    </row>
    <row r="167" spans="8:9" x14ac:dyDescent="0.25">
      <c r="H167" s="1"/>
      <c r="I167" s="1"/>
    </row>
    <row r="168" spans="8:9" x14ac:dyDescent="0.25">
      <c r="H168" s="1"/>
      <c r="I168" s="1"/>
    </row>
    <row r="169" spans="8:9" x14ac:dyDescent="0.25">
      <c r="H169" s="1"/>
      <c r="I169" s="1"/>
    </row>
    <row r="170" spans="8:9" x14ac:dyDescent="0.25">
      <c r="H170" s="1"/>
      <c r="I170" s="1"/>
    </row>
    <row r="171" spans="8:9" x14ac:dyDescent="0.25">
      <c r="H171" s="1"/>
      <c r="I171" s="1"/>
    </row>
    <row r="172" spans="8:9" x14ac:dyDescent="0.25">
      <c r="H172" s="1"/>
      <c r="I172" s="1"/>
    </row>
    <row r="173" spans="8:9" x14ac:dyDescent="0.25">
      <c r="H173" s="1"/>
      <c r="I173" s="1"/>
    </row>
    <row r="174" spans="8:9" x14ac:dyDescent="0.25">
      <c r="H174" s="1"/>
      <c r="I174" s="1"/>
    </row>
    <row r="175" spans="8:9" x14ac:dyDescent="0.25">
      <c r="H175" s="1"/>
      <c r="I175" s="1"/>
    </row>
    <row r="176" spans="8:9" x14ac:dyDescent="0.25">
      <c r="H176" s="1"/>
      <c r="I176" s="1"/>
    </row>
    <row r="177" spans="8:9" x14ac:dyDescent="0.25">
      <c r="H177" s="1"/>
      <c r="I177" s="1"/>
    </row>
    <row r="178" spans="8:9" x14ac:dyDescent="0.25">
      <c r="H178" s="1"/>
      <c r="I178" s="1"/>
    </row>
    <row r="179" spans="8:9" x14ac:dyDescent="0.25">
      <c r="H179" s="1"/>
      <c r="I179" s="1"/>
    </row>
    <row r="180" spans="8:9" x14ac:dyDescent="0.25">
      <c r="H180" s="1"/>
      <c r="I180" s="1"/>
    </row>
    <row r="181" spans="8:9" x14ac:dyDescent="0.25">
      <c r="H181" s="1"/>
      <c r="I181" s="1"/>
    </row>
    <row r="182" spans="8:9" x14ac:dyDescent="0.25">
      <c r="H182" s="1"/>
      <c r="I182" s="1"/>
    </row>
    <row r="183" spans="8:9" x14ac:dyDescent="0.25">
      <c r="H183" s="1"/>
      <c r="I183" s="1"/>
    </row>
    <row r="184" spans="8:9" x14ac:dyDescent="0.25">
      <c r="H184" s="1"/>
      <c r="I184" s="1"/>
    </row>
    <row r="185" spans="8:9" x14ac:dyDescent="0.25">
      <c r="H185" s="1"/>
      <c r="I185" s="1"/>
    </row>
    <row r="186" spans="8:9" x14ac:dyDescent="0.25">
      <c r="H186" s="1"/>
      <c r="I186" s="1"/>
    </row>
    <row r="187" spans="8:9" x14ac:dyDescent="0.25">
      <c r="H187" s="1"/>
      <c r="I187" s="1"/>
    </row>
    <row r="188" spans="8:9" x14ac:dyDescent="0.25">
      <c r="H188" s="1"/>
      <c r="I188" s="1"/>
    </row>
    <row r="189" spans="8:9" x14ac:dyDescent="0.25">
      <c r="H189" s="1"/>
      <c r="I189" s="1"/>
    </row>
    <row r="190" spans="8:9" x14ac:dyDescent="0.25">
      <c r="H190" s="1"/>
      <c r="I190" s="1"/>
    </row>
    <row r="191" spans="8:9" x14ac:dyDescent="0.25">
      <c r="H191" s="1"/>
      <c r="I191" s="1"/>
    </row>
    <row r="192" spans="8:9" x14ac:dyDescent="0.25">
      <c r="H192" s="1"/>
      <c r="I192" s="1"/>
    </row>
    <row r="193" spans="8:9" x14ac:dyDescent="0.25">
      <c r="H193" s="1"/>
      <c r="I193" s="1"/>
    </row>
    <row r="194" spans="8:9" x14ac:dyDescent="0.25">
      <c r="H194" s="1"/>
      <c r="I194" s="1"/>
    </row>
    <row r="195" spans="8:9" x14ac:dyDescent="0.25">
      <c r="H195" s="1"/>
      <c r="I195" s="1"/>
    </row>
    <row r="196" spans="8:9" x14ac:dyDescent="0.25">
      <c r="H196" s="1"/>
      <c r="I196" s="1"/>
    </row>
    <row r="197" spans="8:9" x14ac:dyDescent="0.25">
      <c r="H197" s="1"/>
      <c r="I197" s="1"/>
    </row>
    <row r="198" spans="8:9" x14ac:dyDescent="0.25">
      <c r="H198" s="1"/>
      <c r="I198" s="1"/>
    </row>
    <row r="199" spans="8:9" x14ac:dyDescent="0.25">
      <c r="H199" s="1"/>
      <c r="I199" s="1"/>
    </row>
    <row r="200" spans="8:9" x14ac:dyDescent="0.25">
      <c r="H200" s="1"/>
      <c r="I200" s="1"/>
    </row>
    <row r="201" spans="8:9" x14ac:dyDescent="0.25">
      <c r="H201" s="1"/>
      <c r="I201" s="1"/>
    </row>
    <row r="202" spans="8:9" x14ac:dyDescent="0.25">
      <c r="H202" s="1"/>
      <c r="I202" s="1"/>
    </row>
    <row r="203" spans="8:9" x14ac:dyDescent="0.25">
      <c r="H203" s="1"/>
      <c r="I203" s="1"/>
    </row>
    <row r="204" spans="8:9" x14ac:dyDescent="0.25">
      <c r="H204" s="1"/>
      <c r="I204" s="1"/>
    </row>
    <row r="205" spans="8:9" x14ac:dyDescent="0.25">
      <c r="H205" s="1"/>
      <c r="I205" s="1"/>
    </row>
    <row r="206" spans="8:9" x14ac:dyDescent="0.25">
      <c r="H206" s="1"/>
      <c r="I206" s="1"/>
    </row>
    <row r="207" spans="8:9" x14ac:dyDescent="0.25">
      <c r="H207" s="1"/>
      <c r="I207" s="1"/>
    </row>
    <row r="208" spans="8:9" x14ac:dyDescent="0.25">
      <c r="H208" s="1"/>
      <c r="I208" s="1"/>
    </row>
    <row r="209" spans="8:9" x14ac:dyDescent="0.25">
      <c r="H209" s="1"/>
      <c r="I209" s="1"/>
    </row>
    <row r="210" spans="8:9" x14ac:dyDescent="0.25">
      <c r="H210" s="1"/>
      <c r="I210" s="1"/>
    </row>
    <row r="211" spans="8:9" x14ac:dyDescent="0.25">
      <c r="H211" s="1"/>
      <c r="I211" s="1"/>
    </row>
    <row r="212" spans="8:9" x14ac:dyDescent="0.25">
      <c r="H212" s="1"/>
      <c r="I212" s="1"/>
    </row>
    <row r="213" spans="8:9" x14ac:dyDescent="0.25">
      <c r="H213" s="1"/>
      <c r="I213" s="1"/>
    </row>
    <row r="214" spans="8:9" x14ac:dyDescent="0.25">
      <c r="H214" s="1"/>
      <c r="I214" s="1"/>
    </row>
    <row r="215" spans="8:9" x14ac:dyDescent="0.25">
      <c r="H215" s="1"/>
      <c r="I215" s="1"/>
    </row>
    <row r="216" spans="8:9" x14ac:dyDescent="0.25">
      <c r="H216" s="1"/>
      <c r="I216" s="1"/>
    </row>
    <row r="217" spans="8:9" x14ac:dyDescent="0.25">
      <c r="H217" s="1"/>
      <c r="I217" s="1"/>
    </row>
    <row r="218" spans="8:9" x14ac:dyDescent="0.25">
      <c r="H218" s="1"/>
      <c r="I218" s="1"/>
    </row>
    <row r="219" spans="8:9" x14ac:dyDescent="0.25">
      <c r="H219" s="1"/>
      <c r="I219" s="1"/>
    </row>
    <row r="220" spans="8:9" x14ac:dyDescent="0.25">
      <c r="H220" s="1"/>
      <c r="I220" s="1"/>
    </row>
    <row r="221" spans="8:9" x14ac:dyDescent="0.25">
      <c r="H221" s="1"/>
      <c r="I221" s="1"/>
    </row>
    <row r="222" spans="8:9" x14ac:dyDescent="0.25">
      <c r="H222" s="1"/>
      <c r="I222" s="1"/>
    </row>
    <row r="223" spans="8:9" x14ac:dyDescent="0.25">
      <c r="H223" s="1"/>
      <c r="I223" s="1"/>
    </row>
    <row r="224" spans="8:9" x14ac:dyDescent="0.25">
      <c r="H224" s="1"/>
      <c r="I224" s="1"/>
    </row>
    <row r="225" spans="8:9" x14ac:dyDescent="0.25">
      <c r="H225" s="1"/>
      <c r="I225" s="1"/>
    </row>
    <row r="226" spans="8:9" x14ac:dyDescent="0.25">
      <c r="H226" s="1"/>
      <c r="I226" s="1"/>
    </row>
    <row r="227" spans="8:9" x14ac:dyDescent="0.25">
      <c r="H227" s="1"/>
      <c r="I227" s="1"/>
    </row>
    <row r="228" spans="8:9" x14ac:dyDescent="0.25">
      <c r="H228" s="1"/>
      <c r="I228" s="1"/>
    </row>
    <row r="229" spans="8:9" x14ac:dyDescent="0.25">
      <c r="H229" s="1"/>
      <c r="I229" s="1"/>
    </row>
    <row r="230" spans="8:9" x14ac:dyDescent="0.25">
      <c r="H230" s="1"/>
      <c r="I230" s="1"/>
    </row>
    <row r="231" spans="8:9" x14ac:dyDescent="0.25">
      <c r="H231" s="1"/>
      <c r="I231" s="1"/>
    </row>
    <row r="232" spans="8:9" x14ac:dyDescent="0.25">
      <c r="H232" s="1"/>
      <c r="I232" s="1"/>
    </row>
    <row r="233" spans="8:9" x14ac:dyDescent="0.25">
      <c r="H233" s="1"/>
      <c r="I233" s="1"/>
    </row>
    <row r="234" spans="8:9" x14ac:dyDescent="0.25">
      <c r="H234" s="1"/>
      <c r="I234" s="1"/>
    </row>
    <row r="235" spans="8:9" x14ac:dyDescent="0.25">
      <c r="H235" s="1"/>
      <c r="I235" s="1"/>
    </row>
    <row r="236" spans="8:9" x14ac:dyDescent="0.25">
      <c r="H236" s="1"/>
      <c r="I236" s="1"/>
    </row>
    <row r="237" spans="8:9" x14ac:dyDescent="0.25">
      <c r="H237" s="1"/>
      <c r="I237" s="1"/>
    </row>
    <row r="238" spans="8:9" x14ac:dyDescent="0.25">
      <c r="H238" s="1"/>
      <c r="I238" s="1"/>
    </row>
    <row r="239" spans="8:9" x14ac:dyDescent="0.25">
      <c r="H239" s="1"/>
      <c r="I239" s="1"/>
    </row>
    <row r="240" spans="8:9" x14ac:dyDescent="0.25">
      <c r="H240" s="1"/>
      <c r="I240" s="1"/>
    </row>
    <row r="241" spans="8:9" x14ac:dyDescent="0.25">
      <c r="H241" s="1"/>
      <c r="I241" s="1"/>
    </row>
    <row r="242" spans="8:9" x14ac:dyDescent="0.25">
      <c r="H242" s="1"/>
      <c r="I242" s="1"/>
    </row>
    <row r="243" spans="8:9" x14ac:dyDescent="0.25">
      <c r="H243" s="1"/>
      <c r="I243" s="1"/>
    </row>
    <row r="244" spans="8:9" x14ac:dyDescent="0.25">
      <c r="H244" s="1"/>
      <c r="I244" s="1"/>
    </row>
    <row r="245" spans="8:9" x14ac:dyDescent="0.25">
      <c r="H245" s="1"/>
      <c r="I245" s="1"/>
    </row>
    <row r="246" spans="8:9" x14ac:dyDescent="0.25">
      <c r="H246" s="1"/>
      <c r="I246" s="1"/>
    </row>
    <row r="247" spans="8:9" x14ac:dyDescent="0.25">
      <c r="H247" s="1"/>
      <c r="I247" s="1"/>
    </row>
    <row r="248" spans="8:9" x14ac:dyDescent="0.25">
      <c r="H248" s="1"/>
      <c r="I248" s="1"/>
    </row>
    <row r="249" spans="8:9" x14ac:dyDescent="0.25">
      <c r="H249" s="1"/>
      <c r="I249" s="1"/>
    </row>
    <row r="250" spans="8:9" x14ac:dyDescent="0.25">
      <c r="H250" s="1"/>
      <c r="I250" s="1"/>
    </row>
    <row r="251" spans="8:9" x14ac:dyDescent="0.25">
      <c r="H251" s="1"/>
      <c r="I251" s="1"/>
    </row>
    <row r="252" spans="8:9" x14ac:dyDescent="0.25">
      <c r="H252" s="1"/>
      <c r="I252" s="1"/>
    </row>
    <row r="253" spans="8:9" x14ac:dyDescent="0.25">
      <c r="H253" s="1"/>
      <c r="I253" s="1"/>
    </row>
    <row r="254" spans="8:9" x14ac:dyDescent="0.25">
      <c r="H254" s="1"/>
      <c r="I254" s="1"/>
    </row>
    <row r="255" spans="8:9" x14ac:dyDescent="0.25">
      <c r="H255" s="1"/>
      <c r="I255" s="1"/>
    </row>
    <row r="256" spans="8:9" x14ac:dyDescent="0.25">
      <c r="H256" s="1"/>
      <c r="I256" s="1"/>
    </row>
    <row r="257" spans="8:9" x14ac:dyDescent="0.25">
      <c r="H257" s="1"/>
      <c r="I257" s="1"/>
    </row>
    <row r="258" spans="8:9" x14ac:dyDescent="0.25">
      <c r="H258" s="1"/>
      <c r="I258" s="1"/>
    </row>
    <row r="259" spans="8:9" x14ac:dyDescent="0.25">
      <c r="H259" s="1"/>
      <c r="I259" s="1"/>
    </row>
    <row r="260" spans="8:9" x14ac:dyDescent="0.25">
      <c r="H260" s="1"/>
      <c r="I260" s="1"/>
    </row>
    <row r="261" spans="8:9" x14ac:dyDescent="0.25">
      <c r="H261" s="1"/>
      <c r="I261" s="1"/>
    </row>
    <row r="262" spans="8:9" x14ac:dyDescent="0.25">
      <c r="H262" s="1"/>
      <c r="I262" s="1"/>
    </row>
    <row r="263" spans="8:9" x14ac:dyDescent="0.25">
      <c r="H263" s="1"/>
      <c r="I263" s="1"/>
    </row>
    <row r="264" spans="8:9" x14ac:dyDescent="0.25">
      <c r="H264" s="1"/>
      <c r="I264" s="1"/>
    </row>
    <row r="265" spans="8:9" x14ac:dyDescent="0.25">
      <c r="H265" s="1"/>
      <c r="I265" s="1"/>
    </row>
    <row r="266" spans="8:9" x14ac:dyDescent="0.25">
      <c r="H266" s="1"/>
      <c r="I266" s="1"/>
    </row>
    <row r="267" spans="8:9" x14ac:dyDescent="0.25">
      <c r="H267" s="1"/>
      <c r="I267" s="1"/>
    </row>
    <row r="268" spans="8:9" x14ac:dyDescent="0.25">
      <c r="H268" s="1"/>
      <c r="I268" s="1"/>
    </row>
    <row r="269" spans="8:9" x14ac:dyDescent="0.25">
      <c r="H269" s="1"/>
      <c r="I269" s="1"/>
    </row>
    <row r="270" spans="8:9" x14ac:dyDescent="0.25">
      <c r="H270" s="1"/>
      <c r="I270" s="1"/>
    </row>
    <row r="271" spans="8:9" x14ac:dyDescent="0.25">
      <c r="H271" s="1"/>
      <c r="I271" s="1"/>
    </row>
    <row r="272" spans="8:9" x14ac:dyDescent="0.25">
      <c r="H272" s="1"/>
      <c r="I272" s="1"/>
    </row>
    <row r="273" spans="8:9" x14ac:dyDescent="0.25">
      <c r="H273" s="1"/>
      <c r="I273" s="1"/>
    </row>
    <row r="274" spans="8:9" x14ac:dyDescent="0.25">
      <c r="H274" s="1"/>
      <c r="I274" s="1"/>
    </row>
    <row r="275" spans="8:9" x14ac:dyDescent="0.25">
      <c r="H275" s="1"/>
      <c r="I275" s="1"/>
    </row>
    <row r="276" spans="8:9" x14ac:dyDescent="0.25">
      <c r="H276" s="1"/>
      <c r="I276" s="1"/>
    </row>
    <row r="277" spans="8:9" x14ac:dyDescent="0.25">
      <c r="H277" s="1"/>
      <c r="I277" s="1"/>
    </row>
    <row r="278" spans="8:9" x14ac:dyDescent="0.25">
      <c r="H278" s="1"/>
      <c r="I278" s="1"/>
    </row>
    <row r="279" spans="8:9" x14ac:dyDescent="0.25">
      <c r="H279" s="1"/>
      <c r="I279" s="1"/>
    </row>
    <row r="280" spans="8:9" x14ac:dyDescent="0.25">
      <c r="H280" s="1"/>
      <c r="I280" s="1"/>
    </row>
    <row r="281" spans="8:9" x14ac:dyDescent="0.25">
      <c r="H281" s="1"/>
      <c r="I281" s="1"/>
    </row>
    <row r="282" spans="8:9" x14ac:dyDescent="0.25">
      <c r="H282" s="1"/>
      <c r="I282" s="1"/>
    </row>
    <row r="283" spans="8:9" x14ac:dyDescent="0.25">
      <c r="H283" s="1"/>
      <c r="I283" s="1"/>
    </row>
    <row r="284" spans="8:9" x14ac:dyDescent="0.25">
      <c r="H284" s="1"/>
      <c r="I284" s="1"/>
    </row>
    <row r="285" spans="8:9" x14ac:dyDescent="0.25">
      <c r="H285" s="1"/>
      <c r="I285" s="1"/>
    </row>
    <row r="286" spans="8:9" x14ac:dyDescent="0.25">
      <c r="H286" s="1"/>
      <c r="I286" s="1"/>
    </row>
    <row r="287" spans="8:9" x14ac:dyDescent="0.25">
      <c r="H287" s="1"/>
      <c r="I287" s="1"/>
    </row>
    <row r="288" spans="8:9" x14ac:dyDescent="0.25">
      <c r="H288" s="1"/>
      <c r="I288" s="1"/>
    </row>
    <row r="289" spans="8:9" x14ac:dyDescent="0.25">
      <c r="H289" s="1"/>
      <c r="I289" s="1"/>
    </row>
    <row r="290" spans="8:9" x14ac:dyDescent="0.25">
      <c r="H290" s="1"/>
      <c r="I290" s="1"/>
    </row>
    <row r="291" spans="8:9" x14ac:dyDescent="0.25">
      <c r="H291" s="1"/>
      <c r="I291" s="1"/>
    </row>
    <row r="292" spans="8:9" x14ac:dyDescent="0.25">
      <c r="H292" s="1"/>
      <c r="I292" s="1"/>
    </row>
    <row r="293" spans="8:9" x14ac:dyDescent="0.25">
      <c r="H293" s="1"/>
      <c r="I293" s="1"/>
    </row>
    <row r="294" spans="8:9" x14ac:dyDescent="0.25">
      <c r="H294" s="1"/>
      <c r="I294" s="1"/>
    </row>
    <row r="295" spans="8:9" x14ac:dyDescent="0.25">
      <c r="H295" s="1"/>
      <c r="I295" s="1"/>
    </row>
    <row r="296" spans="8:9" x14ac:dyDescent="0.25">
      <c r="H296" s="1"/>
      <c r="I296" s="1"/>
    </row>
    <row r="297" spans="8:9" x14ac:dyDescent="0.25">
      <c r="H297" s="1"/>
      <c r="I297" s="1"/>
    </row>
    <row r="298" spans="8:9" x14ac:dyDescent="0.25">
      <c r="H298" s="1"/>
      <c r="I298" s="1"/>
    </row>
    <row r="299" spans="8:9" x14ac:dyDescent="0.25">
      <c r="H299" s="1"/>
      <c r="I299" s="1"/>
    </row>
    <row r="300" spans="8:9" x14ac:dyDescent="0.25">
      <c r="H300" s="1"/>
      <c r="I300" s="1"/>
    </row>
    <row r="301" spans="8:9" x14ac:dyDescent="0.25">
      <c r="H301" s="1"/>
      <c r="I301" s="1"/>
    </row>
    <row r="302" spans="8:9" x14ac:dyDescent="0.25">
      <c r="H302" s="1"/>
      <c r="I302" s="1"/>
    </row>
    <row r="303" spans="8:9" x14ac:dyDescent="0.25">
      <c r="H303" s="1"/>
      <c r="I303" s="1"/>
    </row>
    <row r="304" spans="8:9" x14ac:dyDescent="0.25">
      <c r="H304" s="1"/>
      <c r="I304" s="1"/>
    </row>
    <row r="305" spans="8:9" x14ac:dyDescent="0.25">
      <c r="H305" s="1"/>
      <c r="I305" s="1"/>
    </row>
    <row r="306" spans="8:9" x14ac:dyDescent="0.25">
      <c r="H306" s="1"/>
      <c r="I306" s="1"/>
    </row>
    <row r="307" spans="8:9" x14ac:dyDescent="0.25">
      <c r="H307" s="1"/>
      <c r="I307" s="1"/>
    </row>
    <row r="308" spans="8:9" x14ac:dyDescent="0.25">
      <c r="H308" s="1"/>
      <c r="I308" s="1"/>
    </row>
    <row r="309" spans="8:9" x14ac:dyDescent="0.25">
      <c r="H309" s="1"/>
      <c r="I309" s="1"/>
    </row>
    <row r="310" spans="8:9" x14ac:dyDescent="0.25">
      <c r="H310" s="1"/>
      <c r="I310" s="1"/>
    </row>
    <row r="311" spans="8:9" x14ac:dyDescent="0.25">
      <c r="H311" s="1"/>
      <c r="I311" s="1"/>
    </row>
    <row r="312" spans="8:9" x14ac:dyDescent="0.25">
      <c r="H312" s="1"/>
      <c r="I312" s="1"/>
    </row>
    <row r="313" spans="8:9" x14ac:dyDescent="0.25">
      <c r="H313" s="1"/>
      <c r="I313" s="1"/>
    </row>
    <row r="314" spans="8:9" x14ac:dyDescent="0.25">
      <c r="H314" s="1"/>
      <c r="I314" s="1"/>
    </row>
    <row r="315" spans="8:9" x14ac:dyDescent="0.25">
      <c r="H315" s="1"/>
      <c r="I315" s="1"/>
    </row>
    <row r="316" spans="8:9" x14ac:dyDescent="0.25">
      <c r="H316" s="1"/>
      <c r="I316" s="1"/>
    </row>
    <row r="317" spans="8:9" x14ac:dyDescent="0.25">
      <c r="H317" s="1"/>
      <c r="I317" s="1"/>
    </row>
    <row r="318" spans="8:9" x14ac:dyDescent="0.25">
      <c r="H318" s="1"/>
      <c r="I318" s="1"/>
    </row>
    <row r="319" spans="8:9" x14ac:dyDescent="0.25">
      <c r="H319" s="1"/>
      <c r="I319" s="1"/>
    </row>
    <row r="320" spans="8:9" x14ac:dyDescent="0.25">
      <c r="H320" s="1"/>
      <c r="I320" s="1"/>
    </row>
    <row r="321" spans="8:9" x14ac:dyDescent="0.25">
      <c r="H321" s="1"/>
      <c r="I321" s="1"/>
    </row>
    <row r="322" spans="8:9" x14ac:dyDescent="0.25">
      <c r="H322" s="1"/>
      <c r="I322" s="1"/>
    </row>
    <row r="323" spans="8:9" x14ac:dyDescent="0.25">
      <c r="H323" s="1"/>
      <c r="I323" s="1"/>
    </row>
    <row r="324" spans="8:9" x14ac:dyDescent="0.25">
      <c r="H324" s="1"/>
      <c r="I324" s="1"/>
    </row>
    <row r="325" spans="8:9" x14ac:dyDescent="0.25">
      <c r="H325" s="1"/>
      <c r="I325" s="1"/>
    </row>
    <row r="326" spans="8:9" x14ac:dyDescent="0.25">
      <c r="H326" s="1"/>
      <c r="I326" s="1"/>
    </row>
    <row r="327" spans="8:9" x14ac:dyDescent="0.25">
      <c r="H327" s="1"/>
      <c r="I327" s="1"/>
    </row>
    <row r="328" spans="8:9" x14ac:dyDescent="0.25">
      <c r="H328" s="1"/>
      <c r="I328" s="1"/>
    </row>
    <row r="329" spans="8:9" x14ac:dyDescent="0.25">
      <c r="H329" s="1"/>
      <c r="I329" s="1"/>
    </row>
    <row r="330" spans="8:9" x14ac:dyDescent="0.25">
      <c r="H330" s="1"/>
      <c r="I330" s="1"/>
    </row>
    <row r="331" spans="8:9" x14ac:dyDescent="0.25">
      <c r="H331" s="1"/>
      <c r="I331" s="1"/>
    </row>
    <row r="332" spans="8:9" x14ac:dyDescent="0.25">
      <c r="H332" s="1"/>
      <c r="I332" s="1"/>
    </row>
    <row r="333" spans="8:9" x14ac:dyDescent="0.25">
      <c r="H333" s="1"/>
      <c r="I333" s="1"/>
    </row>
    <row r="334" spans="8:9" x14ac:dyDescent="0.25">
      <c r="H334" s="1"/>
      <c r="I334" s="1"/>
    </row>
    <row r="335" spans="8:9" x14ac:dyDescent="0.25">
      <c r="H335" s="1"/>
      <c r="I335" s="1"/>
    </row>
    <row r="336" spans="8:9" x14ac:dyDescent="0.25">
      <c r="H336" s="1"/>
      <c r="I336" s="1"/>
    </row>
    <row r="337" spans="8:9" x14ac:dyDescent="0.25">
      <c r="H337" s="1"/>
      <c r="I337" s="1"/>
    </row>
    <row r="338" spans="8:9" x14ac:dyDescent="0.25">
      <c r="H338" s="1"/>
      <c r="I338" s="1"/>
    </row>
    <row r="339" spans="8:9" x14ac:dyDescent="0.25">
      <c r="H339" s="1"/>
      <c r="I339" s="1"/>
    </row>
    <row r="340" spans="8:9" x14ac:dyDescent="0.25">
      <c r="H340" s="1"/>
      <c r="I340" s="1"/>
    </row>
    <row r="341" spans="8:9" x14ac:dyDescent="0.25">
      <c r="H341" s="1"/>
      <c r="I341" s="1"/>
    </row>
    <row r="342" spans="8:9" x14ac:dyDescent="0.25">
      <c r="H342" s="1"/>
      <c r="I342" s="1"/>
    </row>
    <row r="343" spans="8:9" x14ac:dyDescent="0.25">
      <c r="H343" s="1"/>
      <c r="I343" s="1"/>
    </row>
    <row r="344" spans="8:9" x14ac:dyDescent="0.25">
      <c r="H344" s="1"/>
      <c r="I344" s="1"/>
    </row>
    <row r="345" spans="8:9" x14ac:dyDescent="0.25">
      <c r="H345" s="1"/>
      <c r="I345" s="1"/>
    </row>
    <row r="346" spans="8:9" x14ac:dyDescent="0.25">
      <c r="H346" s="1"/>
      <c r="I346" s="1"/>
    </row>
    <row r="347" spans="8:9" x14ac:dyDescent="0.25">
      <c r="H347" s="1"/>
      <c r="I347" s="1"/>
    </row>
    <row r="348" spans="8:9" x14ac:dyDescent="0.25">
      <c r="H348" s="1"/>
      <c r="I348" s="1"/>
    </row>
    <row r="349" spans="8:9" x14ac:dyDescent="0.25">
      <c r="H349" s="1"/>
      <c r="I349" s="1"/>
    </row>
    <row r="350" spans="8:9" x14ac:dyDescent="0.25">
      <c r="H350" s="1"/>
      <c r="I350" s="1"/>
    </row>
    <row r="351" spans="8:9" x14ac:dyDescent="0.25">
      <c r="H351" s="1"/>
      <c r="I351" s="1"/>
    </row>
    <row r="352" spans="8:9" x14ac:dyDescent="0.25">
      <c r="H352" s="1"/>
      <c r="I352" s="1"/>
    </row>
    <row r="353" spans="8:9" x14ac:dyDescent="0.25">
      <c r="H353" s="1"/>
      <c r="I353" s="1"/>
    </row>
    <row r="354" spans="8:9" x14ac:dyDescent="0.25">
      <c r="H354" s="1"/>
      <c r="I354" s="1"/>
    </row>
    <row r="355" spans="8:9" x14ac:dyDescent="0.25">
      <c r="H355" s="1"/>
      <c r="I355" s="1"/>
    </row>
    <row r="356" spans="8:9" x14ac:dyDescent="0.25">
      <c r="H356" s="1"/>
      <c r="I356" s="1"/>
    </row>
    <row r="357" spans="8:9" x14ac:dyDescent="0.25">
      <c r="H357" s="1"/>
      <c r="I357" s="1"/>
    </row>
    <row r="358" spans="8:9" x14ac:dyDescent="0.25">
      <c r="H358" s="1"/>
      <c r="I358" s="1"/>
    </row>
    <row r="359" spans="8:9" x14ac:dyDescent="0.25">
      <c r="H359" s="1"/>
      <c r="I359" s="1"/>
    </row>
    <row r="360" spans="8:9" x14ac:dyDescent="0.25">
      <c r="H360" s="1"/>
      <c r="I360" s="1"/>
    </row>
    <row r="361" spans="8:9" x14ac:dyDescent="0.25">
      <c r="H361" s="1"/>
      <c r="I361" s="1"/>
    </row>
    <row r="362" spans="8:9" x14ac:dyDescent="0.25">
      <c r="H362" s="1"/>
      <c r="I362" s="1"/>
    </row>
    <row r="363" spans="8:9" x14ac:dyDescent="0.25">
      <c r="H363" s="1"/>
      <c r="I363" s="1"/>
    </row>
    <row r="364" spans="8:9" x14ac:dyDescent="0.25">
      <c r="H364" s="1"/>
      <c r="I364" s="1"/>
    </row>
    <row r="365" spans="8:9" x14ac:dyDescent="0.25">
      <c r="H365" s="1"/>
      <c r="I365" s="1"/>
    </row>
    <row r="366" spans="8:9" x14ac:dyDescent="0.25">
      <c r="H366" s="1"/>
      <c r="I366" s="1"/>
    </row>
    <row r="367" spans="8:9" x14ac:dyDescent="0.25">
      <c r="H367" s="1"/>
      <c r="I367" s="1"/>
    </row>
    <row r="368" spans="8:9" x14ac:dyDescent="0.25">
      <c r="H368" s="1"/>
      <c r="I368" s="1"/>
    </row>
    <row r="369" spans="8:9" x14ac:dyDescent="0.25">
      <c r="H369" s="1"/>
      <c r="I369" s="1"/>
    </row>
    <row r="370" spans="8:9" x14ac:dyDescent="0.25">
      <c r="H370" s="1"/>
      <c r="I370" s="1"/>
    </row>
    <row r="371" spans="8:9" x14ac:dyDescent="0.25">
      <c r="H371" s="1"/>
      <c r="I371" s="1"/>
    </row>
    <row r="372" spans="8:9" x14ac:dyDescent="0.25">
      <c r="H372" s="1"/>
      <c r="I372" s="1"/>
    </row>
    <row r="373" spans="8:9" x14ac:dyDescent="0.25">
      <c r="H373" s="1"/>
      <c r="I373" s="1"/>
    </row>
    <row r="374" spans="8:9" x14ac:dyDescent="0.25">
      <c r="H374" s="1"/>
      <c r="I374" s="1"/>
    </row>
    <row r="375" spans="8:9" x14ac:dyDescent="0.25">
      <c r="H375" s="1"/>
      <c r="I375" s="1"/>
    </row>
    <row r="376" spans="8:9" x14ac:dyDescent="0.25">
      <c r="H376" s="1"/>
      <c r="I376" s="1"/>
    </row>
    <row r="377" spans="8:9" x14ac:dyDescent="0.25">
      <c r="H377" s="1"/>
      <c r="I377" s="1"/>
    </row>
    <row r="378" spans="8:9" x14ac:dyDescent="0.25">
      <c r="H378" s="1"/>
      <c r="I378" s="1"/>
    </row>
    <row r="379" spans="8:9" x14ac:dyDescent="0.25">
      <c r="H379" s="1"/>
      <c r="I379" s="1"/>
    </row>
    <row r="380" spans="8:9" x14ac:dyDescent="0.25">
      <c r="H380" s="1"/>
      <c r="I380" s="1"/>
    </row>
    <row r="381" spans="8:9" x14ac:dyDescent="0.25">
      <c r="H381" s="1"/>
      <c r="I381" s="1"/>
    </row>
    <row r="382" spans="8:9" x14ac:dyDescent="0.25">
      <c r="H382" s="1"/>
      <c r="I382" s="1"/>
    </row>
    <row r="383" spans="8:9" x14ac:dyDescent="0.25">
      <c r="H383" s="1"/>
      <c r="I383" s="1"/>
    </row>
    <row r="384" spans="8:9" x14ac:dyDescent="0.25">
      <c r="H384" s="1"/>
      <c r="I384" s="1"/>
    </row>
    <row r="385" spans="8:9" x14ac:dyDescent="0.25">
      <c r="H385" s="1"/>
      <c r="I385" s="1"/>
    </row>
    <row r="386" spans="8:9" x14ac:dyDescent="0.25">
      <c r="H386" s="1"/>
      <c r="I386" s="1"/>
    </row>
    <row r="387" spans="8:9" x14ac:dyDescent="0.25">
      <c r="H387" s="1"/>
      <c r="I387" s="1"/>
    </row>
    <row r="388" spans="8:9" x14ac:dyDescent="0.25">
      <c r="H388" s="1"/>
      <c r="I388" s="1"/>
    </row>
    <row r="389" spans="8:9" x14ac:dyDescent="0.25">
      <c r="H389" s="1"/>
      <c r="I389" s="1"/>
    </row>
    <row r="390" spans="8:9" x14ac:dyDescent="0.25">
      <c r="H390" s="1"/>
      <c r="I390" s="1"/>
    </row>
    <row r="391" spans="8:9" x14ac:dyDescent="0.25">
      <c r="H391" s="1"/>
      <c r="I391" s="1"/>
    </row>
    <row r="392" spans="8:9" x14ac:dyDescent="0.25">
      <c r="H392" s="1"/>
      <c r="I392" s="1"/>
    </row>
    <row r="393" spans="8:9" x14ac:dyDescent="0.25">
      <c r="H393" s="1"/>
      <c r="I393" s="1"/>
    </row>
    <row r="394" spans="8:9" x14ac:dyDescent="0.25">
      <c r="H394" s="1"/>
      <c r="I394" s="1"/>
    </row>
    <row r="395" spans="8:9" x14ac:dyDescent="0.25">
      <c r="H395" s="1"/>
      <c r="I395" s="1"/>
    </row>
    <row r="396" spans="8:9" x14ac:dyDescent="0.25">
      <c r="H396" s="1"/>
      <c r="I396" s="1"/>
    </row>
    <row r="397" spans="8:9" x14ac:dyDescent="0.25">
      <c r="H397" s="1"/>
      <c r="I397" s="1"/>
    </row>
    <row r="398" spans="8:9" x14ac:dyDescent="0.25">
      <c r="H398" s="1"/>
      <c r="I398" s="1"/>
    </row>
    <row r="399" spans="8:9" x14ac:dyDescent="0.25">
      <c r="H399" s="1"/>
      <c r="I399" s="1"/>
    </row>
    <row r="400" spans="8:9" x14ac:dyDescent="0.25">
      <c r="H400" s="1"/>
      <c r="I400" s="1"/>
    </row>
    <row r="401" spans="8:9" x14ac:dyDescent="0.25">
      <c r="H401" s="1"/>
      <c r="I401" s="1"/>
    </row>
    <row r="402" spans="8:9" x14ac:dyDescent="0.25">
      <c r="H402" s="1"/>
      <c r="I402" s="1"/>
    </row>
    <row r="403" spans="8:9" x14ac:dyDescent="0.25">
      <c r="H403" s="1"/>
      <c r="I403" s="1"/>
    </row>
    <row r="404" spans="8:9" x14ac:dyDescent="0.25">
      <c r="H404" s="1"/>
      <c r="I404" s="1"/>
    </row>
    <row r="405" spans="8:9" x14ac:dyDescent="0.25">
      <c r="H405" s="1"/>
      <c r="I405" s="1"/>
    </row>
    <row r="406" spans="8:9" x14ac:dyDescent="0.25">
      <c r="H406" s="1"/>
      <c r="I406" s="1"/>
    </row>
    <row r="407" spans="8:9" x14ac:dyDescent="0.25">
      <c r="H407" s="1"/>
      <c r="I407" s="1"/>
    </row>
    <row r="408" spans="8:9" x14ac:dyDescent="0.25">
      <c r="H408" s="1"/>
      <c r="I408" s="1"/>
    </row>
    <row r="409" spans="8:9" x14ac:dyDescent="0.25">
      <c r="H409" s="1"/>
      <c r="I409" s="1"/>
    </row>
    <row r="410" spans="8:9" x14ac:dyDescent="0.25">
      <c r="H410" s="1"/>
      <c r="I410" s="1"/>
    </row>
    <row r="411" spans="8:9" x14ac:dyDescent="0.25">
      <c r="H411" s="1"/>
      <c r="I411" s="1"/>
    </row>
    <row r="412" spans="8:9" x14ac:dyDescent="0.25">
      <c r="H412" s="1"/>
      <c r="I412" s="1"/>
    </row>
    <row r="413" spans="8:9" x14ac:dyDescent="0.25">
      <c r="H413" s="1"/>
      <c r="I413" s="1"/>
    </row>
    <row r="414" spans="8:9" x14ac:dyDescent="0.25">
      <c r="H414" s="1"/>
      <c r="I414" s="1"/>
    </row>
    <row r="415" spans="8:9" x14ac:dyDescent="0.25">
      <c r="H415" s="1"/>
      <c r="I415" s="1"/>
    </row>
    <row r="416" spans="8:9" x14ac:dyDescent="0.25">
      <c r="H416" s="1"/>
      <c r="I416" s="1"/>
    </row>
    <row r="417" spans="8:9" x14ac:dyDescent="0.25">
      <c r="H417" s="1"/>
      <c r="I417" s="1"/>
    </row>
    <row r="418" spans="8:9" x14ac:dyDescent="0.25">
      <c r="H418" s="1"/>
      <c r="I418" s="1"/>
    </row>
    <row r="419" spans="8:9" x14ac:dyDescent="0.25">
      <c r="H419" s="1"/>
      <c r="I419" s="1"/>
    </row>
    <row r="420" spans="8:9" x14ac:dyDescent="0.25">
      <c r="H420" s="1"/>
      <c r="I420" s="1"/>
    </row>
    <row r="421" spans="8:9" x14ac:dyDescent="0.25">
      <c r="H421" s="1"/>
      <c r="I421" s="1"/>
    </row>
    <row r="422" spans="8:9" x14ac:dyDescent="0.25">
      <c r="H422" s="1"/>
      <c r="I422" s="1"/>
    </row>
    <row r="423" spans="8:9" x14ac:dyDescent="0.25">
      <c r="H423" s="1"/>
      <c r="I423" s="1"/>
    </row>
    <row r="424" spans="8:9" x14ac:dyDescent="0.25">
      <c r="H424" s="1"/>
      <c r="I424" s="1"/>
    </row>
    <row r="425" spans="8:9" x14ac:dyDescent="0.25">
      <c r="H425" s="1"/>
      <c r="I425" s="1"/>
    </row>
    <row r="426" spans="8:9" x14ac:dyDescent="0.25">
      <c r="H426" s="1"/>
      <c r="I426" s="1"/>
    </row>
    <row r="427" spans="8:9" x14ac:dyDescent="0.25">
      <c r="H427" s="1"/>
      <c r="I427" s="1"/>
    </row>
    <row r="428" spans="8:9" x14ac:dyDescent="0.25">
      <c r="H428" s="1"/>
      <c r="I428" s="1"/>
    </row>
    <row r="429" spans="8:9" x14ac:dyDescent="0.25">
      <c r="H429" s="1"/>
      <c r="I429" s="1"/>
    </row>
    <row r="430" spans="8:9" x14ac:dyDescent="0.25">
      <c r="H430" s="1"/>
      <c r="I430" s="1"/>
    </row>
    <row r="431" spans="8:9" x14ac:dyDescent="0.25">
      <c r="H431" s="1"/>
      <c r="I431" s="1"/>
    </row>
    <row r="432" spans="8:9" x14ac:dyDescent="0.25">
      <c r="H432" s="1"/>
      <c r="I432" s="1"/>
    </row>
    <row r="433" spans="8:9" x14ac:dyDescent="0.25">
      <c r="H433" s="1"/>
      <c r="I433" s="1"/>
    </row>
    <row r="434" spans="8:9" x14ac:dyDescent="0.25">
      <c r="H434" s="1"/>
      <c r="I434" s="1"/>
    </row>
    <row r="435" spans="8:9" x14ac:dyDescent="0.25">
      <c r="H435" s="1"/>
      <c r="I435" s="1"/>
    </row>
    <row r="436" spans="8:9" x14ac:dyDescent="0.25">
      <c r="H436" s="1"/>
      <c r="I436" s="1"/>
    </row>
    <row r="437" spans="8:9" x14ac:dyDescent="0.25">
      <c r="H437" s="1"/>
      <c r="I437" s="1"/>
    </row>
    <row r="438" spans="8:9" x14ac:dyDescent="0.25">
      <c r="H438" s="1"/>
      <c r="I438" s="1"/>
    </row>
    <row r="439" spans="8:9" x14ac:dyDescent="0.25">
      <c r="H439" s="1"/>
      <c r="I439" s="1"/>
    </row>
    <row r="440" spans="8:9" x14ac:dyDescent="0.25">
      <c r="H440" s="1"/>
      <c r="I440" s="1"/>
    </row>
    <row r="441" spans="8:9" x14ac:dyDescent="0.25">
      <c r="H441" s="1"/>
      <c r="I441" s="1"/>
    </row>
    <row r="442" spans="8:9" x14ac:dyDescent="0.25">
      <c r="H442" s="1"/>
      <c r="I442" s="1"/>
    </row>
    <row r="443" spans="8:9" x14ac:dyDescent="0.25">
      <c r="H443" s="1"/>
      <c r="I443" s="1"/>
    </row>
    <row r="444" spans="8:9" x14ac:dyDescent="0.25">
      <c r="H444" s="1"/>
      <c r="I444" s="1"/>
    </row>
    <row r="445" spans="8:9" x14ac:dyDescent="0.25">
      <c r="H445" s="1"/>
      <c r="I445" s="1"/>
    </row>
    <row r="446" spans="8:9" x14ac:dyDescent="0.25">
      <c r="H446" s="1"/>
      <c r="I446" s="1"/>
    </row>
    <row r="447" spans="8:9" x14ac:dyDescent="0.25">
      <c r="H447" s="1"/>
      <c r="I447" s="1"/>
    </row>
    <row r="448" spans="8:9" x14ac:dyDescent="0.25">
      <c r="H448" s="1"/>
      <c r="I448" s="1"/>
    </row>
    <row r="449" spans="8:9" x14ac:dyDescent="0.25">
      <c r="H449" s="1"/>
      <c r="I449" s="1"/>
    </row>
    <row r="450" spans="8:9" x14ac:dyDescent="0.25">
      <c r="H450" s="1"/>
      <c r="I450" s="1"/>
    </row>
    <row r="451" spans="8:9" x14ac:dyDescent="0.25">
      <c r="H451" s="1"/>
      <c r="I451" s="1"/>
    </row>
    <row r="452" spans="8:9" x14ac:dyDescent="0.25">
      <c r="H452" s="1"/>
      <c r="I452" s="1"/>
    </row>
    <row r="453" spans="8:9" x14ac:dyDescent="0.25">
      <c r="H453" s="1"/>
      <c r="I453" s="1"/>
    </row>
    <row r="454" spans="8:9" x14ac:dyDescent="0.25">
      <c r="H454" s="1"/>
      <c r="I454" s="1"/>
    </row>
    <row r="455" spans="8:9" x14ac:dyDescent="0.25">
      <c r="H455" s="1"/>
      <c r="I455" s="1"/>
    </row>
    <row r="456" spans="8:9" x14ac:dyDescent="0.25">
      <c r="H456" s="1"/>
      <c r="I456" s="1"/>
    </row>
    <row r="457" spans="8:9" x14ac:dyDescent="0.25">
      <c r="H457" s="1"/>
      <c r="I457" s="1"/>
    </row>
    <row r="458" spans="8:9" x14ac:dyDescent="0.25">
      <c r="H458" s="1"/>
      <c r="I458" s="1"/>
    </row>
    <row r="459" spans="8:9" x14ac:dyDescent="0.25">
      <c r="H459" s="1"/>
      <c r="I459" s="1"/>
    </row>
    <row r="460" spans="8:9" x14ac:dyDescent="0.25">
      <c r="H460" s="1"/>
      <c r="I460" s="1"/>
    </row>
    <row r="461" spans="8:9" x14ac:dyDescent="0.25">
      <c r="H461" s="1"/>
      <c r="I461" s="1"/>
    </row>
    <row r="462" spans="8:9" x14ac:dyDescent="0.25">
      <c r="H462" s="1"/>
      <c r="I462" s="1"/>
    </row>
    <row r="463" spans="8:9" x14ac:dyDescent="0.25">
      <c r="H463" s="1"/>
      <c r="I463" s="1"/>
    </row>
    <row r="464" spans="8:9" x14ac:dyDescent="0.25">
      <c r="H464" s="1"/>
      <c r="I464" s="1"/>
    </row>
    <row r="465" spans="8:9" x14ac:dyDescent="0.25">
      <c r="H465" s="1"/>
      <c r="I465" s="1"/>
    </row>
    <row r="466" spans="8:9" x14ac:dyDescent="0.25">
      <c r="H466" s="1"/>
      <c r="I466" s="1"/>
    </row>
    <row r="467" spans="8:9" x14ac:dyDescent="0.25">
      <c r="H467" s="1"/>
      <c r="I467" s="1"/>
    </row>
    <row r="468" spans="8:9" x14ac:dyDescent="0.25">
      <c r="H468" s="1"/>
      <c r="I468" s="1"/>
    </row>
    <row r="469" spans="8:9" x14ac:dyDescent="0.25">
      <c r="H469" s="1"/>
      <c r="I469" s="1"/>
    </row>
    <row r="470" spans="8:9" x14ac:dyDescent="0.25">
      <c r="H470" s="1"/>
      <c r="I470" s="1"/>
    </row>
    <row r="471" spans="8:9" x14ac:dyDescent="0.25">
      <c r="H471" s="1"/>
      <c r="I471" s="1"/>
    </row>
    <row r="472" spans="8:9" x14ac:dyDescent="0.25">
      <c r="H472" s="1"/>
      <c r="I472" s="1"/>
    </row>
    <row r="473" spans="8:9" x14ac:dyDescent="0.25">
      <c r="H473" s="1"/>
      <c r="I473" s="1"/>
    </row>
    <row r="474" spans="8:9" x14ac:dyDescent="0.25">
      <c r="H474" s="1"/>
      <c r="I474" s="1"/>
    </row>
    <row r="475" spans="8:9" x14ac:dyDescent="0.25">
      <c r="H475" s="1"/>
      <c r="I475" s="1"/>
    </row>
    <row r="476" spans="8:9" x14ac:dyDescent="0.25">
      <c r="H476" s="1"/>
      <c r="I476" s="1"/>
    </row>
    <row r="477" spans="8:9" x14ac:dyDescent="0.25">
      <c r="H477" s="1"/>
      <c r="I477" s="1"/>
    </row>
    <row r="478" spans="8:9" x14ac:dyDescent="0.25">
      <c r="H478" s="1"/>
      <c r="I478" s="1"/>
    </row>
    <row r="479" spans="8:9" x14ac:dyDescent="0.25">
      <c r="H479" s="1"/>
      <c r="I479" s="1"/>
    </row>
    <row r="480" spans="8:9" x14ac:dyDescent="0.25">
      <c r="H480" s="1"/>
      <c r="I480" s="1"/>
    </row>
    <row r="481" spans="8:9" x14ac:dyDescent="0.25">
      <c r="H481" s="1"/>
      <c r="I481" s="1"/>
    </row>
    <row r="482" spans="8:9" x14ac:dyDescent="0.25">
      <c r="H482" s="1"/>
      <c r="I482" s="1"/>
    </row>
    <row r="483" spans="8:9" x14ac:dyDescent="0.25">
      <c r="H483" s="1"/>
      <c r="I483" s="1"/>
    </row>
    <row r="484" spans="8:9" x14ac:dyDescent="0.25">
      <c r="H484" s="1"/>
      <c r="I484" s="1"/>
    </row>
    <row r="485" spans="8:9" x14ac:dyDescent="0.25">
      <c r="H485" s="1"/>
      <c r="I485" s="1"/>
    </row>
    <row r="486" spans="8:9" x14ac:dyDescent="0.25">
      <c r="H486" s="1"/>
      <c r="I486" s="1"/>
    </row>
    <row r="487" spans="8:9" x14ac:dyDescent="0.25">
      <c r="H487" s="1"/>
      <c r="I487" s="1"/>
    </row>
    <row r="488" spans="8:9" x14ac:dyDescent="0.25">
      <c r="H488" s="1"/>
      <c r="I488" s="1"/>
    </row>
    <row r="489" spans="8:9" x14ac:dyDescent="0.25">
      <c r="H489" s="1"/>
      <c r="I489" s="1"/>
    </row>
    <row r="490" spans="8:9" x14ac:dyDescent="0.25">
      <c r="H490" s="1"/>
      <c r="I490" s="1"/>
    </row>
    <row r="491" spans="8:9" x14ac:dyDescent="0.25">
      <c r="H491" s="1"/>
      <c r="I491" s="1"/>
    </row>
    <row r="492" spans="8:9" x14ac:dyDescent="0.25">
      <c r="H492" s="1"/>
      <c r="I492" s="1"/>
    </row>
    <row r="493" spans="8:9" x14ac:dyDescent="0.25">
      <c r="H493" s="1"/>
      <c r="I493" s="1"/>
    </row>
    <row r="494" spans="8:9" x14ac:dyDescent="0.25">
      <c r="H494" s="1"/>
      <c r="I494" s="1"/>
    </row>
    <row r="495" spans="8:9" x14ac:dyDescent="0.25">
      <c r="H495" s="1"/>
      <c r="I495" s="1"/>
    </row>
    <row r="496" spans="8:9" x14ac:dyDescent="0.25">
      <c r="H496" s="1"/>
      <c r="I496" s="1"/>
    </row>
    <row r="497" spans="8:9" x14ac:dyDescent="0.25">
      <c r="H497" s="1"/>
      <c r="I497" s="1"/>
    </row>
    <row r="498" spans="8:9" x14ac:dyDescent="0.25">
      <c r="H498" s="1"/>
      <c r="I498" s="1"/>
    </row>
    <row r="499" spans="8:9" x14ac:dyDescent="0.25">
      <c r="H499" s="1"/>
      <c r="I499" s="1"/>
    </row>
    <row r="500" spans="8:9" x14ac:dyDescent="0.25">
      <c r="H500" s="1"/>
      <c r="I500" s="1"/>
    </row>
    <row r="501" spans="8:9" x14ac:dyDescent="0.25">
      <c r="H501" s="1"/>
      <c r="I501" s="1"/>
    </row>
    <row r="502" spans="8:9" x14ac:dyDescent="0.25">
      <c r="H502" s="1"/>
      <c r="I502" s="1"/>
    </row>
    <row r="503" spans="8:9" x14ac:dyDescent="0.25">
      <c r="H503" s="1"/>
      <c r="I503" s="1"/>
    </row>
    <row r="504" spans="8:9" x14ac:dyDescent="0.25">
      <c r="H504" s="1"/>
      <c r="I504" s="1"/>
    </row>
    <row r="505" spans="8:9" x14ac:dyDescent="0.25">
      <c r="H505" s="1"/>
      <c r="I505" s="1"/>
    </row>
    <row r="506" spans="8:9" x14ac:dyDescent="0.25">
      <c r="H506" s="1"/>
      <c r="I506" s="1"/>
    </row>
    <row r="507" spans="8:9" x14ac:dyDescent="0.25">
      <c r="H507" s="1"/>
      <c r="I507" s="1"/>
    </row>
    <row r="508" spans="8:9" x14ac:dyDescent="0.25">
      <c r="H508" s="1"/>
      <c r="I508" s="1"/>
    </row>
    <row r="509" spans="8:9" x14ac:dyDescent="0.25">
      <c r="H509" s="1"/>
      <c r="I509" s="1"/>
    </row>
    <row r="510" spans="8:9" x14ac:dyDescent="0.25">
      <c r="H510" s="1"/>
      <c r="I510" s="1"/>
    </row>
    <row r="511" spans="8:9" x14ac:dyDescent="0.25">
      <c r="H511" s="1"/>
      <c r="I511" s="1"/>
    </row>
    <row r="512" spans="8:9" x14ac:dyDescent="0.25">
      <c r="H512" s="1"/>
      <c r="I512" s="1"/>
    </row>
    <row r="513" spans="8:9" x14ac:dyDescent="0.25">
      <c r="H513" s="1"/>
      <c r="I513" s="1"/>
    </row>
    <row r="514" spans="8:9" x14ac:dyDescent="0.25">
      <c r="H514" s="1"/>
      <c r="I514" s="1"/>
    </row>
    <row r="515" spans="8:9" x14ac:dyDescent="0.25">
      <c r="H515" s="1"/>
      <c r="I515" s="1"/>
    </row>
    <row r="516" spans="8:9" x14ac:dyDescent="0.25">
      <c r="H516" s="1"/>
      <c r="I516" s="1"/>
    </row>
    <row r="517" spans="8:9" x14ac:dyDescent="0.25">
      <c r="H517" s="1"/>
      <c r="I517" s="1"/>
    </row>
    <row r="518" spans="8:9" x14ac:dyDescent="0.25">
      <c r="H518" s="1"/>
      <c r="I518" s="1"/>
    </row>
    <row r="519" spans="8:9" x14ac:dyDescent="0.25">
      <c r="H519" s="1"/>
      <c r="I519" s="1"/>
    </row>
    <row r="520" spans="8:9" x14ac:dyDescent="0.25">
      <c r="H520" s="1"/>
      <c r="I520" s="1"/>
    </row>
    <row r="521" spans="8:9" x14ac:dyDescent="0.25">
      <c r="H521" s="1"/>
      <c r="I521" s="1"/>
    </row>
    <row r="522" spans="8:9" x14ac:dyDescent="0.25">
      <c r="H522" s="1"/>
      <c r="I522" s="1"/>
    </row>
    <row r="523" spans="8:9" x14ac:dyDescent="0.25">
      <c r="H523" s="1"/>
      <c r="I523" s="1"/>
    </row>
    <row r="524" spans="8:9" x14ac:dyDescent="0.25">
      <c r="H524" s="1"/>
      <c r="I524" s="1"/>
    </row>
    <row r="525" spans="8:9" x14ac:dyDescent="0.25">
      <c r="H525" s="1"/>
      <c r="I525" s="1"/>
    </row>
    <row r="526" spans="8:9" x14ac:dyDescent="0.25">
      <c r="H526" s="1"/>
      <c r="I526" s="1"/>
    </row>
    <row r="527" spans="8:9" x14ac:dyDescent="0.25">
      <c r="H527" s="1"/>
      <c r="I527" s="1"/>
    </row>
    <row r="528" spans="8:9" x14ac:dyDescent="0.25">
      <c r="H528" s="1"/>
      <c r="I528" s="1"/>
    </row>
    <row r="529" spans="8:9" x14ac:dyDescent="0.25">
      <c r="H529" s="1"/>
      <c r="I529" s="1"/>
    </row>
    <row r="530" spans="8:9" x14ac:dyDescent="0.25">
      <c r="H530" s="1"/>
      <c r="I530" s="1"/>
    </row>
    <row r="531" spans="8:9" x14ac:dyDescent="0.25">
      <c r="H531" s="1"/>
      <c r="I531" s="1"/>
    </row>
    <row r="532" spans="8:9" x14ac:dyDescent="0.25">
      <c r="H532" s="1"/>
      <c r="I532" s="1"/>
    </row>
    <row r="533" spans="8:9" x14ac:dyDescent="0.25">
      <c r="H533" s="1"/>
      <c r="I533" s="1"/>
    </row>
    <row r="534" spans="8:9" x14ac:dyDescent="0.25">
      <c r="H534" s="1"/>
      <c r="I534" s="1"/>
    </row>
    <row r="535" spans="8:9" x14ac:dyDescent="0.25">
      <c r="H535" s="1"/>
      <c r="I535" s="1"/>
    </row>
    <row r="536" spans="8:9" x14ac:dyDescent="0.25">
      <c r="H536" s="1"/>
      <c r="I536" s="1"/>
    </row>
    <row r="537" spans="8:9" x14ac:dyDescent="0.25">
      <c r="H537" s="1"/>
      <c r="I537" s="1"/>
    </row>
    <row r="538" spans="8:9" x14ac:dyDescent="0.25">
      <c r="H538" s="1"/>
      <c r="I538" s="1"/>
    </row>
    <row r="539" spans="8:9" x14ac:dyDescent="0.25">
      <c r="H539" s="1"/>
      <c r="I539" s="1"/>
    </row>
    <row r="540" spans="8:9" x14ac:dyDescent="0.25">
      <c r="H540" s="1"/>
      <c r="I540" s="1"/>
    </row>
    <row r="541" spans="8:9" x14ac:dyDescent="0.25">
      <c r="H541" s="1"/>
      <c r="I541" s="1"/>
    </row>
    <row r="542" spans="8:9" x14ac:dyDescent="0.25">
      <c r="H542" s="1"/>
      <c r="I542" s="1"/>
    </row>
    <row r="543" spans="8:9" x14ac:dyDescent="0.25">
      <c r="H543" s="1"/>
      <c r="I543" s="1"/>
    </row>
    <row r="544" spans="8:9" x14ac:dyDescent="0.25">
      <c r="H544" s="1"/>
      <c r="I544" s="1"/>
    </row>
    <row r="545" spans="8:9" x14ac:dyDescent="0.25">
      <c r="H545" s="1"/>
      <c r="I545" s="1"/>
    </row>
    <row r="546" spans="8:9" x14ac:dyDescent="0.25">
      <c r="H546" s="1"/>
      <c r="I546" s="1"/>
    </row>
    <row r="547" spans="8:9" x14ac:dyDescent="0.25">
      <c r="H547" s="1"/>
      <c r="I547" s="1"/>
    </row>
    <row r="548" spans="8:9" x14ac:dyDescent="0.25">
      <c r="H548" s="1"/>
      <c r="I548" s="1"/>
    </row>
    <row r="549" spans="8:9" x14ac:dyDescent="0.25">
      <c r="H549" s="1"/>
      <c r="I549" s="1"/>
    </row>
    <row r="550" spans="8:9" x14ac:dyDescent="0.25">
      <c r="H550" s="1"/>
      <c r="I550" s="1"/>
    </row>
    <row r="551" spans="8:9" x14ac:dyDescent="0.25">
      <c r="H551" s="1"/>
      <c r="I551" s="1"/>
    </row>
    <row r="552" spans="8:9" x14ac:dyDescent="0.25">
      <c r="H552" s="1"/>
      <c r="I552" s="1"/>
    </row>
    <row r="553" spans="8:9" x14ac:dyDescent="0.25">
      <c r="H553" s="1"/>
      <c r="I553" s="1"/>
    </row>
    <row r="554" spans="8:9" x14ac:dyDescent="0.25">
      <c r="H554" s="1"/>
      <c r="I554" s="1"/>
    </row>
    <row r="555" spans="8:9" x14ac:dyDescent="0.25">
      <c r="H555" s="1"/>
      <c r="I555" s="1"/>
    </row>
    <row r="556" spans="8:9" x14ac:dyDescent="0.25">
      <c r="H556" s="1"/>
      <c r="I556" s="1"/>
    </row>
    <row r="557" spans="8:9" x14ac:dyDescent="0.25">
      <c r="H557" s="1"/>
      <c r="I557" s="1"/>
    </row>
    <row r="558" spans="8:9" x14ac:dyDescent="0.25">
      <c r="H558" s="1"/>
      <c r="I558" s="1"/>
    </row>
    <row r="559" spans="8:9" x14ac:dyDescent="0.25">
      <c r="H559" s="1"/>
      <c r="I559" s="1"/>
    </row>
    <row r="560" spans="8:9" x14ac:dyDescent="0.25">
      <c r="H560" s="1"/>
      <c r="I560" s="1"/>
    </row>
    <row r="561" spans="8:9" x14ac:dyDescent="0.25">
      <c r="H561" s="1"/>
      <c r="I561" s="1"/>
    </row>
    <row r="562" spans="8:9" x14ac:dyDescent="0.25">
      <c r="H562" s="1"/>
      <c r="I562" s="1"/>
    </row>
    <row r="563" spans="8:9" x14ac:dyDescent="0.25">
      <c r="H563" s="1"/>
      <c r="I563" s="1"/>
    </row>
    <row r="564" spans="8:9" x14ac:dyDescent="0.25">
      <c r="H564" s="1"/>
      <c r="I564" s="1"/>
    </row>
    <row r="565" spans="8:9" x14ac:dyDescent="0.25">
      <c r="H565" s="1"/>
      <c r="I565" s="1"/>
    </row>
    <row r="566" spans="8:9" x14ac:dyDescent="0.25">
      <c r="H566" s="1"/>
      <c r="I566" s="1"/>
    </row>
    <row r="567" spans="8:9" x14ac:dyDescent="0.25">
      <c r="H567" s="1"/>
      <c r="I567" s="1"/>
    </row>
    <row r="568" spans="8:9" x14ac:dyDescent="0.25">
      <c r="H568" s="1"/>
      <c r="I568" s="1"/>
    </row>
    <row r="569" spans="8:9" x14ac:dyDescent="0.25">
      <c r="H569" s="1"/>
      <c r="I569" s="1"/>
    </row>
    <row r="570" spans="8:9" x14ac:dyDescent="0.25">
      <c r="H570" s="1"/>
      <c r="I570" s="1"/>
    </row>
    <row r="571" spans="8:9" x14ac:dyDescent="0.25">
      <c r="H571" s="1"/>
      <c r="I571" s="1"/>
    </row>
    <row r="572" spans="8:9" x14ac:dyDescent="0.25">
      <c r="H572" s="1"/>
      <c r="I572" s="1"/>
    </row>
    <row r="573" spans="8:9" x14ac:dyDescent="0.25">
      <c r="H573" s="1"/>
      <c r="I573" s="1"/>
    </row>
    <row r="574" spans="8:9" x14ac:dyDescent="0.25">
      <c r="H574" s="1"/>
      <c r="I574" s="1"/>
    </row>
    <row r="575" spans="8:9" x14ac:dyDescent="0.25">
      <c r="H575" s="1"/>
      <c r="I575" s="1"/>
    </row>
    <row r="576" spans="8:9" x14ac:dyDescent="0.25">
      <c r="H576" s="1"/>
      <c r="I576" s="1"/>
    </row>
    <row r="577" spans="8:9" x14ac:dyDescent="0.25">
      <c r="H577" s="1"/>
      <c r="I577" s="1"/>
    </row>
    <row r="578" spans="8:9" x14ac:dyDescent="0.25">
      <c r="H578" s="1"/>
      <c r="I578" s="1"/>
    </row>
    <row r="579" spans="8:9" x14ac:dyDescent="0.25">
      <c r="H579" s="1"/>
      <c r="I579" s="1"/>
    </row>
    <row r="580" spans="8:9" x14ac:dyDescent="0.25">
      <c r="H580" s="1"/>
      <c r="I580" s="1"/>
    </row>
    <row r="581" spans="8:9" x14ac:dyDescent="0.25">
      <c r="H581" s="1"/>
      <c r="I581" s="1"/>
    </row>
    <row r="582" spans="8:9" x14ac:dyDescent="0.25">
      <c r="H582" s="1"/>
      <c r="I582" s="1"/>
    </row>
    <row r="583" spans="8:9" x14ac:dyDescent="0.25">
      <c r="H583" s="1"/>
      <c r="I583" s="1"/>
    </row>
    <row r="584" spans="8:9" x14ac:dyDescent="0.25">
      <c r="H584" s="1"/>
      <c r="I584" s="1"/>
    </row>
    <row r="585" spans="8:9" x14ac:dyDescent="0.25">
      <c r="H585" s="1"/>
      <c r="I585" s="1"/>
    </row>
    <row r="586" spans="8:9" x14ac:dyDescent="0.25">
      <c r="H586" s="1"/>
      <c r="I586" s="1"/>
    </row>
    <row r="587" spans="8:9" x14ac:dyDescent="0.25">
      <c r="H587" s="1"/>
      <c r="I587" s="1"/>
    </row>
    <row r="588" spans="8:9" x14ac:dyDescent="0.25">
      <c r="H588" s="1"/>
      <c r="I588" s="1"/>
    </row>
    <row r="589" spans="8:9" x14ac:dyDescent="0.25">
      <c r="H589" s="1"/>
      <c r="I589" s="1"/>
    </row>
    <row r="590" spans="8:9" x14ac:dyDescent="0.25">
      <c r="H590" s="1"/>
      <c r="I590" s="1"/>
    </row>
    <row r="591" spans="8:9" x14ac:dyDescent="0.25">
      <c r="H591" s="1"/>
      <c r="I591" s="1"/>
    </row>
    <row r="592" spans="8:9" x14ac:dyDescent="0.25">
      <c r="H592" s="1"/>
      <c r="I592" s="1"/>
    </row>
    <row r="593" spans="8:9" x14ac:dyDescent="0.25">
      <c r="H593" s="1"/>
      <c r="I593" s="1"/>
    </row>
    <row r="594" spans="8:9" x14ac:dyDescent="0.25">
      <c r="H594" s="1"/>
      <c r="I594" s="1"/>
    </row>
    <row r="595" spans="8:9" x14ac:dyDescent="0.25">
      <c r="H595" s="1"/>
      <c r="I595" s="1"/>
    </row>
    <row r="596" spans="8:9" x14ac:dyDescent="0.25">
      <c r="H596" s="1"/>
      <c r="I596" s="1"/>
    </row>
    <row r="597" spans="8:9" x14ac:dyDescent="0.25">
      <c r="H597" s="1"/>
      <c r="I597" s="1"/>
    </row>
    <row r="598" spans="8:9" x14ac:dyDescent="0.25">
      <c r="H598" s="1"/>
      <c r="I598" s="1"/>
    </row>
    <row r="599" spans="8:9" x14ac:dyDescent="0.25">
      <c r="H599" s="1"/>
      <c r="I599" s="1"/>
    </row>
    <row r="600" spans="8:9" x14ac:dyDescent="0.25">
      <c r="H600" s="1"/>
      <c r="I600" s="1"/>
    </row>
    <row r="601" spans="8:9" x14ac:dyDescent="0.25">
      <c r="H601" s="1"/>
      <c r="I601" s="1"/>
    </row>
    <row r="602" spans="8:9" x14ac:dyDescent="0.25">
      <c r="H602" s="1"/>
      <c r="I602" s="1"/>
    </row>
    <row r="603" spans="8:9" x14ac:dyDescent="0.25">
      <c r="H603" s="1"/>
      <c r="I603" s="1"/>
    </row>
    <row r="604" spans="8:9" x14ac:dyDescent="0.25">
      <c r="H604" s="1"/>
      <c r="I604" s="1"/>
    </row>
    <row r="605" spans="8:9" x14ac:dyDescent="0.25">
      <c r="H605" s="1"/>
      <c r="I605" s="1"/>
    </row>
    <row r="606" spans="8:9" x14ac:dyDescent="0.25">
      <c r="H606" s="1"/>
      <c r="I606" s="1"/>
    </row>
    <row r="607" spans="8:9" x14ac:dyDescent="0.25">
      <c r="H607" s="1"/>
      <c r="I607" s="1"/>
    </row>
    <row r="608" spans="8:9" x14ac:dyDescent="0.25">
      <c r="H608" s="1"/>
      <c r="I608" s="1"/>
    </row>
    <row r="609" spans="8:9" x14ac:dyDescent="0.25">
      <c r="H609" s="1"/>
      <c r="I609" s="1"/>
    </row>
    <row r="610" spans="8:9" x14ac:dyDescent="0.25">
      <c r="H610" s="1"/>
      <c r="I610" s="1"/>
    </row>
    <row r="611" spans="8:9" x14ac:dyDescent="0.25">
      <c r="H611" s="1"/>
      <c r="I611" s="1"/>
    </row>
    <row r="612" spans="8:9" x14ac:dyDescent="0.25">
      <c r="H612" s="1"/>
      <c r="I612" s="1"/>
    </row>
    <row r="613" spans="8:9" x14ac:dyDescent="0.25">
      <c r="H613" s="1"/>
      <c r="I613" s="1"/>
    </row>
    <row r="614" spans="8:9" x14ac:dyDescent="0.25">
      <c r="H614" s="1"/>
      <c r="I614" s="1"/>
    </row>
    <row r="615" spans="8:9" x14ac:dyDescent="0.25">
      <c r="H615" s="1"/>
      <c r="I615" s="1"/>
    </row>
    <row r="616" spans="8:9" x14ac:dyDescent="0.25">
      <c r="H616" s="1"/>
      <c r="I616" s="1"/>
    </row>
    <row r="617" spans="8:9" x14ac:dyDescent="0.25">
      <c r="H617" s="1"/>
      <c r="I617" s="1"/>
    </row>
    <row r="618" spans="8:9" x14ac:dyDescent="0.25">
      <c r="H618" s="1"/>
      <c r="I618" s="1"/>
    </row>
    <row r="619" spans="8:9" x14ac:dyDescent="0.25">
      <c r="H619" s="1"/>
      <c r="I619" s="1"/>
    </row>
    <row r="620" spans="8:9" x14ac:dyDescent="0.25">
      <c r="H620" s="1"/>
      <c r="I620" s="1"/>
    </row>
    <row r="621" spans="8:9" x14ac:dyDescent="0.25">
      <c r="H621" s="1"/>
      <c r="I621" s="1"/>
    </row>
    <row r="622" spans="8:9" x14ac:dyDescent="0.25">
      <c r="H622" s="1"/>
      <c r="I622" s="1"/>
    </row>
    <row r="623" spans="8:9" x14ac:dyDescent="0.25">
      <c r="H623" s="1"/>
      <c r="I623" s="1"/>
    </row>
    <row r="624" spans="8:9" x14ac:dyDescent="0.25">
      <c r="H624" s="1"/>
      <c r="I624" s="1"/>
    </row>
    <row r="625" spans="8:9" x14ac:dyDescent="0.25">
      <c r="H625" s="1"/>
      <c r="I625" s="1"/>
    </row>
    <row r="626" spans="8:9" x14ac:dyDescent="0.25">
      <c r="H626" s="1"/>
      <c r="I626" s="1"/>
    </row>
    <row r="627" spans="8:9" x14ac:dyDescent="0.25">
      <c r="H627" s="1"/>
      <c r="I627" s="1"/>
    </row>
    <row r="628" spans="8:9" x14ac:dyDescent="0.25">
      <c r="H628" s="1"/>
      <c r="I628" s="1"/>
    </row>
    <row r="629" spans="8:9" x14ac:dyDescent="0.25">
      <c r="H629" s="1"/>
      <c r="I629" s="1"/>
    </row>
    <row r="630" spans="8:9" x14ac:dyDescent="0.25">
      <c r="H630" s="1"/>
      <c r="I630" s="1"/>
    </row>
    <row r="631" spans="8:9" x14ac:dyDescent="0.25">
      <c r="H631" s="1"/>
      <c r="I631" s="1"/>
    </row>
    <row r="632" spans="8:9" x14ac:dyDescent="0.25">
      <c r="H632" s="1"/>
      <c r="I632" s="1"/>
    </row>
    <row r="633" spans="8:9" x14ac:dyDescent="0.25">
      <c r="H633" s="1"/>
      <c r="I633" s="1"/>
    </row>
    <row r="634" spans="8:9" x14ac:dyDescent="0.25">
      <c r="H634" s="1"/>
      <c r="I634" s="1"/>
    </row>
    <row r="635" spans="8:9" x14ac:dyDescent="0.25">
      <c r="H635" s="1"/>
      <c r="I635" s="1"/>
    </row>
    <row r="636" spans="8:9" x14ac:dyDescent="0.25">
      <c r="H636" s="1"/>
      <c r="I636" s="1"/>
    </row>
    <row r="637" spans="8:9" x14ac:dyDescent="0.25">
      <c r="H637" s="1"/>
      <c r="I637" s="1"/>
    </row>
    <row r="638" spans="8:9" x14ac:dyDescent="0.25">
      <c r="H638" s="1"/>
      <c r="I638" s="1"/>
    </row>
    <row r="639" spans="8:9" x14ac:dyDescent="0.25">
      <c r="H639" s="1"/>
      <c r="I639" s="1"/>
    </row>
    <row r="640" spans="8:9" x14ac:dyDescent="0.25">
      <c r="H640" s="1"/>
      <c r="I640" s="1"/>
    </row>
    <row r="641" spans="8:9" x14ac:dyDescent="0.25">
      <c r="H641" s="1"/>
      <c r="I641" s="1"/>
    </row>
    <row r="642" spans="8:9" x14ac:dyDescent="0.25">
      <c r="H642" s="1"/>
      <c r="I642" s="1"/>
    </row>
    <row r="643" spans="8:9" x14ac:dyDescent="0.25">
      <c r="H643" s="1"/>
      <c r="I643" s="1"/>
    </row>
    <row r="644" spans="8:9" x14ac:dyDescent="0.25">
      <c r="H644" s="1"/>
      <c r="I644" s="1"/>
    </row>
    <row r="645" spans="8:9" x14ac:dyDescent="0.25">
      <c r="H645" s="1"/>
      <c r="I645" s="1"/>
    </row>
    <row r="646" spans="8:9" x14ac:dyDescent="0.25">
      <c r="H646" s="1"/>
      <c r="I646" s="1"/>
    </row>
    <row r="647" spans="8:9" x14ac:dyDescent="0.25">
      <c r="H647" s="1"/>
      <c r="I647" s="1"/>
    </row>
    <row r="648" spans="8:9" x14ac:dyDescent="0.25">
      <c r="H648" s="1"/>
      <c r="I648" s="1"/>
    </row>
    <row r="649" spans="8:9" x14ac:dyDescent="0.25">
      <c r="H649" s="1"/>
      <c r="I649" s="1"/>
    </row>
    <row r="650" spans="8:9" x14ac:dyDescent="0.25">
      <c r="H650" s="1"/>
      <c r="I650" s="1"/>
    </row>
    <row r="651" spans="8:9" x14ac:dyDescent="0.25">
      <c r="H651" s="1"/>
      <c r="I651" s="1"/>
    </row>
    <row r="652" spans="8:9" x14ac:dyDescent="0.25">
      <c r="H652" s="1"/>
      <c r="I652" s="1"/>
    </row>
    <row r="653" spans="8:9" x14ac:dyDescent="0.25">
      <c r="H653" s="1"/>
      <c r="I653" s="1"/>
    </row>
    <row r="654" spans="8:9" x14ac:dyDescent="0.25">
      <c r="H654" s="1"/>
      <c r="I654" s="1"/>
    </row>
    <row r="655" spans="8:9" x14ac:dyDescent="0.25">
      <c r="H655" s="1"/>
      <c r="I655" s="1"/>
    </row>
    <row r="656" spans="8:9" x14ac:dyDescent="0.25">
      <c r="H656" s="1"/>
      <c r="I656" s="1"/>
    </row>
    <row r="657" spans="8:9" x14ac:dyDescent="0.25">
      <c r="H657" s="1"/>
      <c r="I657" s="1"/>
    </row>
    <row r="658" spans="8:9" x14ac:dyDescent="0.25">
      <c r="H658" s="1"/>
      <c r="I658" s="1"/>
    </row>
    <row r="659" spans="8:9" x14ac:dyDescent="0.25">
      <c r="H659" s="1"/>
      <c r="I659" s="1"/>
    </row>
    <row r="660" spans="8:9" x14ac:dyDescent="0.25">
      <c r="H660" s="1"/>
      <c r="I660" s="1"/>
    </row>
    <row r="661" spans="8:9" x14ac:dyDescent="0.25">
      <c r="H661" s="1"/>
      <c r="I661" s="1"/>
    </row>
    <row r="662" spans="8:9" x14ac:dyDescent="0.25">
      <c r="H662" s="1"/>
      <c r="I662" s="1"/>
    </row>
    <row r="663" spans="8:9" x14ac:dyDescent="0.25">
      <c r="H663" s="1"/>
      <c r="I663" s="1"/>
    </row>
    <row r="664" spans="8:9" x14ac:dyDescent="0.25">
      <c r="H664" s="1"/>
      <c r="I664" s="1"/>
    </row>
    <row r="665" spans="8:9" x14ac:dyDescent="0.25">
      <c r="H665" s="1"/>
      <c r="I665" s="1"/>
    </row>
    <row r="666" spans="8:9" x14ac:dyDescent="0.25">
      <c r="H666" s="1"/>
      <c r="I666" s="1"/>
    </row>
    <row r="667" spans="8:9" x14ac:dyDescent="0.25">
      <c r="H667" s="1"/>
      <c r="I667" s="1"/>
    </row>
    <row r="668" spans="8:9" x14ac:dyDescent="0.25">
      <c r="H668" s="1"/>
      <c r="I668" s="1"/>
    </row>
    <row r="669" spans="8:9" x14ac:dyDescent="0.25">
      <c r="H669" s="1"/>
      <c r="I669" s="1"/>
    </row>
    <row r="670" spans="8:9" x14ac:dyDescent="0.25">
      <c r="H670" s="1"/>
      <c r="I670" s="1"/>
    </row>
    <row r="671" spans="8:9" x14ac:dyDescent="0.25">
      <c r="H671" s="1"/>
      <c r="I671" s="1"/>
    </row>
    <row r="672" spans="8:9" x14ac:dyDescent="0.25">
      <c r="H672" s="1"/>
      <c r="I672" s="1"/>
    </row>
    <row r="673" spans="8:9" x14ac:dyDescent="0.25">
      <c r="H673" s="1"/>
      <c r="I673" s="1"/>
    </row>
    <row r="674" spans="8:9" x14ac:dyDescent="0.25">
      <c r="H674" s="1"/>
      <c r="I674" s="1"/>
    </row>
    <row r="675" spans="8:9" x14ac:dyDescent="0.25">
      <c r="H675" s="1"/>
      <c r="I675" s="1"/>
    </row>
    <row r="676" spans="8:9" x14ac:dyDescent="0.25">
      <c r="H676" s="1"/>
      <c r="I676" s="1"/>
    </row>
    <row r="677" spans="8:9" x14ac:dyDescent="0.25">
      <c r="H677" s="1"/>
      <c r="I677" s="1"/>
    </row>
    <row r="678" spans="8:9" x14ac:dyDescent="0.25">
      <c r="H678" s="1"/>
      <c r="I678" s="1"/>
    </row>
    <row r="679" spans="8:9" x14ac:dyDescent="0.25">
      <c r="H679" s="1"/>
      <c r="I679" s="1"/>
    </row>
    <row r="680" spans="8:9" x14ac:dyDescent="0.25">
      <c r="H680" s="1"/>
      <c r="I680" s="1"/>
    </row>
    <row r="681" spans="8:9" x14ac:dyDescent="0.25">
      <c r="H681" s="1"/>
      <c r="I681" s="1"/>
    </row>
    <row r="682" spans="8:9" x14ac:dyDescent="0.25">
      <c r="H682" s="1"/>
      <c r="I682" s="1"/>
    </row>
    <row r="683" spans="8:9" x14ac:dyDescent="0.25">
      <c r="H683" s="1"/>
      <c r="I683" s="1"/>
    </row>
    <row r="684" spans="8:9" x14ac:dyDescent="0.25">
      <c r="H684" s="1"/>
      <c r="I684" s="1"/>
    </row>
    <row r="685" spans="8:9" x14ac:dyDescent="0.25">
      <c r="H685" s="1"/>
      <c r="I685" s="1"/>
    </row>
    <row r="686" spans="8:9" x14ac:dyDescent="0.25">
      <c r="H686" s="1"/>
      <c r="I686" s="1"/>
    </row>
    <row r="687" spans="8:9" x14ac:dyDescent="0.25">
      <c r="H687" s="1"/>
      <c r="I687" s="1"/>
    </row>
    <row r="688" spans="8:9" x14ac:dyDescent="0.25">
      <c r="H688" s="1"/>
      <c r="I688" s="1"/>
    </row>
    <row r="689" spans="8:9" x14ac:dyDescent="0.25">
      <c r="H689" s="1"/>
      <c r="I689" s="1"/>
    </row>
    <row r="690" spans="8:9" x14ac:dyDescent="0.25">
      <c r="H690" s="1"/>
      <c r="I690" s="1"/>
    </row>
    <row r="691" spans="8:9" x14ac:dyDescent="0.25">
      <c r="H691" s="1"/>
      <c r="I691" s="1"/>
    </row>
    <row r="692" spans="8:9" x14ac:dyDescent="0.25">
      <c r="H692" s="1"/>
      <c r="I692" s="1"/>
    </row>
    <row r="693" spans="8:9" x14ac:dyDescent="0.25">
      <c r="H693" s="1"/>
      <c r="I693" s="1"/>
    </row>
    <row r="694" spans="8:9" x14ac:dyDescent="0.25">
      <c r="H694" s="1"/>
      <c r="I694" s="1"/>
    </row>
    <row r="695" spans="8:9" x14ac:dyDescent="0.25">
      <c r="H695" s="1"/>
      <c r="I695" s="1"/>
    </row>
    <row r="696" spans="8:9" x14ac:dyDescent="0.25">
      <c r="H696" s="1"/>
      <c r="I696" s="1"/>
    </row>
    <row r="697" spans="8:9" x14ac:dyDescent="0.25">
      <c r="H697" s="1"/>
      <c r="I697" s="1"/>
    </row>
    <row r="698" spans="8:9" x14ac:dyDescent="0.25">
      <c r="H698" s="1"/>
      <c r="I698" s="1"/>
    </row>
    <row r="699" spans="8:9" x14ac:dyDescent="0.25">
      <c r="H699" s="1"/>
      <c r="I699" s="1"/>
    </row>
    <row r="700" spans="8:9" x14ac:dyDescent="0.25">
      <c r="H700" s="1"/>
      <c r="I700" s="1"/>
    </row>
    <row r="701" spans="8:9" x14ac:dyDescent="0.25">
      <c r="H701" s="1"/>
      <c r="I701" s="1"/>
    </row>
    <row r="702" spans="8:9" x14ac:dyDescent="0.25">
      <c r="H702" s="1"/>
      <c r="I702" s="1"/>
    </row>
    <row r="703" spans="8:9" x14ac:dyDescent="0.25">
      <c r="H703" s="1"/>
      <c r="I703" s="1"/>
    </row>
    <row r="704" spans="8:9" x14ac:dyDescent="0.25">
      <c r="H704" s="1"/>
      <c r="I704" s="1"/>
    </row>
    <row r="705" spans="8:9" x14ac:dyDescent="0.25">
      <c r="H705" s="1"/>
      <c r="I705" s="1"/>
    </row>
    <row r="706" spans="8:9" x14ac:dyDescent="0.25">
      <c r="H706" s="1"/>
      <c r="I706" s="1"/>
    </row>
    <row r="707" spans="8:9" x14ac:dyDescent="0.25">
      <c r="H707" s="1"/>
      <c r="I707" s="1"/>
    </row>
    <row r="708" spans="8:9" x14ac:dyDescent="0.25">
      <c r="H708" s="1"/>
      <c r="I708" s="1"/>
    </row>
    <row r="709" spans="8:9" x14ac:dyDescent="0.25">
      <c r="H709" s="1"/>
      <c r="I709" s="1"/>
    </row>
    <row r="710" spans="8:9" x14ac:dyDescent="0.25">
      <c r="H710" s="1"/>
      <c r="I710" s="1"/>
    </row>
    <row r="711" spans="8:9" x14ac:dyDescent="0.25">
      <c r="H711" s="1"/>
      <c r="I711" s="1"/>
    </row>
    <row r="712" spans="8:9" x14ac:dyDescent="0.25">
      <c r="H712" s="1"/>
      <c r="I712" s="1"/>
    </row>
    <row r="713" spans="8:9" x14ac:dyDescent="0.25">
      <c r="H713" s="1"/>
      <c r="I713" s="1"/>
    </row>
    <row r="714" spans="8:9" x14ac:dyDescent="0.25">
      <c r="H714" s="1"/>
      <c r="I714" s="1"/>
    </row>
    <row r="715" spans="8:9" x14ac:dyDescent="0.25">
      <c r="H715" s="1"/>
      <c r="I715" s="1"/>
    </row>
    <row r="716" spans="8:9" x14ac:dyDescent="0.25">
      <c r="H716" s="1"/>
      <c r="I716" s="1"/>
    </row>
    <row r="717" spans="8:9" x14ac:dyDescent="0.25">
      <c r="H717" s="1"/>
      <c r="I717" s="1"/>
    </row>
    <row r="718" spans="8:9" x14ac:dyDescent="0.25">
      <c r="H718" s="1"/>
      <c r="I718" s="1"/>
    </row>
    <row r="719" spans="8:9" x14ac:dyDescent="0.25">
      <c r="H719" s="1"/>
      <c r="I719" s="1"/>
    </row>
    <row r="720" spans="8:9" x14ac:dyDescent="0.25">
      <c r="H720" s="1"/>
      <c r="I720" s="1"/>
    </row>
    <row r="721" spans="8:9" x14ac:dyDescent="0.25">
      <c r="H721" s="1"/>
      <c r="I721" s="1"/>
    </row>
    <row r="722" spans="8:9" x14ac:dyDescent="0.25">
      <c r="H722" s="1"/>
      <c r="I722" s="1"/>
    </row>
    <row r="723" spans="8:9" x14ac:dyDescent="0.25">
      <c r="H723" s="1"/>
      <c r="I723" s="1"/>
    </row>
    <row r="724" spans="8:9" x14ac:dyDescent="0.25">
      <c r="H724" s="1"/>
      <c r="I724" s="1"/>
    </row>
    <row r="725" spans="8:9" x14ac:dyDescent="0.25">
      <c r="H725" s="1"/>
      <c r="I725" s="1"/>
    </row>
    <row r="726" spans="8:9" x14ac:dyDescent="0.25">
      <c r="H726" s="1"/>
      <c r="I726" s="1"/>
    </row>
    <row r="727" spans="8:9" x14ac:dyDescent="0.25">
      <c r="H727" s="1"/>
      <c r="I727" s="1"/>
    </row>
    <row r="728" spans="8:9" x14ac:dyDescent="0.25">
      <c r="H728" s="1"/>
      <c r="I728" s="1"/>
    </row>
    <row r="729" spans="8:9" x14ac:dyDescent="0.25">
      <c r="H729" s="1"/>
      <c r="I729" s="1"/>
    </row>
    <row r="730" spans="8:9" x14ac:dyDescent="0.25">
      <c r="H730" s="1"/>
      <c r="I730" s="1"/>
    </row>
    <row r="731" spans="8:9" x14ac:dyDescent="0.25">
      <c r="H731" s="1"/>
      <c r="I731" s="1"/>
    </row>
    <row r="732" spans="8:9" x14ac:dyDescent="0.25">
      <c r="H732" s="1"/>
      <c r="I732" s="1"/>
    </row>
    <row r="733" spans="8:9" x14ac:dyDescent="0.25">
      <c r="H733" s="1"/>
      <c r="I733" s="1"/>
    </row>
    <row r="734" spans="8:9" x14ac:dyDescent="0.25">
      <c r="H734" s="1"/>
      <c r="I734" s="1"/>
    </row>
    <row r="735" spans="8:9" x14ac:dyDescent="0.25">
      <c r="H735" s="1"/>
      <c r="I735" s="1"/>
    </row>
    <row r="736" spans="8:9" x14ac:dyDescent="0.25">
      <c r="H736" s="1"/>
      <c r="I736" s="1"/>
    </row>
    <row r="737" spans="8:9" x14ac:dyDescent="0.25">
      <c r="H737" s="1"/>
      <c r="I737" s="1"/>
    </row>
    <row r="738" spans="8:9" x14ac:dyDescent="0.25">
      <c r="H738" s="1"/>
      <c r="I738" s="1"/>
    </row>
    <row r="739" spans="8:9" x14ac:dyDescent="0.25">
      <c r="H739" s="1"/>
      <c r="I739" s="1"/>
    </row>
    <row r="740" spans="8:9" x14ac:dyDescent="0.25">
      <c r="H740" s="1"/>
      <c r="I740" s="1"/>
    </row>
    <row r="741" spans="8:9" x14ac:dyDescent="0.25">
      <c r="H741" s="1"/>
      <c r="I741" s="1"/>
    </row>
    <row r="742" spans="8:9" x14ac:dyDescent="0.25">
      <c r="H742" s="1"/>
      <c r="I742" s="1"/>
    </row>
    <row r="743" spans="8:9" x14ac:dyDescent="0.25">
      <c r="H743" s="1"/>
      <c r="I743" s="1"/>
    </row>
    <row r="744" spans="8:9" x14ac:dyDescent="0.25">
      <c r="H744" s="1"/>
      <c r="I744" s="1"/>
    </row>
    <row r="745" spans="8:9" x14ac:dyDescent="0.25">
      <c r="H745" s="1"/>
      <c r="I745" s="1"/>
    </row>
    <row r="746" spans="8:9" x14ac:dyDescent="0.25">
      <c r="H746" s="1"/>
      <c r="I746" s="1"/>
    </row>
    <row r="747" spans="8:9" x14ac:dyDescent="0.25">
      <c r="H747" s="1"/>
      <c r="I747" s="1"/>
    </row>
    <row r="748" spans="8:9" x14ac:dyDescent="0.25">
      <c r="H748" s="1"/>
      <c r="I748" s="1"/>
    </row>
    <row r="749" spans="8:9" x14ac:dyDescent="0.25">
      <c r="H749" s="1"/>
      <c r="I749" s="1"/>
    </row>
    <row r="750" spans="8:9" x14ac:dyDescent="0.25">
      <c r="H750" s="1"/>
      <c r="I750" s="1"/>
    </row>
    <row r="751" spans="8:9" x14ac:dyDescent="0.25">
      <c r="H751" s="1"/>
      <c r="I751" s="1"/>
    </row>
    <row r="752" spans="8:9" x14ac:dyDescent="0.25">
      <c r="H752" s="1"/>
      <c r="I752" s="1"/>
    </row>
    <row r="753" spans="8:9" x14ac:dyDescent="0.25">
      <c r="H753" s="1"/>
      <c r="I753" s="1"/>
    </row>
    <row r="754" spans="8:9" x14ac:dyDescent="0.25">
      <c r="H754" s="1"/>
      <c r="I754" s="1"/>
    </row>
    <row r="755" spans="8:9" x14ac:dyDescent="0.25">
      <c r="H755" s="1"/>
      <c r="I755" s="1"/>
    </row>
    <row r="756" spans="8:9" x14ac:dyDescent="0.25">
      <c r="H756" s="1"/>
      <c r="I756" s="1"/>
    </row>
    <row r="757" spans="8:9" x14ac:dyDescent="0.25">
      <c r="H757" s="1"/>
      <c r="I757" s="1"/>
    </row>
    <row r="758" spans="8:9" x14ac:dyDescent="0.25">
      <c r="H758" s="1"/>
      <c r="I758" s="1"/>
    </row>
    <row r="759" spans="8:9" x14ac:dyDescent="0.25">
      <c r="H759" s="1"/>
      <c r="I759" s="1"/>
    </row>
    <row r="760" spans="8:9" x14ac:dyDescent="0.25">
      <c r="H760" s="1"/>
      <c r="I760" s="1"/>
    </row>
    <row r="761" spans="8:9" x14ac:dyDescent="0.25">
      <c r="H761" s="1"/>
      <c r="I761" s="1"/>
    </row>
    <row r="762" spans="8:9" x14ac:dyDescent="0.25">
      <c r="H762" s="1"/>
      <c r="I762" s="1"/>
    </row>
    <row r="763" spans="8:9" x14ac:dyDescent="0.25">
      <c r="H763" s="1"/>
      <c r="I763" s="1"/>
    </row>
    <row r="764" spans="8:9" x14ac:dyDescent="0.25">
      <c r="H764" s="1"/>
      <c r="I764" s="1"/>
    </row>
    <row r="765" spans="8:9" x14ac:dyDescent="0.25">
      <c r="H765" s="1"/>
      <c r="I765" s="1"/>
    </row>
    <row r="766" spans="8:9" x14ac:dyDescent="0.25">
      <c r="H766" s="1"/>
      <c r="I766" s="1"/>
    </row>
    <row r="767" spans="8:9" x14ac:dyDescent="0.25">
      <c r="H767" s="1"/>
      <c r="I767" s="1"/>
    </row>
    <row r="768" spans="8:9" x14ac:dyDescent="0.25">
      <c r="H768" s="1"/>
      <c r="I768" s="1"/>
    </row>
    <row r="769" spans="8:9" x14ac:dyDescent="0.25">
      <c r="H769" s="1"/>
      <c r="I769" s="1"/>
    </row>
    <row r="770" spans="8:9" x14ac:dyDescent="0.25">
      <c r="H770" s="1"/>
      <c r="I770" s="1"/>
    </row>
    <row r="771" spans="8:9" x14ac:dyDescent="0.25">
      <c r="H771" s="1"/>
      <c r="I771" s="1"/>
    </row>
    <row r="772" spans="8:9" x14ac:dyDescent="0.25">
      <c r="H772" s="1"/>
      <c r="I772" s="1"/>
    </row>
    <row r="773" spans="8:9" x14ac:dyDescent="0.25">
      <c r="H773" s="1"/>
      <c r="I773" s="1"/>
    </row>
    <row r="774" spans="8:9" x14ac:dyDescent="0.25">
      <c r="H774" s="1"/>
      <c r="I774" s="1"/>
    </row>
    <row r="775" spans="8:9" x14ac:dyDescent="0.25">
      <c r="H775" s="1"/>
      <c r="I775" s="1"/>
    </row>
    <row r="776" spans="8:9" x14ac:dyDescent="0.25">
      <c r="H776" s="1"/>
      <c r="I776" s="1"/>
    </row>
    <row r="777" spans="8:9" x14ac:dyDescent="0.25">
      <c r="H777" s="1"/>
      <c r="I777" s="1"/>
    </row>
    <row r="778" spans="8:9" x14ac:dyDescent="0.25">
      <c r="H778" s="1"/>
      <c r="I778" s="1"/>
    </row>
    <row r="779" spans="8:9" x14ac:dyDescent="0.25">
      <c r="H779" s="1"/>
      <c r="I779" s="1"/>
    </row>
    <row r="780" spans="8:9" x14ac:dyDescent="0.25">
      <c r="H780" s="1"/>
      <c r="I780" s="1"/>
    </row>
    <row r="781" spans="8:9" x14ac:dyDescent="0.25">
      <c r="H781" s="1"/>
      <c r="I781" s="1"/>
    </row>
    <row r="782" spans="8:9" x14ac:dyDescent="0.25">
      <c r="H782" s="1"/>
      <c r="I782" s="1"/>
    </row>
    <row r="783" spans="8:9" x14ac:dyDescent="0.25">
      <c r="H783" s="1"/>
      <c r="I783" s="1"/>
    </row>
    <row r="784" spans="8:9" x14ac:dyDescent="0.25">
      <c r="H784" s="1"/>
      <c r="I784" s="1"/>
    </row>
    <row r="785" spans="8:9" x14ac:dyDescent="0.25">
      <c r="H785" s="1"/>
      <c r="I785" s="1"/>
    </row>
    <row r="786" spans="8:9" x14ac:dyDescent="0.25">
      <c r="H786" s="1"/>
      <c r="I786" s="1"/>
    </row>
    <row r="787" spans="8:9" x14ac:dyDescent="0.25">
      <c r="H787" s="1"/>
      <c r="I787" s="1"/>
    </row>
    <row r="788" spans="8:9" x14ac:dyDescent="0.25">
      <c r="H788" s="1"/>
      <c r="I788" s="1"/>
    </row>
    <row r="789" spans="8:9" x14ac:dyDescent="0.25">
      <c r="H789" s="1"/>
      <c r="I789" s="1"/>
    </row>
    <row r="790" spans="8:9" x14ac:dyDescent="0.25">
      <c r="H790" s="1"/>
      <c r="I790" s="1"/>
    </row>
    <row r="791" spans="8:9" x14ac:dyDescent="0.25">
      <c r="H791" s="1"/>
      <c r="I791" s="1"/>
    </row>
    <row r="792" spans="8:9" x14ac:dyDescent="0.25">
      <c r="H792" s="1"/>
      <c r="I792" s="1"/>
    </row>
    <row r="793" spans="8:9" x14ac:dyDescent="0.25">
      <c r="H793" s="1"/>
      <c r="I793" s="1"/>
    </row>
    <row r="794" spans="8:9" x14ac:dyDescent="0.25">
      <c r="H794" s="1"/>
      <c r="I794" s="1"/>
    </row>
    <row r="795" spans="8:9" x14ac:dyDescent="0.25">
      <c r="H795" s="1"/>
      <c r="I795" s="1"/>
    </row>
    <row r="796" spans="8:9" x14ac:dyDescent="0.25">
      <c r="H796" s="1"/>
      <c r="I796" s="1"/>
    </row>
    <row r="797" spans="8:9" x14ac:dyDescent="0.25">
      <c r="H797" s="1"/>
      <c r="I797" s="1"/>
    </row>
    <row r="798" spans="8:9" x14ac:dyDescent="0.25">
      <c r="H798" s="1"/>
      <c r="I798" s="1"/>
    </row>
    <row r="799" spans="8:9" x14ac:dyDescent="0.25">
      <c r="H799" s="1"/>
      <c r="I799" s="1"/>
    </row>
    <row r="800" spans="8:9" x14ac:dyDescent="0.25">
      <c r="H800" s="1"/>
      <c r="I800" s="1"/>
    </row>
    <row r="801" spans="8:9" x14ac:dyDescent="0.25">
      <c r="H801" s="1"/>
      <c r="I801" s="1"/>
    </row>
    <row r="802" spans="8:9" x14ac:dyDescent="0.25">
      <c r="H802" s="1"/>
      <c r="I802" s="1"/>
    </row>
    <row r="803" spans="8:9" x14ac:dyDescent="0.25">
      <c r="H803" s="1"/>
      <c r="I803" s="1"/>
    </row>
    <row r="804" spans="8:9" x14ac:dyDescent="0.25">
      <c r="H804" s="1"/>
      <c r="I804" s="1"/>
    </row>
    <row r="805" spans="8:9" x14ac:dyDescent="0.25">
      <c r="H805" s="1"/>
      <c r="I805" s="1"/>
    </row>
    <row r="806" spans="8:9" x14ac:dyDescent="0.25">
      <c r="H806" s="1"/>
      <c r="I806" s="1"/>
    </row>
    <row r="807" spans="8:9" x14ac:dyDescent="0.25">
      <c r="H807" s="1"/>
      <c r="I807" s="1"/>
    </row>
    <row r="808" spans="8:9" x14ac:dyDescent="0.25">
      <c r="H808" s="1"/>
      <c r="I808" s="1"/>
    </row>
    <row r="809" spans="8:9" x14ac:dyDescent="0.25">
      <c r="H809" s="1"/>
      <c r="I809" s="1"/>
    </row>
    <row r="810" spans="8:9" x14ac:dyDescent="0.25">
      <c r="H810" s="1"/>
      <c r="I810" s="1"/>
    </row>
    <row r="811" spans="8:9" x14ac:dyDescent="0.25">
      <c r="H811" s="1"/>
      <c r="I811" s="1"/>
    </row>
    <row r="812" spans="8:9" x14ac:dyDescent="0.25">
      <c r="H812" s="1"/>
      <c r="I812" s="1"/>
    </row>
    <row r="813" spans="8:9" x14ac:dyDescent="0.25">
      <c r="H813" s="1"/>
      <c r="I813" s="1"/>
    </row>
    <row r="814" spans="8:9" x14ac:dyDescent="0.25">
      <c r="H814" s="1"/>
      <c r="I814" s="1"/>
    </row>
    <row r="815" spans="8:9" x14ac:dyDescent="0.25">
      <c r="H815" s="1"/>
      <c r="I815" s="1"/>
    </row>
    <row r="816" spans="8:9" x14ac:dyDescent="0.25">
      <c r="H816" s="1"/>
      <c r="I816" s="1"/>
    </row>
    <row r="817" spans="8:9" x14ac:dyDescent="0.25">
      <c r="H817" s="1"/>
      <c r="I817" s="1"/>
    </row>
    <row r="818" spans="8:9" x14ac:dyDescent="0.25">
      <c r="H818" s="1"/>
      <c r="I818" s="1"/>
    </row>
    <row r="819" spans="8:9" x14ac:dyDescent="0.25">
      <c r="H819" s="1"/>
      <c r="I819" s="1"/>
    </row>
    <row r="820" spans="8:9" x14ac:dyDescent="0.25">
      <c r="H820" s="1"/>
      <c r="I820" s="1"/>
    </row>
    <row r="821" spans="8:9" x14ac:dyDescent="0.25">
      <c r="H821" s="1"/>
      <c r="I821" s="1"/>
    </row>
    <row r="822" spans="8:9" x14ac:dyDescent="0.25">
      <c r="H822" s="1"/>
      <c r="I822" s="1"/>
    </row>
    <row r="823" spans="8:9" x14ac:dyDescent="0.25">
      <c r="H823" s="1"/>
      <c r="I823" s="1"/>
    </row>
    <row r="824" spans="8:9" x14ac:dyDescent="0.25">
      <c r="H824" s="1"/>
      <c r="I824" s="1"/>
    </row>
    <row r="825" spans="8:9" x14ac:dyDescent="0.25">
      <c r="H825" s="1"/>
      <c r="I825" s="1"/>
    </row>
    <row r="826" spans="8:9" x14ac:dyDescent="0.25">
      <c r="H826" s="1"/>
      <c r="I826" s="1"/>
    </row>
    <row r="827" spans="8:9" x14ac:dyDescent="0.25">
      <c r="H827" s="1"/>
      <c r="I827" s="1"/>
    </row>
    <row r="828" spans="8:9" x14ac:dyDescent="0.25">
      <c r="H828" s="1"/>
      <c r="I828" s="1"/>
    </row>
    <row r="829" spans="8:9" x14ac:dyDescent="0.25">
      <c r="H829" s="1"/>
      <c r="I829" s="1"/>
    </row>
    <row r="830" spans="8:9" x14ac:dyDescent="0.25">
      <c r="H830" s="1"/>
      <c r="I830" s="1"/>
    </row>
    <row r="831" spans="8:9" x14ac:dyDescent="0.25">
      <c r="H831" s="1"/>
      <c r="I831" s="1"/>
    </row>
    <row r="832" spans="8:9" x14ac:dyDescent="0.25">
      <c r="H832" s="1"/>
      <c r="I832" s="1"/>
    </row>
    <row r="833" spans="8:9" x14ac:dyDescent="0.25">
      <c r="H833" s="1"/>
      <c r="I833" s="1"/>
    </row>
    <row r="834" spans="8:9" x14ac:dyDescent="0.25">
      <c r="H834" s="1"/>
      <c r="I834" s="1"/>
    </row>
    <row r="835" spans="8:9" x14ac:dyDescent="0.25">
      <c r="H835" s="1"/>
      <c r="I835" s="1"/>
    </row>
    <row r="836" spans="8:9" x14ac:dyDescent="0.25">
      <c r="H836" s="1"/>
      <c r="I836" s="1"/>
    </row>
    <row r="837" spans="8:9" x14ac:dyDescent="0.25">
      <c r="H837" s="1"/>
      <c r="I837" s="1"/>
    </row>
    <row r="838" spans="8:9" x14ac:dyDescent="0.25">
      <c r="H838" s="1"/>
      <c r="I838" s="1"/>
    </row>
    <row r="839" spans="8:9" x14ac:dyDescent="0.25">
      <c r="H839" s="1"/>
      <c r="I839" s="1"/>
    </row>
    <row r="840" spans="8:9" x14ac:dyDescent="0.25">
      <c r="H840" s="1"/>
      <c r="I840" s="1"/>
    </row>
    <row r="841" spans="8:9" x14ac:dyDescent="0.25">
      <c r="H841" s="1"/>
      <c r="I841" s="1"/>
    </row>
    <row r="842" spans="8:9" x14ac:dyDescent="0.25">
      <c r="H842" s="1"/>
      <c r="I842" s="1"/>
    </row>
    <row r="843" spans="8:9" x14ac:dyDescent="0.25">
      <c r="H843" s="1"/>
      <c r="I843" s="1"/>
    </row>
    <row r="844" spans="8:9" x14ac:dyDescent="0.25">
      <c r="H844" s="1"/>
      <c r="I844" s="1"/>
    </row>
    <row r="845" spans="8:9" x14ac:dyDescent="0.25">
      <c r="H845" s="1"/>
      <c r="I845" s="1"/>
    </row>
    <row r="846" spans="8:9" x14ac:dyDescent="0.25">
      <c r="H846" s="1"/>
      <c r="I846" s="1"/>
    </row>
    <row r="847" spans="8:9" x14ac:dyDescent="0.25">
      <c r="H847" s="1"/>
      <c r="I847" s="1"/>
    </row>
    <row r="848" spans="8:9" x14ac:dyDescent="0.25">
      <c r="H848" s="1"/>
      <c r="I848" s="1"/>
    </row>
    <row r="849" spans="8:9" x14ac:dyDescent="0.25">
      <c r="H849" s="1"/>
      <c r="I849" s="1"/>
    </row>
    <row r="850" spans="8:9" x14ac:dyDescent="0.25">
      <c r="H850" s="1"/>
      <c r="I850" s="1"/>
    </row>
    <row r="851" spans="8:9" x14ac:dyDescent="0.25">
      <c r="H851" s="1"/>
      <c r="I851" s="1"/>
    </row>
    <row r="852" spans="8:9" x14ac:dyDescent="0.25">
      <c r="H852" s="1"/>
      <c r="I852" s="1"/>
    </row>
    <row r="853" spans="8:9" x14ac:dyDescent="0.25">
      <c r="H853" s="1"/>
      <c r="I853" s="1"/>
    </row>
    <row r="854" spans="8:9" x14ac:dyDescent="0.25">
      <c r="H854" s="1"/>
      <c r="I854" s="1"/>
    </row>
    <row r="855" spans="8:9" x14ac:dyDescent="0.25">
      <c r="H855" s="1"/>
      <c r="I855" s="1"/>
    </row>
    <row r="856" spans="8:9" x14ac:dyDescent="0.25">
      <c r="H856" s="1"/>
      <c r="I856" s="1"/>
    </row>
    <row r="857" spans="8:9" x14ac:dyDescent="0.25">
      <c r="H857" s="1"/>
      <c r="I857" s="1"/>
    </row>
    <row r="858" spans="8:9" x14ac:dyDescent="0.25">
      <c r="H858" s="1"/>
      <c r="I858" s="1"/>
    </row>
    <row r="859" spans="8:9" x14ac:dyDescent="0.25">
      <c r="H859" s="1"/>
      <c r="I859" s="1"/>
    </row>
    <row r="860" spans="8:9" x14ac:dyDescent="0.25">
      <c r="H860" s="1"/>
      <c r="I860" s="1"/>
    </row>
    <row r="861" spans="8:9" x14ac:dyDescent="0.25">
      <c r="H861" s="1"/>
      <c r="I861" s="1"/>
    </row>
    <row r="862" spans="8:9" x14ac:dyDescent="0.25">
      <c r="H862" s="1"/>
      <c r="I862" s="1"/>
    </row>
    <row r="863" spans="8:9" x14ac:dyDescent="0.25">
      <c r="H863" s="1"/>
      <c r="I863" s="1"/>
    </row>
    <row r="864" spans="8:9" x14ac:dyDescent="0.25">
      <c r="H864" s="1"/>
      <c r="I864" s="1"/>
    </row>
    <row r="865" spans="8:9" x14ac:dyDescent="0.25">
      <c r="H865" s="1"/>
      <c r="I865" s="1"/>
    </row>
    <row r="866" spans="8:9" x14ac:dyDescent="0.25">
      <c r="H866" s="1"/>
      <c r="I866" s="1"/>
    </row>
    <row r="867" spans="8:9" x14ac:dyDescent="0.25">
      <c r="H867" s="1"/>
      <c r="I867" s="1"/>
    </row>
    <row r="868" spans="8:9" x14ac:dyDescent="0.25">
      <c r="H868" s="1"/>
      <c r="I868" s="1"/>
    </row>
    <row r="869" spans="8:9" x14ac:dyDescent="0.25">
      <c r="H869" s="1"/>
      <c r="I869" s="1"/>
    </row>
    <row r="870" spans="8:9" x14ac:dyDescent="0.25">
      <c r="H870" s="1"/>
      <c r="I870" s="1"/>
    </row>
    <row r="871" spans="8:9" x14ac:dyDescent="0.25">
      <c r="H871" s="1"/>
      <c r="I871" s="1"/>
    </row>
    <row r="872" spans="8:9" x14ac:dyDescent="0.25">
      <c r="H872" s="1"/>
      <c r="I872" s="1"/>
    </row>
    <row r="873" spans="8:9" x14ac:dyDescent="0.25">
      <c r="H873" s="1"/>
      <c r="I873" s="1"/>
    </row>
    <row r="874" spans="8:9" x14ac:dyDescent="0.25">
      <c r="H874" s="1"/>
      <c r="I874" s="1"/>
    </row>
    <row r="875" spans="8:9" x14ac:dyDescent="0.25">
      <c r="H875" s="1"/>
      <c r="I875" s="1"/>
    </row>
    <row r="876" spans="8:9" x14ac:dyDescent="0.25">
      <c r="H876" s="1"/>
      <c r="I876" s="1"/>
    </row>
    <row r="877" spans="8:9" x14ac:dyDescent="0.25">
      <c r="H877" s="1"/>
      <c r="I877" s="1"/>
    </row>
    <row r="878" spans="8:9" x14ac:dyDescent="0.25">
      <c r="H878" s="1"/>
      <c r="I878" s="1"/>
    </row>
    <row r="879" spans="8:9" x14ac:dyDescent="0.25">
      <c r="H879" s="1"/>
      <c r="I879" s="1"/>
    </row>
    <row r="880" spans="8:9" x14ac:dyDescent="0.25">
      <c r="H880" s="1"/>
      <c r="I880" s="1"/>
    </row>
    <row r="881" spans="8:9" x14ac:dyDescent="0.25">
      <c r="H881" s="1"/>
      <c r="I881" s="1"/>
    </row>
    <row r="882" spans="8:9" x14ac:dyDescent="0.25">
      <c r="H882" s="1"/>
      <c r="I882" s="1"/>
    </row>
    <row r="883" spans="8:9" x14ac:dyDescent="0.25">
      <c r="H883" s="1"/>
      <c r="I883" s="1"/>
    </row>
    <row r="884" spans="8:9" x14ac:dyDescent="0.25">
      <c r="H884" s="1"/>
      <c r="I884" s="1"/>
    </row>
    <row r="885" spans="8:9" x14ac:dyDescent="0.25">
      <c r="H885" s="1"/>
      <c r="I885" s="1"/>
    </row>
    <row r="886" spans="8:9" x14ac:dyDescent="0.25">
      <c r="H886" s="1"/>
      <c r="I886" s="1"/>
    </row>
    <row r="887" spans="8:9" x14ac:dyDescent="0.25">
      <c r="H887" s="1"/>
      <c r="I887" s="1"/>
    </row>
    <row r="888" spans="8:9" x14ac:dyDescent="0.25">
      <c r="H888" s="1"/>
      <c r="I888" s="1"/>
    </row>
    <row r="889" spans="8:9" x14ac:dyDescent="0.25">
      <c r="H889" s="1"/>
      <c r="I889" s="1"/>
    </row>
    <row r="890" spans="8:9" x14ac:dyDescent="0.25">
      <c r="H890" s="1"/>
      <c r="I890" s="1"/>
    </row>
    <row r="891" spans="8:9" x14ac:dyDescent="0.25">
      <c r="H891" s="1"/>
      <c r="I891" s="1"/>
    </row>
    <row r="892" spans="8:9" x14ac:dyDescent="0.25">
      <c r="H892" s="1"/>
      <c r="I892" s="1"/>
    </row>
    <row r="893" spans="8:9" x14ac:dyDescent="0.25">
      <c r="H893" s="1"/>
      <c r="I893" s="1"/>
    </row>
    <row r="894" spans="8:9" x14ac:dyDescent="0.25">
      <c r="H894" s="1"/>
      <c r="I894" s="1"/>
    </row>
    <row r="895" spans="8:9" x14ac:dyDescent="0.25">
      <c r="H895" s="1"/>
      <c r="I895" s="1"/>
    </row>
  </sheetData>
  <sortState xmlns:xlrd2="http://schemas.microsoft.com/office/spreadsheetml/2017/richdata2" ref="A2:AA18">
    <sortCondition ref="P2:P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2025-10-30T13:43:40Z</dcterms:created>
  <dcterms:modified xsi:type="dcterms:W3CDTF">2025-11-03T15:19:40Z</dcterms:modified>
</cp:coreProperties>
</file>