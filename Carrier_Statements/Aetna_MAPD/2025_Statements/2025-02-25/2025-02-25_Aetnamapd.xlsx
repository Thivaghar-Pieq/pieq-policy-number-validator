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2-25-25\"/>
    </mc:Choice>
  </mc:AlternateContent>
  <xr:revisionPtr revIDLastSave="0" documentId="13_ncr:1_{7A380356-946A-48C6-8BCB-B2972D2E3DD2}" xr6:coauthVersionLast="47" xr6:coauthVersionMax="47" xr10:uidLastSave="{00000000-0000-0000-0000-000000000000}"/>
  <bookViews>
    <workbookView xWindow="-120" yWindow="-120" windowWidth="29040" windowHeight="16440" xr2:uid="{1E006611-63D6-4DA3-B24B-724FF3891409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C154" i="2" l="1"/>
  <c r="C151" i="2"/>
  <c r="C150" i="2"/>
  <c r="C147" i="2"/>
  <c r="C146" i="2"/>
  <c r="C143" i="2"/>
  <c r="C142" i="2"/>
  <c r="C139" i="2"/>
  <c r="C138" i="2"/>
  <c r="C136" i="2"/>
  <c r="C134" i="2"/>
  <c r="C131" i="2"/>
  <c r="C124" i="2"/>
  <c r="C121" i="2"/>
  <c r="C111" i="2"/>
  <c r="C108" i="2"/>
  <c r="C107" i="2"/>
  <c r="C104" i="2"/>
  <c r="C103" i="2"/>
  <c r="C100" i="2"/>
  <c r="C99" i="2"/>
  <c r="C96" i="2"/>
  <c r="C89" i="2"/>
  <c r="C88" i="2"/>
  <c r="C81" i="2"/>
  <c r="C78" i="2"/>
  <c r="C73" i="2"/>
  <c r="C70" i="2"/>
  <c r="C69" i="2"/>
  <c r="C66" i="2"/>
  <c r="C65" i="2"/>
  <c r="C62" i="2"/>
  <c r="C49" i="2"/>
  <c r="C46" i="2"/>
  <c r="C45" i="2"/>
  <c r="C42" i="2"/>
  <c r="C39" i="2"/>
  <c r="C36" i="2"/>
  <c r="C35" i="2"/>
  <c r="C32" i="2"/>
  <c r="C31" i="2"/>
  <c r="C28" i="2"/>
  <c r="C23" i="2"/>
  <c r="C20" i="2"/>
  <c r="C15" i="2"/>
  <c r="C12" i="2"/>
  <c r="C11" i="2"/>
  <c r="C8" i="2"/>
  <c r="C5" i="2"/>
  <c r="C2" i="2"/>
  <c r="C128" i="2"/>
  <c r="C125" i="2"/>
  <c r="C87" i="2"/>
  <c r="C84" i="2"/>
  <c r="C77" i="2"/>
  <c r="C74" i="2"/>
  <c r="C52" i="2"/>
  <c r="C120" i="2"/>
  <c r="C119" i="2"/>
  <c r="C57" i="2"/>
  <c r="C56" i="2"/>
  <c r="C55" i="2"/>
  <c r="C116" i="2"/>
  <c r="C115" i="2"/>
  <c r="C83" i="2"/>
  <c r="C82" i="2"/>
  <c r="C25" i="2"/>
  <c r="C24" i="2"/>
  <c r="C19" i="2"/>
  <c r="C18" i="2"/>
  <c r="C17" i="2"/>
  <c r="C16" i="2"/>
  <c r="C7" i="2"/>
  <c r="C6" i="2"/>
  <c r="C26" i="2"/>
  <c r="C129" i="2"/>
  <c r="C50" i="2"/>
  <c r="C58" i="2"/>
  <c r="C60" i="2"/>
  <c r="C94" i="2"/>
  <c r="C27" i="2"/>
  <c r="C130" i="2"/>
  <c r="C51" i="2"/>
  <c r="C61" i="2"/>
  <c r="C95" i="2"/>
  <c r="C59" i="2"/>
  <c r="C114" i="2"/>
  <c r="C118" i="2"/>
  <c r="C117" i="2"/>
  <c r="C141" i="2"/>
  <c r="C140" i="2"/>
  <c r="C22" i="2"/>
  <c r="C21" i="2"/>
  <c r="C14" i="2"/>
  <c r="C13" i="2"/>
  <c r="C10" i="2"/>
  <c r="C9" i="2"/>
  <c r="C153" i="2"/>
  <c r="C152" i="2"/>
  <c r="C149" i="2"/>
  <c r="C148" i="2"/>
  <c r="C145" i="2"/>
  <c r="C144" i="2"/>
  <c r="C133" i="2"/>
  <c r="C132" i="2"/>
  <c r="C127" i="2"/>
  <c r="C126" i="2"/>
  <c r="C110" i="2"/>
  <c r="C109" i="2"/>
  <c r="C102" i="2"/>
  <c r="C101" i="2"/>
  <c r="C98" i="2"/>
  <c r="C97" i="2"/>
  <c r="C86" i="2"/>
  <c r="C85" i="2"/>
  <c r="C80" i="2"/>
  <c r="C79" i="2"/>
  <c r="C76" i="2"/>
  <c r="C75" i="2"/>
  <c r="C72" i="2"/>
  <c r="C71" i="2"/>
  <c r="C68" i="2"/>
  <c r="C67" i="2"/>
  <c r="C64" i="2"/>
  <c r="C63" i="2"/>
  <c r="C54" i="2"/>
  <c r="C53" i="2"/>
  <c r="C48" i="2"/>
  <c r="C47" i="2"/>
  <c r="C38" i="2"/>
  <c r="C37" i="2"/>
  <c r="C34" i="2"/>
  <c r="C33" i="2"/>
  <c r="C30" i="2"/>
  <c r="C29" i="2"/>
  <c r="C4" i="2"/>
  <c r="C3" i="2"/>
  <c r="C137" i="2"/>
  <c r="C135" i="2"/>
  <c r="C123" i="2"/>
  <c r="C122" i="2"/>
  <c r="C113" i="2"/>
  <c r="C112" i="2"/>
  <c r="C106" i="2"/>
  <c r="C105" i="2"/>
  <c r="C93" i="2"/>
  <c r="C92" i="2"/>
  <c r="C91" i="2"/>
  <c r="C90" i="2"/>
  <c r="C44" i="2"/>
  <c r="C43" i="2"/>
  <c r="C41" i="2"/>
  <c r="C40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1" i="3"/>
</calcChain>
</file>

<file path=xl/sharedStrings.xml><?xml version="1.0" encoding="utf-8"?>
<sst xmlns="http://schemas.openxmlformats.org/spreadsheetml/2006/main" count="2479" uniqueCount="356">
  <si>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</si>
  <si>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</si>
  <si>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</si>
  <si>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</si>
  <si>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</si>
  <si>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</si>
  <si>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</si>
  <si>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</si>
  <si>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</si>
  <si>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</si>
  <si>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</si>
  <si>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</si>
  <si>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</si>
  <si>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</si>
  <si>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</si>
  <si>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</si>
  <si>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</si>
  <si>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</si>
  <si>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</si>
  <si>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</si>
  <si>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</si>
  <si>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</si>
  <si>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</si>
  <si>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</si>
  <si>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7TA2C33KT13</t>
  </si>
  <si>
    <t>ANDERSON E,KAY</t>
  </si>
  <si>
    <t>IL</t>
  </si>
  <si>
    <t>CMS Trueup reversal</t>
  </si>
  <si>
    <t>MAPD</t>
  </si>
  <si>
    <t>IMM619</t>
  </si>
  <si>
    <t>H7301-009</t>
  </si>
  <si>
    <t>LOA</t>
  </si>
  <si>
    <t>TAPPER, RANDY</t>
  </si>
  <si>
    <t>GMO</t>
  </si>
  <si>
    <t>Main Line Benefits LLC</t>
  </si>
  <si>
    <t xml:space="preserve">N  </t>
  </si>
  <si>
    <t>PRONEW</t>
  </si>
  <si>
    <t xml:space="preserve">Y  </t>
  </si>
  <si>
    <t>4RN9TK7HA19</t>
  </si>
  <si>
    <t>AULERT L,BARBARA</t>
  </si>
  <si>
    <t>New Business</t>
  </si>
  <si>
    <t>IMM606</t>
  </si>
  <si>
    <t>H7301-013</t>
  </si>
  <si>
    <t>Yale, Jacob</t>
  </si>
  <si>
    <t>7N47MT7NV79</t>
  </si>
  <si>
    <t>BABIARZ A,KATHLEEN</t>
  </si>
  <si>
    <t>Hunsberger, Anthony</t>
  </si>
  <si>
    <t>9NP0U35RP41</t>
  </si>
  <si>
    <t>BARNEY A,BRADLEY</t>
  </si>
  <si>
    <t>AL</t>
  </si>
  <si>
    <t>IMM605</t>
  </si>
  <si>
    <t>H5521-171</t>
  </si>
  <si>
    <t>Portugal, Gary</t>
  </si>
  <si>
    <t>6FF1GX8XT97</t>
  </si>
  <si>
    <t>BILELLO J,JAMES</t>
  </si>
  <si>
    <t>WI</t>
  </si>
  <si>
    <t>H5521-195</t>
  </si>
  <si>
    <t>1JM2K09CW05</t>
  </si>
  <si>
    <t>BOSTICK P,ALREDA</t>
  </si>
  <si>
    <t>NC</t>
  </si>
  <si>
    <t>IMM609</t>
  </si>
  <si>
    <t>H5521-348</t>
  </si>
  <si>
    <t>Teipel, Gregory</t>
  </si>
  <si>
    <t>7EC8PH1DM39</t>
  </si>
  <si>
    <t>BRIDGES W,GEORGE</t>
  </si>
  <si>
    <t>FL</t>
  </si>
  <si>
    <t>IMM604</t>
  </si>
  <si>
    <t>H5521-269</t>
  </si>
  <si>
    <t>CMS Trueup</t>
  </si>
  <si>
    <t>8CV1UA1JW92</t>
  </si>
  <si>
    <t>BUSSE P,SUSAN</t>
  </si>
  <si>
    <t>Liskovec, Frank</t>
  </si>
  <si>
    <t>2NQ4AY9WG86</t>
  </si>
  <si>
    <t>MEQNPDZM00016457948</t>
  </si>
  <si>
    <t>CABELLO,LUIS</t>
  </si>
  <si>
    <t>NJ</t>
  </si>
  <si>
    <t>IMM614</t>
  </si>
  <si>
    <t>H6399-001</t>
  </si>
  <si>
    <t>RAUGHTER, BRIAN</t>
  </si>
  <si>
    <t>3VC6T80JU74</t>
  </si>
  <si>
    <t>CHAN,SABINA</t>
  </si>
  <si>
    <t>H5521-086</t>
  </si>
  <si>
    <t>THANADABOUTH, PATSAMON</t>
  </si>
  <si>
    <t>1AX1QQ0GD99</t>
  </si>
  <si>
    <t>COATES L,NANCY</t>
  </si>
  <si>
    <t>Involuntarily Rapid Disenroll</t>
  </si>
  <si>
    <t>H7301-015</t>
  </si>
  <si>
    <t>Involuntary Pro-Rata Payment</t>
  </si>
  <si>
    <t>5T27UR5WA71</t>
  </si>
  <si>
    <t>DARRINGTON E,ALLEN</t>
  </si>
  <si>
    <t>CO</t>
  </si>
  <si>
    <t>IMM610</t>
  </si>
  <si>
    <t>H5521-443</t>
  </si>
  <si>
    <t>DAUGHERTY, MATTHEW</t>
  </si>
  <si>
    <t>9M92P01UA70</t>
  </si>
  <si>
    <t>DICKERSON J,CINDY</t>
  </si>
  <si>
    <t>SD</t>
  </si>
  <si>
    <t>H1608-001</t>
  </si>
  <si>
    <t>2GA4WA5QF73</t>
  </si>
  <si>
    <t>DYER A,NANCI</t>
  </si>
  <si>
    <t>H7301-027</t>
  </si>
  <si>
    <t>Deaton, Pamela</t>
  </si>
  <si>
    <t>7F24VG4QC01</t>
  </si>
  <si>
    <t>DYER E,TERRACE</t>
  </si>
  <si>
    <t>3KP3R00JM00</t>
  </si>
  <si>
    <t>FIEDLER L,CYNTHIA</t>
  </si>
  <si>
    <t>OH</t>
  </si>
  <si>
    <t>IMM617</t>
  </si>
  <si>
    <t>H5521-565</t>
  </si>
  <si>
    <t>SCHUMANN, BARRY</t>
  </si>
  <si>
    <t>9C80MW8KH43</t>
  </si>
  <si>
    <t>FLEMING B,WILLIAM</t>
  </si>
  <si>
    <t>H5521-216</t>
  </si>
  <si>
    <t>6WR3GF2YV88</t>
  </si>
  <si>
    <t>FREGOSO S,PAMELA</t>
  </si>
  <si>
    <t>Portugal, Stacey</t>
  </si>
  <si>
    <t>8P30PU6QN42</t>
  </si>
  <si>
    <t>FREY A,JULIE</t>
  </si>
  <si>
    <t>6Y85V40VN97</t>
  </si>
  <si>
    <t>GALIOTO W,JOHN</t>
  </si>
  <si>
    <t>Robinson, Paul</t>
  </si>
  <si>
    <t>2XN6YE1QM60</t>
  </si>
  <si>
    <t>HAUG G,JAMES</t>
  </si>
  <si>
    <t>PA</t>
  </si>
  <si>
    <t>IMM608</t>
  </si>
  <si>
    <t>H5522-028</t>
  </si>
  <si>
    <t>Hoffmann Jason</t>
  </si>
  <si>
    <t>4XY3P72XC19</t>
  </si>
  <si>
    <t>HINTON A,CHERYL</t>
  </si>
  <si>
    <t>H3959-002</t>
  </si>
  <si>
    <t>Powers, Timothy</t>
  </si>
  <si>
    <t>9Q36AJ6WW89</t>
  </si>
  <si>
    <t>HINTON E,RONALD</t>
  </si>
  <si>
    <t>8XW2XQ1JD98</t>
  </si>
  <si>
    <t>HUETT K,GRACE</t>
  </si>
  <si>
    <t>6T52NP6XY12</t>
  </si>
  <si>
    <t>JOHNSON M,CHARLES</t>
  </si>
  <si>
    <t>Herrera-Larsen, Esther</t>
  </si>
  <si>
    <t>3DJ5K32CP77</t>
  </si>
  <si>
    <t>KOZIOL,KATARZYNA</t>
  </si>
  <si>
    <t>Walenga, Dale</t>
  </si>
  <si>
    <t>2W13E00MW77</t>
  </si>
  <si>
    <t>LIPINSKI C,RICHARD</t>
  </si>
  <si>
    <t>H5521-261</t>
  </si>
  <si>
    <t>Aguglia, Scott</t>
  </si>
  <si>
    <t>2A44VQ4MY82</t>
  </si>
  <si>
    <t>MABIE E,ROBERT</t>
  </si>
  <si>
    <t>2W22TT5JT05</t>
  </si>
  <si>
    <t>MANDUJANO M,GENOVEVA</t>
  </si>
  <si>
    <t>2H11RY8YY10</t>
  </si>
  <si>
    <t>MARCHESE,JOAN</t>
  </si>
  <si>
    <t>ABDUL, SAADIA</t>
  </si>
  <si>
    <t>7FJ7DU1JN46</t>
  </si>
  <si>
    <t>MARKIN A,JULIE</t>
  </si>
  <si>
    <t>1KN6ET1RM68</t>
  </si>
  <si>
    <t>NOULLET J,JEFFREY</t>
  </si>
  <si>
    <t>3UA8DA4NJ26</t>
  </si>
  <si>
    <t>NUGENT,LARRY</t>
  </si>
  <si>
    <t>Voluntarily Rapid Disenroll</t>
  </si>
  <si>
    <t>H7301-007</t>
  </si>
  <si>
    <t>5W04QX1TT63</t>
  </si>
  <si>
    <t>OKUNGBOWA M,LORETTA</t>
  </si>
  <si>
    <t>TX</t>
  </si>
  <si>
    <t>IMM618</t>
  </si>
  <si>
    <t>H2293-016</t>
  </si>
  <si>
    <t>2EG2RP5DG89</t>
  </si>
  <si>
    <t>POWER T,CAROLE</t>
  </si>
  <si>
    <t>3G14M39WW77</t>
  </si>
  <si>
    <t>ROBINSON D,LAWRENCE</t>
  </si>
  <si>
    <t>H3959-076</t>
  </si>
  <si>
    <t>Inskipt, Deborah</t>
  </si>
  <si>
    <t>7XA2D37UV25</t>
  </si>
  <si>
    <t>ROBINSON T,DAWN</t>
  </si>
  <si>
    <t>2GA8E44GJ26</t>
  </si>
  <si>
    <t>SELVA J,RAYMOND</t>
  </si>
  <si>
    <t>H3959-001</t>
  </si>
  <si>
    <t>7RF5E20FF77</t>
  </si>
  <si>
    <t>SONYAH,QUEENAH</t>
  </si>
  <si>
    <t>H3959-035</t>
  </si>
  <si>
    <t>AG4</t>
  </si>
  <si>
    <t>GBASSANA, FREDERICK</t>
  </si>
  <si>
    <t>H3959-052</t>
  </si>
  <si>
    <t>3K16E37YF54</t>
  </si>
  <si>
    <t>SPELICH J,WILLIAM</t>
  </si>
  <si>
    <t>1WX8VD5HW24</t>
  </si>
  <si>
    <t>STOJANOVIC,STOJANKA</t>
  </si>
  <si>
    <t>H1609-027</t>
  </si>
  <si>
    <t>FINE, SCOTT</t>
  </si>
  <si>
    <t>7P52RT7JQ86</t>
  </si>
  <si>
    <t>VELASQUEZ LARA L,JOSE</t>
  </si>
  <si>
    <t>H4523-024</t>
  </si>
  <si>
    <t>7DG8P81JN24</t>
  </si>
  <si>
    <t>WACHOWIAK C,LISA</t>
  </si>
  <si>
    <t>3K74KD3HW92</t>
  </si>
  <si>
    <t>WELSH L,CHRISTY</t>
  </si>
  <si>
    <t>GA</t>
  </si>
  <si>
    <t>H1608-109</t>
  </si>
  <si>
    <t>6G72U93PE00</t>
  </si>
  <si>
    <t>WHEELER M,AMY</t>
  </si>
  <si>
    <t>H2293-026</t>
  </si>
  <si>
    <t>6EH7KQ8VY54</t>
  </si>
  <si>
    <t>WINN L,APRIL</t>
  </si>
  <si>
    <t>H3288-046</t>
  </si>
  <si>
    <t>7VA2FP5MW86</t>
  </si>
  <si>
    <t>YOUNG J,LINDA</t>
  </si>
  <si>
    <t>2UD1V78UC31</t>
  </si>
  <si>
    <t>YOUNG R,JAMES</t>
  </si>
  <si>
    <t>Aetna 2025 CA, NJ*</t>
  </si>
  <si>
    <t>STOJANOVIC</t>
  </si>
  <si>
    <t>STOJANKA</t>
  </si>
  <si>
    <t>CABELLO</t>
  </si>
  <si>
    <t>LUIS</t>
  </si>
  <si>
    <t>ROBINSON</t>
  </si>
  <si>
    <t>LAWRENCE</t>
  </si>
  <si>
    <t>DAWN</t>
  </si>
  <si>
    <t>LIPINSKI</t>
  </si>
  <si>
    <t>RICHARD</t>
  </si>
  <si>
    <t>COATES</t>
  </si>
  <si>
    <t>NANCY</t>
  </si>
  <si>
    <t>MANDUJANO</t>
  </si>
  <si>
    <t>GENOVEVA</t>
  </si>
  <si>
    <t>NUGENT</t>
  </si>
  <si>
    <t>LARRY</t>
  </si>
  <si>
    <t>ANDERSON</t>
  </si>
  <si>
    <t>KAY</t>
  </si>
  <si>
    <t>BILELLO</t>
  </si>
  <si>
    <t>JAMES</t>
  </si>
  <si>
    <t>BRIDGES</t>
  </si>
  <si>
    <t>GEORGE</t>
  </si>
  <si>
    <t>CHAN</t>
  </si>
  <si>
    <t>SABINA</t>
  </si>
  <si>
    <t>DARRINGTON</t>
  </si>
  <si>
    <t>ALLEN</t>
  </si>
  <si>
    <t>DICKERSON</t>
  </si>
  <si>
    <t>CINDY</t>
  </si>
  <si>
    <t>DYER</t>
  </si>
  <si>
    <t>NANCI</t>
  </si>
  <si>
    <t>TERRACE</t>
  </si>
  <si>
    <t>FIEDLER</t>
  </si>
  <si>
    <t>CYNTHIA</t>
  </si>
  <si>
    <t>FLEMING</t>
  </si>
  <si>
    <t>WILLIAM</t>
  </si>
  <si>
    <t>FREY</t>
  </si>
  <si>
    <t>JULIE</t>
  </si>
  <si>
    <t>GALIOTO</t>
  </si>
  <si>
    <t>JOHN</t>
  </si>
  <si>
    <t>KOZIOL</t>
  </si>
  <si>
    <t>KATARZYNA</t>
  </si>
  <si>
    <t>MABIE</t>
  </si>
  <si>
    <t>ROBERT</t>
  </si>
  <si>
    <t>MARCHESE</t>
  </si>
  <si>
    <t>JOAN</t>
  </si>
  <si>
    <t>MARKIN</t>
  </si>
  <si>
    <t>OKUNGBOWA</t>
  </si>
  <si>
    <t>LORETTA</t>
  </si>
  <si>
    <t>SPELICH</t>
  </si>
  <si>
    <t>WACHOWIAK</t>
  </si>
  <si>
    <t>LISA</t>
  </si>
  <si>
    <t>WELSH</t>
  </si>
  <si>
    <t>CHRISTY</t>
  </si>
  <si>
    <t>WHEELER</t>
  </si>
  <si>
    <t>AMY</t>
  </si>
  <si>
    <t>BUSSE</t>
  </si>
  <si>
    <t>SUSAN</t>
  </si>
  <si>
    <t>POWER</t>
  </si>
  <si>
    <t>CAROLE</t>
  </si>
  <si>
    <t>WINN</t>
  </si>
  <si>
    <t>APRIL</t>
  </si>
  <si>
    <t>SONYAH</t>
  </si>
  <si>
    <t>QUEENAH</t>
  </si>
  <si>
    <t>HINTON</t>
  </si>
  <si>
    <t>CHERYL</t>
  </si>
  <si>
    <t>RONALD</t>
  </si>
  <si>
    <t>HUETT</t>
  </si>
  <si>
    <t>GRACE</t>
  </si>
  <si>
    <t>YOUNG</t>
  </si>
  <si>
    <t>NOULLET</t>
  </si>
  <si>
    <t>JEFFREY</t>
  </si>
  <si>
    <t>LINDA</t>
  </si>
  <si>
    <t>BARNEY</t>
  </si>
  <si>
    <t>BRADLEY</t>
  </si>
  <si>
    <t>BOSTICK</t>
  </si>
  <si>
    <t>ALREDA</t>
  </si>
  <si>
    <t>AULERT</t>
  </si>
  <si>
    <t>BARBARA</t>
  </si>
  <si>
    <t>BABIARZ</t>
  </si>
  <si>
    <t>KATHLEEN</t>
  </si>
  <si>
    <t>FREGOSO</t>
  </si>
  <si>
    <t>PAMELA</t>
  </si>
  <si>
    <t>JOHNSON</t>
  </si>
  <si>
    <t>CHARLES</t>
  </si>
  <si>
    <t>HAUG</t>
  </si>
  <si>
    <t>SELVA</t>
  </si>
  <si>
    <t>RAYMOND</t>
  </si>
  <si>
    <t>VELASQUEZ</t>
  </si>
  <si>
    <t>LARA</t>
  </si>
  <si>
    <t>STOJANKA STOJANOVIC</t>
  </si>
  <si>
    <t>LUIS CABELLO</t>
  </si>
  <si>
    <t>LAWRENCE ROBINSON</t>
  </si>
  <si>
    <t>DAWN ROBINSON</t>
  </si>
  <si>
    <t>RICHARD LIPINSKI</t>
  </si>
  <si>
    <t>NANCY COATES</t>
  </si>
  <si>
    <t>GENOVEVA MANDUJANO</t>
  </si>
  <si>
    <t>LARRY NUGENT</t>
  </si>
  <si>
    <t>KAY ANDERSON</t>
  </si>
  <si>
    <t>JAMES BILELLO</t>
  </si>
  <si>
    <t>GEORGE BRIDGES</t>
  </si>
  <si>
    <t>SABINA CHAN</t>
  </si>
  <si>
    <t>ALLEN DARRINGTON</t>
  </si>
  <si>
    <t>CINDY DICKERSON</t>
  </si>
  <si>
    <t>NANCI DYER</t>
  </si>
  <si>
    <t>TERRACE DYER</t>
  </si>
  <si>
    <t>CYNTHIA FIEDLER</t>
  </si>
  <si>
    <t>WILLIAM FLEMING</t>
  </si>
  <si>
    <t>JULIE FREY</t>
  </si>
  <si>
    <t>JOHN GALIOTO</t>
  </si>
  <si>
    <t>KATARZYNA KOZIOL</t>
  </si>
  <si>
    <t>ROBERT MABIE</t>
  </si>
  <si>
    <t>JOAN MARCHESE</t>
  </si>
  <si>
    <t>JULIE MARKIN</t>
  </si>
  <si>
    <t>LORETTA OKUNGBOWA</t>
  </si>
  <si>
    <t>WILLIAM SPELICH</t>
  </si>
  <si>
    <t>LISA WACHOWIAK</t>
  </si>
  <si>
    <t>CHRISTY WELSH</t>
  </si>
  <si>
    <t>AMY WHEELER</t>
  </si>
  <si>
    <t>SUSAN BUSSE</t>
  </si>
  <si>
    <t>CAROLE POWER</t>
  </si>
  <si>
    <t>APRIL WINN</t>
  </si>
  <si>
    <t>QUEENAH SONYAH</t>
  </si>
  <si>
    <t>CHERYL HINTON</t>
  </si>
  <si>
    <t>RONALD HINTON</t>
  </si>
  <si>
    <t>GRACE HUETT</t>
  </si>
  <si>
    <t>JAMES YOUNG</t>
  </si>
  <si>
    <t>JEFFREY NOULLET</t>
  </si>
  <si>
    <t>LINDA YOUNG</t>
  </si>
  <si>
    <t>BRADLEY BARNEY</t>
  </si>
  <si>
    <t>ALREDA BOSTICK</t>
  </si>
  <si>
    <t>BARBARA AULERT</t>
  </si>
  <si>
    <t>KATHLEEN BABIARZ</t>
  </si>
  <si>
    <t>PAMELA FREGOSO</t>
  </si>
  <si>
    <t>CHARLES JOHNSON</t>
  </si>
  <si>
    <t>JAMES HAUG</t>
  </si>
  <si>
    <t>RAYMOND SELVA</t>
  </si>
  <si>
    <t>LARA VELASQUEZ</t>
  </si>
  <si>
    <t>Aetna MAPD OVR 2025</t>
  </si>
  <si>
    <t>Aetna 2025 CT, PA, DC*</t>
  </si>
  <si>
    <t>Aetna MAPD 2025*</t>
  </si>
  <si>
    <t>[%/$=313][prorate=12/12]</t>
  </si>
  <si>
    <t>[%/$=353][prorate=12/12]</t>
  </si>
  <si>
    <t>[%/$=390][prorate=12/12]</t>
  </si>
  <si>
    <t>Aetna MAPD 2025</t>
  </si>
  <si>
    <t>Aetna 2025 CA, NJ</t>
  </si>
  <si>
    <t>Aetna 2025 CT, PA, DC</t>
  </si>
  <si>
    <t>Aetna MAPD 2025 FL</t>
  </si>
  <si>
    <t>17528908N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</si>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</sst>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Fill="1" applyAlignment="1">
      <alignment horizontal="left"/>
    </xf>
    <xf numFmtId="0" fontId="0" fillId="0" borderId="0" xfId="0" applyFill="1"/>
    <xf numFmtId="14" fontId="0" fillId="0" borderId="0" xfId="0" applyNumberFormat="1" applyFill="1" applyAlignment="1">
      <alignment horizontal="left"/>
    </xf>
    <xf numFmtId="14" fontId="0" fillId="0" borderId="0" xfId="0" applyNumberFormat="1" applyFill="1"/>
    <xf numFmtId="0" fontId="0" fillId="0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6E50-3424-4FD6-9311-72DEF5FB1E16}">
  <dimension ref="A1:X85"/>
  <sheetViews>
    <sheetView tabSelected="1" workbookViewId="0">
      <selection activeCell="F33" sqref="F33"/>
    </sheetView>
  </sheetViews>
  <sheetFormatPr defaultRowHeight="15" x14ac:dyDescent="0.25"/>
  <cols>
    <col min="1" max="1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45713</v>
      </c>
      <c r="B2" t="s">
        <v>24</v>
      </c>
      <c r="C2">
        <v>101189698400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45689</v>
      </c>
      <c r="M2" s="1">
        <v>45689</v>
      </c>
      <c r="O2">
        <v>18935660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-401.5</v>
      </c>
      <c r="V2" t="s">
        <v>35</v>
      </c>
      <c r="W2" s="1">
        <v>45673</v>
      </c>
      <c r="X2">
        <v>2025</v>
      </c>
    </row>
    <row r="3" spans="1:24" x14ac:dyDescent="0.25">
      <c r="A3" s="1">
        <v>45713</v>
      </c>
      <c r="B3" t="s">
        <v>24</v>
      </c>
      <c r="C3">
        <v>101189698400</v>
      </c>
      <c r="E3" t="s">
        <v>25</v>
      </c>
      <c r="F3" t="s">
        <v>26</v>
      </c>
      <c r="G3" t="s">
        <v>36</v>
      </c>
      <c r="H3" t="s">
        <v>28</v>
      </c>
      <c r="I3" t="s">
        <v>29</v>
      </c>
      <c r="J3" t="s">
        <v>30</v>
      </c>
      <c r="L3" s="1">
        <v>45689</v>
      </c>
      <c r="M3" s="1">
        <v>45689</v>
      </c>
      <c r="O3">
        <v>18935660</v>
      </c>
      <c r="P3" t="s">
        <v>31</v>
      </c>
      <c r="Q3" t="s">
        <v>32</v>
      </c>
      <c r="R3">
        <v>8192</v>
      </c>
      <c r="S3" t="s">
        <v>33</v>
      </c>
      <c r="T3" t="s">
        <v>34</v>
      </c>
      <c r="U3">
        <v>688.42</v>
      </c>
      <c r="V3" t="s">
        <v>37</v>
      </c>
      <c r="W3" s="1">
        <v>45673</v>
      </c>
      <c r="X3">
        <v>2025</v>
      </c>
    </row>
    <row r="4" spans="1:24" x14ac:dyDescent="0.25">
      <c r="A4" s="1">
        <v>45713</v>
      </c>
      <c r="B4" t="s">
        <v>38</v>
      </c>
      <c r="C4">
        <v>102150214700</v>
      </c>
      <c r="E4" t="s">
        <v>39</v>
      </c>
      <c r="F4" t="s">
        <v>26</v>
      </c>
      <c r="G4" t="s">
        <v>40</v>
      </c>
      <c r="H4" t="s">
        <v>28</v>
      </c>
      <c r="I4" t="s">
        <v>41</v>
      </c>
      <c r="J4" t="s">
        <v>42</v>
      </c>
      <c r="L4" s="1">
        <v>45717</v>
      </c>
      <c r="M4" s="1">
        <v>45717</v>
      </c>
      <c r="O4">
        <v>18754354</v>
      </c>
      <c r="P4" t="s">
        <v>31</v>
      </c>
      <c r="Q4" t="s">
        <v>43</v>
      </c>
      <c r="R4">
        <v>8192</v>
      </c>
      <c r="S4" t="s">
        <v>33</v>
      </c>
      <c r="T4" t="s">
        <v>34</v>
      </c>
      <c r="U4">
        <v>365</v>
      </c>
      <c r="V4" t="s">
        <v>35</v>
      </c>
      <c r="W4" s="1">
        <v>45700</v>
      </c>
      <c r="X4">
        <v>2025</v>
      </c>
    </row>
    <row r="5" spans="1:24" x14ac:dyDescent="0.25">
      <c r="A5" s="1">
        <v>45713</v>
      </c>
      <c r="B5" t="s">
        <v>44</v>
      </c>
      <c r="C5">
        <v>101550528200</v>
      </c>
      <c r="E5" t="s">
        <v>45</v>
      </c>
      <c r="F5" t="s">
        <v>26</v>
      </c>
      <c r="G5" t="s">
        <v>40</v>
      </c>
      <c r="H5" t="s">
        <v>28</v>
      </c>
      <c r="I5" t="s">
        <v>41</v>
      </c>
      <c r="J5" t="s">
        <v>42</v>
      </c>
      <c r="L5" s="1">
        <v>45717</v>
      </c>
      <c r="M5" s="1">
        <v>45717</v>
      </c>
      <c r="O5">
        <v>7146581</v>
      </c>
      <c r="P5" t="s">
        <v>31</v>
      </c>
      <c r="Q5" t="s">
        <v>46</v>
      </c>
      <c r="R5">
        <v>8192</v>
      </c>
      <c r="S5" t="s">
        <v>33</v>
      </c>
      <c r="T5" t="s">
        <v>34</v>
      </c>
      <c r="U5">
        <v>365</v>
      </c>
      <c r="V5" t="s">
        <v>35</v>
      </c>
      <c r="W5" s="1">
        <v>45699</v>
      </c>
      <c r="X5">
        <v>2025</v>
      </c>
    </row>
    <row r="6" spans="1:24" x14ac:dyDescent="0.25">
      <c r="A6" s="1">
        <v>45713</v>
      </c>
      <c r="B6" t="s">
        <v>47</v>
      </c>
      <c r="C6">
        <v>102148368500</v>
      </c>
      <c r="E6" t="s">
        <v>48</v>
      </c>
      <c r="F6" t="s">
        <v>49</v>
      </c>
      <c r="G6" t="s">
        <v>40</v>
      </c>
      <c r="H6" t="s">
        <v>28</v>
      </c>
      <c r="I6" t="s">
        <v>50</v>
      </c>
      <c r="J6" t="s">
        <v>51</v>
      </c>
      <c r="L6" s="1">
        <v>45748</v>
      </c>
      <c r="M6" s="1">
        <v>45748</v>
      </c>
      <c r="O6">
        <v>9213293</v>
      </c>
      <c r="P6" t="s">
        <v>31</v>
      </c>
      <c r="Q6" t="s">
        <v>52</v>
      </c>
      <c r="R6">
        <v>8192</v>
      </c>
      <c r="S6" t="s">
        <v>33</v>
      </c>
      <c r="T6" t="s">
        <v>34</v>
      </c>
      <c r="U6">
        <v>328.5</v>
      </c>
      <c r="V6" t="s">
        <v>35</v>
      </c>
      <c r="W6" s="1">
        <v>45693</v>
      </c>
      <c r="X6">
        <v>2025</v>
      </c>
    </row>
    <row r="7" spans="1:24" x14ac:dyDescent="0.25">
      <c r="A7" s="1">
        <v>45713</v>
      </c>
      <c r="B7" t="s">
        <v>53</v>
      </c>
      <c r="C7">
        <v>102125446700</v>
      </c>
      <c r="E7" t="s">
        <v>54</v>
      </c>
      <c r="F7" t="s">
        <v>55</v>
      </c>
      <c r="G7" t="s">
        <v>36</v>
      </c>
      <c r="H7" t="s">
        <v>28</v>
      </c>
      <c r="I7" t="s">
        <v>41</v>
      </c>
      <c r="J7" t="s">
        <v>56</v>
      </c>
      <c r="L7" s="1">
        <v>45689</v>
      </c>
      <c r="M7" s="1">
        <v>45689</v>
      </c>
      <c r="O7">
        <v>18754354</v>
      </c>
      <c r="P7" t="s">
        <v>31</v>
      </c>
      <c r="Q7" t="s">
        <v>43</v>
      </c>
      <c r="R7">
        <v>8192</v>
      </c>
      <c r="S7" t="s">
        <v>33</v>
      </c>
      <c r="T7" t="s">
        <v>34</v>
      </c>
      <c r="U7">
        <v>688.42</v>
      </c>
      <c r="V7" t="s">
        <v>37</v>
      </c>
      <c r="W7" s="1">
        <v>45667</v>
      </c>
      <c r="X7">
        <v>2025</v>
      </c>
    </row>
    <row r="8" spans="1:24" x14ac:dyDescent="0.25">
      <c r="A8" s="1">
        <v>45713</v>
      </c>
      <c r="B8" t="s">
        <v>53</v>
      </c>
      <c r="C8">
        <v>102125446700</v>
      </c>
      <c r="E8" t="s">
        <v>54</v>
      </c>
      <c r="F8" t="s">
        <v>55</v>
      </c>
      <c r="G8" t="s">
        <v>27</v>
      </c>
      <c r="H8" t="s">
        <v>28</v>
      </c>
      <c r="I8" t="s">
        <v>41</v>
      </c>
      <c r="J8" t="s">
        <v>56</v>
      </c>
      <c r="L8" s="1">
        <v>45689</v>
      </c>
      <c r="M8" s="1">
        <v>45689</v>
      </c>
      <c r="O8">
        <v>18754354</v>
      </c>
      <c r="P8" t="s">
        <v>31</v>
      </c>
      <c r="Q8" t="s">
        <v>43</v>
      </c>
      <c r="R8">
        <v>8192</v>
      </c>
      <c r="S8" t="s">
        <v>33</v>
      </c>
      <c r="T8" t="s">
        <v>34</v>
      </c>
      <c r="U8">
        <v>-401.5</v>
      </c>
      <c r="V8" t="s">
        <v>35</v>
      </c>
      <c r="W8" s="1">
        <v>45667</v>
      </c>
      <c r="X8">
        <v>2025</v>
      </c>
    </row>
    <row r="9" spans="1:24" x14ac:dyDescent="0.25">
      <c r="A9" s="1">
        <v>45713</v>
      </c>
      <c r="B9" t="s">
        <v>57</v>
      </c>
      <c r="C9">
        <v>102150220300</v>
      </c>
      <c r="E9" t="s">
        <v>58</v>
      </c>
      <c r="F9" t="s">
        <v>59</v>
      </c>
      <c r="G9" t="s">
        <v>40</v>
      </c>
      <c r="H9" t="s">
        <v>28</v>
      </c>
      <c r="I9" t="s">
        <v>60</v>
      </c>
      <c r="J9" t="s">
        <v>61</v>
      </c>
      <c r="L9" s="1">
        <v>45748</v>
      </c>
      <c r="M9" s="1">
        <v>45748</v>
      </c>
      <c r="O9">
        <v>8307933</v>
      </c>
      <c r="P9" t="s">
        <v>31</v>
      </c>
      <c r="Q9" t="s">
        <v>62</v>
      </c>
      <c r="R9">
        <v>8192</v>
      </c>
      <c r="S9" t="s">
        <v>33</v>
      </c>
      <c r="T9" t="s">
        <v>34</v>
      </c>
      <c r="U9">
        <v>328.5</v>
      </c>
      <c r="V9" t="s">
        <v>35</v>
      </c>
      <c r="W9" s="1">
        <v>45700</v>
      </c>
      <c r="X9">
        <v>2025</v>
      </c>
    </row>
    <row r="10" spans="1:24" x14ac:dyDescent="0.25">
      <c r="A10" s="1">
        <v>45713</v>
      </c>
      <c r="B10" t="s">
        <v>63</v>
      </c>
      <c r="C10">
        <v>102138156800</v>
      </c>
      <c r="E10" t="s">
        <v>64</v>
      </c>
      <c r="F10" t="s">
        <v>65</v>
      </c>
      <c r="G10" t="s">
        <v>27</v>
      </c>
      <c r="H10" t="s">
        <v>28</v>
      </c>
      <c r="I10" t="s">
        <v>66</v>
      </c>
      <c r="J10" t="s">
        <v>67</v>
      </c>
      <c r="L10" s="1">
        <v>45689</v>
      </c>
      <c r="M10" s="1">
        <v>45689</v>
      </c>
      <c r="O10">
        <v>8307933</v>
      </c>
      <c r="P10" t="s">
        <v>31</v>
      </c>
      <c r="Q10" t="s">
        <v>62</v>
      </c>
      <c r="R10">
        <v>8192</v>
      </c>
      <c r="S10" t="s">
        <v>33</v>
      </c>
      <c r="T10" t="s">
        <v>34</v>
      </c>
      <c r="U10">
        <v>-401.5</v>
      </c>
      <c r="V10" t="s">
        <v>35</v>
      </c>
      <c r="W10" s="1">
        <v>45667</v>
      </c>
      <c r="X10">
        <v>2025</v>
      </c>
    </row>
    <row r="11" spans="1:24" x14ac:dyDescent="0.25">
      <c r="A11" s="1">
        <v>45713</v>
      </c>
      <c r="B11" t="s">
        <v>63</v>
      </c>
      <c r="C11">
        <v>102138156800</v>
      </c>
      <c r="E11" t="s">
        <v>64</v>
      </c>
      <c r="F11" t="s">
        <v>65</v>
      </c>
      <c r="G11" t="s">
        <v>68</v>
      </c>
      <c r="H11" t="s">
        <v>28</v>
      </c>
      <c r="I11" t="s">
        <v>66</v>
      </c>
      <c r="J11" t="s">
        <v>67</v>
      </c>
      <c r="L11" s="1">
        <v>45689</v>
      </c>
      <c r="M11" s="1">
        <v>45689</v>
      </c>
      <c r="O11">
        <v>8307933</v>
      </c>
      <c r="P11" t="s">
        <v>31</v>
      </c>
      <c r="Q11" t="s">
        <v>62</v>
      </c>
      <c r="R11">
        <v>8192</v>
      </c>
      <c r="S11" t="s">
        <v>33</v>
      </c>
      <c r="T11" t="s">
        <v>34</v>
      </c>
      <c r="U11">
        <v>751</v>
      </c>
      <c r="V11" t="s">
        <v>37</v>
      </c>
      <c r="W11" s="1">
        <v>45667</v>
      </c>
      <c r="X11">
        <v>2025</v>
      </c>
    </row>
    <row r="12" spans="1:24" x14ac:dyDescent="0.25">
      <c r="A12" s="1">
        <v>45713</v>
      </c>
      <c r="B12" t="s">
        <v>69</v>
      </c>
      <c r="C12">
        <v>102144511800</v>
      </c>
      <c r="E12" t="s">
        <v>70</v>
      </c>
      <c r="F12" t="s">
        <v>26</v>
      </c>
      <c r="G12" t="s">
        <v>27</v>
      </c>
      <c r="H12" t="s">
        <v>28</v>
      </c>
      <c r="I12" t="s">
        <v>41</v>
      </c>
      <c r="J12" t="s">
        <v>42</v>
      </c>
      <c r="L12" s="1">
        <v>45748</v>
      </c>
      <c r="M12" s="1">
        <v>45748</v>
      </c>
      <c r="O12">
        <v>8814784</v>
      </c>
      <c r="P12" t="s">
        <v>31</v>
      </c>
      <c r="Q12" t="s">
        <v>71</v>
      </c>
      <c r="R12">
        <v>8192</v>
      </c>
      <c r="S12" t="s">
        <v>33</v>
      </c>
      <c r="T12" t="s">
        <v>34</v>
      </c>
      <c r="U12">
        <v>-328.5</v>
      </c>
      <c r="V12" t="s">
        <v>35</v>
      </c>
      <c r="W12" s="1">
        <v>45684</v>
      </c>
      <c r="X12">
        <v>2025</v>
      </c>
    </row>
    <row r="13" spans="1:24" x14ac:dyDescent="0.25">
      <c r="A13" s="1">
        <v>45713</v>
      </c>
      <c r="B13" t="s">
        <v>69</v>
      </c>
      <c r="C13">
        <v>102144511800</v>
      </c>
      <c r="E13" t="s">
        <v>70</v>
      </c>
      <c r="F13" t="s">
        <v>26</v>
      </c>
      <c r="G13" t="s">
        <v>68</v>
      </c>
      <c r="H13" t="s">
        <v>28</v>
      </c>
      <c r="I13" t="s">
        <v>41</v>
      </c>
      <c r="J13" t="s">
        <v>42</v>
      </c>
      <c r="L13" s="1">
        <v>45748</v>
      </c>
      <c r="M13" s="1">
        <v>45748</v>
      </c>
      <c r="O13">
        <v>8814784</v>
      </c>
      <c r="P13" t="s">
        <v>31</v>
      </c>
      <c r="Q13" t="s">
        <v>71</v>
      </c>
      <c r="R13">
        <v>8192</v>
      </c>
      <c r="S13" t="s">
        <v>33</v>
      </c>
      <c r="T13" t="s">
        <v>34</v>
      </c>
      <c r="U13">
        <v>751</v>
      </c>
      <c r="V13" t="s">
        <v>37</v>
      </c>
      <c r="W13" s="1">
        <v>45684</v>
      </c>
      <c r="X13">
        <v>2025</v>
      </c>
    </row>
    <row r="14" spans="1:24" x14ac:dyDescent="0.25">
      <c r="A14" s="1">
        <v>45713</v>
      </c>
      <c r="B14" t="s">
        <v>72</v>
      </c>
      <c r="C14" t="s">
        <v>73</v>
      </c>
      <c r="E14" t="s">
        <v>74</v>
      </c>
      <c r="F14" t="s">
        <v>75</v>
      </c>
      <c r="G14" t="s">
        <v>27</v>
      </c>
      <c r="H14" t="s">
        <v>28</v>
      </c>
      <c r="I14" t="s">
        <v>76</v>
      </c>
      <c r="J14" t="s">
        <v>77</v>
      </c>
      <c r="L14" s="1">
        <v>45689</v>
      </c>
      <c r="M14" s="1">
        <v>45689</v>
      </c>
      <c r="O14">
        <v>18406006</v>
      </c>
      <c r="P14" t="s">
        <v>31</v>
      </c>
      <c r="Q14" t="s">
        <v>78</v>
      </c>
      <c r="R14">
        <v>8192</v>
      </c>
      <c r="S14" t="s">
        <v>33</v>
      </c>
      <c r="T14" t="s">
        <v>34</v>
      </c>
      <c r="U14">
        <v>-481.25</v>
      </c>
      <c r="V14" t="s">
        <v>35</v>
      </c>
      <c r="W14" s="1">
        <v>45685</v>
      </c>
      <c r="X14">
        <v>2025</v>
      </c>
    </row>
    <row r="15" spans="1:24" x14ac:dyDescent="0.25">
      <c r="A15" s="1">
        <v>45713</v>
      </c>
      <c r="B15" t="s">
        <v>72</v>
      </c>
      <c r="C15" t="s">
        <v>73</v>
      </c>
      <c r="E15" t="s">
        <v>74</v>
      </c>
      <c r="F15" t="s">
        <v>75</v>
      </c>
      <c r="G15" t="s">
        <v>36</v>
      </c>
      <c r="H15" t="s">
        <v>28</v>
      </c>
      <c r="I15" t="s">
        <v>76</v>
      </c>
      <c r="J15" t="s">
        <v>77</v>
      </c>
      <c r="L15" s="1">
        <v>45689</v>
      </c>
      <c r="M15" s="1">
        <v>45689</v>
      </c>
      <c r="O15">
        <v>18406006</v>
      </c>
      <c r="P15" t="s">
        <v>31</v>
      </c>
      <c r="Q15" t="s">
        <v>78</v>
      </c>
      <c r="R15">
        <v>8192</v>
      </c>
      <c r="S15" t="s">
        <v>33</v>
      </c>
      <c r="T15" t="s">
        <v>34</v>
      </c>
      <c r="U15">
        <v>838.75</v>
      </c>
      <c r="V15" t="s">
        <v>37</v>
      </c>
      <c r="W15" s="1">
        <v>45685</v>
      </c>
      <c r="X15">
        <v>2025</v>
      </c>
    </row>
    <row r="16" spans="1:24" x14ac:dyDescent="0.25">
      <c r="A16" s="1">
        <v>45713</v>
      </c>
      <c r="B16" t="s">
        <v>79</v>
      </c>
      <c r="C16">
        <v>102141057700</v>
      </c>
      <c r="E16" t="s">
        <v>80</v>
      </c>
      <c r="F16" t="s">
        <v>26</v>
      </c>
      <c r="G16" t="s">
        <v>68</v>
      </c>
      <c r="H16" t="s">
        <v>28</v>
      </c>
      <c r="I16" t="s">
        <v>41</v>
      </c>
      <c r="J16" t="s">
        <v>81</v>
      </c>
      <c r="L16" s="1">
        <v>45689</v>
      </c>
      <c r="M16" s="1">
        <v>45689</v>
      </c>
      <c r="O16">
        <v>8405446</v>
      </c>
      <c r="P16" t="s">
        <v>31</v>
      </c>
      <c r="Q16" t="s">
        <v>82</v>
      </c>
      <c r="R16">
        <v>8192</v>
      </c>
      <c r="S16" t="s">
        <v>33</v>
      </c>
      <c r="T16" t="s">
        <v>34</v>
      </c>
      <c r="U16">
        <v>751</v>
      </c>
      <c r="V16" t="s">
        <v>37</v>
      </c>
      <c r="W16" s="1">
        <v>45673</v>
      </c>
      <c r="X16">
        <v>2025</v>
      </c>
    </row>
    <row r="17" spans="1:24" x14ac:dyDescent="0.25">
      <c r="A17" s="1">
        <v>45713</v>
      </c>
      <c r="B17" t="s">
        <v>79</v>
      </c>
      <c r="C17">
        <v>102141057700</v>
      </c>
      <c r="E17" t="s">
        <v>80</v>
      </c>
      <c r="F17" t="s">
        <v>26</v>
      </c>
      <c r="G17" t="s">
        <v>27</v>
      </c>
      <c r="H17" t="s">
        <v>28</v>
      </c>
      <c r="I17" t="s">
        <v>41</v>
      </c>
      <c r="J17" t="s">
        <v>81</v>
      </c>
      <c r="L17" s="1">
        <v>45689</v>
      </c>
      <c r="M17" s="1">
        <v>45689</v>
      </c>
      <c r="O17">
        <v>8405446</v>
      </c>
      <c r="P17" t="s">
        <v>31</v>
      </c>
      <c r="Q17" t="s">
        <v>82</v>
      </c>
      <c r="R17">
        <v>8192</v>
      </c>
      <c r="S17" t="s">
        <v>33</v>
      </c>
      <c r="T17" t="s">
        <v>34</v>
      </c>
      <c r="U17">
        <v>-401.5</v>
      </c>
      <c r="V17" t="s">
        <v>35</v>
      </c>
      <c r="W17" s="1">
        <v>45673</v>
      </c>
      <c r="X17">
        <v>2025</v>
      </c>
    </row>
    <row r="18" spans="1:24" x14ac:dyDescent="0.25">
      <c r="A18" s="1">
        <v>45713</v>
      </c>
      <c r="B18" t="s">
        <v>83</v>
      </c>
      <c r="C18">
        <v>102096428400</v>
      </c>
      <c r="E18" t="s">
        <v>84</v>
      </c>
      <c r="F18" t="s">
        <v>26</v>
      </c>
      <c r="G18" t="s">
        <v>85</v>
      </c>
      <c r="H18" t="s">
        <v>28</v>
      </c>
      <c r="I18" t="s">
        <v>41</v>
      </c>
      <c r="J18" t="s">
        <v>86</v>
      </c>
      <c r="L18" s="1">
        <v>45658</v>
      </c>
      <c r="M18" s="1">
        <v>45658</v>
      </c>
      <c r="N18" s="1">
        <v>45716</v>
      </c>
      <c r="O18">
        <v>7146581</v>
      </c>
      <c r="P18" t="s">
        <v>31</v>
      </c>
      <c r="Q18" t="s">
        <v>46</v>
      </c>
      <c r="R18">
        <v>8192</v>
      </c>
      <c r="S18" t="s">
        <v>33</v>
      </c>
      <c r="T18" t="s">
        <v>34</v>
      </c>
      <c r="U18">
        <v>-438</v>
      </c>
      <c r="V18" t="s">
        <v>35</v>
      </c>
      <c r="W18" s="1">
        <v>45612</v>
      </c>
      <c r="X18">
        <v>2025</v>
      </c>
    </row>
    <row r="19" spans="1:24" x14ac:dyDescent="0.25">
      <c r="A19" s="1">
        <v>45713</v>
      </c>
      <c r="B19" t="s">
        <v>83</v>
      </c>
      <c r="C19">
        <v>102096428400</v>
      </c>
      <c r="E19" t="s">
        <v>84</v>
      </c>
      <c r="F19" t="s">
        <v>26</v>
      </c>
      <c r="G19" t="s">
        <v>87</v>
      </c>
      <c r="H19" t="s">
        <v>28</v>
      </c>
      <c r="I19" t="s">
        <v>41</v>
      </c>
      <c r="J19" t="s">
        <v>86</v>
      </c>
      <c r="L19" s="1">
        <v>45658</v>
      </c>
      <c r="M19" s="1">
        <v>45658</v>
      </c>
      <c r="N19" s="1">
        <v>45716</v>
      </c>
      <c r="O19">
        <v>7146581</v>
      </c>
      <c r="P19" t="s">
        <v>31</v>
      </c>
      <c r="Q19" t="s">
        <v>46</v>
      </c>
      <c r="R19">
        <v>8192</v>
      </c>
      <c r="S19" t="s">
        <v>33</v>
      </c>
      <c r="T19" t="s">
        <v>34</v>
      </c>
      <c r="U19">
        <v>73</v>
      </c>
      <c r="V19" t="s">
        <v>35</v>
      </c>
      <c r="W19" s="1">
        <v>45612</v>
      </c>
      <c r="X19">
        <v>2025</v>
      </c>
    </row>
    <row r="20" spans="1:24" x14ac:dyDescent="0.25">
      <c r="A20" s="1">
        <v>45713</v>
      </c>
      <c r="B20" t="s">
        <v>88</v>
      </c>
      <c r="C20">
        <v>101873362500</v>
      </c>
      <c r="E20" t="s">
        <v>89</v>
      </c>
      <c r="F20" t="s">
        <v>90</v>
      </c>
      <c r="G20" t="s">
        <v>68</v>
      </c>
      <c r="H20" t="s">
        <v>28</v>
      </c>
      <c r="I20" t="s">
        <v>91</v>
      </c>
      <c r="J20" t="s">
        <v>92</v>
      </c>
      <c r="L20" s="1">
        <v>45689</v>
      </c>
      <c r="M20" s="1">
        <v>45689</v>
      </c>
      <c r="O20">
        <v>16378851</v>
      </c>
      <c r="P20" t="s">
        <v>31</v>
      </c>
      <c r="Q20" t="s">
        <v>93</v>
      </c>
      <c r="R20">
        <v>8192</v>
      </c>
      <c r="S20" t="s">
        <v>33</v>
      </c>
      <c r="T20" t="s">
        <v>34</v>
      </c>
      <c r="U20">
        <v>751</v>
      </c>
      <c r="V20" t="s">
        <v>37</v>
      </c>
      <c r="W20" s="1">
        <v>45678</v>
      </c>
      <c r="X20">
        <v>2025</v>
      </c>
    </row>
    <row r="21" spans="1:24" x14ac:dyDescent="0.25">
      <c r="A21" s="1">
        <v>45713</v>
      </c>
      <c r="B21" t="s">
        <v>88</v>
      </c>
      <c r="C21">
        <v>101873362500</v>
      </c>
      <c r="E21" t="s">
        <v>89</v>
      </c>
      <c r="F21" t="s">
        <v>90</v>
      </c>
      <c r="G21" t="s">
        <v>27</v>
      </c>
      <c r="H21" t="s">
        <v>28</v>
      </c>
      <c r="I21" t="s">
        <v>91</v>
      </c>
      <c r="J21" t="s">
        <v>92</v>
      </c>
      <c r="L21" s="1">
        <v>45689</v>
      </c>
      <c r="M21" s="1">
        <v>45689</v>
      </c>
      <c r="O21">
        <v>16378851</v>
      </c>
      <c r="P21" t="s">
        <v>31</v>
      </c>
      <c r="Q21" t="s">
        <v>93</v>
      </c>
      <c r="R21">
        <v>8192</v>
      </c>
      <c r="S21" t="s">
        <v>33</v>
      </c>
      <c r="T21" t="s">
        <v>34</v>
      </c>
      <c r="U21">
        <v>-401.5</v>
      </c>
      <c r="V21" t="s">
        <v>35</v>
      </c>
      <c r="W21" s="1">
        <v>45678</v>
      </c>
      <c r="X21">
        <v>2025</v>
      </c>
    </row>
    <row r="22" spans="1:24" x14ac:dyDescent="0.25">
      <c r="A22" s="1">
        <v>45713</v>
      </c>
      <c r="B22" t="s">
        <v>94</v>
      </c>
      <c r="C22">
        <v>102142845300</v>
      </c>
      <c r="E22" t="s">
        <v>95</v>
      </c>
      <c r="F22" t="s">
        <v>96</v>
      </c>
      <c r="G22" t="s">
        <v>27</v>
      </c>
      <c r="H22" t="s">
        <v>28</v>
      </c>
      <c r="I22" t="s">
        <v>91</v>
      </c>
      <c r="J22" t="s">
        <v>97</v>
      </c>
      <c r="L22" s="1">
        <v>45689</v>
      </c>
      <c r="M22" s="1">
        <v>45689</v>
      </c>
      <c r="O22">
        <v>8307933</v>
      </c>
      <c r="P22" t="s">
        <v>31</v>
      </c>
      <c r="Q22" t="s">
        <v>62</v>
      </c>
      <c r="R22">
        <v>8192</v>
      </c>
      <c r="S22" t="s">
        <v>33</v>
      </c>
      <c r="T22" t="s">
        <v>34</v>
      </c>
      <c r="U22">
        <v>-401.5</v>
      </c>
      <c r="V22" t="s">
        <v>35</v>
      </c>
      <c r="W22" s="1">
        <v>45679</v>
      </c>
      <c r="X22">
        <v>2025</v>
      </c>
    </row>
    <row r="23" spans="1:24" x14ac:dyDescent="0.25">
      <c r="A23" s="1">
        <v>45713</v>
      </c>
      <c r="B23" t="s">
        <v>94</v>
      </c>
      <c r="C23">
        <v>102142845300</v>
      </c>
      <c r="E23" t="s">
        <v>95</v>
      </c>
      <c r="F23" t="s">
        <v>96</v>
      </c>
      <c r="G23" t="s">
        <v>68</v>
      </c>
      <c r="H23" t="s">
        <v>28</v>
      </c>
      <c r="I23" t="s">
        <v>91</v>
      </c>
      <c r="J23" t="s">
        <v>97</v>
      </c>
      <c r="L23" s="1">
        <v>45689</v>
      </c>
      <c r="M23" s="1">
        <v>45689</v>
      </c>
      <c r="O23">
        <v>8307933</v>
      </c>
      <c r="P23" t="s">
        <v>31</v>
      </c>
      <c r="Q23" t="s">
        <v>62</v>
      </c>
      <c r="R23">
        <v>8192</v>
      </c>
      <c r="S23" t="s">
        <v>33</v>
      </c>
      <c r="T23" t="s">
        <v>34</v>
      </c>
      <c r="U23">
        <v>751</v>
      </c>
      <c r="V23" t="s">
        <v>37</v>
      </c>
      <c r="W23" s="1">
        <v>45679</v>
      </c>
      <c r="X23">
        <v>2025</v>
      </c>
    </row>
    <row r="24" spans="1:24" x14ac:dyDescent="0.25">
      <c r="A24" s="1">
        <v>45713</v>
      </c>
      <c r="B24" t="s">
        <v>98</v>
      </c>
      <c r="C24">
        <v>101137742600</v>
      </c>
      <c r="E24" t="s">
        <v>99</v>
      </c>
      <c r="F24" t="s">
        <v>26</v>
      </c>
      <c r="G24" t="s">
        <v>27</v>
      </c>
      <c r="H24" t="s">
        <v>28</v>
      </c>
      <c r="I24" t="s">
        <v>29</v>
      </c>
      <c r="J24" t="s">
        <v>100</v>
      </c>
      <c r="L24" s="1">
        <v>45689</v>
      </c>
      <c r="M24" s="1">
        <v>45689</v>
      </c>
      <c r="O24">
        <v>8244481</v>
      </c>
      <c r="P24" t="s">
        <v>31</v>
      </c>
      <c r="Q24" t="s">
        <v>101</v>
      </c>
      <c r="R24">
        <v>8192</v>
      </c>
      <c r="S24" t="s">
        <v>33</v>
      </c>
      <c r="T24" t="s">
        <v>34</v>
      </c>
      <c r="U24">
        <v>-401.5</v>
      </c>
      <c r="V24" t="s">
        <v>35</v>
      </c>
      <c r="W24" s="1">
        <v>45659</v>
      </c>
      <c r="X24">
        <v>2025</v>
      </c>
    </row>
    <row r="25" spans="1:24" x14ac:dyDescent="0.25">
      <c r="A25" s="1">
        <v>45713</v>
      </c>
      <c r="B25" t="s">
        <v>98</v>
      </c>
      <c r="C25">
        <v>101137742600</v>
      </c>
      <c r="E25" t="s">
        <v>99</v>
      </c>
      <c r="F25" t="s">
        <v>26</v>
      </c>
      <c r="G25" t="s">
        <v>68</v>
      </c>
      <c r="H25" t="s">
        <v>28</v>
      </c>
      <c r="I25" t="s">
        <v>29</v>
      </c>
      <c r="J25" t="s">
        <v>100</v>
      </c>
      <c r="L25" s="1">
        <v>45689</v>
      </c>
      <c r="M25" s="1">
        <v>45689</v>
      </c>
      <c r="O25">
        <v>8244481</v>
      </c>
      <c r="P25" t="s">
        <v>31</v>
      </c>
      <c r="Q25" t="s">
        <v>101</v>
      </c>
      <c r="R25">
        <v>8192</v>
      </c>
      <c r="S25" t="s">
        <v>33</v>
      </c>
      <c r="T25" t="s">
        <v>34</v>
      </c>
      <c r="U25">
        <v>751</v>
      </c>
      <c r="V25" t="s">
        <v>37</v>
      </c>
      <c r="W25" s="1">
        <v>45659</v>
      </c>
      <c r="X25">
        <v>2025</v>
      </c>
    </row>
    <row r="26" spans="1:24" x14ac:dyDescent="0.25">
      <c r="A26" s="1">
        <v>45713</v>
      </c>
      <c r="B26" t="s">
        <v>102</v>
      </c>
      <c r="C26">
        <v>101137736000</v>
      </c>
      <c r="E26" t="s">
        <v>103</v>
      </c>
      <c r="F26" t="s">
        <v>26</v>
      </c>
      <c r="G26" t="s">
        <v>27</v>
      </c>
      <c r="H26" t="s">
        <v>28</v>
      </c>
      <c r="I26" t="s">
        <v>29</v>
      </c>
      <c r="J26" t="s">
        <v>100</v>
      </c>
      <c r="L26" s="1">
        <v>45689</v>
      </c>
      <c r="M26" s="1">
        <v>45689</v>
      </c>
      <c r="O26">
        <v>8244481</v>
      </c>
      <c r="P26" t="s">
        <v>31</v>
      </c>
      <c r="Q26" t="s">
        <v>101</v>
      </c>
      <c r="R26">
        <v>8192</v>
      </c>
      <c r="S26" t="s">
        <v>33</v>
      </c>
      <c r="T26" t="s">
        <v>34</v>
      </c>
      <c r="U26">
        <v>-401.5</v>
      </c>
      <c r="V26" t="s">
        <v>35</v>
      </c>
      <c r="W26" s="1">
        <v>45659</v>
      </c>
      <c r="X26">
        <v>2025</v>
      </c>
    </row>
    <row r="27" spans="1:24" x14ac:dyDescent="0.25">
      <c r="A27" s="1">
        <v>45713</v>
      </c>
      <c r="B27" t="s">
        <v>102</v>
      </c>
      <c r="C27">
        <v>101137736000</v>
      </c>
      <c r="E27" t="s">
        <v>103</v>
      </c>
      <c r="F27" t="s">
        <v>26</v>
      </c>
      <c r="G27" t="s">
        <v>68</v>
      </c>
      <c r="H27" t="s">
        <v>28</v>
      </c>
      <c r="I27" t="s">
        <v>29</v>
      </c>
      <c r="J27" t="s">
        <v>100</v>
      </c>
      <c r="L27" s="1">
        <v>45689</v>
      </c>
      <c r="M27" s="1">
        <v>45689</v>
      </c>
      <c r="O27">
        <v>8244481</v>
      </c>
      <c r="P27" t="s">
        <v>31</v>
      </c>
      <c r="Q27" t="s">
        <v>101</v>
      </c>
      <c r="R27">
        <v>8192</v>
      </c>
      <c r="S27" t="s">
        <v>33</v>
      </c>
      <c r="T27" t="s">
        <v>34</v>
      </c>
      <c r="U27">
        <v>751</v>
      </c>
      <c r="V27" t="s">
        <v>37</v>
      </c>
      <c r="W27" s="1">
        <v>45659</v>
      </c>
      <c r="X27">
        <v>2025</v>
      </c>
    </row>
    <row r="28" spans="1:24" x14ac:dyDescent="0.25">
      <c r="A28" s="1">
        <v>45713</v>
      </c>
      <c r="B28" t="s">
        <v>104</v>
      </c>
      <c r="C28">
        <v>102141630900</v>
      </c>
      <c r="E28" t="s">
        <v>105</v>
      </c>
      <c r="F28" t="s">
        <v>106</v>
      </c>
      <c r="G28" t="s">
        <v>27</v>
      </c>
      <c r="H28" t="s">
        <v>28</v>
      </c>
      <c r="I28" t="s">
        <v>107</v>
      </c>
      <c r="J28" t="s">
        <v>108</v>
      </c>
      <c r="L28" s="1">
        <v>45689</v>
      </c>
      <c r="M28" s="1">
        <v>45689</v>
      </c>
      <c r="O28">
        <v>19586992</v>
      </c>
      <c r="P28" t="s">
        <v>31</v>
      </c>
      <c r="Q28" t="s">
        <v>109</v>
      </c>
      <c r="R28">
        <v>8192</v>
      </c>
      <c r="S28" t="s">
        <v>33</v>
      </c>
      <c r="T28" t="s">
        <v>34</v>
      </c>
      <c r="U28">
        <v>-401.5</v>
      </c>
      <c r="V28" t="s">
        <v>35</v>
      </c>
      <c r="W28" s="1">
        <v>45675</v>
      </c>
      <c r="X28">
        <v>2025</v>
      </c>
    </row>
    <row r="29" spans="1:24" x14ac:dyDescent="0.25">
      <c r="A29" s="1">
        <v>45713</v>
      </c>
      <c r="B29" t="s">
        <v>104</v>
      </c>
      <c r="C29">
        <v>102141630900</v>
      </c>
      <c r="E29" t="s">
        <v>105</v>
      </c>
      <c r="F29" t="s">
        <v>106</v>
      </c>
      <c r="G29" t="s">
        <v>68</v>
      </c>
      <c r="H29" t="s">
        <v>28</v>
      </c>
      <c r="I29" t="s">
        <v>107</v>
      </c>
      <c r="J29" t="s">
        <v>108</v>
      </c>
      <c r="L29" s="1">
        <v>45689</v>
      </c>
      <c r="M29" s="1">
        <v>45689</v>
      </c>
      <c r="O29">
        <v>19586992</v>
      </c>
      <c r="P29" t="s">
        <v>31</v>
      </c>
      <c r="Q29" t="s">
        <v>109</v>
      </c>
      <c r="R29">
        <v>8192</v>
      </c>
      <c r="S29" t="s">
        <v>33</v>
      </c>
      <c r="T29" t="s">
        <v>34</v>
      </c>
      <c r="U29">
        <v>751</v>
      </c>
      <c r="V29" t="s">
        <v>37</v>
      </c>
      <c r="W29" s="1">
        <v>45675</v>
      </c>
      <c r="X29">
        <v>2025</v>
      </c>
    </row>
    <row r="30" spans="1:24" x14ac:dyDescent="0.25">
      <c r="A30" s="1">
        <v>45713</v>
      </c>
      <c r="B30" t="s">
        <v>110</v>
      </c>
      <c r="C30">
        <v>102136243000</v>
      </c>
      <c r="E30" t="s">
        <v>111</v>
      </c>
      <c r="F30" t="s">
        <v>49</v>
      </c>
      <c r="G30" t="s">
        <v>27</v>
      </c>
      <c r="H30" t="s">
        <v>28</v>
      </c>
      <c r="I30" t="s">
        <v>50</v>
      </c>
      <c r="J30" t="s">
        <v>112</v>
      </c>
      <c r="L30" s="1">
        <v>45689</v>
      </c>
      <c r="M30" s="1">
        <v>45689</v>
      </c>
      <c r="O30">
        <v>8307933</v>
      </c>
      <c r="P30" t="s">
        <v>31</v>
      </c>
      <c r="Q30" t="s">
        <v>62</v>
      </c>
      <c r="R30">
        <v>8192</v>
      </c>
      <c r="S30" t="s">
        <v>33</v>
      </c>
      <c r="T30" t="s">
        <v>34</v>
      </c>
      <c r="U30">
        <v>-401.5</v>
      </c>
      <c r="V30" t="s">
        <v>35</v>
      </c>
      <c r="W30" s="1">
        <v>45663</v>
      </c>
      <c r="X30">
        <v>2025</v>
      </c>
    </row>
    <row r="31" spans="1:24" x14ac:dyDescent="0.25">
      <c r="A31" s="1">
        <v>45713</v>
      </c>
      <c r="B31" t="s">
        <v>110</v>
      </c>
      <c r="C31">
        <v>102136243000</v>
      </c>
      <c r="E31" t="s">
        <v>111</v>
      </c>
      <c r="F31" t="s">
        <v>49</v>
      </c>
      <c r="G31" t="s">
        <v>68</v>
      </c>
      <c r="H31" t="s">
        <v>28</v>
      </c>
      <c r="I31" t="s">
        <v>50</v>
      </c>
      <c r="J31" t="s">
        <v>112</v>
      </c>
      <c r="L31" s="1">
        <v>45689</v>
      </c>
      <c r="M31" s="1">
        <v>45689</v>
      </c>
      <c r="O31">
        <v>8307933</v>
      </c>
      <c r="P31" t="s">
        <v>31</v>
      </c>
      <c r="Q31" t="s">
        <v>62</v>
      </c>
      <c r="R31">
        <v>8192</v>
      </c>
      <c r="S31" t="s">
        <v>33</v>
      </c>
      <c r="T31" t="s">
        <v>34</v>
      </c>
      <c r="U31">
        <v>751</v>
      </c>
      <c r="V31" t="s">
        <v>37</v>
      </c>
      <c r="W31" s="1">
        <v>45663</v>
      </c>
      <c r="X31">
        <v>2025</v>
      </c>
    </row>
    <row r="32" spans="1:24" x14ac:dyDescent="0.25">
      <c r="A32" s="1">
        <v>45713</v>
      </c>
      <c r="B32" t="s">
        <v>113</v>
      </c>
      <c r="C32">
        <v>102148379700</v>
      </c>
      <c r="E32" t="s">
        <v>114</v>
      </c>
      <c r="F32" t="s">
        <v>26</v>
      </c>
      <c r="G32" t="s">
        <v>40</v>
      </c>
      <c r="H32" t="s">
        <v>28</v>
      </c>
      <c r="I32" t="s">
        <v>41</v>
      </c>
      <c r="J32" t="s">
        <v>81</v>
      </c>
      <c r="L32" s="1">
        <v>45717</v>
      </c>
      <c r="M32" s="1">
        <v>45717</v>
      </c>
      <c r="O32">
        <v>19645587</v>
      </c>
      <c r="P32" t="s">
        <v>31</v>
      </c>
      <c r="Q32" t="s">
        <v>115</v>
      </c>
      <c r="R32">
        <v>8192</v>
      </c>
      <c r="S32" t="s">
        <v>33</v>
      </c>
      <c r="T32" t="s">
        <v>34</v>
      </c>
      <c r="U32">
        <v>365</v>
      </c>
      <c r="V32" t="s">
        <v>35</v>
      </c>
      <c r="W32" s="1">
        <v>45693</v>
      </c>
      <c r="X32">
        <v>2025</v>
      </c>
    </row>
    <row r="33" spans="1:24" x14ac:dyDescent="0.25">
      <c r="A33" s="1">
        <v>45713</v>
      </c>
      <c r="B33" t="s">
        <v>116</v>
      </c>
      <c r="C33">
        <v>102138440000</v>
      </c>
      <c r="E33" t="s">
        <v>117</v>
      </c>
      <c r="F33" t="s">
        <v>26</v>
      </c>
      <c r="G33" t="s">
        <v>27</v>
      </c>
      <c r="H33" t="s">
        <v>28</v>
      </c>
      <c r="I33" t="s">
        <v>41</v>
      </c>
      <c r="J33" t="s">
        <v>42</v>
      </c>
      <c r="L33" s="1">
        <v>45689</v>
      </c>
      <c r="M33" s="1">
        <v>45689</v>
      </c>
      <c r="O33">
        <v>8307933</v>
      </c>
      <c r="P33" t="s">
        <v>31</v>
      </c>
      <c r="Q33" t="s">
        <v>62</v>
      </c>
      <c r="R33">
        <v>8192</v>
      </c>
      <c r="S33" t="s">
        <v>33</v>
      </c>
      <c r="T33" t="s">
        <v>34</v>
      </c>
      <c r="U33">
        <v>-401.5</v>
      </c>
      <c r="V33" t="s">
        <v>35</v>
      </c>
      <c r="W33" s="1">
        <v>45666</v>
      </c>
      <c r="X33">
        <v>2025</v>
      </c>
    </row>
    <row r="34" spans="1:24" x14ac:dyDescent="0.25">
      <c r="A34" s="1">
        <v>45713</v>
      </c>
      <c r="B34" t="s">
        <v>116</v>
      </c>
      <c r="C34">
        <v>102138440000</v>
      </c>
      <c r="E34" t="s">
        <v>117</v>
      </c>
      <c r="F34" t="s">
        <v>26</v>
      </c>
      <c r="G34" t="s">
        <v>68</v>
      </c>
      <c r="H34" t="s">
        <v>28</v>
      </c>
      <c r="I34" t="s">
        <v>41</v>
      </c>
      <c r="J34" t="s">
        <v>42</v>
      </c>
      <c r="L34" s="1">
        <v>45689</v>
      </c>
      <c r="M34" s="1">
        <v>45689</v>
      </c>
      <c r="O34">
        <v>8307933</v>
      </c>
      <c r="P34" t="s">
        <v>31</v>
      </c>
      <c r="Q34" t="s">
        <v>62</v>
      </c>
      <c r="R34">
        <v>8192</v>
      </c>
      <c r="S34" t="s">
        <v>33</v>
      </c>
      <c r="T34" t="s">
        <v>34</v>
      </c>
      <c r="U34">
        <v>751</v>
      </c>
      <c r="V34" t="s">
        <v>37</v>
      </c>
      <c r="W34" s="1">
        <v>45666</v>
      </c>
      <c r="X34">
        <v>2025</v>
      </c>
    </row>
    <row r="35" spans="1:24" x14ac:dyDescent="0.25">
      <c r="A35" s="1">
        <v>45713</v>
      </c>
      <c r="B35" t="s">
        <v>118</v>
      </c>
      <c r="C35">
        <v>102137272900</v>
      </c>
      <c r="E35" t="s">
        <v>119</v>
      </c>
      <c r="F35" t="s">
        <v>26</v>
      </c>
      <c r="G35" t="s">
        <v>68</v>
      </c>
      <c r="H35" t="s">
        <v>28</v>
      </c>
      <c r="I35" t="s">
        <v>41</v>
      </c>
      <c r="J35" t="s">
        <v>42</v>
      </c>
      <c r="L35" s="1">
        <v>45689</v>
      </c>
      <c r="M35" s="1">
        <v>45689</v>
      </c>
      <c r="O35">
        <v>16983460</v>
      </c>
      <c r="P35" t="s">
        <v>31</v>
      </c>
      <c r="Q35" t="s">
        <v>120</v>
      </c>
      <c r="R35">
        <v>8192</v>
      </c>
      <c r="S35" t="s">
        <v>33</v>
      </c>
      <c r="T35" t="s">
        <v>34</v>
      </c>
      <c r="U35">
        <v>751</v>
      </c>
      <c r="V35" t="s">
        <v>37</v>
      </c>
      <c r="W35" s="1">
        <v>45665</v>
      </c>
      <c r="X35">
        <v>2025</v>
      </c>
    </row>
    <row r="36" spans="1:24" x14ac:dyDescent="0.25">
      <c r="A36" s="1">
        <v>45713</v>
      </c>
      <c r="B36" t="s">
        <v>118</v>
      </c>
      <c r="C36">
        <v>102137272900</v>
      </c>
      <c r="E36" t="s">
        <v>119</v>
      </c>
      <c r="F36" t="s">
        <v>26</v>
      </c>
      <c r="G36" t="s">
        <v>27</v>
      </c>
      <c r="H36" t="s">
        <v>28</v>
      </c>
      <c r="I36" t="s">
        <v>41</v>
      </c>
      <c r="J36" t="s">
        <v>42</v>
      </c>
      <c r="L36" s="1">
        <v>45689</v>
      </c>
      <c r="M36" s="1">
        <v>45689</v>
      </c>
      <c r="O36">
        <v>16983460</v>
      </c>
      <c r="P36" t="s">
        <v>31</v>
      </c>
      <c r="Q36" t="s">
        <v>120</v>
      </c>
      <c r="R36">
        <v>8192</v>
      </c>
      <c r="S36" t="s">
        <v>33</v>
      </c>
      <c r="T36" t="s">
        <v>34</v>
      </c>
      <c r="U36">
        <v>-401.5</v>
      </c>
      <c r="V36" t="s">
        <v>35</v>
      </c>
      <c r="W36" s="1">
        <v>45665</v>
      </c>
      <c r="X36">
        <v>2025</v>
      </c>
    </row>
    <row r="37" spans="1:24" x14ac:dyDescent="0.25">
      <c r="A37" s="1">
        <v>45713</v>
      </c>
      <c r="B37" t="s">
        <v>121</v>
      </c>
      <c r="C37">
        <v>101968935100</v>
      </c>
      <c r="E37" t="s">
        <v>122</v>
      </c>
      <c r="F37" t="s">
        <v>123</v>
      </c>
      <c r="G37" t="s">
        <v>40</v>
      </c>
      <c r="H37" t="s">
        <v>28</v>
      </c>
      <c r="I37" t="s">
        <v>124</v>
      </c>
      <c r="J37" t="s">
        <v>125</v>
      </c>
      <c r="L37" s="1">
        <v>45717</v>
      </c>
      <c r="M37" s="1">
        <v>45717</v>
      </c>
      <c r="O37">
        <v>15278437</v>
      </c>
      <c r="P37" t="s">
        <v>31</v>
      </c>
      <c r="Q37" t="s">
        <v>126</v>
      </c>
      <c r="R37">
        <v>8192</v>
      </c>
      <c r="S37" t="s">
        <v>33</v>
      </c>
      <c r="T37" t="s">
        <v>34</v>
      </c>
      <c r="U37">
        <v>398.33</v>
      </c>
      <c r="V37" t="s">
        <v>35</v>
      </c>
      <c r="W37" s="1">
        <v>45695</v>
      </c>
      <c r="X37">
        <v>2025</v>
      </c>
    </row>
    <row r="38" spans="1:24" x14ac:dyDescent="0.25">
      <c r="A38" s="1">
        <v>45713</v>
      </c>
      <c r="B38" t="s">
        <v>127</v>
      </c>
      <c r="C38">
        <v>102142380900</v>
      </c>
      <c r="E38" t="s">
        <v>128</v>
      </c>
      <c r="F38" t="s">
        <v>123</v>
      </c>
      <c r="G38" t="s">
        <v>27</v>
      </c>
      <c r="H38" t="s">
        <v>28</v>
      </c>
      <c r="I38" t="s">
        <v>124</v>
      </c>
      <c r="J38" t="s">
        <v>129</v>
      </c>
      <c r="L38" s="1">
        <v>45689</v>
      </c>
      <c r="M38" s="1">
        <v>45689</v>
      </c>
      <c r="O38">
        <v>17886092</v>
      </c>
      <c r="P38" t="s">
        <v>31</v>
      </c>
      <c r="Q38" t="s">
        <v>130</v>
      </c>
      <c r="R38">
        <v>8192</v>
      </c>
      <c r="S38" t="s">
        <v>33</v>
      </c>
      <c r="T38" t="s">
        <v>34</v>
      </c>
      <c r="U38">
        <v>-36.67</v>
      </c>
      <c r="V38" t="s">
        <v>35</v>
      </c>
      <c r="W38" s="1">
        <v>45678</v>
      </c>
      <c r="X38">
        <v>2025</v>
      </c>
    </row>
    <row r="39" spans="1:24" x14ac:dyDescent="0.25">
      <c r="A39" s="1">
        <v>45713</v>
      </c>
      <c r="B39" t="s">
        <v>127</v>
      </c>
      <c r="C39">
        <v>102142380900</v>
      </c>
      <c r="E39" t="s">
        <v>128</v>
      </c>
      <c r="F39" t="s">
        <v>123</v>
      </c>
      <c r="G39" t="s">
        <v>68</v>
      </c>
      <c r="H39" t="s">
        <v>28</v>
      </c>
      <c r="I39" t="s">
        <v>124</v>
      </c>
      <c r="J39" t="s">
        <v>129</v>
      </c>
      <c r="L39" s="1">
        <v>45689</v>
      </c>
      <c r="M39" s="1">
        <v>45689</v>
      </c>
      <c r="O39">
        <v>17886092</v>
      </c>
      <c r="P39" t="s">
        <v>31</v>
      </c>
      <c r="Q39" t="s">
        <v>130</v>
      </c>
      <c r="R39">
        <v>8192</v>
      </c>
      <c r="S39" t="s">
        <v>33</v>
      </c>
      <c r="T39" t="s">
        <v>34</v>
      </c>
      <c r="U39">
        <v>40</v>
      </c>
      <c r="V39" t="s">
        <v>37</v>
      </c>
      <c r="W39" s="1">
        <v>45678</v>
      </c>
      <c r="X39">
        <v>2025</v>
      </c>
    </row>
    <row r="40" spans="1:24" x14ac:dyDescent="0.25">
      <c r="A40" s="1">
        <v>45713</v>
      </c>
      <c r="B40" t="s">
        <v>131</v>
      </c>
      <c r="C40">
        <v>102142338300</v>
      </c>
      <c r="E40" t="s">
        <v>132</v>
      </c>
      <c r="F40" t="s">
        <v>123</v>
      </c>
      <c r="G40" t="s">
        <v>27</v>
      </c>
      <c r="H40" t="s">
        <v>28</v>
      </c>
      <c r="I40" t="s">
        <v>124</v>
      </c>
      <c r="J40" t="s">
        <v>129</v>
      </c>
      <c r="L40" s="1">
        <v>45689</v>
      </c>
      <c r="M40" s="1">
        <v>45689</v>
      </c>
      <c r="O40">
        <v>17886092</v>
      </c>
      <c r="P40" t="s">
        <v>31</v>
      </c>
      <c r="Q40" t="s">
        <v>130</v>
      </c>
      <c r="R40">
        <v>8192</v>
      </c>
      <c r="S40" t="s">
        <v>33</v>
      </c>
      <c r="T40" t="s">
        <v>34</v>
      </c>
      <c r="U40">
        <v>-36.67</v>
      </c>
      <c r="V40" t="s">
        <v>35</v>
      </c>
      <c r="W40" s="1">
        <v>45678</v>
      </c>
      <c r="X40">
        <v>2025</v>
      </c>
    </row>
    <row r="41" spans="1:24" x14ac:dyDescent="0.25">
      <c r="A41" s="1">
        <v>45713</v>
      </c>
      <c r="B41" t="s">
        <v>131</v>
      </c>
      <c r="C41">
        <v>102142338300</v>
      </c>
      <c r="E41" t="s">
        <v>132</v>
      </c>
      <c r="F41" t="s">
        <v>123</v>
      </c>
      <c r="G41" t="s">
        <v>68</v>
      </c>
      <c r="H41" t="s">
        <v>28</v>
      </c>
      <c r="I41" t="s">
        <v>124</v>
      </c>
      <c r="J41" t="s">
        <v>129</v>
      </c>
      <c r="L41" s="1">
        <v>45689</v>
      </c>
      <c r="M41" s="1">
        <v>45689</v>
      </c>
      <c r="O41">
        <v>17886092</v>
      </c>
      <c r="P41" t="s">
        <v>31</v>
      </c>
      <c r="Q41" t="s">
        <v>130</v>
      </c>
      <c r="R41">
        <v>8192</v>
      </c>
      <c r="S41" t="s">
        <v>33</v>
      </c>
      <c r="T41" t="s">
        <v>34</v>
      </c>
      <c r="U41">
        <v>40</v>
      </c>
      <c r="V41" t="s">
        <v>37</v>
      </c>
      <c r="W41" s="1">
        <v>45678</v>
      </c>
      <c r="X41">
        <v>2025</v>
      </c>
    </row>
    <row r="42" spans="1:24" x14ac:dyDescent="0.25">
      <c r="A42" s="1">
        <v>45713</v>
      </c>
      <c r="B42" t="s">
        <v>133</v>
      </c>
      <c r="C42">
        <v>102143800500</v>
      </c>
      <c r="E42" t="s">
        <v>134</v>
      </c>
      <c r="F42" t="s">
        <v>123</v>
      </c>
      <c r="G42" t="s">
        <v>68</v>
      </c>
      <c r="H42" t="s">
        <v>28</v>
      </c>
      <c r="I42" t="s">
        <v>124</v>
      </c>
      <c r="J42" t="s">
        <v>129</v>
      </c>
      <c r="L42" s="1">
        <v>45689</v>
      </c>
      <c r="M42" s="1">
        <v>45689</v>
      </c>
      <c r="O42">
        <v>17886092</v>
      </c>
      <c r="P42" t="s">
        <v>31</v>
      </c>
      <c r="Q42" t="s">
        <v>130</v>
      </c>
      <c r="R42">
        <v>8192</v>
      </c>
      <c r="S42" t="s">
        <v>33</v>
      </c>
      <c r="T42" t="s">
        <v>34</v>
      </c>
      <c r="U42">
        <v>40</v>
      </c>
      <c r="V42" t="s">
        <v>37</v>
      </c>
      <c r="W42" s="1">
        <v>45681</v>
      </c>
      <c r="X42">
        <v>2025</v>
      </c>
    </row>
    <row r="43" spans="1:24" x14ac:dyDescent="0.25">
      <c r="A43" s="1">
        <v>45713</v>
      </c>
      <c r="B43" t="s">
        <v>133</v>
      </c>
      <c r="C43">
        <v>102143800500</v>
      </c>
      <c r="E43" t="s">
        <v>134</v>
      </c>
      <c r="F43" t="s">
        <v>123</v>
      </c>
      <c r="G43" t="s">
        <v>27</v>
      </c>
      <c r="H43" t="s">
        <v>28</v>
      </c>
      <c r="I43" t="s">
        <v>124</v>
      </c>
      <c r="J43" t="s">
        <v>129</v>
      </c>
      <c r="L43" s="1">
        <v>45689</v>
      </c>
      <c r="M43" s="1">
        <v>45689</v>
      </c>
      <c r="O43">
        <v>17886092</v>
      </c>
      <c r="P43" t="s">
        <v>31</v>
      </c>
      <c r="Q43" t="s">
        <v>130</v>
      </c>
      <c r="R43">
        <v>8192</v>
      </c>
      <c r="S43" t="s">
        <v>33</v>
      </c>
      <c r="T43" t="s">
        <v>34</v>
      </c>
      <c r="U43">
        <v>-36.67</v>
      </c>
      <c r="V43" t="s">
        <v>35</v>
      </c>
      <c r="W43" s="1">
        <v>45681</v>
      </c>
      <c r="X43">
        <v>2025</v>
      </c>
    </row>
    <row r="44" spans="1:24" x14ac:dyDescent="0.25">
      <c r="A44" s="1">
        <v>45713</v>
      </c>
      <c r="B44" t="s">
        <v>135</v>
      </c>
      <c r="C44">
        <v>101880856300</v>
      </c>
      <c r="E44" t="s">
        <v>136</v>
      </c>
      <c r="F44" t="s">
        <v>26</v>
      </c>
      <c r="G44" t="s">
        <v>40</v>
      </c>
      <c r="H44" t="s">
        <v>28</v>
      </c>
      <c r="I44" t="s">
        <v>41</v>
      </c>
      <c r="J44" t="s">
        <v>42</v>
      </c>
      <c r="L44" s="1">
        <v>45717</v>
      </c>
      <c r="M44" s="1">
        <v>45717</v>
      </c>
      <c r="O44">
        <v>17301495</v>
      </c>
      <c r="P44" t="s">
        <v>31</v>
      </c>
      <c r="Q44" t="s">
        <v>137</v>
      </c>
      <c r="R44">
        <v>8192</v>
      </c>
      <c r="S44" t="s">
        <v>33</v>
      </c>
      <c r="T44" t="s">
        <v>34</v>
      </c>
      <c r="U44">
        <v>365</v>
      </c>
      <c r="V44" t="s">
        <v>35</v>
      </c>
      <c r="W44" s="1">
        <v>45700</v>
      </c>
      <c r="X44">
        <v>2025</v>
      </c>
    </row>
    <row r="45" spans="1:24" x14ac:dyDescent="0.25">
      <c r="A45" s="1">
        <v>45713</v>
      </c>
      <c r="B45" t="s">
        <v>138</v>
      </c>
      <c r="C45">
        <v>102138240500</v>
      </c>
      <c r="E45" t="s">
        <v>139</v>
      </c>
      <c r="F45" t="s">
        <v>26</v>
      </c>
      <c r="G45" t="s">
        <v>27</v>
      </c>
      <c r="H45" t="s">
        <v>28</v>
      </c>
      <c r="I45" t="s">
        <v>41</v>
      </c>
      <c r="J45" t="s">
        <v>86</v>
      </c>
      <c r="L45" s="1">
        <v>45689</v>
      </c>
      <c r="M45" s="1">
        <v>45689</v>
      </c>
      <c r="O45">
        <v>8325282</v>
      </c>
      <c r="P45" t="s">
        <v>31</v>
      </c>
      <c r="Q45" t="s">
        <v>140</v>
      </c>
      <c r="R45">
        <v>8192</v>
      </c>
      <c r="S45" t="s">
        <v>33</v>
      </c>
      <c r="T45" t="s">
        <v>34</v>
      </c>
      <c r="U45">
        <v>-401.5</v>
      </c>
      <c r="V45" t="s">
        <v>35</v>
      </c>
      <c r="W45" s="1">
        <v>45669</v>
      </c>
      <c r="X45">
        <v>2025</v>
      </c>
    </row>
    <row r="46" spans="1:24" x14ac:dyDescent="0.25">
      <c r="A46" s="1">
        <v>45713</v>
      </c>
      <c r="B46" t="s">
        <v>138</v>
      </c>
      <c r="C46">
        <v>102138240500</v>
      </c>
      <c r="E46" t="s">
        <v>139</v>
      </c>
      <c r="F46" t="s">
        <v>26</v>
      </c>
      <c r="G46" t="s">
        <v>68</v>
      </c>
      <c r="H46" t="s">
        <v>28</v>
      </c>
      <c r="I46" t="s">
        <v>41</v>
      </c>
      <c r="J46" t="s">
        <v>86</v>
      </c>
      <c r="L46" s="1">
        <v>45689</v>
      </c>
      <c r="M46" s="1">
        <v>45689</v>
      </c>
      <c r="O46">
        <v>8325282</v>
      </c>
      <c r="P46" t="s">
        <v>31</v>
      </c>
      <c r="Q46" t="s">
        <v>140</v>
      </c>
      <c r="R46">
        <v>8192</v>
      </c>
      <c r="S46" t="s">
        <v>33</v>
      </c>
      <c r="T46" t="s">
        <v>34</v>
      </c>
      <c r="U46">
        <v>751</v>
      </c>
      <c r="V46" t="s">
        <v>37</v>
      </c>
      <c r="W46" s="1">
        <v>45669</v>
      </c>
      <c r="X46">
        <v>2025</v>
      </c>
    </row>
    <row r="47" spans="1:24" x14ac:dyDescent="0.25">
      <c r="A47" s="1">
        <v>45713</v>
      </c>
      <c r="B47" t="s">
        <v>141</v>
      </c>
      <c r="C47">
        <v>102139051700</v>
      </c>
      <c r="E47" t="s">
        <v>142</v>
      </c>
      <c r="F47" t="s">
        <v>123</v>
      </c>
      <c r="G47" t="s">
        <v>68</v>
      </c>
      <c r="H47" t="s">
        <v>28</v>
      </c>
      <c r="I47" t="s">
        <v>124</v>
      </c>
      <c r="J47" t="s">
        <v>143</v>
      </c>
      <c r="L47" s="1">
        <v>45689</v>
      </c>
      <c r="M47" s="1">
        <v>45689</v>
      </c>
      <c r="O47">
        <v>8971826</v>
      </c>
      <c r="P47" t="s">
        <v>31</v>
      </c>
      <c r="Q47" t="s">
        <v>144</v>
      </c>
      <c r="R47">
        <v>8192</v>
      </c>
      <c r="S47" t="s">
        <v>33</v>
      </c>
      <c r="T47" t="s">
        <v>34</v>
      </c>
      <c r="U47">
        <v>830</v>
      </c>
      <c r="V47" t="s">
        <v>37</v>
      </c>
      <c r="W47" s="1">
        <v>45645</v>
      </c>
      <c r="X47">
        <v>2025</v>
      </c>
    </row>
    <row r="48" spans="1:24" x14ac:dyDescent="0.25">
      <c r="A48" s="1">
        <v>45713</v>
      </c>
      <c r="B48" t="s">
        <v>141</v>
      </c>
      <c r="C48">
        <v>102139051700</v>
      </c>
      <c r="E48" t="s">
        <v>142</v>
      </c>
      <c r="F48" t="s">
        <v>123</v>
      </c>
      <c r="G48" t="s">
        <v>27</v>
      </c>
      <c r="H48" t="s">
        <v>28</v>
      </c>
      <c r="I48" t="s">
        <v>124</v>
      </c>
      <c r="J48" t="s">
        <v>143</v>
      </c>
      <c r="L48" s="1">
        <v>45689</v>
      </c>
      <c r="M48" s="1">
        <v>45689</v>
      </c>
      <c r="O48">
        <v>8971826</v>
      </c>
      <c r="P48" t="s">
        <v>31</v>
      </c>
      <c r="Q48" t="s">
        <v>144</v>
      </c>
      <c r="R48">
        <v>8192</v>
      </c>
      <c r="S48" t="s">
        <v>33</v>
      </c>
      <c r="T48" t="s">
        <v>34</v>
      </c>
      <c r="U48">
        <v>-438.17</v>
      </c>
      <c r="V48" t="s">
        <v>35</v>
      </c>
      <c r="W48" s="1">
        <v>45645</v>
      </c>
      <c r="X48">
        <v>2025</v>
      </c>
    </row>
    <row r="49" spans="1:24" x14ac:dyDescent="0.25">
      <c r="A49" s="1">
        <v>45713</v>
      </c>
      <c r="B49" t="s">
        <v>145</v>
      </c>
      <c r="C49">
        <v>101518663400</v>
      </c>
      <c r="E49" t="s">
        <v>146</v>
      </c>
      <c r="F49" t="s">
        <v>26</v>
      </c>
      <c r="G49" t="s">
        <v>27</v>
      </c>
      <c r="H49" t="s">
        <v>28</v>
      </c>
      <c r="I49" t="s">
        <v>29</v>
      </c>
      <c r="J49" t="s">
        <v>30</v>
      </c>
      <c r="L49" s="1">
        <v>45689</v>
      </c>
      <c r="M49" s="1">
        <v>45689</v>
      </c>
      <c r="O49">
        <v>8814784</v>
      </c>
      <c r="P49" t="s">
        <v>31</v>
      </c>
      <c r="Q49" t="s">
        <v>71</v>
      </c>
      <c r="R49">
        <v>8192</v>
      </c>
      <c r="S49" t="s">
        <v>33</v>
      </c>
      <c r="T49" t="s">
        <v>34</v>
      </c>
      <c r="U49">
        <v>-401.5</v>
      </c>
      <c r="V49" t="s">
        <v>35</v>
      </c>
      <c r="W49" s="1">
        <v>45680</v>
      </c>
      <c r="X49">
        <v>2025</v>
      </c>
    </row>
    <row r="50" spans="1:24" x14ac:dyDescent="0.25">
      <c r="A50" s="1">
        <v>45713</v>
      </c>
      <c r="B50" t="s">
        <v>145</v>
      </c>
      <c r="C50">
        <v>101518663400</v>
      </c>
      <c r="E50" t="s">
        <v>146</v>
      </c>
      <c r="F50" t="s">
        <v>26</v>
      </c>
      <c r="G50" t="s">
        <v>36</v>
      </c>
      <c r="H50" t="s">
        <v>28</v>
      </c>
      <c r="I50" t="s">
        <v>29</v>
      </c>
      <c r="J50" t="s">
        <v>30</v>
      </c>
      <c r="L50" s="1">
        <v>45689</v>
      </c>
      <c r="M50" s="1">
        <v>45689</v>
      </c>
      <c r="O50">
        <v>8814784</v>
      </c>
      <c r="P50" t="s">
        <v>31</v>
      </c>
      <c r="Q50" t="s">
        <v>71</v>
      </c>
      <c r="R50">
        <v>8192</v>
      </c>
      <c r="S50" t="s">
        <v>33</v>
      </c>
      <c r="T50" t="s">
        <v>34</v>
      </c>
      <c r="U50">
        <v>688.42</v>
      </c>
      <c r="V50" t="s">
        <v>37</v>
      </c>
      <c r="W50" s="1">
        <v>45680</v>
      </c>
      <c r="X50">
        <v>2025</v>
      </c>
    </row>
    <row r="51" spans="1:24" x14ac:dyDescent="0.25">
      <c r="A51" s="1">
        <v>45713</v>
      </c>
      <c r="B51" t="s">
        <v>147</v>
      </c>
      <c r="C51">
        <v>102134110300</v>
      </c>
      <c r="E51" t="s">
        <v>148</v>
      </c>
      <c r="F51" t="s">
        <v>26</v>
      </c>
      <c r="G51" t="s">
        <v>27</v>
      </c>
      <c r="H51" t="s">
        <v>28</v>
      </c>
      <c r="I51" t="s">
        <v>41</v>
      </c>
      <c r="J51" t="s">
        <v>42</v>
      </c>
      <c r="L51" s="1">
        <v>45658</v>
      </c>
      <c r="M51" s="1">
        <v>45658</v>
      </c>
      <c r="O51">
        <v>17301495</v>
      </c>
      <c r="P51" t="s">
        <v>31</v>
      </c>
      <c r="Q51" t="s">
        <v>137</v>
      </c>
      <c r="R51">
        <v>8192</v>
      </c>
      <c r="S51" t="s">
        <v>33</v>
      </c>
      <c r="T51" t="s">
        <v>34</v>
      </c>
      <c r="U51">
        <v>-438</v>
      </c>
      <c r="V51" t="s">
        <v>35</v>
      </c>
      <c r="W51" s="1">
        <v>45657</v>
      </c>
      <c r="X51">
        <v>2025</v>
      </c>
    </row>
    <row r="52" spans="1:24" x14ac:dyDescent="0.25">
      <c r="A52" s="1">
        <v>45713</v>
      </c>
      <c r="B52" t="s">
        <v>147</v>
      </c>
      <c r="C52">
        <v>102134110300</v>
      </c>
      <c r="E52" t="s">
        <v>148</v>
      </c>
      <c r="F52" t="s">
        <v>26</v>
      </c>
      <c r="G52" t="s">
        <v>68</v>
      </c>
      <c r="H52" t="s">
        <v>28</v>
      </c>
      <c r="I52" t="s">
        <v>41</v>
      </c>
      <c r="J52" t="s">
        <v>42</v>
      </c>
      <c r="L52" s="1">
        <v>45658</v>
      </c>
      <c r="M52" s="1">
        <v>45658</v>
      </c>
      <c r="O52">
        <v>17301495</v>
      </c>
      <c r="P52" t="s">
        <v>31</v>
      </c>
      <c r="Q52" t="s">
        <v>137</v>
      </c>
      <c r="R52">
        <v>8192</v>
      </c>
      <c r="S52" t="s">
        <v>33</v>
      </c>
      <c r="T52" t="s">
        <v>34</v>
      </c>
      <c r="U52">
        <v>751</v>
      </c>
      <c r="V52" t="s">
        <v>37</v>
      </c>
      <c r="W52" s="1">
        <v>45657</v>
      </c>
      <c r="X52">
        <v>2025</v>
      </c>
    </row>
    <row r="53" spans="1:24" x14ac:dyDescent="0.25">
      <c r="A53" s="1">
        <v>45713</v>
      </c>
      <c r="B53" t="s">
        <v>149</v>
      </c>
      <c r="C53">
        <v>102138649000</v>
      </c>
      <c r="E53" t="s">
        <v>150</v>
      </c>
      <c r="F53" t="s">
        <v>26</v>
      </c>
      <c r="G53" t="s">
        <v>68</v>
      </c>
      <c r="H53" t="s">
        <v>28</v>
      </c>
      <c r="I53" t="s">
        <v>41</v>
      </c>
      <c r="J53" t="s">
        <v>42</v>
      </c>
      <c r="L53" s="1">
        <v>45689</v>
      </c>
      <c r="M53" s="1">
        <v>45689</v>
      </c>
      <c r="O53">
        <v>19396223</v>
      </c>
      <c r="P53" t="s">
        <v>31</v>
      </c>
      <c r="Q53" t="s">
        <v>151</v>
      </c>
      <c r="R53">
        <v>8192</v>
      </c>
      <c r="S53" t="s">
        <v>33</v>
      </c>
      <c r="T53" t="s">
        <v>34</v>
      </c>
      <c r="U53">
        <v>751</v>
      </c>
      <c r="V53" t="s">
        <v>37</v>
      </c>
      <c r="W53" s="1">
        <v>45670</v>
      </c>
      <c r="X53">
        <v>2025</v>
      </c>
    </row>
    <row r="54" spans="1:24" x14ac:dyDescent="0.25">
      <c r="A54" s="1">
        <v>45713</v>
      </c>
      <c r="B54" t="s">
        <v>149</v>
      </c>
      <c r="C54">
        <v>102138649000</v>
      </c>
      <c r="E54" t="s">
        <v>150</v>
      </c>
      <c r="F54" t="s">
        <v>26</v>
      </c>
      <c r="G54" t="s">
        <v>27</v>
      </c>
      <c r="H54" t="s">
        <v>28</v>
      </c>
      <c r="I54" t="s">
        <v>41</v>
      </c>
      <c r="J54" t="s">
        <v>42</v>
      </c>
      <c r="L54" s="1">
        <v>45689</v>
      </c>
      <c r="M54" s="1">
        <v>45689</v>
      </c>
      <c r="O54">
        <v>19396223</v>
      </c>
      <c r="P54" t="s">
        <v>31</v>
      </c>
      <c r="Q54" t="s">
        <v>151</v>
      </c>
      <c r="R54">
        <v>8192</v>
      </c>
      <c r="S54" t="s">
        <v>33</v>
      </c>
      <c r="T54" t="s">
        <v>34</v>
      </c>
      <c r="U54">
        <v>-401.5</v>
      </c>
      <c r="V54" t="s">
        <v>35</v>
      </c>
      <c r="W54" s="1">
        <v>45670</v>
      </c>
      <c r="X54">
        <v>2025</v>
      </c>
    </row>
    <row r="55" spans="1:24" x14ac:dyDescent="0.25">
      <c r="A55" s="1">
        <v>45713</v>
      </c>
      <c r="B55" t="s">
        <v>152</v>
      </c>
      <c r="C55">
        <v>102092317600</v>
      </c>
      <c r="E55" t="s">
        <v>153</v>
      </c>
      <c r="F55" t="s">
        <v>26</v>
      </c>
      <c r="G55" t="s">
        <v>36</v>
      </c>
      <c r="H55" t="s">
        <v>28</v>
      </c>
      <c r="I55" t="s">
        <v>41</v>
      </c>
      <c r="J55" t="s">
        <v>42</v>
      </c>
      <c r="L55" s="1">
        <v>45689</v>
      </c>
      <c r="M55" s="1">
        <v>45689</v>
      </c>
      <c r="O55">
        <v>8325282</v>
      </c>
      <c r="P55" t="s">
        <v>31</v>
      </c>
      <c r="Q55" t="s">
        <v>140</v>
      </c>
      <c r="R55">
        <v>8192</v>
      </c>
      <c r="S55" t="s">
        <v>33</v>
      </c>
      <c r="T55" t="s">
        <v>34</v>
      </c>
      <c r="U55">
        <v>688.42</v>
      </c>
      <c r="V55" t="s">
        <v>37</v>
      </c>
      <c r="W55" s="1">
        <v>45680</v>
      </c>
      <c r="X55">
        <v>2025</v>
      </c>
    </row>
    <row r="56" spans="1:24" x14ac:dyDescent="0.25">
      <c r="A56" s="1">
        <v>45713</v>
      </c>
      <c r="B56" t="s">
        <v>152</v>
      </c>
      <c r="C56">
        <v>102092317600</v>
      </c>
      <c r="E56" t="s">
        <v>153</v>
      </c>
      <c r="F56" t="s">
        <v>26</v>
      </c>
      <c r="G56" t="s">
        <v>27</v>
      </c>
      <c r="H56" t="s">
        <v>28</v>
      </c>
      <c r="I56" t="s">
        <v>41</v>
      </c>
      <c r="J56" t="s">
        <v>42</v>
      </c>
      <c r="L56" s="1">
        <v>45689</v>
      </c>
      <c r="M56" s="1">
        <v>45689</v>
      </c>
      <c r="O56">
        <v>8325282</v>
      </c>
      <c r="P56" t="s">
        <v>31</v>
      </c>
      <c r="Q56" t="s">
        <v>140</v>
      </c>
      <c r="R56">
        <v>8192</v>
      </c>
      <c r="S56" t="s">
        <v>33</v>
      </c>
      <c r="T56" t="s">
        <v>34</v>
      </c>
      <c r="U56">
        <v>-401.5</v>
      </c>
      <c r="V56" t="s">
        <v>35</v>
      </c>
      <c r="W56" s="1">
        <v>45680</v>
      </c>
      <c r="X56">
        <v>2025</v>
      </c>
    </row>
    <row r="57" spans="1:24" x14ac:dyDescent="0.25">
      <c r="A57" s="1">
        <v>45713</v>
      </c>
      <c r="B57" t="s">
        <v>154</v>
      </c>
      <c r="C57">
        <v>102136760300</v>
      </c>
      <c r="E57" t="s">
        <v>155</v>
      </c>
      <c r="F57" t="s">
        <v>123</v>
      </c>
      <c r="G57" t="s">
        <v>27</v>
      </c>
      <c r="H57" t="s">
        <v>28</v>
      </c>
      <c r="I57" t="s">
        <v>124</v>
      </c>
      <c r="J57" t="s">
        <v>129</v>
      </c>
      <c r="L57" s="1">
        <v>45717</v>
      </c>
      <c r="M57" s="1">
        <v>45717</v>
      </c>
      <c r="O57">
        <v>17886092</v>
      </c>
      <c r="P57" t="s">
        <v>31</v>
      </c>
      <c r="Q57" t="s">
        <v>130</v>
      </c>
      <c r="R57">
        <v>8192</v>
      </c>
      <c r="S57" t="s">
        <v>33</v>
      </c>
      <c r="T57" t="s">
        <v>34</v>
      </c>
      <c r="U57">
        <v>-33.33</v>
      </c>
      <c r="V57" t="s">
        <v>35</v>
      </c>
      <c r="W57" s="1">
        <v>45664</v>
      </c>
      <c r="X57">
        <v>2025</v>
      </c>
    </row>
    <row r="58" spans="1:24" x14ac:dyDescent="0.25">
      <c r="A58" s="1">
        <v>45713</v>
      </c>
      <c r="B58" t="s">
        <v>154</v>
      </c>
      <c r="C58">
        <v>102136760300</v>
      </c>
      <c r="E58" t="s">
        <v>155</v>
      </c>
      <c r="F58" t="s">
        <v>123</v>
      </c>
      <c r="G58" t="s">
        <v>68</v>
      </c>
      <c r="H58" t="s">
        <v>28</v>
      </c>
      <c r="I58" t="s">
        <v>124</v>
      </c>
      <c r="J58" t="s">
        <v>129</v>
      </c>
      <c r="L58" s="1">
        <v>45717</v>
      </c>
      <c r="M58" s="1">
        <v>45717</v>
      </c>
      <c r="O58">
        <v>17886092</v>
      </c>
      <c r="P58" t="s">
        <v>31</v>
      </c>
      <c r="Q58" t="s">
        <v>130</v>
      </c>
      <c r="R58">
        <v>8192</v>
      </c>
      <c r="S58" t="s">
        <v>33</v>
      </c>
      <c r="T58" t="s">
        <v>34</v>
      </c>
      <c r="U58">
        <v>40</v>
      </c>
      <c r="V58" t="s">
        <v>37</v>
      </c>
      <c r="W58" s="1">
        <v>45664</v>
      </c>
      <c r="X58">
        <v>2025</v>
      </c>
    </row>
    <row r="59" spans="1:24" x14ac:dyDescent="0.25">
      <c r="A59" s="1">
        <v>45713</v>
      </c>
      <c r="B59" t="s">
        <v>156</v>
      </c>
      <c r="C59">
        <v>101187835500</v>
      </c>
      <c r="E59" t="s">
        <v>157</v>
      </c>
      <c r="F59" t="s">
        <v>26</v>
      </c>
      <c r="G59" t="s">
        <v>158</v>
      </c>
      <c r="H59" t="s">
        <v>28</v>
      </c>
      <c r="I59" t="s">
        <v>29</v>
      </c>
      <c r="J59" t="s">
        <v>159</v>
      </c>
      <c r="L59" s="1">
        <v>45658</v>
      </c>
      <c r="M59" s="1">
        <v>45658</v>
      </c>
      <c r="N59" s="1">
        <v>45716</v>
      </c>
      <c r="O59">
        <v>18935660</v>
      </c>
      <c r="P59" t="s">
        <v>31</v>
      </c>
      <c r="Q59" t="s">
        <v>32</v>
      </c>
      <c r="R59">
        <v>8192</v>
      </c>
      <c r="S59" t="s">
        <v>33</v>
      </c>
      <c r="T59" t="s">
        <v>34</v>
      </c>
      <c r="U59">
        <v>-438</v>
      </c>
      <c r="V59" t="s">
        <v>35</v>
      </c>
      <c r="W59" s="1">
        <v>45597</v>
      </c>
      <c r="X59">
        <v>2025</v>
      </c>
    </row>
    <row r="60" spans="1:24" x14ac:dyDescent="0.25">
      <c r="A60" s="1">
        <v>45713</v>
      </c>
      <c r="B60" t="s">
        <v>160</v>
      </c>
      <c r="C60">
        <v>102136258200</v>
      </c>
      <c r="E60" t="s">
        <v>161</v>
      </c>
      <c r="F60" t="s">
        <v>162</v>
      </c>
      <c r="G60" t="s">
        <v>27</v>
      </c>
      <c r="H60" t="s">
        <v>28</v>
      </c>
      <c r="I60" t="s">
        <v>163</v>
      </c>
      <c r="J60" t="s">
        <v>164</v>
      </c>
      <c r="L60" s="1">
        <v>45689</v>
      </c>
      <c r="M60" s="1">
        <v>45689</v>
      </c>
      <c r="O60">
        <v>19645587</v>
      </c>
      <c r="P60" t="s">
        <v>31</v>
      </c>
      <c r="Q60" t="s">
        <v>115</v>
      </c>
      <c r="R60">
        <v>8192</v>
      </c>
      <c r="S60" t="s">
        <v>33</v>
      </c>
      <c r="T60" t="s">
        <v>34</v>
      </c>
      <c r="U60">
        <v>-401.5</v>
      </c>
      <c r="V60" t="s">
        <v>35</v>
      </c>
      <c r="W60" s="1">
        <v>45663</v>
      </c>
      <c r="X60">
        <v>2025</v>
      </c>
    </row>
    <row r="61" spans="1:24" x14ac:dyDescent="0.25">
      <c r="A61" s="1">
        <v>45713</v>
      </c>
      <c r="B61" t="s">
        <v>160</v>
      </c>
      <c r="C61">
        <v>102136258200</v>
      </c>
      <c r="E61" t="s">
        <v>161</v>
      </c>
      <c r="F61" t="s">
        <v>162</v>
      </c>
      <c r="G61" t="s">
        <v>68</v>
      </c>
      <c r="H61" t="s">
        <v>28</v>
      </c>
      <c r="I61" t="s">
        <v>163</v>
      </c>
      <c r="J61" t="s">
        <v>164</v>
      </c>
      <c r="L61" s="1">
        <v>45689</v>
      </c>
      <c r="M61" s="1">
        <v>45689</v>
      </c>
      <c r="O61">
        <v>19645587</v>
      </c>
      <c r="P61" t="s">
        <v>31</v>
      </c>
      <c r="Q61" t="s">
        <v>115</v>
      </c>
      <c r="R61">
        <v>8192</v>
      </c>
      <c r="S61" t="s">
        <v>33</v>
      </c>
      <c r="T61" t="s">
        <v>34</v>
      </c>
      <c r="U61">
        <v>751</v>
      </c>
      <c r="V61" t="s">
        <v>37</v>
      </c>
      <c r="W61" s="1">
        <v>45663</v>
      </c>
      <c r="X61">
        <v>2025</v>
      </c>
    </row>
    <row r="62" spans="1:24" x14ac:dyDescent="0.25">
      <c r="A62" s="1">
        <v>45713</v>
      </c>
      <c r="B62" t="s">
        <v>165</v>
      </c>
      <c r="C62">
        <v>102135098200</v>
      </c>
      <c r="E62" t="s">
        <v>166</v>
      </c>
      <c r="F62" t="s">
        <v>26</v>
      </c>
      <c r="G62" t="s">
        <v>27</v>
      </c>
      <c r="H62" t="s">
        <v>28</v>
      </c>
      <c r="I62" t="s">
        <v>41</v>
      </c>
      <c r="J62" t="s">
        <v>42</v>
      </c>
      <c r="L62" s="1">
        <v>45748</v>
      </c>
      <c r="M62" s="1">
        <v>45748</v>
      </c>
      <c r="O62">
        <v>8307933</v>
      </c>
      <c r="P62" t="s">
        <v>31</v>
      </c>
      <c r="Q62" t="s">
        <v>62</v>
      </c>
      <c r="R62">
        <v>8192</v>
      </c>
      <c r="S62" t="s">
        <v>33</v>
      </c>
      <c r="T62" t="s">
        <v>34</v>
      </c>
      <c r="U62">
        <v>-328.5</v>
      </c>
      <c r="V62" t="s">
        <v>35</v>
      </c>
      <c r="W62" s="1">
        <v>45659</v>
      </c>
      <c r="X62">
        <v>2025</v>
      </c>
    </row>
    <row r="63" spans="1:24" x14ac:dyDescent="0.25">
      <c r="A63" s="1">
        <v>45713</v>
      </c>
      <c r="B63" t="s">
        <v>165</v>
      </c>
      <c r="C63">
        <v>102135098200</v>
      </c>
      <c r="E63" t="s">
        <v>166</v>
      </c>
      <c r="F63" t="s">
        <v>26</v>
      </c>
      <c r="G63" t="s">
        <v>68</v>
      </c>
      <c r="H63" t="s">
        <v>28</v>
      </c>
      <c r="I63" t="s">
        <v>41</v>
      </c>
      <c r="J63" t="s">
        <v>42</v>
      </c>
      <c r="L63" s="1">
        <v>45748</v>
      </c>
      <c r="M63" s="1">
        <v>45748</v>
      </c>
      <c r="O63">
        <v>8307933</v>
      </c>
      <c r="P63" t="s">
        <v>31</v>
      </c>
      <c r="Q63" t="s">
        <v>62</v>
      </c>
      <c r="R63">
        <v>8192</v>
      </c>
      <c r="S63" t="s">
        <v>33</v>
      </c>
      <c r="T63" t="s">
        <v>34</v>
      </c>
      <c r="U63">
        <v>751</v>
      </c>
      <c r="V63" t="s">
        <v>37</v>
      </c>
      <c r="W63" s="1">
        <v>45659</v>
      </c>
      <c r="X63">
        <v>2025</v>
      </c>
    </row>
    <row r="64" spans="1:24" x14ac:dyDescent="0.25">
      <c r="A64" s="1">
        <v>45713</v>
      </c>
      <c r="B64" t="s">
        <v>167</v>
      </c>
      <c r="C64">
        <v>102119193700</v>
      </c>
      <c r="E64" t="s">
        <v>168</v>
      </c>
      <c r="F64" t="s">
        <v>123</v>
      </c>
      <c r="G64" t="s">
        <v>158</v>
      </c>
      <c r="H64" t="s">
        <v>28</v>
      </c>
      <c r="I64" t="s">
        <v>124</v>
      </c>
      <c r="J64" t="s">
        <v>169</v>
      </c>
      <c r="L64" s="1">
        <v>45658</v>
      </c>
      <c r="M64" s="1">
        <v>45658</v>
      </c>
      <c r="N64" s="1">
        <v>45716</v>
      </c>
      <c r="O64">
        <v>17528908</v>
      </c>
      <c r="P64" t="s">
        <v>31</v>
      </c>
      <c r="Q64" t="s">
        <v>170</v>
      </c>
      <c r="R64">
        <v>8192</v>
      </c>
      <c r="S64" t="s">
        <v>33</v>
      </c>
      <c r="T64" t="s">
        <v>34</v>
      </c>
      <c r="U64">
        <v>-478</v>
      </c>
      <c r="V64" t="s">
        <v>35</v>
      </c>
      <c r="W64" s="1">
        <v>45621</v>
      </c>
      <c r="X64">
        <v>2025</v>
      </c>
    </row>
    <row r="65" spans="1:24" x14ac:dyDescent="0.25">
      <c r="A65" s="1">
        <v>45713</v>
      </c>
      <c r="B65" t="s">
        <v>171</v>
      </c>
      <c r="C65">
        <v>102119192800</v>
      </c>
      <c r="E65" t="s">
        <v>172</v>
      </c>
      <c r="F65" t="s">
        <v>123</v>
      </c>
      <c r="G65" t="s">
        <v>158</v>
      </c>
      <c r="H65" t="s">
        <v>28</v>
      </c>
      <c r="I65" t="s">
        <v>124</v>
      </c>
      <c r="J65" t="s">
        <v>169</v>
      </c>
      <c r="L65" s="1">
        <v>45658</v>
      </c>
      <c r="M65" s="1">
        <v>45658</v>
      </c>
      <c r="N65" s="1">
        <v>45716</v>
      </c>
      <c r="O65">
        <v>17528908</v>
      </c>
      <c r="P65" t="s">
        <v>31</v>
      </c>
      <c r="Q65" t="s">
        <v>170</v>
      </c>
      <c r="R65">
        <v>8192</v>
      </c>
      <c r="S65" t="s">
        <v>33</v>
      </c>
      <c r="T65" t="s">
        <v>34</v>
      </c>
      <c r="U65">
        <v>-478</v>
      </c>
      <c r="V65" t="s">
        <v>35</v>
      </c>
      <c r="W65" s="1">
        <v>45621</v>
      </c>
      <c r="X65">
        <v>2025</v>
      </c>
    </row>
    <row r="66" spans="1:24" x14ac:dyDescent="0.25">
      <c r="A66" s="1">
        <v>45713</v>
      </c>
      <c r="B66" t="s">
        <v>173</v>
      </c>
      <c r="C66">
        <v>102148711800</v>
      </c>
      <c r="E66" t="s">
        <v>174</v>
      </c>
      <c r="F66" t="s">
        <v>123</v>
      </c>
      <c r="G66" t="s">
        <v>40</v>
      </c>
      <c r="H66" t="s">
        <v>28</v>
      </c>
      <c r="I66" t="s">
        <v>124</v>
      </c>
      <c r="J66" t="s">
        <v>175</v>
      </c>
      <c r="L66" s="1">
        <v>45689</v>
      </c>
      <c r="M66" s="1">
        <v>45689</v>
      </c>
      <c r="O66">
        <v>17528908</v>
      </c>
      <c r="P66" t="s">
        <v>31</v>
      </c>
      <c r="Q66" t="s">
        <v>170</v>
      </c>
      <c r="R66">
        <v>8192</v>
      </c>
      <c r="S66" t="s">
        <v>33</v>
      </c>
      <c r="T66" t="s">
        <v>34</v>
      </c>
      <c r="U66">
        <v>438.17</v>
      </c>
      <c r="V66" t="s">
        <v>35</v>
      </c>
      <c r="W66" s="1">
        <v>45685</v>
      </c>
      <c r="X66">
        <v>2025</v>
      </c>
    </row>
    <row r="67" spans="1:24" x14ac:dyDescent="0.25">
      <c r="A67" s="1">
        <v>45713</v>
      </c>
      <c r="B67" t="s">
        <v>176</v>
      </c>
      <c r="C67">
        <v>102137196000</v>
      </c>
      <c r="E67" t="s">
        <v>177</v>
      </c>
      <c r="F67" t="s">
        <v>123</v>
      </c>
      <c r="G67" t="s">
        <v>68</v>
      </c>
      <c r="H67" t="s">
        <v>28</v>
      </c>
      <c r="I67" t="s">
        <v>124</v>
      </c>
      <c r="J67" t="s">
        <v>178</v>
      </c>
      <c r="L67" s="1">
        <v>45689</v>
      </c>
      <c r="M67" s="1">
        <v>45689</v>
      </c>
      <c r="O67">
        <v>18657307</v>
      </c>
      <c r="P67" t="s">
        <v>179</v>
      </c>
      <c r="Q67" t="s">
        <v>180</v>
      </c>
      <c r="R67">
        <v>8192</v>
      </c>
      <c r="S67" t="s">
        <v>33</v>
      </c>
      <c r="T67" t="s">
        <v>34</v>
      </c>
      <c r="U67">
        <v>125</v>
      </c>
      <c r="V67" t="s">
        <v>37</v>
      </c>
      <c r="W67" s="1">
        <v>45680</v>
      </c>
      <c r="X67">
        <v>2025</v>
      </c>
    </row>
    <row r="68" spans="1:24" x14ac:dyDescent="0.25">
      <c r="A68" s="1">
        <v>45713</v>
      </c>
      <c r="B68" t="s">
        <v>176</v>
      </c>
      <c r="C68">
        <v>102137196000</v>
      </c>
      <c r="E68" t="s">
        <v>177</v>
      </c>
      <c r="F68" t="s">
        <v>123</v>
      </c>
      <c r="G68" t="s">
        <v>27</v>
      </c>
      <c r="H68" t="s">
        <v>28</v>
      </c>
      <c r="I68" t="s">
        <v>124</v>
      </c>
      <c r="J68" t="s">
        <v>181</v>
      </c>
      <c r="L68" s="1">
        <v>45689</v>
      </c>
      <c r="M68" s="1">
        <v>45689</v>
      </c>
      <c r="O68">
        <v>18657307</v>
      </c>
      <c r="P68" t="s">
        <v>179</v>
      </c>
      <c r="Q68" t="s">
        <v>180</v>
      </c>
      <c r="R68">
        <v>8192</v>
      </c>
      <c r="S68" t="s">
        <v>33</v>
      </c>
      <c r="T68" t="s">
        <v>34</v>
      </c>
      <c r="U68">
        <v>-114.59</v>
      </c>
      <c r="V68" t="s">
        <v>35</v>
      </c>
      <c r="W68" s="1">
        <v>45665</v>
      </c>
      <c r="X68">
        <v>2025</v>
      </c>
    </row>
    <row r="69" spans="1:24" x14ac:dyDescent="0.25">
      <c r="A69" s="1">
        <v>45713</v>
      </c>
      <c r="B69" t="s">
        <v>182</v>
      </c>
      <c r="C69">
        <v>102142808400</v>
      </c>
      <c r="E69" t="s">
        <v>183</v>
      </c>
      <c r="F69" t="s">
        <v>26</v>
      </c>
      <c r="G69" t="s">
        <v>27</v>
      </c>
      <c r="H69" t="s">
        <v>28</v>
      </c>
      <c r="I69" t="s">
        <v>41</v>
      </c>
      <c r="J69" t="s">
        <v>42</v>
      </c>
      <c r="L69" s="1">
        <v>45689</v>
      </c>
      <c r="M69" s="1">
        <v>45689</v>
      </c>
      <c r="O69">
        <v>7146581</v>
      </c>
      <c r="P69" t="s">
        <v>31</v>
      </c>
      <c r="Q69" t="s">
        <v>46</v>
      </c>
      <c r="R69">
        <v>8192</v>
      </c>
      <c r="S69" t="s">
        <v>33</v>
      </c>
      <c r="T69" t="s">
        <v>34</v>
      </c>
      <c r="U69">
        <v>-401.5</v>
      </c>
      <c r="V69" t="s">
        <v>35</v>
      </c>
      <c r="W69" s="1">
        <v>45679</v>
      </c>
      <c r="X69">
        <v>2025</v>
      </c>
    </row>
    <row r="70" spans="1:24" x14ac:dyDescent="0.25">
      <c r="A70" s="1">
        <v>45713</v>
      </c>
      <c r="B70" t="s">
        <v>182</v>
      </c>
      <c r="C70">
        <v>102142808400</v>
      </c>
      <c r="E70" t="s">
        <v>183</v>
      </c>
      <c r="F70" t="s">
        <v>26</v>
      </c>
      <c r="G70" t="s">
        <v>68</v>
      </c>
      <c r="H70" t="s">
        <v>28</v>
      </c>
      <c r="I70" t="s">
        <v>41</v>
      </c>
      <c r="J70" t="s">
        <v>42</v>
      </c>
      <c r="L70" s="1">
        <v>45689</v>
      </c>
      <c r="M70" s="1">
        <v>45689</v>
      </c>
      <c r="O70">
        <v>7146581</v>
      </c>
      <c r="P70" t="s">
        <v>31</v>
      </c>
      <c r="Q70" t="s">
        <v>46</v>
      </c>
      <c r="R70">
        <v>8192</v>
      </c>
      <c r="S70" t="s">
        <v>33</v>
      </c>
      <c r="T70" t="s">
        <v>34</v>
      </c>
      <c r="U70">
        <v>751</v>
      </c>
      <c r="V70" t="s">
        <v>37</v>
      </c>
      <c r="W70" s="1">
        <v>45679</v>
      </c>
      <c r="X70">
        <v>2025</v>
      </c>
    </row>
    <row r="71" spans="1:24" x14ac:dyDescent="0.25">
      <c r="A71" s="1">
        <v>45713</v>
      </c>
      <c r="B71" t="s">
        <v>184</v>
      </c>
      <c r="C71">
        <v>102099947600</v>
      </c>
      <c r="E71" t="s">
        <v>185</v>
      </c>
      <c r="F71" t="s">
        <v>65</v>
      </c>
      <c r="G71" t="s">
        <v>27</v>
      </c>
      <c r="H71" t="s">
        <v>28</v>
      </c>
      <c r="I71" t="s">
        <v>66</v>
      </c>
      <c r="J71" t="s">
        <v>186</v>
      </c>
      <c r="L71" s="1">
        <v>45689</v>
      </c>
      <c r="M71" s="1">
        <v>45689</v>
      </c>
      <c r="O71">
        <v>19106640</v>
      </c>
      <c r="P71" t="s">
        <v>31</v>
      </c>
      <c r="Q71" t="s">
        <v>187</v>
      </c>
      <c r="R71">
        <v>8192</v>
      </c>
      <c r="S71" t="s">
        <v>33</v>
      </c>
      <c r="T71" t="s">
        <v>34</v>
      </c>
      <c r="U71">
        <v>-506.92</v>
      </c>
      <c r="V71" t="s">
        <v>35</v>
      </c>
      <c r="W71" s="1">
        <v>45685</v>
      </c>
      <c r="X71">
        <v>2025</v>
      </c>
    </row>
    <row r="72" spans="1:24" x14ac:dyDescent="0.25">
      <c r="A72" s="1">
        <v>45713</v>
      </c>
      <c r="B72" t="s">
        <v>184</v>
      </c>
      <c r="C72">
        <v>102099947600</v>
      </c>
      <c r="E72" t="s">
        <v>185</v>
      </c>
      <c r="F72" t="s">
        <v>65</v>
      </c>
      <c r="G72" t="s">
        <v>68</v>
      </c>
      <c r="H72" t="s">
        <v>28</v>
      </c>
      <c r="I72" t="s">
        <v>66</v>
      </c>
      <c r="J72" t="s">
        <v>186</v>
      </c>
      <c r="L72" s="1">
        <v>45689</v>
      </c>
      <c r="M72" s="1">
        <v>45689</v>
      </c>
      <c r="O72">
        <v>19106640</v>
      </c>
      <c r="P72" t="s">
        <v>31</v>
      </c>
      <c r="Q72" t="s">
        <v>187</v>
      </c>
      <c r="R72">
        <v>8192</v>
      </c>
      <c r="S72" t="s">
        <v>33</v>
      </c>
      <c r="T72" t="s">
        <v>34</v>
      </c>
      <c r="U72">
        <v>866</v>
      </c>
      <c r="V72" t="s">
        <v>37</v>
      </c>
      <c r="W72" s="1">
        <v>45685</v>
      </c>
      <c r="X72">
        <v>2025</v>
      </c>
    </row>
    <row r="73" spans="1:24" x14ac:dyDescent="0.25">
      <c r="A73" s="1">
        <v>45713</v>
      </c>
      <c r="B73" t="s">
        <v>188</v>
      </c>
      <c r="C73">
        <v>102142887500</v>
      </c>
      <c r="E73" t="s">
        <v>189</v>
      </c>
      <c r="F73" t="s">
        <v>162</v>
      </c>
      <c r="G73" t="s">
        <v>68</v>
      </c>
      <c r="H73" t="s">
        <v>28</v>
      </c>
      <c r="I73" t="s">
        <v>163</v>
      </c>
      <c r="J73" t="s">
        <v>190</v>
      </c>
      <c r="L73" s="1">
        <v>45689</v>
      </c>
      <c r="M73" s="1">
        <v>45689</v>
      </c>
      <c r="O73">
        <v>17301495</v>
      </c>
      <c r="P73" t="s">
        <v>31</v>
      </c>
      <c r="Q73" t="s">
        <v>137</v>
      </c>
      <c r="R73">
        <v>8192</v>
      </c>
      <c r="S73" t="s">
        <v>33</v>
      </c>
      <c r="T73" t="s">
        <v>34</v>
      </c>
      <c r="U73">
        <v>751</v>
      </c>
      <c r="V73" t="s">
        <v>37</v>
      </c>
      <c r="W73" s="1">
        <v>45687</v>
      </c>
      <c r="X73">
        <v>2025</v>
      </c>
    </row>
    <row r="74" spans="1:24" x14ac:dyDescent="0.25">
      <c r="A74" s="1">
        <v>45713</v>
      </c>
      <c r="B74" t="s">
        <v>191</v>
      </c>
      <c r="C74">
        <v>102138526200</v>
      </c>
      <c r="E74" t="s">
        <v>192</v>
      </c>
      <c r="F74" t="s">
        <v>26</v>
      </c>
      <c r="G74" t="s">
        <v>68</v>
      </c>
      <c r="H74" t="s">
        <v>28</v>
      </c>
      <c r="I74" t="s">
        <v>41</v>
      </c>
      <c r="J74" t="s">
        <v>42</v>
      </c>
      <c r="L74" s="1">
        <v>45689</v>
      </c>
      <c r="M74" s="1">
        <v>45689</v>
      </c>
      <c r="O74">
        <v>17301495</v>
      </c>
      <c r="P74" t="s">
        <v>31</v>
      </c>
      <c r="Q74" t="s">
        <v>137</v>
      </c>
      <c r="R74">
        <v>8192</v>
      </c>
      <c r="S74" t="s">
        <v>33</v>
      </c>
      <c r="T74" t="s">
        <v>34</v>
      </c>
      <c r="U74">
        <v>751</v>
      </c>
      <c r="V74" t="s">
        <v>37</v>
      </c>
      <c r="W74" s="1">
        <v>45666</v>
      </c>
      <c r="X74">
        <v>2025</v>
      </c>
    </row>
    <row r="75" spans="1:24" x14ac:dyDescent="0.25">
      <c r="A75" s="1">
        <v>45713</v>
      </c>
      <c r="B75" t="s">
        <v>191</v>
      </c>
      <c r="C75">
        <v>102138526200</v>
      </c>
      <c r="E75" t="s">
        <v>192</v>
      </c>
      <c r="F75" t="s">
        <v>26</v>
      </c>
      <c r="G75" t="s">
        <v>27</v>
      </c>
      <c r="H75" t="s">
        <v>28</v>
      </c>
      <c r="I75" t="s">
        <v>41</v>
      </c>
      <c r="J75" t="s">
        <v>42</v>
      </c>
      <c r="L75" s="1">
        <v>45689</v>
      </c>
      <c r="M75" s="1">
        <v>45689</v>
      </c>
      <c r="O75">
        <v>17301495</v>
      </c>
      <c r="P75" t="s">
        <v>31</v>
      </c>
      <c r="Q75" t="s">
        <v>137</v>
      </c>
      <c r="R75">
        <v>8192</v>
      </c>
      <c r="S75" t="s">
        <v>33</v>
      </c>
      <c r="T75" t="s">
        <v>34</v>
      </c>
      <c r="U75">
        <v>-401.5</v>
      </c>
      <c r="V75" t="s">
        <v>35</v>
      </c>
      <c r="W75" s="1">
        <v>45666</v>
      </c>
      <c r="X75">
        <v>2025</v>
      </c>
    </row>
    <row r="76" spans="1:24" x14ac:dyDescent="0.25">
      <c r="A76" s="1">
        <v>45713</v>
      </c>
      <c r="B76" t="s">
        <v>193</v>
      </c>
      <c r="C76">
        <v>102138558200</v>
      </c>
      <c r="E76" t="s">
        <v>194</v>
      </c>
      <c r="F76" t="s">
        <v>195</v>
      </c>
      <c r="G76" t="s">
        <v>27</v>
      </c>
      <c r="H76" t="s">
        <v>28</v>
      </c>
      <c r="I76" t="s">
        <v>50</v>
      </c>
      <c r="J76" t="s">
        <v>196</v>
      </c>
      <c r="L76" s="1">
        <v>45689</v>
      </c>
      <c r="M76" s="1">
        <v>45689</v>
      </c>
      <c r="O76">
        <v>8307933</v>
      </c>
      <c r="P76" t="s">
        <v>31</v>
      </c>
      <c r="Q76" t="s">
        <v>62</v>
      </c>
      <c r="R76">
        <v>8192</v>
      </c>
      <c r="S76" t="s">
        <v>33</v>
      </c>
      <c r="T76" t="s">
        <v>34</v>
      </c>
      <c r="U76">
        <v>-401.5</v>
      </c>
      <c r="V76" t="s">
        <v>35</v>
      </c>
      <c r="W76" s="1">
        <v>45670</v>
      </c>
      <c r="X76">
        <v>2025</v>
      </c>
    </row>
    <row r="77" spans="1:24" x14ac:dyDescent="0.25">
      <c r="A77" s="1">
        <v>45713</v>
      </c>
      <c r="B77" t="s">
        <v>193</v>
      </c>
      <c r="C77">
        <v>102138558200</v>
      </c>
      <c r="E77" t="s">
        <v>194</v>
      </c>
      <c r="F77" t="s">
        <v>195</v>
      </c>
      <c r="G77" t="s">
        <v>68</v>
      </c>
      <c r="H77" t="s">
        <v>28</v>
      </c>
      <c r="I77" t="s">
        <v>50</v>
      </c>
      <c r="J77" t="s">
        <v>196</v>
      </c>
      <c r="L77" s="1">
        <v>45689</v>
      </c>
      <c r="M77" s="1">
        <v>45689</v>
      </c>
      <c r="O77">
        <v>8307933</v>
      </c>
      <c r="P77" t="s">
        <v>31</v>
      </c>
      <c r="Q77" t="s">
        <v>62</v>
      </c>
      <c r="R77">
        <v>8192</v>
      </c>
      <c r="S77" t="s">
        <v>33</v>
      </c>
      <c r="T77" t="s">
        <v>34</v>
      </c>
      <c r="U77">
        <v>751</v>
      </c>
      <c r="V77" t="s">
        <v>37</v>
      </c>
      <c r="W77" s="1">
        <v>45670</v>
      </c>
      <c r="X77">
        <v>2025</v>
      </c>
    </row>
    <row r="78" spans="1:24" x14ac:dyDescent="0.25">
      <c r="A78" s="1">
        <v>45713</v>
      </c>
      <c r="B78" t="s">
        <v>197</v>
      </c>
      <c r="C78">
        <v>102141040100</v>
      </c>
      <c r="E78" t="s">
        <v>198</v>
      </c>
      <c r="F78" t="s">
        <v>162</v>
      </c>
      <c r="G78" t="s">
        <v>27</v>
      </c>
      <c r="H78" t="s">
        <v>28</v>
      </c>
      <c r="I78" t="s">
        <v>163</v>
      </c>
      <c r="J78" t="s">
        <v>199</v>
      </c>
      <c r="L78" s="1">
        <v>45717</v>
      </c>
      <c r="M78" s="1">
        <v>45717</v>
      </c>
      <c r="O78">
        <v>19645587</v>
      </c>
      <c r="P78" t="s">
        <v>31</v>
      </c>
      <c r="Q78" t="s">
        <v>115</v>
      </c>
      <c r="R78">
        <v>8192</v>
      </c>
      <c r="S78" t="s">
        <v>33</v>
      </c>
      <c r="T78" t="s">
        <v>34</v>
      </c>
      <c r="U78">
        <v>-365</v>
      </c>
      <c r="V78" t="s">
        <v>35</v>
      </c>
      <c r="W78" s="1">
        <v>45673</v>
      </c>
      <c r="X78">
        <v>2025</v>
      </c>
    </row>
    <row r="79" spans="1:24" x14ac:dyDescent="0.25">
      <c r="A79" s="1">
        <v>45713</v>
      </c>
      <c r="B79" t="s">
        <v>197</v>
      </c>
      <c r="C79">
        <v>102141040100</v>
      </c>
      <c r="E79" t="s">
        <v>198</v>
      </c>
      <c r="F79" t="s">
        <v>162</v>
      </c>
      <c r="G79" t="s">
        <v>68</v>
      </c>
      <c r="H79" t="s">
        <v>28</v>
      </c>
      <c r="I79" t="s">
        <v>163</v>
      </c>
      <c r="J79" t="s">
        <v>199</v>
      </c>
      <c r="L79" s="1">
        <v>45717</v>
      </c>
      <c r="M79" s="1">
        <v>45717</v>
      </c>
      <c r="O79">
        <v>19645587</v>
      </c>
      <c r="P79" t="s">
        <v>31</v>
      </c>
      <c r="Q79" t="s">
        <v>115</v>
      </c>
      <c r="R79">
        <v>8192</v>
      </c>
      <c r="S79" t="s">
        <v>33</v>
      </c>
      <c r="T79" t="s">
        <v>34</v>
      </c>
      <c r="U79">
        <v>751</v>
      </c>
      <c r="V79" t="s">
        <v>37</v>
      </c>
      <c r="W79" s="1">
        <v>45673</v>
      </c>
      <c r="X79">
        <v>2025</v>
      </c>
    </row>
    <row r="80" spans="1:24" x14ac:dyDescent="0.25">
      <c r="A80" s="1">
        <v>45713</v>
      </c>
      <c r="B80" t="s">
        <v>200</v>
      </c>
      <c r="C80">
        <v>102136793200</v>
      </c>
      <c r="E80" t="s">
        <v>201</v>
      </c>
      <c r="F80" t="s">
        <v>162</v>
      </c>
      <c r="G80" t="s">
        <v>68</v>
      </c>
      <c r="H80" t="s">
        <v>28</v>
      </c>
      <c r="I80" t="s">
        <v>163</v>
      </c>
      <c r="J80" t="s">
        <v>202</v>
      </c>
      <c r="L80" s="1">
        <v>45748</v>
      </c>
      <c r="M80" s="1">
        <v>45748</v>
      </c>
      <c r="O80">
        <v>8307933</v>
      </c>
      <c r="P80" t="s">
        <v>31</v>
      </c>
      <c r="Q80" t="s">
        <v>62</v>
      </c>
      <c r="R80">
        <v>8192</v>
      </c>
      <c r="S80" t="s">
        <v>33</v>
      </c>
      <c r="T80" t="s">
        <v>34</v>
      </c>
      <c r="U80">
        <v>751</v>
      </c>
      <c r="V80" t="s">
        <v>37</v>
      </c>
      <c r="W80" s="1">
        <v>45664</v>
      </c>
      <c r="X80">
        <v>2025</v>
      </c>
    </row>
    <row r="81" spans="1:24" x14ac:dyDescent="0.25">
      <c r="A81" s="1">
        <v>45713</v>
      </c>
      <c r="B81" t="s">
        <v>200</v>
      </c>
      <c r="C81">
        <v>102136793200</v>
      </c>
      <c r="E81" t="s">
        <v>201</v>
      </c>
      <c r="F81" t="s">
        <v>162</v>
      </c>
      <c r="G81" t="s">
        <v>27</v>
      </c>
      <c r="H81" t="s">
        <v>28</v>
      </c>
      <c r="I81" t="s">
        <v>163</v>
      </c>
      <c r="J81" t="s">
        <v>202</v>
      </c>
      <c r="L81" s="1">
        <v>45748</v>
      </c>
      <c r="M81" s="1">
        <v>45748</v>
      </c>
      <c r="O81">
        <v>8307933</v>
      </c>
      <c r="P81" t="s">
        <v>31</v>
      </c>
      <c r="Q81" t="s">
        <v>62</v>
      </c>
      <c r="R81">
        <v>8192</v>
      </c>
      <c r="S81" t="s">
        <v>33</v>
      </c>
      <c r="T81" t="s">
        <v>34</v>
      </c>
      <c r="U81">
        <v>-328.5</v>
      </c>
      <c r="V81" t="s">
        <v>35</v>
      </c>
      <c r="W81" s="1">
        <v>45664</v>
      </c>
      <c r="X81">
        <v>2025</v>
      </c>
    </row>
    <row r="82" spans="1:24" x14ac:dyDescent="0.25">
      <c r="A82" s="1">
        <v>45713</v>
      </c>
      <c r="B82" t="s">
        <v>203</v>
      </c>
      <c r="C82">
        <v>102136696000</v>
      </c>
      <c r="E82" t="s">
        <v>204</v>
      </c>
      <c r="F82" t="s">
        <v>123</v>
      </c>
      <c r="G82" t="s">
        <v>27</v>
      </c>
      <c r="H82" t="s">
        <v>28</v>
      </c>
      <c r="I82" t="s">
        <v>124</v>
      </c>
      <c r="J82" t="s">
        <v>129</v>
      </c>
      <c r="L82" s="1">
        <v>45717</v>
      </c>
      <c r="M82" s="1">
        <v>45717</v>
      </c>
      <c r="O82">
        <v>17886092</v>
      </c>
      <c r="P82" t="s">
        <v>31</v>
      </c>
      <c r="Q82" t="s">
        <v>130</v>
      </c>
      <c r="R82">
        <v>8192</v>
      </c>
      <c r="S82" t="s">
        <v>33</v>
      </c>
      <c r="T82" t="s">
        <v>34</v>
      </c>
      <c r="U82">
        <v>-33.33</v>
      </c>
      <c r="V82" t="s">
        <v>35</v>
      </c>
      <c r="W82" s="1">
        <v>45664</v>
      </c>
      <c r="X82">
        <v>2025</v>
      </c>
    </row>
    <row r="83" spans="1:24" x14ac:dyDescent="0.25">
      <c r="A83" s="1">
        <v>45713</v>
      </c>
      <c r="B83" t="s">
        <v>203</v>
      </c>
      <c r="C83">
        <v>102136696000</v>
      </c>
      <c r="E83" t="s">
        <v>204</v>
      </c>
      <c r="F83" t="s">
        <v>123</v>
      </c>
      <c r="G83" t="s">
        <v>68</v>
      </c>
      <c r="H83" t="s">
        <v>28</v>
      </c>
      <c r="I83" t="s">
        <v>124</v>
      </c>
      <c r="J83" t="s">
        <v>129</v>
      </c>
      <c r="L83" s="1">
        <v>45717</v>
      </c>
      <c r="M83" s="1">
        <v>45717</v>
      </c>
      <c r="O83">
        <v>17886092</v>
      </c>
      <c r="P83" t="s">
        <v>31</v>
      </c>
      <c r="Q83" t="s">
        <v>130</v>
      </c>
      <c r="R83">
        <v>8192</v>
      </c>
      <c r="S83" t="s">
        <v>33</v>
      </c>
      <c r="T83" t="s">
        <v>34</v>
      </c>
      <c r="U83">
        <v>40</v>
      </c>
      <c r="V83" t="s">
        <v>37</v>
      </c>
      <c r="W83" s="1">
        <v>45664</v>
      </c>
      <c r="X83">
        <v>2025</v>
      </c>
    </row>
    <row r="84" spans="1:24" x14ac:dyDescent="0.25">
      <c r="A84" s="1">
        <v>45713</v>
      </c>
      <c r="B84" t="s">
        <v>205</v>
      </c>
      <c r="C84">
        <v>102136755100</v>
      </c>
      <c r="E84" t="s">
        <v>206</v>
      </c>
      <c r="F84" t="s">
        <v>123</v>
      </c>
      <c r="G84" t="s">
        <v>27</v>
      </c>
      <c r="H84" t="s">
        <v>28</v>
      </c>
      <c r="I84" t="s">
        <v>124</v>
      </c>
      <c r="J84" t="s">
        <v>129</v>
      </c>
      <c r="L84" s="1">
        <v>45689</v>
      </c>
      <c r="M84" s="1">
        <v>45689</v>
      </c>
      <c r="O84">
        <v>17886092</v>
      </c>
      <c r="P84" t="s">
        <v>31</v>
      </c>
      <c r="Q84" t="s">
        <v>130</v>
      </c>
      <c r="R84">
        <v>8192</v>
      </c>
      <c r="S84" t="s">
        <v>33</v>
      </c>
      <c r="T84" t="s">
        <v>34</v>
      </c>
      <c r="U84">
        <v>-36.67</v>
      </c>
      <c r="V84" t="s">
        <v>35</v>
      </c>
      <c r="W84" s="1">
        <v>45664</v>
      </c>
      <c r="X84">
        <v>2025</v>
      </c>
    </row>
    <row r="85" spans="1:24" x14ac:dyDescent="0.25">
      <c r="A85" s="1">
        <v>45713</v>
      </c>
      <c r="B85" t="s">
        <v>205</v>
      </c>
      <c r="C85">
        <v>102136755100</v>
      </c>
      <c r="E85" t="s">
        <v>206</v>
      </c>
      <c r="F85" t="s">
        <v>123</v>
      </c>
      <c r="G85" t="s">
        <v>68</v>
      </c>
      <c r="H85" t="s">
        <v>28</v>
      </c>
      <c r="I85" t="s">
        <v>124</v>
      </c>
      <c r="J85" t="s">
        <v>129</v>
      </c>
      <c r="L85" s="1">
        <v>45689</v>
      </c>
      <c r="M85" s="1">
        <v>45689</v>
      </c>
      <c r="O85">
        <v>17886092</v>
      </c>
      <c r="P85" t="s">
        <v>31</v>
      </c>
      <c r="Q85" t="s">
        <v>130</v>
      </c>
      <c r="R85">
        <v>8192</v>
      </c>
      <c r="S85" t="s">
        <v>33</v>
      </c>
      <c r="T85" t="s">
        <v>34</v>
      </c>
      <c r="U85">
        <v>40</v>
      </c>
      <c r="V85" t="s">
        <v>37</v>
      </c>
      <c r="W85" s="1">
        <v>45664</v>
      </c>
      <c r="X85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66E-D08C-451E-BD85-934A7A311BF0}">
  <dimension ref="A1:P154"/>
  <sheetViews>
    <sheetView topLeftCell="A152" workbookViewId="0">
      <selection activeCell="P2" sqref="P2:P152"/>
    </sheetView>
  </sheetViews>
  <sheetFormatPr defaultRowHeight="15" x14ac:dyDescent="0.25"/>
  <cols>
    <col min="1" max="1" width="17.7109375" style="2" customWidth="1"/>
    <col min="2" max="2" width="17.28515625" style="3" bestFit="1" customWidth="1"/>
    <col min="3" max="3" width="17.28515625" style="3" customWidth="1"/>
    <col min="4" max="4" width="26.140625" style="3" bestFit="1" customWidth="1"/>
    <col min="5" max="5" width="9.140625" style="3"/>
    <col min="6" max="6" width="28" style="3" bestFit="1" customWidth="1"/>
    <col min="7" max="9" width="9.140625" style="3"/>
    <col min="10" max="10" width="18" style="3" bestFit="1" customWidth="1"/>
    <col min="11" max="11" width="27.85546875" style="3" bestFit="1" customWidth="1"/>
    <col min="12" max="13" width="9.140625" style="3"/>
    <col min="14" max="14" width="18" style="3" bestFit="1" customWidth="1"/>
    <col min="15" max="15" width="21.5703125" style="3" bestFit="1" customWidth="1"/>
    <col min="16" max="16384" width="9.140625" style="3"/>
  </cols>
  <sheetData>
    <row r="1" spans="1:16" x14ac:dyDescent="0.25">
      <c r="A1" s="2" t="s">
        <v>0</v>
      </c>
      <c r="B1" s="3" t="s">
        <v>1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11</v>
      </c>
      <c r="I1" s="3" t="s">
        <v>12</v>
      </c>
      <c r="J1" s="3" t="s">
        <v>14</v>
      </c>
      <c r="K1" s="3" t="s">
        <v>16</v>
      </c>
      <c r="L1" s="3" t="s">
        <v>18</v>
      </c>
      <c r="M1" s="3" t="s">
        <v>20</v>
      </c>
    </row>
    <row r="2" spans="1:16" x14ac:dyDescent="0.25">
      <c r="A2" s="4">
        <v>45713</v>
      </c>
      <c r="B2" s="3" t="s">
        <v>88</v>
      </c>
      <c r="C2" s="3" t="str">
        <f>CONCATENATE(B2,7)</f>
        <v>5T27UR5WA717</v>
      </c>
      <c r="D2" s="3" t="s">
        <v>308</v>
      </c>
      <c r="E2" s="3" t="s">
        <v>90</v>
      </c>
      <c r="F2" s="3" t="s">
        <v>68</v>
      </c>
      <c r="G2" s="3" t="s">
        <v>28</v>
      </c>
      <c r="H2" s="5">
        <v>45689</v>
      </c>
      <c r="I2" s="5">
        <v>45689</v>
      </c>
      <c r="J2" s="3">
        <v>1706194</v>
      </c>
      <c r="K2" s="3" t="s">
        <v>93</v>
      </c>
      <c r="L2" s="3" t="s">
        <v>33</v>
      </c>
      <c r="M2" s="3">
        <v>751</v>
      </c>
      <c r="N2" s="3">
        <v>626</v>
      </c>
      <c r="O2" s="3" t="s">
        <v>350</v>
      </c>
    </row>
    <row r="3" spans="1:16" x14ac:dyDescent="0.25">
      <c r="A3" s="4">
        <v>45713</v>
      </c>
      <c r="B3" s="3" t="s">
        <v>88</v>
      </c>
      <c r="C3" s="3" t="str">
        <f>CONCATENATE(B3,8)</f>
        <v>5T27UR5WA718</v>
      </c>
      <c r="D3" s="3" t="s">
        <v>308</v>
      </c>
      <c r="E3" s="3" t="s">
        <v>90</v>
      </c>
      <c r="F3" s="3" t="s">
        <v>27</v>
      </c>
      <c r="G3" s="3" t="s">
        <v>28</v>
      </c>
      <c r="H3" s="5">
        <v>45689</v>
      </c>
      <c r="I3" s="5">
        <v>45689</v>
      </c>
      <c r="J3" s="3">
        <v>1706194</v>
      </c>
      <c r="K3" s="3" t="s">
        <v>93</v>
      </c>
      <c r="L3" s="3" t="s">
        <v>33</v>
      </c>
      <c r="M3" s="3">
        <v>-401.5</v>
      </c>
      <c r="N3" s="3">
        <v>-313</v>
      </c>
      <c r="O3" s="3" t="s">
        <v>346</v>
      </c>
      <c r="P3" s="3" t="s">
        <v>347</v>
      </c>
    </row>
    <row r="4" spans="1:16" x14ac:dyDescent="0.25">
      <c r="A4" s="4">
        <v>45713</v>
      </c>
      <c r="B4" s="3" t="s">
        <v>88</v>
      </c>
      <c r="C4" s="3" t="str">
        <f>CONCATENATE(B4,88)</f>
        <v>5T27UR5WA7188</v>
      </c>
      <c r="D4" s="3" t="s">
        <v>308</v>
      </c>
      <c r="E4" s="3" t="s">
        <v>90</v>
      </c>
      <c r="F4" s="3" t="s">
        <v>27</v>
      </c>
      <c r="G4" s="3" t="s">
        <v>28</v>
      </c>
      <c r="H4" s="5">
        <v>45689</v>
      </c>
      <c r="I4" s="5">
        <v>45689</v>
      </c>
      <c r="J4" s="3">
        <v>20411454</v>
      </c>
      <c r="K4" s="3" t="s">
        <v>355</v>
      </c>
      <c r="L4" s="3" t="s">
        <v>33</v>
      </c>
      <c r="M4" s="3">
        <v>-401.5</v>
      </c>
      <c r="N4" s="3">
        <v>-88.5</v>
      </c>
      <c r="O4" s="3" t="s">
        <v>344</v>
      </c>
    </row>
    <row r="5" spans="1:16" x14ac:dyDescent="0.25">
      <c r="A5" s="4">
        <v>45713</v>
      </c>
      <c r="B5" s="3" t="s">
        <v>88</v>
      </c>
      <c r="C5" s="3" t="str">
        <f>CONCATENATE(B5,88)</f>
        <v>5T27UR5WA7188</v>
      </c>
      <c r="D5" s="3" t="s">
        <v>308</v>
      </c>
      <c r="E5" s="3" t="s">
        <v>90</v>
      </c>
      <c r="F5" s="3" t="s">
        <v>68</v>
      </c>
      <c r="G5" s="3" t="s">
        <v>28</v>
      </c>
      <c r="H5" s="5">
        <v>45689</v>
      </c>
      <c r="I5" s="5">
        <v>45689</v>
      </c>
      <c r="J5" s="3">
        <v>20411454</v>
      </c>
      <c r="K5" s="3" t="s">
        <v>355</v>
      </c>
      <c r="L5" s="3" t="s">
        <v>33</v>
      </c>
      <c r="M5" s="3">
        <v>751</v>
      </c>
      <c r="N5" s="3">
        <v>125</v>
      </c>
      <c r="O5" s="3" t="s">
        <v>344</v>
      </c>
    </row>
    <row r="6" spans="1:16" x14ac:dyDescent="0.25">
      <c r="A6" s="4">
        <v>45713</v>
      </c>
      <c r="B6" s="3" t="s">
        <v>57</v>
      </c>
      <c r="C6" s="3" t="str">
        <f>CONCATENATE(B6,8)</f>
        <v>1JM2K09CW058</v>
      </c>
      <c r="D6" s="3" t="s">
        <v>336</v>
      </c>
      <c r="E6" s="3" t="s">
        <v>59</v>
      </c>
      <c r="F6" s="3" t="s">
        <v>40</v>
      </c>
      <c r="G6" s="3" t="s">
        <v>28</v>
      </c>
      <c r="H6" s="5">
        <v>45748</v>
      </c>
      <c r="I6" s="5">
        <v>45748</v>
      </c>
      <c r="J6" s="3">
        <v>8307933</v>
      </c>
      <c r="K6" s="3" t="s">
        <v>62</v>
      </c>
      <c r="L6" s="3" t="s">
        <v>33</v>
      </c>
      <c r="M6" s="3">
        <v>328.5</v>
      </c>
      <c r="N6" s="3">
        <v>313</v>
      </c>
      <c r="O6" s="3" t="s">
        <v>346</v>
      </c>
      <c r="P6" s="3" t="s">
        <v>347</v>
      </c>
    </row>
    <row r="7" spans="1:16" x14ac:dyDescent="0.25">
      <c r="A7" s="4">
        <v>45713</v>
      </c>
      <c r="B7" s="3" t="s">
        <v>57</v>
      </c>
      <c r="C7" s="3" t="str">
        <f>CONCATENATE(B7,88)</f>
        <v>1JM2K09CW0588</v>
      </c>
      <c r="D7" s="3" t="s">
        <v>336</v>
      </c>
      <c r="E7" s="3" t="s">
        <v>59</v>
      </c>
      <c r="F7" s="3" t="s">
        <v>40</v>
      </c>
      <c r="G7" s="3" t="s">
        <v>28</v>
      </c>
      <c r="H7" s="5">
        <v>45748</v>
      </c>
      <c r="I7" s="5">
        <v>45748</v>
      </c>
      <c r="J7" s="3">
        <v>20411454</v>
      </c>
      <c r="K7" s="3" t="s">
        <v>355</v>
      </c>
      <c r="L7" s="3" t="s">
        <v>33</v>
      </c>
      <c r="M7" s="3">
        <v>328.5</v>
      </c>
      <c r="N7" s="3">
        <v>15.5</v>
      </c>
      <c r="O7" s="3" t="s">
        <v>344</v>
      </c>
    </row>
    <row r="8" spans="1:16" x14ac:dyDescent="0.25">
      <c r="A8" s="4">
        <v>45713</v>
      </c>
      <c r="B8" s="3" t="s">
        <v>197</v>
      </c>
      <c r="C8" s="3" t="str">
        <f>CONCATENATE(B8,7)</f>
        <v>6G72U93PE007</v>
      </c>
      <c r="D8" s="3" t="s">
        <v>324</v>
      </c>
      <c r="E8" s="3" t="s">
        <v>162</v>
      </c>
      <c r="F8" s="3" t="s">
        <v>68</v>
      </c>
      <c r="G8" s="3" t="s">
        <v>28</v>
      </c>
      <c r="H8" s="5">
        <v>45717</v>
      </c>
      <c r="I8" s="5">
        <v>45717</v>
      </c>
      <c r="J8" s="3">
        <v>19645587</v>
      </c>
      <c r="K8" s="3" t="s">
        <v>115</v>
      </c>
      <c r="L8" s="3" t="s">
        <v>33</v>
      </c>
      <c r="M8" s="3">
        <v>751</v>
      </c>
      <c r="N8" s="3">
        <v>626</v>
      </c>
      <c r="O8" s="3" t="s">
        <v>350</v>
      </c>
    </row>
    <row r="9" spans="1:16" x14ac:dyDescent="0.25">
      <c r="A9" s="4">
        <v>45713</v>
      </c>
      <c r="B9" s="3" t="s">
        <v>197</v>
      </c>
      <c r="C9" s="3" t="str">
        <f>CONCATENATE(B9,8)</f>
        <v>6G72U93PE008</v>
      </c>
      <c r="D9" s="3" t="s">
        <v>324</v>
      </c>
      <c r="E9" s="3" t="s">
        <v>162</v>
      </c>
      <c r="F9" s="3" t="s">
        <v>27</v>
      </c>
      <c r="G9" s="3" t="s">
        <v>28</v>
      </c>
      <c r="H9" s="5">
        <v>45717</v>
      </c>
      <c r="I9" s="5">
        <v>45717</v>
      </c>
      <c r="J9" s="3">
        <v>19645587</v>
      </c>
      <c r="K9" s="3" t="s">
        <v>115</v>
      </c>
      <c r="L9" s="3" t="s">
        <v>33</v>
      </c>
      <c r="M9" s="3">
        <v>-365</v>
      </c>
      <c r="N9" s="3">
        <v>-313</v>
      </c>
      <c r="O9" s="3" t="s">
        <v>346</v>
      </c>
      <c r="P9" s="3" t="s">
        <v>347</v>
      </c>
    </row>
    <row r="10" spans="1:16" x14ac:dyDescent="0.25">
      <c r="A10" s="4">
        <v>45713</v>
      </c>
      <c r="B10" s="3" t="s">
        <v>197</v>
      </c>
      <c r="C10" s="3" t="str">
        <f>CONCATENATE(B10,88)</f>
        <v>6G72U93PE0088</v>
      </c>
      <c r="D10" s="3" t="s">
        <v>324</v>
      </c>
      <c r="E10" s="3" t="s">
        <v>162</v>
      </c>
      <c r="F10" s="3" t="s">
        <v>27</v>
      </c>
      <c r="G10" s="3" t="s">
        <v>28</v>
      </c>
      <c r="H10" s="5">
        <v>45717</v>
      </c>
      <c r="I10" s="5">
        <v>45717</v>
      </c>
      <c r="J10" s="3">
        <v>20411454</v>
      </c>
      <c r="K10" s="3" t="s">
        <v>355</v>
      </c>
      <c r="L10" s="3" t="s">
        <v>33</v>
      </c>
      <c r="M10" s="3">
        <v>-365</v>
      </c>
      <c r="N10" s="3">
        <v>-52</v>
      </c>
      <c r="O10" s="3" t="s">
        <v>344</v>
      </c>
    </row>
    <row r="11" spans="1:16" x14ac:dyDescent="0.25">
      <c r="A11" s="4">
        <v>45713</v>
      </c>
      <c r="B11" s="3" t="s">
        <v>197</v>
      </c>
      <c r="C11" s="3" t="str">
        <f>CONCATENATE(B11,88)</f>
        <v>6G72U93PE0088</v>
      </c>
      <c r="D11" s="3" t="s">
        <v>324</v>
      </c>
      <c r="E11" s="3" t="s">
        <v>162</v>
      </c>
      <c r="F11" s="3" t="s">
        <v>68</v>
      </c>
      <c r="G11" s="3" t="s">
        <v>28</v>
      </c>
      <c r="H11" s="5">
        <v>45717</v>
      </c>
      <c r="I11" s="5">
        <v>45717</v>
      </c>
      <c r="J11" s="3">
        <v>20411454</v>
      </c>
      <c r="K11" s="3" t="s">
        <v>355</v>
      </c>
      <c r="L11" s="3" t="s">
        <v>33</v>
      </c>
      <c r="M11" s="3">
        <v>751</v>
      </c>
      <c r="N11" s="3">
        <v>125</v>
      </c>
      <c r="O11" s="3" t="s">
        <v>344</v>
      </c>
    </row>
    <row r="12" spans="1:16" x14ac:dyDescent="0.25">
      <c r="A12" s="4">
        <v>45713</v>
      </c>
      <c r="B12" s="3" t="s">
        <v>200</v>
      </c>
      <c r="C12" s="3" t="str">
        <f>CONCATENATE(B12,7)</f>
        <v>6EH7KQ8VY547</v>
      </c>
      <c r="D12" s="3" t="s">
        <v>327</v>
      </c>
      <c r="E12" s="3" t="s">
        <v>162</v>
      </c>
      <c r="F12" s="3" t="s">
        <v>68</v>
      </c>
      <c r="G12" s="3" t="s">
        <v>28</v>
      </c>
      <c r="H12" s="5">
        <v>45748</v>
      </c>
      <c r="I12" s="5">
        <v>45748</v>
      </c>
      <c r="J12" s="3">
        <v>8307933</v>
      </c>
      <c r="K12" s="3" t="s">
        <v>62</v>
      </c>
      <c r="L12" s="3" t="s">
        <v>33</v>
      </c>
      <c r="M12" s="3">
        <v>751</v>
      </c>
      <c r="N12" s="3">
        <v>626</v>
      </c>
      <c r="O12" s="3" t="s">
        <v>350</v>
      </c>
    </row>
    <row r="13" spans="1:16" x14ac:dyDescent="0.25">
      <c r="A13" s="4">
        <v>45713</v>
      </c>
      <c r="B13" s="3" t="s">
        <v>200</v>
      </c>
      <c r="C13" s="3" t="str">
        <f>CONCATENATE(B13,8)</f>
        <v>6EH7KQ8VY548</v>
      </c>
      <c r="D13" s="3" t="s">
        <v>327</v>
      </c>
      <c r="E13" s="3" t="s">
        <v>162</v>
      </c>
      <c r="F13" s="3" t="s">
        <v>27</v>
      </c>
      <c r="G13" s="3" t="s">
        <v>28</v>
      </c>
      <c r="H13" s="5">
        <v>45748</v>
      </c>
      <c r="I13" s="5">
        <v>45748</v>
      </c>
      <c r="J13" s="3">
        <v>8307933</v>
      </c>
      <c r="K13" s="3" t="s">
        <v>62</v>
      </c>
      <c r="L13" s="3" t="s">
        <v>33</v>
      </c>
      <c r="M13" s="3">
        <v>-328.5</v>
      </c>
      <c r="N13" s="3">
        <v>-313</v>
      </c>
      <c r="O13" s="3" t="s">
        <v>346</v>
      </c>
      <c r="P13" s="3" t="s">
        <v>347</v>
      </c>
    </row>
    <row r="14" spans="1:16" x14ac:dyDescent="0.25">
      <c r="A14" s="4">
        <v>45713</v>
      </c>
      <c r="B14" s="3" t="s">
        <v>200</v>
      </c>
      <c r="C14" s="3" t="str">
        <f>CONCATENATE(B14,88)</f>
        <v>6EH7KQ8VY5488</v>
      </c>
      <c r="D14" s="3" t="s">
        <v>327</v>
      </c>
      <c r="E14" s="3" t="s">
        <v>162</v>
      </c>
      <c r="F14" s="3" t="s">
        <v>27</v>
      </c>
      <c r="G14" s="3" t="s">
        <v>28</v>
      </c>
      <c r="H14" s="5">
        <v>45748</v>
      </c>
      <c r="I14" s="5">
        <v>45748</v>
      </c>
      <c r="J14" s="3">
        <v>20411454</v>
      </c>
      <c r="K14" s="3" t="s">
        <v>355</v>
      </c>
      <c r="L14" s="3" t="s">
        <v>33</v>
      </c>
      <c r="M14" s="3">
        <v>-328.5</v>
      </c>
      <c r="N14" s="3">
        <v>-15.5</v>
      </c>
      <c r="O14" s="3" t="s">
        <v>344</v>
      </c>
    </row>
    <row r="15" spans="1:16" x14ac:dyDescent="0.25">
      <c r="A15" s="4">
        <v>45713</v>
      </c>
      <c r="B15" s="3" t="s">
        <v>200</v>
      </c>
      <c r="C15" s="3" t="str">
        <f>CONCATENATE(B15,88)</f>
        <v>6EH7KQ8VY5488</v>
      </c>
      <c r="D15" s="3" t="s">
        <v>327</v>
      </c>
      <c r="E15" s="3" t="s">
        <v>162</v>
      </c>
      <c r="F15" s="3" t="s">
        <v>68</v>
      </c>
      <c r="G15" s="3" t="s">
        <v>28</v>
      </c>
      <c r="H15" s="5">
        <v>45748</v>
      </c>
      <c r="I15" s="5">
        <v>45748</v>
      </c>
      <c r="J15" s="3">
        <v>20411454</v>
      </c>
      <c r="K15" s="3" t="s">
        <v>355</v>
      </c>
      <c r="L15" s="3" t="s">
        <v>33</v>
      </c>
      <c r="M15" s="3">
        <v>751</v>
      </c>
      <c r="N15" s="3">
        <v>125</v>
      </c>
      <c r="O15" s="3" t="s">
        <v>344</v>
      </c>
    </row>
    <row r="16" spans="1:16" x14ac:dyDescent="0.25">
      <c r="A16" s="4">
        <v>45713</v>
      </c>
      <c r="B16" s="3" t="s">
        <v>38</v>
      </c>
      <c r="C16" s="3" t="str">
        <f>CONCATENATE(B16,8)</f>
        <v>4RN9TK7HA198</v>
      </c>
      <c r="D16" s="3" t="s">
        <v>337</v>
      </c>
      <c r="E16" s="3" t="s">
        <v>26</v>
      </c>
      <c r="F16" s="3" t="s">
        <v>40</v>
      </c>
      <c r="G16" s="3" t="s">
        <v>28</v>
      </c>
      <c r="H16" s="5">
        <v>45717</v>
      </c>
      <c r="I16" s="5">
        <v>45717</v>
      </c>
      <c r="J16" s="3">
        <v>18754354</v>
      </c>
      <c r="K16" s="3" t="s">
        <v>43</v>
      </c>
      <c r="L16" s="3" t="s">
        <v>33</v>
      </c>
      <c r="M16" s="3">
        <v>365</v>
      </c>
      <c r="N16" s="3">
        <v>313</v>
      </c>
      <c r="O16" s="3" t="s">
        <v>346</v>
      </c>
      <c r="P16" s="3" t="s">
        <v>347</v>
      </c>
    </row>
    <row r="17" spans="1:16" x14ac:dyDescent="0.25">
      <c r="A17" s="4">
        <v>45713</v>
      </c>
      <c r="B17" s="3" t="s">
        <v>38</v>
      </c>
      <c r="C17" s="3" t="str">
        <f>CONCATENATE(B17,88)</f>
        <v>4RN9TK7HA1988</v>
      </c>
      <c r="D17" s="3" t="s">
        <v>337</v>
      </c>
      <c r="E17" s="3" t="s">
        <v>26</v>
      </c>
      <c r="F17" s="3" t="s">
        <v>40</v>
      </c>
      <c r="G17" s="3" t="s">
        <v>28</v>
      </c>
      <c r="H17" s="5">
        <v>45717</v>
      </c>
      <c r="I17" s="5">
        <v>45717</v>
      </c>
      <c r="J17" s="3">
        <v>20411454</v>
      </c>
      <c r="K17" s="3" t="s">
        <v>355</v>
      </c>
      <c r="L17" s="3" t="s">
        <v>33</v>
      </c>
      <c r="M17" s="3">
        <v>365</v>
      </c>
      <c r="N17" s="3">
        <v>52</v>
      </c>
      <c r="O17" s="3" t="s">
        <v>344</v>
      </c>
    </row>
    <row r="18" spans="1:16" x14ac:dyDescent="0.25">
      <c r="A18" s="4">
        <v>45713</v>
      </c>
      <c r="B18" s="3" t="s">
        <v>47</v>
      </c>
      <c r="C18" s="3" t="str">
        <f>CONCATENATE(B18,8)</f>
        <v>9NP0U35RP418</v>
      </c>
      <c r="D18" s="3" t="s">
        <v>335</v>
      </c>
      <c r="E18" s="3" t="s">
        <v>49</v>
      </c>
      <c r="F18" s="3" t="s">
        <v>40</v>
      </c>
      <c r="G18" s="3" t="s">
        <v>28</v>
      </c>
      <c r="H18" s="5">
        <v>45748</v>
      </c>
      <c r="I18" s="5">
        <v>45748</v>
      </c>
      <c r="J18" s="3">
        <v>9213293</v>
      </c>
      <c r="K18" s="3" t="s">
        <v>52</v>
      </c>
      <c r="L18" s="3" t="s">
        <v>33</v>
      </c>
      <c r="M18" s="3">
        <v>328.5</v>
      </c>
      <c r="N18" s="3">
        <v>313</v>
      </c>
      <c r="O18" s="3" t="s">
        <v>346</v>
      </c>
      <c r="P18" s="3" t="s">
        <v>347</v>
      </c>
    </row>
    <row r="19" spans="1:16" x14ac:dyDescent="0.25">
      <c r="A19" s="4">
        <v>45713</v>
      </c>
      <c r="B19" s="3" t="s">
        <v>47</v>
      </c>
      <c r="C19" s="3" t="str">
        <f>CONCATENATE(B19,88)</f>
        <v>9NP0U35RP4188</v>
      </c>
      <c r="D19" s="3" t="s">
        <v>335</v>
      </c>
      <c r="E19" s="3" t="s">
        <v>49</v>
      </c>
      <c r="F19" s="3" t="s">
        <v>40</v>
      </c>
      <c r="G19" s="3" t="s">
        <v>28</v>
      </c>
      <c r="H19" s="5">
        <v>45748</v>
      </c>
      <c r="I19" s="5">
        <v>45748</v>
      </c>
      <c r="J19" s="3">
        <v>20411454</v>
      </c>
      <c r="K19" s="3" t="s">
        <v>355</v>
      </c>
      <c r="L19" s="3" t="s">
        <v>33</v>
      </c>
      <c r="M19" s="3">
        <v>328.5</v>
      </c>
      <c r="N19" s="3">
        <v>15.5</v>
      </c>
      <c r="O19" s="3" t="s">
        <v>344</v>
      </c>
    </row>
    <row r="20" spans="1:16" x14ac:dyDescent="0.25">
      <c r="A20" s="4">
        <v>45713</v>
      </c>
      <c r="B20" s="3" t="s">
        <v>165</v>
      </c>
      <c r="C20" s="3" t="str">
        <f>CONCATENATE(B20,7)</f>
        <v>2EG2RP5DG897</v>
      </c>
      <c r="D20" s="3" t="s">
        <v>326</v>
      </c>
      <c r="E20" s="3" t="s">
        <v>26</v>
      </c>
      <c r="F20" s="3" t="s">
        <v>68</v>
      </c>
      <c r="G20" s="3" t="s">
        <v>28</v>
      </c>
      <c r="H20" s="5">
        <v>45748</v>
      </c>
      <c r="I20" s="5">
        <v>45748</v>
      </c>
      <c r="J20" s="3">
        <v>8307933</v>
      </c>
      <c r="K20" s="3" t="s">
        <v>62</v>
      </c>
      <c r="L20" s="3" t="s">
        <v>33</v>
      </c>
      <c r="M20" s="3">
        <v>751</v>
      </c>
      <c r="N20" s="3">
        <v>626</v>
      </c>
      <c r="O20" s="3" t="s">
        <v>350</v>
      </c>
    </row>
    <row r="21" spans="1:16" x14ac:dyDescent="0.25">
      <c r="A21" s="4">
        <v>45713</v>
      </c>
      <c r="B21" s="3" t="s">
        <v>165</v>
      </c>
      <c r="C21" s="3" t="str">
        <f>CONCATENATE(B21,8)</f>
        <v>2EG2RP5DG898</v>
      </c>
      <c r="D21" s="3" t="s">
        <v>326</v>
      </c>
      <c r="E21" s="3" t="s">
        <v>26</v>
      </c>
      <c r="F21" s="3" t="s">
        <v>27</v>
      </c>
      <c r="G21" s="3" t="s">
        <v>28</v>
      </c>
      <c r="H21" s="5">
        <v>45748</v>
      </c>
      <c r="I21" s="5">
        <v>45748</v>
      </c>
      <c r="J21" s="3">
        <v>8307933</v>
      </c>
      <c r="K21" s="3" t="s">
        <v>62</v>
      </c>
      <c r="L21" s="3" t="s">
        <v>33</v>
      </c>
      <c r="M21" s="3">
        <v>-328.5</v>
      </c>
      <c r="N21" s="3">
        <v>-313</v>
      </c>
      <c r="O21" s="3" t="s">
        <v>346</v>
      </c>
      <c r="P21" s="3" t="s">
        <v>347</v>
      </c>
    </row>
    <row r="22" spans="1:16" x14ac:dyDescent="0.25">
      <c r="A22" s="4">
        <v>45713</v>
      </c>
      <c r="B22" s="3" t="s">
        <v>165</v>
      </c>
      <c r="C22" s="3" t="str">
        <f>CONCATENATE(B22,88)</f>
        <v>2EG2RP5DG8988</v>
      </c>
      <c r="D22" s="3" t="s">
        <v>326</v>
      </c>
      <c r="E22" s="3" t="s">
        <v>26</v>
      </c>
      <c r="F22" s="3" t="s">
        <v>27</v>
      </c>
      <c r="G22" s="3" t="s">
        <v>28</v>
      </c>
      <c r="H22" s="5">
        <v>45748</v>
      </c>
      <c r="I22" s="5">
        <v>45748</v>
      </c>
      <c r="J22" s="3">
        <v>20411454</v>
      </c>
      <c r="K22" s="3" t="s">
        <v>355</v>
      </c>
      <c r="L22" s="3" t="s">
        <v>33</v>
      </c>
      <c r="M22" s="3">
        <v>-328.5</v>
      </c>
      <c r="N22" s="3">
        <v>-15.5</v>
      </c>
      <c r="O22" s="3" t="s">
        <v>344</v>
      </c>
    </row>
    <row r="23" spans="1:16" x14ac:dyDescent="0.25">
      <c r="A23" s="4">
        <v>45713</v>
      </c>
      <c r="B23" s="3" t="s">
        <v>165</v>
      </c>
      <c r="C23" s="3" t="str">
        <f>CONCATENATE(B23,88)</f>
        <v>2EG2RP5DG8988</v>
      </c>
      <c r="D23" s="3" t="s">
        <v>326</v>
      </c>
      <c r="E23" s="3" t="s">
        <v>26</v>
      </c>
      <c r="F23" s="3" t="s">
        <v>68</v>
      </c>
      <c r="G23" s="3" t="s">
        <v>28</v>
      </c>
      <c r="H23" s="5">
        <v>45748</v>
      </c>
      <c r="I23" s="5">
        <v>45748</v>
      </c>
      <c r="J23" s="3">
        <v>20411454</v>
      </c>
      <c r="K23" s="3" t="s">
        <v>355</v>
      </c>
      <c r="L23" s="3" t="s">
        <v>33</v>
      </c>
      <c r="M23" s="3">
        <v>751</v>
      </c>
      <c r="N23" s="3">
        <v>125</v>
      </c>
      <c r="O23" s="3" t="s">
        <v>344</v>
      </c>
    </row>
    <row r="24" spans="1:16" x14ac:dyDescent="0.25">
      <c r="A24" s="4">
        <v>45713</v>
      </c>
      <c r="B24" s="3" t="s">
        <v>135</v>
      </c>
      <c r="C24" s="3" t="str">
        <f>CONCATENATE(B24,8)</f>
        <v>6T52NP6XY128</v>
      </c>
      <c r="D24" s="3" t="s">
        <v>340</v>
      </c>
      <c r="E24" s="3" t="s">
        <v>26</v>
      </c>
      <c r="F24" s="3" t="s">
        <v>40</v>
      </c>
      <c r="G24" s="3" t="s">
        <v>28</v>
      </c>
      <c r="H24" s="5">
        <v>45717</v>
      </c>
      <c r="I24" s="5">
        <v>45717</v>
      </c>
      <c r="J24" s="3">
        <v>17301495</v>
      </c>
      <c r="K24" s="3" t="s">
        <v>137</v>
      </c>
      <c r="L24" s="3" t="s">
        <v>33</v>
      </c>
      <c r="M24" s="3">
        <v>365</v>
      </c>
      <c r="N24" s="3">
        <v>313</v>
      </c>
      <c r="O24" s="3" t="s">
        <v>346</v>
      </c>
      <c r="P24" s="3" t="s">
        <v>347</v>
      </c>
    </row>
    <row r="25" spans="1:16" x14ac:dyDescent="0.25">
      <c r="A25" s="4">
        <v>45713</v>
      </c>
      <c r="B25" s="3" t="s">
        <v>135</v>
      </c>
      <c r="C25" s="3" t="str">
        <f>CONCATENATE(B25,88)</f>
        <v>6T52NP6XY1288</v>
      </c>
      <c r="D25" s="3" t="s">
        <v>340</v>
      </c>
      <c r="E25" s="3" t="s">
        <v>26</v>
      </c>
      <c r="F25" s="3" t="s">
        <v>40</v>
      </c>
      <c r="G25" s="3" t="s">
        <v>28</v>
      </c>
      <c r="H25" s="5">
        <v>45717</v>
      </c>
      <c r="I25" s="5">
        <v>45717</v>
      </c>
      <c r="J25" s="3">
        <v>20411454</v>
      </c>
      <c r="K25" s="3" t="s">
        <v>355</v>
      </c>
      <c r="L25" s="3" t="s">
        <v>33</v>
      </c>
      <c r="M25" s="3">
        <v>365</v>
      </c>
      <c r="N25" s="3">
        <v>52</v>
      </c>
      <c r="O25" s="3" t="s">
        <v>344</v>
      </c>
    </row>
    <row r="26" spans="1:16" x14ac:dyDescent="0.25">
      <c r="A26" s="4">
        <v>45713</v>
      </c>
      <c r="B26" s="3" t="s">
        <v>127</v>
      </c>
      <c r="C26" s="3" t="str">
        <f>CONCATENATE(B25,88)</f>
        <v>6T52NP6XY1288</v>
      </c>
      <c r="D26" s="3" t="s">
        <v>329</v>
      </c>
      <c r="E26" s="3" t="s">
        <v>123</v>
      </c>
      <c r="F26" s="3" t="s">
        <v>27</v>
      </c>
      <c r="G26" s="3" t="s">
        <v>28</v>
      </c>
      <c r="H26" s="5">
        <v>45689</v>
      </c>
      <c r="I26" s="5">
        <v>45689</v>
      </c>
      <c r="J26" s="3">
        <v>20411454</v>
      </c>
      <c r="K26" s="3" t="s">
        <v>355</v>
      </c>
      <c r="L26" s="3" t="s">
        <v>33</v>
      </c>
      <c r="M26" s="3">
        <v>-36.67</v>
      </c>
      <c r="N26" s="3">
        <v>-36.67</v>
      </c>
      <c r="O26" s="3" t="s">
        <v>344</v>
      </c>
    </row>
    <row r="27" spans="1:16" x14ac:dyDescent="0.25">
      <c r="A27" s="4">
        <v>45713</v>
      </c>
      <c r="B27" s="3" t="s">
        <v>127</v>
      </c>
      <c r="C27" s="3" t="str">
        <f>CONCATENATE(B26,88)</f>
        <v>4XY3P72XC1988</v>
      </c>
      <c r="D27" s="3" t="s">
        <v>329</v>
      </c>
      <c r="E27" s="3" t="s">
        <v>123</v>
      </c>
      <c r="F27" s="3" t="s">
        <v>68</v>
      </c>
      <c r="G27" s="3" t="s">
        <v>28</v>
      </c>
      <c r="H27" s="5">
        <v>45689</v>
      </c>
      <c r="I27" s="5">
        <v>45689</v>
      </c>
      <c r="J27" s="3">
        <v>20411454</v>
      </c>
      <c r="K27" s="3" t="s">
        <v>355</v>
      </c>
      <c r="L27" s="3" t="s">
        <v>33</v>
      </c>
      <c r="M27" s="3">
        <v>40</v>
      </c>
      <c r="N27" s="3">
        <v>40</v>
      </c>
      <c r="O27" s="3" t="s">
        <v>344</v>
      </c>
    </row>
    <row r="28" spans="1:16" x14ac:dyDescent="0.25">
      <c r="A28" s="4">
        <v>45713</v>
      </c>
      <c r="B28" s="3" t="s">
        <v>193</v>
      </c>
      <c r="C28" s="3" t="str">
        <f>CONCATENATE(B28,7)</f>
        <v>3K74KD3HW927</v>
      </c>
      <c r="D28" s="3" t="s">
        <v>323</v>
      </c>
      <c r="E28" s="3" t="s">
        <v>195</v>
      </c>
      <c r="F28" s="3" t="s">
        <v>68</v>
      </c>
      <c r="G28" s="3" t="s">
        <v>28</v>
      </c>
      <c r="H28" s="5">
        <v>45689</v>
      </c>
      <c r="I28" s="5">
        <v>45689</v>
      </c>
      <c r="J28" s="3">
        <v>8307933</v>
      </c>
      <c r="K28" s="3" t="s">
        <v>62</v>
      </c>
      <c r="L28" s="3" t="s">
        <v>33</v>
      </c>
      <c r="M28" s="3">
        <v>751</v>
      </c>
      <c r="N28" s="3">
        <v>626</v>
      </c>
      <c r="O28" s="3" t="s">
        <v>350</v>
      </c>
    </row>
    <row r="29" spans="1:16" x14ac:dyDescent="0.25">
      <c r="A29" s="4">
        <v>45713</v>
      </c>
      <c r="B29" s="3" t="s">
        <v>193</v>
      </c>
      <c r="C29" s="3" t="str">
        <f>CONCATENATE(B29,8)</f>
        <v>3K74KD3HW928</v>
      </c>
      <c r="D29" s="3" t="s">
        <v>323</v>
      </c>
      <c r="E29" s="3" t="s">
        <v>195</v>
      </c>
      <c r="F29" s="3" t="s">
        <v>27</v>
      </c>
      <c r="G29" s="3" t="s">
        <v>28</v>
      </c>
      <c r="H29" s="5">
        <v>45689</v>
      </c>
      <c r="I29" s="5">
        <v>45689</v>
      </c>
      <c r="J29" s="3">
        <v>8307933</v>
      </c>
      <c r="K29" s="3" t="s">
        <v>62</v>
      </c>
      <c r="L29" s="3" t="s">
        <v>33</v>
      </c>
      <c r="M29" s="3">
        <v>-401.5</v>
      </c>
      <c r="N29" s="3">
        <v>-313</v>
      </c>
      <c r="O29" s="3" t="s">
        <v>346</v>
      </c>
      <c r="P29" s="3" t="s">
        <v>347</v>
      </c>
    </row>
    <row r="30" spans="1:16" x14ac:dyDescent="0.25">
      <c r="A30" s="4">
        <v>45713</v>
      </c>
      <c r="B30" s="3" t="s">
        <v>193</v>
      </c>
      <c r="C30" s="3" t="str">
        <f>CONCATENATE(B30,88)</f>
        <v>3K74KD3HW9288</v>
      </c>
      <c r="D30" s="3" t="s">
        <v>323</v>
      </c>
      <c r="E30" s="3" t="s">
        <v>195</v>
      </c>
      <c r="F30" s="3" t="s">
        <v>27</v>
      </c>
      <c r="G30" s="3" t="s">
        <v>28</v>
      </c>
      <c r="H30" s="5">
        <v>45689</v>
      </c>
      <c r="I30" s="5">
        <v>45689</v>
      </c>
      <c r="J30" s="3">
        <v>20411454</v>
      </c>
      <c r="K30" s="3" t="s">
        <v>355</v>
      </c>
      <c r="L30" s="3" t="s">
        <v>33</v>
      </c>
      <c r="M30" s="3">
        <v>-401.5</v>
      </c>
      <c r="N30" s="3">
        <v>-88.5</v>
      </c>
      <c r="O30" s="3" t="s">
        <v>344</v>
      </c>
    </row>
    <row r="31" spans="1:16" x14ac:dyDescent="0.25">
      <c r="A31" s="4">
        <v>45713</v>
      </c>
      <c r="B31" s="3" t="s">
        <v>193</v>
      </c>
      <c r="C31" s="3" t="str">
        <f>CONCATENATE(B31,88)</f>
        <v>3K74KD3HW9288</v>
      </c>
      <c r="D31" s="3" t="s">
        <v>323</v>
      </c>
      <c r="E31" s="3" t="s">
        <v>195</v>
      </c>
      <c r="F31" s="3" t="s">
        <v>68</v>
      </c>
      <c r="G31" s="3" t="s">
        <v>28</v>
      </c>
      <c r="H31" s="5">
        <v>45689</v>
      </c>
      <c r="I31" s="5">
        <v>45689</v>
      </c>
      <c r="J31" s="3">
        <v>20411454</v>
      </c>
      <c r="K31" s="3" t="s">
        <v>355</v>
      </c>
      <c r="L31" s="3" t="s">
        <v>33</v>
      </c>
      <c r="M31" s="3">
        <v>751</v>
      </c>
      <c r="N31" s="3">
        <v>125</v>
      </c>
      <c r="O31" s="3" t="s">
        <v>344</v>
      </c>
    </row>
    <row r="32" spans="1:16" x14ac:dyDescent="0.25">
      <c r="A32" s="4">
        <v>45713</v>
      </c>
      <c r="B32" s="3" t="s">
        <v>94</v>
      </c>
      <c r="C32" s="3" t="str">
        <f>CONCATENATE(B32,7)</f>
        <v>9M92P01UA707</v>
      </c>
      <c r="D32" s="3" t="s">
        <v>309</v>
      </c>
      <c r="E32" s="3" t="s">
        <v>96</v>
      </c>
      <c r="F32" s="3" t="s">
        <v>68</v>
      </c>
      <c r="G32" s="3" t="s">
        <v>28</v>
      </c>
      <c r="H32" s="5">
        <v>45689</v>
      </c>
      <c r="I32" s="5">
        <v>45689</v>
      </c>
      <c r="J32" s="3">
        <v>8307933</v>
      </c>
      <c r="K32" s="3" t="s">
        <v>62</v>
      </c>
      <c r="L32" s="3" t="s">
        <v>33</v>
      </c>
      <c r="M32" s="3">
        <v>751</v>
      </c>
      <c r="N32" s="3">
        <v>626</v>
      </c>
      <c r="O32" s="3" t="s">
        <v>350</v>
      </c>
    </row>
    <row r="33" spans="1:16" x14ac:dyDescent="0.25">
      <c r="A33" s="4">
        <v>45713</v>
      </c>
      <c r="B33" s="3" t="s">
        <v>94</v>
      </c>
      <c r="C33" s="3" t="str">
        <f>CONCATENATE(B33,8)</f>
        <v>9M92P01UA708</v>
      </c>
      <c r="D33" s="3" t="s">
        <v>309</v>
      </c>
      <c r="E33" s="3" t="s">
        <v>96</v>
      </c>
      <c r="F33" s="3" t="s">
        <v>27</v>
      </c>
      <c r="G33" s="3" t="s">
        <v>28</v>
      </c>
      <c r="H33" s="5">
        <v>45689</v>
      </c>
      <c r="I33" s="5">
        <v>45689</v>
      </c>
      <c r="J33" s="3">
        <v>8307933</v>
      </c>
      <c r="K33" s="3" t="s">
        <v>62</v>
      </c>
      <c r="L33" s="3" t="s">
        <v>33</v>
      </c>
      <c r="M33" s="3">
        <v>-401.5</v>
      </c>
      <c r="N33" s="3">
        <v>-313</v>
      </c>
      <c r="O33" s="3" t="s">
        <v>346</v>
      </c>
      <c r="P33" s="3" t="s">
        <v>347</v>
      </c>
    </row>
    <row r="34" spans="1:16" x14ac:dyDescent="0.25">
      <c r="A34" s="4">
        <v>45713</v>
      </c>
      <c r="B34" s="3" t="s">
        <v>94</v>
      </c>
      <c r="C34" s="3" t="str">
        <f>CONCATENATE(B34,88)</f>
        <v>9M92P01UA7088</v>
      </c>
      <c r="D34" s="3" t="s">
        <v>309</v>
      </c>
      <c r="E34" s="3" t="s">
        <v>96</v>
      </c>
      <c r="F34" s="3" t="s">
        <v>27</v>
      </c>
      <c r="G34" s="3" t="s">
        <v>28</v>
      </c>
      <c r="H34" s="5">
        <v>45689</v>
      </c>
      <c r="I34" s="5">
        <v>45689</v>
      </c>
      <c r="J34" s="3">
        <v>20411454</v>
      </c>
      <c r="K34" s="3" t="s">
        <v>355</v>
      </c>
      <c r="L34" s="3" t="s">
        <v>33</v>
      </c>
      <c r="M34" s="3">
        <v>-401.5</v>
      </c>
      <c r="N34" s="3">
        <v>-88.5</v>
      </c>
      <c r="O34" s="3" t="s">
        <v>344</v>
      </c>
    </row>
    <row r="35" spans="1:16" x14ac:dyDescent="0.25">
      <c r="A35" s="4">
        <v>45713</v>
      </c>
      <c r="B35" s="3" t="s">
        <v>94</v>
      </c>
      <c r="C35" s="3" t="str">
        <f>CONCATENATE(B35,88)</f>
        <v>9M92P01UA7088</v>
      </c>
      <c r="D35" s="3" t="s">
        <v>309</v>
      </c>
      <c r="E35" s="3" t="s">
        <v>96</v>
      </c>
      <c r="F35" s="3" t="s">
        <v>68</v>
      </c>
      <c r="G35" s="3" t="s">
        <v>28</v>
      </c>
      <c r="H35" s="5">
        <v>45689</v>
      </c>
      <c r="I35" s="5">
        <v>45689</v>
      </c>
      <c r="J35" s="3">
        <v>20411454</v>
      </c>
      <c r="K35" s="3" t="s">
        <v>355</v>
      </c>
      <c r="L35" s="3" t="s">
        <v>33</v>
      </c>
      <c r="M35" s="3">
        <v>751</v>
      </c>
      <c r="N35" s="3">
        <v>125</v>
      </c>
      <c r="O35" s="3" t="s">
        <v>344</v>
      </c>
    </row>
    <row r="36" spans="1:16" x14ac:dyDescent="0.25">
      <c r="A36" s="4">
        <v>45713</v>
      </c>
      <c r="B36" s="3" t="s">
        <v>104</v>
      </c>
      <c r="C36" s="3" t="str">
        <f>CONCATENATE(B36,7)</f>
        <v>3KP3R00JM007</v>
      </c>
      <c r="D36" s="3" t="s">
        <v>312</v>
      </c>
      <c r="E36" s="3" t="s">
        <v>106</v>
      </c>
      <c r="F36" s="3" t="s">
        <v>68</v>
      </c>
      <c r="G36" s="3" t="s">
        <v>28</v>
      </c>
      <c r="H36" s="5">
        <v>45689</v>
      </c>
      <c r="I36" s="5">
        <v>45689</v>
      </c>
      <c r="J36" s="3">
        <v>19586992</v>
      </c>
      <c r="K36" s="3" t="s">
        <v>109</v>
      </c>
      <c r="L36" s="3" t="s">
        <v>33</v>
      </c>
      <c r="M36" s="3">
        <v>751</v>
      </c>
      <c r="N36" s="3">
        <v>626</v>
      </c>
      <c r="O36" s="3" t="s">
        <v>350</v>
      </c>
    </row>
    <row r="37" spans="1:16" x14ac:dyDescent="0.25">
      <c r="A37" s="4">
        <v>45713</v>
      </c>
      <c r="B37" s="3" t="s">
        <v>104</v>
      </c>
      <c r="C37" s="3" t="str">
        <f>CONCATENATE(B37,8)</f>
        <v>3KP3R00JM008</v>
      </c>
      <c r="D37" s="3" t="s">
        <v>312</v>
      </c>
      <c r="E37" s="3" t="s">
        <v>106</v>
      </c>
      <c r="F37" s="3" t="s">
        <v>27</v>
      </c>
      <c r="G37" s="3" t="s">
        <v>28</v>
      </c>
      <c r="H37" s="5">
        <v>45689</v>
      </c>
      <c r="I37" s="5">
        <v>45689</v>
      </c>
      <c r="J37" s="3">
        <v>19586992</v>
      </c>
      <c r="K37" s="3" t="s">
        <v>109</v>
      </c>
      <c r="L37" s="3" t="s">
        <v>33</v>
      </c>
      <c r="M37" s="3">
        <v>-401.5</v>
      </c>
      <c r="N37" s="3">
        <v>-313</v>
      </c>
      <c r="O37" s="3" t="s">
        <v>346</v>
      </c>
      <c r="P37" s="3" t="s">
        <v>347</v>
      </c>
    </row>
    <row r="38" spans="1:16" x14ac:dyDescent="0.25">
      <c r="A38" s="4">
        <v>45713</v>
      </c>
      <c r="B38" s="3" t="s">
        <v>104</v>
      </c>
      <c r="C38" s="3" t="str">
        <f>CONCATENATE(B38,88)</f>
        <v>3KP3R00JM0088</v>
      </c>
      <c r="D38" s="3" t="s">
        <v>312</v>
      </c>
      <c r="E38" s="3" t="s">
        <v>106</v>
      </c>
      <c r="F38" s="3" t="s">
        <v>27</v>
      </c>
      <c r="G38" s="3" t="s">
        <v>28</v>
      </c>
      <c r="H38" s="5">
        <v>45689</v>
      </c>
      <c r="I38" s="5">
        <v>45689</v>
      </c>
      <c r="J38" s="3">
        <v>20411454</v>
      </c>
      <c r="K38" s="3" t="s">
        <v>355</v>
      </c>
      <c r="L38" s="3" t="s">
        <v>33</v>
      </c>
      <c r="M38" s="3">
        <v>-401.5</v>
      </c>
      <c r="N38" s="3">
        <v>-88.5</v>
      </c>
      <c r="O38" s="3" t="s">
        <v>344</v>
      </c>
    </row>
    <row r="39" spans="1:16" x14ac:dyDescent="0.25">
      <c r="A39" s="4">
        <v>45713</v>
      </c>
      <c r="B39" s="3" t="s">
        <v>104</v>
      </c>
      <c r="C39" s="3" t="str">
        <f>CONCATENATE(B39,88)</f>
        <v>3KP3R00JM0088</v>
      </c>
      <c r="D39" s="3" t="s">
        <v>312</v>
      </c>
      <c r="E39" s="3" t="s">
        <v>106</v>
      </c>
      <c r="F39" s="3" t="s">
        <v>68</v>
      </c>
      <c r="G39" s="3" t="s">
        <v>28</v>
      </c>
      <c r="H39" s="5">
        <v>45689</v>
      </c>
      <c r="I39" s="5">
        <v>45689</v>
      </c>
      <c r="J39" s="3">
        <v>20411454</v>
      </c>
      <c r="K39" s="3" t="s">
        <v>355</v>
      </c>
      <c r="L39" s="3" t="s">
        <v>33</v>
      </c>
      <c r="M39" s="3">
        <v>751</v>
      </c>
      <c r="N39" s="3">
        <v>125</v>
      </c>
      <c r="O39" s="3" t="s">
        <v>344</v>
      </c>
    </row>
    <row r="40" spans="1:16" x14ac:dyDescent="0.25">
      <c r="A40" s="4">
        <v>45713</v>
      </c>
      <c r="B40" s="3" t="s">
        <v>171</v>
      </c>
      <c r="C40" s="3" t="str">
        <f>CONCATENATE(B40,8)</f>
        <v>7XA2D37UV258</v>
      </c>
      <c r="D40" s="3" t="s">
        <v>299</v>
      </c>
      <c r="E40" s="3" t="s">
        <v>123</v>
      </c>
      <c r="F40" s="3" t="s">
        <v>158</v>
      </c>
      <c r="G40" s="3" t="s">
        <v>28</v>
      </c>
      <c r="H40" s="5">
        <v>45658</v>
      </c>
      <c r="I40" s="5">
        <v>45658</v>
      </c>
      <c r="J40" s="3">
        <v>17528908</v>
      </c>
      <c r="K40" s="3" t="s">
        <v>170</v>
      </c>
      <c r="L40" s="3" t="s">
        <v>33</v>
      </c>
      <c r="M40" s="3">
        <v>-478</v>
      </c>
      <c r="N40" s="3">
        <v>-353</v>
      </c>
      <c r="O40" s="3" t="s">
        <v>345</v>
      </c>
      <c r="P40" s="3" t="s">
        <v>348</v>
      </c>
    </row>
    <row r="41" spans="1:16" x14ac:dyDescent="0.25">
      <c r="A41" s="4">
        <v>45713</v>
      </c>
      <c r="B41" s="3" t="s">
        <v>171</v>
      </c>
      <c r="C41" s="3" t="str">
        <f>CONCATENATE(B41,88)</f>
        <v>7XA2D37UV2588</v>
      </c>
      <c r="D41" s="3" t="s">
        <v>299</v>
      </c>
      <c r="E41" s="3" t="s">
        <v>123</v>
      </c>
      <c r="F41" s="3" t="s">
        <v>158</v>
      </c>
      <c r="G41" s="3" t="s">
        <v>28</v>
      </c>
      <c r="H41" s="5">
        <v>45658</v>
      </c>
      <c r="I41" s="5">
        <v>45658</v>
      </c>
      <c r="J41" s="3">
        <v>20411454</v>
      </c>
      <c r="K41" s="3" t="s">
        <v>355</v>
      </c>
      <c r="L41" s="3" t="s">
        <v>33</v>
      </c>
      <c r="M41" s="3">
        <v>-478</v>
      </c>
      <c r="N41" s="3">
        <v>-125</v>
      </c>
      <c r="O41" s="3" t="s">
        <v>344</v>
      </c>
    </row>
    <row r="42" spans="1:16" x14ac:dyDescent="0.25">
      <c r="A42" s="4">
        <v>45713</v>
      </c>
      <c r="B42" s="3" t="s">
        <v>147</v>
      </c>
      <c r="C42" s="3" t="str">
        <f>CONCATENATE(B42,7)</f>
        <v>2W22TT5JT057</v>
      </c>
      <c r="D42" s="3" t="s">
        <v>302</v>
      </c>
      <c r="E42" s="3" t="s">
        <v>26</v>
      </c>
      <c r="F42" s="3" t="s">
        <v>68</v>
      </c>
      <c r="G42" s="3" t="s">
        <v>28</v>
      </c>
      <c r="H42" s="5">
        <v>45658</v>
      </c>
      <c r="I42" s="5">
        <v>45658</v>
      </c>
      <c r="J42" s="3">
        <v>17301495</v>
      </c>
      <c r="K42" s="3" t="s">
        <v>137</v>
      </c>
      <c r="L42" s="3" t="s">
        <v>33</v>
      </c>
      <c r="M42" s="3">
        <v>751</v>
      </c>
      <c r="N42" s="3">
        <v>626</v>
      </c>
      <c r="O42" s="3" t="s">
        <v>350</v>
      </c>
    </row>
    <row r="43" spans="1:16" x14ac:dyDescent="0.25">
      <c r="A43" s="4">
        <v>45713</v>
      </c>
      <c r="B43" s="3" t="s">
        <v>147</v>
      </c>
      <c r="C43" s="3" t="str">
        <f>CONCATENATE(B43,8)</f>
        <v>2W22TT5JT058</v>
      </c>
      <c r="D43" s="3" t="s">
        <v>302</v>
      </c>
      <c r="E43" s="3" t="s">
        <v>26</v>
      </c>
      <c r="F43" s="3" t="s">
        <v>27</v>
      </c>
      <c r="G43" s="3" t="s">
        <v>28</v>
      </c>
      <c r="H43" s="5">
        <v>45658</v>
      </c>
      <c r="I43" s="5">
        <v>45658</v>
      </c>
      <c r="J43" s="3">
        <v>17301495</v>
      </c>
      <c r="K43" s="3" t="s">
        <v>137</v>
      </c>
      <c r="L43" s="3" t="s">
        <v>33</v>
      </c>
      <c r="M43" s="3">
        <v>-438</v>
      </c>
      <c r="N43" s="3">
        <v>-313</v>
      </c>
      <c r="O43" s="3" t="s">
        <v>346</v>
      </c>
      <c r="P43" s="3" t="s">
        <v>347</v>
      </c>
    </row>
    <row r="44" spans="1:16" x14ac:dyDescent="0.25">
      <c r="A44" s="4">
        <v>45713</v>
      </c>
      <c r="B44" s="3" t="s">
        <v>147</v>
      </c>
      <c r="C44" s="3" t="str">
        <f>CONCATENATE(B44,88)</f>
        <v>2W22TT5JT0588</v>
      </c>
      <c r="D44" s="3" t="s">
        <v>302</v>
      </c>
      <c r="E44" s="3" t="s">
        <v>26</v>
      </c>
      <c r="F44" s="3" t="s">
        <v>27</v>
      </c>
      <c r="G44" s="3" t="s">
        <v>28</v>
      </c>
      <c r="H44" s="5">
        <v>45658</v>
      </c>
      <c r="I44" s="5">
        <v>45658</v>
      </c>
      <c r="J44" s="3">
        <v>20411454</v>
      </c>
      <c r="K44" s="3" t="s">
        <v>355</v>
      </c>
      <c r="L44" s="3" t="s">
        <v>33</v>
      </c>
      <c r="M44" s="3">
        <v>-438</v>
      </c>
      <c r="N44" s="3">
        <v>-125</v>
      </c>
      <c r="O44" s="3" t="s">
        <v>344</v>
      </c>
    </row>
    <row r="45" spans="1:16" x14ac:dyDescent="0.25">
      <c r="A45" s="4">
        <v>45713</v>
      </c>
      <c r="B45" s="3" t="s">
        <v>147</v>
      </c>
      <c r="C45" s="3" t="str">
        <f>CONCATENATE(B45,88)</f>
        <v>2W22TT5JT0588</v>
      </c>
      <c r="D45" s="3" t="s">
        <v>302</v>
      </c>
      <c r="E45" s="3" t="s">
        <v>26</v>
      </c>
      <c r="F45" s="3" t="s">
        <v>68</v>
      </c>
      <c r="G45" s="3" t="s">
        <v>28</v>
      </c>
      <c r="H45" s="5">
        <v>45658</v>
      </c>
      <c r="I45" s="5">
        <v>45658</v>
      </c>
      <c r="J45" s="3">
        <v>20411454</v>
      </c>
      <c r="K45" s="3" t="s">
        <v>355</v>
      </c>
      <c r="L45" s="3" t="s">
        <v>33</v>
      </c>
      <c r="M45" s="3">
        <v>751</v>
      </c>
      <c r="N45" s="3">
        <v>125</v>
      </c>
      <c r="O45" s="3" t="s">
        <v>344</v>
      </c>
    </row>
    <row r="46" spans="1:16" x14ac:dyDescent="0.25">
      <c r="A46" s="4">
        <v>45713</v>
      </c>
      <c r="B46" s="3" t="s">
        <v>63</v>
      </c>
      <c r="C46" s="3" t="str">
        <f>CONCATENATE(B46,7)</f>
        <v>7EC8PH1DM397</v>
      </c>
      <c r="D46" s="3" t="s">
        <v>306</v>
      </c>
      <c r="E46" s="3" t="s">
        <v>65</v>
      </c>
      <c r="F46" s="3" t="s">
        <v>68</v>
      </c>
      <c r="G46" s="3" t="s">
        <v>28</v>
      </c>
      <c r="H46" s="5">
        <v>45689</v>
      </c>
      <c r="I46" s="5">
        <v>45689</v>
      </c>
      <c r="J46" s="3">
        <v>8307933</v>
      </c>
      <c r="K46" s="3" t="s">
        <v>62</v>
      </c>
      <c r="L46" s="3" t="s">
        <v>33</v>
      </c>
      <c r="M46" s="3">
        <v>751</v>
      </c>
      <c r="N46" s="3">
        <v>626</v>
      </c>
      <c r="O46" s="3" t="s">
        <v>350</v>
      </c>
    </row>
    <row r="47" spans="1:16" x14ac:dyDescent="0.25">
      <c r="A47" s="4">
        <v>45713</v>
      </c>
      <c r="B47" s="3" t="s">
        <v>63</v>
      </c>
      <c r="C47" s="3" t="str">
        <f>CONCATENATE(B47,8)</f>
        <v>7EC8PH1DM398</v>
      </c>
      <c r="D47" s="3" t="s">
        <v>306</v>
      </c>
      <c r="E47" s="3" t="s">
        <v>65</v>
      </c>
      <c r="F47" s="3" t="s">
        <v>27</v>
      </c>
      <c r="G47" s="3" t="s">
        <v>28</v>
      </c>
      <c r="H47" s="5">
        <v>45689</v>
      </c>
      <c r="I47" s="5">
        <v>45689</v>
      </c>
      <c r="J47" s="3">
        <v>8307933</v>
      </c>
      <c r="K47" s="3" t="s">
        <v>62</v>
      </c>
      <c r="L47" s="3" t="s">
        <v>33</v>
      </c>
      <c r="M47" s="3">
        <v>-401.5</v>
      </c>
      <c r="N47" s="3">
        <v>-313</v>
      </c>
      <c r="O47" s="3" t="s">
        <v>346</v>
      </c>
      <c r="P47" s="3" t="s">
        <v>347</v>
      </c>
    </row>
    <row r="48" spans="1:16" x14ac:dyDescent="0.25">
      <c r="A48" s="4">
        <v>45713</v>
      </c>
      <c r="B48" s="3" t="s">
        <v>63</v>
      </c>
      <c r="C48" s="3" t="str">
        <f>CONCATENATE(B48,88)</f>
        <v>7EC8PH1DM3988</v>
      </c>
      <c r="D48" s="3" t="s">
        <v>306</v>
      </c>
      <c r="E48" s="3" t="s">
        <v>65</v>
      </c>
      <c r="F48" s="3" t="s">
        <v>27</v>
      </c>
      <c r="G48" s="3" t="s">
        <v>28</v>
      </c>
      <c r="H48" s="5">
        <v>45689</v>
      </c>
      <c r="I48" s="5">
        <v>45689</v>
      </c>
      <c r="J48" s="3">
        <v>20411454</v>
      </c>
      <c r="K48" s="3" t="s">
        <v>355</v>
      </c>
      <c r="L48" s="3" t="s">
        <v>33</v>
      </c>
      <c r="M48" s="3">
        <v>-401.5</v>
      </c>
      <c r="N48" s="3">
        <v>-88.5</v>
      </c>
      <c r="O48" s="3" t="s">
        <v>344</v>
      </c>
    </row>
    <row r="49" spans="1:16" x14ac:dyDescent="0.25">
      <c r="A49" s="4">
        <v>45713</v>
      </c>
      <c r="B49" s="3" t="s">
        <v>63</v>
      </c>
      <c r="C49" s="3" t="str">
        <f>CONCATENATE(B49,88)</f>
        <v>7EC8PH1DM3988</v>
      </c>
      <c r="D49" s="3" t="s">
        <v>306</v>
      </c>
      <c r="E49" s="3" t="s">
        <v>65</v>
      </c>
      <c r="F49" s="3" t="s">
        <v>68</v>
      </c>
      <c r="G49" s="3" t="s">
        <v>28</v>
      </c>
      <c r="H49" s="5">
        <v>45689</v>
      </c>
      <c r="I49" s="5">
        <v>45689</v>
      </c>
      <c r="J49" s="3">
        <v>20411454</v>
      </c>
      <c r="K49" s="3" t="s">
        <v>355</v>
      </c>
      <c r="L49" s="3" t="s">
        <v>33</v>
      </c>
      <c r="M49" s="3">
        <v>751</v>
      </c>
      <c r="N49" s="3">
        <v>125</v>
      </c>
      <c r="O49" s="3" t="s">
        <v>344</v>
      </c>
    </row>
    <row r="50" spans="1:16" x14ac:dyDescent="0.25">
      <c r="A50" s="4">
        <v>45713</v>
      </c>
      <c r="B50" s="3" t="s">
        <v>133</v>
      </c>
      <c r="C50" s="3" t="str">
        <f>CONCATENATE(B49,88)</f>
        <v>7EC8PH1DM3988</v>
      </c>
      <c r="D50" s="3" t="s">
        <v>331</v>
      </c>
      <c r="E50" s="3" t="s">
        <v>123</v>
      </c>
      <c r="F50" s="3" t="s">
        <v>27</v>
      </c>
      <c r="G50" s="3" t="s">
        <v>28</v>
      </c>
      <c r="H50" s="5">
        <v>45689</v>
      </c>
      <c r="I50" s="5">
        <v>45689</v>
      </c>
      <c r="J50" s="3">
        <v>20411454</v>
      </c>
      <c r="K50" s="3" t="s">
        <v>355</v>
      </c>
      <c r="L50" s="3" t="s">
        <v>33</v>
      </c>
      <c r="M50" s="3">
        <v>-36.67</v>
      </c>
      <c r="N50" s="3">
        <v>-36.67</v>
      </c>
      <c r="O50" s="3" t="s">
        <v>344</v>
      </c>
    </row>
    <row r="51" spans="1:16" x14ac:dyDescent="0.25">
      <c r="A51" s="4">
        <v>45713</v>
      </c>
      <c r="B51" s="3" t="s">
        <v>133</v>
      </c>
      <c r="C51" s="3" t="str">
        <f>CONCATENATE(B50,88)</f>
        <v>8XW2XQ1JD9888</v>
      </c>
      <c r="D51" s="3" t="s">
        <v>331</v>
      </c>
      <c r="E51" s="3" t="s">
        <v>123</v>
      </c>
      <c r="F51" s="3" t="s">
        <v>68</v>
      </c>
      <c r="G51" s="3" t="s">
        <v>28</v>
      </c>
      <c r="H51" s="5">
        <v>45689</v>
      </c>
      <c r="I51" s="5">
        <v>45689</v>
      </c>
      <c r="J51" s="3">
        <v>20411454</v>
      </c>
      <c r="K51" s="3" t="s">
        <v>355</v>
      </c>
      <c r="L51" s="3" t="s">
        <v>33</v>
      </c>
      <c r="M51" s="3">
        <v>40</v>
      </c>
      <c r="N51" s="3">
        <v>40</v>
      </c>
      <c r="O51" s="3" t="s">
        <v>344</v>
      </c>
    </row>
    <row r="52" spans="1:16" x14ac:dyDescent="0.25">
      <c r="A52" s="4">
        <v>45713</v>
      </c>
      <c r="B52" s="3" t="s">
        <v>53</v>
      </c>
      <c r="C52" s="3" t="str">
        <f>CONCATENATE(B52,7)</f>
        <v>6FF1GX8XT977</v>
      </c>
      <c r="D52" s="3" t="s">
        <v>305</v>
      </c>
      <c r="E52" s="3" t="s">
        <v>55</v>
      </c>
      <c r="F52" s="3" t="s">
        <v>36</v>
      </c>
      <c r="G52" s="3" t="s">
        <v>28</v>
      </c>
      <c r="H52" s="5">
        <v>45689</v>
      </c>
      <c r="I52" s="5">
        <v>45689</v>
      </c>
      <c r="J52" s="3">
        <v>18754354</v>
      </c>
      <c r="K52" s="3" t="s">
        <v>43</v>
      </c>
      <c r="L52" s="3" t="s">
        <v>33</v>
      </c>
      <c r="M52" s="3">
        <v>688.42</v>
      </c>
      <c r="N52" s="3">
        <v>626</v>
      </c>
      <c r="O52" s="3" t="s">
        <v>350</v>
      </c>
    </row>
    <row r="53" spans="1:16" x14ac:dyDescent="0.25">
      <c r="A53" s="4">
        <v>45713</v>
      </c>
      <c r="B53" s="3" t="s">
        <v>53</v>
      </c>
      <c r="C53" s="3" t="str">
        <f>CONCATENATE(B53,8)</f>
        <v>6FF1GX8XT978</v>
      </c>
      <c r="D53" s="3" t="s">
        <v>305</v>
      </c>
      <c r="E53" s="3" t="s">
        <v>55</v>
      </c>
      <c r="F53" s="3" t="s">
        <v>27</v>
      </c>
      <c r="G53" s="3" t="s">
        <v>28</v>
      </c>
      <c r="H53" s="5">
        <v>45689</v>
      </c>
      <c r="I53" s="5">
        <v>45689</v>
      </c>
      <c r="J53" s="3">
        <v>18754354</v>
      </c>
      <c r="K53" s="3" t="s">
        <v>43</v>
      </c>
      <c r="L53" s="3" t="s">
        <v>33</v>
      </c>
      <c r="M53" s="3">
        <v>-401.5</v>
      </c>
      <c r="N53" s="3">
        <v>-313</v>
      </c>
      <c r="O53" s="3" t="s">
        <v>346</v>
      </c>
      <c r="P53" s="3" t="s">
        <v>347</v>
      </c>
    </row>
    <row r="54" spans="1:16" x14ac:dyDescent="0.25">
      <c r="A54" s="4">
        <v>45713</v>
      </c>
      <c r="B54" s="3" t="s">
        <v>53</v>
      </c>
      <c r="C54" s="3" t="str">
        <f>CONCATENATE(B54,88)</f>
        <v>6FF1GX8XT9788</v>
      </c>
      <c r="D54" s="3" t="s">
        <v>305</v>
      </c>
      <c r="E54" s="3" t="s">
        <v>55</v>
      </c>
      <c r="F54" s="3" t="s">
        <v>27</v>
      </c>
      <c r="G54" s="3" t="s">
        <v>28</v>
      </c>
      <c r="H54" s="5">
        <v>45689</v>
      </c>
      <c r="I54" s="5">
        <v>45689</v>
      </c>
      <c r="J54" s="3">
        <v>20411454</v>
      </c>
      <c r="K54" s="3" t="s">
        <v>355</v>
      </c>
      <c r="L54" s="3" t="s">
        <v>33</v>
      </c>
      <c r="M54" s="3">
        <v>-401.5</v>
      </c>
      <c r="N54" s="3">
        <v>-88.5</v>
      </c>
      <c r="O54" s="3" t="s">
        <v>344</v>
      </c>
    </row>
    <row r="55" spans="1:16" x14ac:dyDescent="0.25">
      <c r="A55" s="4">
        <v>45713</v>
      </c>
      <c r="B55" s="3" t="s">
        <v>53</v>
      </c>
      <c r="C55" s="3" t="str">
        <f>CONCATENATE(B55,88)</f>
        <v>6FF1GX8XT9788</v>
      </c>
      <c r="D55" s="3" t="s">
        <v>305</v>
      </c>
      <c r="E55" s="3" t="s">
        <v>55</v>
      </c>
      <c r="F55" s="3" t="s">
        <v>36</v>
      </c>
      <c r="G55" s="3" t="s">
        <v>28</v>
      </c>
      <c r="H55" s="5">
        <v>45689</v>
      </c>
      <c r="I55" s="5">
        <v>45689</v>
      </c>
      <c r="J55" s="3">
        <v>20411454</v>
      </c>
      <c r="K55" s="3" t="s">
        <v>355</v>
      </c>
      <c r="L55" s="3" t="s">
        <v>33</v>
      </c>
      <c r="M55" s="3">
        <v>688.42</v>
      </c>
      <c r="N55" s="3">
        <v>62.42</v>
      </c>
      <c r="O55" s="3" t="s">
        <v>344</v>
      </c>
    </row>
    <row r="56" spans="1:16" x14ac:dyDescent="0.25">
      <c r="A56" s="4">
        <v>45713</v>
      </c>
      <c r="B56" s="3" t="s">
        <v>121</v>
      </c>
      <c r="C56" s="3" t="str">
        <f>CONCATENATE(B56,8)</f>
        <v>2XN6YE1QM608</v>
      </c>
      <c r="D56" s="3" t="s">
        <v>341</v>
      </c>
      <c r="E56" s="3" t="s">
        <v>123</v>
      </c>
      <c r="F56" s="3" t="s">
        <v>40</v>
      </c>
      <c r="G56" s="3" t="s">
        <v>28</v>
      </c>
      <c r="H56" s="5">
        <v>45717</v>
      </c>
      <c r="I56" s="5">
        <v>45717</v>
      </c>
      <c r="J56" s="3">
        <v>15278437</v>
      </c>
      <c r="K56" s="3" t="s">
        <v>126</v>
      </c>
      <c r="L56" s="3" t="s">
        <v>33</v>
      </c>
      <c r="M56" s="3">
        <v>398.33</v>
      </c>
      <c r="N56" s="3">
        <v>353</v>
      </c>
      <c r="O56" s="3" t="s">
        <v>345</v>
      </c>
      <c r="P56" s="3" t="s">
        <v>348</v>
      </c>
    </row>
    <row r="57" spans="1:16" x14ac:dyDescent="0.25">
      <c r="A57" s="4">
        <v>45713</v>
      </c>
      <c r="B57" s="3" t="s">
        <v>121</v>
      </c>
      <c r="C57" s="3" t="str">
        <f>CONCATENATE(B57,88)</f>
        <v>2XN6YE1QM6088</v>
      </c>
      <c r="D57" s="3" t="s">
        <v>341</v>
      </c>
      <c r="E57" s="3" t="s">
        <v>123</v>
      </c>
      <c r="F57" s="3" t="s">
        <v>40</v>
      </c>
      <c r="G57" s="3" t="s">
        <v>28</v>
      </c>
      <c r="H57" s="5">
        <v>45717</v>
      </c>
      <c r="I57" s="5">
        <v>45717</v>
      </c>
      <c r="J57" s="3">
        <v>20411454</v>
      </c>
      <c r="K57" s="3" t="s">
        <v>355</v>
      </c>
      <c r="L57" s="3" t="s">
        <v>33</v>
      </c>
      <c r="M57" s="3">
        <v>398.33</v>
      </c>
      <c r="N57" s="3">
        <v>45.33</v>
      </c>
      <c r="O57" s="3" t="s">
        <v>344</v>
      </c>
    </row>
    <row r="58" spans="1:16" x14ac:dyDescent="0.25">
      <c r="A58" s="4">
        <v>45713</v>
      </c>
      <c r="B58" s="3" t="s">
        <v>205</v>
      </c>
      <c r="C58" s="3" t="str">
        <f>CONCATENATE(B57,88)</f>
        <v>2XN6YE1QM6088</v>
      </c>
      <c r="D58" s="3" t="s">
        <v>332</v>
      </c>
      <c r="E58" s="3" t="s">
        <v>123</v>
      </c>
      <c r="F58" s="3" t="s">
        <v>27</v>
      </c>
      <c r="G58" s="3" t="s">
        <v>28</v>
      </c>
      <c r="H58" s="5">
        <v>45689</v>
      </c>
      <c r="I58" s="5">
        <v>45689</v>
      </c>
      <c r="J58" s="3">
        <v>20411454</v>
      </c>
      <c r="K58" s="3" t="s">
        <v>355</v>
      </c>
      <c r="L58" s="3" t="s">
        <v>33</v>
      </c>
      <c r="M58" s="3">
        <v>-36.67</v>
      </c>
      <c r="N58" s="3">
        <v>-36.67</v>
      </c>
      <c r="O58" s="3" t="s">
        <v>344</v>
      </c>
    </row>
    <row r="59" spans="1:16" x14ac:dyDescent="0.25">
      <c r="A59" s="4">
        <v>45713</v>
      </c>
      <c r="B59" s="3" t="s">
        <v>205</v>
      </c>
      <c r="C59" s="3" t="str">
        <f>CONCATENATE(B58,88)</f>
        <v>2UD1V78UC3188</v>
      </c>
      <c r="D59" s="3" t="s">
        <v>332</v>
      </c>
      <c r="E59" s="3" t="s">
        <v>123</v>
      </c>
      <c r="F59" s="3" t="s">
        <v>68</v>
      </c>
      <c r="G59" s="3" t="s">
        <v>28</v>
      </c>
      <c r="H59" s="5">
        <v>45689</v>
      </c>
      <c r="I59" s="5">
        <v>45689</v>
      </c>
      <c r="J59" s="3">
        <v>20411454</v>
      </c>
      <c r="K59" s="3" t="s">
        <v>355</v>
      </c>
      <c r="L59" s="3" t="s">
        <v>33</v>
      </c>
      <c r="M59" s="3">
        <v>40</v>
      </c>
      <c r="N59" s="3">
        <v>40</v>
      </c>
      <c r="O59" s="3" t="s">
        <v>344</v>
      </c>
    </row>
    <row r="60" spans="1:16" x14ac:dyDescent="0.25">
      <c r="A60" s="4">
        <v>45713</v>
      </c>
      <c r="B60" s="3" t="s">
        <v>154</v>
      </c>
      <c r="C60" s="3" t="str">
        <f>CONCATENATE(B59,88)</f>
        <v>2UD1V78UC3188</v>
      </c>
      <c r="D60" s="3" t="s">
        <v>333</v>
      </c>
      <c r="E60" s="3" t="s">
        <v>123</v>
      </c>
      <c r="F60" s="3" t="s">
        <v>27</v>
      </c>
      <c r="G60" s="3" t="s">
        <v>28</v>
      </c>
      <c r="H60" s="5">
        <v>45717</v>
      </c>
      <c r="I60" s="5">
        <v>45717</v>
      </c>
      <c r="J60" s="3">
        <v>20411454</v>
      </c>
      <c r="K60" s="3" t="s">
        <v>355</v>
      </c>
      <c r="L60" s="3" t="s">
        <v>33</v>
      </c>
      <c r="M60" s="3">
        <v>-33.33</v>
      </c>
      <c r="N60" s="3">
        <v>-33.33</v>
      </c>
      <c r="O60" s="3" t="s">
        <v>344</v>
      </c>
    </row>
    <row r="61" spans="1:16" x14ac:dyDescent="0.25">
      <c r="A61" s="4">
        <v>45713</v>
      </c>
      <c r="B61" s="3" t="s">
        <v>154</v>
      </c>
      <c r="C61" s="3" t="str">
        <f>CONCATENATE(B60,88)</f>
        <v>1KN6ET1RM6888</v>
      </c>
      <c r="D61" s="3" t="s">
        <v>333</v>
      </c>
      <c r="E61" s="3" t="s">
        <v>123</v>
      </c>
      <c r="F61" s="3" t="s">
        <v>68</v>
      </c>
      <c r="G61" s="3" t="s">
        <v>28</v>
      </c>
      <c r="H61" s="5">
        <v>45717</v>
      </c>
      <c r="I61" s="5">
        <v>45717</v>
      </c>
      <c r="J61" s="3">
        <v>20411454</v>
      </c>
      <c r="K61" s="3" t="s">
        <v>355</v>
      </c>
      <c r="L61" s="3" t="s">
        <v>33</v>
      </c>
      <c r="M61" s="3">
        <v>40</v>
      </c>
      <c r="N61" s="3">
        <v>40</v>
      </c>
      <c r="O61" s="3" t="s">
        <v>344</v>
      </c>
    </row>
    <row r="62" spans="1:16" x14ac:dyDescent="0.25">
      <c r="A62" s="4">
        <v>45713</v>
      </c>
      <c r="B62" s="3" t="s">
        <v>149</v>
      </c>
      <c r="C62" s="3" t="str">
        <f>CONCATENATE(B62,7)</f>
        <v>2H11RY8YY107</v>
      </c>
      <c r="D62" s="3" t="s">
        <v>318</v>
      </c>
      <c r="E62" s="3" t="s">
        <v>26</v>
      </c>
      <c r="F62" s="3" t="s">
        <v>68</v>
      </c>
      <c r="G62" s="3" t="s">
        <v>28</v>
      </c>
      <c r="H62" s="5">
        <v>45689</v>
      </c>
      <c r="I62" s="5">
        <v>45689</v>
      </c>
      <c r="J62" s="3">
        <v>19396223</v>
      </c>
      <c r="K62" s="3" t="s">
        <v>151</v>
      </c>
      <c r="L62" s="3" t="s">
        <v>33</v>
      </c>
      <c r="M62" s="3">
        <v>751</v>
      </c>
      <c r="N62" s="3">
        <v>626</v>
      </c>
      <c r="O62" s="3" t="s">
        <v>350</v>
      </c>
    </row>
    <row r="63" spans="1:16" x14ac:dyDescent="0.25">
      <c r="A63" s="4">
        <v>45713</v>
      </c>
      <c r="B63" s="3" t="s">
        <v>149</v>
      </c>
      <c r="C63" s="3" t="str">
        <f>CONCATENATE(B63,8)</f>
        <v>2H11RY8YY108</v>
      </c>
      <c r="D63" s="3" t="s">
        <v>318</v>
      </c>
      <c r="E63" s="3" t="s">
        <v>26</v>
      </c>
      <c r="F63" s="3" t="s">
        <v>27</v>
      </c>
      <c r="G63" s="3" t="s">
        <v>28</v>
      </c>
      <c r="H63" s="5">
        <v>45689</v>
      </c>
      <c r="I63" s="5">
        <v>45689</v>
      </c>
      <c r="J63" s="3">
        <v>19396223</v>
      </c>
      <c r="K63" s="3" t="s">
        <v>151</v>
      </c>
      <c r="L63" s="3" t="s">
        <v>33</v>
      </c>
      <c r="M63" s="3">
        <v>-401.5</v>
      </c>
      <c r="N63" s="3">
        <v>-313</v>
      </c>
      <c r="O63" s="3" t="s">
        <v>346</v>
      </c>
      <c r="P63" s="3" t="s">
        <v>347</v>
      </c>
    </row>
    <row r="64" spans="1:16" x14ac:dyDescent="0.25">
      <c r="A64" s="4">
        <v>45713</v>
      </c>
      <c r="B64" s="3" t="s">
        <v>149</v>
      </c>
      <c r="C64" s="3" t="str">
        <f>CONCATENATE(B64,88)</f>
        <v>2H11RY8YY1088</v>
      </c>
      <c r="D64" s="3" t="s">
        <v>318</v>
      </c>
      <c r="E64" s="3" t="s">
        <v>26</v>
      </c>
      <c r="F64" s="3" t="s">
        <v>27</v>
      </c>
      <c r="G64" s="3" t="s">
        <v>28</v>
      </c>
      <c r="H64" s="5">
        <v>45689</v>
      </c>
      <c r="I64" s="5">
        <v>45689</v>
      </c>
      <c r="J64" s="3">
        <v>20411454</v>
      </c>
      <c r="K64" s="3" t="s">
        <v>355</v>
      </c>
      <c r="L64" s="3" t="s">
        <v>33</v>
      </c>
      <c r="M64" s="3">
        <v>-401.5</v>
      </c>
      <c r="N64" s="3">
        <v>-88.5</v>
      </c>
      <c r="O64" s="3" t="s">
        <v>344</v>
      </c>
    </row>
    <row r="65" spans="1:16" x14ac:dyDescent="0.25">
      <c r="A65" s="4">
        <v>45713</v>
      </c>
      <c r="B65" s="3" t="s">
        <v>149</v>
      </c>
      <c r="C65" s="3" t="str">
        <f>CONCATENATE(B65,88)</f>
        <v>2H11RY8YY1088</v>
      </c>
      <c r="D65" s="3" t="s">
        <v>318</v>
      </c>
      <c r="E65" s="3" t="s">
        <v>26</v>
      </c>
      <c r="F65" s="3" t="s">
        <v>68</v>
      </c>
      <c r="G65" s="3" t="s">
        <v>28</v>
      </c>
      <c r="H65" s="5">
        <v>45689</v>
      </c>
      <c r="I65" s="5">
        <v>45689</v>
      </c>
      <c r="J65" s="3">
        <v>20411454</v>
      </c>
      <c r="K65" s="3" t="s">
        <v>355</v>
      </c>
      <c r="L65" s="3" t="s">
        <v>33</v>
      </c>
      <c r="M65" s="3">
        <v>751</v>
      </c>
      <c r="N65" s="3">
        <v>125</v>
      </c>
      <c r="O65" s="3" t="s">
        <v>344</v>
      </c>
    </row>
    <row r="66" spans="1:16" x14ac:dyDescent="0.25">
      <c r="A66" s="4">
        <v>45713</v>
      </c>
      <c r="B66" s="3" t="s">
        <v>118</v>
      </c>
      <c r="C66" s="3" t="str">
        <f>CONCATENATE(B66,7)</f>
        <v>6Y85V40VN977</v>
      </c>
      <c r="D66" s="3" t="s">
        <v>315</v>
      </c>
      <c r="E66" s="3" t="s">
        <v>26</v>
      </c>
      <c r="F66" s="3" t="s">
        <v>68</v>
      </c>
      <c r="G66" s="3" t="s">
        <v>28</v>
      </c>
      <c r="H66" s="5">
        <v>45689</v>
      </c>
      <c r="I66" s="5">
        <v>45689</v>
      </c>
      <c r="J66" s="3">
        <v>16983460</v>
      </c>
      <c r="K66" s="3" t="s">
        <v>120</v>
      </c>
      <c r="L66" s="3" t="s">
        <v>33</v>
      </c>
      <c r="M66" s="3">
        <v>751</v>
      </c>
      <c r="N66" s="3">
        <v>626</v>
      </c>
      <c r="O66" s="3" t="s">
        <v>350</v>
      </c>
    </row>
    <row r="67" spans="1:16" x14ac:dyDescent="0.25">
      <c r="A67" s="4">
        <v>45713</v>
      </c>
      <c r="B67" s="3" t="s">
        <v>118</v>
      </c>
      <c r="C67" s="3" t="str">
        <f>CONCATENATE(B67,8)</f>
        <v>6Y85V40VN978</v>
      </c>
      <c r="D67" s="3" t="s">
        <v>315</v>
      </c>
      <c r="E67" s="3" t="s">
        <v>26</v>
      </c>
      <c r="F67" s="3" t="s">
        <v>27</v>
      </c>
      <c r="G67" s="3" t="s">
        <v>28</v>
      </c>
      <c r="H67" s="5">
        <v>45689</v>
      </c>
      <c r="I67" s="5">
        <v>45689</v>
      </c>
      <c r="J67" s="3">
        <v>16983460</v>
      </c>
      <c r="K67" s="3" t="s">
        <v>120</v>
      </c>
      <c r="L67" s="3" t="s">
        <v>33</v>
      </c>
      <c r="M67" s="3">
        <v>-401.5</v>
      </c>
      <c r="N67" s="3">
        <v>-313</v>
      </c>
      <c r="O67" s="3" t="s">
        <v>346</v>
      </c>
      <c r="P67" s="3" t="s">
        <v>347</v>
      </c>
    </row>
    <row r="68" spans="1:16" x14ac:dyDescent="0.25">
      <c r="A68" s="4">
        <v>45713</v>
      </c>
      <c r="B68" s="3" t="s">
        <v>118</v>
      </c>
      <c r="C68" s="3" t="str">
        <f>CONCATENATE(B68,88)</f>
        <v>6Y85V40VN9788</v>
      </c>
      <c r="D68" s="3" t="s">
        <v>315</v>
      </c>
      <c r="E68" s="3" t="s">
        <v>26</v>
      </c>
      <c r="F68" s="3" t="s">
        <v>27</v>
      </c>
      <c r="G68" s="3" t="s">
        <v>28</v>
      </c>
      <c r="H68" s="5">
        <v>45689</v>
      </c>
      <c r="I68" s="5">
        <v>45689</v>
      </c>
      <c r="J68" s="3">
        <v>20411454</v>
      </c>
      <c r="K68" s="3" t="s">
        <v>355</v>
      </c>
      <c r="L68" s="3" t="s">
        <v>33</v>
      </c>
      <c r="M68" s="3">
        <v>-401.5</v>
      </c>
      <c r="N68" s="3">
        <v>-88.5</v>
      </c>
      <c r="O68" s="3" t="s">
        <v>344</v>
      </c>
    </row>
    <row r="69" spans="1:16" x14ac:dyDescent="0.25">
      <c r="A69" s="4">
        <v>45713</v>
      </c>
      <c r="B69" s="3" t="s">
        <v>118</v>
      </c>
      <c r="C69" s="3" t="str">
        <f>CONCATENATE(B69,88)</f>
        <v>6Y85V40VN9788</v>
      </c>
      <c r="D69" s="3" t="s">
        <v>315</v>
      </c>
      <c r="E69" s="3" t="s">
        <v>26</v>
      </c>
      <c r="F69" s="3" t="s">
        <v>68</v>
      </c>
      <c r="G69" s="3" t="s">
        <v>28</v>
      </c>
      <c r="H69" s="5">
        <v>45689</v>
      </c>
      <c r="I69" s="5">
        <v>45689</v>
      </c>
      <c r="J69" s="3">
        <v>20411454</v>
      </c>
      <c r="K69" s="3" t="s">
        <v>355</v>
      </c>
      <c r="L69" s="3" t="s">
        <v>33</v>
      </c>
      <c r="M69" s="3">
        <v>751</v>
      </c>
      <c r="N69" s="3">
        <v>125</v>
      </c>
      <c r="O69" s="3" t="s">
        <v>344</v>
      </c>
    </row>
    <row r="70" spans="1:16" x14ac:dyDescent="0.25">
      <c r="A70" s="4">
        <v>45713</v>
      </c>
      <c r="B70" s="3" t="s">
        <v>116</v>
      </c>
      <c r="C70" s="3" t="str">
        <f>CONCATENATE(B70,7)</f>
        <v>8P30PU6QN427</v>
      </c>
      <c r="D70" s="3" t="s">
        <v>314</v>
      </c>
      <c r="E70" s="3" t="s">
        <v>26</v>
      </c>
      <c r="F70" s="3" t="s">
        <v>68</v>
      </c>
      <c r="G70" s="3" t="s">
        <v>28</v>
      </c>
      <c r="H70" s="5">
        <v>45689</v>
      </c>
      <c r="I70" s="5">
        <v>45689</v>
      </c>
      <c r="J70" s="3">
        <v>8307933</v>
      </c>
      <c r="K70" s="3" t="s">
        <v>62</v>
      </c>
      <c r="L70" s="3" t="s">
        <v>33</v>
      </c>
      <c r="M70" s="3">
        <v>751</v>
      </c>
      <c r="N70" s="3">
        <v>626</v>
      </c>
      <c r="O70" s="3" t="s">
        <v>350</v>
      </c>
    </row>
    <row r="71" spans="1:16" x14ac:dyDescent="0.25">
      <c r="A71" s="4">
        <v>45713</v>
      </c>
      <c r="B71" s="3" t="s">
        <v>116</v>
      </c>
      <c r="C71" s="3" t="str">
        <f>CONCATENATE(B71,8)</f>
        <v>8P30PU6QN428</v>
      </c>
      <c r="D71" s="3" t="s">
        <v>314</v>
      </c>
      <c r="E71" s="3" t="s">
        <v>26</v>
      </c>
      <c r="F71" s="3" t="s">
        <v>27</v>
      </c>
      <c r="G71" s="3" t="s">
        <v>28</v>
      </c>
      <c r="H71" s="5">
        <v>45689</v>
      </c>
      <c r="I71" s="5">
        <v>45689</v>
      </c>
      <c r="J71" s="3">
        <v>8307933</v>
      </c>
      <c r="K71" s="3" t="s">
        <v>62</v>
      </c>
      <c r="L71" s="3" t="s">
        <v>33</v>
      </c>
      <c r="M71" s="3">
        <v>-401.5</v>
      </c>
      <c r="N71" s="3">
        <v>-313</v>
      </c>
      <c r="O71" s="3" t="s">
        <v>346</v>
      </c>
      <c r="P71" s="3" t="s">
        <v>347</v>
      </c>
    </row>
    <row r="72" spans="1:16" x14ac:dyDescent="0.25">
      <c r="A72" s="4">
        <v>45713</v>
      </c>
      <c r="B72" s="3" t="s">
        <v>116</v>
      </c>
      <c r="C72" s="3" t="str">
        <f>CONCATENATE(B72,88)</f>
        <v>8P30PU6QN4288</v>
      </c>
      <c r="D72" s="3" t="s">
        <v>314</v>
      </c>
      <c r="E72" s="3" t="s">
        <v>26</v>
      </c>
      <c r="F72" s="3" t="s">
        <v>27</v>
      </c>
      <c r="G72" s="3" t="s">
        <v>28</v>
      </c>
      <c r="H72" s="5">
        <v>45689</v>
      </c>
      <c r="I72" s="5">
        <v>45689</v>
      </c>
      <c r="J72" s="3">
        <v>20411454</v>
      </c>
      <c r="K72" s="3" t="s">
        <v>355</v>
      </c>
      <c r="L72" s="3" t="s">
        <v>33</v>
      </c>
      <c r="M72" s="3">
        <v>-401.5</v>
      </c>
      <c r="N72" s="3">
        <v>-88.5</v>
      </c>
      <c r="O72" s="3" t="s">
        <v>344</v>
      </c>
    </row>
    <row r="73" spans="1:16" x14ac:dyDescent="0.25">
      <c r="A73" s="4">
        <v>45713</v>
      </c>
      <c r="B73" s="3" t="s">
        <v>116</v>
      </c>
      <c r="C73" s="3" t="str">
        <f>CONCATENATE(B73,88)</f>
        <v>8P30PU6QN4288</v>
      </c>
      <c r="D73" s="3" t="s">
        <v>314</v>
      </c>
      <c r="E73" s="3" t="s">
        <v>26</v>
      </c>
      <c r="F73" s="3" t="s">
        <v>68</v>
      </c>
      <c r="G73" s="3" t="s">
        <v>28</v>
      </c>
      <c r="H73" s="5">
        <v>45689</v>
      </c>
      <c r="I73" s="5">
        <v>45689</v>
      </c>
      <c r="J73" s="3">
        <v>20411454</v>
      </c>
      <c r="K73" s="3" t="s">
        <v>355</v>
      </c>
      <c r="L73" s="3" t="s">
        <v>33</v>
      </c>
      <c r="M73" s="3">
        <v>751</v>
      </c>
      <c r="N73" s="3">
        <v>125</v>
      </c>
      <c r="O73" s="3" t="s">
        <v>344</v>
      </c>
    </row>
    <row r="74" spans="1:16" x14ac:dyDescent="0.25">
      <c r="A74" s="4">
        <v>45713</v>
      </c>
      <c r="B74" s="3" t="s">
        <v>152</v>
      </c>
      <c r="C74" s="3" t="str">
        <f>CONCATENATE(B74,7)</f>
        <v>7FJ7DU1JN467</v>
      </c>
      <c r="D74" s="3" t="s">
        <v>319</v>
      </c>
      <c r="E74" s="3" t="s">
        <v>26</v>
      </c>
      <c r="F74" s="3" t="s">
        <v>36</v>
      </c>
      <c r="G74" s="3" t="s">
        <v>28</v>
      </c>
      <c r="H74" s="5">
        <v>45689</v>
      </c>
      <c r="I74" s="5">
        <v>45689</v>
      </c>
      <c r="J74" s="3">
        <v>8325282</v>
      </c>
      <c r="K74" s="3" t="s">
        <v>140</v>
      </c>
      <c r="L74" s="3" t="s">
        <v>33</v>
      </c>
      <c r="M74" s="3">
        <v>688.42</v>
      </c>
      <c r="N74" s="3">
        <v>626</v>
      </c>
      <c r="O74" s="3" t="s">
        <v>350</v>
      </c>
    </row>
    <row r="75" spans="1:16" x14ac:dyDescent="0.25">
      <c r="A75" s="4">
        <v>45713</v>
      </c>
      <c r="B75" s="3" t="s">
        <v>152</v>
      </c>
      <c r="C75" s="3" t="str">
        <f>CONCATENATE(B75,8)</f>
        <v>7FJ7DU1JN468</v>
      </c>
      <c r="D75" s="3" t="s">
        <v>319</v>
      </c>
      <c r="E75" s="3" t="s">
        <v>26</v>
      </c>
      <c r="F75" s="3" t="s">
        <v>27</v>
      </c>
      <c r="G75" s="3" t="s">
        <v>28</v>
      </c>
      <c r="H75" s="5">
        <v>45689</v>
      </c>
      <c r="I75" s="5">
        <v>45689</v>
      </c>
      <c r="J75" s="3">
        <v>8325282</v>
      </c>
      <c r="K75" s="3" t="s">
        <v>140</v>
      </c>
      <c r="L75" s="3" t="s">
        <v>33</v>
      </c>
      <c r="M75" s="3">
        <v>-401.5</v>
      </c>
      <c r="N75" s="3">
        <v>-313</v>
      </c>
      <c r="O75" s="3" t="s">
        <v>346</v>
      </c>
      <c r="P75" s="3" t="s">
        <v>347</v>
      </c>
    </row>
    <row r="76" spans="1:16" x14ac:dyDescent="0.25">
      <c r="A76" s="4">
        <v>45713</v>
      </c>
      <c r="B76" s="3" t="s">
        <v>152</v>
      </c>
      <c r="C76" s="3" t="str">
        <f>CONCATENATE(B76,88)</f>
        <v>7FJ7DU1JN4688</v>
      </c>
      <c r="D76" s="3" t="s">
        <v>319</v>
      </c>
      <c r="E76" s="3" t="s">
        <v>26</v>
      </c>
      <c r="F76" s="3" t="s">
        <v>27</v>
      </c>
      <c r="G76" s="3" t="s">
        <v>28</v>
      </c>
      <c r="H76" s="5">
        <v>45689</v>
      </c>
      <c r="I76" s="5">
        <v>45689</v>
      </c>
      <c r="J76" s="3">
        <v>20411454</v>
      </c>
      <c r="K76" s="3" t="s">
        <v>355</v>
      </c>
      <c r="L76" s="3" t="s">
        <v>33</v>
      </c>
      <c r="M76" s="3">
        <v>-401.5</v>
      </c>
      <c r="N76" s="3">
        <v>-88.5</v>
      </c>
      <c r="O76" s="3" t="s">
        <v>344</v>
      </c>
    </row>
    <row r="77" spans="1:16" x14ac:dyDescent="0.25">
      <c r="A77" s="4">
        <v>45713</v>
      </c>
      <c r="B77" s="3" t="s">
        <v>152</v>
      </c>
      <c r="C77" s="3" t="str">
        <f>CONCATENATE(B77,88)</f>
        <v>7FJ7DU1JN4688</v>
      </c>
      <c r="D77" s="3" t="s">
        <v>319</v>
      </c>
      <c r="E77" s="3" t="s">
        <v>26</v>
      </c>
      <c r="F77" s="3" t="s">
        <v>36</v>
      </c>
      <c r="G77" s="3" t="s">
        <v>28</v>
      </c>
      <c r="H77" s="5">
        <v>45689</v>
      </c>
      <c r="I77" s="5">
        <v>45689</v>
      </c>
      <c r="J77" s="3">
        <v>20411454</v>
      </c>
      <c r="K77" s="3" t="s">
        <v>355</v>
      </c>
      <c r="L77" s="3" t="s">
        <v>33</v>
      </c>
      <c r="M77" s="3">
        <v>688.42</v>
      </c>
      <c r="N77" s="3">
        <v>62.42</v>
      </c>
      <c r="O77" s="3" t="s">
        <v>344</v>
      </c>
    </row>
    <row r="78" spans="1:16" x14ac:dyDescent="0.25">
      <c r="A78" s="4">
        <v>45713</v>
      </c>
      <c r="B78" s="3" t="s">
        <v>138</v>
      </c>
      <c r="C78" s="3" t="str">
        <f>CONCATENATE(B78,7)</f>
        <v>3DJ5K32CP777</v>
      </c>
      <c r="D78" s="3" t="s">
        <v>316</v>
      </c>
      <c r="E78" s="3" t="s">
        <v>26</v>
      </c>
      <c r="F78" s="3" t="s">
        <v>68</v>
      </c>
      <c r="G78" s="3" t="s">
        <v>28</v>
      </c>
      <c r="H78" s="5">
        <v>45689</v>
      </c>
      <c r="I78" s="5">
        <v>45689</v>
      </c>
      <c r="J78" s="3">
        <v>8325282</v>
      </c>
      <c r="K78" s="3" t="s">
        <v>140</v>
      </c>
      <c r="L78" s="3" t="s">
        <v>33</v>
      </c>
      <c r="M78" s="3">
        <v>751</v>
      </c>
      <c r="N78" s="3">
        <v>626</v>
      </c>
      <c r="O78" s="3" t="s">
        <v>350</v>
      </c>
    </row>
    <row r="79" spans="1:16" x14ac:dyDescent="0.25">
      <c r="A79" s="4">
        <v>45713</v>
      </c>
      <c r="B79" s="3" t="s">
        <v>138</v>
      </c>
      <c r="C79" s="3" t="str">
        <f>CONCATENATE(B79,8)</f>
        <v>3DJ5K32CP778</v>
      </c>
      <c r="D79" s="3" t="s">
        <v>316</v>
      </c>
      <c r="E79" s="3" t="s">
        <v>26</v>
      </c>
      <c r="F79" s="3" t="s">
        <v>27</v>
      </c>
      <c r="G79" s="3" t="s">
        <v>28</v>
      </c>
      <c r="H79" s="5">
        <v>45689</v>
      </c>
      <c r="I79" s="5">
        <v>45689</v>
      </c>
      <c r="J79" s="3">
        <v>8325282</v>
      </c>
      <c r="K79" s="3" t="s">
        <v>140</v>
      </c>
      <c r="L79" s="3" t="s">
        <v>33</v>
      </c>
      <c r="M79" s="3">
        <v>-401.5</v>
      </c>
      <c r="N79" s="3">
        <v>-313</v>
      </c>
      <c r="O79" s="3" t="s">
        <v>346</v>
      </c>
      <c r="P79" s="3" t="s">
        <v>347</v>
      </c>
    </row>
    <row r="80" spans="1:16" x14ac:dyDescent="0.25">
      <c r="A80" s="4">
        <v>45713</v>
      </c>
      <c r="B80" s="3" t="s">
        <v>138</v>
      </c>
      <c r="C80" s="3" t="str">
        <f>CONCATENATE(B80,88)</f>
        <v>3DJ5K32CP7788</v>
      </c>
      <c r="D80" s="3" t="s">
        <v>316</v>
      </c>
      <c r="E80" s="3" t="s">
        <v>26</v>
      </c>
      <c r="F80" s="3" t="s">
        <v>27</v>
      </c>
      <c r="G80" s="3" t="s">
        <v>28</v>
      </c>
      <c r="H80" s="5">
        <v>45689</v>
      </c>
      <c r="I80" s="5">
        <v>45689</v>
      </c>
      <c r="J80" s="3">
        <v>20411454</v>
      </c>
      <c r="K80" s="3" t="s">
        <v>355</v>
      </c>
      <c r="L80" s="3" t="s">
        <v>33</v>
      </c>
      <c r="M80" s="3">
        <v>-401.5</v>
      </c>
      <c r="N80" s="3">
        <v>-88.5</v>
      </c>
      <c r="O80" s="3" t="s">
        <v>344</v>
      </c>
    </row>
    <row r="81" spans="1:16" x14ac:dyDescent="0.25">
      <c r="A81" s="4">
        <v>45713</v>
      </c>
      <c r="B81" s="3" t="s">
        <v>138</v>
      </c>
      <c r="C81" s="3" t="str">
        <f>CONCATENATE(B81,88)</f>
        <v>3DJ5K32CP7788</v>
      </c>
      <c r="D81" s="3" t="s">
        <v>316</v>
      </c>
      <c r="E81" s="3" t="s">
        <v>26</v>
      </c>
      <c r="F81" s="3" t="s">
        <v>68</v>
      </c>
      <c r="G81" s="3" t="s">
        <v>28</v>
      </c>
      <c r="H81" s="5">
        <v>45689</v>
      </c>
      <c r="I81" s="5">
        <v>45689</v>
      </c>
      <c r="J81" s="3">
        <v>20411454</v>
      </c>
      <c r="K81" s="3" t="s">
        <v>355</v>
      </c>
      <c r="L81" s="3" t="s">
        <v>33</v>
      </c>
      <c r="M81" s="3">
        <v>751</v>
      </c>
      <c r="N81" s="3">
        <v>125</v>
      </c>
      <c r="O81" s="3" t="s">
        <v>344</v>
      </c>
    </row>
    <row r="82" spans="1:16" x14ac:dyDescent="0.25">
      <c r="A82" s="4">
        <v>45713</v>
      </c>
      <c r="B82" s="3" t="s">
        <v>44</v>
      </c>
      <c r="C82" s="3" t="str">
        <f>CONCATENATE(B82,8)</f>
        <v>7N47MT7NV798</v>
      </c>
      <c r="D82" s="3" t="s">
        <v>338</v>
      </c>
      <c r="E82" s="3" t="s">
        <v>26</v>
      </c>
      <c r="F82" s="3" t="s">
        <v>40</v>
      </c>
      <c r="G82" s="3" t="s">
        <v>28</v>
      </c>
      <c r="H82" s="5">
        <v>45717</v>
      </c>
      <c r="I82" s="5">
        <v>45717</v>
      </c>
      <c r="J82" s="3">
        <v>7146581</v>
      </c>
      <c r="K82" s="3" t="s">
        <v>46</v>
      </c>
      <c r="L82" s="3" t="s">
        <v>33</v>
      </c>
      <c r="M82" s="3">
        <v>365</v>
      </c>
      <c r="N82" s="3">
        <v>313</v>
      </c>
      <c r="O82" s="3" t="s">
        <v>346</v>
      </c>
      <c r="P82" s="3" t="s">
        <v>347</v>
      </c>
    </row>
    <row r="83" spans="1:16" x14ac:dyDescent="0.25">
      <c r="A83" s="4">
        <v>45713</v>
      </c>
      <c r="B83" s="3" t="s">
        <v>44</v>
      </c>
      <c r="C83" s="3" t="str">
        <f>CONCATENATE(B83,88)</f>
        <v>7N47MT7NV7988</v>
      </c>
      <c r="D83" s="3" t="s">
        <v>338</v>
      </c>
      <c r="E83" s="3" t="s">
        <v>26</v>
      </c>
      <c r="F83" s="3" t="s">
        <v>40</v>
      </c>
      <c r="G83" s="3" t="s">
        <v>28</v>
      </c>
      <c r="H83" s="5">
        <v>45717</v>
      </c>
      <c r="I83" s="5">
        <v>45717</v>
      </c>
      <c r="J83" s="3">
        <v>20411454</v>
      </c>
      <c r="K83" s="3" t="s">
        <v>355</v>
      </c>
      <c r="L83" s="3" t="s">
        <v>33</v>
      </c>
      <c r="M83" s="3">
        <v>365</v>
      </c>
      <c r="N83" s="3">
        <v>52</v>
      </c>
      <c r="O83" s="3" t="s">
        <v>344</v>
      </c>
    </row>
    <row r="84" spans="1:16" x14ac:dyDescent="0.25">
      <c r="A84" s="4">
        <v>45713</v>
      </c>
      <c r="B84" s="3" t="s">
        <v>24</v>
      </c>
      <c r="C84" s="3" t="str">
        <f>CONCATENATE(B84,7)</f>
        <v>7TA2C33KT137</v>
      </c>
      <c r="D84" s="3" t="s">
        <v>304</v>
      </c>
      <c r="E84" s="3" t="s">
        <v>26</v>
      </c>
      <c r="F84" s="3" t="s">
        <v>36</v>
      </c>
      <c r="G84" s="3" t="s">
        <v>28</v>
      </c>
      <c r="H84" s="5">
        <v>45689</v>
      </c>
      <c r="I84" s="5">
        <v>45689</v>
      </c>
      <c r="J84" s="3">
        <v>18935660</v>
      </c>
      <c r="K84" s="3" t="s">
        <v>32</v>
      </c>
      <c r="L84" s="3" t="s">
        <v>33</v>
      </c>
      <c r="M84" s="3">
        <v>688.42</v>
      </c>
      <c r="N84" s="3">
        <v>626</v>
      </c>
      <c r="O84" s="3" t="s">
        <v>350</v>
      </c>
    </row>
    <row r="85" spans="1:16" x14ac:dyDescent="0.25">
      <c r="A85" s="4">
        <v>45713</v>
      </c>
      <c r="B85" s="3" t="s">
        <v>24</v>
      </c>
      <c r="C85" s="3" t="str">
        <f>CONCATENATE(B85,8)</f>
        <v>7TA2C33KT138</v>
      </c>
      <c r="D85" s="3" t="s">
        <v>304</v>
      </c>
      <c r="E85" s="3" t="s">
        <v>26</v>
      </c>
      <c r="F85" s="3" t="s">
        <v>27</v>
      </c>
      <c r="G85" s="3" t="s">
        <v>28</v>
      </c>
      <c r="H85" s="5">
        <v>45689</v>
      </c>
      <c r="I85" s="5">
        <v>45689</v>
      </c>
      <c r="J85" s="3">
        <v>18935660</v>
      </c>
      <c r="K85" s="3" t="s">
        <v>32</v>
      </c>
      <c r="L85" s="3" t="s">
        <v>33</v>
      </c>
      <c r="M85" s="3">
        <v>-401.5</v>
      </c>
      <c r="N85" s="3">
        <v>-313</v>
      </c>
      <c r="O85" s="3" t="s">
        <v>346</v>
      </c>
      <c r="P85" s="3" t="s">
        <v>347</v>
      </c>
    </row>
    <row r="86" spans="1:16" x14ac:dyDescent="0.25">
      <c r="A86" s="4">
        <v>45713</v>
      </c>
      <c r="B86" s="3" t="s">
        <v>24</v>
      </c>
      <c r="C86" s="3" t="str">
        <f>CONCATENATE(B86,88)</f>
        <v>7TA2C33KT1388</v>
      </c>
      <c r="D86" s="3" t="s">
        <v>304</v>
      </c>
      <c r="E86" s="3" t="s">
        <v>26</v>
      </c>
      <c r="F86" s="3" t="s">
        <v>27</v>
      </c>
      <c r="G86" s="3" t="s">
        <v>28</v>
      </c>
      <c r="H86" s="5">
        <v>45689</v>
      </c>
      <c r="I86" s="5">
        <v>45689</v>
      </c>
      <c r="J86" s="3">
        <v>20411454</v>
      </c>
      <c r="K86" s="3" t="s">
        <v>355</v>
      </c>
      <c r="L86" s="3" t="s">
        <v>33</v>
      </c>
      <c r="M86" s="3">
        <v>-401.5</v>
      </c>
      <c r="N86" s="3">
        <v>-88.5</v>
      </c>
      <c r="O86" s="3" t="s">
        <v>344</v>
      </c>
    </row>
    <row r="87" spans="1:16" x14ac:dyDescent="0.25">
      <c r="A87" s="4">
        <v>45713</v>
      </c>
      <c r="B87" s="3" t="s">
        <v>24</v>
      </c>
      <c r="C87" s="3" t="str">
        <f>CONCATENATE(B87,88)</f>
        <v>7TA2C33KT1388</v>
      </c>
      <c r="D87" s="3" t="s">
        <v>304</v>
      </c>
      <c r="E87" s="3" t="s">
        <v>26</v>
      </c>
      <c r="F87" s="3" t="s">
        <v>36</v>
      </c>
      <c r="G87" s="3" t="s">
        <v>28</v>
      </c>
      <c r="H87" s="5">
        <v>45689</v>
      </c>
      <c r="I87" s="5">
        <v>45689</v>
      </c>
      <c r="J87" s="3">
        <v>20411454</v>
      </c>
      <c r="K87" s="3" t="s">
        <v>355</v>
      </c>
      <c r="L87" s="3" t="s">
        <v>33</v>
      </c>
      <c r="M87" s="3">
        <v>688.42</v>
      </c>
      <c r="N87" s="3">
        <v>62.42</v>
      </c>
      <c r="O87" s="3" t="s">
        <v>344</v>
      </c>
    </row>
    <row r="88" spans="1:16" x14ac:dyDescent="0.25">
      <c r="A88" s="4">
        <v>45713</v>
      </c>
      <c r="B88" s="3" t="s">
        <v>188</v>
      </c>
      <c r="C88" s="3" t="str">
        <f>CONCATENATE(B88,7)</f>
        <v>7P52RT7JQ867</v>
      </c>
      <c r="D88" s="3" t="s">
        <v>343</v>
      </c>
      <c r="E88" s="3" t="s">
        <v>162</v>
      </c>
      <c r="F88" s="3" t="s">
        <v>68</v>
      </c>
      <c r="G88" s="3" t="s">
        <v>28</v>
      </c>
      <c r="H88" s="5">
        <v>45689</v>
      </c>
      <c r="I88" s="5">
        <v>45689</v>
      </c>
      <c r="J88" s="3">
        <v>17301495</v>
      </c>
      <c r="K88" s="3" t="s">
        <v>137</v>
      </c>
      <c r="L88" s="3" t="s">
        <v>33</v>
      </c>
      <c r="M88" s="3">
        <v>751</v>
      </c>
      <c r="N88" s="3">
        <v>626</v>
      </c>
      <c r="O88" s="3" t="s">
        <v>350</v>
      </c>
    </row>
    <row r="89" spans="1:16" x14ac:dyDescent="0.25">
      <c r="A89" s="4">
        <v>45713</v>
      </c>
      <c r="B89" s="3" t="s">
        <v>188</v>
      </c>
      <c r="C89" s="3" t="str">
        <f>CONCATENATE(B89,88)</f>
        <v>7P52RT7JQ8688</v>
      </c>
      <c r="D89" s="3" t="s">
        <v>343</v>
      </c>
      <c r="E89" s="3" t="s">
        <v>162</v>
      </c>
      <c r="F89" s="3" t="s">
        <v>68</v>
      </c>
      <c r="G89" s="3" t="s">
        <v>28</v>
      </c>
      <c r="H89" s="5">
        <v>45689</v>
      </c>
      <c r="I89" s="5">
        <v>45689</v>
      </c>
      <c r="J89" s="3">
        <v>20411454</v>
      </c>
      <c r="K89" s="3" t="s">
        <v>355</v>
      </c>
      <c r="L89" s="3" t="s">
        <v>33</v>
      </c>
      <c r="M89" s="3">
        <v>751</v>
      </c>
      <c r="N89" s="3">
        <v>125</v>
      </c>
      <c r="O89" s="3" t="s">
        <v>344</v>
      </c>
    </row>
    <row r="90" spans="1:16" x14ac:dyDescent="0.25">
      <c r="A90" s="4">
        <v>45713</v>
      </c>
      <c r="B90" s="3" t="s">
        <v>156</v>
      </c>
      <c r="C90" s="3" t="str">
        <f>CONCATENATE(B90,8)</f>
        <v>3UA8DA4NJ268</v>
      </c>
      <c r="D90" s="3" t="s">
        <v>303</v>
      </c>
      <c r="E90" s="3" t="s">
        <v>26</v>
      </c>
      <c r="F90" s="3" t="s">
        <v>158</v>
      </c>
      <c r="G90" s="3" t="s">
        <v>28</v>
      </c>
      <c r="H90" s="5">
        <v>45658</v>
      </c>
      <c r="I90" s="5">
        <v>45658</v>
      </c>
      <c r="J90" s="3">
        <v>18935660</v>
      </c>
      <c r="K90" s="3" t="s">
        <v>32</v>
      </c>
      <c r="L90" s="3" t="s">
        <v>33</v>
      </c>
      <c r="M90" s="3">
        <v>-438</v>
      </c>
      <c r="N90" s="3">
        <v>-313</v>
      </c>
      <c r="O90" s="3" t="s">
        <v>346</v>
      </c>
      <c r="P90" s="3" t="s">
        <v>347</v>
      </c>
    </row>
    <row r="91" spans="1:16" x14ac:dyDescent="0.25">
      <c r="A91" s="4">
        <v>45713</v>
      </c>
      <c r="B91" s="3" t="s">
        <v>156</v>
      </c>
      <c r="C91" s="3" t="str">
        <f>CONCATENATE(B91,88)</f>
        <v>3UA8DA4NJ2688</v>
      </c>
      <c r="D91" s="3" t="s">
        <v>303</v>
      </c>
      <c r="E91" s="3" t="s">
        <v>26</v>
      </c>
      <c r="F91" s="3" t="s">
        <v>158</v>
      </c>
      <c r="G91" s="3" t="s">
        <v>28</v>
      </c>
      <c r="H91" s="5">
        <v>45658</v>
      </c>
      <c r="I91" s="5">
        <v>45658</v>
      </c>
      <c r="J91" s="3">
        <v>20411454</v>
      </c>
      <c r="K91" s="3" t="s">
        <v>355</v>
      </c>
      <c r="L91" s="3" t="s">
        <v>33</v>
      </c>
      <c r="M91" s="3">
        <v>-438</v>
      </c>
      <c r="N91" s="3">
        <v>-125</v>
      </c>
      <c r="O91" s="3" t="s">
        <v>344</v>
      </c>
    </row>
    <row r="92" spans="1:16" x14ac:dyDescent="0.25">
      <c r="A92" s="4">
        <v>45713</v>
      </c>
      <c r="B92" s="3" t="s">
        <v>167</v>
      </c>
      <c r="C92" s="3" t="str">
        <f>CONCATENATE(B92,8)</f>
        <v>3G14M39WW778</v>
      </c>
      <c r="D92" s="3" t="s">
        <v>298</v>
      </c>
      <c r="E92" s="3" t="s">
        <v>123</v>
      </c>
      <c r="F92" s="3" t="s">
        <v>158</v>
      </c>
      <c r="G92" s="3" t="s">
        <v>28</v>
      </c>
      <c r="H92" s="5">
        <v>45658</v>
      </c>
      <c r="I92" s="5">
        <v>45658</v>
      </c>
      <c r="J92" s="3">
        <v>17528908</v>
      </c>
      <c r="K92" s="3" t="s">
        <v>170</v>
      </c>
      <c r="L92" s="3" t="s">
        <v>33</v>
      </c>
      <c r="M92" s="3">
        <v>-478</v>
      </c>
      <c r="N92" s="3">
        <v>-353</v>
      </c>
      <c r="O92" s="3" t="s">
        <v>345</v>
      </c>
      <c r="P92" s="3" t="s">
        <v>348</v>
      </c>
    </row>
    <row r="93" spans="1:16" x14ac:dyDescent="0.25">
      <c r="A93" s="4">
        <v>45713</v>
      </c>
      <c r="B93" s="3" t="s">
        <v>167</v>
      </c>
      <c r="C93" s="3" t="str">
        <f>CONCATENATE(B93,88)</f>
        <v>3G14M39WW7788</v>
      </c>
      <c r="D93" s="3" t="s">
        <v>298</v>
      </c>
      <c r="E93" s="3" t="s">
        <v>123</v>
      </c>
      <c r="F93" s="3" t="s">
        <v>158</v>
      </c>
      <c r="G93" s="3" t="s">
        <v>28</v>
      </c>
      <c r="H93" s="5">
        <v>45658</v>
      </c>
      <c r="I93" s="5">
        <v>45658</v>
      </c>
      <c r="J93" s="3">
        <v>20411454</v>
      </c>
      <c r="K93" s="3" t="s">
        <v>355</v>
      </c>
      <c r="L93" s="3" t="s">
        <v>33</v>
      </c>
      <c r="M93" s="3">
        <v>-478</v>
      </c>
      <c r="N93" s="3">
        <v>-125</v>
      </c>
      <c r="O93" s="3" t="s">
        <v>344</v>
      </c>
    </row>
    <row r="94" spans="1:16" x14ac:dyDescent="0.25">
      <c r="A94" s="4">
        <v>45713</v>
      </c>
      <c r="B94" s="3" t="s">
        <v>203</v>
      </c>
      <c r="C94" s="3" t="str">
        <f>CONCATENATE(B93,88)</f>
        <v>3G14M39WW7788</v>
      </c>
      <c r="D94" s="3" t="s">
        <v>334</v>
      </c>
      <c r="E94" s="3" t="s">
        <v>123</v>
      </c>
      <c r="F94" s="3" t="s">
        <v>27</v>
      </c>
      <c r="G94" s="3" t="s">
        <v>28</v>
      </c>
      <c r="H94" s="5">
        <v>45717</v>
      </c>
      <c r="I94" s="5">
        <v>45717</v>
      </c>
      <c r="J94" s="3">
        <v>20411454</v>
      </c>
      <c r="K94" s="3" t="s">
        <v>355</v>
      </c>
      <c r="L94" s="3" t="s">
        <v>33</v>
      </c>
      <c r="M94" s="3">
        <v>-33.33</v>
      </c>
      <c r="N94" s="3">
        <v>-33.33</v>
      </c>
      <c r="O94" s="3" t="s">
        <v>344</v>
      </c>
    </row>
    <row r="95" spans="1:16" x14ac:dyDescent="0.25">
      <c r="A95" s="4">
        <v>45713</v>
      </c>
      <c r="B95" s="3" t="s">
        <v>203</v>
      </c>
      <c r="C95" s="3" t="str">
        <f>CONCATENATE(B94,88)</f>
        <v>7VA2FP5MW8688</v>
      </c>
      <c r="D95" s="3" t="s">
        <v>334</v>
      </c>
      <c r="E95" s="3" t="s">
        <v>123</v>
      </c>
      <c r="F95" s="3" t="s">
        <v>68</v>
      </c>
      <c r="G95" s="3" t="s">
        <v>28</v>
      </c>
      <c r="H95" s="5">
        <v>45717</v>
      </c>
      <c r="I95" s="5">
        <v>45717</v>
      </c>
      <c r="J95" s="3">
        <v>20411454</v>
      </c>
      <c r="K95" s="3" t="s">
        <v>355</v>
      </c>
      <c r="L95" s="3" t="s">
        <v>33</v>
      </c>
      <c r="M95" s="3">
        <v>40</v>
      </c>
      <c r="N95" s="3">
        <v>40</v>
      </c>
      <c r="O95" s="3" t="s">
        <v>344</v>
      </c>
    </row>
    <row r="96" spans="1:16" x14ac:dyDescent="0.25">
      <c r="A96" s="4">
        <v>45713</v>
      </c>
      <c r="B96" s="3" t="s">
        <v>191</v>
      </c>
      <c r="C96" s="3" t="str">
        <f>CONCATENATE(B96,7)</f>
        <v>7DG8P81JN247</v>
      </c>
      <c r="D96" s="3" t="s">
        <v>322</v>
      </c>
      <c r="E96" s="3" t="s">
        <v>26</v>
      </c>
      <c r="F96" s="3" t="s">
        <v>68</v>
      </c>
      <c r="G96" s="3" t="s">
        <v>28</v>
      </c>
      <c r="H96" s="5">
        <v>45689</v>
      </c>
      <c r="I96" s="5">
        <v>45689</v>
      </c>
      <c r="J96" s="3">
        <v>17301495</v>
      </c>
      <c r="K96" s="3" t="s">
        <v>137</v>
      </c>
      <c r="L96" s="3" t="s">
        <v>33</v>
      </c>
      <c r="M96" s="3">
        <v>751</v>
      </c>
      <c r="N96" s="3">
        <v>626</v>
      </c>
      <c r="O96" s="3" t="s">
        <v>350</v>
      </c>
    </row>
    <row r="97" spans="1:16" x14ac:dyDescent="0.25">
      <c r="A97" s="4">
        <v>45713</v>
      </c>
      <c r="B97" s="3" t="s">
        <v>191</v>
      </c>
      <c r="C97" s="3" t="str">
        <f>CONCATENATE(B97,8)</f>
        <v>7DG8P81JN248</v>
      </c>
      <c r="D97" s="3" t="s">
        <v>322</v>
      </c>
      <c r="E97" s="3" t="s">
        <v>26</v>
      </c>
      <c r="F97" s="3" t="s">
        <v>27</v>
      </c>
      <c r="G97" s="3" t="s">
        <v>28</v>
      </c>
      <c r="H97" s="5">
        <v>45689</v>
      </c>
      <c r="I97" s="5">
        <v>45689</v>
      </c>
      <c r="J97" s="3">
        <v>17301495</v>
      </c>
      <c r="K97" s="3" t="s">
        <v>137</v>
      </c>
      <c r="L97" s="3" t="s">
        <v>33</v>
      </c>
      <c r="M97" s="3">
        <v>-401.5</v>
      </c>
      <c r="N97" s="3">
        <v>-313</v>
      </c>
      <c r="O97" s="3" t="s">
        <v>346</v>
      </c>
      <c r="P97" s="3" t="s">
        <v>347</v>
      </c>
    </row>
    <row r="98" spans="1:16" x14ac:dyDescent="0.25">
      <c r="A98" s="4">
        <v>45713</v>
      </c>
      <c r="B98" s="3" t="s">
        <v>191</v>
      </c>
      <c r="C98" s="3" t="str">
        <f>CONCATENATE(B98,88)</f>
        <v>7DG8P81JN2488</v>
      </c>
      <c r="D98" s="3" t="s">
        <v>322</v>
      </c>
      <c r="E98" s="3" t="s">
        <v>26</v>
      </c>
      <c r="F98" s="3" t="s">
        <v>27</v>
      </c>
      <c r="G98" s="3" t="s">
        <v>28</v>
      </c>
      <c r="H98" s="5">
        <v>45689</v>
      </c>
      <c r="I98" s="5">
        <v>45689</v>
      </c>
      <c r="J98" s="3">
        <v>20411454</v>
      </c>
      <c r="K98" s="3" t="s">
        <v>355</v>
      </c>
      <c r="L98" s="3" t="s">
        <v>33</v>
      </c>
      <c r="M98" s="3">
        <v>-401.5</v>
      </c>
      <c r="N98" s="3">
        <v>-88.5</v>
      </c>
      <c r="O98" s="3" t="s">
        <v>344</v>
      </c>
    </row>
    <row r="99" spans="1:16" x14ac:dyDescent="0.25">
      <c r="A99" s="4">
        <v>45713</v>
      </c>
      <c r="B99" s="3" t="s">
        <v>191</v>
      </c>
      <c r="C99" s="3" t="str">
        <f>CONCATENATE(B99,88)</f>
        <v>7DG8P81JN2488</v>
      </c>
      <c r="D99" s="3" t="s">
        <v>322</v>
      </c>
      <c r="E99" s="3" t="s">
        <v>26</v>
      </c>
      <c r="F99" s="3" t="s">
        <v>68</v>
      </c>
      <c r="G99" s="3" t="s">
        <v>28</v>
      </c>
      <c r="H99" s="5">
        <v>45689</v>
      </c>
      <c r="I99" s="5">
        <v>45689</v>
      </c>
      <c r="J99" s="3">
        <v>20411454</v>
      </c>
      <c r="K99" s="3" t="s">
        <v>355</v>
      </c>
      <c r="L99" s="3" t="s">
        <v>33</v>
      </c>
      <c r="M99" s="3">
        <v>751</v>
      </c>
      <c r="N99" s="3">
        <v>125</v>
      </c>
      <c r="O99" s="3" t="s">
        <v>344</v>
      </c>
    </row>
    <row r="100" spans="1:16" x14ac:dyDescent="0.25">
      <c r="A100" s="4">
        <v>45713</v>
      </c>
      <c r="B100" s="3" t="s">
        <v>160</v>
      </c>
      <c r="C100" s="3" t="str">
        <f>CONCATENATE(B100,7)</f>
        <v>5W04QX1TT637</v>
      </c>
      <c r="D100" s="3" t="s">
        <v>320</v>
      </c>
      <c r="E100" s="3" t="s">
        <v>162</v>
      </c>
      <c r="F100" s="3" t="s">
        <v>68</v>
      </c>
      <c r="G100" s="3" t="s">
        <v>28</v>
      </c>
      <c r="H100" s="5">
        <v>45689</v>
      </c>
      <c r="I100" s="5">
        <v>45689</v>
      </c>
      <c r="J100" s="3">
        <v>19645587</v>
      </c>
      <c r="K100" s="3" t="s">
        <v>115</v>
      </c>
      <c r="L100" s="3" t="s">
        <v>33</v>
      </c>
      <c r="M100" s="3">
        <v>751</v>
      </c>
      <c r="N100" s="3">
        <v>626</v>
      </c>
      <c r="O100" s="3" t="s">
        <v>350</v>
      </c>
    </row>
    <row r="101" spans="1:16" x14ac:dyDescent="0.25">
      <c r="A101" s="4">
        <v>45713</v>
      </c>
      <c r="B101" s="3" t="s">
        <v>160</v>
      </c>
      <c r="C101" s="3" t="str">
        <f>CONCATENATE(B101,8)</f>
        <v>5W04QX1TT638</v>
      </c>
      <c r="D101" s="3" t="s">
        <v>320</v>
      </c>
      <c r="E101" s="3" t="s">
        <v>162</v>
      </c>
      <c r="F101" s="3" t="s">
        <v>27</v>
      </c>
      <c r="G101" s="3" t="s">
        <v>28</v>
      </c>
      <c r="H101" s="5">
        <v>45689</v>
      </c>
      <c r="I101" s="5">
        <v>45689</v>
      </c>
      <c r="J101" s="3">
        <v>19645587</v>
      </c>
      <c r="K101" s="3" t="s">
        <v>115</v>
      </c>
      <c r="L101" s="3" t="s">
        <v>33</v>
      </c>
      <c r="M101" s="3">
        <v>-401.5</v>
      </c>
      <c r="N101" s="3">
        <v>-313</v>
      </c>
      <c r="O101" s="3" t="s">
        <v>346</v>
      </c>
      <c r="P101" s="3" t="s">
        <v>347</v>
      </c>
    </row>
    <row r="102" spans="1:16" x14ac:dyDescent="0.25">
      <c r="A102" s="4">
        <v>45713</v>
      </c>
      <c r="B102" s="3" t="s">
        <v>160</v>
      </c>
      <c r="C102" s="3" t="str">
        <f>CONCATENATE(B102,88)</f>
        <v>5W04QX1TT6388</v>
      </c>
      <c r="D102" s="3" t="s">
        <v>320</v>
      </c>
      <c r="E102" s="3" t="s">
        <v>162</v>
      </c>
      <c r="F102" s="3" t="s">
        <v>27</v>
      </c>
      <c r="G102" s="3" t="s">
        <v>28</v>
      </c>
      <c r="H102" s="5">
        <v>45689</v>
      </c>
      <c r="I102" s="5">
        <v>45689</v>
      </c>
      <c r="J102" s="3">
        <v>20411454</v>
      </c>
      <c r="K102" s="3" t="s">
        <v>355</v>
      </c>
      <c r="L102" s="3" t="s">
        <v>33</v>
      </c>
      <c r="M102" s="3">
        <v>-401.5</v>
      </c>
      <c r="N102" s="3">
        <v>-88.5</v>
      </c>
      <c r="O102" s="3" t="s">
        <v>344</v>
      </c>
    </row>
    <row r="103" spans="1:16" x14ac:dyDescent="0.25">
      <c r="A103" s="4">
        <v>45713</v>
      </c>
      <c r="B103" s="3" t="s">
        <v>160</v>
      </c>
      <c r="C103" s="3" t="str">
        <f>CONCATENATE(B103,88)</f>
        <v>5W04QX1TT6388</v>
      </c>
      <c r="D103" s="3" t="s">
        <v>320</v>
      </c>
      <c r="E103" s="3" t="s">
        <v>162</v>
      </c>
      <c r="F103" s="3" t="s">
        <v>68</v>
      </c>
      <c r="G103" s="3" t="s">
        <v>28</v>
      </c>
      <c r="H103" s="5">
        <v>45689</v>
      </c>
      <c r="I103" s="5">
        <v>45689</v>
      </c>
      <c r="J103" s="3">
        <v>20411454</v>
      </c>
      <c r="K103" s="3" t="s">
        <v>355</v>
      </c>
      <c r="L103" s="3" t="s">
        <v>33</v>
      </c>
      <c r="M103" s="3">
        <v>751</v>
      </c>
      <c r="N103" s="3">
        <v>125</v>
      </c>
      <c r="O103" s="3" t="s">
        <v>344</v>
      </c>
    </row>
    <row r="104" spans="1:16" x14ac:dyDescent="0.25">
      <c r="A104" s="4">
        <v>45713</v>
      </c>
      <c r="B104" s="3" t="s">
        <v>72</v>
      </c>
      <c r="C104" s="3" t="str">
        <f>CONCATENATE(B104,7)</f>
        <v>2NQ4AY9WG867</v>
      </c>
      <c r="D104" s="3" t="s">
        <v>297</v>
      </c>
      <c r="E104" s="3" t="s">
        <v>75</v>
      </c>
      <c r="F104" s="3" t="s">
        <v>36</v>
      </c>
      <c r="G104" s="3" t="s">
        <v>28</v>
      </c>
      <c r="H104" s="5">
        <v>45689</v>
      </c>
      <c r="I104" s="5">
        <v>45689</v>
      </c>
      <c r="J104" s="3">
        <v>18406006</v>
      </c>
      <c r="K104" s="3" t="s">
        <v>78</v>
      </c>
      <c r="L104" s="3" t="s">
        <v>33</v>
      </c>
      <c r="M104" s="3">
        <v>838.75</v>
      </c>
      <c r="N104" s="3">
        <v>780</v>
      </c>
      <c r="O104" s="3" t="s">
        <v>351</v>
      </c>
    </row>
    <row r="105" spans="1:16" x14ac:dyDescent="0.25">
      <c r="A105" s="4">
        <v>45713</v>
      </c>
      <c r="B105" s="3" t="s">
        <v>72</v>
      </c>
      <c r="C105" s="3" t="str">
        <f>CONCATENATE(B105,8)</f>
        <v>2NQ4AY9WG868</v>
      </c>
      <c r="D105" s="3" t="s">
        <v>297</v>
      </c>
      <c r="E105" s="3" t="s">
        <v>75</v>
      </c>
      <c r="F105" s="3" t="s">
        <v>27</v>
      </c>
      <c r="G105" s="3" t="s">
        <v>28</v>
      </c>
      <c r="H105" s="5">
        <v>45689</v>
      </c>
      <c r="I105" s="5">
        <v>45689</v>
      </c>
      <c r="J105" s="3">
        <v>18406006</v>
      </c>
      <c r="K105" s="3" t="s">
        <v>78</v>
      </c>
      <c r="L105" s="3" t="s">
        <v>33</v>
      </c>
      <c r="M105" s="3">
        <v>-481.25</v>
      </c>
      <c r="N105" s="3">
        <v>-390</v>
      </c>
      <c r="O105" s="3" t="s">
        <v>207</v>
      </c>
      <c r="P105" s="3" t="s">
        <v>349</v>
      </c>
    </row>
    <row r="106" spans="1:16" x14ac:dyDescent="0.25">
      <c r="A106" s="4">
        <v>45713</v>
      </c>
      <c r="B106" s="3" t="s">
        <v>72</v>
      </c>
      <c r="C106" s="3" t="str">
        <f>CONCATENATE(B106,88)</f>
        <v>2NQ4AY9WG8688</v>
      </c>
      <c r="D106" s="3" t="s">
        <v>297</v>
      </c>
      <c r="E106" s="3" t="s">
        <v>75</v>
      </c>
      <c r="F106" s="3" t="s">
        <v>27</v>
      </c>
      <c r="G106" s="3" t="s">
        <v>28</v>
      </c>
      <c r="H106" s="5">
        <v>45689</v>
      </c>
      <c r="I106" s="5">
        <v>45689</v>
      </c>
      <c r="J106" s="3">
        <v>20411454</v>
      </c>
      <c r="K106" s="3" t="s">
        <v>355</v>
      </c>
      <c r="L106" s="3" t="s">
        <v>33</v>
      </c>
      <c r="M106" s="3">
        <v>-481.25</v>
      </c>
      <c r="N106" s="3">
        <v>-91.25</v>
      </c>
      <c r="O106" s="3" t="s">
        <v>344</v>
      </c>
    </row>
    <row r="107" spans="1:16" x14ac:dyDescent="0.25">
      <c r="A107" s="4">
        <v>45713</v>
      </c>
      <c r="B107" s="3" t="s">
        <v>72</v>
      </c>
      <c r="C107" s="3" t="str">
        <f>CONCATENATE(B107,88)</f>
        <v>2NQ4AY9WG8688</v>
      </c>
      <c r="D107" s="3" t="s">
        <v>297</v>
      </c>
      <c r="E107" s="3" t="s">
        <v>75</v>
      </c>
      <c r="F107" s="3" t="s">
        <v>36</v>
      </c>
      <c r="G107" s="3" t="s">
        <v>28</v>
      </c>
      <c r="H107" s="5">
        <v>45689</v>
      </c>
      <c r="I107" s="5">
        <v>45689</v>
      </c>
      <c r="J107" s="3">
        <v>20411454</v>
      </c>
      <c r="K107" s="3" t="s">
        <v>355</v>
      </c>
      <c r="L107" s="3" t="s">
        <v>33</v>
      </c>
      <c r="M107" s="3">
        <v>838.75</v>
      </c>
      <c r="N107" s="3">
        <v>58.75</v>
      </c>
      <c r="O107" s="3" t="s">
        <v>344</v>
      </c>
    </row>
    <row r="108" spans="1:16" x14ac:dyDescent="0.25">
      <c r="A108" s="4">
        <v>45713</v>
      </c>
      <c r="B108" s="3" t="s">
        <v>98</v>
      </c>
      <c r="C108" s="3" t="str">
        <f>CONCATENATE(B108,7)</f>
        <v>2GA4WA5QF737</v>
      </c>
      <c r="D108" s="3" t="s">
        <v>310</v>
      </c>
      <c r="E108" s="3" t="s">
        <v>26</v>
      </c>
      <c r="F108" s="3" t="s">
        <v>68</v>
      </c>
      <c r="G108" s="3" t="s">
        <v>28</v>
      </c>
      <c r="H108" s="5">
        <v>45689</v>
      </c>
      <c r="I108" s="5">
        <v>45689</v>
      </c>
      <c r="J108" s="3">
        <v>8244481</v>
      </c>
      <c r="K108" s="3" t="s">
        <v>101</v>
      </c>
      <c r="L108" s="3" t="s">
        <v>33</v>
      </c>
      <c r="M108" s="3">
        <v>751</v>
      </c>
      <c r="N108" s="3">
        <v>626</v>
      </c>
      <c r="O108" s="3" t="s">
        <v>350</v>
      </c>
    </row>
    <row r="109" spans="1:16" x14ac:dyDescent="0.25">
      <c r="A109" s="4">
        <v>45713</v>
      </c>
      <c r="B109" s="3" t="s">
        <v>98</v>
      </c>
      <c r="C109" s="3" t="str">
        <f>CONCATENATE(B109,8)</f>
        <v>2GA4WA5QF738</v>
      </c>
      <c r="D109" s="3" t="s">
        <v>310</v>
      </c>
      <c r="E109" s="3" t="s">
        <v>26</v>
      </c>
      <c r="F109" s="3" t="s">
        <v>27</v>
      </c>
      <c r="G109" s="3" t="s">
        <v>28</v>
      </c>
      <c r="H109" s="5">
        <v>45689</v>
      </c>
      <c r="I109" s="5">
        <v>45689</v>
      </c>
      <c r="J109" s="3">
        <v>8244481</v>
      </c>
      <c r="K109" s="3" t="s">
        <v>101</v>
      </c>
      <c r="L109" s="3" t="s">
        <v>33</v>
      </c>
      <c r="M109" s="3">
        <v>-401.5</v>
      </c>
      <c r="N109" s="3">
        <v>-313</v>
      </c>
      <c r="O109" s="3" t="s">
        <v>346</v>
      </c>
      <c r="P109" s="3" t="s">
        <v>347</v>
      </c>
    </row>
    <row r="110" spans="1:16" x14ac:dyDescent="0.25">
      <c r="A110" s="4">
        <v>45713</v>
      </c>
      <c r="B110" s="3" t="s">
        <v>98</v>
      </c>
      <c r="C110" s="3" t="str">
        <f>CONCATENATE(B110,88)</f>
        <v>2GA4WA5QF7388</v>
      </c>
      <c r="D110" s="3" t="s">
        <v>310</v>
      </c>
      <c r="E110" s="3" t="s">
        <v>26</v>
      </c>
      <c r="F110" s="3" t="s">
        <v>27</v>
      </c>
      <c r="G110" s="3" t="s">
        <v>28</v>
      </c>
      <c r="H110" s="5">
        <v>45689</v>
      </c>
      <c r="I110" s="5">
        <v>45689</v>
      </c>
      <c r="J110" s="3">
        <v>20411454</v>
      </c>
      <c r="K110" s="3" t="s">
        <v>355</v>
      </c>
      <c r="L110" s="3" t="s">
        <v>33</v>
      </c>
      <c r="M110" s="3">
        <v>-401.5</v>
      </c>
      <c r="N110" s="3">
        <v>-88.5</v>
      </c>
      <c r="O110" s="3" t="s">
        <v>344</v>
      </c>
    </row>
    <row r="111" spans="1:16" x14ac:dyDescent="0.25">
      <c r="A111" s="4">
        <v>45713</v>
      </c>
      <c r="B111" s="3" t="s">
        <v>98</v>
      </c>
      <c r="C111" s="3" t="str">
        <f>CONCATENATE(B111,88)</f>
        <v>2GA4WA5QF7388</v>
      </c>
      <c r="D111" s="3" t="s">
        <v>310</v>
      </c>
      <c r="E111" s="3" t="s">
        <v>26</v>
      </c>
      <c r="F111" s="3" t="s">
        <v>68</v>
      </c>
      <c r="G111" s="3" t="s">
        <v>28</v>
      </c>
      <c r="H111" s="5">
        <v>45689</v>
      </c>
      <c r="I111" s="5">
        <v>45689</v>
      </c>
      <c r="J111" s="3">
        <v>20411454</v>
      </c>
      <c r="K111" s="3" t="s">
        <v>355</v>
      </c>
      <c r="L111" s="3" t="s">
        <v>33</v>
      </c>
      <c r="M111" s="3">
        <v>751</v>
      </c>
      <c r="N111" s="3">
        <v>125</v>
      </c>
      <c r="O111" s="3" t="s">
        <v>344</v>
      </c>
    </row>
    <row r="112" spans="1:16" x14ac:dyDescent="0.25">
      <c r="A112" s="4">
        <v>45713</v>
      </c>
      <c r="B112" s="3" t="s">
        <v>83</v>
      </c>
      <c r="C112" s="3" t="str">
        <f>CONCATENATE(B112,8)</f>
        <v>1AX1QQ0GD998</v>
      </c>
      <c r="D112" s="3" t="s">
        <v>301</v>
      </c>
      <c r="E112" s="3" t="s">
        <v>26</v>
      </c>
      <c r="F112" s="3" t="s">
        <v>85</v>
      </c>
      <c r="G112" s="3" t="s">
        <v>28</v>
      </c>
      <c r="H112" s="5">
        <v>45658</v>
      </c>
      <c r="I112" s="5">
        <v>45658</v>
      </c>
      <c r="J112" s="3">
        <v>7146581</v>
      </c>
      <c r="K112" s="3" t="s">
        <v>46</v>
      </c>
      <c r="L112" s="3" t="s">
        <v>33</v>
      </c>
      <c r="M112" s="3">
        <v>-438</v>
      </c>
      <c r="N112" s="3">
        <v>-313</v>
      </c>
      <c r="O112" s="3" t="s">
        <v>346</v>
      </c>
      <c r="P112" s="3" t="s">
        <v>347</v>
      </c>
    </row>
    <row r="113" spans="1:16" x14ac:dyDescent="0.25">
      <c r="A113" s="4">
        <v>45713</v>
      </c>
      <c r="B113" s="3" t="s">
        <v>83</v>
      </c>
      <c r="C113" s="3" t="str">
        <f>CONCATENATE(B113,88)</f>
        <v>1AX1QQ0GD9988</v>
      </c>
      <c r="D113" s="3" t="s">
        <v>301</v>
      </c>
      <c r="E113" s="3" t="s">
        <v>26</v>
      </c>
      <c r="F113" s="3" t="s">
        <v>85</v>
      </c>
      <c r="G113" s="3" t="s">
        <v>28</v>
      </c>
      <c r="H113" s="5">
        <v>45658</v>
      </c>
      <c r="I113" s="5">
        <v>45658</v>
      </c>
      <c r="J113" s="3">
        <v>20411454</v>
      </c>
      <c r="K113" s="3" t="s">
        <v>355</v>
      </c>
      <c r="L113" s="3" t="s">
        <v>33</v>
      </c>
      <c r="M113" s="3">
        <v>-438</v>
      </c>
      <c r="N113" s="3">
        <v>-125</v>
      </c>
      <c r="O113" s="3" t="s">
        <v>344</v>
      </c>
    </row>
    <row r="114" spans="1:16" x14ac:dyDescent="0.25">
      <c r="A114" s="4">
        <v>45713</v>
      </c>
      <c r="B114" s="3" t="s">
        <v>83</v>
      </c>
      <c r="C114" s="3" t="str">
        <f>CONCATENATE(B113,88)</f>
        <v>1AX1QQ0GD9988</v>
      </c>
      <c r="D114" s="3" t="s">
        <v>301</v>
      </c>
      <c r="E114" s="3" t="s">
        <v>26</v>
      </c>
      <c r="F114" s="3" t="s">
        <v>87</v>
      </c>
      <c r="G114" s="3" t="s">
        <v>28</v>
      </c>
      <c r="H114" s="5">
        <v>45658</v>
      </c>
      <c r="I114" s="5">
        <v>45658</v>
      </c>
      <c r="J114" s="3">
        <v>20411454</v>
      </c>
      <c r="K114" s="3" t="s">
        <v>355</v>
      </c>
      <c r="L114" s="3" t="s">
        <v>33</v>
      </c>
      <c r="M114" s="3">
        <v>73</v>
      </c>
      <c r="N114" s="3">
        <v>73</v>
      </c>
      <c r="O114" s="3" t="s">
        <v>344</v>
      </c>
    </row>
    <row r="115" spans="1:16" x14ac:dyDescent="0.25">
      <c r="A115" s="4">
        <v>45713</v>
      </c>
      <c r="B115" s="3" t="s">
        <v>113</v>
      </c>
      <c r="C115" s="3" t="str">
        <f>CONCATENATE(B115,8)</f>
        <v>6WR3GF2YV888</v>
      </c>
      <c r="D115" s="3" t="s">
        <v>339</v>
      </c>
      <c r="E115" s="3" t="s">
        <v>26</v>
      </c>
      <c r="F115" s="3" t="s">
        <v>40</v>
      </c>
      <c r="G115" s="3" t="s">
        <v>28</v>
      </c>
      <c r="H115" s="5">
        <v>45717</v>
      </c>
      <c r="I115" s="5">
        <v>45717</v>
      </c>
      <c r="J115" s="3">
        <v>19645587</v>
      </c>
      <c r="K115" s="3" t="s">
        <v>115</v>
      </c>
      <c r="L115" s="3" t="s">
        <v>33</v>
      </c>
      <c r="M115" s="3">
        <v>365</v>
      </c>
      <c r="N115" s="3">
        <v>313</v>
      </c>
      <c r="O115" s="3" t="s">
        <v>346</v>
      </c>
      <c r="P115" s="3" t="s">
        <v>347</v>
      </c>
    </row>
    <row r="116" spans="1:16" x14ac:dyDescent="0.25">
      <c r="A116" s="4">
        <v>45713</v>
      </c>
      <c r="B116" s="3" t="s">
        <v>113</v>
      </c>
      <c r="C116" s="3" t="str">
        <f>CONCATENATE(B116,88)</f>
        <v>6WR3GF2YV8888</v>
      </c>
      <c r="D116" s="3" t="s">
        <v>339</v>
      </c>
      <c r="E116" s="3" t="s">
        <v>26</v>
      </c>
      <c r="F116" s="3" t="s">
        <v>40</v>
      </c>
      <c r="G116" s="3" t="s">
        <v>28</v>
      </c>
      <c r="H116" s="5">
        <v>45717</v>
      </c>
      <c r="I116" s="5">
        <v>45717</v>
      </c>
      <c r="J116" s="3">
        <v>20411454</v>
      </c>
      <c r="K116" s="3" t="s">
        <v>355</v>
      </c>
      <c r="L116" s="3" t="s">
        <v>33</v>
      </c>
      <c r="M116" s="3">
        <v>365</v>
      </c>
      <c r="N116" s="3">
        <v>52</v>
      </c>
      <c r="O116" s="3" t="s">
        <v>344</v>
      </c>
    </row>
    <row r="117" spans="1:16" x14ac:dyDescent="0.25">
      <c r="A117" s="4">
        <v>45713</v>
      </c>
      <c r="B117" s="3" t="s">
        <v>176</v>
      </c>
      <c r="C117" s="3" t="str">
        <f>CONCATENATE(B117,88)</f>
        <v>7RF5E20FF7788</v>
      </c>
      <c r="D117" s="3" t="s">
        <v>328</v>
      </c>
      <c r="E117" s="3" t="s">
        <v>123</v>
      </c>
      <c r="F117" s="3" t="s">
        <v>27</v>
      </c>
      <c r="G117" s="3" t="s">
        <v>28</v>
      </c>
      <c r="H117" s="5">
        <v>45689</v>
      </c>
      <c r="I117" s="5">
        <v>45689</v>
      </c>
      <c r="J117" s="3">
        <v>20411454</v>
      </c>
      <c r="K117" s="3" t="s">
        <v>355</v>
      </c>
      <c r="L117" s="3" t="s">
        <v>33</v>
      </c>
      <c r="M117" s="3">
        <v>-114.59</v>
      </c>
      <c r="N117" s="3">
        <v>-114.59</v>
      </c>
      <c r="O117" s="3" t="s">
        <v>344</v>
      </c>
    </row>
    <row r="118" spans="1:16" x14ac:dyDescent="0.25">
      <c r="A118" s="4">
        <v>45713</v>
      </c>
      <c r="B118" s="3" t="s">
        <v>176</v>
      </c>
      <c r="C118" s="3" t="str">
        <f>CONCATENATE(B117,88)</f>
        <v>7RF5E20FF7788</v>
      </c>
      <c r="D118" s="3" t="s">
        <v>328</v>
      </c>
      <c r="E118" s="3" t="s">
        <v>123</v>
      </c>
      <c r="F118" s="3" t="s">
        <v>68</v>
      </c>
      <c r="G118" s="3" t="s">
        <v>28</v>
      </c>
      <c r="H118" s="5">
        <v>45689</v>
      </c>
      <c r="I118" s="5">
        <v>45689</v>
      </c>
      <c r="J118" s="3">
        <v>20411454</v>
      </c>
      <c r="K118" s="3" t="s">
        <v>355</v>
      </c>
      <c r="L118" s="3" t="s">
        <v>33</v>
      </c>
      <c r="M118" s="3">
        <v>125</v>
      </c>
      <c r="N118" s="3">
        <v>125</v>
      </c>
      <c r="O118" s="3" t="s">
        <v>344</v>
      </c>
    </row>
    <row r="119" spans="1:16" x14ac:dyDescent="0.25">
      <c r="A119" s="4">
        <v>45713</v>
      </c>
      <c r="B119" s="3" t="s">
        <v>173</v>
      </c>
      <c r="C119" s="3" t="str">
        <f>CONCATENATE(B119,8)</f>
        <v>2GA8E44GJ268</v>
      </c>
      <c r="D119" s="3" t="s">
        <v>342</v>
      </c>
      <c r="E119" s="3" t="s">
        <v>123</v>
      </c>
      <c r="F119" s="3" t="s">
        <v>40</v>
      </c>
      <c r="G119" s="3" t="s">
        <v>28</v>
      </c>
      <c r="H119" s="5">
        <v>45689</v>
      </c>
      <c r="I119" s="5">
        <v>45689</v>
      </c>
      <c r="J119" s="6" t="s">
        <v>354</v>
      </c>
      <c r="K119" s="3" t="s">
        <v>170</v>
      </c>
      <c r="L119" s="3" t="s">
        <v>33</v>
      </c>
      <c r="M119" s="3">
        <v>438.17</v>
      </c>
      <c r="N119" s="3">
        <v>353</v>
      </c>
      <c r="O119" s="3" t="s">
        <v>345</v>
      </c>
      <c r="P119" s="3" t="s">
        <v>348</v>
      </c>
    </row>
    <row r="120" spans="1:16" x14ac:dyDescent="0.25">
      <c r="A120" s="4">
        <v>45713</v>
      </c>
      <c r="B120" s="3" t="s">
        <v>173</v>
      </c>
      <c r="C120" s="3" t="str">
        <f>CONCATENATE(B120,88)</f>
        <v>2GA8E44GJ2688</v>
      </c>
      <c r="D120" s="3" t="s">
        <v>342</v>
      </c>
      <c r="E120" s="3" t="s">
        <v>123</v>
      </c>
      <c r="F120" s="3" t="s">
        <v>40</v>
      </c>
      <c r="G120" s="3" t="s">
        <v>28</v>
      </c>
      <c r="H120" s="5">
        <v>45689</v>
      </c>
      <c r="I120" s="5">
        <v>45689</v>
      </c>
      <c r="J120" s="3">
        <v>20411454</v>
      </c>
      <c r="K120" s="3" t="s">
        <v>355</v>
      </c>
      <c r="L120" s="3" t="s">
        <v>33</v>
      </c>
      <c r="M120" s="3">
        <v>438.17</v>
      </c>
      <c r="N120" s="3">
        <v>85.17</v>
      </c>
      <c r="O120" s="3" t="s">
        <v>344</v>
      </c>
    </row>
    <row r="121" spans="1:16" x14ac:dyDescent="0.25">
      <c r="A121" s="4">
        <v>45713</v>
      </c>
      <c r="B121" s="3" t="s">
        <v>141</v>
      </c>
      <c r="C121" s="3" t="str">
        <f>CONCATENATE(B121,7)</f>
        <v>2W13E00MW777</v>
      </c>
      <c r="D121" s="3" t="s">
        <v>300</v>
      </c>
      <c r="E121" s="3" t="s">
        <v>123</v>
      </c>
      <c r="F121" s="3" t="s">
        <v>68</v>
      </c>
      <c r="G121" s="3" t="s">
        <v>28</v>
      </c>
      <c r="H121" s="5">
        <v>45689</v>
      </c>
      <c r="I121" s="5">
        <v>45689</v>
      </c>
      <c r="J121" s="3">
        <v>8971826</v>
      </c>
      <c r="K121" s="3" t="s">
        <v>144</v>
      </c>
      <c r="L121" s="3" t="s">
        <v>33</v>
      </c>
      <c r="M121" s="3">
        <v>830</v>
      </c>
      <c r="N121" s="3">
        <v>705</v>
      </c>
      <c r="O121" s="3" t="s">
        <v>352</v>
      </c>
    </row>
    <row r="122" spans="1:16" x14ac:dyDescent="0.25">
      <c r="A122" s="4">
        <v>45713</v>
      </c>
      <c r="B122" s="3" t="s">
        <v>141</v>
      </c>
      <c r="C122" s="3" t="str">
        <f>CONCATENATE(B122,8)</f>
        <v>2W13E00MW778</v>
      </c>
      <c r="D122" s="3" t="s">
        <v>300</v>
      </c>
      <c r="E122" s="3" t="s">
        <v>123</v>
      </c>
      <c r="F122" s="3" t="s">
        <v>27</v>
      </c>
      <c r="G122" s="3" t="s">
        <v>28</v>
      </c>
      <c r="H122" s="5">
        <v>45689</v>
      </c>
      <c r="I122" s="5">
        <v>45689</v>
      </c>
      <c r="J122" s="3">
        <v>8971826</v>
      </c>
      <c r="K122" s="3" t="s">
        <v>144</v>
      </c>
      <c r="L122" s="3" t="s">
        <v>33</v>
      </c>
      <c r="M122" s="3">
        <v>-438.17</v>
      </c>
      <c r="N122" s="3">
        <v>-353</v>
      </c>
      <c r="O122" s="3" t="s">
        <v>345</v>
      </c>
      <c r="P122" s="3" t="s">
        <v>348</v>
      </c>
    </row>
    <row r="123" spans="1:16" x14ac:dyDescent="0.25">
      <c r="A123" s="4">
        <v>45713</v>
      </c>
      <c r="B123" s="3" t="s">
        <v>141</v>
      </c>
      <c r="C123" s="3" t="str">
        <f>CONCATENATE(B123,88)</f>
        <v>2W13E00MW7788</v>
      </c>
      <c r="D123" s="3" t="s">
        <v>300</v>
      </c>
      <c r="E123" s="3" t="s">
        <v>123</v>
      </c>
      <c r="F123" s="3" t="s">
        <v>27</v>
      </c>
      <c r="G123" s="3" t="s">
        <v>28</v>
      </c>
      <c r="H123" s="5">
        <v>45689</v>
      </c>
      <c r="I123" s="5">
        <v>45689</v>
      </c>
      <c r="J123" s="3">
        <v>20411454</v>
      </c>
      <c r="K123" s="3" t="s">
        <v>355</v>
      </c>
      <c r="L123" s="3" t="s">
        <v>33</v>
      </c>
      <c r="M123" s="3">
        <v>-438.17</v>
      </c>
      <c r="N123" s="3">
        <v>-85.17</v>
      </c>
      <c r="O123" s="3" t="s">
        <v>344</v>
      </c>
    </row>
    <row r="124" spans="1:16" x14ac:dyDescent="0.25">
      <c r="A124" s="4">
        <v>45713</v>
      </c>
      <c r="B124" s="3" t="s">
        <v>141</v>
      </c>
      <c r="C124" s="3" t="str">
        <f>CONCATENATE(B124,88)</f>
        <v>2W13E00MW7788</v>
      </c>
      <c r="D124" s="3" t="s">
        <v>300</v>
      </c>
      <c r="E124" s="3" t="s">
        <v>123</v>
      </c>
      <c r="F124" s="3" t="s">
        <v>68</v>
      </c>
      <c r="G124" s="3" t="s">
        <v>28</v>
      </c>
      <c r="H124" s="5">
        <v>45689</v>
      </c>
      <c r="I124" s="5">
        <v>45689</v>
      </c>
      <c r="J124" s="3">
        <v>20411454</v>
      </c>
      <c r="K124" s="3" t="s">
        <v>355</v>
      </c>
      <c r="L124" s="3" t="s">
        <v>33</v>
      </c>
      <c r="M124" s="3">
        <v>830</v>
      </c>
      <c r="N124" s="3">
        <v>125</v>
      </c>
      <c r="O124" s="3" t="s">
        <v>344</v>
      </c>
    </row>
    <row r="125" spans="1:16" x14ac:dyDescent="0.25">
      <c r="A125" s="4">
        <v>45713</v>
      </c>
      <c r="B125" s="3" t="s">
        <v>145</v>
      </c>
      <c r="C125" s="3" t="str">
        <f>CONCATENATE(B125,7)</f>
        <v>2A44VQ4MY827</v>
      </c>
      <c r="D125" s="3" t="s">
        <v>317</v>
      </c>
      <c r="E125" s="3" t="s">
        <v>26</v>
      </c>
      <c r="F125" s="3" t="s">
        <v>36</v>
      </c>
      <c r="G125" s="3" t="s">
        <v>28</v>
      </c>
      <c r="H125" s="5">
        <v>45689</v>
      </c>
      <c r="I125" s="5">
        <v>45689</v>
      </c>
      <c r="J125" s="3">
        <v>8814784</v>
      </c>
      <c r="K125" s="3" t="s">
        <v>71</v>
      </c>
      <c r="L125" s="3" t="s">
        <v>33</v>
      </c>
      <c r="M125" s="3">
        <v>688.42</v>
      </c>
      <c r="N125" s="3">
        <v>626</v>
      </c>
      <c r="O125" s="3" t="s">
        <v>350</v>
      </c>
    </row>
    <row r="126" spans="1:16" x14ac:dyDescent="0.25">
      <c r="A126" s="4">
        <v>45713</v>
      </c>
      <c r="B126" s="3" t="s">
        <v>145</v>
      </c>
      <c r="C126" s="3" t="str">
        <f>CONCATENATE(B126,8)</f>
        <v>2A44VQ4MY828</v>
      </c>
      <c r="D126" s="3" t="s">
        <v>317</v>
      </c>
      <c r="E126" s="3" t="s">
        <v>26</v>
      </c>
      <c r="F126" s="3" t="s">
        <v>27</v>
      </c>
      <c r="G126" s="3" t="s">
        <v>28</v>
      </c>
      <c r="H126" s="5">
        <v>45689</v>
      </c>
      <c r="I126" s="5">
        <v>45689</v>
      </c>
      <c r="J126" s="3">
        <v>8814784</v>
      </c>
      <c r="K126" s="3" t="s">
        <v>71</v>
      </c>
      <c r="L126" s="3" t="s">
        <v>33</v>
      </c>
      <c r="M126" s="3">
        <v>-401.5</v>
      </c>
      <c r="N126" s="3">
        <v>-313</v>
      </c>
      <c r="O126" s="3" t="s">
        <v>346</v>
      </c>
      <c r="P126" s="3" t="s">
        <v>347</v>
      </c>
    </row>
    <row r="127" spans="1:16" x14ac:dyDescent="0.25">
      <c r="A127" s="4">
        <v>45713</v>
      </c>
      <c r="B127" s="3" t="s">
        <v>145</v>
      </c>
      <c r="C127" s="3" t="str">
        <f>CONCATENATE(B127,88)</f>
        <v>2A44VQ4MY8288</v>
      </c>
      <c r="D127" s="3" t="s">
        <v>317</v>
      </c>
      <c r="E127" s="3" t="s">
        <v>26</v>
      </c>
      <c r="F127" s="3" t="s">
        <v>27</v>
      </c>
      <c r="G127" s="3" t="s">
        <v>28</v>
      </c>
      <c r="H127" s="5">
        <v>45689</v>
      </c>
      <c r="I127" s="5">
        <v>45689</v>
      </c>
      <c r="J127" s="3">
        <v>20411454</v>
      </c>
      <c r="K127" s="3" t="s">
        <v>355</v>
      </c>
      <c r="L127" s="3" t="s">
        <v>33</v>
      </c>
      <c r="M127" s="3">
        <v>-401.5</v>
      </c>
      <c r="N127" s="3">
        <v>-88.5</v>
      </c>
      <c r="O127" s="3" t="s">
        <v>344</v>
      </c>
    </row>
    <row r="128" spans="1:16" x14ac:dyDescent="0.25">
      <c r="A128" s="4">
        <v>45713</v>
      </c>
      <c r="B128" s="3" t="s">
        <v>145</v>
      </c>
      <c r="C128" s="3" t="str">
        <f>CONCATENATE(B128,88)</f>
        <v>2A44VQ4MY8288</v>
      </c>
      <c r="D128" s="3" t="s">
        <v>317</v>
      </c>
      <c r="E128" s="3" t="s">
        <v>26</v>
      </c>
      <c r="F128" s="3" t="s">
        <v>36</v>
      </c>
      <c r="G128" s="3" t="s">
        <v>28</v>
      </c>
      <c r="H128" s="5">
        <v>45689</v>
      </c>
      <c r="I128" s="5">
        <v>45689</v>
      </c>
      <c r="J128" s="3">
        <v>20411454</v>
      </c>
      <c r="K128" s="3" t="s">
        <v>355</v>
      </c>
      <c r="L128" s="3" t="s">
        <v>33</v>
      </c>
      <c r="M128" s="3">
        <v>688.42</v>
      </c>
      <c r="N128" s="3">
        <v>62.42</v>
      </c>
      <c r="O128" s="3" t="s">
        <v>344</v>
      </c>
    </row>
    <row r="129" spans="1:16" x14ac:dyDescent="0.25">
      <c r="A129" s="4">
        <v>45713</v>
      </c>
      <c r="B129" s="3" t="s">
        <v>131</v>
      </c>
      <c r="C129" s="3" t="str">
        <f>CONCATENATE(B128,88)</f>
        <v>2A44VQ4MY8288</v>
      </c>
      <c r="D129" s="3" t="s">
        <v>330</v>
      </c>
      <c r="E129" s="3" t="s">
        <v>123</v>
      </c>
      <c r="F129" s="3" t="s">
        <v>27</v>
      </c>
      <c r="G129" s="3" t="s">
        <v>28</v>
      </c>
      <c r="H129" s="5">
        <v>45689</v>
      </c>
      <c r="I129" s="5">
        <v>45689</v>
      </c>
      <c r="J129" s="3">
        <v>20411454</v>
      </c>
      <c r="K129" s="3" t="s">
        <v>355</v>
      </c>
      <c r="L129" s="3" t="s">
        <v>33</v>
      </c>
      <c r="M129" s="3">
        <v>-36.67</v>
      </c>
      <c r="N129" s="3">
        <v>-36.67</v>
      </c>
      <c r="O129" s="3" t="s">
        <v>344</v>
      </c>
    </row>
    <row r="130" spans="1:16" x14ac:dyDescent="0.25">
      <c r="A130" s="4">
        <v>45713</v>
      </c>
      <c r="B130" s="3" t="s">
        <v>131</v>
      </c>
      <c r="C130" s="3" t="str">
        <f>CONCATENATE(B129,88)</f>
        <v>9Q36AJ6WW8988</v>
      </c>
      <c r="D130" s="3" t="s">
        <v>330</v>
      </c>
      <c r="E130" s="3" t="s">
        <v>123</v>
      </c>
      <c r="F130" s="3" t="s">
        <v>68</v>
      </c>
      <c r="G130" s="3" t="s">
        <v>28</v>
      </c>
      <c r="H130" s="5">
        <v>45689</v>
      </c>
      <c r="I130" s="5">
        <v>45689</v>
      </c>
      <c r="J130" s="3">
        <v>20411454</v>
      </c>
      <c r="K130" s="3" t="s">
        <v>355</v>
      </c>
      <c r="L130" s="3" t="s">
        <v>33</v>
      </c>
      <c r="M130" s="3">
        <v>40</v>
      </c>
      <c r="N130" s="3">
        <v>40</v>
      </c>
      <c r="O130" s="3" t="s">
        <v>344</v>
      </c>
    </row>
    <row r="131" spans="1:16" x14ac:dyDescent="0.25">
      <c r="A131" s="4">
        <v>45713</v>
      </c>
      <c r="B131" s="3" t="s">
        <v>79</v>
      </c>
      <c r="C131" s="3" t="str">
        <f>CONCATENATE(B131,7)</f>
        <v>3VC6T80JU747</v>
      </c>
      <c r="D131" s="3" t="s">
        <v>307</v>
      </c>
      <c r="E131" s="3" t="s">
        <v>26</v>
      </c>
      <c r="F131" s="3" t="s">
        <v>68</v>
      </c>
      <c r="G131" s="3" t="s">
        <v>28</v>
      </c>
      <c r="H131" s="5">
        <v>45689</v>
      </c>
      <c r="I131" s="5">
        <v>45689</v>
      </c>
      <c r="J131" s="3">
        <v>8405446</v>
      </c>
      <c r="K131" s="3" t="s">
        <v>82</v>
      </c>
      <c r="L131" s="3" t="s">
        <v>33</v>
      </c>
      <c r="M131" s="3">
        <v>751</v>
      </c>
      <c r="N131" s="3">
        <v>626</v>
      </c>
      <c r="O131" s="3" t="s">
        <v>350</v>
      </c>
    </row>
    <row r="132" spans="1:16" x14ac:dyDescent="0.25">
      <c r="A132" s="4">
        <v>45713</v>
      </c>
      <c r="B132" s="3" t="s">
        <v>79</v>
      </c>
      <c r="C132" s="3" t="str">
        <f>CONCATENATE(B132,8)</f>
        <v>3VC6T80JU748</v>
      </c>
      <c r="D132" s="3" t="s">
        <v>307</v>
      </c>
      <c r="E132" s="3" t="s">
        <v>26</v>
      </c>
      <c r="F132" s="3" t="s">
        <v>27</v>
      </c>
      <c r="G132" s="3" t="s">
        <v>28</v>
      </c>
      <c r="H132" s="5">
        <v>45689</v>
      </c>
      <c r="I132" s="5">
        <v>45689</v>
      </c>
      <c r="J132" s="3">
        <v>8405446</v>
      </c>
      <c r="K132" s="3" t="s">
        <v>82</v>
      </c>
      <c r="L132" s="3" t="s">
        <v>33</v>
      </c>
      <c r="M132" s="3">
        <v>-401.5</v>
      </c>
      <c r="N132" s="3">
        <v>-313</v>
      </c>
      <c r="O132" s="3" t="s">
        <v>346</v>
      </c>
      <c r="P132" s="3" t="s">
        <v>347</v>
      </c>
    </row>
    <row r="133" spans="1:16" x14ac:dyDescent="0.25">
      <c r="A133" s="4">
        <v>45713</v>
      </c>
      <c r="B133" s="3" t="s">
        <v>79</v>
      </c>
      <c r="C133" s="3" t="str">
        <f>CONCATENATE(B133,88)</f>
        <v>3VC6T80JU7488</v>
      </c>
      <c r="D133" s="3" t="s">
        <v>307</v>
      </c>
      <c r="E133" s="3" t="s">
        <v>26</v>
      </c>
      <c r="F133" s="3" t="s">
        <v>27</v>
      </c>
      <c r="G133" s="3" t="s">
        <v>28</v>
      </c>
      <c r="H133" s="5">
        <v>45689</v>
      </c>
      <c r="I133" s="5">
        <v>45689</v>
      </c>
      <c r="J133" s="3">
        <v>20411454</v>
      </c>
      <c r="K133" s="3" t="s">
        <v>355</v>
      </c>
      <c r="L133" s="3" t="s">
        <v>33</v>
      </c>
      <c r="M133" s="3">
        <v>-401.5</v>
      </c>
      <c r="N133" s="3">
        <v>-88.5</v>
      </c>
      <c r="O133" s="3" t="s">
        <v>344</v>
      </c>
    </row>
    <row r="134" spans="1:16" x14ac:dyDescent="0.25">
      <c r="A134" s="4">
        <v>45713</v>
      </c>
      <c r="B134" s="3" t="s">
        <v>79</v>
      </c>
      <c r="C134" s="3" t="str">
        <f>CONCATENATE(B134,88)</f>
        <v>3VC6T80JU7488</v>
      </c>
      <c r="D134" s="3" t="s">
        <v>307</v>
      </c>
      <c r="E134" s="3" t="s">
        <v>26</v>
      </c>
      <c r="F134" s="3" t="s">
        <v>68</v>
      </c>
      <c r="G134" s="3" t="s">
        <v>28</v>
      </c>
      <c r="H134" s="5">
        <v>45689</v>
      </c>
      <c r="I134" s="5">
        <v>45689</v>
      </c>
      <c r="J134" s="3">
        <v>20411454</v>
      </c>
      <c r="K134" s="3" t="s">
        <v>355</v>
      </c>
      <c r="L134" s="3" t="s">
        <v>33</v>
      </c>
      <c r="M134" s="3">
        <v>751</v>
      </c>
      <c r="N134" s="3">
        <v>125</v>
      </c>
      <c r="O134" s="3" t="s">
        <v>344</v>
      </c>
    </row>
    <row r="135" spans="1:16" x14ac:dyDescent="0.25">
      <c r="A135" s="4">
        <v>45713</v>
      </c>
      <c r="B135" s="3" t="s">
        <v>184</v>
      </c>
      <c r="C135" s="3" t="str">
        <f>CONCATENATE(B135,8)</f>
        <v>1WX8VD5HW248</v>
      </c>
      <c r="D135" s="3" t="s">
        <v>296</v>
      </c>
      <c r="E135" s="3" t="s">
        <v>65</v>
      </c>
      <c r="F135" s="3" t="s">
        <v>27</v>
      </c>
      <c r="G135" s="3" t="s">
        <v>28</v>
      </c>
      <c r="H135" s="5">
        <v>45689</v>
      </c>
      <c r="I135" s="5">
        <v>45689</v>
      </c>
      <c r="J135" s="3">
        <v>19106640</v>
      </c>
      <c r="K135" s="3" t="s">
        <v>187</v>
      </c>
      <c r="L135" s="3" t="s">
        <v>33</v>
      </c>
      <c r="M135" s="3">
        <v>-506.92</v>
      </c>
      <c r="N135" s="3">
        <v>-390</v>
      </c>
      <c r="O135" s="3" t="s">
        <v>207</v>
      </c>
      <c r="P135" s="3" t="s">
        <v>349</v>
      </c>
    </row>
    <row r="136" spans="1:16" x14ac:dyDescent="0.25">
      <c r="A136" s="4">
        <v>45713</v>
      </c>
      <c r="B136" s="3" t="s">
        <v>184</v>
      </c>
      <c r="C136" s="3" t="str">
        <f>CONCATENATE(B136,7)</f>
        <v>1WX8VD5HW247</v>
      </c>
      <c r="D136" s="3" t="s">
        <v>296</v>
      </c>
      <c r="E136" s="3" t="s">
        <v>65</v>
      </c>
      <c r="F136" s="3" t="s">
        <v>68</v>
      </c>
      <c r="G136" s="3" t="s">
        <v>28</v>
      </c>
      <c r="H136" s="5">
        <v>45689</v>
      </c>
      <c r="I136" s="5">
        <v>45689</v>
      </c>
      <c r="J136" s="3">
        <v>19106640</v>
      </c>
      <c r="K136" s="3" t="s">
        <v>187</v>
      </c>
      <c r="L136" s="3" t="s">
        <v>33</v>
      </c>
      <c r="M136" s="3">
        <v>866</v>
      </c>
      <c r="N136" s="3">
        <v>741</v>
      </c>
      <c r="O136" s="3" t="s">
        <v>353</v>
      </c>
    </row>
    <row r="137" spans="1:16" x14ac:dyDescent="0.25">
      <c r="A137" s="4">
        <v>45713</v>
      </c>
      <c r="B137" s="3" t="s">
        <v>184</v>
      </c>
      <c r="C137" s="3" t="str">
        <f>CONCATENATE(B137,88)</f>
        <v>1WX8VD5HW2488</v>
      </c>
      <c r="D137" s="3" t="s">
        <v>296</v>
      </c>
      <c r="E137" s="3" t="s">
        <v>65</v>
      </c>
      <c r="F137" s="3" t="s">
        <v>27</v>
      </c>
      <c r="G137" s="3" t="s">
        <v>28</v>
      </c>
      <c r="H137" s="5">
        <v>45689</v>
      </c>
      <c r="I137" s="5">
        <v>45689</v>
      </c>
      <c r="J137" s="3">
        <v>20411454</v>
      </c>
      <c r="K137" s="3" t="s">
        <v>355</v>
      </c>
      <c r="L137" s="3" t="s">
        <v>33</v>
      </c>
      <c r="M137" s="3">
        <v>-506.92</v>
      </c>
      <c r="N137" s="3">
        <v>-116.92</v>
      </c>
      <c r="O137" s="3" t="s">
        <v>344</v>
      </c>
    </row>
    <row r="138" spans="1:16" x14ac:dyDescent="0.25">
      <c r="A138" s="4">
        <v>45713</v>
      </c>
      <c r="B138" s="3" t="s">
        <v>184</v>
      </c>
      <c r="C138" s="3" t="str">
        <f>CONCATENATE(B138,88)</f>
        <v>1WX8VD5HW2488</v>
      </c>
      <c r="D138" s="3" t="s">
        <v>296</v>
      </c>
      <c r="E138" s="3" t="s">
        <v>65</v>
      </c>
      <c r="F138" s="3" t="s">
        <v>68</v>
      </c>
      <c r="G138" s="3" t="s">
        <v>28</v>
      </c>
      <c r="H138" s="5">
        <v>45689</v>
      </c>
      <c r="I138" s="5">
        <v>45689</v>
      </c>
      <c r="J138" s="3">
        <v>20411454</v>
      </c>
      <c r="K138" s="3" t="s">
        <v>355</v>
      </c>
      <c r="L138" s="3" t="s">
        <v>33</v>
      </c>
      <c r="M138" s="3">
        <v>866</v>
      </c>
      <c r="N138" s="3">
        <v>125</v>
      </c>
      <c r="O138" s="3" t="s">
        <v>344</v>
      </c>
    </row>
    <row r="139" spans="1:16" x14ac:dyDescent="0.25">
      <c r="A139" s="4">
        <v>45713</v>
      </c>
      <c r="B139" s="3" t="s">
        <v>69</v>
      </c>
      <c r="C139" s="3" t="str">
        <f>CONCATENATE(B139,7)</f>
        <v>8CV1UA1JW927</v>
      </c>
      <c r="D139" s="3" t="s">
        <v>325</v>
      </c>
      <c r="E139" s="3" t="s">
        <v>26</v>
      </c>
      <c r="F139" s="3" t="s">
        <v>68</v>
      </c>
      <c r="G139" s="3" t="s">
        <v>28</v>
      </c>
      <c r="H139" s="5">
        <v>45748</v>
      </c>
      <c r="I139" s="5">
        <v>45748</v>
      </c>
      <c r="J139" s="3">
        <v>8814784</v>
      </c>
      <c r="K139" s="3" t="s">
        <v>71</v>
      </c>
      <c r="L139" s="3" t="s">
        <v>33</v>
      </c>
      <c r="M139" s="3">
        <v>751</v>
      </c>
      <c r="N139" s="3">
        <v>626</v>
      </c>
      <c r="O139" s="3" t="s">
        <v>350</v>
      </c>
    </row>
    <row r="140" spans="1:16" x14ac:dyDescent="0.25">
      <c r="A140" s="4">
        <v>45713</v>
      </c>
      <c r="B140" s="3" t="s">
        <v>69</v>
      </c>
      <c r="C140" s="3" t="str">
        <f>CONCATENATE(B139,8)</f>
        <v>8CV1UA1JW928</v>
      </c>
      <c r="D140" s="3" t="s">
        <v>325</v>
      </c>
      <c r="E140" s="3" t="s">
        <v>26</v>
      </c>
      <c r="F140" s="3" t="s">
        <v>27</v>
      </c>
      <c r="G140" s="3" t="s">
        <v>28</v>
      </c>
      <c r="H140" s="5">
        <v>45748</v>
      </c>
      <c r="I140" s="5">
        <v>45748</v>
      </c>
      <c r="J140" s="3">
        <v>8814784</v>
      </c>
      <c r="K140" s="3" t="s">
        <v>71</v>
      </c>
      <c r="L140" s="3" t="s">
        <v>33</v>
      </c>
      <c r="M140" s="3">
        <v>-328.5</v>
      </c>
      <c r="N140" s="3">
        <v>-313</v>
      </c>
      <c r="O140" s="3" t="s">
        <v>346</v>
      </c>
      <c r="P140" s="3" t="s">
        <v>347</v>
      </c>
    </row>
    <row r="141" spans="1:16" x14ac:dyDescent="0.25">
      <c r="A141" s="4">
        <v>45713</v>
      </c>
      <c r="B141" s="3" t="s">
        <v>69</v>
      </c>
      <c r="C141" s="3" t="str">
        <f>CONCATENATE(B140,88)</f>
        <v>8CV1UA1JW9288</v>
      </c>
      <c r="D141" s="3" t="s">
        <v>325</v>
      </c>
      <c r="E141" s="3" t="s">
        <v>26</v>
      </c>
      <c r="F141" s="3" t="s">
        <v>27</v>
      </c>
      <c r="G141" s="3" t="s">
        <v>28</v>
      </c>
      <c r="H141" s="5">
        <v>45748</v>
      </c>
      <c r="I141" s="5">
        <v>45748</v>
      </c>
      <c r="J141" s="3">
        <v>20411454</v>
      </c>
      <c r="K141" s="3" t="s">
        <v>355</v>
      </c>
      <c r="L141" s="3" t="s">
        <v>33</v>
      </c>
      <c r="M141" s="3">
        <v>-328.5</v>
      </c>
      <c r="N141" s="3">
        <v>-15.5</v>
      </c>
      <c r="O141" s="3" t="s">
        <v>344</v>
      </c>
    </row>
    <row r="142" spans="1:16" x14ac:dyDescent="0.25">
      <c r="A142" s="4">
        <v>45713</v>
      </c>
      <c r="B142" s="3" t="s">
        <v>69</v>
      </c>
      <c r="C142" s="3" t="str">
        <f>CONCATENATE(B142,88)</f>
        <v>8CV1UA1JW9288</v>
      </c>
      <c r="D142" s="3" t="s">
        <v>325</v>
      </c>
      <c r="E142" s="3" t="s">
        <v>26</v>
      </c>
      <c r="F142" s="3" t="s">
        <v>68</v>
      </c>
      <c r="G142" s="3" t="s">
        <v>28</v>
      </c>
      <c r="H142" s="5">
        <v>45748</v>
      </c>
      <c r="I142" s="5">
        <v>45748</v>
      </c>
      <c r="J142" s="3">
        <v>20411454</v>
      </c>
      <c r="K142" s="3" t="s">
        <v>355</v>
      </c>
      <c r="L142" s="3" t="s">
        <v>33</v>
      </c>
      <c r="M142" s="3">
        <v>751</v>
      </c>
      <c r="N142" s="3">
        <v>125</v>
      </c>
      <c r="O142" s="3" t="s">
        <v>344</v>
      </c>
    </row>
    <row r="143" spans="1:16" x14ac:dyDescent="0.25">
      <c r="A143" s="4">
        <v>45713</v>
      </c>
      <c r="B143" s="3" t="s">
        <v>102</v>
      </c>
      <c r="C143" s="3" t="str">
        <f>CONCATENATE(B143,7)</f>
        <v>7F24VG4QC017</v>
      </c>
      <c r="D143" s="3" t="s">
        <v>311</v>
      </c>
      <c r="E143" s="3" t="s">
        <v>26</v>
      </c>
      <c r="F143" s="3" t="s">
        <v>68</v>
      </c>
      <c r="G143" s="3" t="s">
        <v>28</v>
      </c>
      <c r="H143" s="5">
        <v>45689</v>
      </c>
      <c r="I143" s="5">
        <v>45689</v>
      </c>
      <c r="J143" s="3">
        <v>8244481</v>
      </c>
      <c r="K143" s="3" t="s">
        <v>101</v>
      </c>
      <c r="L143" s="3" t="s">
        <v>33</v>
      </c>
      <c r="M143" s="3">
        <v>751</v>
      </c>
      <c r="N143" s="3">
        <v>626</v>
      </c>
      <c r="O143" s="3" t="s">
        <v>350</v>
      </c>
    </row>
    <row r="144" spans="1:16" x14ac:dyDescent="0.25">
      <c r="A144" s="4">
        <v>45713</v>
      </c>
      <c r="B144" s="3" t="s">
        <v>102</v>
      </c>
      <c r="C144" s="3" t="str">
        <f>CONCATENATE(B144,8)</f>
        <v>7F24VG4QC018</v>
      </c>
      <c r="D144" s="3" t="s">
        <v>311</v>
      </c>
      <c r="E144" s="3" t="s">
        <v>26</v>
      </c>
      <c r="F144" s="3" t="s">
        <v>27</v>
      </c>
      <c r="G144" s="3" t="s">
        <v>28</v>
      </c>
      <c r="H144" s="5">
        <v>45689</v>
      </c>
      <c r="I144" s="5">
        <v>45689</v>
      </c>
      <c r="J144" s="3">
        <v>8244481</v>
      </c>
      <c r="K144" s="3" t="s">
        <v>101</v>
      </c>
      <c r="L144" s="3" t="s">
        <v>33</v>
      </c>
      <c r="M144" s="3">
        <v>-401.5</v>
      </c>
      <c r="N144" s="3">
        <v>-313</v>
      </c>
      <c r="O144" s="3" t="s">
        <v>346</v>
      </c>
      <c r="P144" s="3" t="s">
        <v>347</v>
      </c>
    </row>
    <row r="145" spans="1:16" x14ac:dyDescent="0.25">
      <c r="A145" s="4">
        <v>45713</v>
      </c>
      <c r="B145" s="3" t="s">
        <v>102</v>
      </c>
      <c r="C145" s="3" t="str">
        <f>CONCATENATE(B145,88)</f>
        <v>7F24VG4QC0188</v>
      </c>
      <c r="D145" s="3" t="s">
        <v>311</v>
      </c>
      <c r="E145" s="3" t="s">
        <v>26</v>
      </c>
      <c r="F145" s="3" t="s">
        <v>27</v>
      </c>
      <c r="G145" s="3" t="s">
        <v>28</v>
      </c>
      <c r="H145" s="5">
        <v>45689</v>
      </c>
      <c r="I145" s="5">
        <v>45689</v>
      </c>
      <c r="J145" s="3">
        <v>20411454</v>
      </c>
      <c r="K145" s="3" t="s">
        <v>355</v>
      </c>
      <c r="L145" s="3" t="s">
        <v>33</v>
      </c>
      <c r="M145" s="3">
        <v>-401.5</v>
      </c>
      <c r="N145" s="3">
        <v>-88.5</v>
      </c>
      <c r="O145" s="3" t="s">
        <v>344</v>
      </c>
    </row>
    <row r="146" spans="1:16" x14ac:dyDescent="0.25">
      <c r="A146" s="4">
        <v>45713</v>
      </c>
      <c r="B146" s="3" t="s">
        <v>102</v>
      </c>
      <c r="C146" s="3" t="str">
        <f>CONCATENATE(B146,88)</f>
        <v>7F24VG4QC0188</v>
      </c>
      <c r="D146" s="3" t="s">
        <v>311</v>
      </c>
      <c r="E146" s="3" t="s">
        <v>26</v>
      </c>
      <c r="F146" s="3" t="s">
        <v>68</v>
      </c>
      <c r="G146" s="3" t="s">
        <v>28</v>
      </c>
      <c r="H146" s="5">
        <v>45689</v>
      </c>
      <c r="I146" s="5">
        <v>45689</v>
      </c>
      <c r="J146" s="3">
        <v>20411454</v>
      </c>
      <c r="K146" s="3" t="s">
        <v>355</v>
      </c>
      <c r="L146" s="3" t="s">
        <v>33</v>
      </c>
      <c r="M146" s="3">
        <v>751</v>
      </c>
      <c r="N146" s="3">
        <v>125</v>
      </c>
      <c r="O146" s="3" t="s">
        <v>344</v>
      </c>
    </row>
    <row r="147" spans="1:16" x14ac:dyDescent="0.25">
      <c r="A147" s="4">
        <v>45713</v>
      </c>
      <c r="B147" s="3" t="s">
        <v>110</v>
      </c>
      <c r="C147" s="3" t="str">
        <f>CONCATENATE(B147,7)</f>
        <v>9C80MW8KH437</v>
      </c>
      <c r="D147" s="3" t="s">
        <v>313</v>
      </c>
      <c r="E147" s="3" t="s">
        <v>49</v>
      </c>
      <c r="F147" s="3" t="s">
        <v>68</v>
      </c>
      <c r="G147" s="3" t="s">
        <v>28</v>
      </c>
      <c r="H147" s="5">
        <v>45689</v>
      </c>
      <c r="I147" s="5">
        <v>45689</v>
      </c>
      <c r="J147" s="3">
        <v>8307933</v>
      </c>
      <c r="K147" s="3" t="s">
        <v>62</v>
      </c>
      <c r="L147" s="3" t="s">
        <v>33</v>
      </c>
      <c r="M147" s="3">
        <v>751</v>
      </c>
      <c r="N147" s="3">
        <v>626</v>
      </c>
      <c r="O147" s="3" t="s">
        <v>350</v>
      </c>
    </row>
    <row r="148" spans="1:16" x14ac:dyDescent="0.25">
      <c r="A148" s="4">
        <v>45713</v>
      </c>
      <c r="B148" s="3" t="s">
        <v>110</v>
      </c>
      <c r="C148" s="3" t="str">
        <f>CONCATENATE(B148,8)</f>
        <v>9C80MW8KH438</v>
      </c>
      <c r="D148" s="3" t="s">
        <v>313</v>
      </c>
      <c r="E148" s="3" t="s">
        <v>49</v>
      </c>
      <c r="F148" s="3" t="s">
        <v>27</v>
      </c>
      <c r="G148" s="3" t="s">
        <v>28</v>
      </c>
      <c r="H148" s="5">
        <v>45689</v>
      </c>
      <c r="I148" s="5">
        <v>45689</v>
      </c>
      <c r="J148" s="3">
        <v>8307933</v>
      </c>
      <c r="K148" s="3" t="s">
        <v>62</v>
      </c>
      <c r="L148" s="3" t="s">
        <v>33</v>
      </c>
      <c r="M148" s="3">
        <v>-401.5</v>
      </c>
      <c r="N148" s="3">
        <v>-313</v>
      </c>
      <c r="O148" s="3" t="s">
        <v>346</v>
      </c>
      <c r="P148" s="3" t="s">
        <v>347</v>
      </c>
    </row>
    <row r="149" spans="1:16" x14ac:dyDescent="0.25">
      <c r="A149" s="4">
        <v>45713</v>
      </c>
      <c r="B149" s="3" t="s">
        <v>110</v>
      </c>
      <c r="C149" s="3" t="str">
        <f>CONCATENATE(B149,88)</f>
        <v>9C80MW8KH4388</v>
      </c>
      <c r="D149" s="3" t="s">
        <v>313</v>
      </c>
      <c r="E149" s="3" t="s">
        <v>49</v>
      </c>
      <c r="F149" s="3" t="s">
        <v>27</v>
      </c>
      <c r="G149" s="3" t="s">
        <v>28</v>
      </c>
      <c r="H149" s="5">
        <v>45689</v>
      </c>
      <c r="I149" s="5">
        <v>45689</v>
      </c>
      <c r="J149" s="3">
        <v>20411454</v>
      </c>
      <c r="K149" s="3" t="s">
        <v>355</v>
      </c>
      <c r="L149" s="3" t="s">
        <v>33</v>
      </c>
      <c r="M149" s="3">
        <v>-401.5</v>
      </c>
      <c r="N149" s="3">
        <v>-88.5</v>
      </c>
      <c r="O149" s="3" t="s">
        <v>344</v>
      </c>
    </row>
    <row r="150" spans="1:16" x14ac:dyDescent="0.25">
      <c r="A150" s="4">
        <v>45713</v>
      </c>
      <c r="B150" s="3" t="s">
        <v>110</v>
      </c>
      <c r="C150" s="3" t="str">
        <f>CONCATENATE(B150,88)</f>
        <v>9C80MW8KH4388</v>
      </c>
      <c r="D150" s="3" t="s">
        <v>313</v>
      </c>
      <c r="E150" s="3" t="s">
        <v>49</v>
      </c>
      <c r="F150" s="3" t="s">
        <v>68</v>
      </c>
      <c r="G150" s="3" t="s">
        <v>28</v>
      </c>
      <c r="H150" s="5">
        <v>45689</v>
      </c>
      <c r="I150" s="5">
        <v>45689</v>
      </c>
      <c r="J150" s="3">
        <v>20411454</v>
      </c>
      <c r="K150" s="3" t="s">
        <v>355</v>
      </c>
      <c r="L150" s="3" t="s">
        <v>33</v>
      </c>
      <c r="M150" s="3">
        <v>751</v>
      </c>
      <c r="N150" s="3">
        <v>125</v>
      </c>
      <c r="O150" s="3" t="s">
        <v>344</v>
      </c>
    </row>
    <row r="151" spans="1:16" x14ac:dyDescent="0.25">
      <c r="A151" s="4">
        <v>45713</v>
      </c>
      <c r="B151" s="3" t="s">
        <v>182</v>
      </c>
      <c r="C151" s="3" t="str">
        <f>CONCATENATE(B151,7)</f>
        <v>3K16E37YF547</v>
      </c>
      <c r="D151" s="3" t="s">
        <v>321</v>
      </c>
      <c r="E151" s="3" t="s">
        <v>26</v>
      </c>
      <c r="F151" s="3" t="s">
        <v>68</v>
      </c>
      <c r="G151" s="3" t="s">
        <v>28</v>
      </c>
      <c r="H151" s="5">
        <v>45689</v>
      </c>
      <c r="I151" s="5">
        <v>45689</v>
      </c>
      <c r="J151" s="3">
        <v>7146581</v>
      </c>
      <c r="K151" s="3" t="s">
        <v>46</v>
      </c>
      <c r="L151" s="3" t="s">
        <v>33</v>
      </c>
      <c r="M151" s="3">
        <v>751</v>
      </c>
      <c r="N151" s="3">
        <v>626</v>
      </c>
      <c r="O151" s="3" t="s">
        <v>350</v>
      </c>
    </row>
    <row r="152" spans="1:16" x14ac:dyDescent="0.25">
      <c r="A152" s="4">
        <v>45713</v>
      </c>
      <c r="B152" s="3" t="s">
        <v>182</v>
      </c>
      <c r="C152" s="3" t="str">
        <f>CONCATENATE(B152,8)</f>
        <v>3K16E37YF548</v>
      </c>
      <c r="D152" s="3" t="s">
        <v>321</v>
      </c>
      <c r="E152" s="3" t="s">
        <v>26</v>
      </c>
      <c r="F152" s="3" t="s">
        <v>27</v>
      </c>
      <c r="G152" s="3" t="s">
        <v>28</v>
      </c>
      <c r="H152" s="5">
        <v>45689</v>
      </c>
      <c r="I152" s="5">
        <v>45689</v>
      </c>
      <c r="J152" s="3">
        <v>7146581</v>
      </c>
      <c r="K152" s="3" t="s">
        <v>46</v>
      </c>
      <c r="L152" s="3" t="s">
        <v>33</v>
      </c>
      <c r="M152" s="3">
        <v>-401.5</v>
      </c>
      <c r="N152" s="3">
        <v>-313</v>
      </c>
      <c r="O152" s="3" t="s">
        <v>346</v>
      </c>
      <c r="P152" s="3" t="s">
        <v>347</v>
      </c>
    </row>
    <row r="153" spans="1:16" x14ac:dyDescent="0.25">
      <c r="A153" s="4">
        <v>45713</v>
      </c>
      <c r="B153" s="3" t="s">
        <v>182</v>
      </c>
      <c r="C153" s="3" t="str">
        <f>CONCATENATE(B153,88)</f>
        <v>3K16E37YF5488</v>
      </c>
      <c r="D153" s="3" t="s">
        <v>321</v>
      </c>
      <c r="E153" s="3" t="s">
        <v>26</v>
      </c>
      <c r="F153" s="3" t="s">
        <v>27</v>
      </c>
      <c r="G153" s="3" t="s">
        <v>28</v>
      </c>
      <c r="H153" s="5">
        <v>45689</v>
      </c>
      <c r="I153" s="5">
        <v>45689</v>
      </c>
      <c r="J153" s="3">
        <v>20411454</v>
      </c>
      <c r="K153" s="3" t="s">
        <v>355</v>
      </c>
      <c r="L153" s="3" t="s">
        <v>33</v>
      </c>
      <c r="M153" s="3">
        <v>-401.5</v>
      </c>
      <c r="N153" s="3">
        <v>-88.5</v>
      </c>
      <c r="O153" s="3" t="s">
        <v>344</v>
      </c>
    </row>
    <row r="154" spans="1:16" x14ac:dyDescent="0.25">
      <c r="A154" s="4">
        <v>45713</v>
      </c>
      <c r="B154" s="3" t="s">
        <v>182</v>
      </c>
      <c r="C154" s="3" t="str">
        <f>CONCATENATE(B154,88)</f>
        <v>3K16E37YF5488</v>
      </c>
      <c r="D154" s="3" t="s">
        <v>321</v>
      </c>
      <c r="E154" s="3" t="s">
        <v>26</v>
      </c>
      <c r="F154" s="3" t="s">
        <v>68</v>
      </c>
      <c r="G154" s="3" t="s">
        <v>28</v>
      </c>
      <c r="H154" s="5">
        <v>45689</v>
      </c>
      <c r="I154" s="5">
        <v>45689</v>
      </c>
      <c r="J154" s="3">
        <v>20411454</v>
      </c>
      <c r="K154" s="3" t="s">
        <v>355</v>
      </c>
      <c r="L154" s="3" t="s">
        <v>33</v>
      </c>
      <c r="M154" s="3">
        <v>751</v>
      </c>
      <c r="N154" s="3">
        <v>125</v>
      </c>
      <c r="O154" s="3" t="s">
        <v>344</v>
      </c>
    </row>
  </sheetData>
  <sortState xmlns:xlrd2="http://schemas.microsoft.com/office/spreadsheetml/2017/richdata2" ref="A2:Y154">
    <sortCondition ref="D2:D154"/>
  </sortState>
  <phoneticPr fontId="18" type="noConversion"/>
  <pageMargins left="0.7" right="0.7" top="0.75" bottom="0.75" header="0.3" footer="0.3"/>
  <ignoredErrors>
    <ignoredError sqref="C6:C15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702C-7107-43F6-943B-6D9B66351C59}">
  <dimension ref="A1:C84"/>
  <sheetViews>
    <sheetView workbookViewId="0">
      <selection activeCell="C1" sqref="C1:C84"/>
    </sheetView>
  </sheetViews>
  <sheetFormatPr defaultRowHeight="15" x14ac:dyDescent="0.25"/>
  <cols>
    <col min="1" max="1" width="13.42578125" bestFit="1" customWidth="1"/>
    <col min="2" max="2" width="11.5703125" bestFit="1" customWidth="1"/>
    <col min="3" max="3" width="22.42578125" bestFit="1" customWidth="1"/>
  </cols>
  <sheetData>
    <row r="1" spans="1:3" x14ac:dyDescent="0.25">
      <c r="A1" t="s">
        <v>208</v>
      </c>
      <c r="B1" t="s">
        <v>209</v>
      </c>
      <c r="C1" t="str">
        <f>CONCATENATE(B1, " ",A1)</f>
        <v>STOJANKA STOJANOVIC</v>
      </c>
    </row>
    <row r="2" spans="1:3" x14ac:dyDescent="0.25">
      <c r="A2" t="s">
        <v>210</v>
      </c>
      <c r="B2" t="s">
        <v>211</v>
      </c>
      <c r="C2" t="str">
        <f t="shared" ref="C2:C65" si="0">CONCATENATE(B2, " ",A2)</f>
        <v>LUIS CABELLO</v>
      </c>
    </row>
    <row r="3" spans="1:3" x14ac:dyDescent="0.25">
      <c r="A3" t="s">
        <v>212</v>
      </c>
      <c r="B3" t="s">
        <v>213</v>
      </c>
      <c r="C3" t="str">
        <f t="shared" si="0"/>
        <v>LAWRENCE ROBINSON</v>
      </c>
    </row>
    <row r="4" spans="1:3" x14ac:dyDescent="0.25">
      <c r="A4" t="s">
        <v>212</v>
      </c>
      <c r="B4" t="s">
        <v>214</v>
      </c>
      <c r="C4" t="str">
        <f t="shared" si="0"/>
        <v>DAWN ROBINSON</v>
      </c>
    </row>
    <row r="5" spans="1:3" x14ac:dyDescent="0.25">
      <c r="A5" t="s">
        <v>215</v>
      </c>
      <c r="B5" t="s">
        <v>216</v>
      </c>
      <c r="C5" t="str">
        <f t="shared" si="0"/>
        <v>RICHARD LIPINSKI</v>
      </c>
    </row>
    <row r="6" spans="1:3" x14ac:dyDescent="0.25">
      <c r="A6" t="s">
        <v>217</v>
      </c>
      <c r="B6" t="s">
        <v>218</v>
      </c>
      <c r="C6" t="str">
        <f t="shared" si="0"/>
        <v>NANCY COATES</v>
      </c>
    </row>
    <row r="7" spans="1:3" x14ac:dyDescent="0.25">
      <c r="A7" t="s">
        <v>219</v>
      </c>
      <c r="B7" t="s">
        <v>220</v>
      </c>
      <c r="C7" t="str">
        <f t="shared" si="0"/>
        <v>GENOVEVA MANDUJANO</v>
      </c>
    </row>
    <row r="8" spans="1:3" x14ac:dyDescent="0.25">
      <c r="A8" t="s">
        <v>221</v>
      </c>
      <c r="B8" t="s">
        <v>222</v>
      </c>
      <c r="C8" t="str">
        <f t="shared" si="0"/>
        <v>LARRY NUGENT</v>
      </c>
    </row>
    <row r="9" spans="1:3" x14ac:dyDescent="0.25">
      <c r="A9" t="s">
        <v>223</v>
      </c>
      <c r="B9" t="s">
        <v>224</v>
      </c>
      <c r="C9" t="str">
        <f t="shared" si="0"/>
        <v>KAY ANDERSON</v>
      </c>
    </row>
    <row r="10" spans="1:3" x14ac:dyDescent="0.25">
      <c r="A10" t="s">
        <v>225</v>
      </c>
      <c r="B10" t="s">
        <v>226</v>
      </c>
      <c r="C10" t="str">
        <f t="shared" si="0"/>
        <v>JAMES BILELLO</v>
      </c>
    </row>
    <row r="11" spans="1:3" x14ac:dyDescent="0.25">
      <c r="A11" t="s">
        <v>227</v>
      </c>
      <c r="B11" t="s">
        <v>228</v>
      </c>
      <c r="C11" t="str">
        <f t="shared" si="0"/>
        <v>GEORGE BRIDGES</v>
      </c>
    </row>
    <row r="12" spans="1:3" x14ac:dyDescent="0.25">
      <c r="A12" t="s">
        <v>229</v>
      </c>
      <c r="B12" t="s">
        <v>230</v>
      </c>
      <c r="C12" t="str">
        <f t="shared" si="0"/>
        <v>SABINA CHAN</v>
      </c>
    </row>
    <row r="13" spans="1:3" x14ac:dyDescent="0.25">
      <c r="A13" t="s">
        <v>231</v>
      </c>
      <c r="B13" t="s">
        <v>232</v>
      </c>
      <c r="C13" t="str">
        <f t="shared" si="0"/>
        <v>ALLEN DARRINGTON</v>
      </c>
    </row>
    <row r="14" spans="1:3" x14ac:dyDescent="0.25">
      <c r="A14" t="s">
        <v>233</v>
      </c>
      <c r="B14" t="s">
        <v>234</v>
      </c>
      <c r="C14" t="str">
        <f t="shared" si="0"/>
        <v>CINDY DICKERSON</v>
      </c>
    </row>
    <row r="15" spans="1:3" x14ac:dyDescent="0.25">
      <c r="A15" t="s">
        <v>235</v>
      </c>
      <c r="B15" t="s">
        <v>236</v>
      </c>
      <c r="C15" t="str">
        <f t="shared" si="0"/>
        <v>NANCI DYER</v>
      </c>
    </row>
    <row r="16" spans="1:3" x14ac:dyDescent="0.25">
      <c r="A16" t="s">
        <v>235</v>
      </c>
      <c r="B16" t="s">
        <v>237</v>
      </c>
      <c r="C16" t="str">
        <f t="shared" si="0"/>
        <v>TERRACE DYER</v>
      </c>
    </row>
    <row r="17" spans="1:3" x14ac:dyDescent="0.25">
      <c r="A17" t="s">
        <v>238</v>
      </c>
      <c r="B17" t="s">
        <v>239</v>
      </c>
      <c r="C17" t="str">
        <f t="shared" si="0"/>
        <v>CYNTHIA FIEDLER</v>
      </c>
    </row>
    <row r="18" spans="1:3" x14ac:dyDescent="0.25">
      <c r="A18" t="s">
        <v>240</v>
      </c>
      <c r="B18" t="s">
        <v>241</v>
      </c>
      <c r="C18" t="str">
        <f t="shared" si="0"/>
        <v>WILLIAM FLEMING</v>
      </c>
    </row>
    <row r="19" spans="1:3" x14ac:dyDescent="0.25">
      <c r="A19" t="s">
        <v>242</v>
      </c>
      <c r="B19" t="s">
        <v>243</v>
      </c>
      <c r="C19" t="str">
        <f t="shared" si="0"/>
        <v>JULIE FREY</v>
      </c>
    </row>
    <row r="20" spans="1:3" x14ac:dyDescent="0.25">
      <c r="A20" t="s">
        <v>244</v>
      </c>
      <c r="B20" t="s">
        <v>245</v>
      </c>
      <c r="C20" t="str">
        <f t="shared" si="0"/>
        <v>JOHN GALIOTO</v>
      </c>
    </row>
    <row r="21" spans="1:3" x14ac:dyDescent="0.25">
      <c r="A21" t="s">
        <v>246</v>
      </c>
      <c r="B21" t="s">
        <v>247</v>
      </c>
      <c r="C21" t="str">
        <f t="shared" si="0"/>
        <v>KATARZYNA KOZIOL</v>
      </c>
    </row>
    <row r="22" spans="1:3" x14ac:dyDescent="0.25">
      <c r="A22" t="s">
        <v>248</v>
      </c>
      <c r="B22" t="s">
        <v>249</v>
      </c>
      <c r="C22" t="str">
        <f t="shared" si="0"/>
        <v>ROBERT MABIE</v>
      </c>
    </row>
    <row r="23" spans="1:3" x14ac:dyDescent="0.25">
      <c r="A23" t="s">
        <v>250</v>
      </c>
      <c r="B23" t="s">
        <v>251</v>
      </c>
      <c r="C23" t="str">
        <f t="shared" si="0"/>
        <v>JOAN MARCHESE</v>
      </c>
    </row>
    <row r="24" spans="1:3" x14ac:dyDescent="0.25">
      <c r="A24" t="s">
        <v>252</v>
      </c>
      <c r="B24" t="s">
        <v>243</v>
      </c>
      <c r="C24" t="str">
        <f t="shared" si="0"/>
        <v>JULIE MARKIN</v>
      </c>
    </row>
    <row r="25" spans="1:3" x14ac:dyDescent="0.25">
      <c r="A25" t="s">
        <v>253</v>
      </c>
      <c r="B25" t="s">
        <v>254</v>
      </c>
      <c r="C25" t="str">
        <f t="shared" si="0"/>
        <v>LORETTA OKUNGBOWA</v>
      </c>
    </row>
    <row r="26" spans="1:3" x14ac:dyDescent="0.25">
      <c r="A26" t="s">
        <v>255</v>
      </c>
      <c r="B26" t="s">
        <v>241</v>
      </c>
      <c r="C26" t="str">
        <f t="shared" si="0"/>
        <v>WILLIAM SPELICH</v>
      </c>
    </row>
    <row r="27" spans="1:3" x14ac:dyDescent="0.25">
      <c r="A27" t="s">
        <v>256</v>
      </c>
      <c r="B27" t="s">
        <v>257</v>
      </c>
      <c r="C27" t="str">
        <f t="shared" si="0"/>
        <v>LISA WACHOWIAK</v>
      </c>
    </row>
    <row r="28" spans="1:3" x14ac:dyDescent="0.25">
      <c r="A28" t="s">
        <v>258</v>
      </c>
      <c r="B28" t="s">
        <v>259</v>
      </c>
      <c r="C28" t="str">
        <f t="shared" si="0"/>
        <v>CHRISTY WELSH</v>
      </c>
    </row>
    <row r="29" spans="1:3" x14ac:dyDescent="0.25">
      <c r="A29" t="s">
        <v>260</v>
      </c>
      <c r="B29" t="s">
        <v>261</v>
      </c>
      <c r="C29" t="str">
        <f t="shared" si="0"/>
        <v>AMY WHEELER</v>
      </c>
    </row>
    <row r="30" spans="1:3" x14ac:dyDescent="0.25">
      <c r="A30" t="s">
        <v>262</v>
      </c>
      <c r="B30" t="s">
        <v>263</v>
      </c>
      <c r="C30" t="str">
        <f t="shared" si="0"/>
        <v>SUSAN BUSSE</v>
      </c>
    </row>
    <row r="31" spans="1:3" x14ac:dyDescent="0.25">
      <c r="A31" t="s">
        <v>264</v>
      </c>
      <c r="B31" t="s">
        <v>265</v>
      </c>
      <c r="C31" t="str">
        <f t="shared" si="0"/>
        <v>CAROLE POWER</v>
      </c>
    </row>
    <row r="32" spans="1:3" x14ac:dyDescent="0.25">
      <c r="A32" t="s">
        <v>266</v>
      </c>
      <c r="B32" t="s">
        <v>267</v>
      </c>
      <c r="C32" t="str">
        <f t="shared" si="0"/>
        <v>APRIL WINN</v>
      </c>
    </row>
    <row r="33" spans="1:3" x14ac:dyDescent="0.25">
      <c r="A33" t="s">
        <v>268</v>
      </c>
      <c r="B33" t="s">
        <v>269</v>
      </c>
      <c r="C33" t="str">
        <f t="shared" si="0"/>
        <v>QUEENAH SONYAH</v>
      </c>
    </row>
    <row r="34" spans="1:3" x14ac:dyDescent="0.25">
      <c r="A34" t="s">
        <v>270</v>
      </c>
      <c r="B34" t="s">
        <v>271</v>
      </c>
      <c r="C34" t="str">
        <f t="shared" si="0"/>
        <v>CHERYL HINTON</v>
      </c>
    </row>
    <row r="35" spans="1:3" x14ac:dyDescent="0.25">
      <c r="A35" t="s">
        <v>270</v>
      </c>
      <c r="B35" t="s">
        <v>272</v>
      </c>
      <c r="C35" t="str">
        <f t="shared" si="0"/>
        <v>RONALD HINTON</v>
      </c>
    </row>
    <row r="36" spans="1:3" x14ac:dyDescent="0.25">
      <c r="A36" t="s">
        <v>273</v>
      </c>
      <c r="B36" t="s">
        <v>274</v>
      </c>
      <c r="C36" t="str">
        <f t="shared" si="0"/>
        <v>GRACE HUETT</v>
      </c>
    </row>
    <row r="37" spans="1:3" x14ac:dyDescent="0.25">
      <c r="A37" t="s">
        <v>275</v>
      </c>
      <c r="B37" t="s">
        <v>226</v>
      </c>
      <c r="C37" t="str">
        <f t="shared" si="0"/>
        <v>JAMES YOUNG</v>
      </c>
    </row>
    <row r="38" spans="1:3" x14ac:dyDescent="0.25">
      <c r="A38" t="s">
        <v>276</v>
      </c>
      <c r="B38" t="s">
        <v>277</v>
      </c>
      <c r="C38" t="str">
        <f t="shared" si="0"/>
        <v>JEFFREY NOULLET</v>
      </c>
    </row>
    <row r="39" spans="1:3" x14ac:dyDescent="0.25">
      <c r="A39" t="s">
        <v>275</v>
      </c>
      <c r="B39" t="s">
        <v>278</v>
      </c>
      <c r="C39" t="str">
        <f t="shared" si="0"/>
        <v>LINDA YOUNG</v>
      </c>
    </row>
    <row r="40" spans="1:3" x14ac:dyDescent="0.25">
      <c r="A40" t="s">
        <v>270</v>
      </c>
      <c r="B40" t="s">
        <v>271</v>
      </c>
      <c r="C40" t="str">
        <f t="shared" si="0"/>
        <v>CHERYL HINTON</v>
      </c>
    </row>
    <row r="41" spans="1:3" x14ac:dyDescent="0.25">
      <c r="A41" t="s">
        <v>270</v>
      </c>
      <c r="B41" t="s">
        <v>272</v>
      </c>
      <c r="C41" t="str">
        <f t="shared" si="0"/>
        <v>RONALD HINTON</v>
      </c>
    </row>
    <row r="42" spans="1:3" x14ac:dyDescent="0.25">
      <c r="A42" t="s">
        <v>273</v>
      </c>
      <c r="B42" t="s">
        <v>274</v>
      </c>
      <c r="C42" t="str">
        <f t="shared" si="0"/>
        <v>GRACE HUETT</v>
      </c>
    </row>
    <row r="43" spans="1:3" x14ac:dyDescent="0.25">
      <c r="A43" t="s">
        <v>276</v>
      </c>
      <c r="B43" t="s">
        <v>277</v>
      </c>
      <c r="C43" t="str">
        <f t="shared" si="0"/>
        <v>JEFFREY NOULLET</v>
      </c>
    </row>
    <row r="44" spans="1:3" x14ac:dyDescent="0.25">
      <c r="A44" t="s">
        <v>275</v>
      </c>
      <c r="B44" t="s">
        <v>278</v>
      </c>
      <c r="C44" t="str">
        <f t="shared" si="0"/>
        <v>LINDA YOUNG</v>
      </c>
    </row>
    <row r="45" spans="1:3" x14ac:dyDescent="0.25">
      <c r="A45" t="s">
        <v>275</v>
      </c>
      <c r="B45" t="s">
        <v>226</v>
      </c>
      <c r="C45" t="str">
        <f t="shared" si="0"/>
        <v>JAMES YOUNG</v>
      </c>
    </row>
    <row r="46" spans="1:3" x14ac:dyDescent="0.25">
      <c r="A46" t="s">
        <v>217</v>
      </c>
      <c r="B46" t="s">
        <v>218</v>
      </c>
      <c r="C46" t="str">
        <f t="shared" si="0"/>
        <v>NANCY COATES</v>
      </c>
    </row>
    <row r="47" spans="1:3" x14ac:dyDescent="0.25">
      <c r="A47" t="s">
        <v>268</v>
      </c>
      <c r="B47" t="s">
        <v>269</v>
      </c>
      <c r="C47" t="str">
        <f t="shared" si="0"/>
        <v>QUEENAH SONYAH</v>
      </c>
    </row>
    <row r="48" spans="1:3" x14ac:dyDescent="0.25">
      <c r="A48" t="s">
        <v>279</v>
      </c>
      <c r="B48" t="s">
        <v>280</v>
      </c>
      <c r="C48" t="str">
        <f t="shared" si="0"/>
        <v>BRADLEY BARNEY</v>
      </c>
    </row>
    <row r="49" spans="1:3" x14ac:dyDescent="0.25">
      <c r="A49" t="s">
        <v>281</v>
      </c>
      <c r="B49" t="s">
        <v>282</v>
      </c>
      <c r="C49" t="str">
        <f t="shared" si="0"/>
        <v>ALREDA BOSTICK</v>
      </c>
    </row>
    <row r="50" spans="1:3" x14ac:dyDescent="0.25">
      <c r="A50" t="s">
        <v>283</v>
      </c>
      <c r="B50" t="s">
        <v>284</v>
      </c>
      <c r="C50" t="str">
        <f t="shared" si="0"/>
        <v>BARBARA AULERT</v>
      </c>
    </row>
    <row r="51" spans="1:3" x14ac:dyDescent="0.25">
      <c r="A51" t="s">
        <v>285</v>
      </c>
      <c r="B51" t="s">
        <v>286</v>
      </c>
      <c r="C51" t="str">
        <f t="shared" si="0"/>
        <v>KATHLEEN BABIARZ</v>
      </c>
    </row>
    <row r="52" spans="1:3" x14ac:dyDescent="0.25">
      <c r="A52" t="s">
        <v>287</v>
      </c>
      <c r="B52" t="s">
        <v>288</v>
      </c>
      <c r="C52" t="str">
        <f t="shared" si="0"/>
        <v>PAMELA FREGOSO</v>
      </c>
    </row>
    <row r="53" spans="1:3" x14ac:dyDescent="0.25">
      <c r="A53" t="s">
        <v>289</v>
      </c>
      <c r="B53" t="s">
        <v>290</v>
      </c>
      <c r="C53" t="str">
        <f t="shared" si="0"/>
        <v>CHARLES JOHNSON</v>
      </c>
    </row>
    <row r="54" spans="1:3" x14ac:dyDescent="0.25">
      <c r="A54" t="s">
        <v>291</v>
      </c>
      <c r="B54" t="s">
        <v>226</v>
      </c>
      <c r="C54" t="str">
        <f t="shared" si="0"/>
        <v>JAMES HAUG</v>
      </c>
    </row>
    <row r="55" spans="1:3" x14ac:dyDescent="0.25">
      <c r="A55" t="s">
        <v>292</v>
      </c>
      <c r="B55" t="s">
        <v>293</v>
      </c>
      <c r="C55" t="str">
        <f t="shared" si="0"/>
        <v>RAYMOND SELVA</v>
      </c>
    </row>
    <row r="56" spans="1:3" x14ac:dyDescent="0.25">
      <c r="A56" t="s">
        <v>223</v>
      </c>
      <c r="B56" t="s">
        <v>224</v>
      </c>
      <c r="C56" t="str">
        <f t="shared" si="0"/>
        <v>KAY ANDERSON</v>
      </c>
    </row>
    <row r="57" spans="1:3" x14ac:dyDescent="0.25">
      <c r="A57" t="s">
        <v>225</v>
      </c>
      <c r="B57" t="s">
        <v>226</v>
      </c>
      <c r="C57" t="str">
        <f t="shared" si="0"/>
        <v>JAMES BILELLO</v>
      </c>
    </row>
    <row r="58" spans="1:3" x14ac:dyDescent="0.25">
      <c r="A58" t="s">
        <v>248</v>
      </c>
      <c r="B58" t="s">
        <v>249</v>
      </c>
      <c r="C58" t="str">
        <f t="shared" si="0"/>
        <v>ROBERT MABIE</v>
      </c>
    </row>
    <row r="59" spans="1:3" x14ac:dyDescent="0.25">
      <c r="A59" t="s">
        <v>252</v>
      </c>
      <c r="B59" t="s">
        <v>243</v>
      </c>
      <c r="C59" t="str">
        <f t="shared" si="0"/>
        <v>JULIE MARKIN</v>
      </c>
    </row>
    <row r="60" spans="1:3" x14ac:dyDescent="0.25">
      <c r="A60" t="s">
        <v>227</v>
      </c>
      <c r="B60" t="s">
        <v>228</v>
      </c>
      <c r="C60" t="str">
        <f t="shared" si="0"/>
        <v>GEORGE BRIDGES</v>
      </c>
    </row>
    <row r="61" spans="1:3" x14ac:dyDescent="0.25">
      <c r="A61" t="s">
        <v>262</v>
      </c>
      <c r="B61" t="s">
        <v>263</v>
      </c>
      <c r="C61" t="str">
        <f t="shared" si="0"/>
        <v>SUSAN BUSSE</v>
      </c>
    </row>
    <row r="62" spans="1:3" x14ac:dyDescent="0.25">
      <c r="A62" t="s">
        <v>229</v>
      </c>
      <c r="B62" t="s">
        <v>230</v>
      </c>
      <c r="C62" t="str">
        <f t="shared" si="0"/>
        <v>SABINA CHAN</v>
      </c>
    </row>
    <row r="63" spans="1:3" x14ac:dyDescent="0.25">
      <c r="A63" t="s">
        <v>231</v>
      </c>
      <c r="B63" t="s">
        <v>232</v>
      </c>
      <c r="C63" t="str">
        <f t="shared" si="0"/>
        <v>ALLEN DARRINGTON</v>
      </c>
    </row>
    <row r="64" spans="1:3" x14ac:dyDescent="0.25">
      <c r="A64" t="s">
        <v>233</v>
      </c>
      <c r="B64" t="s">
        <v>234</v>
      </c>
      <c r="C64" t="str">
        <f t="shared" si="0"/>
        <v>CINDY DICKERSON</v>
      </c>
    </row>
    <row r="65" spans="1:3" x14ac:dyDescent="0.25">
      <c r="A65" t="s">
        <v>235</v>
      </c>
      <c r="B65" t="s">
        <v>236</v>
      </c>
      <c r="C65" t="str">
        <f t="shared" si="0"/>
        <v>NANCI DYER</v>
      </c>
    </row>
    <row r="66" spans="1:3" x14ac:dyDescent="0.25">
      <c r="A66" t="s">
        <v>235</v>
      </c>
      <c r="B66" t="s">
        <v>237</v>
      </c>
      <c r="C66" t="str">
        <f t="shared" ref="C66:C84" si="1">CONCATENATE(B66, " ",A66)</f>
        <v>TERRACE DYER</v>
      </c>
    </row>
    <row r="67" spans="1:3" x14ac:dyDescent="0.25">
      <c r="A67" t="s">
        <v>238</v>
      </c>
      <c r="B67" t="s">
        <v>239</v>
      </c>
      <c r="C67" t="str">
        <f t="shared" si="1"/>
        <v>CYNTHIA FIEDLER</v>
      </c>
    </row>
    <row r="68" spans="1:3" x14ac:dyDescent="0.25">
      <c r="A68" t="s">
        <v>240</v>
      </c>
      <c r="B68" t="s">
        <v>241</v>
      </c>
      <c r="C68" t="str">
        <f t="shared" si="1"/>
        <v>WILLIAM FLEMING</v>
      </c>
    </row>
    <row r="69" spans="1:3" x14ac:dyDescent="0.25">
      <c r="A69" t="s">
        <v>242</v>
      </c>
      <c r="B69" t="s">
        <v>243</v>
      </c>
      <c r="C69" t="str">
        <f t="shared" si="1"/>
        <v>JULIE FREY</v>
      </c>
    </row>
    <row r="70" spans="1:3" x14ac:dyDescent="0.25">
      <c r="A70" t="s">
        <v>244</v>
      </c>
      <c r="B70" t="s">
        <v>245</v>
      </c>
      <c r="C70" t="str">
        <f t="shared" si="1"/>
        <v>JOHN GALIOTO</v>
      </c>
    </row>
    <row r="71" spans="1:3" x14ac:dyDescent="0.25">
      <c r="A71" t="s">
        <v>246</v>
      </c>
      <c r="B71" t="s">
        <v>247</v>
      </c>
      <c r="C71" t="str">
        <f t="shared" si="1"/>
        <v>KATARZYNA KOZIOL</v>
      </c>
    </row>
    <row r="72" spans="1:3" x14ac:dyDescent="0.25">
      <c r="A72" t="s">
        <v>219</v>
      </c>
      <c r="B72" t="s">
        <v>220</v>
      </c>
      <c r="C72" t="str">
        <f t="shared" si="1"/>
        <v>GENOVEVA MANDUJANO</v>
      </c>
    </row>
    <row r="73" spans="1:3" x14ac:dyDescent="0.25">
      <c r="A73" t="s">
        <v>250</v>
      </c>
      <c r="B73" t="s">
        <v>251</v>
      </c>
      <c r="C73" t="str">
        <f t="shared" si="1"/>
        <v>JOAN MARCHESE</v>
      </c>
    </row>
    <row r="74" spans="1:3" x14ac:dyDescent="0.25">
      <c r="A74" t="s">
        <v>253</v>
      </c>
      <c r="B74" t="s">
        <v>254</v>
      </c>
      <c r="C74" t="str">
        <f t="shared" si="1"/>
        <v>LORETTA OKUNGBOWA</v>
      </c>
    </row>
    <row r="75" spans="1:3" x14ac:dyDescent="0.25">
      <c r="A75" t="s">
        <v>264</v>
      </c>
      <c r="B75" t="s">
        <v>265</v>
      </c>
      <c r="C75" t="str">
        <f t="shared" si="1"/>
        <v>CAROLE POWER</v>
      </c>
    </row>
    <row r="76" spans="1:3" x14ac:dyDescent="0.25">
      <c r="A76" t="s">
        <v>255</v>
      </c>
      <c r="B76" t="s">
        <v>241</v>
      </c>
      <c r="C76" t="str">
        <f t="shared" si="1"/>
        <v>WILLIAM SPELICH</v>
      </c>
    </row>
    <row r="77" spans="1:3" x14ac:dyDescent="0.25">
      <c r="A77" t="s">
        <v>294</v>
      </c>
      <c r="B77" t="s">
        <v>295</v>
      </c>
      <c r="C77" t="str">
        <f t="shared" si="1"/>
        <v>LARA VELASQUEZ</v>
      </c>
    </row>
    <row r="78" spans="1:3" x14ac:dyDescent="0.25">
      <c r="A78" t="s">
        <v>256</v>
      </c>
      <c r="B78" t="s">
        <v>257</v>
      </c>
      <c r="C78" t="str">
        <f t="shared" si="1"/>
        <v>LISA WACHOWIAK</v>
      </c>
    </row>
    <row r="79" spans="1:3" x14ac:dyDescent="0.25">
      <c r="A79" t="s">
        <v>258</v>
      </c>
      <c r="B79" t="s">
        <v>259</v>
      </c>
      <c r="C79" t="str">
        <f t="shared" si="1"/>
        <v>CHRISTY WELSH</v>
      </c>
    </row>
    <row r="80" spans="1:3" x14ac:dyDescent="0.25">
      <c r="A80" t="s">
        <v>260</v>
      </c>
      <c r="B80" t="s">
        <v>261</v>
      </c>
      <c r="C80" t="str">
        <f t="shared" si="1"/>
        <v>AMY WHEELER</v>
      </c>
    </row>
    <row r="81" spans="1:3" x14ac:dyDescent="0.25">
      <c r="A81" t="s">
        <v>266</v>
      </c>
      <c r="B81" t="s">
        <v>267</v>
      </c>
      <c r="C81" t="str">
        <f t="shared" si="1"/>
        <v>APRIL WINN</v>
      </c>
    </row>
    <row r="82" spans="1:3" x14ac:dyDescent="0.25">
      <c r="A82" t="s">
        <v>215</v>
      </c>
      <c r="B82" t="s">
        <v>216</v>
      </c>
      <c r="C82" t="str">
        <f t="shared" si="1"/>
        <v>RICHARD LIPINSKI</v>
      </c>
    </row>
    <row r="83" spans="1:3" x14ac:dyDescent="0.25">
      <c r="A83" t="s">
        <v>210</v>
      </c>
      <c r="B83" t="s">
        <v>211</v>
      </c>
      <c r="C83" t="str">
        <f t="shared" si="1"/>
        <v>LUIS CABELLO</v>
      </c>
    </row>
    <row r="84" spans="1:3" x14ac:dyDescent="0.25">
      <c r="A84" t="s">
        <v>208</v>
      </c>
      <c r="B84" t="s">
        <v>209</v>
      </c>
      <c r="C84" t="str">
        <f t="shared" si="1"/>
        <v>STOJANKA STOJANOVIC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2025-02-26T18:38:06Z</dcterms:created>
  <dcterms:modified xsi:type="dcterms:W3CDTF">2025-02-27T14:37:27Z</dcterms:modified>
</cp:coreProperties>
</file>