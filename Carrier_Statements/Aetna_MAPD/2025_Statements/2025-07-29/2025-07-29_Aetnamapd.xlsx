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7-29-25\"/>
    </mc:Choice>
  </mc:AlternateContent>
  <xr:revisionPtr revIDLastSave="0" documentId="13_ncr:1_{44D84A2A-82A1-436F-9312-3C451206B0DD}" xr6:coauthVersionLast="47" xr6:coauthVersionMax="47" xr10:uidLastSave="{00000000-0000-0000-0000-000000000000}"/>
  <bookViews>
    <workbookView xWindow="28680" yWindow="-120" windowWidth="29040" windowHeight="16440" activeTab="1" xr2:uid="{7AC8C4F6-A8C2-4F2C-B63C-C1C50551CAF7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3" i="2"/>
  <c r="B13" i="2"/>
  <c r="B5" i="2"/>
  <c r="B4" i="2"/>
  <c r="B7" i="2"/>
  <c r="B15" i="2"/>
  <c r="B12" i="2"/>
  <c r="B16" i="2"/>
  <c r="B6" i="2"/>
  <c r="B14" i="2"/>
  <c r="B2" i="2"/>
  <c r="B11" i="2"/>
  <c r="B9" i="2"/>
  <c r="B8" i="2"/>
  <c r="B10" i="2"/>
</calcChain>
</file>

<file path=xl/sharedStrings.xml><?xml version="1.0" encoding="utf-8"?>
<sst xmlns="http://schemas.openxmlformats.org/spreadsheetml/2006/main" count="684" uniqueCount="211">
  <si>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</si>
  <si>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</si>
  <si>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</si>
  <si>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</si>
  <si>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</si>
  <si>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</si>
  <si>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</si>
  <si>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</si>
  <si>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</si>
  <si>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</si>
  <si>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</si>
  <si>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</si>
  <si>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</si>
  <si>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</si>
  <si>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</si>
  <si>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</si>
  <si>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</si>
  <si>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</si>
  <si>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</si>
  <si>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</si>
  <si>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</si>
  <si>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</si>
  <si>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</si>
  <si>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</si>
  <si>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3P73KM6RK93</t>
  </si>
  <si>
    <t>NG101580286400</t>
  </si>
  <si>
    <t>BENTLEY J,PHYLLIS</t>
  </si>
  <si>
    <t>PA</t>
  </si>
  <si>
    <t>Pro-Rata Payment</t>
  </si>
  <si>
    <t>MAPD</t>
  </si>
  <si>
    <t>IMM608</t>
  </si>
  <si>
    <t>H3959-002</t>
  </si>
  <si>
    <t>LOA</t>
  </si>
  <si>
    <t>Powers, Timothy</t>
  </si>
  <si>
    <t>GMO</t>
  </si>
  <si>
    <t>Main Line Benefits LLC</t>
  </si>
  <si>
    <t xml:space="preserve">N  </t>
  </si>
  <si>
    <t>Pro-Rata Disenroll</t>
  </si>
  <si>
    <t>7EC3VX6TE02</t>
  </si>
  <si>
    <t>NG102184276900</t>
  </si>
  <si>
    <t>DANIELS S,THOMAS</t>
  </si>
  <si>
    <t>CO</t>
  </si>
  <si>
    <t>New Business</t>
  </si>
  <si>
    <t>IMM610</t>
  </si>
  <si>
    <t>H3931-153</t>
  </si>
  <si>
    <t>Miller, Heather</t>
  </si>
  <si>
    <t>2CQ2RT2FX99</t>
  </si>
  <si>
    <t>NG102183996200</t>
  </si>
  <si>
    <t>DICKSON T,DEVEN</t>
  </si>
  <si>
    <t>H3959-036</t>
  </si>
  <si>
    <t>7WN5XG5GV94</t>
  </si>
  <si>
    <t>NG102184427100</t>
  </si>
  <si>
    <t>FRY R,DAVID</t>
  </si>
  <si>
    <t>MO</t>
  </si>
  <si>
    <t>IMM607</t>
  </si>
  <si>
    <t>H2663-042</t>
  </si>
  <si>
    <t>Teipel, Gregory</t>
  </si>
  <si>
    <t>5X39F80FD14</t>
  </si>
  <si>
    <t>NG102093861300</t>
  </si>
  <si>
    <t>GARCIA O,TIMMY</t>
  </si>
  <si>
    <t>TX</t>
  </si>
  <si>
    <t>Voluntarily Rapid Disenroll</t>
  </si>
  <si>
    <t>IMM618</t>
  </si>
  <si>
    <t>H4523-030</t>
  </si>
  <si>
    <t>TAPPER, RANDY</t>
  </si>
  <si>
    <t>9UU4RR7AQ66</t>
  </si>
  <si>
    <t>NG102184194300</t>
  </si>
  <si>
    <t>HANCHOSKY T,JOHN</t>
  </si>
  <si>
    <t>MA</t>
  </si>
  <si>
    <t>H3959-041</t>
  </si>
  <si>
    <t>Smith, Margaret</t>
  </si>
  <si>
    <t>2EH1PF5NE98</t>
  </si>
  <si>
    <t>NG102183716700</t>
  </si>
  <si>
    <t>JONES C,EDWARD</t>
  </si>
  <si>
    <t>H3959-001</t>
  </si>
  <si>
    <t>Inskipt, Deborah</t>
  </si>
  <si>
    <t>5UP0V08CW17</t>
  </si>
  <si>
    <t>NG101058563500</t>
  </si>
  <si>
    <t>MCKAIN V,JACK</t>
  </si>
  <si>
    <t>6KX3HM6HF91</t>
  </si>
  <si>
    <t>NG101117303700</t>
  </si>
  <si>
    <t>MIHELIC E,FRANK</t>
  </si>
  <si>
    <t>H3959-076</t>
  </si>
  <si>
    <t>4JC8DH2QH36</t>
  </si>
  <si>
    <t>NG102102295100</t>
  </si>
  <si>
    <t>MIKRUT Y,LOURDES</t>
  </si>
  <si>
    <t>AZ</t>
  </si>
  <si>
    <t>IMM601</t>
  </si>
  <si>
    <t>H5521-363</t>
  </si>
  <si>
    <t>DUNAVANT, MICHAEL</t>
  </si>
  <si>
    <t>3A75NR5PX54</t>
  </si>
  <si>
    <t>NG102184098400</t>
  </si>
  <si>
    <t>PALAZZO L,TERRIE</t>
  </si>
  <si>
    <t>WI</t>
  </si>
  <si>
    <t>IMM606</t>
  </si>
  <si>
    <t>H1206-002</t>
  </si>
  <si>
    <t>Hodgman, Timothy</t>
  </si>
  <si>
    <t>9X63DM2UA95</t>
  </si>
  <si>
    <t>NG102184438000</t>
  </si>
  <si>
    <t>REBOLETTI M,DONNA</t>
  </si>
  <si>
    <t>IL</t>
  </si>
  <si>
    <t>H7301-013</t>
  </si>
  <si>
    <t>Walenga, Dale</t>
  </si>
  <si>
    <t>8XE2PP6YW09</t>
  </si>
  <si>
    <t>NG102177242000</t>
  </si>
  <si>
    <t>RIZZO A,MICHAEL</t>
  </si>
  <si>
    <t>H5522-017</t>
  </si>
  <si>
    <t>KOZACHECK, ANNE MARIE</t>
  </si>
  <si>
    <t xml:space="preserve">Y  </t>
  </si>
  <si>
    <t>3YD8V07AC52</t>
  </si>
  <si>
    <t>NG102184490600</t>
  </si>
  <si>
    <t>SPASO C,NOEL</t>
  </si>
  <si>
    <t>H5521-086</t>
  </si>
  <si>
    <t>Choi, Andrew</t>
  </si>
  <si>
    <t>1E71JU9UJ13</t>
  </si>
  <si>
    <t>NG102184515800</t>
  </si>
  <si>
    <t>SPASO F,RAYMOND</t>
  </si>
  <si>
    <t>2UX9F30KV23</t>
  </si>
  <si>
    <t>NG102081563000</t>
  </si>
  <si>
    <t>SUTHAR K,RAMESHCHANDRAKA</t>
  </si>
  <si>
    <t>ABDUL, SAADIA</t>
  </si>
  <si>
    <t>9GQ0UY3DC02</t>
  </si>
  <si>
    <t>NG102183764700</t>
  </si>
  <si>
    <t>VONBERG D,THOMAS</t>
  </si>
  <si>
    <t>H4523-020</t>
  </si>
  <si>
    <t>Portugal, Gary</t>
  </si>
  <si>
    <t>5TM0DA0YH34</t>
  </si>
  <si>
    <t>NG102184099700</t>
  </si>
  <si>
    <t>WALKER A,DOREEN</t>
  </si>
  <si>
    <t>McCorkle, Michelle</t>
  </si>
  <si>
    <t>Aetna MAPD OVR 2025</t>
  </si>
  <si>
    <t>Aetna 2025 CT, PA, DC</t>
  </si>
  <si>
    <t>Aetna MAPD 2025*</t>
  </si>
  <si>
    <t>[%/$=313][prorate=8/12]</t>
  </si>
  <si>
    <t>[%/$=353][prorate=6/12]</t>
  </si>
  <si>
    <t>Aetna 2025 CT, PA, DC*</t>
  </si>
  <si>
    <t>[%/$=313][prorate=12/12]</t>
  </si>
  <si>
    <t>[%/$=705]</t>
  </si>
  <si>
    <t>[%/$=353][prorate=5/12]</t>
  </si>
  <si>
    <t>[%/$=313][prorate=4/12]</t>
  </si>
  <si>
    <t>[%/$=313][prorate=7/12]</t>
  </si>
  <si>
    <t>[%/$=313][prorate=5/12]</t>
  </si>
  <si>
    <t>Main Line Benefits</t>
  </si>
  <si>
    <t>17528908N</t>
  </si>
  <si>
    <t>SUTHAR</t>
  </si>
  <si>
    <t>K</t>
  </si>
  <si>
    <t>RAMESHCHANDRAKA</t>
  </si>
  <si>
    <t>SPASO</t>
  </si>
  <si>
    <t>C</t>
  </si>
  <si>
    <t>NOEL</t>
  </si>
  <si>
    <t>F</t>
  </si>
  <si>
    <t>RAYMOND</t>
  </si>
  <si>
    <t>MIKRUT</t>
  </si>
  <si>
    <t>Y</t>
  </si>
  <si>
    <t>LOURDES</t>
  </si>
  <si>
    <t>PALAZZO</t>
  </si>
  <si>
    <t>L</t>
  </si>
  <si>
    <t>TERRIE</t>
  </si>
  <si>
    <t>MIHELIC</t>
  </si>
  <si>
    <t>E</t>
  </si>
  <si>
    <t>FRANK</t>
  </si>
  <si>
    <t>JONES</t>
  </si>
  <si>
    <t>EDWARD</t>
  </si>
  <si>
    <t>RIZZO</t>
  </si>
  <si>
    <t>A</t>
  </si>
  <si>
    <t>MICHAEL</t>
  </si>
  <si>
    <t>WALKER</t>
  </si>
  <si>
    <t>DOREEN</t>
  </si>
  <si>
    <t>DANIELS</t>
  </si>
  <si>
    <t>S</t>
  </si>
  <si>
    <t>THOMAS</t>
  </si>
  <si>
    <t>VONBERG</t>
  </si>
  <si>
    <t>D</t>
  </si>
  <si>
    <t>GARCIA</t>
  </si>
  <si>
    <t>O</t>
  </si>
  <si>
    <t>TIMMY</t>
  </si>
  <si>
    <t>FRY</t>
  </si>
  <si>
    <t>R</t>
  </si>
  <si>
    <t>DAVID</t>
  </si>
  <si>
    <t>REBOLETTI</t>
  </si>
  <si>
    <t>M</t>
  </si>
  <si>
    <t>DONNA</t>
  </si>
  <si>
    <t>BENTLEY</t>
  </si>
  <si>
    <t>J</t>
  </si>
  <si>
    <t>PHYLLIS</t>
  </si>
  <si>
    <t>MCKAIN</t>
  </si>
  <si>
    <t>V</t>
  </si>
  <si>
    <t>JACK</t>
  </si>
  <si>
    <t>DICKSON</t>
  </si>
  <si>
    <t>T</t>
  </si>
  <si>
    <t>DEVEN</t>
  </si>
  <si>
    <t>HANCHOSKY</t>
  </si>
  <si>
    <t>JOHN</t>
  </si>
  <si>
    <t>RAMESHCHANDRAKA SUTHAR</t>
  </si>
  <si>
    <t>NOEL SPASO</t>
  </si>
  <si>
    <t>RAYMOND SPASO</t>
  </si>
  <si>
    <t>LOURDES MIKRUT</t>
  </si>
  <si>
    <t>TERRIE PALAZZO</t>
  </si>
  <si>
    <t>FRANK MIHELIC</t>
  </si>
  <si>
    <t>EDWARD JONES</t>
  </si>
  <si>
    <t>MICHAEL RIZZO</t>
  </si>
  <si>
    <t>DOREEN WALKER</t>
  </si>
  <si>
    <t>THOMAS DANIELS</t>
  </si>
  <si>
    <t>THOMAS VONBERG</t>
  </si>
  <si>
    <t>TIMMY GARCIA</t>
  </si>
  <si>
    <t>DAVID FRY</t>
  </si>
  <si>
    <t>DONNA REBOLETTI</t>
  </si>
  <si>
    <t>PHYLLIS BENTLEY</t>
  </si>
  <si>
    <t>JACK MCKAIN</t>
  </si>
  <si>
    <t>DEVEN DICKSON</t>
  </si>
  <si>
    <t>JOHN HANCHOSKY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</si>
</sst>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EDC1-AEA3-4EF2-9B17-ED5D36F78CAF}">
  <dimension ref="A1:X22"/>
  <sheetViews>
    <sheetView workbookViewId="0">
      <selection sqref="A1:XFD1048576"/>
    </sheetView>
  </sheetViews>
  <sheetFormatPr defaultRowHeight="15" x14ac:dyDescent="0.25"/>
  <cols>
    <col min="1" max="1" width="2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45867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45658</v>
      </c>
      <c r="M2" s="1">
        <v>45658</v>
      </c>
      <c r="N2" s="1">
        <v>45869</v>
      </c>
      <c r="O2">
        <v>17886092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23.33</v>
      </c>
      <c r="V2" t="s">
        <v>36</v>
      </c>
      <c r="W2" s="1">
        <v>45609</v>
      </c>
      <c r="X2">
        <v>2025</v>
      </c>
    </row>
    <row r="3" spans="1:24" x14ac:dyDescent="0.25">
      <c r="A3" s="1">
        <v>45867</v>
      </c>
      <c r="B3" t="s">
        <v>24</v>
      </c>
      <c r="C3" t="s">
        <v>25</v>
      </c>
      <c r="E3" t="s">
        <v>26</v>
      </c>
      <c r="F3" t="s">
        <v>27</v>
      </c>
      <c r="G3" t="s">
        <v>37</v>
      </c>
      <c r="H3" t="s">
        <v>29</v>
      </c>
      <c r="I3" t="s">
        <v>30</v>
      </c>
      <c r="J3" t="s">
        <v>31</v>
      </c>
      <c r="L3" s="1">
        <v>45658</v>
      </c>
      <c r="M3" s="1">
        <v>45658</v>
      </c>
      <c r="N3" s="1">
        <v>45869</v>
      </c>
      <c r="O3">
        <v>17886092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-40</v>
      </c>
      <c r="V3" t="s">
        <v>36</v>
      </c>
      <c r="W3" s="1">
        <v>45609</v>
      </c>
      <c r="X3">
        <v>2025</v>
      </c>
    </row>
    <row r="4" spans="1:24" x14ac:dyDescent="0.25">
      <c r="A4" s="1">
        <v>45867</v>
      </c>
      <c r="B4" t="s">
        <v>38</v>
      </c>
      <c r="C4" t="s">
        <v>39</v>
      </c>
      <c r="E4" t="s">
        <v>40</v>
      </c>
      <c r="F4" t="s">
        <v>41</v>
      </c>
      <c r="G4" t="s">
        <v>42</v>
      </c>
      <c r="H4" t="s">
        <v>29</v>
      </c>
      <c r="I4" t="s">
        <v>43</v>
      </c>
      <c r="J4" t="s">
        <v>44</v>
      </c>
      <c r="L4" s="1">
        <v>45870</v>
      </c>
      <c r="M4" s="1">
        <v>45870</v>
      </c>
      <c r="O4">
        <v>16865615</v>
      </c>
      <c r="P4" t="s">
        <v>32</v>
      </c>
      <c r="Q4" t="s">
        <v>45</v>
      </c>
      <c r="R4">
        <v>8192</v>
      </c>
      <c r="S4" t="s">
        <v>34</v>
      </c>
      <c r="T4" t="s">
        <v>35</v>
      </c>
      <c r="U4">
        <v>182.5</v>
      </c>
      <c r="V4" t="s">
        <v>36</v>
      </c>
      <c r="W4" s="1">
        <v>45852</v>
      </c>
      <c r="X4">
        <v>2025</v>
      </c>
    </row>
    <row r="5" spans="1:24" x14ac:dyDescent="0.25">
      <c r="A5" s="1">
        <v>45867</v>
      </c>
      <c r="B5" t="s">
        <v>46</v>
      </c>
      <c r="C5" t="s">
        <v>47</v>
      </c>
      <c r="E5" t="s">
        <v>48</v>
      </c>
      <c r="F5" t="s">
        <v>27</v>
      </c>
      <c r="G5" t="s">
        <v>42</v>
      </c>
      <c r="H5" t="s">
        <v>29</v>
      </c>
      <c r="I5" t="s">
        <v>30</v>
      </c>
      <c r="J5" t="s">
        <v>49</v>
      </c>
      <c r="L5" s="1">
        <v>45870</v>
      </c>
      <c r="M5" s="1">
        <v>45870</v>
      </c>
      <c r="O5">
        <v>17886092</v>
      </c>
      <c r="P5" t="s">
        <v>32</v>
      </c>
      <c r="Q5" t="s">
        <v>33</v>
      </c>
      <c r="R5">
        <v>8192</v>
      </c>
      <c r="S5" t="s">
        <v>34</v>
      </c>
      <c r="T5" t="s">
        <v>35</v>
      </c>
      <c r="U5">
        <v>16.670000000000002</v>
      </c>
      <c r="V5" t="s">
        <v>36</v>
      </c>
      <c r="W5" s="1">
        <v>45848</v>
      </c>
      <c r="X5">
        <v>2025</v>
      </c>
    </row>
    <row r="6" spans="1:24" x14ac:dyDescent="0.25">
      <c r="A6" s="1">
        <v>45867</v>
      </c>
      <c r="B6" t="s">
        <v>50</v>
      </c>
      <c r="C6" t="s">
        <v>51</v>
      </c>
      <c r="E6" t="s">
        <v>52</v>
      </c>
      <c r="F6" t="s">
        <v>53</v>
      </c>
      <c r="G6" t="s">
        <v>42</v>
      </c>
      <c r="H6" t="s">
        <v>29</v>
      </c>
      <c r="I6" t="s">
        <v>54</v>
      </c>
      <c r="J6" t="s">
        <v>55</v>
      </c>
      <c r="L6" s="1">
        <v>45870</v>
      </c>
      <c r="M6" s="1">
        <v>45870</v>
      </c>
      <c r="O6">
        <v>8307933</v>
      </c>
      <c r="P6" t="s">
        <v>32</v>
      </c>
      <c r="Q6" t="s">
        <v>56</v>
      </c>
      <c r="R6">
        <v>8192</v>
      </c>
      <c r="S6" t="s">
        <v>34</v>
      </c>
      <c r="T6" t="s">
        <v>35</v>
      </c>
      <c r="U6">
        <v>182.5</v>
      </c>
      <c r="V6" t="s">
        <v>36</v>
      </c>
      <c r="W6" s="1">
        <v>45853</v>
      </c>
      <c r="X6">
        <v>2025</v>
      </c>
    </row>
    <row r="7" spans="1:24" x14ac:dyDescent="0.25">
      <c r="A7" s="1">
        <v>45867</v>
      </c>
      <c r="B7" t="s">
        <v>57</v>
      </c>
      <c r="C7" t="s">
        <v>58</v>
      </c>
      <c r="E7" t="s">
        <v>59</v>
      </c>
      <c r="F7" t="s">
        <v>60</v>
      </c>
      <c r="G7" t="s">
        <v>61</v>
      </c>
      <c r="H7" t="s">
        <v>29</v>
      </c>
      <c r="I7" t="s">
        <v>62</v>
      </c>
      <c r="J7" t="s">
        <v>63</v>
      </c>
      <c r="L7" s="1">
        <v>45778</v>
      </c>
      <c r="M7" s="1">
        <v>45778</v>
      </c>
      <c r="N7" s="1">
        <v>45869</v>
      </c>
      <c r="O7">
        <v>18935660</v>
      </c>
      <c r="P7" t="s">
        <v>32</v>
      </c>
      <c r="Q7" t="s">
        <v>64</v>
      </c>
      <c r="R7">
        <v>8192</v>
      </c>
      <c r="S7" t="s">
        <v>34</v>
      </c>
      <c r="T7" t="s">
        <v>35</v>
      </c>
      <c r="U7">
        <v>-292</v>
      </c>
      <c r="V7" t="s">
        <v>36</v>
      </c>
      <c r="W7" s="1">
        <v>45755</v>
      </c>
      <c r="X7">
        <v>2025</v>
      </c>
    </row>
    <row r="8" spans="1:24" x14ac:dyDescent="0.25">
      <c r="A8" s="1">
        <v>45867</v>
      </c>
      <c r="B8" t="s">
        <v>65</v>
      </c>
      <c r="C8" t="s">
        <v>66</v>
      </c>
      <c r="E8" t="s">
        <v>67</v>
      </c>
      <c r="F8" t="s">
        <v>27</v>
      </c>
      <c r="G8" t="s">
        <v>42</v>
      </c>
      <c r="H8" t="s">
        <v>68</v>
      </c>
      <c r="I8" t="s">
        <v>30</v>
      </c>
      <c r="J8" t="s">
        <v>69</v>
      </c>
      <c r="L8" s="1">
        <v>45870</v>
      </c>
      <c r="M8" s="1">
        <v>45870</v>
      </c>
      <c r="O8">
        <v>20253958</v>
      </c>
      <c r="P8" t="s">
        <v>32</v>
      </c>
      <c r="Q8" t="s">
        <v>70</v>
      </c>
      <c r="R8">
        <v>8192</v>
      </c>
      <c r="S8" t="s">
        <v>34</v>
      </c>
      <c r="T8" t="s">
        <v>35</v>
      </c>
      <c r="U8">
        <v>16.670000000000002</v>
      </c>
      <c r="V8" t="s">
        <v>36</v>
      </c>
      <c r="W8" s="1">
        <v>45852</v>
      </c>
      <c r="X8">
        <v>2025</v>
      </c>
    </row>
    <row r="9" spans="1:24" x14ac:dyDescent="0.25">
      <c r="A9" s="1">
        <v>45867</v>
      </c>
      <c r="B9" t="s">
        <v>71</v>
      </c>
      <c r="C9" t="s">
        <v>72</v>
      </c>
      <c r="E9" t="s">
        <v>73</v>
      </c>
      <c r="F9" t="s">
        <v>27</v>
      </c>
      <c r="G9" t="s">
        <v>42</v>
      </c>
      <c r="H9" t="s">
        <v>29</v>
      </c>
      <c r="I9" t="s">
        <v>30</v>
      </c>
      <c r="J9" t="s">
        <v>74</v>
      </c>
      <c r="L9" s="1">
        <v>45870</v>
      </c>
      <c r="M9" s="1">
        <v>45870</v>
      </c>
      <c r="O9">
        <v>17528908</v>
      </c>
      <c r="P9" t="s">
        <v>32</v>
      </c>
      <c r="Q9" t="s">
        <v>75</v>
      </c>
      <c r="R9">
        <v>8192</v>
      </c>
      <c r="S9" t="s">
        <v>34</v>
      </c>
      <c r="T9" t="s">
        <v>35</v>
      </c>
      <c r="U9">
        <v>199.17</v>
      </c>
      <c r="V9" t="s">
        <v>36</v>
      </c>
      <c r="W9" s="1">
        <v>45848</v>
      </c>
      <c r="X9">
        <v>2025</v>
      </c>
    </row>
    <row r="10" spans="1:24" x14ac:dyDescent="0.25">
      <c r="A10" s="1">
        <v>45867</v>
      </c>
      <c r="B10" t="s">
        <v>76</v>
      </c>
      <c r="C10" t="s">
        <v>77</v>
      </c>
      <c r="E10" t="s">
        <v>78</v>
      </c>
      <c r="F10" t="s">
        <v>27</v>
      </c>
      <c r="G10" t="s">
        <v>28</v>
      </c>
      <c r="H10" t="s">
        <v>68</v>
      </c>
      <c r="I10" t="s">
        <v>30</v>
      </c>
      <c r="J10" t="s">
        <v>69</v>
      </c>
      <c r="L10" s="1">
        <v>45658</v>
      </c>
      <c r="M10" s="1">
        <v>45658</v>
      </c>
      <c r="N10" s="1">
        <v>45838</v>
      </c>
      <c r="O10">
        <v>17886092</v>
      </c>
      <c r="P10" t="s">
        <v>32</v>
      </c>
      <c r="Q10" t="s">
        <v>33</v>
      </c>
      <c r="R10">
        <v>8192</v>
      </c>
      <c r="S10" t="s">
        <v>34</v>
      </c>
      <c r="T10" t="s">
        <v>35</v>
      </c>
      <c r="U10">
        <v>20</v>
      </c>
      <c r="V10" t="s">
        <v>36</v>
      </c>
      <c r="W10" s="1">
        <v>45623</v>
      </c>
      <c r="X10">
        <v>2025</v>
      </c>
    </row>
    <row r="11" spans="1:24" x14ac:dyDescent="0.25">
      <c r="A11" s="1">
        <v>45867</v>
      </c>
      <c r="B11" t="s">
        <v>76</v>
      </c>
      <c r="C11" t="s">
        <v>77</v>
      </c>
      <c r="E11" t="s">
        <v>78</v>
      </c>
      <c r="F11" t="s">
        <v>27</v>
      </c>
      <c r="G11" t="s">
        <v>37</v>
      </c>
      <c r="H11" t="s">
        <v>68</v>
      </c>
      <c r="I11" t="s">
        <v>30</v>
      </c>
      <c r="J11" t="s">
        <v>69</v>
      </c>
      <c r="L11" s="1">
        <v>45658</v>
      </c>
      <c r="M11" s="1">
        <v>45658</v>
      </c>
      <c r="N11" s="1">
        <v>45838</v>
      </c>
      <c r="O11">
        <v>17886092</v>
      </c>
      <c r="P11" t="s">
        <v>32</v>
      </c>
      <c r="Q11" t="s">
        <v>33</v>
      </c>
      <c r="R11">
        <v>8192</v>
      </c>
      <c r="S11" t="s">
        <v>34</v>
      </c>
      <c r="T11" t="s">
        <v>35</v>
      </c>
      <c r="U11">
        <v>-40</v>
      </c>
      <c r="V11" t="s">
        <v>36</v>
      </c>
      <c r="W11" s="1">
        <v>45623</v>
      </c>
      <c r="X11">
        <v>2025</v>
      </c>
    </row>
    <row r="12" spans="1:24" x14ac:dyDescent="0.25">
      <c r="A12" s="1">
        <v>45867</v>
      </c>
      <c r="B12" t="s">
        <v>79</v>
      </c>
      <c r="C12" t="s">
        <v>80</v>
      </c>
      <c r="E12" t="s">
        <v>81</v>
      </c>
      <c r="F12" t="s">
        <v>27</v>
      </c>
      <c r="G12" t="s">
        <v>61</v>
      </c>
      <c r="H12" t="s">
        <v>29</v>
      </c>
      <c r="I12" t="s">
        <v>30</v>
      </c>
      <c r="J12" t="s">
        <v>82</v>
      </c>
      <c r="L12" s="1">
        <v>45839</v>
      </c>
      <c r="M12" s="1">
        <v>45839</v>
      </c>
      <c r="N12" s="1">
        <v>45869</v>
      </c>
      <c r="O12">
        <v>17528908</v>
      </c>
      <c r="P12" t="s">
        <v>32</v>
      </c>
      <c r="Q12" t="s">
        <v>75</v>
      </c>
      <c r="R12">
        <v>8192</v>
      </c>
      <c r="S12" t="s">
        <v>34</v>
      </c>
      <c r="T12" t="s">
        <v>35</v>
      </c>
      <c r="U12">
        <v>-239</v>
      </c>
      <c r="V12" t="s">
        <v>36</v>
      </c>
      <c r="W12" s="1">
        <v>45838</v>
      </c>
      <c r="X12">
        <v>2025</v>
      </c>
    </row>
    <row r="13" spans="1:24" x14ac:dyDescent="0.25">
      <c r="A13" s="1">
        <v>45867</v>
      </c>
      <c r="B13" t="s">
        <v>83</v>
      </c>
      <c r="C13" t="s">
        <v>84</v>
      </c>
      <c r="E13" t="s">
        <v>85</v>
      </c>
      <c r="F13" t="s">
        <v>86</v>
      </c>
      <c r="G13" t="s">
        <v>42</v>
      </c>
      <c r="H13" t="s">
        <v>29</v>
      </c>
      <c r="I13" t="s">
        <v>87</v>
      </c>
      <c r="J13" t="s">
        <v>88</v>
      </c>
      <c r="L13" s="1">
        <v>45901</v>
      </c>
      <c r="M13" s="1">
        <v>45901</v>
      </c>
      <c r="O13">
        <v>18828278</v>
      </c>
      <c r="P13" t="s">
        <v>32</v>
      </c>
      <c r="Q13" t="s">
        <v>89</v>
      </c>
      <c r="R13">
        <v>8192</v>
      </c>
      <c r="S13" t="s">
        <v>34</v>
      </c>
      <c r="T13" t="s">
        <v>35</v>
      </c>
      <c r="U13">
        <v>146</v>
      </c>
      <c r="V13" t="s">
        <v>36</v>
      </c>
      <c r="W13" s="1">
        <v>45852</v>
      </c>
      <c r="X13">
        <v>2025</v>
      </c>
    </row>
    <row r="14" spans="1:24" x14ac:dyDescent="0.25">
      <c r="A14" s="1">
        <v>45867</v>
      </c>
      <c r="B14" t="s">
        <v>90</v>
      </c>
      <c r="C14" t="s">
        <v>91</v>
      </c>
      <c r="E14" t="s">
        <v>92</v>
      </c>
      <c r="F14" t="s">
        <v>93</v>
      </c>
      <c r="G14" t="s">
        <v>42</v>
      </c>
      <c r="H14" t="s">
        <v>29</v>
      </c>
      <c r="I14" t="s">
        <v>94</v>
      </c>
      <c r="J14" t="s">
        <v>95</v>
      </c>
      <c r="L14" s="1">
        <v>45870</v>
      </c>
      <c r="M14" s="1">
        <v>45870</v>
      </c>
      <c r="O14">
        <v>18581063</v>
      </c>
      <c r="P14" t="s">
        <v>32</v>
      </c>
      <c r="Q14" t="s">
        <v>96</v>
      </c>
      <c r="R14">
        <v>8192</v>
      </c>
      <c r="S14" t="s">
        <v>34</v>
      </c>
      <c r="T14" t="s">
        <v>35</v>
      </c>
      <c r="U14">
        <v>182.5</v>
      </c>
      <c r="V14" t="s">
        <v>36</v>
      </c>
      <c r="W14" s="1">
        <v>45851</v>
      </c>
      <c r="X14">
        <v>2025</v>
      </c>
    </row>
    <row r="15" spans="1:24" x14ac:dyDescent="0.25">
      <c r="A15" s="1">
        <v>45867</v>
      </c>
      <c r="B15" t="s">
        <v>97</v>
      </c>
      <c r="C15" t="s">
        <v>98</v>
      </c>
      <c r="E15" t="s">
        <v>99</v>
      </c>
      <c r="F15" t="s">
        <v>100</v>
      </c>
      <c r="G15" t="s">
        <v>42</v>
      </c>
      <c r="H15" t="s">
        <v>29</v>
      </c>
      <c r="I15" t="s">
        <v>94</v>
      </c>
      <c r="J15" t="s">
        <v>101</v>
      </c>
      <c r="L15" s="1">
        <v>45901</v>
      </c>
      <c r="M15" s="1">
        <v>45901</v>
      </c>
      <c r="O15">
        <v>8325282</v>
      </c>
      <c r="P15" t="s">
        <v>32</v>
      </c>
      <c r="Q15" t="s">
        <v>102</v>
      </c>
      <c r="R15">
        <v>8192</v>
      </c>
      <c r="S15" t="s">
        <v>34</v>
      </c>
      <c r="T15" t="s">
        <v>35</v>
      </c>
      <c r="U15">
        <v>146</v>
      </c>
      <c r="V15" t="s">
        <v>36</v>
      </c>
      <c r="W15" s="1">
        <v>45853</v>
      </c>
      <c r="X15">
        <v>2025</v>
      </c>
    </row>
    <row r="16" spans="1:24" x14ac:dyDescent="0.25">
      <c r="A16" s="1">
        <v>45867</v>
      </c>
      <c r="B16" t="s">
        <v>103</v>
      </c>
      <c r="C16" t="s">
        <v>104</v>
      </c>
      <c r="E16" t="s">
        <v>105</v>
      </c>
      <c r="F16" t="s">
        <v>27</v>
      </c>
      <c r="G16" t="s">
        <v>61</v>
      </c>
      <c r="H16" t="s">
        <v>29</v>
      </c>
      <c r="I16" t="s">
        <v>30</v>
      </c>
      <c r="J16" t="s">
        <v>106</v>
      </c>
      <c r="L16" s="1">
        <v>45839</v>
      </c>
      <c r="M16" s="1">
        <v>45839</v>
      </c>
      <c r="N16" s="1">
        <v>45869</v>
      </c>
      <c r="O16">
        <v>19278370</v>
      </c>
      <c r="P16" t="s">
        <v>32</v>
      </c>
      <c r="Q16" t="s">
        <v>107</v>
      </c>
      <c r="R16">
        <v>8192</v>
      </c>
      <c r="S16" t="s">
        <v>34</v>
      </c>
      <c r="T16" t="s">
        <v>35</v>
      </c>
      <c r="U16">
        <v>-830</v>
      </c>
      <c r="V16" t="s">
        <v>108</v>
      </c>
      <c r="W16" s="1">
        <v>45814</v>
      </c>
      <c r="X16">
        <v>2025</v>
      </c>
    </row>
    <row r="17" spans="1:24" x14ac:dyDescent="0.25">
      <c r="A17" s="1">
        <v>45867</v>
      </c>
      <c r="B17" t="s">
        <v>109</v>
      </c>
      <c r="C17" t="s">
        <v>110</v>
      </c>
      <c r="E17" t="s">
        <v>111</v>
      </c>
      <c r="F17" t="s">
        <v>100</v>
      </c>
      <c r="G17" t="s">
        <v>42</v>
      </c>
      <c r="H17" t="s">
        <v>29</v>
      </c>
      <c r="I17" t="s">
        <v>94</v>
      </c>
      <c r="J17" t="s">
        <v>112</v>
      </c>
      <c r="L17" s="1">
        <v>45870</v>
      </c>
      <c r="M17" s="1">
        <v>45870</v>
      </c>
      <c r="O17">
        <v>7470776</v>
      </c>
      <c r="P17" t="s">
        <v>32</v>
      </c>
      <c r="Q17" t="s">
        <v>113</v>
      </c>
      <c r="R17">
        <v>8192</v>
      </c>
      <c r="S17" t="s">
        <v>34</v>
      </c>
      <c r="T17" t="s">
        <v>35</v>
      </c>
      <c r="U17">
        <v>182.5</v>
      </c>
      <c r="V17" t="s">
        <v>36</v>
      </c>
      <c r="W17" s="1">
        <v>45853</v>
      </c>
      <c r="X17">
        <v>2025</v>
      </c>
    </row>
    <row r="18" spans="1:24" x14ac:dyDescent="0.25">
      <c r="A18" s="1">
        <v>45867</v>
      </c>
      <c r="B18" t="s">
        <v>114</v>
      </c>
      <c r="C18" t="s">
        <v>115</v>
      </c>
      <c r="E18" t="s">
        <v>116</v>
      </c>
      <c r="F18" t="s">
        <v>100</v>
      </c>
      <c r="G18" t="s">
        <v>42</v>
      </c>
      <c r="H18" t="s">
        <v>29</v>
      </c>
      <c r="I18" t="s">
        <v>94</v>
      </c>
      <c r="J18" t="s">
        <v>112</v>
      </c>
      <c r="L18" s="1">
        <v>45870</v>
      </c>
      <c r="M18" s="1">
        <v>45870</v>
      </c>
      <c r="O18">
        <v>7470776</v>
      </c>
      <c r="P18" t="s">
        <v>32</v>
      </c>
      <c r="Q18" t="s">
        <v>113</v>
      </c>
      <c r="R18">
        <v>8192</v>
      </c>
      <c r="S18" t="s">
        <v>34</v>
      </c>
      <c r="T18" t="s">
        <v>35</v>
      </c>
      <c r="U18">
        <v>182.5</v>
      </c>
      <c r="V18" t="s">
        <v>36</v>
      </c>
      <c r="W18" s="1">
        <v>45853</v>
      </c>
      <c r="X18">
        <v>2025</v>
      </c>
    </row>
    <row r="19" spans="1:24" x14ac:dyDescent="0.25">
      <c r="A19" s="1">
        <v>45867</v>
      </c>
      <c r="B19" t="s">
        <v>117</v>
      </c>
      <c r="C19" t="s">
        <v>118</v>
      </c>
      <c r="E19" t="s">
        <v>119</v>
      </c>
      <c r="F19" t="s">
        <v>100</v>
      </c>
      <c r="G19" t="s">
        <v>28</v>
      </c>
      <c r="H19" t="s">
        <v>29</v>
      </c>
      <c r="I19" t="s">
        <v>94</v>
      </c>
      <c r="J19" t="s">
        <v>101</v>
      </c>
      <c r="L19" s="1">
        <v>45658</v>
      </c>
      <c r="M19" s="1">
        <v>45658</v>
      </c>
      <c r="N19" s="1">
        <v>45869</v>
      </c>
      <c r="O19">
        <v>19396223</v>
      </c>
      <c r="P19" t="s">
        <v>32</v>
      </c>
      <c r="Q19" t="s">
        <v>120</v>
      </c>
      <c r="R19">
        <v>8192</v>
      </c>
      <c r="S19" t="s">
        <v>34</v>
      </c>
      <c r="T19" t="s">
        <v>35</v>
      </c>
      <c r="U19">
        <v>255.5</v>
      </c>
      <c r="V19" t="s">
        <v>36</v>
      </c>
      <c r="W19" s="1">
        <v>45595</v>
      </c>
      <c r="X19">
        <v>2025</v>
      </c>
    </row>
    <row r="20" spans="1:24" x14ac:dyDescent="0.25">
      <c r="A20" s="1">
        <v>45867</v>
      </c>
      <c r="B20" t="s">
        <v>117</v>
      </c>
      <c r="C20" t="s">
        <v>118</v>
      </c>
      <c r="E20" t="s">
        <v>119</v>
      </c>
      <c r="F20" t="s">
        <v>100</v>
      </c>
      <c r="G20" t="s">
        <v>37</v>
      </c>
      <c r="H20" t="s">
        <v>29</v>
      </c>
      <c r="I20" t="s">
        <v>94</v>
      </c>
      <c r="J20" t="s">
        <v>101</v>
      </c>
      <c r="L20" s="1">
        <v>45658</v>
      </c>
      <c r="M20" s="1">
        <v>45658</v>
      </c>
      <c r="N20" s="1">
        <v>45869</v>
      </c>
      <c r="O20">
        <v>19396223</v>
      </c>
      <c r="P20" t="s">
        <v>32</v>
      </c>
      <c r="Q20" t="s">
        <v>120</v>
      </c>
      <c r="R20">
        <v>8192</v>
      </c>
      <c r="S20" t="s">
        <v>34</v>
      </c>
      <c r="T20" t="s">
        <v>35</v>
      </c>
      <c r="U20">
        <v>-438</v>
      </c>
      <c r="V20" t="s">
        <v>36</v>
      </c>
      <c r="W20" s="1">
        <v>45595</v>
      </c>
      <c r="X20">
        <v>2025</v>
      </c>
    </row>
    <row r="21" spans="1:24" x14ac:dyDescent="0.25">
      <c r="A21" s="1">
        <v>45867</v>
      </c>
      <c r="B21" t="s">
        <v>121</v>
      </c>
      <c r="C21" t="s">
        <v>122</v>
      </c>
      <c r="E21" t="s">
        <v>123</v>
      </c>
      <c r="F21" t="s">
        <v>60</v>
      </c>
      <c r="G21" t="s">
        <v>42</v>
      </c>
      <c r="H21" t="s">
        <v>29</v>
      </c>
      <c r="I21" t="s">
        <v>62</v>
      </c>
      <c r="J21" t="s">
        <v>124</v>
      </c>
      <c r="L21" s="1">
        <v>45870</v>
      </c>
      <c r="M21" s="1">
        <v>45870</v>
      </c>
      <c r="O21">
        <v>9213293</v>
      </c>
      <c r="P21" t="s">
        <v>32</v>
      </c>
      <c r="Q21" t="s">
        <v>125</v>
      </c>
      <c r="R21">
        <v>8192</v>
      </c>
      <c r="S21" t="s">
        <v>34</v>
      </c>
      <c r="T21" t="s">
        <v>35</v>
      </c>
      <c r="U21">
        <v>182.5</v>
      </c>
      <c r="V21" t="s">
        <v>36</v>
      </c>
      <c r="W21" s="1">
        <v>45848</v>
      </c>
      <c r="X21">
        <v>2025</v>
      </c>
    </row>
    <row r="22" spans="1:24" x14ac:dyDescent="0.25">
      <c r="A22" s="1">
        <v>45867</v>
      </c>
      <c r="B22" t="s">
        <v>126</v>
      </c>
      <c r="C22" t="s">
        <v>127</v>
      </c>
      <c r="E22" t="s">
        <v>128</v>
      </c>
      <c r="F22" t="s">
        <v>27</v>
      </c>
      <c r="G22" t="s">
        <v>42</v>
      </c>
      <c r="H22" t="s">
        <v>29</v>
      </c>
      <c r="I22" t="s">
        <v>30</v>
      </c>
      <c r="J22" t="s">
        <v>74</v>
      </c>
      <c r="L22" s="1">
        <v>45870</v>
      </c>
      <c r="M22" s="1">
        <v>45870</v>
      </c>
      <c r="O22">
        <v>18710070</v>
      </c>
      <c r="P22" t="s">
        <v>32</v>
      </c>
      <c r="Q22" t="s">
        <v>129</v>
      </c>
      <c r="R22">
        <v>8192</v>
      </c>
      <c r="S22" t="s">
        <v>34</v>
      </c>
      <c r="T22" t="s">
        <v>35</v>
      </c>
      <c r="U22">
        <v>199.17</v>
      </c>
      <c r="V22" t="s">
        <v>36</v>
      </c>
      <c r="W22" s="1">
        <v>45851</v>
      </c>
      <c r="X2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02AB-BEA0-4E8E-8D40-1FBA1EB25609}">
  <dimension ref="A1:Z37"/>
  <sheetViews>
    <sheetView tabSelected="1" workbookViewId="0">
      <selection activeCell="N24" sqref="N24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9.42578125" bestFit="1" customWidth="1"/>
    <col min="10" max="10" width="24.28515625" bestFit="1" customWidth="1"/>
    <col min="13" max="13" width="21.140625" bestFit="1" customWidth="1"/>
    <col min="14" max="14" width="24.140625" bestFit="1" customWidth="1"/>
    <col min="16" max="16" width="29.42578125" bestFit="1" customWidth="1"/>
    <col min="18" max="18" width="20" bestFit="1" customWidth="1"/>
    <col min="19" max="19" width="27.7109375" bestFit="1" customWidth="1"/>
  </cols>
  <sheetData>
    <row r="1" spans="1:26" x14ac:dyDescent="0.25">
      <c r="A1" t="s">
        <v>1</v>
      </c>
      <c r="C1" t="s">
        <v>4</v>
      </c>
      <c r="D1" t="s">
        <v>5</v>
      </c>
      <c r="E1" t="s">
        <v>7</v>
      </c>
      <c r="F1" t="s">
        <v>11</v>
      </c>
      <c r="G1" t="s">
        <v>12</v>
      </c>
      <c r="H1" t="s">
        <v>14</v>
      </c>
      <c r="I1" t="s">
        <v>15</v>
      </c>
      <c r="J1" t="s">
        <v>16</v>
      </c>
      <c r="K1" t="s">
        <v>20</v>
      </c>
    </row>
    <row r="2" spans="1:26" s="2" customFormat="1" x14ac:dyDescent="0.25">
      <c r="A2" s="2" t="s">
        <v>117</v>
      </c>
      <c r="B2" s="2" t="str">
        <f>CONCATENATE(A2,8)</f>
        <v>2UX9F30KV238</v>
      </c>
      <c r="C2" s="2" t="s">
        <v>193</v>
      </c>
      <c r="D2" s="2" t="s">
        <v>100</v>
      </c>
      <c r="E2" s="2" t="s">
        <v>29</v>
      </c>
      <c r="F2" s="3">
        <v>45658</v>
      </c>
      <c r="G2" s="3">
        <v>45658</v>
      </c>
      <c r="H2" s="2">
        <v>19396223</v>
      </c>
      <c r="I2" s="2" t="s">
        <v>32</v>
      </c>
      <c r="J2" s="2" t="s">
        <v>120</v>
      </c>
      <c r="K2" s="2">
        <v>-438</v>
      </c>
      <c r="L2" s="2">
        <v>-313</v>
      </c>
      <c r="M2" s="2" t="s">
        <v>132</v>
      </c>
      <c r="N2" s="2" t="s">
        <v>136</v>
      </c>
      <c r="P2" s="2" t="s">
        <v>144</v>
      </c>
      <c r="Q2" s="2" t="s">
        <v>145</v>
      </c>
      <c r="R2" s="2" t="s">
        <v>146</v>
      </c>
      <c r="S2" s="2" t="str">
        <f>CONCATENATE(R2, " ",P2)</f>
        <v>RAMESHCHANDRAKA SUTHAR</v>
      </c>
    </row>
    <row r="3" spans="1:26" s="4" customFormat="1" x14ac:dyDescent="0.25">
      <c r="A3" s="2" t="s">
        <v>117</v>
      </c>
      <c r="B3" s="2" t="str">
        <f>CONCATENATE(A3,8)</f>
        <v>2UX9F30KV238</v>
      </c>
      <c r="C3" s="2" t="s">
        <v>193</v>
      </c>
      <c r="D3" s="2" t="s">
        <v>100</v>
      </c>
      <c r="E3" s="2" t="s">
        <v>29</v>
      </c>
      <c r="F3" s="3">
        <v>45658</v>
      </c>
      <c r="G3" s="3">
        <v>45658</v>
      </c>
      <c r="H3" s="2">
        <v>19396223</v>
      </c>
      <c r="I3" s="2" t="s">
        <v>32</v>
      </c>
      <c r="J3" s="2" t="s">
        <v>120</v>
      </c>
      <c r="K3" s="2">
        <v>255.5</v>
      </c>
      <c r="L3" s="2">
        <v>182.58</v>
      </c>
      <c r="M3" s="2" t="s">
        <v>132</v>
      </c>
      <c r="N3" s="2" t="s">
        <v>140</v>
      </c>
      <c r="O3" s="2"/>
      <c r="P3" s="2" t="s">
        <v>144</v>
      </c>
      <c r="Q3" s="2" t="s">
        <v>145</v>
      </c>
      <c r="R3" s="2" t="s">
        <v>146</v>
      </c>
      <c r="S3" s="2" t="str">
        <f t="shared" ref="S3:S37" si="0">CONCATENATE(R3, " ",P3)</f>
        <v>RAMESHCHANDRAKA SUTHAR</v>
      </c>
      <c r="T3" s="2"/>
      <c r="U3" s="2"/>
      <c r="V3" s="2"/>
      <c r="W3" s="2"/>
      <c r="X3" s="2"/>
      <c r="Y3" s="2"/>
      <c r="Z3" s="2"/>
    </row>
    <row r="4" spans="1:26" s="2" customFormat="1" x14ac:dyDescent="0.25">
      <c r="A4" s="2" t="s">
        <v>109</v>
      </c>
      <c r="B4" s="2" t="str">
        <f>CONCATENATE(A4,8)</f>
        <v>3YD8V07AC528</v>
      </c>
      <c r="C4" s="2" t="s">
        <v>194</v>
      </c>
      <c r="D4" s="2" t="s">
        <v>100</v>
      </c>
      <c r="E4" s="2" t="s">
        <v>29</v>
      </c>
      <c r="F4" s="3">
        <v>45870</v>
      </c>
      <c r="G4" s="3">
        <v>45870</v>
      </c>
      <c r="H4" s="2">
        <v>7470776</v>
      </c>
      <c r="I4" s="2" t="s">
        <v>32</v>
      </c>
      <c r="J4" s="2" t="s">
        <v>113</v>
      </c>
      <c r="K4" s="2">
        <v>182.5</v>
      </c>
      <c r="L4" s="2">
        <v>130.41999999999999</v>
      </c>
      <c r="M4" s="2" t="s">
        <v>132</v>
      </c>
      <c r="N4" s="2" t="s">
        <v>141</v>
      </c>
      <c r="P4" s="2" t="s">
        <v>147</v>
      </c>
      <c r="Q4" s="2" t="s">
        <v>148</v>
      </c>
      <c r="R4" s="2" t="s">
        <v>149</v>
      </c>
      <c r="S4" s="2" t="str">
        <f t="shared" si="0"/>
        <v>NOEL SPASO</v>
      </c>
    </row>
    <row r="5" spans="1:26" s="4" customFormat="1" x14ac:dyDescent="0.25">
      <c r="A5" s="2" t="s">
        <v>114</v>
      </c>
      <c r="B5" s="2" t="str">
        <f>CONCATENATE(A5,8)</f>
        <v>1E71JU9UJ138</v>
      </c>
      <c r="C5" s="2" t="s">
        <v>195</v>
      </c>
      <c r="D5" s="2" t="s">
        <v>100</v>
      </c>
      <c r="E5" s="2" t="s">
        <v>29</v>
      </c>
      <c r="F5" s="3">
        <v>45870</v>
      </c>
      <c r="G5" s="3">
        <v>45870</v>
      </c>
      <c r="H5" s="2">
        <v>7470776</v>
      </c>
      <c r="I5" s="2" t="s">
        <v>32</v>
      </c>
      <c r="J5" s="2" t="s">
        <v>113</v>
      </c>
      <c r="K5" s="2">
        <v>182.5</v>
      </c>
      <c r="L5" s="2">
        <v>130.41999999999999</v>
      </c>
      <c r="M5" s="2" t="s">
        <v>132</v>
      </c>
      <c r="N5" s="2" t="s">
        <v>141</v>
      </c>
      <c r="O5" s="2"/>
      <c r="P5" s="2" t="s">
        <v>147</v>
      </c>
      <c r="Q5" s="2" t="s">
        <v>150</v>
      </c>
      <c r="R5" s="2" t="s">
        <v>151</v>
      </c>
      <c r="S5" s="2" t="str">
        <f t="shared" si="0"/>
        <v>RAYMOND SPASO</v>
      </c>
      <c r="T5" s="2"/>
      <c r="U5" s="2"/>
      <c r="V5" s="2"/>
      <c r="W5" s="2"/>
      <c r="X5" s="2"/>
      <c r="Y5" s="2"/>
      <c r="Z5" s="2"/>
    </row>
    <row r="6" spans="1:26" s="2" customFormat="1" x14ac:dyDescent="0.25">
      <c r="A6" s="2" t="s">
        <v>83</v>
      </c>
      <c r="B6" s="2" t="str">
        <f>CONCATENATE(A6,8)</f>
        <v>4JC8DH2QH368</v>
      </c>
      <c r="C6" s="2" t="s">
        <v>196</v>
      </c>
      <c r="D6" s="2" t="s">
        <v>86</v>
      </c>
      <c r="E6" s="2" t="s">
        <v>29</v>
      </c>
      <c r="F6" s="3">
        <v>45901</v>
      </c>
      <c r="G6" s="3">
        <v>45901</v>
      </c>
      <c r="H6" s="2">
        <v>18828278</v>
      </c>
      <c r="I6" s="2" t="s">
        <v>32</v>
      </c>
      <c r="J6" s="2" t="s">
        <v>89</v>
      </c>
      <c r="K6" s="2">
        <v>146</v>
      </c>
      <c r="L6" s="2">
        <v>104.33</v>
      </c>
      <c r="M6" s="2" t="s">
        <v>132</v>
      </c>
      <c r="N6" s="2" t="s">
        <v>139</v>
      </c>
      <c r="P6" s="2" t="s">
        <v>152</v>
      </c>
      <c r="Q6" s="2" t="s">
        <v>153</v>
      </c>
      <c r="R6" s="2" t="s">
        <v>154</v>
      </c>
      <c r="S6" s="2" t="str">
        <f t="shared" si="0"/>
        <v>LOURDES MIKRUT</v>
      </c>
    </row>
    <row r="7" spans="1:26" s="4" customFormat="1" x14ac:dyDescent="0.25">
      <c r="A7" s="2" t="s">
        <v>90</v>
      </c>
      <c r="B7" s="2" t="str">
        <f>CONCATENATE(A7,8)</f>
        <v>3A75NR5PX548</v>
      </c>
      <c r="C7" s="2" t="s">
        <v>197</v>
      </c>
      <c r="D7" s="2" t="s">
        <v>93</v>
      </c>
      <c r="E7" s="2" t="s">
        <v>29</v>
      </c>
      <c r="F7" s="3">
        <v>45870</v>
      </c>
      <c r="G7" s="3">
        <v>45870</v>
      </c>
      <c r="H7" s="2">
        <v>18581063</v>
      </c>
      <c r="I7" s="2" t="s">
        <v>32</v>
      </c>
      <c r="J7" s="2" t="s">
        <v>96</v>
      </c>
      <c r="K7" s="2">
        <v>182.5</v>
      </c>
      <c r="L7" s="2">
        <v>130.41999999999999</v>
      </c>
      <c r="M7" s="2" t="s">
        <v>132</v>
      </c>
      <c r="N7" s="2" t="s">
        <v>141</v>
      </c>
      <c r="O7" s="2"/>
      <c r="P7" s="2" t="s">
        <v>155</v>
      </c>
      <c r="Q7" s="2" t="s">
        <v>156</v>
      </c>
      <c r="R7" s="2" t="s">
        <v>157</v>
      </c>
      <c r="S7" s="2" t="str">
        <f t="shared" si="0"/>
        <v>TERRIE PALAZZO</v>
      </c>
      <c r="T7" s="2"/>
      <c r="U7" s="2"/>
      <c r="V7" s="2"/>
      <c r="W7" s="2"/>
      <c r="X7" s="2"/>
      <c r="Y7" s="2"/>
      <c r="Z7" s="2"/>
    </row>
    <row r="8" spans="1:26" s="2" customFormat="1" x14ac:dyDescent="0.25">
      <c r="A8" s="2" t="s">
        <v>79</v>
      </c>
      <c r="B8" s="2" t="str">
        <f>CONCATENATE(A8,8)</f>
        <v>6KX3HM6HF918</v>
      </c>
      <c r="C8" s="2" t="s">
        <v>198</v>
      </c>
      <c r="D8" s="2" t="s">
        <v>27</v>
      </c>
      <c r="E8" s="2" t="s">
        <v>29</v>
      </c>
      <c r="F8" s="3">
        <v>45839</v>
      </c>
      <c r="G8" s="3">
        <v>45839</v>
      </c>
      <c r="H8" s="2" t="s">
        <v>143</v>
      </c>
      <c r="I8" s="2" t="s">
        <v>32</v>
      </c>
      <c r="J8" s="2" t="s">
        <v>75</v>
      </c>
      <c r="K8" s="2">
        <v>-239</v>
      </c>
      <c r="L8" s="2">
        <v>-176.5</v>
      </c>
      <c r="M8" s="2" t="s">
        <v>135</v>
      </c>
      <c r="N8" s="2" t="s">
        <v>134</v>
      </c>
      <c r="P8" s="2" t="s">
        <v>158</v>
      </c>
      <c r="Q8" s="2" t="s">
        <v>159</v>
      </c>
      <c r="R8" s="2" t="s">
        <v>160</v>
      </c>
      <c r="S8" s="2" t="str">
        <f t="shared" si="0"/>
        <v>FRANK MIHELIC</v>
      </c>
    </row>
    <row r="9" spans="1:26" s="4" customFormat="1" x14ac:dyDescent="0.25">
      <c r="A9" s="2" t="s">
        <v>71</v>
      </c>
      <c r="B9" s="2" t="str">
        <f>CONCATENATE(A9,8)</f>
        <v>2EH1PF5NE988</v>
      </c>
      <c r="C9" s="2" t="s">
        <v>199</v>
      </c>
      <c r="D9" s="2" t="s">
        <v>27</v>
      </c>
      <c r="E9" s="2" t="s">
        <v>29</v>
      </c>
      <c r="F9" s="3">
        <v>45870</v>
      </c>
      <c r="G9" s="3">
        <v>45870</v>
      </c>
      <c r="H9" s="2" t="s">
        <v>143</v>
      </c>
      <c r="I9" s="2" t="s">
        <v>32</v>
      </c>
      <c r="J9" s="2" t="s">
        <v>75</v>
      </c>
      <c r="K9" s="2">
        <v>199.17</v>
      </c>
      <c r="L9" s="2">
        <v>147.08000000000001</v>
      </c>
      <c r="M9" s="2" t="s">
        <v>135</v>
      </c>
      <c r="N9" s="2" t="s">
        <v>138</v>
      </c>
      <c r="O9" s="2"/>
      <c r="P9" s="2" t="s">
        <v>161</v>
      </c>
      <c r="Q9" s="2" t="s">
        <v>148</v>
      </c>
      <c r="R9" s="2" t="s">
        <v>162</v>
      </c>
      <c r="S9" s="2" t="str">
        <f t="shared" si="0"/>
        <v>EDWARD JONES</v>
      </c>
      <c r="T9" s="2"/>
      <c r="U9" s="2"/>
      <c r="V9" s="2"/>
      <c r="W9" s="2"/>
      <c r="X9" s="2"/>
      <c r="Y9" s="2"/>
      <c r="Z9" s="2"/>
    </row>
    <row r="10" spans="1:26" s="4" customFormat="1" x14ac:dyDescent="0.25">
      <c r="A10" s="2" t="s">
        <v>103</v>
      </c>
      <c r="B10" s="2" t="str">
        <f>CONCATENATE(A10,7)</f>
        <v>8XE2PP6YW097</v>
      </c>
      <c r="C10" s="2" t="s">
        <v>200</v>
      </c>
      <c r="D10" s="2" t="s">
        <v>27</v>
      </c>
      <c r="E10" s="2" t="s">
        <v>29</v>
      </c>
      <c r="F10" s="3">
        <v>45839</v>
      </c>
      <c r="G10" s="3">
        <v>45839</v>
      </c>
      <c r="H10" s="2">
        <v>19278370</v>
      </c>
      <c r="I10" s="2" t="s">
        <v>32</v>
      </c>
      <c r="J10" s="2" t="s">
        <v>107</v>
      </c>
      <c r="K10" s="2">
        <v>-830</v>
      </c>
      <c r="L10" s="2">
        <v>-705</v>
      </c>
      <c r="M10" s="2" t="s">
        <v>131</v>
      </c>
      <c r="N10" s="2" t="s">
        <v>137</v>
      </c>
      <c r="O10" s="2"/>
      <c r="P10" s="2" t="s">
        <v>163</v>
      </c>
      <c r="Q10" s="2" t="s">
        <v>164</v>
      </c>
      <c r="R10" s="2" t="s">
        <v>165</v>
      </c>
      <c r="S10" s="2" t="str">
        <f t="shared" si="0"/>
        <v>MICHAEL RIZZO</v>
      </c>
      <c r="T10" s="2"/>
      <c r="U10" s="2"/>
      <c r="V10" s="2"/>
      <c r="W10" s="2"/>
      <c r="X10" s="2"/>
      <c r="Y10" s="2"/>
      <c r="Z10" s="2"/>
    </row>
    <row r="11" spans="1:26" s="4" customFormat="1" x14ac:dyDescent="0.25">
      <c r="A11" s="2" t="s">
        <v>126</v>
      </c>
      <c r="B11" s="2" t="str">
        <f>CONCATENATE(A11,8)</f>
        <v>5TM0DA0YH348</v>
      </c>
      <c r="C11" s="2" t="s">
        <v>201</v>
      </c>
      <c r="D11" s="2" t="s">
        <v>27</v>
      </c>
      <c r="E11" s="2" t="s">
        <v>29</v>
      </c>
      <c r="F11" s="3">
        <v>45870</v>
      </c>
      <c r="G11" s="3">
        <v>45870</v>
      </c>
      <c r="H11" s="2">
        <v>18710070</v>
      </c>
      <c r="I11" s="2" t="s">
        <v>32</v>
      </c>
      <c r="J11" s="2" t="s">
        <v>129</v>
      </c>
      <c r="K11" s="2">
        <v>199.17</v>
      </c>
      <c r="L11" s="2">
        <v>147.08000000000001</v>
      </c>
      <c r="M11" s="2" t="s">
        <v>135</v>
      </c>
      <c r="N11" s="2" t="s">
        <v>138</v>
      </c>
      <c r="O11" s="2"/>
      <c r="P11" s="2" t="s">
        <v>166</v>
      </c>
      <c r="Q11" s="2" t="s">
        <v>164</v>
      </c>
      <c r="R11" s="2" t="s">
        <v>167</v>
      </c>
      <c r="S11" s="2" t="str">
        <f t="shared" si="0"/>
        <v>DOREEN WALKER</v>
      </c>
      <c r="T11" s="2"/>
      <c r="U11" s="2"/>
      <c r="V11" s="2"/>
      <c r="W11" s="2"/>
      <c r="X11" s="2"/>
      <c r="Y11" s="2"/>
      <c r="Z11" s="2"/>
    </row>
    <row r="12" spans="1:26" s="4" customFormat="1" x14ac:dyDescent="0.25">
      <c r="A12" s="2" t="s">
        <v>38</v>
      </c>
      <c r="B12" s="2" t="str">
        <f>CONCATENATE(A12,8)</f>
        <v>7EC3VX6TE028</v>
      </c>
      <c r="C12" s="2" t="s">
        <v>202</v>
      </c>
      <c r="D12" s="2" t="s">
        <v>41</v>
      </c>
      <c r="E12" s="2" t="s">
        <v>29</v>
      </c>
      <c r="F12" s="3">
        <v>45870</v>
      </c>
      <c r="G12" s="3">
        <v>45870</v>
      </c>
      <c r="H12" s="2">
        <v>16865615</v>
      </c>
      <c r="I12" s="2" t="s">
        <v>32</v>
      </c>
      <c r="J12" s="2" t="s">
        <v>45</v>
      </c>
      <c r="K12" s="2">
        <v>182.5</v>
      </c>
      <c r="L12" s="2">
        <v>130.41999999999999</v>
      </c>
      <c r="M12" s="2" t="s">
        <v>132</v>
      </c>
      <c r="N12" s="2" t="s">
        <v>141</v>
      </c>
      <c r="O12" s="2"/>
      <c r="P12" s="2" t="s">
        <v>168</v>
      </c>
      <c r="Q12" s="2" t="s">
        <v>169</v>
      </c>
      <c r="R12" s="2" t="s">
        <v>170</v>
      </c>
      <c r="S12" s="2" t="str">
        <f t="shared" si="0"/>
        <v>THOMAS DANIELS</v>
      </c>
      <c r="T12" s="2"/>
      <c r="U12" s="2"/>
      <c r="V12" s="2"/>
      <c r="W12" s="2"/>
      <c r="X12" s="2"/>
      <c r="Y12" s="2"/>
      <c r="Z12" s="2"/>
    </row>
    <row r="13" spans="1:26" s="4" customFormat="1" x14ac:dyDescent="0.25">
      <c r="A13" s="2" t="s">
        <v>121</v>
      </c>
      <c r="B13" s="2" t="str">
        <f>CONCATENATE(A13,8)</f>
        <v>9GQ0UY3DC028</v>
      </c>
      <c r="C13" s="2" t="s">
        <v>203</v>
      </c>
      <c r="D13" s="2" t="s">
        <v>60</v>
      </c>
      <c r="E13" s="2" t="s">
        <v>29</v>
      </c>
      <c r="F13" s="3">
        <v>45870</v>
      </c>
      <c r="G13" s="3">
        <v>45870</v>
      </c>
      <c r="H13" s="2">
        <v>9213293</v>
      </c>
      <c r="I13" s="2" t="s">
        <v>32</v>
      </c>
      <c r="J13" s="2" t="s">
        <v>125</v>
      </c>
      <c r="K13" s="2">
        <v>182.5</v>
      </c>
      <c r="L13" s="2">
        <v>130.41999999999999</v>
      </c>
      <c r="M13" s="2" t="s">
        <v>132</v>
      </c>
      <c r="N13" s="2" t="s">
        <v>141</v>
      </c>
      <c r="O13" s="2"/>
      <c r="P13" s="2" t="s">
        <v>171</v>
      </c>
      <c r="Q13" s="2" t="s">
        <v>172</v>
      </c>
      <c r="R13" s="2" t="s">
        <v>170</v>
      </c>
      <c r="S13" s="2" t="str">
        <f t="shared" si="0"/>
        <v>THOMAS VONBERG</v>
      </c>
      <c r="T13" s="2"/>
      <c r="U13" s="2"/>
      <c r="V13" s="2"/>
      <c r="W13" s="2"/>
      <c r="X13" s="2"/>
      <c r="Y13" s="2"/>
      <c r="Z13" s="2"/>
    </row>
    <row r="14" spans="1:26" s="4" customFormat="1" x14ac:dyDescent="0.25">
      <c r="A14" s="2" t="s">
        <v>57</v>
      </c>
      <c r="B14" s="2" t="str">
        <f>CONCATENATE(A14,8)</f>
        <v>5X39F80FD148</v>
      </c>
      <c r="C14" s="2" t="s">
        <v>204</v>
      </c>
      <c r="D14" s="2" t="s">
        <v>60</v>
      </c>
      <c r="E14" s="2" t="s">
        <v>29</v>
      </c>
      <c r="F14" s="3">
        <v>45778</v>
      </c>
      <c r="G14" s="3">
        <v>45778</v>
      </c>
      <c r="H14" s="2">
        <v>18935660</v>
      </c>
      <c r="I14" s="2" t="s">
        <v>32</v>
      </c>
      <c r="J14" s="2" t="s">
        <v>64</v>
      </c>
      <c r="K14" s="2">
        <v>-292</v>
      </c>
      <c r="L14" s="2">
        <v>-208.67</v>
      </c>
      <c r="M14" s="2" t="s">
        <v>132</v>
      </c>
      <c r="N14" s="2" t="s">
        <v>133</v>
      </c>
      <c r="O14" s="2"/>
      <c r="P14" s="2" t="s">
        <v>173</v>
      </c>
      <c r="Q14" s="2" t="s">
        <v>174</v>
      </c>
      <c r="R14" s="2" t="s">
        <v>175</v>
      </c>
      <c r="S14" s="2" t="str">
        <f t="shared" si="0"/>
        <v>TIMMY GARCIA</v>
      </c>
      <c r="T14" s="2"/>
      <c r="U14" s="2"/>
      <c r="V14" s="2"/>
      <c r="W14" s="2"/>
      <c r="X14" s="2"/>
      <c r="Y14" s="2"/>
      <c r="Z14" s="2"/>
    </row>
    <row r="15" spans="1:26" s="4" customFormat="1" x14ac:dyDescent="0.25">
      <c r="A15" s="2" t="s">
        <v>50</v>
      </c>
      <c r="B15" s="2" t="str">
        <f>CONCATENATE(A15,8)</f>
        <v>7WN5XG5GV948</v>
      </c>
      <c r="C15" s="2" t="s">
        <v>205</v>
      </c>
      <c r="D15" s="2" t="s">
        <v>53</v>
      </c>
      <c r="E15" s="2" t="s">
        <v>29</v>
      </c>
      <c r="F15" s="3">
        <v>45870</v>
      </c>
      <c r="G15" s="3">
        <v>45870</v>
      </c>
      <c r="H15" s="2">
        <v>8307933</v>
      </c>
      <c r="I15" s="2" t="s">
        <v>32</v>
      </c>
      <c r="J15" s="2" t="s">
        <v>56</v>
      </c>
      <c r="K15" s="2">
        <v>182.5</v>
      </c>
      <c r="L15" s="2">
        <v>130.41999999999999</v>
      </c>
      <c r="M15" s="2" t="s">
        <v>132</v>
      </c>
      <c r="N15" s="2" t="s">
        <v>141</v>
      </c>
      <c r="O15" s="2"/>
      <c r="P15" s="2" t="s">
        <v>176</v>
      </c>
      <c r="Q15" s="2" t="s">
        <v>177</v>
      </c>
      <c r="R15" s="2" t="s">
        <v>178</v>
      </c>
      <c r="S15" s="2" t="str">
        <f t="shared" si="0"/>
        <v>DAVID FRY</v>
      </c>
      <c r="T15" s="2"/>
      <c r="U15" s="2"/>
      <c r="V15" s="2"/>
      <c r="W15" s="2"/>
      <c r="X15" s="2"/>
      <c r="Y15" s="2"/>
      <c r="Z15" s="2"/>
    </row>
    <row r="16" spans="1:26" s="2" customFormat="1" x14ac:dyDescent="0.25">
      <c r="A16" s="2" t="s">
        <v>97</v>
      </c>
      <c r="B16" s="2" t="str">
        <f>CONCATENATE(A16,8)</f>
        <v>9X63DM2UA958</v>
      </c>
      <c r="C16" s="2" t="s">
        <v>206</v>
      </c>
      <c r="D16" s="2" t="s">
        <v>100</v>
      </c>
      <c r="E16" s="2" t="s">
        <v>29</v>
      </c>
      <c r="F16" s="3">
        <v>45901</v>
      </c>
      <c r="G16" s="3">
        <v>45901</v>
      </c>
      <c r="H16" s="2">
        <v>8325282</v>
      </c>
      <c r="I16" s="2" t="s">
        <v>32</v>
      </c>
      <c r="J16" s="2" t="s">
        <v>102</v>
      </c>
      <c r="K16" s="2">
        <v>146</v>
      </c>
      <c r="L16" s="2">
        <v>104.33</v>
      </c>
      <c r="M16" s="2" t="s">
        <v>132</v>
      </c>
      <c r="N16" s="2" t="s">
        <v>139</v>
      </c>
      <c r="P16" s="2" t="s">
        <v>179</v>
      </c>
      <c r="Q16" s="2" t="s">
        <v>180</v>
      </c>
      <c r="R16" s="2" t="s">
        <v>181</v>
      </c>
      <c r="S16" s="2" t="str">
        <f t="shared" si="0"/>
        <v>DONNA REBOLETTI</v>
      </c>
    </row>
    <row r="17" spans="1:26" s="2" customFormat="1" x14ac:dyDescent="0.25">
      <c r="A17" s="4" t="s">
        <v>103</v>
      </c>
      <c r="B17" s="4" t="str">
        <f>CONCATENATE(A17,88)</f>
        <v>8XE2PP6YW0988</v>
      </c>
      <c r="C17" s="4" t="s">
        <v>200</v>
      </c>
      <c r="D17" s="4" t="s">
        <v>27</v>
      </c>
      <c r="E17" s="4" t="s">
        <v>29</v>
      </c>
      <c r="F17" s="5">
        <v>45839</v>
      </c>
      <c r="G17" s="5">
        <v>45839</v>
      </c>
      <c r="H17" s="4">
        <v>20411454</v>
      </c>
      <c r="I17" s="4" t="s">
        <v>32</v>
      </c>
      <c r="J17" s="4" t="s">
        <v>142</v>
      </c>
      <c r="K17" s="4">
        <v>-830</v>
      </c>
      <c r="L17" s="4">
        <v>-125</v>
      </c>
      <c r="M17" s="4" t="s">
        <v>130</v>
      </c>
      <c r="N17" s="4"/>
      <c r="O17" s="4"/>
      <c r="P17" s="4" t="s">
        <v>163</v>
      </c>
      <c r="Q17" s="4" t="s">
        <v>164</v>
      </c>
      <c r="R17" s="4" t="s">
        <v>165</v>
      </c>
      <c r="S17" s="2" t="str">
        <f t="shared" si="0"/>
        <v>MICHAEL RIZZO</v>
      </c>
      <c r="T17" s="4"/>
      <c r="U17" s="4"/>
      <c r="V17" s="4"/>
      <c r="W17" s="4"/>
      <c r="X17" s="4"/>
      <c r="Y17" s="4"/>
      <c r="Z17" s="4"/>
    </row>
    <row r="18" spans="1:26" s="4" customFormat="1" x14ac:dyDescent="0.25">
      <c r="A18" s="4" t="s">
        <v>117</v>
      </c>
      <c r="B18" s="4" t="str">
        <f t="shared" ref="B18:B37" si="1">CONCATENATE(A18,88)</f>
        <v>2UX9F30KV2388</v>
      </c>
      <c r="C18" s="4" t="s">
        <v>193</v>
      </c>
      <c r="D18" s="4" t="s">
        <v>100</v>
      </c>
      <c r="E18" s="4" t="s">
        <v>29</v>
      </c>
      <c r="F18" s="5">
        <v>45658</v>
      </c>
      <c r="G18" s="5">
        <v>45658</v>
      </c>
      <c r="H18" s="4">
        <v>20411454</v>
      </c>
      <c r="I18" s="4" t="s">
        <v>32</v>
      </c>
      <c r="J18" s="4" t="s">
        <v>142</v>
      </c>
      <c r="K18" s="4">
        <v>-438</v>
      </c>
      <c r="L18" s="4">
        <v>-125</v>
      </c>
      <c r="M18" s="4" t="s">
        <v>130</v>
      </c>
      <c r="P18" s="4" t="s">
        <v>144</v>
      </c>
      <c r="Q18" s="4" t="s">
        <v>145</v>
      </c>
      <c r="R18" s="4" t="s">
        <v>146</v>
      </c>
      <c r="S18" s="2" t="str">
        <f t="shared" si="0"/>
        <v>RAMESHCHANDRAKA SUTHAR</v>
      </c>
    </row>
    <row r="19" spans="1:26" s="4" customFormat="1" x14ac:dyDescent="0.25">
      <c r="A19" s="4" t="s">
        <v>57</v>
      </c>
      <c r="B19" s="4" t="str">
        <f t="shared" si="1"/>
        <v>5X39F80FD1488</v>
      </c>
      <c r="C19" s="4" t="s">
        <v>204</v>
      </c>
      <c r="D19" s="4" t="s">
        <v>60</v>
      </c>
      <c r="E19" s="4" t="s">
        <v>29</v>
      </c>
      <c r="F19" s="5">
        <v>45778</v>
      </c>
      <c r="G19" s="5">
        <v>45778</v>
      </c>
      <c r="H19" s="4">
        <v>20411454</v>
      </c>
      <c r="I19" s="4" t="s">
        <v>32</v>
      </c>
      <c r="J19" s="4" t="s">
        <v>142</v>
      </c>
      <c r="K19" s="4">
        <v>-292</v>
      </c>
      <c r="L19" s="4">
        <v>-83.33</v>
      </c>
      <c r="M19" s="4" t="s">
        <v>130</v>
      </c>
      <c r="P19" s="4" t="s">
        <v>173</v>
      </c>
      <c r="Q19" s="4" t="s">
        <v>174</v>
      </c>
      <c r="R19" s="4" t="s">
        <v>175</v>
      </c>
      <c r="S19" s="2" t="str">
        <f t="shared" si="0"/>
        <v>TIMMY GARCIA</v>
      </c>
    </row>
    <row r="20" spans="1:26" s="2" customFormat="1" x14ac:dyDescent="0.25">
      <c r="A20" s="4" t="s">
        <v>79</v>
      </c>
      <c r="B20" s="4" t="str">
        <f t="shared" si="1"/>
        <v>6KX3HM6HF9188</v>
      </c>
      <c r="C20" s="4" t="s">
        <v>198</v>
      </c>
      <c r="D20" s="4" t="s">
        <v>27</v>
      </c>
      <c r="E20" s="4" t="s">
        <v>29</v>
      </c>
      <c r="F20" s="5">
        <v>45839</v>
      </c>
      <c r="G20" s="5">
        <v>45839</v>
      </c>
      <c r="H20" s="4">
        <v>20411454</v>
      </c>
      <c r="I20" s="4" t="s">
        <v>32</v>
      </c>
      <c r="J20" s="4" t="s">
        <v>142</v>
      </c>
      <c r="K20" s="4">
        <v>-239</v>
      </c>
      <c r="L20" s="4">
        <v>-62.5</v>
      </c>
      <c r="M20" s="4" t="s">
        <v>130</v>
      </c>
      <c r="N20" s="4"/>
      <c r="O20" s="4"/>
      <c r="P20" s="4" t="s">
        <v>158</v>
      </c>
      <c r="Q20" s="4" t="s">
        <v>159</v>
      </c>
      <c r="R20" s="4" t="s">
        <v>160</v>
      </c>
      <c r="S20" s="2" t="str">
        <f t="shared" si="0"/>
        <v>FRANK MIHELIC</v>
      </c>
      <c r="T20" s="4"/>
      <c r="U20" s="4"/>
      <c r="V20" s="4"/>
      <c r="W20" s="4"/>
      <c r="X20" s="4"/>
      <c r="Y20" s="4"/>
      <c r="Z20" s="4"/>
    </row>
    <row r="21" spans="1:26" s="2" customFormat="1" x14ac:dyDescent="0.25">
      <c r="A21" s="4" t="s">
        <v>24</v>
      </c>
      <c r="B21" s="4" t="str">
        <f t="shared" si="1"/>
        <v>3P73KM6RK9388</v>
      </c>
      <c r="C21" s="4" t="s">
        <v>207</v>
      </c>
      <c r="D21" s="4" t="s">
        <v>27</v>
      </c>
      <c r="E21" s="4" t="s">
        <v>29</v>
      </c>
      <c r="F21" s="5">
        <v>45658</v>
      </c>
      <c r="G21" s="5">
        <v>45658</v>
      </c>
      <c r="H21" s="4">
        <v>20411454</v>
      </c>
      <c r="I21" s="4" t="s">
        <v>32</v>
      </c>
      <c r="J21" s="4" t="s">
        <v>142</v>
      </c>
      <c r="K21" s="4">
        <v>-40</v>
      </c>
      <c r="L21" s="4">
        <v>-40</v>
      </c>
      <c r="M21" s="4" t="s">
        <v>130</v>
      </c>
      <c r="N21" s="4"/>
      <c r="O21" s="4"/>
      <c r="P21" s="4" t="s">
        <v>182</v>
      </c>
      <c r="Q21" s="4" t="s">
        <v>183</v>
      </c>
      <c r="R21" s="4" t="s">
        <v>184</v>
      </c>
      <c r="S21" s="2" t="str">
        <f t="shared" si="0"/>
        <v>PHYLLIS BENTLEY</v>
      </c>
      <c r="T21" s="4"/>
      <c r="U21" s="4"/>
      <c r="V21" s="4"/>
      <c r="W21" s="4"/>
      <c r="X21" s="4"/>
      <c r="Y21" s="4"/>
      <c r="Z21" s="4"/>
    </row>
    <row r="22" spans="1:26" s="2" customFormat="1" x14ac:dyDescent="0.25">
      <c r="A22" s="4" t="s">
        <v>76</v>
      </c>
      <c r="B22" s="4" t="str">
        <f t="shared" si="1"/>
        <v>5UP0V08CW1788</v>
      </c>
      <c r="C22" s="4" t="s">
        <v>208</v>
      </c>
      <c r="D22" s="4" t="s">
        <v>27</v>
      </c>
      <c r="E22" s="4" t="s">
        <v>68</v>
      </c>
      <c r="F22" s="5">
        <v>45658</v>
      </c>
      <c r="G22" s="5">
        <v>45658</v>
      </c>
      <c r="H22" s="4">
        <v>20411454</v>
      </c>
      <c r="I22" s="4" t="s">
        <v>32</v>
      </c>
      <c r="J22" s="4" t="s">
        <v>142</v>
      </c>
      <c r="K22" s="4">
        <v>-40</v>
      </c>
      <c r="L22" s="4">
        <v>-40</v>
      </c>
      <c r="M22" s="4" t="s">
        <v>130</v>
      </c>
      <c r="N22" s="4"/>
      <c r="O22" s="4"/>
      <c r="P22" s="4" t="s">
        <v>185</v>
      </c>
      <c r="Q22" s="4" t="s">
        <v>186</v>
      </c>
      <c r="R22" s="4" t="s">
        <v>187</v>
      </c>
      <c r="S22" s="2" t="str">
        <f t="shared" si="0"/>
        <v>JACK MCKAIN</v>
      </c>
      <c r="T22" s="4"/>
      <c r="U22" s="4"/>
      <c r="V22" s="4"/>
      <c r="W22" s="4"/>
      <c r="X22" s="4"/>
      <c r="Y22" s="4"/>
      <c r="Z22" s="4"/>
    </row>
    <row r="23" spans="1:26" s="2" customFormat="1" x14ac:dyDescent="0.25">
      <c r="A23" s="4" t="s">
        <v>46</v>
      </c>
      <c r="B23" s="4" t="str">
        <f t="shared" si="1"/>
        <v>2CQ2RT2FX9988</v>
      </c>
      <c r="C23" s="4" t="s">
        <v>209</v>
      </c>
      <c r="D23" s="4" t="s">
        <v>27</v>
      </c>
      <c r="E23" s="4" t="s">
        <v>29</v>
      </c>
      <c r="F23" s="5">
        <v>45870</v>
      </c>
      <c r="G23" s="5">
        <v>45870</v>
      </c>
      <c r="H23" s="4">
        <v>20411454</v>
      </c>
      <c r="I23" s="4" t="s">
        <v>32</v>
      </c>
      <c r="J23" s="4" t="s">
        <v>142</v>
      </c>
      <c r="K23" s="4">
        <v>16.670000000000002</v>
      </c>
      <c r="L23" s="4">
        <v>16.670000000000002</v>
      </c>
      <c r="M23" s="4" t="s">
        <v>130</v>
      </c>
      <c r="N23" s="4"/>
      <c r="O23" s="4"/>
      <c r="P23" s="4" t="s">
        <v>188</v>
      </c>
      <c r="Q23" s="4" t="s">
        <v>189</v>
      </c>
      <c r="R23" s="4" t="s">
        <v>190</v>
      </c>
      <c r="S23" s="2" t="str">
        <f t="shared" si="0"/>
        <v>DEVEN DICKSON</v>
      </c>
      <c r="T23" s="4"/>
      <c r="U23" s="4"/>
      <c r="V23" s="4"/>
      <c r="W23" s="4"/>
      <c r="X23" s="4"/>
      <c r="Y23" s="4"/>
      <c r="Z23" s="4"/>
    </row>
    <row r="24" spans="1:26" s="2" customFormat="1" x14ac:dyDescent="0.25">
      <c r="A24" s="4" t="s">
        <v>65</v>
      </c>
      <c r="B24" s="4" t="str">
        <f t="shared" si="1"/>
        <v>9UU4RR7AQ6688</v>
      </c>
      <c r="C24" s="4" t="s">
        <v>210</v>
      </c>
      <c r="D24" s="4" t="s">
        <v>27</v>
      </c>
      <c r="E24" s="4" t="s">
        <v>68</v>
      </c>
      <c r="F24" s="5">
        <v>45870</v>
      </c>
      <c r="G24" s="5">
        <v>45870</v>
      </c>
      <c r="H24" s="4">
        <v>20411454</v>
      </c>
      <c r="I24" s="4" t="s">
        <v>32</v>
      </c>
      <c r="J24" s="4" t="s">
        <v>142</v>
      </c>
      <c r="K24" s="4">
        <v>16.670000000000002</v>
      </c>
      <c r="L24" s="4">
        <v>16.670000000000002</v>
      </c>
      <c r="M24" s="4" t="s">
        <v>130</v>
      </c>
      <c r="N24" s="4"/>
      <c r="O24" s="4"/>
      <c r="P24" s="4" t="s">
        <v>191</v>
      </c>
      <c r="Q24" s="4" t="s">
        <v>189</v>
      </c>
      <c r="R24" s="4" t="s">
        <v>192</v>
      </c>
      <c r="S24" s="2" t="str">
        <f t="shared" si="0"/>
        <v>JOHN HANCHOSKY</v>
      </c>
      <c r="T24" s="4"/>
      <c r="U24" s="4"/>
      <c r="V24" s="4"/>
      <c r="W24" s="4"/>
      <c r="X24" s="4"/>
      <c r="Y24" s="4"/>
      <c r="Z24" s="4"/>
    </row>
    <row r="25" spans="1:26" s="2" customFormat="1" x14ac:dyDescent="0.25">
      <c r="A25" s="4" t="s">
        <v>76</v>
      </c>
      <c r="B25" s="4" t="str">
        <f t="shared" si="1"/>
        <v>5UP0V08CW1788</v>
      </c>
      <c r="C25" s="4" t="s">
        <v>208</v>
      </c>
      <c r="D25" s="4" t="s">
        <v>27</v>
      </c>
      <c r="E25" s="4" t="s">
        <v>68</v>
      </c>
      <c r="F25" s="5">
        <v>45658</v>
      </c>
      <c r="G25" s="5">
        <v>45658</v>
      </c>
      <c r="H25" s="4">
        <v>20411454</v>
      </c>
      <c r="I25" s="4" t="s">
        <v>32</v>
      </c>
      <c r="J25" s="4" t="s">
        <v>142</v>
      </c>
      <c r="K25" s="4">
        <v>20</v>
      </c>
      <c r="L25" s="4">
        <v>20</v>
      </c>
      <c r="M25" s="4" t="s">
        <v>130</v>
      </c>
      <c r="N25" s="4"/>
      <c r="O25" s="4"/>
      <c r="P25" s="4" t="s">
        <v>185</v>
      </c>
      <c r="Q25" s="4" t="s">
        <v>186</v>
      </c>
      <c r="R25" s="4" t="s">
        <v>187</v>
      </c>
      <c r="S25" s="2" t="str">
        <f t="shared" si="0"/>
        <v>JACK MCKAIN</v>
      </c>
      <c r="T25" s="4"/>
      <c r="U25" s="4"/>
      <c r="V25" s="4"/>
      <c r="W25" s="4"/>
      <c r="X25" s="4"/>
      <c r="Y25" s="4"/>
      <c r="Z25" s="4"/>
    </row>
    <row r="26" spans="1:26" s="4" customFormat="1" x14ac:dyDescent="0.25">
      <c r="A26" s="4" t="s">
        <v>24</v>
      </c>
      <c r="B26" s="4" t="str">
        <f t="shared" si="1"/>
        <v>3P73KM6RK9388</v>
      </c>
      <c r="C26" s="4" t="s">
        <v>207</v>
      </c>
      <c r="D26" s="4" t="s">
        <v>27</v>
      </c>
      <c r="E26" s="4" t="s">
        <v>29</v>
      </c>
      <c r="F26" s="5">
        <v>45658</v>
      </c>
      <c r="G26" s="5">
        <v>45658</v>
      </c>
      <c r="H26" s="4">
        <v>20411454</v>
      </c>
      <c r="I26" s="4" t="s">
        <v>32</v>
      </c>
      <c r="J26" s="4" t="s">
        <v>142</v>
      </c>
      <c r="K26" s="4">
        <v>23.33</v>
      </c>
      <c r="L26" s="4">
        <v>23.33</v>
      </c>
      <c r="M26" s="4" t="s">
        <v>130</v>
      </c>
      <c r="P26" s="4" t="s">
        <v>182</v>
      </c>
      <c r="Q26" s="4" t="s">
        <v>183</v>
      </c>
      <c r="R26" s="4" t="s">
        <v>184</v>
      </c>
      <c r="S26" s="2" t="str">
        <f t="shared" si="0"/>
        <v>PHYLLIS BENTLEY</v>
      </c>
    </row>
    <row r="27" spans="1:26" s="4" customFormat="1" x14ac:dyDescent="0.25">
      <c r="A27" s="4" t="s">
        <v>83</v>
      </c>
      <c r="B27" s="4" t="str">
        <f t="shared" si="1"/>
        <v>4JC8DH2QH3688</v>
      </c>
      <c r="C27" s="4" t="s">
        <v>196</v>
      </c>
      <c r="D27" s="4" t="s">
        <v>86</v>
      </c>
      <c r="E27" s="4" t="s">
        <v>29</v>
      </c>
      <c r="F27" s="5">
        <v>45901</v>
      </c>
      <c r="G27" s="5">
        <v>45901</v>
      </c>
      <c r="H27" s="4">
        <v>20411454</v>
      </c>
      <c r="I27" s="4" t="s">
        <v>32</v>
      </c>
      <c r="J27" s="4" t="s">
        <v>142</v>
      </c>
      <c r="K27" s="4">
        <v>146</v>
      </c>
      <c r="L27" s="4">
        <v>41.67</v>
      </c>
      <c r="M27" s="4" t="s">
        <v>130</v>
      </c>
      <c r="P27" s="4" t="s">
        <v>152</v>
      </c>
      <c r="Q27" s="4" t="s">
        <v>153</v>
      </c>
      <c r="R27" s="4" t="s">
        <v>154</v>
      </c>
      <c r="S27" s="2" t="str">
        <f t="shared" si="0"/>
        <v>LOURDES MIKRUT</v>
      </c>
    </row>
    <row r="28" spans="1:26" s="4" customFormat="1" x14ac:dyDescent="0.25">
      <c r="A28" s="4" t="s">
        <v>97</v>
      </c>
      <c r="B28" s="4" t="str">
        <f t="shared" si="1"/>
        <v>9X63DM2UA9588</v>
      </c>
      <c r="C28" s="4" t="s">
        <v>206</v>
      </c>
      <c r="D28" s="4" t="s">
        <v>100</v>
      </c>
      <c r="E28" s="4" t="s">
        <v>29</v>
      </c>
      <c r="F28" s="5">
        <v>45901</v>
      </c>
      <c r="G28" s="5">
        <v>45901</v>
      </c>
      <c r="H28" s="4">
        <v>20411454</v>
      </c>
      <c r="I28" s="4" t="s">
        <v>32</v>
      </c>
      <c r="J28" s="4" t="s">
        <v>142</v>
      </c>
      <c r="K28" s="4">
        <v>146</v>
      </c>
      <c r="L28" s="4">
        <v>41.67</v>
      </c>
      <c r="M28" s="4" t="s">
        <v>130</v>
      </c>
      <c r="P28" s="4" t="s">
        <v>179</v>
      </c>
      <c r="Q28" s="4" t="s">
        <v>180</v>
      </c>
      <c r="R28" s="4" t="s">
        <v>181</v>
      </c>
      <c r="S28" s="2" t="str">
        <f t="shared" si="0"/>
        <v>DONNA REBOLETTI</v>
      </c>
    </row>
    <row r="29" spans="1:26" s="4" customFormat="1" x14ac:dyDescent="0.25">
      <c r="A29" s="4" t="s">
        <v>38</v>
      </c>
      <c r="B29" s="4" t="str">
        <f t="shared" si="1"/>
        <v>7EC3VX6TE0288</v>
      </c>
      <c r="C29" s="4" t="s">
        <v>202</v>
      </c>
      <c r="D29" s="4" t="s">
        <v>41</v>
      </c>
      <c r="E29" s="4" t="s">
        <v>29</v>
      </c>
      <c r="F29" s="5">
        <v>45870</v>
      </c>
      <c r="G29" s="5">
        <v>45870</v>
      </c>
      <c r="H29" s="4">
        <v>20411454</v>
      </c>
      <c r="I29" s="4" t="s">
        <v>32</v>
      </c>
      <c r="J29" s="4" t="s">
        <v>142</v>
      </c>
      <c r="K29" s="4">
        <v>182.5</v>
      </c>
      <c r="L29" s="4">
        <v>52.08</v>
      </c>
      <c r="M29" s="4" t="s">
        <v>130</v>
      </c>
      <c r="P29" s="4" t="s">
        <v>168</v>
      </c>
      <c r="Q29" s="4" t="s">
        <v>169</v>
      </c>
      <c r="R29" s="4" t="s">
        <v>170</v>
      </c>
      <c r="S29" s="2" t="str">
        <f t="shared" si="0"/>
        <v>THOMAS DANIELS</v>
      </c>
    </row>
    <row r="30" spans="1:26" s="4" customFormat="1" x14ac:dyDescent="0.25">
      <c r="A30" s="4" t="s">
        <v>50</v>
      </c>
      <c r="B30" s="4" t="str">
        <f t="shared" si="1"/>
        <v>7WN5XG5GV9488</v>
      </c>
      <c r="C30" s="4" t="s">
        <v>205</v>
      </c>
      <c r="D30" s="4" t="s">
        <v>53</v>
      </c>
      <c r="E30" s="4" t="s">
        <v>29</v>
      </c>
      <c r="F30" s="5">
        <v>45870</v>
      </c>
      <c r="G30" s="5">
        <v>45870</v>
      </c>
      <c r="H30" s="4">
        <v>20411454</v>
      </c>
      <c r="I30" s="4" t="s">
        <v>32</v>
      </c>
      <c r="J30" s="4" t="s">
        <v>142</v>
      </c>
      <c r="K30" s="4">
        <v>182.5</v>
      </c>
      <c r="L30" s="4">
        <v>52.08</v>
      </c>
      <c r="M30" s="4" t="s">
        <v>130</v>
      </c>
      <c r="P30" s="4" t="s">
        <v>176</v>
      </c>
      <c r="Q30" s="4" t="s">
        <v>177</v>
      </c>
      <c r="R30" s="4" t="s">
        <v>178</v>
      </c>
      <c r="S30" s="2" t="str">
        <f t="shared" si="0"/>
        <v>DAVID FRY</v>
      </c>
    </row>
    <row r="31" spans="1:26" s="4" customFormat="1" x14ac:dyDescent="0.25">
      <c r="A31" s="4" t="s">
        <v>90</v>
      </c>
      <c r="B31" s="4" t="str">
        <f t="shared" si="1"/>
        <v>3A75NR5PX5488</v>
      </c>
      <c r="C31" s="4" t="s">
        <v>197</v>
      </c>
      <c r="D31" s="4" t="s">
        <v>93</v>
      </c>
      <c r="E31" s="4" t="s">
        <v>29</v>
      </c>
      <c r="F31" s="5">
        <v>45870</v>
      </c>
      <c r="G31" s="5">
        <v>45870</v>
      </c>
      <c r="H31" s="4">
        <v>20411454</v>
      </c>
      <c r="I31" s="4" t="s">
        <v>32</v>
      </c>
      <c r="J31" s="4" t="s">
        <v>142</v>
      </c>
      <c r="K31" s="4">
        <v>182.5</v>
      </c>
      <c r="L31" s="4">
        <v>52.08</v>
      </c>
      <c r="M31" s="4" t="s">
        <v>130</v>
      </c>
      <c r="P31" s="4" t="s">
        <v>155</v>
      </c>
      <c r="Q31" s="4" t="s">
        <v>156</v>
      </c>
      <c r="R31" s="4" t="s">
        <v>157</v>
      </c>
      <c r="S31" s="2" t="str">
        <f t="shared" si="0"/>
        <v>TERRIE PALAZZO</v>
      </c>
    </row>
    <row r="32" spans="1:26" s="2" customFormat="1" x14ac:dyDescent="0.25">
      <c r="A32" s="4" t="s">
        <v>109</v>
      </c>
      <c r="B32" s="4" t="str">
        <f t="shared" si="1"/>
        <v>3YD8V07AC5288</v>
      </c>
      <c r="C32" s="4" t="s">
        <v>194</v>
      </c>
      <c r="D32" s="4" t="s">
        <v>100</v>
      </c>
      <c r="E32" s="4" t="s">
        <v>29</v>
      </c>
      <c r="F32" s="5">
        <v>45870</v>
      </c>
      <c r="G32" s="5">
        <v>45870</v>
      </c>
      <c r="H32" s="4">
        <v>20411454</v>
      </c>
      <c r="I32" s="4" t="s">
        <v>32</v>
      </c>
      <c r="J32" s="4" t="s">
        <v>142</v>
      </c>
      <c r="K32" s="4">
        <v>182.5</v>
      </c>
      <c r="L32" s="4">
        <v>52.08</v>
      </c>
      <c r="M32" s="4" t="s">
        <v>130</v>
      </c>
      <c r="N32" s="4"/>
      <c r="O32" s="4"/>
      <c r="P32" s="4" t="s">
        <v>147</v>
      </c>
      <c r="Q32" s="4" t="s">
        <v>148</v>
      </c>
      <c r="R32" s="4" t="s">
        <v>149</v>
      </c>
      <c r="S32" s="2" t="str">
        <f t="shared" si="0"/>
        <v>NOEL SPASO</v>
      </c>
      <c r="T32" s="4"/>
      <c r="U32" s="4"/>
      <c r="V32" s="4"/>
      <c r="W32" s="4"/>
      <c r="X32" s="4"/>
      <c r="Y32" s="4"/>
      <c r="Z32" s="4"/>
    </row>
    <row r="33" spans="1:26" s="2" customFormat="1" x14ac:dyDescent="0.25">
      <c r="A33" s="4" t="s">
        <v>114</v>
      </c>
      <c r="B33" s="4" t="str">
        <f t="shared" si="1"/>
        <v>1E71JU9UJ1388</v>
      </c>
      <c r="C33" s="4" t="s">
        <v>195</v>
      </c>
      <c r="D33" s="4" t="s">
        <v>100</v>
      </c>
      <c r="E33" s="4" t="s">
        <v>29</v>
      </c>
      <c r="F33" s="5">
        <v>45870</v>
      </c>
      <c r="G33" s="5">
        <v>45870</v>
      </c>
      <c r="H33" s="4">
        <v>20411454</v>
      </c>
      <c r="I33" s="4" t="s">
        <v>32</v>
      </c>
      <c r="J33" s="4" t="s">
        <v>142</v>
      </c>
      <c r="K33" s="4">
        <v>182.5</v>
      </c>
      <c r="L33" s="4">
        <v>52.08</v>
      </c>
      <c r="M33" s="4" t="s">
        <v>130</v>
      </c>
      <c r="N33" s="4"/>
      <c r="O33" s="4"/>
      <c r="P33" s="4" t="s">
        <v>147</v>
      </c>
      <c r="Q33" s="4" t="s">
        <v>150</v>
      </c>
      <c r="R33" s="4" t="s">
        <v>151</v>
      </c>
      <c r="S33" s="2" t="str">
        <f t="shared" si="0"/>
        <v>RAYMOND SPASO</v>
      </c>
      <c r="T33" s="4"/>
      <c r="U33" s="4"/>
      <c r="V33" s="4"/>
      <c r="W33" s="4"/>
      <c r="X33" s="4"/>
      <c r="Y33" s="4"/>
      <c r="Z33" s="4"/>
    </row>
    <row r="34" spans="1:26" s="4" customFormat="1" x14ac:dyDescent="0.25">
      <c r="A34" s="4" t="s">
        <v>121</v>
      </c>
      <c r="B34" s="4" t="str">
        <f t="shared" si="1"/>
        <v>9GQ0UY3DC0288</v>
      </c>
      <c r="C34" s="4" t="s">
        <v>203</v>
      </c>
      <c r="D34" s="4" t="s">
        <v>60</v>
      </c>
      <c r="E34" s="4" t="s">
        <v>29</v>
      </c>
      <c r="F34" s="5">
        <v>45870</v>
      </c>
      <c r="G34" s="5">
        <v>45870</v>
      </c>
      <c r="H34" s="4">
        <v>20411454</v>
      </c>
      <c r="I34" s="4" t="s">
        <v>32</v>
      </c>
      <c r="J34" s="4" t="s">
        <v>142</v>
      </c>
      <c r="K34" s="4">
        <v>182.5</v>
      </c>
      <c r="L34" s="4">
        <v>52.08</v>
      </c>
      <c r="M34" s="4" t="s">
        <v>130</v>
      </c>
      <c r="P34" s="4" t="s">
        <v>171</v>
      </c>
      <c r="Q34" s="4" t="s">
        <v>172</v>
      </c>
      <c r="R34" s="4" t="s">
        <v>170</v>
      </c>
      <c r="S34" s="2" t="str">
        <f t="shared" si="0"/>
        <v>THOMAS VONBERG</v>
      </c>
    </row>
    <row r="35" spans="1:26" s="4" customFormat="1" x14ac:dyDescent="0.25">
      <c r="A35" s="4" t="s">
        <v>71</v>
      </c>
      <c r="B35" s="4" t="str">
        <f t="shared" si="1"/>
        <v>2EH1PF5NE9888</v>
      </c>
      <c r="C35" s="4" t="s">
        <v>199</v>
      </c>
      <c r="D35" s="4" t="s">
        <v>27</v>
      </c>
      <c r="E35" s="4" t="s">
        <v>29</v>
      </c>
      <c r="F35" s="5">
        <v>45870</v>
      </c>
      <c r="G35" s="5">
        <v>45870</v>
      </c>
      <c r="H35" s="4">
        <v>20411454</v>
      </c>
      <c r="I35" s="4" t="s">
        <v>32</v>
      </c>
      <c r="J35" s="4" t="s">
        <v>142</v>
      </c>
      <c r="K35" s="4">
        <v>199.17</v>
      </c>
      <c r="L35" s="4">
        <v>52.08</v>
      </c>
      <c r="M35" s="4" t="s">
        <v>130</v>
      </c>
      <c r="P35" s="4" t="s">
        <v>161</v>
      </c>
      <c r="Q35" s="4" t="s">
        <v>148</v>
      </c>
      <c r="R35" s="4" t="s">
        <v>162</v>
      </c>
      <c r="S35" s="2" t="str">
        <f t="shared" si="0"/>
        <v>EDWARD JONES</v>
      </c>
    </row>
    <row r="36" spans="1:26" s="2" customFormat="1" x14ac:dyDescent="0.25">
      <c r="A36" s="4" t="s">
        <v>126</v>
      </c>
      <c r="B36" s="4" t="str">
        <f t="shared" si="1"/>
        <v>5TM0DA0YH3488</v>
      </c>
      <c r="C36" s="4" t="s">
        <v>201</v>
      </c>
      <c r="D36" s="4" t="s">
        <v>27</v>
      </c>
      <c r="E36" s="4" t="s">
        <v>29</v>
      </c>
      <c r="F36" s="5">
        <v>45870</v>
      </c>
      <c r="G36" s="5">
        <v>45870</v>
      </c>
      <c r="H36" s="4">
        <v>20411454</v>
      </c>
      <c r="I36" s="4" t="s">
        <v>32</v>
      </c>
      <c r="J36" s="4" t="s">
        <v>142</v>
      </c>
      <c r="K36" s="4">
        <v>199.17</v>
      </c>
      <c r="L36" s="4">
        <v>52.08</v>
      </c>
      <c r="M36" s="4" t="s">
        <v>130</v>
      </c>
      <c r="N36" s="4"/>
      <c r="O36" s="4"/>
      <c r="P36" s="4" t="s">
        <v>166</v>
      </c>
      <c r="Q36" s="4" t="s">
        <v>164</v>
      </c>
      <c r="R36" s="4" t="s">
        <v>167</v>
      </c>
      <c r="S36" s="2" t="str">
        <f t="shared" si="0"/>
        <v>DOREEN WALKER</v>
      </c>
      <c r="T36" s="4"/>
      <c r="U36" s="4"/>
      <c r="V36" s="4"/>
      <c r="W36" s="4"/>
      <c r="X36" s="4"/>
      <c r="Y36" s="4"/>
      <c r="Z36" s="4"/>
    </row>
    <row r="37" spans="1:26" s="4" customFormat="1" x14ac:dyDescent="0.25">
      <c r="A37" s="4" t="s">
        <v>117</v>
      </c>
      <c r="B37" s="4" t="str">
        <f t="shared" si="1"/>
        <v>2UX9F30KV2388</v>
      </c>
      <c r="C37" s="4" t="s">
        <v>193</v>
      </c>
      <c r="D37" s="4" t="s">
        <v>100</v>
      </c>
      <c r="E37" s="4" t="s">
        <v>29</v>
      </c>
      <c r="F37" s="5">
        <v>45658</v>
      </c>
      <c r="G37" s="5">
        <v>45658</v>
      </c>
      <c r="H37" s="4">
        <v>20411454</v>
      </c>
      <c r="I37" s="4" t="s">
        <v>32</v>
      </c>
      <c r="J37" s="4" t="s">
        <v>142</v>
      </c>
      <c r="K37" s="4">
        <v>255.5</v>
      </c>
      <c r="L37" s="4">
        <v>72.92</v>
      </c>
      <c r="M37" s="4" t="s">
        <v>130</v>
      </c>
      <c r="P37" s="4" t="s">
        <v>144</v>
      </c>
      <c r="Q37" s="4" t="s">
        <v>145</v>
      </c>
      <c r="R37" s="4" t="s">
        <v>146</v>
      </c>
      <c r="S37" s="2" t="str">
        <f t="shared" si="0"/>
        <v>RAMESHCHANDRAKA SUTHAR</v>
      </c>
    </row>
  </sheetData>
  <sortState xmlns:xlrd2="http://schemas.microsoft.com/office/spreadsheetml/2017/richdata2" ref="A2:Z16">
    <sortCondition ref="J2:J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2025-07-30T19:18:05Z</dcterms:created>
  <dcterms:modified xsi:type="dcterms:W3CDTF">2025-08-01T15:14:10Z</dcterms:modified>
</cp:coreProperties>
</file>