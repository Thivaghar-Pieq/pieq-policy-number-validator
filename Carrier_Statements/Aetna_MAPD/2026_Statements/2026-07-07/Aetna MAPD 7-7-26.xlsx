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Aetna_MAPD\2026_Statements\2026-07-07\"/>
    </mc:Choice>
  </mc:AlternateContent>
  <xr:revisionPtr revIDLastSave="0" documentId="13_ncr:1_{D7E4D5D4-8B5B-4E83-9E4D-FE4AF5CE88BA}" xr6:coauthVersionLast="47" xr6:coauthVersionMax="47" xr10:uidLastSave="{00000000-0000-0000-0000-000000000000}"/>
  <bookViews>
    <workbookView xWindow="-120" yWindow="-120" windowWidth="29040" windowHeight="15720" activeTab="1" xr2:uid="{9996F369-67BC-4C09-AE25-98158B932B78}"/>
  </bookViews>
  <sheets>
    <sheet name="Main Line Benefits LLC_med_comm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2" l="1"/>
  <c r="B6" i="2"/>
  <c r="B5" i="2"/>
  <c r="B4" i="2"/>
  <c r="B3" i="2"/>
  <c r="B12" i="2"/>
  <c r="B10" i="2"/>
  <c r="B9" i="2"/>
  <c r="B8" i="2"/>
  <c r="B7" i="2"/>
  <c r="B2" i="2"/>
  <c r="L12" i="2"/>
  <c r="L10" i="2"/>
  <c r="L9" i="2"/>
  <c r="L8" i="2"/>
  <c r="L7" i="2"/>
  <c r="L2" i="2"/>
  <c r="U12" i="2"/>
  <c r="U11" i="2"/>
  <c r="E12" i="2"/>
  <c r="U7" i="2"/>
  <c r="U3" i="2"/>
  <c r="E10" i="2"/>
  <c r="E9" i="2"/>
  <c r="E8" i="2"/>
  <c r="E7" i="2"/>
  <c r="E3" i="2"/>
  <c r="E4" i="2"/>
  <c r="E5" i="2"/>
  <c r="E6" i="2"/>
  <c r="E11" i="2"/>
  <c r="E2" i="2"/>
</calcChain>
</file>

<file path=xl/sharedStrings.xml><?xml version="1.0" encoding="utf-8"?>
<sst xmlns="http://schemas.openxmlformats.org/spreadsheetml/2006/main" count="232" uniqueCount="84">
  <si>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</si>
  <si>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</si>
  <si>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</si>
  <si>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</si>
  <si>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</si>
  <si>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</si>
  <si>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</si>
  <si>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</si>
  <si>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</si>
  <si>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</si>
  <si>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</si>
  <si>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</si>
  <si>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</si>
  <si>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</si>
  <si>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</si>
  <si>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</si>
  <si>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</si>
  <si>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</si>
  <si>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</si>
  <si>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</si>
  <si>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</si>
  <si>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</si>
  <si>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</si>
  <si>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</si>
  <si>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3EJ8GG5VX24</t>
  </si>
  <si>
    <t>NG101144295300</t>
  </si>
  <si>
    <t>DALTON,ISIAH</t>
  </si>
  <si>
    <t>IL</t>
  </si>
  <si>
    <t>New Business</t>
  </si>
  <si>
    <t>MAPD</t>
  </si>
  <si>
    <t>IMM606</t>
  </si>
  <si>
    <t>H1206-004</t>
  </si>
  <si>
    <t>LOA</t>
  </si>
  <si>
    <t>Portugal, Gary</t>
  </si>
  <si>
    <t>MMO</t>
  </si>
  <si>
    <t>Main Line Benefits LLC</t>
  </si>
  <si>
    <t xml:space="preserve">N  </t>
  </si>
  <si>
    <t>8WE6C97EA62</t>
  </si>
  <si>
    <t>NG102284857200</t>
  </si>
  <si>
    <t>INTHAVONG,LAMPHONG</t>
  </si>
  <si>
    <t>H5521-086</t>
  </si>
  <si>
    <t>THANADABOUTH, PATSAMON</t>
  </si>
  <si>
    <t>9Y88CT0WQ38</t>
  </si>
  <si>
    <t>NG102284888600</t>
  </si>
  <si>
    <t>MCKEE M,DAVID</t>
  </si>
  <si>
    <t>NJ</t>
  </si>
  <si>
    <t>IMM614</t>
  </si>
  <si>
    <t>H5521-277</t>
  </si>
  <si>
    <t>Richter, Adam</t>
  </si>
  <si>
    <t>8XV3TN7YF89</t>
  </si>
  <si>
    <t>NG102284898200</t>
  </si>
  <si>
    <t>MIMS A,DOROTHY</t>
  </si>
  <si>
    <t>WERNER, STEVEN</t>
  </si>
  <si>
    <t>1XC0DT4JX47</t>
  </si>
  <si>
    <t>NG101700718100</t>
  </si>
  <si>
    <t>PIRCHES A,KAREN</t>
  </si>
  <si>
    <t>PA</t>
  </si>
  <si>
    <t>IMM608</t>
  </si>
  <si>
    <t>H3959-052</t>
  </si>
  <si>
    <t>AG4</t>
  </si>
  <si>
    <t>HERCHENRODER KLAUS</t>
  </si>
  <si>
    <t>7J45NP1FT87</t>
  </si>
  <si>
    <t>MEQNQMZM00001456674</t>
  </si>
  <si>
    <t>SOYOYE,BOLAJOKO</t>
  </si>
  <si>
    <t>H9771-001</t>
  </si>
  <si>
    <t>Holyn, Dennis</t>
  </si>
  <si>
    <t>Total Payee Amount: $1372.50</t>
  </si>
  <si>
    <t>PIRCHES</t>
  </si>
  <si>
    <t>KAREN</t>
  </si>
  <si>
    <t>DALTON</t>
  </si>
  <si>
    <t>ISIAH</t>
  </si>
  <si>
    <t>INTHAVONG</t>
  </si>
  <si>
    <t>LAMPHONG</t>
  </si>
  <si>
    <t>MIMS</t>
  </si>
  <si>
    <t>DOROTHY</t>
  </si>
  <si>
    <t>SOYOYE</t>
  </si>
  <si>
    <t>BOLAJOKO</t>
  </si>
  <si>
    <t>MCKEE</t>
  </si>
  <si>
    <t>DAVID</t>
  </si>
  <si>
    <t>Aetna MAPD OVR 2026</t>
  </si>
  <si>
    <t>Aetna MAPD 2026*</t>
  </si>
  <si>
    <t>[%/$=347][prorate=6/12]</t>
  </si>
  <si>
    <t>Aetna 2026 CA, NJ*</t>
  </si>
  <si>
    <t>[%/$=432][prorate=6/12]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</si>
</sst>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0" fillId="34" borderId="0" xfId="0" applyFill="1"/>
    <xf numFmtId="14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B7E61-9821-46AD-840B-552D48040E0C}">
  <dimension ref="A1:X10"/>
  <sheetViews>
    <sheetView workbookViewId="0">
      <selection sqref="A1:XFD1048576"/>
    </sheetView>
  </sheetViews>
  <sheetFormatPr defaultRowHeight="15" x14ac:dyDescent="0.25"/>
  <cols>
    <col min="5" max="5" width="23.42578125" bestFit="1" customWidth="1"/>
    <col min="23" max="23" width="14.140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46210</v>
      </c>
      <c r="B2" t="s">
        <v>24</v>
      </c>
      <c r="C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s="1">
        <v>46204</v>
      </c>
      <c r="M2" s="1">
        <v>46204</v>
      </c>
      <c r="O2">
        <v>9213293</v>
      </c>
      <c r="P2" t="s">
        <v>32</v>
      </c>
      <c r="Q2" t="s">
        <v>33</v>
      </c>
      <c r="R2">
        <v>8192</v>
      </c>
      <c r="S2" t="s">
        <v>34</v>
      </c>
      <c r="T2" t="s">
        <v>35</v>
      </c>
      <c r="U2">
        <v>248.5</v>
      </c>
      <c r="V2" t="s">
        <v>36</v>
      </c>
      <c r="W2" s="1">
        <v>46186</v>
      </c>
      <c r="X2">
        <v>2026</v>
      </c>
    </row>
    <row r="3" spans="1:24" x14ac:dyDescent="0.25">
      <c r="A3" s="1">
        <v>46210</v>
      </c>
      <c r="B3" t="s">
        <v>37</v>
      </c>
      <c r="C3" t="s">
        <v>38</v>
      </c>
      <c r="E3" t="s">
        <v>39</v>
      </c>
      <c r="F3" t="s">
        <v>27</v>
      </c>
      <c r="G3" t="s">
        <v>28</v>
      </c>
      <c r="H3" t="s">
        <v>29</v>
      </c>
      <c r="I3" t="s">
        <v>30</v>
      </c>
      <c r="J3" t="s">
        <v>40</v>
      </c>
      <c r="L3" s="1">
        <v>46204</v>
      </c>
      <c r="M3" s="1">
        <v>46204</v>
      </c>
      <c r="O3">
        <v>8405446</v>
      </c>
      <c r="P3" t="s">
        <v>32</v>
      </c>
      <c r="Q3" t="s">
        <v>41</v>
      </c>
      <c r="R3">
        <v>8192</v>
      </c>
      <c r="S3" t="s">
        <v>34</v>
      </c>
      <c r="T3" t="s">
        <v>35</v>
      </c>
      <c r="U3">
        <v>248.5</v>
      </c>
      <c r="V3" t="s">
        <v>36</v>
      </c>
      <c r="W3" s="1">
        <v>46191</v>
      </c>
      <c r="X3">
        <v>2026</v>
      </c>
    </row>
    <row r="4" spans="1:24" x14ac:dyDescent="0.25">
      <c r="A4" s="1">
        <v>46210</v>
      </c>
      <c r="B4" t="s">
        <v>42</v>
      </c>
      <c r="C4" t="s">
        <v>43</v>
      </c>
      <c r="E4" t="s">
        <v>44</v>
      </c>
      <c r="F4" t="s">
        <v>45</v>
      </c>
      <c r="G4" t="s">
        <v>28</v>
      </c>
      <c r="H4" t="s">
        <v>29</v>
      </c>
      <c r="I4" t="s">
        <v>46</v>
      </c>
      <c r="J4" t="s">
        <v>47</v>
      </c>
      <c r="L4" s="1">
        <v>46204</v>
      </c>
      <c r="M4" s="1">
        <v>46204</v>
      </c>
      <c r="O4">
        <v>9079571</v>
      </c>
      <c r="P4" t="s">
        <v>32</v>
      </c>
      <c r="Q4" t="s">
        <v>48</v>
      </c>
      <c r="R4">
        <v>8192</v>
      </c>
      <c r="S4" t="s">
        <v>34</v>
      </c>
      <c r="T4" t="s">
        <v>35</v>
      </c>
      <c r="U4">
        <v>303.5</v>
      </c>
      <c r="V4" t="s">
        <v>36</v>
      </c>
      <c r="W4" s="1">
        <v>46191</v>
      </c>
      <c r="X4">
        <v>2026</v>
      </c>
    </row>
    <row r="5" spans="1:24" x14ac:dyDescent="0.25">
      <c r="A5" s="1">
        <v>46210</v>
      </c>
      <c r="B5" t="s">
        <v>49</v>
      </c>
      <c r="C5" t="s">
        <v>50</v>
      </c>
      <c r="E5" t="s">
        <v>51</v>
      </c>
      <c r="F5" t="s">
        <v>27</v>
      </c>
      <c r="G5" t="s">
        <v>28</v>
      </c>
      <c r="H5" t="s">
        <v>29</v>
      </c>
      <c r="I5" t="s">
        <v>30</v>
      </c>
      <c r="J5" t="s">
        <v>40</v>
      </c>
      <c r="L5" s="1">
        <v>46204</v>
      </c>
      <c r="M5" s="1">
        <v>46204</v>
      </c>
      <c r="O5">
        <v>19481808</v>
      </c>
      <c r="P5" t="s">
        <v>32</v>
      </c>
      <c r="Q5" t="s">
        <v>52</v>
      </c>
      <c r="R5">
        <v>8192</v>
      </c>
      <c r="S5" t="s">
        <v>34</v>
      </c>
      <c r="T5" t="s">
        <v>35</v>
      </c>
      <c r="U5">
        <v>248.5</v>
      </c>
      <c r="V5" t="s">
        <v>36</v>
      </c>
      <c r="W5" s="1">
        <v>46191</v>
      </c>
      <c r="X5">
        <v>2026</v>
      </c>
    </row>
    <row r="6" spans="1:24" x14ac:dyDescent="0.25">
      <c r="A6" s="1">
        <v>46210</v>
      </c>
      <c r="B6" t="s">
        <v>53</v>
      </c>
      <c r="C6" t="s">
        <v>54</v>
      </c>
      <c r="E6" t="s">
        <v>55</v>
      </c>
      <c r="F6" t="s">
        <v>56</v>
      </c>
      <c r="G6" t="s">
        <v>28</v>
      </c>
      <c r="H6" t="s">
        <v>29</v>
      </c>
      <c r="I6" t="s">
        <v>57</v>
      </c>
      <c r="J6" t="s">
        <v>58</v>
      </c>
      <c r="L6" s="1">
        <v>46204</v>
      </c>
      <c r="M6" s="1">
        <v>46204</v>
      </c>
      <c r="O6">
        <v>14936854</v>
      </c>
      <c r="P6" t="s">
        <v>59</v>
      </c>
      <c r="Q6" t="s">
        <v>60</v>
      </c>
      <c r="R6">
        <v>8192</v>
      </c>
      <c r="S6" t="s">
        <v>34</v>
      </c>
      <c r="T6" t="s">
        <v>35</v>
      </c>
      <c r="U6">
        <v>75</v>
      </c>
      <c r="V6" t="s">
        <v>36</v>
      </c>
      <c r="W6" s="1">
        <v>46191</v>
      </c>
      <c r="X6">
        <v>2026</v>
      </c>
    </row>
    <row r="7" spans="1:24" x14ac:dyDescent="0.25">
      <c r="A7" s="1">
        <v>46210</v>
      </c>
      <c r="B7" t="s">
        <v>61</v>
      </c>
      <c r="C7" t="s">
        <v>62</v>
      </c>
      <c r="E7" t="s">
        <v>63</v>
      </c>
      <c r="F7" t="s">
        <v>27</v>
      </c>
      <c r="G7" t="s">
        <v>28</v>
      </c>
      <c r="H7" t="s">
        <v>29</v>
      </c>
      <c r="I7" t="s">
        <v>30</v>
      </c>
      <c r="J7" t="s">
        <v>64</v>
      </c>
      <c r="L7" s="1">
        <v>46204</v>
      </c>
      <c r="M7" s="1">
        <v>46204</v>
      </c>
      <c r="O7">
        <v>7152559</v>
      </c>
      <c r="P7" t="s">
        <v>32</v>
      </c>
      <c r="Q7" t="s">
        <v>65</v>
      </c>
      <c r="R7">
        <v>8192</v>
      </c>
      <c r="S7" t="s">
        <v>34</v>
      </c>
      <c r="T7" t="s">
        <v>35</v>
      </c>
      <c r="U7">
        <v>248.5</v>
      </c>
      <c r="V7" t="s">
        <v>36</v>
      </c>
      <c r="W7" s="1">
        <v>46183</v>
      </c>
      <c r="X7">
        <v>2026</v>
      </c>
    </row>
    <row r="10" spans="1:24" x14ac:dyDescent="0.25">
      <c r="A10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E243F-618A-432E-A4EA-D4A941CBC8F9}">
  <dimension ref="A1:U12"/>
  <sheetViews>
    <sheetView tabSelected="1" workbookViewId="0">
      <selection activeCell="A11" sqref="A11"/>
    </sheetView>
  </sheetViews>
  <sheetFormatPr defaultRowHeight="15" x14ac:dyDescent="0.25"/>
  <cols>
    <col min="1" max="1" width="17.28515625" bestFit="1" customWidth="1"/>
    <col min="2" max="2" width="16.42578125" bestFit="1" customWidth="1"/>
    <col min="3" max="3" width="11.5703125" customWidth="1"/>
    <col min="4" max="4" width="12.42578125" customWidth="1"/>
    <col min="5" max="5" width="23.42578125" customWidth="1"/>
    <col min="13" max="13" width="27.85546875" bestFit="1" customWidth="1"/>
    <col min="19" max="19" width="21.140625" bestFit="1" customWidth="1"/>
    <col min="20" max="20" width="23.140625" bestFit="1" customWidth="1"/>
  </cols>
  <sheetData>
    <row r="1" spans="1:21" x14ac:dyDescent="0.25">
      <c r="A1" t="s">
        <v>1</v>
      </c>
      <c r="C1" t="s">
        <v>4</v>
      </c>
      <c r="F1" t="s">
        <v>5</v>
      </c>
      <c r="G1" t="s">
        <v>6</v>
      </c>
      <c r="H1" t="s">
        <v>7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21" s="4" customFormat="1" x14ac:dyDescent="0.25">
      <c r="A2" s="4" t="s">
        <v>53</v>
      </c>
      <c r="B2" s="4" t="str">
        <f>CONCATENATE(A2,"OVR")</f>
        <v>1XC0DT4JX47OVR</v>
      </c>
      <c r="C2" s="4" t="s">
        <v>67</v>
      </c>
      <c r="D2" s="4" t="s">
        <v>68</v>
      </c>
      <c r="E2" s="4" t="str">
        <f>CONCATENATE(D2," ",C2)</f>
        <v>KAREN PIRCHES</v>
      </c>
      <c r="F2" s="4" t="s">
        <v>56</v>
      </c>
      <c r="G2" s="4" t="s">
        <v>28</v>
      </c>
      <c r="H2" s="4" t="s">
        <v>29</v>
      </c>
      <c r="I2" s="5">
        <v>46204</v>
      </c>
      <c r="K2" s="4">
        <v>14936854</v>
      </c>
      <c r="L2" s="4" t="str">
        <f>CONCATENATE(K2,"OVR")</f>
        <v>14936854OVR</v>
      </c>
      <c r="M2" s="4" t="s">
        <v>60</v>
      </c>
      <c r="N2" s="4">
        <v>8192</v>
      </c>
      <c r="O2" s="4" t="s">
        <v>34</v>
      </c>
      <c r="P2" s="4" t="s">
        <v>35</v>
      </c>
      <c r="Q2" s="4">
        <v>75</v>
      </c>
      <c r="R2" s="4">
        <v>75</v>
      </c>
      <c r="S2" s="4" t="s">
        <v>79</v>
      </c>
    </row>
    <row r="3" spans="1:21" s="2" customFormat="1" x14ac:dyDescent="0.25">
      <c r="A3" s="2" t="s">
        <v>24</v>
      </c>
      <c r="B3" s="2" t="str">
        <f>CONCATENATE(A3,89)</f>
        <v>3EJ8GG5VX2489</v>
      </c>
      <c r="C3" s="2" t="s">
        <v>69</v>
      </c>
      <c r="D3" s="2" t="s">
        <v>70</v>
      </c>
      <c r="E3" s="2" t="str">
        <f t="shared" ref="E3:E11" si="0">CONCATENATE(D3," ",C3)</f>
        <v>ISIAH DALTON</v>
      </c>
      <c r="F3" s="2" t="s">
        <v>27</v>
      </c>
      <c r="G3" s="2" t="s">
        <v>28</v>
      </c>
      <c r="H3" s="2" t="s">
        <v>29</v>
      </c>
      <c r="I3" s="3">
        <v>46204</v>
      </c>
      <c r="K3" s="2">
        <v>9213293</v>
      </c>
      <c r="L3" s="2">
        <v>9213293</v>
      </c>
      <c r="M3" s="2" t="s">
        <v>33</v>
      </c>
      <c r="N3" s="2">
        <v>8192</v>
      </c>
      <c r="O3" s="2" t="s">
        <v>34</v>
      </c>
      <c r="P3" s="2" t="s">
        <v>35</v>
      </c>
      <c r="Q3" s="2">
        <v>248.5</v>
      </c>
      <c r="R3" s="2">
        <v>173.5</v>
      </c>
      <c r="S3" s="2" t="s">
        <v>80</v>
      </c>
      <c r="T3" s="2" t="s">
        <v>81</v>
      </c>
      <c r="U3" s="2">
        <f>347/12*6</f>
        <v>173.5</v>
      </c>
    </row>
    <row r="4" spans="1:21" s="2" customFormat="1" x14ac:dyDescent="0.25">
      <c r="A4" s="2" t="s">
        <v>37</v>
      </c>
      <c r="B4" s="2" t="str">
        <f t="shared" ref="B4:B6" si="1">CONCATENATE(A4,89)</f>
        <v>8WE6C97EA6289</v>
      </c>
      <c r="C4" s="2" t="s">
        <v>71</v>
      </c>
      <c r="D4" s="2" t="s">
        <v>72</v>
      </c>
      <c r="E4" s="2" t="str">
        <f t="shared" si="0"/>
        <v>LAMPHONG INTHAVONG</v>
      </c>
      <c r="F4" s="2" t="s">
        <v>27</v>
      </c>
      <c r="G4" s="2" t="s">
        <v>28</v>
      </c>
      <c r="H4" s="2" t="s">
        <v>29</v>
      </c>
      <c r="I4" s="3">
        <v>46204</v>
      </c>
      <c r="K4" s="2">
        <v>8405446</v>
      </c>
      <c r="L4" s="2">
        <v>8405446</v>
      </c>
      <c r="M4" s="2" t="s">
        <v>41</v>
      </c>
      <c r="N4" s="2">
        <v>8192</v>
      </c>
      <c r="O4" s="2" t="s">
        <v>34</v>
      </c>
      <c r="P4" s="2" t="s">
        <v>35</v>
      </c>
      <c r="Q4" s="2">
        <v>248.5</v>
      </c>
      <c r="R4" s="2">
        <v>173.5</v>
      </c>
      <c r="S4" s="2" t="s">
        <v>80</v>
      </c>
      <c r="T4" s="2" t="s">
        <v>81</v>
      </c>
    </row>
    <row r="5" spans="1:21" s="2" customFormat="1" x14ac:dyDescent="0.25">
      <c r="A5" s="2" t="s">
        <v>49</v>
      </c>
      <c r="B5" s="2" t="str">
        <f t="shared" si="1"/>
        <v>8XV3TN7YF8989</v>
      </c>
      <c r="C5" s="2" t="s">
        <v>73</v>
      </c>
      <c r="D5" s="2" t="s">
        <v>74</v>
      </c>
      <c r="E5" s="2" t="str">
        <f t="shared" si="0"/>
        <v>DOROTHY MIMS</v>
      </c>
      <c r="F5" s="2" t="s">
        <v>27</v>
      </c>
      <c r="G5" s="2" t="s">
        <v>28</v>
      </c>
      <c r="H5" s="2" t="s">
        <v>29</v>
      </c>
      <c r="I5" s="3">
        <v>46204</v>
      </c>
      <c r="K5" s="2">
        <v>19481808</v>
      </c>
      <c r="L5" s="2">
        <v>19481808</v>
      </c>
      <c r="M5" s="2" t="s">
        <v>52</v>
      </c>
      <c r="N5" s="2">
        <v>8192</v>
      </c>
      <c r="O5" s="2" t="s">
        <v>34</v>
      </c>
      <c r="P5" s="2" t="s">
        <v>35</v>
      </c>
      <c r="Q5" s="2">
        <v>248.5</v>
      </c>
      <c r="R5" s="2">
        <v>173.5</v>
      </c>
      <c r="S5" s="2" t="s">
        <v>80</v>
      </c>
      <c r="T5" s="2" t="s">
        <v>81</v>
      </c>
    </row>
    <row r="6" spans="1:21" s="2" customFormat="1" x14ac:dyDescent="0.25">
      <c r="A6" s="2" t="s">
        <v>61</v>
      </c>
      <c r="B6" s="2" t="str">
        <f t="shared" si="1"/>
        <v>7J45NP1FT8789</v>
      </c>
      <c r="C6" s="2" t="s">
        <v>75</v>
      </c>
      <c r="D6" s="2" t="s">
        <v>76</v>
      </c>
      <c r="E6" s="2" t="str">
        <f t="shared" si="0"/>
        <v>BOLAJOKO SOYOYE</v>
      </c>
      <c r="F6" s="2" t="s">
        <v>27</v>
      </c>
      <c r="G6" s="2" t="s">
        <v>28</v>
      </c>
      <c r="H6" s="2" t="s">
        <v>29</v>
      </c>
      <c r="I6" s="3">
        <v>46204</v>
      </c>
      <c r="K6" s="2">
        <v>7152559</v>
      </c>
      <c r="L6" s="2">
        <v>7152559</v>
      </c>
      <c r="M6" s="2" t="s">
        <v>65</v>
      </c>
      <c r="N6" s="2">
        <v>8192</v>
      </c>
      <c r="O6" s="2" t="s">
        <v>34</v>
      </c>
      <c r="P6" s="2" t="s">
        <v>35</v>
      </c>
      <c r="Q6" s="2">
        <v>248.5</v>
      </c>
      <c r="R6" s="2">
        <v>173.5</v>
      </c>
      <c r="S6" s="2" t="s">
        <v>80</v>
      </c>
      <c r="T6" s="2" t="s">
        <v>81</v>
      </c>
    </row>
    <row r="7" spans="1:21" s="4" customFormat="1" x14ac:dyDescent="0.25">
      <c r="A7" s="4" t="s">
        <v>24</v>
      </c>
      <c r="B7" s="4" t="str">
        <f t="shared" ref="B7:B10" si="2">CONCATENATE(A7,"OVR")</f>
        <v>3EJ8GG5VX24OVR</v>
      </c>
      <c r="C7" s="4" t="s">
        <v>69</v>
      </c>
      <c r="D7" s="4" t="s">
        <v>70</v>
      </c>
      <c r="E7" s="4" t="str">
        <f t="shared" ref="E7:E10" si="3">CONCATENATE(D7," ",C7)</f>
        <v>ISIAH DALTON</v>
      </c>
      <c r="F7" s="4" t="s">
        <v>27</v>
      </c>
      <c r="G7" s="4" t="s">
        <v>28</v>
      </c>
      <c r="H7" s="4" t="s">
        <v>29</v>
      </c>
      <c r="I7" s="5">
        <v>46204</v>
      </c>
      <c r="K7" s="4">
        <v>9213293</v>
      </c>
      <c r="L7" s="4" t="str">
        <f t="shared" ref="L7:L10" si="4">CONCATENATE(K7,"OVR")</f>
        <v>9213293OVR</v>
      </c>
      <c r="M7" s="4" t="s">
        <v>33</v>
      </c>
      <c r="N7" s="4">
        <v>8192</v>
      </c>
      <c r="O7" s="4" t="s">
        <v>34</v>
      </c>
      <c r="P7" s="4" t="s">
        <v>35</v>
      </c>
      <c r="Q7" s="4">
        <v>248.5</v>
      </c>
      <c r="R7" s="4">
        <v>75</v>
      </c>
      <c r="S7" s="4" t="s">
        <v>79</v>
      </c>
      <c r="U7" s="4">
        <f>150/12*6</f>
        <v>75</v>
      </c>
    </row>
    <row r="8" spans="1:21" s="4" customFormat="1" x14ac:dyDescent="0.25">
      <c r="A8" s="4" t="s">
        <v>37</v>
      </c>
      <c r="B8" s="4" t="str">
        <f t="shared" si="2"/>
        <v>8WE6C97EA62OVR</v>
      </c>
      <c r="C8" s="4" t="s">
        <v>71</v>
      </c>
      <c r="D8" s="4" t="s">
        <v>72</v>
      </c>
      <c r="E8" s="4" t="str">
        <f t="shared" si="3"/>
        <v>LAMPHONG INTHAVONG</v>
      </c>
      <c r="F8" s="4" t="s">
        <v>27</v>
      </c>
      <c r="G8" s="4" t="s">
        <v>28</v>
      </c>
      <c r="H8" s="4" t="s">
        <v>29</v>
      </c>
      <c r="I8" s="5">
        <v>46204</v>
      </c>
      <c r="K8" s="4">
        <v>8405446</v>
      </c>
      <c r="L8" s="4" t="str">
        <f t="shared" si="4"/>
        <v>8405446OVR</v>
      </c>
      <c r="M8" s="4" t="s">
        <v>41</v>
      </c>
      <c r="N8" s="4">
        <v>8192</v>
      </c>
      <c r="O8" s="4" t="s">
        <v>34</v>
      </c>
      <c r="P8" s="4" t="s">
        <v>35</v>
      </c>
      <c r="Q8" s="4">
        <v>248.5</v>
      </c>
      <c r="R8" s="4">
        <v>75</v>
      </c>
      <c r="S8" s="4" t="s">
        <v>79</v>
      </c>
    </row>
    <row r="9" spans="1:21" s="4" customFormat="1" x14ac:dyDescent="0.25">
      <c r="A9" s="4" t="s">
        <v>49</v>
      </c>
      <c r="B9" s="4" t="str">
        <f t="shared" si="2"/>
        <v>8XV3TN7YF89OVR</v>
      </c>
      <c r="C9" s="4" t="s">
        <v>73</v>
      </c>
      <c r="D9" s="4" t="s">
        <v>74</v>
      </c>
      <c r="E9" s="4" t="str">
        <f t="shared" si="3"/>
        <v>DOROTHY MIMS</v>
      </c>
      <c r="F9" s="4" t="s">
        <v>27</v>
      </c>
      <c r="G9" s="4" t="s">
        <v>28</v>
      </c>
      <c r="H9" s="4" t="s">
        <v>29</v>
      </c>
      <c r="I9" s="5">
        <v>46204</v>
      </c>
      <c r="K9" s="4">
        <v>19481808</v>
      </c>
      <c r="L9" s="4" t="str">
        <f t="shared" si="4"/>
        <v>19481808OVR</v>
      </c>
      <c r="M9" s="4" t="s">
        <v>52</v>
      </c>
      <c r="N9" s="4">
        <v>8192</v>
      </c>
      <c r="O9" s="4" t="s">
        <v>34</v>
      </c>
      <c r="P9" s="4" t="s">
        <v>35</v>
      </c>
      <c r="Q9" s="4">
        <v>248.5</v>
      </c>
      <c r="R9" s="4">
        <v>75</v>
      </c>
      <c r="S9" s="4" t="s">
        <v>79</v>
      </c>
    </row>
    <row r="10" spans="1:21" s="4" customFormat="1" x14ac:dyDescent="0.25">
      <c r="A10" s="4" t="s">
        <v>61</v>
      </c>
      <c r="B10" s="4" t="str">
        <f t="shared" si="2"/>
        <v>7J45NP1FT87OVR</v>
      </c>
      <c r="C10" s="4" t="s">
        <v>75</v>
      </c>
      <c r="D10" s="4" t="s">
        <v>76</v>
      </c>
      <c r="E10" s="4" t="str">
        <f t="shared" si="3"/>
        <v>BOLAJOKO SOYOYE</v>
      </c>
      <c r="F10" s="4" t="s">
        <v>27</v>
      </c>
      <c r="G10" s="4" t="s">
        <v>28</v>
      </c>
      <c r="H10" s="4" t="s">
        <v>29</v>
      </c>
      <c r="I10" s="5">
        <v>46204</v>
      </c>
      <c r="K10" s="4">
        <v>7152559</v>
      </c>
      <c r="L10" s="4" t="str">
        <f t="shared" si="4"/>
        <v>7152559OVR</v>
      </c>
      <c r="M10" s="4" t="s">
        <v>65</v>
      </c>
      <c r="N10" s="4">
        <v>8192</v>
      </c>
      <c r="O10" s="4" t="s">
        <v>34</v>
      </c>
      <c r="P10" s="4" t="s">
        <v>35</v>
      </c>
      <c r="Q10" s="4">
        <v>248.5</v>
      </c>
      <c r="R10" s="4">
        <v>75</v>
      </c>
      <c r="S10" s="4" t="s">
        <v>79</v>
      </c>
    </row>
    <row r="11" spans="1:21" s="2" customFormat="1" x14ac:dyDescent="0.25">
      <c r="A11" s="2" t="s">
        <v>42</v>
      </c>
      <c r="B11" s="2" t="str">
        <f>CONCATENATE(A11,89)</f>
        <v>9Y88CT0WQ3889</v>
      </c>
      <c r="C11" s="2" t="s">
        <v>77</v>
      </c>
      <c r="D11" s="2" t="s">
        <v>78</v>
      </c>
      <c r="E11" s="2" t="str">
        <f t="shared" si="0"/>
        <v>DAVID MCKEE</v>
      </c>
      <c r="F11" s="2" t="s">
        <v>45</v>
      </c>
      <c r="G11" s="2" t="s">
        <v>28</v>
      </c>
      <c r="H11" s="2" t="s">
        <v>29</v>
      </c>
      <c r="I11" s="3">
        <v>46204</v>
      </c>
      <c r="K11" s="2">
        <v>9079571</v>
      </c>
      <c r="L11" s="2">
        <v>9079571</v>
      </c>
      <c r="M11" s="2" t="s">
        <v>48</v>
      </c>
      <c r="N11" s="2">
        <v>8192</v>
      </c>
      <c r="O11" s="2" t="s">
        <v>34</v>
      </c>
      <c r="P11" s="2" t="s">
        <v>35</v>
      </c>
      <c r="Q11" s="2">
        <v>303.5</v>
      </c>
      <c r="R11" s="2">
        <v>216</v>
      </c>
      <c r="S11" s="2" t="s">
        <v>82</v>
      </c>
      <c r="T11" s="2" t="s">
        <v>83</v>
      </c>
      <c r="U11" s="2">
        <f>432/12*6</f>
        <v>216</v>
      </c>
    </row>
    <row r="12" spans="1:21" s="4" customFormat="1" x14ac:dyDescent="0.25">
      <c r="A12" s="4" t="s">
        <v>42</v>
      </c>
      <c r="B12" s="4" t="str">
        <f>CONCATENATE(A12,"OVR")</f>
        <v>9Y88CT0WQ38OVR</v>
      </c>
      <c r="C12" s="4" t="s">
        <v>77</v>
      </c>
      <c r="D12" s="4" t="s">
        <v>78</v>
      </c>
      <c r="E12" s="4" t="str">
        <f t="shared" ref="E12" si="5">CONCATENATE(D12," ",C12)</f>
        <v>DAVID MCKEE</v>
      </c>
      <c r="F12" s="4" t="s">
        <v>45</v>
      </c>
      <c r="G12" s="4" t="s">
        <v>28</v>
      </c>
      <c r="H12" s="4" t="s">
        <v>29</v>
      </c>
      <c r="I12" s="5">
        <v>46204</v>
      </c>
      <c r="K12" s="4">
        <v>9079571</v>
      </c>
      <c r="L12" s="4" t="str">
        <f>CONCATENATE(K12,"OVR")</f>
        <v>9079571OVR</v>
      </c>
      <c r="M12" s="4" t="s">
        <v>48</v>
      </c>
      <c r="N12" s="4">
        <v>8192</v>
      </c>
      <c r="O12" s="4" t="s">
        <v>34</v>
      </c>
      <c r="P12" s="4" t="s">
        <v>35</v>
      </c>
      <c r="Q12" s="4">
        <v>303.5</v>
      </c>
      <c r="R12" s="4">
        <v>87.5</v>
      </c>
      <c r="S12" s="4" t="s">
        <v>79</v>
      </c>
      <c r="U12" s="4">
        <f>175/12*6</f>
        <v>87.5</v>
      </c>
    </row>
  </sheetData>
  <sortState xmlns:xlrd2="http://schemas.microsoft.com/office/spreadsheetml/2017/richdata2" ref="A2:Q11">
    <sortCondition ref="Q2:Q11"/>
  </sortState>
  <pageMargins left="0.7" right="0.7" top="0.75" bottom="0.75" header="0.3" footer="0.3"/>
  <pageSetup orientation="portrait" r:id="rId1"/>
  <ignoredErrors>
    <ignoredError sqref="B1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LLC_med_comm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2026-07-10T09:33:44Z</dcterms:created>
  <dcterms:modified xsi:type="dcterms:W3CDTF">2026-07-10T13:16:02Z</dcterms:modified>
</cp:coreProperties>
</file>