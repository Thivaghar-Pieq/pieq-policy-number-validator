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APD\2026_Statements\2026-07-21\"/>
    </mc:Choice>
  </mc:AlternateContent>
  <xr:revisionPtr revIDLastSave="0" documentId="13_ncr:1_{DBA2DD6A-6F1E-4A2F-9BF0-34FD8FE8D621}" xr6:coauthVersionLast="47" xr6:coauthVersionMax="47" xr10:uidLastSave="{00000000-0000-0000-0000-000000000000}"/>
  <bookViews>
    <workbookView xWindow="-120" yWindow="-120" windowWidth="29040" windowHeight="15720" activeTab="1" xr2:uid="{D6259F3D-B11A-4BA7-A67A-C20D606F21D0}"/>
  </bookViews>
  <sheets>
    <sheet name="Main Line Benefits LLC_med_com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88" i="2" l="1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87" i="2"/>
  <c r="B71" i="2"/>
  <c r="B63" i="2"/>
  <c r="B80" i="2"/>
  <c r="B86" i="2"/>
  <c r="B78" i="2"/>
  <c r="B83" i="2"/>
  <c r="B81" i="2"/>
  <c r="B62" i="2"/>
  <c r="B77" i="2"/>
  <c r="B61" i="2"/>
  <c r="B64" i="2"/>
  <c r="B66" i="2"/>
  <c r="B60" i="2"/>
  <c r="B79" i="2"/>
  <c r="B70" i="2"/>
  <c r="B59" i="2"/>
  <c r="B82" i="2"/>
  <c r="B76" i="2"/>
  <c r="B69" i="2"/>
  <c r="B75" i="2"/>
  <c r="B58" i="2"/>
  <c r="B65" i="2"/>
  <c r="B85" i="2"/>
  <c r="B57" i="2"/>
  <c r="B72" i="2"/>
  <c r="B84" i="2"/>
  <c r="B74" i="2"/>
  <c r="B68" i="2"/>
  <c r="B55" i="2"/>
  <c r="B73" i="2"/>
  <c r="B56" i="2"/>
  <c r="B67" i="2"/>
  <c r="B54" i="2"/>
  <c r="B53" i="2"/>
  <c r="B50" i="2"/>
  <c r="B45" i="2"/>
  <c r="B49" i="2"/>
  <c r="B52" i="2"/>
  <c r="B48" i="2"/>
  <c r="B51" i="2"/>
  <c r="B47" i="2"/>
  <c r="B46" i="2"/>
  <c r="B32" i="2"/>
  <c r="B33" i="2"/>
  <c r="B43" i="2"/>
  <c r="B42" i="2"/>
  <c r="B44" i="2"/>
  <c r="B38" i="2"/>
  <c r="B41" i="2"/>
  <c r="B40" i="2"/>
  <c r="B37" i="2"/>
  <c r="B39" i="2"/>
  <c r="B36" i="2"/>
  <c r="B34" i="2"/>
  <c r="B35" i="2"/>
  <c r="B30" i="2"/>
  <c r="B31" i="2"/>
  <c r="B9" i="2"/>
  <c r="B11" i="2"/>
  <c r="B10" i="2"/>
  <c r="B14" i="2"/>
  <c r="B23" i="2"/>
  <c r="B29" i="2"/>
  <c r="B20" i="2"/>
  <c r="B26" i="2"/>
  <c r="B19" i="2"/>
  <c r="B24" i="2"/>
  <c r="B7" i="2"/>
  <c r="B8" i="2"/>
  <c r="B18" i="2"/>
  <c r="B6" i="2"/>
  <c r="B5" i="2"/>
  <c r="B22" i="2"/>
  <c r="B28" i="2"/>
  <c r="B13" i="2"/>
  <c r="B4" i="2"/>
  <c r="B3" i="2"/>
  <c r="B25" i="2"/>
  <c r="B17" i="2"/>
  <c r="B15" i="2"/>
  <c r="B21" i="2"/>
  <c r="B12" i="2"/>
  <c r="B27" i="2"/>
  <c r="B16" i="2"/>
  <c r="B2" i="2"/>
  <c r="E127" i="2"/>
  <c r="E174" i="2"/>
  <c r="O106" i="2"/>
  <c r="E106" i="2"/>
  <c r="E168" i="2"/>
  <c r="E105" i="2"/>
  <c r="E108" i="2"/>
  <c r="E158" i="2"/>
  <c r="E100" i="2"/>
  <c r="E90" i="2"/>
  <c r="E94" i="2"/>
  <c r="E112" i="2"/>
  <c r="E140" i="2"/>
  <c r="E149" i="2"/>
  <c r="E92" i="2"/>
  <c r="E110" i="2"/>
  <c r="E117" i="2"/>
  <c r="E136" i="2"/>
  <c r="E98" i="2"/>
  <c r="E147" i="2"/>
  <c r="E156" i="2"/>
  <c r="E164" i="2"/>
  <c r="E172" i="2"/>
  <c r="E134" i="2"/>
  <c r="E162" i="2"/>
  <c r="E96" i="2"/>
  <c r="E121" i="2"/>
  <c r="E170" i="2"/>
  <c r="E123" i="2"/>
  <c r="E160" i="2"/>
  <c r="E138" i="2"/>
  <c r="E129" i="2"/>
  <c r="E102" i="2"/>
  <c r="E154" i="2"/>
  <c r="E166" i="2"/>
  <c r="E132" i="2"/>
  <c r="T151" i="2"/>
  <c r="T14" i="2"/>
  <c r="V14" i="2"/>
  <c r="E151" i="2"/>
  <c r="T114" i="2"/>
  <c r="T42" i="2"/>
  <c r="E114" i="2"/>
  <c r="U88" i="2"/>
  <c r="U10" i="2"/>
  <c r="T88" i="2"/>
  <c r="T10" i="2"/>
  <c r="E144" i="2"/>
  <c r="E142" i="2"/>
  <c r="E88" i="2"/>
  <c r="T130" i="2"/>
  <c r="T67" i="2"/>
  <c r="E130" i="2"/>
  <c r="T152" i="2"/>
  <c r="T46" i="2"/>
  <c r="E152" i="2"/>
  <c r="T125" i="2"/>
  <c r="T56" i="2"/>
  <c r="E125" i="2"/>
  <c r="T115" i="2"/>
  <c r="T73" i="2"/>
  <c r="E124" i="2"/>
  <c r="E145" i="2"/>
  <c r="E115" i="2"/>
  <c r="E161" i="2"/>
  <c r="E104" i="2"/>
  <c r="E157" i="2"/>
  <c r="E99" i="2"/>
  <c r="E109" i="2"/>
  <c r="E97" i="2"/>
  <c r="E133" i="2"/>
  <c r="E128" i="2"/>
  <c r="E111" i="2"/>
  <c r="E148" i="2"/>
  <c r="E91" i="2"/>
  <c r="E116" i="2"/>
  <c r="E143" i="2"/>
  <c r="E135" i="2"/>
  <c r="E146" i="2"/>
  <c r="E141" i="2"/>
  <c r="E155" i="2"/>
  <c r="E163" i="2"/>
  <c r="E171" i="2"/>
  <c r="E95" i="2"/>
  <c r="E120" i="2"/>
  <c r="E169" i="2"/>
  <c r="E122" i="2"/>
  <c r="E159" i="2"/>
  <c r="E137" i="2"/>
  <c r="E101" i="2"/>
  <c r="E87" i="2"/>
  <c r="E165" i="2"/>
  <c r="E131" i="2"/>
  <c r="E167" i="2"/>
  <c r="E107" i="2"/>
  <c r="E89" i="2"/>
  <c r="E93" i="2"/>
  <c r="E139" i="2"/>
  <c r="E153" i="2"/>
  <c r="E126" i="2"/>
  <c r="E173" i="2"/>
  <c r="E150" i="2"/>
  <c r="E113" i="2" l="1"/>
  <c r="E53" i="2"/>
  <c r="E40" i="2"/>
  <c r="E52" i="2"/>
  <c r="E119" i="2"/>
  <c r="E118" i="2"/>
  <c r="E13" i="2"/>
  <c r="E70" i="2"/>
  <c r="E34" i="2"/>
  <c r="E45" i="2"/>
  <c r="E67" i="2"/>
  <c r="E20" i="2"/>
  <c r="E78" i="2"/>
  <c r="E21" i="2"/>
  <c r="E178" i="2"/>
  <c r="E10" i="2"/>
  <c r="E65" i="2"/>
  <c r="E35" i="2"/>
  <c r="E49" i="2"/>
  <c r="E8" i="2"/>
  <c r="E63" i="2"/>
  <c r="E12" i="2"/>
  <c r="E69" i="2"/>
  <c r="E36" i="2"/>
  <c r="E47" i="2"/>
  <c r="E4" i="2"/>
  <c r="E57" i="2"/>
  <c r="E38" i="2"/>
  <c r="E48" i="2"/>
  <c r="E5" i="2"/>
  <c r="E60" i="2"/>
  <c r="E24" i="2"/>
  <c r="E81" i="2"/>
  <c r="E3" i="2"/>
  <c r="E59" i="2"/>
  <c r="E29" i="2"/>
  <c r="E86" i="2"/>
  <c r="E25" i="2"/>
  <c r="E82" i="2"/>
  <c r="E56" i="2"/>
  <c r="E16" i="2"/>
  <c r="E75" i="2"/>
  <c r="E19" i="2"/>
  <c r="E74" i="2"/>
  <c r="E28" i="2"/>
  <c r="E85" i="2"/>
  <c r="E73" i="2"/>
  <c r="E37" i="2"/>
  <c r="E50" i="2"/>
  <c r="E23" i="2"/>
  <c r="E80" i="2"/>
  <c r="E30" i="2"/>
  <c r="E32" i="2"/>
  <c r="E26" i="2"/>
  <c r="E83" i="2"/>
  <c r="E7" i="2"/>
  <c r="E62" i="2"/>
  <c r="E31" i="2"/>
  <c r="E33" i="2"/>
  <c r="E11" i="2"/>
  <c r="E66" i="2"/>
  <c r="E6" i="2"/>
  <c r="E61" i="2"/>
  <c r="E27" i="2"/>
  <c r="E84" i="2"/>
  <c r="E68" i="2"/>
  <c r="E39" i="2"/>
  <c r="E51" i="2"/>
  <c r="E22" i="2"/>
  <c r="E79" i="2"/>
  <c r="E9" i="2"/>
  <c r="E64" i="2"/>
  <c r="E46" i="2"/>
  <c r="E42" i="2"/>
  <c r="E43" i="2"/>
  <c r="E17" i="2"/>
  <c r="E76" i="2"/>
  <c r="E15" i="2"/>
  <c r="E72" i="2"/>
  <c r="E2" i="2"/>
  <c r="E58" i="2"/>
  <c r="E14" i="2"/>
  <c r="E71" i="2"/>
  <c r="E44" i="2"/>
  <c r="E54" i="2"/>
  <c r="E55" i="2"/>
  <c r="E103" i="2"/>
  <c r="E18" i="2"/>
  <c r="E77" i="2"/>
  <c r="E41" i="2"/>
</calcChain>
</file>

<file path=xl/sharedStrings.xml><?xml version="1.0" encoding="utf-8"?>
<sst xmlns="http://schemas.openxmlformats.org/spreadsheetml/2006/main" count="2681" uniqueCount="369">
  <si>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</si>
  <si>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</si>
  <si>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</si>
  <si>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</si>
  <si>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</si>
  <si>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</si>
  <si>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</si>
  <si>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</si>
  <si>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</si>
  <si>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</si>
  <si>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</si>
  <si>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</si>
  <si>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</si>
  <si>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</si>
  <si>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</si>
  <si>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</si>
  <si>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</si>
  <si>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</si>
  <si>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</si>
  <si>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</si>
  <si>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</si>
  <si>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</si>
  <si>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</si>
  <si>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</si>
  <si>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6WN3HE0UU04</t>
  </si>
  <si>
    <t>NG102285868000</t>
  </si>
  <si>
    <t>ASSISE,NICOLE</t>
  </si>
  <si>
    <t>PA</t>
  </si>
  <si>
    <t>CMS Trueup</t>
  </si>
  <si>
    <t>MAPD</t>
  </si>
  <si>
    <t>IMM608</t>
  </si>
  <si>
    <t>H5522-022</t>
  </si>
  <si>
    <t>LOA</t>
  </si>
  <si>
    <t>Stocker, Ryan</t>
  </si>
  <si>
    <t>MMO</t>
  </si>
  <si>
    <t>Main Line Benefits LLC</t>
  </si>
  <si>
    <t xml:space="preserve">Y  </t>
  </si>
  <si>
    <t>CMS Trueup reversal</t>
  </si>
  <si>
    <t xml:space="preserve">N  </t>
  </si>
  <si>
    <t>4U93TN9EN08</t>
  </si>
  <si>
    <t>NG102282681700</t>
  </si>
  <si>
    <t>BARDELLA L,BRENDA</t>
  </si>
  <si>
    <t>H5521-261</t>
  </si>
  <si>
    <t>McCorkle, Michelle</t>
  </si>
  <si>
    <t>5HH5YX2JT89</t>
  </si>
  <si>
    <t>NG102284628100</t>
  </si>
  <si>
    <t>BARTO M,LISA</t>
  </si>
  <si>
    <t>H5521-263</t>
  </si>
  <si>
    <t>Smith, Margaret</t>
  </si>
  <si>
    <t>6R65HJ4YJ52</t>
  </si>
  <si>
    <t>NG102285682600</t>
  </si>
  <si>
    <t>BEAN A,RANDY</t>
  </si>
  <si>
    <t>IA</t>
  </si>
  <si>
    <t>IMM610</t>
  </si>
  <si>
    <t>H1609-001</t>
  </si>
  <si>
    <t>Portugal, Gary</t>
  </si>
  <si>
    <t>2D82Y32ED09</t>
  </si>
  <si>
    <t>NG102284023900</t>
  </si>
  <si>
    <t>BOGACZYK M,DAVID</t>
  </si>
  <si>
    <t>H5522-017</t>
  </si>
  <si>
    <t>Foley, Carol</t>
  </si>
  <si>
    <t>6P18QM9XX67</t>
  </si>
  <si>
    <t>NG102286937100</t>
  </si>
  <si>
    <t>BUCARO M,ANNA</t>
  </si>
  <si>
    <t>IL</t>
  </si>
  <si>
    <t>New Business</t>
  </si>
  <si>
    <t>IMM606</t>
  </si>
  <si>
    <t>H5521-086</t>
  </si>
  <si>
    <t>9H95WQ8XR51</t>
  </si>
  <si>
    <t>NG102282339600</t>
  </si>
  <si>
    <t>BURGER,TIA</t>
  </si>
  <si>
    <t>IMM619</t>
  </si>
  <si>
    <t>H7301-027</t>
  </si>
  <si>
    <t>Sherman, Matthew</t>
  </si>
  <si>
    <t>4EF8M46PH58</t>
  </si>
  <si>
    <t>NG102285919500</t>
  </si>
  <si>
    <t>BURT-HOLSENDOLPH,WILLANDA</t>
  </si>
  <si>
    <t>FL</t>
  </si>
  <si>
    <t>IMM604</t>
  </si>
  <si>
    <t>H1609-018</t>
  </si>
  <si>
    <t>Teipel, Gregory</t>
  </si>
  <si>
    <t>1HR5Y19NN62</t>
  </si>
  <si>
    <t>MEQNPDZM00005106294</t>
  </si>
  <si>
    <t>CALVO CALVO,MARIA</t>
  </si>
  <si>
    <t>PRONEW</t>
  </si>
  <si>
    <t>H9771-001</t>
  </si>
  <si>
    <t>Nevarez, Antonia</t>
  </si>
  <si>
    <t>1K42GA2JA92</t>
  </si>
  <si>
    <t>NG102282666300</t>
  </si>
  <si>
    <t>COMINSKY R,DOUGLAS</t>
  </si>
  <si>
    <t>H5522-001</t>
  </si>
  <si>
    <t>Inskipt, Deborah</t>
  </si>
  <si>
    <t>8KN3CX6TN89</t>
  </si>
  <si>
    <t>NG102282813300</t>
  </si>
  <si>
    <t>DALTON WEINRIB A,CECILY</t>
  </si>
  <si>
    <t>Herrera-Larsen, Esther</t>
  </si>
  <si>
    <t>3EJ8GG5VX24</t>
  </si>
  <si>
    <t>NG101144295300</t>
  </si>
  <si>
    <t>DALTON,ISIAH</t>
  </si>
  <si>
    <t>H1206-004</t>
  </si>
  <si>
    <t>3ED5Q49PJ88</t>
  </si>
  <si>
    <t>NG102283019100</t>
  </si>
  <si>
    <t>DEBLANDER A,RICHARD</t>
  </si>
  <si>
    <t>H3959-002</t>
  </si>
  <si>
    <t>6ME5NK2NG77</t>
  </si>
  <si>
    <t>NG102284240000</t>
  </si>
  <si>
    <t>FURTH J,JOHN</t>
  </si>
  <si>
    <t>H7301-013</t>
  </si>
  <si>
    <t>Choi, Andrew</t>
  </si>
  <si>
    <t>8Q21XJ9AA91</t>
  </si>
  <si>
    <t>NG102284996700</t>
  </si>
  <si>
    <t>HALL A,LESLIE</t>
  </si>
  <si>
    <t>6V64T75PE08</t>
  </si>
  <si>
    <t>NG102283491900</t>
  </si>
  <si>
    <t>HOBBS C,PAMELA</t>
  </si>
  <si>
    <t>8WE6C97EA62</t>
  </si>
  <si>
    <t>NG102284857200</t>
  </si>
  <si>
    <t>INTHAVONG,LAMPHONG</t>
  </si>
  <si>
    <t>THANADABOUTH, PATSAMON</t>
  </si>
  <si>
    <t>5RU6N39FR87</t>
  </si>
  <si>
    <t>NG102284749100</t>
  </si>
  <si>
    <t>ISAACS A,MICHAEL</t>
  </si>
  <si>
    <t>9QD8ED8MN61</t>
  </si>
  <si>
    <t>NG102283931600</t>
  </si>
  <si>
    <t>JADOS R,VALERIE</t>
  </si>
  <si>
    <t>H7301-006</t>
  </si>
  <si>
    <t>Yale, Richard</t>
  </si>
  <si>
    <t>5NG2E52EW81</t>
  </si>
  <si>
    <t>NG102283991900</t>
  </si>
  <si>
    <t>JOHNSON M,DEANNA</t>
  </si>
  <si>
    <t>WI</t>
  </si>
  <si>
    <t>MA</t>
  </si>
  <si>
    <t>H5521-286</t>
  </si>
  <si>
    <t>Walenga, Dale</t>
  </si>
  <si>
    <t>6CJ6RA2XD40</t>
  </si>
  <si>
    <t>NG102286902000</t>
  </si>
  <si>
    <t>KANOSKI,HOLLIANNE</t>
  </si>
  <si>
    <t>OH</t>
  </si>
  <si>
    <t>IMM617</t>
  </si>
  <si>
    <t>H0628-017</t>
  </si>
  <si>
    <t>BRANDT, STEVEN</t>
  </si>
  <si>
    <t>2V64Q25CT99</t>
  </si>
  <si>
    <t>NG102285600200</t>
  </si>
  <si>
    <t>KOLESAR V,JILL</t>
  </si>
  <si>
    <t>H0628-005</t>
  </si>
  <si>
    <t>SHEPARD RYAN</t>
  </si>
  <si>
    <t>8WH3CQ7EJ01</t>
  </si>
  <si>
    <t>NG102283501500</t>
  </si>
  <si>
    <t>KOVOLYAN W,JOHN</t>
  </si>
  <si>
    <t>6RJ3KQ4QY15</t>
  </si>
  <si>
    <t>NG102284235200</t>
  </si>
  <si>
    <t>LEINONEN M,DIANE</t>
  </si>
  <si>
    <t>5AD1AH7MX10</t>
  </si>
  <si>
    <t>NG102286957300</t>
  </si>
  <si>
    <t>LOPEZ L,JEFFREY</t>
  </si>
  <si>
    <t>4H65UJ9FC76</t>
  </si>
  <si>
    <t>NG102283822800</t>
  </si>
  <si>
    <t>MARCH S,YONG</t>
  </si>
  <si>
    <t>9XT8J68VG47</t>
  </si>
  <si>
    <t>NG102285601800</t>
  </si>
  <si>
    <t>MARTIN L,SUSAN</t>
  </si>
  <si>
    <t>NE</t>
  </si>
  <si>
    <t>H1608-012</t>
  </si>
  <si>
    <t>9Y88CT0WQ38</t>
  </si>
  <si>
    <t>NG102284888600</t>
  </si>
  <si>
    <t>MCKEE M,DAVID</t>
  </si>
  <si>
    <t>NJ</t>
  </si>
  <si>
    <t>IMM614</t>
  </si>
  <si>
    <t>H5521-277</t>
  </si>
  <si>
    <t>Richter, Adam</t>
  </si>
  <si>
    <t>8XV3TN7YF89</t>
  </si>
  <si>
    <t>NG102284898200</t>
  </si>
  <si>
    <t>MIMS A,DOROTHY</t>
  </si>
  <si>
    <t>WERNER, STEVEN</t>
  </si>
  <si>
    <t>8PM3RD4DF01</t>
  </si>
  <si>
    <t>NG102285389300</t>
  </si>
  <si>
    <t>MOTTELER A,JERRY</t>
  </si>
  <si>
    <t>H7301-009</t>
  </si>
  <si>
    <t>DUNAVANT, MICHAEL</t>
  </si>
  <si>
    <t>6K19N67DJ17</t>
  </si>
  <si>
    <t>NG102285035200</t>
  </si>
  <si>
    <t>PASSAFIUME J,LORETTA</t>
  </si>
  <si>
    <t>STERNER MURRAY</t>
  </si>
  <si>
    <t>7AD0UN5NR04</t>
  </si>
  <si>
    <t>NG102285193500</t>
  </si>
  <si>
    <t>PEDROZA,WILLIAM</t>
  </si>
  <si>
    <t>H1206-003</t>
  </si>
  <si>
    <t>8C51AJ2KM23</t>
  </si>
  <si>
    <t>NG102282739300</t>
  </si>
  <si>
    <t>PETERSON J,AILEEN</t>
  </si>
  <si>
    <t>H5521-702</t>
  </si>
  <si>
    <t>2X92NM6CU22</t>
  </si>
  <si>
    <t>NG102285670300</t>
  </si>
  <si>
    <t>PHELPS E,MARY</t>
  </si>
  <si>
    <t>H1608-050</t>
  </si>
  <si>
    <t>Yale, Jacob</t>
  </si>
  <si>
    <t>7TU5JN3DE77</t>
  </si>
  <si>
    <t>NG102286715200</t>
  </si>
  <si>
    <t>RODGERS E,GARRETT</t>
  </si>
  <si>
    <t>H7301-007</t>
  </si>
  <si>
    <t>4AM2RV7GN18</t>
  </si>
  <si>
    <t>NG102283822000</t>
  </si>
  <si>
    <t>SAFRAN A,ROBIN</t>
  </si>
  <si>
    <t>6RP4Q44VY89</t>
  </si>
  <si>
    <t>NG102286142500</t>
  </si>
  <si>
    <t>SMITH D,CLAY</t>
  </si>
  <si>
    <t>MO</t>
  </si>
  <si>
    <t>IMM607</t>
  </si>
  <si>
    <t>H1608-018</t>
  </si>
  <si>
    <t>7J45NP1FT87</t>
  </si>
  <si>
    <t>MEQNQMZM00001456674</t>
  </si>
  <si>
    <t>SOYOYE,BOLAJOKO</t>
  </si>
  <si>
    <t>Holyn, Dennis</t>
  </si>
  <si>
    <t>8JF4TX3KM01</t>
  </si>
  <si>
    <t>NG102287291400</t>
  </si>
  <si>
    <t>SPRIGGS A,KIMBERLY</t>
  </si>
  <si>
    <t>4UA2VN4AJ96</t>
  </si>
  <si>
    <t>NG102248541400</t>
  </si>
  <si>
    <t>TERLESKI E,MARGARET</t>
  </si>
  <si>
    <t>Pro-Rata Payment</t>
  </si>
  <si>
    <t>Pro-Rata Disenroll</t>
  </si>
  <si>
    <t>5DQ3TT6VJ70</t>
  </si>
  <si>
    <t>NG102286119400</t>
  </si>
  <si>
    <t>WATSON L,SHARAN</t>
  </si>
  <si>
    <t>4HW4Y22EA66</t>
  </si>
  <si>
    <t>NG102283968400</t>
  </si>
  <si>
    <t>WEBER A,MARILYN</t>
  </si>
  <si>
    <t>Roller, Jason</t>
  </si>
  <si>
    <t>1K68CT1XX63</t>
  </si>
  <si>
    <t>NG102286150700</t>
  </si>
  <si>
    <t>WHITEHEAD D,KARIN</t>
  </si>
  <si>
    <t>8HH5FX6CN84</t>
  </si>
  <si>
    <t>MEQNDVYM00000280909</t>
  </si>
  <si>
    <t>WILKIE,BRIAN</t>
  </si>
  <si>
    <t>9N09GE3XJ36</t>
  </si>
  <si>
    <t>NG102285035800</t>
  </si>
  <si>
    <t>WILLIAMS B,DENISE</t>
  </si>
  <si>
    <t>H3959-033</t>
  </si>
  <si>
    <t>Williams, Monica</t>
  </si>
  <si>
    <t>5T87MP7GD49</t>
  </si>
  <si>
    <t>NG102287058200</t>
  </si>
  <si>
    <t>YOUNG K,DARLA</t>
  </si>
  <si>
    <t>H0628-021</t>
  </si>
  <si>
    <t>BENDER, CHAD</t>
  </si>
  <si>
    <t>3NA3DY9RT12</t>
  </si>
  <si>
    <t>NG102287147600</t>
  </si>
  <si>
    <t>YOUNG L,SHELBY</t>
  </si>
  <si>
    <t>H3959-011</t>
  </si>
  <si>
    <t>8FV9A73KF38</t>
  </si>
  <si>
    <t>NG102283062200</t>
  </si>
  <si>
    <t>ZOVACK J,DAVID</t>
  </si>
  <si>
    <t>H1608-029</t>
  </si>
  <si>
    <t>Total Payee Amount: $50187.51</t>
  </si>
  <si>
    <t>ASSISE</t>
  </si>
  <si>
    <t>NICOLE</t>
  </si>
  <si>
    <t>BARDELLA</t>
  </si>
  <si>
    <t>BRENDA</t>
  </si>
  <si>
    <t>BARTO</t>
  </si>
  <si>
    <t>LISA</t>
  </si>
  <si>
    <t>BEAN</t>
  </si>
  <si>
    <t>RANDY</t>
  </si>
  <si>
    <t>BOGACZYK</t>
  </si>
  <si>
    <t>DAVID</t>
  </si>
  <si>
    <t>BUCARO</t>
  </si>
  <si>
    <t>ANNA</t>
  </si>
  <si>
    <t>BURGER</t>
  </si>
  <si>
    <t>TIA</t>
  </si>
  <si>
    <t>BURT-HOLSENDOLPH</t>
  </si>
  <si>
    <t>WILLANDA</t>
  </si>
  <si>
    <t>CALVO</t>
  </si>
  <si>
    <t>MARIA</t>
  </si>
  <si>
    <t>COMINSKY</t>
  </si>
  <si>
    <t>DOUGLAS</t>
  </si>
  <si>
    <t>DALTON</t>
  </si>
  <si>
    <t>CECILY</t>
  </si>
  <si>
    <t>ISIAH</t>
  </si>
  <si>
    <t>DEBLANDER</t>
  </si>
  <si>
    <t>RICHARD</t>
  </si>
  <si>
    <t>FURTH</t>
  </si>
  <si>
    <t>JOHN</t>
  </si>
  <si>
    <t>HALL</t>
  </si>
  <si>
    <t>LESLIE</t>
  </si>
  <si>
    <t>HOBBS</t>
  </si>
  <si>
    <t>PAMELA</t>
  </si>
  <si>
    <t>INTHAVONG</t>
  </si>
  <si>
    <t>LAMPHONG</t>
  </si>
  <si>
    <t>ISAACS</t>
  </si>
  <si>
    <t>MICHAEL</t>
  </si>
  <si>
    <t>JADOS</t>
  </si>
  <si>
    <t>VALERIE</t>
  </si>
  <si>
    <t>JOHNSON</t>
  </si>
  <si>
    <t>DEANNA</t>
  </si>
  <si>
    <t>KANOSKI</t>
  </si>
  <si>
    <t>HOLLIANNE</t>
  </si>
  <si>
    <t>KOLESAR</t>
  </si>
  <si>
    <t>JILL</t>
  </si>
  <si>
    <t>KOVOLYAN</t>
  </si>
  <si>
    <t>LEINONEN</t>
  </si>
  <si>
    <t>DIANE</t>
  </si>
  <si>
    <t>LOPEZ</t>
  </si>
  <si>
    <t>JEFFREY</t>
  </si>
  <si>
    <t>MARCH</t>
  </si>
  <si>
    <t>YONG</t>
  </si>
  <si>
    <t>MARTIN</t>
  </si>
  <si>
    <t>SUSAN</t>
  </si>
  <si>
    <t>MCKEE</t>
  </si>
  <si>
    <t>MIMS</t>
  </si>
  <si>
    <t>DOROTHY</t>
  </si>
  <si>
    <t>MOTTELER</t>
  </si>
  <si>
    <t>JERRY</t>
  </si>
  <si>
    <t>PASSAFIUME</t>
  </si>
  <si>
    <t>LORETTA</t>
  </si>
  <si>
    <t>PEDROZA</t>
  </si>
  <si>
    <t>WILLIAM</t>
  </si>
  <si>
    <t>PETERSON</t>
  </si>
  <si>
    <t>AILEEN</t>
  </si>
  <si>
    <t>PHELPS</t>
  </si>
  <si>
    <t>MARY</t>
  </si>
  <si>
    <t>RODGERS</t>
  </si>
  <si>
    <t>GARRETT</t>
  </si>
  <si>
    <t>SAFRAN</t>
  </si>
  <si>
    <t>ROBIN</t>
  </si>
  <si>
    <t>SMITH</t>
  </si>
  <si>
    <t>CLAY</t>
  </si>
  <si>
    <t>SOYOYE</t>
  </si>
  <si>
    <t>BOLAJOKO</t>
  </si>
  <si>
    <t>SPRIGGS</t>
  </si>
  <si>
    <t>KIMBERLY</t>
  </si>
  <si>
    <t>TERLESKI</t>
  </si>
  <si>
    <t>MARGARET</t>
  </si>
  <si>
    <t>WATSON</t>
  </si>
  <si>
    <t>SHARAN</t>
  </si>
  <si>
    <t>WEBER</t>
  </si>
  <si>
    <t>MARILYN</t>
  </si>
  <si>
    <t>WHITEHEAD</t>
  </si>
  <si>
    <t>KARIN</t>
  </si>
  <si>
    <t>WILKIE</t>
  </si>
  <si>
    <t>BRIAN</t>
  </si>
  <si>
    <t>WILLIAMS</t>
  </si>
  <si>
    <t>DENISE</t>
  </si>
  <si>
    <t>YOUNG</t>
  </si>
  <si>
    <t>DARLA</t>
  </si>
  <si>
    <t>SHELBY</t>
  </si>
  <si>
    <t>ZOVACK</t>
  </si>
  <si>
    <t>Aetna 2026 CT, PA, DC</t>
  </si>
  <si>
    <t>Aetna MAPD OVR 2026</t>
  </si>
  <si>
    <t>[%/$=781]</t>
  </si>
  <si>
    <t>Aetna MAPD 2026*</t>
  </si>
  <si>
    <t>[%/$=347][prorate=9/12]</t>
  </si>
  <si>
    <t>Aetna 2026 CA, NJ*</t>
  </si>
  <si>
    <t>[%/$=432][prorate=6/12]</t>
  </si>
  <si>
    <t>[%/$=347][prorate=7/12]</t>
  </si>
  <si>
    <t>Aetna 2026 CT, PA, DC *</t>
  </si>
  <si>
    <t>[%/$=391][prorate=6/12]</t>
  </si>
  <si>
    <t>[%/$=347][prorate=6/12]</t>
  </si>
  <si>
    <t>[%/$=391][prorate=5/12]</t>
  </si>
  <si>
    <t>[%/$=347][prorate=5/12]</t>
  </si>
  <si>
    <t>[%/$=391][prorate=4/12]</t>
  </si>
  <si>
    <t>[%/$=347][prorate=4/12]</t>
  </si>
  <si>
    <t>[%/$=347][prorate=3/12]</t>
  </si>
  <si>
    <t>[%/$=694][prorate=6/12]</t>
  </si>
  <si>
    <t>[%/$=694][prorate=9/12]</t>
  </si>
  <si>
    <t>[%/$=781][prorate=7/12]</t>
  </si>
  <si>
    <t>[%/$=694]</t>
  </si>
  <si>
    <t>Aetna 2026</t>
  </si>
  <si>
    <t>Aetna 2026 CA, NJ</t>
  </si>
  <si>
    <t>[%/$=864]</t>
  </si>
  <si>
    <t>17528908N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</si>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</sst>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0" fontId="0" fillId="34" borderId="0" xfId="0" applyFill="1"/>
    <xf numFmtId="14" fontId="0" fillId="34" borderId="0" xfId="0" applyNumberFormat="1" applyFill="1"/>
    <xf numFmtId="0" fontId="0" fillId="35" borderId="0" xfId="0" applyFill="1"/>
    <xf numFmtId="14" fontId="0" fillId="35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  <xf numFmtId="0" fontId="14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1E61-F79F-4545-92FB-C71BA9550F93}">
  <dimension ref="A1:X1312"/>
  <sheetViews>
    <sheetView topLeftCell="F1" workbookViewId="0">
      <selection activeCell="F15" sqref="A15:XFD16"/>
    </sheetView>
  </sheetViews>
  <sheetFormatPr defaultRowHeight="15" x14ac:dyDescent="0.25"/>
  <cols>
    <col min="1" max="1" width="26.5703125" bestFit="1" customWidth="1"/>
    <col min="2" max="2" width="15.5703125" bestFit="1" customWidth="1"/>
    <col min="3" max="3" width="22.5703125" bestFit="1" customWidth="1"/>
    <col min="4" max="4" width="15.7109375" bestFit="1" customWidth="1"/>
    <col min="5" max="5" width="46.42578125" bestFit="1" customWidth="1"/>
    <col min="6" max="6" width="12.140625" bestFit="1" customWidth="1"/>
    <col min="7" max="7" width="22.140625" bestFit="1" customWidth="1"/>
    <col min="8" max="9" width="7.28515625" bestFit="1" customWidth="1"/>
    <col min="10" max="10" width="10" bestFit="1" customWidth="1"/>
    <col min="11" max="11" width="21.7109375" bestFit="1" customWidth="1"/>
    <col min="12" max="12" width="14.28515625" bestFit="1" customWidth="1"/>
    <col min="13" max="13" width="12" bestFit="1" customWidth="1"/>
    <col min="14" max="14" width="9.28515625" bestFit="1" customWidth="1"/>
    <col min="15" max="15" width="15.7109375" bestFit="1" customWidth="1"/>
    <col min="16" max="16" width="16.140625" bestFit="1" customWidth="1"/>
    <col min="17" max="17" width="25.7109375" bestFit="1" customWidth="1"/>
    <col min="18" max="18" width="7.85546875" bestFit="1" customWidth="1"/>
    <col min="19" max="19" width="10.28515625" bestFit="1" customWidth="1"/>
    <col min="20" max="20" width="19" bestFit="1" customWidth="1"/>
    <col min="21" max="21" width="12.42578125" bestFit="1" customWidth="1"/>
    <col min="22" max="22" width="8.7109375" bestFit="1" customWidth="1"/>
    <col min="23" max="23" width="12.42578125" bestFit="1" customWidth="1"/>
    <col min="24" max="24" width="9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46224</v>
      </c>
      <c r="B2" t="s">
        <v>24</v>
      </c>
      <c r="C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s="1">
        <v>46204</v>
      </c>
      <c r="M2" s="1">
        <v>46204</v>
      </c>
      <c r="O2">
        <v>15950276</v>
      </c>
      <c r="P2" t="s">
        <v>32</v>
      </c>
      <c r="Q2" t="s">
        <v>33</v>
      </c>
      <c r="R2">
        <v>8192</v>
      </c>
      <c r="S2" t="s">
        <v>34</v>
      </c>
      <c r="T2" t="s">
        <v>35</v>
      </c>
      <c r="U2">
        <v>931</v>
      </c>
      <c r="V2" t="s">
        <v>36</v>
      </c>
      <c r="W2" s="1">
        <v>46199</v>
      </c>
      <c r="X2">
        <v>2026</v>
      </c>
    </row>
    <row r="3" spans="1:24" x14ac:dyDescent="0.25">
      <c r="A3" s="1">
        <v>46224</v>
      </c>
      <c r="B3" t="s">
        <v>24</v>
      </c>
      <c r="C3" t="s">
        <v>25</v>
      </c>
      <c r="E3" t="s">
        <v>26</v>
      </c>
      <c r="F3" t="s">
        <v>27</v>
      </c>
      <c r="G3" t="s">
        <v>37</v>
      </c>
      <c r="H3" t="s">
        <v>29</v>
      </c>
      <c r="I3" t="s">
        <v>30</v>
      </c>
      <c r="J3" t="s">
        <v>31</v>
      </c>
      <c r="L3" s="1">
        <v>46204</v>
      </c>
      <c r="M3" s="1">
        <v>46204</v>
      </c>
      <c r="O3">
        <v>15950276</v>
      </c>
      <c r="P3" t="s">
        <v>32</v>
      </c>
      <c r="Q3" t="s">
        <v>33</v>
      </c>
      <c r="R3">
        <v>8192</v>
      </c>
      <c r="S3" t="s">
        <v>34</v>
      </c>
      <c r="T3" t="s">
        <v>35</v>
      </c>
      <c r="U3">
        <v>-270.5</v>
      </c>
      <c r="V3" t="s">
        <v>38</v>
      </c>
      <c r="W3" s="1">
        <v>46199</v>
      </c>
      <c r="X3">
        <v>2026</v>
      </c>
    </row>
    <row r="4" spans="1:24" x14ac:dyDescent="0.25">
      <c r="A4" s="1">
        <v>46224</v>
      </c>
      <c r="B4" t="s">
        <v>39</v>
      </c>
      <c r="C4" t="s">
        <v>40</v>
      </c>
      <c r="E4" t="s">
        <v>41</v>
      </c>
      <c r="F4" t="s">
        <v>27</v>
      </c>
      <c r="G4" t="s">
        <v>28</v>
      </c>
      <c r="H4" t="s">
        <v>29</v>
      </c>
      <c r="I4" t="s">
        <v>30</v>
      </c>
      <c r="J4" t="s">
        <v>42</v>
      </c>
      <c r="L4" s="1">
        <v>46235</v>
      </c>
      <c r="M4" s="1">
        <v>46235</v>
      </c>
      <c r="O4">
        <v>18710070</v>
      </c>
      <c r="P4" t="s">
        <v>32</v>
      </c>
      <c r="Q4" t="s">
        <v>43</v>
      </c>
      <c r="R4">
        <v>8192</v>
      </c>
      <c r="S4" t="s">
        <v>34</v>
      </c>
      <c r="T4" t="s">
        <v>35</v>
      </c>
      <c r="U4">
        <v>931</v>
      </c>
      <c r="V4" t="s">
        <v>36</v>
      </c>
      <c r="W4" s="1">
        <v>46175</v>
      </c>
      <c r="X4">
        <v>2026</v>
      </c>
    </row>
    <row r="5" spans="1:24" x14ac:dyDescent="0.25">
      <c r="A5" s="1">
        <v>46224</v>
      </c>
      <c r="B5" t="s">
        <v>39</v>
      </c>
      <c r="C5" t="s">
        <v>40</v>
      </c>
      <c r="E5" t="s">
        <v>41</v>
      </c>
      <c r="F5" t="s">
        <v>27</v>
      </c>
      <c r="G5" t="s">
        <v>37</v>
      </c>
      <c r="H5" t="s">
        <v>29</v>
      </c>
      <c r="I5" t="s">
        <v>30</v>
      </c>
      <c r="J5" t="s">
        <v>42</v>
      </c>
      <c r="L5" s="1">
        <v>46235</v>
      </c>
      <c r="M5" s="1">
        <v>46235</v>
      </c>
      <c r="O5">
        <v>18710070</v>
      </c>
      <c r="P5" t="s">
        <v>32</v>
      </c>
      <c r="Q5" t="s">
        <v>43</v>
      </c>
      <c r="R5">
        <v>8192</v>
      </c>
      <c r="S5" t="s">
        <v>34</v>
      </c>
      <c r="T5" t="s">
        <v>35</v>
      </c>
      <c r="U5">
        <v>-225.42</v>
      </c>
      <c r="V5" t="s">
        <v>38</v>
      </c>
      <c r="W5" s="1">
        <v>46175</v>
      </c>
      <c r="X5">
        <v>2026</v>
      </c>
    </row>
    <row r="6" spans="1:24" x14ac:dyDescent="0.25">
      <c r="A6" s="1">
        <v>46224</v>
      </c>
      <c r="B6" t="s">
        <v>44</v>
      </c>
      <c r="C6" t="s">
        <v>45</v>
      </c>
      <c r="E6" t="s">
        <v>46</v>
      </c>
      <c r="F6" t="s">
        <v>27</v>
      </c>
      <c r="G6" t="s">
        <v>28</v>
      </c>
      <c r="H6" t="s">
        <v>29</v>
      </c>
      <c r="I6" t="s">
        <v>30</v>
      </c>
      <c r="J6" t="s">
        <v>47</v>
      </c>
      <c r="L6" s="1">
        <v>46235</v>
      </c>
      <c r="M6" s="1">
        <v>46235</v>
      </c>
      <c r="O6">
        <v>20253958</v>
      </c>
      <c r="P6" t="s">
        <v>32</v>
      </c>
      <c r="Q6" t="s">
        <v>48</v>
      </c>
      <c r="R6">
        <v>8192</v>
      </c>
      <c r="S6" t="s">
        <v>34</v>
      </c>
      <c r="T6" t="s">
        <v>35</v>
      </c>
      <c r="U6">
        <v>65</v>
      </c>
      <c r="V6" t="s">
        <v>36</v>
      </c>
      <c r="W6" s="1">
        <v>46189</v>
      </c>
      <c r="X6">
        <v>2026</v>
      </c>
    </row>
    <row r="7" spans="1:24" x14ac:dyDescent="0.25">
      <c r="A7" s="1">
        <v>46224</v>
      </c>
      <c r="B7" t="s">
        <v>44</v>
      </c>
      <c r="C7" t="s">
        <v>45</v>
      </c>
      <c r="E7" t="s">
        <v>46</v>
      </c>
      <c r="F7" t="s">
        <v>27</v>
      </c>
      <c r="G7" t="s">
        <v>37</v>
      </c>
      <c r="H7" t="s">
        <v>29</v>
      </c>
      <c r="I7" t="s">
        <v>30</v>
      </c>
      <c r="J7" t="s">
        <v>47</v>
      </c>
      <c r="L7" s="1">
        <v>46235</v>
      </c>
      <c r="M7" s="1">
        <v>46235</v>
      </c>
      <c r="O7">
        <v>20253958</v>
      </c>
      <c r="P7" t="s">
        <v>32</v>
      </c>
      <c r="Q7" t="s">
        <v>48</v>
      </c>
      <c r="R7">
        <v>8192</v>
      </c>
      <c r="S7" t="s">
        <v>34</v>
      </c>
      <c r="T7" t="s">
        <v>35</v>
      </c>
      <c r="U7">
        <v>-27.09</v>
      </c>
      <c r="V7" t="s">
        <v>38</v>
      </c>
      <c r="W7" s="1">
        <v>46189</v>
      </c>
      <c r="X7">
        <v>2026</v>
      </c>
    </row>
    <row r="8" spans="1:24" x14ac:dyDescent="0.25">
      <c r="A8" s="1">
        <v>46224</v>
      </c>
      <c r="B8" t="s">
        <v>49</v>
      </c>
      <c r="C8" t="s">
        <v>50</v>
      </c>
      <c r="E8" t="s">
        <v>51</v>
      </c>
      <c r="F8" t="s">
        <v>52</v>
      </c>
      <c r="G8" t="s">
        <v>28</v>
      </c>
      <c r="H8" t="s">
        <v>29</v>
      </c>
      <c r="I8" t="s">
        <v>53</v>
      </c>
      <c r="J8" t="s">
        <v>54</v>
      </c>
      <c r="L8" s="1">
        <v>46204</v>
      </c>
      <c r="M8" s="1">
        <v>46204</v>
      </c>
      <c r="O8">
        <v>9213293</v>
      </c>
      <c r="P8" t="s">
        <v>32</v>
      </c>
      <c r="Q8" t="s">
        <v>55</v>
      </c>
      <c r="R8">
        <v>8192</v>
      </c>
      <c r="S8" t="s">
        <v>34</v>
      </c>
      <c r="T8" t="s">
        <v>35</v>
      </c>
      <c r="U8">
        <v>844</v>
      </c>
      <c r="V8" t="s">
        <v>36</v>
      </c>
      <c r="W8" s="1">
        <v>46198</v>
      </c>
      <c r="X8">
        <v>2026</v>
      </c>
    </row>
    <row r="9" spans="1:24" x14ac:dyDescent="0.25">
      <c r="A9" s="1">
        <v>46224</v>
      </c>
      <c r="B9" t="s">
        <v>49</v>
      </c>
      <c r="C9" t="s">
        <v>50</v>
      </c>
      <c r="E9" t="s">
        <v>51</v>
      </c>
      <c r="F9" t="s">
        <v>52</v>
      </c>
      <c r="G9" t="s">
        <v>37</v>
      </c>
      <c r="H9" t="s">
        <v>29</v>
      </c>
      <c r="I9" t="s">
        <v>53</v>
      </c>
      <c r="J9" t="s">
        <v>54</v>
      </c>
      <c r="L9" s="1">
        <v>46204</v>
      </c>
      <c r="M9" s="1">
        <v>46204</v>
      </c>
      <c r="O9">
        <v>9213293</v>
      </c>
      <c r="P9" t="s">
        <v>32</v>
      </c>
      <c r="Q9" t="s">
        <v>55</v>
      </c>
      <c r="R9">
        <v>8192</v>
      </c>
      <c r="S9" t="s">
        <v>34</v>
      </c>
      <c r="T9" t="s">
        <v>35</v>
      </c>
      <c r="U9">
        <v>-248.5</v>
      </c>
      <c r="V9" t="s">
        <v>38</v>
      </c>
      <c r="W9" s="1">
        <v>46198</v>
      </c>
      <c r="X9">
        <v>2026</v>
      </c>
    </row>
    <row r="10" spans="1:24" x14ac:dyDescent="0.25">
      <c r="A10" s="1">
        <v>46224</v>
      </c>
      <c r="B10" t="s">
        <v>56</v>
      </c>
      <c r="C10" t="s">
        <v>57</v>
      </c>
      <c r="E10" t="s">
        <v>58</v>
      </c>
      <c r="F10" t="s">
        <v>27</v>
      </c>
      <c r="G10" t="s">
        <v>28</v>
      </c>
      <c r="H10" t="s">
        <v>29</v>
      </c>
      <c r="I10" t="s">
        <v>30</v>
      </c>
      <c r="J10" t="s">
        <v>59</v>
      </c>
      <c r="L10" s="1">
        <v>46204</v>
      </c>
      <c r="M10" s="1">
        <v>46204</v>
      </c>
      <c r="O10">
        <v>17425766</v>
      </c>
      <c r="P10" t="s">
        <v>32</v>
      </c>
      <c r="Q10" t="s">
        <v>60</v>
      </c>
      <c r="R10">
        <v>8192</v>
      </c>
      <c r="S10" t="s">
        <v>34</v>
      </c>
      <c r="T10" t="s">
        <v>35</v>
      </c>
      <c r="U10">
        <v>931</v>
      </c>
      <c r="V10" t="s">
        <v>36</v>
      </c>
      <c r="W10" s="1">
        <v>46184</v>
      </c>
      <c r="X10">
        <v>2026</v>
      </c>
    </row>
    <row r="11" spans="1:24" x14ac:dyDescent="0.25">
      <c r="A11" s="1">
        <v>46224</v>
      </c>
      <c r="B11" t="s">
        <v>56</v>
      </c>
      <c r="C11" t="s">
        <v>57</v>
      </c>
      <c r="E11" t="s">
        <v>58</v>
      </c>
      <c r="F11" t="s">
        <v>27</v>
      </c>
      <c r="G11" t="s">
        <v>37</v>
      </c>
      <c r="H11" t="s">
        <v>29</v>
      </c>
      <c r="I11" t="s">
        <v>30</v>
      </c>
      <c r="J11" t="s">
        <v>59</v>
      </c>
      <c r="L11" s="1">
        <v>46204</v>
      </c>
      <c r="M11" s="1">
        <v>46204</v>
      </c>
      <c r="O11">
        <v>17425766</v>
      </c>
      <c r="P11" t="s">
        <v>32</v>
      </c>
      <c r="Q11" t="s">
        <v>60</v>
      </c>
      <c r="R11">
        <v>8192</v>
      </c>
      <c r="S11" t="s">
        <v>34</v>
      </c>
      <c r="T11" t="s">
        <v>35</v>
      </c>
      <c r="U11">
        <v>-270.5</v>
      </c>
      <c r="V11" t="s">
        <v>38</v>
      </c>
      <c r="W11" s="1">
        <v>46184</v>
      </c>
      <c r="X11">
        <v>2026</v>
      </c>
    </row>
    <row r="12" spans="1:24" x14ac:dyDescent="0.25">
      <c r="A12" s="1">
        <v>46224</v>
      </c>
      <c r="B12" t="s">
        <v>61</v>
      </c>
      <c r="C12" t="s">
        <v>62</v>
      </c>
      <c r="E12" t="s">
        <v>63</v>
      </c>
      <c r="F12" t="s">
        <v>64</v>
      </c>
      <c r="G12" t="s">
        <v>65</v>
      </c>
      <c r="H12" t="s">
        <v>29</v>
      </c>
      <c r="I12" t="s">
        <v>66</v>
      </c>
      <c r="J12" t="s">
        <v>67</v>
      </c>
      <c r="L12" s="1">
        <v>46235</v>
      </c>
      <c r="M12" s="1">
        <v>46235</v>
      </c>
      <c r="O12">
        <v>9213293</v>
      </c>
      <c r="P12" t="s">
        <v>32</v>
      </c>
      <c r="Q12" t="s">
        <v>55</v>
      </c>
      <c r="R12">
        <v>8192</v>
      </c>
      <c r="S12" t="s">
        <v>34</v>
      </c>
      <c r="T12" t="s">
        <v>35</v>
      </c>
      <c r="U12">
        <v>207.08</v>
      </c>
      <c r="V12" t="s">
        <v>38</v>
      </c>
      <c r="W12" s="1">
        <v>46209</v>
      </c>
      <c r="X12">
        <v>2026</v>
      </c>
    </row>
    <row r="13" spans="1:24" x14ac:dyDescent="0.25">
      <c r="A13" s="1">
        <v>46224</v>
      </c>
      <c r="B13" t="s">
        <v>68</v>
      </c>
      <c r="C13" t="s">
        <v>69</v>
      </c>
      <c r="E13" t="s">
        <v>70</v>
      </c>
      <c r="F13" t="s">
        <v>64</v>
      </c>
      <c r="G13" t="s">
        <v>28</v>
      </c>
      <c r="H13" t="s">
        <v>29</v>
      </c>
      <c r="I13" t="s">
        <v>71</v>
      </c>
      <c r="J13" t="s">
        <v>72</v>
      </c>
      <c r="L13" s="1">
        <v>46204</v>
      </c>
      <c r="M13" s="1">
        <v>46204</v>
      </c>
      <c r="O13">
        <v>8812322</v>
      </c>
      <c r="P13" t="s">
        <v>32</v>
      </c>
      <c r="Q13" t="s">
        <v>73</v>
      </c>
      <c r="R13">
        <v>8192</v>
      </c>
      <c r="S13" t="s">
        <v>34</v>
      </c>
      <c r="T13" t="s">
        <v>35</v>
      </c>
      <c r="U13">
        <v>844</v>
      </c>
      <c r="V13" t="s">
        <v>36</v>
      </c>
      <c r="W13" s="1">
        <v>46172</v>
      </c>
      <c r="X13">
        <v>2026</v>
      </c>
    </row>
    <row r="14" spans="1:24" x14ac:dyDescent="0.25">
      <c r="A14" s="1">
        <v>46224</v>
      </c>
      <c r="B14" t="s">
        <v>68</v>
      </c>
      <c r="C14" t="s">
        <v>69</v>
      </c>
      <c r="E14" t="s">
        <v>70</v>
      </c>
      <c r="F14" t="s">
        <v>64</v>
      </c>
      <c r="G14" t="s">
        <v>37</v>
      </c>
      <c r="H14" t="s">
        <v>29</v>
      </c>
      <c r="I14" t="s">
        <v>71</v>
      </c>
      <c r="J14" t="s">
        <v>72</v>
      </c>
      <c r="L14" s="1">
        <v>46204</v>
      </c>
      <c r="M14" s="1">
        <v>46204</v>
      </c>
      <c r="O14">
        <v>8812322</v>
      </c>
      <c r="P14" t="s">
        <v>32</v>
      </c>
      <c r="Q14" t="s">
        <v>73</v>
      </c>
      <c r="R14">
        <v>8192</v>
      </c>
      <c r="S14" t="s">
        <v>34</v>
      </c>
      <c r="T14" t="s">
        <v>35</v>
      </c>
      <c r="U14">
        <v>-248.5</v>
      </c>
      <c r="V14" t="s">
        <v>38</v>
      </c>
      <c r="W14" s="1">
        <v>46172</v>
      </c>
      <c r="X14">
        <v>2026</v>
      </c>
    </row>
    <row r="15" spans="1:24" x14ac:dyDescent="0.25">
      <c r="A15" s="1">
        <v>46224</v>
      </c>
      <c r="B15" t="s">
        <v>74</v>
      </c>
      <c r="C15" t="s">
        <v>75</v>
      </c>
      <c r="E15" t="s">
        <v>76</v>
      </c>
      <c r="F15" t="s">
        <v>77</v>
      </c>
      <c r="G15" t="s">
        <v>28</v>
      </c>
      <c r="H15" t="s">
        <v>29</v>
      </c>
      <c r="I15" t="s">
        <v>78</v>
      </c>
      <c r="J15" t="s">
        <v>79</v>
      </c>
      <c r="L15" s="1">
        <v>46235</v>
      </c>
      <c r="M15" s="1">
        <v>46235</v>
      </c>
      <c r="O15">
        <v>8307933</v>
      </c>
      <c r="P15" t="s">
        <v>32</v>
      </c>
      <c r="Q15" t="s">
        <v>80</v>
      </c>
      <c r="R15">
        <v>8192</v>
      </c>
      <c r="S15" t="s">
        <v>34</v>
      </c>
      <c r="T15" t="s">
        <v>35</v>
      </c>
      <c r="U15">
        <v>959</v>
      </c>
      <c r="V15" t="s">
        <v>36</v>
      </c>
      <c r="W15" s="1">
        <v>46199</v>
      </c>
      <c r="X15">
        <v>2026</v>
      </c>
    </row>
    <row r="16" spans="1:24" x14ac:dyDescent="0.25">
      <c r="A16" s="1">
        <v>46224</v>
      </c>
      <c r="B16" t="s">
        <v>74</v>
      </c>
      <c r="C16" t="s">
        <v>75</v>
      </c>
      <c r="E16" t="s">
        <v>76</v>
      </c>
      <c r="F16" t="s">
        <v>77</v>
      </c>
      <c r="G16" t="s">
        <v>37</v>
      </c>
      <c r="H16" t="s">
        <v>29</v>
      </c>
      <c r="I16" t="s">
        <v>78</v>
      </c>
      <c r="J16" t="s">
        <v>79</v>
      </c>
      <c r="L16" s="1">
        <v>46235</v>
      </c>
      <c r="M16" s="1">
        <v>46235</v>
      </c>
      <c r="O16">
        <v>8307933</v>
      </c>
      <c r="P16" t="s">
        <v>32</v>
      </c>
      <c r="Q16" t="s">
        <v>80</v>
      </c>
      <c r="R16">
        <v>8192</v>
      </c>
      <c r="S16" t="s">
        <v>34</v>
      </c>
      <c r="T16" t="s">
        <v>35</v>
      </c>
      <c r="U16">
        <v>-255</v>
      </c>
      <c r="V16" t="s">
        <v>38</v>
      </c>
      <c r="W16" s="1">
        <v>46199</v>
      </c>
      <c r="X16">
        <v>2026</v>
      </c>
    </row>
    <row r="17" spans="1:24" x14ac:dyDescent="0.25">
      <c r="A17" s="1">
        <v>46224</v>
      </c>
      <c r="B17" t="s">
        <v>81</v>
      </c>
      <c r="C17" t="s">
        <v>82</v>
      </c>
      <c r="E17" t="s">
        <v>83</v>
      </c>
      <c r="F17" t="s">
        <v>64</v>
      </c>
      <c r="G17" t="s">
        <v>84</v>
      </c>
      <c r="H17" t="s">
        <v>29</v>
      </c>
      <c r="I17" t="s">
        <v>66</v>
      </c>
      <c r="J17" t="s">
        <v>85</v>
      </c>
      <c r="L17" s="1">
        <v>46204</v>
      </c>
      <c r="M17" s="1">
        <v>46204</v>
      </c>
      <c r="O17">
        <v>21646325</v>
      </c>
      <c r="P17" t="s">
        <v>32</v>
      </c>
      <c r="Q17" t="s">
        <v>86</v>
      </c>
      <c r="R17">
        <v>8192</v>
      </c>
      <c r="S17" t="s">
        <v>34</v>
      </c>
      <c r="T17" t="s">
        <v>35</v>
      </c>
      <c r="U17">
        <v>422</v>
      </c>
      <c r="V17" t="s">
        <v>36</v>
      </c>
      <c r="W17" s="1">
        <v>46195</v>
      </c>
      <c r="X17">
        <v>2026</v>
      </c>
    </row>
    <row r="18" spans="1:24" x14ac:dyDescent="0.25">
      <c r="A18" s="1">
        <v>46224</v>
      </c>
      <c r="B18" t="s">
        <v>81</v>
      </c>
      <c r="C18" t="s">
        <v>82</v>
      </c>
      <c r="E18" t="s">
        <v>83</v>
      </c>
      <c r="F18" t="s">
        <v>64</v>
      </c>
      <c r="G18" t="s">
        <v>37</v>
      </c>
      <c r="H18" t="s">
        <v>29</v>
      </c>
      <c r="I18" t="s">
        <v>66</v>
      </c>
      <c r="J18" t="s">
        <v>85</v>
      </c>
      <c r="L18" s="1">
        <v>46204</v>
      </c>
      <c r="M18" s="1">
        <v>46204</v>
      </c>
      <c r="O18">
        <v>21646325</v>
      </c>
      <c r="P18" t="s">
        <v>32</v>
      </c>
      <c r="Q18" t="s">
        <v>86</v>
      </c>
      <c r="R18">
        <v>8192</v>
      </c>
      <c r="S18" t="s">
        <v>34</v>
      </c>
      <c r="T18" t="s">
        <v>35</v>
      </c>
      <c r="U18">
        <v>-248.5</v>
      </c>
      <c r="V18" t="s">
        <v>38</v>
      </c>
      <c r="W18" s="1">
        <v>46195</v>
      </c>
      <c r="X18">
        <v>2026</v>
      </c>
    </row>
    <row r="19" spans="1:24" x14ac:dyDescent="0.25">
      <c r="A19" s="1">
        <v>46224</v>
      </c>
      <c r="B19" t="s">
        <v>87</v>
      </c>
      <c r="C19" t="s">
        <v>88</v>
      </c>
      <c r="E19" t="s">
        <v>89</v>
      </c>
      <c r="F19" t="s">
        <v>27</v>
      </c>
      <c r="G19" t="s">
        <v>28</v>
      </c>
      <c r="H19" t="s">
        <v>29</v>
      </c>
      <c r="I19" t="s">
        <v>30</v>
      </c>
      <c r="J19" t="s">
        <v>90</v>
      </c>
      <c r="L19" s="1">
        <v>46204</v>
      </c>
      <c r="M19" s="1">
        <v>46204</v>
      </c>
      <c r="O19">
        <v>17528908</v>
      </c>
      <c r="P19" t="s">
        <v>32</v>
      </c>
      <c r="Q19" t="s">
        <v>91</v>
      </c>
      <c r="R19">
        <v>8192</v>
      </c>
      <c r="S19" t="s">
        <v>34</v>
      </c>
      <c r="T19" t="s">
        <v>35</v>
      </c>
      <c r="U19">
        <v>931</v>
      </c>
      <c r="V19" t="s">
        <v>36</v>
      </c>
      <c r="W19" s="1">
        <v>46175</v>
      </c>
      <c r="X19">
        <v>2026</v>
      </c>
    </row>
    <row r="20" spans="1:24" x14ac:dyDescent="0.25">
      <c r="A20" s="1">
        <v>46224</v>
      </c>
      <c r="B20" t="s">
        <v>87</v>
      </c>
      <c r="C20" t="s">
        <v>88</v>
      </c>
      <c r="E20" t="s">
        <v>89</v>
      </c>
      <c r="F20" t="s">
        <v>27</v>
      </c>
      <c r="G20" t="s">
        <v>37</v>
      </c>
      <c r="H20" t="s">
        <v>29</v>
      </c>
      <c r="I20" t="s">
        <v>30</v>
      </c>
      <c r="J20" t="s">
        <v>90</v>
      </c>
      <c r="L20" s="1">
        <v>46204</v>
      </c>
      <c r="M20" s="1">
        <v>46204</v>
      </c>
      <c r="O20">
        <v>17528908</v>
      </c>
      <c r="P20" t="s">
        <v>32</v>
      </c>
      <c r="Q20" t="s">
        <v>91</v>
      </c>
      <c r="R20">
        <v>8192</v>
      </c>
      <c r="S20" t="s">
        <v>34</v>
      </c>
      <c r="T20" t="s">
        <v>35</v>
      </c>
      <c r="U20">
        <v>-270.5</v>
      </c>
      <c r="V20" t="s">
        <v>38</v>
      </c>
      <c r="W20" s="1">
        <v>46175</v>
      </c>
      <c r="X20">
        <v>2026</v>
      </c>
    </row>
    <row r="21" spans="1:24" x14ac:dyDescent="0.25">
      <c r="A21" s="1">
        <v>46224</v>
      </c>
      <c r="B21" t="s">
        <v>92</v>
      </c>
      <c r="C21" t="s">
        <v>93</v>
      </c>
      <c r="E21" t="s">
        <v>94</v>
      </c>
      <c r="F21" t="s">
        <v>64</v>
      </c>
      <c r="G21" t="s">
        <v>28</v>
      </c>
      <c r="H21" t="s">
        <v>29</v>
      </c>
      <c r="I21" t="s">
        <v>66</v>
      </c>
      <c r="J21" t="s">
        <v>67</v>
      </c>
      <c r="L21" s="1">
        <v>46174</v>
      </c>
      <c r="M21" s="1">
        <v>46174</v>
      </c>
      <c r="O21">
        <v>17301495</v>
      </c>
      <c r="P21" t="s">
        <v>32</v>
      </c>
      <c r="Q21" t="s">
        <v>95</v>
      </c>
      <c r="R21">
        <v>8192</v>
      </c>
      <c r="S21" t="s">
        <v>34</v>
      </c>
      <c r="T21" t="s">
        <v>35</v>
      </c>
      <c r="U21">
        <v>844</v>
      </c>
      <c r="V21" t="s">
        <v>36</v>
      </c>
      <c r="W21" s="1">
        <v>46170</v>
      </c>
      <c r="X21">
        <v>2026</v>
      </c>
    </row>
    <row r="22" spans="1:24" x14ac:dyDescent="0.25">
      <c r="A22" s="1">
        <v>46224</v>
      </c>
      <c r="B22" t="s">
        <v>92</v>
      </c>
      <c r="C22" t="s">
        <v>93</v>
      </c>
      <c r="E22" t="s">
        <v>94</v>
      </c>
      <c r="F22" t="s">
        <v>64</v>
      </c>
      <c r="G22" t="s">
        <v>37</v>
      </c>
      <c r="H22" t="s">
        <v>29</v>
      </c>
      <c r="I22" t="s">
        <v>66</v>
      </c>
      <c r="J22" t="s">
        <v>67</v>
      </c>
      <c r="L22" s="1">
        <v>46174</v>
      </c>
      <c r="M22" s="1">
        <v>46174</v>
      </c>
      <c r="O22">
        <v>17301495</v>
      </c>
      <c r="P22" t="s">
        <v>32</v>
      </c>
      <c r="Q22" t="s">
        <v>95</v>
      </c>
      <c r="R22">
        <v>8192</v>
      </c>
      <c r="S22" t="s">
        <v>34</v>
      </c>
      <c r="T22" t="s">
        <v>35</v>
      </c>
      <c r="U22">
        <v>-289.92</v>
      </c>
      <c r="V22" t="s">
        <v>38</v>
      </c>
      <c r="W22" s="1">
        <v>46170</v>
      </c>
      <c r="X22">
        <v>2026</v>
      </c>
    </row>
    <row r="23" spans="1:24" x14ac:dyDescent="0.25">
      <c r="A23" s="1">
        <v>46224</v>
      </c>
      <c r="B23" t="s">
        <v>96</v>
      </c>
      <c r="C23" t="s">
        <v>97</v>
      </c>
      <c r="E23" t="s">
        <v>98</v>
      </c>
      <c r="F23" t="s">
        <v>64</v>
      </c>
      <c r="G23" t="s">
        <v>28</v>
      </c>
      <c r="H23" t="s">
        <v>29</v>
      </c>
      <c r="I23" t="s">
        <v>66</v>
      </c>
      <c r="J23" t="s">
        <v>99</v>
      </c>
      <c r="L23" s="1">
        <v>46204</v>
      </c>
      <c r="M23" s="1">
        <v>46204</v>
      </c>
      <c r="O23">
        <v>9213293</v>
      </c>
      <c r="P23" t="s">
        <v>32</v>
      </c>
      <c r="Q23" t="s">
        <v>55</v>
      </c>
      <c r="R23">
        <v>8192</v>
      </c>
      <c r="S23" t="s">
        <v>34</v>
      </c>
      <c r="T23" t="s">
        <v>35</v>
      </c>
      <c r="U23">
        <v>844</v>
      </c>
      <c r="V23" t="s">
        <v>36</v>
      </c>
      <c r="W23" s="1">
        <v>46186</v>
      </c>
      <c r="X23">
        <v>2026</v>
      </c>
    </row>
    <row r="24" spans="1:24" x14ac:dyDescent="0.25">
      <c r="A24" s="1">
        <v>46224</v>
      </c>
      <c r="B24" t="s">
        <v>96</v>
      </c>
      <c r="C24" t="s">
        <v>97</v>
      </c>
      <c r="E24" t="s">
        <v>98</v>
      </c>
      <c r="F24" t="s">
        <v>64</v>
      </c>
      <c r="G24" t="s">
        <v>37</v>
      </c>
      <c r="H24" t="s">
        <v>29</v>
      </c>
      <c r="I24" t="s">
        <v>66</v>
      </c>
      <c r="J24" t="s">
        <v>99</v>
      </c>
      <c r="L24" s="1">
        <v>46204</v>
      </c>
      <c r="M24" s="1">
        <v>46204</v>
      </c>
      <c r="O24">
        <v>9213293</v>
      </c>
      <c r="P24" t="s">
        <v>32</v>
      </c>
      <c r="Q24" t="s">
        <v>55</v>
      </c>
      <c r="R24">
        <v>8192</v>
      </c>
      <c r="S24" t="s">
        <v>34</v>
      </c>
      <c r="T24" t="s">
        <v>35</v>
      </c>
      <c r="U24">
        <v>-248.5</v>
      </c>
      <c r="V24" t="s">
        <v>38</v>
      </c>
      <c r="W24" s="1">
        <v>46186</v>
      </c>
      <c r="X24">
        <v>2026</v>
      </c>
    </row>
    <row r="25" spans="1:24" x14ac:dyDescent="0.25">
      <c r="A25" s="1">
        <v>46224</v>
      </c>
      <c r="B25" t="s">
        <v>100</v>
      </c>
      <c r="C25" t="s">
        <v>101</v>
      </c>
      <c r="E25" t="s">
        <v>102</v>
      </c>
      <c r="F25" t="s">
        <v>27</v>
      </c>
      <c r="G25" t="s">
        <v>28</v>
      </c>
      <c r="H25" t="s">
        <v>29</v>
      </c>
      <c r="I25" t="s">
        <v>30</v>
      </c>
      <c r="J25" t="s">
        <v>103</v>
      </c>
      <c r="L25" s="1">
        <v>46266</v>
      </c>
      <c r="M25" s="1">
        <v>46266</v>
      </c>
      <c r="O25">
        <v>17528908</v>
      </c>
      <c r="P25" t="s">
        <v>32</v>
      </c>
      <c r="Q25" t="s">
        <v>91</v>
      </c>
      <c r="R25">
        <v>8192</v>
      </c>
      <c r="S25" t="s">
        <v>34</v>
      </c>
      <c r="T25" t="s">
        <v>35</v>
      </c>
      <c r="U25">
        <v>931</v>
      </c>
      <c r="V25" t="s">
        <v>36</v>
      </c>
      <c r="W25" s="1">
        <v>46176</v>
      </c>
      <c r="X25">
        <v>2026</v>
      </c>
    </row>
    <row r="26" spans="1:24" x14ac:dyDescent="0.25">
      <c r="A26" s="1">
        <v>46224</v>
      </c>
      <c r="B26" t="s">
        <v>100</v>
      </c>
      <c r="C26" t="s">
        <v>101</v>
      </c>
      <c r="E26" t="s">
        <v>102</v>
      </c>
      <c r="F26" t="s">
        <v>27</v>
      </c>
      <c r="G26" t="s">
        <v>37</v>
      </c>
      <c r="H26" t="s">
        <v>29</v>
      </c>
      <c r="I26" t="s">
        <v>30</v>
      </c>
      <c r="J26" t="s">
        <v>103</v>
      </c>
      <c r="L26" s="1">
        <v>46266</v>
      </c>
      <c r="M26" s="1">
        <v>46266</v>
      </c>
      <c r="O26">
        <v>17528908</v>
      </c>
      <c r="P26" t="s">
        <v>32</v>
      </c>
      <c r="Q26" t="s">
        <v>91</v>
      </c>
      <c r="R26">
        <v>8192</v>
      </c>
      <c r="S26" t="s">
        <v>34</v>
      </c>
      <c r="T26" t="s">
        <v>35</v>
      </c>
      <c r="U26">
        <v>-180.33</v>
      </c>
      <c r="V26" t="s">
        <v>38</v>
      </c>
      <c r="W26" s="1">
        <v>46176</v>
      </c>
      <c r="X26">
        <v>2026</v>
      </c>
    </row>
    <row r="27" spans="1:24" x14ac:dyDescent="0.25">
      <c r="A27" s="1">
        <v>46224</v>
      </c>
      <c r="B27" t="s">
        <v>104</v>
      </c>
      <c r="C27" t="s">
        <v>105</v>
      </c>
      <c r="E27" t="s">
        <v>106</v>
      </c>
      <c r="F27" t="s">
        <v>64</v>
      </c>
      <c r="G27" t="s">
        <v>28</v>
      </c>
      <c r="H27" t="s">
        <v>29</v>
      </c>
      <c r="I27" t="s">
        <v>66</v>
      </c>
      <c r="J27" t="s">
        <v>107</v>
      </c>
      <c r="L27" s="1">
        <v>46235</v>
      </c>
      <c r="M27" s="1">
        <v>46235</v>
      </c>
      <c r="O27">
        <v>7470776</v>
      </c>
      <c r="P27" t="s">
        <v>32</v>
      </c>
      <c r="Q27" t="s">
        <v>108</v>
      </c>
      <c r="R27">
        <v>8192</v>
      </c>
      <c r="S27" t="s">
        <v>34</v>
      </c>
      <c r="T27" t="s">
        <v>35</v>
      </c>
      <c r="U27">
        <v>844</v>
      </c>
      <c r="V27" t="s">
        <v>36</v>
      </c>
      <c r="W27" s="1">
        <v>46187</v>
      </c>
      <c r="X27">
        <v>2026</v>
      </c>
    </row>
    <row r="28" spans="1:24" x14ac:dyDescent="0.25">
      <c r="A28" s="1">
        <v>46224</v>
      </c>
      <c r="B28" t="s">
        <v>104</v>
      </c>
      <c r="C28" t="s">
        <v>105</v>
      </c>
      <c r="E28" t="s">
        <v>106</v>
      </c>
      <c r="F28" t="s">
        <v>64</v>
      </c>
      <c r="G28" t="s">
        <v>37</v>
      </c>
      <c r="H28" t="s">
        <v>29</v>
      </c>
      <c r="I28" t="s">
        <v>66</v>
      </c>
      <c r="J28" t="s">
        <v>107</v>
      </c>
      <c r="L28" s="1">
        <v>46235</v>
      </c>
      <c r="M28" s="1">
        <v>46235</v>
      </c>
      <c r="O28">
        <v>7470776</v>
      </c>
      <c r="P28" t="s">
        <v>32</v>
      </c>
      <c r="Q28" t="s">
        <v>108</v>
      </c>
      <c r="R28">
        <v>8192</v>
      </c>
      <c r="S28" t="s">
        <v>34</v>
      </c>
      <c r="T28" t="s">
        <v>35</v>
      </c>
      <c r="U28">
        <v>-207.08</v>
      </c>
      <c r="V28" t="s">
        <v>38</v>
      </c>
      <c r="W28" s="1">
        <v>46187</v>
      </c>
      <c r="X28">
        <v>2026</v>
      </c>
    </row>
    <row r="29" spans="1:24" x14ac:dyDescent="0.25">
      <c r="A29" s="1">
        <v>46224</v>
      </c>
      <c r="B29" t="s">
        <v>109</v>
      </c>
      <c r="C29" t="s">
        <v>110</v>
      </c>
      <c r="E29" t="s">
        <v>111</v>
      </c>
      <c r="F29" t="s">
        <v>27</v>
      </c>
      <c r="G29" t="s">
        <v>28</v>
      </c>
      <c r="H29" t="s">
        <v>29</v>
      </c>
      <c r="I29" t="s">
        <v>30</v>
      </c>
      <c r="J29" t="s">
        <v>90</v>
      </c>
      <c r="L29" s="1">
        <v>46266</v>
      </c>
      <c r="M29" s="1">
        <v>46266</v>
      </c>
      <c r="O29">
        <v>17528908</v>
      </c>
      <c r="P29" t="s">
        <v>32</v>
      </c>
      <c r="Q29" t="s">
        <v>91</v>
      </c>
      <c r="R29">
        <v>8192</v>
      </c>
      <c r="S29" t="s">
        <v>34</v>
      </c>
      <c r="T29" t="s">
        <v>35</v>
      </c>
      <c r="U29">
        <v>931</v>
      </c>
      <c r="V29" t="s">
        <v>36</v>
      </c>
      <c r="W29" s="1">
        <v>46191</v>
      </c>
      <c r="X29">
        <v>2026</v>
      </c>
    </row>
    <row r="30" spans="1:24" x14ac:dyDescent="0.25">
      <c r="A30" s="1">
        <v>46224</v>
      </c>
      <c r="B30" t="s">
        <v>109</v>
      </c>
      <c r="C30" t="s">
        <v>110</v>
      </c>
      <c r="E30" t="s">
        <v>111</v>
      </c>
      <c r="F30" t="s">
        <v>27</v>
      </c>
      <c r="G30" t="s">
        <v>37</v>
      </c>
      <c r="H30" t="s">
        <v>29</v>
      </c>
      <c r="I30" t="s">
        <v>30</v>
      </c>
      <c r="J30" t="s">
        <v>90</v>
      </c>
      <c r="L30" s="1">
        <v>46266</v>
      </c>
      <c r="M30" s="1">
        <v>46266</v>
      </c>
      <c r="O30">
        <v>17528908</v>
      </c>
      <c r="P30" t="s">
        <v>32</v>
      </c>
      <c r="Q30" t="s">
        <v>91</v>
      </c>
      <c r="R30">
        <v>8192</v>
      </c>
      <c r="S30" t="s">
        <v>34</v>
      </c>
      <c r="T30" t="s">
        <v>35</v>
      </c>
      <c r="U30">
        <v>-180.33</v>
      </c>
      <c r="V30" t="s">
        <v>38</v>
      </c>
      <c r="W30" s="1">
        <v>46191</v>
      </c>
      <c r="X30">
        <v>2026</v>
      </c>
    </row>
    <row r="31" spans="1:24" x14ac:dyDescent="0.25">
      <c r="A31" s="1">
        <v>46224</v>
      </c>
      <c r="B31" t="s">
        <v>112</v>
      </c>
      <c r="C31" t="s">
        <v>113</v>
      </c>
      <c r="E31" t="s">
        <v>114</v>
      </c>
      <c r="F31" t="s">
        <v>64</v>
      </c>
      <c r="G31" t="s">
        <v>28</v>
      </c>
      <c r="H31" t="s">
        <v>29</v>
      </c>
      <c r="I31" t="s">
        <v>66</v>
      </c>
      <c r="J31" t="s">
        <v>107</v>
      </c>
      <c r="L31" s="1">
        <v>46204</v>
      </c>
      <c r="M31" s="1">
        <v>46204</v>
      </c>
      <c r="O31">
        <v>7470776</v>
      </c>
      <c r="P31" t="s">
        <v>32</v>
      </c>
      <c r="Q31" t="s">
        <v>108</v>
      </c>
      <c r="R31">
        <v>8192</v>
      </c>
      <c r="S31" t="s">
        <v>34</v>
      </c>
      <c r="T31" t="s">
        <v>35</v>
      </c>
      <c r="U31">
        <v>844</v>
      </c>
      <c r="V31" t="s">
        <v>36</v>
      </c>
      <c r="W31" s="1">
        <v>46181</v>
      </c>
      <c r="X31">
        <v>2026</v>
      </c>
    </row>
    <row r="32" spans="1:24" x14ac:dyDescent="0.25">
      <c r="A32" s="1">
        <v>46224</v>
      </c>
      <c r="B32" t="s">
        <v>112</v>
      </c>
      <c r="C32" t="s">
        <v>113</v>
      </c>
      <c r="E32" t="s">
        <v>114</v>
      </c>
      <c r="F32" t="s">
        <v>64</v>
      </c>
      <c r="G32" t="s">
        <v>37</v>
      </c>
      <c r="H32" t="s">
        <v>29</v>
      </c>
      <c r="I32" t="s">
        <v>66</v>
      </c>
      <c r="J32" t="s">
        <v>107</v>
      </c>
      <c r="L32" s="1">
        <v>46204</v>
      </c>
      <c r="M32" s="1">
        <v>46204</v>
      </c>
      <c r="O32">
        <v>7470776</v>
      </c>
      <c r="P32" t="s">
        <v>32</v>
      </c>
      <c r="Q32" t="s">
        <v>108</v>
      </c>
      <c r="R32">
        <v>8192</v>
      </c>
      <c r="S32" t="s">
        <v>34</v>
      </c>
      <c r="T32" t="s">
        <v>35</v>
      </c>
      <c r="U32">
        <v>-248.5</v>
      </c>
      <c r="V32" t="s">
        <v>38</v>
      </c>
      <c r="W32" s="1">
        <v>46181</v>
      </c>
      <c r="X32">
        <v>2026</v>
      </c>
    </row>
    <row r="33" spans="1:24" x14ac:dyDescent="0.25">
      <c r="A33" s="1">
        <v>46224</v>
      </c>
      <c r="B33" t="s">
        <v>115</v>
      </c>
      <c r="C33" t="s">
        <v>116</v>
      </c>
      <c r="E33" t="s">
        <v>117</v>
      </c>
      <c r="F33" t="s">
        <v>64</v>
      </c>
      <c r="G33" t="s">
        <v>28</v>
      </c>
      <c r="H33" t="s">
        <v>29</v>
      </c>
      <c r="I33" t="s">
        <v>66</v>
      </c>
      <c r="J33" t="s">
        <v>67</v>
      </c>
      <c r="L33" s="1">
        <v>46204</v>
      </c>
      <c r="M33" s="1">
        <v>46204</v>
      </c>
      <c r="O33">
        <v>8405446</v>
      </c>
      <c r="P33" t="s">
        <v>32</v>
      </c>
      <c r="Q33" t="s">
        <v>118</v>
      </c>
      <c r="R33">
        <v>8192</v>
      </c>
      <c r="S33" t="s">
        <v>34</v>
      </c>
      <c r="T33" t="s">
        <v>35</v>
      </c>
      <c r="U33">
        <v>844</v>
      </c>
      <c r="V33" t="s">
        <v>36</v>
      </c>
      <c r="W33" s="1">
        <v>46191</v>
      </c>
      <c r="X33">
        <v>2026</v>
      </c>
    </row>
    <row r="34" spans="1:24" x14ac:dyDescent="0.25">
      <c r="A34" s="1">
        <v>46224</v>
      </c>
      <c r="B34" t="s">
        <v>115</v>
      </c>
      <c r="C34" t="s">
        <v>116</v>
      </c>
      <c r="E34" t="s">
        <v>117</v>
      </c>
      <c r="F34" t="s">
        <v>64</v>
      </c>
      <c r="G34" t="s">
        <v>37</v>
      </c>
      <c r="H34" t="s">
        <v>29</v>
      </c>
      <c r="I34" t="s">
        <v>66</v>
      </c>
      <c r="J34" t="s">
        <v>67</v>
      </c>
      <c r="L34" s="1">
        <v>46204</v>
      </c>
      <c r="M34" s="1">
        <v>46204</v>
      </c>
      <c r="O34">
        <v>8405446</v>
      </c>
      <c r="P34" t="s">
        <v>32</v>
      </c>
      <c r="Q34" t="s">
        <v>118</v>
      </c>
      <c r="R34">
        <v>8192</v>
      </c>
      <c r="S34" t="s">
        <v>34</v>
      </c>
      <c r="T34" t="s">
        <v>35</v>
      </c>
      <c r="U34">
        <v>-248.5</v>
      </c>
      <c r="V34" t="s">
        <v>38</v>
      </c>
      <c r="W34" s="1">
        <v>46191</v>
      </c>
      <c r="X34">
        <v>2026</v>
      </c>
    </row>
    <row r="35" spans="1:24" x14ac:dyDescent="0.25">
      <c r="A35" s="1">
        <v>46224</v>
      </c>
      <c r="B35" t="s">
        <v>119</v>
      </c>
      <c r="C35" t="s">
        <v>120</v>
      </c>
      <c r="E35" t="s">
        <v>121</v>
      </c>
      <c r="F35" t="s">
        <v>64</v>
      </c>
      <c r="G35" t="s">
        <v>28</v>
      </c>
      <c r="H35" t="s">
        <v>29</v>
      </c>
      <c r="I35" t="s">
        <v>66</v>
      </c>
      <c r="J35" t="s">
        <v>107</v>
      </c>
      <c r="L35" s="1">
        <v>46204</v>
      </c>
      <c r="M35" s="1">
        <v>46204</v>
      </c>
      <c r="O35">
        <v>7470776</v>
      </c>
      <c r="P35" t="s">
        <v>32</v>
      </c>
      <c r="Q35" t="s">
        <v>108</v>
      </c>
      <c r="R35">
        <v>8192</v>
      </c>
      <c r="S35" t="s">
        <v>34</v>
      </c>
      <c r="T35" t="s">
        <v>35</v>
      </c>
      <c r="U35">
        <v>844</v>
      </c>
      <c r="V35" t="s">
        <v>36</v>
      </c>
      <c r="W35" s="1">
        <v>46190</v>
      </c>
      <c r="X35">
        <v>2026</v>
      </c>
    </row>
    <row r="36" spans="1:24" x14ac:dyDescent="0.25">
      <c r="A36" s="1">
        <v>46224</v>
      </c>
      <c r="B36" t="s">
        <v>119</v>
      </c>
      <c r="C36" t="s">
        <v>120</v>
      </c>
      <c r="E36" t="s">
        <v>121</v>
      </c>
      <c r="F36" t="s">
        <v>64</v>
      </c>
      <c r="G36" t="s">
        <v>37</v>
      </c>
      <c r="H36" t="s">
        <v>29</v>
      </c>
      <c r="I36" t="s">
        <v>66</v>
      </c>
      <c r="J36" t="s">
        <v>107</v>
      </c>
      <c r="L36" s="1">
        <v>46204</v>
      </c>
      <c r="M36" s="1">
        <v>46204</v>
      </c>
      <c r="O36">
        <v>7470776</v>
      </c>
      <c r="P36" t="s">
        <v>32</v>
      </c>
      <c r="Q36" t="s">
        <v>108</v>
      </c>
      <c r="R36">
        <v>8192</v>
      </c>
      <c r="S36" t="s">
        <v>34</v>
      </c>
      <c r="T36" t="s">
        <v>35</v>
      </c>
      <c r="U36">
        <v>-248.5</v>
      </c>
      <c r="V36" t="s">
        <v>38</v>
      </c>
      <c r="W36" s="1">
        <v>46190</v>
      </c>
      <c r="X36">
        <v>2026</v>
      </c>
    </row>
    <row r="37" spans="1:24" x14ac:dyDescent="0.25">
      <c r="A37" s="1">
        <v>46224</v>
      </c>
      <c r="B37" t="s">
        <v>122</v>
      </c>
      <c r="C37" t="s">
        <v>123</v>
      </c>
      <c r="E37" t="s">
        <v>124</v>
      </c>
      <c r="F37" t="s">
        <v>64</v>
      </c>
      <c r="G37" t="s">
        <v>28</v>
      </c>
      <c r="H37" t="s">
        <v>29</v>
      </c>
      <c r="I37" t="s">
        <v>66</v>
      </c>
      <c r="J37" t="s">
        <v>125</v>
      </c>
      <c r="L37" s="1">
        <v>46204</v>
      </c>
      <c r="M37" s="1">
        <v>46204</v>
      </c>
      <c r="O37">
        <v>16633294</v>
      </c>
      <c r="P37" t="s">
        <v>32</v>
      </c>
      <c r="Q37" t="s">
        <v>126</v>
      </c>
      <c r="R37">
        <v>8192</v>
      </c>
      <c r="S37" t="s">
        <v>34</v>
      </c>
      <c r="T37" t="s">
        <v>35</v>
      </c>
      <c r="U37">
        <v>844</v>
      </c>
      <c r="V37" t="s">
        <v>36</v>
      </c>
      <c r="W37" s="1">
        <v>46183</v>
      </c>
      <c r="X37">
        <v>2026</v>
      </c>
    </row>
    <row r="38" spans="1:24" x14ac:dyDescent="0.25">
      <c r="A38" s="1">
        <v>46224</v>
      </c>
      <c r="B38" t="s">
        <v>122</v>
      </c>
      <c r="C38" t="s">
        <v>123</v>
      </c>
      <c r="E38" t="s">
        <v>124</v>
      </c>
      <c r="F38" t="s">
        <v>64</v>
      </c>
      <c r="G38" t="s">
        <v>37</v>
      </c>
      <c r="H38" t="s">
        <v>29</v>
      </c>
      <c r="I38" t="s">
        <v>66</v>
      </c>
      <c r="J38" t="s">
        <v>125</v>
      </c>
      <c r="L38" s="1">
        <v>46204</v>
      </c>
      <c r="M38" s="1">
        <v>46204</v>
      </c>
      <c r="O38">
        <v>16633294</v>
      </c>
      <c r="P38" t="s">
        <v>32</v>
      </c>
      <c r="Q38" t="s">
        <v>126</v>
      </c>
      <c r="R38">
        <v>8192</v>
      </c>
      <c r="S38" t="s">
        <v>34</v>
      </c>
      <c r="T38" t="s">
        <v>35</v>
      </c>
      <c r="U38">
        <v>-248.5</v>
      </c>
      <c r="V38" t="s">
        <v>38</v>
      </c>
      <c r="W38" s="1">
        <v>46183</v>
      </c>
      <c r="X38">
        <v>2026</v>
      </c>
    </row>
    <row r="39" spans="1:24" x14ac:dyDescent="0.25">
      <c r="A39" s="1">
        <v>46224</v>
      </c>
      <c r="B39" t="s">
        <v>127</v>
      </c>
      <c r="C39" t="s">
        <v>128</v>
      </c>
      <c r="E39" t="s">
        <v>129</v>
      </c>
      <c r="F39" t="s">
        <v>130</v>
      </c>
      <c r="G39" t="s">
        <v>28</v>
      </c>
      <c r="H39" t="s">
        <v>131</v>
      </c>
      <c r="I39" t="s">
        <v>66</v>
      </c>
      <c r="J39" t="s">
        <v>132</v>
      </c>
      <c r="L39" s="1">
        <v>46204</v>
      </c>
      <c r="M39" s="1">
        <v>46204</v>
      </c>
      <c r="O39">
        <v>8325282</v>
      </c>
      <c r="P39" t="s">
        <v>32</v>
      </c>
      <c r="Q39" t="s">
        <v>133</v>
      </c>
      <c r="R39">
        <v>8192</v>
      </c>
      <c r="S39" t="s">
        <v>34</v>
      </c>
      <c r="T39" t="s">
        <v>35</v>
      </c>
      <c r="U39">
        <v>844</v>
      </c>
      <c r="V39" t="s">
        <v>36</v>
      </c>
      <c r="W39" s="1">
        <v>46184</v>
      </c>
      <c r="X39">
        <v>2026</v>
      </c>
    </row>
    <row r="40" spans="1:24" x14ac:dyDescent="0.25">
      <c r="A40" s="1">
        <v>46224</v>
      </c>
      <c r="B40" t="s">
        <v>127</v>
      </c>
      <c r="C40" t="s">
        <v>128</v>
      </c>
      <c r="E40" t="s">
        <v>129</v>
      </c>
      <c r="F40" t="s">
        <v>130</v>
      </c>
      <c r="G40" t="s">
        <v>37</v>
      </c>
      <c r="H40" t="s">
        <v>131</v>
      </c>
      <c r="I40" t="s">
        <v>66</v>
      </c>
      <c r="J40" t="s">
        <v>132</v>
      </c>
      <c r="L40" s="1">
        <v>46204</v>
      </c>
      <c r="M40" s="1">
        <v>46204</v>
      </c>
      <c r="O40">
        <v>8325282</v>
      </c>
      <c r="P40" t="s">
        <v>32</v>
      </c>
      <c r="Q40" t="s">
        <v>133</v>
      </c>
      <c r="R40">
        <v>8192</v>
      </c>
      <c r="S40" t="s">
        <v>34</v>
      </c>
      <c r="T40" t="s">
        <v>35</v>
      </c>
      <c r="U40">
        <v>-248.5</v>
      </c>
      <c r="V40" t="s">
        <v>38</v>
      </c>
      <c r="W40" s="1">
        <v>46184</v>
      </c>
      <c r="X40">
        <v>2026</v>
      </c>
    </row>
    <row r="41" spans="1:24" x14ac:dyDescent="0.25">
      <c r="A41" s="1">
        <v>46224</v>
      </c>
      <c r="B41" t="s">
        <v>134</v>
      </c>
      <c r="C41" t="s">
        <v>135</v>
      </c>
      <c r="E41" t="s">
        <v>136</v>
      </c>
      <c r="F41" t="s">
        <v>137</v>
      </c>
      <c r="G41" t="s">
        <v>65</v>
      </c>
      <c r="H41" t="s">
        <v>29</v>
      </c>
      <c r="I41" t="s">
        <v>138</v>
      </c>
      <c r="J41" t="s">
        <v>139</v>
      </c>
      <c r="L41" s="1">
        <v>46266</v>
      </c>
      <c r="M41" s="1">
        <v>46266</v>
      </c>
      <c r="O41">
        <v>19491313</v>
      </c>
      <c r="P41" t="s">
        <v>32</v>
      </c>
      <c r="Q41" t="s">
        <v>140</v>
      </c>
      <c r="R41">
        <v>8192</v>
      </c>
      <c r="S41" t="s">
        <v>34</v>
      </c>
      <c r="T41" t="s">
        <v>35</v>
      </c>
      <c r="U41">
        <v>165.67</v>
      </c>
      <c r="V41" t="s">
        <v>38</v>
      </c>
      <c r="W41" s="1">
        <v>46209</v>
      </c>
      <c r="X41">
        <v>2026</v>
      </c>
    </row>
    <row r="42" spans="1:24" x14ac:dyDescent="0.25">
      <c r="A42" s="1">
        <v>46224</v>
      </c>
      <c r="B42" t="s">
        <v>141</v>
      </c>
      <c r="C42" t="s">
        <v>142</v>
      </c>
      <c r="E42" t="s">
        <v>143</v>
      </c>
      <c r="F42" t="s">
        <v>137</v>
      </c>
      <c r="G42" t="s">
        <v>28</v>
      </c>
      <c r="H42" t="s">
        <v>29</v>
      </c>
      <c r="I42" t="s">
        <v>138</v>
      </c>
      <c r="J42" t="s">
        <v>144</v>
      </c>
      <c r="L42" s="1">
        <v>46204</v>
      </c>
      <c r="M42" s="1">
        <v>46204</v>
      </c>
      <c r="O42">
        <v>16170994</v>
      </c>
      <c r="P42" t="s">
        <v>32</v>
      </c>
      <c r="Q42" t="s">
        <v>145</v>
      </c>
      <c r="R42">
        <v>8192</v>
      </c>
      <c r="S42" t="s">
        <v>34</v>
      </c>
      <c r="T42" t="s">
        <v>35</v>
      </c>
      <c r="U42">
        <v>844</v>
      </c>
      <c r="V42" t="s">
        <v>36</v>
      </c>
      <c r="W42" s="1">
        <v>46197</v>
      </c>
      <c r="X42">
        <v>2026</v>
      </c>
    </row>
    <row r="43" spans="1:24" x14ac:dyDescent="0.25">
      <c r="A43" s="1">
        <v>46224</v>
      </c>
      <c r="B43" t="s">
        <v>141</v>
      </c>
      <c r="C43" t="s">
        <v>142</v>
      </c>
      <c r="E43" t="s">
        <v>143</v>
      </c>
      <c r="F43" t="s">
        <v>137</v>
      </c>
      <c r="G43" t="s">
        <v>37</v>
      </c>
      <c r="H43" t="s">
        <v>29</v>
      </c>
      <c r="I43" t="s">
        <v>138</v>
      </c>
      <c r="J43" t="s">
        <v>144</v>
      </c>
      <c r="L43" s="1">
        <v>46204</v>
      </c>
      <c r="M43" s="1">
        <v>46204</v>
      </c>
      <c r="O43">
        <v>16170994</v>
      </c>
      <c r="P43" t="s">
        <v>32</v>
      </c>
      <c r="Q43" t="s">
        <v>145</v>
      </c>
      <c r="R43">
        <v>8192</v>
      </c>
      <c r="S43" t="s">
        <v>34</v>
      </c>
      <c r="T43" t="s">
        <v>35</v>
      </c>
      <c r="U43">
        <v>-248.5</v>
      </c>
      <c r="V43" t="s">
        <v>38</v>
      </c>
      <c r="W43" s="1">
        <v>46197</v>
      </c>
      <c r="X43">
        <v>2026</v>
      </c>
    </row>
    <row r="44" spans="1:24" x14ac:dyDescent="0.25">
      <c r="A44" s="1">
        <v>46224</v>
      </c>
      <c r="B44" t="s">
        <v>146</v>
      </c>
      <c r="C44" t="s">
        <v>147</v>
      </c>
      <c r="E44" t="s">
        <v>148</v>
      </c>
      <c r="F44" t="s">
        <v>137</v>
      </c>
      <c r="G44" t="s">
        <v>28</v>
      </c>
      <c r="H44" t="s">
        <v>29</v>
      </c>
      <c r="I44" t="s">
        <v>138</v>
      </c>
      <c r="J44" t="s">
        <v>144</v>
      </c>
      <c r="L44" s="1">
        <v>46266</v>
      </c>
      <c r="M44" s="1">
        <v>46266</v>
      </c>
      <c r="O44">
        <v>16170994</v>
      </c>
      <c r="P44" t="s">
        <v>32</v>
      </c>
      <c r="Q44" t="s">
        <v>145</v>
      </c>
      <c r="R44">
        <v>8192</v>
      </c>
      <c r="S44" t="s">
        <v>34</v>
      </c>
      <c r="T44" t="s">
        <v>35</v>
      </c>
      <c r="U44">
        <v>844</v>
      </c>
      <c r="V44" t="s">
        <v>36</v>
      </c>
      <c r="W44" s="1">
        <v>46181</v>
      </c>
      <c r="X44">
        <v>2026</v>
      </c>
    </row>
    <row r="45" spans="1:24" x14ac:dyDescent="0.25">
      <c r="A45" s="1">
        <v>46224</v>
      </c>
      <c r="B45" t="s">
        <v>146</v>
      </c>
      <c r="C45" t="s">
        <v>147</v>
      </c>
      <c r="E45" t="s">
        <v>148</v>
      </c>
      <c r="F45" t="s">
        <v>137</v>
      </c>
      <c r="G45" t="s">
        <v>37</v>
      </c>
      <c r="H45" t="s">
        <v>29</v>
      </c>
      <c r="I45" t="s">
        <v>138</v>
      </c>
      <c r="J45" t="s">
        <v>144</v>
      </c>
      <c r="L45" s="1">
        <v>46266</v>
      </c>
      <c r="M45" s="1">
        <v>46266</v>
      </c>
      <c r="O45">
        <v>16170994</v>
      </c>
      <c r="P45" t="s">
        <v>32</v>
      </c>
      <c r="Q45" t="s">
        <v>145</v>
      </c>
      <c r="R45">
        <v>8192</v>
      </c>
      <c r="S45" t="s">
        <v>34</v>
      </c>
      <c r="T45" t="s">
        <v>35</v>
      </c>
      <c r="U45">
        <v>-165.67</v>
      </c>
      <c r="V45" t="s">
        <v>38</v>
      </c>
      <c r="W45" s="1">
        <v>46181</v>
      </c>
      <c r="X45">
        <v>2026</v>
      </c>
    </row>
    <row r="46" spans="1:24" x14ac:dyDescent="0.25">
      <c r="A46" s="1">
        <v>46224</v>
      </c>
      <c r="B46" t="s">
        <v>149</v>
      </c>
      <c r="C46" t="s">
        <v>150</v>
      </c>
      <c r="E46" t="s">
        <v>151</v>
      </c>
      <c r="F46" t="s">
        <v>64</v>
      </c>
      <c r="G46" t="s">
        <v>28</v>
      </c>
      <c r="H46" t="s">
        <v>29</v>
      </c>
      <c r="I46" t="s">
        <v>66</v>
      </c>
      <c r="J46" t="s">
        <v>67</v>
      </c>
      <c r="L46" s="1">
        <v>46235</v>
      </c>
      <c r="M46" s="1">
        <v>46235</v>
      </c>
      <c r="O46">
        <v>16633294</v>
      </c>
      <c r="P46" t="s">
        <v>32</v>
      </c>
      <c r="Q46" t="s">
        <v>126</v>
      </c>
      <c r="R46">
        <v>8192</v>
      </c>
      <c r="S46" t="s">
        <v>34</v>
      </c>
      <c r="T46" t="s">
        <v>35</v>
      </c>
      <c r="U46">
        <v>844</v>
      </c>
      <c r="V46" t="s">
        <v>36</v>
      </c>
      <c r="W46" s="1">
        <v>46186</v>
      </c>
      <c r="X46">
        <v>2026</v>
      </c>
    </row>
    <row r="47" spans="1:24" x14ac:dyDescent="0.25">
      <c r="A47" s="1">
        <v>46224</v>
      </c>
      <c r="B47" t="s">
        <v>149</v>
      </c>
      <c r="C47" t="s">
        <v>150</v>
      </c>
      <c r="E47" t="s">
        <v>151</v>
      </c>
      <c r="F47" t="s">
        <v>64</v>
      </c>
      <c r="G47" t="s">
        <v>37</v>
      </c>
      <c r="H47" t="s">
        <v>29</v>
      </c>
      <c r="I47" t="s">
        <v>66</v>
      </c>
      <c r="J47" t="s">
        <v>67</v>
      </c>
      <c r="L47" s="1">
        <v>46235</v>
      </c>
      <c r="M47" s="1">
        <v>46235</v>
      </c>
      <c r="O47">
        <v>16633294</v>
      </c>
      <c r="P47" t="s">
        <v>32</v>
      </c>
      <c r="Q47" t="s">
        <v>126</v>
      </c>
      <c r="R47">
        <v>8192</v>
      </c>
      <c r="S47" t="s">
        <v>34</v>
      </c>
      <c r="T47" t="s">
        <v>35</v>
      </c>
      <c r="U47">
        <v>-207.08</v>
      </c>
      <c r="V47" t="s">
        <v>38</v>
      </c>
      <c r="W47" s="1">
        <v>46186</v>
      </c>
      <c r="X47">
        <v>2026</v>
      </c>
    </row>
    <row r="48" spans="1:24" x14ac:dyDescent="0.25">
      <c r="A48" s="1">
        <v>46224</v>
      </c>
      <c r="B48" t="s">
        <v>152</v>
      </c>
      <c r="C48" t="s">
        <v>153</v>
      </c>
      <c r="E48" t="s">
        <v>154</v>
      </c>
      <c r="F48" t="s">
        <v>137</v>
      </c>
      <c r="G48" t="s">
        <v>65</v>
      </c>
      <c r="H48" t="s">
        <v>29</v>
      </c>
      <c r="I48" t="s">
        <v>138</v>
      </c>
      <c r="J48" t="s">
        <v>144</v>
      </c>
      <c r="L48" s="1">
        <v>46296</v>
      </c>
      <c r="M48" s="1">
        <v>46296</v>
      </c>
      <c r="O48">
        <v>16170994</v>
      </c>
      <c r="P48" t="s">
        <v>32</v>
      </c>
      <c r="Q48" t="s">
        <v>145</v>
      </c>
      <c r="R48">
        <v>8192</v>
      </c>
      <c r="S48" t="s">
        <v>34</v>
      </c>
      <c r="T48" t="s">
        <v>35</v>
      </c>
      <c r="U48">
        <v>124.25</v>
      </c>
      <c r="V48" t="s">
        <v>38</v>
      </c>
      <c r="W48" s="1">
        <v>46209</v>
      </c>
      <c r="X48">
        <v>2026</v>
      </c>
    </row>
    <row r="49" spans="1:24" x14ac:dyDescent="0.25">
      <c r="A49" s="1">
        <v>46224</v>
      </c>
      <c r="B49" t="s">
        <v>155</v>
      </c>
      <c r="C49" t="s">
        <v>156</v>
      </c>
      <c r="E49" t="s">
        <v>157</v>
      </c>
      <c r="F49" t="s">
        <v>27</v>
      </c>
      <c r="G49" t="s">
        <v>28</v>
      </c>
      <c r="H49" t="s">
        <v>29</v>
      </c>
      <c r="I49" t="s">
        <v>30</v>
      </c>
      <c r="J49" t="s">
        <v>90</v>
      </c>
      <c r="L49" s="1">
        <v>46204</v>
      </c>
      <c r="M49" s="1">
        <v>46204</v>
      </c>
      <c r="O49">
        <v>17528908</v>
      </c>
      <c r="P49" t="s">
        <v>32</v>
      </c>
      <c r="Q49" t="s">
        <v>91</v>
      </c>
      <c r="R49">
        <v>8192</v>
      </c>
      <c r="S49" t="s">
        <v>34</v>
      </c>
      <c r="T49" t="s">
        <v>35</v>
      </c>
      <c r="U49">
        <v>931</v>
      </c>
      <c r="V49" t="s">
        <v>36</v>
      </c>
      <c r="W49" s="1">
        <v>46183</v>
      </c>
      <c r="X49">
        <v>2026</v>
      </c>
    </row>
    <row r="50" spans="1:24" x14ac:dyDescent="0.25">
      <c r="A50" s="1">
        <v>46224</v>
      </c>
      <c r="B50" t="s">
        <v>155</v>
      </c>
      <c r="C50" t="s">
        <v>156</v>
      </c>
      <c r="E50" t="s">
        <v>157</v>
      </c>
      <c r="F50" t="s">
        <v>27</v>
      </c>
      <c r="G50" t="s">
        <v>37</v>
      </c>
      <c r="H50" t="s">
        <v>29</v>
      </c>
      <c r="I50" t="s">
        <v>30</v>
      </c>
      <c r="J50" t="s">
        <v>90</v>
      </c>
      <c r="L50" s="1">
        <v>46204</v>
      </c>
      <c r="M50" s="1">
        <v>46204</v>
      </c>
      <c r="O50">
        <v>17528908</v>
      </c>
      <c r="P50" t="s">
        <v>32</v>
      </c>
      <c r="Q50" t="s">
        <v>91</v>
      </c>
      <c r="R50">
        <v>8192</v>
      </c>
      <c r="S50" t="s">
        <v>34</v>
      </c>
      <c r="T50" t="s">
        <v>35</v>
      </c>
      <c r="U50">
        <v>-270.5</v>
      </c>
      <c r="V50" t="s">
        <v>38</v>
      </c>
      <c r="W50" s="1">
        <v>46183</v>
      </c>
      <c r="X50">
        <v>2026</v>
      </c>
    </row>
    <row r="51" spans="1:24" x14ac:dyDescent="0.25">
      <c r="A51" s="1">
        <v>46224</v>
      </c>
      <c r="B51" t="s">
        <v>158</v>
      </c>
      <c r="C51" t="s">
        <v>159</v>
      </c>
      <c r="E51" t="s">
        <v>160</v>
      </c>
      <c r="F51" t="s">
        <v>161</v>
      </c>
      <c r="G51" t="s">
        <v>28</v>
      </c>
      <c r="H51" t="s">
        <v>29</v>
      </c>
      <c r="I51" t="s">
        <v>53</v>
      </c>
      <c r="J51" t="s">
        <v>162</v>
      </c>
      <c r="L51" s="1">
        <v>46204</v>
      </c>
      <c r="M51" s="1">
        <v>46204</v>
      </c>
      <c r="O51">
        <v>8307933</v>
      </c>
      <c r="P51" t="s">
        <v>32</v>
      </c>
      <c r="Q51" t="s">
        <v>80</v>
      </c>
      <c r="R51">
        <v>8192</v>
      </c>
      <c r="S51" t="s">
        <v>34</v>
      </c>
      <c r="T51" t="s">
        <v>35</v>
      </c>
      <c r="U51">
        <v>844</v>
      </c>
      <c r="V51" t="s">
        <v>36</v>
      </c>
      <c r="W51" s="1">
        <v>46197</v>
      </c>
      <c r="X51">
        <v>2026</v>
      </c>
    </row>
    <row r="52" spans="1:24" x14ac:dyDescent="0.25">
      <c r="A52" s="1">
        <v>46224</v>
      </c>
      <c r="B52" t="s">
        <v>158</v>
      </c>
      <c r="C52" t="s">
        <v>159</v>
      </c>
      <c r="E52" t="s">
        <v>160</v>
      </c>
      <c r="F52" t="s">
        <v>161</v>
      </c>
      <c r="G52" t="s">
        <v>37</v>
      </c>
      <c r="H52" t="s">
        <v>29</v>
      </c>
      <c r="I52" t="s">
        <v>53</v>
      </c>
      <c r="J52" t="s">
        <v>162</v>
      </c>
      <c r="L52" s="1">
        <v>46204</v>
      </c>
      <c r="M52" s="1">
        <v>46204</v>
      </c>
      <c r="O52">
        <v>8307933</v>
      </c>
      <c r="P52" t="s">
        <v>32</v>
      </c>
      <c r="Q52" t="s">
        <v>80</v>
      </c>
      <c r="R52">
        <v>8192</v>
      </c>
      <c r="S52" t="s">
        <v>34</v>
      </c>
      <c r="T52" t="s">
        <v>35</v>
      </c>
      <c r="U52">
        <v>-248.5</v>
      </c>
      <c r="V52" t="s">
        <v>38</v>
      </c>
      <c r="W52" s="1">
        <v>46197</v>
      </c>
      <c r="X52">
        <v>2026</v>
      </c>
    </row>
    <row r="53" spans="1:24" x14ac:dyDescent="0.25">
      <c r="A53" s="1">
        <v>46224</v>
      </c>
      <c r="B53" t="s">
        <v>163</v>
      </c>
      <c r="C53" t="s">
        <v>164</v>
      </c>
      <c r="E53" t="s">
        <v>165</v>
      </c>
      <c r="F53" t="s">
        <v>166</v>
      </c>
      <c r="G53" t="s">
        <v>28</v>
      </c>
      <c r="H53" t="s">
        <v>29</v>
      </c>
      <c r="I53" t="s">
        <v>167</v>
      </c>
      <c r="J53" t="s">
        <v>168</v>
      </c>
      <c r="L53" s="1">
        <v>46204</v>
      </c>
      <c r="M53" s="1">
        <v>46204</v>
      </c>
      <c r="O53">
        <v>9079571</v>
      </c>
      <c r="P53" t="s">
        <v>32</v>
      </c>
      <c r="Q53" t="s">
        <v>169</v>
      </c>
      <c r="R53">
        <v>8192</v>
      </c>
      <c r="S53" t="s">
        <v>34</v>
      </c>
      <c r="T53" t="s">
        <v>35</v>
      </c>
      <c r="U53">
        <v>1039</v>
      </c>
      <c r="V53" t="s">
        <v>36</v>
      </c>
      <c r="W53" s="1">
        <v>46191</v>
      </c>
      <c r="X53">
        <v>2026</v>
      </c>
    </row>
    <row r="54" spans="1:24" x14ac:dyDescent="0.25">
      <c r="A54" s="1">
        <v>46224</v>
      </c>
      <c r="B54" t="s">
        <v>163</v>
      </c>
      <c r="C54" t="s">
        <v>164</v>
      </c>
      <c r="E54" t="s">
        <v>165</v>
      </c>
      <c r="F54" t="s">
        <v>166</v>
      </c>
      <c r="G54" t="s">
        <v>37</v>
      </c>
      <c r="H54" t="s">
        <v>29</v>
      </c>
      <c r="I54" t="s">
        <v>167</v>
      </c>
      <c r="J54" t="s">
        <v>168</v>
      </c>
      <c r="L54" s="1">
        <v>46204</v>
      </c>
      <c r="M54" s="1">
        <v>46204</v>
      </c>
      <c r="O54">
        <v>9079571</v>
      </c>
      <c r="P54" t="s">
        <v>32</v>
      </c>
      <c r="Q54" t="s">
        <v>169</v>
      </c>
      <c r="R54">
        <v>8192</v>
      </c>
      <c r="S54" t="s">
        <v>34</v>
      </c>
      <c r="T54" t="s">
        <v>35</v>
      </c>
      <c r="U54">
        <v>-303.5</v>
      </c>
      <c r="V54" t="s">
        <v>38</v>
      </c>
      <c r="W54" s="1">
        <v>46191</v>
      </c>
      <c r="X54">
        <v>2026</v>
      </c>
    </row>
    <row r="55" spans="1:24" x14ac:dyDescent="0.25">
      <c r="A55" s="1">
        <v>46224</v>
      </c>
      <c r="B55" t="s">
        <v>170</v>
      </c>
      <c r="C55" t="s">
        <v>171</v>
      </c>
      <c r="E55" t="s">
        <v>172</v>
      </c>
      <c r="F55" t="s">
        <v>64</v>
      </c>
      <c r="G55" t="s">
        <v>28</v>
      </c>
      <c r="H55" t="s">
        <v>29</v>
      </c>
      <c r="I55" t="s">
        <v>66</v>
      </c>
      <c r="J55" t="s">
        <v>67</v>
      </c>
      <c r="L55" s="1">
        <v>46204</v>
      </c>
      <c r="M55" s="1">
        <v>46204</v>
      </c>
      <c r="O55">
        <v>19481808</v>
      </c>
      <c r="P55" t="s">
        <v>32</v>
      </c>
      <c r="Q55" t="s">
        <v>173</v>
      </c>
      <c r="R55">
        <v>8192</v>
      </c>
      <c r="S55" t="s">
        <v>34</v>
      </c>
      <c r="T55" t="s">
        <v>35</v>
      </c>
      <c r="U55">
        <v>844</v>
      </c>
      <c r="V55" t="s">
        <v>36</v>
      </c>
      <c r="W55" s="1">
        <v>46191</v>
      </c>
      <c r="X55">
        <v>2026</v>
      </c>
    </row>
    <row r="56" spans="1:24" x14ac:dyDescent="0.25">
      <c r="A56" s="1">
        <v>46224</v>
      </c>
      <c r="B56" t="s">
        <v>170</v>
      </c>
      <c r="C56" t="s">
        <v>171</v>
      </c>
      <c r="E56" t="s">
        <v>172</v>
      </c>
      <c r="F56" t="s">
        <v>64</v>
      </c>
      <c r="G56" t="s">
        <v>37</v>
      </c>
      <c r="H56" t="s">
        <v>29</v>
      </c>
      <c r="I56" t="s">
        <v>66</v>
      </c>
      <c r="J56" t="s">
        <v>67</v>
      </c>
      <c r="L56" s="1">
        <v>46204</v>
      </c>
      <c r="M56" s="1">
        <v>46204</v>
      </c>
      <c r="O56">
        <v>19481808</v>
      </c>
      <c r="P56" t="s">
        <v>32</v>
      </c>
      <c r="Q56" t="s">
        <v>173</v>
      </c>
      <c r="R56">
        <v>8192</v>
      </c>
      <c r="S56" t="s">
        <v>34</v>
      </c>
      <c r="T56" t="s">
        <v>35</v>
      </c>
      <c r="U56">
        <v>-248.5</v>
      </c>
      <c r="V56" t="s">
        <v>38</v>
      </c>
      <c r="W56" s="1">
        <v>46191</v>
      </c>
      <c r="X56">
        <v>2026</v>
      </c>
    </row>
    <row r="57" spans="1:24" x14ac:dyDescent="0.25">
      <c r="A57" s="1">
        <v>46224</v>
      </c>
      <c r="B57" t="s">
        <v>174</v>
      </c>
      <c r="C57" t="s">
        <v>175</v>
      </c>
      <c r="E57" t="s">
        <v>176</v>
      </c>
      <c r="F57" t="s">
        <v>64</v>
      </c>
      <c r="G57" t="s">
        <v>28</v>
      </c>
      <c r="H57" t="s">
        <v>29</v>
      </c>
      <c r="I57" t="s">
        <v>71</v>
      </c>
      <c r="J57" t="s">
        <v>177</v>
      </c>
      <c r="L57" s="1">
        <v>46204</v>
      </c>
      <c r="M57" s="1">
        <v>46204</v>
      </c>
      <c r="O57">
        <v>18828278</v>
      </c>
      <c r="P57" t="s">
        <v>32</v>
      </c>
      <c r="Q57" t="s">
        <v>178</v>
      </c>
      <c r="R57">
        <v>8192</v>
      </c>
      <c r="S57" t="s">
        <v>34</v>
      </c>
      <c r="T57" t="s">
        <v>35</v>
      </c>
      <c r="U57">
        <v>844</v>
      </c>
      <c r="V57" t="s">
        <v>36</v>
      </c>
      <c r="W57" s="1">
        <v>46196</v>
      </c>
      <c r="X57">
        <v>2026</v>
      </c>
    </row>
    <row r="58" spans="1:24" x14ac:dyDescent="0.25">
      <c r="A58" s="1">
        <v>46224</v>
      </c>
      <c r="B58" t="s">
        <v>174</v>
      </c>
      <c r="C58" t="s">
        <v>175</v>
      </c>
      <c r="E58" t="s">
        <v>176</v>
      </c>
      <c r="F58" t="s">
        <v>64</v>
      </c>
      <c r="G58" t="s">
        <v>37</v>
      </c>
      <c r="H58" t="s">
        <v>29</v>
      </c>
      <c r="I58" t="s">
        <v>71</v>
      </c>
      <c r="J58" t="s">
        <v>177</v>
      </c>
      <c r="L58" s="1">
        <v>46204</v>
      </c>
      <c r="M58" s="1">
        <v>46204</v>
      </c>
      <c r="O58">
        <v>18828278</v>
      </c>
      <c r="P58" t="s">
        <v>32</v>
      </c>
      <c r="Q58" t="s">
        <v>178</v>
      </c>
      <c r="R58">
        <v>8192</v>
      </c>
      <c r="S58" t="s">
        <v>34</v>
      </c>
      <c r="T58" t="s">
        <v>35</v>
      </c>
      <c r="U58">
        <v>-248.5</v>
      </c>
      <c r="V58" t="s">
        <v>38</v>
      </c>
      <c r="W58" s="1">
        <v>46196</v>
      </c>
      <c r="X58">
        <v>2026</v>
      </c>
    </row>
    <row r="59" spans="1:24" x14ac:dyDescent="0.25">
      <c r="A59" s="1">
        <v>46224</v>
      </c>
      <c r="B59" t="s">
        <v>179</v>
      </c>
      <c r="C59" t="s">
        <v>180</v>
      </c>
      <c r="E59" t="s">
        <v>181</v>
      </c>
      <c r="F59" t="s">
        <v>166</v>
      </c>
      <c r="G59" t="s">
        <v>28</v>
      </c>
      <c r="H59" t="s">
        <v>29</v>
      </c>
      <c r="I59" t="s">
        <v>167</v>
      </c>
      <c r="J59" t="s">
        <v>168</v>
      </c>
      <c r="L59" s="1">
        <v>46204</v>
      </c>
      <c r="M59" s="1">
        <v>46204</v>
      </c>
      <c r="O59">
        <v>16212649</v>
      </c>
      <c r="P59" t="s">
        <v>32</v>
      </c>
      <c r="Q59" t="s">
        <v>182</v>
      </c>
      <c r="R59">
        <v>8192</v>
      </c>
      <c r="S59" t="s">
        <v>34</v>
      </c>
      <c r="T59" t="s">
        <v>35</v>
      </c>
      <c r="U59">
        <v>1039</v>
      </c>
      <c r="V59" t="s">
        <v>36</v>
      </c>
      <c r="W59" s="1">
        <v>46192</v>
      </c>
      <c r="X59">
        <v>2026</v>
      </c>
    </row>
    <row r="60" spans="1:24" x14ac:dyDescent="0.25">
      <c r="A60" s="1">
        <v>46224</v>
      </c>
      <c r="B60" t="s">
        <v>179</v>
      </c>
      <c r="C60" t="s">
        <v>180</v>
      </c>
      <c r="E60" t="s">
        <v>181</v>
      </c>
      <c r="F60" t="s">
        <v>166</v>
      </c>
      <c r="G60" t="s">
        <v>37</v>
      </c>
      <c r="H60" t="s">
        <v>29</v>
      </c>
      <c r="I60" t="s">
        <v>167</v>
      </c>
      <c r="J60" t="s">
        <v>168</v>
      </c>
      <c r="L60" s="1">
        <v>46204</v>
      </c>
      <c r="M60" s="1">
        <v>46204</v>
      </c>
      <c r="O60">
        <v>16212649</v>
      </c>
      <c r="P60" t="s">
        <v>32</v>
      </c>
      <c r="Q60" t="s">
        <v>182</v>
      </c>
      <c r="R60">
        <v>8192</v>
      </c>
      <c r="S60" t="s">
        <v>34</v>
      </c>
      <c r="T60" t="s">
        <v>35</v>
      </c>
      <c r="U60">
        <v>-303.5</v>
      </c>
      <c r="V60" t="s">
        <v>38</v>
      </c>
      <c r="W60" s="1">
        <v>46192</v>
      </c>
      <c r="X60">
        <v>2026</v>
      </c>
    </row>
    <row r="61" spans="1:24" x14ac:dyDescent="0.25">
      <c r="A61" s="1">
        <v>46224</v>
      </c>
      <c r="B61" t="s">
        <v>183</v>
      </c>
      <c r="C61" t="s">
        <v>184</v>
      </c>
      <c r="E61" t="s">
        <v>185</v>
      </c>
      <c r="F61" t="s">
        <v>64</v>
      </c>
      <c r="G61" t="s">
        <v>84</v>
      </c>
      <c r="H61" t="s">
        <v>29</v>
      </c>
      <c r="I61" t="s">
        <v>66</v>
      </c>
      <c r="J61" t="s">
        <v>186</v>
      </c>
      <c r="L61" s="1">
        <v>46204</v>
      </c>
      <c r="M61" s="1">
        <v>46204</v>
      </c>
      <c r="O61">
        <v>21646325</v>
      </c>
      <c r="P61" t="s">
        <v>32</v>
      </c>
      <c r="Q61" t="s">
        <v>86</v>
      </c>
      <c r="R61">
        <v>8192</v>
      </c>
      <c r="S61" t="s">
        <v>34</v>
      </c>
      <c r="T61" t="s">
        <v>35</v>
      </c>
      <c r="U61">
        <v>422</v>
      </c>
      <c r="V61" t="s">
        <v>36</v>
      </c>
      <c r="W61" s="1">
        <v>46195</v>
      </c>
      <c r="X61">
        <v>2026</v>
      </c>
    </row>
    <row r="62" spans="1:24" x14ac:dyDescent="0.25">
      <c r="A62" s="1">
        <v>46224</v>
      </c>
      <c r="B62" t="s">
        <v>183</v>
      </c>
      <c r="C62" t="s">
        <v>184</v>
      </c>
      <c r="E62" t="s">
        <v>185</v>
      </c>
      <c r="F62" t="s">
        <v>64</v>
      </c>
      <c r="G62" t="s">
        <v>37</v>
      </c>
      <c r="H62" t="s">
        <v>29</v>
      </c>
      <c r="I62" t="s">
        <v>66</v>
      </c>
      <c r="J62" t="s">
        <v>186</v>
      </c>
      <c r="L62" s="1">
        <v>46204</v>
      </c>
      <c r="M62" s="1">
        <v>46204</v>
      </c>
      <c r="O62">
        <v>21646325</v>
      </c>
      <c r="P62" t="s">
        <v>32</v>
      </c>
      <c r="Q62" t="s">
        <v>86</v>
      </c>
      <c r="R62">
        <v>8192</v>
      </c>
      <c r="S62" t="s">
        <v>34</v>
      </c>
      <c r="T62" t="s">
        <v>35</v>
      </c>
      <c r="U62">
        <v>-248.5</v>
      </c>
      <c r="V62" t="s">
        <v>38</v>
      </c>
      <c r="W62" s="1">
        <v>46195</v>
      </c>
      <c r="X62">
        <v>2026</v>
      </c>
    </row>
    <row r="63" spans="1:24" x14ac:dyDescent="0.25">
      <c r="A63" s="1">
        <v>46224</v>
      </c>
      <c r="B63" t="s">
        <v>187</v>
      </c>
      <c r="C63" t="s">
        <v>188</v>
      </c>
      <c r="E63" t="s">
        <v>189</v>
      </c>
      <c r="F63" t="s">
        <v>77</v>
      </c>
      <c r="G63" t="s">
        <v>28</v>
      </c>
      <c r="H63" t="s">
        <v>29</v>
      </c>
      <c r="I63" t="s">
        <v>78</v>
      </c>
      <c r="J63" t="s">
        <v>190</v>
      </c>
      <c r="L63" s="1">
        <v>46204</v>
      </c>
      <c r="M63" s="1">
        <v>46204</v>
      </c>
      <c r="O63">
        <v>7470776</v>
      </c>
      <c r="P63" t="s">
        <v>32</v>
      </c>
      <c r="Q63" t="s">
        <v>108</v>
      </c>
      <c r="R63">
        <v>8192</v>
      </c>
      <c r="S63" t="s">
        <v>34</v>
      </c>
      <c r="T63" t="s">
        <v>35</v>
      </c>
      <c r="U63">
        <v>844</v>
      </c>
      <c r="V63" t="s">
        <v>36</v>
      </c>
      <c r="W63" s="1">
        <v>46175</v>
      </c>
      <c r="X63">
        <v>2026</v>
      </c>
    </row>
    <row r="64" spans="1:24" x14ac:dyDescent="0.25">
      <c r="A64" s="1">
        <v>46224</v>
      </c>
      <c r="B64" t="s">
        <v>187</v>
      </c>
      <c r="C64" t="s">
        <v>188</v>
      </c>
      <c r="E64" t="s">
        <v>189</v>
      </c>
      <c r="F64" t="s">
        <v>77</v>
      </c>
      <c r="G64" t="s">
        <v>37</v>
      </c>
      <c r="H64" t="s">
        <v>29</v>
      </c>
      <c r="I64" t="s">
        <v>78</v>
      </c>
      <c r="J64" t="s">
        <v>190</v>
      </c>
      <c r="L64" s="1">
        <v>46204</v>
      </c>
      <c r="M64" s="1">
        <v>46204</v>
      </c>
      <c r="O64">
        <v>7470776</v>
      </c>
      <c r="P64" t="s">
        <v>32</v>
      </c>
      <c r="Q64" t="s">
        <v>108</v>
      </c>
      <c r="R64">
        <v>8192</v>
      </c>
      <c r="S64" t="s">
        <v>34</v>
      </c>
      <c r="T64" t="s">
        <v>35</v>
      </c>
      <c r="U64">
        <v>-248.5</v>
      </c>
      <c r="V64" t="s">
        <v>38</v>
      </c>
      <c r="W64" s="1">
        <v>46175</v>
      </c>
      <c r="X64">
        <v>2026</v>
      </c>
    </row>
    <row r="65" spans="1:24" x14ac:dyDescent="0.25">
      <c r="A65" s="1">
        <v>46224</v>
      </c>
      <c r="B65" t="s">
        <v>191</v>
      </c>
      <c r="C65" t="s">
        <v>192</v>
      </c>
      <c r="E65" t="s">
        <v>193</v>
      </c>
      <c r="F65" t="s">
        <v>64</v>
      </c>
      <c r="G65" t="s">
        <v>28</v>
      </c>
      <c r="H65" t="s">
        <v>29</v>
      </c>
      <c r="I65" t="s">
        <v>71</v>
      </c>
      <c r="J65" t="s">
        <v>194</v>
      </c>
      <c r="L65" s="1">
        <v>46235</v>
      </c>
      <c r="M65" s="1">
        <v>46235</v>
      </c>
      <c r="O65">
        <v>18754354</v>
      </c>
      <c r="P65" t="s">
        <v>32</v>
      </c>
      <c r="Q65" t="s">
        <v>195</v>
      </c>
      <c r="R65">
        <v>8192</v>
      </c>
      <c r="S65" t="s">
        <v>34</v>
      </c>
      <c r="T65" t="s">
        <v>35</v>
      </c>
      <c r="U65">
        <v>844</v>
      </c>
      <c r="V65" t="s">
        <v>36</v>
      </c>
      <c r="W65" s="1">
        <v>46198</v>
      </c>
      <c r="X65">
        <v>2026</v>
      </c>
    </row>
    <row r="66" spans="1:24" x14ac:dyDescent="0.25">
      <c r="A66" s="1">
        <v>46224</v>
      </c>
      <c r="B66" t="s">
        <v>191</v>
      </c>
      <c r="C66" t="s">
        <v>192</v>
      </c>
      <c r="E66" t="s">
        <v>193</v>
      </c>
      <c r="F66" t="s">
        <v>64</v>
      </c>
      <c r="G66" t="s">
        <v>37</v>
      </c>
      <c r="H66" t="s">
        <v>29</v>
      </c>
      <c r="I66" t="s">
        <v>71</v>
      </c>
      <c r="J66" t="s">
        <v>194</v>
      </c>
      <c r="L66" s="1">
        <v>46235</v>
      </c>
      <c r="M66" s="1">
        <v>46235</v>
      </c>
      <c r="O66">
        <v>18754354</v>
      </c>
      <c r="P66" t="s">
        <v>32</v>
      </c>
      <c r="Q66" t="s">
        <v>195</v>
      </c>
      <c r="R66">
        <v>8192</v>
      </c>
      <c r="S66" t="s">
        <v>34</v>
      </c>
      <c r="T66" t="s">
        <v>35</v>
      </c>
      <c r="U66">
        <v>-207.08</v>
      </c>
      <c r="V66" t="s">
        <v>38</v>
      </c>
      <c r="W66" s="1">
        <v>46198</v>
      </c>
      <c r="X66">
        <v>2026</v>
      </c>
    </row>
    <row r="67" spans="1:24" x14ac:dyDescent="0.25">
      <c r="A67" s="1">
        <v>46224</v>
      </c>
      <c r="B67" t="s">
        <v>196</v>
      </c>
      <c r="C67" t="s">
        <v>197</v>
      </c>
      <c r="E67" t="s">
        <v>198</v>
      </c>
      <c r="F67" t="s">
        <v>64</v>
      </c>
      <c r="G67" t="s">
        <v>65</v>
      </c>
      <c r="H67" t="s">
        <v>29</v>
      </c>
      <c r="I67" t="s">
        <v>71</v>
      </c>
      <c r="J67" t="s">
        <v>199</v>
      </c>
      <c r="L67" s="1">
        <v>46296</v>
      </c>
      <c r="M67" s="1">
        <v>46296</v>
      </c>
      <c r="O67">
        <v>9213293</v>
      </c>
      <c r="P67" t="s">
        <v>32</v>
      </c>
      <c r="Q67" t="s">
        <v>55</v>
      </c>
      <c r="R67">
        <v>8192</v>
      </c>
      <c r="S67" t="s">
        <v>34</v>
      </c>
      <c r="T67" t="s">
        <v>35</v>
      </c>
      <c r="U67">
        <v>124.25</v>
      </c>
      <c r="V67" t="s">
        <v>38</v>
      </c>
      <c r="W67" s="1">
        <v>46205</v>
      </c>
      <c r="X67">
        <v>2026</v>
      </c>
    </row>
    <row r="68" spans="1:24" x14ac:dyDescent="0.25">
      <c r="A68" s="1">
        <v>46224</v>
      </c>
      <c r="B68" t="s">
        <v>200</v>
      </c>
      <c r="C68" t="s">
        <v>201</v>
      </c>
      <c r="E68" t="s">
        <v>202</v>
      </c>
      <c r="F68" t="s">
        <v>27</v>
      </c>
      <c r="G68" t="s">
        <v>28</v>
      </c>
      <c r="H68" t="s">
        <v>29</v>
      </c>
      <c r="I68" t="s">
        <v>30</v>
      </c>
      <c r="J68" t="s">
        <v>42</v>
      </c>
      <c r="L68" s="1">
        <v>46266</v>
      </c>
      <c r="M68" s="1">
        <v>46266</v>
      </c>
      <c r="O68">
        <v>18710070</v>
      </c>
      <c r="P68" t="s">
        <v>32</v>
      </c>
      <c r="Q68" t="s">
        <v>43</v>
      </c>
      <c r="R68">
        <v>8192</v>
      </c>
      <c r="S68" t="s">
        <v>34</v>
      </c>
      <c r="T68" t="s">
        <v>35</v>
      </c>
      <c r="U68">
        <v>931</v>
      </c>
      <c r="V68" t="s">
        <v>36</v>
      </c>
      <c r="W68" s="1">
        <v>46183</v>
      </c>
      <c r="X68">
        <v>2026</v>
      </c>
    </row>
    <row r="69" spans="1:24" x14ac:dyDescent="0.25">
      <c r="A69" s="1">
        <v>46224</v>
      </c>
      <c r="B69" t="s">
        <v>200</v>
      </c>
      <c r="C69" t="s">
        <v>201</v>
      </c>
      <c r="E69" t="s">
        <v>202</v>
      </c>
      <c r="F69" t="s">
        <v>27</v>
      </c>
      <c r="G69" t="s">
        <v>37</v>
      </c>
      <c r="H69" t="s">
        <v>29</v>
      </c>
      <c r="I69" t="s">
        <v>30</v>
      </c>
      <c r="J69" t="s">
        <v>42</v>
      </c>
      <c r="L69" s="1">
        <v>46266</v>
      </c>
      <c r="M69" s="1">
        <v>46266</v>
      </c>
      <c r="O69">
        <v>18710070</v>
      </c>
      <c r="P69" t="s">
        <v>32</v>
      </c>
      <c r="Q69" t="s">
        <v>43</v>
      </c>
      <c r="R69">
        <v>8192</v>
      </c>
      <c r="S69" t="s">
        <v>34</v>
      </c>
      <c r="T69" t="s">
        <v>35</v>
      </c>
      <c r="U69">
        <v>-180.33</v>
      </c>
      <c r="V69" t="s">
        <v>38</v>
      </c>
      <c r="W69" s="1">
        <v>46183</v>
      </c>
      <c r="X69">
        <v>2026</v>
      </c>
    </row>
    <row r="70" spans="1:24" x14ac:dyDescent="0.25">
      <c r="A70" s="1">
        <v>46224</v>
      </c>
      <c r="B70" t="s">
        <v>203</v>
      </c>
      <c r="C70" t="s">
        <v>204</v>
      </c>
      <c r="E70" t="s">
        <v>205</v>
      </c>
      <c r="F70" t="s">
        <v>206</v>
      </c>
      <c r="G70" t="s">
        <v>28</v>
      </c>
      <c r="H70" t="s">
        <v>29</v>
      </c>
      <c r="I70" t="s">
        <v>207</v>
      </c>
      <c r="J70" t="s">
        <v>208</v>
      </c>
      <c r="L70" s="1">
        <v>46204</v>
      </c>
      <c r="M70" s="1">
        <v>46204</v>
      </c>
      <c r="O70">
        <v>8307933</v>
      </c>
      <c r="P70" t="s">
        <v>32</v>
      </c>
      <c r="Q70" t="s">
        <v>80</v>
      </c>
      <c r="R70">
        <v>8192</v>
      </c>
      <c r="S70" t="s">
        <v>34</v>
      </c>
      <c r="T70" t="s">
        <v>35</v>
      </c>
      <c r="U70">
        <v>844</v>
      </c>
      <c r="V70" t="s">
        <v>36</v>
      </c>
      <c r="W70" s="1">
        <v>46202</v>
      </c>
      <c r="X70">
        <v>2026</v>
      </c>
    </row>
    <row r="71" spans="1:24" x14ac:dyDescent="0.25">
      <c r="A71" s="1">
        <v>46224</v>
      </c>
      <c r="B71" t="s">
        <v>203</v>
      </c>
      <c r="C71" t="s">
        <v>204</v>
      </c>
      <c r="E71" t="s">
        <v>205</v>
      </c>
      <c r="F71" t="s">
        <v>206</v>
      </c>
      <c r="G71" t="s">
        <v>37</v>
      </c>
      <c r="H71" t="s">
        <v>29</v>
      </c>
      <c r="I71" t="s">
        <v>207</v>
      </c>
      <c r="J71" t="s">
        <v>208</v>
      </c>
      <c r="L71" s="1">
        <v>46204</v>
      </c>
      <c r="M71" s="1">
        <v>46204</v>
      </c>
      <c r="O71">
        <v>8307933</v>
      </c>
      <c r="P71" t="s">
        <v>32</v>
      </c>
      <c r="Q71" t="s">
        <v>80</v>
      </c>
      <c r="R71">
        <v>8192</v>
      </c>
      <c r="S71" t="s">
        <v>34</v>
      </c>
      <c r="T71" t="s">
        <v>35</v>
      </c>
      <c r="U71">
        <v>-248.5</v>
      </c>
      <c r="V71" t="s">
        <v>38</v>
      </c>
      <c r="W71" s="1">
        <v>46202</v>
      </c>
      <c r="X71">
        <v>2026</v>
      </c>
    </row>
    <row r="72" spans="1:24" x14ac:dyDescent="0.25">
      <c r="A72" s="1">
        <v>46224</v>
      </c>
      <c r="B72" t="s">
        <v>209</v>
      </c>
      <c r="C72" t="s">
        <v>210</v>
      </c>
      <c r="E72" t="s">
        <v>211</v>
      </c>
      <c r="F72" t="s">
        <v>64</v>
      </c>
      <c r="G72" t="s">
        <v>84</v>
      </c>
      <c r="H72" t="s">
        <v>29</v>
      </c>
      <c r="I72" t="s">
        <v>66</v>
      </c>
      <c r="J72" t="s">
        <v>85</v>
      </c>
      <c r="L72" s="1">
        <v>46204</v>
      </c>
      <c r="M72" s="1">
        <v>46204</v>
      </c>
      <c r="O72">
        <v>7152559</v>
      </c>
      <c r="P72" t="s">
        <v>32</v>
      </c>
      <c r="Q72" t="s">
        <v>212</v>
      </c>
      <c r="R72">
        <v>8192</v>
      </c>
      <c r="S72" t="s">
        <v>34</v>
      </c>
      <c r="T72" t="s">
        <v>35</v>
      </c>
      <c r="U72">
        <v>422</v>
      </c>
      <c r="V72" t="s">
        <v>36</v>
      </c>
      <c r="W72" s="1">
        <v>46183</v>
      </c>
      <c r="X72">
        <v>2026</v>
      </c>
    </row>
    <row r="73" spans="1:24" x14ac:dyDescent="0.25">
      <c r="A73" s="1">
        <v>46224</v>
      </c>
      <c r="B73" t="s">
        <v>209</v>
      </c>
      <c r="C73" t="s">
        <v>210</v>
      </c>
      <c r="E73" t="s">
        <v>211</v>
      </c>
      <c r="F73" t="s">
        <v>64</v>
      </c>
      <c r="G73" t="s">
        <v>37</v>
      </c>
      <c r="H73" t="s">
        <v>29</v>
      </c>
      <c r="I73" t="s">
        <v>66</v>
      </c>
      <c r="J73" t="s">
        <v>85</v>
      </c>
      <c r="L73" s="1">
        <v>46204</v>
      </c>
      <c r="M73" s="1">
        <v>46204</v>
      </c>
      <c r="O73">
        <v>7152559</v>
      </c>
      <c r="P73" t="s">
        <v>32</v>
      </c>
      <c r="Q73" t="s">
        <v>212</v>
      </c>
      <c r="R73">
        <v>8192</v>
      </c>
      <c r="S73" t="s">
        <v>34</v>
      </c>
      <c r="T73" t="s">
        <v>35</v>
      </c>
      <c r="U73">
        <v>-248.5</v>
      </c>
      <c r="V73" t="s">
        <v>38</v>
      </c>
      <c r="W73" s="1">
        <v>46183</v>
      </c>
      <c r="X73">
        <v>2026</v>
      </c>
    </row>
    <row r="74" spans="1:24" x14ac:dyDescent="0.25">
      <c r="A74" s="1">
        <v>46224</v>
      </c>
      <c r="B74" t="s">
        <v>213</v>
      </c>
      <c r="C74" t="s">
        <v>214</v>
      </c>
      <c r="E74" t="s">
        <v>215</v>
      </c>
      <c r="F74" t="s">
        <v>27</v>
      </c>
      <c r="G74" t="s">
        <v>65</v>
      </c>
      <c r="H74" t="s">
        <v>29</v>
      </c>
      <c r="I74" t="s">
        <v>30</v>
      </c>
      <c r="J74" t="s">
        <v>90</v>
      </c>
      <c r="L74" s="1">
        <v>46266</v>
      </c>
      <c r="M74" s="1">
        <v>46266</v>
      </c>
      <c r="O74">
        <v>17528908</v>
      </c>
      <c r="P74" t="s">
        <v>32</v>
      </c>
      <c r="Q74" t="s">
        <v>91</v>
      </c>
      <c r="R74">
        <v>8192</v>
      </c>
      <c r="S74" t="s">
        <v>34</v>
      </c>
      <c r="T74" t="s">
        <v>35</v>
      </c>
      <c r="U74">
        <v>180.33</v>
      </c>
      <c r="V74" t="s">
        <v>38</v>
      </c>
      <c r="W74" s="1">
        <v>46211</v>
      </c>
      <c r="X74">
        <v>2026</v>
      </c>
    </row>
    <row r="75" spans="1:24" x14ac:dyDescent="0.25">
      <c r="A75" s="1">
        <v>46224</v>
      </c>
      <c r="B75" t="s">
        <v>216</v>
      </c>
      <c r="C75" t="s">
        <v>217</v>
      </c>
      <c r="E75" t="s">
        <v>218</v>
      </c>
      <c r="F75" t="s">
        <v>27</v>
      </c>
      <c r="G75" t="s">
        <v>219</v>
      </c>
      <c r="H75" t="s">
        <v>29</v>
      </c>
      <c r="I75" t="s">
        <v>30</v>
      </c>
      <c r="J75" t="s">
        <v>31</v>
      </c>
      <c r="L75" s="1">
        <v>46023</v>
      </c>
      <c r="M75" s="1">
        <v>46023</v>
      </c>
      <c r="N75" s="1">
        <v>46234</v>
      </c>
      <c r="O75">
        <v>15950276</v>
      </c>
      <c r="P75" t="s">
        <v>32</v>
      </c>
      <c r="Q75" t="s">
        <v>33</v>
      </c>
      <c r="R75">
        <v>8192</v>
      </c>
      <c r="S75" t="s">
        <v>34</v>
      </c>
      <c r="T75" t="s">
        <v>35</v>
      </c>
      <c r="U75">
        <v>543.08000000000004</v>
      </c>
      <c r="V75" t="s">
        <v>36</v>
      </c>
      <c r="W75" s="1">
        <v>45996</v>
      </c>
      <c r="X75">
        <v>2026</v>
      </c>
    </row>
    <row r="76" spans="1:24" x14ac:dyDescent="0.25">
      <c r="A76" s="1">
        <v>46224</v>
      </c>
      <c r="B76" t="s">
        <v>216</v>
      </c>
      <c r="C76" t="s">
        <v>217</v>
      </c>
      <c r="E76" t="s">
        <v>218</v>
      </c>
      <c r="F76" t="s">
        <v>27</v>
      </c>
      <c r="G76" t="s">
        <v>220</v>
      </c>
      <c r="H76" t="s">
        <v>29</v>
      </c>
      <c r="I76" t="s">
        <v>30</v>
      </c>
      <c r="J76" t="s">
        <v>31</v>
      </c>
      <c r="L76" s="1">
        <v>46023</v>
      </c>
      <c r="M76" s="1">
        <v>46023</v>
      </c>
      <c r="N76" s="1">
        <v>46234</v>
      </c>
      <c r="O76">
        <v>15950276</v>
      </c>
      <c r="P76" t="s">
        <v>32</v>
      </c>
      <c r="Q76" t="s">
        <v>33</v>
      </c>
      <c r="R76">
        <v>8192</v>
      </c>
      <c r="S76" t="s">
        <v>34</v>
      </c>
      <c r="T76" t="s">
        <v>35</v>
      </c>
      <c r="U76">
        <v>-931</v>
      </c>
      <c r="V76" t="s">
        <v>36</v>
      </c>
      <c r="W76" s="1">
        <v>45996</v>
      </c>
      <c r="X76">
        <v>2026</v>
      </c>
    </row>
    <row r="77" spans="1:24" x14ac:dyDescent="0.25">
      <c r="A77" s="1">
        <v>46224</v>
      </c>
      <c r="B77" t="s">
        <v>221</v>
      </c>
      <c r="C77" t="s">
        <v>222</v>
      </c>
      <c r="E77" t="s">
        <v>223</v>
      </c>
      <c r="F77" t="s">
        <v>137</v>
      </c>
      <c r="G77" t="s">
        <v>28</v>
      </c>
      <c r="H77" t="s">
        <v>29</v>
      </c>
      <c r="I77" t="s">
        <v>138</v>
      </c>
      <c r="J77" t="s">
        <v>144</v>
      </c>
      <c r="L77" s="1">
        <v>46204</v>
      </c>
      <c r="M77" s="1">
        <v>46204</v>
      </c>
      <c r="O77">
        <v>16170994</v>
      </c>
      <c r="P77" t="s">
        <v>32</v>
      </c>
      <c r="Q77" t="s">
        <v>145</v>
      </c>
      <c r="R77">
        <v>8192</v>
      </c>
      <c r="S77" t="s">
        <v>34</v>
      </c>
      <c r="T77" t="s">
        <v>35</v>
      </c>
      <c r="U77">
        <v>844</v>
      </c>
      <c r="V77" t="s">
        <v>36</v>
      </c>
      <c r="W77" s="1">
        <v>46202</v>
      </c>
      <c r="X77">
        <v>2026</v>
      </c>
    </row>
    <row r="78" spans="1:24" x14ac:dyDescent="0.25">
      <c r="A78" s="1">
        <v>46224</v>
      </c>
      <c r="B78" t="s">
        <v>221</v>
      </c>
      <c r="C78" t="s">
        <v>222</v>
      </c>
      <c r="E78" t="s">
        <v>223</v>
      </c>
      <c r="F78" t="s">
        <v>137</v>
      </c>
      <c r="G78" t="s">
        <v>37</v>
      </c>
      <c r="H78" t="s">
        <v>29</v>
      </c>
      <c r="I78" t="s">
        <v>138</v>
      </c>
      <c r="J78" t="s">
        <v>144</v>
      </c>
      <c r="L78" s="1">
        <v>46204</v>
      </c>
      <c r="M78" s="1">
        <v>46204</v>
      </c>
      <c r="O78">
        <v>16170994</v>
      </c>
      <c r="P78" t="s">
        <v>32</v>
      </c>
      <c r="Q78" t="s">
        <v>145</v>
      </c>
      <c r="R78">
        <v>8192</v>
      </c>
      <c r="S78" t="s">
        <v>34</v>
      </c>
      <c r="T78" t="s">
        <v>35</v>
      </c>
      <c r="U78">
        <v>-248.5</v>
      </c>
      <c r="V78" t="s">
        <v>38</v>
      </c>
      <c r="W78" s="1">
        <v>46202</v>
      </c>
      <c r="X78">
        <v>2026</v>
      </c>
    </row>
    <row r="79" spans="1:24" x14ac:dyDescent="0.25">
      <c r="A79" s="1">
        <v>46224</v>
      </c>
      <c r="B79" t="s">
        <v>224</v>
      </c>
      <c r="C79" t="s">
        <v>225</v>
      </c>
      <c r="E79" t="s">
        <v>226</v>
      </c>
      <c r="F79" t="s">
        <v>64</v>
      </c>
      <c r="G79" t="s">
        <v>28</v>
      </c>
      <c r="H79" t="s">
        <v>29</v>
      </c>
      <c r="I79" t="s">
        <v>71</v>
      </c>
      <c r="J79" t="s">
        <v>199</v>
      </c>
      <c r="L79" s="1">
        <v>46235</v>
      </c>
      <c r="M79" s="1">
        <v>46235</v>
      </c>
      <c r="O79">
        <v>16228684</v>
      </c>
      <c r="P79" t="s">
        <v>32</v>
      </c>
      <c r="Q79" t="s">
        <v>227</v>
      </c>
      <c r="R79">
        <v>8192</v>
      </c>
      <c r="S79" t="s">
        <v>34</v>
      </c>
      <c r="T79" t="s">
        <v>35</v>
      </c>
      <c r="U79">
        <v>844</v>
      </c>
      <c r="V79" t="s">
        <v>36</v>
      </c>
      <c r="W79" s="1">
        <v>46184</v>
      </c>
      <c r="X79">
        <v>2026</v>
      </c>
    </row>
    <row r="80" spans="1:24" x14ac:dyDescent="0.25">
      <c r="A80" s="1">
        <v>46224</v>
      </c>
      <c r="B80" t="s">
        <v>224</v>
      </c>
      <c r="C80" t="s">
        <v>225</v>
      </c>
      <c r="E80" t="s">
        <v>226</v>
      </c>
      <c r="F80" t="s">
        <v>64</v>
      </c>
      <c r="G80" t="s">
        <v>37</v>
      </c>
      <c r="H80" t="s">
        <v>29</v>
      </c>
      <c r="I80" t="s">
        <v>71</v>
      </c>
      <c r="J80" t="s">
        <v>199</v>
      </c>
      <c r="L80" s="1">
        <v>46235</v>
      </c>
      <c r="M80" s="1">
        <v>46235</v>
      </c>
      <c r="O80">
        <v>16228684</v>
      </c>
      <c r="P80" t="s">
        <v>32</v>
      </c>
      <c r="Q80" t="s">
        <v>227</v>
      </c>
      <c r="R80">
        <v>8192</v>
      </c>
      <c r="S80" t="s">
        <v>34</v>
      </c>
      <c r="T80" t="s">
        <v>35</v>
      </c>
      <c r="U80">
        <v>-207.08</v>
      </c>
      <c r="V80" t="s">
        <v>38</v>
      </c>
      <c r="W80" s="1">
        <v>46184</v>
      </c>
      <c r="X80">
        <v>2026</v>
      </c>
    </row>
    <row r="81" spans="1:24" x14ac:dyDescent="0.25">
      <c r="A81" s="1">
        <v>46224</v>
      </c>
      <c r="B81" t="s">
        <v>228</v>
      </c>
      <c r="C81" t="s">
        <v>229</v>
      </c>
      <c r="E81" t="s">
        <v>230</v>
      </c>
      <c r="F81" t="s">
        <v>64</v>
      </c>
      <c r="G81" t="s">
        <v>28</v>
      </c>
      <c r="H81" t="s">
        <v>29</v>
      </c>
      <c r="I81" t="s">
        <v>66</v>
      </c>
      <c r="J81" t="s">
        <v>107</v>
      </c>
      <c r="L81" s="1">
        <v>46204</v>
      </c>
      <c r="M81" s="1">
        <v>46204</v>
      </c>
      <c r="O81">
        <v>7470776</v>
      </c>
      <c r="P81" t="s">
        <v>32</v>
      </c>
      <c r="Q81" t="s">
        <v>108</v>
      </c>
      <c r="R81">
        <v>8192</v>
      </c>
      <c r="S81" t="s">
        <v>34</v>
      </c>
      <c r="T81" t="s">
        <v>35</v>
      </c>
      <c r="U81">
        <v>844</v>
      </c>
      <c r="V81" t="s">
        <v>36</v>
      </c>
      <c r="W81" s="1">
        <v>46202</v>
      </c>
      <c r="X81">
        <v>2026</v>
      </c>
    </row>
    <row r="82" spans="1:24" x14ac:dyDescent="0.25">
      <c r="A82" s="1">
        <v>46224</v>
      </c>
      <c r="B82" t="s">
        <v>228</v>
      </c>
      <c r="C82" t="s">
        <v>229</v>
      </c>
      <c r="E82" t="s">
        <v>230</v>
      </c>
      <c r="F82" t="s">
        <v>64</v>
      </c>
      <c r="G82" t="s">
        <v>37</v>
      </c>
      <c r="H82" t="s">
        <v>29</v>
      </c>
      <c r="I82" t="s">
        <v>66</v>
      </c>
      <c r="J82" t="s">
        <v>107</v>
      </c>
      <c r="L82" s="1">
        <v>46204</v>
      </c>
      <c r="M82" s="1">
        <v>46204</v>
      </c>
      <c r="O82">
        <v>7470776</v>
      </c>
      <c r="P82" t="s">
        <v>32</v>
      </c>
      <c r="Q82" t="s">
        <v>108</v>
      </c>
      <c r="R82">
        <v>8192</v>
      </c>
      <c r="S82" t="s">
        <v>34</v>
      </c>
      <c r="T82" t="s">
        <v>35</v>
      </c>
      <c r="U82">
        <v>-248.5</v>
      </c>
      <c r="V82" t="s">
        <v>38</v>
      </c>
      <c r="W82" s="1">
        <v>46202</v>
      </c>
      <c r="X82">
        <v>2026</v>
      </c>
    </row>
    <row r="83" spans="1:24" x14ac:dyDescent="0.25">
      <c r="A83" s="1">
        <v>46224</v>
      </c>
      <c r="B83" t="s">
        <v>231</v>
      </c>
      <c r="C83" t="s">
        <v>232</v>
      </c>
      <c r="E83" t="s">
        <v>233</v>
      </c>
      <c r="F83" t="s">
        <v>64</v>
      </c>
      <c r="G83" t="s">
        <v>84</v>
      </c>
      <c r="H83" t="s">
        <v>29</v>
      </c>
      <c r="I83" t="s">
        <v>66</v>
      </c>
      <c r="J83" t="s">
        <v>85</v>
      </c>
      <c r="L83" s="1">
        <v>46113</v>
      </c>
      <c r="M83" s="1">
        <v>46113</v>
      </c>
      <c r="O83">
        <v>9213293</v>
      </c>
      <c r="P83" t="s">
        <v>32</v>
      </c>
      <c r="Q83" t="s">
        <v>55</v>
      </c>
      <c r="R83">
        <v>8192</v>
      </c>
      <c r="S83" t="s">
        <v>34</v>
      </c>
      <c r="T83" t="s">
        <v>35</v>
      </c>
      <c r="U83">
        <v>633</v>
      </c>
      <c r="V83" t="s">
        <v>36</v>
      </c>
      <c r="W83" s="1">
        <v>46097</v>
      </c>
      <c r="X83">
        <v>2026</v>
      </c>
    </row>
    <row r="84" spans="1:24" x14ac:dyDescent="0.25">
      <c r="A84" s="1">
        <v>46224</v>
      </c>
      <c r="B84" t="s">
        <v>231</v>
      </c>
      <c r="C84" t="s">
        <v>232</v>
      </c>
      <c r="E84" t="s">
        <v>233</v>
      </c>
      <c r="F84" t="s">
        <v>64</v>
      </c>
      <c r="G84" t="s">
        <v>37</v>
      </c>
      <c r="H84" t="s">
        <v>29</v>
      </c>
      <c r="I84" t="s">
        <v>66</v>
      </c>
      <c r="J84" t="s">
        <v>85</v>
      </c>
      <c r="L84" s="1">
        <v>46113</v>
      </c>
      <c r="M84" s="1">
        <v>46113</v>
      </c>
      <c r="O84">
        <v>9213293</v>
      </c>
      <c r="P84" t="s">
        <v>32</v>
      </c>
      <c r="Q84" t="s">
        <v>55</v>
      </c>
      <c r="R84">
        <v>8192</v>
      </c>
      <c r="S84" t="s">
        <v>34</v>
      </c>
      <c r="T84" t="s">
        <v>35</v>
      </c>
      <c r="U84">
        <v>-372.75</v>
      </c>
      <c r="V84" t="s">
        <v>38</v>
      </c>
      <c r="W84" s="1">
        <v>46097</v>
      </c>
      <c r="X84">
        <v>2026</v>
      </c>
    </row>
    <row r="85" spans="1:24" x14ac:dyDescent="0.25">
      <c r="A85" s="1">
        <v>46224</v>
      </c>
      <c r="B85" t="s">
        <v>234</v>
      </c>
      <c r="C85" t="s">
        <v>235</v>
      </c>
      <c r="E85" t="s">
        <v>236</v>
      </c>
      <c r="F85" t="s">
        <v>27</v>
      </c>
      <c r="G85" t="s">
        <v>28</v>
      </c>
      <c r="H85" t="s">
        <v>29</v>
      </c>
      <c r="I85" t="s">
        <v>30</v>
      </c>
      <c r="J85" t="s">
        <v>237</v>
      </c>
      <c r="L85" s="1">
        <v>46204</v>
      </c>
      <c r="M85" s="1">
        <v>46204</v>
      </c>
      <c r="O85">
        <v>20616980</v>
      </c>
      <c r="P85" t="s">
        <v>32</v>
      </c>
      <c r="Q85" t="s">
        <v>238</v>
      </c>
      <c r="R85">
        <v>8192</v>
      </c>
      <c r="S85" t="s">
        <v>34</v>
      </c>
      <c r="T85" t="s">
        <v>35</v>
      </c>
      <c r="U85">
        <v>931</v>
      </c>
      <c r="V85" t="s">
        <v>36</v>
      </c>
      <c r="W85" s="1">
        <v>46192</v>
      </c>
      <c r="X85">
        <v>2026</v>
      </c>
    </row>
    <row r="86" spans="1:24" x14ac:dyDescent="0.25">
      <c r="A86" s="1">
        <v>46224</v>
      </c>
      <c r="B86" t="s">
        <v>234</v>
      </c>
      <c r="C86" t="s">
        <v>235</v>
      </c>
      <c r="E86" t="s">
        <v>236</v>
      </c>
      <c r="F86" t="s">
        <v>27</v>
      </c>
      <c r="G86" t="s">
        <v>37</v>
      </c>
      <c r="H86" t="s">
        <v>29</v>
      </c>
      <c r="I86" t="s">
        <v>30</v>
      </c>
      <c r="J86" t="s">
        <v>237</v>
      </c>
      <c r="L86" s="1">
        <v>46204</v>
      </c>
      <c r="M86" s="1">
        <v>46204</v>
      </c>
      <c r="O86">
        <v>20616980</v>
      </c>
      <c r="P86" t="s">
        <v>32</v>
      </c>
      <c r="Q86" t="s">
        <v>238</v>
      </c>
      <c r="R86">
        <v>8192</v>
      </c>
      <c r="S86" t="s">
        <v>34</v>
      </c>
      <c r="T86" t="s">
        <v>35</v>
      </c>
      <c r="U86">
        <v>-270.5</v>
      </c>
      <c r="V86" t="s">
        <v>38</v>
      </c>
      <c r="W86" s="1">
        <v>46192</v>
      </c>
      <c r="X86">
        <v>2026</v>
      </c>
    </row>
    <row r="87" spans="1:24" x14ac:dyDescent="0.25">
      <c r="A87" s="1">
        <v>46224</v>
      </c>
      <c r="B87" t="s">
        <v>239</v>
      </c>
      <c r="C87" t="s">
        <v>240</v>
      </c>
      <c r="E87" t="s">
        <v>241</v>
      </c>
      <c r="F87" t="s">
        <v>137</v>
      </c>
      <c r="G87" t="s">
        <v>65</v>
      </c>
      <c r="H87" t="s">
        <v>29</v>
      </c>
      <c r="I87" t="s">
        <v>138</v>
      </c>
      <c r="J87" t="s">
        <v>242</v>
      </c>
      <c r="L87" s="1">
        <v>46296</v>
      </c>
      <c r="M87" s="1">
        <v>46296</v>
      </c>
      <c r="O87">
        <v>18598357</v>
      </c>
      <c r="P87" t="s">
        <v>32</v>
      </c>
      <c r="Q87" t="s">
        <v>243</v>
      </c>
      <c r="R87">
        <v>8192</v>
      </c>
      <c r="S87" t="s">
        <v>34</v>
      </c>
      <c r="T87" t="s">
        <v>35</v>
      </c>
      <c r="U87">
        <v>124.25</v>
      </c>
      <c r="V87" t="s">
        <v>38</v>
      </c>
      <c r="W87" s="1">
        <v>46209</v>
      </c>
      <c r="X87">
        <v>2026</v>
      </c>
    </row>
    <row r="88" spans="1:24" x14ac:dyDescent="0.25">
      <c r="A88" s="1">
        <v>46224</v>
      </c>
      <c r="B88" t="s">
        <v>244</v>
      </c>
      <c r="C88" t="s">
        <v>245</v>
      </c>
      <c r="E88" t="s">
        <v>246</v>
      </c>
      <c r="F88" t="s">
        <v>27</v>
      </c>
      <c r="G88" t="s">
        <v>65</v>
      </c>
      <c r="H88" t="s">
        <v>29</v>
      </c>
      <c r="I88" t="s">
        <v>30</v>
      </c>
      <c r="J88" t="s">
        <v>247</v>
      </c>
      <c r="L88" s="1">
        <v>46296</v>
      </c>
      <c r="M88" s="1">
        <v>46296</v>
      </c>
      <c r="O88">
        <v>20253958</v>
      </c>
      <c r="P88" t="s">
        <v>32</v>
      </c>
      <c r="Q88" t="s">
        <v>48</v>
      </c>
      <c r="R88">
        <v>8192</v>
      </c>
      <c r="S88" t="s">
        <v>34</v>
      </c>
      <c r="T88" t="s">
        <v>35</v>
      </c>
      <c r="U88">
        <v>16.25</v>
      </c>
      <c r="V88" t="s">
        <v>38</v>
      </c>
      <c r="W88" s="1">
        <v>46210</v>
      </c>
      <c r="X88">
        <v>2026</v>
      </c>
    </row>
    <row r="89" spans="1:24" x14ac:dyDescent="0.25">
      <c r="A89" s="1">
        <v>46224</v>
      </c>
      <c r="B89" t="s">
        <v>248</v>
      </c>
      <c r="C89" t="s">
        <v>249</v>
      </c>
      <c r="E89" t="s">
        <v>250</v>
      </c>
      <c r="F89" t="s">
        <v>137</v>
      </c>
      <c r="G89" t="s">
        <v>28</v>
      </c>
      <c r="H89" t="s">
        <v>29</v>
      </c>
      <c r="I89" t="s">
        <v>138</v>
      </c>
      <c r="J89" t="s">
        <v>251</v>
      </c>
      <c r="L89" s="1">
        <v>46204</v>
      </c>
      <c r="M89" s="1">
        <v>46204</v>
      </c>
      <c r="O89">
        <v>16170994</v>
      </c>
      <c r="P89" t="s">
        <v>32</v>
      </c>
      <c r="Q89" t="s">
        <v>145</v>
      </c>
      <c r="R89">
        <v>8192</v>
      </c>
      <c r="S89" t="s">
        <v>34</v>
      </c>
      <c r="T89" t="s">
        <v>35</v>
      </c>
      <c r="U89">
        <v>844</v>
      </c>
      <c r="V89" t="s">
        <v>36</v>
      </c>
      <c r="W89" s="1">
        <v>46177</v>
      </c>
      <c r="X89">
        <v>2026</v>
      </c>
    </row>
    <row r="90" spans="1:24" x14ac:dyDescent="0.25">
      <c r="A90" s="1">
        <v>46224</v>
      </c>
      <c r="B90" t="s">
        <v>248</v>
      </c>
      <c r="C90" t="s">
        <v>249</v>
      </c>
      <c r="E90" t="s">
        <v>250</v>
      </c>
      <c r="F90" t="s">
        <v>137</v>
      </c>
      <c r="G90" t="s">
        <v>37</v>
      </c>
      <c r="H90" t="s">
        <v>29</v>
      </c>
      <c r="I90" t="s">
        <v>138</v>
      </c>
      <c r="J90" t="s">
        <v>251</v>
      </c>
      <c r="L90" s="1">
        <v>46204</v>
      </c>
      <c r="M90" s="1">
        <v>46204</v>
      </c>
      <c r="O90">
        <v>16170994</v>
      </c>
      <c r="P90" t="s">
        <v>32</v>
      </c>
      <c r="Q90" t="s">
        <v>145</v>
      </c>
      <c r="R90">
        <v>8192</v>
      </c>
      <c r="S90" t="s">
        <v>34</v>
      </c>
      <c r="T90" t="s">
        <v>35</v>
      </c>
      <c r="U90">
        <v>-248.5</v>
      </c>
      <c r="V90" t="s">
        <v>38</v>
      </c>
      <c r="W90" s="1">
        <v>46177</v>
      </c>
      <c r="X90">
        <v>2026</v>
      </c>
    </row>
    <row r="91" spans="1:24" x14ac:dyDescent="0.25">
      <c r="A91" s="1"/>
      <c r="L91" s="1"/>
      <c r="M91" s="1"/>
      <c r="W91" s="1"/>
    </row>
    <row r="92" spans="1:24" x14ac:dyDescent="0.25">
      <c r="A92" s="1"/>
      <c r="L92" s="1"/>
      <c r="M92" s="1"/>
      <c r="W92" s="1"/>
    </row>
    <row r="93" spans="1:24" x14ac:dyDescent="0.25">
      <c r="A93" s="1"/>
      <c r="L93" s="1"/>
      <c r="M93" s="1"/>
      <c r="W93" s="1"/>
    </row>
    <row r="94" spans="1:24" x14ac:dyDescent="0.25">
      <c r="A94" s="1"/>
      <c r="L94" s="1"/>
      <c r="M94" s="1"/>
      <c r="W94" s="1"/>
    </row>
    <row r="95" spans="1:24" x14ac:dyDescent="0.25">
      <c r="A95" s="1"/>
      <c r="L95" s="1"/>
      <c r="M95" s="1"/>
      <c r="W95" s="1"/>
    </row>
    <row r="96" spans="1:24" x14ac:dyDescent="0.25">
      <c r="A96" s="1"/>
      <c r="L96" s="1"/>
      <c r="M96" s="1"/>
      <c r="W96" s="1"/>
    </row>
    <row r="97" spans="1:23" x14ac:dyDescent="0.25">
      <c r="A97" s="1"/>
      <c r="L97" s="1"/>
      <c r="M97" s="1"/>
      <c r="W97" s="1"/>
    </row>
    <row r="98" spans="1:23" x14ac:dyDescent="0.25">
      <c r="A98" s="1"/>
      <c r="L98" s="1"/>
      <c r="M98" s="1"/>
      <c r="W98" s="1"/>
    </row>
    <row r="99" spans="1:23" x14ac:dyDescent="0.25">
      <c r="A99" s="1"/>
      <c r="L99" s="1"/>
      <c r="M99" s="1"/>
      <c r="W99" s="1"/>
    </row>
    <row r="100" spans="1:23" x14ac:dyDescent="0.25">
      <c r="A100" s="1"/>
      <c r="L100" s="1"/>
      <c r="M100" s="1"/>
      <c r="W100" s="1"/>
    </row>
    <row r="101" spans="1:23" x14ac:dyDescent="0.25">
      <c r="A101" s="1"/>
      <c r="L101" s="1"/>
      <c r="M101" s="1"/>
      <c r="W101" s="1"/>
    </row>
    <row r="102" spans="1:23" x14ac:dyDescent="0.25">
      <c r="A102" s="1"/>
      <c r="L102" s="1"/>
      <c r="M102" s="1"/>
      <c r="W102" s="1"/>
    </row>
    <row r="103" spans="1:23" x14ac:dyDescent="0.25">
      <c r="A103" s="1"/>
      <c r="L103" s="1"/>
      <c r="M103" s="1"/>
      <c r="W103" s="1"/>
    </row>
    <row r="104" spans="1:23" x14ac:dyDescent="0.25">
      <c r="A104" s="1"/>
      <c r="L104" s="1"/>
      <c r="M104" s="1"/>
      <c r="W104" s="1"/>
    </row>
    <row r="105" spans="1:23" x14ac:dyDescent="0.25">
      <c r="A105" s="1"/>
      <c r="L105" s="1"/>
      <c r="M105" s="1"/>
      <c r="W105" s="1"/>
    </row>
    <row r="106" spans="1:23" x14ac:dyDescent="0.25">
      <c r="A106" s="1"/>
      <c r="L106" s="1"/>
      <c r="M106" s="1"/>
      <c r="W106" s="1"/>
    </row>
    <row r="107" spans="1:23" x14ac:dyDescent="0.25">
      <c r="A107" s="1"/>
      <c r="L107" s="1"/>
      <c r="M107" s="1"/>
      <c r="W107" s="1"/>
    </row>
    <row r="108" spans="1:23" x14ac:dyDescent="0.25">
      <c r="A108" s="1"/>
      <c r="L108" s="1"/>
      <c r="M108" s="1"/>
      <c r="W108" s="1"/>
    </row>
    <row r="109" spans="1:23" x14ac:dyDescent="0.25">
      <c r="A109" s="1"/>
      <c r="L109" s="1"/>
      <c r="M109" s="1"/>
      <c r="W109" s="1"/>
    </row>
    <row r="110" spans="1:23" x14ac:dyDescent="0.25">
      <c r="A110" s="1"/>
      <c r="L110" s="1"/>
      <c r="M110" s="1"/>
      <c r="W110" s="1"/>
    </row>
    <row r="111" spans="1:23" x14ac:dyDescent="0.25">
      <c r="A111" s="1"/>
      <c r="L111" s="1"/>
      <c r="M111" s="1"/>
      <c r="W111" s="1"/>
    </row>
    <row r="112" spans="1:23" x14ac:dyDescent="0.25">
      <c r="A112" s="1"/>
      <c r="L112" s="1"/>
      <c r="M112" s="1"/>
      <c r="W112" s="1"/>
    </row>
    <row r="113" spans="1:23" x14ac:dyDescent="0.25">
      <c r="A113" s="1"/>
      <c r="L113" s="1"/>
      <c r="M113" s="1"/>
      <c r="W113" s="1"/>
    </row>
    <row r="114" spans="1:23" x14ac:dyDescent="0.25">
      <c r="A114" s="1"/>
      <c r="L114" s="1"/>
      <c r="M114" s="1"/>
      <c r="W114" s="1"/>
    </row>
    <row r="115" spans="1:23" x14ac:dyDescent="0.25">
      <c r="A115" s="1"/>
      <c r="L115" s="1"/>
      <c r="M115" s="1"/>
      <c r="W115" s="1"/>
    </row>
    <row r="116" spans="1:23" x14ac:dyDescent="0.25">
      <c r="A116" s="1"/>
      <c r="L116" s="1"/>
      <c r="M116" s="1"/>
      <c r="W116" s="1"/>
    </row>
    <row r="117" spans="1:23" x14ac:dyDescent="0.25">
      <c r="A117" s="1"/>
      <c r="L117" s="1"/>
      <c r="M117" s="1"/>
      <c r="W117" s="1"/>
    </row>
    <row r="118" spans="1:23" x14ac:dyDescent="0.25">
      <c r="A118" s="1"/>
      <c r="L118" s="1"/>
      <c r="M118" s="1"/>
      <c r="W118" s="1"/>
    </row>
    <row r="119" spans="1:23" x14ac:dyDescent="0.25">
      <c r="A119" s="1"/>
      <c r="L119" s="1"/>
      <c r="M119" s="1"/>
      <c r="W119" s="1"/>
    </row>
    <row r="120" spans="1:23" x14ac:dyDescent="0.25">
      <c r="A120" s="1"/>
      <c r="L120" s="1"/>
      <c r="M120" s="1"/>
      <c r="W120" s="1"/>
    </row>
    <row r="121" spans="1:23" x14ac:dyDescent="0.25">
      <c r="A121" s="1"/>
      <c r="L121" s="1"/>
      <c r="M121" s="1"/>
      <c r="W121" s="1"/>
    </row>
    <row r="122" spans="1:23" x14ac:dyDescent="0.25">
      <c r="A122" s="1"/>
      <c r="L122" s="1"/>
      <c r="M122" s="1"/>
      <c r="W122" s="1"/>
    </row>
    <row r="123" spans="1:23" x14ac:dyDescent="0.25">
      <c r="A123" s="1"/>
      <c r="L123" s="1"/>
      <c r="M123" s="1"/>
      <c r="W123" s="1"/>
    </row>
    <row r="124" spans="1:23" x14ac:dyDescent="0.25">
      <c r="A124" s="1"/>
      <c r="L124" s="1"/>
      <c r="M124" s="1"/>
      <c r="W124" s="1"/>
    </row>
    <row r="125" spans="1:23" x14ac:dyDescent="0.25">
      <c r="A125" s="1"/>
      <c r="L125" s="1"/>
      <c r="M125" s="1"/>
      <c r="W125" s="1"/>
    </row>
    <row r="126" spans="1:23" x14ac:dyDescent="0.25">
      <c r="A126" s="1"/>
      <c r="L126" s="1"/>
      <c r="M126" s="1"/>
      <c r="W126" s="1"/>
    </row>
    <row r="127" spans="1:23" x14ac:dyDescent="0.25">
      <c r="A127" s="1"/>
      <c r="L127" s="1"/>
      <c r="M127" s="1"/>
      <c r="W127" s="1"/>
    </row>
    <row r="128" spans="1:23" x14ac:dyDescent="0.25">
      <c r="A128" s="1"/>
      <c r="L128" s="1"/>
      <c r="M128" s="1"/>
      <c r="W128" s="1"/>
    </row>
    <row r="129" spans="1:23" x14ac:dyDescent="0.25">
      <c r="A129" s="1"/>
      <c r="L129" s="1"/>
      <c r="M129" s="1"/>
      <c r="W129" s="1"/>
    </row>
    <row r="130" spans="1:23" x14ac:dyDescent="0.25">
      <c r="A130" s="1"/>
      <c r="L130" s="1"/>
      <c r="M130" s="1"/>
      <c r="W130" s="1"/>
    </row>
    <row r="131" spans="1:23" x14ac:dyDescent="0.25">
      <c r="A131" s="1"/>
      <c r="L131" s="1"/>
      <c r="M131" s="1"/>
      <c r="W131" s="1"/>
    </row>
    <row r="132" spans="1:23" x14ac:dyDescent="0.25">
      <c r="A132" s="1"/>
      <c r="L132" s="1"/>
      <c r="M132" s="1"/>
      <c r="W132" s="1"/>
    </row>
    <row r="133" spans="1:23" x14ac:dyDescent="0.25">
      <c r="A133" s="1"/>
      <c r="L133" s="1"/>
      <c r="M133" s="1"/>
      <c r="W133" s="1"/>
    </row>
    <row r="134" spans="1:23" x14ac:dyDescent="0.25">
      <c r="A134" s="1"/>
      <c r="L134" s="1"/>
      <c r="M134" s="1"/>
      <c r="W134" s="1"/>
    </row>
    <row r="135" spans="1:23" x14ac:dyDescent="0.25">
      <c r="A135" s="1"/>
      <c r="L135" s="1"/>
      <c r="M135" s="1"/>
      <c r="W135" s="1"/>
    </row>
    <row r="136" spans="1:23" x14ac:dyDescent="0.25">
      <c r="A136" s="1"/>
      <c r="L136" s="1"/>
      <c r="M136" s="1"/>
      <c r="W136" s="1"/>
    </row>
    <row r="137" spans="1:23" x14ac:dyDescent="0.25">
      <c r="A137" s="1"/>
      <c r="L137" s="1"/>
      <c r="M137" s="1"/>
      <c r="W137" s="1"/>
    </row>
    <row r="138" spans="1:23" x14ac:dyDescent="0.25">
      <c r="A138" s="1"/>
      <c r="L138" s="1"/>
      <c r="M138" s="1"/>
      <c r="W138" s="1"/>
    </row>
    <row r="139" spans="1:23" x14ac:dyDescent="0.25">
      <c r="A139" s="1"/>
      <c r="L139" s="1"/>
      <c r="M139" s="1"/>
      <c r="W139" s="1"/>
    </row>
    <row r="140" spans="1:23" x14ac:dyDescent="0.25">
      <c r="A140" s="1"/>
      <c r="L140" s="1"/>
      <c r="M140" s="1"/>
      <c r="W140" s="1"/>
    </row>
    <row r="141" spans="1:23" x14ac:dyDescent="0.25">
      <c r="A141" s="1"/>
      <c r="L141" s="1"/>
      <c r="M141" s="1"/>
      <c r="W141" s="1"/>
    </row>
    <row r="142" spans="1:23" x14ac:dyDescent="0.25">
      <c r="A142" s="1"/>
      <c r="L142" s="1"/>
      <c r="M142" s="1"/>
      <c r="W142" s="1"/>
    </row>
    <row r="143" spans="1:23" x14ac:dyDescent="0.25">
      <c r="A143" s="1"/>
      <c r="L143" s="1"/>
      <c r="M143" s="1"/>
      <c r="W143" s="1"/>
    </row>
    <row r="144" spans="1:23" x14ac:dyDescent="0.25">
      <c r="A144" s="1"/>
      <c r="L144" s="1"/>
      <c r="M144" s="1"/>
      <c r="W144" s="1"/>
    </row>
    <row r="145" spans="1:23" x14ac:dyDescent="0.25">
      <c r="A145" s="1"/>
      <c r="L145" s="1"/>
      <c r="M145" s="1"/>
      <c r="W145" s="1"/>
    </row>
    <row r="146" spans="1:23" x14ac:dyDescent="0.25">
      <c r="A146" s="1"/>
      <c r="L146" s="1"/>
      <c r="M146" s="1"/>
      <c r="W146" s="1"/>
    </row>
    <row r="147" spans="1:23" x14ac:dyDescent="0.25">
      <c r="A147" s="1"/>
      <c r="L147" s="1"/>
      <c r="M147" s="1"/>
      <c r="W147" s="1"/>
    </row>
    <row r="148" spans="1:23" x14ac:dyDescent="0.25">
      <c r="A148" s="1"/>
      <c r="L148" s="1"/>
      <c r="M148" s="1"/>
      <c r="W148" s="1"/>
    </row>
    <row r="149" spans="1:23" x14ac:dyDescent="0.25">
      <c r="A149" s="1"/>
      <c r="L149" s="1"/>
      <c r="M149" s="1"/>
      <c r="W149" s="1"/>
    </row>
    <row r="150" spans="1:23" x14ac:dyDescent="0.25">
      <c r="A150" s="1"/>
      <c r="L150" s="1"/>
      <c r="M150" s="1"/>
      <c r="W150" s="1"/>
    </row>
    <row r="151" spans="1:23" x14ac:dyDescent="0.25">
      <c r="A151" s="1"/>
      <c r="L151" s="1"/>
      <c r="M151" s="1"/>
      <c r="W151" s="1"/>
    </row>
    <row r="152" spans="1:23" x14ac:dyDescent="0.25">
      <c r="A152" s="1"/>
      <c r="L152" s="1"/>
      <c r="M152" s="1"/>
      <c r="W152" s="1"/>
    </row>
    <row r="153" spans="1:23" x14ac:dyDescent="0.25">
      <c r="A153" s="1"/>
      <c r="L153" s="1"/>
      <c r="M153" s="1"/>
      <c r="W153" s="1"/>
    </row>
    <row r="154" spans="1:23" x14ac:dyDescent="0.25">
      <c r="A154" s="1"/>
      <c r="L154" s="1"/>
      <c r="M154" s="1"/>
      <c r="W154" s="1"/>
    </row>
    <row r="155" spans="1:23" x14ac:dyDescent="0.25">
      <c r="A155" s="1"/>
      <c r="L155" s="1"/>
      <c r="M155" s="1"/>
      <c r="W155" s="1"/>
    </row>
    <row r="156" spans="1:23" x14ac:dyDescent="0.25">
      <c r="A156" s="1"/>
      <c r="L156" s="1"/>
      <c r="M156" s="1"/>
      <c r="W156" s="1"/>
    </row>
    <row r="157" spans="1:23" x14ac:dyDescent="0.25">
      <c r="A157" s="1"/>
      <c r="L157" s="1"/>
      <c r="M157" s="1"/>
      <c r="W157" s="1"/>
    </row>
    <row r="158" spans="1:23" x14ac:dyDescent="0.25">
      <c r="A158" s="1"/>
      <c r="L158" s="1"/>
      <c r="M158" s="1"/>
      <c r="W158" s="1"/>
    </row>
    <row r="159" spans="1:23" x14ac:dyDescent="0.25">
      <c r="A159" s="1"/>
      <c r="L159" s="1"/>
      <c r="M159" s="1"/>
      <c r="W159" s="1"/>
    </row>
    <row r="160" spans="1:23" x14ac:dyDescent="0.25">
      <c r="A160" s="1"/>
      <c r="L160" s="1"/>
      <c r="M160" s="1"/>
      <c r="W160" s="1"/>
    </row>
    <row r="161" spans="1:23" x14ac:dyDescent="0.25">
      <c r="A161" s="1"/>
      <c r="L161" s="1"/>
      <c r="M161" s="1"/>
      <c r="W161" s="1"/>
    </row>
    <row r="162" spans="1:23" x14ac:dyDescent="0.25">
      <c r="A162" s="1"/>
      <c r="L162" s="1"/>
      <c r="M162" s="1"/>
      <c r="W162" s="1"/>
    </row>
    <row r="163" spans="1:23" x14ac:dyDescent="0.25">
      <c r="A163" s="1"/>
      <c r="L163" s="1"/>
      <c r="M163" s="1"/>
      <c r="W163" s="1"/>
    </row>
    <row r="164" spans="1:23" x14ac:dyDescent="0.25">
      <c r="A164" s="1"/>
      <c r="L164" s="1"/>
      <c r="M164" s="1"/>
      <c r="W164" s="1"/>
    </row>
    <row r="165" spans="1:23" x14ac:dyDescent="0.25">
      <c r="A165" s="1"/>
      <c r="L165" s="1"/>
      <c r="M165" s="1"/>
      <c r="W165" s="1"/>
    </row>
    <row r="166" spans="1:23" x14ac:dyDescent="0.25">
      <c r="A166" s="1"/>
      <c r="L166" s="1"/>
      <c r="M166" s="1"/>
      <c r="W166" s="1"/>
    </row>
    <row r="167" spans="1:23" x14ac:dyDescent="0.25">
      <c r="A167" s="1"/>
      <c r="L167" s="1"/>
      <c r="M167" s="1"/>
      <c r="W167" s="1"/>
    </row>
    <row r="168" spans="1:23" x14ac:dyDescent="0.25">
      <c r="A168" s="1"/>
      <c r="L168" s="1"/>
      <c r="M168" s="1"/>
      <c r="W168" s="1"/>
    </row>
    <row r="169" spans="1:23" x14ac:dyDescent="0.25">
      <c r="A169" s="1"/>
      <c r="L169" s="1"/>
      <c r="M169" s="1"/>
      <c r="W169" s="1"/>
    </row>
    <row r="170" spans="1:23" x14ac:dyDescent="0.25">
      <c r="A170" s="1"/>
      <c r="L170" s="1"/>
      <c r="M170" s="1"/>
      <c r="W170" s="1"/>
    </row>
    <row r="171" spans="1:23" x14ac:dyDescent="0.25">
      <c r="A171" s="1"/>
      <c r="L171" s="1"/>
      <c r="M171" s="1"/>
      <c r="W171" s="1"/>
    </row>
    <row r="172" spans="1:23" x14ac:dyDescent="0.25">
      <c r="A172" s="1"/>
      <c r="L172" s="1"/>
      <c r="M172" s="1"/>
      <c r="W172" s="1"/>
    </row>
    <row r="173" spans="1:23" x14ac:dyDescent="0.25">
      <c r="A173" s="1"/>
      <c r="L173" s="1"/>
      <c r="M173" s="1"/>
      <c r="W173" s="1"/>
    </row>
    <row r="174" spans="1:23" x14ac:dyDescent="0.25">
      <c r="A174" s="1"/>
      <c r="L174" s="1"/>
      <c r="M174" s="1"/>
      <c r="W174" s="1"/>
    </row>
    <row r="175" spans="1:23" x14ac:dyDescent="0.25">
      <c r="A175" s="1"/>
      <c r="L175" s="1"/>
      <c r="M175" s="1"/>
      <c r="W175" s="1"/>
    </row>
    <row r="176" spans="1:23" x14ac:dyDescent="0.25">
      <c r="A176" s="1"/>
      <c r="L176" s="1"/>
      <c r="M176" s="1"/>
      <c r="W176" s="1"/>
    </row>
    <row r="177" spans="1:23" x14ac:dyDescent="0.25">
      <c r="A177" s="1"/>
      <c r="L177" s="1"/>
      <c r="M177" s="1"/>
      <c r="W177" s="1"/>
    </row>
    <row r="178" spans="1:23" x14ac:dyDescent="0.25">
      <c r="A178" s="1"/>
      <c r="L178" s="1"/>
      <c r="M178" s="1"/>
      <c r="W178" s="1"/>
    </row>
    <row r="179" spans="1:23" x14ac:dyDescent="0.25">
      <c r="A179" s="1"/>
      <c r="L179" s="1"/>
      <c r="M179" s="1"/>
      <c r="W179" s="1"/>
    </row>
    <row r="180" spans="1:23" x14ac:dyDescent="0.25">
      <c r="A180" s="1"/>
      <c r="L180" s="1"/>
      <c r="M180" s="1"/>
      <c r="W180" s="1"/>
    </row>
    <row r="181" spans="1:23" x14ac:dyDescent="0.25">
      <c r="A181" s="1"/>
      <c r="L181" s="1"/>
      <c r="M181" s="1"/>
      <c r="W181" s="1"/>
    </row>
    <row r="182" spans="1:23" x14ac:dyDescent="0.25">
      <c r="A182" s="1"/>
      <c r="L182" s="1"/>
      <c r="M182" s="1"/>
      <c r="W182" s="1"/>
    </row>
    <row r="183" spans="1:23" x14ac:dyDescent="0.25">
      <c r="A183" s="1"/>
      <c r="L183" s="1"/>
      <c r="M183" s="1"/>
      <c r="W183" s="1"/>
    </row>
    <row r="184" spans="1:23" x14ac:dyDescent="0.25">
      <c r="A184" s="1"/>
      <c r="L184" s="1"/>
      <c r="M184" s="1"/>
      <c r="W184" s="1"/>
    </row>
    <row r="185" spans="1:23" x14ac:dyDescent="0.25">
      <c r="A185" s="1"/>
      <c r="L185" s="1"/>
      <c r="M185" s="1"/>
      <c r="W185" s="1"/>
    </row>
    <row r="186" spans="1:23" x14ac:dyDescent="0.25">
      <c r="A186" s="1"/>
      <c r="L186" s="1"/>
      <c r="M186" s="1"/>
      <c r="W186" s="1"/>
    </row>
    <row r="187" spans="1:23" x14ac:dyDescent="0.25">
      <c r="A187" s="1"/>
      <c r="L187" s="1"/>
      <c r="M187" s="1"/>
      <c r="W187" s="1"/>
    </row>
    <row r="188" spans="1:23" x14ac:dyDescent="0.25">
      <c r="A188" s="1"/>
      <c r="L188" s="1"/>
      <c r="M188" s="1"/>
      <c r="W188" s="1"/>
    </row>
    <row r="189" spans="1:23" x14ac:dyDescent="0.25">
      <c r="A189" s="1"/>
      <c r="L189" s="1"/>
      <c r="M189" s="1"/>
      <c r="W189" s="1"/>
    </row>
    <row r="190" spans="1:23" x14ac:dyDescent="0.25">
      <c r="A190" s="1"/>
      <c r="L190" s="1"/>
      <c r="M190" s="1"/>
      <c r="W190" s="1"/>
    </row>
    <row r="191" spans="1:23" x14ac:dyDescent="0.25">
      <c r="A191" s="1"/>
      <c r="L191" s="1"/>
      <c r="M191" s="1"/>
      <c r="W191" s="1"/>
    </row>
    <row r="192" spans="1:23" x14ac:dyDescent="0.25">
      <c r="A192" s="1"/>
      <c r="L192" s="1"/>
      <c r="M192" s="1"/>
      <c r="W192" s="1"/>
    </row>
    <row r="193" spans="1:23" x14ac:dyDescent="0.25">
      <c r="A193" s="1"/>
      <c r="L193" s="1"/>
      <c r="M193" s="1"/>
      <c r="W193" s="1"/>
    </row>
    <row r="194" spans="1:23" x14ac:dyDescent="0.25">
      <c r="A194" s="1"/>
      <c r="L194" s="1"/>
      <c r="M194" s="1"/>
      <c r="W194" s="1"/>
    </row>
    <row r="195" spans="1:23" x14ac:dyDescent="0.25">
      <c r="A195" s="1"/>
      <c r="L195" s="1"/>
      <c r="M195" s="1"/>
      <c r="W195" s="1"/>
    </row>
    <row r="196" spans="1:23" x14ac:dyDescent="0.25">
      <c r="A196" s="1"/>
      <c r="L196" s="1"/>
      <c r="M196" s="1"/>
      <c r="W196" s="1"/>
    </row>
    <row r="197" spans="1:23" x14ac:dyDescent="0.25">
      <c r="A197" s="1"/>
      <c r="L197" s="1"/>
      <c r="M197" s="1"/>
      <c r="W197" s="1"/>
    </row>
    <row r="198" spans="1:23" x14ac:dyDescent="0.25">
      <c r="A198" s="1"/>
      <c r="L198" s="1"/>
      <c r="M198" s="1"/>
      <c r="W198" s="1"/>
    </row>
    <row r="199" spans="1:23" x14ac:dyDescent="0.25">
      <c r="A199" s="1"/>
      <c r="L199" s="1"/>
      <c r="M199" s="1"/>
      <c r="W199" s="1"/>
    </row>
    <row r="200" spans="1:23" x14ac:dyDescent="0.25">
      <c r="A200" s="1"/>
      <c r="L200" s="1"/>
      <c r="M200" s="1"/>
      <c r="W200" s="1"/>
    </row>
    <row r="201" spans="1:23" x14ac:dyDescent="0.25">
      <c r="A201" s="1"/>
      <c r="L201" s="1"/>
      <c r="M201" s="1"/>
      <c r="W201" s="1"/>
    </row>
    <row r="202" spans="1:23" x14ac:dyDescent="0.25">
      <c r="A202" s="1"/>
      <c r="L202" s="1"/>
      <c r="M202" s="1"/>
      <c r="W202" s="1"/>
    </row>
    <row r="203" spans="1:23" x14ac:dyDescent="0.25">
      <c r="A203" s="1"/>
      <c r="L203" s="1"/>
      <c r="M203" s="1"/>
      <c r="W203" s="1"/>
    </row>
    <row r="204" spans="1:23" x14ac:dyDescent="0.25">
      <c r="A204" s="1"/>
      <c r="L204" s="1"/>
      <c r="M204" s="1"/>
      <c r="W204" s="1"/>
    </row>
    <row r="205" spans="1:23" x14ac:dyDescent="0.25">
      <c r="A205" s="1"/>
      <c r="L205" s="1"/>
      <c r="M205" s="1"/>
      <c r="W205" s="1"/>
    </row>
    <row r="206" spans="1:23" x14ac:dyDescent="0.25">
      <c r="A206" s="1"/>
      <c r="L206" s="1"/>
      <c r="M206" s="1"/>
      <c r="W206" s="1"/>
    </row>
    <row r="207" spans="1:23" x14ac:dyDescent="0.25">
      <c r="A207" s="1"/>
      <c r="L207" s="1"/>
      <c r="M207" s="1"/>
      <c r="W207" s="1"/>
    </row>
    <row r="208" spans="1:23" x14ac:dyDescent="0.25">
      <c r="A208" s="1"/>
      <c r="L208" s="1"/>
      <c r="M208" s="1"/>
      <c r="W208" s="1"/>
    </row>
    <row r="209" spans="1:23" x14ac:dyDescent="0.25">
      <c r="A209" s="1"/>
      <c r="L209" s="1"/>
      <c r="M209" s="1"/>
      <c r="W209" s="1"/>
    </row>
    <row r="210" spans="1:23" x14ac:dyDescent="0.25">
      <c r="A210" s="1"/>
      <c r="L210" s="1"/>
      <c r="M210" s="1"/>
      <c r="W210" s="1"/>
    </row>
    <row r="211" spans="1:23" x14ac:dyDescent="0.25">
      <c r="A211" s="1"/>
      <c r="L211" s="1"/>
      <c r="M211" s="1"/>
      <c r="W211" s="1"/>
    </row>
    <row r="212" spans="1:23" x14ac:dyDescent="0.25">
      <c r="A212" s="1"/>
      <c r="L212" s="1"/>
      <c r="M212" s="1"/>
      <c r="W212" s="1"/>
    </row>
    <row r="213" spans="1:23" x14ac:dyDescent="0.25">
      <c r="A213" s="1"/>
      <c r="L213" s="1"/>
      <c r="M213" s="1"/>
      <c r="W213" s="1"/>
    </row>
    <row r="214" spans="1:23" x14ac:dyDescent="0.25">
      <c r="A214" s="1"/>
      <c r="L214" s="1"/>
      <c r="M214" s="1"/>
      <c r="W214" s="1"/>
    </row>
    <row r="215" spans="1:23" x14ac:dyDescent="0.25">
      <c r="A215" s="1"/>
      <c r="L215" s="1"/>
      <c r="M215" s="1"/>
      <c r="W215" s="1"/>
    </row>
    <row r="216" spans="1:23" x14ac:dyDescent="0.25">
      <c r="A216" s="1"/>
      <c r="L216" s="1"/>
      <c r="M216" s="1"/>
      <c r="W216" s="1"/>
    </row>
    <row r="217" spans="1:23" x14ac:dyDescent="0.25">
      <c r="A217" s="1"/>
      <c r="L217" s="1"/>
      <c r="M217" s="1"/>
      <c r="W217" s="1"/>
    </row>
    <row r="218" spans="1:23" x14ac:dyDescent="0.25">
      <c r="A218" s="1"/>
      <c r="L218" s="1"/>
      <c r="M218" s="1"/>
      <c r="W218" s="1"/>
    </row>
    <row r="219" spans="1:23" x14ac:dyDescent="0.25">
      <c r="A219" s="1"/>
      <c r="L219" s="1"/>
      <c r="M219" s="1"/>
      <c r="W219" s="1"/>
    </row>
    <row r="220" spans="1:23" x14ac:dyDescent="0.25">
      <c r="A220" s="1"/>
      <c r="L220" s="1"/>
      <c r="M220" s="1"/>
      <c r="W220" s="1"/>
    </row>
    <row r="221" spans="1:23" x14ac:dyDescent="0.25">
      <c r="A221" s="1"/>
      <c r="L221" s="1"/>
      <c r="M221" s="1"/>
      <c r="W221" s="1"/>
    </row>
    <row r="222" spans="1:23" x14ac:dyDescent="0.25">
      <c r="A222" s="1"/>
      <c r="L222" s="1"/>
      <c r="M222" s="1"/>
      <c r="W222" s="1"/>
    </row>
    <row r="223" spans="1:23" x14ac:dyDescent="0.25">
      <c r="A223" s="1"/>
      <c r="L223" s="1"/>
      <c r="M223" s="1"/>
      <c r="W223" s="1"/>
    </row>
    <row r="224" spans="1:23" x14ac:dyDescent="0.25">
      <c r="A224" s="1"/>
      <c r="L224" s="1"/>
      <c r="M224" s="1"/>
      <c r="W224" s="1"/>
    </row>
    <row r="225" spans="1:23" x14ac:dyDescent="0.25">
      <c r="A225" s="1"/>
      <c r="L225" s="1"/>
      <c r="M225" s="1"/>
      <c r="W225" s="1"/>
    </row>
    <row r="226" spans="1:23" x14ac:dyDescent="0.25">
      <c r="A226" s="1"/>
      <c r="L226" s="1"/>
      <c r="M226" s="1"/>
      <c r="W226" s="1"/>
    </row>
    <row r="227" spans="1:23" x14ac:dyDescent="0.25">
      <c r="A227" s="1"/>
      <c r="L227" s="1"/>
      <c r="M227" s="1"/>
      <c r="W227" s="1"/>
    </row>
    <row r="228" spans="1:23" x14ac:dyDescent="0.25">
      <c r="A228" s="1"/>
      <c r="L228" s="1"/>
      <c r="M228" s="1"/>
      <c r="W228" s="1"/>
    </row>
    <row r="229" spans="1:23" x14ac:dyDescent="0.25">
      <c r="A229" s="1"/>
      <c r="L229" s="1"/>
      <c r="M229" s="1"/>
      <c r="W229" s="1"/>
    </row>
    <row r="230" spans="1:23" x14ac:dyDescent="0.25">
      <c r="A230" s="1"/>
      <c r="L230" s="1"/>
      <c r="M230" s="1"/>
      <c r="W230" s="1"/>
    </row>
    <row r="231" spans="1:23" x14ac:dyDescent="0.25">
      <c r="A231" s="1"/>
      <c r="L231" s="1"/>
      <c r="M231" s="1"/>
      <c r="W231" s="1"/>
    </row>
    <row r="232" spans="1:23" x14ac:dyDescent="0.25">
      <c r="A232" s="1"/>
      <c r="L232" s="1"/>
      <c r="M232" s="1"/>
      <c r="W232" s="1"/>
    </row>
    <row r="233" spans="1:23" x14ac:dyDescent="0.25">
      <c r="A233" s="1"/>
      <c r="L233" s="1"/>
      <c r="M233" s="1"/>
      <c r="W233" s="1"/>
    </row>
    <row r="234" spans="1:23" x14ac:dyDescent="0.25">
      <c r="A234" s="1"/>
      <c r="L234" s="1"/>
      <c r="M234" s="1"/>
      <c r="W234" s="1"/>
    </row>
    <row r="235" spans="1:23" x14ac:dyDescent="0.25">
      <c r="A235" s="1"/>
      <c r="L235" s="1"/>
      <c r="M235" s="1"/>
      <c r="W235" s="1"/>
    </row>
    <row r="236" spans="1:23" x14ac:dyDescent="0.25">
      <c r="A236" s="1"/>
      <c r="L236" s="1"/>
      <c r="M236" s="1"/>
      <c r="W236" s="1"/>
    </row>
    <row r="237" spans="1:23" x14ac:dyDescent="0.25">
      <c r="A237" s="1"/>
      <c r="L237" s="1"/>
      <c r="M237" s="1"/>
      <c r="W237" s="1"/>
    </row>
    <row r="238" spans="1:23" x14ac:dyDescent="0.25">
      <c r="A238" s="1"/>
      <c r="L238" s="1"/>
      <c r="M238" s="1"/>
      <c r="W238" s="1"/>
    </row>
    <row r="239" spans="1:23" x14ac:dyDescent="0.25">
      <c r="A239" s="1"/>
      <c r="L239" s="1"/>
      <c r="M239" s="1"/>
      <c r="W239" s="1"/>
    </row>
    <row r="240" spans="1:23" x14ac:dyDescent="0.25">
      <c r="A240" s="1"/>
      <c r="L240" s="1"/>
      <c r="M240" s="1"/>
      <c r="W240" s="1"/>
    </row>
    <row r="241" spans="1:23" x14ac:dyDescent="0.25">
      <c r="A241" s="1"/>
      <c r="L241" s="1"/>
      <c r="M241" s="1"/>
      <c r="W241" s="1"/>
    </row>
    <row r="242" spans="1:23" x14ac:dyDescent="0.25">
      <c r="A242" s="1"/>
      <c r="L242" s="1"/>
      <c r="M242" s="1"/>
      <c r="W242" s="1"/>
    </row>
    <row r="243" spans="1:23" x14ac:dyDescent="0.25">
      <c r="A243" s="1"/>
      <c r="L243" s="1"/>
      <c r="M243" s="1"/>
      <c r="W243" s="1"/>
    </row>
    <row r="244" spans="1:23" x14ac:dyDescent="0.25">
      <c r="A244" s="1"/>
      <c r="L244" s="1"/>
      <c r="M244" s="1"/>
      <c r="W244" s="1"/>
    </row>
    <row r="245" spans="1:23" x14ac:dyDescent="0.25">
      <c r="A245" s="1"/>
      <c r="L245" s="1"/>
      <c r="M245" s="1"/>
      <c r="W245" s="1"/>
    </row>
    <row r="246" spans="1:23" x14ac:dyDescent="0.25">
      <c r="A246" s="1"/>
      <c r="L246" s="1"/>
      <c r="M246" s="1"/>
      <c r="W246" s="1"/>
    </row>
    <row r="247" spans="1:23" x14ac:dyDescent="0.25">
      <c r="A247" s="1"/>
      <c r="L247" s="1"/>
      <c r="M247" s="1"/>
      <c r="W247" s="1"/>
    </row>
    <row r="248" spans="1:23" x14ac:dyDescent="0.25">
      <c r="A248" s="1"/>
      <c r="L248" s="1"/>
      <c r="M248" s="1"/>
      <c r="W248" s="1"/>
    </row>
    <row r="249" spans="1:23" x14ac:dyDescent="0.25">
      <c r="A249" s="1"/>
      <c r="L249" s="1"/>
      <c r="M249" s="1"/>
      <c r="W249" s="1"/>
    </row>
    <row r="250" spans="1:23" x14ac:dyDescent="0.25">
      <c r="A250" s="1"/>
      <c r="L250" s="1"/>
      <c r="M250" s="1"/>
      <c r="W250" s="1"/>
    </row>
    <row r="251" spans="1:23" x14ac:dyDescent="0.25">
      <c r="A251" s="1"/>
      <c r="L251" s="1"/>
      <c r="M251" s="1"/>
      <c r="W251" s="1"/>
    </row>
    <row r="252" spans="1:23" x14ac:dyDescent="0.25">
      <c r="A252" s="1"/>
      <c r="L252" s="1"/>
      <c r="M252" s="1"/>
      <c r="W252" s="1"/>
    </row>
    <row r="253" spans="1:23" x14ac:dyDescent="0.25">
      <c r="A253" s="1"/>
      <c r="L253" s="1"/>
      <c r="M253" s="1"/>
      <c r="W253" s="1"/>
    </row>
    <row r="254" spans="1:23" x14ac:dyDescent="0.25">
      <c r="A254" s="1"/>
      <c r="L254" s="1"/>
      <c r="M254" s="1"/>
      <c r="W254" s="1"/>
    </row>
    <row r="255" spans="1:23" x14ac:dyDescent="0.25">
      <c r="A255" s="1"/>
      <c r="L255" s="1"/>
      <c r="M255" s="1"/>
      <c r="W255" s="1"/>
    </row>
    <row r="256" spans="1:23" x14ac:dyDescent="0.25">
      <c r="A256" s="1"/>
      <c r="L256" s="1"/>
      <c r="M256" s="1"/>
      <c r="W256" s="1"/>
    </row>
    <row r="257" spans="1:23" x14ac:dyDescent="0.25">
      <c r="A257" s="1"/>
      <c r="L257" s="1"/>
      <c r="M257" s="1"/>
      <c r="W257" s="1"/>
    </row>
    <row r="258" spans="1:23" x14ac:dyDescent="0.25">
      <c r="A258" s="1"/>
      <c r="L258" s="1"/>
      <c r="M258" s="1"/>
      <c r="W258" s="1"/>
    </row>
    <row r="259" spans="1:23" x14ac:dyDescent="0.25">
      <c r="A259" s="1"/>
      <c r="L259" s="1"/>
      <c r="M259" s="1"/>
      <c r="W259" s="1"/>
    </row>
    <row r="260" spans="1:23" x14ac:dyDescent="0.25">
      <c r="A260" s="1"/>
      <c r="L260" s="1"/>
      <c r="M260" s="1"/>
      <c r="W260" s="1"/>
    </row>
    <row r="261" spans="1:23" x14ac:dyDescent="0.25">
      <c r="A261" s="1"/>
      <c r="L261" s="1"/>
      <c r="M261" s="1"/>
      <c r="W261" s="1"/>
    </row>
    <row r="262" spans="1:23" x14ac:dyDescent="0.25">
      <c r="A262" s="1"/>
      <c r="L262" s="1"/>
      <c r="M262" s="1"/>
      <c r="W262" s="1"/>
    </row>
    <row r="263" spans="1:23" x14ac:dyDescent="0.25">
      <c r="A263" s="1"/>
      <c r="L263" s="1"/>
      <c r="M263" s="1"/>
      <c r="W263" s="1"/>
    </row>
    <row r="264" spans="1:23" x14ac:dyDescent="0.25">
      <c r="A264" s="1"/>
      <c r="L264" s="1"/>
      <c r="M264" s="1"/>
      <c r="W264" s="1"/>
    </row>
    <row r="265" spans="1:23" x14ac:dyDescent="0.25">
      <c r="A265" s="1"/>
      <c r="L265" s="1"/>
      <c r="M265" s="1"/>
      <c r="W265" s="1"/>
    </row>
    <row r="266" spans="1:23" x14ac:dyDescent="0.25">
      <c r="A266" s="1"/>
      <c r="L266" s="1"/>
      <c r="M266" s="1"/>
      <c r="W266" s="1"/>
    </row>
    <row r="267" spans="1:23" x14ac:dyDescent="0.25">
      <c r="A267" s="1"/>
      <c r="L267" s="1"/>
      <c r="M267" s="1"/>
      <c r="W267" s="1"/>
    </row>
    <row r="268" spans="1:23" x14ac:dyDescent="0.25">
      <c r="A268" s="1"/>
      <c r="L268" s="1"/>
      <c r="M268" s="1"/>
      <c r="W268" s="1"/>
    </row>
    <row r="269" spans="1:23" x14ac:dyDescent="0.25">
      <c r="A269" s="1"/>
      <c r="L269" s="1"/>
      <c r="M269" s="1"/>
      <c r="W269" s="1"/>
    </row>
    <row r="270" spans="1:23" x14ac:dyDescent="0.25">
      <c r="A270" s="1"/>
      <c r="L270" s="1"/>
      <c r="M270" s="1"/>
      <c r="W270" s="1"/>
    </row>
    <row r="271" spans="1:23" x14ac:dyDescent="0.25">
      <c r="A271" s="1"/>
      <c r="L271" s="1"/>
      <c r="M271" s="1"/>
      <c r="W271" s="1"/>
    </row>
    <row r="272" spans="1:23" x14ac:dyDescent="0.25">
      <c r="A272" s="1"/>
      <c r="L272" s="1"/>
      <c r="M272" s="1"/>
      <c r="W272" s="1"/>
    </row>
    <row r="273" spans="1:23" x14ac:dyDescent="0.25">
      <c r="A273" s="1"/>
      <c r="L273" s="1"/>
      <c r="M273" s="1"/>
      <c r="W273" s="1"/>
    </row>
    <row r="274" spans="1:23" x14ac:dyDescent="0.25">
      <c r="A274" s="1"/>
      <c r="L274" s="1"/>
      <c r="M274" s="1"/>
      <c r="W274" s="1"/>
    </row>
    <row r="275" spans="1:23" x14ac:dyDescent="0.25">
      <c r="A275" s="1"/>
      <c r="L275" s="1"/>
      <c r="M275" s="1"/>
      <c r="W275" s="1"/>
    </row>
    <row r="276" spans="1:23" x14ac:dyDescent="0.25">
      <c r="A276" s="1"/>
      <c r="L276" s="1"/>
      <c r="M276" s="1"/>
      <c r="W276" s="1"/>
    </row>
    <row r="277" spans="1:23" x14ac:dyDescent="0.25">
      <c r="A277" s="1"/>
      <c r="L277" s="1"/>
      <c r="M277" s="1"/>
      <c r="W277" s="1"/>
    </row>
    <row r="278" spans="1:23" x14ac:dyDescent="0.25">
      <c r="A278" s="1"/>
      <c r="L278" s="1"/>
      <c r="M278" s="1"/>
      <c r="W278" s="1"/>
    </row>
    <row r="279" spans="1:23" x14ac:dyDescent="0.25">
      <c r="A279" s="1"/>
      <c r="L279" s="1"/>
      <c r="M279" s="1"/>
      <c r="W279" s="1"/>
    </row>
    <row r="280" spans="1:23" x14ac:dyDescent="0.25">
      <c r="A280" s="1"/>
      <c r="L280" s="1"/>
      <c r="M280" s="1"/>
      <c r="W280" s="1"/>
    </row>
    <row r="281" spans="1:23" x14ac:dyDescent="0.25">
      <c r="A281" s="1"/>
      <c r="L281" s="1"/>
      <c r="M281" s="1"/>
      <c r="W281" s="1"/>
    </row>
    <row r="282" spans="1:23" x14ac:dyDescent="0.25">
      <c r="A282" s="1"/>
      <c r="L282" s="1"/>
      <c r="M282" s="1"/>
      <c r="W282" s="1"/>
    </row>
    <row r="283" spans="1:23" x14ac:dyDescent="0.25">
      <c r="A283" s="1"/>
      <c r="L283" s="1"/>
      <c r="M283" s="1"/>
      <c r="W283" s="1"/>
    </row>
    <row r="284" spans="1:23" x14ac:dyDescent="0.25">
      <c r="A284" s="1"/>
      <c r="L284" s="1"/>
      <c r="M284" s="1"/>
      <c r="W284" s="1"/>
    </row>
    <row r="285" spans="1:23" x14ac:dyDescent="0.25">
      <c r="A285" s="1"/>
      <c r="L285" s="1"/>
      <c r="M285" s="1"/>
      <c r="W285" s="1"/>
    </row>
    <row r="286" spans="1:23" x14ac:dyDescent="0.25">
      <c r="A286" s="1"/>
      <c r="L286" s="1"/>
      <c r="M286" s="1"/>
      <c r="W286" s="1"/>
    </row>
    <row r="287" spans="1:23" x14ac:dyDescent="0.25">
      <c r="A287" s="1"/>
      <c r="L287" s="1"/>
      <c r="M287" s="1"/>
      <c r="W287" s="1"/>
    </row>
    <row r="288" spans="1:23" x14ac:dyDescent="0.25">
      <c r="A288" s="1"/>
      <c r="L288" s="1"/>
      <c r="M288" s="1"/>
      <c r="W288" s="1"/>
    </row>
    <row r="289" spans="1:23" x14ac:dyDescent="0.25">
      <c r="A289" s="1"/>
      <c r="L289" s="1"/>
      <c r="M289" s="1"/>
      <c r="W289" s="1"/>
    </row>
    <row r="290" spans="1:23" x14ac:dyDescent="0.25">
      <c r="A290" s="1"/>
      <c r="L290" s="1"/>
      <c r="M290" s="1"/>
      <c r="W290" s="1"/>
    </row>
    <row r="291" spans="1:23" x14ac:dyDescent="0.25">
      <c r="A291" s="1"/>
      <c r="L291" s="1"/>
      <c r="M291" s="1"/>
      <c r="W291" s="1"/>
    </row>
    <row r="292" spans="1:23" x14ac:dyDescent="0.25">
      <c r="A292" s="1"/>
      <c r="L292" s="1"/>
      <c r="M292" s="1"/>
      <c r="W292" s="1"/>
    </row>
    <row r="293" spans="1:23" x14ac:dyDescent="0.25">
      <c r="A293" s="1"/>
      <c r="L293" s="1"/>
      <c r="M293" s="1"/>
      <c r="W293" s="1"/>
    </row>
    <row r="294" spans="1:23" x14ac:dyDescent="0.25">
      <c r="A294" s="1"/>
      <c r="L294" s="1"/>
      <c r="M294" s="1"/>
      <c r="W294" s="1"/>
    </row>
    <row r="295" spans="1:23" x14ac:dyDescent="0.25">
      <c r="A295" s="1"/>
      <c r="L295" s="1"/>
      <c r="M295" s="1"/>
      <c r="W295" s="1"/>
    </row>
    <row r="296" spans="1:23" x14ac:dyDescent="0.25">
      <c r="A296" s="1"/>
      <c r="L296" s="1"/>
      <c r="M296" s="1"/>
      <c r="W296" s="1"/>
    </row>
    <row r="297" spans="1:23" x14ac:dyDescent="0.25">
      <c r="A297" s="1"/>
      <c r="L297" s="1"/>
      <c r="M297" s="1"/>
      <c r="W297" s="1"/>
    </row>
    <row r="298" spans="1:23" x14ac:dyDescent="0.25">
      <c r="A298" s="1"/>
      <c r="L298" s="1"/>
      <c r="M298" s="1"/>
      <c r="W298" s="1"/>
    </row>
    <row r="299" spans="1:23" x14ac:dyDescent="0.25">
      <c r="A299" s="1"/>
      <c r="L299" s="1"/>
      <c r="M299" s="1"/>
      <c r="W299" s="1"/>
    </row>
    <row r="300" spans="1:23" x14ac:dyDescent="0.25">
      <c r="A300" s="1"/>
      <c r="L300" s="1"/>
      <c r="M300" s="1"/>
      <c r="W300" s="1"/>
    </row>
    <row r="301" spans="1:23" x14ac:dyDescent="0.25">
      <c r="A301" s="1"/>
      <c r="L301" s="1"/>
      <c r="M301" s="1"/>
      <c r="W301" s="1"/>
    </row>
    <row r="302" spans="1:23" x14ac:dyDescent="0.25">
      <c r="A302" s="1"/>
      <c r="L302" s="1"/>
      <c r="M302" s="1"/>
      <c r="W302" s="1"/>
    </row>
    <row r="303" spans="1:23" x14ac:dyDescent="0.25">
      <c r="A303" s="1"/>
      <c r="L303" s="1"/>
      <c r="M303" s="1"/>
      <c r="W303" s="1"/>
    </row>
    <row r="304" spans="1:23" x14ac:dyDescent="0.25">
      <c r="A304" s="1"/>
      <c r="L304" s="1"/>
      <c r="M304" s="1"/>
      <c r="W304" s="1"/>
    </row>
    <row r="305" spans="1:23" x14ac:dyDescent="0.25">
      <c r="A305" s="1"/>
      <c r="L305" s="1"/>
      <c r="M305" s="1"/>
      <c r="W305" s="1"/>
    </row>
    <row r="306" spans="1:23" x14ac:dyDescent="0.25">
      <c r="A306" s="1"/>
      <c r="L306" s="1"/>
      <c r="M306" s="1"/>
      <c r="W306" s="1"/>
    </row>
    <row r="307" spans="1:23" x14ac:dyDescent="0.25">
      <c r="A307" s="1"/>
      <c r="L307" s="1"/>
      <c r="M307" s="1"/>
      <c r="W307" s="1"/>
    </row>
    <row r="308" spans="1:23" x14ac:dyDescent="0.25">
      <c r="A308" s="1"/>
      <c r="L308" s="1"/>
      <c r="M308" s="1"/>
      <c r="W308" s="1"/>
    </row>
    <row r="309" spans="1:23" x14ac:dyDescent="0.25">
      <c r="A309" s="1"/>
      <c r="L309" s="1"/>
      <c r="M309" s="1"/>
      <c r="W309" s="1"/>
    </row>
    <row r="310" spans="1:23" x14ac:dyDescent="0.25">
      <c r="A310" s="1"/>
      <c r="L310" s="1"/>
      <c r="M310" s="1"/>
      <c r="W310" s="1"/>
    </row>
    <row r="311" spans="1:23" x14ac:dyDescent="0.25">
      <c r="A311" s="1"/>
      <c r="L311" s="1"/>
      <c r="M311" s="1"/>
      <c r="W311" s="1"/>
    </row>
    <row r="312" spans="1:23" x14ac:dyDescent="0.25">
      <c r="A312" s="1"/>
      <c r="L312" s="1"/>
      <c r="M312" s="1"/>
      <c r="W312" s="1"/>
    </row>
    <row r="313" spans="1:23" x14ac:dyDescent="0.25">
      <c r="A313" s="1"/>
      <c r="L313" s="1"/>
      <c r="M313" s="1"/>
      <c r="W313" s="1"/>
    </row>
    <row r="314" spans="1:23" x14ac:dyDescent="0.25">
      <c r="A314" s="1"/>
      <c r="L314" s="1"/>
      <c r="M314" s="1"/>
      <c r="W314" s="1"/>
    </row>
    <row r="315" spans="1:23" x14ac:dyDescent="0.25">
      <c r="A315" s="1"/>
      <c r="L315" s="1"/>
      <c r="M315" s="1"/>
      <c r="W315" s="1"/>
    </row>
    <row r="316" spans="1:23" x14ac:dyDescent="0.25">
      <c r="A316" s="1"/>
      <c r="L316" s="1"/>
      <c r="M316" s="1"/>
      <c r="W316" s="1"/>
    </row>
    <row r="317" spans="1:23" x14ac:dyDescent="0.25">
      <c r="A317" s="1"/>
      <c r="L317" s="1"/>
      <c r="M317" s="1"/>
      <c r="W317" s="1"/>
    </row>
    <row r="318" spans="1:23" x14ac:dyDescent="0.25">
      <c r="A318" s="1"/>
      <c r="L318" s="1"/>
      <c r="M318" s="1"/>
      <c r="W318" s="1"/>
    </row>
    <row r="319" spans="1:23" x14ac:dyDescent="0.25">
      <c r="A319" s="1"/>
      <c r="L319" s="1"/>
      <c r="M319" s="1"/>
      <c r="W319" s="1"/>
    </row>
    <row r="320" spans="1:23" x14ac:dyDescent="0.25">
      <c r="A320" s="1"/>
      <c r="L320" s="1"/>
      <c r="M320" s="1"/>
      <c r="W320" s="1"/>
    </row>
    <row r="321" spans="1:23" x14ac:dyDescent="0.25">
      <c r="A321" s="1"/>
      <c r="L321" s="1"/>
      <c r="M321" s="1"/>
      <c r="W321" s="1"/>
    </row>
    <row r="322" spans="1:23" x14ac:dyDescent="0.25">
      <c r="A322" s="1"/>
      <c r="L322" s="1"/>
      <c r="M322" s="1"/>
      <c r="W322" s="1"/>
    </row>
    <row r="323" spans="1:23" x14ac:dyDescent="0.25">
      <c r="A323" s="1"/>
      <c r="L323" s="1"/>
      <c r="M323" s="1"/>
      <c r="W323" s="1"/>
    </row>
    <row r="324" spans="1:23" x14ac:dyDescent="0.25">
      <c r="A324" s="1"/>
      <c r="L324" s="1"/>
      <c r="M324" s="1"/>
      <c r="W324" s="1"/>
    </row>
    <row r="325" spans="1:23" x14ac:dyDescent="0.25">
      <c r="A325" s="1"/>
      <c r="L325" s="1"/>
      <c r="M325" s="1"/>
      <c r="W325" s="1"/>
    </row>
    <row r="326" spans="1:23" x14ac:dyDescent="0.25">
      <c r="A326" s="1"/>
      <c r="L326" s="1"/>
      <c r="M326" s="1"/>
      <c r="W326" s="1"/>
    </row>
    <row r="327" spans="1:23" x14ac:dyDescent="0.25">
      <c r="A327" s="1"/>
      <c r="L327" s="1"/>
      <c r="M327" s="1"/>
      <c r="W327" s="1"/>
    </row>
    <row r="328" spans="1:23" x14ac:dyDescent="0.25">
      <c r="A328" s="1"/>
      <c r="L328" s="1"/>
      <c r="M328" s="1"/>
      <c r="W328" s="1"/>
    </row>
    <row r="329" spans="1:23" x14ac:dyDescent="0.25">
      <c r="A329" s="1"/>
      <c r="L329" s="1"/>
      <c r="M329" s="1"/>
      <c r="W329" s="1"/>
    </row>
    <row r="330" spans="1:23" x14ac:dyDescent="0.25">
      <c r="A330" s="1"/>
      <c r="L330" s="1"/>
      <c r="M330" s="1"/>
      <c r="W330" s="1"/>
    </row>
    <row r="331" spans="1:23" x14ac:dyDescent="0.25">
      <c r="A331" s="1"/>
      <c r="L331" s="1"/>
      <c r="M331" s="1"/>
      <c r="W331" s="1"/>
    </row>
    <row r="332" spans="1:23" x14ac:dyDescent="0.25">
      <c r="A332" s="1"/>
      <c r="L332" s="1"/>
      <c r="M332" s="1"/>
      <c r="W332" s="1"/>
    </row>
    <row r="333" spans="1:23" x14ac:dyDescent="0.25">
      <c r="A333" s="1"/>
      <c r="L333" s="1"/>
      <c r="M333" s="1"/>
      <c r="W333" s="1"/>
    </row>
    <row r="334" spans="1:23" x14ac:dyDescent="0.25">
      <c r="A334" s="1"/>
      <c r="L334" s="1"/>
      <c r="M334" s="1"/>
      <c r="W334" s="1"/>
    </row>
    <row r="335" spans="1:23" x14ac:dyDescent="0.25">
      <c r="A335" s="1"/>
      <c r="L335" s="1"/>
      <c r="M335" s="1"/>
      <c r="W335" s="1"/>
    </row>
    <row r="336" spans="1:23" x14ac:dyDescent="0.25">
      <c r="A336" s="1"/>
      <c r="L336" s="1"/>
      <c r="M336" s="1"/>
      <c r="W336" s="1"/>
    </row>
    <row r="337" spans="1:23" x14ac:dyDescent="0.25">
      <c r="A337" s="1"/>
      <c r="L337" s="1"/>
      <c r="M337" s="1"/>
      <c r="W337" s="1"/>
    </row>
    <row r="338" spans="1:23" x14ac:dyDescent="0.25">
      <c r="A338" s="1"/>
      <c r="L338" s="1"/>
      <c r="M338" s="1"/>
      <c r="W338" s="1"/>
    </row>
    <row r="339" spans="1:23" x14ac:dyDescent="0.25">
      <c r="A339" s="1"/>
      <c r="L339" s="1"/>
      <c r="M339" s="1"/>
      <c r="W339" s="1"/>
    </row>
    <row r="340" spans="1:23" x14ac:dyDescent="0.25">
      <c r="A340" s="1"/>
      <c r="L340" s="1"/>
      <c r="M340" s="1"/>
      <c r="W340" s="1"/>
    </row>
    <row r="341" spans="1:23" x14ac:dyDescent="0.25">
      <c r="A341" s="1"/>
      <c r="L341" s="1"/>
      <c r="M341" s="1"/>
      <c r="W341" s="1"/>
    </row>
    <row r="342" spans="1:23" x14ac:dyDescent="0.25">
      <c r="A342" s="1"/>
      <c r="L342" s="1"/>
      <c r="M342" s="1"/>
      <c r="W342" s="1"/>
    </row>
    <row r="343" spans="1:23" x14ac:dyDescent="0.25">
      <c r="A343" s="1"/>
      <c r="L343" s="1"/>
      <c r="M343" s="1"/>
      <c r="W343" s="1"/>
    </row>
    <row r="344" spans="1:23" x14ac:dyDescent="0.25">
      <c r="A344" s="1"/>
      <c r="L344" s="1"/>
      <c r="M344" s="1"/>
      <c r="W344" s="1"/>
    </row>
    <row r="345" spans="1:23" x14ac:dyDescent="0.25">
      <c r="A345" s="1"/>
      <c r="L345" s="1"/>
      <c r="M345" s="1"/>
      <c r="W345" s="1"/>
    </row>
    <row r="346" spans="1:23" x14ac:dyDescent="0.25">
      <c r="A346" s="1"/>
      <c r="L346" s="1"/>
      <c r="M346" s="1"/>
      <c r="W346" s="1"/>
    </row>
    <row r="347" spans="1:23" x14ac:dyDescent="0.25">
      <c r="A347" s="1"/>
      <c r="L347" s="1"/>
      <c r="M347" s="1"/>
      <c r="W347" s="1"/>
    </row>
    <row r="348" spans="1:23" x14ac:dyDescent="0.25">
      <c r="A348" s="1"/>
      <c r="L348" s="1"/>
      <c r="M348" s="1"/>
      <c r="W348" s="1"/>
    </row>
    <row r="349" spans="1:23" x14ac:dyDescent="0.25">
      <c r="A349" s="1"/>
      <c r="L349" s="1"/>
      <c r="M349" s="1"/>
      <c r="W349" s="1"/>
    </row>
    <row r="350" spans="1:23" x14ac:dyDescent="0.25">
      <c r="A350" s="1"/>
      <c r="L350" s="1"/>
      <c r="M350" s="1"/>
      <c r="W350" s="1"/>
    </row>
    <row r="351" spans="1:23" x14ac:dyDescent="0.25">
      <c r="A351" s="1"/>
      <c r="L351" s="1"/>
      <c r="M351" s="1"/>
      <c r="W351" s="1"/>
    </row>
    <row r="352" spans="1:23" x14ac:dyDescent="0.25">
      <c r="A352" s="1"/>
      <c r="L352" s="1"/>
      <c r="M352" s="1"/>
      <c r="W352" s="1"/>
    </row>
    <row r="353" spans="1:23" x14ac:dyDescent="0.25">
      <c r="A353" s="1"/>
      <c r="L353" s="1"/>
      <c r="M353" s="1"/>
      <c r="W353" s="1"/>
    </row>
    <row r="354" spans="1:23" x14ac:dyDescent="0.25">
      <c r="A354" s="1"/>
      <c r="L354" s="1"/>
      <c r="M354" s="1"/>
      <c r="W354" s="1"/>
    </row>
    <row r="355" spans="1:23" x14ac:dyDescent="0.25">
      <c r="A355" s="1"/>
      <c r="L355" s="1"/>
      <c r="M355" s="1"/>
      <c r="W355" s="1"/>
    </row>
    <row r="356" spans="1:23" x14ac:dyDescent="0.25">
      <c r="A356" s="1"/>
      <c r="L356" s="1"/>
      <c r="M356" s="1"/>
      <c r="W356" s="1"/>
    </row>
    <row r="357" spans="1:23" x14ac:dyDescent="0.25">
      <c r="A357" s="1"/>
      <c r="L357" s="1"/>
      <c r="M357" s="1"/>
      <c r="W357" s="1"/>
    </row>
    <row r="358" spans="1:23" x14ac:dyDescent="0.25">
      <c r="A358" s="1"/>
      <c r="L358" s="1"/>
      <c r="M358" s="1"/>
      <c r="W358" s="1"/>
    </row>
    <row r="359" spans="1:23" x14ac:dyDescent="0.25">
      <c r="A359" s="1"/>
      <c r="L359" s="1"/>
      <c r="M359" s="1"/>
      <c r="W359" s="1"/>
    </row>
    <row r="360" spans="1:23" x14ac:dyDescent="0.25">
      <c r="A360" s="1"/>
      <c r="L360" s="1"/>
      <c r="M360" s="1"/>
      <c r="W360" s="1"/>
    </row>
    <row r="361" spans="1:23" x14ac:dyDescent="0.25">
      <c r="A361" s="1"/>
      <c r="L361" s="1"/>
      <c r="M361" s="1"/>
      <c r="W361" s="1"/>
    </row>
    <row r="362" spans="1:23" x14ac:dyDescent="0.25">
      <c r="A362" s="1"/>
      <c r="L362" s="1"/>
      <c r="M362" s="1"/>
      <c r="W362" s="1"/>
    </row>
    <row r="363" spans="1:23" x14ac:dyDescent="0.25">
      <c r="A363" s="1"/>
      <c r="L363" s="1"/>
      <c r="M363" s="1"/>
      <c r="W363" s="1"/>
    </row>
    <row r="364" spans="1:23" x14ac:dyDescent="0.25">
      <c r="A364" s="1"/>
      <c r="L364" s="1"/>
      <c r="M364" s="1"/>
      <c r="W364" s="1"/>
    </row>
    <row r="365" spans="1:23" x14ac:dyDescent="0.25">
      <c r="A365" s="1"/>
      <c r="L365" s="1"/>
      <c r="M365" s="1"/>
      <c r="W365" s="1"/>
    </row>
    <row r="366" spans="1:23" x14ac:dyDescent="0.25">
      <c r="A366" s="1"/>
      <c r="L366" s="1"/>
      <c r="M366" s="1"/>
      <c r="W366" s="1"/>
    </row>
    <row r="367" spans="1:23" x14ac:dyDescent="0.25">
      <c r="A367" s="1"/>
      <c r="L367" s="1"/>
      <c r="M367" s="1"/>
      <c r="W367" s="1"/>
    </row>
    <row r="368" spans="1:23" x14ac:dyDescent="0.25">
      <c r="A368" s="1"/>
      <c r="L368" s="1"/>
      <c r="M368" s="1"/>
      <c r="W368" s="1"/>
    </row>
    <row r="369" spans="1:23" x14ac:dyDescent="0.25">
      <c r="A369" s="1"/>
      <c r="L369" s="1"/>
      <c r="M369" s="1"/>
      <c r="W369" s="1"/>
    </row>
    <row r="370" spans="1:23" x14ac:dyDescent="0.25">
      <c r="A370" s="1"/>
      <c r="L370" s="1"/>
      <c r="M370" s="1"/>
      <c r="W370" s="1"/>
    </row>
    <row r="371" spans="1:23" x14ac:dyDescent="0.25">
      <c r="A371" s="1"/>
      <c r="L371" s="1"/>
      <c r="M371" s="1"/>
      <c r="W371" s="1"/>
    </row>
    <row r="372" spans="1:23" x14ac:dyDescent="0.25">
      <c r="A372" s="1"/>
      <c r="L372" s="1"/>
      <c r="M372" s="1"/>
      <c r="W372" s="1"/>
    </row>
    <row r="373" spans="1:23" x14ac:dyDescent="0.25">
      <c r="A373" s="1"/>
      <c r="L373" s="1"/>
      <c r="M373" s="1"/>
      <c r="W373" s="1"/>
    </row>
    <row r="374" spans="1:23" x14ac:dyDescent="0.25">
      <c r="A374" s="1"/>
      <c r="L374" s="1"/>
      <c r="M374" s="1"/>
      <c r="W374" s="1"/>
    </row>
    <row r="375" spans="1:23" x14ac:dyDescent="0.25">
      <c r="A375" s="1"/>
      <c r="L375" s="1"/>
      <c r="M375" s="1"/>
      <c r="W375" s="1"/>
    </row>
    <row r="376" spans="1:23" x14ac:dyDescent="0.25">
      <c r="A376" s="1"/>
      <c r="L376" s="1"/>
      <c r="M376" s="1"/>
      <c r="W376" s="1"/>
    </row>
    <row r="377" spans="1:23" x14ac:dyDescent="0.25">
      <c r="A377" s="1"/>
      <c r="L377" s="1"/>
      <c r="M377" s="1"/>
      <c r="W377" s="1"/>
    </row>
    <row r="378" spans="1:23" x14ac:dyDescent="0.25">
      <c r="A378" s="1"/>
      <c r="L378" s="1"/>
      <c r="M378" s="1"/>
      <c r="W378" s="1"/>
    </row>
    <row r="379" spans="1:23" x14ac:dyDescent="0.25">
      <c r="A379" s="1"/>
      <c r="L379" s="1"/>
      <c r="M379" s="1"/>
      <c r="W379" s="1"/>
    </row>
    <row r="380" spans="1:23" x14ac:dyDescent="0.25">
      <c r="A380" s="1"/>
      <c r="L380" s="1"/>
      <c r="M380" s="1"/>
      <c r="W380" s="1"/>
    </row>
    <row r="381" spans="1:23" x14ac:dyDescent="0.25">
      <c r="A381" s="1"/>
      <c r="L381" s="1"/>
      <c r="M381" s="1"/>
      <c r="W381" s="1"/>
    </row>
    <row r="382" spans="1:23" x14ac:dyDescent="0.25">
      <c r="A382" s="1"/>
      <c r="L382" s="1"/>
      <c r="M382" s="1"/>
      <c r="W382" s="1"/>
    </row>
    <row r="383" spans="1:23" x14ac:dyDescent="0.25">
      <c r="A383" s="1"/>
      <c r="L383" s="1"/>
      <c r="M383" s="1"/>
      <c r="W383" s="1"/>
    </row>
    <row r="384" spans="1:23" x14ac:dyDescent="0.25">
      <c r="A384" s="1"/>
      <c r="L384" s="1"/>
      <c r="M384" s="1"/>
      <c r="W384" s="1"/>
    </row>
    <row r="385" spans="1:23" x14ac:dyDescent="0.25">
      <c r="A385" s="1"/>
      <c r="L385" s="1"/>
      <c r="M385" s="1"/>
      <c r="W385" s="1"/>
    </row>
    <row r="386" spans="1:23" x14ac:dyDescent="0.25">
      <c r="A386" s="1"/>
      <c r="L386" s="1"/>
      <c r="M386" s="1"/>
      <c r="W386" s="1"/>
    </row>
    <row r="387" spans="1:23" x14ac:dyDescent="0.25">
      <c r="A387" s="1"/>
      <c r="L387" s="1"/>
      <c r="M387" s="1"/>
      <c r="W387" s="1"/>
    </row>
    <row r="388" spans="1:23" x14ac:dyDescent="0.25">
      <c r="A388" s="1"/>
      <c r="L388" s="1"/>
      <c r="M388" s="1"/>
      <c r="W388" s="1"/>
    </row>
    <row r="389" spans="1:23" x14ac:dyDescent="0.25">
      <c r="A389" s="1"/>
      <c r="L389" s="1"/>
      <c r="M389" s="1"/>
      <c r="W389" s="1"/>
    </row>
    <row r="390" spans="1:23" x14ac:dyDescent="0.25">
      <c r="A390" s="1"/>
      <c r="L390" s="1"/>
      <c r="M390" s="1"/>
      <c r="W390" s="1"/>
    </row>
    <row r="391" spans="1:23" x14ac:dyDescent="0.25">
      <c r="A391" s="1"/>
      <c r="L391" s="1"/>
      <c r="M391" s="1"/>
      <c r="W391" s="1"/>
    </row>
    <row r="392" spans="1:23" x14ac:dyDescent="0.25">
      <c r="A392" s="1"/>
      <c r="L392" s="1"/>
      <c r="M392" s="1"/>
      <c r="W392" s="1"/>
    </row>
    <row r="393" spans="1:23" x14ac:dyDescent="0.25">
      <c r="A393" s="1"/>
      <c r="L393" s="1"/>
      <c r="M393" s="1"/>
      <c r="W393" s="1"/>
    </row>
    <row r="394" spans="1:23" x14ac:dyDescent="0.25">
      <c r="A394" s="1"/>
      <c r="L394" s="1"/>
      <c r="M394" s="1"/>
      <c r="W394" s="1"/>
    </row>
    <row r="395" spans="1:23" x14ac:dyDescent="0.25">
      <c r="A395" s="1"/>
      <c r="L395" s="1"/>
      <c r="M395" s="1"/>
      <c r="W395" s="1"/>
    </row>
    <row r="396" spans="1:23" x14ac:dyDescent="0.25">
      <c r="A396" s="1"/>
      <c r="L396" s="1"/>
      <c r="M396" s="1"/>
      <c r="W396" s="1"/>
    </row>
    <row r="397" spans="1:23" x14ac:dyDescent="0.25">
      <c r="A397" s="1"/>
      <c r="L397" s="1"/>
      <c r="M397" s="1"/>
      <c r="W397" s="1"/>
    </row>
    <row r="398" spans="1:23" x14ac:dyDescent="0.25">
      <c r="A398" s="1"/>
      <c r="L398" s="1"/>
      <c r="M398" s="1"/>
      <c r="W398" s="1"/>
    </row>
    <row r="399" spans="1:23" x14ac:dyDescent="0.25">
      <c r="A399" s="1"/>
      <c r="L399" s="1"/>
      <c r="M399" s="1"/>
      <c r="W399" s="1"/>
    </row>
    <row r="400" spans="1:23" x14ac:dyDescent="0.25">
      <c r="A400" s="1"/>
      <c r="L400" s="1"/>
      <c r="M400" s="1"/>
      <c r="W400" s="1"/>
    </row>
    <row r="401" spans="1:23" x14ac:dyDescent="0.25">
      <c r="A401" s="1"/>
      <c r="L401" s="1"/>
      <c r="M401" s="1"/>
      <c r="W401" s="1"/>
    </row>
    <row r="402" spans="1:23" x14ac:dyDescent="0.25">
      <c r="A402" s="1"/>
      <c r="L402" s="1"/>
      <c r="M402" s="1"/>
      <c r="W402" s="1"/>
    </row>
    <row r="403" spans="1:23" x14ac:dyDescent="0.25">
      <c r="A403" s="1"/>
      <c r="L403" s="1"/>
      <c r="M403" s="1"/>
      <c r="W403" s="1"/>
    </row>
    <row r="404" spans="1:23" x14ac:dyDescent="0.25">
      <c r="A404" s="1"/>
      <c r="L404" s="1"/>
      <c r="M404" s="1"/>
      <c r="W404" s="1"/>
    </row>
    <row r="405" spans="1:23" x14ac:dyDescent="0.25">
      <c r="A405" s="1"/>
      <c r="L405" s="1"/>
      <c r="M405" s="1"/>
      <c r="W405" s="1"/>
    </row>
    <row r="406" spans="1:23" x14ac:dyDescent="0.25">
      <c r="A406" s="1"/>
      <c r="L406" s="1"/>
      <c r="M406" s="1"/>
      <c r="W406" s="1"/>
    </row>
    <row r="407" spans="1:23" x14ac:dyDescent="0.25">
      <c r="A407" s="1"/>
      <c r="L407" s="1"/>
      <c r="M407" s="1"/>
      <c r="W407" s="1"/>
    </row>
    <row r="408" spans="1:23" x14ac:dyDescent="0.25">
      <c r="A408" s="1"/>
      <c r="L408" s="1"/>
      <c r="M408" s="1"/>
      <c r="W408" s="1"/>
    </row>
    <row r="409" spans="1:23" x14ac:dyDescent="0.25">
      <c r="A409" s="1"/>
      <c r="L409" s="1"/>
      <c r="M409" s="1"/>
      <c r="W409" s="1"/>
    </row>
    <row r="410" spans="1:23" x14ac:dyDescent="0.25">
      <c r="A410" s="1"/>
      <c r="L410" s="1"/>
      <c r="M410" s="1"/>
      <c r="W410" s="1"/>
    </row>
    <row r="411" spans="1:23" x14ac:dyDescent="0.25">
      <c r="A411" s="1"/>
      <c r="L411" s="1"/>
      <c r="M411" s="1"/>
      <c r="W411" s="1"/>
    </row>
    <row r="412" spans="1:23" x14ac:dyDescent="0.25">
      <c r="A412" s="1"/>
      <c r="L412" s="1"/>
      <c r="M412" s="1"/>
      <c r="W412" s="1"/>
    </row>
    <row r="413" spans="1:23" x14ac:dyDescent="0.25">
      <c r="A413" s="1"/>
      <c r="L413" s="1"/>
      <c r="M413" s="1"/>
      <c r="W413" s="1"/>
    </row>
    <row r="414" spans="1:23" x14ac:dyDescent="0.25">
      <c r="A414" s="1"/>
      <c r="L414" s="1"/>
      <c r="M414" s="1"/>
      <c r="W414" s="1"/>
    </row>
    <row r="415" spans="1:23" x14ac:dyDescent="0.25">
      <c r="A415" s="1"/>
      <c r="L415" s="1"/>
      <c r="M415" s="1"/>
      <c r="W415" s="1"/>
    </row>
    <row r="416" spans="1:23" x14ac:dyDescent="0.25">
      <c r="A416" s="1"/>
      <c r="L416" s="1"/>
      <c r="M416" s="1"/>
      <c r="W416" s="1"/>
    </row>
    <row r="417" spans="1:23" x14ac:dyDescent="0.25">
      <c r="A417" s="1"/>
      <c r="L417" s="1"/>
      <c r="M417" s="1"/>
      <c r="W417" s="1"/>
    </row>
    <row r="418" spans="1:23" x14ac:dyDescent="0.25">
      <c r="A418" s="1"/>
      <c r="L418" s="1"/>
      <c r="M418" s="1"/>
      <c r="W418" s="1"/>
    </row>
    <row r="419" spans="1:23" x14ac:dyDescent="0.25">
      <c r="A419" s="1"/>
      <c r="L419" s="1"/>
      <c r="M419" s="1"/>
      <c r="W419" s="1"/>
    </row>
    <row r="420" spans="1:23" x14ac:dyDescent="0.25">
      <c r="A420" s="1"/>
      <c r="L420" s="1"/>
      <c r="M420" s="1"/>
      <c r="W420" s="1"/>
    </row>
    <row r="421" spans="1:23" x14ac:dyDescent="0.25">
      <c r="A421" s="1"/>
      <c r="L421" s="1"/>
      <c r="M421" s="1"/>
      <c r="W421" s="1"/>
    </row>
    <row r="422" spans="1:23" x14ac:dyDescent="0.25">
      <c r="A422" s="1"/>
      <c r="L422" s="1"/>
      <c r="M422" s="1"/>
      <c r="W422" s="1"/>
    </row>
    <row r="423" spans="1:23" x14ac:dyDescent="0.25">
      <c r="A423" s="1"/>
      <c r="L423" s="1"/>
      <c r="M423" s="1"/>
      <c r="W423" s="1"/>
    </row>
    <row r="424" spans="1:23" x14ac:dyDescent="0.25">
      <c r="A424" s="1"/>
      <c r="L424" s="1"/>
      <c r="M424" s="1"/>
      <c r="W424" s="1"/>
    </row>
    <row r="425" spans="1:23" x14ac:dyDescent="0.25">
      <c r="A425" s="1"/>
      <c r="L425" s="1"/>
      <c r="M425" s="1"/>
      <c r="W425" s="1"/>
    </row>
    <row r="426" spans="1:23" x14ac:dyDescent="0.25">
      <c r="A426" s="1"/>
      <c r="L426" s="1"/>
      <c r="M426" s="1"/>
      <c r="W426" s="1"/>
    </row>
    <row r="427" spans="1:23" x14ac:dyDescent="0.25">
      <c r="A427" s="1"/>
      <c r="L427" s="1"/>
      <c r="M427" s="1"/>
      <c r="W427" s="1"/>
    </row>
    <row r="428" spans="1:23" x14ac:dyDescent="0.25">
      <c r="A428" s="1"/>
      <c r="L428" s="1"/>
      <c r="M428" s="1"/>
      <c r="W428" s="1"/>
    </row>
    <row r="429" spans="1:23" x14ac:dyDescent="0.25">
      <c r="A429" s="1"/>
      <c r="L429" s="1"/>
      <c r="M429" s="1"/>
      <c r="W429" s="1"/>
    </row>
    <row r="430" spans="1:23" x14ac:dyDescent="0.25">
      <c r="A430" s="1"/>
      <c r="L430" s="1"/>
      <c r="M430" s="1"/>
      <c r="W430" s="1"/>
    </row>
    <row r="431" spans="1:23" x14ac:dyDescent="0.25">
      <c r="A431" s="1"/>
      <c r="L431" s="1"/>
      <c r="M431" s="1"/>
      <c r="W431" s="1"/>
    </row>
    <row r="432" spans="1:23" x14ac:dyDescent="0.25">
      <c r="A432" s="1"/>
      <c r="L432" s="1"/>
      <c r="M432" s="1"/>
      <c r="W432" s="1"/>
    </row>
    <row r="433" spans="1:23" x14ac:dyDescent="0.25">
      <c r="A433" s="1"/>
      <c r="L433" s="1"/>
      <c r="M433" s="1"/>
      <c r="W433" s="1"/>
    </row>
    <row r="434" spans="1:23" x14ac:dyDescent="0.25">
      <c r="A434" s="1"/>
      <c r="L434" s="1"/>
      <c r="M434" s="1"/>
      <c r="W434" s="1"/>
    </row>
    <row r="435" spans="1:23" x14ac:dyDescent="0.25">
      <c r="A435" s="1"/>
      <c r="L435" s="1"/>
      <c r="M435" s="1"/>
      <c r="W435" s="1"/>
    </row>
    <row r="436" spans="1:23" x14ac:dyDescent="0.25">
      <c r="A436" s="1"/>
      <c r="L436" s="1"/>
      <c r="M436" s="1"/>
      <c r="W436" s="1"/>
    </row>
    <row r="437" spans="1:23" x14ac:dyDescent="0.25">
      <c r="A437" s="1"/>
      <c r="L437" s="1"/>
      <c r="M437" s="1"/>
      <c r="W437" s="1"/>
    </row>
    <row r="438" spans="1:23" x14ac:dyDescent="0.25">
      <c r="A438" s="1"/>
      <c r="L438" s="1"/>
      <c r="M438" s="1"/>
      <c r="W438" s="1"/>
    </row>
    <row r="439" spans="1:23" x14ac:dyDescent="0.25">
      <c r="A439" s="1"/>
      <c r="L439" s="1"/>
      <c r="M439" s="1"/>
      <c r="W439" s="1"/>
    </row>
    <row r="440" spans="1:23" x14ac:dyDescent="0.25">
      <c r="A440" s="1"/>
      <c r="L440" s="1"/>
      <c r="M440" s="1"/>
      <c r="W440" s="1"/>
    </row>
    <row r="441" spans="1:23" x14ac:dyDescent="0.25">
      <c r="A441" s="1"/>
      <c r="L441" s="1"/>
      <c r="M441" s="1"/>
      <c r="W441" s="1"/>
    </row>
    <row r="442" spans="1:23" x14ac:dyDescent="0.25">
      <c r="A442" s="1"/>
      <c r="L442" s="1"/>
      <c r="M442" s="1"/>
      <c r="W442" s="1"/>
    </row>
    <row r="443" spans="1:23" x14ac:dyDescent="0.25">
      <c r="A443" s="1"/>
      <c r="L443" s="1"/>
      <c r="M443" s="1"/>
      <c r="W443" s="1"/>
    </row>
    <row r="444" spans="1:23" x14ac:dyDescent="0.25">
      <c r="A444" s="1"/>
      <c r="L444" s="1"/>
      <c r="M444" s="1"/>
      <c r="W444" s="1"/>
    </row>
    <row r="445" spans="1:23" x14ac:dyDescent="0.25">
      <c r="A445" s="1"/>
      <c r="L445" s="1"/>
      <c r="M445" s="1"/>
      <c r="W445" s="1"/>
    </row>
    <row r="446" spans="1:23" x14ac:dyDescent="0.25">
      <c r="A446" s="1"/>
      <c r="L446" s="1"/>
      <c r="M446" s="1"/>
      <c r="W446" s="1"/>
    </row>
    <row r="447" spans="1:23" x14ac:dyDescent="0.25">
      <c r="A447" s="1"/>
      <c r="L447" s="1"/>
      <c r="M447" s="1"/>
      <c r="W447" s="1"/>
    </row>
    <row r="448" spans="1:23" x14ac:dyDescent="0.25">
      <c r="A448" s="1"/>
      <c r="L448" s="1"/>
      <c r="M448" s="1"/>
      <c r="W448" s="1"/>
    </row>
    <row r="449" spans="1:23" x14ac:dyDescent="0.25">
      <c r="A449" s="1"/>
      <c r="L449" s="1"/>
      <c r="M449" s="1"/>
      <c r="W449" s="1"/>
    </row>
    <row r="450" spans="1:23" x14ac:dyDescent="0.25">
      <c r="A450" s="1"/>
      <c r="L450" s="1"/>
      <c r="M450" s="1"/>
      <c r="W450" s="1"/>
    </row>
    <row r="451" spans="1:23" x14ac:dyDescent="0.25">
      <c r="A451" s="1"/>
      <c r="L451" s="1"/>
      <c r="M451" s="1"/>
      <c r="W451" s="1"/>
    </row>
    <row r="452" spans="1:23" x14ac:dyDescent="0.25">
      <c r="A452" s="1"/>
      <c r="L452" s="1"/>
      <c r="M452" s="1"/>
      <c r="W452" s="1"/>
    </row>
    <row r="453" spans="1:23" x14ac:dyDescent="0.25">
      <c r="A453" s="1"/>
      <c r="L453" s="1"/>
      <c r="M453" s="1"/>
      <c r="W453" s="1"/>
    </row>
    <row r="454" spans="1:23" x14ac:dyDescent="0.25">
      <c r="A454" s="1"/>
      <c r="L454" s="1"/>
      <c r="M454" s="1"/>
      <c r="W454" s="1"/>
    </row>
    <row r="455" spans="1:23" x14ac:dyDescent="0.25">
      <c r="A455" s="1"/>
      <c r="L455" s="1"/>
      <c r="M455" s="1"/>
      <c r="W455" s="1"/>
    </row>
    <row r="456" spans="1:23" x14ac:dyDescent="0.25">
      <c r="A456" s="1"/>
      <c r="L456" s="1"/>
      <c r="M456" s="1"/>
      <c r="W456" s="1"/>
    </row>
    <row r="457" spans="1:23" x14ac:dyDescent="0.25">
      <c r="A457" s="1"/>
      <c r="L457" s="1"/>
      <c r="M457" s="1"/>
      <c r="W457" s="1"/>
    </row>
    <row r="458" spans="1:23" x14ac:dyDescent="0.25">
      <c r="A458" s="1"/>
      <c r="L458" s="1"/>
      <c r="M458" s="1"/>
      <c r="W458" s="1"/>
    </row>
    <row r="459" spans="1:23" x14ac:dyDescent="0.25">
      <c r="A459" s="1"/>
      <c r="L459" s="1"/>
      <c r="M459" s="1"/>
      <c r="W459" s="1"/>
    </row>
    <row r="460" spans="1:23" x14ac:dyDescent="0.25">
      <c r="A460" s="1"/>
      <c r="L460" s="1"/>
      <c r="M460" s="1"/>
      <c r="W460" s="1"/>
    </row>
    <row r="461" spans="1:23" x14ac:dyDescent="0.25">
      <c r="A461" s="1"/>
      <c r="L461" s="1"/>
      <c r="M461" s="1"/>
      <c r="W461" s="1"/>
    </row>
    <row r="462" spans="1:23" x14ac:dyDescent="0.25">
      <c r="A462" s="1"/>
      <c r="L462" s="1"/>
      <c r="M462" s="1"/>
      <c r="W462" s="1"/>
    </row>
    <row r="463" spans="1:23" x14ac:dyDescent="0.25">
      <c r="A463" s="1"/>
      <c r="L463" s="1"/>
      <c r="M463" s="1"/>
      <c r="W463" s="1"/>
    </row>
    <row r="464" spans="1:23" x14ac:dyDescent="0.25">
      <c r="A464" s="1"/>
      <c r="L464" s="1"/>
      <c r="M464" s="1"/>
      <c r="W464" s="1"/>
    </row>
    <row r="465" spans="1:23" x14ac:dyDescent="0.25">
      <c r="A465" s="1"/>
      <c r="L465" s="1"/>
      <c r="M465" s="1"/>
      <c r="W465" s="1"/>
    </row>
    <row r="466" spans="1:23" x14ac:dyDescent="0.25">
      <c r="A466" s="1"/>
      <c r="L466" s="1"/>
      <c r="M466" s="1"/>
      <c r="W466" s="1"/>
    </row>
    <row r="467" spans="1:23" x14ac:dyDescent="0.25">
      <c r="A467" s="1"/>
      <c r="L467" s="1"/>
      <c r="M467" s="1"/>
      <c r="W467" s="1"/>
    </row>
    <row r="468" spans="1:23" x14ac:dyDescent="0.25">
      <c r="A468" s="1"/>
      <c r="L468" s="1"/>
      <c r="M468" s="1"/>
      <c r="W468" s="1"/>
    </row>
    <row r="469" spans="1:23" x14ac:dyDescent="0.25">
      <c r="A469" s="1"/>
      <c r="L469" s="1"/>
      <c r="M469" s="1"/>
      <c r="W469" s="1"/>
    </row>
    <row r="470" spans="1:23" x14ac:dyDescent="0.25">
      <c r="A470" s="1"/>
      <c r="L470" s="1"/>
      <c r="M470" s="1"/>
      <c r="W470" s="1"/>
    </row>
    <row r="471" spans="1:23" x14ac:dyDescent="0.25">
      <c r="A471" s="1"/>
      <c r="L471" s="1"/>
      <c r="M471" s="1"/>
      <c r="W471" s="1"/>
    </row>
    <row r="472" spans="1:23" x14ac:dyDescent="0.25">
      <c r="A472" s="1"/>
      <c r="L472" s="1"/>
      <c r="M472" s="1"/>
      <c r="W472" s="1"/>
    </row>
    <row r="473" spans="1:23" x14ac:dyDescent="0.25">
      <c r="A473" s="1"/>
      <c r="L473" s="1"/>
      <c r="M473" s="1"/>
      <c r="W473" s="1"/>
    </row>
    <row r="474" spans="1:23" x14ac:dyDescent="0.25">
      <c r="A474" s="1"/>
      <c r="L474" s="1"/>
      <c r="M474" s="1"/>
      <c r="W474" s="1"/>
    </row>
    <row r="475" spans="1:23" x14ac:dyDescent="0.25">
      <c r="A475" s="1"/>
      <c r="L475" s="1"/>
      <c r="M475" s="1"/>
      <c r="W475" s="1"/>
    </row>
    <row r="476" spans="1:23" x14ac:dyDescent="0.25">
      <c r="A476" s="1"/>
      <c r="L476" s="1"/>
      <c r="M476" s="1"/>
      <c r="W476" s="1"/>
    </row>
    <row r="477" spans="1:23" x14ac:dyDescent="0.25">
      <c r="A477" s="1"/>
      <c r="L477" s="1"/>
      <c r="M477" s="1"/>
      <c r="W477" s="1"/>
    </row>
    <row r="478" spans="1:23" x14ac:dyDescent="0.25">
      <c r="A478" s="1"/>
      <c r="L478" s="1"/>
      <c r="M478" s="1"/>
      <c r="W478" s="1"/>
    </row>
    <row r="479" spans="1:23" x14ac:dyDescent="0.25">
      <c r="A479" s="1"/>
      <c r="L479" s="1"/>
      <c r="M479" s="1"/>
      <c r="W479" s="1"/>
    </row>
    <row r="480" spans="1:23" x14ac:dyDescent="0.25">
      <c r="A480" s="1"/>
      <c r="L480" s="1"/>
      <c r="M480" s="1"/>
      <c r="W480" s="1"/>
    </row>
    <row r="481" spans="1:23" x14ac:dyDescent="0.25">
      <c r="A481" s="1"/>
      <c r="L481" s="1"/>
      <c r="M481" s="1"/>
      <c r="W481" s="1"/>
    </row>
    <row r="482" spans="1:23" x14ac:dyDescent="0.25">
      <c r="A482" s="1"/>
      <c r="L482" s="1"/>
      <c r="M482" s="1"/>
      <c r="W482" s="1"/>
    </row>
    <row r="483" spans="1:23" x14ac:dyDescent="0.25">
      <c r="A483" s="1"/>
      <c r="L483" s="1"/>
      <c r="M483" s="1"/>
      <c r="W483" s="1"/>
    </row>
    <row r="484" spans="1:23" x14ac:dyDescent="0.25">
      <c r="A484" s="1"/>
      <c r="L484" s="1"/>
      <c r="M484" s="1"/>
      <c r="W484" s="1"/>
    </row>
    <row r="485" spans="1:23" x14ac:dyDescent="0.25">
      <c r="A485" s="1"/>
      <c r="L485" s="1"/>
      <c r="M485" s="1"/>
      <c r="N485" s="1"/>
      <c r="W485" s="1"/>
    </row>
    <row r="486" spans="1:23" x14ac:dyDescent="0.25">
      <c r="A486" s="1"/>
      <c r="L486" s="1"/>
      <c r="M486" s="1"/>
      <c r="W486" s="1"/>
    </row>
    <row r="487" spans="1:23" x14ac:dyDescent="0.25">
      <c r="A487" s="1"/>
      <c r="L487" s="1"/>
      <c r="M487" s="1"/>
      <c r="W487" s="1"/>
    </row>
    <row r="488" spans="1:23" x14ac:dyDescent="0.25">
      <c r="A488" s="1"/>
      <c r="L488" s="1"/>
      <c r="M488" s="1"/>
      <c r="W488" s="1"/>
    </row>
    <row r="489" spans="1:23" x14ac:dyDescent="0.25">
      <c r="A489" s="1"/>
      <c r="L489" s="1"/>
      <c r="M489" s="1"/>
      <c r="W489" s="1"/>
    </row>
    <row r="490" spans="1:23" x14ac:dyDescent="0.25">
      <c r="A490" s="1"/>
      <c r="L490" s="1"/>
      <c r="M490" s="1"/>
      <c r="W490" s="1"/>
    </row>
    <row r="491" spans="1:23" x14ac:dyDescent="0.25">
      <c r="A491" s="1"/>
      <c r="L491" s="1"/>
      <c r="M491" s="1"/>
      <c r="W491" s="1"/>
    </row>
    <row r="492" spans="1:23" x14ac:dyDescent="0.25">
      <c r="A492" s="1"/>
      <c r="L492" s="1"/>
      <c r="M492" s="1"/>
      <c r="W492" s="1"/>
    </row>
    <row r="493" spans="1:23" x14ac:dyDescent="0.25">
      <c r="A493" s="1"/>
      <c r="L493" s="1"/>
      <c r="M493" s="1"/>
      <c r="W493" s="1"/>
    </row>
    <row r="494" spans="1:23" x14ac:dyDescent="0.25">
      <c r="A494" s="1"/>
      <c r="L494" s="1"/>
      <c r="M494" s="1"/>
      <c r="W494" s="1"/>
    </row>
    <row r="495" spans="1:23" x14ac:dyDescent="0.25">
      <c r="A495" s="1"/>
      <c r="L495" s="1"/>
      <c r="M495" s="1"/>
      <c r="W495" s="1"/>
    </row>
    <row r="496" spans="1:23" x14ac:dyDescent="0.25">
      <c r="A496" s="1"/>
      <c r="L496" s="1"/>
      <c r="M496" s="1"/>
      <c r="W496" s="1"/>
    </row>
    <row r="497" spans="1:23" x14ac:dyDescent="0.25">
      <c r="A497" s="1"/>
      <c r="L497" s="1"/>
      <c r="M497" s="1"/>
      <c r="W497" s="1"/>
    </row>
    <row r="498" spans="1:23" x14ac:dyDescent="0.25">
      <c r="A498" s="1"/>
      <c r="L498" s="1"/>
      <c r="M498" s="1"/>
      <c r="W498" s="1"/>
    </row>
    <row r="499" spans="1:23" x14ac:dyDescent="0.25">
      <c r="A499" s="1"/>
      <c r="L499" s="1"/>
      <c r="M499" s="1"/>
      <c r="W499" s="1"/>
    </row>
    <row r="500" spans="1:23" x14ac:dyDescent="0.25">
      <c r="A500" s="1"/>
      <c r="L500" s="1"/>
      <c r="M500" s="1"/>
      <c r="W500" s="1"/>
    </row>
    <row r="501" spans="1:23" x14ac:dyDescent="0.25">
      <c r="A501" s="1"/>
      <c r="L501" s="1"/>
      <c r="M501" s="1"/>
      <c r="W501" s="1"/>
    </row>
    <row r="502" spans="1:23" x14ac:dyDescent="0.25">
      <c r="A502" s="1"/>
      <c r="L502" s="1"/>
      <c r="M502" s="1"/>
      <c r="W502" s="1"/>
    </row>
    <row r="503" spans="1:23" x14ac:dyDescent="0.25">
      <c r="A503" s="1"/>
      <c r="L503" s="1"/>
      <c r="M503" s="1"/>
      <c r="W503" s="1"/>
    </row>
    <row r="504" spans="1:23" x14ac:dyDescent="0.25">
      <c r="A504" s="1"/>
      <c r="L504" s="1"/>
      <c r="M504" s="1"/>
      <c r="W504" s="1"/>
    </row>
    <row r="505" spans="1:23" x14ac:dyDescent="0.25">
      <c r="A505" s="1"/>
      <c r="L505" s="1"/>
      <c r="M505" s="1"/>
      <c r="W505" s="1"/>
    </row>
    <row r="506" spans="1:23" x14ac:dyDescent="0.25">
      <c r="A506" s="1"/>
      <c r="L506" s="1"/>
      <c r="M506" s="1"/>
      <c r="W506" s="1"/>
    </row>
    <row r="507" spans="1:23" x14ac:dyDescent="0.25">
      <c r="A507" s="1"/>
      <c r="L507" s="1"/>
      <c r="M507" s="1"/>
      <c r="W507" s="1"/>
    </row>
    <row r="508" spans="1:23" x14ac:dyDescent="0.25">
      <c r="A508" s="1"/>
      <c r="L508" s="1"/>
      <c r="M508" s="1"/>
      <c r="W508" s="1"/>
    </row>
    <row r="509" spans="1:23" x14ac:dyDescent="0.25">
      <c r="A509" s="1"/>
      <c r="L509" s="1"/>
      <c r="M509" s="1"/>
      <c r="W509" s="1"/>
    </row>
    <row r="510" spans="1:23" x14ac:dyDescent="0.25">
      <c r="A510" s="1"/>
      <c r="L510" s="1"/>
      <c r="M510" s="1"/>
      <c r="W510" s="1"/>
    </row>
    <row r="511" spans="1:23" x14ac:dyDescent="0.25">
      <c r="A511" s="1"/>
      <c r="L511" s="1"/>
      <c r="M511" s="1"/>
      <c r="W511" s="1"/>
    </row>
    <row r="512" spans="1:23" x14ac:dyDescent="0.25">
      <c r="A512" s="1"/>
      <c r="L512" s="1"/>
      <c r="M512" s="1"/>
      <c r="W512" s="1"/>
    </row>
    <row r="513" spans="1:23" x14ac:dyDescent="0.25">
      <c r="A513" s="1"/>
      <c r="L513" s="1"/>
      <c r="M513" s="1"/>
      <c r="W513" s="1"/>
    </row>
    <row r="514" spans="1:23" x14ac:dyDescent="0.25">
      <c r="A514" s="1"/>
      <c r="L514" s="1"/>
      <c r="M514" s="1"/>
      <c r="W514" s="1"/>
    </row>
    <row r="515" spans="1:23" x14ac:dyDescent="0.25">
      <c r="A515" s="1"/>
      <c r="L515" s="1"/>
      <c r="M515" s="1"/>
      <c r="W515" s="1"/>
    </row>
    <row r="516" spans="1:23" x14ac:dyDescent="0.25">
      <c r="A516" s="1"/>
      <c r="L516" s="1"/>
      <c r="M516" s="1"/>
      <c r="W516" s="1"/>
    </row>
    <row r="517" spans="1:23" x14ac:dyDescent="0.25">
      <c r="A517" s="1"/>
      <c r="L517" s="1"/>
      <c r="M517" s="1"/>
      <c r="W517" s="1"/>
    </row>
    <row r="518" spans="1:23" x14ac:dyDescent="0.25">
      <c r="A518" s="1"/>
      <c r="L518" s="1"/>
      <c r="M518" s="1"/>
      <c r="W518" s="1"/>
    </row>
    <row r="519" spans="1:23" x14ac:dyDescent="0.25">
      <c r="A519" s="1"/>
      <c r="L519" s="1"/>
      <c r="M519" s="1"/>
      <c r="W519" s="1"/>
    </row>
    <row r="520" spans="1:23" x14ac:dyDescent="0.25">
      <c r="A520" s="1"/>
      <c r="L520" s="1"/>
      <c r="M520" s="1"/>
      <c r="N520" s="1"/>
      <c r="W520" s="1"/>
    </row>
    <row r="521" spans="1:23" x14ac:dyDescent="0.25">
      <c r="A521" s="1"/>
      <c r="L521" s="1"/>
      <c r="M521" s="1"/>
      <c r="N521" s="1"/>
      <c r="W521" s="1"/>
    </row>
    <row r="522" spans="1:23" x14ac:dyDescent="0.25">
      <c r="A522" s="1"/>
      <c r="L522" s="1"/>
      <c r="M522" s="1"/>
      <c r="N522" s="1"/>
      <c r="W522" s="1"/>
    </row>
    <row r="523" spans="1:23" x14ac:dyDescent="0.25">
      <c r="A523" s="1"/>
      <c r="L523" s="1"/>
      <c r="M523" s="1"/>
      <c r="N523" s="1"/>
      <c r="W523" s="1"/>
    </row>
    <row r="524" spans="1:23" x14ac:dyDescent="0.25">
      <c r="A524" s="1"/>
      <c r="L524" s="1"/>
      <c r="M524" s="1"/>
      <c r="N524" s="1"/>
      <c r="W524" s="1"/>
    </row>
    <row r="525" spans="1:23" x14ac:dyDescent="0.25">
      <c r="A525" s="1"/>
      <c r="L525" s="1"/>
      <c r="M525" s="1"/>
      <c r="N525" s="1"/>
      <c r="W525" s="1"/>
    </row>
    <row r="526" spans="1:23" x14ac:dyDescent="0.25">
      <c r="A526" s="1"/>
      <c r="L526" s="1"/>
      <c r="M526" s="1"/>
      <c r="N526" s="1"/>
      <c r="W526" s="1"/>
    </row>
    <row r="527" spans="1:23" x14ac:dyDescent="0.25">
      <c r="A527" s="1"/>
      <c r="L527" s="1"/>
      <c r="M527" s="1"/>
      <c r="N527" s="1"/>
      <c r="W527" s="1"/>
    </row>
    <row r="528" spans="1:23" x14ac:dyDescent="0.25">
      <c r="A528" s="1"/>
      <c r="L528" s="1"/>
      <c r="M528" s="1"/>
      <c r="N528" s="1"/>
      <c r="W528" s="1"/>
    </row>
    <row r="529" spans="1:23" x14ac:dyDescent="0.25">
      <c r="A529" s="1"/>
      <c r="L529" s="1"/>
      <c r="M529" s="1"/>
      <c r="N529" s="1"/>
      <c r="W529" s="1"/>
    </row>
    <row r="530" spans="1:23" x14ac:dyDescent="0.25">
      <c r="A530" s="1"/>
      <c r="L530" s="1"/>
      <c r="M530" s="1"/>
      <c r="N530" s="1"/>
      <c r="W530" s="1"/>
    </row>
    <row r="531" spans="1:23" x14ac:dyDescent="0.25">
      <c r="A531" s="1"/>
      <c r="L531" s="1"/>
      <c r="M531" s="1"/>
      <c r="N531" s="1"/>
      <c r="W531" s="1"/>
    </row>
    <row r="532" spans="1:23" x14ac:dyDescent="0.25">
      <c r="A532" s="1"/>
      <c r="L532" s="1"/>
      <c r="M532" s="1"/>
      <c r="N532" s="1"/>
      <c r="W532" s="1"/>
    </row>
    <row r="533" spans="1:23" x14ac:dyDescent="0.25">
      <c r="A533" s="1"/>
      <c r="L533" s="1"/>
      <c r="M533" s="1"/>
      <c r="N533" s="1"/>
      <c r="W533" s="1"/>
    </row>
    <row r="534" spans="1:23" x14ac:dyDescent="0.25">
      <c r="A534" s="1"/>
      <c r="L534" s="1"/>
      <c r="M534" s="1"/>
      <c r="N534" s="1"/>
      <c r="W534" s="1"/>
    </row>
    <row r="535" spans="1:23" x14ac:dyDescent="0.25">
      <c r="A535" s="1"/>
      <c r="L535" s="1"/>
      <c r="M535" s="1"/>
      <c r="W535" s="1"/>
    </row>
    <row r="536" spans="1:23" x14ac:dyDescent="0.25">
      <c r="A536" s="1"/>
      <c r="L536" s="1"/>
      <c r="M536" s="1"/>
      <c r="W536" s="1"/>
    </row>
    <row r="537" spans="1:23" x14ac:dyDescent="0.25">
      <c r="A537" s="1"/>
      <c r="L537" s="1"/>
      <c r="M537" s="1"/>
      <c r="W537" s="1"/>
    </row>
    <row r="538" spans="1:23" x14ac:dyDescent="0.25">
      <c r="A538" s="1"/>
      <c r="L538" s="1"/>
      <c r="M538" s="1"/>
      <c r="W538" s="1"/>
    </row>
    <row r="539" spans="1:23" x14ac:dyDescent="0.25">
      <c r="A539" s="1"/>
      <c r="L539" s="1"/>
      <c r="M539" s="1"/>
      <c r="N539" s="1"/>
      <c r="W539" s="1"/>
    </row>
    <row r="540" spans="1:23" x14ac:dyDescent="0.25">
      <c r="A540" s="1"/>
      <c r="L540" s="1"/>
      <c r="M540" s="1"/>
      <c r="N540" s="1"/>
      <c r="W540" s="1"/>
    </row>
    <row r="541" spans="1:23" x14ac:dyDescent="0.25">
      <c r="A541" s="1"/>
      <c r="L541" s="1"/>
      <c r="M541" s="1"/>
      <c r="N541" s="1"/>
      <c r="W541" s="1"/>
    </row>
    <row r="542" spans="1:23" x14ac:dyDescent="0.25">
      <c r="A542" s="1"/>
      <c r="L542" s="1"/>
      <c r="M542" s="1"/>
      <c r="N542" s="1"/>
      <c r="W542" s="1"/>
    </row>
    <row r="543" spans="1:23" x14ac:dyDescent="0.25">
      <c r="A543" s="1"/>
      <c r="L543" s="1"/>
      <c r="M543" s="1"/>
      <c r="N543" s="1"/>
      <c r="W543" s="1"/>
    </row>
    <row r="544" spans="1:23" x14ac:dyDescent="0.25">
      <c r="A544" s="1"/>
      <c r="L544" s="1"/>
      <c r="M544" s="1"/>
      <c r="N544" s="1"/>
      <c r="W544" s="1"/>
    </row>
    <row r="545" spans="1:23" x14ac:dyDescent="0.25">
      <c r="A545" s="1"/>
      <c r="L545" s="1"/>
      <c r="M545" s="1"/>
      <c r="N545" s="1"/>
      <c r="W545" s="1"/>
    </row>
    <row r="546" spans="1:23" x14ac:dyDescent="0.25">
      <c r="A546" s="1"/>
      <c r="L546" s="1"/>
      <c r="M546" s="1"/>
      <c r="N546" s="1"/>
      <c r="W546" s="1"/>
    </row>
    <row r="547" spans="1:23" x14ac:dyDescent="0.25">
      <c r="A547" s="1"/>
      <c r="L547" s="1"/>
      <c r="M547" s="1"/>
      <c r="N547" s="1"/>
      <c r="W547" s="1"/>
    </row>
    <row r="548" spans="1:23" x14ac:dyDescent="0.25">
      <c r="A548" s="1"/>
      <c r="L548" s="1"/>
      <c r="M548" s="1"/>
      <c r="N548" s="1"/>
      <c r="W548" s="1"/>
    </row>
    <row r="549" spans="1:23" x14ac:dyDescent="0.25">
      <c r="A549" s="1"/>
      <c r="L549" s="1"/>
      <c r="M549" s="1"/>
      <c r="N549" s="1"/>
      <c r="W549" s="1"/>
    </row>
    <row r="550" spans="1:23" x14ac:dyDescent="0.25">
      <c r="A550" s="1"/>
      <c r="L550" s="1"/>
      <c r="M550" s="1"/>
      <c r="N550" s="1"/>
      <c r="W550" s="1"/>
    </row>
    <row r="551" spans="1:23" x14ac:dyDescent="0.25">
      <c r="A551" s="1"/>
      <c r="L551" s="1"/>
      <c r="M551" s="1"/>
      <c r="W551" s="1"/>
    </row>
    <row r="552" spans="1:23" x14ac:dyDescent="0.25">
      <c r="A552" s="1"/>
      <c r="L552" s="1"/>
      <c r="M552" s="1"/>
      <c r="W552" s="1"/>
    </row>
    <row r="553" spans="1:23" x14ac:dyDescent="0.25">
      <c r="A553" s="1"/>
      <c r="L553" s="1"/>
      <c r="M553" s="1"/>
      <c r="W553" s="1"/>
    </row>
    <row r="554" spans="1:23" x14ac:dyDescent="0.25">
      <c r="A554" s="1"/>
      <c r="L554" s="1"/>
      <c r="M554" s="1"/>
      <c r="W554" s="1"/>
    </row>
    <row r="555" spans="1:23" x14ac:dyDescent="0.25">
      <c r="A555" s="1"/>
      <c r="L555" s="1"/>
      <c r="M555" s="1"/>
      <c r="W555" s="1"/>
    </row>
    <row r="556" spans="1:23" x14ac:dyDescent="0.25">
      <c r="A556" s="1"/>
      <c r="L556" s="1"/>
      <c r="M556" s="1"/>
      <c r="W556" s="1"/>
    </row>
    <row r="557" spans="1:23" x14ac:dyDescent="0.25">
      <c r="A557" s="1"/>
      <c r="L557" s="1"/>
      <c r="M557" s="1"/>
      <c r="W557" s="1"/>
    </row>
    <row r="558" spans="1:23" x14ac:dyDescent="0.25">
      <c r="A558" s="1"/>
      <c r="L558" s="1"/>
      <c r="M558" s="1"/>
      <c r="W558" s="1"/>
    </row>
    <row r="559" spans="1:23" x14ac:dyDescent="0.25">
      <c r="A559" s="1"/>
      <c r="L559" s="1"/>
      <c r="M559" s="1"/>
      <c r="W559" s="1"/>
    </row>
    <row r="560" spans="1:23" x14ac:dyDescent="0.25">
      <c r="A560" s="1"/>
      <c r="L560" s="1"/>
      <c r="M560" s="1"/>
      <c r="W560" s="1"/>
    </row>
    <row r="561" spans="1:23" x14ac:dyDescent="0.25">
      <c r="A561" s="1"/>
      <c r="L561" s="1"/>
      <c r="M561" s="1"/>
      <c r="W561" s="1"/>
    </row>
    <row r="562" spans="1:23" x14ac:dyDescent="0.25">
      <c r="A562" s="1"/>
      <c r="L562" s="1"/>
      <c r="M562" s="1"/>
      <c r="W562" s="1"/>
    </row>
    <row r="563" spans="1:23" x14ac:dyDescent="0.25">
      <c r="A563" s="1"/>
      <c r="L563" s="1"/>
      <c r="M563" s="1"/>
      <c r="W563" s="1"/>
    </row>
    <row r="564" spans="1:23" x14ac:dyDescent="0.25">
      <c r="A564" s="1"/>
      <c r="L564" s="1"/>
      <c r="M564" s="1"/>
      <c r="W564" s="1"/>
    </row>
    <row r="565" spans="1:23" x14ac:dyDescent="0.25">
      <c r="A565" s="1"/>
      <c r="L565" s="1"/>
      <c r="M565" s="1"/>
      <c r="W565" s="1"/>
    </row>
    <row r="566" spans="1:23" x14ac:dyDescent="0.25">
      <c r="A566" s="1"/>
      <c r="L566" s="1"/>
      <c r="M566" s="1"/>
      <c r="W566" s="1"/>
    </row>
    <row r="567" spans="1:23" x14ac:dyDescent="0.25">
      <c r="A567" s="1"/>
      <c r="L567" s="1"/>
      <c r="M567" s="1"/>
      <c r="W567" s="1"/>
    </row>
    <row r="568" spans="1:23" x14ac:dyDescent="0.25">
      <c r="A568" s="1"/>
      <c r="L568" s="1"/>
      <c r="M568" s="1"/>
      <c r="W568" s="1"/>
    </row>
    <row r="569" spans="1:23" x14ac:dyDescent="0.25">
      <c r="A569" s="1"/>
      <c r="L569" s="1"/>
      <c r="M569" s="1"/>
      <c r="W569" s="1"/>
    </row>
    <row r="570" spans="1:23" x14ac:dyDescent="0.25">
      <c r="A570" s="1"/>
      <c r="L570" s="1"/>
      <c r="M570" s="1"/>
      <c r="W570" s="1"/>
    </row>
    <row r="571" spans="1:23" x14ac:dyDescent="0.25">
      <c r="A571" s="1"/>
      <c r="L571" s="1"/>
      <c r="M571" s="1"/>
      <c r="W571" s="1"/>
    </row>
    <row r="572" spans="1:23" x14ac:dyDescent="0.25">
      <c r="A572" s="1"/>
      <c r="L572" s="1"/>
      <c r="M572" s="1"/>
      <c r="W572" s="1"/>
    </row>
    <row r="573" spans="1:23" x14ac:dyDescent="0.25">
      <c r="A573" s="1"/>
      <c r="L573" s="1"/>
      <c r="M573" s="1"/>
      <c r="W573" s="1"/>
    </row>
    <row r="574" spans="1:23" x14ac:dyDescent="0.25">
      <c r="A574" s="1"/>
      <c r="L574" s="1"/>
      <c r="M574" s="1"/>
      <c r="W574" s="1"/>
    </row>
    <row r="575" spans="1:23" x14ac:dyDescent="0.25">
      <c r="A575" s="1"/>
      <c r="L575" s="1"/>
      <c r="M575" s="1"/>
      <c r="W575" s="1"/>
    </row>
    <row r="576" spans="1:23" x14ac:dyDescent="0.25">
      <c r="A576" s="1"/>
      <c r="L576" s="1"/>
      <c r="M576" s="1"/>
      <c r="W576" s="1"/>
    </row>
    <row r="577" spans="1:23" x14ac:dyDescent="0.25">
      <c r="A577" s="1"/>
      <c r="L577" s="1"/>
      <c r="M577" s="1"/>
      <c r="W577" s="1"/>
    </row>
    <row r="578" spans="1:23" x14ac:dyDescent="0.25">
      <c r="A578" s="1"/>
      <c r="L578" s="1"/>
      <c r="M578" s="1"/>
      <c r="W578" s="1"/>
    </row>
    <row r="579" spans="1:23" x14ac:dyDescent="0.25">
      <c r="A579" s="1"/>
      <c r="L579" s="1"/>
      <c r="M579" s="1"/>
      <c r="W579" s="1"/>
    </row>
    <row r="580" spans="1:23" x14ac:dyDescent="0.25">
      <c r="A580" s="1"/>
      <c r="L580" s="1"/>
      <c r="M580" s="1"/>
      <c r="W580" s="1"/>
    </row>
    <row r="581" spans="1:23" x14ac:dyDescent="0.25">
      <c r="A581" s="1"/>
      <c r="L581" s="1"/>
      <c r="M581" s="1"/>
      <c r="W581" s="1"/>
    </row>
    <row r="582" spans="1:23" x14ac:dyDescent="0.25">
      <c r="A582" s="1"/>
      <c r="L582" s="1"/>
      <c r="M582" s="1"/>
      <c r="W582" s="1"/>
    </row>
    <row r="583" spans="1:23" x14ac:dyDescent="0.25">
      <c r="A583" s="1"/>
      <c r="L583" s="1"/>
      <c r="M583" s="1"/>
      <c r="W583" s="1"/>
    </row>
    <row r="584" spans="1:23" x14ac:dyDescent="0.25">
      <c r="A584" s="1"/>
      <c r="L584" s="1"/>
      <c r="M584" s="1"/>
      <c r="W584" s="1"/>
    </row>
    <row r="585" spans="1:23" x14ac:dyDescent="0.25">
      <c r="A585" s="1"/>
      <c r="L585" s="1"/>
      <c r="M585" s="1"/>
      <c r="W585" s="1"/>
    </row>
    <row r="586" spans="1:23" x14ac:dyDescent="0.25">
      <c r="A586" s="1"/>
      <c r="L586" s="1"/>
      <c r="M586" s="1"/>
      <c r="W586" s="1"/>
    </row>
    <row r="587" spans="1:23" x14ac:dyDescent="0.25">
      <c r="A587" s="1"/>
      <c r="L587" s="1"/>
      <c r="M587" s="1"/>
      <c r="W587" s="1"/>
    </row>
    <row r="588" spans="1:23" x14ac:dyDescent="0.25">
      <c r="A588" s="1"/>
      <c r="L588" s="1"/>
      <c r="M588" s="1"/>
      <c r="W588" s="1"/>
    </row>
    <row r="589" spans="1:23" x14ac:dyDescent="0.25">
      <c r="A589" s="1"/>
      <c r="L589" s="1"/>
      <c r="M589" s="1"/>
      <c r="W589" s="1"/>
    </row>
    <row r="590" spans="1:23" x14ac:dyDescent="0.25">
      <c r="A590" s="1"/>
      <c r="L590" s="1"/>
      <c r="M590" s="1"/>
      <c r="W590" s="1"/>
    </row>
    <row r="591" spans="1:23" x14ac:dyDescent="0.25">
      <c r="A591" s="1"/>
      <c r="L591" s="1"/>
      <c r="M591" s="1"/>
      <c r="W591" s="1"/>
    </row>
    <row r="592" spans="1:23" x14ac:dyDescent="0.25">
      <c r="A592" s="1"/>
      <c r="L592" s="1"/>
      <c r="M592" s="1"/>
      <c r="W592" s="1"/>
    </row>
    <row r="593" spans="1:23" x14ac:dyDescent="0.25">
      <c r="A593" s="1"/>
      <c r="L593" s="1"/>
      <c r="M593" s="1"/>
      <c r="W593" s="1"/>
    </row>
    <row r="594" spans="1:23" x14ac:dyDescent="0.25">
      <c r="A594" s="1"/>
      <c r="L594" s="1"/>
      <c r="M594" s="1"/>
      <c r="W594" s="1"/>
    </row>
    <row r="595" spans="1:23" x14ac:dyDescent="0.25">
      <c r="A595" s="1"/>
      <c r="L595" s="1"/>
      <c r="M595" s="1"/>
      <c r="W595" s="1"/>
    </row>
    <row r="596" spans="1:23" x14ac:dyDescent="0.25">
      <c r="A596" s="1"/>
      <c r="L596" s="1"/>
      <c r="M596" s="1"/>
      <c r="W596" s="1"/>
    </row>
    <row r="597" spans="1:23" x14ac:dyDescent="0.25">
      <c r="A597" s="1"/>
      <c r="L597" s="1"/>
      <c r="M597" s="1"/>
      <c r="W597" s="1"/>
    </row>
    <row r="598" spans="1:23" x14ac:dyDescent="0.25">
      <c r="A598" s="1"/>
      <c r="L598" s="1"/>
      <c r="M598" s="1"/>
      <c r="W598" s="1"/>
    </row>
    <row r="599" spans="1:23" x14ac:dyDescent="0.25">
      <c r="A599" s="1"/>
      <c r="L599" s="1"/>
      <c r="M599" s="1"/>
      <c r="W599" s="1"/>
    </row>
    <row r="600" spans="1:23" x14ac:dyDescent="0.25">
      <c r="A600" s="1"/>
      <c r="L600" s="1"/>
      <c r="M600" s="1"/>
      <c r="W600" s="1"/>
    </row>
    <row r="601" spans="1:23" x14ac:dyDescent="0.25">
      <c r="A601" s="1"/>
      <c r="L601" s="1"/>
      <c r="M601" s="1"/>
      <c r="W601" s="1"/>
    </row>
    <row r="602" spans="1:23" x14ac:dyDescent="0.25">
      <c r="A602" s="1"/>
      <c r="L602" s="1"/>
      <c r="M602" s="1"/>
      <c r="W602" s="1"/>
    </row>
    <row r="603" spans="1:23" x14ac:dyDescent="0.25">
      <c r="A603" s="1"/>
      <c r="L603" s="1"/>
      <c r="M603" s="1"/>
      <c r="W603" s="1"/>
    </row>
    <row r="604" spans="1:23" x14ac:dyDescent="0.25">
      <c r="A604" s="1"/>
      <c r="L604" s="1"/>
      <c r="M604" s="1"/>
      <c r="W604" s="1"/>
    </row>
    <row r="605" spans="1:23" x14ac:dyDescent="0.25">
      <c r="A605" s="1"/>
      <c r="L605" s="1"/>
      <c r="M605" s="1"/>
      <c r="W605" s="1"/>
    </row>
    <row r="606" spans="1:23" x14ac:dyDescent="0.25">
      <c r="A606" s="1"/>
      <c r="L606" s="1"/>
      <c r="M606" s="1"/>
      <c r="W606" s="1"/>
    </row>
    <row r="607" spans="1:23" x14ac:dyDescent="0.25">
      <c r="A607" s="1"/>
      <c r="L607" s="1"/>
      <c r="M607" s="1"/>
      <c r="W607" s="1"/>
    </row>
    <row r="608" spans="1:23" x14ac:dyDescent="0.25">
      <c r="A608" s="1"/>
      <c r="L608" s="1"/>
      <c r="M608" s="1"/>
      <c r="W608" s="1"/>
    </row>
    <row r="609" spans="1:23" x14ac:dyDescent="0.25">
      <c r="A609" s="1"/>
      <c r="L609" s="1"/>
      <c r="M609" s="1"/>
      <c r="W609" s="1"/>
    </row>
    <row r="610" spans="1:23" x14ac:dyDescent="0.25">
      <c r="A610" s="1"/>
      <c r="L610" s="1"/>
      <c r="M610" s="1"/>
      <c r="W610" s="1"/>
    </row>
    <row r="611" spans="1:23" x14ac:dyDescent="0.25">
      <c r="A611" s="1"/>
      <c r="L611" s="1"/>
      <c r="M611" s="1"/>
      <c r="W611" s="1"/>
    </row>
    <row r="612" spans="1:23" x14ac:dyDescent="0.25">
      <c r="A612" s="1"/>
      <c r="L612" s="1"/>
      <c r="M612" s="1"/>
      <c r="W612" s="1"/>
    </row>
    <row r="613" spans="1:23" x14ac:dyDescent="0.25">
      <c r="A613" s="1"/>
      <c r="L613" s="1"/>
      <c r="M613" s="1"/>
      <c r="W613" s="1"/>
    </row>
    <row r="614" spans="1:23" x14ac:dyDescent="0.25">
      <c r="A614" s="1"/>
      <c r="L614" s="1"/>
      <c r="M614" s="1"/>
      <c r="W614" s="1"/>
    </row>
    <row r="615" spans="1:23" x14ac:dyDescent="0.25">
      <c r="A615" s="1"/>
      <c r="L615" s="1"/>
      <c r="M615" s="1"/>
      <c r="W615" s="1"/>
    </row>
    <row r="616" spans="1:23" x14ac:dyDescent="0.25">
      <c r="A616" s="1"/>
      <c r="L616" s="1"/>
      <c r="M616" s="1"/>
      <c r="W616" s="1"/>
    </row>
    <row r="617" spans="1:23" x14ac:dyDescent="0.25">
      <c r="A617" s="1"/>
      <c r="L617" s="1"/>
      <c r="M617" s="1"/>
      <c r="W617" s="1"/>
    </row>
    <row r="618" spans="1:23" x14ac:dyDescent="0.25">
      <c r="A618" s="1"/>
      <c r="L618" s="1"/>
      <c r="M618" s="1"/>
      <c r="W618" s="1"/>
    </row>
    <row r="619" spans="1:23" x14ac:dyDescent="0.25">
      <c r="A619" s="1"/>
      <c r="L619" s="1"/>
      <c r="M619" s="1"/>
      <c r="W619" s="1"/>
    </row>
    <row r="620" spans="1:23" x14ac:dyDescent="0.25">
      <c r="A620" s="1"/>
      <c r="L620" s="1"/>
      <c r="M620" s="1"/>
      <c r="W620" s="1"/>
    </row>
    <row r="621" spans="1:23" x14ac:dyDescent="0.25">
      <c r="A621" s="1"/>
      <c r="L621" s="1"/>
      <c r="M621" s="1"/>
      <c r="W621" s="1"/>
    </row>
    <row r="622" spans="1:23" x14ac:dyDescent="0.25">
      <c r="A622" s="1"/>
      <c r="L622" s="1"/>
      <c r="M622" s="1"/>
      <c r="W622" s="1"/>
    </row>
    <row r="623" spans="1:23" x14ac:dyDescent="0.25">
      <c r="A623" s="1"/>
      <c r="L623" s="1"/>
      <c r="M623" s="1"/>
      <c r="W623" s="1"/>
    </row>
    <row r="624" spans="1:23" x14ac:dyDescent="0.25">
      <c r="A624" s="1"/>
      <c r="L624" s="1"/>
      <c r="M624" s="1"/>
      <c r="W624" s="1"/>
    </row>
    <row r="625" spans="1:23" x14ac:dyDescent="0.25">
      <c r="A625" s="1"/>
      <c r="L625" s="1"/>
      <c r="M625" s="1"/>
      <c r="W625" s="1"/>
    </row>
    <row r="626" spans="1:23" x14ac:dyDescent="0.25">
      <c r="A626" s="1"/>
      <c r="L626" s="1"/>
      <c r="M626" s="1"/>
      <c r="W626" s="1"/>
    </row>
    <row r="627" spans="1:23" x14ac:dyDescent="0.25">
      <c r="A627" s="1"/>
      <c r="L627" s="1"/>
      <c r="M627" s="1"/>
      <c r="W627" s="1"/>
    </row>
    <row r="628" spans="1:23" x14ac:dyDescent="0.25">
      <c r="A628" s="1"/>
      <c r="L628" s="1"/>
      <c r="M628" s="1"/>
      <c r="W628" s="1"/>
    </row>
    <row r="629" spans="1:23" x14ac:dyDescent="0.25">
      <c r="A629" s="1"/>
      <c r="L629" s="1"/>
      <c r="M629" s="1"/>
      <c r="W629" s="1"/>
    </row>
    <row r="630" spans="1:23" x14ac:dyDescent="0.25">
      <c r="A630" s="1"/>
      <c r="L630" s="1"/>
      <c r="M630" s="1"/>
      <c r="W630" s="1"/>
    </row>
    <row r="631" spans="1:23" x14ac:dyDescent="0.25">
      <c r="A631" s="1"/>
      <c r="L631" s="1"/>
      <c r="M631" s="1"/>
      <c r="W631" s="1"/>
    </row>
    <row r="632" spans="1:23" x14ac:dyDescent="0.25">
      <c r="A632" s="1"/>
      <c r="L632" s="1"/>
      <c r="M632" s="1"/>
      <c r="W632" s="1"/>
    </row>
    <row r="633" spans="1:23" x14ac:dyDescent="0.25">
      <c r="A633" s="1"/>
      <c r="L633" s="1"/>
      <c r="M633" s="1"/>
      <c r="W633" s="1"/>
    </row>
    <row r="634" spans="1:23" x14ac:dyDescent="0.25">
      <c r="A634" s="1"/>
      <c r="L634" s="1"/>
      <c r="M634" s="1"/>
      <c r="W634" s="1"/>
    </row>
    <row r="635" spans="1:23" x14ac:dyDescent="0.25">
      <c r="A635" s="1"/>
      <c r="L635" s="1"/>
      <c r="M635" s="1"/>
      <c r="W635" s="1"/>
    </row>
    <row r="636" spans="1:23" x14ac:dyDescent="0.25">
      <c r="A636" s="1"/>
      <c r="L636" s="1"/>
      <c r="M636" s="1"/>
      <c r="W636" s="1"/>
    </row>
    <row r="637" spans="1:23" x14ac:dyDescent="0.25">
      <c r="A637" s="1"/>
      <c r="L637" s="1"/>
      <c r="M637" s="1"/>
      <c r="W637" s="1"/>
    </row>
    <row r="638" spans="1:23" x14ac:dyDescent="0.25">
      <c r="A638" s="1"/>
      <c r="L638" s="1"/>
      <c r="M638" s="1"/>
      <c r="W638" s="1"/>
    </row>
    <row r="639" spans="1:23" x14ac:dyDescent="0.25">
      <c r="A639" s="1"/>
      <c r="L639" s="1"/>
      <c r="M639" s="1"/>
      <c r="W639" s="1"/>
    </row>
    <row r="640" spans="1:23" x14ac:dyDescent="0.25">
      <c r="A640" s="1"/>
      <c r="L640" s="1"/>
      <c r="M640" s="1"/>
      <c r="W640" s="1"/>
    </row>
    <row r="641" spans="1:23" x14ac:dyDescent="0.25">
      <c r="A641" s="1"/>
      <c r="L641" s="1"/>
      <c r="M641" s="1"/>
      <c r="W641" s="1"/>
    </row>
    <row r="642" spans="1:23" x14ac:dyDescent="0.25">
      <c r="A642" s="1"/>
      <c r="L642" s="1"/>
      <c r="M642" s="1"/>
      <c r="W642" s="1"/>
    </row>
    <row r="643" spans="1:23" x14ac:dyDescent="0.25">
      <c r="A643" s="1"/>
      <c r="L643" s="1"/>
      <c r="M643" s="1"/>
      <c r="W643" s="1"/>
    </row>
    <row r="644" spans="1:23" x14ac:dyDescent="0.25">
      <c r="A644" s="1"/>
      <c r="L644" s="1"/>
      <c r="M644" s="1"/>
      <c r="W644" s="1"/>
    </row>
    <row r="645" spans="1:23" x14ac:dyDescent="0.25">
      <c r="A645" s="1"/>
      <c r="L645" s="1"/>
      <c r="M645" s="1"/>
      <c r="W645" s="1"/>
    </row>
    <row r="646" spans="1:23" x14ac:dyDescent="0.25">
      <c r="A646" s="1"/>
      <c r="L646" s="1"/>
      <c r="M646" s="1"/>
      <c r="W646" s="1"/>
    </row>
    <row r="647" spans="1:23" x14ac:dyDescent="0.25">
      <c r="A647" s="1"/>
      <c r="L647" s="1"/>
      <c r="M647" s="1"/>
      <c r="W647" s="1"/>
    </row>
    <row r="648" spans="1:23" x14ac:dyDescent="0.25">
      <c r="A648" s="1"/>
      <c r="L648" s="1"/>
      <c r="M648" s="1"/>
      <c r="W648" s="1"/>
    </row>
    <row r="649" spans="1:23" x14ac:dyDescent="0.25">
      <c r="A649" s="1"/>
      <c r="L649" s="1"/>
      <c r="M649" s="1"/>
      <c r="W649" s="1"/>
    </row>
    <row r="650" spans="1:23" x14ac:dyDescent="0.25">
      <c r="A650" s="1"/>
      <c r="L650" s="1"/>
      <c r="M650" s="1"/>
      <c r="W650" s="1"/>
    </row>
    <row r="651" spans="1:23" x14ac:dyDescent="0.25">
      <c r="A651" s="1"/>
      <c r="L651" s="1"/>
      <c r="M651" s="1"/>
      <c r="W651" s="1"/>
    </row>
    <row r="652" spans="1:23" x14ac:dyDescent="0.25">
      <c r="A652" s="1"/>
      <c r="L652" s="1"/>
      <c r="M652" s="1"/>
      <c r="W652" s="1"/>
    </row>
    <row r="653" spans="1:23" x14ac:dyDescent="0.25">
      <c r="A653" s="1"/>
      <c r="L653" s="1"/>
      <c r="M653" s="1"/>
      <c r="W653" s="1"/>
    </row>
    <row r="654" spans="1:23" x14ac:dyDescent="0.25">
      <c r="A654" s="1"/>
      <c r="L654" s="1"/>
      <c r="M654" s="1"/>
      <c r="W654" s="1"/>
    </row>
    <row r="655" spans="1:23" x14ac:dyDescent="0.25">
      <c r="A655" s="1"/>
      <c r="L655" s="1"/>
      <c r="M655" s="1"/>
      <c r="W655" s="1"/>
    </row>
    <row r="656" spans="1:23" x14ac:dyDescent="0.25">
      <c r="A656" s="1"/>
      <c r="L656" s="1"/>
      <c r="M656" s="1"/>
      <c r="W656" s="1"/>
    </row>
    <row r="657" spans="1:23" x14ac:dyDescent="0.25">
      <c r="A657" s="1"/>
      <c r="L657" s="1"/>
      <c r="M657" s="1"/>
      <c r="W657" s="1"/>
    </row>
    <row r="658" spans="1:23" x14ac:dyDescent="0.25">
      <c r="A658" s="1"/>
      <c r="L658" s="1"/>
      <c r="M658" s="1"/>
      <c r="W658" s="1"/>
    </row>
    <row r="659" spans="1:23" x14ac:dyDescent="0.25">
      <c r="A659" s="1"/>
      <c r="L659" s="1"/>
      <c r="M659" s="1"/>
      <c r="W659" s="1"/>
    </row>
    <row r="660" spans="1:23" x14ac:dyDescent="0.25">
      <c r="A660" s="1"/>
      <c r="L660" s="1"/>
      <c r="M660" s="1"/>
      <c r="W660" s="1"/>
    </row>
    <row r="661" spans="1:23" x14ac:dyDescent="0.25">
      <c r="A661" s="1"/>
      <c r="L661" s="1"/>
      <c r="M661" s="1"/>
      <c r="W661" s="1"/>
    </row>
    <row r="662" spans="1:23" x14ac:dyDescent="0.25">
      <c r="A662" s="1"/>
      <c r="L662" s="1"/>
      <c r="M662" s="1"/>
      <c r="W662" s="1"/>
    </row>
    <row r="663" spans="1:23" x14ac:dyDescent="0.25">
      <c r="A663" s="1"/>
      <c r="L663" s="1"/>
      <c r="M663" s="1"/>
      <c r="W663" s="1"/>
    </row>
    <row r="664" spans="1:23" x14ac:dyDescent="0.25">
      <c r="A664" s="1"/>
      <c r="L664" s="1"/>
      <c r="M664" s="1"/>
      <c r="W664" s="1"/>
    </row>
    <row r="665" spans="1:23" x14ac:dyDescent="0.25">
      <c r="A665" s="1"/>
      <c r="L665" s="1"/>
      <c r="M665" s="1"/>
      <c r="W665" s="1"/>
    </row>
    <row r="666" spans="1:23" x14ac:dyDescent="0.25">
      <c r="A666" s="1"/>
      <c r="L666" s="1"/>
      <c r="M666" s="1"/>
      <c r="W666" s="1"/>
    </row>
    <row r="667" spans="1:23" x14ac:dyDescent="0.25">
      <c r="A667" s="1"/>
      <c r="L667" s="1"/>
      <c r="M667" s="1"/>
      <c r="W667" s="1"/>
    </row>
    <row r="668" spans="1:23" x14ac:dyDescent="0.25">
      <c r="A668" s="1"/>
      <c r="L668" s="1"/>
      <c r="M668" s="1"/>
      <c r="W668" s="1"/>
    </row>
    <row r="669" spans="1:23" x14ac:dyDescent="0.25">
      <c r="A669" s="1"/>
      <c r="L669" s="1"/>
      <c r="M669" s="1"/>
      <c r="W669" s="1"/>
    </row>
    <row r="670" spans="1:23" x14ac:dyDescent="0.25">
      <c r="A670" s="1"/>
      <c r="L670" s="1"/>
      <c r="M670" s="1"/>
      <c r="W670" s="1"/>
    </row>
    <row r="671" spans="1:23" x14ac:dyDescent="0.25">
      <c r="A671" s="1"/>
      <c r="L671" s="1"/>
      <c r="M671" s="1"/>
      <c r="W671" s="1"/>
    </row>
    <row r="672" spans="1:23" x14ac:dyDescent="0.25">
      <c r="A672" s="1"/>
      <c r="L672" s="1"/>
      <c r="M672" s="1"/>
      <c r="W672" s="1"/>
    </row>
    <row r="673" spans="1:23" x14ac:dyDescent="0.25">
      <c r="A673" s="1"/>
      <c r="L673" s="1"/>
      <c r="M673" s="1"/>
      <c r="W673" s="1"/>
    </row>
    <row r="674" spans="1:23" x14ac:dyDescent="0.25">
      <c r="A674" s="1"/>
      <c r="L674" s="1"/>
      <c r="M674" s="1"/>
      <c r="W674" s="1"/>
    </row>
    <row r="675" spans="1:23" x14ac:dyDescent="0.25">
      <c r="A675" s="1"/>
      <c r="L675" s="1"/>
      <c r="M675" s="1"/>
      <c r="W675" s="1"/>
    </row>
    <row r="676" spans="1:23" x14ac:dyDescent="0.25">
      <c r="A676" s="1"/>
      <c r="L676" s="1"/>
      <c r="M676" s="1"/>
      <c r="W676" s="1"/>
    </row>
    <row r="677" spans="1:23" x14ac:dyDescent="0.25">
      <c r="A677" s="1"/>
      <c r="L677" s="1"/>
      <c r="M677" s="1"/>
      <c r="W677" s="1"/>
    </row>
    <row r="678" spans="1:23" x14ac:dyDescent="0.25">
      <c r="A678" s="1"/>
      <c r="L678" s="1"/>
      <c r="M678" s="1"/>
      <c r="W678" s="1"/>
    </row>
    <row r="679" spans="1:23" x14ac:dyDescent="0.25">
      <c r="A679" s="1"/>
      <c r="L679" s="1"/>
      <c r="M679" s="1"/>
      <c r="W679" s="1"/>
    </row>
    <row r="680" spans="1:23" x14ac:dyDescent="0.25">
      <c r="A680" s="1"/>
      <c r="L680" s="1"/>
      <c r="M680" s="1"/>
      <c r="W680" s="1"/>
    </row>
    <row r="681" spans="1:23" x14ac:dyDescent="0.25">
      <c r="A681" s="1"/>
      <c r="L681" s="1"/>
      <c r="M681" s="1"/>
      <c r="W681" s="1"/>
    </row>
    <row r="682" spans="1:23" x14ac:dyDescent="0.25">
      <c r="A682" s="1"/>
      <c r="L682" s="1"/>
      <c r="M682" s="1"/>
      <c r="W682" s="1"/>
    </row>
    <row r="683" spans="1:23" x14ac:dyDescent="0.25">
      <c r="A683" s="1"/>
      <c r="L683" s="1"/>
      <c r="M683" s="1"/>
      <c r="W683" s="1"/>
    </row>
    <row r="684" spans="1:23" x14ac:dyDescent="0.25">
      <c r="A684" s="1"/>
      <c r="L684" s="1"/>
      <c r="M684" s="1"/>
      <c r="W684" s="1"/>
    </row>
    <row r="685" spans="1:23" x14ac:dyDescent="0.25">
      <c r="A685" s="1"/>
      <c r="L685" s="1"/>
      <c r="M685" s="1"/>
      <c r="W685" s="1"/>
    </row>
    <row r="686" spans="1:23" x14ac:dyDescent="0.25">
      <c r="A686" s="1"/>
      <c r="L686" s="1"/>
      <c r="M686" s="1"/>
      <c r="W686" s="1"/>
    </row>
    <row r="687" spans="1:23" x14ac:dyDescent="0.25">
      <c r="A687" s="1"/>
      <c r="L687" s="1"/>
      <c r="M687" s="1"/>
      <c r="W687" s="1"/>
    </row>
    <row r="688" spans="1:23" x14ac:dyDescent="0.25">
      <c r="A688" s="1"/>
      <c r="L688" s="1"/>
      <c r="M688" s="1"/>
      <c r="W688" s="1"/>
    </row>
    <row r="689" spans="1:23" x14ac:dyDescent="0.25">
      <c r="A689" s="1"/>
      <c r="L689" s="1"/>
      <c r="M689" s="1"/>
      <c r="W689" s="1"/>
    </row>
    <row r="690" spans="1:23" x14ac:dyDescent="0.25">
      <c r="A690" s="1"/>
      <c r="L690" s="1"/>
      <c r="M690" s="1"/>
      <c r="W690" s="1"/>
    </row>
    <row r="691" spans="1:23" x14ac:dyDescent="0.25">
      <c r="A691" s="1"/>
      <c r="L691" s="1"/>
      <c r="M691" s="1"/>
      <c r="W691" s="1"/>
    </row>
    <row r="692" spans="1:23" x14ac:dyDescent="0.25">
      <c r="A692" s="1"/>
      <c r="L692" s="1"/>
      <c r="M692" s="1"/>
      <c r="W692" s="1"/>
    </row>
    <row r="693" spans="1:23" x14ac:dyDescent="0.25">
      <c r="A693" s="1"/>
      <c r="L693" s="1"/>
      <c r="M693" s="1"/>
      <c r="W693" s="1"/>
    </row>
    <row r="694" spans="1:23" x14ac:dyDescent="0.25">
      <c r="A694" s="1"/>
      <c r="L694" s="1"/>
      <c r="M694" s="1"/>
      <c r="W694" s="1"/>
    </row>
    <row r="695" spans="1:23" x14ac:dyDescent="0.25">
      <c r="A695" s="1"/>
      <c r="L695" s="1"/>
      <c r="M695" s="1"/>
      <c r="W695" s="1"/>
    </row>
    <row r="696" spans="1:23" x14ac:dyDescent="0.25">
      <c r="A696" s="1"/>
      <c r="L696" s="1"/>
      <c r="M696" s="1"/>
      <c r="W696" s="1"/>
    </row>
    <row r="697" spans="1:23" x14ac:dyDescent="0.25">
      <c r="A697" s="1"/>
      <c r="L697" s="1"/>
      <c r="M697" s="1"/>
      <c r="W697" s="1"/>
    </row>
    <row r="698" spans="1:23" x14ac:dyDescent="0.25">
      <c r="A698" s="1"/>
      <c r="L698" s="1"/>
      <c r="M698" s="1"/>
      <c r="W698" s="1"/>
    </row>
    <row r="699" spans="1:23" x14ac:dyDescent="0.25">
      <c r="A699" s="1"/>
      <c r="L699" s="1"/>
      <c r="M699" s="1"/>
      <c r="W699" s="1"/>
    </row>
    <row r="700" spans="1:23" x14ac:dyDescent="0.25">
      <c r="A700" s="1"/>
      <c r="L700" s="1"/>
      <c r="M700" s="1"/>
      <c r="W700" s="1"/>
    </row>
    <row r="701" spans="1:23" x14ac:dyDescent="0.25">
      <c r="A701" s="1"/>
      <c r="L701" s="1"/>
      <c r="M701" s="1"/>
      <c r="N701" s="1"/>
      <c r="W701" s="1"/>
    </row>
    <row r="702" spans="1:23" x14ac:dyDescent="0.25">
      <c r="A702" s="1"/>
      <c r="L702" s="1"/>
      <c r="M702" s="1"/>
      <c r="N702" s="1"/>
      <c r="W702" s="1"/>
    </row>
    <row r="703" spans="1:23" x14ac:dyDescent="0.25">
      <c r="A703" s="1"/>
      <c r="L703" s="1"/>
      <c r="M703" s="1"/>
      <c r="W703" s="1"/>
    </row>
    <row r="704" spans="1:23" x14ac:dyDescent="0.25">
      <c r="A704" s="1"/>
      <c r="L704" s="1"/>
      <c r="M704" s="1"/>
      <c r="W704" s="1"/>
    </row>
    <row r="705" spans="1:23" x14ac:dyDescent="0.25">
      <c r="A705" s="1"/>
      <c r="L705" s="1"/>
      <c r="M705" s="1"/>
      <c r="W705" s="1"/>
    </row>
    <row r="706" spans="1:23" x14ac:dyDescent="0.25">
      <c r="A706" s="1"/>
      <c r="L706" s="1"/>
      <c r="M706" s="1"/>
      <c r="W706" s="1"/>
    </row>
    <row r="707" spans="1:23" x14ac:dyDescent="0.25">
      <c r="A707" s="1"/>
      <c r="L707" s="1"/>
      <c r="M707" s="1"/>
      <c r="W707" s="1"/>
    </row>
    <row r="708" spans="1:23" x14ac:dyDescent="0.25">
      <c r="A708" s="1"/>
      <c r="L708" s="1"/>
      <c r="M708" s="1"/>
      <c r="W708" s="1"/>
    </row>
    <row r="709" spans="1:23" x14ac:dyDescent="0.25">
      <c r="A709" s="1"/>
      <c r="L709" s="1"/>
      <c r="M709" s="1"/>
      <c r="W709" s="1"/>
    </row>
    <row r="710" spans="1:23" x14ac:dyDescent="0.25">
      <c r="A710" s="1"/>
      <c r="L710" s="1"/>
      <c r="M710" s="1"/>
      <c r="W710" s="1"/>
    </row>
    <row r="711" spans="1:23" x14ac:dyDescent="0.25">
      <c r="A711" s="1"/>
      <c r="L711" s="1"/>
      <c r="M711" s="1"/>
      <c r="W711" s="1"/>
    </row>
    <row r="712" spans="1:23" x14ac:dyDescent="0.25">
      <c r="A712" s="1"/>
      <c r="L712" s="1"/>
      <c r="M712" s="1"/>
      <c r="W712" s="1"/>
    </row>
    <row r="713" spans="1:23" x14ac:dyDescent="0.25">
      <c r="A713" s="1"/>
      <c r="L713" s="1"/>
      <c r="M713" s="1"/>
      <c r="W713" s="1"/>
    </row>
    <row r="714" spans="1:23" x14ac:dyDescent="0.25">
      <c r="A714" s="1"/>
      <c r="L714" s="1"/>
      <c r="M714" s="1"/>
      <c r="W714" s="1"/>
    </row>
    <row r="715" spans="1:23" x14ac:dyDescent="0.25">
      <c r="A715" s="1"/>
      <c r="L715" s="1"/>
      <c r="M715" s="1"/>
      <c r="W715" s="1"/>
    </row>
    <row r="716" spans="1:23" x14ac:dyDescent="0.25">
      <c r="A716" s="1"/>
      <c r="L716" s="1"/>
      <c r="M716" s="1"/>
      <c r="W716" s="1"/>
    </row>
    <row r="717" spans="1:23" x14ac:dyDescent="0.25">
      <c r="A717" s="1"/>
      <c r="L717" s="1"/>
      <c r="M717" s="1"/>
      <c r="W717" s="1"/>
    </row>
    <row r="718" spans="1:23" x14ac:dyDescent="0.25">
      <c r="A718" s="1"/>
      <c r="L718" s="1"/>
      <c r="M718" s="1"/>
      <c r="W718" s="1"/>
    </row>
    <row r="719" spans="1:23" x14ac:dyDescent="0.25">
      <c r="A719" s="1"/>
      <c r="L719" s="1"/>
      <c r="M719" s="1"/>
      <c r="W719" s="1"/>
    </row>
    <row r="720" spans="1:23" x14ac:dyDescent="0.25">
      <c r="A720" s="1"/>
      <c r="L720" s="1"/>
      <c r="M720" s="1"/>
      <c r="W720" s="1"/>
    </row>
    <row r="721" spans="1:23" x14ac:dyDescent="0.25">
      <c r="A721" s="1"/>
      <c r="L721" s="1"/>
      <c r="M721" s="1"/>
      <c r="W721" s="1"/>
    </row>
    <row r="722" spans="1:23" x14ac:dyDescent="0.25">
      <c r="A722" s="1"/>
      <c r="L722" s="1"/>
      <c r="M722" s="1"/>
      <c r="W722" s="1"/>
    </row>
    <row r="723" spans="1:23" x14ac:dyDescent="0.25">
      <c r="A723" s="1"/>
      <c r="L723" s="1"/>
      <c r="M723" s="1"/>
      <c r="W723" s="1"/>
    </row>
    <row r="724" spans="1:23" x14ac:dyDescent="0.25">
      <c r="A724" s="1"/>
      <c r="L724" s="1"/>
      <c r="M724" s="1"/>
      <c r="W724" s="1"/>
    </row>
    <row r="725" spans="1:23" x14ac:dyDescent="0.25">
      <c r="A725" s="1"/>
      <c r="L725" s="1"/>
      <c r="M725" s="1"/>
      <c r="W725" s="1"/>
    </row>
    <row r="726" spans="1:23" x14ac:dyDescent="0.25">
      <c r="A726" s="1"/>
      <c r="L726" s="1"/>
      <c r="M726" s="1"/>
      <c r="W726" s="1"/>
    </row>
    <row r="727" spans="1:23" x14ac:dyDescent="0.25">
      <c r="A727" s="1"/>
      <c r="L727" s="1"/>
      <c r="M727" s="1"/>
      <c r="W727" s="1"/>
    </row>
    <row r="728" spans="1:23" x14ac:dyDescent="0.25">
      <c r="A728" s="1"/>
      <c r="L728" s="1"/>
      <c r="M728" s="1"/>
      <c r="W728" s="1"/>
    </row>
    <row r="729" spans="1:23" x14ac:dyDescent="0.25">
      <c r="A729" s="1"/>
      <c r="L729" s="1"/>
      <c r="M729" s="1"/>
      <c r="W729" s="1"/>
    </row>
    <row r="730" spans="1:23" x14ac:dyDescent="0.25">
      <c r="A730" s="1"/>
      <c r="L730" s="1"/>
      <c r="M730" s="1"/>
      <c r="W730" s="1"/>
    </row>
    <row r="731" spans="1:23" x14ac:dyDescent="0.25">
      <c r="A731" s="1"/>
      <c r="L731" s="1"/>
      <c r="M731" s="1"/>
      <c r="W731" s="1"/>
    </row>
    <row r="732" spans="1:23" x14ac:dyDescent="0.25">
      <c r="A732" s="1"/>
      <c r="L732" s="1"/>
      <c r="M732" s="1"/>
      <c r="W732" s="1"/>
    </row>
    <row r="733" spans="1:23" x14ac:dyDescent="0.25">
      <c r="A733" s="1"/>
      <c r="L733" s="1"/>
      <c r="M733" s="1"/>
      <c r="W733" s="1"/>
    </row>
    <row r="734" spans="1:23" x14ac:dyDescent="0.25">
      <c r="A734" s="1"/>
      <c r="L734" s="1"/>
      <c r="M734" s="1"/>
      <c r="W734" s="1"/>
    </row>
    <row r="735" spans="1:23" x14ac:dyDescent="0.25">
      <c r="A735" s="1"/>
      <c r="L735" s="1"/>
      <c r="M735" s="1"/>
      <c r="W735" s="1"/>
    </row>
    <row r="736" spans="1:23" x14ac:dyDescent="0.25">
      <c r="A736" s="1"/>
      <c r="L736" s="1"/>
      <c r="M736" s="1"/>
      <c r="W736" s="1"/>
    </row>
    <row r="737" spans="1:23" x14ac:dyDescent="0.25">
      <c r="A737" s="1"/>
      <c r="L737" s="1"/>
      <c r="M737" s="1"/>
      <c r="W737" s="1"/>
    </row>
    <row r="738" spans="1:23" x14ac:dyDescent="0.25">
      <c r="A738" s="1"/>
      <c r="L738" s="1"/>
      <c r="M738" s="1"/>
      <c r="W738" s="1"/>
    </row>
    <row r="739" spans="1:23" x14ac:dyDescent="0.25">
      <c r="A739" s="1"/>
      <c r="L739" s="1"/>
      <c r="M739" s="1"/>
      <c r="W739" s="1"/>
    </row>
    <row r="740" spans="1:23" x14ac:dyDescent="0.25">
      <c r="A740" s="1"/>
      <c r="L740" s="1"/>
      <c r="M740" s="1"/>
      <c r="W740" s="1"/>
    </row>
    <row r="741" spans="1:23" x14ac:dyDescent="0.25">
      <c r="A741" s="1"/>
      <c r="L741" s="1"/>
      <c r="M741" s="1"/>
      <c r="W741" s="1"/>
    </row>
    <row r="742" spans="1:23" x14ac:dyDescent="0.25">
      <c r="A742" s="1"/>
      <c r="L742" s="1"/>
      <c r="M742" s="1"/>
      <c r="W742" s="1"/>
    </row>
    <row r="743" spans="1:23" x14ac:dyDescent="0.25">
      <c r="A743" s="1"/>
      <c r="L743" s="1"/>
      <c r="M743" s="1"/>
      <c r="W743" s="1"/>
    </row>
    <row r="744" spans="1:23" x14ac:dyDescent="0.25">
      <c r="A744" s="1"/>
      <c r="L744" s="1"/>
      <c r="M744" s="1"/>
      <c r="W744" s="1"/>
    </row>
    <row r="745" spans="1:23" x14ac:dyDescent="0.25">
      <c r="A745" s="1"/>
      <c r="L745" s="1"/>
      <c r="M745" s="1"/>
      <c r="W745" s="1"/>
    </row>
    <row r="746" spans="1:23" x14ac:dyDescent="0.25">
      <c r="A746" s="1"/>
      <c r="L746" s="1"/>
      <c r="M746" s="1"/>
      <c r="W746" s="1"/>
    </row>
    <row r="747" spans="1:23" x14ac:dyDescent="0.25">
      <c r="A747" s="1"/>
      <c r="L747" s="1"/>
      <c r="M747" s="1"/>
      <c r="W747" s="1"/>
    </row>
    <row r="748" spans="1:23" x14ac:dyDescent="0.25">
      <c r="A748" s="1"/>
      <c r="L748" s="1"/>
      <c r="M748" s="1"/>
      <c r="W748" s="1"/>
    </row>
    <row r="749" spans="1:23" x14ac:dyDescent="0.25">
      <c r="A749" s="1"/>
      <c r="L749" s="1"/>
      <c r="M749" s="1"/>
      <c r="W749" s="1"/>
    </row>
    <row r="750" spans="1:23" x14ac:dyDescent="0.25">
      <c r="A750" s="1"/>
      <c r="L750" s="1"/>
      <c r="M750" s="1"/>
      <c r="W750" s="1"/>
    </row>
    <row r="751" spans="1:23" x14ac:dyDescent="0.25">
      <c r="A751" s="1"/>
      <c r="L751" s="1"/>
      <c r="M751" s="1"/>
      <c r="W751" s="1"/>
    </row>
    <row r="752" spans="1:23" x14ac:dyDescent="0.25">
      <c r="A752" s="1"/>
      <c r="L752" s="1"/>
      <c r="M752" s="1"/>
      <c r="W752" s="1"/>
    </row>
    <row r="753" spans="1:23" x14ac:dyDescent="0.25">
      <c r="A753" s="1"/>
      <c r="L753" s="1"/>
      <c r="M753" s="1"/>
      <c r="W753" s="1"/>
    </row>
    <row r="754" spans="1:23" x14ac:dyDescent="0.25">
      <c r="A754" s="1"/>
      <c r="L754" s="1"/>
      <c r="M754" s="1"/>
      <c r="W754" s="1"/>
    </row>
    <row r="755" spans="1:23" x14ac:dyDescent="0.25">
      <c r="A755" s="1"/>
      <c r="L755" s="1"/>
      <c r="M755" s="1"/>
      <c r="W755" s="1"/>
    </row>
    <row r="756" spans="1:23" x14ac:dyDescent="0.25">
      <c r="A756" s="1"/>
      <c r="L756" s="1"/>
      <c r="M756" s="1"/>
      <c r="W756" s="1"/>
    </row>
    <row r="757" spans="1:23" x14ac:dyDescent="0.25">
      <c r="A757" s="1"/>
      <c r="L757" s="1"/>
      <c r="M757" s="1"/>
      <c r="W757" s="1"/>
    </row>
    <row r="758" spans="1:23" x14ac:dyDescent="0.25">
      <c r="A758" s="1"/>
      <c r="L758" s="1"/>
      <c r="M758" s="1"/>
      <c r="W758" s="1"/>
    </row>
    <row r="759" spans="1:23" x14ac:dyDescent="0.25">
      <c r="A759" s="1"/>
      <c r="L759" s="1"/>
      <c r="M759" s="1"/>
      <c r="W759" s="1"/>
    </row>
    <row r="760" spans="1:23" x14ac:dyDescent="0.25">
      <c r="A760" s="1"/>
      <c r="L760" s="1"/>
      <c r="M760" s="1"/>
      <c r="W760" s="1"/>
    </row>
    <row r="761" spans="1:23" x14ac:dyDescent="0.25">
      <c r="A761" s="1"/>
      <c r="L761" s="1"/>
      <c r="M761" s="1"/>
      <c r="W761" s="1"/>
    </row>
    <row r="762" spans="1:23" x14ac:dyDescent="0.25">
      <c r="A762" s="1"/>
      <c r="L762" s="1"/>
      <c r="M762" s="1"/>
      <c r="W762" s="1"/>
    </row>
    <row r="763" spans="1:23" x14ac:dyDescent="0.25">
      <c r="A763" s="1"/>
      <c r="L763" s="1"/>
      <c r="M763" s="1"/>
      <c r="W763" s="1"/>
    </row>
    <row r="764" spans="1:23" x14ac:dyDescent="0.25">
      <c r="A764" s="1"/>
      <c r="L764" s="1"/>
      <c r="M764" s="1"/>
      <c r="W764" s="1"/>
    </row>
    <row r="765" spans="1:23" x14ac:dyDescent="0.25">
      <c r="A765" s="1"/>
      <c r="L765" s="1"/>
      <c r="M765" s="1"/>
      <c r="W765" s="1"/>
    </row>
    <row r="766" spans="1:23" x14ac:dyDescent="0.25">
      <c r="A766" s="1"/>
      <c r="L766" s="1"/>
      <c r="M766" s="1"/>
      <c r="W766" s="1"/>
    </row>
    <row r="767" spans="1:23" x14ac:dyDescent="0.25">
      <c r="A767" s="1"/>
      <c r="L767" s="1"/>
      <c r="M767" s="1"/>
      <c r="W767" s="1"/>
    </row>
    <row r="768" spans="1:23" x14ac:dyDescent="0.25">
      <c r="A768" s="1"/>
      <c r="L768" s="1"/>
      <c r="M768" s="1"/>
      <c r="W768" s="1"/>
    </row>
    <row r="769" spans="1:23" x14ac:dyDescent="0.25">
      <c r="A769" s="1"/>
      <c r="L769" s="1"/>
      <c r="M769" s="1"/>
      <c r="W769" s="1"/>
    </row>
    <row r="770" spans="1:23" x14ac:dyDescent="0.25">
      <c r="A770" s="1"/>
      <c r="L770" s="1"/>
      <c r="M770" s="1"/>
      <c r="W770" s="1"/>
    </row>
    <row r="771" spans="1:23" x14ac:dyDescent="0.25">
      <c r="A771" s="1"/>
      <c r="L771" s="1"/>
      <c r="M771" s="1"/>
      <c r="W771" s="1"/>
    </row>
    <row r="772" spans="1:23" x14ac:dyDescent="0.25">
      <c r="A772" s="1"/>
      <c r="L772" s="1"/>
      <c r="M772" s="1"/>
      <c r="W772" s="1"/>
    </row>
    <row r="773" spans="1:23" x14ac:dyDescent="0.25">
      <c r="A773" s="1"/>
      <c r="L773" s="1"/>
      <c r="M773" s="1"/>
      <c r="W773" s="1"/>
    </row>
    <row r="774" spans="1:23" x14ac:dyDescent="0.25">
      <c r="A774" s="1"/>
      <c r="L774" s="1"/>
      <c r="M774" s="1"/>
      <c r="W774" s="1"/>
    </row>
    <row r="775" spans="1:23" x14ac:dyDescent="0.25">
      <c r="A775" s="1"/>
      <c r="L775" s="1"/>
      <c r="M775" s="1"/>
      <c r="W775" s="1"/>
    </row>
    <row r="776" spans="1:23" x14ac:dyDescent="0.25">
      <c r="A776" s="1"/>
      <c r="L776" s="1"/>
      <c r="M776" s="1"/>
      <c r="W776" s="1"/>
    </row>
    <row r="777" spans="1:23" x14ac:dyDescent="0.25">
      <c r="A777" s="1"/>
      <c r="L777" s="1"/>
      <c r="M777" s="1"/>
      <c r="W777" s="1"/>
    </row>
    <row r="778" spans="1:23" x14ac:dyDescent="0.25">
      <c r="A778" s="1"/>
      <c r="L778" s="1"/>
      <c r="M778" s="1"/>
      <c r="W778" s="1"/>
    </row>
    <row r="779" spans="1:23" x14ac:dyDescent="0.25">
      <c r="A779" s="1"/>
      <c r="L779" s="1"/>
      <c r="M779" s="1"/>
      <c r="W779" s="1"/>
    </row>
    <row r="780" spans="1:23" x14ac:dyDescent="0.25">
      <c r="A780" s="1"/>
      <c r="L780" s="1"/>
      <c r="M780" s="1"/>
      <c r="W780" s="1"/>
    </row>
    <row r="781" spans="1:23" x14ac:dyDescent="0.25">
      <c r="A781" s="1"/>
      <c r="L781" s="1"/>
      <c r="M781" s="1"/>
      <c r="W781" s="1"/>
    </row>
    <row r="782" spans="1:23" x14ac:dyDescent="0.25">
      <c r="A782" s="1"/>
      <c r="L782" s="1"/>
      <c r="M782" s="1"/>
      <c r="W782" s="1"/>
    </row>
    <row r="783" spans="1:23" x14ac:dyDescent="0.25">
      <c r="A783" s="1"/>
      <c r="L783" s="1"/>
      <c r="M783" s="1"/>
      <c r="W783" s="1"/>
    </row>
    <row r="784" spans="1:23" x14ac:dyDescent="0.25">
      <c r="A784" s="1"/>
      <c r="L784" s="1"/>
      <c r="M784" s="1"/>
      <c r="W784" s="1"/>
    </row>
    <row r="785" spans="1:23" x14ac:dyDescent="0.25">
      <c r="A785" s="1"/>
      <c r="L785" s="1"/>
      <c r="M785" s="1"/>
      <c r="W785" s="1"/>
    </row>
    <row r="786" spans="1:23" x14ac:dyDescent="0.25">
      <c r="A786" s="1"/>
      <c r="L786" s="1"/>
      <c r="M786" s="1"/>
      <c r="W786" s="1"/>
    </row>
    <row r="787" spans="1:23" x14ac:dyDescent="0.25">
      <c r="A787" s="1"/>
      <c r="L787" s="1"/>
      <c r="M787" s="1"/>
      <c r="W787" s="1"/>
    </row>
    <row r="788" spans="1:23" x14ac:dyDescent="0.25">
      <c r="A788" s="1"/>
      <c r="L788" s="1"/>
      <c r="M788" s="1"/>
      <c r="W788" s="1"/>
    </row>
    <row r="789" spans="1:23" x14ac:dyDescent="0.25">
      <c r="A789" s="1"/>
      <c r="L789" s="1"/>
      <c r="M789" s="1"/>
      <c r="W789" s="1"/>
    </row>
    <row r="790" spans="1:23" x14ac:dyDescent="0.25">
      <c r="A790" s="1"/>
      <c r="L790" s="1"/>
      <c r="M790" s="1"/>
      <c r="W790" s="1"/>
    </row>
    <row r="791" spans="1:23" x14ac:dyDescent="0.25">
      <c r="A791" s="1"/>
      <c r="L791" s="1"/>
      <c r="M791" s="1"/>
      <c r="W791" s="1"/>
    </row>
    <row r="792" spans="1:23" x14ac:dyDescent="0.25">
      <c r="A792" s="1"/>
      <c r="L792" s="1"/>
      <c r="M792" s="1"/>
      <c r="W792" s="1"/>
    </row>
    <row r="793" spans="1:23" x14ac:dyDescent="0.25">
      <c r="A793" s="1"/>
      <c r="L793" s="1"/>
      <c r="M793" s="1"/>
      <c r="W793" s="1"/>
    </row>
    <row r="794" spans="1:23" x14ac:dyDescent="0.25">
      <c r="A794" s="1"/>
      <c r="L794" s="1"/>
      <c r="M794" s="1"/>
      <c r="W794" s="1"/>
    </row>
    <row r="795" spans="1:23" x14ac:dyDescent="0.25">
      <c r="A795" s="1"/>
      <c r="L795" s="1"/>
      <c r="M795" s="1"/>
      <c r="W795" s="1"/>
    </row>
    <row r="796" spans="1:23" x14ac:dyDescent="0.25">
      <c r="A796" s="1"/>
      <c r="L796" s="1"/>
      <c r="M796" s="1"/>
      <c r="W796" s="1"/>
    </row>
    <row r="797" spans="1:23" x14ac:dyDescent="0.25">
      <c r="A797" s="1"/>
      <c r="L797" s="1"/>
      <c r="M797" s="1"/>
      <c r="W797" s="1"/>
    </row>
    <row r="798" spans="1:23" x14ac:dyDescent="0.25">
      <c r="A798" s="1"/>
      <c r="L798" s="1"/>
      <c r="M798" s="1"/>
      <c r="W798" s="1"/>
    </row>
    <row r="799" spans="1:23" x14ac:dyDescent="0.25">
      <c r="A799" s="1"/>
      <c r="L799" s="1"/>
      <c r="M799" s="1"/>
      <c r="W799" s="1"/>
    </row>
    <row r="800" spans="1:23" x14ac:dyDescent="0.25">
      <c r="A800" s="1"/>
      <c r="L800" s="1"/>
      <c r="M800" s="1"/>
      <c r="W800" s="1"/>
    </row>
    <row r="801" spans="1:23" x14ac:dyDescent="0.25">
      <c r="A801" s="1"/>
      <c r="L801" s="1"/>
      <c r="M801" s="1"/>
      <c r="W801" s="1"/>
    </row>
    <row r="802" spans="1:23" x14ac:dyDescent="0.25">
      <c r="A802" s="1"/>
      <c r="L802" s="1"/>
      <c r="M802" s="1"/>
      <c r="W802" s="1"/>
    </row>
    <row r="803" spans="1:23" x14ac:dyDescent="0.25">
      <c r="A803" s="1"/>
      <c r="L803" s="1"/>
      <c r="M803" s="1"/>
      <c r="W803" s="1"/>
    </row>
    <row r="804" spans="1:23" x14ac:dyDescent="0.25">
      <c r="A804" s="1"/>
      <c r="L804" s="1"/>
      <c r="M804" s="1"/>
      <c r="W804" s="1"/>
    </row>
    <row r="805" spans="1:23" x14ac:dyDescent="0.25">
      <c r="A805" s="1"/>
      <c r="L805" s="1"/>
      <c r="M805" s="1"/>
      <c r="W805" s="1"/>
    </row>
    <row r="806" spans="1:23" x14ac:dyDescent="0.25">
      <c r="A806" s="1"/>
      <c r="L806" s="1"/>
      <c r="M806" s="1"/>
      <c r="W806" s="1"/>
    </row>
    <row r="807" spans="1:23" x14ac:dyDescent="0.25">
      <c r="A807" s="1"/>
      <c r="L807" s="1"/>
      <c r="M807" s="1"/>
      <c r="W807" s="1"/>
    </row>
    <row r="808" spans="1:23" x14ac:dyDescent="0.25">
      <c r="A808" s="1"/>
      <c r="L808" s="1"/>
      <c r="M808" s="1"/>
      <c r="W808" s="1"/>
    </row>
    <row r="809" spans="1:23" x14ac:dyDescent="0.25">
      <c r="A809" s="1"/>
      <c r="L809" s="1"/>
      <c r="M809" s="1"/>
      <c r="W809" s="1"/>
    </row>
    <row r="810" spans="1:23" x14ac:dyDescent="0.25">
      <c r="A810" s="1"/>
      <c r="L810" s="1"/>
      <c r="M810" s="1"/>
      <c r="W810" s="1"/>
    </row>
    <row r="811" spans="1:23" x14ac:dyDescent="0.25">
      <c r="A811" s="1"/>
      <c r="L811" s="1"/>
      <c r="M811" s="1"/>
      <c r="W811" s="1"/>
    </row>
    <row r="812" spans="1:23" x14ac:dyDescent="0.25">
      <c r="A812" s="1"/>
      <c r="L812" s="1"/>
      <c r="M812" s="1"/>
      <c r="W812" s="1"/>
    </row>
    <row r="813" spans="1:23" x14ac:dyDescent="0.25">
      <c r="A813" s="1"/>
      <c r="L813" s="1"/>
      <c r="M813" s="1"/>
      <c r="W813" s="1"/>
    </row>
    <row r="814" spans="1:23" x14ac:dyDescent="0.25">
      <c r="A814" s="1"/>
      <c r="L814" s="1"/>
      <c r="M814" s="1"/>
      <c r="W814" s="1"/>
    </row>
    <row r="815" spans="1:23" x14ac:dyDescent="0.25">
      <c r="A815" s="1"/>
      <c r="L815" s="1"/>
      <c r="M815" s="1"/>
      <c r="W815" s="1"/>
    </row>
    <row r="816" spans="1:23" x14ac:dyDescent="0.25">
      <c r="A816" s="1"/>
      <c r="L816" s="1"/>
      <c r="M816" s="1"/>
      <c r="W816" s="1"/>
    </row>
    <row r="817" spans="1:23" x14ac:dyDescent="0.25">
      <c r="A817" s="1"/>
      <c r="L817" s="1"/>
      <c r="M817" s="1"/>
      <c r="W817" s="1"/>
    </row>
    <row r="818" spans="1:23" x14ac:dyDescent="0.25">
      <c r="A818" s="1"/>
      <c r="L818" s="1"/>
      <c r="M818" s="1"/>
      <c r="W818" s="1"/>
    </row>
    <row r="819" spans="1:23" x14ac:dyDescent="0.25">
      <c r="A819" s="1"/>
      <c r="L819" s="1"/>
      <c r="M819" s="1"/>
      <c r="W819" s="1"/>
    </row>
    <row r="820" spans="1:23" x14ac:dyDescent="0.25">
      <c r="A820" s="1"/>
      <c r="L820" s="1"/>
      <c r="M820" s="1"/>
      <c r="W820" s="1"/>
    </row>
    <row r="821" spans="1:23" x14ac:dyDescent="0.25">
      <c r="A821" s="1"/>
      <c r="L821" s="1"/>
      <c r="M821" s="1"/>
      <c r="W821" s="1"/>
    </row>
    <row r="822" spans="1:23" x14ac:dyDescent="0.25">
      <c r="A822" s="1"/>
      <c r="L822" s="1"/>
      <c r="M822" s="1"/>
      <c r="W822" s="1"/>
    </row>
    <row r="823" spans="1:23" x14ac:dyDescent="0.25">
      <c r="A823" s="1"/>
      <c r="L823" s="1"/>
      <c r="M823" s="1"/>
      <c r="W823" s="1"/>
    </row>
    <row r="824" spans="1:23" x14ac:dyDescent="0.25">
      <c r="A824" s="1"/>
      <c r="L824" s="1"/>
      <c r="M824" s="1"/>
      <c r="W824" s="1"/>
    </row>
    <row r="825" spans="1:23" x14ac:dyDescent="0.25">
      <c r="A825" s="1"/>
      <c r="L825" s="1"/>
      <c r="M825" s="1"/>
      <c r="W825" s="1"/>
    </row>
    <row r="826" spans="1:23" x14ac:dyDescent="0.25">
      <c r="A826" s="1"/>
      <c r="L826" s="1"/>
      <c r="M826" s="1"/>
      <c r="W826" s="1"/>
    </row>
    <row r="827" spans="1:23" x14ac:dyDescent="0.25">
      <c r="A827" s="1"/>
      <c r="L827" s="1"/>
      <c r="M827" s="1"/>
      <c r="W827" s="1"/>
    </row>
    <row r="828" spans="1:23" x14ac:dyDescent="0.25">
      <c r="A828" s="1"/>
      <c r="L828" s="1"/>
      <c r="M828" s="1"/>
      <c r="W828" s="1"/>
    </row>
    <row r="829" spans="1:23" x14ac:dyDescent="0.25">
      <c r="A829" s="1"/>
      <c r="L829" s="1"/>
      <c r="M829" s="1"/>
      <c r="W829" s="1"/>
    </row>
    <row r="830" spans="1:23" x14ac:dyDescent="0.25">
      <c r="A830" s="1"/>
      <c r="L830" s="1"/>
      <c r="M830" s="1"/>
      <c r="W830" s="1"/>
    </row>
    <row r="831" spans="1:23" x14ac:dyDescent="0.25">
      <c r="A831" s="1"/>
      <c r="L831" s="1"/>
      <c r="M831" s="1"/>
      <c r="W831" s="1"/>
    </row>
    <row r="832" spans="1:23" x14ac:dyDescent="0.25">
      <c r="A832" s="1"/>
      <c r="L832" s="1"/>
      <c r="M832" s="1"/>
      <c r="W832" s="1"/>
    </row>
    <row r="833" spans="1:23" x14ac:dyDescent="0.25">
      <c r="A833" s="1"/>
      <c r="L833" s="1"/>
      <c r="M833" s="1"/>
      <c r="W833" s="1"/>
    </row>
    <row r="834" spans="1:23" x14ac:dyDescent="0.25">
      <c r="A834" s="1"/>
      <c r="L834" s="1"/>
      <c r="M834" s="1"/>
      <c r="W834" s="1"/>
    </row>
    <row r="835" spans="1:23" x14ac:dyDescent="0.25">
      <c r="A835" s="1"/>
      <c r="L835" s="1"/>
      <c r="M835" s="1"/>
      <c r="W835" s="1"/>
    </row>
    <row r="836" spans="1:23" x14ac:dyDescent="0.25">
      <c r="A836" s="1"/>
      <c r="L836" s="1"/>
      <c r="M836" s="1"/>
      <c r="W836" s="1"/>
    </row>
    <row r="837" spans="1:23" x14ac:dyDescent="0.25">
      <c r="A837" s="1"/>
      <c r="L837" s="1"/>
      <c r="M837" s="1"/>
      <c r="W837" s="1"/>
    </row>
    <row r="838" spans="1:23" x14ac:dyDescent="0.25">
      <c r="A838" s="1"/>
      <c r="L838" s="1"/>
      <c r="M838" s="1"/>
      <c r="W838" s="1"/>
    </row>
    <row r="839" spans="1:23" x14ac:dyDescent="0.25">
      <c r="A839" s="1"/>
      <c r="L839" s="1"/>
      <c r="M839" s="1"/>
      <c r="W839" s="1"/>
    </row>
    <row r="840" spans="1:23" x14ac:dyDescent="0.25">
      <c r="A840" s="1"/>
      <c r="L840" s="1"/>
      <c r="M840" s="1"/>
      <c r="W840" s="1"/>
    </row>
    <row r="841" spans="1:23" x14ac:dyDescent="0.25">
      <c r="A841" s="1"/>
      <c r="L841" s="1"/>
      <c r="M841" s="1"/>
      <c r="W841" s="1"/>
    </row>
    <row r="842" spans="1:23" x14ac:dyDescent="0.25">
      <c r="A842" s="1"/>
      <c r="L842" s="1"/>
      <c r="M842" s="1"/>
      <c r="W842" s="1"/>
    </row>
    <row r="843" spans="1:23" x14ac:dyDescent="0.25">
      <c r="A843" s="1"/>
      <c r="L843" s="1"/>
      <c r="M843" s="1"/>
      <c r="W843" s="1"/>
    </row>
    <row r="844" spans="1:23" x14ac:dyDescent="0.25">
      <c r="A844" s="1"/>
      <c r="L844" s="1"/>
      <c r="M844" s="1"/>
      <c r="W844" s="1"/>
    </row>
    <row r="845" spans="1:23" x14ac:dyDescent="0.25">
      <c r="A845" s="1"/>
      <c r="L845" s="1"/>
      <c r="M845" s="1"/>
      <c r="W845" s="1"/>
    </row>
    <row r="846" spans="1:23" x14ac:dyDescent="0.25">
      <c r="A846" s="1"/>
      <c r="L846" s="1"/>
      <c r="M846" s="1"/>
      <c r="W846" s="1"/>
    </row>
    <row r="847" spans="1:23" x14ac:dyDescent="0.25">
      <c r="A847" s="1"/>
      <c r="L847" s="1"/>
      <c r="M847" s="1"/>
      <c r="W847" s="1"/>
    </row>
    <row r="848" spans="1:23" x14ac:dyDescent="0.25">
      <c r="A848" s="1"/>
      <c r="L848" s="1"/>
      <c r="M848" s="1"/>
      <c r="W848" s="1"/>
    </row>
    <row r="849" spans="1:23" x14ac:dyDescent="0.25">
      <c r="A849" s="1"/>
      <c r="L849" s="1"/>
      <c r="M849" s="1"/>
      <c r="W849" s="1"/>
    </row>
    <row r="850" spans="1:23" x14ac:dyDescent="0.25">
      <c r="A850" s="1"/>
      <c r="L850" s="1"/>
      <c r="M850" s="1"/>
      <c r="W850" s="1"/>
    </row>
    <row r="851" spans="1:23" x14ac:dyDescent="0.25">
      <c r="A851" s="1"/>
      <c r="L851" s="1"/>
      <c r="M851" s="1"/>
      <c r="W851" s="1"/>
    </row>
    <row r="852" spans="1:23" x14ac:dyDescent="0.25">
      <c r="A852" s="1"/>
      <c r="L852" s="1"/>
      <c r="M852" s="1"/>
      <c r="W852" s="1"/>
    </row>
    <row r="853" spans="1:23" x14ac:dyDescent="0.25">
      <c r="A853" s="1"/>
      <c r="L853" s="1"/>
      <c r="M853" s="1"/>
      <c r="W853" s="1"/>
    </row>
    <row r="854" spans="1:23" x14ac:dyDescent="0.25">
      <c r="A854" s="1"/>
      <c r="L854" s="1"/>
      <c r="M854" s="1"/>
      <c r="W854" s="1"/>
    </row>
    <row r="855" spans="1:23" x14ac:dyDescent="0.25">
      <c r="A855" s="1"/>
      <c r="L855" s="1"/>
      <c r="M855" s="1"/>
      <c r="W855" s="1"/>
    </row>
    <row r="856" spans="1:23" x14ac:dyDescent="0.25">
      <c r="A856" s="1"/>
      <c r="L856" s="1"/>
      <c r="M856" s="1"/>
      <c r="W856" s="1"/>
    </row>
    <row r="857" spans="1:23" x14ac:dyDescent="0.25">
      <c r="A857" s="1"/>
      <c r="L857" s="1"/>
      <c r="M857" s="1"/>
      <c r="W857" s="1"/>
    </row>
    <row r="858" spans="1:23" x14ac:dyDescent="0.25">
      <c r="A858" s="1"/>
      <c r="L858" s="1"/>
      <c r="M858" s="1"/>
      <c r="W858" s="1"/>
    </row>
    <row r="859" spans="1:23" x14ac:dyDescent="0.25">
      <c r="A859" s="1"/>
      <c r="L859" s="1"/>
      <c r="M859" s="1"/>
      <c r="W859" s="1"/>
    </row>
    <row r="860" spans="1:23" x14ac:dyDescent="0.25">
      <c r="A860" s="1"/>
      <c r="L860" s="1"/>
      <c r="M860" s="1"/>
      <c r="W860" s="1"/>
    </row>
    <row r="861" spans="1:23" x14ac:dyDescent="0.25">
      <c r="A861" s="1"/>
      <c r="L861" s="1"/>
      <c r="M861" s="1"/>
      <c r="W861" s="1"/>
    </row>
    <row r="862" spans="1:23" x14ac:dyDescent="0.25">
      <c r="A862" s="1"/>
      <c r="L862" s="1"/>
      <c r="M862" s="1"/>
      <c r="W862" s="1"/>
    </row>
    <row r="863" spans="1:23" x14ac:dyDescent="0.25">
      <c r="A863" s="1"/>
      <c r="L863" s="1"/>
      <c r="M863" s="1"/>
      <c r="W863" s="1"/>
    </row>
    <row r="864" spans="1:23" x14ac:dyDescent="0.25">
      <c r="A864" s="1"/>
      <c r="L864" s="1"/>
      <c r="M864" s="1"/>
      <c r="W864" s="1"/>
    </row>
    <row r="865" spans="1:23" x14ac:dyDescent="0.25">
      <c r="A865" s="1"/>
      <c r="L865" s="1"/>
      <c r="M865" s="1"/>
      <c r="W865" s="1"/>
    </row>
    <row r="866" spans="1:23" x14ac:dyDescent="0.25">
      <c r="A866" s="1"/>
      <c r="L866" s="1"/>
      <c r="M866" s="1"/>
      <c r="W866" s="1"/>
    </row>
    <row r="867" spans="1:23" x14ac:dyDescent="0.25">
      <c r="A867" s="1"/>
      <c r="L867" s="1"/>
      <c r="M867" s="1"/>
      <c r="W867" s="1"/>
    </row>
    <row r="868" spans="1:23" x14ac:dyDescent="0.25">
      <c r="A868" s="1"/>
      <c r="L868" s="1"/>
      <c r="M868" s="1"/>
      <c r="W868" s="1"/>
    </row>
    <row r="869" spans="1:23" x14ac:dyDescent="0.25">
      <c r="A869" s="1"/>
      <c r="L869" s="1"/>
      <c r="M869" s="1"/>
      <c r="W869" s="1"/>
    </row>
    <row r="870" spans="1:23" x14ac:dyDescent="0.25">
      <c r="A870" s="1"/>
      <c r="L870" s="1"/>
      <c r="M870" s="1"/>
      <c r="W870" s="1"/>
    </row>
    <row r="871" spans="1:23" x14ac:dyDescent="0.25">
      <c r="A871" s="1"/>
      <c r="L871" s="1"/>
      <c r="M871" s="1"/>
      <c r="W871" s="1"/>
    </row>
    <row r="872" spans="1:23" x14ac:dyDescent="0.25">
      <c r="A872" s="1"/>
      <c r="L872" s="1"/>
      <c r="M872" s="1"/>
      <c r="W872" s="1"/>
    </row>
    <row r="873" spans="1:23" x14ac:dyDescent="0.25">
      <c r="A873" s="1"/>
      <c r="L873" s="1"/>
      <c r="M873" s="1"/>
      <c r="W873" s="1"/>
    </row>
    <row r="874" spans="1:23" x14ac:dyDescent="0.25">
      <c r="A874" s="1"/>
      <c r="L874" s="1"/>
      <c r="M874" s="1"/>
      <c r="W874" s="1"/>
    </row>
    <row r="875" spans="1:23" x14ac:dyDescent="0.25">
      <c r="A875" s="1"/>
      <c r="L875" s="1"/>
      <c r="M875" s="1"/>
      <c r="W875" s="1"/>
    </row>
    <row r="876" spans="1:23" x14ac:dyDescent="0.25">
      <c r="A876" s="1"/>
      <c r="L876" s="1"/>
      <c r="M876" s="1"/>
      <c r="W876" s="1"/>
    </row>
    <row r="877" spans="1:23" x14ac:dyDescent="0.25">
      <c r="A877" s="1"/>
      <c r="L877" s="1"/>
      <c r="M877" s="1"/>
      <c r="W877" s="1"/>
    </row>
    <row r="878" spans="1:23" x14ac:dyDescent="0.25">
      <c r="A878" s="1"/>
      <c r="L878" s="1"/>
      <c r="M878" s="1"/>
      <c r="W878" s="1"/>
    </row>
    <row r="879" spans="1:23" x14ac:dyDescent="0.25">
      <c r="A879" s="1"/>
      <c r="L879" s="1"/>
      <c r="M879" s="1"/>
      <c r="W879" s="1"/>
    </row>
    <row r="880" spans="1:23" x14ac:dyDescent="0.25">
      <c r="A880" s="1"/>
      <c r="L880" s="1"/>
      <c r="M880" s="1"/>
      <c r="W880" s="1"/>
    </row>
    <row r="881" spans="1:23" x14ac:dyDescent="0.25">
      <c r="A881" s="1"/>
      <c r="L881" s="1"/>
      <c r="M881" s="1"/>
      <c r="W881" s="1"/>
    </row>
    <row r="882" spans="1:23" x14ac:dyDescent="0.25">
      <c r="A882" s="1"/>
      <c r="L882" s="1"/>
      <c r="M882" s="1"/>
      <c r="W882" s="1"/>
    </row>
    <row r="883" spans="1:23" x14ac:dyDescent="0.25">
      <c r="A883" s="1"/>
      <c r="L883" s="1"/>
      <c r="M883" s="1"/>
      <c r="W883" s="1"/>
    </row>
    <row r="884" spans="1:23" x14ac:dyDescent="0.25">
      <c r="A884" s="1"/>
      <c r="L884" s="1"/>
      <c r="M884" s="1"/>
      <c r="W884" s="1"/>
    </row>
    <row r="885" spans="1:23" x14ac:dyDescent="0.25">
      <c r="A885" s="1"/>
      <c r="L885" s="1"/>
      <c r="M885" s="1"/>
      <c r="W885" s="1"/>
    </row>
    <row r="886" spans="1:23" x14ac:dyDescent="0.25">
      <c r="A886" s="1"/>
      <c r="L886" s="1"/>
      <c r="M886" s="1"/>
      <c r="W886" s="1"/>
    </row>
    <row r="887" spans="1:23" x14ac:dyDescent="0.25">
      <c r="A887" s="1"/>
      <c r="L887" s="1"/>
      <c r="M887" s="1"/>
      <c r="W887" s="1"/>
    </row>
    <row r="888" spans="1:23" x14ac:dyDescent="0.25">
      <c r="A888" s="1"/>
      <c r="L888" s="1"/>
      <c r="M888" s="1"/>
      <c r="W888" s="1"/>
    </row>
    <row r="889" spans="1:23" x14ac:dyDescent="0.25">
      <c r="A889" s="1"/>
      <c r="L889" s="1"/>
      <c r="M889" s="1"/>
      <c r="W889" s="1"/>
    </row>
    <row r="890" spans="1:23" x14ac:dyDescent="0.25">
      <c r="A890" s="1"/>
      <c r="L890" s="1"/>
      <c r="M890" s="1"/>
      <c r="W890" s="1"/>
    </row>
    <row r="891" spans="1:23" x14ac:dyDescent="0.25">
      <c r="A891" s="1"/>
      <c r="L891" s="1"/>
      <c r="M891" s="1"/>
      <c r="W891" s="1"/>
    </row>
    <row r="892" spans="1:23" x14ac:dyDescent="0.25">
      <c r="A892" s="1"/>
      <c r="L892" s="1"/>
      <c r="M892" s="1"/>
      <c r="W892" s="1"/>
    </row>
    <row r="893" spans="1:23" x14ac:dyDescent="0.25">
      <c r="A893" s="1"/>
      <c r="L893" s="1"/>
      <c r="M893" s="1"/>
      <c r="W893" s="1"/>
    </row>
    <row r="894" spans="1:23" x14ac:dyDescent="0.25">
      <c r="A894" s="1"/>
      <c r="L894" s="1"/>
      <c r="M894" s="1"/>
      <c r="W894" s="1"/>
    </row>
    <row r="895" spans="1:23" x14ac:dyDescent="0.25">
      <c r="A895" s="1"/>
      <c r="L895" s="1"/>
      <c r="M895" s="1"/>
      <c r="W895" s="1"/>
    </row>
    <row r="896" spans="1:23" x14ac:dyDescent="0.25">
      <c r="A896" s="1"/>
      <c r="L896" s="1"/>
      <c r="M896" s="1"/>
      <c r="W896" s="1"/>
    </row>
    <row r="897" spans="1:23" x14ac:dyDescent="0.25">
      <c r="A897" s="1"/>
      <c r="L897" s="1"/>
      <c r="M897" s="1"/>
      <c r="W897" s="1"/>
    </row>
    <row r="898" spans="1:23" x14ac:dyDescent="0.25">
      <c r="A898" s="1"/>
      <c r="L898" s="1"/>
      <c r="M898" s="1"/>
      <c r="W898" s="1"/>
    </row>
    <row r="899" spans="1:23" x14ac:dyDescent="0.25">
      <c r="A899" s="1"/>
      <c r="L899" s="1"/>
      <c r="M899" s="1"/>
      <c r="W899" s="1"/>
    </row>
    <row r="900" spans="1:23" x14ac:dyDescent="0.25">
      <c r="A900" s="1"/>
      <c r="L900" s="1"/>
      <c r="M900" s="1"/>
      <c r="W900" s="1"/>
    </row>
    <row r="901" spans="1:23" x14ac:dyDescent="0.25">
      <c r="A901" s="1"/>
      <c r="L901" s="1"/>
      <c r="M901" s="1"/>
      <c r="W901" s="1"/>
    </row>
    <row r="902" spans="1:23" x14ac:dyDescent="0.25">
      <c r="A902" s="1"/>
      <c r="L902" s="1"/>
      <c r="M902" s="1"/>
      <c r="W902" s="1"/>
    </row>
    <row r="903" spans="1:23" x14ac:dyDescent="0.25">
      <c r="A903" s="1"/>
      <c r="L903" s="1"/>
      <c r="M903" s="1"/>
      <c r="W903" s="1"/>
    </row>
    <row r="904" spans="1:23" x14ac:dyDescent="0.25">
      <c r="A904" s="1"/>
      <c r="L904" s="1"/>
      <c r="M904" s="1"/>
      <c r="W904" s="1"/>
    </row>
    <row r="905" spans="1:23" x14ac:dyDescent="0.25">
      <c r="A905" s="1"/>
      <c r="L905" s="1"/>
      <c r="M905" s="1"/>
      <c r="W905" s="1"/>
    </row>
    <row r="906" spans="1:23" x14ac:dyDescent="0.25">
      <c r="A906" s="1"/>
      <c r="L906" s="1"/>
      <c r="M906" s="1"/>
      <c r="W906" s="1"/>
    </row>
    <row r="907" spans="1:23" x14ac:dyDescent="0.25">
      <c r="A907" s="1"/>
      <c r="L907" s="1"/>
      <c r="M907" s="1"/>
      <c r="W907" s="1"/>
    </row>
    <row r="908" spans="1:23" x14ac:dyDescent="0.25">
      <c r="A908" s="1"/>
      <c r="L908" s="1"/>
      <c r="M908" s="1"/>
      <c r="W908" s="1"/>
    </row>
    <row r="909" spans="1:23" x14ac:dyDescent="0.25">
      <c r="A909" s="1"/>
      <c r="L909" s="1"/>
      <c r="M909" s="1"/>
      <c r="W909" s="1"/>
    </row>
    <row r="910" spans="1:23" x14ac:dyDescent="0.25">
      <c r="A910" s="1"/>
      <c r="L910" s="1"/>
      <c r="M910" s="1"/>
      <c r="W910" s="1"/>
    </row>
    <row r="911" spans="1:23" x14ac:dyDescent="0.25">
      <c r="A911" s="1"/>
      <c r="L911" s="1"/>
      <c r="M911" s="1"/>
      <c r="W911" s="1"/>
    </row>
    <row r="912" spans="1:23" x14ac:dyDescent="0.25">
      <c r="A912" s="1"/>
      <c r="L912" s="1"/>
      <c r="M912" s="1"/>
      <c r="W912" s="1"/>
    </row>
    <row r="913" spans="1:23" x14ac:dyDescent="0.25">
      <c r="A913" s="1"/>
      <c r="L913" s="1"/>
      <c r="M913" s="1"/>
      <c r="W913" s="1"/>
    </row>
    <row r="914" spans="1:23" x14ac:dyDescent="0.25">
      <c r="A914" s="1"/>
      <c r="L914" s="1"/>
      <c r="M914" s="1"/>
      <c r="W914" s="1"/>
    </row>
    <row r="915" spans="1:23" x14ac:dyDescent="0.25">
      <c r="A915" s="1"/>
      <c r="L915" s="1"/>
      <c r="M915" s="1"/>
      <c r="W915" s="1"/>
    </row>
    <row r="916" spans="1:23" x14ac:dyDescent="0.25">
      <c r="A916" s="1"/>
      <c r="L916" s="1"/>
      <c r="M916" s="1"/>
      <c r="W916" s="1"/>
    </row>
    <row r="917" spans="1:23" x14ac:dyDescent="0.25">
      <c r="A917" s="1"/>
      <c r="L917" s="1"/>
      <c r="M917" s="1"/>
      <c r="W917" s="1"/>
    </row>
    <row r="918" spans="1:23" x14ac:dyDescent="0.25">
      <c r="A918" s="1"/>
      <c r="L918" s="1"/>
      <c r="M918" s="1"/>
      <c r="W918" s="1"/>
    </row>
    <row r="919" spans="1:23" x14ac:dyDescent="0.25">
      <c r="A919" s="1"/>
      <c r="L919" s="1"/>
      <c r="M919" s="1"/>
      <c r="W919" s="1"/>
    </row>
    <row r="920" spans="1:23" x14ac:dyDescent="0.25">
      <c r="A920" s="1"/>
      <c r="L920" s="1"/>
      <c r="M920" s="1"/>
      <c r="W920" s="1"/>
    </row>
    <row r="921" spans="1:23" x14ac:dyDescent="0.25">
      <c r="A921" s="1"/>
      <c r="L921" s="1"/>
      <c r="M921" s="1"/>
      <c r="W921" s="1"/>
    </row>
    <row r="922" spans="1:23" x14ac:dyDescent="0.25">
      <c r="A922" s="1"/>
      <c r="L922" s="1"/>
      <c r="M922" s="1"/>
      <c r="W922" s="1"/>
    </row>
    <row r="923" spans="1:23" x14ac:dyDescent="0.25">
      <c r="A923" s="1"/>
      <c r="L923" s="1"/>
      <c r="M923" s="1"/>
      <c r="W923" s="1"/>
    </row>
    <row r="924" spans="1:23" x14ac:dyDescent="0.25">
      <c r="A924" s="1"/>
      <c r="L924" s="1"/>
      <c r="M924" s="1"/>
      <c r="W924" s="1"/>
    </row>
    <row r="925" spans="1:23" x14ac:dyDescent="0.25">
      <c r="A925" s="1"/>
      <c r="L925" s="1"/>
      <c r="M925" s="1"/>
      <c r="W925" s="1"/>
    </row>
    <row r="926" spans="1:23" x14ac:dyDescent="0.25">
      <c r="A926" s="1"/>
      <c r="L926" s="1"/>
      <c r="M926" s="1"/>
      <c r="W926" s="1"/>
    </row>
    <row r="927" spans="1:23" x14ac:dyDescent="0.25">
      <c r="A927" s="1"/>
      <c r="L927" s="1"/>
      <c r="M927" s="1"/>
      <c r="W927" s="1"/>
    </row>
    <row r="928" spans="1:23" x14ac:dyDescent="0.25">
      <c r="A928" s="1"/>
      <c r="L928" s="1"/>
      <c r="M928" s="1"/>
      <c r="W928" s="1"/>
    </row>
    <row r="929" spans="1:23" x14ac:dyDescent="0.25">
      <c r="A929" s="1"/>
      <c r="L929" s="1"/>
      <c r="M929" s="1"/>
      <c r="W929" s="1"/>
    </row>
    <row r="930" spans="1:23" x14ac:dyDescent="0.25">
      <c r="A930" s="1"/>
      <c r="L930" s="1"/>
      <c r="M930" s="1"/>
      <c r="W930" s="1"/>
    </row>
    <row r="931" spans="1:23" x14ac:dyDescent="0.25">
      <c r="A931" s="1"/>
      <c r="L931" s="1"/>
      <c r="M931" s="1"/>
      <c r="W931" s="1"/>
    </row>
    <row r="932" spans="1:23" x14ac:dyDescent="0.25">
      <c r="A932" s="1"/>
      <c r="L932" s="1"/>
      <c r="M932" s="1"/>
      <c r="W932" s="1"/>
    </row>
    <row r="933" spans="1:23" x14ac:dyDescent="0.25">
      <c r="A933" s="1"/>
      <c r="L933" s="1"/>
      <c r="M933" s="1"/>
      <c r="W933" s="1"/>
    </row>
    <row r="934" spans="1:23" x14ac:dyDescent="0.25">
      <c r="A934" s="1"/>
      <c r="L934" s="1"/>
      <c r="M934" s="1"/>
      <c r="W934" s="1"/>
    </row>
    <row r="935" spans="1:23" x14ac:dyDescent="0.25">
      <c r="A935" s="1"/>
      <c r="L935" s="1"/>
      <c r="M935" s="1"/>
      <c r="W935" s="1"/>
    </row>
    <row r="936" spans="1:23" x14ac:dyDescent="0.25">
      <c r="A936" s="1"/>
      <c r="L936" s="1"/>
      <c r="M936" s="1"/>
      <c r="W936" s="1"/>
    </row>
    <row r="937" spans="1:23" x14ac:dyDescent="0.25">
      <c r="A937" s="1"/>
      <c r="L937" s="1"/>
      <c r="M937" s="1"/>
      <c r="W937" s="1"/>
    </row>
    <row r="938" spans="1:23" x14ac:dyDescent="0.25">
      <c r="A938" s="1"/>
      <c r="L938" s="1"/>
      <c r="M938" s="1"/>
      <c r="W938" s="1"/>
    </row>
    <row r="939" spans="1:23" x14ac:dyDescent="0.25">
      <c r="A939" s="1"/>
      <c r="L939" s="1"/>
      <c r="M939" s="1"/>
      <c r="W939" s="1"/>
    </row>
    <row r="940" spans="1:23" x14ac:dyDescent="0.25">
      <c r="A940" s="1"/>
      <c r="L940" s="1"/>
      <c r="M940" s="1"/>
      <c r="W940" s="1"/>
    </row>
    <row r="941" spans="1:23" x14ac:dyDescent="0.25">
      <c r="A941" s="1"/>
      <c r="L941" s="1"/>
      <c r="M941" s="1"/>
      <c r="W941" s="1"/>
    </row>
    <row r="942" spans="1:23" x14ac:dyDescent="0.25">
      <c r="A942" s="1"/>
      <c r="L942" s="1"/>
      <c r="M942" s="1"/>
      <c r="W942" s="1"/>
    </row>
    <row r="943" spans="1:23" x14ac:dyDescent="0.25">
      <c r="A943" s="1"/>
      <c r="L943" s="1"/>
      <c r="M943" s="1"/>
      <c r="W943" s="1"/>
    </row>
    <row r="944" spans="1:23" x14ac:dyDescent="0.25">
      <c r="A944" s="1"/>
      <c r="L944" s="1"/>
      <c r="M944" s="1"/>
      <c r="W944" s="1"/>
    </row>
    <row r="945" spans="1:23" x14ac:dyDescent="0.25">
      <c r="A945" s="1"/>
      <c r="L945" s="1"/>
      <c r="M945" s="1"/>
      <c r="W945" s="1"/>
    </row>
    <row r="946" spans="1:23" x14ac:dyDescent="0.25">
      <c r="A946" s="1"/>
      <c r="L946" s="1"/>
      <c r="M946" s="1"/>
      <c r="W946" s="1"/>
    </row>
    <row r="947" spans="1:23" x14ac:dyDescent="0.25">
      <c r="A947" s="1"/>
      <c r="L947" s="1"/>
      <c r="M947" s="1"/>
      <c r="W947" s="1"/>
    </row>
    <row r="948" spans="1:23" x14ac:dyDescent="0.25">
      <c r="A948" s="1"/>
      <c r="L948" s="1"/>
      <c r="M948" s="1"/>
      <c r="W948" s="1"/>
    </row>
    <row r="949" spans="1:23" x14ac:dyDescent="0.25">
      <c r="A949" s="1"/>
      <c r="L949" s="1"/>
      <c r="M949" s="1"/>
      <c r="W949" s="1"/>
    </row>
    <row r="950" spans="1:23" x14ac:dyDescent="0.25">
      <c r="A950" s="1"/>
      <c r="L950" s="1"/>
      <c r="M950" s="1"/>
      <c r="W950" s="1"/>
    </row>
    <row r="951" spans="1:23" x14ac:dyDescent="0.25">
      <c r="A951" s="1"/>
      <c r="L951" s="1"/>
      <c r="M951" s="1"/>
      <c r="N951" s="1"/>
      <c r="W951" s="1"/>
    </row>
    <row r="952" spans="1:23" x14ac:dyDescent="0.25">
      <c r="A952" s="1"/>
      <c r="L952" s="1"/>
      <c r="M952" s="1"/>
      <c r="N952" s="1"/>
      <c r="W952" s="1"/>
    </row>
    <row r="953" spans="1:23" x14ac:dyDescent="0.25">
      <c r="A953" s="1"/>
      <c r="L953" s="1"/>
      <c r="M953" s="1"/>
      <c r="W953" s="1"/>
    </row>
    <row r="954" spans="1:23" x14ac:dyDescent="0.25">
      <c r="A954" s="1"/>
      <c r="L954" s="1"/>
      <c r="M954" s="1"/>
      <c r="W954" s="1"/>
    </row>
    <row r="955" spans="1:23" x14ac:dyDescent="0.25">
      <c r="A955" s="1"/>
      <c r="L955" s="1"/>
      <c r="M955" s="1"/>
      <c r="W955" s="1"/>
    </row>
    <row r="956" spans="1:23" x14ac:dyDescent="0.25">
      <c r="A956" s="1"/>
      <c r="L956" s="1"/>
      <c r="M956" s="1"/>
      <c r="W956" s="1"/>
    </row>
    <row r="957" spans="1:23" x14ac:dyDescent="0.25">
      <c r="A957" s="1"/>
      <c r="L957" s="1"/>
      <c r="M957" s="1"/>
      <c r="W957" s="1"/>
    </row>
    <row r="958" spans="1:23" x14ac:dyDescent="0.25">
      <c r="A958" s="1"/>
      <c r="L958" s="1"/>
      <c r="M958" s="1"/>
      <c r="W958" s="1"/>
    </row>
    <row r="959" spans="1:23" x14ac:dyDescent="0.25">
      <c r="A959" s="1"/>
      <c r="L959" s="1"/>
      <c r="M959" s="1"/>
      <c r="W959" s="1"/>
    </row>
    <row r="960" spans="1:23" x14ac:dyDescent="0.25">
      <c r="A960" s="1"/>
      <c r="L960" s="1"/>
      <c r="M960" s="1"/>
      <c r="W960" s="1"/>
    </row>
    <row r="961" spans="1:23" x14ac:dyDescent="0.25">
      <c r="A961" s="1"/>
      <c r="L961" s="1"/>
      <c r="M961" s="1"/>
      <c r="W961" s="1"/>
    </row>
    <row r="962" spans="1:23" x14ac:dyDescent="0.25">
      <c r="A962" s="1"/>
      <c r="L962" s="1"/>
      <c r="M962" s="1"/>
      <c r="W962" s="1"/>
    </row>
    <row r="963" spans="1:23" x14ac:dyDescent="0.25">
      <c r="A963" s="1"/>
      <c r="L963" s="1"/>
      <c r="M963" s="1"/>
      <c r="W963" s="1"/>
    </row>
    <row r="964" spans="1:23" x14ac:dyDescent="0.25">
      <c r="A964" s="1"/>
      <c r="L964" s="1"/>
      <c r="M964" s="1"/>
      <c r="W964" s="1"/>
    </row>
    <row r="965" spans="1:23" x14ac:dyDescent="0.25">
      <c r="A965" s="1"/>
      <c r="L965" s="1"/>
      <c r="M965" s="1"/>
      <c r="W965" s="1"/>
    </row>
    <row r="966" spans="1:23" x14ac:dyDescent="0.25">
      <c r="A966" s="1"/>
      <c r="L966" s="1"/>
      <c r="M966" s="1"/>
      <c r="W966" s="1"/>
    </row>
    <row r="967" spans="1:23" x14ac:dyDescent="0.25">
      <c r="A967" s="1"/>
      <c r="L967" s="1"/>
      <c r="M967" s="1"/>
      <c r="W967" s="1"/>
    </row>
    <row r="968" spans="1:23" x14ac:dyDescent="0.25">
      <c r="A968" s="1"/>
      <c r="L968" s="1"/>
      <c r="M968" s="1"/>
      <c r="W968" s="1"/>
    </row>
    <row r="969" spans="1:23" x14ac:dyDescent="0.25">
      <c r="A969" s="1"/>
      <c r="L969" s="1"/>
      <c r="M969" s="1"/>
      <c r="W969" s="1"/>
    </row>
    <row r="970" spans="1:23" x14ac:dyDescent="0.25">
      <c r="A970" s="1"/>
      <c r="L970" s="1"/>
      <c r="M970" s="1"/>
      <c r="W970" s="1"/>
    </row>
    <row r="971" spans="1:23" x14ac:dyDescent="0.25">
      <c r="A971" s="1"/>
      <c r="L971" s="1"/>
      <c r="M971" s="1"/>
      <c r="W971" s="1"/>
    </row>
    <row r="972" spans="1:23" x14ac:dyDescent="0.25">
      <c r="A972" s="1"/>
      <c r="L972" s="1"/>
      <c r="M972" s="1"/>
      <c r="W972" s="1"/>
    </row>
    <row r="973" spans="1:23" x14ac:dyDescent="0.25">
      <c r="A973" s="1"/>
      <c r="L973" s="1"/>
      <c r="M973" s="1"/>
      <c r="W973" s="1"/>
    </row>
    <row r="974" spans="1:23" x14ac:dyDescent="0.25">
      <c r="A974" s="1"/>
      <c r="L974" s="1"/>
      <c r="M974" s="1"/>
      <c r="W974" s="1"/>
    </row>
    <row r="975" spans="1:23" x14ac:dyDescent="0.25">
      <c r="A975" s="1"/>
      <c r="L975" s="1"/>
      <c r="M975" s="1"/>
      <c r="W975" s="1"/>
    </row>
    <row r="976" spans="1:23" x14ac:dyDescent="0.25">
      <c r="A976" s="1"/>
      <c r="L976" s="1"/>
      <c r="M976" s="1"/>
      <c r="W976" s="1"/>
    </row>
    <row r="977" spans="1:23" x14ac:dyDescent="0.25">
      <c r="A977" s="1"/>
      <c r="L977" s="1"/>
      <c r="M977" s="1"/>
      <c r="W977" s="1"/>
    </row>
    <row r="978" spans="1:23" x14ac:dyDescent="0.25">
      <c r="A978" s="1"/>
      <c r="L978" s="1"/>
      <c r="M978" s="1"/>
      <c r="W978" s="1"/>
    </row>
    <row r="979" spans="1:23" x14ac:dyDescent="0.25">
      <c r="A979" s="1"/>
      <c r="L979" s="1"/>
      <c r="M979" s="1"/>
      <c r="W979" s="1"/>
    </row>
    <row r="980" spans="1:23" x14ac:dyDescent="0.25">
      <c r="A980" s="1"/>
      <c r="L980" s="1"/>
      <c r="M980" s="1"/>
      <c r="W980" s="1"/>
    </row>
    <row r="981" spans="1:23" x14ac:dyDescent="0.25">
      <c r="A981" s="1"/>
      <c r="L981" s="1"/>
      <c r="M981" s="1"/>
      <c r="W981" s="1"/>
    </row>
    <row r="982" spans="1:23" x14ac:dyDescent="0.25">
      <c r="A982" s="1"/>
      <c r="L982" s="1"/>
      <c r="M982" s="1"/>
      <c r="W982" s="1"/>
    </row>
    <row r="983" spans="1:23" x14ac:dyDescent="0.25">
      <c r="A983" s="1"/>
      <c r="L983" s="1"/>
      <c r="M983" s="1"/>
      <c r="W983" s="1"/>
    </row>
    <row r="984" spans="1:23" x14ac:dyDescent="0.25">
      <c r="A984" s="1"/>
      <c r="L984" s="1"/>
      <c r="M984" s="1"/>
      <c r="W984" s="1"/>
    </row>
    <row r="985" spans="1:23" x14ac:dyDescent="0.25">
      <c r="A985" s="1"/>
      <c r="L985" s="1"/>
      <c r="M985" s="1"/>
      <c r="W985" s="1"/>
    </row>
    <row r="986" spans="1:23" x14ac:dyDescent="0.25">
      <c r="A986" s="1"/>
      <c r="L986" s="1"/>
      <c r="M986" s="1"/>
      <c r="W986" s="1"/>
    </row>
    <row r="987" spans="1:23" x14ac:dyDescent="0.25">
      <c r="A987" s="1"/>
      <c r="L987" s="1"/>
      <c r="M987" s="1"/>
      <c r="W987" s="1"/>
    </row>
    <row r="988" spans="1:23" x14ac:dyDescent="0.25">
      <c r="A988" s="1"/>
      <c r="L988" s="1"/>
      <c r="M988" s="1"/>
      <c r="W988" s="1"/>
    </row>
    <row r="989" spans="1:23" x14ac:dyDescent="0.25">
      <c r="A989" s="1"/>
      <c r="L989" s="1"/>
      <c r="M989" s="1"/>
      <c r="W989" s="1"/>
    </row>
    <row r="990" spans="1:23" x14ac:dyDescent="0.25">
      <c r="A990" s="1"/>
      <c r="L990" s="1"/>
      <c r="M990" s="1"/>
      <c r="W990" s="1"/>
    </row>
    <row r="991" spans="1:23" x14ac:dyDescent="0.25">
      <c r="A991" s="1"/>
      <c r="L991" s="1"/>
      <c r="M991" s="1"/>
      <c r="W991" s="1"/>
    </row>
    <row r="992" spans="1:23" x14ac:dyDescent="0.25">
      <c r="A992" s="1"/>
      <c r="L992" s="1"/>
      <c r="M992" s="1"/>
      <c r="W992" s="1"/>
    </row>
    <row r="993" spans="1:23" x14ac:dyDescent="0.25">
      <c r="A993" s="1"/>
      <c r="L993" s="1"/>
      <c r="M993" s="1"/>
      <c r="W993" s="1"/>
    </row>
    <row r="994" spans="1:23" x14ac:dyDescent="0.25">
      <c r="A994" s="1"/>
      <c r="L994" s="1"/>
      <c r="M994" s="1"/>
      <c r="W994" s="1"/>
    </row>
    <row r="995" spans="1:23" x14ac:dyDescent="0.25">
      <c r="A995" s="1"/>
      <c r="L995" s="1"/>
      <c r="M995" s="1"/>
      <c r="W995" s="1"/>
    </row>
    <row r="996" spans="1:23" x14ac:dyDescent="0.25">
      <c r="A996" s="1"/>
      <c r="L996" s="1"/>
      <c r="M996" s="1"/>
      <c r="W996" s="1"/>
    </row>
    <row r="997" spans="1:23" x14ac:dyDescent="0.25">
      <c r="A997" s="1"/>
      <c r="L997" s="1"/>
      <c r="M997" s="1"/>
      <c r="W997" s="1"/>
    </row>
    <row r="998" spans="1:23" x14ac:dyDescent="0.25">
      <c r="A998" s="1"/>
      <c r="L998" s="1"/>
      <c r="M998" s="1"/>
      <c r="W998" s="1"/>
    </row>
    <row r="999" spans="1:23" x14ac:dyDescent="0.25">
      <c r="A999" s="1"/>
      <c r="L999" s="1"/>
      <c r="M999" s="1"/>
      <c r="W999" s="1"/>
    </row>
    <row r="1000" spans="1:23" x14ac:dyDescent="0.25">
      <c r="A1000" s="1"/>
      <c r="L1000" s="1"/>
      <c r="M1000" s="1"/>
      <c r="W1000" s="1"/>
    </row>
    <row r="1001" spans="1:23" x14ac:dyDescent="0.25">
      <c r="A1001" s="1"/>
      <c r="L1001" s="1"/>
      <c r="M1001" s="1"/>
      <c r="W1001" s="1"/>
    </row>
    <row r="1002" spans="1:23" x14ac:dyDescent="0.25">
      <c r="A1002" s="1"/>
      <c r="L1002" s="1"/>
      <c r="M1002" s="1"/>
      <c r="W1002" s="1"/>
    </row>
    <row r="1003" spans="1:23" x14ac:dyDescent="0.25">
      <c r="A1003" s="1"/>
      <c r="L1003" s="1"/>
      <c r="M1003" s="1"/>
      <c r="W1003" s="1"/>
    </row>
    <row r="1004" spans="1:23" x14ac:dyDescent="0.25">
      <c r="A1004" s="1"/>
      <c r="L1004" s="1"/>
      <c r="M1004" s="1"/>
      <c r="W1004" s="1"/>
    </row>
    <row r="1005" spans="1:23" x14ac:dyDescent="0.25">
      <c r="A1005" s="1"/>
      <c r="L1005" s="1"/>
      <c r="M1005" s="1"/>
      <c r="W1005" s="1"/>
    </row>
    <row r="1006" spans="1:23" x14ac:dyDescent="0.25">
      <c r="A1006" s="1"/>
      <c r="L1006" s="1"/>
      <c r="M1006" s="1"/>
      <c r="W1006" s="1"/>
    </row>
    <row r="1007" spans="1:23" x14ac:dyDescent="0.25">
      <c r="A1007" s="1"/>
      <c r="L1007" s="1"/>
      <c r="M1007" s="1"/>
      <c r="W1007" s="1"/>
    </row>
    <row r="1008" spans="1:23" x14ac:dyDescent="0.25">
      <c r="A1008" s="1"/>
      <c r="L1008" s="1"/>
      <c r="M1008" s="1"/>
      <c r="W1008" s="1"/>
    </row>
    <row r="1009" spans="1:23" x14ac:dyDescent="0.25">
      <c r="A1009" s="1"/>
      <c r="L1009" s="1"/>
      <c r="M1009" s="1"/>
      <c r="W1009" s="1"/>
    </row>
    <row r="1010" spans="1:23" x14ac:dyDescent="0.25">
      <c r="A1010" s="1"/>
      <c r="L1010" s="1"/>
      <c r="M1010" s="1"/>
      <c r="W1010" s="1"/>
    </row>
    <row r="1011" spans="1:23" x14ac:dyDescent="0.25">
      <c r="A1011" s="1"/>
      <c r="L1011" s="1"/>
      <c r="M1011" s="1"/>
      <c r="W1011" s="1"/>
    </row>
    <row r="1012" spans="1:23" x14ac:dyDescent="0.25">
      <c r="A1012" s="1"/>
      <c r="L1012" s="1"/>
      <c r="M1012" s="1"/>
      <c r="W1012" s="1"/>
    </row>
    <row r="1013" spans="1:23" x14ac:dyDescent="0.25">
      <c r="A1013" s="1"/>
      <c r="L1013" s="1"/>
      <c r="M1013" s="1"/>
      <c r="W1013" s="1"/>
    </row>
    <row r="1014" spans="1:23" x14ac:dyDescent="0.25">
      <c r="A1014" s="1"/>
      <c r="L1014" s="1"/>
      <c r="M1014" s="1"/>
      <c r="W1014" s="1"/>
    </row>
    <row r="1015" spans="1:23" x14ac:dyDescent="0.25">
      <c r="A1015" s="1"/>
      <c r="L1015" s="1"/>
      <c r="M1015" s="1"/>
      <c r="W1015" s="1"/>
    </row>
    <row r="1016" spans="1:23" x14ac:dyDescent="0.25">
      <c r="A1016" s="1"/>
      <c r="L1016" s="1"/>
      <c r="M1016" s="1"/>
      <c r="W1016" s="1"/>
    </row>
    <row r="1017" spans="1:23" x14ac:dyDescent="0.25">
      <c r="A1017" s="1"/>
      <c r="L1017" s="1"/>
      <c r="M1017" s="1"/>
      <c r="W1017" s="1"/>
    </row>
    <row r="1018" spans="1:23" x14ac:dyDescent="0.25">
      <c r="A1018" s="1"/>
      <c r="L1018" s="1"/>
      <c r="M1018" s="1"/>
      <c r="W1018" s="1"/>
    </row>
    <row r="1019" spans="1:23" x14ac:dyDescent="0.25">
      <c r="A1019" s="1"/>
      <c r="L1019" s="1"/>
      <c r="M1019" s="1"/>
      <c r="W1019" s="1"/>
    </row>
    <row r="1020" spans="1:23" x14ac:dyDescent="0.25">
      <c r="A1020" s="1"/>
      <c r="L1020" s="1"/>
      <c r="M1020" s="1"/>
      <c r="W1020" s="1"/>
    </row>
    <row r="1021" spans="1:23" x14ac:dyDescent="0.25">
      <c r="A1021" s="1"/>
      <c r="L1021" s="1"/>
      <c r="M1021" s="1"/>
      <c r="W1021" s="1"/>
    </row>
    <row r="1022" spans="1:23" x14ac:dyDescent="0.25">
      <c r="A1022" s="1"/>
      <c r="L1022" s="1"/>
      <c r="M1022" s="1"/>
      <c r="W1022" s="1"/>
    </row>
    <row r="1023" spans="1:23" x14ac:dyDescent="0.25">
      <c r="A1023" s="1"/>
      <c r="L1023" s="1"/>
      <c r="M1023" s="1"/>
      <c r="W1023" s="1"/>
    </row>
    <row r="1024" spans="1:23" x14ac:dyDescent="0.25">
      <c r="A1024" s="1"/>
      <c r="L1024" s="1"/>
      <c r="M1024" s="1"/>
      <c r="W1024" s="1"/>
    </row>
    <row r="1025" spans="1:23" x14ac:dyDescent="0.25">
      <c r="A1025" s="1"/>
      <c r="L1025" s="1"/>
      <c r="M1025" s="1"/>
      <c r="W1025" s="1"/>
    </row>
    <row r="1026" spans="1:23" x14ac:dyDescent="0.25">
      <c r="A1026" s="1"/>
      <c r="L1026" s="1"/>
      <c r="M1026" s="1"/>
      <c r="W1026" s="1"/>
    </row>
    <row r="1027" spans="1:23" x14ac:dyDescent="0.25">
      <c r="A1027" s="1"/>
      <c r="L1027" s="1"/>
      <c r="M1027" s="1"/>
      <c r="W1027" s="1"/>
    </row>
    <row r="1028" spans="1:23" x14ac:dyDescent="0.25">
      <c r="A1028" s="1"/>
      <c r="L1028" s="1"/>
      <c r="M1028" s="1"/>
      <c r="W1028" s="1"/>
    </row>
    <row r="1029" spans="1:23" x14ac:dyDescent="0.25">
      <c r="A1029" s="1"/>
      <c r="L1029" s="1"/>
      <c r="M1029" s="1"/>
      <c r="W1029" s="1"/>
    </row>
    <row r="1030" spans="1:23" x14ac:dyDescent="0.25">
      <c r="A1030" s="1"/>
      <c r="L1030" s="1"/>
      <c r="M1030" s="1"/>
      <c r="W1030" s="1"/>
    </row>
    <row r="1031" spans="1:23" x14ac:dyDescent="0.25">
      <c r="A1031" s="1"/>
      <c r="L1031" s="1"/>
      <c r="M1031" s="1"/>
      <c r="W1031" s="1"/>
    </row>
    <row r="1032" spans="1:23" x14ac:dyDescent="0.25">
      <c r="A1032" s="1"/>
      <c r="L1032" s="1"/>
      <c r="M1032" s="1"/>
      <c r="W1032" s="1"/>
    </row>
    <row r="1033" spans="1:23" x14ac:dyDescent="0.25">
      <c r="A1033" s="1"/>
      <c r="L1033" s="1"/>
      <c r="M1033" s="1"/>
      <c r="W1033" s="1"/>
    </row>
    <row r="1034" spans="1:23" x14ac:dyDescent="0.25">
      <c r="A1034" s="1"/>
      <c r="L1034" s="1"/>
      <c r="M1034" s="1"/>
      <c r="W1034" s="1"/>
    </row>
    <row r="1035" spans="1:23" x14ac:dyDescent="0.25">
      <c r="A1035" s="1"/>
      <c r="L1035" s="1"/>
      <c r="M1035" s="1"/>
      <c r="W1035" s="1"/>
    </row>
    <row r="1036" spans="1:23" x14ac:dyDescent="0.25">
      <c r="A1036" s="1"/>
      <c r="L1036" s="1"/>
      <c r="M1036" s="1"/>
      <c r="W1036" s="1"/>
    </row>
    <row r="1037" spans="1:23" x14ac:dyDescent="0.25">
      <c r="A1037" s="1"/>
      <c r="L1037" s="1"/>
      <c r="M1037" s="1"/>
      <c r="W1037" s="1"/>
    </row>
    <row r="1038" spans="1:23" x14ac:dyDescent="0.25">
      <c r="A1038" s="1"/>
      <c r="L1038" s="1"/>
      <c r="M1038" s="1"/>
      <c r="W1038" s="1"/>
    </row>
    <row r="1039" spans="1:23" x14ac:dyDescent="0.25">
      <c r="A1039" s="1"/>
      <c r="L1039" s="1"/>
      <c r="M1039" s="1"/>
      <c r="W1039" s="1"/>
    </row>
    <row r="1040" spans="1:23" x14ac:dyDescent="0.25">
      <c r="A1040" s="1"/>
      <c r="L1040" s="1"/>
      <c r="M1040" s="1"/>
      <c r="W1040" s="1"/>
    </row>
    <row r="1041" spans="1:23" x14ac:dyDescent="0.25">
      <c r="A1041" s="1"/>
      <c r="L1041" s="1"/>
      <c r="M1041" s="1"/>
      <c r="W1041" s="1"/>
    </row>
    <row r="1042" spans="1:23" x14ac:dyDescent="0.25">
      <c r="A1042" s="1"/>
      <c r="L1042" s="1"/>
      <c r="M1042" s="1"/>
      <c r="W1042" s="1"/>
    </row>
    <row r="1043" spans="1:23" x14ac:dyDescent="0.25">
      <c r="A1043" s="1"/>
      <c r="L1043" s="1"/>
      <c r="M1043" s="1"/>
      <c r="W1043" s="1"/>
    </row>
    <row r="1044" spans="1:23" x14ac:dyDescent="0.25">
      <c r="A1044" s="1"/>
      <c r="L1044" s="1"/>
      <c r="M1044" s="1"/>
      <c r="W1044" s="1"/>
    </row>
    <row r="1045" spans="1:23" x14ac:dyDescent="0.25">
      <c r="A1045" s="1"/>
      <c r="L1045" s="1"/>
      <c r="M1045" s="1"/>
      <c r="W1045" s="1"/>
    </row>
    <row r="1046" spans="1:23" x14ac:dyDescent="0.25">
      <c r="A1046" s="1"/>
      <c r="L1046" s="1"/>
      <c r="M1046" s="1"/>
      <c r="W1046" s="1"/>
    </row>
    <row r="1047" spans="1:23" x14ac:dyDescent="0.25">
      <c r="A1047" s="1"/>
      <c r="L1047" s="1"/>
      <c r="M1047" s="1"/>
      <c r="W1047" s="1"/>
    </row>
    <row r="1048" spans="1:23" x14ac:dyDescent="0.25">
      <c r="A1048" s="1"/>
      <c r="L1048" s="1"/>
      <c r="M1048" s="1"/>
      <c r="W1048" s="1"/>
    </row>
    <row r="1049" spans="1:23" x14ac:dyDescent="0.25">
      <c r="A1049" s="1"/>
      <c r="L1049" s="1"/>
      <c r="M1049" s="1"/>
      <c r="W1049" s="1"/>
    </row>
    <row r="1050" spans="1:23" x14ac:dyDescent="0.25">
      <c r="A1050" s="1"/>
      <c r="L1050" s="1"/>
      <c r="M1050" s="1"/>
      <c r="W1050" s="1"/>
    </row>
    <row r="1051" spans="1:23" x14ac:dyDescent="0.25">
      <c r="A1051" s="1"/>
      <c r="L1051" s="1"/>
      <c r="M1051" s="1"/>
      <c r="W1051" s="1"/>
    </row>
    <row r="1052" spans="1:23" x14ac:dyDescent="0.25">
      <c r="A1052" s="1"/>
      <c r="L1052" s="1"/>
      <c r="M1052" s="1"/>
      <c r="W1052" s="1"/>
    </row>
    <row r="1053" spans="1:23" x14ac:dyDescent="0.25">
      <c r="A1053" s="1"/>
      <c r="L1053" s="1"/>
      <c r="M1053" s="1"/>
      <c r="W1053" s="1"/>
    </row>
    <row r="1054" spans="1:23" x14ac:dyDescent="0.25">
      <c r="A1054" s="1"/>
      <c r="L1054" s="1"/>
      <c r="M1054" s="1"/>
      <c r="W1054" s="1"/>
    </row>
    <row r="1055" spans="1:23" x14ac:dyDescent="0.25">
      <c r="A1055" s="1"/>
      <c r="L1055" s="1"/>
      <c r="M1055" s="1"/>
      <c r="W1055" s="1"/>
    </row>
    <row r="1056" spans="1:23" x14ac:dyDescent="0.25">
      <c r="A1056" s="1"/>
      <c r="L1056" s="1"/>
      <c r="M1056" s="1"/>
      <c r="W1056" s="1"/>
    </row>
    <row r="1057" spans="1:23" x14ac:dyDescent="0.25">
      <c r="A1057" s="1"/>
      <c r="L1057" s="1"/>
      <c r="M1057" s="1"/>
      <c r="W1057" s="1"/>
    </row>
    <row r="1058" spans="1:23" x14ac:dyDescent="0.25">
      <c r="A1058" s="1"/>
      <c r="L1058" s="1"/>
      <c r="M1058" s="1"/>
      <c r="W1058" s="1"/>
    </row>
    <row r="1059" spans="1:23" x14ac:dyDescent="0.25">
      <c r="A1059" s="1"/>
      <c r="L1059" s="1"/>
      <c r="M1059" s="1"/>
      <c r="W1059" s="1"/>
    </row>
    <row r="1060" spans="1:23" x14ac:dyDescent="0.25">
      <c r="A1060" s="1"/>
      <c r="L1060" s="1"/>
      <c r="M1060" s="1"/>
      <c r="W1060" s="1"/>
    </row>
    <row r="1061" spans="1:23" x14ac:dyDescent="0.25">
      <c r="A1061" s="1"/>
      <c r="L1061" s="1"/>
      <c r="M1061" s="1"/>
      <c r="W1061" s="1"/>
    </row>
    <row r="1062" spans="1:23" x14ac:dyDescent="0.25">
      <c r="A1062" s="1"/>
      <c r="L1062" s="1"/>
      <c r="M1062" s="1"/>
      <c r="W1062" s="1"/>
    </row>
    <row r="1063" spans="1:23" x14ac:dyDescent="0.25">
      <c r="A1063" s="1"/>
      <c r="L1063" s="1"/>
      <c r="M1063" s="1"/>
      <c r="W1063" s="1"/>
    </row>
    <row r="1064" spans="1:23" x14ac:dyDescent="0.25">
      <c r="A1064" s="1"/>
      <c r="L1064" s="1"/>
      <c r="M1064" s="1"/>
      <c r="W1064" s="1"/>
    </row>
    <row r="1065" spans="1:23" x14ac:dyDescent="0.25">
      <c r="A1065" s="1"/>
      <c r="L1065" s="1"/>
      <c r="M1065" s="1"/>
      <c r="W1065" s="1"/>
    </row>
    <row r="1066" spans="1:23" x14ac:dyDescent="0.25">
      <c r="A1066" s="1"/>
      <c r="L1066" s="1"/>
      <c r="M1066" s="1"/>
      <c r="W1066" s="1"/>
    </row>
    <row r="1067" spans="1:23" x14ac:dyDescent="0.25">
      <c r="A1067" s="1"/>
      <c r="L1067" s="1"/>
      <c r="M1067" s="1"/>
      <c r="W1067" s="1"/>
    </row>
    <row r="1068" spans="1:23" x14ac:dyDescent="0.25">
      <c r="A1068" s="1"/>
      <c r="L1068" s="1"/>
      <c r="M1068" s="1"/>
      <c r="W1068" s="1"/>
    </row>
    <row r="1069" spans="1:23" x14ac:dyDescent="0.25">
      <c r="A1069" s="1"/>
      <c r="L1069" s="1"/>
      <c r="M1069" s="1"/>
      <c r="W1069" s="1"/>
    </row>
    <row r="1070" spans="1:23" x14ac:dyDescent="0.25">
      <c r="A1070" s="1"/>
      <c r="L1070" s="1"/>
      <c r="M1070" s="1"/>
      <c r="W1070" s="1"/>
    </row>
    <row r="1071" spans="1:23" x14ac:dyDescent="0.25">
      <c r="A1071" s="1"/>
      <c r="L1071" s="1"/>
      <c r="M1071" s="1"/>
      <c r="W1071" s="1"/>
    </row>
    <row r="1072" spans="1:23" x14ac:dyDescent="0.25">
      <c r="A1072" s="1"/>
      <c r="L1072" s="1"/>
      <c r="M1072" s="1"/>
      <c r="W1072" s="1"/>
    </row>
    <row r="1073" spans="1:23" x14ac:dyDescent="0.25">
      <c r="A1073" s="1"/>
      <c r="L1073" s="1"/>
      <c r="M1073" s="1"/>
      <c r="W1073" s="1"/>
    </row>
    <row r="1074" spans="1:23" x14ac:dyDescent="0.25">
      <c r="A1074" s="1"/>
      <c r="L1074" s="1"/>
      <c r="M1074" s="1"/>
      <c r="W1074" s="1"/>
    </row>
    <row r="1075" spans="1:23" x14ac:dyDescent="0.25">
      <c r="A1075" s="1"/>
      <c r="L1075" s="1"/>
      <c r="M1075" s="1"/>
      <c r="W1075" s="1"/>
    </row>
    <row r="1076" spans="1:23" x14ac:dyDescent="0.25">
      <c r="A1076" s="1"/>
      <c r="L1076" s="1"/>
      <c r="M1076" s="1"/>
      <c r="W1076" s="1"/>
    </row>
    <row r="1077" spans="1:23" x14ac:dyDescent="0.25">
      <c r="A1077" s="1"/>
      <c r="L1077" s="1"/>
      <c r="M1077" s="1"/>
      <c r="W1077" s="1"/>
    </row>
    <row r="1078" spans="1:23" x14ac:dyDescent="0.25">
      <c r="A1078" s="1"/>
      <c r="L1078" s="1"/>
      <c r="M1078" s="1"/>
      <c r="W1078" s="1"/>
    </row>
    <row r="1079" spans="1:23" x14ac:dyDescent="0.25">
      <c r="A1079" s="1"/>
      <c r="L1079" s="1"/>
      <c r="M1079" s="1"/>
      <c r="W1079" s="1"/>
    </row>
    <row r="1080" spans="1:23" x14ac:dyDescent="0.25">
      <c r="A1080" s="1"/>
      <c r="L1080" s="1"/>
      <c r="M1080" s="1"/>
      <c r="W1080" s="1"/>
    </row>
    <row r="1081" spans="1:23" x14ac:dyDescent="0.25">
      <c r="A1081" s="1"/>
      <c r="L1081" s="1"/>
      <c r="M1081" s="1"/>
      <c r="W1081" s="1"/>
    </row>
    <row r="1082" spans="1:23" x14ac:dyDescent="0.25">
      <c r="A1082" s="1"/>
      <c r="L1082" s="1"/>
      <c r="M1082" s="1"/>
      <c r="W1082" s="1"/>
    </row>
    <row r="1083" spans="1:23" x14ac:dyDescent="0.25">
      <c r="A1083" s="1"/>
      <c r="L1083" s="1"/>
      <c r="M1083" s="1"/>
      <c r="W1083" s="1"/>
    </row>
    <row r="1084" spans="1:23" x14ac:dyDescent="0.25">
      <c r="A1084" s="1"/>
      <c r="L1084" s="1"/>
      <c r="M1084" s="1"/>
      <c r="W1084" s="1"/>
    </row>
    <row r="1085" spans="1:23" x14ac:dyDescent="0.25">
      <c r="A1085" s="1"/>
      <c r="L1085" s="1"/>
      <c r="M1085" s="1"/>
      <c r="W1085" s="1"/>
    </row>
    <row r="1086" spans="1:23" x14ac:dyDescent="0.25">
      <c r="A1086" s="1"/>
      <c r="L1086" s="1"/>
      <c r="M1086" s="1"/>
      <c r="W1086" s="1"/>
    </row>
    <row r="1087" spans="1:23" x14ac:dyDescent="0.25">
      <c r="A1087" s="1"/>
      <c r="L1087" s="1"/>
      <c r="M1087" s="1"/>
      <c r="W1087" s="1"/>
    </row>
    <row r="1088" spans="1:23" x14ac:dyDescent="0.25">
      <c r="A1088" s="1"/>
      <c r="L1088" s="1"/>
      <c r="M1088" s="1"/>
      <c r="W1088" s="1"/>
    </row>
    <row r="1089" spans="1:23" x14ac:dyDescent="0.25">
      <c r="A1089" s="1"/>
      <c r="L1089" s="1"/>
      <c r="M1089" s="1"/>
      <c r="W1089" s="1"/>
    </row>
    <row r="1090" spans="1:23" x14ac:dyDescent="0.25">
      <c r="A1090" s="1"/>
      <c r="L1090" s="1"/>
      <c r="M1090" s="1"/>
      <c r="W1090" s="1"/>
    </row>
    <row r="1091" spans="1:23" x14ac:dyDescent="0.25">
      <c r="A1091" s="1"/>
      <c r="L1091" s="1"/>
      <c r="M1091" s="1"/>
      <c r="W1091" s="1"/>
    </row>
    <row r="1092" spans="1:23" x14ac:dyDescent="0.25">
      <c r="A1092" s="1"/>
      <c r="L1092" s="1"/>
      <c r="M1092" s="1"/>
      <c r="W1092" s="1"/>
    </row>
    <row r="1093" spans="1:23" x14ac:dyDescent="0.25">
      <c r="A1093" s="1"/>
      <c r="L1093" s="1"/>
      <c r="M1093" s="1"/>
      <c r="W1093" s="1"/>
    </row>
    <row r="1094" spans="1:23" x14ac:dyDescent="0.25">
      <c r="A1094" s="1"/>
      <c r="L1094" s="1"/>
      <c r="M1094" s="1"/>
      <c r="W1094" s="1"/>
    </row>
    <row r="1095" spans="1:23" x14ac:dyDescent="0.25">
      <c r="A1095" s="1"/>
      <c r="L1095" s="1"/>
      <c r="M1095" s="1"/>
      <c r="W1095" s="1"/>
    </row>
    <row r="1096" spans="1:23" x14ac:dyDescent="0.25">
      <c r="A1096" s="1"/>
      <c r="L1096" s="1"/>
      <c r="M1096" s="1"/>
      <c r="W1096" s="1"/>
    </row>
    <row r="1097" spans="1:23" x14ac:dyDescent="0.25">
      <c r="A1097" s="1"/>
      <c r="L1097" s="1"/>
      <c r="M1097" s="1"/>
      <c r="W1097" s="1"/>
    </row>
    <row r="1098" spans="1:23" x14ac:dyDescent="0.25">
      <c r="A1098" s="1"/>
      <c r="L1098" s="1"/>
      <c r="M1098" s="1"/>
      <c r="W1098" s="1"/>
    </row>
    <row r="1099" spans="1:23" x14ac:dyDescent="0.25">
      <c r="A1099" s="1"/>
      <c r="L1099" s="1"/>
      <c r="M1099" s="1"/>
      <c r="W1099" s="1"/>
    </row>
    <row r="1100" spans="1:23" x14ac:dyDescent="0.25">
      <c r="A1100" s="1"/>
      <c r="L1100" s="1"/>
      <c r="M1100" s="1"/>
      <c r="W1100" s="1"/>
    </row>
    <row r="1101" spans="1:23" x14ac:dyDescent="0.25">
      <c r="A1101" s="1"/>
      <c r="L1101" s="1"/>
      <c r="M1101" s="1"/>
      <c r="W1101" s="1"/>
    </row>
    <row r="1102" spans="1:23" x14ac:dyDescent="0.25">
      <c r="A1102" s="1"/>
      <c r="L1102" s="1"/>
      <c r="M1102" s="1"/>
      <c r="W1102" s="1"/>
    </row>
    <row r="1103" spans="1:23" x14ac:dyDescent="0.25">
      <c r="A1103" s="1"/>
      <c r="L1103" s="1"/>
      <c r="M1103" s="1"/>
      <c r="W1103" s="1"/>
    </row>
    <row r="1104" spans="1:23" x14ac:dyDescent="0.25">
      <c r="A1104" s="1"/>
      <c r="L1104" s="1"/>
      <c r="M1104" s="1"/>
      <c r="W1104" s="1"/>
    </row>
    <row r="1105" spans="1:23" x14ac:dyDescent="0.25">
      <c r="A1105" s="1"/>
      <c r="L1105" s="1"/>
      <c r="M1105" s="1"/>
      <c r="W1105" s="1"/>
    </row>
    <row r="1106" spans="1:23" x14ac:dyDescent="0.25">
      <c r="A1106" s="1"/>
      <c r="L1106" s="1"/>
      <c r="M1106" s="1"/>
      <c r="W1106" s="1"/>
    </row>
    <row r="1107" spans="1:23" x14ac:dyDescent="0.25">
      <c r="A1107" s="1"/>
      <c r="L1107" s="1"/>
      <c r="M1107" s="1"/>
      <c r="W1107" s="1"/>
    </row>
    <row r="1108" spans="1:23" x14ac:dyDescent="0.25">
      <c r="A1108" s="1"/>
      <c r="L1108" s="1"/>
      <c r="M1108" s="1"/>
      <c r="W1108" s="1"/>
    </row>
    <row r="1109" spans="1:23" x14ac:dyDescent="0.25">
      <c r="A1109" s="1"/>
      <c r="L1109" s="1"/>
      <c r="M1109" s="1"/>
      <c r="W1109" s="1"/>
    </row>
    <row r="1110" spans="1:23" x14ac:dyDescent="0.25">
      <c r="A1110" s="1"/>
      <c r="L1110" s="1"/>
      <c r="M1110" s="1"/>
      <c r="W1110" s="1"/>
    </row>
    <row r="1111" spans="1:23" x14ac:dyDescent="0.25">
      <c r="A1111" s="1"/>
      <c r="L1111" s="1"/>
      <c r="M1111" s="1"/>
      <c r="W1111" s="1"/>
    </row>
    <row r="1112" spans="1:23" x14ac:dyDescent="0.25">
      <c r="A1112" s="1"/>
      <c r="L1112" s="1"/>
      <c r="M1112" s="1"/>
      <c r="W1112" s="1"/>
    </row>
    <row r="1113" spans="1:23" x14ac:dyDescent="0.25">
      <c r="A1113" s="1"/>
      <c r="L1113" s="1"/>
      <c r="M1113" s="1"/>
      <c r="W1113" s="1"/>
    </row>
    <row r="1114" spans="1:23" x14ac:dyDescent="0.25">
      <c r="A1114" s="1"/>
      <c r="L1114" s="1"/>
      <c r="M1114" s="1"/>
      <c r="W1114" s="1"/>
    </row>
    <row r="1115" spans="1:23" x14ac:dyDescent="0.25">
      <c r="A1115" s="1"/>
      <c r="L1115" s="1"/>
      <c r="M1115" s="1"/>
      <c r="W1115" s="1"/>
    </row>
    <row r="1116" spans="1:23" x14ac:dyDescent="0.25">
      <c r="A1116" s="1"/>
      <c r="L1116" s="1"/>
      <c r="M1116" s="1"/>
      <c r="W1116" s="1"/>
    </row>
    <row r="1117" spans="1:23" x14ac:dyDescent="0.25">
      <c r="A1117" s="1"/>
      <c r="L1117" s="1"/>
      <c r="M1117" s="1"/>
      <c r="W1117" s="1"/>
    </row>
    <row r="1118" spans="1:23" x14ac:dyDescent="0.25">
      <c r="A1118" s="1"/>
      <c r="L1118" s="1"/>
      <c r="M1118" s="1"/>
      <c r="W1118" s="1"/>
    </row>
    <row r="1119" spans="1:23" x14ac:dyDescent="0.25">
      <c r="A1119" s="1"/>
      <c r="L1119" s="1"/>
      <c r="M1119" s="1"/>
      <c r="W1119" s="1"/>
    </row>
    <row r="1120" spans="1:23" x14ac:dyDescent="0.25">
      <c r="A1120" s="1"/>
      <c r="L1120" s="1"/>
      <c r="M1120" s="1"/>
      <c r="W1120" s="1"/>
    </row>
    <row r="1121" spans="1:23" x14ac:dyDescent="0.25">
      <c r="A1121" s="1"/>
      <c r="L1121" s="1"/>
      <c r="M1121" s="1"/>
      <c r="W1121" s="1"/>
    </row>
    <row r="1122" spans="1:23" x14ac:dyDescent="0.25">
      <c r="A1122" s="1"/>
      <c r="L1122" s="1"/>
      <c r="M1122" s="1"/>
      <c r="W1122" s="1"/>
    </row>
    <row r="1123" spans="1:23" x14ac:dyDescent="0.25">
      <c r="A1123" s="1"/>
      <c r="L1123" s="1"/>
      <c r="M1123" s="1"/>
      <c r="W1123" s="1"/>
    </row>
    <row r="1124" spans="1:23" x14ac:dyDescent="0.25">
      <c r="A1124" s="1"/>
      <c r="L1124" s="1"/>
      <c r="M1124" s="1"/>
      <c r="W1124" s="1"/>
    </row>
    <row r="1125" spans="1:23" x14ac:dyDescent="0.25">
      <c r="A1125" s="1"/>
      <c r="L1125" s="1"/>
      <c r="M1125" s="1"/>
      <c r="W1125" s="1"/>
    </row>
    <row r="1126" spans="1:23" x14ac:dyDescent="0.25">
      <c r="A1126" s="1"/>
      <c r="L1126" s="1"/>
      <c r="M1126" s="1"/>
      <c r="W1126" s="1"/>
    </row>
    <row r="1127" spans="1:23" x14ac:dyDescent="0.25">
      <c r="A1127" s="1"/>
      <c r="L1127" s="1"/>
      <c r="M1127" s="1"/>
      <c r="W1127" s="1"/>
    </row>
    <row r="1128" spans="1:23" x14ac:dyDescent="0.25">
      <c r="A1128" s="1"/>
      <c r="L1128" s="1"/>
      <c r="M1128" s="1"/>
      <c r="W1128" s="1"/>
    </row>
    <row r="1129" spans="1:23" x14ac:dyDescent="0.25">
      <c r="A1129" s="1"/>
      <c r="L1129" s="1"/>
      <c r="M1129" s="1"/>
      <c r="W1129" s="1"/>
    </row>
    <row r="1130" spans="1:23" x14ac:dyDescent="0.25">
      <c r="A1130" s="1"/>
      <c r="L1130" s="1"/>
      <c r="M1130" s="1"/>
      <c r="W1130" s="1"/>
    </row>
    <row r="1131" spans="1:23" x14ac:dyDescent="0.25">
      <c r="A1131" s="1"/>
      <c r="L1131" s="1"/>
      <c r="M1131" s="1"/>
      <c r="W1131" s="1"/>
    </row>
    <row r="1132" spans="1:23" x14ac:dyDescent="0.25">
      <c r="A1132" s="1"/>
      <c r="L1132" s="1"/>
      <c r="M1132" s="1"/>
      <c r="W1132" s="1"/>
    </row>
    <row r="1133" spans="1:23" x14ac:dyDescent="0.25">
      <c r="A1133" s="1"/>
      <c r="L1133" s="1"/>
      <c r="M1133" s="1"/>
      <c r="W1133" s="1"/>
    </row>
    <row r="1134" spans="1:23" x14ac:dyDescent="0.25">
      <c r="A1134" s="1"/>
      <c r="L1134" s="1"/>
      <c r="M1134" s="1"/>
      <c r="W1134" s="1"/>
    </row>
    <row r="1135" spans="1:23" x14ac:dyDescent="0.25">
      <c r="A1135" s="1"/>
      <c r="L1135" s="1"/>
      <c r="M1135" s="1"/>
      <c r="W1135" s="1"/>
    </row>
    <row r="1136" spans="1:23" x14ac:dyDescent="0.25">
      <c r="A1136" s="1"/>
      <c r="L1136" s="1"/>
      <c r="M1136" s="1"/>
      <c r="W1136" s="1"/>
    </row>
    <row r="1137" spans="1:23" x14ac:dyDescent="0.25">
      <c r="A1137" s="1"/>
      <c r="L1137" s="1"/>
      <c r="M1137" s="1"/>
      <c r="W1137" s="1"/>
    </row>
    <row r="1138" spans="1:23" x14ac:dyDescent="0.25">
      <c r="A1138" s="1"/>
      <c r="L1138" s="1"/>
      <c r="M1138" s="1"/>
      <c r="W1138" s="1"/>
    </row>
    <row r="1139" spans="1:23" x14ac:dyDescent="0.25">
      <c r="A1139" s="1"/>
      <c r="L1139" s="1"/>
      <c r="M1139" s="1"/>
      <c r="W1139" s="1"/>
    </row>
    <row r="1140" spans="1:23" x14ac:dyDescent="0.25">
      <c r="A1140" s="1"/>
      <c r="L1140" s="1"/>
      <c r="M1140" s="1"/>
      <c r="W1140" s="1"/>
    </row>
    <row r="1141" spans="1:23" x14ac:dyDescent="0.25">
      <c r="A1141" s="1"/>
      <c r="L1141" s="1"/>
      <c r="M1141" s="1"/>
      <c r="W1141" s="1"/>
    </row>
    <row r="1142" spans="1:23" x14ac:dyDescent="0.25">
      <c r="A1142" s="1"/>
      <c r="L1142" s="1"/>
      <c r="M1142" s="1"/>
      <c r="W1142" s="1"/>
    </row>
    <row r="1143" spans="1:23" x14ac:dyDescent="0.25">
      <c r="A1143" s="1"/>
      <c r="L1143" s="1"/>
      <c r="M1143" s="1"/>
      <c r="W1143" s="1"/>
    </row>
    <row r="1144" spans="1:23" x14ac:dyDescent="0.25">
      <c r="A1144" s="1"/>
      <c r="L1144" s="1"/>
      <c r="M1144" s="1"/>
      <c r="W1144" s="1"/>
    </row>
    <row r="1145" spans="1:23" x14ac:dyDescent="0.25">
      <c r="A1145" s="1"/>
      <c r="L1145" s="1"/>
      <c r="M1145" s="1"/>
      <c r="W1145" s="1"/>
    </row>
    <row r="1146" spans="1:23" x14ac:dyDescent="0.25">
      <c r="A1146" s="1"/>
      <c r="L1146" s="1"/>
      <c r="M1146" s="1"/>
      <c r="W1146" s="1"/>
    </row>
    <row r="1147" spans="1:23" x14ac:dyDescent="0.25">
      <c r="A1147" s="1"/>
      <c r="L1147" s="1"/>
      <c r="M1147" s="1"/>
      <c r="W1147" s="1"/>
    </row>
    <row r="1148" spans="1:23" x14ac:dyDescent="0.25">
      <c r="A1148" s="1"/>
      <c r="L1148" s="1"/>
      <c r="M1148" s="1"/>
      <c r="W1148" s="1"/>
    </row>
    <row r="1149" spans="1:23" x14ac:dyDescent="0.25">
      <c r="A1149" s="1"/>
      <c r="L1149" s="1"/>
      <c r="M1149" s="1"/>
      <c r="W1149" s="1"/>
    </row>
    <row r="1150" spans="1:23" x14ac:dyDescent="0.25">
      <c r="A1150" s="1"/>
      <c r="L1150" s="1"/>
      <c r="M1150" s="1"/>
      <c r="W1150" s="1"/>
    </row>
    <row r="1151" spans="1:23" x14ac:dyDescent="0.25">
      <c r="A1151" s="1"/>
      <c r="L1151" s="1"/>
      <c r="M1151" s="1"/>
      <c r="W1151" s="1"/>
    </row>
    <row r="1152" spans="1:23" x14ac:dyDescent="0.25">
      <c r="A1152" s="1"/>
      <c r="L1152" s="1"/>
      <c r="M1152" s="1"/>
      <c r="W1152" s="1"/>
    </row>
    <row r="1153" spans="1:23" x14ac:dyDescent="0.25">
      <c r="A1153" s="1"/>
      <c r="L1153" s="1"/>
      <c r="M1153" s="1"/>
      <c r="W1153" s="1"/>
    </row>
    <row r="1154" spans="1:23" x14ac:dyDescent="0.25">
      <c r="A1154" s="1"/>
      <c r="L1154" s="1"/>
      <c r="M1154" s="1"/>
      <c r="W1154" s="1"/>
    </row>
    <row r="1155" spans="1:23" x14ac:dyDescent="0.25">
      <c r="A1155" s="1"/>
      <c r="L1155" s="1"/>
      <c r="M1155" s="1"/>
      <c r="W1155" s="1"/>
    </row>
    <row r="1156" spans="1:23" x14ac:dyDescent="0.25">
      <c r="A1156" s="1"/>
      <c r="L1156" s="1"/>
      <c r="M1156" s="1"/>
      <c r="W1156" s="1"/>
    </row>
    <row r="1157" spans="1:23" x14ac:dyDescent="0.25">
      <c r="A1157" s="1"/>
      <c r="L1157" s="1"/>
      <c r="M1157" s="1"/>
      <c r="W1157" s="1"/>
    </row>
    <row r="1158" spans="1:23" x14ac:dyDescent="0.25">
      <c r="A1158" s="1"/>
      <c r="L1158" s="1"/>
      <c r="M1158" s="1"/>
      <c r="W1158" s="1"/>
    </row>
    <row r="1159" spans="1:23" x14ac:dyDescent="0.25">
      <c r="A1159" s="1"/>
      <c r="L1159" s="1"/>
      <c r="M1159" s="1"/>
      <c r="W1159" s="1"/>
    </row>
    <row r="1160" spans="1:23" x14ac:dyDescent="0.25">
      <c r="A1160" s="1"/>
      <c r="L1160" s="1"/>
      <c r="M1160" s="1"/>
      <c r="W1160" s="1"/>
    </row>
    <row r="1161" spans="1:23" x14ac:dyDescent="0.25">
      <c r="A1161" s="1"/>
      <c r="L1161" s="1"/>
      <c r="M1161" s="1"/>
      <c r="W1161" s="1"/>
    </row>
    <row r="1162" spans="1:23" x14ac:dyDescent="0.25">
      <c r="A1162" s="1"/>
      <c r="L1162" s="1"/>
      <c r="M1162" s="1"/>
      <c r="W1162" s="1"/>
    </row>
    <row r="1163" spans="1:23" x14ac:dyDescent="0.25">
      <c r="A1163" s="1"/>
      <c r="L1163" s="1"/>
      <c r="M1163" s="1"/>
      <c r="W1163" s="1"/>
    </row>
    <row r="1164" spans="1:23" x14ac:dyDescent="0.25">
      <c r="A1164" s="1"/>
      <c r="L1164" s="1"/>
      <c r="M1164" s="1"/>
      <c r="W1164" s="1"/>
    </row>
    <row r="1165" spans="1:23" x14ac:dyDescent="0.25">
      <c r="A1165" s="1"/>
      <c r="L1165" s="1"/>
      <c r="M1165" s="1"/>
      <c r="W1165" s="1"/>
    </row>
    <row r="1166" spans="1:23" x14ac:dyDescent="0.25">
      <c r="A1166" s="1"/>
      <c r="L1166" s="1"/>
      <c r="M1166" s="1"/>
      <c r="W1166" s="1"/>
    </row>
    <row r="1167" spans="1:23" x14ac:dyDescent="0.25">
      <c r="A1167" s="1"/>
      <c r="L1167" s="1"/>
      <c r="M1167" s="1"/>
      <c r="W1167" s="1"/>
    </row>
    <row r="1168" spans="1:23" x14ac:dyDescent="0.25">
      <c r="A1168" s="1"/>
      <c r="L1168" s="1"/>
      <c r="M1168" s="1"/>
      <c r="W1168" s="1"/>
    </row>
    <row r="1169" spans="1:23" x14ac:dyDescent="0.25">
      <c r="A1169" s="1"/>
      <c r="L1169" s="1"/>
      <c r="M1169" s="1"/>
      <c r="W1169" s="1"/>
    </row>
    <row r="1170" spans="1:23" x14ac:dyDescent="0.25">
      <c r="A1170" s="1"/>
      <c r="L1170" s="1"/>
      <c r="M1170" s="1"/>
      <c r="W1170" s="1"/>
    </row>
    <row r="1171" spans="1:23" x14ac:dyDescent="0.25">
      <c r="A1171" s="1"/>
      <c r="L1171" s="1"/>
      <c r="M1171" s="1"/>
      <c r="W1171" s="1"/>
    </row>
    <row r="1172" spans="1:23" x14ac:dyDescent="0.25">
      <c r="A1172" s="1"/>
      <c r="L1172" s="1"/>
      <c r="M1172" s="1"/>
      <c r="W1172" s="1"/>
    </row>
    <row r="1173" spans="1:23" x14ac:dyDescent="0.25">
      <c r="A1173" s="1"/>
      <c r="L1173" s="1"/>
      <c r="M1173" s="1"/>
      <c r="W1173" s="1"/>
    </row>
    <row r="1174" spans="1:23" x14ac:dyDescent="0.25">
      <c r="A1174" s="1"/>
      <c r="L1174" s="1"/>
      <c r="M1174" s="1"/>
      <c r="W1174" s="1"/>
    </row>
    <row r="1175" spans="1:23" x14ac:dyDescent="0.25">
      <c r="A1175" s="1"/>
      <c r="L1175" s="1"/>
      <c r="M1175" s="1"/>
      <c r="W1175" s="1"/>
    </row>
    <row r="1176" spans="1:23" x14ac:dyDescent="0.25">
      <c r="A1176" s="1"/>
      <c r="L1176" s="1"/>
      <c r="M1176" s="1"/>
      <c r="W1176" s="1"/>
    </row>
    <row r="1177" spans="1:23" x14ac:dyDescent="0.25">
      <c r="A1177" s="1"/>
      <c r="L1177" s="1"/>
      <c r="M1177" s="1"/>
      <c r="W1177" s="1"/>
    </row>
    <row r="1178" spans="1:23" x14ac:dyDescent="0.25">
      <c r="A1178" s="1"/>
      <c r="L1178" s="1"/>
      <c r="M1178" s="1"/>
      <c r="W1178" s="1"/>
    </row>
    <row r="1179" spans="1:23" x14ac:dyDescent="0.25">
      <c r="A1179" s="1"/>
      <c r="L1179" s="1"/>
      <c r="M1179" s="1"/>
      <c r="W1179" s="1"/>
    </row>
    <row r="1180" spans="1:23" x14ac:dyDescent="0.25">
      <c r="A1180" s="1"/>
      <c r="L1180" s="1"/>
      <c r="M1180" s="1"/>
      <c r="W1180" s="1"/>
    </row>
    <row r="1181" spans="1:23" x14ac:dyDescent="0.25">
      <c r="A1181" s="1"/>
      <c r="L1181" s="1"/>
      <c r="M1181" s="1"/>
      <c r="W1181" s="1"/>
    </row>
    <row r="1182" spans="1:23" x14ac:dyDescent="0.25">
      <c r="A1182" s="1"/>
      <c r="L1182" s="1"/>
      <c r="M1182" s="1"/>
      <c r="W1182" s="1"/>
    </row>
    <row r="1183" spans="1:23" x14ac:dyDescent="0.25">
      <c r="A1183" s="1"/>
      <c r="L1183" s="1"/>
      <c r="M1183" s="1"/>
      <c r="W1183" s="1"/>
    </row>
    <row r="1184" spans="1:23" x14ac:dyDescent="0.25">
      <c r="A1184" s="1"/>
      <c r="L1184" s="1"/>
      <c r="M1184" s="1"/>
      <c r="W1184" s="1"/>
    </row>
    <row r="1185" spans="1:23" x14ac:dyDescent="0.25">
      <c r="A1185" s="1"/>
      <c r="L1185" s="1"/>
      <c r="M1185" s="1"/>
      <c r="W1185" s="1"/>
    </row>
    <row r="1186" spans="1:23" x14ac:dyDescent="0.25">
      <c r="A1186" s="1"/>
      <c r="L1186" s="1"/>
      <c r="M1186" s="1"/>
      <c r="W1186" s="1"/>
    </row>
    <row r="1187" spans="1:23" x14ac:dyDescent="0.25">
      <c r="A1187" s="1"/>
      <c r="L1187" s="1"/>
      <c r="M1187" s="1"/>
      <c r="W1187" s="1"/>
    </row>
    <row r="1188" spans="1:23" x14ac:dyDescent="0.25">
      <c r="A1188" s="1"/>
      <c r="L1188" s="1"/>
      <c r="M1188" s="1"/>
      <c r="W1188" s="1"/>
    </row>
    <row r="1189" spans="1:23" x14ac:dyDescent="0.25">
      <c r="A1189" s="1"/>
      <c r="L1189" s="1"/>
      <c r="M1189" s="1"/>
      <c r="W1189" s="1"/>
    </row>
    <row r="1190" spans="1:23" x14ac:dyDescent="0.25">
      <c r="A1190" s="1"/>
      <c r="L1190" s="1"/>
      <c r="M1190" s="1"/>
      <c r="W1190" s="1"/>
    </row>
    <row r="1191" spans="1:23" x14ac:dyDescent="0.25">
      <c r="A1191" s="1"/>
      <c r="L1191" s="1"/>
      <c r="M1191" s="1"/>
      <c r="W1191" s="1"/>
    </row>
    <row r="1192" spans="1:23" x14ac:dyDescent="0.25">
      <c r="A1192" s="1"/>
      <c r="L1192" s="1"/>
      <c r="M1192" s="1"/>
      <c r="W1192" s="1"/>
    </row>
    <row r="1193" spans="1:23" x14ac:dyDescent="0.25">
      <c r="A1193" s="1"/>
      <c r="L1193" s="1"/>
      <c r="M1193" s="1"/>
      <c r="W1193" s="1"/>
    </row>
    <row r="1194" spans="1:23" x14ac:dyDescent="0.25">
      <c r="A1194" s="1"/>
      <c r="L1194" s="1"/>
      <c r="M1194" s="1"/>
      <c r="W1194" s="1"/>
    </row>
    <row r="1195" spans="1:23" x14ac:dyDescent="0.25">
      <c r="A1195" s="1"/>
      <c r="L1195" s="1"/>
      <c r="M1195" s="1"/>
      <c r="W1195" s="1"/>
    </row>
    <row r="1196" spans="1:23" x14ac:dyDescent="0.25">
      <c r="A1196" s="1"/>
      <c r="L1196" s="1"/>
      <c r="M1196" s="1"/>
      <c r="W1196" s="1"/>
    </row>
    <row r="1197" spans="1:23" x14ac:dyDescent="0.25">
      <c r="A1197" s="1"/>
      <c r="L1197" s="1"/>
      <c r="M1197" s="1"/>
      <c r="W1197" s="1"/>
    </row>
    <row r="1198" spans="1:23" x14ac:dyDescent="0.25">
      <c r="A1198" s="1"/>
      <c r="L1198" s="1"/>
      <c r="M1198" s="1"/>
      <c r="W1198" s="1"/>
    </row>
    <row r="1199" spans="1:23" x14ac:dyDescent="0.25">
      <c r="A1199" s="1"/>
      <c r="L1199" s="1"/>
      <c r="M1199" s="1"/>
      <c r="W1199" s="1"/>
    </row>
    <row r="1200" spans="1:23" x14ac:dyDescent="0.25">
      <c r="A1200" s="1"/>
      <c r="L1200" s="1"/>
      <c r="M1200" s="1"/>
      <c r="W1200" s="1"/>
    </row>
    <row r="1201" spans="1:23" x14ac:dyDescent="0.25">
      <c r="A1201" s="1"/>
      <c r="L1201" s="1"/>
      <c r="M1201" s="1"/>
      <c r="W1201" s="1"/>
    </row>
    <row r="1202" spans="1:23" x14ac:dyDescent="0.25">
      <c r="A1202" s="1"/>
      <c r="L1202" s="1"/>
      <c r="M1202" s="1"/>
      <c r="W1202" s="1"/>
    </row>
    <row r="1203" spans="1:23" x14ac:dyDescent="0.25">
      <c r="A1203" s="1"/>
      <c r="L1203" s="1"/>
      <c r="M1203" s="1"/>
      <c r="W1203" s="1"/>
    </row>
    <row r="1204" spans="1:23" x14ac:dyDescent="0.25">
      <c r="A1204" s="1"/>
      <c r="L1204" s="1"/>
      <c r="M1204" s="1"/>
      <c r="W1204" s="1"/>
    </row>
    <row r="1205" spans="1:23" x14ac:dyDescent="0.25">
      <c r="A1205" s="1"/>
      <c r="L1205" s="1"/>
      <c r="M1205" s="1"/>
      <c r="W1205" s="1"/>
    </row>
    <row r="1206" spans="1:23" x14ac:dyDescent="0.25">
      <c r="A1206" s="1"/>
      <c r="L1206" s="1"/>
      <c r="M1206" s="1"/>
      <c r="W1206" s="1"/>
    </row>
    <row r="1207" spans="1:23" x14ac:dyDescent="0.25">
      <c r="A1207" s="1"/>
      <c r="L1207" s="1"/>
      <c r="M1207" s="1"/>
      <c r="W1207" s="1"/>
    </row>
    <row r="1208" spans="1:23" x14ac:dyDescent="0.25">
      <c r="A1208" s="1"/>
      <c r="L1208" s="1"/>
      <c r="M1208" s="1"/>
      <c r="W1208" s="1"/>
    </row>
    <row r="1209" spans="1:23" x14ac:dyDescent="0.25">
      <c r="A1209" s="1"/>
      <c r="L1209" s="1"/>
      <c r="M1209" s="1"/>
      <c r="W1209" s="1"/>
    </row>
    <row r="1210" spans="1:23" x14ac:dyDescent="0.25">
      <c r="A1210" s="1"/>
      <c r="L1210" s="1"/>
      <c r="M1210" s="1"/>
      <c r="N1210" s="1"/>
      <c r="W1210" s="1"/>
    </row>
    <row r="1211" spans="1:23" x14ac:dyDescent="0.25">
      <c r="A1211" s="1"/>
      <c r="L1211" s="1"/>
      <c r="M1211" s="1"/>
      <c r="W1211" s="1"/>
    </row>
    <row r="1212" spans="1:23" x14ac:dyDescent="0.25">
      <c r="A1212" s="1"/>
      <c r="L1212" s="1"/>
      <c r="M1212" s="1"/>
      <c r="W1212" s="1"/>
    </row>
    <row r="1213" spans="1:23" x14ac:dyDescent="0.25">
      <c r="A1213" s="1"/>
      <c r="L1213" s="1"/>
      <c r="M1213" s="1"/>
      <c r="W1213" s="1"/>
    </row>
    <row r="1214" spans="1:23" x14ac:dyDescent="0.25">
      <c r="A1214" s="1"/>
      <c r="L1214" s="1"/>
      <c r="M1214" s="1"/>
      <c r="W1214" s="1"/>
    </row>
    <row r="1215" spans="1:23" x14ac:dyDescent="0.25">
      <c r="A1215" s="1"/>
      <c r="L1215" s="1"/>
      <c r="M1215" s="1"/>
      <c r="W1215" s="1"/>
    </row>
    <row r="1216" spans="1:23" x14ac:dyDescent="0.25">
      <c r="A1216" s="1"/>
      <c r="L1216" s="1"/>
      <c r="M1216" s="1"/>
      <c r="W1216" s="1"/>
    </row>
    <row r="1217" spans="1:23" x14ac:dyDescent="0.25">
      <c r="A1217" s="1"/>
      <c r="L1217" s="1"/>
      <c r="M1217" s="1"/>
      <c r="W1217" s="1"/>
    </row>
    <row r="1218" spans="1:23" x14ac:dyDescent="0.25">
      <c r="A1218" s="1"/>
      <c r="L1218" s="1"/>
      <c r="M1218" s="1"/>
      <c r="W1218" s="1"/>
    </row>
    <row r="1219" spans="1:23" x14ac:dyDescent="0.25">
      <c r="A1219" s="1"/>
      <c r="L1219" s="1"/>
      <c r="M1219" s="1"/>
      <c r="W1219" s="1"/>
    </row>
    <row r="1220" spans="1:23" x14ac:dyDescent="0.25">
      <c r="A1220" s="1"/>
      <c r="L1220" s="1"/>
      <c r="M1220" s="1"/>
      <c r="W1220" s="1"/>
    </row>
    <row r="1221" spans="1:23" x14ac:dyDescent="0.25">
      <c r="A1221" s="1"/>
      <c r="L1221" s="1"/>
      <c r="M1221" s="1"/>
      <c r="W1221" s="1"/>
    </row>
    <row r="1222" spans="1:23" x14ac:dyDescent="0.25">
      <c r="A1222" s="1"/>
      <c r="L1222" s="1"/>
      <c r="M1222" s="1"/>
      <c r="W1222" s="1"/>
    </row>
    <row r="1223" spans="1:23" x14ac:dyDescent="0.25">
      <c r="A1223" s="1"/>
      <c r="L1223" s="1"/>
      <c r="M1223" s="1"/>
      <c r="W1223" s="1"/>
    </row>
    <row r="1224" spans="1:23" x14ac:dyDescent="0.25">
      <c r="A1224" s="1"/>
      <c r="L1224" s="1"/>
      <c r="M1224" s="1"/>
      <c r="W1224" s="1"/>
    </row>
    <row r="1225" spans="1:23" x14ac:dyDescent="0.25">
      <c r="A1225" s="1"/>
      <c r="L1225" s="1"/>
      <c r="M1225" s="1"/>
      <c r="W1225" s="1"/>
    </row>
    <row r="1226" spans="1:23" x14ac:dyDescent="0.25">
      <c r="A1226" s="1"/>
      <c r="L1226" s="1"/>
      <c r="M1226" s="1"/>
      <c r="W1226" s="1"/>
    </row>
    <row r="1227" spans="1:23" x14ac:dyDescent="0.25">
      <c r="A1227" s="1"/>
      <c r="L1227" s="1"/>
      <c r="M1227" s="1"/>
      <c r="W1227" s="1"/>
    </row>
    <row r="1228" spans="1:23" x14ac:dyDescent="0.25">
      <c r="A1228" s="1"/>
      <c r="L1228" s="1"/>
      <c r="M1228" s="1"/>
      <c r="W1228" s="1"/>
    </row>
    <row r="1229" spans="1:23" x14ac:dyDescent="0.25">
      <c r="A1229" s="1"/>
      <c r="L1229" s="1"/>
      <c r="M1229" s="1"/>
      <c r="W1229" s="1"/>
    </row>
    <row r="1230" spans="1:23" x14ac:dyDescent="0.25">
      <c r="A1230" s="1"/>
      <c r="L1230" s="1"/>
      <c r="M1230" s="1"/>
      <c r="W1230" s="1"/>
    </row>
    <row r="1231" spans="1:23" x14ac:dyDescent="0.25">
      <c r="A1231" s="1"/>
      <c r="L1231" s="1"/>
      <c r="M1231" s="1"/>
      <c r="W1231" s="1"/>
    </row>
    <row r="1232" spans="1:23" x14ac:dyDescent="0.25">
      <c r="A1232" s="1"/>
      <c r="L1232" s="1"/>
      <c r="M1232" s="1"/>
      <c r="W1232" s="1"/>
    </row>
    <row r="1233" spans="1:23" x14ac:dyDescent="0.25">
      <c r="A1233" s="1"/>
      <c r="L1233" s="1"/>
      <c r="M1233" s="1"/>
      <c r="W1233" s="1"/>
    </row>
    <row r="1234" spans="1:23" x14ac:dyDescent="0.25">
      <c r="A1234" s="1"/>
      <c r="L1234" s="1"/>
      <c r="M1234" s="1"/>
      <c r="W1234" s="1"/>
    </row>
    <row r="1235" spans="1:23" x14ac:dyDescent="0.25">
      <c r="A1235" s="1"/>
      <c r="L1235" s="1"/>
      <c r="M1235" s="1"/>
      <c r="W1235" s="1"/>
    </row>
    <row r="1236" spans="1:23" x14ac:dyDescent="0.25">
      <c r="A1236" s="1"/>
      <c r="L1236" s="1"/>
      <c r="M1236" s="1"/>
      <c r="W1236" s="1"/>
    </row>
    <row r="1237" spans="1:23" x14ac:dyDescent="0.25">
      <c r="A1237" s="1"/>
      <c r="L1237" s="1"/>
      <c r="M1237" s="1"/>
      <c r="W1237" s="1"/>
    </row>
    <row r="1238" spans="1:23" x14ac:dyDescent="0.25">
      <c r="A1238" s="1"/>
      <c r="L1238" s="1"/>
      <c r="M1238" s="1"/>
      <c r="W1238" s="1"/>
    </row>
    <row r="1239" spans="1:23" x14ac:dyDescent="0.25">
      <c r="A1239" s="1"/>
      <c r="L1239" s="1"/>
      <c r="M1239" s="1"/>
      <c r="W1239" s="1"/>
    </row>
    <row r="1240" spans="1:23" x14ac:dyDescent="0.25">
      <c r="A1240" s="1"/>
      <c r="L1240" s="1"/>
      <c r="M1240" s="1"/>
      <c r="W1240" s="1"/>
    </row>
    <row r="1241" spans="1:23" x14ac:dyDescent="0.25">
      <c r="A1241" s="1"/>
      <c r="L1241" s="1"/>
      <c r="M1241" s="1"/>
      <c r="W1241" s="1"/>
    </row>
    <row r="1242" spans="1:23" x14ac:dyDescent="0.25">
      <c r="A1242" s="1"/>
      <c r="L1242" s="1"/>
      <c r="M1242" s="1"/>
      <c r="W1242" s="1"/>
    </row>
    <row r="1243" spans="1:23" x14ac:dyDescent="0.25">
      <c r="A1243" s="1"/>
      <c r="L1243" s="1"/>
      <c r="M1243" s="1"/>
      <c r="W1243" s="1"/>
    </row>
    <row r="1244" spans="1:23" x14ac:dyDescent="0.25">
      <c r="A1244" s="1"/>
      <c r="L1244" s="1"/>
      <c r="M1244" s="1"/>
      <c r="W1244" s="1"/>
    </row>
    <row r="1245" spans="1:23" x14ac:dyDescent="0.25">
      <c r="A1245" s="1"/>
      <c r="L1245" s="1"/>
      <c r="M1245" s="1"/>
      <c r="W1245" s="1"/>
    </row>
    <row r="1246" spans="1:23" x14ac:dyDescent="0.25">
      <c r="A1246" s="1"/>
      <c r="L1246" s="1"/>
      <c r="M1246" s="1"/>
      <c r="W1246" s="1"/>
    </row>
    <row r="1247" spans="1:23" x14ac:dyDescent="0.25">
      <c r="A1247" s="1"/>
      <c r="L1247" s="1"/>
      <c r="M1247" s="1"/>
      <c r="W1247" s="1"/>
    </row>
    <row r="1248" spans="1:23" x14ac:dyDescent="0.25">
      <c r="A1248" s="1"/>
      <c r="L1248" s="1"/>
      <c r="M1248" s="1"/>
      <c r="W1248" s="1"/>
    </row>
    <row r="1249" spans="1:23" x14ac:dyDescent="0.25">
      <c r="A1249" s="1"/>
      <c r="L1249" s="1"/>
      <c r="M1249" s="1"/>
      <c r="W1249" s="1"/>
    </row>
    <row r="1250" spans="1:23" x14ac:dyDescent="0.25">
      <c r="A1250" s="1"/>
      <c r="L1250" s="1"/>
      <c r="M1250" s="1"/>
      <c r="W1250" s="1"/>
    </row>
    <row r="1251" spans="1:23" x14ac:dyDescent="0.25">
      <c r="A1251" s="1"/>
      <c r="L1251" s="1"/>
      <c r="M1251" s="1"/>
      <c r="W1251" s="1"/>
    </row>
    <row r="1252" spans="1:23" x14ac:dyDescent="0.25">
      <c r="A1252" s="1"/>
      <c r="L1252" s="1"/>
      <c r="M1252" s="1"/>
      <c r="W1252" s="1"/>
    </row>
    <row r="1253" spans="1:23" x14ac:dyDescent="0.25">
      <c r="A1253" s="1"/>
      <c r="L1253" s="1"/>
      <c r="M1253" s="1"/>
      <c r="W1253" s="1"/>
    </row>
    <row r="1254" spans="1:23" x14ac:dyDescent="0.25">
      <c r="A1254" s="1"/>
      <c r="L1254" s="1"/>
      <c r="M1254" s="1"/>
      <c r="W1254" s="1"/>
    </row>
    <row r="1255" spans="1:23" x14ac:dyDescent="0.25">
      <c r="A1255" s="1"/>
      <c r="L1255" s="1"/>
      <c r="M1255" s="1"/>
      <c r="W1255" s="1"/>
    </row>
    <row r="1256" spans="1:23" x14ac:dyDescent="0.25">
      <c r="A1256" s="1"/>
      <c r="L1256" s="1"/>
      <c r="M1256" s="1"/>
      <c r="W1256" s="1"/>
    </row>
    <row r="1257" spans="1:23" x14ac:dyDescent="0.25">
      <c r="A1257" s="1"/>
      <c r="L1257" s="1"/>
      <c r="M1257" s="1"/>
      <c r="W1257" s="1"/>
    </row>
    <row r="1258" spans="1:23" x14ac:dyDescent="0.25">
      <c r="A1258" s="1"/>
      <c r="L1258" s="1"/>
      <c r="M1258" s="1"/>
      <c r="W1258" s="1"/>
    </row>
    <row r="1259" spans="1:23" x14ac:dyDescent="0.25">
      <c r="A1259" s="1"/>
      <c r="L1259" s="1"/>
      <c r="M1259" s="1"/>
      <c r="W1259" s="1"/>
    </row>
    <row r="1260" spans="1:23" x14ac:dyDescent="0.25">
      <c r="A1260" s="1"/>
      <c r="L1260" s="1"/>
      <c r="M1260" s="1"/>
      <c r="W1260" s="1"/>
    </row>
    <row r="1261" spans="1:23" x14ac:dyDescent="0.25">
      <c r="A1261" s="1"/>
      <c r="L1261" s="1"/>
      <c r="M1261" s="1"/>
      <c r="W1261" s="1"/>
    </row>
    <row r="1262" spans="1:23" x14ac:dyDescent="0.25">
      <c r="A1262" s="1"/>
      <c r="L1262" s="1"/>
      <c r="M1262" s="1"/>
      <c r="W1262" s="1"/>
    </row>
    <row r="1263" spans="1:23" x14ac:dyDescent="0.25">
      <c r="A1263" s="1"/>
      <c r="L1263" s="1"/>
      <c r="M1263" s="1"/>
      <c r="W1263" s="1"/>
    </row>
    <row r="1264" spans="1:23" x14ac:dyDescent="0.25">
      <c r="A1264" s="1"/>
      <c r="L1264" s="1"/>
      <c r="M1264" s="1"/>
      <c r="W1264" s="1"/>
    </row>
    <row r="1265" spans="1:23" x14ac:dyDescent="0.25">
      <c r="A1265" s="1"/>
      <c r="L1265" s="1"/>
      <c r="M1265" s="1"/>
      <c r="W1265" s="1"/>
    </row>
    <row r="1266" spans="1:23" x14ac:dyDescent="0.25">
      <c r="A1266" s="1"/>
      <c r="L1266" s="1"/>
      <c r="M1266" s="1"/>
      <c r="W1266" s="1"/>
    </row>
    <row r="1267" spans="1:23" x14ac:dyDescent="0.25">
      <c r="A1267" s="1"/>
      <c r="L1267" s="1"/>
      <c r="M1267" s="1"/>
      <c r="W1267" s="1"/>
    </row>
    <row r="1268" spans="1:23" x14ac:dyDescent="0.25">
      <c r="A1268" s="1"/>
      <c r="L1268" s="1"/>
      <c r="M1268" s="1"/>
      <c r="W1268" s="1"/>
    </row>
    <row r="1269" spans="1:23" x14ac:dyDescent="0.25">
      <c r="A1269" s="1"/>
      <c r="L1269" s="1"/>
      <c r="M1269" s="1"/>
      <c r="W1269" s="1"/>
    </row>
    <row r="1270" spans="1:23" x14ac:dyDescent="0.25">
      <c r="A1270" s="1"/>
      <c r="L1270" s="1"/>
      <c r="M1270" s="1"/>
      <c r="W1270" s="1"/>
    </row>
    <row r="1271" spans="1:23" x14ac:dyDescent="0.25">
      <c r="A1271" s="1"/>
      <c r="L1271" s="1"/>
      <c r="M1271" s="1"/>
      <c r="W1271" s="1"/>
    </row>
    <row r="1272" spans="1:23" x14ac:dyDescent="0.25">
      <c r="A1272" s="1"/>
      <c r="L1272" s="1"/>
      <c r="M1272" s="1"/>
      <c r="W1272" s="1"/>
    </row>
    <row r="1273" spans="1:23" x14ac:dyDescent="0.25">
      <c r="A1273" s="1"/>
      <c r="L1273" s="1"/>
      <c r="M1273" s="1"/>
      <c r="W1273" s="1"/>
    </row>
    <row r="1274" spans="1:23" x14ac:dyDescent="0.25">
      <c r="A1274" s="1"/>
      <c r="L1274" s="1"/>
      <c r="M1274" s="1"/>
      <c r="W1274" s="1"/>
    </row>
    <row r="1275" spans="1:23" x14ac:dyDescent="0.25">
      <c r="A1275" s="1"/>
      <c r="L1275" s="1"/>
      <c r="M1275" s="1"/>
      <c r="W1275" s="1"/>
    </row>
    <row r="1276" spans="1:23" x14ac:dyDescent="0.25">
      <c r="A1276" s="1"/>
      <c r="L1276" s="1"/>
      <c r="M1276" s="1"/>
      <c r="W1276" s="1"/>
    </row>
    <row r="1277" spans="1:23" x14ac:dyDescent="0.25">
      <c r="A1277" s="1"/>
      <c r="L1277" s="1"/>
      <c r="M1277" s="1"/>
      <c r="W1277" s="1"/>
    </row>
    <row r="1278" spans="1:23" x14ac:dyDescent="0.25">
      <c r="A1278" s="1"/>
      <c r="L1278" s="1"/>
      <c r="M1278" s="1"/>
      <c r="W1278" s="1"/>
    </row>
    <row r="1279" spans="1:23" x14ac:dyDescent="0.25">
      <c r="A1279" s="1"/>
      <c r="L1279" s="1"/>
      <c r="M1279" s="1"/>
      <c r="W1279" s="1"/>
    </row>
    <row r="1280" spans="1:23" x14ac:dyDescent="0.25">
      <c r="A1280" s="1"/>
      <c r="L1280" s="1"/>
      <c r="M1280" s="1"/>
      <c r="W1280" s="1"/>
    </row>
    <row r="1281" spans="1:23" x14ac:dyDescent="0.25">
      <c r="A1281" s="1"/>
      <c r="L1281" s="1"/>
      <c r="M1281" s="1"/>
      <c r="W1281" s="1"/>
    </row>
    <row r="1282" spans="1:23" x14ac:dyDescent="0.25">
      <c r="A1282" s="1"/>
      <c r="L1282" s="1"/>
      <c r="M1282" s="1"/>
      <c r="W1282" s="1"/>
    </row>
    <row r="1283" spans="1:23" x14ac:dyDescent="0.25">
      <c r="A1283" s="1"/>
      <c r="L1283" s="1"/>
      <c r="M1283" s="1"/>
      <c r="W1283" s="1"/>
    </row>
    <row r="1284" spans="1:23" x14ac:dyDescent="0.25">
      <c r="A1284" s="1"/>
      <c r="L1284" s="1"/>
      <c r="M1284" s="1"/>
      <c r="W1284" s="1"/>
    </row>
    <row r="1285" spans="1:23" x14ac:dyDescent="0.25">
      <c r="A1285" s="1"/>
      <c r="L1285" s="1"/>
      <c r="M1285" s="1"/>
      <c r="W1285" s="1"/>
    </row>
    <row r="1286" spans="1:23" x14ac:dyDescent="0.25">
      <c r="A1286" s="1"/>
      <c r="L1286" s="1"/>
      <c r="M1286" s="1"/>
      <c r="W1286" s="1"/>
    </row>
    <row r="1287" spans="1:23" x14ac:dyDescent="0.25">
      <c r="A1287" s="1"/>
      <c r="L1287" s="1"/>
      <c r="M1287" s="1"/>
      <c r="W1287" s="1"/>
    </row>
    <row r="1288" spans="1:23" x14ac:dyDescent="0.25">
      <c r="A1288" s="1"/>
      <c r="L1288" s="1"/>
      <c r="M1288" s="1"/>
      <c r="W1288" s="1"/>
    </row>
    <row r="1289" spans="1:23" x14ac:dyDescent="0.25">
      <c r="A1289" s="1"/>
      <c r="L1289" s="1"/>
      <c r="M1289" s="1"/>
      <c r="W1289" s="1"/>
    </row>
    <row r="1290" spans="1:23" x14ac:dyDescent="0.25">
      <c r="A1290" s="1"/>
      <c r="L1290" s="1"/>
      <c r="M1290" s="1"/>
      <c r="W1290" s="1"/>
    </row>
    <row r="1291" spans="1:23" x14ac:dyDescent="0.25">
      <c r="A1291" s="1"/>
      <c r="L1291" s="1"/>
      <c r="M1291" s="1"/>
      <c r="W1291" s="1"/>
    </row>
    <row r="1292" spans="1:23" x14ac:dyDescent="0.25">
      <c r="A1292" s="1"/>
      <c r="L1292" s="1"/>
      <c r="M1292" s="1"/>
      <c r="W1292" s="1"/>
    </row>
    <row r="1293" spans="1:23" x14ac:dyDescent="0.25">
      <c r="A1293" s="1"/>
      <c r="L1293" s="1"/>
      <c r="M1293" s="1"/>
      <c r="W1293" s="1"/>
    </row>
    <row r="1294" spans="1:23" x14ac:dyDescent="0.25">
      <c r="A1294" s="1"/>
      <c r="L1294" s="1"/>
      <c r="M1294" s="1"/>
      <c r="W1294" s="1"/>
    </row>
    <row r="1295" spans="1:23" x14ac:dyDescent="0.25">
      <c r="A1295" s="1"/>
      <c r="L1295" s="1"/>
      <c r="M1295" s="1"/>
      <c r="W1295" s="1"/>
    </row>
    <row r="1296" spans="1:23" x14ac:dyDescent="0.25">
      <c r="A1296" s="1"/>
      <c r="L1296" s="1"/>
      <c r="M1296" s="1"/>
      <c r="W1296" s="1"/>
    </row>
    <row r="1297" spans="1:23" x14ac:dyDescent="0.25">
      <c r="A1297" s="1"/>
      <c r="L1297" s="1"/>
      <c r="M1297" s="1"/>
      <c r="W1297" s="1"/>
    </row>
    <row r="1298" spans="1:23" x14ac:dyDescent="0.25">
      <c r="A1298" s="1"/>
      <c r="L1298" s="1"/>
      <c r="M1298" s="1"/>
      <c r="W1298" s="1"/>
    </row>
    <row r="1299" spans="1:23" x14ac:dyDescent="0.25">
      <c r="A1299" s="1"/>
      <c r="L1299" s="1"/>
      <c r="M1299" s="1"/>
      <c r="W1299" s="1"/>
    </row>
    <row r="1300" spans="1:23" x14ac:dyDescent="0.25">
      <c r="A1300" s="1"/>
      <c r="L1300" s="1"/>
      <c r="M1300" s="1"/>
      <c r="W1300" s="1"/>
    </row>
    <row r="1301" spans="1:23" x14ac:dyDescent="0.25">
      <c r="A1301" s="1"/>
      <c r="L1301" s="1"/>
      <c r="M1301" s="1"/>
      <c r="W1301" s="1"/>
    </row>
    <row r="1302" spans="1:23" x14ac:dyDescent="0.25">
      <c r="A1302" s="1"/>
      <c r="L1302" s="1"/>
      <c r="M1302" s="1"/>
      <c r="W1302" s="1"/>
    </row>
    <row r="1303" spans="1:23" x14ac:dyDescent="0.25">
      <c r="A1303" s="1"/>
      <c r="L1303" s="1"/>
      <c r="M1303" s="1"/>
      <c r="W1303" s="1"/>
    </row>
    <row r="1304" spans="1:23" x14ac:dyDescent="0.25">
      <c r="A1304" s="1"/>
      <c r="L1304" s="1"/>
      <c r="M1304" s="1"/>
      <c r="W1304" s="1"/>
    </row>
    <row r="1305" spans="1:23" x14ac:dyDescent="0.25">
      <c r="A1305" s="1"/>
      <c r="L1305" s="1"/>
      <c r="M1305" s="1"/>
      <c r="W1305" s="1"/>
    </row>
    <row r="1306" spans="1:23" x14ac:dyDescent="0.25">
      <c r="A1306" s="1"/>
      <c r="L1306" s="1"/>
      <c r="M1306" s="1"/>
      <c r="W1306" s="1"/>
    </row>
    <row r="1307" spans="1:23" x14ac:dyDescent="0.25">
      <c r="A1307" s="1"/>
      <c r="L1307" s="1"/>
      <c r="M1307" s="1"/>
      <c r="W1307" s="1"/>
    </row>
    <row r="1308" spans="1:23" x14ac:dyDescent="0.25">
      <c r="A1308" s="1"/>
      <c r="L1308" s="1"/>
      <c r="M1308" s="1"/>
      <c r="W1308" s="1"/>
    </row>
    <row r="1309" spans="1:23" x14ac:dyDescent="0.25">
      <c r="A1309" s="1"/>
      <c r="L1309" s="1"/>
      <c r="M1309" s="1"/>
      <c r="W1309" s="1"/>
    </row>
    <row r="1312" spans="1:23" x14ac:dyDescent="0.25">
      <c r="A1312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863C-A14C-41A8-B384-2CF94535822E}">
  <dimension ref="A1:AC1392"/>
  <sheetViews>
    <sheetView tabSelected="1" topLeftCell="A155" workbookViewId="0">
      <selection activeCell="M181" sqref="M181"/>
    </sheetView>
  </sheetViews>
  <sheetFormatPr defaultRowHeight="15" x14ac:dyDescent="0.25"/>
  <cols>
    <col min="1" max="1" width="15.5703125" bestFit="1" customWidth="1"/>
    <col min="2" max="2" width="15.5703125" customWidth="1"/>
    <col min="3" max="3" width="11.85546875" customWidth="1"/>
    <col min="4" max="4" width="8.85546875" customWidth="1"/>
    <col min="5" max="5" width="18.42578125" customWidth="1"/>
    <col min="6" max="6" width="12.140625" bestFit="1" customWidth="1"/>
    <col min="7" max="7" width="22.140625" bestFit="1" customWidth="1"/>
    <col min="8" max="8" width="7.28515625" bestFit="1" customWidth="1"/>
    <col min="9" max="9" width="14.28515625" bestFit="1" customWidth="1"/>
    <col min="10" max="10" width="12" bestFit="1" customWidth="1"/>
    <col min="11" max="11" width="15.7109375" bestFit="1" customWidth="1"/>
    <col min="12" max="12" width="15.7109375" customWidth="1"/>
    <col min="13" max="13" width="25.7109375" bestFit="1" customWidth="1"/>
    <col min="14" max="14" width="12.42578125" bestFit="1" customWidth="1"/>
    <col min="16" max="16" width="20.42578125" bestFit="1" customWidth="1"/>
    <col min="17" max="17" width="9.42578125" bestFit="1" customWidth="1"/>
  </cols>
  <sheetData>
    <row r="1" spans="1:29" x14ac:dyDescent="0.25">
      <c r="A1" t="s">
        <v>1</v>
      </c>
      <c r="C1" t="s">
        <v>4</v>
      </c>
      <c r="F1" t="s">
        <v>5</v>
      </c>
      <c r="G1" t="s">
        <v>6</v>
      </c>
      <c r="H1" t="s">
        <v>7</v>
      </c>
      <c r="I1" t="s">
        <v>11</v>
      </c>
      <c r="J1" t="s">
        <v>12</v>
      </c>
      <c r="K1" t="s">
        <v>14</v>
      </c>
      <c r="M1" t="s">
        <v>16</v>
      </c>
      <c r="N1" t="s">
        <v>20</v>
      </c>
    </row>
    <row r="2" spans="1:29" s="8" customFormat="1" x14ac:dyDescent="0.25">
      <c r="A2" s="8" t="s">
        <v>228</v>
      </c>
      <c r="B2" s="8" t="str">
        <f t="shared" ref="B2:B31" si="0">CONCATENATE(A2,77)</f>
        <v>1K68CT1XX6377</v>
      </c>
      <c r="C2" s="8" t="s">
        <v>334</v>
      </c>
      <c r="D2" s="8" t="s">
        <v>335</v>
      </c>
      <c r="E2" s="8" t="str">
        <f t="shared" ref="E2:E33" si="1">CONCATENATE(D2," ",C2)</f>
        <v>KARIN WHITEHEAD</v>
      </c>
      <c r="F2" s="8" t="s">
        <v>64</v>
      </c>
      <c r="G2" s="8" t="s">
        <v>28</v>
      </c>
      <c r="H2" s="8" t="s">
        <v>29</v>
      </c>
      <c r="I2" s="9">
        <v>46204</v>
      </c>
      <c r="J2" s="9">
        <v>46204</v>
      </c>
      <c r="K2" s="8">
        <v>7470776</v>
      </c>
      <c r="L2" s="8">
        <v>7470776</v>
      </c>
      <c r="M2" s="8" t="s">
        <v>108</v>
      </c>
      <c r="N2" s="8">
        <v>844</v>
      </c>
      <c r="O2" s="8">
        <v>694</v>
      </c>
      <c r="P2" s="8" t="s">
        <v>364</v>
      </c>
      <c r="Q2" s="8" t="s">
        <v>363</v>
      </c>
    </row>
    <row r="3" spans="1:29" s="10" customFormat="1" x14ac:dyDescent="0.25">
      <c r="A3" s="8" t="s">
        <v>119</v>
      </c>
      <c r="B3" s="8" t="str">
        <f t="shared" si="0"/>
        <v>5RU6N39FR8777</v>
      </c>
      <c r="C3" s="8" t="s">
        <v>286</v>
      </c>
      <c r="D3" s="8" t="s">
        <v>287</v>
      </c>
      <c r="E3" s="8" t="str">
        <f t="shared" si="1"/>
        <v>MICHAEL ISAACS</v>
      </c>
      <c r="F3" s="8" t="s">
        <v>64</v>
      </c>
      <c r="G3" s="8" t="s">
        <v>28</v>
      </c>
      <c r="H3" s="8" t="s">
        <v>29</v>
      </c>
      <c r="I3" s="9">
        <v>46204</v>
      </c>
      <c r="J3" s="9">
        <v>46204</v>
      </c>
      <c r="K3" s="8">
        <v>7470776</v>
      </c>
      <c r="L3" s="8">
        <v>7470776</v>
      </c>
      <c r="M3" s="8" t="s">
        <v>108</v>
      </c>
      <c r="N3" s="8">
        <v>844</v>
      </c>
      <c r="O3" s="8">
        <v>694</v>
      </c>
      <c r="P3" s="8" t="s">
        <v>364</v>
      </c>
      <c r="Q3" s="8" t="s">
        <v>363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:29" s="8" customFormat="1" x14ac:dyDescent="0.25">
      <c r="A4" s="8" t="s">
        <v>104</v>
      </c>
      <c r="B4" s="8" t="str">
        <f t="shared" si="0"/>
        <v>6ME5NK2NG7777</v>
      </c>
      <c r="C4" s="8" t="s">
        <v>278</v>
      </c>
      <c r="D4" s="8" t="s">
        <v>279</v>
      </c>
      <c r="E4" s="8" t="str">
        <f t="shared" si="1"/>
        <v>JOHN FURTH</v>
      </c>
      <c r="F4" s="8" t="s">
        <v>64</v>
      </c>
      <c r="G4" s="8" t="s">
        <v>28</v>
      </c>
      <c r="H4" s="8" t="s">
        <v>29</v>
      </c>
      <c r="I4" s="9">
        <v>46235</v>
      </c>
      <c r="J4" s="9">
        <v>46235</v>
      </c>
      <c r="K4" s="8">
        <v>7470776</v>
      </c>
      <c r="L4" s="8">
        <v>7470776</v>
      </c>
      <c r="M4" s="8" t="s">
        <v>108</v>
      </c>
      <c r="N4" s="8">
        <v>844</v>
      </c>
      <c r="O4" s="8">
        <v>694</v>
      </c>
      <c r="P4" s="8" t="s">
        <v>364</v>
      </c>
      <c r="Q4" s="8" t="s">
        <v>363</v>
      </c>
    </row>
    <row r="5" spans="1:29" s="10" customFormat="1" x14ac:dyDescent="0.25">
      <c r="A5" s="8" t="s">
        <v>112</v>
      </c>
      <c r="B5" s="8" t="str">
        <f t="shared" si="0"/>
        <v>6V64T75PE0877</v>
      </c>
      <c r="C5" s="8" t="s">
        <v>282</v>
      </c>
      <c r="D5" s="8" t="s">
        <v>283</v>
      </c>
      <c r="E5" s="8" t="str">
        <f t="shared" si="1"/>
        <v>PAMELA HOBBS</v>
      </c>
      <c r="F5" s="8" t="s">
        <v>64</v>
      </c>
      <c r="G5" s="8" t="s">
        <v>28</v>
      </c>
      <c r="H5" s="8" t="s">
        <v>29</v>
      </c>
      <c r="I5" s="9">
        <v>46204</v>
      </c>
      <c r="J5" s="9">
        <v>46204</v>
      </c>
      <c r="K5" s="8">
        <v>7470776</v>
      </c>
      <c r="L5" s="8">
        <v>7470776</v>
      </c>
      <c r="M5" s="8" t="s">
        <v>108</v>
      </c>
      <c r="N5" s="8">
        <v>844</v>
      </c>
      <c r="O5" s="8">
        <v>694</v>
      </c>
      <c r="P5" s="8" t="s">
        <v>364</v>
      </c>
      <c r="Q5" s="8" t="s">
        <v>363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spans="1:29" s="8" customFormat="1" x14ac:dyDescent="0.25">
      <c r="A6" s="8" t="s">
        <v>187</v>
      </c>
      <c r="B6" s="8" t="str">
        <f t="shared" si="0"/>
        <v>8C51AJ2KM2377</v>
      </c>
      <c r="C6" s="8" t="s">
        <v>314</v>
      </c>
      <c r="D6" s="8" t="s">
        <v>315</v>
      </c>
      <c r="E6" s="8" t="str">
        <f t="shared" si="1"/>
        <v>AILEEN PETERSON</v>
      </c>
      <c r="F6" s="8" t="s">
        <v>77</v>
      </c>
      <c r="G6" s="8" t="s">
        <v>28</v>
      </c>
      <c r="H6" s="8" t="s">
        <v>29</v>
      </c>
      <c r="I6" s="9">
        <v>46204</v>
      </c>
      <c r="J6" s="9">
        <v>46204</v>
      </c>
      <c r="K6" s="8">
        <v>7470776</v>
      </c>
      <c r="L6" s="8">
        <v>7470776</v>
      </c>
      <c r="M6" s="8" t="s">
        <v>108</v>
      </c>
      <c r="N6" s="8">
        <v>844</v>
      </c>
      <c r="O6" s="8">
        <v>694</v>
      </c>
      <c r="P6" s="8" t="s">
        <v>364</v>
      </c>
      <c r="Q6" s="8" t="s">
        <v>363</v>
      </c>
    </row>
    <row r="7" spans="1:29" s="8" customFormat="1" x14ac:dyDescent="0.25">
      <c r="A7" s="8" t="s">
        <v>174</v>
      </c>
      <c r="B7" s="8" t="str">
        <f t="shared" si="0"/>
        <v>8PM3RD4DF0177</v>
      </c>
      <c r="C7" s="8" t="s">
        <v>308</v>
      </c>
      <c r="D7" s="8" t="s">
        <v>309</v>
      </c>
      <c r="E7" s="8" t="str">
        <f t="shared" si="1"/>
        <v>JERRY MOTTELER</v>
      </c>
      <c r="F7" s="8" t="s">
        <v>64</v>
      </c>
      <c r="G7" s="8" t="s">
        <v>28</v>
      </c>
      <c r="H7" s="8" t="s">
        <v>29</v>
      </c>
      <c r="I7" s="9">
        <v>46204</v>
      </c>
      <c r="J7" s="9">
        <v>46204</v>
      </c>
      <c r="K7" s="8">
        <v>18828278</v>
      </c>
      <c r="L7" s="8">
        <v>18828278</v>
      </c>
      <c r="M7" s="8" t="s">
        <v>178</v>
      </c>
      <c r="N7" s="8">
        <v>844</v>
      </c>
      <c r="O7" s="8">
        <v>694</v>
      </c>
      <c r="P7" s="8" t="s">
        <v>364</v>
      </c>
      <c r="Q7" s="8" t="s">
        <v>363</v>
      </c>
    </row>
    <row r="8" spans="1:29" s="10" customFormat="1" x14ac:dyDescent="0.25">
      <c r="A8" s="8" t="s">
        <v>92</v>
      </c>
      <c r="B8" s="8" t="str">
        <f t="shared" si="0"/>
        <v>8KN3CX6TN8977</v>
      </c>
      <c r="C8" s="8" t="s">
        <v>273</v>
      </c>
      <c r="D8" s="8" t="s">
        <v>274</v>
      </c>
      <c r="E8" s="8" t="str">
        <f t="shared" si="1"/>
        <v>CECILY DALTON</v>
      </c>
      <c r="F8" s="8" t="s">
        <v>64</v>
      </c>
      <c r="G8" s="8" t="s">
        <v>28</v>
      </c>
      <c r="H8" s="8" t="s">
        <v>29</v>
      </c>
      <c r="I8" s="9">
        <v>46174</v>
      </c>
      <c r="J8" s="9">
        <v>46174</v>
      </c>
      <c r="K8" s="8">
        <v>17301495</v>
      </c>
      <c r="L8" s="8">
        <v>17301495</v>
      </c>
      <c r="M8" s="8" t="s">
        <v>95</v>
      </c>
      <c r="N8" s="8">
        <v>844</v>
      </c>
      <c r="O8" s="8">
        <v>694</v>
      </c>
      <c r="P8" s="8" t="s">
        <v>364</v>
      </c>
      <c r="Q8" s="8" t="s">
        <v>363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</row>
    <row r="9" spans="1:29" s="10" customFormat="1" x14ac:dyDescent="0.25">
      <c r="A9" s="8" t="s">
        <v>209</v>
      </c>
      <c r="B9" s="8" t="str">
        <f t="shared" si="0"/>
        <v>7J45NP1FT8777</v>
      </c>
      <c r="C9" s="8" t="s">
        <v>324</v>
      </c>
      <c r="D9" s="8" t="s">
        <v>325</v>
      </c>
      <c r="E9" s="8" t="str">
        <f t="shared" si="1"/>
        <v>BOLAJOKO SOYOYE</v>
      </c>
      <c r="F9" s="8" t="s">
        <v>64</v>
      </c>
      <c r="G9" s="8" t="s">
        <v>84</v>
      </c>
      <c r="H9" s="8" t="s">
        <v>29</v>
      </c>
      <c r="I9" s="9">
        <v>46204</v>
      </c>
      <c r="J9" s="9">
        <v>46204</v>
      </c>
      <c r="K9" s="8">
        <v>7152559</v>
      </c>
      <c r="L9" s="8">
        <v>7152559</v>
      </c>
      <c r="M9" s="8" t="s">
        <v>212</v>
      </c>
      <c r="N9" s="8">
        <v>422</v>
      </c>
      <c r="O9" s="8">
        <v>347</v>
      </c>
      <c r="P9" s="8" t="s">
        <v>364</v>
      </c>
      <c r="Q9" s="8" t="s">
        <v>360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</row>
    <row r="10" spans="1:29" s="8" customFormat="1" x14ac:dyDescent="0.25">
      <c r="A10" s="8" t="s">
        <v>81</v>
      </c>
      <c r="B10" s="8" t="str">
        <f t="shared" si="0"/>
        <v>1HR5Y19NN6277</v>
      </c>
      <c r="C10" s="8" t="s">
        <v>269</v>
      </c>
      <c r="D10" s="8" t="s">
        <v>270</v>
      </c>
      <c r="E10" s="8" t="str">
        <f t="shared" si="1"/>
        <v>MARIA CALVO</v>
      </c>
      <c r="F10" s="8" t="s">
        <v>64</v>
      </c>
      <c r="G10" s="8" t="s">
        <v>84</v>
      </c>
      <c r="H10" s="8" t="s">
        <v>29</v>
      </c>
      <c r="I10" s="9">
        <v>46204</v>
      </c>
      <c r="J10" s="9">
        <v>46204</v>
      </c>
      <c r="K10" s="8">
        <v>21646325</v>
      </c>
      <c r="L10" s="8">
        <v>21646325</v>
      </c>
      <c r="M10" s="8" t="s">
        <v>86</v>
      </c>
      <c r="N10" s="8">
        <v>422</v>
      </c>
      <c r="O10" s="8">
        <v>347</v>
      </c>
      <c r="P10" s="8" t="s">
        <v>364</v>
      </c>
      <c r="Q10" s="8" t="s">
        <v>360</v>
      </c>
      <c r="T10" s="8">
        <f>347/12*7</f>
        <v>202.41666666666669</v>
      </c>
      <c r="U10" s="8">
        <f>694/12*6</f>
        <v>347</v>
      </c>
    </row>
    <row r="11" spans="1:29" s="10" customFormat="1" x14ac:dyDescent="0.25">
      <c r="A11" s="8" t="s">
        <v>183</v>
      </c>
      <c r="B11" s="8" t="str">
        <f t="shared" si="0"/>
        <v>7AD0UN5NR0477</v>
      </c>
      <c r="C11" s="8" t="s">
        <v>312</v>
      </c>
      <c r="D11" s="8" t="s">
        <v>313</v>
      </c>
      <c r="E11" s="8" t="str">
        <f t="shared" si="1"/>
        <v>WILLIAM PEDROZA</v>
      </c>
      <c r="F11" s="8" t="s">
        <v>64</v>
      </c>
      <c r="G11" s="8" t="s">
        <v>84</v>
      </c>
      <c r="H11" s="8" t="s">
        <v>29</v>
      </c>
      <c r="I11" s="9">
        <v>46204</v>
      </c>
      <c r="J11" s="9">
        <v>46204</v>
      </c>
      <c r="K11" s="8">
        <v>21646325</v>
      </c>
      <c r="L11" s="8">
        <v>21646325</v>
      </c>
      <c r="M11" s="8" t="s">
        <v>86</v>
      </c>
      <c r="N11" s="8">
        <v>422</v>
      </c>
      <c r="O11" s="8">
        <v>347</v>
      </c>
      <c r="P11" s="8" t="s">
        <v>364</v>
      </c>
      <c r="Q11" s="8" t="s">
        <v>360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</row>
    <row r="12" spans="1:29" s="8" customFormat="1" x14ac:dyDescent="0.25">
      <c r="A12" s="8" t="s">
        <v>96</v>
      </c>
      <c r="B12" s="8" t="str">
        <f t="shared" si="0"/>
        <v>3EJ8GG5VX2477</v>
      </c>
      <c r="C12" s="8" t="s">
        <v>273</v>
      </c>
      <c r="D12" s="8" t="s">
        <v>275</v>
      </c>
      <c r="E12" s="8" t="str">
        <f t="shared" si="1"/>
        <v>ISIAH DALTON</v>
      </c>
      <c r="F12" s="8" t="s">
        <v>64</v>
      </c>
      <c r="G12" s="8" t="s">
        <v>28</v>
      </c>
      <c r="H12" s="8" t="s">
        <v>29</v>
      </c>
      <c r="I12" s="9">
        <v>46204</v>
      </c>
      <c r="J12" s="9">
        <v>46204</v>
      </c>
      <c r="K12" s="8">
        <v>9213293</v>
      </c>
      <c r="L12" s="8">
        <v>9213293</v>
      </c>
      <c r="M12" s="8" t="s">
        <v>55</v>
      </c>
      <c r="N12" s="8">
        <v>844</v>
      </c>
      <c r="O12" s="8">
        <v>694</v>
      </c>
      <c r="P12" s="8" t="s">
        <v>364</v>
      </c>
      <c r="Q12" s="8" t="s">
        <v>363</v>
      </c>
    </row>
    <row r="13" spans="1:29" s="8" customFormat="1" x14ac:dyDescent="0.25">
      <c r="A13" s="8" t="s">
        <v>49</v>
      </c>
      <c r="B13" s="8" t="str">
        <f t="shared" si="0"/>
        <v>6R65HJ4YJ5277</v>
      </c>
      <c r="C13" s="8" t="s">
        <v>259</v>
      </c>
      <c r="D13" s="8" t="s">
        <v>260</v>
      </c>
      <c r="E13" s="8" t="str">
        <f t="shared" si="1"/>
        <v>RANDY BEAN</v>
      </c>
      <c r="F13" s="8" t="s">
        <v>52</v>
      </c>
      <c r="G13" s="8" t="s">
        <v>28</v>
      </c>
      <c r="H13" s="8" t="s">
        <v>29</v>
      </c>
      <c r="I13" s="9">
        <v>46204</v>
      </c>
      <c r="J13" s="9">
        <v>46204</v>
      </c>
      <c r="K13" s="8">
        <v>9213293</v>
      </c>
      <c r="L13" s="8">
        <v>9213293</v>
      </c>
      <c r="M13" s="8" t="s">
        <v>55</v>
      </c>
      <c r="N13" s="8">
        <v>844</v>
      </c>
      <c r="O13" s="8">
        <v>694</v>
      </c>
      <c r="P13" s="8" t="s">
        <v>364</v>
      </c>
      <c r="Q13" s="8" t="s">
        <v>363</v>
      </c>
    </row>
    <row r="14" spans="1:29" s="8" customFormat="1" x14ac:dyDescent="0.25">
      <c r="A14" s="8" t="s">
        <v>231</v>
      </c>
      <c r="B14" s="8" t="str">
        <f t="shared" si="0"/>
        <v>8HH5FX6CN8477</v>
      </c>
      <c r="C14" s="8" t="s">
        <v>336</v>
      </c>
      <c r="D14" s="8" t="s">
        <v>337</v>
      </c>
      <c r="E14" s="8" t="str">
        <f t="shared" si="1"/>
        <v>BRIAN WILKIE</v>
      </c>
      <c r="F14" s="8" t="s">
        <v>64</v>
      </c>
      <c r="G14" s="8" t="s">
        <v>84</v>
      </c>
      <c r="H14" s="8" t="s">
        <v>29</v>
      </c>
      <c r="I14" s="9">
        <v>46113</v>
      </c>
      <c r="J14" s="9">
        <v>46113</v>
      </c>
      <c r="K14" s="8">
        <v>9213293</v>
      </c>
      <c r="L14" s="8">
        <v>9213293</v>
      </c>
      <c r="M14" s="8" t="s">
        <v>55</v>
      </c>
      <c r="N14" s="8">
        <v>633</v>
      </c>
      <c r="O14" s="8">
        <v>520.5</v>
      </c>
      <c r="P14" s="8" t="s">
        <v>364</v>
      </c>
      <c r="Q14" s="8" t="s">
        <v>361</v>
      </c>
      <c r="T14" s="8">
        <f>694/12*9</f>
        <v>520.5</v>
      </c>
      <c r="U14" s="8">
        <v>260.25</v>
      </c>
      <c r="V14" s="8">
        <f>694-U14</f>
        <v>433.75</v>
      </c>
    </row>
    <row r="15" spans="1:29" s="8" customFormat="1" x14ac:dyDescent="0.25">
      <c r="A15" s="8" t="s">
        <v>224</v>
      </c>
      <c r="B15" s="8" t="str">
        <f t="shared" si="0"/>
        <v>4HW4Y22EA6677</v>
      </c>
      <c r="C15" s="8" t="s">
        <v>332</v>
      </c>
      <c r="D15" s="8" t="s">
        <v>333</v>
      </c>
      <c r="E15" s="8" t="str">
        <f t="shared" si="1"/>
        <v>MARILYN WEBER</v>
      </c>
      <c r="F15" s="8" t="s">
        <v>64</v>
      </c>
      <c r="G15" s="8" t="s">
        <v>28</v>
      </c>
      <c r="H15" s="8" t="s">
        <v>29</v>
      </c>
      <c r="I15" s="9">
        <v>46235</v>
      </c>
      <c r="J15" s="9">
        <v>46235</v>
      </c>
      <c r="K15" s="8">
        <v>16228684</v>
      </c>
      <c r="L15" s="8">
        <v>16228684</v>
      </c>
      <c r="M15" s="8" t="s">
        <v>227</v>
      </c>
      <c r="N15" s="8">
        <v>844</v>
      </c>
      <c r="O15" s="8">
        <v>694</v>
      </c>
      <c r="P15" s="8" t="s">
        <v>364</v>
      </c>
      <c r="Q15" s="8" t="s">
        <v>363</v>
      </c>
    </row>
    <row r="16" spans="1:29" s="8" customFormat="1" x14ac:dyDescent="0.25">
      <c r="A16" s="8" t="s">
        <v>141</v>
      </c>
      <c r="B16" s="8" t="str">
        <f t="shared" si="0"/>
        <v>2V64Q25CT9977</v>
      </c>
      <c r="C16" s="8" t="s">
        <v>294</v>
      </c>
      <c r="D16" s="8" t="s">
        <v>295</v>
      </c>
      <c r="E16" s="8" t="str">
        <f t="shared" si="1"/>
        <v>JILL KOLESAR</v>
      </c>
      <c r="F16" s="8" t="s">
        <v>137</v>
      </c>
      <c r="G16" s="8" t="s">
        <v>28</v>
      </c>
      <c r="H16" s="8" t="s">
        <v>29</v>
      </c>
      <c r="I16" s="9">
        <v>46204</v>
      </c>
      <c r="J16" s="9">
        <v>46204</v>
      </c>
      <c r="K16" s="8">
        <v>16170994</v>
      </c>
      <c r="L16" s="8">
        <v>16170994</v>
      </c>
      <c r="M16" s="8" t="s">
        <v>145</v>
      </c>
      <c r="N16" s="8">
        <v>844</v>
      </c>
      <c r="O16" s="8">
        <v>694</v>
      </c>
      <c r="P16" s="8" t="s">
        <v>364</v>
      </c>
      <c r="Q16" s="8" t="s">
        <v>363</v>
      </c>
    </row>
    <row r="17" spans="1:29" s="10" customFormat="1" x14ac:dyDescent="0.25">
      <c r="A17" s="8" t="s">
        <v>221</v>
      </c>
      <c r="B17" s="8" t="str">
        <f t="shared" si="0"/>
        <v>5DQ3TT6VJ7077</v>
      </c>
      <c r="C17" s="8" t="s">
        <v>330</v>
      </c>
      <c r="D17" s="8" t="s">
        <v>331</v>
      </c>
      <c r="E17" s="8" t="str">
        <f t="shared" si="1"/>
        <v>SHARAN WATSON</v>
      </c>
      <c r="F17" s="8" t="s">
        <v>137</v>
      </c>
      <c r="G17" s="8" t="s">
        <v>28</v>
      </c>
      <c r="H17" s="8" t="s">
        <v>29</v>
      </c>
      <c r="I17" s="9">
        <v>46204</v>
      </c>
      <c r="J17" s="9">
        <v>46204</v>
      </c>
      <c r="K17" s="8">
        <v>16170994</v>
      </c>
      <c r="L17" s="8">
        <v>16170994</v>
      </c>
      <c r="M17" s="8" t="s">
        <v>145</v>
      </c>
      <c r="N17" s="8">
        <v>844</v>
      </c>
      <c r="O17" s="8">
        <v>694</v>
      </c>
      <c r="P17" s="8" t="s">
        <v>364</v>
      </c>
      <c r="Q17" s="8" t="s">
        <v>363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</row>
    <row r="18" spans="1:29" s="10" customFormat="1" x14ac:dyDescent="0.25">
      <c r="A18" s="8" t="s">
        <v>248</v>
      </c>
      <c r="B18" s="8" t="str">
        <f t="shared" si="0"/>
        <v>8FV9A73KF3877</v>
      </c>
      <c r="C18" s="8" t="s">
        <v>343</v>
      </c>
      <c r="D18" s="8" t="s">
        <v>262</v>
      </c>
      <c r="E18" s="8" t="str">
        <f t="shared" si="1"/>
        <v>DAVID ZOVACK</v>
      </c>
      <c r="F18" s="8" t="s">
        <v>137</v>
      </c>
      <c r="G18" s="8" t="s">
        <v>28</v>
      </c>
      <c r="H18" s="8" t="s">
        <v>29</v>
      </c>
      <c r="I18" s="9">
        <v>46204</v>
      </c>
      <c r="J18" s="9">
        <v>46204</v>
      </c>
      <c r="K18" s="8">
        <v>16170994</v>
      </c>
      <c r="L18" s="8">
        <v>16170994</v>
      </c>
      <c r="M18" s="8" t="s">
        <v>145</v>
      </c>
      <c r="N18" s="8">
        <v>844</v>
      </c>
      <c r="O18" s="8">
        <v>694</v>
      </c>
      <c r="P18" s="8" t="s">
        <v>364</v>
      </c>
      <c r="Q18" s="8" t="s">
        <v>363</v>
      </c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</row>
    <row r="19" spans="1:29" s="10" customFormat="1" x14ac:dyDescent="0.25">
      <c r="A19" s="8" t="s">
        <v>146</v>
      </c>
      <c r="B19" s="8" t="str">
        <f t="shared" si="0"/>
        <v>8WH3CQ7EJ0177</v>
      </c>
      <c r="C19" s="8" t="s">
        <v>296</v>
      </c>
      <c r="D19" s="8" t="s">
        <v>279</v>
      </c>
      <c r="E19" s="8" t="str">
        <f t="shared" si="1"/>
        <v>JOHN KOVOLYAN</v>
      </c>
      <c r="F19" s="8" t="s">
        <v>137</v>
      </c>
      <c r="G19" s="8" t="s">
        <v>28</v>
      </c>
      <c r="H19" s="8" t="s">
        <v>29</v>
      </c>
      <c r="I19" s="9">
        <v>46266</v>
      </c>
      <c r="J19" s="9">
        <v>46266</v>
      </c>
      <c r="K19" s="8">
        <v>16170994</v>
      </c>
      <c r="L19" s="8">
        <v>16170994</v>
      </c>
      <c r="M19" s="8" t="s">
        <v>145</v>
      </c>
      <c r="N19" s="8">
        <v>844</v>
      </c>
      <c r="O19" s="8">
        <v>694</v>
      </c>
      <c r="P19" s="8" t="s">
        <v>364</v>
      </c>
      <c r="Q19" s="8" t="s">
        <v>363</v>
      </c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</row>
    <row r="20" spans="1:29" s="10" customFormat="1" x14ac:dyDescent="0.25">
      <c r="A20" s="8" t="s">
        <v>68</v>
      </c>
      <c r="B20" s="8" t="str">
        <f t="shared" si="0"/>
        <v>9H95WQ8XR5177</v>
      </c>
      <c r="C20" s="8" t="s">
        <v>265</v>
      </c>
      <c r="D20" s="8" t="s">
        <v>266</v>
      </c>
      <c r="E20" s="8" t="str">
        <f t="shared" si="1"/>
        <v>TIA BURGER</v>
      </c>
      <c r="F20" s="8" t="s">
        <v>64</v>
      </c>
      <c r="G20" s="8" t="s">
        <v>28</v>
      </c>
      <c r="H20" s="8" t="s">
        <v>29</v>
      </c>
      <c r="I20" s="9">
        <v>46204</v>
      </c>
      <c r="J20" s="9">
        <v>46204</v>
      </c>
      <c r="K20" s="8">
        <v>8812322</v>
      </c>
      <c r="L20" s="8">
        <v>8812322</v>
      </c>
      <c r="M20" s="8" t="s">
        <v>73</v>
      </c>
      <c r="N20" s="8">
        <v>844</v>
      </c>
      <c r="O20" s="8">
        <v>694</v>
      </c>
      <c r="P20" s="8" t="s">
        <v>364</v>
      </c>
      <c r="Q20" s="8" t="s">
        <v>363</v>
      </c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</row>
    <row r="21" spans="1:29" s="10" customFormat="1" x14ac:dyDescent="0.25">
      <c r="A21" s="8" t="s">
        <v>74</v>
      </c>
      <c r="B21" s="8" t="str">
        <f t="shared" si="0"/>
        <v>4EF8M46PH5877</v>
      </c>
      <c r="C21" s="8" t="s">
        <v>267</v>
      </c>
      <c r="D21" s="8" t="s">
        <v>268</v>
      </c>
      <c r="E21" s="8" t="str">
        <f t="shared" si="1"/>
        <v>WILLANDA BURT-HOLSENDOLPH</v>
      </c>
      <c r="F21" s="8" t="s">
        <v>77</v>
      </c>
      <c r="G21" s="8" t="s">
        <v>28</v>
      </c>
      <c r="H21" s="8" t="s">
        <v>29</v>
      </c>
      <c r="I21" s="9">
        <v>46235</v>
      </c>
      <c r="J21" s="9">
        <v>46235</v>
      </c>
      <c r="K21" s="8">
        <v>8307933</v>
      </c>
      <c r="L21" s="8">
        <v>8307933</v>
      </c>
      <c r="M21" s="8" t="s">
        <v>80</v>
      </c>
      <c r="N21" s="8">
        <v>959</v>
      </c>
      <c r="O21" s="8">
        <v>694</v>
      </c>
      <c r="P21" s="8" t="s">
        <v>364</v>
      </c>
      <c r="Q21" s="8" t="s">
        <v>363</v>
      </c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</row>
    <row r="22" spans="1:29" s="8" customFormat="1" x14ac:dyDescent="0.25">
      <c r="A22" s="8" t="s">
        <v>203</v>
      </c>
      <c r="B22" s="8" t="str">
        <f t="shared" si="0"/>
        <v>6RP4Q44VY8977</v>
      </c>
      <c r="C22" s="8" t="s">
        <v>322</v>
      </c>
      <c r="D22" s="8" t="s">
        <v>323</v>
      </c>
      <c r="E22" s="8" t="str">
        <f t="shared" si="1"/>
        <v>CLAY SMITH</v>
      </c>
      <c r="F22" s="8" t="s">
        <v>206</v>
      </c>
      <c r="G22" s="8" t="s">
        <v>28</v>
      </c>
      <c r="H22" s="8" t="s">
        <v>29</v>
      </c>
      <c r="I22" s="9">
        <v>46204</v>
      </c>
      <c r="J22" s="9">
        <v>46204</v>
      </c>
      <c r="K22" s="8">
        <v>8307933</v>
      </c>
      <c r="L22" s="8">
        <v>8307933</v>
      </c>
      <c r="M22" s="8" t="s">
        <v>80</v>
      </c>
      <c r="N22" s="8">
        <v>844</v>
      </c>
      <c r="O22" s="8">
        <v>694</v>
      </c>
      <c r="P22" s="8" t="s">
        <v>364</v>
      </c>
      <c r="Q22" s="8" t="s">
        <v>363</v>
      </c>
    </row>
    <row r="23" spans="1:29" s="8" customFormat="1" x14ac:dyDescent="0.25">
      <c r="A23" s="8" t="s">
        <v>158</v>
      </c>
      <c r="B23" s="8" t="str">
        <f t="shared" si="0"/>
        <v>9XT8J68VG4777</v>
      </c>
      <c r="C23" s="8" t="s">
        <v>303</v>
      </c>
      <c r="D23" s="8" t="s">
        <v>304</v>
      </c>
      <c r="E23" s="8" t="str">
        <f t="shared" si="1"/>
        <v>SUSAN MARTIN</v>
      </c>
      <c r="F23" s="8" t="s">
        <v>161</v>
      </c>
      <c r="G23" s="8" t="s">
        <v>28</v>
      </c>
      <c r="H23" s="8" t="s">
        <v>29</v>
      </c>
      <c r="I23" s="9">
        <v>46204</v>
      </c>
      <c r="J23" s="9">
        <v>46204</v>
      </c>
      <c r="K23" s="8">
        <v>8307933</v>
      </c>
      <c r="L23" s="8">
        <v>8307933</v>
      </c>
      <c r="M23" s="8" t="s">
        <v>80</v>
      </c>
      <c r="N23" s="8">
        <v>844</v>
      </c>
      <c r="O23" s="8">
        <v>694</v>
      </c>
      <c r="P23" s="8" t="s">
        <v>364</v>
      </c>
      <c r="Q23" s="8" t="s">
        <v>363</v>
      </c>
    </row>
    <row r="24" spans="1:29" s="8" customFormat="1" x14ac:dyDescent="0.25">
      <c r="A24" s="8" t="s">
        <v>115</v>
      </c>
      <c r="B24" s="8" t="str">
        <f t="shared" si="0"/>
        <v>8WE6C97EA6277</v>
      </c>
      <c r="C24" s="8" t="s">
        <v>284</v>
      </c>
      <c r="D24" s="8" t="s">
        <v>285</v>
      </c>
      <c r="E24" s="8" t="str">
        <f t="shared" si="1"/>
        <v>LAMPHONG INTHAVONG</v>
      </c>
      <c r="F24" s="8" t="s">
        <v>64</v>
      </c>
      <c r="G24" s="8" t="s">
        <v>28</v>
      </c>
      <c r="H24" s="8" t="s">
        <v>29</v>
      </c>
      <c r="I24" s="9">
        <v>46204</v>
      </c>
      <c r="J24" s="9">
        <v>46204</v>
      </c>
      <c r="K24" s="8">
        <v>8405446</v>
      </c>
      <c r="L24" s="8">
        <v>8405446</v>
      </c>
      <c r="M24" s="8" t="s">
        <v>118</v>
      </c>
      <c r="N24" s="8">
        <v>844</v>
      </c>
      <c r="O24" s="8">
        <v>694</v>
      </c>
      <c r="P24" s="8" t="s">
        <v>364</v>
      </c>
      <c r="Q24" s="8" t="s">
        <v>363</v>
      </c>
    </row>
    <row r="25" spans="1:29" s="8" customFormat="1" x14ac:dyDescent="0.25">
      <c r="A25" s="8" t="s">
        <v>127</v>
      </c>
      <c r="B25" s="8" t="str">
        <f t="shared" si="0"/>
        <v>5NG2E52EW8177</v>
      </c>
      <c r="C25" s="8" t="s">
        <v>290</v>
      </c>
      <c r="D25" s="8" t="s">
        <v>291</v>
      </c>
      <c r="E25" s="8" t="str">
        <f t="shared" si="1"/>
        <v>DEANNA JOHNSON</v>
      </c>
      <c r="F25" s="8" t="s">
        <v>130</v>
      </c>
      <c r="G25" s="8" t="s">
        <v>28</v>
      </c>
      <c r="H25" s="8" t="s">
        <v>131</v>
      </c>
      <c r="I25" s="9">
        <v>46204</v>
      </c>
      <c r="J25" s="9">
        <v>46204</v>
      </c>
      <c r="K25" s="8">
        <v>8325282</v>
      </c>
      <c r="L25" s="8">
        <v>8325282</v>
      </c>
      <c r="M25" s="8" t="s">
        <v>133</v>
      </c>
      <c r="N25" s="8">
        <v>844</v>
      </c>
      <c r="O25" s="8">
        <v>694</v>
      </c>
      <c r="P25" s="8" t="s">
        <v>364</v>
      </c>
      <c r="Q25" s="8" t="s">
        <v>363</v>
      </c>
    </row>
    <row r="26" spans="1:29" s="8" customFormat="1" x14ac:dyDescent="0.25">
      <c r="A26" s="8" t="s">
        <v>170</v>
      </c>
      <c r="B26" s="8" t="str">
        <f t="shared" si="0"/>
        <v>8XV3TN7YF8977</v>
      </c>
      <c r="C26" s="8" t="s">
        <v>306</v>
      </c>
      <c r="D26" s="8" t="s">
        <v>307</v>
      </c>
      <c r="E26" s="8" t="str">
        <f t="shared" si="1"/>
        <v>DOROTHY MIMS</v>
      </c>
      <c r="F26" s="8" t="s">
        <v>64</v>
      </c>
      <c r="G26" s="8" t="s">
        <v>28</v>
      </c>
      <c r="H26" s="8" t="s">
        <v>29</v>
      </c>
      <c r="I26" s="9">
        <v>46204</v>
      </c>
      <c r="J26" s="9">
        <v>46204</v>
      </c>
      <c r="K26" s="8">
        <v>19481808</v>
      </c>
      <c r="L26" s="8">
        <v>19481808</v>
      </c>
      <c r="M26" s="8" t="s">
        <v>173</v>
      </c>
      <c r="N26" s="8">
        <v>844</v>
      </c>
      <c r="O26" s="8">
        <v>694</v>
      </c>
      <c r="P26" s="8" t="s">
        <v>364</v>
      </c>
      <c r="Q26" s="8" t="s">
        <v>363</v>
      </c>
    </row>
    <row r="27" spans="1:29" s="8" customFormat="1" x14ac:dyDescent="0.25">
      <c r="A27" s="8" t="s">
        <v>191</v>
      </c>
      <c r="B27" s="8" t="str">
        <f t="shared" si="0"/>
        <v>2X92NM6CU2277</v>
      </c>
      <c r="C27" s="8" t="s">
        <v>316</v>
      </c>
      <c r="D27" s="8" t="s">
        <v>317</v>
      </c>
      <c r="E27" s="8" t="str">
        <f t="shared" si="1"/>
        <v>MARY PHELPS</v>
      </c>
      <c r="F27" s="8" t="s">
        <v>64</v>
      </c>
      <c r="G27" s="8" t="s">
        <v>28</v>
      </c>
      <c r="H27" s="8" t="s">
        <v>29</v>
      </c>
      <c r="I27" s="9">
        <v>46235</v>
      </c>
      <c r="J27" s="9">
        <v>46235</v>
      </c>
      <c r="K27" s="8">
        <v>18754354</v>
      </c>
      <c r="L27" s="8">
        <v>18754354</v>
      </c>
      <c r="M27" s="8" t="s">
        <v>195</v>
      </c>
      <c r="N27" s="8">
        <v>844</v>
      </c>
      <c r="O27" s="8">
        <v>694</v>
      </c>
      <c r="P27" s="8" t="s">
        <v>364</v>
      </c>
      <c r="Q27" s="8" t="s">
        <v>363</v>
      </c>
    </row>
    <row r="28" spans="1:29" s="8" customFormat="1" x14ac:dyDescent="0.25">
      <c r="A28" s="8" t="s">
        <v>149</v>
      </c>
      <c r="B28" s="8" t="str">
        <f t="shared" si="0"/>
        <v>6RJ3KQ4QY1577</v>
      </c>
      <c r="C28" s="8" t="s">
        <v>297</v>
      </c>
      <c r="D28" s="8" t="s">
        <v>298</v>
      </c>
      <c r="E28" s="8" t="str">
        <f t="shared" si="1"/>
        <v>DIANE LEINONEN</v>
      </c>
      <c r="F28" s="8" t="s">
        <v>64</v>
      </c>
      <c r="G28" s="8" t="s">
        <v>28</v>
      </c>
      <c r="H28" s="8" t="s">
        <v>29</v>
      </c>
      <c r="I28" s="9">
        <v>46235</v>
      </c>
      <c r="J28" s="9">
        <v>46235</v>
      </c>
      <c r="K28" s="8">
        <v>16633294</v>
      </c>
      <c r="L28" s="8">
        <v>16633294</v>
      </c>
      <c r="M28" s="8" t="s">
        <v>126</v>
      </c>
      <c r="N28" s="8">
        <v>844</v>
      </c>
      <c r="O28" s="8">
        <v>694</v>
      </c>
      <c r="P28" s="8" t="s">
        <v>364</v>
      </c>
      <c r="Q28" s="8" t="s">
        <v>363</v>
      </c>
    </row>
    <row r="29" spans="1:29" s="8" customFormat="1" x14ac:dyDescent="0.25">
      <c r="A29" s="8" t="s">
        <v>122</v>
      </c>
      <c r="B29" s="8" t="str">
        <f t="shared" si="0"/>
        <v>9QD8ED8MN6177</v>
      </c>
      <c r="C29" s="8" t="s">
        <v>288</v>
      </c>
      <c r="D29" s="8" t="s">
        <v>289</v>
      </c>
      <c r="E29" s="8" t="str">
        <f t="shared" si="1"/>
        <v>VALERIE JADOS</v>
      </c>
      <c r="F29" s="8" t="s">
        <v>64</v>
      </c>
      <c r="G29" s="8" t="s">
        <v>28</v>
      </c>
      <c r="H29" s="8" t="s">
        <v>29</v>
      </c>
      <c r="I29" s="9">
        <v>46204</v>
      </c>
      <c r="J29" s="9">
        <v>46204</v>
      </c>
      <c r="K29" s="8">
        <v>16633294</v>
      </c>
      <c r="L29" s="8">
        <v>16633294</v>
      </c>
      <c r="M29" s="8" t="s">
        <v>126</v>
      </c>
      <c r="N29" s="8">
        <v>844</v>
      </c>
      <c r="O29" s="8">
        <v>694</v>
      </c>
      <c r="P29" s="8" t="s">
        <v>364</v>
      </c>
      <c r="Q29" s="8" t="s">
        <v>363</v>
      </c>
    </row>
    <row r="30" spans="1:29" s="8" customFormat="1" x14ac:dyDescent="0.25">
      <c r="A30" s="8" t="s">
        <v>163</v>
      </c>
      <c r="B30" s="8" t="str">
        <f t="shared" si="0"/>
        <v>9Y88CT0WQ3877</v>
      </c>
      <c r="C30" s="8" t="s">
        <v>305</v>
      </c>
      <c r="D30" s="8" t="s">
        <v>262</v>
      </c>
      <c r="E30" s="8" t="str">
        <f t="shared" si="1"/>
        <v>DAVID MCKEE</v>
      </c>
      <c r="F30" s="8" t="s">
        <v>166</v>
      </c>
      <c r="G30" s="8" t="s">
        <v>28</v>
      </c>
      <c r="H30" s="8" t="s">
        <v>29</v>
      </c>
      <c r="I30" s="9">
        <v>46204</v>
      </c>
      <c r="J30" s="9">
        <v>46204</v>
      </c>
      <c r="K30" s="8">
        <v>9079571</v>
      </c>
      <c r="L30" s="8">
        <v>9079571</v>
      </c>
      <c r="M30" s="8" t="s">
        <v>169</v>
      </c>
      <c r="N30" s="8">
        <v>1039</v>
      </c>
      <c r="O30" s="8">
        <v>864</v>
      </c>
      <c r="P30" s="8" t="s">
        <v>365</v>
      </c>
      <c r="Q30" s="8" t="s">
        <v>366</v>
      </c>
    </row>
    <row r="31" spans="1:29" s="8" customFormat="1" x14ac:dyDescent="0.25">
      <c r="A31" s="8" t="s">
        <v>179</v>
      </c>
      <c r="B31" s="8" t="str">
        <f t="shared" si="0"/>
        <v>6K19N67DJ1777</v>
      </c>
      <c r="C31" s="8" t="s">
        <v>310</v>
      </c>
      <c r="D31" s="8" t="s">
        <v>311</v>
      </c>
      <c r="E31" s="8" t="str">
        <f t="shared" si="1"/>
        <v>LORETTA PASSAFIUME</v>
      </c>
      <c r="F31" s="8" t="s">
        <v>166</v>
      </c>
      <c r="G31" s="8" t="s">
        <v>28</v>
      </c>
      <c r="H31" s="8" t="s">
        <v>29</v>
      </c>
      <c r="I31" s="9">
        <v>46204</v>
      </c>
      <c r="J31" s="9">
        <v>46204</v>
      </c>
      <c r="K31" s="8">
        <v>16212649</v>
      </c>
      <c r="L31" s="8">
        <v>16212649</v>
      </c>
      <c r="M31" s="8" t="s">
        <v>182</v>
      </c>
      <c r="N31" s="8">
        <v>1039</v>
      </c>
      <c r="O31" s="8">
        <v>864</v>
      </c>
      <c r="P31" s="8" t="s">
        <v>365</v>
      </c>
      <c r="Q31" s="8" t="s">
        <v>366</v>
      </c>
    </row>
    <row r="32" spans="1:29" s="2" customFormat="1" x14ac:dyDescent="0.25">
      <c r="A32" s="2" t="s">
        <v>163</v>
      </c>
      <c r="B32" s="2" t="str">
        <f>CONCATENATE(A32,89)</f>
        <v>9Y88CT0WQ3889</v>
      </c>
      <c r="C32" s="2" t="s">
        <v>305</v>
      </c>
      <c r="D32" s="2" t="s">
        <v>262</v>
      </c>
      <c r="E32" s="2" t="str">
        <f t="shared" si="1"/>
        <v>DAVID MCKEE</v>
      </c>
      <c r="F32" s="2" t="s">
        <v>166</v>
      </c>
      <c r="G32" s="2" t="s">
        <v>37</v>
      </c>
      <c r="H32" s="2" t="s">
        <v>29</v>
      </c>
      <c r="I32" s="3">
        <v>46204</v>
      </c>
      <c r="J32" s="3">
        <v>46204</v>
      </c>
      <c r="K32" s="2">
        <v>9079571</v>
      </c>
      <c r="L32" s="2">
        <v>9079571</v>
      </c>
      <c r="M32" s="2" t="s">
        <v>169</v>
      </c>
      <c r="N32" s="2">
        <v>-303.5</v>
      </c>
      <c r="O32" s="2">
        <v>-216</v>
      </c>
      <c r="P32" s="2" t="s">
        <v>349</v>
      </c>
      <c r="Q32" s="2" t="s">
        <v>350</v>
      </c>
    </row>
    <row r="33" spans="1:29" s="2" customFormat="1" x14ac:dyDescent="0.25">
      <c r="A33" s="2" t="s">
        <v>179</v>
      </c>
      <c r="B33" s="2" t="str">
        <f>CONCATENATE(A33,89)</f>
        <v>6K19N67DJ1789</v>
      </c>
      <c r="C33" s="2" t="s">
        <v>310</v>
      </c>
      <c r="D33" s="2" t="s">
        <v>311</v>
      </c>
      <c r="E33" s="2" t="str">
        <f t="shared" si="1"/>
        <v>LORETTA PASSAFIUME</v>
      </c>
      <c r="F33" s="2" t="s">
        <v>166</v>
      </c>
      <c r="G33" s="2" t="s">
        <v>37</v>
      </c>
      <c r="H33" s="2" t="s">
        <v>29</v>
      </c>
      <c r="I33" s="3">
        <v>46204</v>
      </c>
      <c r="J33" s="3">
        <v>46204</v>
      </c>
      <c r="K33" s="2">
        <v>16212649</v>
      </c>
      <c r="L33" s="2">
        <v>16212649</v>
      </c>
      <c r="M33" s="2" t="s">
        <v>182</v>
      </c>
      <c r="N33" s="2">
        <v>-303.5</v>
      </c>
      <c r="O33" s="2">
        <v>-216</v>
      </c>
      <c r="P33" s="2" t="s">
        <v>349</v>
      </c>
      <c r="Q33" s="2" t="s">
        <v>350</v>
      </c>
    </row>
    <row r="34" spans="1:29" s="8" customFormat="1" x14ac:dyDescent="0.25">
      <c r="A34" s="8" t="s">
        <v>56</v>
      </c>
      <c r="B34" s="8" t="str">
        <f t="shared" ref="B34:B44" si="2">CONCATENATE(A34,77)</f>
        <v>2D82Y32ED0977</v>
      </c>
      <c r="C34" s="8" t="s">
        <v>261</v>
      </c>
      <c r="D34" s="8" t="s">
        <v>262</v>
      </c>
      <c r="E34" s="8" t="str">
        <f t="shared" ref="E34:E65" si="3">CONCATENATE(D34," ",C34)</f>
        <v>DAVID BOGACZYK</v>
      </c>
      <c r="F34" s="8" t="s">
        <v>27</v>
      </c>
      <c r="G34" s="8" t="s">
        <v>28</v>
      </c>
      <c r="H34" s="8" t="s">
        <v>29</v>
      </c>
      <c r="I34" s="9">
        <v>46204</v>
      </c>
      <c r="J34" s="9">
        <v>46204</v>
      </c>
      <c r="K34" s="8">
        <v>17425766</v>
      </c>
      <c r="L34" s="8">
        <v>17425766</v>
      </c>
      <c r="M34" s="8" t="s">
        <v>60</v>
      </c>
      <c r="N34" s="8">
        <v>931</v>
      </c>
      <c r="O34" s="8">
        <v>781</v>
      </c>
      <c r="P34" s="8" t="s">
        <v>344</v>
      </c>
      <c r="Q34" s="8" t="s">
        <v>346</v>
      </c>
    </row>
    <row r="35" spans="1:29" s="8" customFormat="1" x14ac:dyDescent="0.25">
      <c r="A35" s="8" t="s">
        <v>87</v>
      </c>
      <c r="B35" s="8" t="str">
        <f t="shared" si="2"/>
        <v>1K42GA2JA9277</v>
      </c>
      <c r="C35" s="8" t="s">
        <v>271</v>
      </c>
      <c r="D35" s="8" t="s">
        <v>272</v>
      </c>
      <c r="E35" s="8" t="str">
        <f t="shared" si="3"/>
        <v>DOUGLAS COMINSKY</v>
      </c>
      <c r="F35" s="8" t="s">
        <v>27</v>
      </c>
      <c r="G35" s="8" t="s">
        <v>28</v>
      </c>
      <c r="H35" s="8" t="s">
        <v>29</v>
      </c>
      <c r="I35" s="9">
        <v>46204</v>
      </c>
      <c r="J35" s="9">
        <v>46204</v>
      </c>
      <c r="K35" s="8">
        <v>17528908</v>
      </c>
      <c r="L35" s="8" t="s">
        <v>367</v>
      </c>
      <c r="M35" s="8" t="s">
        <v>91</v>
      </c>
      <c r="N35" s="8">
        <v>931</v>
      </c>
      <c r="O35" s="8">
        <v>781</v>
      </c>
      <c r="P35" s="8" t="s">
        <v>344</v>
      </c>
      <c r="Q35" s="8" t="s">
        <v>346</v>
      </c>
    </row>
    <row r="36" spans="1:29" s="8" customFormat="1" x14ac:dyDescent="0.25">
      <c r="A36" s="8" t="s">
        <v>100</v>
      </c>
      <c r="B36" s="8" t="str">
        <f t="shared" si="2"/>
        <v>3ED5Q49PJ8877</v>
      </c>
      <c r="C36" s="8" t="s">
        <v>276</v>
      </c>
      <c r="D36" s="8" t="s">
        <v>277</v>
      </c>
      <c r="E36" s="8" t="str">
        <f t="shared" si="3"/>
        <v>RICHARD DEBLANDER</v>
      </c>
      <c r="F36" s="8" t="s">
        <v>27</v>
      </c>
      <c r="G36" s="8" t="s">
        <v>28</v>
      </c>
      <c r="H36" s="8" t="s">
        <v>29</v>
      </c>
      <c r="I36" s="9">
        <v>46266</v>
      </c>
      <c r="J36" s="9">
        <v>46266</v>
      </c>
      <c r="K36" s="8">
        <v>17528908</v>
      </c>
      <c r="L36" s="8" t="s">
        <v>367</v>
      </c>
      <c r="M36" s="8" t="s">
        <v>91</v>
      </c>
      <c r="N36" s="8">
        <v>931</v>
      </c>
      <c r="O36" s="8">
        <v>781</v>
      </c>
      <c r="P36" s="8" t="s">
        <v>344</v>
      </c>
      <c r="Q36" s="8" t="s">
        <v>346</v>
      </c>
    </row>
    <row r="37" spans="1:29" s="8" customFormat="1" x14ac:dyDescent="0.25">
      <c r="A37" s="8" t="s">
        <v>155</v>
      </c>
      <c r="B37" s="8" t="str">
        <f t="shared" si="2"/>
        <v>4H65UJ9FC7677</v>
      </c>
      <c r="C37" s="8" t="s">
        <v>301</v>
      </c>
      <c r="D37" s="8" t="s">
        <v>302</v>
      </c>
      <c r="E37" s="8" t="str">
        <f t="shared" si="3"/>
        <v>YONG MARCH</v>
      </c>
      <c r="F37" s="8" t="s">
        <v>27</v>
      </c>
      <c r="G37" s="8" t="s">
        <v>28</v>
      </c>
      <c r="H37" s="8" t="s">
        <v>29</v>
      </c>
      <c r="I37" s="9">
        <v>46204</v>
      </c>
      <c r="J37" s="9">
        <v>46204</v>
      </c>
      <c r="K37" s="8">
        <v>17528908</v>
      </c>
      <c r="L37" s="8" t="s">
        <v>367</v>
      </c>
      <c r="M37" s="8" t="s">
        <v>91</v>
      </c>
      <c r="N37" s="8">
        <v>931</v>
      </c>
      <c r="O37" s="8">
        <v>781</v>
      </c>
      <c r="P37" s="8" t="s">
        <v>344</v>
      </c>
      <c r="Q37" s="8" t="s">
        <v>346</v>
      </c>
    </row>
    <row r="38" spans="1:29" s="8" customFormat="1" x14ac:dyDescent="0.25">
      <c r="A38" s="8" t="s">
        <v>109</v>
      </c>
      <c r="B38" s="8" t="str">
        <f t="shared" si="2"/>
        <v>8Q21XJ9AA9177</v>
      </c>
      <c r="C38" s="8" t="s">
        <v>280</v>
      </c>
      <c r="D38" s="8" t="s">
        <v>281</v>
      </c>
      <c r="E38" s="8" t="str">
        <f t="shared" si="3"/>
        <v>LESLIE HALL</v>
      </c>
      <c r="F38" s="8" t="s">
        <v>27</v>
      </c>
      <c r="G38" s="8" t="s">
        <v>28</v>
      </c>
      <c r="H38" s="8" t="s">
        <v>29</v>
      </c>
      <c r="I38" s="9">
        <v>46266</v>
      </c>
      <c r="J38" s="9">
        <v>46266</v>
      </c>
      <c r="K38" s="8">
        <v>17528908</v>
      </c>
      <c r="L38" s="8" t="s">
        <v>367</v>
      </c>
      <c r="M38" s="8" t="s">
        <v>91</v>
      </c>
      <c r="N38" s="8">
        <v>931</v>
      </c>
      <c r="O38" s="8">
        <v>781</v>
      </c>
      <c r="P38" s="8" t="s">
        <v>344</v>
      </c>
      <c r="Q38" s="8" t="s">
        <v>346</v>
      </c>
    </row>
    <row r="39" spans="1:29" s="8" customFormat="1" x14ac:dyDescent="0.25">
      <c r="A39" s="8" t="s">
        <v>200</v>
      </c>
      <c r="B39" s="8" t="str">
        <f t="shared" si="2"/>
        <v>4AM2RV7GN1877</v>
      </c>
      <c r="C39" s="8" t="s">
        <v>320</v>
      </c>
      <c r="D39" s="8" t="s">
        <v>321</v>
      </c>
      <c r="E39" s="8" t="str">
        <f t="shared" si="3"/>
        <v>ROBIN SAFRAN</v>
      </c>
      <c r="F39" s="8" t="s">
        <v>27</v>
      </c>
      <c r="G39" s="8" t="s">
        <v>28</v>
      </c>
      <c r="H39" s="8" t="s">
        <v>29</v>
      </c>
      <c r="I39" s="9">
        <v>46266</v>
      </c>
      <c r="J39" s="9">
        <v>46266</v>
      </c>
      <c r="K39" s="8">
        <v>18710070</v>
      </c>
      <c r="L39" s="8" t="s">
        <v>368</v>
      </c>
      <c r="M39" s="8" t="s">
        <v>43</v>
      </c>
      <c r="N39" s="8">
        <v>931</v>
      </c>
      <c r="O39" s="8">
        <v>781</v>
      </c>
      <c r="P39" s="8" t="s">
        <v>344</v>
      </c>
      <c r="Q39" s="8" t="s">
        <v>346</v>
      </c>
    </row>
    <row r="40" spans="1:29" s="8" customFormat="1" x14ac:dyDescent="0.25">
      <c r="A40" s="8" t="s">
        <v>39</v>
      </c>
      <c r="B40" s="8" t="str">
        <f t="shared" si="2"/>
        <v>4U93TN9EN0877</v>
      </c>
      <c r="C40" s="8" t="s">
        <v>255</v>
      </c>
      <c r="D40" s="8" t="s">
        <v>256</v>
      </c>
      <c r="E40" s="8" t="str">
        <f t="shared" si="3"/>
        <v>BRENDA BARDELLA</v>
      </c>
      <c r="F40" s="8" t="s">
        <v>27</v>
      </c>
      <c r="G40" s="8" t="s">
        <v>28</v>
      </c>
      <c r="H40" s="8" t="s">
        <v>29</v>
      </c>
      <c r="I40" s="9">
        <v>46235</v>
      </c>
      <c r="J40" s="9">
        <v>46235</v>
      </c>
      <c r="K40" s="8">
        <v>18710070</v>
      </c>
      <c r="L40" s="8" t="s">
        <v>368</v>
      </c>
      <c r="M40" s="8" t="s">
        <v>43</v>
      </c>
      <c r="N40" s="8">
        <v>931</v>
      </c>
      <c r="O40" s="8">
        <v>781</v>
      </c>
      <c r="P40" s="8" t="s">
        <v>344</v>
      </c>
      <c r="Q40" s="8" t="s">
        <v>346</v>
      </c>
    </row>
    <row r="41" spans="1:29" s="10" customFormat="1" x14ac:dyDescent="0.25">
      <c r="A41" s="8" t="s">
        <v>24</v>
      </c>
      <c r="B41" s="8" t="str">
        <f t="shared" si="2"/>
        <v>6WN3HE0UU0477</v>
      </c>
      <c r="C41" s="8" t="s">
        <v>253</v>
      </c>
      <c r="D41" s="8" t="s">
        <v>254</v>
      </c>
      <c r="E41" s="8" t="str">
        <f t="shared" si="3"/>
        <v>NICOLE ASSISE</v>
      </c>
      <c r="F41" s="8" t="s">
        <v>27</v>
      </c>
      <c r="G41" s="8" t="s">
        <v>28</v>
      </c>
      <c r="H41" s="8" t="s">
        <v>29</v>
      </c>
      <c r="I41" s="9">
        <v>46204</v>
      </c>
      <c r="J41" s="9">
        <v>46204</v>
      </c>
      <c r="K41" s="8">
        <v>15950276</v>
      </c>
      <c r="L41" s="8">
        <v>15950276</v>
      </c>
      <c r="M41" s="8" t="s">
        <v>33</v>
      </c>
      <c r="N41" s="8">
        <v>931</v>
      </c>
      <c r="O41" s="8">
        <v>781</v>
      </c>
      <c r="P41" s="8" t="s">
        <v>344</v>
      </c>
      <c r="Q41" s="8" t="s">
        <v>346</v>
      </c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spans="1:29" s="10" customFormat="1" x14ac:dyDescent="0.25">
      <c r="A42" s="8" t="s">
        <v>216</v>
      </c>
      <c r="B42" s="8" t="str">
        <f t="shared" si="2"/>
        <v>4UA2VN4AJ9677</v>
      </c>
      <c r="C42" s="8" t="s">
        <v>328</v>
      </c>
      <c r="D42" s="8" t="s">
        <v>329</v>
      </c>
      <c r="E42" s="8" t="str">
        <f t="shared" si="3"/>
        <v>MARGARET TERLESKI</v>
      </c>
      <c r="F42" s="8" t="s">
        <v>27</v>
      </c>
      <c r="G42" s="8" t="s">
        <v>219</v>
      </c>
      <c r="H42" s="8" t="s">
        <v>29</v>
      </c>
      <c r="I42" s="9">
        <v>46023</v>
      </c>
      <c r="J42" s="9">
        <v>46023</v>
      </c>
      <c r="K42" s="8">
        <v>15950276</v>
      </c>
      <c r="L42" s="8">
        <v>15950276</v>
      </c>
      <c r="M42" s="8" t="s">
        <v>33</v>
      </c>
      <c r="N42" s="8">
        <v>543.08000000000004</v>
      </c>
      <c r="O42" s="8">
        <v>455.58</v>
      </c>
      <c r="P42" s="8" t="s">
        <v>344</v>
      </c>
      <c r="Q42" s="8" t="s">
        <v>362</v>
      </c>
      <c r="R42" s="8"/>
      <c r="S42" s="8"/>
      <c r="T42" s="8">
        <f>781/12*7</f>
        <v>455.58333333333331</v>
      </c>
      <c r="U42" s="8"/>
      <c r="V42" s="8"/>
      <c r="W42" s="8"/>
      <c r="X42" s="8"/>
      <c r="Y42" s="8"/>
      <c r="Z42" s="8"/>
      <c r="AA42" s="8"/>
      <c r="AB42" s="8"/>
      <c r="AC42" s="8"/>
    </row>
    <row r="43" spans="1:29" s="10" customFormat="1" x14ac:dyDescent="0.25">
      <c r="A43" s="8" t="s">
        <v>216</v>
      </c>
      <c r="B43" s="8" t="str">
        <f t="shared" si="2"/>
        <v>4UA2VN4AJ9677</v>
      </c>
      <c r="C43" s="8" t="s">
        <v>328</v>
      </c>
      <c r="D43" s="8" t="s">
        <v>329</v>
      </c>
      <c r="E43" s="8" t="str">
        <f t="shared" si="3"/>
        <v>MARGARET TERLESKI</v>
      </c>
      <c r="F43" s="8" t="s">
        <v>27</v>
      </c>
      <c r="G43" s="8" t="s">
        <v>220</v>
      </c>
      <c r="H43" s="8" t="s">
        <v>29</v>
      </c>
      <c r="I43" s="9">
        <v>46023</v>
      </c>
      <c r="J43" s="9">
        <v>46023</v>
      </c>
      <c r="K43" s="8">
        <v>15950276</v>
      </c>
      <c r="L43" s="8">
        <v>15950276</v>
      </c>
      <c r="M43" s="8" t="s">
        <v>33</v>
      </c>
      <c r="N43" s="8">
        <v>-931</v>
      </c>
      <c r="O43" s="8">
        <v>-781</v>
      </c>
      <c r="P43" s="8" t="s">
        <v>344</v>
      </c>
      <c r="Q43" s="8" t="s">
        <v>346</v>
      </c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spans="1:29" s="10" customFormat="1" x14ac:dyDescent="0.25">
      <c r="A44" s="8" t="s">
        <v>234</v>
      </c>
      <c r="B44" s="8" t="str">
        <f t="shared" si="2"/>
        <v>9N09GE3XJ3677</v>
      </c>
      <c r="C44" s="8" t="s">
        <v>338</v>
      </c>
      <c r="D44" s="8" t="s">
        <v>339</v>
      </c>
      <c r="E44" s="8" t="str">
        <f t="shared" si="3"/>
        <v>DENISE WILLIAMS</v>
      </c>
      <c r="F44" s="8" t="s">
        <v>27</v>
      </c>
      <c r="G44" s="8" t="s">
        <v>28</v>
      </c>
      <c r="H44" s="8" t="s">
        <v>29</v>
      </c>
      <c r="I44" s="9">
        <v>46204</v>
      </c>
      <c r="J44" s="9">
        <v>46204</v>
      </c>
      <c r="K44" s="8">
        <v>20616980</v>
      </c>
      <c r="L44" s="8">
        <v>20616980</v>
      </c>
      <c r="M44" s="8" t="s">
        <v>238</v>
      </c>
      <c r="N44" s="8">
        <v>931</v>
      </c>
      <c r="O44" s="8">
        <v>781</v>
      </c>
      <c r="P44" s="8" t="s">
        <v>344</v>
      </c>
      <c r="Q44" s="8" t="s">
        <v>346</v>
      </c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spans="1:29" s="4" customFormat="1" x14ac:dyDescent="0.25">
      <c r="A45" s="2" t="s">
        <v>56</v>
      </c>
      <c r="B45" s="2" t="str">
        <f t="shared" ref="B45:B86" si="4">CONCATENATE(A45,89)</f>
        <v>2D82Y32ED0989</v>
      </c>
      <c r="C45" s="2" t="s">
        <v>261</v>
      </c>
      <c r="D45" s="2" t="s">
        <v>262</v>
      </c>
      <c r="E45" s="2" t="str">
        <f t="shared" si="3"/>
        <v>DAVID BOGACZYK</v>
      </c>
      <c r="F45" s="2" t="s">
        <v>27</v>
      </c>
      <c r="G45" s="2" t="s">
        <v>37</v>
      </c>
      <c r="H45" s="2" t="s">
        <v>29</v>
      </c>
      <c r="I45" s="3">
        <v>46204</v>
      </c>
      <c r="J45" s="3">
        <v>46204</v>
      </c>
      <c r="K45" s="2">
        <v>17425766</v>
      </c>
      <c r="L45" s="2">
        <v>17425766</v>
      </c>
      <c r="M45" s="2" t="s">
        <v>60</v>
      </c>
      <c r="N45" s="2">
        <v>-270.5</v>
      </c>
      <c r="O45" s="2">
        <v>-195.5</v>
      </c>
      <c r="P45" s="2" t="s">
        <v>352</v>
      </c>
      <c r="Q45" s="2" t="s">
        <v>353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s="4" customFormat="1" x14ac:dyDescent="0.25">
      <c r="A46" s="2" t="s">
        <v>213</v>
      </c>
      <c r="B46" s="2" t="str">
        <f t="shared" si="4"/>
        <v>8JF4TX3KM0189</v>
      </c>
      <c r="C46" s="2" t="s">
        <v>326</v>
      </c>
      <c r="D46" s="2" t="s">
        <v>327</v>
      </c>
      <c r="E46" s="2" t="str">
        <f t="shared" si="3"/>
        <v>KIMBERLY SPRIGGS</v>
      </c>
      <c r="F46" s="2" t="s">
        <v>27</v>
      </c>
      <c r="G46" s="2" t="s">
        <v>65</v>
      </c>
      <c r="H46" s="2" t="s">
        <v>29</v>
      </c>
      <c r="I46" s="3">
        <v>46266</v>
      </c>
      <c r="J46" s="3">
        <v>46266</v>
      </c>
      <c r="K46" s="2">
        <v>17528908</v>
      </c>
      <c r="L46" s="2" t="s">
        <v>367</v>
      </c>
      <c r="M46" s="2" t="s">
        <v>91</v>
      </c>
      <c r="N46" s="2">
        <v>180.33</v>
      </c>
      <c r="O46" s="2">
        <v>130.33000000000001</v>
      </c>
      <c r="P46" s="2" t="s">
        <v>352</v>
      </c>
      <c r="Q46" s="2" t="s">
        <v>357</v>
      </c>
      <c r="R46" s="2"/>
      <c r="S46" s="2"/>
      <c r="T46" s="2">
        <f>391/12*4</f>
        <v>130.33333333333334</v>
      </c>
      <c r="U46" s="2"/>
      <c r="V46" s="2"/>
      <c r="W46" s="2"/>
      <c r="X46" s="2"/>
      <c r="Y46" s="2"/>
      <c r="Z46" s="2"/>
      <c r="AA46" s="2"/>
      <c r="AB46" s="2"/>
      <c r="AC46" s="2"/>
    </row>
    <row r="47" spans="1:29" s="4" customFormat="1" x14ac:dyDescent="0.25">
      <c r="A47" s="2" t="s">
        <v>100</v>
      </c>
      <c r="B47" s="2" t="str">
        <f t="shared" si="4"/>
        <v>3ED5Q49PJ8889</v>
      </c>
      <c r="C47" s="2" t="s">
        <v>276</v>
      </c>
      <c r="D47" s="2" t="s">
        <v>277</v>
      </c>
      <c r="E47" s="2" t="str">
        <f t="shared" si="3"/>
        <v>RICHARD DEBLANDER</v>
      </c>
      <c r="F47" s="2" t="s">
        <v>27</v>
      </c>
      <c r="G47" s="2" t="s">
        <v>37</v>
      </c>
      <c r="H47" s="2" t="s">
        <v>29</v>
      </c>
      <c r="I47" s="3">
        <v>46266</v>
      </c>
      <c r="J47" s="3">
        <v>46266</v>
      </c>
      <c r="K47" s="2">
        <v>17528908</v>
      </c>
      <c r="L47" s="2" t="s">
        <v>367</v>
      </c>
      <c r="M47" s="2" t="s">
        <v>91</v>
      </c>
      <c r="N47" s="2">
        <v>-180.33</v>
      </c>
      <c r="O47" s="2">
        <v>-130.33000000000001</v>
      </c>
      <c r="P47" s="2" t="s">
        <v>352</v>
      </c>
      <c r="Q47" s="2" t="s">
        <v>357</v>
      </c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s="4" customFormat="1" x14ac:dyDescent="0.25">
      <c r="A48" s="2" t="s">
        <v>109</v>
      </c>
      <c r="B48" s="2" t="str">
        <f t="shared" si="4"/>
        <v>8Q21XJ9AA9189</v>
      </c>
      <c r="C48" s="2" t="s">
        <v>280</v>
      </c>
      <c r="D48" s="2" t="s">
        <v>281</v>
      </c>
      <c r="E48" s="2" t="str">
        <f t="shared" si="3"/>
        <v>LESLIE HALL</v>
      </c>
      <c r="F48" s="2" t="s">
        <v>27</v>
      </c>
      <c r="G48" s="2" t="s">
        <v>37</v>
      </c>
      <c r="H48" s="2" t="s">
        <v>29</v>
      </c>
      <c r="I48" s="3">
        <v>46266</v>
      </c>
      <c r="J48" s="3">
        <v>46266</v>
      </c>
      <c r="K48" s="2">
        <v>17528908</v>
      </c>
      <c r="L48" s="2" t="s">
        <v>367</v>
      </c>
      <c r="M48" s="2" t="s">
        <v>91</v>
      </c>
      <c r="N48" s="2">
        <v>-180.33</v>
      </c>
      <c r="O48" s="2">
        <v>-130.33000000000001</v>
      </c>
      <c r="P48" s="2" t="s">
        <v>352</v>
      </c>
      <c r="Q48" s="2" t="s">
        <v>357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s="4" customFormat="1" x14ac:dyDescent="0.25">
      <c r="A49" s="2" t="s">
        <v>87</v>
      </c>
      <c r="B49" s="2" t="str">
        <f t="shared" si="4"/>
        <v>1K42GA2JA9289</v>
      </c>
      <c r="C49" s="2" t="s">
        <v>271</v>
      </c>
      <c r="D49" s="2" t="s">
        <v>272</v>
      </c>
      <c r="E49" s="2" t="str">
        <f t="shared" si="3"/>
        <v>DOUGLAS COMINSKY</v>
      </c>
      <c r="F49" s="2" t="s">
        <v>27</v>
      </c>
      <c r="G49" s="2" t="s">
        <v>37</v>
      </c>
      <c r="H49" s="2" t="s">
        <v>29</v>
      </c>
      <c r="I49" s="3">
        <v>46204</v>
      </c>
      <c r="J49" s="3">
        <v>46204</v>
      </c>
      <c r="K49" s="2">
        <v>17528908</v>
      </c>
      <c r="L49" s="2" t="s">
        <v>367</v>
      </c>
      <c r="M49" s="2" t="s">
        <v>91</v>
      </c>
      <c r="N49" s="2">
        <v>-270.5</v>
      </c>
      <c r="O49" s="2">
        <v>-195.5</v>
      </c>
      <c r="P49" s="2" t="s">
        <v>352</v>
      </c>
      <c r="Q49" s="2" t="s">
        <v>353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s="4" customFormat="1" x14ac:dyDescent="0.25">
      <c r="A50" s="2" t="s">
        <v>155</v>
      </c>
      <c r="B50" s="2" t="str">
        <f t="shared" si="4"/>
        <v>4H65UJ9FC7689</v>
      </c>
      <c r="C50" s="2" t="s">
        <v>301</v>
      </c>
      <c r="D50" s="2" t="s">
        <v>302</v>
      </c>
      <c r="E50" s="2" t="str">
        <f t="shared" si="3"/>
        <v>YONG MARCH</v>
      </c>
      <c r="F50" s="2" t="s">
        <v>27</v>
      </c>
      <c r="G50" s="2" t="s">
        <v>37</v>
      </c>
      <c r="H50" s="2" t="s">
        <v>29</v>
      </c>
      <c r="I50" s="3">
        <v>46204</v>
      </c>
      <c r="J50" s="3">
        <v>46204</v>
      </c>
      <c r="K50" s="2">
        <v>17528908</v>
      </c>
      <c r="L50" s="2" t="s">
        <v>367</v>
      </c>
      <c r="M50" s="2" t="s">
        <v>91</v>
      </c>
      <c r="N50" s="2">
        <v>-270.5</v>
      </c>
      <c r="O50" s="2">
        <v>-195.5</v>
      </c>
      <c r="P50" s="2" t="s">
        <v>352</v>
      </c>
      <c r="Q50" s="2" t="s">
        <v>353</v>
      </c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s="4" customFormat="1" x14ac:dyDescent="0.25">
      <c r="A51" s="2" t="s">
        <v>200</v>
      </c>
      <c r="B51" s="2" t="str">
        <f t="shared" si="4"/>
        <v>4AM2RV7GN1889</v>
      </c>
      <c r="C51" s="2" t="s">
        <v>320</v>
      </c>
      <c r="D51" s="2" t="s">
        <v>321</v>
      </c>
      <c r="E51" s="2" t="str">
        <f t="shared" si="3"/>
        <v>ROBIN SAFRAN</v>
      </c>
      <c r="F51" s="2" t="s">
        <v>27</v>
      </c>
      <c r="G51" s="2" t="s">
        <v>37</v>
      </c>
      <c r="H51" s="2" t="s">
        <v>29</v>
      </c>
      <c r="I51" s="3">
        <v>46266</v>
      </c>
      <c r="J51" s="3">
        <v>46266</v>
      </c>
      <c r="K51" s="2">
        <v>18710070</v>
      </c>
      <c r="L51" s="2" t="s">
        <v>368</v>
      </c>
      <c r="M51" s="2" t="s">
        <v>43</v>
      </c>
      <c r="N51" s="2">
        <v>-180.33</v>
      </c>
      <c r="O51" s="2">
        <v>-130.33000000000001</v>
      </c>
      <c r="P51" s="2" t="s">
        <v>352</v>
      </c>
      <c r="Q51" s="2" t="s">
        <v>357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s="4" customFormat="1" x14ac:dyDescent="0.25">
      <c r="A52" s="2" t="s">
        <v>39</v>
      </c>
      <c r="B52" s="2" t="str">
        <f t="shared" si="4"/>
        <v>4U93TN9EN0889</v>
      </c>
      <c r="C52" s="2" t="s">
        <v>255</v>
      </c>
      <c r="D52" s="2" t="s">
        <v>256</v>
      </c>
      <c r="E52" s="2" t="str">
        <f t="shared" si="3"/>
        <v>BRENDA BARDELLA</v>
      </c>
      <c r="F52" s="2" t="s">
        <v>27</v>
      </c>
      <c r="G52" s="2" t="s">
        <v>37</v>
      </c>
      <c r="H52" s="2" t="s">
        <v>29</v>
      </c>
      <c r="I52" s="3">
        <v>46235</v>
      </c>
      <c r="J52" s="3">
        <v>46235</v>
      </c>
      <c r="K52" s="2">
        <v>18710070</v>
      </c>
      <c r="L52" s="2" t="s">
        <v>368</v>
      </c>
      <c r="M52" s="2" t="s">
        <v>43</v>
      </c>
      <c r="N52" s="2">
        <v>-225.42</v>
      </c>
      <c r="O52" s="2">
        <v>-162.91999999999999</v>
      </c>
      <c r="P52" s="2" t="s">
        <v>352</v>
      </c>
      <c r="Q52" s="2" t="s">
        <v>355</v>
      </c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s="4" customFormat="1" x14ac:dyDescent="0.25">
      <c r="A53" s="2" t="s">
        <v>24</v>
      </c>
      <c r="B53" s="2" t="str">
        <f t="shared" si="4"/>
        <v>6WN3HE0UU0489</v>
      </c>
      <c r="C53" s="2" t="s">
        <v>253</v>
      </c>
      <c r="D53" s="2" t="s">
        <v>254</v>
      </c>
      <c r="E53" s="2" t="str">
        <f t="shared" si="3"/>
        <v>NICOLE ASSISE</v>
      </c>
      <c r="F53" s="2" t="s">
        <v>27</v>
      </c>
      <c r="G53" s="2" t="s">
        <v>37</v>
      </c>
      <c r="H53" s="2" t="s">
        <v>29</v>
      </c>
      <c r="I53" s="3">
        <v>46204</v>
      </c>
      <c r="J53" s="3">
        <v>46204</v>
      </c>
      <c r="K53" s="2">
        <v>15950276</v>
      </c>
      <c r="L53" s="2">
        <v>15950276</v>
      </c>
      <c r="M53" s="2" t="s">
        <v>33</v>
      </c>
      <c r="N53" s="2">
        <v>-270.5</v>
      </c>
      <c r="O53" s="2">
        <v>-195.5</v>
      </c>
      <c r="P53" s="2" t="s">
        <v>352</v>
      </c>
      <c r="Q53" s="2" t="s">
        <v>353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s="4" customFormat="1" x14ac:dyDescent="0.25">
      <c r="A54" s="2" t="s">
        <v>234</v>
      </c>
      <c r="B54" s="2" t="str">
        <f t="shared" si="4"/>
        <v>9N09GE3XJ3689</v>
      </c>
      <c r="C54" s="2" t="s">
        <v>338</v>
      </c>
      <c r="D54" s="2" t="s">
        <v>339</v>
      </c>
      <c r="E54" s="2" t="str">
        <f t="shared" si="3"/>
        <v>DENISE WILLIAMS</v>
      </c>
      <c r="F54" s="2" t="s">
        <v>27</v>
      </c>
      <c r="G54" s="2" t="s">
        <v>37</v>
      </c>
      <c r="H54" s="2" t="s">
        <v>29</v>
      </c>
      <c r="I54" s="3">
        <v>46204</v>
      </c>
      <c r="J54" s="3">
        <v>46204</v>
      </c>
      <c r="K54" s="2">
        <v>20616980</v>
      </c>
      <c r="L54" s="2">
        <v>20616980</v>
      </c>
      <c r="M54" s="2" t="s">
        <v>238</v>
      </c>
      <c r="N54" s="2">
        <v>-270.5</v>
      </c>
      <c r="O54" s="2">
        <v>-195.5</v>
      </c>
      <c r="P54" s="2" t="s">
        <v>352</v>
      </c>
      <c r="Q54" s="2" t="s">
        <v>353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s="4" customFormat="1" x14ac:dyDescent="0.25">
      <c r="A55" s="2" t="s">
        <v>239</v>
      </c>
      <c r="B55" s="2" t="str">
        <f t="shared" si="4"/>
        <v>5T87MP7GD4989</v>
      </c>
      <c r="C55" s="2" t="s">
        <v>340</v>
      </c>
      <c r="D55" s="2" t="s">
        <v>341</v>
      </c>
      <c r="E55" s="2" t="str">
        <f t="shared" si="3"/>
        <v>DARLA YOUNG</v>
      </c>
      <c r="F55" s="2" t="s">
        <v>137</v>
      </c>
      <c r="G55" s="2" t="s">
        <v>65</v>
      </c>
      <c r="H55" s="2" t="s">
        <v>29</v>
      </c>
      <c r="I55" s="3">
        <v>46296</v>
      </c>
      <c r="J55" s="3">
        <v>46296</v>
      </c>
      <c r="K55" s="2">
        <v>18598357</v>
      </c>
      <c r="L55" s="2">
        <v>18598357</v>
      </c>
      <c r="M55" s="2" t="s">
        <v>243</v>
      </c>
      <c r="N55" s="2">
        <v>124.25</v>
      </c>
      <c r="O55" s="2">
        <v>86.75</v>
      </c>
      <c r="P55" s="2" t="s">
        <v>347</v>
      </c>
      <c r="Q55" s="2" t="s">
        <v>359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s="4" customFormat="1" x14ac:dyDescent="0.25">
      <c r="A56" s="2" t="s">
        <v>134</v>
      </c>
      <c r="B56" s="2" t="str">
        <f t="shared" si="4"/>
        <v>6CJ6RA2XD4089</v>
      </c>
      <c r="C56" s="2" t="s">
        <v>292</v>
      </c>
      <c r="D56" s="2" t="s">
        <v>293</v>
      </c>
      <c r="E56" s="2" t="str">
        <f t="shared" si="3"/>
        <v>HOLLIANNE KANOSKI</v>
      </c>
      <c r="F56" s="2" t="s">
        <v>137</v>
      </c>
      <c r="G56" s="2" t="s">
        <v>65</v>
      </c>
      <c r="H56" s="2" t="s">
        <v>29</v>
      </c>
      <c r="I56" s="3">
        <v>46266</v>
      </c>
      <c r="J56" s="3">
        <v>46266</v>
      </c>
      <c r="K56" s="2">
        <v>19491313</v>
      </c>
      <c r="L56" s="2">
        <v>19491313</v>
      </c>
      <c r="M56" s="2" t="s">
        <v>140</v>
      </c>
      <c r="N56" s="2">
        <v>165.67</v>
      </c>
      <c r="O56" s="2">
        <v>115.67</v>
      </c>
      <c r="P56" s="2" t="s">
        <v>347</v>
      </c>
      <c r="Q56" s="2" t="s">
        <v>358</v>
      </c>
      <c r="R56" s="2"/>
      <c r="S56" s="2"/>
      <c r="T56" s="2">
        <f>347/12*4</f>
        <v>115.66666666666667</v>
      </c>
      <c r="U56" s="2"/>
      <c r="V56" s="2"/>
      <c r="W56" s="2"/>
      <c r="X56" s="2"/>
      <c r="Y56" s="2"/>
      <c r="Z56" s="2"/>
      <c r="AA56" s="2"/>
      <c r="AB56" s="2"/>
      <c r="AC56" s="2"/>
    </row>
    <row r="57" spans="1:29" s="4" customFormat="1" x14ac:dyDescent="0.25">
      <c r="A57" s="2" t="s">
        <v>104</v>
      </c>
      <c r="B57" s="2" t="str">
        <f t="shared" si="4"/>
        <v>6ME5NK2NG7789</v>
      </c>
      <c r="C57" s="2" t="s">
        <v>278</v>
      </c>
      <c r="D57" s="2" t="s">
        <v>279</v>
      </c>
      <c r="E57" s="2" t="str">
        <f t="shared" si="3"/>
        <v>JOHN FURTH</v>
      </c>
      <c r="F57" s="2" t="s">
        <v>64</v>
      </c>
      <c r="G57" s="2" t="s">
        <v>37</v>
      </c>
      <c r="H57" s="2" t="s">
        <v>29</v>
      </c>
      <c r="I57" s="3">
        <v>46235</v>
      </c>
      <c r="J57" s="3">
        <v>46235</v>
      </c>
      <c r="K57" s="2">
        <v>7470776</v>
      </c>
      <c r="L57" s="2">
        <v>7470776</v>
      </c>
      <c r="M57" s="2" t="s">
        <v>108</v>
      </c>
      <c r="N57" s="2">
        <v>-207.08</v>
      </c>
      <c r="O57" s="2">
        <v>-144.58000000000001</v>
      </c>
      <c r="P57" s="2" t="s">
        <v>347</v>
      </c>
      <c r="Q57" s="2" t="s">
        <v>356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s="4" customFormat="1" x14ac:dyDescent="0.25">
      <c r="A58" s="2" t="s">
        <v>228</v>
      </c>
      <c r="B58" s="2" t="str">
        <f t="shared" si="4"/>
        <v>1K68CT1XX6389</v>
      </c>
      <c r="C58" s="2" t="s">
        <v>334</v>
      </c>
      <c r="D58" s="2" t="s">
        <v>335</v>
      </c>
      <c r="E58" s="2" t="str">
        <f t="shared" si="3"/>
        <v>KARIN WHITEHEAD</v>
      </c>
      <c r="F58" s="2" t="s">
        <v>64</v>
      </c>
      <c r="G58" s="2" t="s">
        <v>37</v>
      </c>
      <c r="H58" s="2" t="s">
        <v>29</v>
      </c>
      <c r="I58" s="3">
        <v>46204</v>
      </c>
      <c r="J58" s="3">
        <v>46204</v>
      </c>
      <c r="K58" s="2">
        <v>7470776</v>
      </c>
      <c r="L58" s="2">
        <v>7470776</v>
      </c>
      <c r="M58" s="2" t="s">
        <v>108</v>
      </c>
      <c r="N58" s="2">
        <v>-248.5</v>
      </c>
      <c r="O58" s="2">
        <v>-173.5</v>
      </c>
      <c r="P58" s="2" t="s">
        <v>347</v>
      </c>
      <c r="Q58" s="2" t="s">
        <v>354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s="4" customFormat="1" x14ac:dyDescent="0.25">
      <c r="A59" s="2" t="s">
        <v>119</v>
      </c>
      <c r="B59" s="2" t="str">
        <f t="shared" si="4"/>
        <v>5RU6N39FR8789</v>
      </c>
      <c r="C59" s="2" t="s">
        <v>286</v>
      </c>
      <c r="D59" s="2" t="s">
        <v>287</v>
      </c>
      <c r="E59" s="2" t="str">
        <f t="shared" si="3"/>
        <v>MICHAEL ISAACS</v>
      </c>
      <c r="F59" s="2" t="s">
        <v>64</v>
      </c>
      <c r="G59" s="2" t="s">
        <v>37</v>
      </c>
      <c r="H59" s="2" t="s">
        <v>29</v>
      </c>
      <c r="I59" s="3">
        <v>46204</v>
      </c>
      <c r="J59" s="3">
        <v>46204</v>
      </c>
      <c r="K59" s="2">
        <v>7470776</v>
      </c>
      <c r="L59" s="2">
        <v>7470776</v>
      </c>
      <c r="M59" s="2" t="s">
        <v>108</v>
      </c>
      <c r="N59" s="2">
        <v>-248.5</v>
      </c>
      <c r="O59" s="2">
        <v>-173.5</v>
      </c>
      <c r="P59" s="2" t="s">
        <v>347</v>
      </c>
      <c r="Q59" s="2" t="s">
        <v>354</v>
      </c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s="2" customFormat="1" x14ac:dyDescent="0.25">
      <c r="A60" s="2" t="s">
        <v>112</v>
      </c>
      <c r="B60" s="2" t="str">
        <f t="shared" si="4"/>
        <v>6V64T75PE0889</v>
      </c>
      <c r="C60" s="2" t="s">
        <v>282</v>
      </c>
      <c r="D60" s="2" t="s">
        <v>283</v>
      </c>
      <c r="E60" s="2" t="str">
        <f t="shared" si="3"/>
        <v>PAMELA HOBBS</v>
      </c>
      <c r="F60" s="2" t="s">
        <v>64</v>
      </c>
      <c r="G60" s="2" t="s">
        <v>37</v>
      </c>
      <c r="H60" s="2" t="s">
        <v>29</v>
      </c>
      <c r="I60" s="3">
        <v>46204</v>
      </c>
      <c r="J60" s="3">
        <v>46204</v>
      </c>
      <c r="K60" s="2">
        <v>7470776</v>
      </c>
      <c r="L60" s="2">
        <v>7470776</v>
      </c>
      <c r="M60" s="2" t="s">
        <v>108</v>
      </c>
      <c r="N60" s="2">
        <v>-248.5</v>
      </c>
      <c r="O60" s="2">
        <v>-173.5</v>
      </c>
      <c r="P60" s="2" t="s">
        <v>347</v>
      </c>
      <c r="Q60" s="2" t="s">
        <v>354</v>
      </c>
    </row>
    <row r="61" spans="1:29" s="4" customFormat="1" x14ac:dyDescent="0.25">
      <c r="A61" s="2" t="s">
        <v>187</v>
      </c>
      <c r="B61" s="2" t="str">
        <f t="shared" si="4"/>
        <v>8C51AJ2KM2389</v>
      </c>
      <c r="C61" s="2" t="s">
        <v>314</v>
      </c>
      <c r="D61" s="2" t="s">
        <v>315</v>
      </c>
      <c r="E61" s="2" t="str">
        <f t="shared" si="3"/>
        <v>AILEEN PETERSON</v>
      </c>
      <c r="F61" s="2" t="s">
        <v>77</v>
      </c>
      <c r="G61" s="2" t="s">
        <v>37</v>
      </c>
      <c r="H61" s="2" t="s">
        <v>29</v>
      </c>
      <c r="I61" s="3">
        <v>46204</v>
      </c>
      <c r="J61" s="3">
        <v>46204</v>
      </c>
      <c r="K61" s="2">
        <v>7470776</v>
      </c>
      <c r="L61" s="2">
        <v>7470776</v>
      </c>
      <c r="M61" s="2" t="s">
        <v>108</v>
      </c>
      <c r="N61" s="2">
        <v>-248.5</v>
      </c>
      <c r="O61" s="2">
        <v>-173.5</v>
      </c>
      <c r="P61" s="2" t="s">
        <v>347</v>
      </c>
      <c r="Q61" s="2" t="s">
        <v>354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s="2" customFormat="1" x14ac:dyDescent="0.25">
      <c r="A62" s="2" t="s">
        <v>174</v>
      </c>
      <c r="B62" s="2" t="str">
        <f t="shared" si="4"/>
        <v>8PM3RD4DF0189</v>
      </c>
      <c r="C62" s="2" t="s">
        <v>308</v>
      </c>
      <c r="D62" s="2" t="s">
        <v>309</v>
      </c>
      <c r="E62" s="2" t="str">
        <f t="shared" si="3"/>
        <v>JERRY MOTTELER</v>
      </c>
      <c r="F62" s="2" t="s">
        <v>64</v>
      </c>
      <c r="G62" s="2" t="s">
        <v>37</v>
      </c>
      <c r="H62" s="2" t="s">
        <v>29</v>
      </c>
      <c r="I62" s="3">
        <v>46204</v>
      </c>
      <c r="J62" s="3">
        <v>46204</v>
      </c>
      <c r="K62" s="2">
        <v>18828278</v>
      </c>
      <c r="L62" s="2">
        <v>18828278</v>
      </c>
      <c r="M62" s="2" t="s">
        <v>178</v>
      </c>
      <c r="N62" s="2">
        <v>-248.5</v>
      </c>
      <c r="O62" s="2">
        <v>-173.5</v>
      </c>
      <c r="P62" s="2" t="s">
        <v>347</v>
      </c>
      <c r="Q62" s="2" t="s">
        <v>354</v>
      </c>
    </row>
    <row r="63" spans="1:29" s="2" customFormat="1" x14ac:dyDescent="0.25">
      <c r="A63" s="2" t="s">
        <v>92</v>
      </c>
      <c r="B63" s="2" t="str">
        <f t="shared" si="4"/>
        <v>8KN3CX6TN8989</v>
      </c>
      <c r="C63" s="2" t="s">
        <v>273</v>
      </c>
      <c r="D63" s="2" t="s">
        <v>274</v>
      </c>
      <c r="E63" s="2" t="str">
        <f t="shared" si="3"/>
        <v>CECILY DALTON</v>
      </c>
      <c r="F63" s="2" t="s">
        <v>64</v>
      </c>
      <c r="G63" s="2" t="s">
        <v>37</v>
      </c>
      <c r="H63" s="2" t="s">
        <v>29</v>
      </c>
      <c r="I63" s="3">
        <v>46174</v>
      </c>
      <c r="J63" s="3">
        <v>46174</v>
      </c>
      <c r="K63" s="2">
        <v>17301495</v>
      </c>
      <c r="L63" s="2">
        <v>17301495</v>
      </c>
      <c r="M63" s="2" t="s">
        <v>95</v>
      </c>
      <c r="N63" s="2">
        <v>-289.92</v>
      </c>
      <c r="O63" s="2">
        <v>-202.42</v>
      </c>
      <c r="P63" s="2" t="s">
        <v>347</v>
      </c>
      <c r="Q63" s="2" t="s">
        <v>351</v>
      </c>
    </row>
    <row r="64" spans="1:29" s="2" customFormat="1" x14ac:dyDescent="0.25">
      <c r="A64" s="2" t="s">
        <v>209</v>
      </c>
      <c r="B64" s="2" t="str">
        <f t="shared" si="4"/>
        <v>7J45NP1FT8789</v>
      </c>
      <c r="C64" s="2" t="s">
        <v>324</v>
      </c>
      <c r="D64" s="2" t="s">
        <v>325</v>
      </c>
      <c r="E64" s="2" t="str">
        <f t="shared" si="3"/>
        <v>BOLAJOKO SOYOYE</v>
      </c>
      <c r="F64" s="2" t="s">
        <v>64</v>
      </c>
      <c r="G64" s="2" t="s">
        <v>37</v>
      </c>
      <c r="H64" s="2" t="s">
        <v>29</v>
      </c>
      <c r="I64" s="3">
        <v>46204</v>
      </c>
      <c r="J64" s="3">
        <v>46204</v>
      </c>
      <c r="K64" s="2">
        <v>7152559</v>
      </c>
      <c r="L64" s="2">
        <v>7152559</v>
      </c>
      <c r="M64" s="2" t="s">
        <v>212</v>
      </c>
      <c r="N64" s="2">
        <v>-248.5</v>
      </c>
      <c r="O64" s="2">
        <v>-173.5</v>
      </c>
      <c r="P64" s="2" t="s">
        <v>347</v>
      </c>
      <c r="Q64" s="2" t="s">
        <v>354</v>
      </c>
    </row>
    <row r="65" spans="1:29" s="2" customFormat="1" x14ac:dyDescent="0.25">
      <c r="A65" s="2" t="s">
        <v>81</v>
      </c>
      <c r="B65" s="2" t="str">
        <f t="shared" si="4"/>
        <v>1HR5Y19NN6289</v>
      </c>
      <c r="C65" s="2" t="s">
        <v>269</v>
      </c>
      <c r="D65" s="2" t="s">
        <v>270</v>
      </c>
      <c r="E65" s="2" t="str">
        <f t="shared" si="3"/>
        <v>MARIA CALVO</v>
      </c>
      <c r="F65" s="2" t="s">
        <v>64</v>
      </c>
      <c r="G65" s="2" t="s">
        <v>37</v>
      </c>
      <c r="H65" s="2" t="s">
        <v>29</v>
      </c>
      <c r="I65" s="3">
        <v>46204</v>
      </c>
      <c r="J65" s="3">
        <v>46204</v>
      </c>
      <c r="K65" s="2">
        <v>21646325</v>
      </c>
      <c r="L65" s="2">
        <v>21646325</v>
      </c>
      <c r="M65" s="2" t="s">
        <v>86</v>
      </c>
      <c r="N65" s="2">
        <v>-248.5</v>
      </c>
      <c r="O65" s="2">
        <v>-173.5</v>
      </c>
      <c r="P65" s="2" t="s">
        <v>347</v>
      </c>
      <c r="Q65" s="2" t="s">
        <v>354</v>
      </c>
    </row>
    <row r="66" spans="1:29" s="4" customFormat="1" x14ac:dyDescent="0.25">
      <c r="A66" s="2" t="s">
        <v>183</v>
      </c>
      <c r="B66" s="2" t="str">
        <f t="shared" si="4"/>
        <v>7AD0UN5NR0489</v>
      </c>
      <c r="C66" s="2" t="s">
        <v>312</v>
      </c>
      <c r="D66" s="2" t="s">
        <v>313</v>
      </c>
      <c r="E66" s="2" t="str">
        <f t="shared" ref="E66:E97" si="5">CONCATENATE(D66," ",C66)</f>
        <v>WILLIAM PEDROZA</v>
      </c>
      <c r="F66" s="2" t="s">
        <v>64</v>
      </c>
      <c r="G66" s="2" t="s">
        <v>37</v>
      </c>
      <c r="H66" s="2" t="s">
        <v>29</v>
      </c>
      <c r="I66" s="3">
        <v>46204</v>
      </c>
      <c r="J66" s="3">
        <v>46204</v>
      </c>
      <c r="K66" s="2">
        <v>21646325</v>
      </c>
      <c r="L66" s="2">
        <v>21646325</v>
      </c>
      <c r="M66" s="2" t="s">
        <v>86</v>
      </c>
      <c r="N66" s="2">
        <v>-248.5</v>
      </c>
      <c r="O66" s="2">
        <v>-173.5</v>
      </c>
      <c r="P66" s="2" t="s">
        <v>347</v>
      </c>
      <c r="Q66" s="2" t="s">
        <v>354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s="4" customFormat="1" x14ac:dyDescent="0.25">
      <c r="A67" s="2" t="s">
        <v>61</v>
      </c>
      <c r="B67" s="2" t="str">
        <f t="shared" si="4"/>
        <v>6P18QM9XX6789</v>
      </c>
      <c r="C67" s="2" t="s">
        <v>263</v>
      </c>
      <c r="D67" s="2" t="s">
        <v>264</v>
      </c>
      <c r="E67" s="2" t="str">
        <f t="shared" si="5"/>
        <v>ANNA BUCARO</v>
      </c>
      <c r="F67" s="2" t="s">
        <v>64</v>
      </c>
      <c r="G67" s="2" t="s">
        <v>65</v>
      </c>
      <c r="H67" s="2" t="s">
        <v>29</v>
      </c>
      <c r="I67" s="3">
        <v>46235</v>
      </c>
      <c r="J67" s="3">
        <v>46235</v>
      </c>
      <c r="K67" s="2">
        <v>9213293</v>
      </c>
      <c r="L67" s="2">
        <v>9213293</v>
      </c>
      <c r="M67" s="2" t="s">
        <v>55</v>
      </c>
      <c r="N67" s="2">
        <v>207.08</v>
      </c>
      <c r="O67" s="2">
        <v>144.58000000000001</v>
      </c>
      <c r="P67" s="2" t="s">
        <v>347</v>
      </c>
      <c r="Q67" s="2" t="s">
        <v>356</v>
      </c>
      <c r="R67" s="2"/>
      <c r="S67" s="2"/>
      <c r="T67" s="2">
        <f>347/12*5</f>
        <v>144.58333333333334</v>
      </c>
      <c r="U67" s="2"/>
      <c r="V67" s="2"/>
      <c r="W67" s="2"/>
      <c r="X67" s="2"/>
      <c r="Y67" s="2"/>
      <c r="Z67" s="2"/>
      <c r="AA67" s="2"/>
      <c r="AB67" s="2"/>
      <c r="AC67" s="2"/>
    </row>
    <row r="68" spans="1:29" s="4" customFormat="1" x14ac:dyDescent="0.25">
      <c r="A68" s="2" t="s">
        <v>196</v>
      </c>
      <c r="B68" s="2" t="str">
        <f t="shared" si="4"/>
        <v>7TU5JN3DE7789</v>
      </c>
      <c r="C68" s="2" t="s">
        <v>318</v>
      </c>
      <c r="D68" s="2" t="s">
        <v>319</v>
      </c>
      <c r="E68" s="2" t="str">
        <f t="shared" si="5"/>
        <v>GARRETT RODGERS</v>
      </c>
      <c r="F68" s="2" t="s">
        <v>64</v>
      </c>
      <c r="G68" s="2" t="s">
        <v>65</v>
      </c>
      <c r="H68" s="2" t="s">
        <v>29</v>
      </c>
      <c r="I68" s="3">
        <v>46296</v>
      </c>
      <c r="J68" s="3">
        <v>46296</v>
      </c>
      <c r="K68" s="2">
        <v>9213293</v>
      </c>
      <c r="L68" s="2">
        <v>9213293</v>
      </c>
      <c r="M68" s="2" t="s">
        <v>55</v>
      </c>
      <c r="N68" s="2">
        <v>124.25</v>
      </c>
      <c r="O68" s="2">
        <v>86.75</v>
      </c>
      <c r="P68" s="2" t="s">
        <v>347</v>
      </c>
      <c r="Q68" s="2" t="s">
        <v>359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s="4" customFormat="1" x14ac:dyDescent="0.25">
      <c r="A69" s="2" t="s">
        <v>96</v>
      </c>
      <c r="B69" s="2" t="str">
        <f t="shared" si="4"/>
        <v>3EJ8GG5VX2489</v>
      </c>
      <c r="C69" s="2" t="s">
        <v>273</v>
      </c>
      <c r="D69" s="2" t="s">
        <v>275</v>
      </c>
      <c r="E69" s="2" t="str">
        <f t="shared" si="5"/>
        <v>ISIAH DALTON</v>
      </c>
      <c r="F69" s="2" t="s">
        <v>64</v>
      </c>
      <c r="G69" s="2" t="s">
        <v>37</v>
      </c>
      <c r="H69" s="2" t="s">
        <v>29</v>
      </c>
      <c r="I69" s="3">
        <v>46204</v>
      </c>
      <c r="J69" s="3">
        <v>46204</v>
      </c>
      <c r="K69" s="2">
        <v>9213293</v>
      </c>
      <c r="L69" s="2">
        <v>9213293</v>
      </c>
      <c r="M69" s="2" t="s">
        <v>55</v>
      </c>
      <c r="N69" s="2">
        <v>-248.5</v>
      </c>
      <c r="O69" s="2">
        <v>-173.5</v>
      </c>
      <c r="P69" s="2" t="s">
        <v>347</v>
      </c>
      <c r="Q69" s="2" t="s">
        <v>354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s="2" customFormat="1" x14ac:dyDescent="0.25">
      <c r="A70" s="2" t="s">
        <v>49</v>
      </c>
      <c r="B70" s="2" t="str">
        <f t="shared" si="4"/>
        <v>6R65HJ4YJ5289</v>
      </c>
      <c r="C70" s="2" t="s">
        <v>259</v>
      </c>
      <c r="D70" s="2" t="s">
        <v>260</v>
      </c>
      <c r="E70" s="2" t="str">
        <f t="shared" si="5"/>
        <v>RANDY BEAN</v>
      </c>
      <c r="F70" s="2" t="s">
        <v>52</v>
      </c>
      <c r="G70" s="2" t="s">
        <v>37</v>
      </c>
      <c r="H70" s="2" t="s">
        <v>29</v>
      </c>
      <c r="I70" s="3">
        <v>46204</v>
      </c>
      <c r="J70" s="3">
        <v>46204</v>
      </c>
      <c r="K70" s="2">
        <v>9213293</v>
      </c>
      <c r="L70" s="2">
        <v>9213293</v>
      </c>
      <c r="M70" s="2" t="s">
        <v>55</v>
      </c>
      <c r="N70" s="2">
        <v>-248.5</v>
      </c>
      <c r="O70" s="2">
        <v>-173.5</v>
      </c>
      <c r="P70" s="2" t="s">
        <v>347</v>
      </c>
      <c r="Q70" s="2" t="s">
        <v>354</v>
      </c>
    </row>
    <row r="71" spans="1:29" s="2" customFormat="1" x14ac:dyDescent="0.25">
      <c r="A71" s="2" t="s">
        <v>231</v>
      </c>
      <c r="B71" s="2" t="str">
        <f t="shared" si="4"/>
        <v>8HH5FX6CN8489</v>
      </c>
      <c r="C71" s="2" t="s">
        <v>336</v>
      </c>
      <c r="D71" s="2" t="s">
        <v>337</v>
      </c>
      <c r="E71" s="2" t="str">
        <f t="shared" si="5"/>
        <v>BRIAN WILKIE</v>
      </c>
      <c r="F71" s="2" t="s">
        <v>64</v>
      </c>
      <c r="G71" s="2" t="s">
        <v>37</v>
      </c>
      <c r="H71" s="2" t="s">
        <v>29</v>
      </c>
      <c r="I71" s="3">
        <v>46113</v>
      </c>
      <c r="J71" s="3">
        <v>46113</v>
      </c>
      <c r="K71" s="2">
        <v>9213293</v>
      </c>
      <c r="L71" s="2">
        <v>9213293</v>
      </c>
      <c r="M71" s="2" t="s">
        <v>55</v>
      </c>
      <c r="N71" s="2">
        <v>-372.75</v>
      </c>
      <c r="O71" s="2">
        <v>-260.25</v>
      </c>
      <c r="P71" s="2" t="s">
        <v>347</v>
      </c>
      <c r="Q71" s="2" t="s">
        <v>348</v>
      </c>
    </row>
    <row r="72" spans="1:29" s="2" customFormat="1" x14ac:dyDescent="0.25">
      <c r="A72" s="2" t="s">
        <v>224</v>
      </c>
      <c r="B72" s="2" t="str">
        <f t="shared" si="4"/>
        <v>4HW4Y22EA6689</v>
      </c>
      <c r="C72" s="2" t="s">
        <v>332</v>
      </c>
      <c r="D72" s="2" t="s">
        <v>333</v>
      </c>
      <c r="E72" s="2" t="str">
        <f t="shared" si="5"/>
        <v>MARILYN WEBER</v>
      </c>
      <c r="F72" s="2" t="s">
        <v>64</v>
      </c>
      <c r="G72" s="2" t="s">
        <v>37</v>
      </c>
      <c r="H72" s="2" t="s">
        <v>29</v>
      </c>
      <c r="I72" s="3">
        <v>46235</v>
      </c>
      <c r="J72" s="3">
        <v>46235</v>
      </c>
      <c r="K72" s="2">
        <v>16228684</v>
      </c>
      <c r="L72" s="2">
        <v>16228684</v>
      </c>
      <c r="M72" s="2" t="s">
        <v>227</v>
      </c>
      <c r="N72" s="2">
        <v>-207.08</v>
      </c>
      <c r="O72" s="2">
        <v>-144.58000000000001</v>
      </c>
      <c r="P72" s="2" t="s">
        <v>347</v>
      </c>
      <c r="Q72" s="2" t="s">
        <v>356</v>
      </c>
    </row>
    <row r="73" spans="1:29" s="4" customFormat="1" x14ac:dyDescent="0.25">
      <c r="A73" s="2" t="s">
        <v>152</v>
      </c>
      <c r="B73" s="2" t="str">
        <f t="shared" si="4"/>
        <v>5AD1AH7MX1089</v>
      </c>
      <c r="C73" s="2" t="s">
        <v>299</v>
      </c>
      <c r="D73" s="2" t="s">
        <v>300</v>
      </c>
      <c r="E73" s="2" t="str">
        <f t="shared" si="5"/>
        <v>JEFFREY LOPEZ</v>
      </c>
      <c r="F73" s="2" t="s">
        <v>137</v>
      </c>
      <c r="G73" s="2" t="s">
        <v>65</v>
      </c>
      <c r="H73" s="2" t="s">
        <v>29</v>
      </c>
      <c r="I73" s="3">
        <v>46296</v>
      </c>
      <c r="J73" s="3">
        <v>46296</v>
      </c>
      <c r="K73" s="2">
        <v>16170994</v>
      </c>
      <c r="L73" s="2">
        <v>16170994</v>
      </c>
      <c r="M73" s="2" t="s">
        <v>145</v>
      </c>
      <c r="N73" s="2">
        <v>124.25</v>
      </c>
      <c r="O73" s="2">
        <v>86.75</v>
      </c>
      <c r="P73" s="2" t="s">
        <v>347</v>
      </c>
      <c r="Q73" s="2" t="s">
        <v>359</v>
      </c>
      <c r="R73" s="2"/>
      <c r="S73" s="2"/>
      <c r="T73" s="2">
        <f>347/12*3</f>
        <v>86.75</v>
      </c>
      <c r="U73" s="2"/>
      <c r="V73" s="2"/>
      <c r="W73" s="2"/>
      <c r="X73" s="2"/>
      <c r="Y73" s="2"/>
      <c r="Z73" s="2"/>
      <c r="AA73" s="2"/>
      <c r="AB73" s="2"/>
      <c r="AC73" s="2"/>
    </row>
    <row r="74" spans="1:29" s="4" customFormat="1" x14ac:dyDescent="0.25">
      <c r="A74" s="2" t="s">
        <v>146</v>
      </c>
      <c r="B74" s="2" t="str">
        <f t="shared" si="4"/>
        <v>8WH3CQ7EJ0189</v>
      </c>
      <c r="C74" s="2" t="s">
        <v>296</v>
      </c>
      <c r="D74" s="2" t="s">
        <v>279</v>
      </c>
      <c r="E74" s="2" t="str">
        <f t="shared" si="5"/>
        <v>JOHN KOVOLYAN</v>
      </c>
      <c r="F74" s="2" t="s">
        <v>137</v>
      </c>
      <c r="G74" s="2" t="s">
        <v>37</v>
      </c>
      <c r="H74" s="2" t="s">
        <v>29</v>
      </c>
      <c r="I74" s="3">
        <v>46266</v>
      </c>
      <c r="J74" s="3">
        <v>46266</v>
      </c>
      <c r="K74" s="2">
        <v>16170994</v>
      </c>
      <c r="L74" s="2">
        <v>16170994</v>
      </c>
      <c r="M74" s="2" t="s">
        <v>145</v>
      </c>
      <c r="N74" s="2">
        <v>-165.67</v>
      </c>
      <c r="O74" s="2">
        <v>-115.67</v>
      </c>
      <c r="P74" s="2" t="s">
        <v>347</v>
      </c>
      <c r="Q74" s="2" t="s">
        <v>358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s="4" customFormat="1" x14ac:dyDescent="0.25">
      <c r="A75" s="2" t="s">
        <v>141</v>
      </c>
      <c r="B75" s="2" t="str">
        <f t="shared" si="4"/>
        <v>2V64Q25CT9989</v>
      </c>
      <c r="C75" s="2" t="s">
        <v>294</v>
      </c>
      <c r="D75" s="2" t="s">
        <v>295</v>
      </c>
      <c r="E75" s="2" t="str">
        <f t="shared" si="5"/>
        <v>JILL KOLESAR</v>
      </c>
      <c r="F75" s="2" t="s">
        <v>137</v>
      </c>
      <c r="G75" s="2" t="s">
        <v>37</v>
      </c>
      <c r="H75" s="2" t="s">
        <v>29</v>
      </c>
      <c r="I75" s="3">
        <v>46204</v>
      </c>
      <c r="J75" s="3">
        <v>46204</v>
      </c>
      <c r="K75" s="2">
        <v>16170994</v>
      </c>
      <c r="L75" s="2">
        <v>16170994</v>
      </c>
      <c r="M75" s="2" t="s">
        <v>145</v>
      </c>
      <c r="N75" s="2">
        <v>-248.5</v>
      </c>
      <c r="O75" s="2">
        <v>-173.5</v>
      </c>
      <c r="P75" s="2" t="s">
        <v>347</v>
      </c>
      <c r="Q75" s="2" t="s">
        <v>354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s="2" customFormat="1" x14ac:dyDescent="0.25">
      <c r="A76" s="2" t="s">
        <v>221</v>
      </c>
      <c r="B76" s="2" t="str">
        <f t="shared" si="4"/>
        <v>5DQ3TT6VJ7089</v>
      </c>
      <c r="C76" s="2" t="s">
        <v>330</v>
      </c>
      <c r="D76" s="2" t="s">
        <v>331</v>
      </c>
      <c r="E76" s="2" t="str">
        <f t="shared" si="5"/>
        <v>SHARAN WATSON</v>
      </c>
      <c r="F76" s="2" t="s">
        <v>137</v>
      </c>
      <c r="G76" s="2" t="s">
        <v>37</v>
      </c>
      <c r="H76" s="2" t="s">
        <v>29</v>
      </c>
      <c r="I76" s="3">
        <v>46204</v>
      </c>
      <c r="J76" s="3">
        <v>46204</v>
      </c>
      <c r="K76" s="2">
        <v>16170994</v>
      </c>
      <c r="L76" s="2">
        <v>16170994</v>
      </c>
      <c r="M76" s="2" t="s">
        <v>145</v>
      </c>
      <c r="N76" s="2">
        <v>-248.5</v>
      </c>
      <c r="O76" s="2">
        <v>-173.5</v>
      </c>
      <c r="P76" s="2" t="s">
        <v>347</v>
      </c>
      <c r="Q76" s="2" t="s">
        <v>354</v>
      </c>
    </row>
    <row r="77" spans="1:29" s="4" customFormat="1" x14ac:dyDescent="0.25">
      <c r="A77" s="2" t="s">
        <v>248</v>
      </c>
      <c r="B77" s="2" t="str">
        <f t="shared" si="4"/>
        <v>8FV9A73KF3889</v>
      </c>
      <c r="C77" s="2" t="s">
        <v>343</v>
      </c>
      <c r="D77" s="2" t="s">
        <v>262</v>
      </c>
      <c r="E77" s="2" t="str">
        <f t="shared" si="5"/>
        <v>DAVID ZOVACK</v>
      </c>
      <c r="F77" s="2" t="s">
        <v>137</v>
      </c>
      <c r="G77" s="2" t="s">
        <v>37</v>
      </c>
      <c r="H77" s="2" t="s">
        <v>29</v>
      </c>
      <c r="I77" s="3">
        <v>46204</v>
      </c>
      <c r="J77" s="3">
        <v>46204</v>
      </c>
      <c r="K77" s="2">
        <v>16170994</v>
      </c>
      <c r="L77" s="2">
        <v>16170994</v>
      </c>
      <c r="M77" s="2" t="s">
        <v>145</v>
      </c>
      <c r="N77" s="2">
        <v>-248.5</v>
      </c>
      <c r="O77" s="2">
        <v>-173.5</v>
      </c>
      <c r="P77" s="2" t="s">
        <v>347</v>
      </c>
      <c r="Q77" s="2" t="s">
        <v>354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s="4" customFormat="1" x14ac:dyDescent="0.25">
      <c r="A78" s="2" t="s">
        <v>68</v>
      </c>
      <c r="B78" s="2" t="str">
        <f t="shared" si="4"/>
        <v>9H95WQ8XR5189</v>
      </c>
      <c r="C78" s="2" t="s">
        <v>265</v>
      </c>
      <c r="D78" s="2" t="s">
        <v>266</v>
      </c>
      <c r="E78" s="2" t="str">
        <f t="shared" si="5"/>
        <v>TIA BURGER</v>
      </c>
      <c r="F78" s="2" t="s">
        <v>64</v>
      </c>
      <c r="G78" s="2" t="s">
        <v>37</v>
      </c>
      <c r="H78" s="2" t="s">
        <v>29</v>
      </c>
      <c r="I78" s="3">
        <v>46204</v>
      </c>
      <c r="J78" s="3">
        <v>46204</v>
      </c>
      <c r="K78" s="2">
        <v>8812322</v>
      </c>
      <c r="L78" s="2">
        <v>8812322</v>
      </c>
      <c r="M78" s="2" t="s">
        <v>73</v>
      </c>
      <c r="N78" s="2">
        <v>-248.5</v>
      </c>
      <c r="O78" s="2">
        <v>-173.5</v>
      </c>
      <c r="P78" s="2" t="s">
        <v>347</v>
      </c>
      <c r="Q78" s="2" t="s">
        <v>354</v>
      </c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s="4" customFormat="1" x14ac:dyDescent="0.25">
      <c r="A79" s="2" t="s">
        <v>203</v>
      </c>
      <c r="B79" s="2" t="str">
        <f t="shared" si="4"/>
        <v>6RP4Q44VY8989</v>
      </c>
      <c r="C79" s="2" t="s">
        <v>322</v>
      </c>
      <c r="D79" s="2" t="s">
        <v>323</v>
      </c>
      <c r="E79" s="2" t="str">
        <f t="shared" si="5"/>
        <v>CLAY SMITH</v>
      </c>
      <c r="F79" s="2" t="s">
        <v>206</v>
      </c>
      <c r="G79" s="2" t="s">
        <v>37</v>
      </c>
      <c r="H79" s="2" t="s">
        <v>29</v>
      </c>
      <c r="I79" s="3">
        <v>46204</v>
      </c>
      <c r="J79" s="3">
        <v>46204</v>
      </c>
      <c r="K79" s="2">
        <v>8307933</v>
      </c>
      <c r="L79" s="2">
        <v>8307933</v>
      </c>
      <c r="M79" s="2" t="s">
        <v>80</v>
      </c>
      <c r="N79" s="2">
        <v>-248.5</v>
      </c>
      <c r="O79" s="2">
        <v>-173.5</v>
      </c>
      <c r="P79" s="2" t="s">
        <v>347</v>
      </c>
      <c r="Q79" s="2" t="s">
        <v>354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s="4" customFormat="1" x14ac:dyDescent="0.25">
      <c r="A80" s="2" t="s">
        <v>158</v>
      </c>
      <c r="B80" s="2" t="str">
        <f t="shared" si="4"/>
        <v>9XT8J68VG4789</v>
      </c>
      <c r="C80" s="2" t="s">
        <v>303</v>
      </c>
      <c r="D80" s="2" t="s">
        <v>304</v>
      </c>
      <c r="E80" s="2" t="str">
        <f t="shared" si="5"/>
        <v>SUSAN MARTIN</v>
      </c>
      <c r="F80" s="2" t="s">
        <v>161</v>
      </c>
      <c r="G80" s="2" t="s">
        <v>37</v>
      </c>
      <c r="H80" s="2" t="s">
        <v>29</v>
      </c>
      <c r="I80" s="3">
        <v>46204</v>
      </c>
      <c r="J80" s="3">
        <v>46204</v>
      </c>
      <c r="K80" s="2">
        <v>8307933</v>
      </c>
      <c r="L80" s="2">
        <v>8307933</v>
      </c>
      <c r="M80" s="2" t="s">
        <v>80</v>
      </c>
      <c r="N80" s="2">
        <v>-248.5</v>
      </c>
      <c r="O80" s="2">
        <v>-173.5</v>
      </c>
      <c r="P80" s="2" t="s">
        <v>347</v>
      </c>
      <c r="Q80" s="2" t="s">
        <v>354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s="2" customFormat="1" x14ac:dyDescent="0.25">
      <c r="A81" s="2" t="s">
        <v>115</v>
      </c>
      <c r="B81" s="2" t="str">
        <f t="shared" si="4"/>
        <v>8WE6C97EA6289</v>
      </c>
      <c r="C81" s="2" t="s">
        <v>284</v>
      </c>
      <c r="D81" s="2" t="s">
        <v>285</v>
      </c>
      <c r="E81" s="2" t="str">
        <f t="shared" si="5"/>
        <v>LAMPHONG INTHAVONG</v>
      </c>
      <c r="F81" s="2" t="s">
        <v>64</v>
      </c>
      <c r="G81" s="2" t="s">
        <v>37</v>
      </c>
      <c r="H81" s="2" t="s">
        <v>29</v>
      </c>
      <c r="I81" s="3">
        <v>46204</v>
      </c>
      <c r="J81" s="3">
        <v>46204</v>
      </c>
      <c r="K81" s="2">
        <v>8405446</v>
      </c>
      <c r="L81" s="2">
        <v>8405446</v>
      </c>
      <c r="M81" s="2" t="s">
        <v>118</v>
      </c>
      <c r="N81" s="2">
        <v>-248.5</v>
      </c>
      <c r="O81" s="2">
        <v>-173.5</v>
      </c>
      <c r="P81" s="2" t="s">
        <v>347</v>
      </c>
      <c r="Q81" s="2" t="s">
        <v>354</v>
      </c>
    </row>
    <row r="82" spans="1:29" s="2" customFormat="1" x14ac:dyDescent="0.25">
      <c r="A82" s="2" t="s">
        <v>127</v>
      </c>
      <c r="B82" s="2" t="str">
        <f t="shared" si="4"/>
        <v>5NG2E52EW8189</v>
      </c>
      <c r="C82" s="2" t="s">
        <v>290</v>
      </c>
      <c r="D82" s="2" t="s">
        <v>291</v>
      </c>
      <c r="E82" s="2" t="str">
        <f t="shared" si="5"/>
        <v>DEANNA JOHNSON</v>
      </c>
      <c r="F82" s="2" t="s">
        <v>130</v>
      </c>
      <c r="G82" s="2" t="s">
        <v>37</v>
      </c>
      <c r="H82" s="2" t="s">
        <v>131</v>
      </c>
      <c r="I82" s="3">
        <v>46204</v>
      </c>
      <c r="J82" s="3">
        <v>46204</v>
      </c>
      <c r="K82" s="2">
        <v>8325282</v>
      </c>
      <c r="L82" s="2">
        <v>8325282</v>
      </c>
      <c r="M82" s="2" t="s">
        <v>133</v>
      </c>
      <c r="N82" s="2">
        <v>-248.5</v>
      </c>
      <c r="O82" s="2">
        <v>-173.5</v>
      </c>
      <c r="P82" s="2" t="s">
        <v>347</v>
      </c>
      <c r="Q82" s="2" t="s">
        <v>354</v>
      </c>
    </row>
    <row r="83" spans="1:29" s="2" customFormat="1" x14ac:dyDescent="0.25">
      <c r="A83" s="2" t="s">
        <v>170</v>
      </c>
      <c r="B83" s="2" t="str">
        <f t="shared" si="4"/>
        <v>8XV3TN7YF8989</v>
      </c>
      <c r="C83" s="2" t="s">
        <v>306</v>
      </c>
      <c r="D83" s="2" t="s">
        <v>307</v>
      </c>
      <c r="E83" s="2" t="str">
        <f t="shared" si="5"/>
        <v>DOROTHY MIMS</v>
      </c>
      <c r="F83" s="2" t="s">
        <v>64</v>
      </c>
      <c r="G83" s="2" t="s">
        <v>37</v>
      </c>
      <c r="H83" s="2" t="s">
        <v>29</v>
      </c>
      <c r="I83" s="3">
        <v>46204</v>
      </c>
      <c r="J83" s="3">
        <v>46204</v>
      </c>
      <c r="K83" s="2">
        <v>19481808</v>
      </c>
      <c r="L83" s="2">
        <v>19481808</v>
      </c>
      <c r="M83" s="2" t="s">
        <v>173</v>
      </c>
      <c r="N83" s="2">
        <v>-248.5</v>
      </c>
      <c r="O83" s="2">
        <v>-173.5</v>
      </c>
      <c r="P83" s="2" t="s">
        <v>347</v>
      </c>
      <c r="Q83" s="2" t="s">
        <v>354</v>
      </c>
    </row>
    <row r="84" spans="1:29" s="4" customFormat="1" x14ac:dyDescent="0.25">
      <c r="A84" s="2" t="s">
        <v>191</v>
      </c>
      <c r="B84" s="2" t="str">
        <f t="shared" si="4"/>
        <v>2X92NM6CU2289</v>
      </c>
      <c r="C84" s="2" t="s">
        <v>316</v>
      </c>
      <c r="D84" s="2" t="s">
        <v>317</v>
      </c>
      <c r="E84" s="2" t="str">
        <f t="shared" si="5"/>
        <v>MARY PHELPS</v>
      </c>
      <c r="F84" s="2" t="s">
        <v>64</v>
      </c>
      <c r="G84" s="2" t="s">
        <v>37</v>
      </c>
      <c r="H84" s="2" t="s">
        <v>29</v>
      </c>
      <c r="I84" s="3">
        <v>46235</v>
      </c>
      <c r="J84" s="3">
        <v>46235</v>
      </c>
      <c r="K84" s="2">
        <v>18754354</v>
      </c>
      <c r="L84" s="2">
        <v>18754354</v>
      </c>
      <c r="M84" s="2" t="s">
        <v>195</v>
      </c>
      <c r="N84" s="2">
        <v>-207.08</v>
      </c>
      <c r="O84" s="2">
        <v>-144.58000000000001</v>
      </c>
      <c r="P84" s="2" t="s">
        <v>347</v>
      </c>
      <c r="Q84" s="2" t="s">
        <v>356</v>
      </c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s="4" customFormat="1" x14ac:dyDescent="0.25">
      <c r="A85" s="2" t="s">
        <v>149</v>
      </c>
      <c r="B85" s="2" t="str">
        <f t="shared" si="4"/>
        <v>6RJ3KQ4QY1589</v>
      </c>
      <c r="C85" s="2" t="s">
        <v>297</v>
      </c>
      <c r="D85" s="2" t="s">
        <v>298</v>
      </c>
      <c r="E85" s="2" t="str">
        <f t="shared" si="5"/>
        <v>DIANE LEINONEN</v>
      </c>
      <c r="F85" s="2" t="s">
        <v>64</v>
      </c>
      <c r="G85" s="2" t="s">
        <v>37</v>
      </c>
      <c r="H85" s="2" t="s">
        <v>29</v>
      </c>
      <c r="I85" s="3">
        <v>46235</v>
      </c>
      <c r="J85" s="3">
        <v>46235</v>
      </c>
      <c r="K85" s="2">
        <v>16633294</v>
      </c>
      <c r="L85" s="2">
        <v>16633294</v>
      </c>
      <c r="M85" s="2" t="s">
        <v>126</v>
      </c>
      <c r="N85" s="2">
        <v>-207.08</v>
      </c>
      <c r="O85" s="2">
        <v>-144.58000000000001</v>
      </c>
      <c r="P85" s="2" t="s">
        <v>347</v>
      </c>
      <c r="Q85" s="2" t="s">
        <v>356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s="4" customFormat="1" x14ac:dyDescent="0.25">
      <c r="A86" s="2" t="s">
        <v>122</v>
      </c>
      <c r="B86" s="2" t="str">
        <f t="shared" si="4"/>
        <v>9QD8ED8MN6189</v>
      </c>
      <c r="C86" s="2" t="s">
        <v>288</v>
      </c>
      <c r="D86" s="2" t="s">
        <v>289</v>
      </c>
      <c r="E86" s="2" t="str">
        <f t="shared" si="5"/>
        <v>VALERIE JADOS</v>
      </c>
      <c r="F86" s="2" t="s">
        <v>64</v>
      </c>
      <c r="G86" s="2" t="s">
        <v>37</v>
      </c>
      <c r="H86" s="2" t="s">
        <v>29</v>
      </c>
      <c r="I86" s="3">
        <v>46204</v>
      </c>
      <c r="J86" s="3">
        <v>46204</v>
      </c>
      <c r="K86" s="2">
        <v>16633294</v>
      </c>
      <c r="L86" s="2">
        <v>16633294</v>
      </c>
      <c r="M86" s="2" t="s">
        <v>126</v>
      </c>
      <c r="N86" s="2">
        <v>-248.5</v>
      </c>
      <c r="O86" s="2">
        <v>-173.5</v>
      </c>
      <c r="P86" s="2" t="s">
        <v>347</v>
      </c>
      <c r="Q86" s="2" t="s">
        <v>354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s="2" customFormat="1" x14ac:dyDescent="0.25">
      <c r="A87" s="4" t="s">
        <v>81</v>
      </c>
      <c r="B87" s="4" t="str">
        <f t="shared" ref="B87:B118" si="6">CONCATENATE(A87,"OVR")</f>
        <v>1HR5Y19NN62OVR</v>
      </c>
      <c r="C87" s="4" t="s">
        <v>269</v>
      </c>
      <c r="D87" s="4" t="s">
        <v>270</v>
      </c>
      <c r="E87" s="4" t="str">
        <f t="shared" si="5"/>
        <v>MARIA CALVO</v>
      </c>
      <c r="F87" s="4" t="s">
        <v>64</v>
      </c>
      <c r="G87" s="4" t="s">
        <v>37</v>
      </c>
      <c r="H87" s="4" t="s">
        <v>29</v>
      </c>
      <c r="I87" s="5">
        <v>46204</v>
      </c>
      <c r="J87" s="5">
        <v>46204</v>
      </c>
      <c r="K87" s="4">
        <v>21646325</v>
      </c>
      <c r="L87" s="4" t="str">
        <f t="shared" ref="L87:L118" si="7">CONCATENATE(K87,"OVR")</f>
        <v>21646325OVR</v>
      </c>
      <c r="M87" s="4" t="s">
        <v>86</v>
      </c>
      <c r="N87" s="4">
        <v>-248.5</v>
      </c>
      <c r="O87" s="4">
        <v>-75</v>
      </c>
      <c r="P87" s="4" t="s">
        <v>345</v>
      </c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s="4" customFormat="1" x14ac:dyDescent="0.25">
      <c r="A88" s="4" t="s">
        <v>81</v>
      </c>
      <c r="B88" s="4" t="str">
        <f t="shared" si="6"/>
        <v>1HR5Y19NN62OVR</v>
      </c>
      <c r="C88" s="4" t="s">
        <v>269</v>
      </c>
      <c r="D88" s="4" t="s">
        <v>270</v>
      </c>
      <c r="E88" s="4" t="str">
        <f t="shared" si="5"/>
        <v>MARIA CALVO</v>
      </c>
      <c r="F88" s="4" t="s">
        <v>64</v>
      </c>
      <c r="G88" s="4" t="s">
        <v>84</v>
      </c>
      <c r="H88" s="4" t="s">
        <v>29</v>
      </c>
      <c r="I88" s="5">
        <v>46204</v>
      </c>
      <c r="J88" s="5">
        <v>46204</v>
      </c>
      <c r="K88" s="4">
        <v>21646325</v>
      </c>
      <c r="L88" s="4" t="str">
        <f t="shared" si="7"/>
        <v>21646325OVR</v>
      </c>
      <c r="M88" s="4" t="s">
        <v>86</v>
      </c>
      <c r="N88" s="4">
        <v>422</v>
      </c>
      <c r="O88" s="4">
        <v>75</v>
      </c>
      <c r="P88" s="4" t="s">
        <v>345</v>
      </c>
      <c r="T88" s="4">
        <f>150/12*7</f>
        <v>87.5</v>
      </c>
      <c r="U88" s="4">
        <f>150/12*6</f>
        <v>75</v>
      </c>
    </row>
    <row r="89" spans="1:29" s="2" customFormat="1" x14ac:dyDescent="0.25">
      <c r="A89" s="4" t="s">
        <v>87</v>
      </c>
      <c r="B89" s="4" t="str">
        <f t="shared" si="6"/>
        <v>1K42GA2JA92OVR</v>
      </c>
      <c r="C89" s="4" t="s">
        <v>271</v>
      </c>
      <c r="D89" s="4" t="s">
        <v>272</v>
      </c>
      <c r="E89" s="4" t="str">
        <f t="shared" si="5"/>
        <v>DOUGLAS COMINSKY</v>
      </c>
      <c r="F89" s="4" t="s">
        <v>27</v>
      </c>
      <c r="G89" s="4" t="s">
        <v>37</v>
      </c>
      <c r="H89" s="4" t="s">
        <v>29</v>
      </c>
      <c r="I89" s="5">
        <v>46204</v>
      </c>
      <c r="J89" s="5">
        <v>46204</v>
      </c>
      <c r="K89" s="4">
        <v>17528908</v>
      </c>
      <c r="L89" s="4" t="str">
        <f t="shared" si="7"/>
        <v>17528908OVR</v>
      </c>
      <c r="M89" s="4" t="s">
        <v>91</v>
      </c>
      <c r="N89" s="4">
        <v>-270.5</v>
      </c>
      <c r="O89" s="4">
        <v>-75</v>
      </c>
      <c r="P89" s="4" t="s">
        <v>345</v>
      </c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s="4" customFormat="1" x14ac:dyDescent="0.25">
      <c r="A90" s="4" t="s">
        <v>87</v>
      </c>
      <c r="B90" s="4" t="str">
        <f t="shared" si="6"/>
        <v>1K42GA2JA92OVR</v>
      </c>
      <c r="C90" s="4" t="s">
        <v>271</v>
      </c>
      <c r="D90" s="4" t="s">
        <v>272</v>
      </c>
      <c r="E90" s="4" t="str">
        <f t="shared" si="5"/>
        <v>DOUGLAS COMINSKY</v>
      </c>
      <c r="F90" s="4" t="s">
        <v>27</v>
      </c>
      <c r="G90" s="4" t="s">
        <v>28</v>
      </c>
      <c r="H90" s="4" t="s">
        <v>29</v>
      </c>
      <c r="I90" s="5">
        <v>46204</v>
      </c>
      <c r="J90" s="5">
        <v>46204</v>
      </c>
      <c r="K90" s="4">
        <v>17528908</v>
      </c>
      <c r="L90" s="4" t="str">
        <f t="shared" si="7"/>
        <v>17528908OVR</v>
      </c>
      <c r="M90" s="4" t="s">
        <v>91</v>
      </c>
      <c r="N90" s="4">
        <v>931</v>
      </c>
      <c r="O90" s="4">
        <v>150</v>
      </c>
      <c r="P90" s="4" t="s">
        <v>345</v>
      </c>
    </row>
    <row r="91" spans="1:29" s="2" customFormat="1" x14ac:dyDescent="0.25">
      <c r="A91" s="4" t="s">
        <v>228</v>
      </c>
      <c r="B91" s="4" t="str">
        <f t="shared" si="6"/>
        <v>1K68CT1XX63OVR</v>
      </c>
      <c r="C91" s="4" t="s">
        <v>334</v>
      </c>
      <c r="D91" s="4" t="s">
        <v>335</v>
      </c>
      <c r="E91" s="4" t="str">
        <f t="shared" si="5"/>
        <v>KARIN WHITEHEAD</v>
      </c>
      <c r="F91" s="4" t="s">
        <v>64</v>
      </c>
      <c r="G91" s="4" t="s">
        <v>37</v>
      </c>
      <c r="H91" s="4" t="s">
        <v>29</v>
      </c>
      <c r="I91" s="5">
        <v>46204</v>
      </c>
      <c r="J91" s="5">
        <v>46204</v>
      </c>
      <c r="K91" s="4">
        <v>7470776</v>
      </c>
      <c r="L91" s="4" t="str">
        <f t="shared" si="7"/>
        <v>7470776OVR</v>
      </c>
      <c r="M91" s="4" t="s">
        <v>108</v>
      </c>
      <c r="N91" s="4">
        <v>-248.5</v>
      </c>
      <c r="O91" s="4">
        <v>-75</v>
      </c>
      <c r="P91" s="4" t="s">
        <v>345</v>
      </c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s="4" customFormat="1" x14ac:dyDescent="0.25">
      <c r="A92" s="4" t="s">
        <v>228</v>
      </c>
      <c r="B92" s="4" t="str">
        <f t="shared" si="6"/>
        <v>1K68CT1XX63OVR</v>
      </c>
      <c r="C92" s="4" t="s">
        <v>334</v>
      </c>
      <c r="D92" s="4" t="s">
        <v>335</v>
      </c>
      <c r="E92" s="4" t="str">
        <f t="shared" si="5"/>
        <v>KARIN WHITEHEAD</v>
      </c>
      <c r="F92" s="4" t="s">
        <v>64</v>
      </c>
      <c r="G92" s="4" t="s">
        <v>28</v>
      </c>
      <c r="H92" s="4" t="s">
        <v>29</v>
      </c>
      <c r="I92" s="5">
        <v>46204</v>
      </c>
      <c r="J92" s="5">
        <v>46204</v>
      </c>
      <c r="K92" s="4">
        <v>7470776</v>
      </c>
      <c r="L92" s="4" t="str">
        <f t="shared" si="7"/>
        <v>7470776OVR</v>
      </c>
      <c r="M92" s="4" t="s">
        <v>108</v>
      </c>
      <c r="N92" s="4">
        <v>844</v>
      </c>
      <c r="O92" s="4">
        <v>150</v>
      </c>
      <c r="P92" s="4" t="s">
        <v>345</v>
      </c>
    </row>
    <row r="93" spans="1:29" s="2" customFormat="1" x14ac:dyDescent="0.25">
      <c r="A93" s="4" t="s">
        <v>56</v>
      </c>
      <c r="B93" s="4" t="str">
        <f t="shared" si="6"/>
        <v>2D82Y32ED09OVR</v>
      </c>
      <c r="C93" s="4" t="s">
        <v>261</v>
      </c>
      <c r="D93" s="4" t="s">
        <v>262</v>
      </c>
      <c r="E93" s="4" t="str">
        <f t="shared" si="5"/>
        <v>DAVID BOGACZYK</v>
      </c>
      <c r="F93" s="4" t="s">
        <v>27</v>
      </c>
      <c r="G93" s="4" t="s">
        <v>37</v>
      </c>
      <c r="H93" s="4" t="s">
        <v>29</v>
      </c>
      <c r="I93" s="5">
        <v>46204</v>
      </c>
      <c r="J93" s="5">
        <v>46204</v>
      </c>
      <c r="K93" s="4">
        <v>17425766</v>
      </c>
      <c r="L93" s="4" t="str">
        <f t="shared" si="7"/>
        <v>17425766OVR</v>
      </c>
      <c r="M93" s="4" t="s">
        <v>60</v>
      </c>
      <c r="N93" s="4">
        <v>-270.5</v>
      </c>
      <c r="O93" s="4">
        <v>-75</v>
      </c>
      <c r="P93" s="4" t="s">
        <v>345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s="2" customFormat="1" x14ac:dyDescent="0.25">
      <c r="A94" s="4" t="s">
        <v>56</v>
      </c>
      <c r="B94" s="4" t="str">
        <f t="shared" si="6"/>
        <v>2D82Y32ED09OVR</v>
      </c>
      <c r="C94" s="4" t="s">
        <v>261</v>
      </c>
      <c r="D94" s="4" t="s">
        <v>262</v>
      </c>
      <c r="E94" s="4" t="str">
        <f t="shared" si="5"/>
        <v>DAVID BOGACZYK</v>
      </c>
      <c r="F94" s="4" t="s">
        <v>27</v>
      </c>
      <c r="G94" s="4" t="s">
        <v>28</v>
      </c>
      <c r="H94" s="4" t="s">
        <v>29</v>
      </c>
      <c r="I94" s="5">
        <v>46204</v>
      </c>
      <c r="J94" s="5">
        <v>46204</v>
      </c>
      <c r="K94" s="4">
        <v>17425766</v>
      </c>
      <c r="L94" s="4" t="str">
        <f t="shared" si="7"/>
        <v>17425766OVR</v>
      </c>
      <c r="M94" s="4" t="s">
        <v>60</v>
      </c>
      <c r="N94" s="4">
        <v>931</v>
      </c>
      <c r="O94" s="4">
        <v>150</v>
      </c>
      <c r="P94" s="4" t="s">
        <v>345</v>
      </c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s="2" customFormat="1" x14ac:dyDescent="0.25">
      <c r="A95" s="4" t="s">
        <v>141</v>
      </c>
      <c r="B95" s="4" t="str">
        <f t="shared" si="6"/>
        <v>2V64Q25CT99OVR</v>
      </c>
      <c r="C95" s="4" t="s">
        <v>294</v>
      </c>
      <c r="D95" s="4" t="s">
        <v>295</v>
      </c>
      <c r="E95" s="4" t="str">
        <f t="shared" si="5"/>
        <v>JILL KOLESAR</v>
      </c>
      <c r="F95" s="4" t="s">
        <v>137</v>
      </c>
      <c r="G95" s="4" t="s">
        <v>37</v>
      </c>
      <c r="H95" s="4" t="s">
        <v>29</v>
      </c>
      <c r="I95" s="5">
        <v>46204</v>
      </c>
      <c r="J95" s="5">
        <v>46204</v>
      </c>
      <c r="K95" s="4">
        <v>16170994</v>
      </c>
      <c r="L95" s="4" t="str">
        <f t="shared" si="7"/>
        <v>16170994OVR</v>
      </c>
      <c r="M95" s="4" t="s">
        <v>145</v>
      </c>
      <c r="N95" s="4">
        <v>-248.5</v>
      </c>
      <c r="O95" s="4">
        <v>-75</v>
      </c>
      <c r="P95" s="4" t="s">
        <v>345</v>
      </c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s="4" customFormat="1" x14ac:dyDescent="0.25">
      <c r="A96" s="4" t="s">
        <v>141</v>
      </c>
      <c r="B96" s="4" t="str">
        <f t="shared" si="6"/>
        <v>2V64Q25CT99OVR</v>
      </c>
      <c r="C96" s="4" t="s">
        <v>294</v>
      </c>
      <c r="D96" s="4" t="s">
        <v>295</v>
      </c>
      <c r="E96" s="4" t="str">
        <f t="shared" si="5"/>
        <v>JILL KOLESAR</v>
      </c>
      <c r="F96" s="4" t="s">
        <v>137</v>
      </c>
      <c r="G96" s="4" t="s">
        <v>28</v>
      </c>
      <c r="H96" s="4" t="s">
        <v>29</v>
      </c>
      <c r="I96" s="5">
        <v>46204</v>
      </c>
      <c r="J96" s="5">
        <v>46204</v>
      </c>
      <c r="K96" s="4">
        <v>16170994</v>
      </c>
      <c r="L96" s="4" t="str">
        <f t="shared" si="7"/>
        <v>16170994OVR</v>
      </c>
      <c r="M96" s="4" t="s">
        <v>145</v>
      </c>
      <c r="N96" s="4">
        <v>844</v>
      </c>
      <c r="O96" s="4">
        <v>150</v>
      </c>
      <c r="P96" s="4" t="s">
        <v>345</v>
      </c>
    </row>
    <row r="97" spans="1:29" s="4" customFormat="1" x14ac:dyDescent="0.25">
      <c r="A97" s="4" t="s">
        <v>191</v>
      </c>
      <c r="B97" s="4" t="str">
        <f t="shared" si="6"/>
        <v>2X92NM6CU22OVR</v>
      </c>
      <c r="C97" s="4" t="s">
        <v>316</v>
      </c>
      <c r="D97" s="4" t="s">
        <v>317</v>
      </c>
      <c r="E97" s="4" t="str">
        <f t="shared" si="5"/>
        <v>MARY PHELPS</v>
      </c>
      <c r="F97" s="4" t="s">
        <v>64</v>
      </c>
      <c r="G97" s="4" t="s">
        <v>37</v>
      </c>
      <c r="H97" s="4" t="s">
        <v>29</v>
      </c>
      <c r="I97" s="5">
        <v>46235</v>
      </c>
      <c r="J97" s="5">
        <v>46235</v>
      </c>
      <c r="K97" s="4">
        <v>18754354</v>
      </c>
      <c r="L97" s="4" t="str">
        <f t="shared" si="7"/>
        <v>18754354OVR</v>
      </c>
      <c r="M97" s="4" t="s">
        <v>195</v>
      </c>
      <c r="N97" s="4">
        <v>-207.08</v>
      </c>
      <c r="O97" s="4">
        <v>-62.5</v>
      </c>
      <c r="P97" s="4" t="s">
        <v>345</v>
      </c>
    </row>
    <row r="98" spans="1:29" s="4" customFormat="1" x14ac:dyDescent="0.25">
      <c r="A98" s="4" t="s">
        <v>191</v>
      </c>
      <c r="B98" s="4" t="str">
        <f t="shared" si="6"/>
        <v>2X92NM6CU22OVR</v>
      </c>
      <c r="C98" s="4" t="s">
        <v>316</v>
      </c>
      <c r="D98" s="4" t="s">
        <v>317</v>
      </c>
      <c r="E98" s="4" t="str">
        <f t="shared" ref="E98:E129" si="8">CONCATENATE(D98," ",C98)</f>
        <v>MARY PHELPS</v>
      </c>
      <c r="F98" s="4" t="s">
        <v>64</v>
      </c>
      <c r="G98" s="4" t="s">
        <v>28</v>
      </c>
      <c r="H98" s="4" t="s">
        <v>29</v>
      </c>
      <c r="I98" s="5">
        <v>46235</v>
      </c>
      <c r="J98" s="5">
        <v>46235</v>
      </c>
      <c r="K98" s="4">
        <v>18754354</v>
      </c>
      <c r="L98" s="4" t="str">
        <f t="shared" si="7"/>
        <v>18754354OVR</v>
      </c>
      <c r="M98" s="4" t="s">
        <v>195</v>
      </c>
      <c r="N98" s="4">
        <v>844</v>
      </c>
      <c r="O98" s="4">
        <v>150</v>
      </c>
      <c r="P98" s="4" t="s">
        <v>345</v>
      </c>
    </row>
    <row r="99" spans="1:29" s="2" customFormat="1" x14ac:dyDescent="0.25">
      <c r="A99" s="4" t="s">
        <v>100</v>
      </c>
      <c r="B99" s="4" t="str">
        <f t="shared" si="6"/>
        <v>3ED5Q49PJ88OVR</v>
      </c>
      <c r="C99" s="4" t="s">
        <v>276</v>
      </c>
      <c r="D99" s="4" t="s">
        <v>277</v>
      </c>
      <c r="E99" s="4" t="str">
        <f t="shared" si="8"/>
        <v>RICHARD DEBLANDER</v>
      </c>
      <c r="F99" s="4" t="s">
        <v>27</v>
      </c>
      <c r="G99" s="4" t="s">
        <v>37</v>
      </c>
      <c r="H99" s="4" t="s">
        <v>29</v>
      </c>
      <c r="I99" s="5">
        <v>46266</v>
      </c>
      <c r="J99" s="5">
        <v>46266</v>
      </c>
      <c r="K99" s="4">
        <v>17528908</v>
      </c>
      <c r="L99" s="4" t="str">
        <f t="shared" si="7"/>
        <v>17528908OVR</v>
      </c>
      <c r="M99" s="4" t="s">
        <v>91</v>
      </c>
      <c r="N99" s="4">
        <v>-180.33</v>
      </c>
      <c r="O99" s="4">
        <v>-50</v>
      </c>
      <c r="P99" s="4" t="s">
        <v>345</v>
      </c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1:29" s="4" customFormat="1" x14ac:dyDescent="0.25">
      <c r="A100" s="4" t="s">
        <v>100</v>
      </c>
      <c r="B100" s="4" t="str">
        <f t="shared" si="6"/>
        <v>3ED5Q49PJ88OVR</v>
      </c>
      <c r="C100" s="4" t="s">
        <v>276</v>
      </c>
      <c r="D100" s="4" t="s">
        <v>277</v>
      </c>
      <c r="E100" s="4" t="str">
        <f t="shared" si="8"/>
        <v>RICHARD DEBLANDER</v>
      </c>
      <c r="F100" s="4" t="s">
        <v>27</v>
      </c>
      <c r="G100" s="4" t="s">
        <v>28</v>
      </c>
      <c r="H100" s="4" t="s">
        <v>29</v>
      </c>
      <c r="I100" s="5">
        <v>46266</v>
      </c>
      <c r="J100" s="5">
        <v>46266</v>
      </c>
      <c r="K100" s="4">
        <v>17528908</v>
      </c>
      <c r="L100" s="4" t="str">
        <f t="shared" si="7"/>
        <v>17528908OVR</v>
      </c>
      <c r="M100" s="4" t="s">
        <v>91</v>
      </c>
      <c r="N100" s="4">
        <v>931</v>
      </c>
      <c r="O100" s="4">
        <v>150</v>
      </c>
      <c r="P100" s="4" t="s">
        <v>345</v>
      </c>
    </row>
    <row r="101" spans="1:29" s="2" customFormat="1" x14ac:dyDescent="0.25">
      <c r="A101" s="4" t="s">
        <v>96</v>
      </c>
      <c r="B101" s="4" t="str">
        <f t="shared" si="6"/>
        <v>3EJ8GG5VX24OVR</v>
      </c>
      <c r="C101" s="4" t="s">
        <v>273</v>
      </c>
      <c r="D101" s="4" t="s">
        <v>275</v>
      </c>
      <c r="E101" s="4" t="str">
        <f t="shared" si="8"/>
        <v>ISIAH DALTON</v>
      </c>
      <c r="F101" s="4" t="s">
        <v>64</v>
      </c>
      <c r="G101" s="4" t="s">
        <v>37</v>
      </c>
      <c r="H101" s="4" t="s">
        <v>29</v>
      </c>
      <c r="I101" s="5">
        <v>46204</v>
      </c>
      <c r="J101" s="5">
        <v>46204</v>
      </c>
      <c r="K101" s="4">
        <v>9213293</v>
      </c>
      <c r="L101" s="4" t="str">
        <f t="shared" si="7"/>
        <v>9213293OVR</v>
      </c>
      <c r="M101" s="4" t="s">
        <v>55</v>
      </c>
      <c r="N101" s="4">
        <v>-248.5</v>
      </c>
      <c r="O101" s="4">
        <v>-75</v>
      </c>
      <c r="P101" s="4" t="s">
        <v>345</v>
      </c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1:29" s="4" customFormat="1" x14ac:dyDescent="0.25">
      <c r="A102" s="4" t="s">
        <v>96</v>
      </c>
      <c r="B102" s="4" t="str">
        <f t="shared" si="6"/>
        <v>3EJ8GG5VX24OVR</v>
      </c>
      <c r="C102" s="4" t="s">
        <v>273</v>
      </c>
      <c r="D102" s="4" t="s">
        <v>275</v>
      </c>
      <c r="E102" s="4" t="str">
        <f t="shared" si="8"/>
        <v>ISIAH DALTON</v>
      </c>
      <c r="F102" s="4" t="s">
        <v>64</v>
      </c>
      <c r="G102" s="4" t="s">
        <v>28</v>
      </c>
      <c r="H102" s="4" t="s">
        <v>29</v>
      </c>
      <c r="I102" s="5">
        <v>46204</v>
      </c>
      <c r="J102" s="5">
        <v>46204</v>
      </c>
      <c r="K102" s="4">
        <v>9213293</v>
      </c>
      <c r="L102" s="4" t="str">
        <f t="shared" si="7"/>
        <v>9213293OVR</v>
      </c>
      <c r="M102" s="4" t="s">
        <v>55</v>
      </c>
      <c r="N102" s="4">
        <v>844</v>
      </c>
      <c r="O102" s="4">
        <v>150</v>
      </c>
      <c r="P102" s="4" t="s">
        <v>345</v>
      </c>
    </row>
    <row r="103" spans="1:29" s="2" customFormat="1" x14ac:dyDescent="0.25">
      <c r="A103" s="4" t="s">
        <v>244</v>
      </c>
      <c r="B103" s="4" t="str">
        <f t="shared" si="6"/>
        <v>3NA3DY9RT12OVR</v>
      </c>
      <c r="C103" s="4" t="s">
        <v>340</v>
      </c>
      <c r="D103" s="4" t="s">
        <v>342</v>
      </c>
      <c r="E103" s="4" t="str">
        <f t="shared" si="8"/>
        <v>SHELBY YOUNG</v>
      </c>
      <c r="F103" s="4" t="s">
        <v>27</v>
      </c>
      <c r="G103" s="4" t="s">
        <v>65</v>
      </c>
      <c r="H103" s="4" t="s">
        <v>29</v>
      </c>
      <c r="I103" s="5">
        <v>46296</v>
      </c>
      <c r="J103" s="5">
        <v>46296</v>
      </c>
      <c r="K103" s="4">
        <v>20253958</v>
      </c>
      <c r="L103" s="4" t="str">
        <f t="shared" si="7"/>
        <v>20253958OVR</v>
      </c>
      <c r="M103" s="4" t="s">
        <v>48</v>
      </c>
      <c r="N103" s="4">
        <v>16.25</v>
      </c>
      <c r="O103" s="4">
        <v>16.25</v>
      </c>
      <c r="P103" s="4" t="s">
        <v>345</v>
      </c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1:29" s="2" customFormat="1" x14ac:dyDescent="0.25">
      <c r="A104" s="4" t="s">
        <v>200</v>
      </c>
      <c r="B104" s="4" t="str">
        <f t="shared" si="6"/>
        <v>4AM2RV7GN18OVR</v>
      </c>
      <c r="C104" s="4" t="s">
        <v>320</v>
      </c>
      <c r="D104" s="4" t="s">
        <v>321</v>
      </c>
      <c r="E104" s="4" t="str">
        <f t="shared" si="8"/>
        <v>ROBIN SAFRAN</v>
      </c>
      <c r="F104" s="4" t="s">
        <v>27</v>
      </c>
      <c r="G104" s="4" t="s">
        <v>37</v>
      </c>
      <c r="H104" s="4" t="s">
        <v>29</v>
      </c>
      <c r="I104" s="5">
        <v>46266</v>
      </c>
      <c r="J104" s="5">
        <v>46266</v>
      </c>
      <c r="K104" s="4">
        <v>18710070</v>
      </c>
      <c r="L104" s="4" t="str">
        <f t="shared" si="7"/>
        <v>18710070OVR</v>
      </c>
      <c r="M104" s="4" t="s">
        <v>43</v>
      </c>
      <c r="N104" s="4">
        <v>-180.33</v>
      </c>
      <c r="O104" s="4">
        <v>-50</v>
      </c>
      <c r="P104" s="4" t="s">
        <v>345</v>
      </c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1:29" s="2" customFormat="1" x14ac:dyDescent="0.25">
      <c r="A105" s="4" t="s">
        <v>200</v>
      </c>
      <c r="B105" s="4" t="str">
        <f t="shared" si="6"/>
        <v>4AM2RV7GN18OVR</v>
      </c>
      <c r="C105" s="4" t="s">
        <v>320</v>
      </c>
      <c r="D105" s="4" t="s">
        <v>321</v>
      </c>
      <c r="E105" s="4" t="str">
        <f t="shared" si="8"/>
        <v>ROBIN SAFRAN</v>
      </c>
      <c r="F105" s="4" t="s">
        <v>27</v>
      </c>
      <c r="G105" s="4" t="s">
        <v>28</v>
      </c>
      <c r="H105" s="4" t="s">
        <v>29</v>
      </c>
      <c r="I105" s="5">
        <v>46266</v>
      </c>
      <c r="J105" s="5">
        <v>46266</v>
      </c>
      <c r="K105" s="4">
        <v>18710070</v>
      </c>
      <c r="L105" s="4" t="str">
        <f t="shared" si="7"/>
        <v>18710070OVR</v>
      </c>
      <c r="M105" s="4" t="s">
        <v>43</v>
      </c>
      <c r="N105" s="4">
        <v>931</v>
      </c>
      <c r="O105" s="4">
        <v>150</v>
      </c>
      <c r="P105" s="4" t="s">
        <v>345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1:29" s="2" customFormat="1" x14ac:dyDescent="0.25">
      <c r="A106" s="4" t="s">
        <v>74</v>
      </c>
      <c r="B106" s="4" t="str">
        <f t="shared" si="6"/>
        <v>4EF8M46PH58OVR</v>
      </c>
      <c r="C106" s="4" t="s">
        <v>267</v>
      </c>
      <c r="D106" s="4" t="s">
        <v>268</v>
      </c>
      <c r="E106" s="4" t="str">
        <f t="shared" si="8"/>
        <v>WILLANDA BURT-HOLSENDOLPH</v>
      </c>
      <c r="F106" s="4" t="s">
        <v>77</v>
      </c>
      <c r="G106" s="4" t="s">
        <v>28</v>
      </c>
      <c r="H106" s="4" t="s">
        <v>29</v>
      </c>
      <c r="I106" s="5">
        <v>46235</v>
      </c>
      <c r="J106" s="5">
        <v>46235</v>
      </c>
      <c r="K106" s="4">
        <v>8307933</v>
      </c>
      <c r="L106" s="4" t="str">
        <f t="shared" si="7"/>
        <v>8307933OVR</v>
      </c>
      <c r="M106" s="4" t="s">
        <v>80</v>
      </c>
      <c r="N106" s="4">
        <v>959</v>
      </c>
      <c r="O106" s="4">
        <f>959-694</f>
        <v>265</v>
      </c>
      <c r="P106" s="4" t="s">
        <v>345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1:29" s="2" customFormat="1" x14ac:dyDescent="0.25">
      <c r="A107" s="4" t="s">
        <v>155</v>
      </c>
      <c r="B107" s="4" t="str">
        <f t="shared" si="6"/>
        <v>4H65UJ9FC76OVR</v>
      </c>
      <c r="C107" s="4" t="s">
        <v>301</v>
      </c>
      <c r="D107" s="4" t="s">
        <v>302</v>
      </c>
      <c r="E107" s="4" t="str">
        <f t="shared" si="8"/>
        <v>YONG MARCH</v>
      </c>
      <c r="F107" s="4" t="s">
        <v>27</v>
      </c>
      <c r="G107" s="4" t="s">
        <v>37</v>
      </c>
      <c r="H107" s="4" t="s">
        <v>29</v>
      </c>
      <c r="I107" s="5">
        <v>46204</v>
      </c>
      <c r="J107" s="5">
        <v>46204</v>
      </c>
      <c r="K107" s="4">
        <v>17528908</v>
      </c>
      <c r="L107" s="4" t="str">
        <f t="shared" si="7"/>
        <v>17528908OVR</v>
      </c>
      <c r="M107" s="4" t="s">
        <v>91</v>
      </c>
      <c r="N107" s="4">
        <v>-270.5</v>
      </c>
      <c r="O107" s="4">
        <v>-75</v>
      </c>
      <c r="P107" s="4" t="s">
        <v>345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1:29" s="2" customFormat="1" x14ac:dyDescent="0.25">
      <c r="A108" s="4" t="s">
        <v>155</v>
      </c>
      <c r="B108" s="4" t="str">
        <f t="shared" si="6"/>
        <v>4H65UJ9FC76OVR</v>
      </c>
      <c r="C108" s="4" t="s">
        <v>301</v>
      </c>
      <c r="D108" s="4" t="s">
        <v>302</v>
      </c>
      <c r="E108" s="4" t="str">
        <f t="shared" si="8"/>
        <v>YONG MARCH</v>
      </c>
      <c r="F108" s="4" t="s">
        <v>27</v>
      </c>
      <c r="G108" s="4" t="s">
        <v>28</v>
      </c>
      <c r="H108" s="4" t="s">
        <v>29</v>
      </c>
      <c r="I108" s="5">
        <v>46204</v>
      </c>
      <c r="J108" s="5">
        <v>46204</v>
      </c>
      <c r="K108" s="4">
        <v>17528908</v>
      </c>
      <c r="L108" s="4" t="str">
        <f t="shared" si="7"/>
        <v>17528908OVR</v>
      </c>
      <c r="M108" s="4" t="s">
        <v>91</v>
      </c>
      <c r="N108" s="4">
        <v>931</v>
      </c>
      <c r="O108" s="4">
        <v>150</v>
      </c>
      <c r="P108" s="4" t="s">
        <v>345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1:29" s="2" customFormat="1" x14ac:dyDescent="0.25">
      <c r="A109" s="4" t="s">
        <v>224</v>
      </c>
      <c r="B109" s="4" t="str">
        <f t="shared" si="6"/>
        <v>4HW4Y22EA66OVR</v>
      </c>
      <c r="C109" s="4" t="s">
        <v>332</v>
      </c>
      <c r="D109" s="4" t="s">
        <v>333</v>
      </c>
      <c r="E109" s="4" t="str">
        <f t="shared" si="8"/>
        <v>MARILYN WEBER</v>
      </c>
      <c r="F109" s="4" t="s">
        <v>64</v>
      </c>
      <c r="G109" s="4" t="s">
        <v>37</v>
      </c>
      <c r="H109" s="4" t="s">
        <v>29</v>
      </c>
      <c r="I109" s="5">
        <v>46235</v>
      </c>
      <c r="J109" s="5">
        <v>46235</v>
      </c>
      <c r="K109" s="4">
        <v>16228684</v>
      </c>
      <c r="L109" s="4" t="str">
        <f t="shared" si="7"/>
        <v>16228684OVR</v>
      </c>
      <c r="M109" s="4" t="s">
        <v>227</v>
      </c>
      <c r="N109" s="4">
        <v>-207.08</v>
      </c>
      <c r="O109" s="4">
        <v>-62.5</v>
      </c>
      <c r="P109" s="4" t="s">
        <v>345</v>
      </c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1:29" s="2" customFormat="1" x14ac:dyDescent="0.25">
      <c r="A110" s="4" t="s">
        <v>224</v>
      </c>
      <c r="B110" s="4" t="str">
        <f t="shared" si="6"/>
        <v>4HW4Y22EA66OVR</v>
      </c>
      <c r="C110" s="4" t="s">
        <v>332</v>
      </c>
      <c r="D110" s="4" t="s">
        <v>333</v>
      </c>
      <c r="E110" s="4" t="str">
        <f t="shared" si="8"/>
        <v>MARILYN WEBER</v>
      </c>
      <c r="F110" s="4" t="s">
        <v>64</v>
      </c>
      <c r="G110" s="4" t="s">
        <v>28</v>
      </c>
      <c r="H110" s="4" t="s">
        <v>29</v>
      </c>
      <c r="I110" s="5">
        <v>46235</v>
      </c>
      <c r="J110" s="5">
        <v>46235</v>
      </c>
      <c r="K110" s="4">
        <v>16228684</v>
      </c>
      <c r="L110" s="4" t="str">
        <f t="shared" si="7"/>
        <v>16228684OVR</v>
      </c>
      <c r="M110" s="4" t="s">
        <v>227</v>
      </c>
      <c r="N110" s="4">
        <v>844</v>
      </c>
      <c r="O110" s="4">
        <v>150</v>
      </c>
      <c r="P110" s="4" t="s">
        <v>345</v>
      </c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1:29" s="2" customFormat="1" x14ac:dyDescent="0.25">
      <c r="A111" s="4" t="s">
        <v>39</v>
      </c>
      <c r="B111" s="4" t="str">
        <f t="shared" si="6"/>
        <v>4U93TN9EN08OVR</v>
      </c>
      <c r="C111" s="4" t="s">
        <v>255</v>
      </c>
      <c r="D111" s="4" t="s">
        <v>256</v>
      </c>
      <c r="E111" s="4" t="str">
        <f t="shared" si="8"/>
        <v>BRENDA BARDELLA</v>
      </c>
      <c r="F111" s="4" t="s">
        <v>27</v>
      </c>
      <c r="G111" s="4" t="s">
        <v>37</v>
      </c>
      <c r="H111" s="4" t="s">
        <v>29</v>
      </c>
      <c r="I111" s="5">
        <v>46235</v>
      </c>
      <c r="J111" s="5">
        <v>46235</v>
      </c>
      <c r="K111" s="4">
        <v>18710070</v>
      </c>
      <c r="L111" s="4" t="str">
        <f t="shared" si="7"/>
        <v>18710070OVR</v>
      </c>
      <c r="M111" s="4" t="s">
        <v>43</v>
      </c>
      <c r="N111" s="4">
        <v>-225.42</v>
      </c>
      <c r="O111" s="4">
        <v>-62.5</v>
      </c>
      <c r="P111" s="4" t="s">
        <v>345</v>
      </c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1:29" s="2" customFormat="1" x14ac:dyDescent="0.25">
      <c r="A112" s="4" t="s">
        <v>39</v>
      </c>
      <c r="B112" s="4" t="str">
        <f t="shared" si="6"/>
        <v>4U93TN9EN08OVR</v>
      </c>
      <c r="C112" s="4" t="s">
        <v>255</v>
      </c>
      <c r="D112" s="4" t="s">
        <v>256</v>
      </c>
      <c r="E112" s="4" t="str">
        <f t="shared" si="8"/>
        <v>BRENDA BARDELLA</v>
      </c>
      <c r="F112" s="4" t="s">
        <v>27</v>
      </c>
      <c r="G112" s="4" t="s">
        <v>28</v>
      </c>
      <c r="H112" s="4" t="s">
        <v>29</v>
      </c>
      <c r="I112" s="5">
        <v>46235</v>
      </c>
      <c r="J112" s="5">
        <v>46235</v>
      </c>
      <c r="K112" s="4">
        <v>18710070</v>
      </c>
      <c r="L112" s="4" t="str">
        <f t="shared" si="7"/>
        <v>18710070OVR</v>
      </c>
      <c r="M112" s="4" t="s">
        <v>43</v>
      </c>
      <c r="N112" s="4">
        <v>931</v>
      </c>
      <c r="O112" s="4">
        <v>150</v>
      </c>
      <c r="P112" s="4" t="s">
        <v>345</v>
      </c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:29" s="2" customFormat="1" x14ac:dyDescent="0.25">
      <c r="A113" s="4" t="s">
        <v>216</v>
      </c>
      <c r="B113" s="4" t="str">
        <f t="shared" si="6"/>
        <v>4UA2VN4AJ96OVR</v>
      </c>
      <c r="C113" s="4" t="s">
        <v>328</v>
      </c>
      <c r="D113" s="4" t="s">
        <v>329</v>
      </c>
      <c r="E113" s="4" t="str">
        <f t="shared" si="8"/>
        <v>MARGARET TERLESKI</v>
      </c>
      <c r="F113" s="4" t="s">
        <v>27</v>
      </c>
      <c r="G113" s="4" t="s">
        <v>220</v>
      </c>
      <c r="H113" s="4" t="s">
        <v>29</v>
      </c>
      <c r="I113" s="5">
        <v>46023</v>
      </c>
      <c r="J113" s="5">
        <v>46023</v>
      </c>
      <c r="K113" s="4">
        <v>15950276</v>
      </c>
      <c r="L113" s="4" t="str">
        <f t="shared" si="7"/>
        <v>15950276OVR</v>
      </c>
      <c r="M113" s="4" t="s">
        <v>33</v>
      </c>
      <c r="N113" s="4">
        <v>-931</v>
      </c>
      <c r="O113" s="4">
        <v>-150</v>
      </c>
      <c r="P113" s="4" t="s">
        <v>345</v>
      </c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:29" s="2" customFormat="1" x14ac:dyDescent="0.25">
      <c r="A114" s="4" t="s">
        <v>216</v>
      </c>
      <c r="B114" s="4" t="str">
        <f t="shared" si="6"/>
        <v>4UA2VN4AJ96OVR</v>
      </c>
      <c r="C114" s="4" t="s">
        <v>328</v>
      </c>
      <c r="D114" s="4" t="s">
        <v>329</v>
      </c>
      <c r="E114" s="4" t="str">
        <f t="shared" si="8"/>
        <v>MARGARET TERLESKI</v>
      </c>
      <c r="F114" s="4" t="s">
        <v>27</v>
      </c>
      <c r="G114" s="4" t="s">
        <v>219</v>
      </c>
      <c r="H114" s="4" t="s">
        <v>29</v>
      </c>
      <c r="I114" s="5">
        <v>46023</v>
      </c>
      <c r="J114" s="5">
        <v>46023</v>
      </c>
      <c r="K114" s="4">
        <v>15950276</v>
      </c>
      <c r="L114" s="4" t="str">
        <f t="shared" si="7"/>
        <v>15950276OVR</v>
      </c>
      <c r="M114" s="4" t="s">
        <v>33</v>
      </c>
      <c r="N114" s="4">
        <v>543.08000000000004</v>
      </c>
      <c r="O114" s="4">
        <v>87.5</v>
      </c>
      <c r="P114" s="4" t="s">
        <v>345</v>
      </c>
      <c r="Q114" s="4"/>
      <c r="R114" s="4"/>
      <c r="S114" s="4"/>
      <c r="T114" s="4">
        <f>150/12*7</f>
        <v>87.5</v>
      </c>
      <c r="U114" s="4"/>
      <c r="V114" s="4"/>
      <c r="W114" s="4"/>
      <c r="X114" s="4"/>
      <c r="Y114" s="4"/>
      <c r="Z114" s="4"/>
      <c r="AA114" s="4"/>
      <c r="AB114" s="4"/>
      <c r="AC114" s="4"/>
    </row>
    <row r="115" spans="1:29" s="2" customFormat="1" x14ac:dyDescent="0.25">
      <c r="A115" s="4" t="s">
        <v>152</v>
      </c>
      <c r="B115" s="4" t="str">
        <f t="shared" si="6"/>
        <v>5AD1AH7MX10OVR</v>
      </c>
      <c r="C115" s="4" t="s">
        <v>299</v>
      </c>
      <c r="D115" s="4" t="s">
        <v>300</v>
      </c>
      <c r="E115" s="4" t="str">
        <f t="shared" si="8"/>
        <v>JEFFREY LOPEZ</v>
      </c>
      <c r="F115" s="4" t="s">
        <v>137</v>
      </c>
      <c r="G115" s="4" t="s">
        <v>65</v>
      </c>
      <c r="H115" s="4" t="s">
        <v>29</v>
      </c>
      <c r="I115" s="5">
        <v>46296</v>
      </c>
      <c r="J115" s="5">
        <v>46296</v>
      </c>
      <c r="K115" s="4">
        <v>16170994</v>
      </c>
      <c r="L115" s="4" t="str">
        <f t="shared" si="7"/>
        <v>16170994OVR</v>
      </c>
      <c r="M115" s="4" t="s">
        <v>145</v>
      </c>
      <c r="N115" s="4">
        <v>124.25</v>
      </c>
      <c r="O115" s="4">
        <v>37.5</v>
      </c>
      <c r="P115" s="4" t="s">
        <v>345</v>
      </c>
      <c r="Q115" s="4"/>
      <c r="R115" s="4"/>
      <c r="S115" s="4"/>
      <c r="T115" s="4">
        <f>150/12*3</f>
        <v>37.5</v>
      </c>
      <c r="U115" s="4"/>
      <c r="V115" s="4"/>
      <c r="W115" s="4"/>
      <c r="X115" s="4"/>
      <c r="Y115" s="4"/>
      <c r="Z115" s="4"/>
      <c r="AA115" s="4"/>
      <c r="AB115" s="4"/>
      <c r="AC115" s="4"/>
    </row>
    <row r="116" spans="1:29" s="2" customFormat="1" x14ac:dyDescent="0.25">
      <c r="A116" s="4" t="s">
        <v>221</v>
      </c>
      <c r="B116" s="4" t="str">
        <f t="shared" si="6"/>
        <v>5DQ3TT6VJ70OVR</v>
      </c>
      <c r="C116" s="4" t="s">
        <v>330</v>
      </c>
      <c r="D116" s="4" t="s">
        <v>331</v>
      </c>
      <c r="E116" s="4" t="str">
        <f t="shared" si="8"/>
        <v>SHARAN WATSON</v>
      </c>
      <c r="F116" s="4" t="s">
        <v>137</v>
      </c>
      <c r="G116" s="4" t="s">
        <v>37</v>
      </c>
      <c r="H116" s="4" t="s">
        <v>29</v>
      </c>
      <c r="I116" s="5">
        <v>46204</v>
      </c>
      <c r="J116" s="5">
        <v>46204</v>
      </c>
      <c r="K116" s="4">
        <v>16170994</v>
      </c>
      <c r="L116" s="4" t="str">
        <f t="shared" si="7"/>
        <v>16170994OVR</v>
      </c>
      <c r="M116" s="4" t="s">
        <v>145</v>
      </c>
      <c r="N116" s="4">
        <v>-248.5</v>
      </c>
      <c r="O116" s="4">
        <v>-75</v>
      </c>
      <c r="P116" s="4" t="s">
        <v>345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:29" s="2" customFormat="1" x14ac:dyDescent="0.25">
      <c r="A117" s="4" t="s">
        <v>221</v>
      </c>
      <c r="B117" s="4" t="str">
        <f t="shared" si="6"/>
        <v>5DQ3TT6VJ70OVR</v>
      </c>
      <c r="C117" s="4" t="s">
        <v>330</v>
      </c>
      <c r="D117" s="4" t="s">
        <v>331</v>
      </c>
      <c r="E117" s="4" t="str">
        <f t="shared" si="8"/>
        <v>SHARAN WATSON</v>
      </c>
      <c r="F117" s="4" t="s">
        <v>137</v>
      </c>
      <c r="G117" s="4" t="s">
        <v>28</v>
      </c>
      <c r="H117" s="4" t="s">
        <v>29</v>
      </c>
      <c r="I117" s="5">
        <v>46204</v>
      </c>
      <c r="J117" s="5">
        <v>46204</v>
      </c>
      <c r="K117" s="4">
        <v>16170994</v>
      </c>
      <c r="L117" s="4" t="str">
        <f t="shared" si="7"/>
        <v>16170994OVR</v>
      </c>
      <c r="M117" s="4" t="s">
        <v>145</v>
      </c>
      <c r="N117" s="4">
        <v>844</v>
      </c>
      <c r="O117" s="4">
        <v>150</v>
      </c>
      <c r="P117" s="4" t="s">
        <v>345</v>
      </c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:29" s="2" customFormat="1" x14ac:dyDescent="0.25">
      <c r="A118" s="4" t="s">
        <v>44</v>
      </c>
      <c r="B118" s="4" t="str">
        <f t="shared" si="6"/>
        <v>5HH5YX2JT89OVR</v>
      </c>
      <c r="C118" s="4" t="s">
        <v>257</v>
      </c>
      <c r="D118" s="4" t="s">
        <v>258</v>
      </c>
      <c r="E118" s="4" t="str">
        <f t="shared" si="8"/>
        <v>LISA BARTO</v>
      </c>
      <c r="F118" s="4" t="s">
        <v>27</v>
      </c>
      <c r="G118" s="4" t="s">
        <v>37</v>
      </c>
      <c r="H118" s="4" t="s">
        <v>29</v>
      </c>
      <c r="I118" s="5">
        <v>46235</v>
      </c>
      <c r="J118" s="5">
        <v>46235</v>
      </c>
      <c r="K118" s="4">
        <v>20253958</v>
      </c>
      <c r="L118" s="4" t="str">
        <f t="shared" si="7"/>
        <v>20253958OVR</v>
      </c>
      <c r="M118" s="4" t="s">
        <v>48</v>
      </c>
      <c r="N118" s="4">
        <v>-27.09</v>
      </c>
      <c r="O118" s="4">
        <v>-27.09</v>
      </c>
      <c r="P118" s="4" t="s">
        <v>345</v>
      </c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:29" s="2" customFormat="1" x14ac:dyDescent="0.25">
      <c r="A119" s="4" t="s">
        <v>44</v>
      </c>
      <c r="B119" s="4" t="str">
        <f t="shared" ref="B119:B150" si="9">CONCATENATE(A119,"OVR")</f>
        <v>5HH5YX2JT89OVR</v>
      </c>
      <c r="C119" s="4" t="s">
        <v>257</v>
      </c>
      <c r="D119" s="4" t="s">
        <v>258</v>
      </c>
      <c r="E119" s="4" t="str">
        <f t="shared" si="8"/>
        <v>LISA BARTO</v>
      </c>
      <c r="F119" s="4" t="s">
        <v>27</v>
      </c>
      <c r="G119" s="4" t="s">
        <v>28</v>
      </c>
      <c r="H119" s="4" t="s">
        <v>29</v>
      </c>
      <c r="I119" s="5">
        <v>46235</v>
      </c>
      <c r="J119" s="5">
        <v>46235</v>
      </c>
      <c r="K119" s="4">
        <v>20253958</v>
      </c>
      <c r="L119" s="4" t="str">
        <f t="shared" ref="L119:L150" si="10">CONCATENATE(K119,"OVR")</f>
        <v>20253958OVR</v>
      </c>
      <c r="M119" s="4" t="s">
        <v>48</v>
      </c>
      <c r="N119" s="4">
        <v>65</v>
      </c>
      <c r="O119" s="4">
        <v>65</v>
      </c>
      <c r="P119" s="4" t="s">
        <v>345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:29" s="2" customFormat="1" x14ac:dyDescent="0.25">
      <c r="A120" s="4" t="s">
        <v>127</v>
      </c>
      <c r="B120" s="4" t="str">
        <f t="shared" si="9"/>
        <v>5NG2E52EW81OVR</v>
      </c>
      <c r="C120" s="4" t="s">
        <v>290</v>
      </c>
      <c r="D120" s="4" t="s">
        <v>291</v>
      </c>
      <c r="E120" s="4" t="str">
        <f t="shared" si="8"/>
        <v>DEANNA JOHNSON</v>
      </c>
      <c r="F120" s="4" t="s">
        <v>130</v>
      </c>
      <c r="G120" s="4" t="s">
        <v>37</v>
      </c>
      <c r="H120" s="4" t="s">
        <v>131</v>
      </c>
      <c r="I120" s="5">
        <v>46204</v>
      </c>
      <c r="J120" s="5">
        <v>46204</v>
      </c>
      <c r="K120" s="4">
        <v>8325282</v>
      </c>
      <c r="L120" s="4" t="str">
        <f t="shared" si="10"/>
        <v>8325282OVR</v>
      </c>
      <c r="M120" s="4" t="s">
        <v>133</v>
      </c>
      <c r="N120" s="4">
        <v>-248.5</v>
      </c>
      <c r="O120" s="4">
        <v>-75</v>
      </c>
      <c r="P120" s="4" t="s">
        <v>345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:29" s="2" customFormat="1" x14ac:dyDescent="0.25">
      <c r="A121" s="4" t="s">
        <v>127</v>
      </c>
      <c r="B121" s="4" t="str">
        <f t="shared" si="9"/>
        <v>5NG2E52EW81OVR</v>
      </c>
      <c r="C121" s="4" t="s">
        <v>290</v>
      </c>
      <c r="D121" s="4" t="s">
        <v>291</v>
      </c>
      <c r="E121" s="4" t="str">
        <f t="shared" si="8"/>
        <v>DEANNA JOHNSON</v>
      </c>
      <c r="F121" s="4" t="s">
        <v>130</v>
      </c>
      <c r="G121" s="4" t="s">
        <v>28</v>
      </c>
      <c r="H121" s="4" t="s">
        <v>131</v>
      </c>
      <c r="I121" s="5">
        <v>46204</v>
      </c>
      <c r="J121" s="5">
        <v>46204</v>
      </c>
      <c r="K121" s="4">
        <v>8325282</v>
      </c>
      <c r="L121" s="4" t="str">
        <f t="shared" si="10"/>
        <v>8325282OVR</v>
      </c>
      <c r="M121" s="4" t="s">
        <v>133</v>
      </c>
      <c r="N121" s="4">
        <v>844</v>
      </c>
      <c r="O121" s="4">
        <v>150</v>
      </c>
      <c r="P121" s="4" t="s">
        <v>345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:29" s="2" customFormat="1" x14ac:dyDescent="0.25">
      <c r="A122" s="4" t="s">
        <v>119</v>
      </c>
      <c r="B122" s="4" t="str">
        <f t="shared" si="9"/>
        <v>5RU6N39FR87OVR</v>
      </c>
      <c r="C122" s="4" t="s">
        <v>286</v>
      </c>
      <c r="D122" s="4" t="s">
        <v>287</v>
      </c>
      <c r="E122" s="4" t="str">
        <f t="shared" si="8"/>
        <v>MICHAEL ISAACS</v>
      </c>
      <c r="F122" s="4" t="s">
        <v>64</v>
      </c>
      <c r="G122" s="4" t="s">
        <v>37</v>
      </c>
      <c r="H122" s="4" t="s">
        <v>29</v>
      </c>
      <c r="I122" s="5">
        <v>46204</v>
      </c>
      <c r="J122" s="5">
        <v>46204</v>
      </c>
      <c r="K122" s="4">
        <v>7470776</v>
      </c>
      <c r="L122" s="4" t="str">
        <f t="shared" si="10"/>
        <v>7470776OVR</v>
      </c>
      <c r="M122" s="4" t="s">
        <v>108</v>
      </c>
      <c r="N122" s="4">
        <v>-248.5</v>
      </c>
      <c r="O122" s="4">
        <v>-75</v>
      </c>
      <c r="P122" s="4" t="s">
        <v>345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:29" s="2" customFormat="1" x14ac:dyDescent="0.25">
      <c r="A123" s="4" t="s">
        <v>119</v>
      </c>
      <c r="B123" s="4" t="str">
        <f t="shared" si="9"/>
        <v>5RU6N39FR87OVR</v>
      </c>
      <c r="C123" s="4" t="s">
        <v>286</v>
      </c>
      <c r="D123" s="4" t="s">
        <v>287</v>
      </c>
      <c r="E123" s="4" t="str">
        <f t="shared" si="8"/>
        <v>MICHAEL ISAACS</v>
      </c>
      <c r="F123" s="4" t="s">
        <v>64</v>
      </c>
      <c r="G123" s="4" t="s">
        <v>28</v>
      </c>
      <c r="H123" s="4" t="s">
        <v>29</v>
      </c>
      <c r="I123" s="5">
        <v>46204</v>
      </c>
      <c r="J123" s="5">
        <v>46204</v>
      </c>
      <c r="K123" s="4">
        <v>7470776</v>
      </c>
      <c r="L123" s="4" t="str">
        <f t="shared" si="10"/>
        <v>7470776OVR</v>
      </c>
      <c r="M123" s="4" t="s">
        <v>108</v>
      </c>
      <c r="N123" s="4">
        <v>844</v>
      </c>
      <c r="O123" s="4">
        <v>150</v>
      </c>
      <c r="P123" s="4" t="s">
        <v>345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:29" s="2" customFormat="1" x14ac:dyDescent="0.25">
      <c r="A124" s="4" t="s">
        <v>239</v>
      </c>
      <c r="B124" s="4" t="str">
        <f t="shared" si="9"/>
        <v>5T87MP7GD49OVR</v>
      </c>
      <c r="C124" s="4" t="s">
        <v>340</v>
      </c>
      <c r="D124" s="4" t="s">
        <v>341</v>
      </c>
      <c r="E124" s="4" t="str">
        <f t="shared" si="8"/>
        <v>DARLA YOUNG</v>
      </c>
      <c r="F124" s="4" t="s">
        <v>137</v>
      </c>
      <c r="G124" s="4" t="s">
        <v>65</v>
      </c>
      <c r="H124" s="4" t="s">
        <v>29</v>
      </c>
      <c r="I124" s="5">
        <v>46296</v>
      </c>
      <c r="J124" s="5">
        <v>46296</v>
      </c>
      <c r="K124" s="4">
        <v>18598357</v>
      </c>
      <c r="L124" s="4" t="str">
        <f t="shared" si="10"/>
        <v>18598357OVR</v>
      </c>
      <c r="M124" s="4" t="s">
        <v>243</v>
      </c>
      <c r="N124" s="4">
        <v>124.25</v>
      </c>
      <c r="O124" s="4">
        <v>37.5</v>
      </c>
      <c r="P124" s="4" t="s">
        <v>345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:29" s="2" customFormat="1" x14ac:dyDescent="0.25">
      <c r="A125" s="4" t="s">
        <v>134</v>
      </c>
      <c r="B125" s="4" t="str">
        <f t="shared" si="9"/>
        <v>6CJ6RA2XD40OVR</v>
      </c>
      <c r="C125" s="4" t="s">
        <v>292</v>
      </c>
      <c r="D125" s="4" t="s">
        <v>293</v>
      </c>
      <c r="E125" s="4" t="str">
        <f t="shared" si="8"/>
        <v>HOLLIANNE KANOSKI</v>
      </c>
      <c r="F125" s="4" t="s">
        <v>137</v>
      </c>
      <c r="G125" s="4" t="s">
        <v>65</v>
      </c>
      <c r="H125" s="4" t="s">
        <v>29</v>
      </c>
      <c r="I125" s="5">
        <v>46266</v>
      </c>
      <c r="J125" s="5">
        <v>46266</v>
      </c>
      <c r="K125" s="4">
        <v>19491313</v>
      </c>
      <c r="L125" s="4" t="str">
        <f t="shared" si="10"/>
        <v>19491313OVR</v>
      </c>
      <c r="M125" s="4" t="s">
        <v>140</v>
      </c>
      <c r="N125" s="4">
        <v>165.67</v>
      </c>
      <c r="O125" s="4">
        <v>50</v>
      </c>
      <c r="P125" s="4" t="s">
        <v>345</v>
      </c>
      <c r="Q125" s="4"/>
      <c r="R125" s="4"/>
      <c r="S125" s="4"/>
      <c r="T125" s="4">
        <f>150/12*4</f>
        <v>50</v>
      </c>
      <c r="U125" s="4"/>
      <c r="V125" s="4"/>
      <c r="W125" s="4"/>
      <c r="X125" s="4"/>
      <c r="Y125" s="4"/>
      <c r="Z125" s="4"/>
      <c r="AA125" s="4"/>
      <c r="AB125" s="4"/>
      <c r="AC125" s="4"/>
    </row>
    <row r="126" spans="1:29" s="4" customFormat="1" x14ac:dyDescent="0.25">
      <c r="A126" s="4" t="s">
        <v>179</v>
      </c>
      <c r="B126" s="4" t="str">
        <f t="shared" si="9"/>
        <v>6K19N67DJ17OVR</v>
      </c>
      <c r="C126" s="4" t="s">
        <v>310</v>
      </c>
      <c r="D126" s="4" t="s">
        <v>311</v>
      </c>
      <c r="E126" s="4" t="str">
        <f t="shared" si="8"/>
        <v>LORETTA PASSAFIUME</v>
      </c>
      <c r="F126" s="4" t="s">
        <v>166</v>
      </c>
      <c r="G126" s="4" t="s">
        <v>37</v>
      </c>
      <c r="H126" s="4" t="s">
        <v>29</v>
      </c>
      <c r="I126" s="5">
        <v>46204</v>
      </c>
      <c r="J126" s="5">
        <v>46204</v>
      </c>
      <c r="K126" s="4">
        <v>16212649</v>
      </c>
      <c r="L126" s="4" t="str">
        <f t="shared" si="10"/>
        <v>16212649OVR</v>
      </c>
      <c r="M126" s="4" t="s">
        <v>182</v>
      </c>
      <c r="N126" s="4">
        <v>-303.5</v>
      </c>
      <c r="O126" s="4">
        <v>-87.5</v>
      </c>
      <c r="P126" s="4" t="s">
        <v>345</v>
      </c>
    </row>
    <row r="127" spans="1:29" s="4" customFormat="1" x14ac:dyDescent="0.25">
      <c r="A127" s="4" t="s">
        <v>179</v>
      </c>
      <c r="B127" s="4" t="str">
        <f t="shared" si="9"/>
        <v>6K19N67DJ17OVR</v>
      </c>
      <c r="C127" s="4" t="s">
        <v>310</v>
      </c>
      <c r="D127" s="4" t="s">
        <v>311</v>
      </c>
      <c r="E127" s="4" t="str">
        <f t="shared" si="8"/>
        <v>LORETTA PASSAFIUME</v>
      </c>
      <c r="F127" s="4" t="s">
        <v>166</v>
      </c>
      <c r="G127" s="4" t="s">
        <v>28</v>
      </c>
      <c r="H127" s="4" t="s">
        <v>29</v>
      </c>
      <c r="I127" s="5">
        <v>46204</v>
      </c>
      <c r="J127" s="5">
        <v>46204</v>
      </c>
      <c r="K127" s="4">
        <v>16212649</v>
      </c>
      <c r="L127" s="4" t="str">
        <f t="shared" si="10"/>
        <v>16212649OVR</v>
      </c>
      <c r="M127" s="4" t="s">
        <v>182</v>
      </c>
      <c r="N127" s="4">
        <v>1039</v>
      </c>
      <c r="O127" s="4">
        <v>175</v>
      </c>
      <c r="P127" s="4" t="s">
        <v>345</v>
      </c>
    </row>
    <row r="128" spans="1:29" s="4" customFormat="1" x14ac:dyDescent="0.25">
      <c r="A128" s="4" t="s">
        <v>104</v>
      </c>
      <c r="B128" s="4" t="str">
        <f t="shared" si="9"/>
        <v>6ME5NK2NG77OVR</v>
      </c>
      <c r="C128" s="4" t="s">
        <v>278</v>
      </c>
      <c r="D128" s="4" t="s">
        <v>279</v>
      </c>
      <c r="E128" s="4" t="str">
        <f t="shared" si="8"/>
        <v>JOHN FURTH</v>
      </c>
      <c r="F128" s="4" t="s">
        <v>64</v>
      </c>
      <c r="G128" s="4" t="s">
        <v>37</v>
      </c>
      <c r="H128" s="4" t="s">
        <v>29</v>
      </c>
      <c r="I128" s="5">
        <v>46235</v>
      </c>
      <c r="J128" s="5">
        <v>46235</v>
      </c>
      <c r="K128" s="4">
        <v>7470776</v>
      </c>
      <c r="L128" s="4" t="str">
        <f t="shared" si="10"/>
        <v>7470776OVR</v>
      </c>
      <c r="M128" s="4" t="s">
        <v>108</v>
      </c>
      <c r="N128" s="4">
        <v>-207.08</v>
      </c>
      <c r="O128" s="4">
        <v>-62.5</v>
      </c>
      <c r="P128" s="4" t="s">
        <v>345</v>
      </c>
    </row>
    <row r="129" spans="1:20" s="4" customFormat="1" x14ac:dyDescent="0.25">
      <c r="A129" s="4" t="s">
        <v>104</v>
      </c>
      <c r="B129" s="4" t="str">
        <f t="shared" si="9"/>
        <v>6ME5NK2NG77OVR</v>
      </c>
      <c r="C129" s="4" t="s">
        <v>278</v>
      </c>
      <c r="D129" s="4" t="s">
        <v>279</v>
      </c>
      <c r="E129" s="4" t="str">
        <f t="shared" si="8"/>
        <v>JOHN FURTH</v>
      </c>
      <c r="F129" s="4" t="s">
        <v>64</v>
      </c>
      <c r="G129" s="4" t="s">
        <v>28</v>
      </c>
      <c r="H129" s="4" t="s">
        <v>29</v>
      </c>
      <c r="I129" s="5">
        <v>46235</v>
      </c>
      <c r="J129" s="5">
        <v>46235</v>
      </c>
      <c r="K129" s="4">
        <v>7470776</v>
      </c>
      <c r="L129" s="4" t="str">
        <f t="shared" si="10"/>
        <v>7470776OVR</v>
      </c>
      <c r="M129" s="4" t="s">
        <v>108</v>
      </c>
      <c r="N129" s="4">
        <v>844</v>
      </c>
      <c r="O129" s="4">
        <v>150</v>
      </c>
      <c r="P129" s="4" t="s">
        <v>345</v>
      </c>
    </row>
    <row r="130" spans="1:20" s="4" customFormat="1" x14ac:dyDescent="0.25">
      <c r="A130" s="4" t="s">
        <v>61</v>
      </c>
      <c r="B130" s="4" t="str">
        <f t="shared" si="9"/>
        <v>6P18QM9XX67OVR</v>
      </c>
      <c r="C130" s="4" t="s">
        <v>263</v>
      </c>
      <c r="D130" s="4" t="s">
        <v>264</v>
      </c>
      <c r="E130" s="4" t="str">
        <f t="shared" ref="E130:E161" si="11">CONCATENATE(D130," ",C130)</f>
        <v>ANNA BUCARO</v>
      </c>
      <c r="F130" s="4" t="s">
        <v>64</v>
      </c>
      <c r="G130" s="4" t="s">
        <v>65</v>
      </c>
      <c r="H130" s="4" t="s">
        <v>29</v>
      </c>
      <c r="I130" s="5">
        <v>46235</v>
      </c>
      <c r="J130" s="5">
        <v>46235</v>
      </c>
      <c r="K130" s="4">
        <v>9213293</v>
      </c>
      <c r="L130" s="4" t="str">
        <f t="shared" si="10"/>
        <v>9213293OVR</v>
      </c>
      <c r="M130" s="4" t="s">
        <v>55</v>
      </c>
      <c r="N130" s="4">
        <v>207.08</v>
      </c>
      <c r="O130" s="4">
        <v>62.5</v>
      </c>
      <c r="P130" s="4" t="s">
        <v>345</v>
      </c>
      <c r="T130" s="4">
        <f>150/12*5</f>
        <v>62.5</v>
      </c>
    </row>
    <row r="131" spans="1:20" s="4" customFormat="1" x14ac:dyDescent="0.25">
      <c r="A131" s="4" t="s">
        <v>49</v>
      </c>
      <c r="B131" s="4" t="str">
        <f t="shared" si="9"/>
        <v>6R65HJ4YJ52OVR</v>
      </c>
      <c r="C131" s="4" t="s">
        <v>259</v>
      </c>
      <c r="D131" s="4" t="s">
        <v>260</v>
      </c>
      <c r="E131" s="4" t="str">
        <f t="shared" si="11"/>
        <v>RANDY BEAN</v>
      </c>
      <c r="F131" s="4" t="s">
        <v>52</v>
      </c>
      <c r="G131" s="4" t="s">
        <v>37</v>
      </c>
      <c r="H131" s="4" t="s">
        <v>29</v>
      </c>
      <c r="I131" s="5">
        <v>46204</v>
      </c>
      <c r="J131" s="5">
        <v>46204</v>
      </c>
      <c r="K131" s="4">
        <v>9213293</v>
      </c>
      <c r="L131" s="4" t="str">
        <f t="shared" si="10"/>
        <v>9213293OVR</v>
      </c>
      <c r="M131" s="4" t="s">
        <v>55</v>
      </c>
      <c r="N131" s="4">
        <v>-248.5</v>
      </c>
      <c r="O131" s="4">
        <v>-75</v>
      </c>
      <c r="P131" s="4" t="s">
        <v>345</v>
      </c>
    </row>
    <row r="132" spans="1:20" s="4" customFormat="1" x14ac:dyDescent="0.25">
      <c r="A132" s="4" t="s">
        <v>49</v>
      </c>
      <c r="B132" s="4" t="str">
        <f t="shared" si="9"/>
        <v>6R65HJ4YJ52OVR</v>
      </c>
      <c r="C132" s="4" t="s">
        <v>259</v>
      </c>
      <c r="D132" s="4" t="s">
        <v>260</v>
      </c>
      <c r="E132" s="4" t="str">
        <f t="shared" si="11"/>
        <v>RANDY BEAN</v>
      </c>
      <c r="F132" s="4" t="s">
        <v>52</v>
      </c>
      <c r="G132" s="4" t="s">
        <v>28</v>
      </c>
      <c r="H132" s="4" t="s">
        <v>29</v>
      </c>
      <c r="I132" s="5">
        <v>46204</v>
      </c>
      <c r="J132" s="5">
        <v>46204</v>
      </c>
      <c r="K132" s="4">
        <v>9213293</v>
      </c>
      <c r="L132" s="4" t="str">
        <f t="shared" si="10"/>
        <v>9213293OVR</v>
      </c>
      <c r="M132" s="4" t="s">
        <v>55</v>
      </c>
      <c r="N132" s="4">
        <v>844</v>
      </c>
      <c r="O132" s="4">
        <v>150</v>
      </c>
      <c r="P132" s="4" t="s">
        <v>345</v>
      </c>
    </row>
    <row r="133" spans="1:20" s="4" customFormat="1" x14ac:dyDescent="0.25">
      <c r="A133" s="4" t="s">
        <v>149</v>
      </c>
      <c r="B133" s="4" t="str">
        <f t="shared" si="9"/>
        <v>6RJ3KQ4QY15OVR</v>
      </c>
      <c r="C133" s="4" t="s">
        <v>297</v>
      </c>
      <c r="D133" s="4" t="s">
        <v>298</v>
      </c>
      <c r="E133" s="4" t="str">
        <f t="shared" si="11"/>
        <v>DIANE LEINONEN</v>
      </c>
      <c r="F133" s="4" t="s">
        <v>64</v>
      </c>
      <c r="G133" s="4" t="s">
        <v>37</v>
      </c>
      <c r="H133" s="4" t="s">
        <v>29</v>
      </c>
      <c r="I133" s="5">
        <v>46235</v>
      </c>
      <c r="J133" s="5">
        <v>46235</v>
      </c>
      <c r="K133" s="4">
        <v>16633294</v>
      </c>
      <c r="L133" s="4" t="str">
        <f t="shared" si="10"/>
        <v>16633294OVR</v>
      </c>
      <c r="M133" s="4" t="s">
        <v>126</v>
      </c>
      <c r="N133" s="4">
        <v>-207.08</v>
      </c>
      <c r="O133" s="4">
        <v>-62.5</v>
      </c>
      <c r="P133" s="4" t="s">
        <v>345</v>
      </c>
    </row>
    <row r="134" spans="1:20" s="4" customFormat="1" x14ac:dyDescent="0.25">
      <c r="A134" s="4" t="s">
        <v>149</v>
      </c>
      <c r="B134" s="4" t="str">
        <f t="shared" si="9"/>
        <v>6RJ3KQ4QY15OVR</v>
      </c>
      <c r="C134" s="4" t="s">
        <v>297</v>
      </c>
      <c r="D134" s="4" t="s">
        <v>298</v>
      </c>
      <c r="E134" s="4" t="str">
        <f t="shared" si="11"/>
        <v>DIANE LEINONEN</v>
      </c>
      <c r="F134" s="4" t="s">
        <v>64</v>
      </c>
      <c r="G134" s="4" t="s">
        <v>28</v>
      </c>
      <c r="H134" s="4" t="s">
        <v>29</v>
      </c>
      <c r="I134" s="5">
        <v>46235</v>
      </c>
      <c r="J134" s="5">
        <v>46235</v>
      </c>
      <c r="K134" s="4">
        <v>16633294</v>
      </c>
      <c r="L134" s="4" t="str">
        <f t="shared" si="10"/>
        <v>16633294OVR</v>
      </c>
      <c r="M134" s="4" t="s">
        <v>126</v>
      </c>
      <c r="N134" s="4">
        <v>844</v>
      </c>
      <c r="O134" s="4">
        <v>150</v>
      </c>
      <c r="P134" s="4" t="s">
        <v>345</v>
      </c>
    </row>
    <row r="135" spans="1:20" s="4" customFormat="1" x14ac:dyDescent="0.25">
      <c r="A135" s="4" t="s">
        <v>203</v>
      </c>
      <c r="B135" s="4" t="str">
        <f t="shared" si="9"/>
        <v>6RP4Q44VY89OVR</v>
      </c>
      <c r="C135" s="4" t="s">
        <v>322</v>
      </c>
      <c r="D135" s="4" t="s">
        <v>323</v>
      </c>
      <c r="E135" s="4" t="str">
        <f t="shared" si="11"/>
        <v>CLAY SMITH</v>
      </c>
      <c r="F135" s="4" t="s">
        <v>206</v>
      </c>
      <c r="G135" s="4" t="s">
        <v>37</v>
      </c>
      <c r="H135" s="4" t="s">
        <v>29</v>
      </c>
      <c r="I135" s="5">
        <v>46204</v>
      </c>
      <c r="J135" s="5">
        <v>46204</v>
      </c>
      <c r="K135" s="4">
        <v>8307933</v>
      </c>
      <c r="L135" s="4" t="str">
        <f t="shared" si="10"/>
        <v>8307933OVR</v>
      </c>
      <c r="M135" s="4" t="s">
        <v>80</v>
      </c>
      <c r="N135" s="4">
        <v>-248.5</v>
      </c>
      <c r="O135" s="4">
        <v>-75</v>
      </c>
      <c r="P135" s="4" t="s">
        <v>345</v>
      </c>
    </row>
    <row r="136" spans="1:20" s="4" customFormat="1" x14ac:dyDescent="0.25">
      <c r="A136" s="4" t="s">
        <v>203</v>
      </c>
      <c r="B136" s="4" t="str">
        <f t="shared" si="9"/>
        <v>6RP4Q44VY89OVR</v>
      </c>
      <c r="C136" s="4" t="s">
        <v>322</v>
      </c>
      <c r="D136" s="4" t="s">
        <v>323</v>
      </c>
      <c r="E136" s="4" t="str">
        <f t="shared" si="11"/>
        <v>CLAY SMITH</v>
      </c>
      <c r="F136" s="4" t="s">
        <v>206</v>
      </c>
      <c r="G136" s="4" t="s">
        <v>28</v>
      </c>
      <c r="H136" s="4" t="s">
        <v>29</v>
      </c>
      <c r="I136" s="5">
        <v>46204</v>
      </c>
      <c r="J136" s="5">
        <v>46204</v>
      </c>
      <c r="K136" s="4">
        <v>8307933</v>
      </c>
      <c r="L136" s="4" t="str">
        <f t="shared" si="10"/>
        <v>8307933OVR</v>
      </c>
      <c r="M136" s="4" t="s">
        <v>80</v>
      </c>
      <c r="N136" s="4">
        <v>844</v>
      </c>
      <c r="O136" s="4">
        <v>150</v>
      </c>
      <c r="P136" s="4" t="s">
        <v>345</v>
      </c>
    </row>
    <row r="137" spans="1:20" s="4" customFormat="1" x14ac:dyDescent="0.25">
      <c r="A137" s="4" t="s">
        <v>112</v>
      </c>
      <c r="B137" s="4" t="str">
        <f t="shared" si="9"/>
        <v>6V64T75PE08OVR</v>
      </c>
      <c r="C137" s="4" t="s">
        <v>282</v>
      </c>
      <c r="D137" s="4" t="s">
        <v>283</v>
      </c>
      <c r="E137" s="4" t="str">
        <f t="shared" si="11"/>
        <v>PAMELA HOBBS</v>
      </c>
      <c r="F137" s="4" t="s">
        <v>64</v>
      </c>
      <c r="G137" s="4" t="s">
        <v>37</v>
      </c>
      <c r="H137" s="4" t="s">
        <v>29</v>
      </c>
      <c r="I137" s="5">
        <v>46204</v>
      </c>
      <c r="J137" s="5">
        <v>46204</v>
      </c>
      <c r="K137" s="4">
        <v>7470776</v>
      </c>
      <c r="L137" s="4" t="str">
        <f t="shared" si="10"/>
        <v>7470776OVR</v>
      </c>
      <c r="M137" s="4" t="s">
        <v>108</v>
      </c>
      <c r="N137" s="4">
        <v>-248.5</v>
      </c>
      <c r="O137" s="4">
        <v>-75</v>
      </c>
      <c r="P137" s="4" t="s">
        <v>345</v>
      </c>
    </row>
    <row r="138" spans="1:20" s="4" customFormat="1" x14ac:dyDescent="0.25">
      <c r="A138" s="4" t="s">
        <v>112</v>
      </c>
      <c r="B138" s="4" t="str">
        <f t="shared" si="9"/>
        <v>6V64T75PE08OVR</v>
      </c>
      <c r="C138" s="4" t="s">
        <v>282</v>
      </c>
      <c r="D138" s="4" t="s">
        <v>283</v>
      </c>
      <c r="E138" s="4" t="str">
        <f t="shared" si="11"/>
        <v>PAMELA HOBBS</v>
      </c>
      <c r="F138" s="4" t="s">
        <v>64</v>
      </c>
      <c r="G138" s="4" t="s">
        <v>28</v>
      </c>
      <c r="H138" s="4" t="s">
        <v>29</v>
      </c>
      <c r="I138" s="5">
        <v>46204</v>
      </c>
      <c r="J138" s="5">
        <v>46204</v>
      </c>
      <c r="K138" s="4">
        <v>7470776</v>
      </c>
      <c r="L138" s="4" t="str">
        <f t="shared" si="10"/>
        <v>7470776OVR</v>
      </c>
      <c r="M138" s="4" t="s">
        <v>108</v>
      </c>
      <c r="N138" s="4">
        <v>844</v>
      </c>
      <c r="O138" s="4">
        <v>150</v>
      </c>
      <c r="P138" s="4" t="s">
        <v>345</v>
      </c>
    </row>
    <row r="139" spans="1:20" s="4" customFormat="1" x14ac:dyDescent="0.25">
      <c r="A139" s="4" t="s">
        <v>24</v>
      </c>
      <c r="B139" s="4" t="str">
        <f t="shared" si="9"/>
        <v>6WN3HE0UU04OVR</v>
      </c>
      <c r="C139" s="4" t="s">
        <v>253</v>
      </c>
      <c r="D139" s="4" t="s">
        <v>254</v>
      </c>
      <c r="E139" s="4" t="str">
        <f t="shared" si="11"/>
        <v>NICOLE ASSISE</v>
      </c>
      <c r="F139" s="4" t="s">
        <v>27</v>
      </c>
      <c r="G139" s="4" t="s">
        <v>37</v>
      </c>
      <c r="H139" s="4" t="s">
        <v>29</v>
      </c>
      <c r="I139" s="5">
        <v>46204</v>
      </c>
      <c r="J139" s="5">
        <v>46204</v>
      </c>
      <c r="K139" s="4">
        <v>15950276</v>
      </c>
      <c r="L139" s="4" t="str">
        <f t="shared" si="10"/>
        <v>15950276OVR</v>
      </c>
      <c r="M139" s="4" t="s">
        <v>33</v>
      </c>
      <c r="N139" s="4">
        <v>-270.5</v>
      </c>
      <c r="O139" s="4">
        <v>-75</v>
      </c>
      <c r="P139" s="4" t="s">
        <v>345</v>
      </c>
    </row>
    <row r="140" spans="1:20" s="4" customFormat="1" x14ac:dyDescent="0.25">
      <c r="A140" s="4" t="s">
        <v>24</v>
      </c>
      <c r="B140" s="4" t="str">
        <f t="shared" si="9"/>
        <v>6WN3HE0UU04OVR</v>
      </c>
      <c r="C140" s="4" t="s">
        <v>253</v>
      </c>
      <c r="D140" s="4" t="s">
        <v>254</v>
      </c>
      <c r="E140" s="4" t="str">
        <f t="shared" si="11"/>
        <v>NICOLE ASSISE</v>
      </c>
      <c r="F140" s="4" t="s">
        <v>27</v>
      </c>
      <c r="G140" s="4" t="s">
        <v>28</v>
      </c>
      <c r="H140" s="4" t="s">
        <v>29</v>
      </c>
      <c r="I140" s="5">
        <v>46204</v>
      </c>
      <c r="J140" s="5">
        <v>46204</v>
      </c>
      <c r="K140" s="4">
        <v>15950276</v>
      </c>
      <c r="L140" s="4" t="str">
        <f t="shared" si="10"/>
        <v>15950276OVR</v>
      </c>
      <c r="M140" s="4" t="s">
        <v>33</v>
      </c>
      <c r="N140" s="4">
        <v>931</v>
      </c>
      <c r="O140" s="4">
        <v>150</v>
      </c>
      <c r="P140" s="4" t="s">
        <v>345</v>
      </c>
    </row>
    <row r="141" spans="1:20" s="4" customFormat="1" x14ac:dyDescent="0.25">
      <c r="A141" s="4" t="s">
        <v>183</v>
      </c>
      <c r="B141" s="4" t="str">
        <f t="shared" si="9"/>
        <v>7AD0UN5NR04OVR</v>
      </c>
      <c r="C141" s="4" t="s">
        <v>312</v>
      </c>
      <c r="D141" s="4" t="s">
        <v>313</v>
      </c>
      <c r="E141" s="4" t="str">
        <f t="shared" si="11"/>
        <v>WILLIAM PEDROZA</v>
      </c>
      <c r="F141" s="4" t="s">
        <v>64</v>
      </c>
      <c r="G141" s="4" t="s">
        <v>37</v>
      </c>
      <c r="H141" s="4" t="s">
        <v>29</v>
      </c>
      <c r="I141" s="5">
        <v>46204</v>
      </c>
      <c r="J141" s="5">
        <v>46204</v>
      </c>
      <c r="K141" s="4">
        <v>21646325</v>
      </c>
      <c r="L141" s="4" t="str">
        <f t="shared" si="10"/>
        <v>21646325OVR</v>
      </c>
      <c r="M141" s="4" t="s">
        <v>86</v>
      </c>
      <c r="N141" s="4">
        <v>-248.5</v>
      </c>
      <c r="O141" s="4">
        <v>-75</v>
      </c>
      <c r="P141" s="4" t="s">
        <v>345</v>
      </c>
    </row>
    <row r="142" spans="1:20" s="4" customFormat="1" x14ac:dyDescent="0.25">
      <c r="A142" s="4" t="s">
        <v>183</v>
      </c>
      <c r="B142" s="4" t="str">
        <f t="shared" si="9"/>
        <v>7AD0UN5NR04OVR</v>
      </c>
      <c r="C142" s="4" t="s">
        <v>312</v>
      </c>
      <c r="D142" s="4" t="s">
        <v>313</v>
      </c>
      <c r="E142" s="4" t="str">
        <f t="shared" si="11"/>
        <v>WILLIAM PEDROZA</v>
      </c>
      <c r="F142" s="4" t="s">
        <v>64</v>
      </c>
      <c r="G142" s="4" t="s">
        <v>84</v>
      </c>
      <c r="H142" s="4" t="s">
        <v>29</v>
      </c>
      <c r="I142" s="5">
        <v>46204</v>
      </c>
      <c r="J142" s="5">
        <v>46204</v>
      </c>
      <c r="K142" s="4">
        <v>21646325</v>
      </c>
      <c r="L142" s="4" t="str">
        <f t="shared" si="10"/>
        <v>21646325OVR</v>
      </c>
      <c r="M142" s="4" t="s">
        <v>86</v>
      </c>
      <c r="N142" s="4">
        <v>422</v>
      </c>
      <c r="O142" s="4">
        <v>75</v>
      </c>
      <c r="P142" s="4" t="s">
        <v>345</v>
      </c>
    </row>
    <row r="143" spans="1:20" s="4" customFormat="1" x14ac:dyDescent="0.25">
      <c r="A143" s="4" t="s">
        <v>209</v>
      </c>
      <c r="B143" s="4" t="str">
        <f t="shared" si="9"/>
        <v>7J45NP1FT87OVR</v>
      </c>
      <c r="C143" s="4" t="s">
        <v>324</v>
      </c>
      <c r="D143" s="4" t="s">
        <v>325</v>
      </c>
      <c r="E143" s="4" t="str">
        <f t="shared" si="11"/>
        <v>BOLAJOKO SOYOYE</v>
      </c>
      <c r="F143" s="4" t="s">
        <v>64</v>
      </c>
      <c r="G143" s="4" t="s">
        <v>37</v>
      </c>
      <c r="H143" s="4" t="s">
        <v>29</v>
      </c>
      <c r="I143" s="5">
        <v>46204</v>
      </c>
      <c r="J143" s="5">
        <v>46204</v>
      </c>
      <c r="K143" s="4">
        <v>7152559</v>
      </c>
      <c r="L143" s="4" t="str">
        <f t="shared" si="10"/>
        <v>7152559OVR</v>
      </c>
      <c r="M143" s="4" t="s">
        <v>212</v>
      </c>
      <c r="N143" s="4">
        <v>-248.5</v>
      </c>
      <c r="O143" s="4">
        <v>-75</v>
      </c>
      <c r="P143" s="4" t="s">
        <v>345</v>
      </c>
    </row>
    <row r="144" spans="1:20" s="4" customFormat="1" x14ac:dyDescent="0.25">
      <c r="A144" s="4" t="s">
        <v>209</v>
      </c>
      <c r="B144" s="4" t="str">
        <f t="shared" si="9"/>
        <v>7J45NP1FT87OVR</v>
      </c>
      <c r="C144" s="4" t="s">
        <v>324</v>
      </c>
      <c r="D144" s="4" t="s">
        <v>325</v>
      </c>
      <c r="E144" s="4" t="str">
        <f t="shared" si="11"/>
        <v>BOLAJOKO SOYOYE</v>
      </c>
      <c r="F144" s="4" t="s">
        <v>64</v>
      </c>
      <c r="G144" s="4" t="s">
        <v>84</v>
      </c>
      <c r="H144" s="4" t="s">
        <v>29</v>
      </c>
      <c r="I144" s="5">
        <v>46204</v>
      </c>
      <c r="J144" s="5">
        <v>46204</v>
      </c>
      <c r="K144" s="4">
        <v>7152559</v>
      </c>
      <c r="L144" s="4" t="str">
        <f t="shared" si="10"/>
        <v>7152559OVR</v>
      </c>
      <c r="M144" s="4" t="s">
        <v>212</v>
      </c>
      <c r="N144" s="4">
        <v>422</v>
      </c>
      <c r="O144" s="4">
        <v>75</v>
      </c>
      <c r="P144" s="4" t="s">
        <v>345</v>
      </c>
    </row>
    <row r="145" spans="1:29" s="4" customFormat="1" x14ac:dyDescent="0.25">
      <c r="A145" s="4" t="s">
        <v>196</v>
      </c>
      <c r="B145" s="4" t="str">
        <f t="shared" si="9"/>
        <v>7TU5JN3DE77OVR</v>
      </c>
      <c r="C145" s="4" t="s">
        <v>318</v>
      </c>
      <c r="D145" s="4" t="s">
        <v>319</v>
      </c>
      <c r="E145" s="4" t="str">
        <f t="shared" si="11"/>
        <v>GARRETT RODGERS</v>
      </c>
      <c r="F145" s="4" t="s">
        <v>64</v>
      </c>
      <c r="G145" s="4" t="s">
        <v>65</v>
      </c>
      <c r="H145" s="4" t="s">
        <v>29</v>
      </c>
      <c r="I145" s="5">
        <v>46296</v>
      </c>
      <c r="J145" s="5">
        <v>46296</v>
      </c>
      <c r="K145" s="4">
        <v>9213293</v>
      </c>
      <c r="L145" s="4" t="str">
        <f t="shared" si="10"/>
        <v>9213293OVR</v>
      </c>
      <c r="M145" s="4" t="s">
        <v>55</v>
      </c>
      <c r="N145" s="4">
        <v>124.25</v>
      </c>
      <c r="O145" s="4">
        <v>37.5</v>
      </c>
      <c r="P145" s="4" t="s">
        <v>345</v>
      </c>
    </row>
    <row r="146" spans="1:29" s="4" customFormat="1" x14ac:dyDescent="0.25">
      <c r="A146" s="4" t="s">
        <v>187</v>
      </c>
      <c r="B146" s="4" t="str">
        <f t="shared" si="9"/>
        <v>8C51AJ2KM23OVR</v>
      </c>
      <c r="C146" s="4" t="s">
        <v>314</v>
      </c>
      <c r="D146" s="4" t="s">
        <v>315</v>
      </c>
      <c r="E146" s="4" t="str">
        <f t="shared" si="11"/>
        <v>AILEEN PETERSON</v>
      </c>
      <c r="F146" s="4" t="s">
        <v>77</v>
      </c>
      <c r="G146" s="4" t="s">
        <v>37</v>
      </c>
      <c r="H146" s="4" t="s">
        <v>29</v>
      </c>
      <c r="I146" s="5">
        <v>46204</v>
      </c>
      <c r="J146" s="5">
        <v>46204</v>
      </c>
      <c r="K146" s="4">
        <v>7470776</v>
      </c>
      <c r="L146" s="4" t="str">
        <f t="shared" si="10"/>
        <v>7470776OVR</v>
      </c>
      <c r="M146" s="4" t="s">
        <v>108</v>
      </c>
      <c r="N146" s="4">
        <v>-248.5</v>
      </c>
      <c r="O146" s="4">
        <v>-75</v>
      </c>
      <c r="P146" s="4" t="s">
        <v>345</v>
      </c>
    </row>
    <row r="147" spans="1:29" s="4" customFormat="1" x14ac:dyDescent="0.25">
      <c r="A147" s="4" t="s">
        <v>187</v>
      </c>
      <c r="B147" s="4" t="str">
        <f t="shared" si="9"/>
        <v>8C51AJ2KM23OVR</v>
      </c>
      <c r="C147" s="4" t="s">
        <v>314</v>
      </c>
      <c r="D147" s="4" t="s">
        <v>315</v>
      </c>
      <c r="E147" s="4" t="str">
        <f t="shared" si="11"/>
        <v>AILEEN PETERSON</v>
      </c>
      <c r="F147" s="4" t="s">
        <v>77</v>
      </c>
      <c r="G147" s="4" t="s">
        <v>28</v>
      </c>
      <c r="H147" s="4" t="s">
        <v>29</v>
      </c>
      <c r="I147" s="5">
        <v>46204</v>
      </c>
      <c r="J147" s="5">
        <v>46204</v>
      </c>
      <c r="K147" s="4">
        <v>7470776</v>
      </c>
      <c r="L147" s="4" t="str">
        <f t="shared" si="10"/>
        <v>7470776OVR</v>
      </c>
      <c r="M147" s="4" t="s">
        <v>108</v>
      </c>
      <c r="N147" s="4">
        <v>844</v>
      </c>
      <c r="O147" s="4">
        <v>150</v>
      </c>
      <c r="P147" s="4" t="s">
        <v>345</v>
      </c>
    </row>
    <row r="148" spans="1:29" s="4" customFormat="1" x14ac:dyDescent="0.25">
      <c r="A148" s="4" t="s">
        <v>248</v>
      </c>
      <c r="B148" s="4" t="str">
        <f t="shared" si="9"/>
        <v>8FV9A73KF38OVR</v>
      </c>
      <c r="C148" s="4" t="s">
        <v>343</v>
      </c>
      <c r="D148" s="4" t="s">
        <v>262</v>
      </c>
      <c r="E148" s="4" t="str">
        <f t="shared" si="11"/>
        <v>DAVID ZOVACK</v>
      </c>
      <c r="F148" s="4" t="s">
        <v>137</v>
      </c>
      <c r="G148" s="4" t="s">
        <v>37</v>
      </c>
      <c r="H148" s="4" t="s">
        <v>29</v>
      </c>
      <c r="I148" s="5">
        <v>46204</v>
      </c>
      <c r="J148" s="5">
        <v>46204</v>
      </c>
      <c r="K148" s="4">
        <v>16170994</v>
      </c>
      <c r="L148" s="4" t="str">
        <f t="shared" si="10"/>
        <v>16170994OVR</v>
      </c>
      <c r="M148" s="4" t="s">
        <v>145</v>
      </c>
      <c r="N148" s="4">
        <v>-248.5</v>
      </c>
      <c r="O148" s="4">
        <v>-75</v>
      </c>
      <c r="P148" s="4" t="s">
        <v>345</v>
      </c>
    </row>
    <row r="149" spans="1:29" s="2" customFormat="1" x14ac:dyDescent="0.25">
      <c r="A149" s="4" t="s">
        <v>248</v>
      </c>
      <c r="B149" s="4" t="str">
        <f t="shared" si="9"/>
        <v>8FV9A73KF38OVR</v>
      </c>
      <c r="C149" s="4" t="s">
        <v>343</v>
      </c>
      <c r="D149" s="4" t="s">
        <v>262</v>
      </c>
      <c r="E149" s="4" t="str">
        <f t="shared" si="11"/>
        <v>DAVID ZOVACK</v>
      </c>
      <c r="F149" s="4" t="s">
        <v>137</v>
      </c>
      <c r="G149" s="4" t="s">
        <v>28</v>
      </c>
      <c r="H149" s="4" t="s">
        <v>29</v>
      </c>
      <c r="I149" s="5">
        <v>46204</v>
      </c>
      <c r="J149" s="5">
        <v>46204</v>
      </c>
      <c r="K149" s="4">
        <v>16170994</v>
      </c>
      <c r="L149" s="4" t="str">
        <f t="shared" si="10"/>
        <v>16170994OVR</v>
      </c>
      <c r="M149" s="4" t="s">
        <v>145</v>
      </c>
      <c r="N149" s="4">
        <v>844</v>
      </c>
      <c r="O149" s="4">
        <v>150</v>
      </c>
      <c r="P149" s="4" t="s">
        <v>345</v>
      </c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:29" s="2" customFormat="1" x14ac:dyDescent="0.25">
      <c r="A150" s="4" t="s">
        <v>231</v>
      </c>
      <c r="B150" s="4" t="str">
        <f t="shared" si="9"/>
        <v>8HH5FX6CN84OVR</v>
      </c>
      <c r="C150" s="4" t="s">
        <v>336</v>
      </c>
      <c r="D150" s="4" t="s">
        <v>337</v>
      </c>
      <c r="E150" s="4" t="str">
        <f t="shared" si="11"/>
        <v>BRIAN WILKIE</v>
      </c>
      <c r="F150" s="4" t="s">
        <v>64</v>
      </c>
      <c r="G150" s="4" t="s">
        <v>37</v>
      </c>
      <c r="H150" s="4" t="s">
        <v>29</v>
      </c>
      <c r="I150" s="5">
        <v>46113</v>
      </c>
      <c r="J150" s="5">
        <v>46113</v>
      </c>
      <c r="K150" s="4">
        <v>9213293</v>
      </c>
      <c r="L150" s="4" t="str">
        <f t="shared" si="10"/>
        <v>9213293OVR</v>
      </c>
      <c r="M150" s="4" t="s">
        <v>55</v>
      </c>
      <c r="N150" s="4">
        <v>-372.75</v>
      </c>
      <c r="O150" s="4">
        <v>-112.5</v>
      </c>
      <c r="P150" s="4" t="s">
        <v>345</v>
      </c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:29" s="2" customFormat="1" x14ac:dyDescent="0.25">
      <c r="A151" s="4" t="s">
        <v>231</v>
      </c>
      <c r="B151" s="4" t="str">
        <f t="shared" ref="B151:B174" si="12">CONCATENATE(A151,"OVR")</f>
        <v>8HH5FX6CN84OVR</v>
      </c>
      <c r="C151" s="4" t="s">
        <v>336</v>
      </c>
      <c r="D151" s="4" t="s">
        <v>337</v>
      </c>
      <c r="E151" s="4" t="str">
        <f t="shared" si="11"/>
        <v>BRIAN WILKIE</v>
      </c>
      <c r="F151" s="4" t="s">
        <v>64</v>
      </c>
      <c r="G151" s="4" t="s">
        <v>84</v>
      </c>
      <c r="H151" s="4" t="s">
        <v>29</v>
      </c>
      <c r="I151" s="5">
        <v>46113</v>
      </c>
      <c r="J151" s="5">
        <v>46113</v>
      </c>
      <c r="K151" s="4">
        <v>9213293</v>
      </c>
      <c r="L151" s="4" t="str">
        <f t="shared" ref="L151:L174" si="13">CONCATENATE(K151,"OVR")</f>
        <v>9213293OVR</v>
      </c>
      <c r="M151" s="4" t="s">
        <v>55</v>
      </c>
      <c r="N151" s="4">
        <v>633</v>
      </c>
      <c r="O151" s="4">
        <v>112.5</v>
      </c>
      <c r="P151" s="4" t="s">
        <v>345</v>
      </c>
      <c r="Q151" s="4"/>
      <c r="R151" s="4"/>
      <c r="S151" s="4"/>
      <c r="T151" s="4">
        <f>150/12*9</f>
        <v>112.5</v>
      </c>
      <c r="U151" s="4"/>
      <c r="V151" s="4"/>
      <c r="W151" s="4"/>
      <c r="X151" s="4"/>
      <c r="Y151" s="4"/>
      <c r="Z151" s="4"/>
      <c r="AA151" s="4"/>
      <c r="AB151" s="4"/>
      <c r="AC151" s="4"/>
    </row>
    <row r="152" spans="1:29" s="2" customFormat="1" x14ac:dyDescent="0.25">
      <c r="A152" s="4" t="s">
        <v>213</v>
      </c>
      <c r="B152" s="4" t="str">
        <f t="shared" si="12"/>
        <v>8JF4TX3KM01OVR</v>
      </c>
      <c r="C152" s="4" t="s">
        <v>326</v>
      </c>
      <c r="D152" s="4" t="s">
        <v>327</v>
      </c>
      <c r="E152" s="4" t="str">
        <f t="shared" si="11"/>
        <v>KIMBERLY SPRIGGS</v>
      </c>
      <c r="F152" s="4" t="s">
        <v>27</v>
      </c>
      <c r="G152" s="4" t="s">
        <v>65</v>
      </c>
      <c r="H152" s="4" t="s">
        <v>29</v>
      </c>
      <c r="I152" s="5">
        <v>46266</v>
      </c>
      <c r="J152" s="5">
        <v>46266</v>
      </c>
      <c r="K152" s="4">
        <v>17528908</v>
      </c>
      <c r="L152" s="4" t="str">
        <f t="shared" si="13"/>
        <v>17528908OVR</v>
      </c>
      <c r="M152" s="4" t="s">
        <v>91</v>
      </c>
      <c r="N152" s="4">
        <v>180.33</v>
      </c>
      <c r="O152" s="4">
        <v>50</v>
      </c>
      <c r="P152" s="4" t="s">
        <v>345</v>
      </c>
      <c r="Q152" s="4"/>
      <c r="R152" s="4"/>
      <c r="S152" s="4"/>
      <c r="T152" s="4">
        <f>150/12*4</f>
        <v>50</v>
      </c>
      <c r="U152" s="4"/>
      <c r="V152" s="4"/>
      <c r="W152" s="4"/>
      <c r="X152" s="4"/>
      <c r="Y152" s="4"/>
      <c r="Z152" s="4"/>
      <c r="AA152" s="4"/>
      <c r="AB152" s="4"/>
      <c r="AC152" s="4"/>
    </row>
    <row r="153" spans="1:29" s="2" customFormat="1" x14ac:dyDescent="0.25">
      <c r="A153" s="4" t="s">
        <v>92</v>
      </c>
      <c r="B153" s="4" t="str">
        <f t="shared" si="12"/>
        <v>8KN3CX6TN89OVR</v>
      </c>
      <c r="C153" s="4" t="s">
        <v>273</v>
      </c>
      <c r="D153" s="4" t="s">
        <v>274</v>
      </c>
      <c r="E153" s="4" t="str">
        <f t="shared" si="11"/>
        <v>CECILY DALTON</v>
      </c>
      <c r="F153" s="4" t="s">
        <v>64</v>
      </c>
      <c r="G153" s="4" t="s">
        <v>37</v>
      </c>
      <c r="H153" s="4" t="s">
        <v>29</v>
      </c>
      <c r="I153" s="5">
        <v>46174</v>
      </c>
      <c r="J153" s="5">
        <v>46174</v>
      </c>
      <c r="K153" s="4">
        <v>17301495</v>
      </c>
      <c r="L153" s="4" t="str">
        <f t="shared" si="13"/>
        <v>17301495OVR</v>
      </c>
      <c r="M153" s="4" t="s">
        <v>95</v>
      </c>
      <c r="N153" s="4">
        <v>-289.92</v>
      </c>
      <c r="O153" s="4">
        <v>-87.5</v>
      </c>
      <c r="P153" s="4" t="s">
        <v>345</v>
      </c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:29" s="2" customFormat="1" x14ac:dyDescent="0.25">
      <c r="A154" s="4" t="s">
        <v>92</v>
      </c>
      <c r="B154" s="4" t="str">
        <f t="shared" si="12"/>
        <v>8KN3CX6TN89OVR</v>
      </c>
      <c r="C154" s="4" t="s">
        <v>273</v>
      </c>
      <c r="D154" s="4" t="s">
        <v>274</v>
      </c>
      <c r="E154" s="4" t="str">
        <f t="shared" si="11"/>
        <v>CECILY DALTON</v>
      </c>
      <c r="F154" s="4" t="s">
        <v>64</v>
      </c>
      <c r="G154" s="4" t="s">
        <v>28</v>
      </c>
      <c r="H154" s="4" t="s">
        <v>29</v>
      </c>
      <c r="I154" s="5">
        <v>46174</v>
      </c>
      <c r="J154" s="5">
        <v>46174</v>
      </c>
      <c r="K154" s="4">
        <v>17301495</v>
      </c>
      <c r="L154" s="4" t="str">
        <f t="shared" si="13"/>
        <v>17301495OVR</v>
      </c>
      <c r="M154" s="4" t="s">
        <v>95</v>
      </c>
      <c r="N154" s="4">
        <v>844</v>
      </c>
      <c r="O154" s="4">
        <v>150</v>
      </c>
      <c r="P154" s="4" t="s">
        <v>345</v>
      </c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:29" s="2" customFormat="1" x14ac:dyDescent="0.25">
      <c r="A155" s="4" t="s">
        <v>174</v>
      </c>
      <c r="B155" s="4" t="str">
        <f t="shared" si="12"/>
        <v>8PM3RD4DF01OVR</v>
      </c>
      <c r="C155" s="4" t="s">
        <v>308</v>
      </c>
      <c r="D155" s="4" t="s">
        <v>309</v>
      </c>
      <c r="E155" s="4" t="str">
        <f t="shared" si="11"/>
        <v>JERRY MOTTELER</v>
      </c>
      <c r="F155" s="4" t="s">
        <v>64</v>
      </c>
      <c r="G155" s="4" t="s">
        <v>37</v>
      </c>
      <c r="H155" s="4" t="s">
        <v>29</v>
      </c>
      <c r="I155" s="5">
        <v>46204</v>
      </c>
      <c r="J155" s="5">
        <v>46204</v>
      </c>
      <c r="K155" s="4">
        <v>18828278</v>
      </c>
      <c r="L155" s="4" t="str">
        <f t="shared" si="13"/>
        <v>18828278OVR</v>
      </c>
      <c r="M155" s="4" t="s">
        <v>178</v>
      </c>
      <c r="N155" s="4">
        <v>-248.5</v>
      </c>
      <c r="O155" s="4">
        <v>-75</v>
      </c>
      <c r="P155" s="4" t="s">
        <v>345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:29" s="2" customFormat="1" x14ac:dyDescent="0.25">
      <c r="A156" s="4" t="s">
        <v>174</v>
      </c>
      <c r="B156" s="4" t="str">
        <f t="shared" si="12"/>
        <v>8PM3RD4DF01OVR</v>
      </c>
      <c r="C156" s="4" t="s">
        <v>308</v>
      </c>
      <c r="D156" s="4" t="s">
        <v>309</v>
      </c>
      <c r="E156" s="4" t="str">
        <f t="shared" si="11"/>
        <v>JERRY MOTTELER</v>
      </c>
      <c r="F156" s="4" t="s">
        <v>64</v>
      </c>
      <c r="G156" s="4" t="s">
        <v>28</v>
      </c>
      <c r="H156" s="4" t="s">
        <v>29</v>
      </c>
      <c r="I156" s="5">
        <v>46204</v>
      </c>
      <c r="J156" s="5">
        <v>46204</v>
      </c>
      <c r="K156" s="4">
        <v>18828278</v>
      </c>
      <c r="L156" s="4" t="str">
        <f t="shared" si="13"/>
        <v>18828278OVR</v>
      </c>
      <c r="M156" s="4" t="s">
        <v>178</v>
      </c>
      <c r="N156" s="4">
        <v>844</v>
      </c>
      <c r="O156" s="4">
        <v>150</v>
      </c>
      <c r="P156" s="4" t="s">
        <v>345</v>
      </c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:29" s="2" customFormat="1" x14ac:dyDescent="0.25">
      <c r="A157" s="4" t="s">
        <v>109</v>
      </c>
      <c r="B157" s="4" t="str">
        <f t="shared" si="12"/>
        <v>8Q21XJ9AA91OVR</v>
      </c>
      <c r="C157" s="4" t="s">
        <v>280</v>
      </c>
      <c r="D157" s="4" t="s">
        <v>281</v>
      </c>
      <c r="E157" s="4" t="str">
        <f t="shared" si="11"/>
        <v>LESLIE HALL</v>
      </c>
      <c r="F157" s="4" t="s">
        <v>27</v>
      </c>
      <c r="G157" s="4" t="s">
        <v>37</v>
      </c>
      <c r="H157" s="4" t="s">
        <v>29</v>
      </c>
      <c r="I157" s="5">
        <v>46266</v>
      </c>
      <c r="J157" s="5">
        <v>46266</v>
      </c>
      <c r="K157" s="4">
        <v>17528908</v>
      </c>
      <c r="L157" s="4" t="str">
        <f t="shared" si="13"/>
        <v>17528908OVR</v>
      </c>
      <c r="M157" s="4" t="s">
        <v>91</v>
      </c>
      <c r="N157" s="4">
        <v>-180.33</v>
      </c>
      <c r="O157" s="4">
        <v>-50</v>
      </c>
      <c r="P157" s="4" t="s">
        <v>345</v>
      </c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:29" s="4" customFormat="1" x14ac:dyDescent="0.25">
      <c r="A158" s="4" t="s">
        <v>109</v>
      </c>
      <c r="B158" s="4" t="str">
        <f t="shared" si="12"/>
        <v>8Q21XJ9AA91OVR</v>
      </c>
      <c r="C158" s="4" t="s">
        <v>280</v>
      </c>
      <c r="D158" s="4" t="s">
        <v>281</v>
      </c>
      <c r="E158" s="4" t="str">
        <f t="shared" si="11"/>
        <v>LESLIE HALL</v>
      </c>
      <c r="F158" s="4" t="s">
        <v>27</v>
      </c>
      <c r="G158" s="4" t="s">
        <v>28</v>
      </c>
      <c r="H158" s="4" t="s">
        <v>29</v>
      </c>
      <c r="I158" s="5">
        <v>46266</v>
      </c>
      <c r="J158" s="5">
        <v>46266</v>
      </c>
      <c r="K158" s="4">
        <v>17528908</v>
      </c>
      <c r="L158" s="4" t="str">
        <f t="shared" si="13"/>
        <v>17528908OVR</v>
      </c>
      <c r="M158" s="4" t="s">
        <v>91</v>
      </c>
      <c r="N158" s="4">
        <v>931</v>
      </c>
      <c r="O158" s="4">
        <v>150</v>
      </c>
      <c r="P158" s="4" t="s">
        <v>345</v>
      </c>
    </row>
    <row r="159" spans="1:29" s="4" customFormat="1" x14ac:dyDescent="0.25">
      <c r="A159" s="4" t="s">
        <v>115</v>
      </c>
      <c r="B159" s="4" t="str">
        <f t="shared" si="12"/>
        <v>8WE6C97EA62OVR</v>
      </c>
      <c r="C159" s="4" t="s">
        <v>284</v>
      </c>
      <c r="D159" s="4" t="s">
        <v>285</v>
      </c>
      <c r="E159" s="4" t="str">
        <f t="shared" si="11"/>
        <v>LAMPHONG INTHAVONG</v>
      </c>
      <c r="F159" s="4" t="s">
        <v>64</v>
      </c>
      <c r="G159" s="4" t="s">
        <v>37</v>
      </c>
      <c r="H159" s="4" t="s">
        <v>29</v>
      </c>
      <c r="I159" s="5">
        <v>46204</v>
      </c>
      <c r="J159" s="5">
        <v>46204</v>
      </c>
      <c r="K159" s="4">
        <v>8405446</v>
      </c>
      <c r="L159" s="4" t="str">
        <f t="shared" si="13"/>
        <v>8405446OVR</v>
      </c>
      <c r="M159" s="4" t="s">
        <v>118</v>
      </c>
      <c r="N159" s="4">
        <v>-248.5</v>
      </c>
      <c r="O159" s="4">
        <v>-75</v>
      </c>
      <c r="P159" s="4" t="s">
        <v>345</v>
      </c>
    </row>
    <row r="160" spans="1:29" s="4" customFormat="1" x14ac:dyDescent="0.25">
      <c r="A160" s="4" t="s">
        <v>115</v>
      </c>
      <c r="B160" s="4" t="str">
        <f t="shared" si="12"/>
        <v>8WE6C97EA62OVR</v>
      </c>
      <c r="C160" s="4" t="s">
        <v>284</v>
      </c>
      <c r="D160" s="4" t="s">
        <v>285</v>
      </c>
      <c r="E160" s="4" t="str">
        <f t="shared" si="11"/>
        <v>LAMPHONG INTHAVONG</v>
      </c>
      <c r="F160" s="4" t="s">
        <v>64</v>
      </c>
      <c r="G160" s="4" t="s">
        <v>28</v>
      </c>
      <c r="H160" s="4" t="s">
        <v>29</v>
      </c>
      <c r="I160" s="5">
        <v>46204</v>
      </c>
      <c r="J160" s="5">
        <v>46204</v>
      </c>
      <c r="K160" s="4">
        <v>8405446</v>
      </c>
      <c r="L160" s="4" t="str">
        <f t="shared" si="13"/>
        <v>8405446OVR</v>
      </c>
      <c r="M160" s="4" t="s">
        <v>118</v>
      </c>
      <c r="N160" s="4">
        <v>844</v>
      </c>
      <c r="O160" s="4">
        <v>150</v>
      </c>
      <c r="P160" s="4" t="s">
        <v>345</v>
      </c>
    </row>
    <row r="161" spans="1:29" s="4" customFormat="1" x14ac:dyDescent="0.25">
      <c r="A161" s="4" t="s">
        <v>146</v>
      </c>
      <c r="B161" s="4" t="str">
        <f t="shared" si="12"/>
        <v>8WH3CQ7EJ01OVR</v>
      </c>
      <c r="C161" s="4" t="s">
        <v>296</v>
      </c>
      <c r="D161" s="4" t="s">
        <v>279</v>
      </c>
      <c r="E161" s="4" t="str">
        <f t="shared" si="11"/>
        <v>JOHN KOVOLYAN</v>
      </c>
      <c r="F161" s="4" t="s">
        <v>137</v>
      </c>
      <c r="G161" s="4" t="s">
        <v>37</v>
      </c>
      <c r="H161" s="4" t="s">
        <v>29</v>
      </c>
      <c r="I161" s="5">
        <v>46266</v>
      </c>
      <c r="J161" s="5">
        <v>46266</v>
      </c>
      <c r="K161" s="4">
        <v>16170994</v>
      </c>
      <c r="L161" s="4" t="str">
        <f t="shared" si="13"/>
        <v>16170994OVR</v>
      </c>
      <c r="M161" s="4" t="s">
        <v>145</v>
      </c>
      <c r="N161" s="4">
        <v>-165.67</v>
      </c>
      <c r="O161" s="4">
        <v>-50</v>
      </c>
      <c r="P161" s="4" t="s">
        <v>345</v>
      </c>
    </row>
    <row r="162" spans="1:29" s="4" customFormat="1" x14ac:dyDescent="0.25">
      <c r="A162" s="4" t="s">
        <v>146</v>
      </c>
      <c r="B162" s="4" t="str">
        <f t="shared" si="12"/>
        <v>8WH3CQ7EJ01OVR</v>
      </c>
      <c r="C162" s="4" t="s">
        <v>296</v>
      </c>
      <c r="D162" s="4" t="s">
        <v>279</v>
      </c>
      <c r="E162" s="4" t="str">
        <f t="shared" ref="E162:E174" si="14">CONCATENATE(D162," ",C162)</f>
        <v>JOHN KOVOLYAN</v>
      </c>
      <c r="F162" s="4" t="s">
        <v>137</v>
      </c>
      <c r="G162" s="4" t="s">
        <v>28</v>
      </c>
      <c r="H162" s="4" t="s">
        <v>29</v>
      </c>
      <c r="I162" s="5">
        <v>46266</v>
      </c>
      <c r="J162" s="5">
        <v>46266</v>
      </c>
      <c r="K162" s="4">
        <v>16170994</v>
      </c>
      <c r="L162" s="4" t="str">
        <f t="shared" si="13"/>
        <v>16170994OVR</v>
      </c>
      <c r="M162" s="4" t="s">
        <v>145</v>
      </c>
      <c r="N162" s="4">
        <v>844</v>
      </c>
      <c r="O162" s="4">
        <v>150</v>
      </c>
      <c r="P162" s="4" t="s">
        <v>345</v>
      </c>
    </row>
    <row r="163" spans="1:29" s="4" customFormat="1" x14ac:dyDescent="0.25">
      <c r="A163" s="4" t="s">
        <v>170</v>
      </c>
      <c r="B163" s="4" t="str">
        <f t="shared" si="12"/>
        <v>8XV3TN7YF89OVR</v>
      </c>
      <c r="C163" s="4" t="s">
        <v>306</v>
      </c>
      <c r="D163" s="4" t="s">
        <v>307</v>
      </c>
      <c r="E163" s="4" t="str">
        <f t="shared" si="14"/>
        <v>DOROTHY MIMS</v>
      </c>
      <c r="F163" s="4" t="s">
        <v>64</v>
      </c>
      <c r="G163" s="4" t="s">
        <v>37</v>
      </c>
      <c r="H163" s="4" t="s">
        <v>29</v>
      </c>
      <c r="I163" s="5">
        <v>46204</v>
      </c>
      <c r="J163" s="5">
        <v>46204</v>
      </c>
      <c r="K163" s="4">
        <v>19481808</v>
      </c>
      <c r="L163" s="4" t="str">
        <f t="shared" si="13"/>
        <v>19481808OVR</v>
      </c>
      <c r="M163" s="4" t="s">
        <v>173</v>
      </c>
      <c r="N163" s="4">
        <v>-248.5</v>
      </c>
      <c r="O163" s="4">
        <v>-75</v>
      </c>
      <c r="P163" s="4" t="s">
        <v>345</v>
      </c>
    </row>
    <row r="164" spans="1:29" s="4" customFormat="1" x14ac:dyDescent="0.25">
      <c r="A164" s="4" t="s">
        <v>170</v>
      </c>
      <c r="B164" s="4" t="str">
        <f t="shared" si="12"/>
        <v>8XV3TN7YF89OVR</v>
      </c>
      <c r="C164" s="4" t="s">
        <v>306</v>
      </c>
      <c r="D164" s="4" t="s">
        <v>307</v>
      </c>
      <c r="E164" s="4" t="str">
        <f t="shared" si="14"/>
        <v>DOROTHY MIMS</v>
      </c>
      <c r="F164" s="4" t="s">
        <v>64</v>
      </c>
      <c r="G164" s="4" t="s">
        <v>28</v>
      </c>
      <c r="H164" s="4" t="s">
        <v>29</v>
      </c>
      <c r="I164" s="5">
        <v>46204</v>
      </c>
      <c r="J164" s="5">
        <v>46204</v>
      </c>
      <c r="K164" s="4">
        <v>19481808</v>
      </c>
      <c r="L164" s="4" t="str">
        <f t="shared" si="13"/>
        <v>19481808OVR</v>
      </c>
      <c r="M164" s="4" t="s">
        <v>173</v>
      </c>
      <c r="N164" s="4">
        <v>844</v>
      </c>
      <c r="O164" s="4">
        <v>150</v>
      </c>
      <c r="P164" s="4" t="s">
        <v>345</v>
      </c>
    </row>
    <row r="165" spans="1:29" s="4" customFormat="1" x14ac:dyDescent="0.25">
      <c r="A165" s="4" t="s">
        <v>68</v>
      </c>
      <c r="B165" s="4" t="str">
        <f t="shared" si="12"/>
        <v>9H95WQ8XR51OVR</v>
      </c>
      <c r="C165" s="4" t="s">
        <v>265</v>
      </c>
      <c r="D165" s="4" t="s">
        <v>266</v>
      </c>
      <c r="E165" s="4" t="str">
        <f t="shared" si="14"/>
        <v>TIA BURGER</v>
      </c>
      <c r="F165" s="4" t="s">
        <v>64</v>
      </c>
      <c r="G165" s="4" t="s">
        <v>37</v>
      </c>
      <c r="H165" s="4" t="s">
        <v>29</v>
      </c>
      <c r="I165" s="5">
        <v>46204</v>
      </c>
      <c r="J165" s="5">
        <v>46204</v>
      </c>
      <c r="K165" s="4">
        <v>8812322</v>
      </c>
      <c r="L165" s="4" t="str">
        <f t="shared" si="13"/>
        <v>8812322OVR</v>
      </c>
      <c r="M165" s="4" t="s">
        <v>73</v>
      </c>
      <c r="N165" s="4">
        <v>-248.5</v>
      </c>
      <c r="O165" s="4">
        <v>-75</v>
      </c>
      <c r="P165" s="4" t="s">
        <v>345</v>
      </c>
    </row>
    <row r="166" spans="1:29" s="4" customFormat="1" x14ac:dyDescent="0.25">
      <c r="A166" s="4" t="s">
        <v>68</v>
      </c>
      <c r="B166" s="4" t="str">
        <f t="shared" si="12"/>
        <v>9H95WQ8XR51OVR</v>
      </c>
      <c r="C166" s="4" t="s">
        <v>265</v>
      </c>
      <c r="D166" s="4" t="s">
        <v>266</v>
      </c>
      <c r="E166" s="4" t="str">
        <f t="shared" si="14"/>
        <v>TIA BURGER</v>
      </c>
      <c r="F166" s="4" t="s">
        <v>64</v>
      </c>
      <c r="G166" s="4" t="s">
        <v>28</v>
      </c>
      <c r="H166" s="4" t="s">
        <v>29</v>
      </c>
      <c r="I166" s="5">
        <v>46204</v>
      </c>
      <c r="J166" s="5">
        <v>46204</v>
      </c>
      <c r="K166" s="4">
        <v>8812322</v>
      </c>
      <c r="L166" s="4" t="str">
        <f t="shared" si="13"/>
        <v>8812322OVR</v>
      </c>
      <c r="M166" s="4" t="s">
        <v>73</v>
      </c>
      <c r="N166" s="4">
        <v>844</v>
      </c>
      <c r="O166" s="4">
        <v>150</v>
      </c>
      <c r="P166" s="4" t="s">
        <v>345</v>
      </c>
    </row>
    <row r="167" spans="1:29" s="2" customFormat="1" x14ac:dyDescent="0.25">
      <c r="A167" s="4" t="s">
        <v>234</v>
      </c>
      <c r="B167" s="4" t="str">
        <f t="shared" si="12"/>
        <v>9N09GE3XJ36OVR</v>
      </c>
      <c r="C167" s="4" t="s">
        <v>338</v>
      </c>
      <c r="D167" s="4" t="s">
        <v>339</v>
      </c>
      <c r="E167" s="4" t="str">
        <f t="shared" si="14"/>
        <v>DENISE WILLIAMS</v>
      </c>
      <c r="F167" s="4" t="s">
        <v>27</v>
      </c>
      <c r="G167" s="4" t="s">
        <v>37</v>
      </c>
      <c r="H167" s="4" t="s">
        <v>29</v>
      </c>
      <c r="I167" s="5">
        <v>46204</v>
      </c>
      <c r="J167" s="5">
        <v>46204</v>
      </c>
      <c r="K167" s="4">
        <v>20616980</v>
      </c>
      <c r="L167" s="4" t="str">
        <f t="shared" si="13"/>
        <v>20616980OVR</v>
      </c>
      <c r="M167" s="4" t="s">
        <v>238</v>
      </c>
      <c r="N167" s="4">
        <v>-270.5</v>
      </c>
      <c r="O167" s="4">
        <v>-75</v>
      </c>
      <c r="P167" s="4" t="s">
        <v>345</v>
      </c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:29" s="4" customFormat="1" x14ac:dyDescent="0.25">
      <c r="A168" s="4" t="s">
        <v>234</v>
      </c>
      <c r="B168" s="4" t="str">
        <f t="shared" si="12"/>
        <v>9N09GE3XJ36OVR</v>
      </c>
      <c r="C168" s="4" t="s">
        <v>338</v>
      </c>
      <c r="D168" s="4" t="s">
        <v>339</v>
      </c>
      <c r="E168" s="4" t="str">
        <f t="shared" si="14"/>
        <v>DENISE WILLIAMS</v>
      </c>
      <c r="F168" s="4" t="s">
        <v>27</v>
      </c>
      <c r="G168" s="4" t="s">
        <v>28</v>
      </c>
      <c r="H168" s="4" t="s">
        <v>29</v>
      </c>
      <c r="I168" s="5">
        <v>46204</v>
      </c>
      <c r="J168" s="5">
        <v>46204</v>
      </c>
      <c r="K168" s="4">
        <v>20616980</v>
      </c>
      <c r="L168" s="4" t="str">
        <f t="shared" si="13"/>
        <v>20616980OVR</v>
      </c>
      <c r="M168" s="4" t="s">
        <v>238</v>
      </c>
      <c r="N168" s="4">
        <v>931</v>
      </c>
      <c r="O168" s="4">
        <v>150</v>
      </c>
      <c r="P168" s="4" t="s">
        <v>345</v>
      </c>
    </row>
    <row r="169" spans="1:29" s="2" customFormat="1" x14ac:dyDescent="0.25">
      <c r="A169" s="4" t="s">
        <v>122</v>
      </c>
      <c r="B169" s="4" t="str">
        <f t="shared" si="12"/>
        <v>9QD8ED8MN61OVR</v>
      </c>
      <c r="C169" s="4" t="s">
        <v>288</v>
      </c>
      <c r="D169" s="4" t="s">
        <v>289</v>
      </c>
      <c r="E169" s="4" t="str">
        <f t="shared" si="14"/>
        <v>VALERIE JADOS</v>
      </c>
      <c r="F169" s="4" t="s">
        <v>64</v>
      </c>
      <c r="G169" s="4" t="s">
        <v>37</v>
      </c>
      <c r="H169" s="4" t="s">
        <v>29</v>
      </c>
      <c r="I169" s="5">
        <v>46204</v>
      </c>
      <c r="J169" s="5">
        <v>46204</v>
      </c>
      <c r="K169" s="4">
        <v>16633294</v>
      </c>
      <c r="L169" s="4" t="str">
        <f t="shared" si="13"/>
        <v>16633294OVR</v>
      </c>
      <c r="M169" s="4" t="s">
        <v>126</v>
      </c>
      <c r="N169" s="4">
        <v>-248.5</v>
      </c>
      <c r="O169" s="4">
        <v>-75</v>
      </c>
      <c r="P169" s="4" t="s">
        <v>345</v>
      </c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:29" s="2" customFormat="1" x14ac:dyDescent="0.25">
      <c r="A170" s="4" t="s">
        <v>122</v>
      </c>
      <c r="B170" s="4" t="str">
        <f t="shared" si="12"/>
        <v>9QD8ED8MN61OVR</v>
      </c>
      <c r="C170" s="4" t="s">
        <v>288</v>
      </c>
      <c r="D170" s="4" t="s">
        <v>289</v>
      </c>
      <c r="E170" s="4" t="str">
        <f t="shared" si="14"/>
        <v>VALERIE JADOS</v>
      </c>
      <c r="F170" s="4" t="s">
        <v>64</v>
      </c>
      <c r="G170" s="4" t="s">
        <v>28</v>
      </c>
      <c r="H170" s="4" t="s">
        <v>29</v>
      </c>
      <c r="I170" s="5">
        <v>46204</v>
      </c>
      <c r="J170" s="5">
        <v>46204</v>
      </c>
      <c r="K170" s="4">
        <v>16633294</v>
      </c>
      <c r="L170" s="4" t="str">
        <f t="shared" si="13"/>
        <v>16633294OVR</v>
      </c>
      <c r="M170" s="4" t="s">
        <v>126</v>
      </c>
      <c r="N170" s="4">
        <v>844</v>
      </c>
      <c r="O170" s="4">
        <v>150</v>
      </c>
      <c r="P170" s="4" t="s">
        <v>345</v>
      </c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:29" s="4" customFormat="1" x14ac:dyDescent="0.25">
      <c r="A171" s="4" t="s">
        <v>158</v>
      </c>
      <c r="B171" s="4" t="str">
        <f t="shared" si="12"/>
        <v>9XT8J68VG47OVR</v>
      </c>
      <c r="C171" s="4" t="s">
        <v>303</v>
      </c>
      <c r="D171" s="4" t="s">
        <v>304</v>
      </c>
      <c r="E171" s="4" t="str">
        <f t="shared" si="14"/>
        <v>SUSAN MARTIN</v>
      </c>
      <c r="F171" s="4" t="s">
        <v>161</v>
      </c>
      <c r="G171" s="4" t="s">
        <v>37</v>
      </c>
      <c r="H171" s="4" t="s">
        <v>29</v>
      </c>
      <c r="I171" s="5">
        <v>46204</v>
      </c>
      <c r="J171" s="5">
        <v>46204</v>
      </c>
      <c r="K171" s="4">
        <v>8307933</v>
      </c>
      <c r="L171" s="4" t="str">
        <f t="shared" si="13"/>
        <v>8307933OVR</v>
      </c>
      <c r="M171" s="4" t="s">
        <v>80</v>
      </c>
      <c r="N171" s="4">
        <v>-248.5</v>
      </c>
      <c r="O171" s="4">
        <v>-75</v>
      </c>
      <c r="P171" s="4" t="s">
        <v>345</v>
      </c>
    </row>
    <row r="172" spans="1:29" s="4" customFormat="1" x14ac:dyDescent="0.25">
      <c r="A172" s="4" t="s">
        <v>158</v>
      </c>
      <c r="B172" s="4" t="str">
        <f t="shared" si="12"/>
        <v>9XT8J68VG47OVR</v>
      </c>
      <c r="C172" s="4" t="s">
        <v>303</v>
      </c>
      <c r="D172" s="4" t="s">
        <v>304</v>
      </c>
      <c r="E172" s="4" t="str">
        <f t="shared" si="14"/>
        <v>SUSAN MARTIN</v>
      </c>
      <c r="F172" s="4" t="s">
        <v>161</v>
      </c>
      <c r="G172" s="4" t="s">
        <v>28</v>
      </c>
      <c r="H172" s="4" t="s">
        <v>29</v>
      </c>
      <c r="I172" s="5">
        <v>46204</v>
      </c>
      <c r="J172" s="5">
        <v>46204</v>
      </c>
      <c r="K172" s="4">
        <v>8307933</v>
      </c>
      <c r="L172" s="4" t="str">
        <f t="shared" si="13"/>
        <v>8307933OVR</v>
      </c>
      <c r="M172" s="4" t="s">
        <v>80</v>
      </c>
      <c r="N172" s="4">
        <v>844</v>
      </c>
      <c r="O172" s="4">
        <v>150</v>
      </c>
      <c r="P172" s="4" t="s">
        <v>345</v>
      </c>
    </row>
    <row r="173" spans="1:29" s="6" customFormat="1" x14ac:dyDescent="0.25">
      <c r="A173" s="4" t="s">
        <v>163</v>
      </c>
      <c r="B173" s="4" t="str">
        <f t="shared" si="12"/>
        <v>9Y88CT0WQ38OVR</v>
      </c>
      <c r="C173" s="4" t="s">
        <v>305</v>
      </c>
      <c r="D173" s="4" t="s">
        <v>262</v>
      </c>
      <c r="E173" s="4" t="str">
        <f t="shared" si="14"/>
        <v>DAVID MCKEE</v>
      </c>
      <c r="F173" s="4" t="s">
        <v>166</v>
      </c>
      <c r="G173" s="4" t="s">
        <v>37</v>
      </c>
      <c r="H173" s="4" t="s">
        <v>29</v>
      </c>
      <c r="I173" s="5">
        <v>46204</v>
      </c>
      <c r="J173" s="5">
        <v>46204</v>
      </c>
      <c r="K173" s="4">
        <v>9079571</v>
      </c>
      <c r="L173" s="4" t="str">
        <f t="shared" si="13"/>
        <v>9079571OVR</v>
      </c>
      <c r="M173" s="4" t="s">
        <v>169</v>
      </c>
      <c r="N173" s="4">
        <v>-303.5</v>
      </c>
      <c r="O173" s="4">
        <v>-87.5</v>
      </c>
      <c r="P173" s="4" t="s">
        <v>345</v>
      </c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:29" s="6" customFormat="1" x14ac:dyDescent="0.25">
      <c r="A174" s="4" t="s">
        <v>163</v>
      </c>
      <c r="B174" s="4" t="str">
        <f t="shared" si="12"/>
        <v>9Y88CT0WQ38OVR</v>
      </c>
      <c r="C174" s="4" t="s">
        <v>305</v>
      </c>
      <c r="D174" s="4" t="s">
        <v>262</v>
      </c>
      <c r="E174" s="4" t="str">
        <f t="shared" si="14"/>
        <v>DAVID MCKEE</v>
      </c>
      <c r="F174" s="4" t="s">
        <v>166</v>
      </c>
      <c r="G174" s="4" t="s">
        <v>28</v>
      </c>
      <c r="H174" s="4" t="s">
        <v>29</v>
      </c>
      <c r="I174" s="5">
        <v>46204</v>
      </c>
      <c r="J174" s="5">
        <v>46204</v>
      </c>
      <c r="K174" s="4">
        <v>9079571</v>
      </c>
      <c r="L174" s="4" t="str">
        <f t="shared" si="13"/>
        <v>9079571OVR</v>
      </c>
      <c r="M174" s="4" t="s">
        <v>169</v>
      </c>
      <c r="N174" s="4">
        <v>1039</v>
      </c>
      <c r="O174" s="4">
        <v>175</v>
      </c>
      <c r="P174" s="4" t="s">
        <v>345</v>
      </c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:29" x14ac:dyDescent="0.25">
      <c r="I175" s="1"/>
      <c r="J175" s="1"/>
    </row>
    <row r="176" spans="1:29" x14ac:dyDescent="0.25">
      <c r="I176" s="1"/>
      <c r="J176" s="1"/>
    </row>
    <row r="177" spans="1:29" x14ac:dyDescent="0.25">
      <c r="I177" s="1"/>
      <c r="J177" s="1"/>
    </row>
    <row r="178" spans="1:29" s="2" customFormat="1" x14ac:dyDescent="0.25">
      <c r="A178" s="6" t="s">
        <v>74</v>
      </c>
      <c r="B178" s="6"/>
      <c r="C178" s="6" t="s">
        <v>267</v>
      </c>
      <c r="D178" s="6" t="s">
        <v>268</v>
      </c>
      <c r="E178" s="6" t="str">
        <f>CONCATENATE(D178," ",C178)</f>
        <v>WILLANDA BURT-HOLSENDOLPH</v>
      </c>
      <c r="F178" s="6" t="s">
        <v>77</v>
      </c>
      <c r="G178" s="6" t="s">
        <v>37</v>
      </c>
      <c r="H178" s="6" t="s">
        <v>29</v>
      </c>
      <c r="I178" s="7">
        <v>46235</v>
      </c>
      <c r="J178" s="7">
        <v>46235</v>
      </c>
      <c r="K178" s="6">
        <v>8307933</v>
      </c>
      <c r="L178" s="6"/>
      <c r="M178" s="6" t="s">
        <v>80</v>
      </c>
      <c r="N178" s="6">
        <v>-255</v>
      </c>
      <c r="O178" s="6">
        <v>-255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x14ac:dyDescent="0.25">
      <c r="I179" s="1"/>
      <c r="J179" s="1"/>
    </row>
    <row r="180" spans="1:29" x14ac:dyDescent="0.25">
      <c r="I180" s="1"/>
      <c r="J180" s="1"/>
    </row>
    <row r="181" spans="1:29" x14ac:dyDescent="0.25">
      <c r="I181" s="1"/>
      <c r="J181" s="1"/>
    </row>
    <row r="182" spans="1:29" x14ac:dyDescent="0.25">
      <c r="I182" s="1"/>
      <c r="J182" s="1"/>
    </row>
    <row r="183" spans="1:29" x14ac:dyDescent="0.25">
      <c r="I183" s="1"/>
      <c r="J183" s="1"/>
    </row>
    <row r="184" spans="1:29" x14ac:dyDescent="0.25">
      <c r="I184" s="1"/>
      <c r="J184" s="1"/>
    </row>
    <row r="185" spans="1:29" x14ac:dyDescent="0.25">
      <c r="I185" s="1"/>
      <c r="J185" s="1"/>
    </row>
    <row r="186" spans="1:29" x14ac:dyDescent="0.25">
      <c r="I186" s="1"/>
      <c r="J186" s="1"/>
    </row>
    <row r="187" spans="1:29" x14ac:dyDescent="0.25">
      <c r="I187" s="1"/>
      <c r="J187" s="1"/>
    </row>
    <row r="188" spans="1:29" x14ac:dyDescent="0.25">
      <c r="I188" s="1"/>
      <c r="J188" s="1"/>
    </row>
    <row r="189" spans="1:29" x14ac:dyDescent="0.25">
      <c r="I189" s="1"/>
      <c r="J189" s="1"/>
    </row>
    <row r="190" spans="1:29" x14ac:dyDescent="0.25">
      <c r="I190" s="1"/>
      <c r="J190" s="1"/>
    </row>
    <row r="191" spans="1:29" x14ac:dyDescent="0.25">
      <c r="I191" s="1"/>
      <c r="J191" s="1"/>
    </row>
    <row r="192" spans="1:29" x14ac:dyDescent="0.25">
      <c r="I192" s="1"/>
      <c r="J192" s="1"/>
    </row>
    <row r="193" spans="9:10" x14ac:dyDescent="0.25">
      <c r="I193" s="1"/>
      <c r="J193" s="1"/>
    </row>
    <row r="194" spans="9:10" x14ac:dyDescent="0.25">
      <c r="I194" s="1"/>
      <c r="J194" s="1"/>
    </row>
    <row r="195" spans="9:10" x14ac:dyDescent="0.25">
      <c r="I195" s="1"/>
      <c r="J195" s="1"/>
    </row>
    <row r="196" spans="9:10" x14ac:dyDescent="0.25">
      <c r="I196" s="1"/>
      <c r="J196" s="1"/>
    </row>
    <row r="197" spans="9:10" x14ac:dyDescent="0.25">
      <c r="I197" s="1"/>
      <c r="J197" s="1"/>
    </row>
    <row r="198" spans="9:10" x14ac:dyDescent="0.25">
      <c r="I198" s="1"/>
      <c r="J198" s="1"/>
    </row>
    <row r="199" spans="9:10" x14ac:dyDescent="0.25">
      <c r="I199" s="1"/>
      <c r="J199" s="1"/>
    </row>
    <row r="200" spans="9:10" x14ac:dyDescent="0.25">
      <c r="I200" s="1"/>
      <c r="J200" s="1"/>
    </row>
    <row r="201" spans="9:10" x14ac:dyDescent="0.25">
      <c r="I201" s="1"/>
      <c r="J201" s="1"/>
    </row>
    <row r="202" spans="9:10" x14ac:dyDescent="0.25">
      <c r="I202" s="1"/>
      <c r="J202" s="1"/>
    </row>
    <row r="203" spans="9:10" x14ac:dyDescent="0.25">
      <c r="I203" s="1"/>
      <c r="J203" s="1"/>
    </row>
    <row r="204" spans="9:10" x14ac:dyDescent="0.25">
      <c r="I204" s="1"/>
      <c r="J204" s="1"/>
    </row>
    <row r="205" spans="9:10" x14ac:dyDescent="0.25">
      <c r="I205" s="1"/>
      <c r="J205" s="1"/>
    </row>
    <row r="206" spans="9:10" x14ac:dyDescent="0.25">
      <c r="I206" s="1"/>
      <c r="J206" s="1"/>
    </row>
    <row r="207" spans="9:10" x14ac:dyDescent="0.25">
      <c r="I207" s="1"/>
      <c r="J207" s="1"/>
    </row>
    <row r="208" spans="9:10" x14ac:dyDescent="0.25">
      <c r="I208" s="1"/>
      <c r="J208" s="1"/>
    </row>
    <row r="209" spans="9:10" x14ac:dyDescent="0.25">
      <c r="I209" s="1"/>
      <c r="J209" s="1"/>
    </row>
    <row r="210" spans="9:10" x14ac:dyDescent="0.25">
      <c r="I210" s="1"/>
      <c r="J210" s="1"/>
    </row>
    <row r="211" spans="9:10" x14ac:dyDescent="0.25">
      <c r="I211" s="1"/>
      <c r="J211" s="1"/>
    </row>
    <row r="212" spans="9:10" x14ac:dyDescent="0.25">
      <c r="I212" s="1"/>
      <c r="J212" s="1"/>
    </row>
    <row r="213" spans="9:10" x14ac:dyDescent="0.25">
      <c r="I213" s="1"/>
      <c r="J213" s="1"/>
    </row>
    <row r="214" spans="9:10" x14ac:dyDescent="0.25">
      <c r="I214" s="1"/>
      <c r="J214" s="1"/>
    </row>
    <row r="215" spans="9:10" x14ac:dyDescent="0.25">
      <c r="I215" s="1"/>
      <c r="J215" s="1"/>
    </row>
    <row r="216" spans="9:10" x14ac:dyDescent="0.25">
      <c r="I216" s="1"/>
      <c r="J216" s="1"/>
    </row>
    <row r="217" spans="9:10" x14ac:dyDescent="0.25">
      <c r="I217" s="1"/>
      <c r="J217" s="1"/>
    </row>
    <row r="218" spans="9:10" x14ac:dyDescent="0.25">
      <c r="I218" s="1"/>
      <c r="J218" s="1"/>
    </row>
    <row r="219" spans="9:10" x14ac:dyDescent="0.25">
      <c r="I219" s="1"/>
      <c r="J219" s="1"/>
    </row>
    <row r="220" spans="9:10" x14ac:dyDescent="0.25">
      <c r="I220" s="1"/>
      <c r="J220" s="1"/>
    </row>
    <row r="221" spans="9:10" x14ac:dyDescent="0.25">
      <c r="I221" s="1"/>
      <c r="J221" s="1"/>
    </row>
    <row r="222" spans="9:10" x14ac:dyDescent="0.25">
      <c r="I222" s="1"/>
      <c r="J222" s="1"/>
    </row>
    <row r="223" spans="9:10" x14ac:dyDescent="0.25">
      <c r="I223" s="1"/>
      <c r="J223" s="1"/>
    </row>
    <row r="224" spans="9:10" x14ac:dyDescent="0.25">
      <c r="I224" s="1"/>
      <c r="J224" s="1"/>
    </row>
    <row r="225" spans="9:10" x14ac:dyDescent="0.25">
      <c r="I225" s="1"/>
      <c r="J225" s="1"/>
    </row>
    <row r="226" spans="9:10" x14ac:dyDescent="0.25">
      <c r="I226" s="1"/>
      <c r="J226" s="1"/>
    </row>
    <row r="227" spans="9:10" x14ac:dyDescent="0.25">
      <c r="I227" s="1"/>
      <c r="J227" s="1"/>
    </row>
    <row r="228" spans="9:10" x14ac:dyDescent="0.25">
      <c r="I228" s="1"/>
      <c r="J228" s="1"/>
    </row>
    <row r="229" spans="9:10" x14ac:dyDescent="0.25">
      <c r="I229" s="1"/>
      <c r="J229" s="1"/>
    </row>
    <row r="230" spans="9:10" x14ac:dyDescent="0.25">
      <c r="I230" s="1"/>
      <c r="J230" s="1"/>
    </row>
    <row r="231" spans="9:10" x14ac:dyDescent="0.25">
      <c r="I231" s="1"/>
      <c r="J231" s="1"/>
    </row>
    <row r="232" spans="9:10" x14ac:dyDescent="0.25">
      <c r="I232" s="1"/>
      <c r="J232" s="1"/>
    </row>
    <row r="233" spans="9:10" x14ac:dyDescent="0.25">
      <c r="I233" s="1"/>
      <c r="J233" s="1"/>
    </row>
    <row r="234" spans="9:10" x14ac:dyDescent="0.25">
      <c r="I234" s="1"/>
      <c r="J234" s="1"/>
    </row>
    <row r="235" spans="9:10" x14ac:dyDescent="0.25">
      <c r="I235" s="1"/>
      <c r="J235" s="1"/>
    </row>
    <row r="236" spans="9:10" x14ac:dyDescent="0.25">
      <c r="I236" s="1"/>
      <c r="J236" s="1"/>
    </row>
    <row r="237" spans="9:10" x14ac:dyDescent="0.25">
      <c r="I237" s="1"/>
      <c r="J237" s="1"/>
    </row>
    <row r="238" spans="9:10" x14ac:dyDescent="0.25">
      <c r="I238" s="1"/>
      <c r="J238" s="1"/>
    </row>
    <row r="239" spans="9:10" x14ac:dyDescent="0.25">
      <c r="I239" s="1"/>
      <c r="J239" s="1"/>
    </row>
    <row r="240" spans="9:10" x14ac:dyDescent="0.25">
      <c r="I240" s="1"/>
      <c r="J240" s="1"/>
    </row>
    <row r="241" spans="9:10" x14ac:dyDescent="0.25">
      <c r="I241" s="1"/>
      <c r="J241" s="1"/>
    </row>
    <row r="242" spans="9:10" x14ac:dyDescent="0.25">
      <c r="I242" s="1"/>
      <c r="J242" s="1"/>
    </row>
    <row r="243" spans="9:10" x14ac:dyDescent="0.25">
      <c r="I243" s="1"/>
      <c r="J243" s="1"/>
    </row>
    <row r="244" spans="9:10" x14ac:dyDescent="0.25">
      <c r="I244" s="1"/>
      <c r="J244" s="1"/>
    </row>
    <row r="245" spans="9:10" x14ac:dyDescent="0.25">
      <c r="I245" s="1"/>
      <c r="J245" s="1"/>
    </row>
    <row r="246" spans="9:10" x14ac:dyDescent="0.25">
      <c r="I246" s="1"/>
      <c r="J246" s="1"/>
    </row>
    <row r="247" spans="9:10" x14ac:dyDescent="0.25">
      <c r="I247" s="1"/>
      <c r="J247" s="1"/>
    </row>
    <row r="248" spans="9:10" x14ac:dyDescent="0.25">
      <c r="I248" s="1"/>
      <c r="J248" s="1"/>
    </row>
    <row r="249" spans="9:10" x14ac:dyDescent="0.25">
      <c r="I249" s="1"/>
      <c r="J249" s="1"/>
    </row>
    <row r="250" spans="9:10" x14ac:dyDescent="0.25">
      <c r="I250" s="1"/>
      <c r="J250" s="1"/>
    </row>
    <row r="251" spans="9:10" x14ac:dyDescent="0.25">
      <c r="I251" s="1"/>
      <c r="J251" s="1"/>
    </row>
    <row r="252" spans="9:10" x14ac:dyDescent="0.25">
      <c r="I252" s="1"/>
      <c r="J252" s="1"/>
    </row>
    <row r="253" spans="9:10" x14ac:dyDescent="0.25">
      <c r="I253" s="1"/>
      <c r="J253" s="1"/>
    </row>
    <row r="254" spans="9:10" x14ac:dyDescent="0.25">
      <c r="I254" s="1"/>
      <c r="J254" s="1"/>
    </row>
    <row r="255" spans="9:10" x14ac:dyDescent="0.25">
      <c r="I255" s="1"/>
      <c r="J255" s="1"/>
    </row>
    <row r="256" spans="9:10" x14ac:dyDescent="0.25">
      <c r="I256" s="1"/>
      <c r="J256" s="1"/>
    </row>
    <row r="257" spans="9:10" x14ac:dyDescent="0.25">
      <c r="I257" s="1"/>
      <c r="J257" s="1"/>
    </row>
    <row r="258" spans="9:10" x14ac:dyDescent="0.25">
      <c r="I258" s="1"/>
      <c r="J258" s="1"/>
    </row>
    <row r="259" spans="9:10" x14ac:dyDescent="0.25">
      <c r="I259" s="1"/>
      <c r="J259" s="1"/>
    </row>
    <row r="260" spans="9:10" x14ac:dyDescent="0.25">
      <c r="I260" s="1"/>
      <c r="J260" s="1"/>
    </row>
    <row r="261" spans="9:10" x14ac:dyDescent="0.25">
      <c r="I261" s="1"/>
      <c r="J261" s="1"/>
    </row>
    <row r="262" spans="9:10" x14ac:dyDescent="0.25">
      <c r="I262" s="1"/>
      <c r="J262" s="1"/>
    </row>
    <row r="263" spans="9:10" x14ac:dyDescent="0.25">
      <c r="I263" s="1"/>
      <c r="J263" s="1"/>
    </row>
    <row r="264" spans="9:10" x14ac:dyDescent="0.25">
      <c r="I264" s="1"/>
      <c r="J264" s="1"/>
    </row>
    <row r="265" spans="9:10" x14ac:dyDescent="0.25">
      <c r="I265" s="1"/>
      <c r="J265" s="1"/>
    </row>
    <row r="266" spans="9:10" x14ac:dyDescent="0.25">
      <c r="I266" s="1"/>
      <c r="J266" s="1"/>
    </row>
    <row r="267" spans="9:10" x14ac:dyDescent="0.25">
      <c r="I267" s="1"/>
      <c r="J267" s="1"/>
    </row>
    <row r="268" spans="9:10" x14ac:dyDescent="0.25">
      <c r="I268" s="1"/>
      <c r="J268" s="1"/>
    </row>
    <row r="269" spans="9:10" x14ac:dyDescent="0.25">
      <c r="I269" s="1"/>
      <c r="J269" s="1"/>
    </row>
    <row r="270" spans="9:10" x14ac:dyDescent="0.25">
      <c r="I270" s="1"/>
      <c r="J270" s="1"/>
    </row>
    <row r="271" spans="9:10" x14ac:dyDescent="0.25">
      <c r="I271" s="1"/>
      <c r="J271" s="1"/>
    </row>
    <row r="272" spans="9:10" x14ac:dyDescent="0.25">
      <c r="I272" s="1"/>
      <c r="J272" s="1"/>
    </row>
    <row r="273" spans="9:10" x14ac:dyDescent="0.25">
      <c r="I273" s="1"/>
      <c r="J273" s="1"/>
    </row>
    <row r="274" spans="9:10" x14ac:dyDescent="0.25">
      <c r="I274" s="1"/>
      <c r="J274" s="1"/>
    </row>
    <row r="275" spans="9:10" x14ac:dyDescent="0.25">
      <c r="I275" s="1"/>
      <c r="J275" s="1"/>
    </row>
    <row r="276" spans="9:10" x14ac:dyDescent="0.25">
      <c r="I276" s="1"/>
      <c r="J276" s="1"/>
    </row>
    <row r="277" spans="9:10" x14ac:dyDescent="0.25">
      <c r="I277" s="1"/>
      <c r="J277" s="1"/>
    </row>
    <row r="278" spans="9:10" x14ac:dyDescent="0.25">
      <c r="I278" s="1"/>
      <c r="J278" s="1"/>
    </row>
    <row r="279" spans="9:10" x14ac:dyDescent="0.25">
      <c r="I279" s="1"/>
      <c r="J279" s="1"/>
    </row>
    <row r="280" spans="9:10" x14ac:dyDescent="0.25">
      <c r="I280" s="1"/>
      <c r="J280" s="1"/>
    </row>
    <row r="281" spans="9:10" x14ac:dyDescent="0.25">
      <c r="I281" s="1"/>
      <c r="J281" s="1"/>
    </row>
    <row r="282" spans="9:10" x14ac:dyDescent="0.25">
      <c r="I282" s="1"/>
      <c r="J282" s="1"/>
    </row>
    <row r="283" spans="9:10" x14ac:dyDescent="0.25">
      <c r="I283" s="1"/>
      <c r="J283" s="1"/>
    </row>
    <row r="284" spans="9:10" x14ac:dyDescent="0.25">
      <c r="I284" s="1"/>
      <c r="J284" s="1"/>
    </row>
    <row r="285" spans="9:10" x14ac:dyDescent="0.25">
      <c r="I285" s="1"/>
      <c r="J285" s="1"/>
    </row>
    <row r="286" spans="9:10" x14ac:dyDescent="0.25">
      <c r="I286" s="1"/>
      <c r="J286" s="1"/>
    </row>
    <row r="287" spans="9:10" x14ac:dyDescent="0.25">
      <c r="I287" s="1"/>
      <c r="J287" s="1"/>
    </row>
    <row r="288" spans="9:10" x14ac:dyDescent="0.25">
      <c r="I288" s="1"/>
      <c r="J288" s="1"/>
    </row>
    <row r="289" spans="9:10" x14ac:dyDescent="0.25">
      <c r="I289" s="1"/>
      <c r="J289" s="1"/>
    </row>
    <row r="290" spans="9:10" x14ac:dyDescent="0.25">
      <c r="I290" s="1"/>
      <c r="J290" s="1"/>
    </row>
    <row r="291" spans="9:10" x14ac:dyDescent="0.25">
      <c r="I291" s="1"/>
      <c r="J291" s="1"/>
    </row>
    <row r="292" spans="9:10" x14ac:dyDescent="0.25">
      <c r="I292" s="1"/>
      <c r="J292" s="1"/>
    </row>
    <row r="293" spans="9:10" x14ac:dyDescent="0.25">
      <c r="I293" s="1"/>
      <c r="J293" s="1"/>
    </row>
    <row r="294" spans="9:10" x14ac:dyDescent="0.25">
      <c r="I294" s="1"/>
      <c r="J294" s="1"/>
    </row>
    <row r="295" spans="9:10" x14ac:dyDescent="0.25">
      <c r="I295" s="1"/>
      <c r="J295" s="1"/>
    </row>
    <row r="296" spans="9:10" x14ac:dyDescent="0.25">
      <c r="I296" s="1"/>
      <c r="J296" s="1"/>
    </row>
    <row r="297" spans="9:10" x14ac:dyDescent="0.25">
      <c r="I297" s="1"/>
      <c r="J297" s="1"/>
    </row>
    <row r="298" spans="9:10" x14ac:dyDescent="0.25">
      <c r="I298" s="1"/>
      <c r="J298" s="1"/>
    </row>
    <row r="299" spans="9:10" x14ac:dyDescent="0.25">
      <c r="I299" s="1"/>
      <c r="J299" s="1"/>
    </row>
    <row r="300" spans="9:10" x14ac:dyDescent="0.25">
      <c r="I300" s="1"/>
      <c r="J300" s="1"/>
    </row>
    <row r="301" spans="9:10" x14ac:dyDescent="0.25">
      <c r="I301" s="1"/>
      <c r="J301" s="1"/>
    </row>
    <row r="302" spans="9:10" x14ac:dyDescent="0.25">
      <c r="I302" s="1"/>
      <c r="J302" s="1"/>
    </row>
    <row r="303" spans="9:10" x14ac:dyDescent="0.25">
      <c r="I303" s="1"/>
      <c r="J303" s="1"/>
    </row>
    <row r="304" spans="9:10" x14ac:dyDescent="0.25">
      <c r="I304" s="1"/>
      <c r="J304" s="1"/>
    </row>
    <row r="305" spans="9:10" x14ac:dyDescent="0.25">
      <c r="I305" s="1"/>
      <c r="J305" s="1"/>
    </row>
    <row r="306" spans="9:10" x14ac:dyDescent="0.25">
      <c r="I306" s="1"/>
      <c r="J306" s="1"/>
    </row>
    <row r="307" spans="9:10" x14ac:dyDescent="0.25">
      <c r="I307" s="1"/>
      <c r="J307" s="1"/>
    </row>
    <row r="308" spans="9:10" x14ac:dyDescent="0.25">
      <c r="I308" s="1"/>
      <c r="J308" s="1"/>
    </row>
    <row r="309" spans="9:10" x14ac:dyDescent="0.25">
      <c r="I309" s="1"/>
      <c r="J309" s="1"/>
    </row>
    <row r="310" spans="9:10" x14ac:dyDescent="0.25">
      <c r="I310" s="1"/>
      <c r="J310" s="1"/>
    </row>
    <row r="311" spans="9:10" x14ac:dyDescent="0.25">
      <c r="I311" s="1"/>
      <c r="J311" s="1"/>
    </row>
    <row r="312" spans="9:10" x14ac:dyDescent="0.25">
      <c r="I312" s="1"/>
      <c r="J312" s="1"/>
    </row>
    <row r="313" spans="9:10" x14ac:dyDescent="0.25">
      <c r="I313" s="1"/>
      <c r="J313" s="1"/>
    </row>
    <row r="314" spans="9:10" x14ac:dyDescent="0.25">
      <c r="I314" s="1"/>
      <c r="J314" s="1"/>
    </row>
    <row r="315" spans="9:10" x14ac:dyDescent="0.25">
      <c r="I315" s="1"/>
      <c r="J315" s="1"/>
    </row>
    <row r="316" spans="9:10" x14ac:dyDescent="0.25">
      <c r="I316" s="1"/>
      <c r="J316" s="1"/>
    </row>
    <row r="317" spans="9:10" x14ac:dyDescent="0.25">
      <c r="I317" s="1"/>
      <c r="J317" s="1"/>
    </row>
    <row r="318" spans="9:10" x14ac:dyDescent="0.25">
      <c r="I318" s="1"/>
      <c r="J318" s="1"/>
    </row>
    <row r="319" spans="9:10" x14ac:dyDescent="0.25">
      <c r="I319" s="1"/>
      <c r="J319" s="1"/>
    </row>
    <row r="320" spans="9:10" x14ac:dyDescent="0.25">
      <c r="I320" s="1"/>
      <c r="J320" s="1"/>
    </row>
    <row r="321" spans="9:10" x14ac:dyDescent="0.25">
      <c r="I321" s="1"/>
      <c r="J321" s="1"/>
    </row>
    <row r="322" spans="9:10" x14ac:dyDescent="0.25">
      <c r="I322" s="1"/>
      <c r="J322" s="1"/>
    </row>
    <row r="323" spans="9:10" x14ac:dyDescent="0.25">
      <c r="I323" s="1"/>
      <c r="J323" s="1"/>
    </row>
    <row r="324" spans="9:10" x14ac:dyDescent="0.25">
      <c r="I324" s="1"/>
      <c r="J324" s="1"/>
    </row>
    <row r="325" spans="9:10" x14ac:dyDescent="0.25">
      <c r="I325" s="1"/>
      <c r="J325" s="1"/>
    </row>
    <row r="326" spans="9:10" x14ac:dyDescent="0.25">
      <c r="I326" s="1"/>
      <c r="J326" s="1"/>
    </row>
    <row r="327" spans="9:10" x14ac:dyDescent="0.25">
      <c r="I327" s="1"/>
      <c r="J327" s="1"/>
    </row>
    <row r="328" spans="9:10" x14ac:dyDescent="0.25">
      <c r="I328" s="1"/>
      <c r="J328" s="1"/>
    </row>
    <row r="329" spans="9:10" x14ac:dyDescent="0.25">
      <c r="I329" s="1"/>
      <c r="J329" s="1"/>
    </row>
    <row r="330" spans="9:10" x14ac:dyDescent="0.25">
      <c r="I330" s="1"/>
      <c r="J330" s="1"/>
    </row>
    <row r="331" spans="9:10" x14ac:dyDescent="0.25">
      <c r="I331" s="1"/>
      <c r="J331" s="1"/>
    </row>
    <row r="332" spans="9:10" x14ac:dyDescent="0.25">
      <c r="I332" s="1"/>
      <c r="J332" s="1"/>
    </row>
    <row r="333" spans="9:10" x14ac:dyDescent="0.25">
      <c r="I333" s="1"/>
      <c r="J333" s="1"/>
    </row>
    <row r="334" spans="9:10" x14ac:dyDescent="0.25">
      <c r="I334" s="1"/>
      <c r="J334" s="1"/>
    </row>
    <row r="335" spans="9:10" x14ac:dyDescent="0.25">
      <c r="I335" s="1"/>
      <c r="J335" s="1"/>
    </row>
    <row r="336" spans="9:10" x14ac:dyDescent="0.25">
      <c r="I336" s="1"/>
      <c r="J336" s="1"/>
    </row>
    <row r="337" spans="9:10" x14ac:dyDescent="0.25">
      <c r="I337" s="1"/>
      <c r="J337" s="1"/>
    </row>
    <row r="338" spans="9:10" x14ac:dyDescent="0.25">
      <c r="I338" s="1"/>
      <c r="J338" s="1"/>
    </row>
    <row r="339" spans="9:10" x14ac:dyDescent="0.25">
      <c r="I339" s="1"/>
      <c r="J339" s="1"/>
    </row>
    <row r="340" spans="9:10" x14ac:dyDescent="0.25">
      <c r="I340" s="1"/>
      <c r="J340" s="1"/>
    </row>
    <row r="341" spans="9:10" x14ac:dyDescent="0.25">
      <c r="I341" s="1"/>
      <c r="J341" s="1"/>
    </row>
    <row r="342" spans="9:10" x14ac:dyDescent="0.25">
      <c r="I342" s="1"/>
      <c r="J342" s="1"/>
    </row>
    <row r="343" spans="9:10" x14ac:dyDescent="0.25">
      <c r="I343" s="1"/>
      <c r="J343" s="1"/>
    </row>
    <row r="344" spans="9:10" x14ac:dyDescent="0.25">
      <c r="I344" s="1"/>
      <c r="J344" s="1"/>
    </row>
    <row r="345" spans="9:10" x14ac:dyDescent="0.25">
      <c r="I345" s="1"/>
      <c r="J345" s="1"/>
    </row>
    <row r="346" spans="9:10" x14ac:dyDescent="0.25">
      <c r="I346" s="1"/>
      <c r="J346" s="1"/>
    </row>
    <row r="347" spans="9:10" x14ac:dyDescent="0.25">
      <c r="I347" s="1"/>
      <c r="J347" s="1"/>
    </row>
    <row r="348" spans="9:10" x14ac:dyDescent="0.25">
      <c r="I348" s="1"/>
      <c r="J348" s="1"/>
    </row>
    <row r="349" spans="9:10" x14ac:dyDescent="0.25">
      <c r="I349" s="1"/>
      <c r="J349" s="1"/>
    </row>
    <row r="350" spans="9:10" x14ac:dyDescent="0.25">
      <c r="I350" s="1"/>
      <c r="J350" s="1"/>
    </row>
    <row r="351" spans="9:10" x14ac:dyDescent="0.25">
      <c r="I351" s="1"/>
      <c r="J351" s="1"/>
    </row>
    <row r="352" spans="9:10" x14ac:dyDescent="0.25">
      <c r="I352" s="1"/>
      <c r="J352" s="1"/>
    </row>
    <row r="353" spans="9:10" x14ac:dyDescent="0.25">
      <c r="I353" s="1"/>
      <c r="J353" s="1"/>
    </row>
    <row r="354" spans="9:10" x14ac:dyDescent="0.25">
      <c r="I354" s="1"/>
      <c r="J354" s="1"/>
    </row>
    <row r="355" spans="9:10" x14ac:dyDescent="0.25">
      <c r="I355" s="1"/>
      <c r="J355" s="1"/>
    </row>
    <row r="356" spans="9:10" x14ac:dyDescent="0.25">
      <c r="I356" s="1"/>
      <c r="J356" s="1"/>
    </row>
    <row r="357" spans="9:10" x14ac:dyDescent="0.25">
      <c r="I357" s="1"/>
      <c r="J357" s="1"/>
    </row>
    <row r="358" spans="9:10" x14ac:dyDescent="0.25">
      <c r="I358" s="1"/>
      <c r="J358" s="1"/>
    </row>
    <row r="359" spans="9:10" x14ac:dyDescent="0.25">
      <c r="I359" s="1"/>
      <c r="J359" s="1"/>
    </row>
    <row r="360" spans="9:10" x14ac:dyDescent="0.25">
      <c r="I360" s="1"/>
      <c r="J360" s="1"/>
    </row>
    <row r="361" spans="9:10" x14ac:dyDescent="0.25">
      <c r="I361" s="1"/>
      <c r="J361" s="1"/>
    </row>
    <row r="362" spans="9:10" x14ac:dyDescent="0.25">
      <c r="I362" s="1"/>
      <c r="J362" s="1"/>
    </row>
    <row r="363" spans="9:10" x14ac:dyDescent="0.25">
      <c r="I363" s="1"/>
      <c r="J363" s="1"/>
    </row>
    <row r="364" spans="9:10" x14ac:dyDescent="0.25">
      <c r="I364" s="1"/>
      <c r="J364" s="1"/>
    </row>
    <row r="365" spans="9:10" x14ac:dyDescent="0.25">
      <c r="I365" s="1"/>
      <c r="J365" s="1"/>
    </row>
    <row r="366" spans="9:10" x14ac:dyDescent="0.25">
      <c r="I366" s="1"/>
      <c r="J366" s="1"/>
    </row>
    <row r="367" spans="9:10" x14ac:dyDescent="0.25">
      <c r="I367" s="1"/>
      <c r="J367" s="1"/>
    </row>
    <row r="368" spans="9:10" x14ac:dyDescent="0.25">
      <c r="I368" s="1"/>
      <c r="J368" s="1"/>
    </row>
    <row r="369" spans="9:10" x14ac:dyDescent="0.25">
      <c r="I369" s="1"/>
      <c r="J369" s="1"/>
    </row>
    <row r="370" spans="9:10" x14ac:dyDescent="0.25">
      <c r="I370" s="1"/>
      <c r="J370" s="1"/>
    </row>
    <row r="371" spans="9:10" x14ac:dyDescent="0.25">
      <c r="I371" s="1"/>
      <c r="J371" s="1"/>
    </row>
    <row r="372" spans="9:10" x14ac:dyDescent="0.25">
      <c r="I372" s="1"/>
      <c r="J372" s="1"/>
    </row>
    <row r="373" spans="9:10" x14ac:dyDescent="0.25">
      <c r="I373" s="1"/>
      <c r="J373" s="1"/>
    </row>
    <row r="374" spans="9:10" x14ac:dyDescent="0.25">
      <c r="I374" s="1"/>
      <c r="J374" s="1"/>
    </row>
    <row r="375" spans="9:10" x14ac:dyDescent="0.25">
      <c r="I375" s="1"/>
      <c r="J375" s="1"/>
    </row>
    <row r="376" spans="9:10" x14ac:dyDescent="0.25">
      <c r="I376" s="1"/>
      <c r="J376" s="1"/>
    </row>
    <row r="377" spans="9:10" x14ac:dyDescent="0.25">
      <c r="I377" s="1"/>
      <c r="J377" s="1"/>
    </row>
    <row r="378" spans="9:10" x14ac:dyDescent="0.25">
      <c r="I378" s="1"/>
      <c r="J378" s="1"/>
    </row>
    <row r="379" spans="9:10" x14ac:dyDescent="0.25">
      <c r="I379" s="1"/>
      <c r="J379" s="1"/>
    </row>
    <row r="380" spans="9:10" x14ac:dyDescent="0.25">
      <c r="I380" s="1"/>
      <c r="J380" s="1"/>
    </row>
    <row r="381" spans="9:10" x14ac:dyDescent="0.25">
      <c r="I381" s="1"/>
      <c r="J381" s="1"/>
    </row>
    <row r="382" spans="9:10" x14ac:dyDescent="0.25">
      <c r="I382" s="1"/>
      <c r="J382" s="1"/>
    </row>
    <row r="383" spans="9:10" x14ac:dyDescent="0.25">
      <c r="I383" s="1"/>
      <c r="J383" s="1"/>
    </row>
    <row r="384" spans="9:10" x14ac:dyDescent="0.25">
      <c r="I384" s="1"/>
      <c r="J384" s="1"/>
    </row>
    <row r="385" spans="9:10" x14ac:dyDescent="0.25">
      <c r="I385" s="1"/>
      <c r="J385" s="1"/>
    </row>
    <row r="386" spans="9:10" x14ac:dyDescent="0.25">
      <c r="I386" s="1"/>
      <c r="J386" s="1"/>
    </row>
    <row r="387" spans="9:10" x14ac:dyDescent="0.25">
      <c r="I387" s="1"/>
      <c r="J387" s="1"/>
    </row>
    <row r="388" spans="9:10" x14ac:dyDescent="0.25">
      <c r="I388" s="1"/>
      <c r="J388" s="1"/>
    </row>
    <row r="389" spans="9:10" x14ac:dyDescent="0.25">
      <c r="I389" s="1"/>
      <c r="J389" s="1"/>
    </row>
    <row r="390" spans="9:10" x14ac:dyDescent="0.25">
      <c r="I390" s="1"/>
      <c r="J390" s="1"/>
    </row>
    <row r="391" spans="9:10" x14ac:dyDescent="0.25">
      <c r="I391" s="1"/>
      <c r="J391" s="1"/>
    </row>
    <row r="392" spans="9:10" x14ac:dyDescent="0.25">
      <c r="I392" s="1"/>
      <c r="J392" s="1"/>
    </row>
    <row r="393" spans="9:10" x14ac:dyDescent="0.25">
      <c r="I393" s="1"/>
      <c r="J393" s="1"/>
    </row>
    <row r="394" spans="9:10" x14ac:dyDescent="0.25">
      <c r="I394" s="1"/>
      <c r="J394" s="1"/>
    </row>
    <row r="395" spans="9:10" x14ac:dyDescent="0.25">
      <c r="I395" s="1"/>
      <c r="J395" s="1"/>
    </row>
    <row r="396" spans="9:10" x14ac:dyDescent="0.25">
      <c r="I396" s="1"/>
      <c r="J396" s="1"/>
    </row>
    <row r="397" spans="9:10" x14ac:dyDescent="0.25">
      <c r="I397" s="1"/>
      <c r="J397" s="1"/>
    </row>
    <row r="398" spans="9:10" x14ac:dyDescent="0.25">
      <c r="I398" s="1"/>
      <c r="J398" s="1"/>
    </row>
    <row r="399" spans="9:10" x14ac:dyDescent="0.25">
      <c r="I399" s="1"/>
      <c r="J399" s="1"/>
    </row>
    <row r="400" spans="9:10" x14ac:dyDescent="0.25">
      <c r="I400" s="1"/>
      <c r="J400" s="1"/>
    </row>
    <row r="401" spans="9:10" x14ac:dyDescent="0.25">
      <c r="I401" s="1"/>
      <c r="J401" s="1"/>
    </row>
    <row r="402" spans="9:10" x14ac:dyDescent="0.25">
      <c r="I402" s="1"/>
      <c r="J402" s="1"/>
    </row>
    <row r="403" spans="9:10" x14ac:dyDescent="0.25">
      <c r="I403" s="1"/>
      <c r="J403" s="1"/>
    </row>
    <row r="404" spans="9:10" x14ac:dyDescent="0.25">
      <c r="I404" s="1"/>
      <c r="J404" s="1"/>
    </row>
    <row r="405" spans="9:10" x14ac:dyDescent="0.25">
      <c r="I405" s="1"/>
      <c r="J405" s="1"/>
    </row>
    <row r="406" spans="9:10" x14ac:dyDescent="0.25">
      <c r="I406" s="1"/>
      <c r="J406" s="1"/>
    </row>
    <row r="407" spans="9:10" x14ac:dyDescent="0.25">
      <c r="I407" s="1"/>
      <c r="J407" s="1"/>
    </row>
    <row r="408" spans="9:10" x14ac:dyDescent="0.25">
      <c r="I408" s="1"/>
      <c r="J408" s="1"/>
    </row>
    <row r="409" spans="9:10" x14ac:dyDescent="0.25">
      <c r="I409" s="1"/>
      <c r="J409" s="1"/>
    </row>
    <row r="410" spans="9:10" x14ac:dyDescent="0.25">
      <c r="I410" s="1"/>
      <c r="J410" s="1"/>
    </row>
    <row r="411" spans="9:10" x14ac:dyDescent="0.25">
      <c r="I411" s="1"/>
      <c r="J411" s="1"/>
    </row>
    <row r="412" spans="9:10" x14ac:dyDescent="0.25">
      <c r="I412" s="1"/>
      <c r="J412" s="1"/>
    </row>
    <row r="413" spans="9:10" x14ac:dyDescent="0.25">
      <c r="I413" s="1"/>
      <c r="J413" s="1"/>
    </row>
    <row r="414" spans="9:10" x14ac:dyDescent="0.25">
      <c r="I414" s="1"/>
      <c r="J414" s="1"/>
    </row>
    <row r="415" spans="9:10" x14ac:dyDescent="0.25">
      <c r="I415" s="1"/>
      <c r="J415" s="1"/>
    </row>
    <row r="416" spans="9:10" x14ac:dyDescent="0.25">
      <c r="I416" s="1"/>
      <c r="J416" s="1"/>
    </row>
    <row r="417" spans="9:10" x14ac:dyDescent="0.25">
      <c r="I417" s="1"/>
      <c r="J417" s="1"/>
    </row>
    <row r="418" spans="9:10" x14ac:dyDescent="0.25">
      <c r="I418" s="1"/>
      <c r="J418" s="1"/>
    </row>
    <row r="419" spans="9:10" x14ac:dyDescent="0.25">
      <c r="I419" s="1"/>
      <c r="J419" s="1"/>
    </row>
    <row r="420" spans="9:10" x14ac:dyDescent="0.25">
      <c r="I420" s="1"/>
      <c r="J420" s="1"/>
    </row>
    <row r="421" spans="9:10" x14ac:dyDescent="0.25">
      <c r="I421" s="1"/>
      <c r="J421" s="1"/>
    </row>
    <row r="422" spans="9:10" x14ac:dyDescent="0.25">
      <c r="I422" s="1"/>
      <c r="J422" s="1"/>
    </row>
    <row r="423" spans="9:10" x14ac:dyDescent="0.25">
      <c r="I423" s="1"/>
      <c r="J423" s="1"/>
    </row>
    <row r="424" spans="9:10" x14ac:dyDescent="0.25">
      <c r="I424" s="1"/>
      <c r="J424" s="1"/>
    </row>
    <row r="425" spans="9:10" x14ac:dyDescent="0.25">
      <c r="I425" s="1"/>
      <c r="J425" s="1"/>
    </row>
    <row r="426" spans="9:10" x14ac:dyDescent="0.25">
      <c r="I426" s="1"/>
      <c r="J426" s="1"/>
    </row>
    <row r="427" spans="9:10" x14ac:dyDescent="0.25">
      <c r="I427" s="1"/>
      <c r="J427" s="1"/>
    </row>
    <row r="428" spans="9:10" x14ac:dyDescent="0.25">
      <c r="I428" s="1"/>
      <c r="J428" s="1"/>
    </row>
    <row r="429" spans="9:10" x14ac:dyDescent="0.25">
      <c r="I429" s="1"/>
      <c r="J429" s="1"/>
    </row>
    <row r="430" spans="9:10" x14ac:dyDescent="0.25">
      <c r="I430" s="1"/>
      <c r="J430" s="1"/>
    </row>
    <row r="431" spans="9:10" x14ac:dyDescent="0.25">
      <c r="I431" s="1"/>
      <c r="J431" s="1"/>
    </row>
    <row r="432" spans="9:10" x14ac:dyDescent="0.25">
      <c r="I432" s="1"/>
      <c r="J432" s="1"/>
    </row>
    <row r="433" spans="9:10" x14ac:dyDescent="0.25">
      <c r="I433" s="1"/>
      <c r="J433" s="1"/>
    </row>
    <row r="434" spans="9:10" x14ac:dyDescent="0.25">
      <c r="I434" s="1"/>
      <c r="J434" s="1"/>
    </row>
    <row r="435" spans="9:10" x14ac:dyDescent="0.25">
      <c r="I435" s="1"/>
      <c r="J435" s="1"/>
    </row>
    <row r="436" spans="9:10" x14ac:dyDescent="0.25">
      <c r="I436" s="1"/>
      <c r="J436" s="1"/>
    </row>
    <row r="437" spans="9:10" x14ac:dyDescent="0.25">
      <c r="I437" s="1"/>
      <c r="J437" s="1"/>
    </row>
    <row r="438" spans="9:10" x14ac:dyDescent="0.25">
      <c r="I438" s="1"/>
      <c r="J438" s="1"/>
    </row>
    <row r="439" spans="9:10" x14ac:dyDescent="0.25">
      <c r="I439" s="1"/>
      <c r="J439" s="1"/>
    </row>
    <row r="440" spans="9:10" x14ac:dyDescent="0.25">
      <c r="I440" s="1"/>
      <c r="J440" s="1"/>
    </row>
    <row r="441" spans="9:10" x14ac:dyDescent="0.25">
      <c r="I441" s="1"/>
      <c r="J441" s="1"/>
    </row>
    <row r="442" spans="9:10" x14ac:dyDescent="0.25">
      <c r="I442" s="1"/>
      <c r="J442" s="1"/>
    </row>
    <row r="443" spans="9:10" x14ac:dyDescent="0.25">
      <c r="I443" s="1"/>
      <c r="J443" s="1"/>
    </row>
    <row r="444" spans="9:10" x14ac:dyDescent="0.25">
      <c r="I444" s="1"/>
      <c r="J444" s="1"/>
    </row>
    <row r="445" spans="9:10" x14ac:dyDescent="0.25">
      <c r="I445" s="1"/>
      <c r="J445" s="1"/>
    </row>
    <row r="446" spans="9:10" x14ac:dyDescent="0.25">
      <c r="I446" s="1"/>
      <c r="J446" s="1"/>
    </row>
    <row r="447" spans="9:10" x14ac:dyDescent="0.25">
      <c r="I447" s="1"/>
      <c r="J447" s="1"/>
    </row>
    <row r="448" spans="9:10" x14ac:dyDescent="0.25">
      <c r="I448" s="1"/>
      <c r="J448" s="1"/>
    </row>
    <row r="449" spans="9:10" x14ac:dyDescent="0.25">
      <c r="I449" s="1"/>
      <c r="J449" s="1"/>
    </row>
    <row r="450" spans="9:10" x14ac:dyDescent="0.25">
      <c r="I450" s="1"/>
      <c r="J450" s="1"/>
    </row>
    <row r="451" spans="9:10" x14ac:dyDescent="0.25">
      <c r="I451" s="1"/>
      <c r="J451" s="1"/>
    </row>
    <row r="452" spans="9:10" x14ac:dyDescent="0.25">
      <c r="I452" s="1"/>
      <c r="J452" s="1"/>
    </row>
    <row r="453" spans="9:10" x14ac:dyDescent="0.25">
      <c r="I453" s="1"/>
      <c r="J453" s="1"/>
    </row>
    <row r="454" spans="9:10" x14ac:dyDescent="0.25">
      <c r="I454" s="1"/>
      <c r="J454" s="1"/>
    </row>
    <row r="455" spans="9:10" x14ac:dyDescent="0.25">
      <c r="I455" s="1"/>
      <c r="J455" s="1"/>
    </row>
    <row r="456" spans="9:10" x14ac:dyDescent="0.25">
      <c r="I456" s="1"/>
      <c r="J456" s="1"/>
    </row>
    <row r="457" spans="9:10" x14ac:dyDescent="0.25">
      <c r="I457" s="1"/>
      <c r="J457" s="1"/>
    </row>
    <row r="458" spans="9:10" x14ac:dyDescent="0.25">
      <c r="I458" s="1"/>
      <c r="J458" s="1"/>
    </row>
    <row r="459" spans="9:10" x14ac:dyDescent="0.25">
      <c r="I459" s="1"/>
      <c r="J459" s="1"/>
    </row>
    <row r="460" spans="9:10" x14ac:dyDescent="0.25">
      <c r="I460" s="1"/>
      <c r="J460" s="1"/>
    </row>
    <row r="461" spans="9:10" x14ac:dyDescent="0.25">
      <c r="I461" s="1"/>
      <c r="J461" s="1"/>
    </row>
    <row r="462" spans="9:10" x14ac:dyDescent="0.25">
      <c r="I462" s="1"/>
      <c r="J462" s="1"/>
    </row>
    <row r="463" spans="9:10" x14ac:dyDescent="0.25">
      <c r="I463" s="1"/>
      <c r="J463" s="1"/>
    </row>
    <row r="464" spans="9:10" x14ac:dyDescent="0.25">
      <c r="I464" s="1"/>
      <c r="J464" s="1"/>
    </row>
    <row r="465" spans="9:10" x14ac:dyDescent="0.25">
      <c r="I465" s="1"/>
      <c r="J465" s="1"/>
    </row>
    <row r="466" spans="9:10" x14ac:dyDescent="0.25">
      <c r="I466" s="1"/>
      <c r="J466" s="1"/>
    </row>
    <row r="467" spans="9:10" x14ac:dyDescent="0.25">
      <c r="I467" s="1"/>
      <c r="J467" s="1"/>
    </row>
    <row r="468" spans="9:10" x14ac:dyDescent="0.25">
      <c r="I468" s="1"/>
      <c r="J468" s="1"/>
    </row>
    <row r="469" spans="9:10" x14ac:dyDescent="0.25">
      <c r="I469" s="1"/>
      <c r="J469" s="1"/>
    </row>
    <row r="470" spans="9:10" x14ac:dyDescent="0.25">
      <c r="I470" s="1"/>
      <c r="J470" s="1"/>
    </row>
    <row r="471" spans="9:10" x14ac:dyDescent="0.25">
      <c r="I471" s="1"/>
      <c r="J471" s="1"/>
    </row>
    <row r="472" spans="9:10" x14ac:dyDescent="0.25">
      <c r="I472" s="1"/>
      <c r="J472" s="1"/>
    </row>
    <row r="473" spans="9:10" x14ac:dyDescent="0.25">
      <c r="I473" s="1"/>
      <c r="J473" s="1"/>
    </row>
    <row r="474" spans="9:10" x14ac:dyDescent="0.25">
      <c r="I474" s="1"/>
      <c r="J474" s="1"/>
    </row>
    <row r="475" spans="9:10" x14ac:dyDescent="0.25">
      <c r="I475" s="1"/>
      <c r="J475" s="1"/>
    </row>
    <row r="476" spans="9:10" x14ac:dyDescent="0.25">
      <c r="I476" s="1"/>
      <c r="J476" s="1"/>
    </row>
    <row r="477" spans="9:10" x14ac:dyDescent="0.25">
      <c r="I477" s="1"/>
      <c r="J477" s="1"/>
    </row>
    <row r="478" spans="9:10" x14ac:dyDescent="0.25">
      <c r="I478" s="1"/>
      <c r="J478" s="1"/>
    </row>
    <row r="479" spans="9:10" x14ac:dyDescent="0.25">
      <c r="I479" s="1"/>
      <c r="J479" s="1"/>
    </row>
    <row r="480" spans="9:10" x14ac:dyDescent="0.25">
      <c r="I480" s="1"/>
      <c r="J480" s="1"/>
    </row>
    <row r="481" spans="9:10" x14ac:dyDescent="0.25">
      <c r="I481" s="1"/>
      <c r="J481" s="1"/>
    </row>
    <row r="482" spans="9:10" x14ac:dyDescent="0.25">
      <c r="I482" s="1"/>
      <c r="J482" s="1"/>
    </row>
    <row r="483" spans="9:10" x14ac:dyDescent="0.25">
      <c r="I483" s="1"/>
      <c r="J483" s="1"/>
    </row>
    <row r="484" spans="9:10" x14ac:dyDescent="0.25">
      <c r="I484" s="1"/>
      <c r="J484" s="1"/>
    </row>
    <row r="485" spans="9:10" x14ac:dyDescent="0.25">
      <c r="I485" s="1"/>
      <c r="J485" s="1"/>
    </row>
    <row r="486" spans="9:10" x14ac:dyDescent="0.25">
      <c r="I486" s="1"/>
      <c r="J486" s="1"/>
    </row>
    <row r="487" spans="9:10" x14ac:dyDescent="0.25">
      <c r="I487" s="1"/>
      <c r="J487" s="1"/>
    </row>
    <row r="488" spans="9:10" x14ac:dyDescent="0.25">
      <c r="I488" s="1"/>
      <c r="J488" s="1"/>
    </row>
    <row r="489" spans="9:10" x14ac:dyDescent="0.25">
      <c r="I489" s="1"/>
      <c r="J489" s="1"/>
    </row>
    <row r="490" spans="9:10" x14ac:dyDescent="0.25">
      <c r="I490" s="1"/>
      <c r="J490" s="1"/>
    </row>
    <row r="491" spans="9:10" x14ac:dyDescent="0.25">
      <c r="I491" s="1"/>
      <c r="J491" s="1"/>
    </row>
    <row r="492" spans="9:10" x14ac:dyDescent="0.25">
      <c r="I492" s="1"/>
      <c r="J492" s="1"/>
    </row>
    <row r="493" spans="9:10" x14ac:dyDescent="0.25">
      <c r="I493" s="1"/>
      <c r="J493" s="1"/>
    </row>
    <row r="494" spans="9:10" x14ac:dyDescent="0.25">
      <c r="I494" s="1"/>
      <c r="J494" s="1"/>
    </row>
    <row r="495" spans="9:10" x14ac:dyDescent="0.25">
      <c r="I495" s="1"/>
      <c r="J495" s="1"/>
    </row>
    <row r="496" spans="9:10" x14ac:dyDescent="0.25">
      <c r="I496" s="1"/>
      <c r="J496" s="1"/>
    </row>
    <row r="497" spans="9:10" x14ac:dyDescent="0.25">
      <c r="I497" s="1"/>
      <c r="J497" s="1"/>
    </row>
    <row r="498" spans="9:10" x14ac:dyDescent="0.25">
      <c r="I498" s="1"/>
      <c r="J498" s="1"/>
    </row>
    <row r="499" spans="9:10" x14ac:dyDescent="0.25">
      <c r="I499" s="1"/>
      <c r="J499" s="1"/>
    </row>
    <row r="500" spans="9:10" x14ac:dyDescent="0.25">
      <c r="I500" s="1"/>
      <c r="J500" s="1"/>
    </row>
    <row r="501" spans="9:10" x14ac:dyDescent="0.25">
      <c r="I501" s="1"/>
      <c r="J501" s="1"/>
    </row>
    <row r="502" spans="9:10" x14ac:dyDescent="0.25">
      <c r="I502" s="1"/>
      <c r="J502" s="1"/>
    </row>
    <row r="503" spans="9:10" x14ac:dyDescent="0.25">
      <c r="I503" s="1"/>
      <c r="J503" s="1"/>
    </row>
    <row r="504" spans="9:10" x14ac:dyDescent="0.25">
      <c r="I504" s="1"/>
      <c r="J504" s="1"/>
    </row>
    <row r="505" spans="9:10" x14ac:dyDescent="0.25">
      <c r="I505" s="1"/>
      <c r="J505" s="1"/>
    </row>
    <row r="506" spans="9:10" x14ac:dyDescent="0.25">
      <c r="I506" s="1"/>
      <c r="J506" s="1"/>
    </row>
    <row r="507" spans="9:10" x14ac:dyDescent="0.25">
      <c r="I507" s="1"/>
      <c r="J507" s="1"/>
    </row>
    <row r="508" spans="9:10" x14ac:dyDescent="0.25">
      <c r="I508" s="1"/>
      <c r="J508" s="1"/>
    </row>
    <row r="509" spans="9:10" x14ac:dyDescent="0.25">
      <c r="I509" s="1"/>
      <c r="J509" s="1"/>
    </row>
    <row r="510" spans="9:10" x14ac:dyDescent="0.25">
      <c r="I510" s="1"/>
      <c r="J510" s="1"/>
    </row>
    <row r="511" spans="9:10" x14ac:dyDescent="0.25">
      <c r="I511" s="1"/>
      <c r="J511" s="1"/>
    </row>
    <row r="512" spans="9:10" x14ac:dyDescent="0.25">
      <c r="I512" s="1"/>
      <c r="J512" s="1"/>
    </row>
    <row r="513" spans="9:10" x14ac:dyDescent="0.25">
      <c r="I513" s="1"/>
      <c r="J513" s="1"/>
    </row>
    <row r="514" spans="9:10" x14ac:dyDescent="0.25">
      <c r="I514" s="1"/>
      <c r="J514" s="1"/>
    </row>
    <row r="515" spans="9:10" x14ac:dyDescent="0.25">
      <c r="I515" s="1"/>
      <c r="J515" s="1"/>
    </row>
    <row r="516" spans="9:10" x14ac:dyDescent="0.25">
      <c r="I516" s="1"/>
      <c r="J516" s="1"/>
    </row>
    <row r="517" spans="9:10" x14ac:dyDescent="0.25">
      <c r="I517" s="1"/>
      <c r="J517" s="1"/>
    </row>
    <row r="518" spans="9:10" x14ac:dyDescent="0.25">
      <c r="I518" s="1"/>
      <c r="J518" s="1"/>
    </row>
    <row r="519" spans="9:10" x14ac:dyDescent="0.25">
      <c r="I519" s="1"/>
      <c r="J519" s="1"/>
    </row>
    <row r="520" spans="9:10" x14ac:dyDescent="0.25">
      <c r="I520" s="1"/>
      <c r="J520" s="1"/>
    </row>
    <row r="521" spans="9:10" x14ac:dyDescent="0.25">
      <c r="I521" s="1"/>
      <c r="J521" s="1"/>
    </row>
    <row r="522" spans="9:10" x14ac:dyDescent="0.25">
      <c r="I522" s="1"/>
      <c r="J522" s="1"/>
    </row>
    <row r="523" spans="9:10" x14ac:dyDescent="0.25">
      <c r="I523" s="1"/>
      <c r="J523" s="1"/>
    </row>
    <row r="524" spans="9:10" x14ac:dyDescent="0.25">
      <c r="I524" s="1"/>
      <c r="J524" s="1"/>
    </row>
    <row r="525" spans="9:10" x14ac:dyDescent="0.25">
      <c r="I525" s="1"/>
      <c r="J525" s="1"/>
    </row>
    <row r="526" spans="9:10" x14ac:dyDescent="0.25">
      <c r="I526" s="1"/>
      <c r="J526" s="1"/>
    </row>
    <row r="527" spans="9:10" x14ac:dyDescent="0.25">
      <c r="I527" s="1"/>
      <c r="J527" s="1"/>
    </row>
    <row r="528" spans="9:10" x14ac:dyDescent="0.25">
      <c r="I528" s="1"/>
      <c r="J528" s="1"/>
    </row>
    <row r="529" spans="9:10" x14ac:dyDescent="0.25">
      <c r="I529" s="1"/>
      <c r="J529" s="1"/>
    </row>
    <row r="530" spans="9:10" x14ac:dyDescent="0.25">
      <c r="I530" s="1"/>
      <c r="J530" s="1"/>
    </row>
    <row r="531" spans="9:10" x14ac:dyDescent="0.25">
      <c r="I531" s="1"/>
      <c r="J531" s="1"/>
    </row>
    <row r="532" spans="9:10" x14ac:dyDescent="0.25">
      <c r="I532" s="1"/>
      <c r="J532" s="1"/>
    </row>
    <row r="533" spans="9:10" x14ac:dyDescent="0.25">
      <c r="I533" s="1"/>
      <c r="J533" s="1"/>
    </row>
    <row r="534" spans="9:10" x14ac:dyDescent="0.25">
      <c r="I534" s="1"/>
      <c r="J534" s="1"/>
    </row>
    <row r="535" spans="9:10" x14ac:dyDescent="0.25">
      <c r="I535" s="1"/>
      <c r="J535" s="1"/>
    </row>
    <row r="536" spans="9:10" x14ac:dyDescent="0.25">
      <c r="I536" s="1"/>
      <c r="J536" s="1"/>
    </row>
    <row r="537" spans="9:10" x14ac:dyDescent="0.25">
      <c r="I537" s="1"/>
      <c r="J537" s="1"/>
    </row>
    <row r="538" spans="9:10" x14ac:dyDescent="0.25">
      <c r="I538" s="1"/>
      <c r="J538" s="1"/>
    </row>
    <row r="539" spans="9:10" x14ac:dyDescent="0.25">
      <c r="I539" s="1"/>
      <c r="J539" s="1"/>
    </row>
    <row r="540" spans="9:10" x14ac:dyDescent="0.25">
      <c r="I540" s="1"/>
      <c r="J540" s="1"/>
    </row>
    <row r="541" spans="9:10" x14ac:dyDescent="0.25">
      <c r="I541" s="1"/>
      <c r="J541" s="1"/>
    </row>
    <row r="542" spans="9:10" x14ac:dyDescent="0.25">
      <c r="I542" s="1"/>
      <c r="J542" s="1"/>
    </row>
    <row r="543" spans="9:10" x14ac:dyDescent="0.25">
      <c r="I543" s="1"/>
      <c r="J543" s="1"/>
    </row>
    <row r="544" spans="9:10" x14ac:dyDescent="0.25">
      <c r="I544" s="1"/>
      <c r="J544" s="1"/>
    </row>
    <row r="545" spans="9:10" x14ac:dyDescent="0.25">
      <c r="I545" s="1"/>
      <c r="J545" s="1"/>
    </row>
    <row r="546" spans="9:10" x14ac:dyDescent="0.25">
      <c r="I546" s="1"/>
      <c r="J546" s="1"/>
    </row>
    <row r="547" spans="9:10" x14ac:dyDescent="0.25">
      <c r="I547" s="1"/>
      <c r="J547" s="1"/>
    </row>
    <row r="548" spans="9:10" x14ac:dyDescent="0.25">
      <c r="I548" s="1"/>
      <c r="J548" s="1"/>
    </row>
    <row r="549" spans="9:10" x14ac:dyDescent="0.25">
      <c r="I549" s="1"/>
      <c r="J549" s="1"/>
    </row>
    <row r="550" spans="9:10" x14ac:dyDescent="0.25">
      <c r="I550" s="1"/>
      <c r="J550" s="1"/>
    </row>
    <row r="551" spans="9:10" x14ac:dyDescent="0.25">
      <c r="I551" s="1"/>
      <c r="J551" s="1"/>
    </row>
    <row r="552" spans="9:10" x14ac:dyDescent="0.25">
      <c r="I552" s="1"/>
      <c r="J552" s="1"/>
    </row>
    <row r="553" spans="9:10" x14ac:dyDescent="0.25">
      <c r="I553" s="1"/>
      <c r="J553" s="1"/>
    </row>
    <row r="554" spans="9:10" x14ac:dyDescent="0.25">
      <c r="I554" s="1"/>
      <c r="J554" s="1"/>
    </row>
    <row r="555" spans="9:10" x14ac:dyDescent="0.25">
      <c r="I555" s="1"/>
      <c r="J555" s="1"/>
    </row>
    <row r="556" spans="9:10" x14ac:dyDescent="0.25">
      <c r="I556" s="1"/>
      <c r="J556" s="1"/>
    </row>
    <row r="557" spans="9:10" x14ac:dyDescent="0.25">
      <c r="I557" s="1"/>
      <c r="J557" s="1"/>
    </row>
    <row r="558" spans="9:10" x14ac:dyDescent="0.25">
      <c r="I558" s="1"/>
      <c r="J558" s="1"/>
    </row>
    <row r="559" spans="9:10" x14ac:dyDescent="0.25">
      <c r="I559" s="1"/>
      <c r="J559" s="1"/>
    </row>
    <row r="560" spans="9:10" x14ac:dyDescent="0.25">
      <c r="I560" s="1"/>
      <c r="J560" s="1"/>
    </row>
    <row r="561" spans="9:10" x14ac:dyDescent="0.25">
      <c r="I561" s="1"/>
      <c r="J561" s="1"/>
    </row>
    <row r="562" spans="9:10" x14ac:dyDescent="0.25">
      <c r="I562" s="1"/>
      <c r="J562" s="1"/>
    </row>
    <row r="563" spans="9:10" x14ac:dyDescent="0.25">
      <c r="I563" s="1"/>
      <c r="J563" s="1"/>
    </row>
    <row r="564" spans="9:10" x14ac:dyDescent="0.25">
      <c r="I564" s="1"/>
      <c r="J564" s="1"/>
    </row>
    <row r="565" spans="9:10" x14ac:dyDescent="0.25">
      <c r="I565" s="1"/>
      <c r="J565" s="1"/>
    </row>
    <row r="566" spans="9:10" x14ac:dyDescent="0.25">
      <c r="I566" s="1"/>
      <c r="J566" s="1"/>
    </row>
    <row r="567" spans="9:10" x14ac:dyDescent="0.25">
      <c r="I567" s="1"/>
      <c r="J567" s="1"/>
    </row>
    <row r="568" spans="9:10" x14ac:dyDescent="0.25">
      <c r="I568" s="1"/>
      <c r="J568" s="1"/>
    </row>
    <row r="569" spans="9:10" x14ac:dyDescent="0.25">
      <c r="I569" s="1"/>
      <c r="J569" s="1"/>
    </row>
    <row r="570" spans="9:10" x14ac:dyDescent="0.25">
      <c r="I570" s="1"/>
      <c r="J570" s="1"/>
    </row>
    <row r="571" spans="9:10" x14ac:dyDescent="0.25">
      <c r="I571" s="1"/>
      <c r="J571" s="1"/>
    </row>
    <row r="572" spans="9:10" x14ac:dyDescent="0.25">
      <c r="I572" s="1"/>
      <c r="J572" s="1"/>
    </row>
    <row r="573" spans="9:10" x14ac:dyDescent="0.25">
      <c r="I573" s="1"/>
      <c r="J573" s="1"/>
    </row>
    <row r="574" spans="9:10" x14ac:dyDescent="0.25">
      <c r="I574" s="1"/>
      <c r="J574" s="1"/>
    </row>
    <row r="575" spans="9:10" x14ac:dyDescent="0.25">
      <c r="I575" s="1"/>
      <c r="J575" s="1"/>
    </row>
    <row r="576" spans="9:10" x14ac:dyDescent="0.25">
      <c r="I576" s="1"/>
      <c r="J576" s="1"/>
    </row>
    <row r="577" spans="9:10" x14ac:dyDescent="0.25">
      <c r="I577" s="1"/>
      <c r="J577" s="1"/>
    </row>
    <row r="578" spans="9:10" x14ac:dyDescent="0.25">
      <c r="I578" s="1"/>
      <c r="J578" s="1"/>
    </row>
    <row r="579" spans="9:10" x14ac:dyDescent="0.25">
      <c r="I579" s="1"/>
      <c r="J579" s="1"/>
    </row>
    <row r="580" spans="9:10" x14ac:dyDescent="0.25">
      <c r="I580" s="1"/>
      <c r="J580" s="1"/>
    </row>
    <row r="581" spans="9:10" x14ac:dyDescent="0.25">
      <c r="I581" s="1"/>
      <c r="J581" s="1"/>
    </row>
    <row r="582" spans="9:10" x14ac:dyDescent="0.25">
      <c r="I582" s="1"/>
      <c r="J582" s="1"/>
    </row>
    <row r="583" spans="9:10" x14ac:dyDescent="0.25">
      <c r="I583" s="1"/>
      <c r="J583" s="1"/>
    </row>
    <row r="584" spans="9:10" x14ac:dyDescent="0.25">
      <c r="I584" s="1"/>
      <c r="J584" s="1"/>
    </row>
    <row r="585" spans="9:10" x14ac:dyDescent="0.25">
      <c r="I585" s="1"/>
      <c r="J585" s="1"/>
    </row>
    <row r="586" spans="9:10" x14ac:dyDescent="0.25">
      <c r="I586" s="1"/>
      <c r="J586" s="1"/>
    </row>
    <row r="587" spans="9:10" x14ac:dyDescent="0.25">
      <c r="I587" s="1"/>
      <c r="J587" s="1"/>
    </row>
    <row r="588" spans="9:10" x14ac:dyDescent="0.25">
      <c r="I588" s="1"/>
      <c r="J588" s="1"/>
    </row>
    <row r="589" spans="9:10" x14ac:dyDescent="0.25">
      <c r="I589" s="1"/>
      <c r="J589" s="1"/>
    </row>
    <row r="590" spans="9:10" x14ac:dyDescent="0.25">
      <c r="I590" s="1"/>
      <c r="J590" s="1"/>
    </row>
    <row r="591" spans="9:10" x14ac:dyDescent="0.25">
      <c r="I591" s="1"/>
      <c r="J591" s="1"/>
    </row>
    <row r="592" spans="9:10" x14ac:dyDescent="0.25">
      <c r="I592" s="1"/>
      <c r="J592" s="1"/>
    </row>
    <row r="593" spans="9:10" x14ac:dyDescent="0.25">
      <c r="I593" s="1"/>
      <c r="J593" s="1"/>
    </row>
    <row r="594" spans="9:10" x14ac:dyDescent="0.25">
      <c r="I594" s="1"/>
      <c r="J594" s="1"/>
    </row>
    <row r="595" spans="9:10" x14ac:dyDescent="0.25">
      <c r="I595" s="1"/>
      <c r="J595" s="1"/>
    </row>
    <row r="596" spans="9:10" x14ac:dyDescent="0.25">
      <c r="I596" s="1"/>
      <c r="J596" s="1"/>
    </row>
    <row r="597" spans="9:10" x14ac:dyDescent="0.25">
      <c r="I597" s="1"/>
      <c r="J597" s="1"/>
    </row>
    <row r="598" spans="9:10" x14ac:dyDescent="0.25">
      <c r="I598" s="1"/>
      <c r="J598" s="1"/>
    </row>
    <row r="599" spans="9:10" x14ac:dyDescent="0.25">
      <c r="I599" s="1"/>
      <c r="J599" s="1"/>
    </row>
    <row r="600" spans="9:10" x14ac:dyDescent="0.25">
      <c r="I600" s="1"/>
      <c r="J600" s="1"/>
    </row>
    <row r="601" spans="9:10" x14ac:dyDescent="0.25">
      <c r="I601" s="1"/>
      <c r="J601" s="1"/>
    </row>
    <row r="602" spans="9:10" x14ac:dyDescent="0.25">
      <c r="I602" s="1"/>
      <c r="J602" s="1"/>
    </row>
    <row r="603" spans="9:10" x14ac:dyDescent="0.25">
      <c r="I603" s="1"/>
      <c r="J603" s="1"/>
    </row>
    <row r="604" spans="9:10" x14ac:dyDescent="0.25">
      <c r="I604" s="1"/>
      <c r="J604" s="1"/>
    </row>
    <row r="605" spans="9:10" x14ac:dyDescent="0.25">
      <c r="I605" s="1"/>
      <c r="J605" s="1"/>
    </row>
    <row r="606" spans="9:10" x14ac:dyDescent="0.25">
      <c r="I606" s="1"/>
      <c r="J606" s="1"/>
    </row>
    <row r="607" spans="9:10" x14ac:dyDescent="0.25">
      <c r="I607" s="1"/>
      <c r="J607" s="1"/>
    </row>
    <row r="608" spans="9:10" x14ac:dyDescent="0.25">
      <c r="I608" s="1"/>
      <c r="J608" s="1"/>
    </row>
    <row r="609" spans="9:10" x14ac:dyDescent="0.25">
      <c r="I609" s="1"/>
      <c r="J609" s="1"/>
    </row>
    <row r="610" spans="9:10" x14ac:dyDescent="0.25">
      <c r="I610" s="1"/>
      <c r="J610" s="1"/>
    </row>
    <row r="611" spans="9:10" x14ac:dyDescent="0.25">
      <c r="I611" s="1"/>
      <c r="J611" s="1"/>
    </row>
    <row r="612" spans="9:10" x14ac:dyDescent="0.25">
      <c r="I612" s="1"/>
      <c r="J612" s="1"/>
    </row>
    <row r="613" spans="9:10" x14ac:dyDescent="0.25">
      <c r="I613" s="1"/>
      <c r="J613" s="1"/>
    </row>
    <row r="614" spans="9:10" x14ac:dyDescent="0.25">
      <c r="I614" s="1"/>
      <c r="J614" s="1"/>
    </row>
    <row r="615" spans="9:10" x14ac:dyDescent="0.25">
      <c r="I615" s="1"/>
      <c r="J615" s="1"/>
    </row>
    <row r="616" spans="9:10" x14ac:dyDescent="0.25">
      <c r="I616" s="1"/>
      <c r="J616" s="1"/>
    </row>
    <row r="617" spans="9:10" x14ac:dyDescent="0.25">
      <c r="I617" s="1"/>
      <c r="J617" s="1"/>
    </row>
    <row r="618" spans="9:10" x14ac:dyDescent="0.25">
      <c r="I618" s="1"/>
      <c r="J618" s="1"/>
    </row>
    <row r="619" spans="9:10" x14ac:dyDescent="0.25">
      <c r="I619" s="1"/>
      <c r="J619" s="1"/>
    </row>
    <row r="620" spans="9:10" x14ac:dyDescent="0.25">
      <c r="I620" s="1"/>
      <c r="J620" s="1"/>
    </row>
    <row r="621" spans="9:10" x14ac:dyDescent="0.25">
      <c r="I621" s="1"/>
      <c r="J621" s="1"/>
    </row>
    <row r="622" spans="9:10" x14ac:dyDescent="0.25">
      <c r="I622" s="1"/>
      <c r="J622" s="1"/>
    </row>
    <row r="623" spans="9:10" x14ac:dyDescent="0.25">
      <c r="I623" s="1"/>
      <c r="J623" s="1"/>
    </row>
    <row r="624" spans="9:10" x14ac:dyDescent="0.25">
      <c r="I624" s="1"/>
      <c r="J624" s="1"/>
    </row>
    <row r="625" spans="9:10" x14ac:dyDescent="0.25">
      <c r="I625" s="1"/>
      <c r="J625" s="1"/>
    </row>
    <row r="626" spans="9:10" x14ac:dyDescent="0.25">
      <c r="I626" s="1"/>
      <c r="J626" s="1"/>
    </row>
    <row r="627" spans="9:10" x14ac:dyDescent="0.25">
      <c r="I627" s="1"/>
      <c r="J627" s="1"/>
    </row>
    <row r="628" spans="9:10" x14ac:dyDescent="0.25">
      <c r="I628" s="1"/>
      <c r="J628" s="1"/>
    </row>
    <row r="629" spans="9:10" x14ac:dyDescent="0.25">
      <c r="I629" s="1"/>
      <c r="J629" s="1"/>
    </row>
    <row r="630" spans="9:10" x14ac:dyDescent="0.25">
      <c r="I630" s="1"/>
      <c r="J630" s="1"/>
    </row>
    <row r="631" spans="9:10" x14ac:dyDescent="0.25">
      <c r="I631" s="1"/>
      <c r="J631" s="1"/>
    </row>
    <row r="632" spans="9:10" x14ac:dyDescent="0.25">
      <c r="I632" s="1"/>
      <c r="J632" s="1"/>
    </row>
    <row r="633" spans="9:10" x14ac:dyDescent="0.25">
      <c r="I633" s="1"/>
      <c r="J633" s="1"/>
    </row>
    <row r="634" spans="9:10" x14ac:dyDescent="0.25">
      <c r="I634" s="1"/>
      <c r="J634" s="1"/>
    </row>
    <row r="635" spans="9:10" x14ac:dyDescent="0.25">
      <c r="I635" s="1"/>
      <c r="J635" s="1"/>
    </row>
    <row r="636" spans="9:10" x14ac:dyDescent="0.25">
      <c r="I636" s="1"/>
      <c r="J636" s="1"/>
    </row>
    <row r="637" spans="9:10" x14ac:dyDescent="0.25">
      <c r="I637" s="1"/>
      <c r="J637" s="1"/>
    </row>
    <row r="638" spans="9:10" x14ac:dyDescent="0.25">
      <c r="I638" s="1"/>
      <c r="J638" s="1"/>
    </row>
    <row r="639" spans="9:10" x14ac:dyDescent="0.25">
      <c r="I639" s="1"/>
      <c r="J639" s="1"/>
    </row>
    <row r="640" spans="9:10" x14ac:dyDescent="0.25">
      <c r="I640" s="1"/>
      <c r="J640" s="1"/>
    </row>
    <row r="641" spans="9:10" x14ac:dyDescent="0.25">
      <c r="I641" s="1"/>
      <c r="J641" s="1"/>
    </row>
    <row r="642" spans="9:10" x14ac:dyDescent="0.25">
      <c r="I642" s="1"/>
      <c r="J642" s="1"/>
    </row>
    <row r="643" spans="9:10" x14ac:dyDescent="0.25">
      <c r="I643" s="1"/>
      <c r="J643" s="1"/>
    </row>
    <row r="644" spans="9:10" x14ac:dyDescent="0.25">
      <c r="I644" s="1"/>
      <c r="J644" s="1"/>
    </row>
    <row r="645" spans="9:10" x14ac:dyDescent="0.25">
      <c r="I645" s="1"/>
      <c r="J645" s="1"/>
    </row>
    <row r="646" spans="9:10" x14ac:dyDescent="0.25">
      <c r="I646" s="1"/>
      <c r="J646" s="1"/>
    </row>
    <row r="647" spans="9:10" x14ac:dyDescent="0.25">
      <c r="I647" s="1"/>
      <c r="J647" s="1"/>
    </row>
    <row r="648" spans="9:10" x14ac:dyDescent="0.25">
      <c r="I648" s="1"/>
      <c r="J648" s="1"/>
    </row>
    <row r="649" spans="9:10" x14ac:dyDescent="0.25">
      <c r="I649" s="1"/>
      <c r="J649" s="1"/>
    </row>
    <row r="650" spans="9:10" x14ac:dyDescent="0.25">
      <c r="I650" s="1"/>
      <c r="J650" s="1"/>
    </row>
    <row r="651" spans="9:10" x14ac:dyDescent="0.25">
      <c r="I651" s="1"/>
      <c r="J651" s="1"/>
    </row>
    <row r="652" spans="9:10" x14ac:dyDescent="0.25">
      <c r="I652" s="1"/>
      <c r="J652" s="1"/>
    </row>
    <row r="653" spans="9:10" x14ac:dyDescent="0.25">
      <c r="I653" s="1"/>
      <c r="J653" s="1"/>
    </row>
    <row r="654" spans="9:10" x14ac:dyDescent="0.25">
      <c r="I654" s="1"/>
      <c r="J654" s="1"/>
    </row>
    <row r="655" spans="9:10" x14ac:dyDescent="0.25">
      <c r="I655" s="1"/>
      <c r="J655" s="1"/>
    </row>
    <row r="656" spans="9:10" x14ac:dyDescent="0.25">
      <c r="I656" s="1"/>
      <c r="J656" s="1"/>
    </row>
    <row r="657" spans="9:10" x14ac:dyDescent="0.25">
      <c r="I657" s="1"/>
      <c r="J657" s="1"/>
    </row>
    <row r="658" spans="9:10" x14ac:dyDescent="0.25">
      <c r="I658" s="1"/>
      <c r="J658" s="1"/>
    </row>
    <row r="659" spans="9:10" x14ac:dyDescent="0.25">
      <c r="I659" s="1"/>
      <c r="J659" s="1"/>
    </row>
    <row r="660" spans="9:10" x14ac:dyDescent="0.25">
      <c r="I660" s="1"/>
      <c r="J660" s="1"/>
    </row>
    <row r="661" spans="9:10" x14ac:dyDescent="0.25">
      <c r="I661" s="1"/>
      <c r="J661" s="1"/>
    </row>
    <row r="662" spans="9:10" x14ac:dyDescent="0.25">
      <c r="I662" s="1"/>
      <c r="J662" s="1"/>
    </row>
    <row r="663" spans="9:10" x14ac:dyDescent="0.25">
      <c r="I663" s="1"/>
      <c r="J663" s="1"/>
    </row>
    <row r="664" spans="9:10" x14ac:dyDescent="0.25">
      <c r="I664" s="1"/>
      <c r="J664" s="1"/>
    </row>
    <row r="665" spans="9:10" x14ac:dyDescent="0.25">
      <c r="I665" s="1"/>
      <c r="J665" s="1"/>
    </row>
    <row r="666" spans="9:10" x14ac:dyDescent="0.25">
      <c r="I666" s="1"/>
      <c r="J666" s="1"/>
    </row>
    <row r="667" spans="9:10" x14ac:dyDescent="0.25">
      <c r="I667" s="1"/>
      <c r="J667" s="1"/>
    </row>
    <row r="668" spans="9:10" x14ac:dyDescent="0.25">
      <c r="I668" s="1"/>
      <c r="J668" s="1"/>
    </row>
    <row r="669" spans="9:10" x14ac:dyDescent="0.25">
      <c r="I669" s="1"/>
      <c r="J669" s="1"/>
    </row>
    <row r="670" spans="9:10" x14ac:dyDescent="0.25">
      <c r="I670" s="1"/>
      <c r="J670" s="1"/>
    </row>
    <row r="671" spans="9:10" x14ac:dyDescent="0.25">
      <c r="I671" s="1"/>
      <c r="J671" s="1"/>
    </row>
    <row r="672" spans="9:10" x14ac:dyDescent="0.25">
      <c r="I672" s="1"/>
      <c r="J672" s="1"/>
    </row>
    <row r="673" spans="9:10" x14ac:dyDescent="0.25">
      <c r="I673" s="1"/>
      <c r="J673" s="1"/>
    </row>
    <row r="674" spans="9:10" x14ac:dyDescent="0.25">
      <c r="I674" s="1"/>
      <c r="J674" s="1"/>
    </row>
    <row r="675" spans="9:10" x14ac:dyDescent="0.25">
      <c r="I675" s="1"/>
      <c r="J675" s="1"/>
    </row>
    <row r="676" spans="9:10" x14ac:dyDescent="0.25">
      <c r="I676" s="1"/>
      <c r="J676" s="1"/>
    </row>
    <row r="677" spans="9:10" x14ac:dyDescent="0.25">
      <c r="I677" s="1"/>
      <c r="J677" s="1"/>
    </row>
    <row r="678" spans="9:10" x14ac:dyDescent="0.25">
      <c r="I678" s="1"/>
      <c r="J678" s="1"/>
    </row>
    <row r="679" spans="9:10" x14ac:dyDescent="0.25">
      <c r="I679" s="1"/>
      <c r="J679" s="1"/>
    </row>
    <row r="680" spans="9:10" x14ac:dyDescent="0.25">
      <c r="I680" s="1"/>
      <c r="J680" s="1"/>
    </row>
    <row r="681" spans="9:10" x14ac:dyDescent="0.25">
      <c r="I681" s="1"/>
      <c r="J681" s="1"/>
    </row>
    <row r="682" spans="9:10" x14ac:dyDescent="0.25">
      <c r="I682" s="1"/>
      <c r="J682" s="1"/>
    </row>
    <row r="683" spans="9:10" x14ac:dyDescent="0.25">
      <c r="I683" s="1"/>
      <c r="J683" s="1"/>
    </row>
    <row r="684" spans="9:10" x14ac:dyDescent="0.25">
      <c r="I684" s="1"/>
      <c r="J684" s="1"/>
    </row>
    <row r="685" spans="9:10" x14ac:dyDescent="0.25">
      <c r="I685" s="1"/>
      <c r="J685" s="1"/>
    </row>
    <row r="686" spans="9:10" x14ac:dyDescent="0.25">
      <c r="I686" s="1"/>
      <c r="J686" s="1"/>
    </row>
    <row r="687" spans="9:10" x14ac:dyDescent="0.25">
      <c r="I687" s="1"/>
      <c r="J687" s="1"/>
    </row>
    <row r="688" spans="9:10" x14ac:dyDescent="0.25">
      <c r="I688" s="1"/>
      <c r="J688" s="1"/>
    </row>
    <row r="689" spans="9:10" x14ac:dyDescent="0.25">
      <c r="I689" s="1"/>
      <c r="J689" s="1"/>
    </row>
    <row r="690" spans="9:10" x14ac:dyDescent="0.25">
      <c r="I690" s="1"/>
      <c r="J690" s="1"/>
    </row>
    <row r="691" spans="9:10" x14ac:dyDescent="0.25">
      <c r="I691" s="1"/>
      <c r="J691" s="1"/>
    </row>
    <row r="692" spans="9:10" x14ac:dyDescent="0.25">
      <c r="I692" s="1"/>
      <c r="J692" s="1"/>
    </row>
    <row r="693" spans="9:10" x14ac:dyDescent="0.25">
      <c r="I693" s="1"/>
      <c r="J693" s="1"/>
    </row>
    <row r="694" spans="9:10" x14ac:dyDescent="0.25">
      <c r="I694" s="1"/>
      <c r="J694" s="1"/>
    </row>
    <row r="695" spans="9:10" x14ac:dyDescent="0.25">
      <c r="I695" s="1"/>
      <c r="J695" s="1"/>
    </row>
    <row r="696" spans="9:10" x14ac:dyDescent="0.25">
      <c r="I696" s="1"/>
      <c r="J696" s="1"/>
    </row>
    <row r="697" spans="9:10" x14ac:dyDescent="0.25">
      <c r="I697" s="1"/>
      <c r="J697" s="1"/>
    </row>
    <row r="698" spans="9:10" x14ac:dyDescent="0.25">
      <c r="I698" s="1"/>
      <c r="J698" s="1"/>
    </row>
    <row r="699" spans="9:10" x14ac:dyDescent="0.25">
      <c r="I699" s="1"/>
      <c r="J699" s="1"/>
    </row>
    <row r="700" spans="9:10" x14ac:dyDescent="0.25">
      <c r="I700" s="1"/>
      <c r="J700" s="1"/>
    </row>
    <row r="701" spans="9:10" x14ac:dyDescent="0.25">
      <c r="I701" s="1"/>
      <c r="J701" s="1"/>
    </row>
    <row r="702" spans="9:10" x14ac:dyDescent="0.25">
      <c r="I702" s="1"/>
      <c r="J702" s="1"/>
    </row>
    <row r="703" spans="9:10" x14ac:dyDescent="0.25">
      <c r="I703" s="1"/>
      <c r="J703" s="1"/>
    </row>
    <row r="704" spans="9:10" x14ac:dyDescent="0.25">
      <c r="I704" s="1"/>
      <c r="J704" s="1"/>
    </row>
    <row r="705" spans="9:10" x14ac:dyDescent="0.25">
      <c r="I705" s="1"/>
      <c r="J705" s="1"/>
    </row>
    <row r="706" spans="9:10" x14ac:dyDescent="0.25">
      <c r="I706" s="1"/>
      <c r="J706" s="1"/>
    </row>
    <row r="707" spans="9:10" x14ac:dyDescent="0.25">
      <c r="I707" s="1"/>
      <c r="J707" s="1"/>
    </row>
    <row r="708" spans="9:10" x14ac:dyDescent="0.25">
      <c r="I708" s="1"/>
      <c r="J708" s="1"/>
    </row>
    <row r="709" spans="9:10" x14ac:dyDescent="0.25">
      <c r="I709" s="1"/>
      <c r="J709" s="1"/>
    </row>
    <row r="710" spans="9:10" x14ac:dyDescent="0.25">
      <c r="I710" s="1"/>
      <c r="J710" s="1"/>
    </row>
    <row r="711" spans="9:10" x14ac:dyDescent="0.25">
      <c r="I711" s="1"/>
      <c r="J711" s="1"/>
    </row>
    <row r="712" spans="9:10" x14ac:dyDescent="0.25">
      <c r="I712" s="1"/>
      <c r="J712" s="1"/>
    </row>
    <row r="713" spans="9:10" x14ac:dyDescent="0.25">
      <c r="I713" s="1"/>
      <c r="J713" s="1"/>
    </row>
    <row r="714" spans="9:10" x14ac:dyDescent="0.25">
      <c r="I714" s="1"/>
      <c r="J714" s="1"/>
    </row>
    <row r="715" spans="9:10" x14ac:dyDescent="0.25">
      <c r="I715" s="1"/>
      <c r="J715" s="1"/>
    </row>
    <row r="716" spans="9:10" x14ac:dyDescent="0.25">
      <c r="I716" s="1"/>
      <c r="J716" s="1"/>
    </row>
    <row r="717" spans="9:10" x14ac:dyDescent="0.25">
      <c r="I717" s="1"/>
      <c r="J717" s="1"/>
    </row>
    <row r="718" spans="9:10" x14ac:dyDescent="0.25">
      <c r="I718" s="1"/>
      <c r="J718" s="1"/>
    </row>
    <row r="719" spans="9:10" x14ac:dyDescent="0.25">
      <c r="I719" s="1"/>
      <c r="J719" s="1"/>
    </row>
    <row r="720" spans="9:10" x14ac:dyDescent="0.25">
      <c r="I720" s="1"/>
      <c r="J720" s="1"/>
    </row>
    <row r="721" spans="9:10" x14ac:dyDescent="0.25">
      <c r="I721" s="1"/>
      <c r="J721" s="1"/>
    </row>
    <row r="722" spans="9:10" x14ac:dyDescent="0.25">
      <c r="I722" s="1"/>
      <c r="J722" s="1"/>
    </row>
    <row r="723" spans="9:10" x14ac:dyDescent="0.25">
      <c r="I723" s="1"/>
      <c r="J723" s="1"/>
    </row>
    <row r="724" spans="9:10" x14ac:dyDescent="0.25">
      <c r="I724" s="1"/>
      <c r="J724" s="1"/>
    </row>
    <row r="725" spans="9:10" x14ac:dyDescent="0.25">
      <c r="I725" s="1"/>
      <c r="J725" s="1"/>
    </row>
    <row r="726" spans="9:10" x14ac:dyDescent="0.25">
      <c r="I726" s="1"/>
      <c r="J726" s="1"/>
    </row>
    <row r="727" spans="9:10" x14ac:dyDescent="0.25">
      <c r="I727" s="1"/>
      <c r="J727" s="1"/>
    </row>
    <row r="728" spans="9:10" x14ac:dyDescent="0.25">
      <c r="I728" s="1"/>
      <c r="J728" s="1"/>
    </row>
    <row r="729" spans="9:10" x14ac:dyDescent="0.25">
      <c r="I729" s="1"/>
      <c r="J729" s="1"/>
    </row>
    <row r="730" spans="9:10" x14ac:dyDescent="0.25">
      <c r="I730" s="1"/>
      <c r="J730" s="1"/>
    </row>
    <row r="731" spans="9:10" x14ac:dyDescent="0.25">
      <c r="I731" s="1"/>
      <c r="J731" s="1"/>
    </row>
    <row r="732" spans="9:10" x14ac:dyDescent="0.25">
      <c r="I732" s="1"/>
      <c r="J732" s="1"/>
    </row>
    <row r="733" spans="9:10" x14ac:dyDescent="0.25">
      <c r="I733" s="1"/>
      <c r="J733" s="1"/>
    </row>
    <row r="734" spans="9:10" x14ac:dyDescent="0.25">
      <c r="I734" s="1"/>
      <c r="J734" s="1"/>
    </row>
    <row r="735" spans="9:10" x14ac:dyDescent="0.25">
      <c r="I735" s="1"/>
      <c r="J735" s="1"/>
    </row>
    <row r="736" spans="9:10" x14ac:dyDescent="0.25">
      <c r="I736" s="1"/>
      <c r="J736" s="1"/>
    </row>
    <row r="737" spans="9:10" x14ac:dyDescent="0.25">
      <c r="I737" s="1"/>
      <c r="J737" s="1"/>
    </row>
    <row r="738" spans="9:10" x14ac:dyDescent="0.25">
      <c r="I738" s="1"/>
      <c r="J738" s="1"/>
    </row>
    <row r="739" spans="9:10" x14ac:dyDescent="0.25">
      <c r="I739" s="1"/>
      <c r="J739" s="1"/>
    </row>
    <row r="740" spans="9:10" x14ac:dyDescent="0.25">
      <c r="I740" s="1"/>
      <c r="J740" s="1"/>
    </row>
    <row r="741" spans="9:10" x14ac:dyDescent="0.25">
      <c r="I741" s="1"/>
      <c r="J741" s="1"/>
    </row>
    <row r="742" spans="9:10" x14ac:dyDescent="0.25">
      <c r="I742" s="1"/>
      <c r="J742" s="1"/>
    </row>
    <row r="743" spans="9:10" x14ac:dyDescent="0.25">
      <c r="I743" s="1"/>
      <c r="J743" s="1"/>
    </row>
    <row r="744" spans="9:10" x14ac:dyDescent="0.25">
      <c r="I744" s="1"/>
      <c r="J744" s="1"/>
    </row>
    <row r="745" spans="9:10" x14ac:dyDescent="0.25">
      <c r="I745" s="1"/>
      <c r="J745" s="1"/>
    </row>
    <row r="746" spans="9:10" x14ac:dyDescent="0.25">
      <c r="I746" s="1"/>
      <c r="J746" s="1"/>
    </row>
    <row r="747" spans="9:10" x14ac:dyDescent="0.25">
      <c r="I747" s="1"/>
      <c r="J747" s="1"/>
    </row>
    <row r="748" spans="9:10" x14ac:dyDescent="0.25">
      <c r="I748" s="1"/>
      <c r="J748" s="1"/>
    </row>
    <row r="749" spans="9:10" x14ac:dyDescent="0.25">
      <c r="I749" s="1"/>
      <c r="J749" s="1"/>
    </row>
    <row r="750" spans="9:10" x14ac:dyDescent="0.25">
      <c r="I750" s="1"/>
      <c r="J750" s="1"/>
    </row>
    <row r="751" spans="9:10" x14ac:dyDescent="0.25">
      <c r="I751" s="1"/>
      <c r="J751" s="1"/>
    </row>
    <row r="752" spans="9:10" x14ac:dyDescent="0.25">
      <c r="I752" s="1"/>
      <c r="J752" s="1"/>
    </row>
    <row r="753" spans="9:10" x14ac:dyDescent="0.25">
      <c r="I753" s="1"/>
      <c r="J753" s="1"/>
    </row>
    <row r="754" spans="9:10" x14ac:dyDescent="0.25">
      <c r="I754" s="1"/>
      <c r="J754" s="1"/>
    </row>
    <row r="755" spans="9:10" x14ac:dyDescent="0.25">
      <c r="I755" s="1"/>
      <c r="J755" s="1"/>
    </row>
    <row r="756" spans="9:10" x14ac:dyDescent="0.25">
      <c r="I756" s="1"/>
      <c r="J756" s="1"/>
    </row>
    <row r="757" spans="9:10" x14ac:dyDescent="0.25">
      <c r="I757" s="1"/>
      <c r="J757" s="1"/>
    </row>
    <row r="758" spans="9:10" x14ac:dyDescent="0.25">
      <c r="I758" s="1"/>
      <c r="J758" s="1"/>
    </row>
    <row r="759" spans="9:10" x14ac:dyDescent="0.25">
      <c r="I759" s="1"/>
      <c r="J759" s="1"/>
    </row>
    <row r="760" spans="9:10" x14ac:dyDescent="0.25">
      <c r="I760" s="1"/>
      <c r="J760" s="1"/>
    </row>
    <row r="761" spans="9:10" x14ac:dyDescent="0.25">
      <c r="I761" s="1"/>
      <c r="J761" s="1"/>
    </row>
    <row r="762" spans="9:10" x14ac:dyDescent="0.25">
      <c r="I762" s="1"/>
      <c r="J762" s="1"/>
    </row>
    <row r="763" spans="9:10" x14ac:dyDescent="0.25">
      <c r="I763" s="1"/>
      <c r="J763" s="1"/>
    </row>
    <row r="764" spans="9:10" x14ac:dyDescent="0.25">
      <c r="I764" s="1"/>
      <c r="J764" s="1"/>
    </row>
    <row r="765" spans="9:10" x14ac:dyDescent="0.25">
      <c r="I765" s="1"/>
      <c r="J765" s="1"/>
    </row>
    <row r="766" spans="9:10" x14ac:dyDescent="0.25">
      <c r="I766" s="1"/>
      <c r="J766" s="1"/>
    </row>
    <row r="767" spans="9:10" x14ac:dyDescent="0.25">
      <c r="I767" s="1"/>
      <c r="J767" s="1"/>
    </row>
    <row r="768" spans="9:10" x14ac:dyDescent="0.25">
      <c r="I768" s="1"/>
      <c r="J768" s="1"/>
    </row>
    <row r="769" spans="9:10" x14ac:dyDescent="0.25">
      <c r="I769" s="1"/>
      <c r="J769" s="1"/>
    </row>
    <row r="770" spans="9:10" x14ac:dyDescent="0.25">
      <c r="I770" s="1"/>
      <c r="J770" s="1"/>
    </row>
    <row r="771" spans="9:10" x14ac:dyDescent="0.25">
      <c r="I771" s="1"/>
      <c r="J771" s="1"/>
    </row>
    <row r="772" spans="9:10" x14ac:dyDescent="0.25">
      <c r="I772" s="1"/>
      <c r="J772" s="1"/>
    </row>
    <row r="773" spans="9:10" x14ac:dyDescent="0.25">
      <c r="I773" s="1"/>
      <c r="J773" s="1"/>
    </row>
    <row r="774" spans="9:10" x14ac:dyDescent="0.25">
      <c r="I774" s="1"/>
      <c r="J774" s="1"/>
    </row>
    <row r="775" spans="9:10" x14ac:dyDescent="0.25">
      <c r="I775" s="1"/>
      <c r="J775" s="1"/>
    </row>
    <row r="776" spans="9:10" x14ac:dyDescent="0.25">
      <c r="I776" s="1"/>
      <c r="J776" s="1"/>
    </row>
    <row r="777" spans="9:10" x14ac:dyDescent="0.25">
      <c r="I777" s="1"/>
      <c r="J777" s="1"/>
    </row>
    <row r="778" spans="9:10" x14ac:dyDescent="0.25">
      <c r="I778" s="1"/>
      <c r="J778" s="1"/>
    </row>
    <row r="779" spans="9:10" x14ac:dyDescent="0.25">
      <c r="I779" s="1"/>
      <c r="J779" s="1"/>
    </row>
    <row r="780" spans="9:10" x14ac:dyDescent="0.25">
      <c r="I780" s="1"/>
      <c r="J780" s="1"/>
    </row>
    <row r="781" spans="9:10" x14ac:dyDescent="0.25">
      <c r="I781" s="1"/>
      <c r="J781" s="1"/>
    </row>
    <row r="782" spans="9:10" x14ac:dyDescent="0.25">
      <c r="I782" s="1"/>
      <c r="J782" s="1"/>
    </row>
    <row r="783" spans="9:10" x14ac:dyDescent="0.25">
      <c r="I783" s="1"/>
      <c r="J783" s="1"/>
    </row>
    <row r="784" spans="9:10" x14ac:dyDescent="0.25">
      <c r="I784" s="1"/>
      <c r="J784" s="1"/>
    </row>
    <row r="785" spans="9:10" x14ac:dyDescent="0.25">
      <c r="I785" s="1"/>
      <c r="J785" s="1"/>
    </row>
    <row r="786" spans="9:10" x14ac:dyDescent="0.25">
      <c r="I786" s="1"/>
      <c r="J786" s="1"/>
    </row>
    <row r="787" spans="9:10" x14ac:dyDescent="0.25">
      <c r="I787" s="1"/>
      <c r="J787" s="1"/>
    </row>
    <row r="788" spans="9:10" x14ac:dyDescent="0.25">
      <c r="I788" s="1"/>
      <c r="J788" s="1"/>
    </row>
    <row r="789" spans="9:10" x14ac:dyDescent="0.25">
      <c r="I789" s="1"/>
      <c r="J789" s="1"/>
    </row>
    <row r="790" spans="9:10" x14ac:dyDescent="0.25">
      <c r="I790" s="1"/>
      <c r="J790" s="1"/>
    </row>
    <row r="791" spans="9:10" x14ac:dyDescent="0.25">
      <c r="I791" s="1"/>
      <c r="J791" s="1"/>
    </row>
    <row r="792" spans="9:10" x14ac:dyDescent="0.25">
      <c r="I792" s="1"/>
      <c r="J792" s="1"/>
    </row>
    <row r="793" spans="9:10" x14ac:dyDescent="0.25">
      <c r="I793" s="1"/>
      <c r="J793" s="1"/>
    </row>
    <row r="794" spans="9:10" x14ac:dyDescent="0.25">
      <c r="I794" s="1"/>
      <c r="J794" s="1"/>
    </row>
    <row r="795" spans="9:10" x14ac:dyDescent="0.25">
      <c r="I795" s="1"/>
      <c r="J795" s="1"/>
    </row>
    <row r="796" spans="9:10" x14ac:dyDescent="0.25">
      <c r="I796" s="1"/>
      <c r="J796" s="1"/>
    </row>
    <row r="797" spans="9:10" x14ac:dyDescent="0.25">
      <c r="I797" s="1"/>
      <c r="J797" s="1"/>
    </row>
    <row r="798" spans="9:10" x14ac:dyDescent="0.25">
      <c r="I798" s="1"/>
      <c r="J798" s="1"/>
    </row>
    <row r="799" spans="9:10" x14ac:dyDescent="0.25">
      <c r="I799" s="1"/>
      <c r="J799" s="1"/>
    </row>
    <row r="800" spans="9:10" x14ac:dyDescent="0.25">
      <c r="I800" s="1"/>
      <c r="J800" s="1"/>
    </row>
    <row r="801" spans="9:10" x14ac:dyDescent="0.25">
      <c r="I801" s="1"/>
      <c r="J801" s="1"/>
    </row>
    <row r="802" spans="9:10" x14ac:dyDescent="0.25">
      <c r="I802" s="1"/>
      <c r="J802" s="1"/>
    </row>
    <row r="803" spans="9:10" x14ac:dyDescent="0.25">
      <c r="I803" s="1"/>
      <c r="J803" s="1"/>
    </row>
    <row r="804" spans="9:10" x14ac:dyDescent="0.25">
      <c r="I804" s="1"/>
      <c r="J804" s="1"/>
    </row>
    <row r="805" spans="9:10" x14ac:dyDescent="0.25">
      <c r="I805" s="1"/>
      <c r="J805" s="1"/>
    </row>
    <row r="806" spans="9:10" x14ac:dyDescent="0.25">
      <c r="I806" s="1"/>
      <c r="J806" s="1"/>
    </row>
    <row r="807" spans="9:10" x14ac:dyDescent="0.25">
      <c r="I807" s="1"/>
      <c r="J807" s="1"/>
    </row>
    <row r="808" spans="9:10" x14ac:dyDescent="0.25">
      <c r="I808" s="1"/>
      <c r="J808" s="1"/>
    </row>
    <row r="809" spans="9:10" x14ac:dyDescent="0.25">
      <c r="I809" s="1"/>
      <c r="J809" s="1"/>
    </row>
    <row r="810" spans="9:10" x14ac:dyDescent="0.25">
      <c r="I810" s="1"/>
      <c r="J810" s="1"/>
    </row>
    <row r="811" spans="9:10" x14ac:dyDescent="0.25">
      <c r="I811" s="1"/>
      <c r="J811" s="1"/>
    </row>
    <row r="812" spans="9:10" x14ac:dyDescent="0.25">
      <c r="I812" s="1"/>
      <c r="J812" s="1"/>
    </row>
    <row r="813" spans="9:10" x14ac:dyDescent="0.25">
      <c r="I813" s="1"/>
      <c r="J813" s="1"/>
    </row>
    <row r="814" spans="9:10" x14ac:dyDescent="0.25">
      <c r="I814" s="1"/>
      <c r="J814" s="1"/>
    </row>
    <row r="815" spans="9:10" x14ac:dyDescent="0.25">
      <c r="I815" s="1"/>
      <c r="J815" s="1"/>
    </row>
    <row r="816" spans="9:10" x14ac:dyDescent="0.25">
      <c r="I816" s="1"/>
      <c r="J816" s="1"/>
    </row>
    <row r="817" spans="9:10" x14ac:dyDescent="0.25">
      <c r="I817" s="1"/>
      <c r="J817" s="1"/>
    </row>
    <row r="818" spans="9:10" x14ac:dyDescent="0.25">
      <c r="I818" s="1"/>
      <c r="J818" s="1"/>
    </row>
    <row r="819" spans="9:10" x14ac:dyDescent="0.25">
      <c r="I819" s="1"/>
      <c r="J819" s="1"/>
    </row>
    <row r="820" spans="9:10" x14ac:dyDescent="0.25">
      <c r="I820" s="1"/>
      <c r="J820" s="1"/>
    </row>
    <row r="821" spans="9:10" x14ac:dyDescent="0.25">
      <c r="I821" s="1"/>
      <c r="J821" s="1"/>
    </row>
    <row r="822" spans="9:10" x14ac:dyDescent="0.25">
      <c r="I822" s="1"/>
      <c r="J822" s="1"/>
    </row>
    <row r="823" spans="9:10" x14ac:dyDescent="0.25">
      <c r="I823" s="1"/>
      <c r="J823" s="1"/>
    </row>
    <row r="824" spans="9:10" x14ac:dyDescent="0.25">
      <c r="I824" s="1"/>
      <c r="J824" s="1"/>
    </row>
    <row r="825" spans="9:10" x14ac:dyDescent="0.25">
      <c r="I825" s="1"/>
      <c r="J825" s="1"/>
    </row>
    <row r="826" spans="9:10" x14ac:dyDescent="0.25">
      <c r="I826" s="1"/>
      <c r="J826" s="1"/>
    </row>
    <row r="827" spans="9:10" x14ac:dyDescent="0.25">
      <c r="I827" s="1"/>
      <c r="J827" s="1"/>
    </row>
    <row r="828" spans="9:10" x14ac:dyDescent="0.25">
      <c r="I828" s="1"/>
      <c r="J828" s="1"/>
    </row>
    <row r="829" spans="9:10" x14ac:dyDescent="0.25">
      <c r="I829" s="1"/>
      <c r="J829" s="1"/>
    </row>
    <row r="830" spans="9:10" x14ac:dyDescent="0.25">
      <c r="I830" s="1"/>
      <c r="J830" s="1"/>
    </row>
    <row r="831" spans="9:10" x14ac:dyDescent="0.25">
      <c r="I831" s="1"/>
      <c r="J831" s="1"/>
    </row>
    <row r="832" spans="9:10" x14ac:dyDescent="0.25">
      <c r="I832" s="1"/>
      <c r="J832" s="1"/>
    </row>
    <row r="833" spans="9:10" x14ac:dyDescent="0.25">
      <c r="I833" s="1"/>
      <c r="J833" s="1"/>
    </row>
    <row r="834" spans="9:10" x14ac:dyDescent="0.25">
      <c r="I834" s="1"/>
      <c r="J834" s="1"/>
    </row>
    <row r="835" spans="9:10" x14ac:dyDescent="0.25">
      <c r="I835" s="1"/>
      <c r="J835" s="1"/>
    </row>
    <row r="836" spans="9:10" x14ac:dyDescent="0.25">
      <c r="I836" s="1"/>
      <c r="J836" s="1"/>
    </row>
    <row r="837" spans="9:10" x14ac:dyDescent="0.25">
      <c r="I837" s="1"/>
      <c r="J837" s="1"/>
    </row>
    <row r="838" spans="9:10" x14ac:dyDescent="0.25">
      <c r="I838" s="1"/>
      <c r="J838" s="1"/>
    </row>
    <row r="839" spans="9:10" x14ac:dyDescent="0.25">
      <c r="I839" s="1"/>
      <c r="J839" s="1"/>
    </row>
    <row r="840" spans="9:10" x14ac:dyDescent="0.25">
      <c r="I840" s="1"/>
      <c r="J840" s="1"/>
    </row>
    <row r="841" spans="9:10" x14ac:dyDescent="0.25">
      <c r="I841" s="1"/>
      <c r="J841" s="1"/>
    </row>
    <row r="842" spans="9:10" x14ac:dyDescent="0.25">
      <c r="I842" s="1"/>
      <c r="J842" s="1"/>
    </row>
    <row r="843" spans="9:10" x14ac:dyDescent="0.25">
      <c r="I843" s="1"/>
      <c r="J843" s="1"/>
    </row>
    <row r="844" spans="9:10" x14ac:dyDescent="0.25">
      <c r="I844" s="1"/>
      <c r="J844" s="1"/>
    </row>
    <row r="845" spans="9:10" x14ac:dyDescent="0.25">
      <c r="I845" s="1"/>
      <c r="J845" s="1"/>
    </row>
    <row r="846" spans="9:10" x14ac:dyDescent="0.25">
      <c r="I846" s="1"/>
      <c r="J846" s="1"/>
    </row>
    <row r="847" spans="9:10" x14ac:dyDescent="0.25">
      <c r="I847" s="1"/>
      <c r="J847" s="1"/>
    </row>
    <row r="848" spans="9:10" x14ac:dyDescent="0.25">
      <c r="I848" s="1"/>
      <c r="J848" s="1"/>
    </row>
    <row r="849" spans="9:10" x14ac:dyDescent="0.25">
      <c r="I849" s="1"/>
      <c r="J849" s="1"/>
    </row>
    <row r="850" spans="9:10" x14ac:dyDescent="0.25">
      <c r="I850" s="1"/>
      <c r="J850" s="1"/>
    </row>
    <row r="851" spans="9:10" x14ac:dyDescent="0.25">
      <c r="I851" s="1"/>
      <c r="J851" s="1"/>
    </row>
    <row r="852" spans="9:10" x14ac:dyDescent="0.25">
      <c r="I852" s="1"/>
      <c r="J852" s="1"/>
    </row>
    <row r="853" spans="9:10" x14ac:dyDescent="0.25">
      <c r="I853" s="1"/>
      <c r="J853" s="1"/>
    </row>
    <row r="854" spans="9:10" x14ac:dyDescent="0.25">
      <c r="I854" s="1"/>
      <c r="J854" s="1"/>
    </row>
    <row r="855" spans="9:10" x14ac:dyDescent="0.25">
      <c r="I855" s="1"/>
      <c r="J855" s="1"/>
    </row>
    <row r="856" spans="9:10" x14ac:dyDescent="0.25">
      <c r="I856" s="1"/>
      <c r="J856" s="1"/>
    </row>
    <row r="857" spans="9:10" x14ac:dyDescent="0.25">
      <c r="I857" s="1"/>
      <c r="J857" s="1"/>
    </row>
    <row r="858" spans="9:10" x14ac:dyDescent="0.25">
      <c r="I858" s="1"/>
      <c r="J858" s="1"/>
    </row>
    <row r="859" spans="9:10" x14ac:dyDescent="0.25">
      <c r="I859" s="1"/>
      <c r="J859" s="1"/>
    </row>
    <row r="860" spans="9:10" x14ac:dyDescent="0.25">
      <c r="I860" s="1"/>
      <c r="J860" s="1"/>
    </row>
    <row r="861" spans="9:10" x14ac:dyDescent="0.25">
      <c r="I861" s="1"/>
      <c r="J861" s="1"/>
    </row>
    <row r="862" spans="9:10" x14ac:dyDescent="0.25">
      <c r="I862" s="1"/>
      <c r="J862" s="1"/>
    </row>
    <row r="863" spans="9:10" x14ac:dyDescent="0.25">
      <c r="I863" s="1"/>
      <c r="J863" s="1"/>
    </row>
    <row r="864" spans="9:10" x14ac:dyDescent="0.25">
      <c r="I864" s="1"/>
      <c r="J864" s="1"/>
    </row>
    <row r="865" spans="9:10" x14ac:dyDescent="0.25">
      <c r="I865" s="1"/>
      <c r="J865" s="1"/>
    </row>
    <row r="866" spans="9:10" x14ac:dyDescent="0.25">
      <c r="I866" s="1"/>
      <c r="J866" s="1"/>
    </row>
    <row r="867" spans="9:10" x14ac:dyDescent="0.25">
      <c r="I867" s="1"/>
      <c r="J867" s="1"/>
    </row>
    <row r="868" spans="9:10" x14ac:dyDescent="0.25">
      <c r="I868" s="1"/>
      <c r="J868" s="1"/>
    </row>
    <row r="869" spans="9:10" x14ac:dyDescent="0.25">
      <c r="I869" s="1"/>
      <c r="J869" s="1"/>
    </row>
    <row r="870" spans="9:10" x14ac:dyDescent="0.25">
      <c r="I870" s="1"/>
      <c r="J870" s="1"/>
    </row>
    <row r="871" spans="9:10" x14ac:dyDescent="0.25">
      <c r="I871" s="1"/>
      <c r="J871" s="1"/>
    </row>
    <row r="872" spans="9:10" x14ac:dyDescent="0.25">
      <c r="I872" s="1"/>
      <c r="J872" s="1"/>
    </row>
    <row r="873" spans="9:10" x14ac:dyDescent="0.25">
      <c r="I873" s="1"/>
      <c r="J873" s="1"/>
    </row>
    <row r="874" spans="9:10" x14ac:dyDescent="0.25">
      <c r="I874" s="1"/>
      <c r="J874" s="1"/>
    </row>
    <row r="875" spans="9:10" x14ac:dyDescent="0.25">
      <c r="I875" s="1"/>
      <c r="J875" s="1"/>
    </row>
    <row r="876" spans="9:10" x14ac:dyDescent="0.25">
      <c r="I876" s="1"/>
      <c r="J876" s="1"/>
    </row>
    <row r="877" spans="9:10" x14ac:dyDescent="0.25">
      <c r="I877" s="1"/>
      <c r="J877" s="1"/>
    </row>
    <row r="878" spans="9:10" x14ac:dyDescent="0.25">
      <c r="I878" s="1"/>
      <c r="J878" s="1"/>
    </row>
    <row r="879" spans="9:10" x14ac:dyDescent="0.25">
      <c r="I879" s="1"/>
      <c r="J879" s="1"/>
    </row>
    <row r="880" spans="9:10" x14ac:dyDescent="0.25">
      <c r="I880" s="1"/>
      <c r="J880" s="1"/>
    </row>
    <row r="881" spans="9:10" x14ac:dyDescent="0.25">
      <c r="I881" s="1"/>
      <c r="J881" s="1"/>
    </row>
    <row r="882" spans="9:10" x14ac:dyDescent="0.25">
      <c r="I882" s="1"/>
      <c r="J882" s="1"/>
    </row>
    <row r="883" spans="9:10" x14ac:dyDescent="0.25">
      <c r="I883" s="1"/>
      <c r="J883" s="1"/>
    </row>
    <row r="884" spans="9:10" x14ac:dyDescent="0.25">
      <c r="I884" s="1"/>
      <c r="J884" s="1"/>
    </row>
    <row r="885" spans="9:10" x14ac:dyDescent="0.25">
      <c r="I885" s="1"/>
      <c r="J885" s="1"/>
    </row>
    <row r="886" spans="9:10" x14ac:dyDescent="0.25">
      <c r="I886" s="1"/>
      <c r="J886" s="1"/>
    </row>
    <row r="887" spans="9:10" x14ac:dyDescent="0.25">
      <c r="I887" s="1"/>
      <c r="J887" s="1"/>
    </row>
    <row r="888" spans="9:10" x14ac:dyDescent="0.25">
      <c r="I888" s="1"/>
      <c r="J888" s="1"/>
    </row>
    <row r="889" spans="9:10" x14ac:dyDescent="0.25">
      <c r="I889" s="1"/>
      <c r="J889" s="1"/>
    </row>
    <row r="890" spans="9:10" x14ac:dyDescent="0.25">
      <c r="I890" s="1"/>
      <c r="J890" s="1"/>
    </row>
    <row r="891" spans="9:10" x14ac:dyDescent="0.25">
      <c r="I891" s="1"/>
      <c r="J891" s="1"/>
    </row>
    <row r="892" spans="9:10" x14ac:dyDescent="0.25">
      <c r="I892" s="1"/>
      <c r="J892" s="1"/>
    </row>
    <row r="893" spans="9:10" x14ac:dyDescent="0.25">
      <c r="I893" s="1"/>
      <c r="J893" s="1"/>
    </row>
    <row r="894" spans="9:10" x14ac:dyDescent="0.25">
      <c r="I894" s="1"/>
      <c r="J894" s="1"/>
    </row>
    <row r="895" spans="9:10" x14ac:dyDescent="0.25">
      <c r="I895" s="1"/>
      <c r="J895" s="1"/>
    </row>
    <row r="896" spans="9:10" x14ac:dyDescent="0.25">
      <c r="I896" s="1"/>
      <c r="J896" s="1"/>
    </row>
    <row r="897" spans="9:10" x14ac:dyDescent="0.25">
      <c r="I897" s="1"/>
      <c r="J897" s="1"/>
    </row>
    <row r="898" spans="9:10" x14ac:dyDescent="0.25">
      <c r="I898" s="1"/>
      <c r="J898" s="1"/>
    </row>
    <row r="899" spans="9:10" x14ac:dyDescent="0.25">
      <c r="I899" s="1"/>
      <c r="J899" s="1"/>
    </row>
    <row r="900" spans="9:10" x14ac:dyDescent="0.25">
      <c r="I900" s="1"/>
      <c r="J900" s="1"/>
    </row>
    <row r="901" spans="9:10" x14ac:dyDescent="0.25">
      <c r="I901" s="1"/>
      <c r="J901" s="1"/>
    </row>
    <row r="902" spans="9:10" x14ac:dyDescent="0.25">
      <c r="I902" s="1"/>
      <c r="J902" s="1"/>
    </row>
    <row r="903" spans="9:10" x14ac:dyDescent="0.25">
      <c r="I903" s="1"/>
      <c r="J903" s="1"/>
    </row>
    <row r="904" spans="9:10" x14ac:dyDescent="0.25">
      <c r="I904" s="1"/>
      <c r="J904" s="1"/>
    </row>
    <row r="905" spans="9:10" x14ac:dyDescent="0.25">
      <c r="I905" s="1"/>
      <c r="J905" s="1"/>
    </row>
    <row r="906" spans="9:10" x14ac:dyDescent="0.25">
      <c r="I906" s="1"/>
      <c r="J906" s="1"/>
    </row>
    <row r="907" spans="9:10" x14ac:dyDescent="0.25">
      <c r="I907" s="1"/>
      <c r="J907" s="1"/>
    </row>
    <row r="908" spans="9:10" x14ac:dyDescent="0.25">
      <c r="I908" s="1"/>
      <c r="J908" s="1"/>
    </row>
    <row r="909" spans="9:10" x14ac:dyDescent="0.25">
      <c r="I909" s="1"/>
      <c r="J909" s="1"/>
    </row>
    <row r="910" spans="9:10" x14ac:dyDescent="0.25">
      <c r="I910" s="1"/>
      <c r="J910" s="1"/>
    </row>
    <row r="911" spans="9:10" x14ac:dyDescent="0.25">
      <c r="I911" s="1"/>
      <c r="J911" s="1"/>
    </row>
    <row r="912" spans="9:10" x14ac:dyDescent="0.25">
      <c r="I912" s="1"/>
      <c r="J912" s="1"/>
    </row>
    <row r="913" spans="9:10" x14ac:dyDescent="0.25">
      <c r="I913" s="1"/>
      <c r="J913" s="1"/>
    </row>
    <row r="914" spans="9:10" x14ac:dyDescent="0.25">
      <c r="I914" s="1"/>
      <c r="J914" s="1"/>
    </row>
    <row r="915" spans="9:10" x14ac:dyDescent="0.25">
      <c r="I915" s="1"/>
      <c r="J915" s="1"/>
    </row>
    <row r="916" spans="9:10" x14ac:dyDescent="0.25">
      <c r="I916" s="1"/>
      <c r="J916" s="1"/>
    </row>
    <row r="917" spans="9:10" x14ac:dyDescent="0.25">
      <c r="I917" s="1"/>
      <c r="J917" s="1"/>
    </row>
    <row r="918" spans="9:10" x14ac:dyDescent="0.25">
      <c r="I918" s="1"/>
      <c r="J918" s="1"/>
    </row>
    <row r="919" spans="9:10" x14ac:dyDescent="0.25">
      <c r="I919" s="1"/>
      <c r="J919" s="1"/>
    </row>
    <row r="920" spans="9:10" x14ac:dyDescent="0.25">
      <c r="I920" s="1"/>
      <c r="J920" s="1"/>
    </row>
    <row r="921" spans="9:10" x14ac:dyDescent="0.25">
      <c r="I921" s="1"/>
      <c r="J921" s="1"/>
    </row>
    <row r="922" spans="9:10" x14ac:dyDescent="0.25">
      <c r="I922" s="1"/>
      <c r="J922" s="1"/>
    </row>
    <row r="923" spans="9:10" x14ac:dyDescent="0.25">
      <c r="I923" s="1"/>
      <c r="J923" s="1"/>
    </row>
    <row r="924" spans="9:10" x14ac:dyDescent="0.25">
      <c r="I924" s="1"/>
      <c r="J924" s="1"/>
    </row>
    <row r="925" spans="9:10" x14ac:dyDescent="0.25">
      <c r="I925" s="1"/>
      <c r="J925" s="1"/>
    </row>
    <row r="926" spans="9:10" x14ac:dyDescent="0.25">
      <c r="I926" s="1"/>
      <c r="J926" s="1"/>
    </row>
    <row r="927" spans="9:10" x14ac:dyDescent="0.25">
      <c r="I927" s="1"/>
      <c r="J927" s="1"/>
    </row>
    <row r="928" spans="9:10" x14ac:dyDescent="0.25">
      <c r="I928" s="1"/>
      <c r="J928" s="1"/>
    </row>
    <row r="929" spans="9:10" x14ac:dyDescent="0.25">
      <c r="I929" s="1"/>
      <c r="J929" s="1"/>
    </row>
    <row r="930" spans="9:10" x14ac:dyDescent="0.25">
      <c r="I930" s="1"/>
      <c r="J930" s="1"/>
    </row>
    <row r="931" spans="9:10" x14ac:dyDescent="0.25">
      <c r="I931" s="1"/>
      <c r="J931" s="1"/>
    </row>
    <row r="932" spans="9:10" x14ac:dyDescent="0.25">
      <c r="I932" s="1"/>
      <c r="J932" s="1"/>
    </row>
    <row r="933" spans="9:10" x14ac:dyDescent="0.25">
      <c r="I933" s="1"/>
      <c r="J933" s="1"/>
    </row>
    <row r="934" spans="9:10" x14ac:dyDescent="0.25">
      <c r="I934" s="1"/>
      <c r="J934" s="1"/>
    </row>
    <row r="935" spans="9:10" x14ac:dyDescent="0.25">
      <c r="I935" s="1"/>
      <c r="J935" s="1"/>
    </row>
    <row r="936" spans="9:10" x14ac:dyDescent="0.25">
      <c r="I936" s="1"/>
      <c r="J936" s="1"/>
    </row>
    <row r="937" spans="9:10" x14ac:dyDescent="0.25">
      <c r="I937" s="1"/>
      <c r="J937" s="1"/>
    </row>
    <row r="938" spans="9:10" x14ac:dyDescent="0.25">
      <c r="I938" s="1"/>
      <c r="J938" s="1"/>
    </row>
    <row r="939" spans="9:10" x14ac:dyDescent="0.25">
      <c r="I939" s="1"/>
      <c r="J939" s="1"/>
    </row>
    <row r="940" spans="9:10" x14ac:dyDescent="0.25">
      <c r="I940" s="1"/>
      <c r="J940" s="1"/>
    </row>
    <row r="941" spans="9:10" x14ac:dyDescent="0.25">
      <c r="I941" s="1"/>
      <c r="J941" s="1"/>
    </row>
    <row r="942" spans="9:10" x14ac:dyDescent="0.25">
      <c r="I942" s="1"/>
      <c r="J942" s="1"/>
    </row>
    <row r="943" spans="9:10" x14ac:dyDescent="0.25">
      <c r="I943" s="1"/>
      <c r="J943" s="1"/>
    </row>
    <row r="944" spans="9:10" x14ac:dyDescent="0.25">
      <c r="I944" s="1"/>
      <c r="J944" s="1"/>
    </row>
    <row r="945" spans="9:10" x14ac:dyDescent="0.25">
      <c r="I945" s="1"/>
      <c r="J945" s="1"/>
    </row>
    <row r="946" spans="9:10" x14ac:dyDescent="0.25">
      <c r="I946" s="1"/>
      <c r="J946" s="1"/>
    </row>
    <row r="947" spans="9:10" x14ac:dyDescent="0.25">
      <c r="I947" s="1"/>
      <c r="J947" s="1"/>
    </row>
    <row r="948" spans="9:10" x14ac:dyDescent="0.25">
      <c r="I948" s="1"/>
      <c r="J948" s="1"/>
    </row>
    <row r="949" spans="9:10" x14ac:dyDescent="0.25">
      <c r="I949" s="1"/>
      <c r="J949" s="1"/>
    </row>
    <row r="950" spans="9:10" x14ac:dyDescent="0.25">
      <c r="I950" s="1"/>
      <c r="J950" s="1"/>
    </row>
    <row r="951" spans="9:10" x14ac:dyDescent="0.25">
      <c r="I951" s="1"/>
      <c r="J951" s="1"/>
    </row>
    <row r="952" spans="9:10" x14ac:dyDescent="0.25">
      <c r="I952" s="1"/>
      <c r="J952" s="1"/>
    </row>
    <row r="953" spans="9:10" x14ac:dyDescent="0.25">
      <c r="I953" s="1"/>
      <c r="J953" s="1"/>
    </row>
    <row r="954" spans="9:10" x14ac:dyDescent="0.25">
      <c r="I954" s="1"/>
      <c r="J954" s="1"/>
    </row>
    <row r="955" spans="9:10" x14ac:dyDescent="0.25">
      <c r="I955" s="1"/>
      <c r="J955" s="1"/>
    </row>
    <row r="956" spans="9:10" x14ac:dyDescent="0.25">
      <c r="I956" s="1"/>
      <c r="J956" s="1"/>
    </row>
    <row r="957" spans="9:10" x14ac:dyDescent="0.25">
      <c r="I957" s="1"/>
      <c r="J957" s="1"/>
    </row>
    <row r="958" spans="9:10" x14ac:dyDescent="0.25">
      <c r="I958" s="1"/>
      <c r="J958" s="1"/>
    </row>
    <row r="959" spans="9:10" x14ac:dyDescent="0.25">
      <c r="I959" s="1"/>
      <c r="J959" s="1"/>
    </row>
    <row r="960" spans="9:10" x14ac:dyDescent="0.25">
      <c r="I960" s="1"/>
      <c r="J960" s="1"/>
    </row>
    <row r="961" spans="9:10" x14ac:dyDescent="0.25">
      <c r="I961" s="1"/>
      <c r="J961" s="1"/>
    </row>
    <row r="962" spans="9:10" x14ac:dyDescent="0.25">
      <c r="I962" s="1"/>
      <c r="J962" s="1"/>
    </row>
    <row r="963" spans="9:10" x14ac:dyDescent="0.25">
      <c r="I963" s="1"/>
      <c r="J963" s="1"/>
    </row>
    <row r="964" spans="9:10" x14ac:dyDescent="0.25">
      <c r="I964" s="1"/>
      <c r="J964" s="1"/>
    </row>
    <row r="965" spans="9:10" x14ac:dyDescent="0.25">
      <c r="I965" s="1"/>
      <c r="J965" s="1"/>
    </row>
    <row r="966" spans="9:10" x14ac:dyDescent="0.25">
      <c r="I966" s="1"/>
      <c r="J966" s="1"/>
    </row>
    <row r="967" spans="9:10" x14ac:dyDescent="0.25">
      <c r="I967" s="1"/>
      <c r="J967" s="1"/>
    </row>
    <row r="968" spans="9:10" x14ac:dyDescent="0.25">
      <c r="I968" s="1"/>
      <c r="J968" s="1"/>
    </row>
    <row r="969" spans="9:10" x14ac:dyDescent="0.25">
      <c r="I969" s="1"/>
      <c r="J969" s="1"/>
    </row>
    <row r="970" spans="9:10" x14ac:dyDescent="0.25">
      <c r="I970" s="1"/>
      <c r="J970" s="1"/>
    </row>
    <row r="971" spans="9:10" x14ac:dyDescent="0.25">
      <c r="I971" s="1"/>
      <c r="J971" s="1"/>
    </row>
    <row r="972" spans="9:10" x14ac:dyDescent="0.25">
      <c r="I972" s="1"/>
      <c r="J972" s="1"/>
    </row>
    <row r="973" spans="9:10" x14ac:dyDescent="0.25">
      <c r="I973" s="1"/>
      <c r="J973" s="1"/>
    </row>
    <row r="974" spans="9:10" x14ac:dyDescent="0.25">
      <c r="I974" s="1"/>
      <c r="J974" s="1"/>
    </row>
    <row r="975" spans="9:10" x14ac:dyDescent="0.25">
      <c r="I975" s="1"/>
      <c r="J975" s="1"/>
    </row>
    <row r="976" spans="9:10" x14ac:dyDescent="0.25">
      <c r="I976" s="1"/>
      <c r="J976" s="1"/>
    </row>
    <row r="977" spans="9:10" x14ac:dyDescent="0.25">
      <c r="I977" s="1"/>
      <c r="J977" s="1"/>
    </row>
    <row r="978" spans="9:10" x14ac:dyDescent="0.25">
      <c r="I978" s="1"/>
      <c r="J978" s="1"/>
    </row>
    <row r="979" spans="9:10" x14ac:dyDescent="0.25">
      <c r="I979" s="1"/>
      <c r="J979" s="1"/>
    </row>
    <row r="980" spans="9:10" x14ac:dyDescent="0.25">
      <c r="I980" s="1"/>
      <c r="J980" s="1"/>
    </row>
    <row r="981" spans="9:10" x14ac:dyDescent="0.25">
      <c r="I981" s="1"/>
      <c r="J981" s="1"/>
    </row>
    <row r="982" spans="9:10" x14ac:dyDescent="0.25">
      <c r="I982" s="1"/>
      <c r="J982" s="1"/>
    </row>
    <row r="983" spans="9:10" x14ac:dyDescent="0.25">
      <c r="I983" s="1"/>
      <c r="J983" s="1"/>
    </row>
    <row r="984" spans="9:10" x14ac:dyDescent="0.25">
      <c r="I984" s="1"/>
      <c r="J984" s="1"/>
    </row>
    <row r="985" spans="9:10" x14ac:dyDescent="0.25">
      <c r="I985" s="1"/>
      <c r="J985" s="1"/>
    </row>
    <row r="986" spans="9:10" x14ac:dyDescent="0.25">
      <c r="I986" s="1"/>
      <c r="J986" s="1"/>
    </row>
    <row r="987" spans="9:10" x14ac:dyDescent="0.25">
      <c r="I987" s="1"/>
      <c r="J987" s="1"/>
    </row>
    <row r="988" spans="9:10" x14ac:dyDescent="0.25">
      <c r="I988" s="1"/>
      <c r="J988" s="1"/>
    </row>
    <row r="989" spans="9:10" x14ac:dyDescent="0.25">
      <c r="I989" s="1"/>
      <c r="J989" s="1"/>
    </row>
    <row r="990" spans="9:10" x14ac:dyDescent="0.25">
      <c r="I990" s="1"/>
      <c r="J990" s="1"/>
    </row>
    <row r="991" spans="9:10" x14ac:dyDescent="0.25">
      <c r="I991" s="1"/>
      <c r="J991" s="1"/>
    </row>
    <row r="992" spans="9:10" x14ac:dyDescent="0.25">
      <c r="I992" s="1"/>
      <c r="J992" s="1"/>
    </row>
    <row r="993" spans="9:10" x14ac:dyDescent="0.25">
      <c r="I993" s="1"/>
      <c r="J993" s="1"/>
    </row>
    <row r="994" spans="9:10" x14ac:dyDescent="0.25">
      <c r="I994" s="1"/>
      <c r="J994" s="1"/>
    </row>
    <row r="995" spans="9:10" x14ac:dyDescent="0.25">
      <c r="I995" s="1"/>
      <c r="J995" s="1"/>
    </row>
    <row r="996" spans="9:10" x14ac:dyDescent="0.25">
      <c r="I996" s="1"/>
      <c r="J996" s="1"/>
    </row>
    <row r="997" spans="9:10" x14ac:dyDescent="0.25">
      <c r="I997" s="1"/>
      <c r="J997" s="1"/>
    </row>
    <row r="998" spans="9:10" x14ac:dyDescent="0.25">
      <c r="I998" s="1"/>
      <c r="J998" s="1"/>
    </row>
    <row r="999" spans="9:10" x14ac:dyDescent="0.25">
      <c r="I999" s="1"/>
      <c r="J999" s="1"/>
    </row>
    <row r="1000" spans="9:10" x14ac:dyDescent="0.25">
      <c r="I1000" s="1"/>
      <c r="J1000" s="1"/>
    </row>
    <row r="1001" spans="9:10" x14ac:dyDescent="0.25">
      <c r="I1001" s="1"/>
      <c r="J1001" s="1"/>
    </row>
    <row r="1002" spans="9:10" x14ac:dyDescent="0.25">
      <c r="I1002" s="1"/>
      <c r="J1002" s="1"/>
    </row>
    <row r="1003" spans="9:10" x14ac:dyDescent="0.25">
      <c r="I1003" s="1"/>
      <c r="J1003" s="1"/>
    </row>
    <row r="1004" spans="9:10" x14ac:dyDescent="0.25">
      <c r="I1004" s="1"/>
      <c r="J1004" s="1"/>
    </row>
    <row r="1005" spans="9:10" x14ac:dyDescent="0.25">
      <c r="I1005" s="1"/>
      <c r="J1005" s="1"/>
    </row>
    <row r="1006" spans="9:10" x14ac:dyDescent="0.25">
      <c r="I1006" s="1"/>
      <c r="J1006" s="1"/>
    </row>
    <row r="1007" spans="9:10" x14ac:dyDescent="0.25">
      <c r="I1007" s="1"/>
      <c r="J1007" s="1"/>
    </row>
    <row r="1008" spans="9:10" x14ac:dyDescent="0.25">
      <c r="I1008" s="1"/>
      <c r="J1008" s="1"/>
    </row>
    <row r="1009" spans="9:10" x14ac:dyDescent="0.25">
      <c r="I1009" s="1"/>
      <c r="J1009" s="1"/>
    </row>
    <row r="1010" spans="9:10" x14ac:dyDescent="0.25">
      <c r="I1010" s="1"/>
      <c r="J1010" s="1"/>
    </row>
    <row r="1011" spans="9:10" x14ac:dyDescent="0.25">
      <c r="I1011" s="1"/>
      <c r="J1011" s="1"/>
    </row>
    <row r="1012" spans="9:10" x14ac:dyDescent="0.25">
      <c r="I1012" s="1"/>
      <c r="J1012" s="1"/>
    </row>
    <row r="1013" spans="9:10" x14ac:dyDescent="0.25">
      <c r="I1013" s="1"/>
      <c r="J1013" s="1"/>
    </row>
    <row r="1014" spans="9:10" x14ac:dyDescent="0.25">
      <c r="I1014" s="1"/>
      <c r="J1014" s="1"/>
    </row>
    <row r="1015" spans="9:10" x14ac:dyDescent="0.25">
      <c r="I1015" s="1"/>
      <c r="J1015" s="1"/>
    </row>
    <row r="1016" spans="9:10" x14ac:dyDescent="0.25">
      <c r="I1016" s="1"/>
      <c r="J1016" s="1"/>
    </row>
    <row r="1017" spans="9:10" x14ac:dyDescent="0.25">
      <c r="I1017" s="1"/>
      <c r="J1017" s="1"/>
    </row>
    <row r="1018" spans="9:10" x14ac:dyDescent="0.25">
      <c r="I1018" s="1"/>
      <c r="J1018" s="1"/>
    </row>
    <row r="1019" spans="9:10" x14ac:dyDescent="0.25">
      <c r="I1019" s="1"/>
      <c r="J1019" s="1"/>
    </row>
    <row r="1020" spans="9:10" x14ac:dyDescent="0.25">
      <c r="I1020" s="1"/>
      <c r="J1020" s="1"/>
    </row>
    <row r="1021" spans="9:10" x14ac:dyDescent="0.25">
      <c r="I1021" s="1"/>
      <c r="J1021" s="1"/>
    </row>
    <row r="1022" spans="9:10" x14ac:dyDescent="0.25">
      <c r="I1022" s="1"/>
      <c r="J1022" s="1"/>
    </row>
    <row r="1023" spans="9:10" x14ac:dyDescent="0.25">
      <c r="I1023" s="1"/>
      <c r="J1023" s="1"/>
    </row>
    <row r="1024" spans="9:10" x14ac:dyDescent="0.25">
      <c r="I1024" s="1"/>
      <c r="J1024" s="1"/>
    </row>
    <row r="1025" spans="9:10" x14ac:dyDescent="0.25">
      <c r="I1025" s="1"/>
      <c r="J1025" s="1"/>
    </row>
    <row r="1026" spans="9:10" x14ac:dyDescent="0.25">
      <c r="I1026" s="1"/>
      <c r="J1026" s="1"/>
    </row>
    <row r="1027" spans="9:10" x14ac:dyDescent="0.25">
      <c r="I1027" s="1"/>
      <c r="J1027" s="1"/>
    </row>
    <row r="1028" spans="9:10" x14ac:dyDescent="0.25">
      <c r="I1028" s="1"/>
      <c r="J1028" s="1"/>
    </row>
    <row r="1029" spans="9:10" x14ac:dyDescent="0.25">
      <c r="I1029" s="1"/>
      <c r="J1029" s="1"/>
    </row>
    <row r="1030" spans="9:10" x14ac:dyDescent="0.25">
      <c r="I1030" s="1"/>
      <c r="J1030" s="1"/>
    </row>
    <row r="1031" spans="9:10" x14ac:dyDescent="0.25">
      <c r="I1031" s="1"/>
      <c r="J1031" s="1"/>
    </row>
    <row r="1032" spans="9:10" x14ac:dyDescent="0.25">
      <c r="I1032" s="1"/>
      <c r="J1032" s="1"/>
    </row>
    <row r="1033" spans="9:10" x14ac:dyDescent="0.25">
      <c r="I1033" s="1"/>
      <c r="J1033" s="1"/>
    </row>
    <row r="1034" spans="9:10" x14ac:dyDescent="0.25">
      <c r="I1034" s="1"/>
      <c r="J1034" s="1"/>
    </row>
    <row r="1035" spans="9:10" x14ac:dyDescent="0.25">
      <c r="I1035" s="1"/>
      <c r="J1035" s="1"/>
    </row>
    <row r="1036" spans="9:10" x14ac:dyDescent="0.25">
      <c r="I1036" s="1"/>
      <c r="J1036" s="1"/>
    </row>
    <row r="1037" spans="9:10" x14ac:dyDescent="0.25">
      <c r="I1037" s="1"/>
      <c r="J1037" s="1"/>
    </row>
    <row r="1038" spans="9:10" x14ac:dyDescent="0.25">
      <c r="I1038" s="1"/>
      <c r="J1038" s="1"/>
    </row>
    <row r="1039" spans="9:10" x14ac:dyDescent="0.25">
      <c r="I1039" s="1"/>
      <c r="J1039" s="1"/>
    </row>
    <row r="1040" spans="9:10" x14ac:dyDescent="0.25">
      <c r="I1040" s="1"/>
      <c r="J1040" s="1"/>
    </row>
    <row r="1041" spans="9:10" x14ac:dyDescent="0.25">
      <c r="I1041" s="1"/>
      <c r="J1041" s="1"/>
    </row>
    <row r="1042" spans="9:10" x14ac:dyDescent="0.25">
      <c r="I1042" s="1"/>
      <c r="J1042" s="1"/>
    </row>
    <row r="1043" spans="9:10" x14ac:dyDescent="0.25">
      <c r="I1043" s="1"/>
      <c r="J1043" s="1"/>
    </row>
    <row r="1044" spans="9:10" x14ac:dyDescent="0.25">
      <c r="I1044" s="1"/>
      <c r="J1044" s="1"/>
    </row>
    <row r="1045" spans="9:10" x14ac:dyDescent="0.25">
      <c r="I1045" s="1"/>
      <c r="J1045" s="1"/>
    </row>
    <row r="1046" spans="9:10" x14ac:dyDescent="0.25">
      <c r="I1046" s="1"/>
      <c r="J1046" s="1"/>
    </row>
    <row r="1047" spans="9:10" x14ac:dyDescent="0.25">
      <c r="I1047" s="1"/>
      <c r="J1047" s="1"/>
    </row>
    <row r="1048" spans="9:10" x14ac:dyDescent="0.25">
      <c r="I1048" s="1"/>
      <c r="J1048" s="1"/>
    </row>
    <row r="1049" spans="9:10" x14ac:dyDescent="0.25">
      <c r="I1049" s="1"/>
      <c r="J1049" s="1"/>
    </row>
    <row r="1050" spans="9:10" x14ac:dyDescent="0.25">
      <c r="I1050" s="1"/>
      <c r="J1050" s="1"/>
    </row>
    <row r="1051" spans="9:10" x14ac:dyDescent="0.25">
      <c r="I1051" s="1"/>
      <c r="J1051" s="1"/>
    </row>
    <row r="1052" spans="9:10" x14ac:dyDescent="0.25">
      <c r="I1052" s="1"/>
      <c r="J1052" s="1"/>
    </row>
    <row r="1053" spans="9:10" x14ac:dyDescent="0.25">
      <c r="I1053" s="1"/>
      <c r="J1053" s="1"/>
    </row>
    <row r="1054" spans="9:10" x14ac:dyDescent="0.25">
      <c r="I1054" s="1"/>
      <c r="J1054" s="1"/>
    </row>
    <row r="1055" spans="9:10" x14ac:dyDescent="0.25">
      <c r="I1055" s="1"/>
      <c r="J1055" s="1"/>
    </row>
    <row r="1056" spans="9:10" x14ac:dyDescent="0.25">
      <c r="I1056" s="1"/>
      <c r="J1056" s="1"/>
    </row>
    <row r="1057" spans="9:10" x14ac:dyDescent="0.25">
      <c r="I1057" s="1"/>
      <c r="J1057" s="1"/>
    </row>
    <row r="1058" spans="9:10" x14ac:dyDescent="0.25">
      <c r="I1058" s="1"/>
      <c r="J1058" s="1"/>
    </row>
    <row r="1059" spans="9:10" x14ac:dyDescent="0.25">
      <c r="I1059" s="1"/>
      <c r="J1059" s="1"/>
    </row>
    <row r="1060" spans="9:10" x14ac:dyDescent="0.25">
      <c r="I1060" s="1"/>
      <c r="J1060" s="1"/>
    </row>
    <row r="1061" spans="9:10" x14ac:dyDescent="0.25">
      <c r="I1061" s="1"/>
      <c r="J1061" s="1"/>
    </row>
    <row r="1062" spans="9:10" x14ac:dyDescent="0.25">
      <c r="I1062" s="1"/>
      <c r="J1062" s="1"/>
    </row>
    <row r="1063" spans="9:10" x14ac:dyDescent="0.25">
      <c r="I1063" s="1"/>
      <c r="J1063" s="1"/>
    </row>
    <row r="1064" spans="9:10" x14ac:dyDescent="0.25">
      <c r="I1064" s="1"/>
      <c r="J1064" s="1"/>
    </row>
    <row r="1065" spans="9:10" x14ac:dyDescent="0.25">
      <c r="I1065" s="1"/>
      <c r="J1065" s="1"/>
    </row>
    <row r="1066" spans="9:10" x14ac:dyDescent="0.25">
      <c r="I1066" s="1"/>
      <c r="J1066" s="1"/>
    </row>
    <row r="1067" spans="9:10" x14ac:dyDescent="0.25">
      <c r="I1067" s="1"/>
      <c r="J1067" s="1"/>
    </row>
    <row r="1068" spans="9:10" x14ac:dyDescent="0.25">
      <c r="I1068" s="1"/>
      <c r="J1068" s="1"/>
    </row>
    <row r="1069" spans="9:10" x14ac:dyDescent="0.25">
      <c r="I1069" s="1"/>
      <c r="J1069" s="1"/>
    </row>
    <row r="1070" spans="9:10" x14ac:dyDescent="0.25">
      <c r="I1070" s="1"/>
      <c r="J1070" s="1"/>
    </row>
    <row r="1071" spans="9:10" x14ac:dyDescent="0.25">
      <c r="I1071" s="1"/>
      <c r="J1071" s="1"/>
    </row>
    <row r="1072" spans="9:10" x14ac:dyDescent="0.25">
      <c r="I1072" s="1"/>
      <c r="J1072" s="1"/>
    </row>
    <row r="1073" spans="9:10" x14ac:dyDescent="0.25">
      <c r="I1073" s="1"/>
      <c r="J1073" s="1"/>
    </row>
    <row r="1074" spans="9:10" x14ac:dyDescent="0.25">
      <c r="I1074" s="1"/>
      <c r="J1074" s="1"/>
    </row>
    <row r="1075" spans="9:10" x14ac:dyDescent="0.25">
      <c r="I1075" s="1"/>
      <c r="J1075" s="1"/>
    </row>
    <row r="1076" spans="9:10" x14ac:dyDescent="0.25">
      <c r="I1076" s="1"/>
      <c r="J1076" s="1"/>
    </row>
    <row r="1077" spans="9:10" x14ac:dyDescent="0.25">
      <c r="I1077" s="1"/>
      <c r="J1077" s="1"/>
    </row>
    <row r="1078" spans="9:10" x14ac:dyDescent="0.25">
      <c r="I1078" s="1"/>
      <c r="J1078" s="1"/>
    </row>
    <row r="1079" spans="9:10" x14ac:dyDescent="0.25">
      <c r="I1079" s="1"/>
      <c r="J1079" s="1"/>
    </row>
    <row r="1080" spans="9:10" x14ac:dyDescent="0.25">
      <c r="I1080" s="1"/>
      <c r="J1080" s="1"/>
    </row>
    <row r="1081" spans="9:10" x14ac:dyDescent="0.25">
      <c r="I1081" s="1"/>
      <c r="J1081" s="1"/>
    </row>
    <row r="1082" spans="9:10" x14ac:dyDescent="0.25">
      <c r="I1082" s="1"/>
      <c r="J1082" s="1"/>
    </row>
    <row r="1083" spans="9:10" x14ac:dyDescent="0.25">
      <c r="I1083" s="1"/>
      <c r="J1083" s="1"/>
    </row>
    <row r="1084" spans="9:10" x14ac:dyDescent="0.25">
      <c r="I1084" s="1"/>
      <c r="J1084" s="1"/>
    </row>
    <row r="1085" spans="9:10" x14ac:dyDescent="0.25">
      <c r="I1085" s="1"/>
      <c r="J1085" s="1"/>
    </row>
    <row r="1086" spans="9:10" x14ac:dyDescent="0.25">
      <c r="I1086" s="1"/>
      <c r="J1086" s="1"/>
    </row>
    <row r="1087" spans="9:10" x14ac:dyDescent="0.25">
      <c r="I1087" s="1"/>
      <c r="J1087" s="1"/>
    </row>
    <row r="1088" spans="9:10" x14ac:dyDescent="0.25">
      <c r="I1088" s="1"/>
      <c r="J1088" s="1"/>
    </row>
    <row r="1089" spans="9:10" x14ac:dyDescent="0.25">
      <c r="I1089" s="1"/>
      <c r="J1089" s="1"/>
    </row>
    <row r="1090" spans="9:10" x14ac:dyDescent="0.25">
      <c r="I1090" s="1"/>
      <c r="J1090" s="1"/>
    </row>
    <row r="1091" spans="9:10" x14ac:dyDescent="0.25">
      <c r="I1091" s="1"/>
      <c r="J1091" s="1"/>
    </row>
    <row r="1092" spans="9:10" x14ac:dyDescent="0.25">
      <c r="I1092" s="1"/>
      <c r="J1092" s="1"/>
    </row>
    <row r="1093" spans="9:10" x14ac:dyDescent="0.25">
      <c r="I1093" s="1"/>
      <c r="J1093" s="1"/>
    </row>
    <row r="1094" spans="9:10" x14ac:dyDescent="0.25">
      <c r="I1094" s="1"/>
      <c r="J1094" s="1"/>
    </row>
    <row r="1095" spans="9:10" x14ac:dyDescent="0.25">
      <c r="I1095" s="1"/>
      <c r="J1095" s="1"/>
    </row>
    <row r="1096" spans="9:10" x14ac:dyDescent="0.25">
      <c r="I1096" s="1"/>
      <c r="J1096" s="1"/>
    </row>
    <row r="1097" spans="9:10" x14ac:dyDescent="0.25">
      <c r="I1097" s="1"/>
      <c r="J1097" s="1"/>
    </row>
    <row r="1098" spans="9:10" x14ac:dyDescent="0.25">
      <c r="I1098" s="1"/>
      <c r="J1098" s="1"/>
    </row>
    <row r="1099" spans="9:10" x14ac:dyDescent="0.25">
      <c r="I1099" s="1"/>
      <c r="J1099" s="1"/>
    </row>
    <row r="1100" spans="9:10" x14ac:dyDescent="0.25">
      <c r="I1100" s="1"/>
      <c r="J1100" s="1"/>
    </row>
    <row r="1101" spans="9:10" x14ac:dyDescent="0.25">
      <c r="I1101" s="1"/>
      <c r="J1101" s="1"/>
    </row>
    <row r="1102" spans="9:10" x14ac:dyDescent="0.25">
      <c r="I1102" s="1"/>
      <c r="J1102" s="1"/>
    </row>
    <row r="1103" spans="9:10" x14ac:dyDescent="0.25">
      <c r="I1103" s="1"/>
      <c r="J1103" s="1"/>
    </row>
    <row r="1104" spans="9:10" x14ac:dyDescent="0.25">
      <c r="I1104" s="1"/>
      <c r="J1104" s="1"/>
    </row>
    <row r="1105" spans="9:10" x14ac:dyDescent="0.25">
      <c r="I1105" s="1"/>
      <c r="J1105" s="1"/>
    </row>
    <row r="1106" spans="9:10" x14ac:dyDescent="0.25">
      <c r="I1106" s="1"/>
      <c r="J1106" s="1"/>
    </row>
    <row r="1107" spans="9:10" x14ac:dyDescent="0.25">
      <c r="I1107" s="1"/>
      <c r="J1107" s="1"/>
    </row>
    <row r="1108" spans="9:10" x14ac:dyDescent="0.25">
      <c r="I1108" s="1"/>
      <c r="J1108" s="1"/>
    </row>
    <row r="1109" spans="9:10" x14ac:dyDescent="0.25">
      <c r="I1109" s="1"/>
      <c r="J1109" s="1"/>
    </row>
    <row r="1110" spans="9:10" x14ac:dyDescent="0.25">
      <c r="I1110" s="1"/>
      <c r="J1110" s="1"/>
    </row>
    <row r="1111" spans="9:10" x14ac:dyDescent="0.25">
      <c r="I1111" s="1"/>
      <c r="J1111" s="1"/>
    </row>
    <row r="1112" spans="9:10" x14ac:dyDescent="0.25">
      <c r="I1112" s="1"/>
      <c r="J1112" s="1"/>
    </row>
    <row r="1113" spans="9:10" x14ac:dyDescent="0.25">
      <c r="I1113" s="1"/>
      <c r="J1113" s="1"/>
    </row>
    <row r="1114" spans="9:10" x14ac:dyDescent="0.25">
      <c r="I1114" s="1"/>
      <c r="J1114" s="1"/>
    </row>
    <row r="1115" spans="9:10" x14ac:dyDescent="0.25">
      <c r="I1115" s="1"/>
      <c r="J1115" s="1"/>
    </row>
    <row r="1116" spans="9:10" x14ac:dyDescent="0.25">
      <c r="I1116" s="1"/>
      <c r="J1116" s="1"/>
    </row>
    <row r="1117" spans="9:10" x14ac:dyDescent="0.25">
      <c r="I1117" s="1"/>
      <c r="J1117" s="1"/>
    </row>
    <row r="1118" spans="9:10" x14ac:dyDescent="0.25">
      <c r="I1118" s="1"/>
      <c r="J1118" s="1"/>
    </row>
    <row r="1119" spans="9:10" x14ac:dyDescent="0.25">
      <c r="I1119" s="1"/>
      <c r="J1119" s="1"/>
    </row>
    <row r="1120" spans="9:10" x14ac:dyDescent="0.25">
      <c r="I1120" s="1"/>
      <c r="J1120" s="1"/>
    </row>
    <row r="1121" spans="9:10" x14ac:dyDescent="0.25">
      <c r="I1121" s="1"/>
      <c r="J1121" s="1"/>
    </row>
    <row r="1122" spans="9:10" x14ac:dyDescent="0.25">
      <c r="I1122" s="1"/>
      <c r="J1122" s="1"/>
    </row>
    <row r="1123" spans="9:10" x14ac:dyDescent="0.25">
      <c r="I1123" s="1"/>
      <c r="J1123" s="1"/>
    </row>
    <row r="1124" spans="9:10" x14ac:dyDescent="0.25">
      <c r="I1124" s="1"/>
      <c r="J1124" s="1"/>
    </row>
    <row r="1125" spans="9:10" x14ac:dyDescent="0.25">
      <c r="I1125" s="1"/>
      <c r="J1125" s="1"/>
    </row>
    <row r="1126" spans="9:10" x14ac:dyDescent="0.25">
      <c r="I1126" s="1"/>
      <c r="J1126" s="1"/>
    </row>
    <row r="1127" spans="9:10" x14ac:dyDescent="0.25">
      <c r="I1127" s="1"/>
      <c r="J1127" s="1"/>
    </row>
    <row r="1128" spans="9:10" x14ac:dyDescent="0.25">
      <c r="I1128" s="1"/>
      <c r="J1128" s="1"/>
    </row>
    <row r="1129" spans="9:10" x14ac:dyDescent="0.25">
      <c r="I1129" s="1"/>
      <c r="J1129" s="1"/>
    </row>
    <row r="1130" spans="9:10" x14ac:dyDescent="0.25">
      <c r="I1130" s="1"/>
      <c r="J1130" s="1"/>
    </row>
    <row r="1131" spans="9:10" x14ac:dyDescent="0.25">
      <c r="I1131" s="1"/>
      <c r="J1131" s="1"/>
    </row>
    <row r="1132" spans="9:10" x14ac:dyDescent="0.25">
      <c r="I1132" s="1"/>
      <c r="J1132" s="1"/>
    </row>
    <row r="1133" spans="9:10" x14ac:dyDescent="0.25">
      <c r="I1133" s="1"/>
      <c r="J1133" s="1"/>
    </row>
    <row r="1134" spans="9:10" x14ac:dyDescent="0.25">
      <c r="I1134" s="1"/>
      <c r="J1134" s="1"/>
    </row>
    <row r="1135" spans="9:10" x14ac:dyDescent="0.25">
      <c r="I1135" s="1"/>
      <c r="J1135" s="1"/>
    </row>
    <row r="1136" spans="9:10" x14ac:dyDescent="0.25">
      <c r="I1136" s="1"/>
      <c r="J1136" s="1"/>
    </row>
    <row r="1137" spans="9:10" x14ac:dyDescent="0.25">
      <c r="I1137" s="1"/>
      <c r="J1137" s="1"/>
    </row>
    <row r="1138" spans="9:10" x14ac:dyDescent="0.25">
      <c r="I1138" s="1"/>
      <c r="J1138" s="1"/>
    </row>
    <row r="1139" spans="9:10" x14ac:dyDescent="0.25">
      <c r="I1139" s="1"/>
      <c r="J1139" s="1"/>
    </row>
    <row r="1140" spans="9:10" x14ac:dyDescent="0.25">
      <c r="I1140" s="1"/>
      <c r="J1140" s="1"/>
    </row>
    <row r="1141" spans="9:10" x14ac:dyDescent="0.25">
      <c r="I1141" s="1"/>
      <c r="J1141" s="1"/>
    </row>
    <row r="1142" spans="9:10" x14ac:dyDescent="0.25">
      <c r="I1142" s="1"/>
      <c r="J1142" s="1"/>
    </row>
    <row r="1143" spans="9:10" x14ac:dyDescent="0.25">
      <c r="I1143" s="1"/>
      <c r="J1143" s="1"/>
    </row>
    <row r="1144" spans="9:10" x14ac:dyDescent="0.25">
      <c r="I1144" s="1"/>
      <c r="J1144" s="1"/>
    </row>
    <row r="1145" spans="9:10" x14ac:dyDescent="0.25">
      <c r="I1145" s="1"/>
      <c r="J1145" s="1"/>
    </row>
    <row r="1146" spans="9:10" x14ac:dyDescent="0.25">
      <c r="I1146" s="1"/>
      <c r="J1146" s="1"/>
    </row>
    <row r="1147" spans="9:10" x14ac:dyDescent="0.25">
      <c r="I1147" s="1"/>
      <c r="J1147" s="1"/>
    </row>
    <row r="1148" spans="9:10" x14ac:dyDescent="0.25">
      <c r="I1148" s="1"/>
      <c r="J1148" s="1"/>
    </row>
    <row r="1149" spans="9:10" x14ac:dyDescent="0.25">
      <c r="I1149" s="1"/>
      <c r="J1149" s="1"/>
    </row>
    <row r="1150" spans="9:10" x14ac:dyDescent="0.25">
      <c r="I1150" s="1"/>
      <c r="J1150" s="1"/>
    </row>
    <row r="1151" spans="9:10" x14ac:dyDescent="0.25">
      <c r="I1151" s="1"/>
      <c r="J1151" s="1"/>
    </row>
    <row r="1152" spans="9:10" x14ac:dyDescent="0.25">
      <c r="I1152" s="1"/>
      <c r="J1152" s="1"/>
    </row>
    <row r="1153" spans="9:10" x14ac:dyDescent="0.25">
      <c r="I1153" s="1"/>
      <c r="J1153" s="1"/>
    </row>
    <row r="1154" spans="9:10" x14ac:dyDescent="0.25">
      <c r="I1154" s="1"/>
      <c r="J1154" s="1"/>
    </row>
    <row r="1155" spans="9:10" x14ac:dyDescent="0.25">
      <c r="I1155" s="1"/>
      <c r="J1155" s="1"/>
    </row>
    <row r="1156" spans="9:10" x14ac:dyDescent="0.25">
      <c r="I1156" s="1"/>
      <c r="J1156" s="1"/>
    </row>
    <row r="1157" spans="9:10" x14ac:dyDescent="0.25">
      <c r="I1157" s="1"/>
      <c r="J1157" s="1"/>
    </row>
    <row r="1158" spans="9:10" x14ac:dyDescent="0.25">
      <c r="I1158" s="1"/>
      <c r="J1158" s="1"/>
    </row>
    <row r="1159" spans="9:10" x14ac:dyDescent="0.25">
      <c r="I1159" s="1"/>
      <c r="J1159" s="1"/>
    </row>
    <row r="1160" spans="9:10" x14ac:dyDescent="0.25">
      <c r="I1160" s="1"/>
      <c r="J1160" s="1"/>
    </row>
    <row r="1161" spans="9:10" x14ac:dyDescent="0.25">
      <c r="I1161" s="1"/>
      <c r="J1161" s="1"/>
    </row>
    <row r="1162" spans="9:10" x14ac:dyDescent="0.25">
      <c r="I1162" s="1"/>
      <c r="J1162" s="1"/>
    </row>
    <row r="1163" spans="9:10" x14ac:dyDescent="0.25">
      <c r="I1163" s="1"/>
      <c r="J1163" s="1"/>
    </row>
    <row r="1164" spans="9:10" x14ac:dyDescent="0.25">
      <c r="I1164" s="1"/>
      <c r="J1164" s="1"/>
    </row>
    <row r="1165" spans="9:10" x14ac:dyDescent="0.25">
      <c r="I1165" s="1"/>
      <c r="J1165" s="1"/>
    </row>
    <row r="1166" spans="9:10" x14ac:dyDescent="0.25">
      <c r="I1166" s="1"/>
      <c r="J1166" s="1"/>
    </row>
    <row r="1167" spans="9:10" x14ac:dyDescent="0.25">
      <c r="I1167" s="1"/>
      <c r="J1167" s="1"/>
    </row>
    <row r="1168" spans="9:10" x14ac:dyDescent="0.25">
      <c r="I1168" s="1"/>
      <c r="J1168" s="1"/>
    </row>
    <row r="1169" spans="9:10" x14ac:dyDescent="0.25">
      <c r="I1169" s="1"/>
      <c r="J1169" s="1"/>
    </row>
    <row r="1170" spans="9:10" x14ac:dyDescent="0.25">
      <c r="I1170" s="1"/>
      <c r="J1170" s="1"/>
    </row>
    <row r="1171" spans="9:10" x14ac:dyDescent="0.25">
      <c r="I1171" s="1"/>
      <c r="J1171" s="1"/>
    </row>
    <row r="1172" spans="9:10" x14ac:dyDescent="0.25">
      <c r="I1172" s="1"/>
      <c r="J1172" s="1"/>
    </row>
    <row r="1173" spans="9:10" x14ac:dyDescent="0.25">
      <c r="I1173" s="1"/>
      <c r="J1173" s="1"/>
    </row>
    <row r="1174" spans="9:10" x14ac:dyDescent="0.25">
      <c r="I1174" s="1"/>
      <c r="J1174" s="1"/>
    </row>
    <row r="1175" spans="9:10" x14ac:dyDescent="0.25">
      <c r="I1175" s="1"/>
      <c r="J1175" s="1"/>
    </row>
    <row r="1176" spans="9:10" x14ac:dyDescent="0.25">
      <c r="I1176" s="1"/>
      <c r="J1176" s="1"/>
    </row>
    <row r="1177" spans="9:10" x14ac:dyDescent="0.25">
      <c r="I1177" s="1"/>
      <c r="J1177" s="1"/>
    </row>
    <row r="1178" spans="9:10" x14ac:dyDescent="0.25">
      <c r="I1178" s="1"/>
      <c r="J1178" s="1"/>
    </row>
    <row r="1179" spans="9:10" x14ac:dyDescent="0.25">
      <c r="I1179" s="1"/>
      <c r="J1179" s="1"/>
    </row>
    <row r="1180" spans="9:10" x14ac:dyDescent="0.25">
      <c r="I1180" s="1"/>
      <c r="J1180" s="1"/>
    </row>
    <row r="1181" spans="9:10" x14ac:dyDescent="0.25">
      <c r="I1181" s="1"/>
      <c r="J1181" s="1"/>
    </row>
    <row r="1182" spans="9:10" x14ac:dyDescent="0.25">
      <c r="I1182" s="1"/>
      <c r="J1182" s="1"/>
    </row>
    <row r="1183" spans="9:10" x14ac:dyDescent="0.25">
      <c r="I1183" s="1"/>
      <c r="J1183" s="1"/>
    </row>
    <row r="1184" spans="9:10" x14ac:dyDescent="0.25">
      <c r="I1184" s="1"/>
      <c r="J1184" s="1"/>
    </row>
    <row r="1185" spans="9:10" x14ac:dyDescent="0.25">
      <c r="I1185" s="1"/>
      <c r="J1185" s="1"/>
    </row>
    <row r="1186" spans="9:10" x14ac:dyDescent="0.25">
      <c r="I1186" s="1"/>
      <c r="J1186" s="1"/>
    </row>
    <row r="1187" spans="9:10" x14ac:dyDescent="0.25">
      <c r="I1187" s="1"/>
      <c r="J1187" s="1"/>
    </row>
    <row r="1188" spans="9:10" x14ac:dyDescent="0.25">
      <c r="I1188" s="1"/>
      <c r="J1188" s="1"/>
    </row>
    <row r="1189" spans="9:10" x14ac:dyDescent="0.25">
      <c r="I1189" s="1"/>
      <c r="J1189" s="1"/>
    </row>
    <row r="1190" spans="9:10" x14ac:dyDescent="0.25">
      <c r="I1190" s="1"/>
      <c r="J1190" s="1"/>
    </row>
    <row r="1191" spans="9:10" x14ac:dyDescent="0.25">
      <c r="I1191" s="1"/>
      <c r="J1191" s="1"/>
    </row>
    <row r="1192" spans="9:10" x14ac:dyDescent="0.25">
      <c r="I1192" s="1"/>
      <c r="J1192" s="1"/>
    </row>
    <row r="1193" spans="9:10" x14ac:dyDescent="0.25">
      <c r="I1193" s="1"/>
      <c r="J1193" s="1"/>
    </row>
    <row r="1194" spans="9:10" x14ac:dyDescent="0.25">
      <c r="I1194" s="1"/>
      <c r="J1194" s="1"/>
    </row>
    <row r="1195" spans="9:10" x14ac:dyDescent="0.25">
      <c r="I1195" s="1"/>
      <c r="J1195" s="1"/>
    </row>
    <row r="1196" spans="9:10" x14ac:dyDescent="0.25">
      <c r="I1196" s="1"/>
      <c r="J1196" s="1"/>
    </row>
    <row r="1197" spans="9:10" x14ac:dyDescent="0.25">
      <c r="I1197" s="1"/>
      <c r="J1197" s="1"/>
    </row>
    <row r="1198" spans="9:10" x14ac:dyDescent="0.25">
      <c r="I1198" s="1"/>
      <c r="J1198" s="1"/>
    </row>
    <row r="1199" spans="9:10" x14ac:dyDescent="0.25">
      <c r="I1199" s="1"/>
      <c r="J1199" s="1"/>
    </row>
    <row r="1200" spans="9:10" x14ac:dyDescent="0.25">
      <c r="I1200" s="1"/>
      <c r="J1200" s="1"/>
    </row>
    <row r="1201" spans="9:10" x14ac:dyDescent="0.25">
      <c r="I1201" s="1"/>
      <c r="J1201" s="1"/>
    </row>
    <row r="1202" spans="9:10" x14ac:dyDescent="0.25">
      <c r="I1202" s="1"/>
      <c r="J1202" s="1"/>
    </row>
    <row r="1203" spans="9:10" x14ac:dyDescent="0.25">
      <c r="I1203" s="1"/>
      <c r="J1203" s="1"/>
    </row>
    <row r="1204" spans="9:10" x14ac:dyDescent="0.25">
      <c r="I1204" s="1"/>
      <c r="J1204" s="1"/>
    </row>
    <row r="1205" spans="9:10" x14ac:dyDescent="0.25">
      <c r="I1205" s="1"/>
      <c r="J1205" s="1"/>
    </row>
    <row r="1206" spans="9:10" x14ac:dyDescent="0.25">
      <c r="I1206" s="1"/>
      <c r="J1206" s="1"/>
    </row>
    <row r="1207" spans="9:10" x14ac:dyDescent="0.25">
      <c r="I1207" s="1"/>
      <c r="J1207" s="1"/>
    </row>
    <row r="1208" spans="9:10" x14ac:dyDescent="0.25">
      <c r="I1208" s="1"/>
      <c r="J1208" s="1"/>
    </row>
    <row r="1209" spans="9:10" x14ac:dyDescent="0.25">
      <c r="I1209" s="1"/>
      <c r="J1209" s="1"/>
    </row>
    <row r="1210" spans="9:10" x14ac:dyDescent="0.25">
      <c r="I1210" s="1"/>
      <c r="J1210" s="1"/>
    </row>
    <row r="1211" spans="9:10" x14ac:dyDescent="0.25">
      <c r="I1211" s="1"/>
      <c r="J1211" s="1"/>
    </row>
    <row r="1212" spans="9:10" x14ac:dyDescent="0.25">
      <c r="I1212" s="1"/>
      <c r="J1212" s="1"/>
    </row>
    <row r="1213" spans="9:10" x14ac:dyDescent="0.25">
      <c r="I1213" s="1"/>
      <c r="J1213" s="1"/>
    </row>
    <row r="1214" spans="9:10" x14ac:dyDescent="0.25">
      <c r="I1214" s="1"/>
      <c r="J1214" s="1"/>
    </row>
    <row r="1215" spans="9:10" x14ac:dyDescent="0.25">
      <c r="I1215" s="1"/>
      <c r="J1215" s="1"/>
    </row>
    <row r="1216" spans="9:10" x14ac:dyDescent="0.25">
      <c r="I1216" s="1"/>
      <c r="J1216" s="1"/>
    </row>
    <row r="1217" spans="9:10" x14ac:dyDescent="0.25">
      <c r="I1217" s="1"/>
      <c r="J1217" s="1"/>
    </row>
    <row r="1218" spans="9:10" x14ac:dyDescent="0.25">
      <c r="I1218" s="1"/>
      <c r="J1218" s="1"/>
    </row>
    <row r="1219" spans="9:10" x14ac:dyDescent="0.25">
      <c r="I1219" s="1"/>
      <c r="J1219" s="1"/>
    </row>
    <row r="1220" spans="9:10" x14ac:dyDescent="0.25">
      <c r="I1220" s="1"/>
      <c r="J1220" s="1"/>
    </row>
    <row r="1221" spans="9:10" x14ac:dyDescent="0.25">
      <c r="I1221" s="1"/>
      <c r="J1221" s="1"/>
    </row>
    <row r="1222" spans="9:10" x14ac:dyDescent="0.25">
      <c r="I1222" s="1"/>
      <c r="J1222" s="1"/>
    </row>
    <row r="1223" spans="9:10" x14ac:dyDescent="0.25">
      <c r="I1223" s="1"/>
      <c r="J1223" s="1"/>
    </row>
    <row r="1224" spans="9:10" x14ac:dyDescent="0.25">
      <c r="I1224" s="1"/>
      <c r="J1224" s="1"/>
    </row>
    <row r="1225" spans="9:10" x14ac:dyDescent="0.25">
      <c r="I1225" s="1"/>
      <c r="J1225" s="1"/>
    </row>
    <row r="1226" spans="9:10" x14ac:dyDescent="0.25">
      <c r="I1226" s="1"/>
      <c r="J1226" s="1"/>
    </row>
    <row r="1227" spans="9:10" x14ac:dyDescent="0.25">
      <c r="I1227" s="1"/>
      <c r="J1227" s="1"/>
    </row>
    <row r="1228" spans="9:10" x14ac:dyDescent="0.25">
      <c r="I1228" s="1"/>
      <c r="J1228" s="1"/>
    </row>
    <row r="1229" spans="9:10" x14ac:dyDescent="0.25">
      <c r="I1229" s="1"/>
      <c r="J1229" s="1"/>
    </row>
    <row r="1230" spans="9:10" x14ac:dyDescent="0.25">
      <c r="I1230" s="1"/>
      <c r="J1230" s="1"/>
    </row>
    <row r="1231" spans="9:10" x14ac:dyDescent="0.25">
      <c r="I1231" s="1"/>
      <c r="J1231" s="1"/>
    </row>
    <row r="1232" spans="9:10" x14ac:dyDescent="0.25">
      <c r="I1232" s="1"/>
      <c r="J1232" s="1"/>
    </row>
    <row r="1233" spans="9:10" x14ac:dyDescent="0.25">
      <c r="I1233" s="1"/>
      <c r="J1233" s="1"/>
    </row>
    <row r="1234" spans="9:10" x14ac:dyDescent="0.25">
      <c r="I1234" s="1"/>
      <c r="J1234" s="1"/>
    </row>
    <row r="1235" spans="9:10" x14ac:dyDescent="0.25">
      <c r="I1235" s="1"/>
      <c r="J1235" s="1"/>
    </row>
    <row r="1236" spans="9:10" x14ac:dyDescent="0.25">
      <c r="I1236" s="1"/>
      <c r="J1236" s="1"/>
    </row>
    <row r="1237" spans="9:10" x14ac:dyDescent="0.25">
      <c r="I1237" s="1"/>
      <c r="J1237" s="1"/>
    </row>
    <row r="1238" spans="9:10" x14ac:dyDescent="0.25">
      <c r="I1238" s="1"/>
      <c r="J1238" s="1"/>
    </row>
    <row r="1239" spans="9:10" x14ac:dyDescent="0.25">
      <c r="I1239" s="1"/>
      <c r="J1239" s="1"/>
    </row>
    <row r="1240" spans="9:10" x14ac:dyDescent="0.25">
      <c r="I1240" s="1"/>
      <c r="J1240" s="1"/>
    </row>
    <row r="1241" spans="9:10" x14ac:dyDescent="0.25">
      <c r="I1241" s="1"/>
      <c r="J1241" s="1"/>
    </row>
    <row r="1242" spans="9:10" x14ac:dyDescent="0.25">
      <c r="I1242" s="1"/>
      <c r="J1242" s="1"/>
    </row>
    <row r="1243" spans="9:10" x14ac:dyDescent="0.25">
      <c r="I1243" s="1"/>
      <c r="J1243" s="1"/>
    </row>
    <row r="1244" spans="9:10" x14ac:dyDescent="0.25">
      <c r="I1244" s="1"/>
      <c r="J1244" s="1"/>
    </row>
    <row r="1245" spans="9:10" x14ac:dyDescent="0.25">
      <c r="I1245" s="1"/>
      <c r="J1245" s="1"/>
    </row>
    <row r="1246" spans="9:10" x14ac:dyDescent="0.25">
      <c r="I1246" s="1"/>
      <c r="J1246" s="1"/>
    </row>
    <row r="1247" spans="9:10" x14ac:dyDescent="0.25">
      <c r="I1247" s="1"/>
      <c r="J1247" s="1"/>
    </row>
    <row r="1248" spans="9:10" x14ac:dyDescent="0.25">
      <c r="I1248" s="1"/>
      <c r="J1248" s="1"/>
    </row>
    <row r="1249" spans="9:10" x14ac:dyDescent="0.25">
      <c r="I1249" s="1"/>
      <c r="J1249" s="1"/>
    </row>
    <row r="1250" spans="9:10" x14ac:dyDescent="0.25">
      <c r="I1250" s="1"/>
      <c r="J1250" s="1"/>
    </row>
    <row r="1251" spans="9:10" x14ac:dyDescent="0.25">
      <c r="I1251" s="1"/>
      <c r="J1251" s="1"/>
    </row>
    <row r="1252" spans="9:10" x14ac:dyDescent="0.25">
      <c r="I1252" s="1"/>
      <c r="J1252" s="1"/>
    </row>
    <row r="1253" spans="9:10" x14ac:dyDescent="0.25">
      <c r="I1253" s="1"/>
      <c r="J1253" s="1"/>
    </row>
    <row r="1254" spans="9:10" x14ac:dyDescent="0.25">
      <c r="I1254" s="1"/>
      <c r="J1254" s="1"/>
    </row>
    <row r="1255" spans="9:10" x14ac:dyDescent="0.25">
      <c r="I1255" s="1"/>
      <c r="J1255" s="1"/>
    </row>
    <row r="1256" spans="9:10" x14ac:dyDescent="0.25">
      <c r="I1256" s="1"/>
      <c r="J1256" s="1"/>
    </row>
    <row r="1257" spans="9:10" x14ac:dyDescent="0.25">
      <c r="I1257" s="1"/>
      <c r="J1257" s="1"/>
    </row>
    <row r="1258" spans="9:10" x14ac:dyDescent="0.25">
      <c r="I1258" s="1"/>
      <c r="J1258" s="1"/>
    </row>
    <row r="1259" spans="9:10" x14ac:dyDescent="0.25">
      <c r="I1259" s="1"/>
      <c r="J1259" s="1"/>
    </row>
    <row r="1260" spans="9:10" x14ac:dyDescent="0.25">
      <c r="I1260" s="1"/>
      <c r="J1260" s="1"/>
    </row>
    <row r="1261" spans="9:10" x14ac:dyDescent="0.25">
      <c r="I1261" s="1"/>
      <c r="J1261" s="1"/>
    </row>
    <row r="1262" spans="9:10" x14ac:dyDescent="0.25">
      <c r="I1262" s="1"/>
      <c r="J1262" s="1"/>
    </row>
    <row r="1263" spans="9:10" x14ac:dyDescent="0.25">
      <c r="I1263" s="1"/>
      <c r="J1263" s="1"/>
    </row>
    <row r="1264" spans="9:10" x14ac:dyDescent="0.25">
      <c r="I1264" s="1"/>
      <c r="J1264" s="1"/>
    </row>
    <row r="1265" spans="9:10" x14ac:dyDescent="0.25">
      <c r="I1265" s="1"/>
      <c r="J1265" s="1"/>
    </row>
    <row r="1266" spans="9:10" x14ac:dyDescent="0.25">
      <c r="I1266" s="1"/>
      <c r="J1266" s="1"/>
    </row>
    <row r="1267" spans="9:10" x14ac:dyDescent="0.25">
      <c r="I1267" s="1"/>
      <c r="J1267" s="1"/>
    </row>
    <row r="1268" spans="9:10" x14ac:dyDescent="0.25">
      <c r="I1268" s="1"/>
      <c r="J1268" s="1"/>
    </row>
    <row r="1269" spans="9:10" x14ac:dyDescent="0.25">
      <c r="I1269" s="1"/>
      <c r="J1269" s="1"/>
    </row>
    <row r="1270" spans="9:10" x14ac:dyDescent="0.25">
      <c r="I1270" s="1"/>
      <c r="J1270" s="1"/>
    </row>
    <row r="1271" spans="9:10" x14ac:dyDescent="0.25">
      <c r="I1271" s="1"/>
      <c r="J1271" s="1"/>
    </row>
    <row r="1272" spans="9:10" x14ac:dyDescent="0.25">
      <c r="I1272" s="1"/>
      <c r="J1272" s="1"/>
    </row>
    <row r="1273" spans="9:10" x14ac:dyDescent="0.25">
      <c r="I1273" s="1"/>
      <c r="J1273" s="1"/>
    </row>
    <row r="1274" spans="9:10" x14ac:dyDescent="0.25">
      <c r="I1274" s="1"/>
      <c r="J1274" s="1"/>
    </row>
    <row r="1275" spans="9:10" x14ac:dyDescent="0.25">
      <c r="I1275" s="1"/>
      <c r="J1275" s="1"/>
    </row>
    <row r="1276" spans="9:10" x14ac:dyDescent="0.25">
      <c r="I1276" s="1"/>
      <c r="J1276" s="1"/>
    </row>
    <row r="1277" spans="9:10" x14ac:dyDescent="0.25">
      <c r="I1277" s="1"/>
      <c r="J1277" s="1"/>
    </row>
    <row r="1278" spans="9:10" x14ac:dyDescent="0.25">
      <c r="I1278" s="1"/>
      <c r="J1278" s="1"/>
    </row>
    <row r="1279" spans="9:10" x14ac:dyDescent="0.25">
      <c r="I1279" s="1"/>
      <c r="J1279" s="1"/>
    </row>
    <row r="1280" spans="9:10" x14ac:dyDescent="0.25">
      <c r="I1280" s="1"/>
      <c r="J1280" s="1"/>
    </row>
    <row r="1281" spans="9:10" x14ac:dyDescent="0.25">
      <c r="I1281" s="1"/>
      <c r="J1281" s="1"/>
    </row>
    <row r="1282" spans="9:10" x14ac:dyDescent="0.25">
      <c r="I1282" s="1"/>
      <c r="J1282" s="1"/>
    </row>
    <row r="1283" spans="9:10" x14ac:dyDescent="0.25">
      <c r="I1283" s="1"/>
      <c r="J1283" s="1"/>
    </row>
    <row r="1284" spans="9:10" x14ac:dyDescent="0.25">
      <c r="I1284" s="1"/>
      <c r="J1284" s="1"/>
    </row>
    <row r="1285" spans="9:10" x14ac:dyDescent="0.25">
      <c r="I1285" s="1"/>
      <c r="J1285" s="1"/>
    </row>
    <row r="1286" spans="9:10" x14ac:dyDescent="0.25">
      <c r="I1286" s="1"/>
      <c r="J1286" s="1"/>
    </row>
    <row r="1287" spans="9:10" x14ac:dyDescent="0.25">
      <c r="I1287" s="1"/>
      <c r="J1287" s="1"/>
    </row>
    <row r="1288" spans="9:10" x14ac:dyDescent="0.25">
      <c r="I1288" s="1"/>
      <c r="J1288" s="1"/>
    </row>
    <row r="1289" spans="9:10" x14ac:dyDescent="0.25">
      <c r="I1289" s="1"/>
      <c r="J1289" s="1"/>
    </row>
    <row r="1290" spans="9:10" x14ac:dyDescent="0.25">
      <c r="I1290" s="1"/>
      <c r="J1290" s="1"/>
    </row>
    <row r="1291" spans="9:10" x14ac:dyDescent="0.25">
      <c r="I1291" s="1"/>
      <c r="J1291" s="1"/>
    </row>
    <row r="1292" spans="9:10" x14ac:dyDescent="0.25">
      <c r="I1292" s="1"/>
      <c r="J1292" s="1"/>
    </row>
    <row r="1293" spans="9:10" x14ac:dyDescent="0.25">
      <c r="I1293" s="1"/>
      <c r="J1293" s="1"/>
    </row>
    <row r="1294" spans="9:10" x14ac:dyDescent="0.25">
      <c r="I1294" s="1"/>
      <c r="J1294" s="1"/>
    </row>
    <row r="1295" spans="9:10" x14ac:dyDescent="0.25">
      <c r="I1295" s="1"/>
      <c r="J1295" s="1"/>
    </row>
    <row r="1296" spans="9:10" x14ac:dyDescent="0.25">
      <c r="I1296" s="1"/>
      <c r="J1296" s="1"/>
    </row>
    <row r="1297" spans="9:10" x14ac:dyDescent="0.25">
      <c r="I1297" s="1"/>
      <c r="J1297" s="1"/>
    </row>
    <row r="1298" spans="9:10" x14ac:dyDescent="0.25">
      <c r="I1298" s="1"/>
      <c r="J1298" s="1"/>
    </row>
    <row r="1299" spans="9:10" x14ac:dyDescent="0.25">
      <c r="I1299" s="1"/>
      <c r="J1299" s="1"/>
    </row>
    <row r="1300" spans="9:10" x14ac:dyDescent="0.25">
      <c r="I1300" s="1"/>
      <c r="J1300" s="1"/>
    </row>
    <row r="1301" spans="9:10" x14ac:dyDescent="0.25">
      <c r="I1301" s="1"/>
      <c r="J1301" s="1"/>
    </row>
    <row r="1302" spans="9:10" x14ac:dyDescent="0.25">
      <c r="I1302" s="1"/>
      <c r="J1302" s="1"/>
    </row>
    <row r="1303" spans="9:10" x14ac:dyDescent="0.25">
      <c r="I1303" s="1"/>
      <c r="J1303" s="1"/>
    </row>
    <row r="1304" spans="9:10" x14ac:dyDescent="0.25">
      <c r="I1304" s="1"/>
      <c r="J1304" s="1"/>
    </row>
    <row r="1305" spans="9:10" x14ac:dyDescent="0.25">
      <c r="I1305" s="1"/>
      <c r="J1305" s="1"/>
    </row>
    <row r="1306" spans="9:10" x14ac:dyDescent="0.25">
      <c r="I1306" s="1"/>
      <c r="J1306" s="1"/>
    </row>
    <row r="1307" spans="9:10" x14ac:dyDescent="0.25">
      <c r="I1307" s="1"/>
      <c r="J1307" s="1"/>
    </row>
    <row r="1308" spans="9:10" x14ac:dyDescent="0.25">
      <c r="I1308" s="1"/>
      <c r="J1308" s="1"/>
    </row>
    <row r="1309" spans="9:10" x14ac:dyDescent="0.25">
      <c r="I1309" s="1"/>
      <c r="J1309" s="1"/>
    </row>
    <row r="1310" spans="9:10" x14ac:dyDescent="0.25">
      <c r="I1310" s="1"/>
      <c r="J1310" s="1"/>
    </row>
    <row r="1311" spans="9:10" x14ac:dyDescent="0.25">
      <c r="I1311" s="1"/>
      <c r="J1311" s="1"/>
    </row>
    <row r="1312" spans="9:10" x14ac:dyDescent="0.25">
      <c r="I1312" s="1"/>
      <c r="J1312" s="1"/>
    </row>
    <row r="1313" spans="9:10" x14ac:dyDescent="0.25">
      <c r="I1313" s="1"/>
      <c r="J1313" s="1"/>
    </row>
    <row r="1314" spans="9:10" x14ac:dyDescent="0.25">
      <c r="I1314" s="1"/>
      <c r="J1314" s="1"/>
    </row>
    <row r="1315" spans="9:10" x14ac:dyDescent="0.25">
      <c r="I1315" s="1"/>
      <c r="J1315" s="1"/>
    </row>
    <row r="1316" spans="9:10" x14ac:dyDescent="0.25">
      <c r="I1316" s="1"/>
      <c r="J1316" s="1"/>
    </row>
    <row r="1317" spans="9:10" x14ac:dyDescent="0.25">
      <c r="I1317" s="1"/>
      <c r="J1317" s="1"/>
    </row>
    <row r="1318" spans="9:10" x14ac:dyDescent="0.25">
      <c r="I1318" s="1"/>
      <c r="J1318" s="1"/>
    </row>
    <row r="1319" spans="9:10" x14ac:dyDescent="0.25">
      <c r="I1319" s="1"/>
      <c r="J1319" s="1"/>
    </row>
    <row r="1320" spans="9:10" x14ac:dyDescent="0.25">
      <c r="I1320" s="1"/>
      <c r="J1320" s="1"/>
    </row>
    <row r="1321" spans="9:10" x14ac:dyDescent="0.25">
      <c r="I1321" s="1"/>
      <c r="J1321" s="1"/>
    </row>
    <row r="1322" spans="9:10" x14ac:dyDescent="0.25">
      <c r="I1322" s="1"/>
      <c r="J1322" s="1"/>
    </row>
    <row r="1323" spans="9:10" x14ac:dyDescent="0.25">
      <c r="I1323" s="1"/>
      <c r="J1323" s="1"/>
    </row>
    <row r="1324" spans="9:10" x14ac:dyDescent="0.25">
      <c r="I1324" s="1"/>
      <c r="J1324" s="1"/>
    </row>
    <row r="1325" spans="9:10" x14ac:dyDescent="0.25">
      <c r="I1325" s="1"/>
      <c r="J1325" s="1"/>
    </row>
    <row r="1326" spans="9:10" x14ac:dyDescent="0.25">
      <c r="I1326" s="1"/>
      <c r="J1326" s="1"/>
    </row>
    <row r="1327" spans="9:10" x14ac:dyDescent="0.25">
      <c r="I1327" s="1"/>
      <c r="J1327" s="1"/>
    </row>
    <row r="1328" spans="9:10" x14ac:dyDescent="0.25">
      <c r="I1328" s="1"/>
      <c r="J1328" s="1"/>
    </row>
    <row r="1329" spans="9:10" x14ac:dyDescent="0.25">
      <c r="I1329" s="1"/>
      <c r="J1329" s="1"/>
    </row>
    <row r="1330" spans="9:10" x14ac:dyDescent="0.25">
      <c r="I1330" s="1"/>
      <c r="J1330" s="1"/>
    </row>
    <row r="1331" spans="9:10" x14ac:dyDescent="0.25">
      <c r="I1331" s="1"/>
      <c r="J1331" s="1"/>
    </row>
    <row r="1332" spans="9:10" x14ac:dyDescent="0.25">
      <c r="I1332" s="1"/>
      <c r="J1332" s="1"/>
    </row>
    <row r="1333" spans="9:10" x14ac:dyDescent="0.25">
      <c r="I1333" s="1"/>
      <c r="J1333" s="1"/>
    </row>
    <row r="1334" spans="9:10" x14ac:dyDescent="0.25">
      <c r="I1334" s="1"/>
      <c r="J1334" s="1"/>
    </row>
    <row r="1335" spans="9:10" x14ac:dyDescent="0.25">
      <c r="I1335" s="1"/>
      <c r="J1335" s="1"/>
    </row>
    <row r="1336" spans="9:10" x14ac:dyDescent="0.25">
      <c r="I1336" s="1"/>
      <c r="J1336" s="1"/>
    </row>
    <row r="1337" spans="9:10" x14ac:dyDescent="0.25">
      <c r="I1337" s="1"/>
      <c r="J1337" s="1"/>
    </row>
    <row r="1338" spans="9:10" x14ac:dyDescent="0.25">
      <c r="I1338" s="1"/>
      <c r="J1338" s="1"/>
    </row>
    <row r="1339" spans="9:10" x14ac:dyDescent="0.25">
      <c r="I1339" s="1"/>
      <c r="J1339" s="1"/>
    </row>
    <row r="1340" spans="9:10" x14ac:dyDescent="0.25">
      <c r="I1340" s="1"/>
      <c r="J1340" s="1"/>
    </row>
    <row r="1341" spans="9:10" x14ac:dyDescent="0.25">
      <c r="I1341" s="1"/>
      <c r="J1341" s="1"/>
    </row>
    <row r="1342" spans="9:10" x14ac:dyDescent="0.25">
      <c r="I1342" s="1"/>
      <c r="J1342" s="1"/>
    </row>
    <row r="1343" spans="9:10" x14ac:dyDescent="0.25">
      <c r="I1343" s="1"/>
      <c r="J1343" s="1"/>
    </row>
    <row r="1344" spans="9:10" x14ac:dyDescent="0.25">
      <c r="I1344" s="1"/>
      <c r="J1344" s="1"/>
    </row>
    <row r="1345" spans="9:10" x14ac:dyDescent="0.25">
      <c r="I1345" s="1"/>
      <c r="J1345" s="1"/>
    </row>
    <row r="1346" spans="9:10" x14ac:dyDescent="0.25">
      <c r="I1346" s="1"/>
      <c r="J1346" s="1"/>
    </row>
    <row r="1347" spans="9:10" x14ac:dyDescent="0.25">
      <c r="I1347" s="1"/>
      <c r="J1347" s="1"/>
    </row>
    <row r="1348" spans="9:10" x14ac:dyDescent="0.25">
      <c r="I1348" s="1"/>
      <c r="J1348" s="1"/>
    </row>
    <row r="1349" spans="9:10" x14ac:dyDescent="0.25">
      <c r="I1349" s="1"/>
      <c r="J1349" s="1"/>
    </row>
    <row r="1350" spans="9:10" x14ac:dyDescent="0.25">
      <c r="I1350" s="1"/>
      <c r="J1350" s="1"/>
    </row>
    <row r="1351" spans="9:10" x14ac:dyDescent="0.25">
      <c r="I1351" s="1"/>
      <c r="J1351" s="1"/>
    </row>
    <row r="1352" spans="9:10" x14ac:dyDescent="0.25">
      <c r="I1352" s="1"/>
      <c r="J1352" s="1"/>
    </row>
    <row r="1353" spans="9:10" x14ac:dyDescent="0.25">
      <c r="I1353" s="1"/>
      <c r="J1353" s="1"/>
    </row>
    <row r="1354" spans="9:10" x14ac:dyDescent="0.25">
      <c r="I1354" s="1"/>
      <c r="J1354" s="1"/>
    </row>
    <row r="1355" spans="9:10" x14ac:dyDescent="0.25">
      <c r="I1355" s="1"/>
      <c r="J1355" s="1"/>
    </row>
    <row r="1356" spans="9:10" x14ac:dyDescent="0.25">
      <c r="I1356" s="1"/>
      <c r="J1356" s="1"/>
    </row>
    <row r="1357" spans="9:10" x14ac:dyDescent="0.25">
      <c r="I1357" s="1"/>
      <c r="J1357" s="1"/>
    </row>
    <row r="1358" spans="9:10" x14ac:dyDescent="0.25">
      <c r="I1358" s="1"/>
      <c r="J1358" s="1"/>
    </row>
    <row r="1359" spans="9:10" x14ac:dyDescent="0.25">
      <c r="I1359" s="1"/>
      <c r="J1359" s="1"/>
    </row>
    <row r="1360" spans="9:10" x14ac:dyDescent="0.25">
      <c r="I1360" s="1"/>
      <c r="J1360" s="1"/>
    </row>
    <row r="1361" spans="9:10" x14ac:dyDescent="0.25">
      <c r="I1361" s="1"/>
      <c r="J1361" s="1"/>
    </row>
    <row r="1362" spans="9:10" x14ac:dyDescent="0.25">
      <c r="I1362" s="1"/>
      <c r="J1362" s="1"/>
    </row>
    <row r="1363" spans="9:10" x14ac:dyDescent="0.25">
      <c r="I1363" s="1"/>
      <c r="J1363" s="1"/>
    </row>
    <row r="1364" spans="9:10" x14ac:dyDescent="0.25">
      <c r="I1364" s="1"/>
      <c r="J1364" s="1"/>
    </row>
    <row r="1365" spans="9:10" x14ac:dyDescent="0.25">
      <c r="I1365" s="1"/>
      <c r="J1365" s="1"/>
    </row>
    <row r="1366" spans="9:10" x14ac:dyDescent="0.25">
      <c r="I1366" s="1"/>
      <c r="J1366" s="1"/>
    </row>
    <row r="1367" spans="9:10" x14ac:dyDescent="0.25">
      <c r="I1367" s="1"/>
      <c r="J1367" s="1"/>
    </row>
    <row r="1368" spans="9:10" x14ac:dyDescent="0.25">
      <c r="I1368" s="1"/>
      <c r="J1368" s="1"/>
    </row>
    <row r="1369" spans="9:10" x14ac:dyDescent="0.25">
      <c r="I1369" s="1"/>
      <c r="J1369" s="1"/>
    </row>
    <row r="1370" spans="9:10" x14ac:dyDescent="0.25">
      <c r="I1370" s="1"/>
      <c r="J1370" s="1"/>
    </row>
    <row r="1371" spans="9:10" x14ac:dyDescent="0.25">
      <c r="I1371" s="1"/>
      <c r="J1371" s="1"/>
    </row>
    <row r="1372" spans="9:10" x14ac:dyDescent="0.25">
      <c r="I1372" s="1"/>
      <c r="J1372" s="1"/>
    </row>
    <row r="1373" spans="9:10" x14ac:dyDescent="0.25">
      <c r="I1373" s="1"/>
      <c r="J1373" s="1"/>
    </row>
    <row r="1374" spans="9:10" x14ac:dyDescent="0.25">
      <c r="I1374" s="1"/>
      <c r="J1374" s="1"/>
    </row>
    <row r="1375" spans="9:10" x14ac:dyDescent="0.25">
      <c r="I1375" s="1"/>
      <c r="J1375" s="1"/>
    </row>
    <row r="1376" spans="9:10" x14ac:dyDescent="0.25">
      <c r="I1376" s="1"/>
      <c r="J1376" s="1"/>
    </row>
    <row r="1377" spans="9:10" x14ac:dyDescent="0.25">
      <c r="I1377" s="1"/>
      <c r="J1377" s="1"/>
    </row>
    <row r="1378" spans="9:10" x14ac:dyDescent="0.25">
      <c r="I1378" s="1"/>
      <c r="J1378" s="1"/>
    </row>
    <row r="1379" spans="9:10" x14ac:dyDescent="0.25">
      <c r="I1379" s="1"/>
      <c r="J1379" s="1"/>
    </row>
    <row r="1380" spans="9:10" x14ac:dyDescent="0.25">
      <c r="I1380" s="1"/>
      <c r="J1380" s="1"/>
    </row>
    <row r="1381" spans="9:10" x14ac:dyDescent="0.25">
      <c r="I1381" s="1"/>
      <c r="J1381" s="1"/>
    </row>
    <row r="1382" spans="9:10" x14ac:dyDescent="0.25">
      <c r="I1382" s="1"/>
      <c r="J1382" s="1"/>
    </row>
    <row r="1383" spans="9:10" x14ac:dyDescent="0.25">
      <c r="I1383" s="1"/>
      <c r="J1383" s="1"/>
    </row>
    <row r="1384" spans="9:10" x14ac:dyDescent="0.25">
      <c r="I1384" s="1"/>
      <c r="J1384" s="1"/>
    </row>
    <row r="1385" spans="9:10" x14ac:dyDescent="0.25">
      <c r="I1385" s="1"/>
      <c r="J1385" s="1"/>
    </row>
    <row r="1386" spans="9:10" x14ac:dyDescent="0.25">
      <c r="I1386" s="1"/>
      <c r="J1386" s="1"/>
    </row>
    <row r="1387" spans="9:10" x14ac:dyDescent="0.25">
      <c r="I1387" s="1"/>
      <c r="J1387" s="1"/>
    </row>
    <row r="1388" spans="9:10" x14ac:dyDescent="0.25">
      <c r="I1388" s="1"/>
      <c r="J1388" s="1"/>
    </row>
    <row r="1389" spans="9:10" x14ac:dyDescent="0.25">
      <c r="I1389" s="1"/>
      <c r="J1389" s="1"/>
    </row>
    <row r="1390" spans="9:10" x14ac:dyDescent="0.25">
      <c r="I1390" s="1"/>
      <c r="J1390" s="1"/>
    </row>
    <row r="1391" spans="9:10" x14ac:dyDescent="0.25">
      <c r="I1391" s="1"/>
      <c r="J1391" s="1"/>
    </row>
    <row r="1392" spans="9:10" x14ac:dyDescent="0.25">
      <c r="I1392" s="1"/>
      <c r="J1392" s="1"/>
    </row>
  </sheetData>
  <sortState xmlns:xlrd2="http://schemas.microsoft.com/office/spreadsheetml/2017/richdata2" ref="A2:AC174">
    <sortCondition ref="P2:P1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Line Benefits LLC_med_comm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Darji</dc:creator>
  <cp:lastModifiedBy>Loula Irene Cabel</cp:lastModifiedBy>
  <dcterms:created xsi:type="dcterms:W3CDTF">2026-07-23T06:30:09Z</dcterms:created>
  <dcterms:modified xsi:type="dcterms:W3CDTF">2026-07-28T12:59:01Z</dcterms:modified>
</cp:coreProperties>
</file>