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6 Statements\4-7-26\"/>
    </mc:Choice>
  </mc:AlternateContent>
  <xr:revisionPtr revIDLastSave="0" documentId="13_ncr:1_{9524EAB7-4C6A-4EDD-9AD0-93312AABC79A}" xr6:coauthVersionLast="47" xr6:coauthVersionMax="47" xr10:uidLastSave="{00000000-0000-0000-0000-000000000000}"/>
  <bookViews>
    <workbookView xWindow="-120" yWindow="-120" windowWidth="29040" windowHeight="16440" activeTab="1" xr2:uid="{8C8FF01D-ECEB-41A7-85BA-AD2C855DE8BB}"/>
  </bookViews>
  <sheets>
    <sheet name="Main Line Benefits LLC_med_comm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18" i="2" l="1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E39" i="2"/>
  <c r="E38" i="2"/>
  <c r="R37" i="2"/>
  <c r="R11" i="2"/>
  <c r="E37" i="2"/>
  <c r="R8" i="2"/>
  <c r="E36" i="2"/>
  <c r="E35" i="2"/>
  <c r="E34" i="2"/>
  <c r="E33" i="2"/>
  <c r="R30" i="2"/>
  <c r="R16" i="2"/>
  <c r="E32" i="2"/>
  <c r="E31" i="2"/>
  <c r="E30" i="2"/>
  <c r="R29" i="2"/>
  <c r="R6" i="2"/>
  <c r="E29" i="2"/>
  <c r="O28" i="2"/>
  <c r="E28" i="2"/>
  <c r="E19" i="2"/>
  <c r="E18" i="2"/>
  <c r="E17" i="2"/>
  <c r="E20" i="2"/>
  <c r="E8" i="2"/>
  <c r="E9" i="2"/>
  <c r="E16" i="2"/>
  <c r="E14" i="2"/>
  <c r="E13" i="2"/>
  <c r="E5" i="2"/>
  <c r="E4" i="2"/>
  <c r="E11" i="2"/>
  <c r="E21" i="2"/>
  <c r="E24" i="2"/>
  <c r="E22" i="2"/>
  <c r="E25" i="2"/>
  <c r="E3" i="2"/>
  <c r="E26" i="2"/>
  <c r="E27" i="2"/>
  <c r="E23" i="2"/>
  <c r="E7" i="2"/>
  <c r="E15" i="2"/>
  <c r="E10" i="2"/>
  <c r="E12" i="2"/>
  <c r="E2" i="2"/>
  <c r="E6" i="2"/>
</calcChain>
</file>

<file path=xl/sharedStrings.xml><?xml version="1.0" encoding="utf-8"?>
<sst xmlns="http://schemas.openxmlformats.org/spreadsheetml/2006/main" count="697" uniqueCount="178">
  <si>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</si>
  <si>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</si>
  <si>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</si>
  <si>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</si>
  <si>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</si>
  <si>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</si>
  <si>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</si>
  <si>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</si>
  <si>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</si>
  <si>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</si>
  <si>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</si>
  <si>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</si>
  <si>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</si>
  <si>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</si>
  <si>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</si>
  <si>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</si>
  <si>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</si>
  <si>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</si>
  <si>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</si>
  <si>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</si>
  <si>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</si>
  <si>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</si>
  <si>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</si>
  <si>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</si>
  <si>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8GH7PJ6HE47</t>
  </si>
  <si>
    <t>NG102272472700</t>
  </si>
  <si>
    <t>BANE A,SUSAN</t>
  </si>
  <si>
    <t>IL</t>
  </si>
  <si>
    <t>New Business</t>
  </si>
  <si>
    <t>MAPD</t>
  </si>
  <si>
    <t>IMM619</t>
  </si>
  <si>
    <t>H7301-009</t>
  </si>
  <si>
    <t>LOA</t>
  </si>
  <si>
    <t>DUNAVANT, MICHAEL</t>
  </si>
  <si>
    <t>MMO</t>
  </si>
  <si>
    <t>Main Line Benefits LLC</t>
  </si>
  <si>
    <t xml:space="preserve">N  </t>
  </si>
  <si>
    <t>9RY7NQ8UN78</t>
  </si>
  <si>
    <t>NG102230808100</t>
  </si>
  <si>
    <t>BENTLEY J,BEVERLY</t>
  </si>
  <si>
    <t>PA</t>
  </si>
  <si>
    <t>Voluntarily Rapid Disenroll</t>
  </si>
  <si>
    <t>MA</t>
  </si>
  <si>
    <t>IMM608</t>
  </si>
  <si>
    <t>H3959-041</t>
  </si>
  <si>
    <t>Powers, Timothy</t>
  </si>
  <si>
    <t xml:space="preserve">Y  </t>
  </si>
  <si>
    <t>6N20HH2JF25</t>
  </si>
  <si>
    <t>NG101211577200</t>
  </si>
  <si>
    <t>BULLOCK K,ALLAN</t>
  </si>
  <si>
    <t>H5521-261</t>
  </si>
  <si>
    <t>Inskipt, Deborah</t>
  </si>
  <si>
    <t>2X82RW7XC98</t>
  </si>
  <si>
    <t>NG102071127900</t>
  </si>
  <si>
    <t>CURTIS M,TINA</t>
  </si>
  <si>
    <t>H5522-001</t>
  </si>
  <si>
    <t>6U08KP1HM50</t>
  </si>
  <si>
    <t>NG101944921700</t>
  </si>
  <si>
    <t>DALEY W,DOUGLAS</t>
  </si>
  <si>
    <t>FL</t>
  </si>
  <si>
    <t>IMM604</t>
  </si>
  <si>
    <t>H5521-702</t>
  </si>
  <si>
    <t>Teipel, Gregory</t>
  </si>
  <si>
    <t>4EY6Q76KW45</t>
  </si>
  <si>
    <t>MEQNPDZM00000704876</t>
  </si>
  <si>
    <t>DAVIS,ROCHELLE</t>
  </si>
  <si>
    <t>IMM606</t>
  </si>
  <si>
    <t>H9771-001</t>
  </si>
  <si>
    <t>Portugal, Stacey</t>
  </si>
  <si>
    <t>3DM6WH5JH54</t>
  </si>
  <si>
    <t>NG102273082600</t>
  </si>
  <si>
    <t>FEDERICI D,EARLENE</t>
  </si>
  <si>
    <t>H5521-016</t>
  </si>
  <si>
    <t>Portugal, Gary</t>
  </si>
  <si>
    <t>6ND7NH6JT45</t>
  </si>
  <si>
    <t>NG102224738500</t>
  </si>
  <si>
    <t>JALLAQ A,MOHAMMAD</t>
  </si>
  <si>
    <t>OH</t>
  </si>
  <si>
    <t>Involuntary Pro-Rata Payment</t>
  </si>
  <si>
    <t>IMM617</t>
  </si>
  <si>
    <t>H0628-038</t>
  </si>
  <si>
    <t>BRANDT, STEVEN</t>
  </si>
  <si>
    <t>Involuntarily Rapid Disenroll</t>
  </si>
  <si>
    <t>4UY7J83RP49</t>
  </si>
  <si>
    <t>NG102058131300</t>
  </si>
  <si>
    <t>JANI G,BANK</t>
  </si>
  <si>
    <t>4R32HC9YH90</t>
  </si>
  <si>
    <t>NG101052135000</t>
  </si>
  <si>
    <t>KOCHMAR J,GERALD</t>
  </si>
  <si>
    <t>H3959-002</t>
  </si>
  <si>
    <t>H5522-005</t>
  </si>
  <si>
    <t>8X93P99AR91</t>
  </si>
  <si>
    <t>NG101083195000</t>
  </si>
  <si>
    <t>KOCHMAR L,DOMINICA</t>
  </si>
  <si>
    <t>6UD9A75JD53</t>
  </si>
  <si>
    <t>NG102272313500</t>
  </si>
  <si>
    <t>LAPISKA A,GARY</t>
  </si>
  <si>
    <t>BENDER, CHAD</t>
  </si>
  <si>
    <t>3X95V27VX56</t>
  </si>
  <si>
    <t>NG101955463700</t>
  </si>
  <si>
    <t>MAJESKY K,RICHARD</t>
  </si>
  <si>
    <t>2CT5PG6WU40</t>
  </si>
  <si>
    <t>NG101562443500</t>
  </si>
  <si>
    <t>MAJESKY M,LISA</t>
  </si>
  <si>
    <t>4AG7RM4MT20</t>
  </si>
  <si>
    <t>NG102229469600</t>
  </si>
  <si>
    <t>MCCANDLESS P,ROBERT</t>
  </si>
  <si>
    <t>Smith, Margaret</t>
  </si>
  <si>
    <t>6Y90AW9TK36</t>
  </si>
  <si>
    <t>NG102269376100</t>
  </si>
  <si>
    <t>MYERS J,KEVIN</t>
  </si>
  <si>
    <t>Channel Change</t>
  </si>
  <si>
    <t>4AV7U25PM34</t>
  </si>
  <si>
    <t>NG102206475500</t>
  </si>
  <si>
    <t>PAOLELLA J,CHARLOTTE</t>
  </si>
  <si>
    <t>H0628-036</t>
  </si>
  <si>
    <t>SHEPARD RYAN</t>
  </si>
  <si>
    <t>8HA2GJ7EV05</t>
  </si>
  <si>
    <t>NG101088108800</t>
  </si>
  <si>
    <t>PIAZZA G,TINA</t>
  </si>
  <si>
    <t>2UK8HC7AY26</t>
  </si>
  <si>
    <t>NG101248501600</t>
  </si>
  <si>
    <t>SEWTER T,JOHN</t>
  </si>
  <si>
    <t>H1206-004</t>
  </si>
  <si>
    <t>2QK9J72EK45</t>
  </si>
  <si>
    <t>MEQNQXIX00001243222</t>
  </si>
  <si>
    <t>SIDDIQUI,MOHAMMED</t>
  </si>
  <si>
    <t>ABDUL, SAADIA</t>
  </si>
  <si>
    <t>Total Payee Amount: $3593.58</t>
  </si>
  <si>
    <t>BANE</t>
  </si>
  <si>
    <t>SUSAN</t>
  </si>
  <si>
    <t>BENTLEY</t>
  </si>
  <si>
    <t>BEVERLY</t>
  </si>
  <si>
    <t>BULLOCK</t>
  </si>
  <si>
    <t>ALLAN</t>
  </si>
  <si>
    <t>CURTIS</t>
  </si>
  <si>
    <t>TINA</t>
  </si>
  <si>
    <t>DALEY</t>
  </si>
  <si>
    <t>DOUGLAS</t>
  </si>
  <si>
    <t>DAVIS</t>
  </si>
  <si>
    <t>ROCHELLE</t>
  </si>
  <si>
    <t>FEDERICI</t>
  </si>
  <si>
    <t>EARLENE</t>
  </si>
  <si>
    <t>JALLAQ</t>
  </si>
  <si>
    <t>MOHAMMAD</t>
  </si>
  <si>
    <t>JANI</t>
  </si>
  <si>
    <t>BANK</t>
  </si>
  <si>
    <t>KOCHMAR</t>
  </si>
  <si>
    <t>GERALD</t>
  </si>
  <si>
    <t>DOMINICA</t>
  </si>
  <si>
    <t>LAPISKA</t>
  </si>
  <si>
    <t>GARY</t>
  </si>
  <si>
    <t>MAJESKY</t>
  </si>
  <si>
    <t>RICHARD</t>
  </si>
  <si>
    <t>LISA</t>
  </si>
  <si>
    <t>MCCANDLESS</t>
  </si>
  <si>
    <t>ROBERT</t>
  </si>
  <si>
    <t>MYERS</t>
  </si>
  <si>
    <t>KEVIN</t>
  </si>
  <si>
    <t>PAOLELLA</t>
  </si>
  <si>
    <t>CHARLOTTE</t>
  </si>
  <si>
    <t>PIAZZA</t>
  </si>
  <si>
    <t>SEWTER</t>
  </si>
  <si>
    <t>JOHN</t>
  </si>
  <si>
    <t>SIDDIQUI</t>
  </si>
  <si>
    <t>MOHAMMED</t>
  </si>
  <si>
    <t>Aetna MAPD 2026*</t>
  </si>
  <si>
    <t>Aetna MAPD OVR 2026</t>
  </si>
  <si>
    <t>[%/$=347][prorate=11/12]</t>
  </si>
  <si>
    <t>[%/$=391][prorate=9/12]</t>
  </si>
  <si>
    <t>Aetna 2026 CT, PA, DC *</t>
  </si>
  <si>
    <t>[%/$=347][prorate=2/12]</t>
  </si>
  <si>
    <t>[%/$=347][prorate=9/12]</t>
  </si>
  <si>
    <t>[%/$=347][prorate=8/12]</t>
  </si>
  <si>
    <t>[%/$=347][prorate=12/12]</t>
  </si>
  <si>
    <t>[%/$=391][prorate=10/12]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</si>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</sst>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453D0-1D0E-46B9-9214-08EBA26FD157}">
  <dimension ref="A1:X27"/>
  <sheetViews>
    <sheetView workbookViewId="0">
      <selection activeCell="G32" sqref="G32"/>
    </sheetView>
  </sheetViews>
  <sheetFormatPr defaultRowHeight="15" x14ac:dyDescent="0.25"/>
  <cols>
    <col min="17" max="17" width="20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46119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46143</v>
      </c>
      <c r="M2" s="1">
        <v>46143</v>
      </c>
      <c r="O2">
        <v>18828278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331.33</v>
      </c>
      <c r="V2" t="s">
        <v>36</v>
      </c>
      <c r="W2" s="1">
        <v>46101</v>
      </c>
      <c r="X2">
        <v>2026</v>
      </c>
    </row>
    <row r="3" spans="1:24" x14ac:dyDescent="0.25">
      <c r="A3" s="1">
        <v>46119</v>
      </c>
      <c r="B3" t="s">
        <v>37</v>
      </c>
      <c r="C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L3" s="1">
        <v>46023</v>
      </c>
      <c r="M3" s="1">
        <v>46023</v>
      </c>
      <c r="N3" s="1">
        <v>46112</v>
      </c>
      <c r="O3">
        <v>17886092</v>
      </c>
      <c r="P3" t="s">
        <v>32</v>
      </c>
      <c r="Q3" t="s">
        <v>45</v>
      </c>
      <c r="R3">
        <v>8192</v>
      </c>
      <c r="S3" t="s">
        <v>34</v>
      </c>
      <c r="T3" t="s">
        <v>35</v>
      </c>
      <c r="U3">
        <v>-65</v>
      </c>
      <c r="V3" t="s">
        <v>46</v>
      </c>
      <c r="W3" s="1">
        <v>45980</v>
      </c>
      <c r="X3">
        <v>2026</v>
      </c>
    </row>
    <row r="4" spans="1:24" x14ac:dyDescent="0.25">
      <c r="A4" s="1">
        <v>46119</v>
      </c>
      <c r="B4" t="s">
        <v>47</v>
      </c>
      <c r="C4" t="s">
        <v>48</v>
      </c>
      <c r="E4" t="s">
        <v>49</v>
      </c>
      <c r="F4" t="s">
        <v>40</v>
      </c>
      <c r="G4" t="s">
        <v>28</v>
      </c>
      <c r="H4" t="s">
        <v>29</v>
      </c>
      <c r="I4" t="s">
        <v>43</v>
      </c>
      <c r="J4" t="s">
        <v>50</v>
      </c>
      <c r="L4" s="1">
        <v>46113</v>
      </c>
      <c r="M4" s="1">
        <v>46113</v>
      </c>
      <c r="O4">
        <v>17528908</v>
      </c>
      <c r="P4" t="s">
        <v>32</v>
      </c>
      <c r="Q4" t="s">
        <v>51</v>
      </c>
      <c r="R4">
        <v>8192</v>
      </c>
      <c r="S4" t="s">
        <v>34</v>
      </c>
      <c r="T4" t="s">
        <v>35</v>
      </c>
      <c r="U4">
        <v>405.75</v>
      </c>
      <c r="V4" t="s">
        <v>36</v>
      </c>
      <c r="W4" s="1">
        <v>46105</v>
      </c>
      <c r="X4">
        <v>2026</v>
      </c>
    </row>
    <row r="5" spans="1:24" x14ac:dyDescent="0.25">
      <c r="A5" s="1">
        <v>46119</v>
      </c>
      <c r="B5" t="s">
        <v>52</v>
      </c>
      <c r="C5" t="s">
        <v>53</v>
      </c>
      <c r="E5" t="s">
        <v>54</v>
      </c>
      <c r="F5" t="s">
        <v>40</v>
      </c>
      <c r="G5" t="s">
        <v>28</v>
      </c>
      <c r="H5" t="s">
        <v>29</v>
      </c>
      <c r="I5" t="s">
        <v>43</v>
      </c>
      <c r="J5" t="s">
        <v>55</v>
      </c>
      <c r="L5" s="1">
        <v>46113</v>
      </c>
      <c r="M5" s="1">
        <v>46113</v>
      </c>
      <c r="O5">
        <v>17528908</v>
      </c>
      <c r="P5" t="s">
        <v>32</v>
      </c>
      <c r="Q5" t="s">
        <v>51</v>
      </c>
      <c r="R5">
        <v>8192</v>
      </c>
      <c r="S5" t="s">
        <v>34</v>
      </c>
      <c r="T5" t="s">
        <v>35</v>
      </c>
      <c r="U5">
        <v>405.75</v>
      </c>
      <c r="V5" t="s">
        <v>36</v>
      </c>
      <c r="W5" s="1">
        <v>46105</v>
      </c>
      <c r="X5">
        <v>2026</v>
      </c>
    </row>
    <row r="6" spans="1:24" x14ac:dyDescent="0.25">
      <c r="A6" s="1">
        <v>46119</v>
      </c>
      <c r="B6" t="s">
        <v>56</v>
      </c>
      <c r="C6" t="s">
        <v>57</v>
      </c>
      <c r="E6" t="s">
        <v>58</v>
      </c>
      <c r="F6" t="s">
        <v>59</v>
      </c>
      <c r="G6" t="s">
        <v>28</v>
      </c>
      <c r="H6" t="s">
        <v>29</v>
      </c>
      <c r="I6" t="s">
        <v>60</v>
      </c>
      <c r="J6" t="s">
        <v>61</v>
      </c>
      <c r="L6" s="1">
        <v>46113</v>
      </c>
      <c r="M6" s="1">
        <v>46113</v>
      </c>
      <c r="O6">
        <v>8307933</v>
      </c>
      <c r="P6" t="s">
        <v>32</v>
      </c>
      <c r="Q6" t="s">
        <v>62</v>
      </c>
      <c r="R6">
        <v>8192</v>
      </c>
      <c r="S6" t="s">
        <v>34</v>
      </c>
      <c r="T6" t="s">
        <v>35</v>
      </c>
      <c r="U6">
        <v>372.75</v>
      </c>
      <c r="V6" t="s">
        <v>36</v>
      </c>
      <c r="W6" s="1">
        <v>46104</v>
      </c>
      <c r="X6">
        <v>2026</v>
      </c>
    </row>
    <row r="7" spans="1:24" x14ac:dyDescent="0.25">
      <c r="A7" s="1">
        <v>46119</v>
      </c>
      <c r="B7" t="s">
        <v>63</v>
      </c>
      <c r="C7" t="s">
        <v>64</v>
      </c>
      <c r="E7" t="s">
        <v>65</v>
      </c>
      <c r="F7" t="s">
        <v>27</v>
      </c>
      <c r="G7" t="s">
        <v>28</v>
      </c>
      <c r="H7" t="s">
        <v>29</v>
      </c>
      <c r="I7" t="s">
        <v>66</v>
      </c>
      <c r="J7" t="s">
        <v>67</v>
      </c>
      <c r="L7" s="1">
        <v>46023</v>
      </c>
      <c r="M7" s="1">
        <v>46023</v>
      </c>
      <c r="O7">
        <v>19645587</v>
      </c>
      <c r="P7" t="s">
        <v>32</v>
      </c>
      <c r="Q7" t="s">
        <v>68</v>
      </c>
      <c r="R7">
        <v>8192</v>
      </c>
      <c r="S7" t="s">
        <v>34</v>
      </c>
      <c r="T7" t="s">
        <v>35</v>
      </c>
      <c r="U7">
        <v>497</v>
      </c>
      <c r="V7" t="s">
        <v>36</v>
      </c>
      <c r="W7" s="1">
        <v>45951</v>
      </c>
      <c r="X7">
        <v>2026</v>
      </c>
    </row>
    <row r="8" spans="1:24" x14ac:dyDescent="0.25">
      <c r="A8" s="1">
        <v>46119</v>
      </c>
      <c r="B8" t="s">
        <v>69</v>
      </c>
      <c r="C8" t="s">
        <v>70</v>
      </c>
      <c r="E8" t="s">
        <v>71</v>
      </c>
      <c r="F8" t="s">
        <v>27</v>
      </c>
      <c r="G8" t="s">
        <v>28</v>
      </c>
      <c r="H8" t="s">
        <v>29</v>
      </c>
      <c r="I8" t="s">
        <v>66</v>
      </c>
      <c r="J8" t="s">
        <v>72</v>
      </c>
      <c r="L8" s="1">
        <v>46113</v>
      </c>
      <c r="M8" s="1">
        <v>46113</v>
      </c>
      <c r="O8">
        <v>9213293</v>
      </c>
      <c r="P8" t="s">
        <v>32</v>
      </c>
      <c r="Q8" t="s">
        <v>73</v>
      </c>
      <c r="R8">
        <v>8192</v>
      </c>
      <c r="S8" t="s">
        <v>34</v>
      </c>
      <c r="T8" t="s">
        <v>35</v>
      </c>
      <c r="U8">
        <v>372.75</v>
      </c>
      <c r="V8" t="s">
        <v>36</v>
      </c>
      <c r="W8" s="1">
        <v>46105</v>
      </c>
      <c r="X8">
        <v>2026</v>
      </c>
    </row>
    <row r="9" spans="1:24" x14ac:dyDescent="0.25">
      <c r="A9" s="1">
        <v>46119</v>
      </c>
      <c r="B9" t="s">
        <v>74</v>
      </c>
      <c r="C9" t="s">
        <v>75</v>
      </c>
      <c r="E9" t="s">
        <v>76</v>
      </c>
      <c r="F9" t="s">
        <v>77</v>
      </c>
      <c r="G9" t="s">
        <v>78</v>
      </c>
      <c r="H9" t="s">
        <v>29</v>
      </c>
      <c r="I9" t="s">
        <v>79</v>
      </c>
      <c r="J9" t="s">
        <v>80</v>
      </c>
      <c r="L9" s="1">
        <v>46023</v>
      </c>
      <c r="M9" s="1">
        <v>46023</v>
      </c>
      <c r="N9" s="1">
        <v>46081</v>
      </c>
      <c r="O9">
        <v>19491313</v>
      </c>
      <c r="P9" t="s">
        <v>32</v>
      </c>
      <c r="Q9" t="s">
        <v>81</v>
      </c>
      <c r="R9">
        <v>8192</v>
      </c>
      <c r="S9" t="s">
        <v>34</v>
      </c>
      <c r="T9" t="s">
        <v>35</v>
      </c>
      <c r="U9">
        <v>82.83</v>
      </c>
      <c r="V9" t="s">
        <v>36</v>
      </c>
      <c r="W9" s="1">
        <v>45973</v>
      </c>
      <c r="X9">
        <v>2026</v>
      </c>
    </row>
    <row r="10" spans="1:24" x14ac:dyDescent="0.25">
      <c r="A10" s="1">
        <v>46119</v>
      </c>
      <c r="B10" t="s">
        <v>74</v>
      </c>
      <c r="C10" t="s">
        <v>75</v>
      </c>
      <c r="E10" t="s">
        <v>76</v>
      </c>
      <c r="F10" t="s">
        <v>77</v>
      </c>
      <c r="G10" t="s">
        <v>82</v>
      </c>
      <c r="H10" t="s">
        <v>29</v>
      </c>
      <c r="I10" t="s">
        <v>79</v>
      </c>
      <c r="J10" t="s">
        <v>80</v>
      </c>
      <c r="L10" s="1">
        <v>46023</v>
      </c>
      <c r="M10" s="1">
        <v>46023</v>
      </c>
      <c r="N10" s="1">
        <v>46081</v>
      </c>
      <c r="O10">
        <v>19491313</v>
      </c>
      <c r="P10" t="s">
        <v>32</v>
      </c>
      <c r="Q10" t="s">
        <v>81</v>
      </c>
      <c r="R10">
        <v>8192</v>
      </c>
      <c r="S10" t="s">
        <v>34</v>
      </c>
      <c r="T10" t="s">
        <v>35</v>
      </c>
      <c r="U10">
        <v>-80.33</v>
      </c>
      <c r="V10" t="s">
        <v>36</v>
      </c>
      <c r="W10" s="1">
        <v>45973</v>
      </c>
      <c r="X10">
        <v>2026</v>
      </c>
    </row>
    <row r="11" spans="1:24" x14ac:dyDescent="0.25">
      <c r="A11" s="1">
        <v>46119</v>
      </c>
      <c r="B11" t="s">
        <v>83</v>
      </c>
      <c r="C11" t="s">
        <v>84</v>
      </c>
      <c r="E11" t="s">
        <v>85</v>
      </c>
      <c r="F11" t="s">
        <v>40</v>
      </c>
      <c r="G11" t="s">
        <v>28</v>
      </c>
      <c r="H11" t="s">
        <v>29</v>
      </c>
      <c r="I11" t="s">
        <v>43</v>
      </c>
      <c r="J11" t="s">
        <v>50</v>
      </c>
      <c r="L11" s="1">
        <v>46082</v>
      </c>
      <c r="M11" s="1">
        <v>46082</v>
      </c>
      <c r="O11">
        <v>17528908</v>
      </c>
      <c r="P11" t="s">
        <v>32</v>
      </c>
      <c r="Q11" t="s">
        <v>51</v>
      </c>
      <c r="R11">
        <v>8192</v>
      </c>
      <c r="S11" t="s">
        <v>34</v>
      </c>
      <c r="T11" t="s">
        <v>35</v>
      </c>
      <c r="U11">
        <v>450.83</v>
      </c>
      <c r="V11" t="s">
        <v>36</v>
      </c>
      <c r="W11" s="1">
        <v>46076</v>
      </c>
      <c r="X11">
        <v>2026</v>
      </c>
    </row>
    <row r="12" spans="1:24" x14ac:dyDescent="0.25">
      <c r="A12" s="1">
        <v>46119</v>
      </c>
      <c r="B12" t="s">
        <v>86</v>
      </c>
      <c r="C12" t="s">
        <v>87</v>
      </c>
      <c r="E12" t="s">
        <v>88</v>
      </c>
      <c r="F12" t="s">
        <v>40</v>
      </c>
      <c r="G12" t="s">
        <v>41</v>
      </c>
      <c r="H12" t="s">
        <v>29</v>
      </c>
      <c r="I12" t="s">
        <v>43</v>
      </c>
      <c r="J12" t="s">
        <v>89</v>
      </c>
      <c r="L12" s="1">
        <v>46023</v>
      </c>
      <c r="M12" s="1">
        <v>46023</v>
      </c>
      <c r="N12" s="1">
        <v>46112</v>
      </c>
      <c r="O12">
        <v>17886092</v>
      </c>
      <c r="P12" t="s">
        <v>32</v>
      </c>
      <c r="Q12" t="s">
        <v>45</v>
      </c>
      <c r="R12">
        <v>8192</v>
      </c>
      <c r="S12" t="s">
        <v>34</v>
      </c>
      <c r="T12" t="s">
        <v>35</v>
      </c>
      <c r="U12">
        <v>-65</v>
      </c>
      <c r="V12" t="s">
        <v>36</v>
      </c>
      <c r="W12" s="1">
        <v>45980</v>
      </c>
      <c r="X12">
        <v>2026</v>
      </c>
    </row>
    <row r="13" spans="1:24" x14ac:dyDescent="0.25">
      <c r="A13" s="1">
        <v>46119</v>
      </c>
      <c r="B13" t="s">
        <v>86</v>
      </c>
      <c r="C13" t="s">
        <v>87</v>
      </c>
      <c r="E13" t="s">
        <v>88</v>
      </c>
      <c r="F13" t="s">
        <v>40</v>
      </c>
      <c r="G13" t="s">
        <v>28</v>
      </c>
      <c r="H13" t="s">
        <v>29</v>
      </c>
      <c r="I13" t="s">
        <v>43</v>
      </c>
      <c r="J13" t="s">
        <v>90</v>
      </c>
      <c r="L13" s="1">
        <v>46113</v>
      </c>
      <c r="M13" s="1">
        <v>46113</v>
      </c>
      <c r="O13">
        <v>17886092</v>
      </c>
      <c r="P13" t="s">
        <v>32</v>
      </c>
      <c r="Q13" t="s">
        <v>45</v>
      </c>
      <c r="R13">
        <v>8192</v>
      </c>
      <c r="S13" t="s">
        <v>34</v>
      </c>
      <c r="T13" t="s">
        <v>35</v>
      </c>
      <c r="U13">
        <v>48.75</v>
      </c>
      <c r="V13" t="s">
        <v>36</v>
      </c>
      <c r="W13" s="1">
        <v>46107</v>
      </c>
      <c r="X13">
        <v>2026</v>
      </c>
    </row>
    <row r="14" spans="1:24" x14ac:dyDescent="0.25">
      <c r="A14" s="1">
        <v>46119</v>
      </c>
      <c r="B14" t="s">
        <v>91</v>
      </c>
      <c r="C14" t="s">
        <v>92</v>
      </c>
      <c r="E14" t="s">
        <v>93</v>
      </c>
      <c r="F14" t="s">
        <v>40</v>
      </c>
      <c r="G14" t="s">
        <v>41</v>
      </c>
      <c r="H14" t="s">
        <v>29</v>
      </c>
      <c r="I14" t="s">
        <v>43</v>
      </c>
      <c r="J14" t="s">
        <v>89</v>
      </c>
      <c r="L14" s="1">
        <v>46023</v>
      </c>
      <c r="M14" s="1">
        <v>46023</v>
      </c>
      <c r="N14" s="1">
        <v>46112</v>
      </c>
      <c r="O14">
        <v>17886092</v>
      </c>
      <c r="P14" t="s">
        <v>32</v>
      </c>
      <c r="Q14" t="s">
        <v>45</v>
      </c>
      <c r="R14">
        <v>8192</v>
      </c>
      <c r="S14" t="s">
        <v>34</v>
      </c>
      <c r="T14" t="s">
        <v>35</v>
      </c>
      <c r="U14">
        <v>-65</v>
      </c>
      <c r="V14" t="s">
        <v>36</v>
      </c>
      <c r="W14" s="1">
        <v>45980</v>
      </c>
      <c r="X14">
        <v>2026</v>
      </c>
    </row>
    <row r="15" spans="1:24" x14ac:dyDescent="0.25">
      <c r="A15" s="1">
        <v>46119</v>
      </c>
      <c r="B15" t="s">
        <v>91</v>
      </c>
      <c r="C15" t="s">
        <v>92</v>
      </c>
      <c r="E15" t="s">
        <v>93</v>
      </c>
      <c r="F15" t="s">
        <v>40</v>
      </c>
      <c r="G15" t="s">
        <v>28</v>
      </c>
      <c r="H15" t="s">
        <v>29</v>
      </c>
      <c r="I15" t="s">
        <v>43</v>
      </c>
      <c r="J15" t="s">
        <v>90</v>
      </c>
      <c r="L15" s="1">
        <v>46113</v>
      </c>
      <c r="M15" s="1">
        <v>46113</v>
      </c>
      <c r="O15">
        <v>17886092</v>
      </c>
      <c r="P15" t="s">
        <v>32</v>
      </c>
      <c r="Q15" t="s">
        <v>45</v>
      </c>
      <c r="R15">
        <v>8192</v>
      </c>
      <c r="S15" t="s">
        <v>34</v>
      </c>
      <c r="T15" t="s">
        <v>35</v>
      </c>
      <c r="U15">
        <v>48.75</v>
      </c>
      <c r="V15" t="s">
        <v>36</v>
      </c>
      <c r="W15" s="1">
        <v>46107</v>
      </c>
      <c r="X15">
        <v>2026</v>
      </c>
    </row>
    <row r="16" spans="1:24" x14ac:dyDescent="0.25">
      <c r="A16" s="1">
        <v>46119</v>
      </c>
      <c r="B16" t="s">
        <v>94</v>
      </c>
      <c r="C16" t="s">
        <v>95</v>
      </c>
      <c r="E16" t="s">
        <v>96</v>
      </c>
      <c r="F16" t="s">
        <v>40</v>
      </c>
      <c r="G16" t="s">
        <v>28</v>
      </c>
      <c r="H16" t="s">
        <v>29</v>
      </c>
      <c r="I16" t="s">
        <v>43</v>
      </c>
      <c r="J16" t="s">
        <v>50</v>
      </c>
      <c r="L16" s="1">
        <v>46113</v>
      </c>
      <c r="M16" s="1">
        <v>46113</v>
      </c>
      <c r="O16">
        <v>18598357</v>
      </c>
      <c r="P16" t="s">
        <v>32</v>
      </c>
      <c r="Q16" t="s">
        <v>97</v>
      </c>
      <c r="R16">
        <v>8192</v>
      </c>
      <c r="S16" t="s">
        <v>34</v>
      </c>
      <c r="T16" t="s">
        <v>35</v>
      </c>
      <c r="U16">
        <v>405.75</v>
      </c>
      <c r="V16" t="s">
        <v>36</v>
      </c>
      <c r="W16" s="1">
        <v>46100</v>
      </c>
      <c r="X16">
        <v>2026</v>
      </c>
    </row>
    <row r="17" spans="1:24" x14ac:dyDescent="0.25">
      <c r="A17" s="1">
        <v>46119</v>
      </c>
      <c r="B17" t="s">
        <v>98</v>
      </c>
      <c r="C17" t="s">
        <v>99</v>
      </c>
      <c r="E17" t="s">
        <v>100</v>
      </c>
      <c r="F17" t="s">
        <v>40</v>
      </c>
      <c r="G17" t="s">
        <v>28</v>
      </c>
      <c r="H17" t="s">
        <v>29</v>
      </c>
      <c r="I17" t="s">
        <v>43</v>
      </c>
      <c r="J17" t="s">
        <v>55</v>
      </c>
      <c r="L17" s="1">
        <v>46113</v>
      </c>
      <c r="M17" s="1">
        <v>46113</v>
      </c>
      <c r="O17">
        <v>17886092</v>
      </c>
      <c r="P17" t="s">
        <v>32</v>
      </c>
      <c r="Q17" t="s">
        <v>45</v>
      </c>
      <c r="R17">
        <v>8192</v>
      </c>
      <c r="S17" t="s">
        <v>34</v>
      </c>
      <c r="T17" t="s">
        <v>35</v>
      </c>
      <c r="U17">
        <v>48.75</v>
      </c>
      <c r="V17" t="s">
        <v>36</v>
      </c>
      <c r="W17" s="1">
        <v>46106</v>
      </c>
      <c r="X17">
        <v>2026</v>
      </c>
    </row>
    <row r="18" spans="1:24" x14ac:dyDescent="0.25">
      <c r="A18" s="1">
        <v>46119</v>
      </c>
      <c r="B18" t="s">
        <v>101</v>
      </c>
      <c r="C18" t="s">
        <v>102</v>
      </c>
      <c r="E18" t="s">
        <v>103</v>
      </c>
      <c r="F18" t="s">
        <v>40</v>
      </c>
      <c r="G18" t="s">
        <v>28</v>
      </c>
      <c r="H18" t="s">
        <v>29</v>
      </c>
      <c r="I18" t="s">
        <v>43</v>
      </c>
      <c r="J18" t="s">
        <v>55</v>
      </c>
      <c r="L18" s="1">
        <v>46113</v>
      </c>
      <c r="M18" s="1">
        <v>46113</v>
      </c>
      <c r="O18">
        <v>17886092</v>
      </c>
      <c r="P18" t="s">
        <v>32</v>
      </c>
      <c r="Q18" t="s">
        <v>45</v>
      </c>
      <c r="R18">
        <v>8192</v>
      </c>
      <c r="S18" t="s">
        <v>34</v>
      </c>
      <c r="T18" t="s">
        <v>35</v>
      </c>
      <c r="U18">
        <v>48.75</v>
      </c>
      <c r="V18" t="s">
        <v>36</v>
      </c>
      <c r="W18" s="1">
        <v>46106</v>
      </c>
      <c r="X18">
        <v>2026</v>
      </c>
    </row>
    <row r="19" spans="1:24" x14ac:dyDescent="0.25">
      <c r="A19" s="1">
        <v>46119</v>
      </c>
      <c r="B19" t="s">
        <v>104</v>
      </c>
      <c r="C19" t="s">
        <v>105</v>
      </c>
      <c r="E19" t="s">
        <v>106</v>
      </c>
      <c r="F19" t="s">
        <v>40</v>
      </c>
      <c r="G19" t="s">
        <v>41</v>
      </c>
      <c r="H19" t="s">
        <v>29</v>
      </c>
      <c r="I19" t="s">
        <v>43</v>
      </c>
      <c r="J19" t="s">
        <v>89</v>
      </c>
      <c r="L19" s="1">
        <v>46023</v>
      </c>
      <c r="M19" s="1">
        <v>46023</v>
      </c>
      <c r="N19" s="1">
        <v>46112</v>
      </c>
      <c r="O19">
        <v>20253958</v>
      </c>
      <c r="P19" t="s">
        <v>32</v>
      </c>
      <c r="Q19" t="s">
        <v>107</v>
      </c>
      <c r="R19">
        <v>8192</v>
      </c>
      <c r="S19" t="s">
        <v>34</v>
      </c>
      <c r="T19" t="s">
        <v>35</v>
      </c>
      <c r="U19">
        <v>-65</v>
      </c>
      <c r="V19" t="s">
        <v>36</v>
      </c>
      <c r="W19" s="1">
        <v>45979</v>
      </c>
      <c r="X19">
        <v>2026</v>
      </c>
    </row>
    <row r="20" spans="1:24" x14ac:dyDescent="0.25">
      <c r="A20" s="1">
        <v>46119</v>
      </c>
      <c r="B20" t="s">
        <v>108</v>
      </c>
      <c r="C20" t="s">
        <v>109</v>
      </c>
      <c r="E20" t="s">
        <v>110</v>
      </c>
      <c r="F20" t="s">
        <v>40</v>
      </c>
      <c r="G20" t="s">
        <v>111</v>
      </c>
      <c r="H20" t="s">
        <v>29</v>
      </c>
      <c r="I20" t="s">
        <v>43</v>
      </c>
      <c r="J20" t="s">
        <v>50</v>
      </c>
      <c r="L20" s="1">
        <v>46113</v>
      </c>
      <c r="M20" s="1">
        <v>46113</v>
      </c>
      <c r="O20">
        <v>17528908</v>
      </c>
      <c r="P20" t="s">
        <v>32</v>
      </c>
      <c r="Q20" t="s">
        <v>51</v>
      </c>
      <c r="R20">
        <v>8192</v>
      </c>
      <c r="S20" t="s">
        <v>34</v>
      </c>
      <c r="T20" t="s">
        <v>35</v>
      </c>
      <c r="U20">
        <v>-405.75</v>
      </c>
      <c r="V20" t="s">
        <v>36</v>
      </c>
      <c r="W20" s="1">
        <v>46085</v>
      </c>
      <c r="X20">
        <v>2026</v>
      </c>
    </row>
    <row r="21" spans="1:24" x14ac:dyDescent="0.25">
      <c r="A21" s="1">
        <v>46119</v>
      </c>
      <c r="B21" t="s">
        <v>112</v>
      </c>
      <c r="C21" t="s">
        <v>113</v>
      </c>
      <c r="E21" t="s">
        <v>114</v>
      </c>
      <c r="F21" t="s">
        <v>77</v>
      </c>
      <c r="G21" t="s">
        <v>28</v>
      </c>
      <c r="H21" t="s">
        <v>29</v>
      </c>
      <c r="I21" t="s">
        <v>79</v>
      </c>
      <c r="J21" t="s">
        <v>115</v>
      </c>
      <c r="L21" s="1">
        <v>46113</v>
      </c>
      <c r="M21" s="1">
        <v>46113</v>
      </c>
      <c r="O21">
        <v>16170994</v>
      </c>
      <c r="P21" t="s">
        <v>32</v>
      </c>
      <c r="Q21" t="s">
        <v>116</v>
      </c>
      <c r="R21">
        <v>8192</v>
      </c>
      <c r="S21" t="s">
        <v>34</v>
      </c>
      <c r="T21" t="s">
        <v>35</v>
      </c>
      <c r="U21">
        <v>372.75</v>
      </c>
      <c r="V21" t="s">
        <v>36</v>
      </c>
      <c r="W21" s="1">
        <v>46100</v>
      </c>
      <c r="X21">
        <v>2026</v>
      </c>
    </row>
    <row r="22" spans="1:24" x14ac:dyDescent="0.25">
      <c r="A22" s="1">
        <v>46119</v>
      </c>
      <c r="B22" t="s">
        <v>117</v>
      </c>
      <c r="C22" t="s">
        <v>118</v>
      </c>
      <c r="E22" t="s">
        <v>119</v>
      </c>
      <c r="F22" t="s">
        <v>40</v>
      </c>
      <c r="G22" t="s">
        <v>28</v>
      </c>
      <c r="H22" t="s">
        <v>29</v>
      </c>
      <c r="I22" t="s">
        <v>43</v>
      </c>
      <c r="J22" t="s">
        <v>50</v>
      </c>
      <c r="L22" s="1">
        <v>46113</v>
      </c>
      <c r="M22" s="1">
        <v>46113</v>
      </c>
      <c r="O22">
        <v>17528908</v>
      </c>
      <c r="P22" t="s">
        <v>32</v>
      </c>
      <c r="Q22" t="s">
        <v>51</v>
      </c>
      <c r="R22">
        <v>8192</v>
      </c>
      <c r="S22" t="s">
        <v>34</v>
      </c>
      <c r="T22" t="s">
        <v>35</v>
      </c>
      <c r="U22">
        <v>405.75</v>
      </c>
      <c r="V22" t="s">
        <v>36</v>
      </c>
      <c r="W22" s="1">
        <v>46105</v>
      </c>
      <c r="X22">
        <v>2026</v>
      </c>
    </row>
    <row r="23" spans="1:24" x14ac:dyDescent="0.25">
      <c r="A23" s="1">
        <v>46119</v>
      </c>
      <c r="B23" t="s">
        <v>120</v>
      </c>
      <c r="C23" t="s">
        <v>121</v>
      </c>
      <c r="E23" t="s">
        <v>122</v>
      </c>
      <c r="F23" t="s">
        <v>27</v>
      </c>
      <c r="G23" t="s">
        <v>41</v>
      </c>
      <c r="H23" t="s">
        <v>29</v>
      </c>
      <c r="I23" t="s">
        <v>66</v>
      </c>
      <c r="J23" t="s">
        <v>123</v>
      </c>
      <c r="L23" s="1">
        <v>46054</v>
      </c>
      <c r="M23" s="1">
        <v>46054</v>
      </c>
      <c r="N23" s="1">
        <v>46112</v>
      </c>
      <c r="O23">
        <v>9213293</v>
      </c>
      <c r="P23" t="s">
        <v>32</v>
      </c>
      <c r="Q23" t="s">
        <v>73</v>
      </c>
      <c r="R23">
        <v>8192</v>
      </c>
      <c r="S23" t="s">
        <v>34</v>
      </c>
      <c r="T23" t="s">
        <v>35</v>
      </c>
      <c r="U23">
        <v>-455.58</v>
      </c>
      <c r="V23" t="s">
        <v>36</v>
      </c>
      <c r="W23" s="1">
        <v>46044</v>
      </c>
      <c r="X23">
        <v>2026</v>
      </c>
    </row>
    <row r="24" spans="1:24" x14ac:dyDescent="0.25">
      <c r="A24" s="1">
        <v>46119</v>
      </c>
      <c r="B24" t="s">
        <v>124</v>
      </c>
      <c r="C24" t="s">
        <v>125</v>
      </c>
      <c r="E24" t="s">
        <v>126</v>
      </c>
      <c r="F24" t="s">
        <v>27</v>
      </c>
      <c r="G24" t="s">
        <v>28</v>
      </c>
      <c r="H24" t="s">
        <v>29</v>
      </c>
      <c r="I24" t="s">
        <v>66</v>
      </c>
      <c r="J24" t="s">
        <v>67</v>
      </c>
      <c r="L24" s="1">
        <v>46023</v>
      </c>
      <c r="M24" s="1">
        <v>46023</v>
      </c>
      <c r="O24">
        <v>19396223</v>
      </c>
      <c r="P24" t="s">
        <v>32</v>
      </c>
      <c r="Q24" t="s">
        <v>127</v>
      </c>
      <c r="R24">
        <v>8192</v>
      </c>
      <c r="S24" t="s">
        <v>34</v>
      </c>
      <c r="T24" t="s">
        <v>35</v>
      </c>
      <c r="U24">
        <v>497</v>
      </c>
      <c r="V24" t="s">
        <v>36</v>
      </c>
      <c r="W24" s="1">
        <v>46016</v>
      </c>
      <c r="X24">
        <v>2026</v>
      </c>
    </row>
    <row r="27" spans="1:24" x14ac:dyDescent="0.25">
      <c r="A27" t="s">
        <v>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BFBDC-DCD7-4BA4-AD38-3F9465EA3D84}">
  <dimension ref="A1:AB39"/>
  <sheetViews>
    <sheetView tabSelected="1" workbookViewId="0">
      <selection activeCell="A12" sqref="A12:XFD12"/>
    </sheetView>
  </sheetViews>
  <sheetFormatPr defaultRowHeight="15" x14ac:dyDescent="0.25"/>
  <cols>
    <col min="1" max="2" width="17.28515625" bestFit="1" customWidth="1"/>
    <col min="3" max="3" width="12.42578125" customWidth="1"/>
    <col min="5" max="5" width="12.28515625" bestFit="1" customWidth="1"/>
    <col min="7" max="7" width="28" bestFit="1" customWidth="1"/>
    <col min="11" max="11" width="18" bestFit="1" customWidth="1"/>
    <col min="12" max="12" width="20.42578125" bestFit="1" customWidth="1"/>
    <col min="15" max="15" width="8.7109375" customWidth="1"/>
    <col min="16" max="16" width="22" bestFit="1" customWidth="1"/>
    <col min="17" max="17" width="24.140625" bestFit="1" customWidth="1"/>
  </cols>
  <sheetData>
    <row r="1" spans="1:28" x14ac:dyDescent="0.25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14</v>
      </c>
      <c r="L1" t="s">
        <v>16</v>
      </c>
      <c r="M1" t="s">
        <v>18</v>
      </c>
      <c r="N1" t="s">
        <v>20</v>
      </c>
    </row>
    <row r="2" spans="1:28" s="2" customFormat="1" x14ac:dyDescent="0.25">
      <c r="A2" s="2" t="s">
        <v>124</v>
      </c>
      <c r="B2" s="2" t="str">
        <f>CONCATENATE(A2,89)</f>
        <v>2QK9J72EK4589</v>
      </c>
      <c r="C2" s="2" t="s">
        <v>164</v>
      </c>
      <c r="D2" s="2" t="s">
        <v>165</v>
      </c>
      <c r="E2" s="2" t="str">
        <f>CONCATENATE(D2," ",C2)</f>
        <v>MOHAMMED SIDDIQUI</v>
      </c>
      <c r="F2" s="2" t="s">
        <v>27</v>
      </c>
      <c r="G2" s="2" t="s">
        <v>28</v>
      </c>
      <c r="H2" s="2" t="s">
        <v>29</v>
      </c>
      <c r="I2" s="3">
        <v>46023</v>
      </c>
      <c r="J2" s="3">
        <v>46023</v>
      </c>
      <c r="K2" s="2">
        <v>19396223</v>
      </c>
      <c r="L2" s="2" t="s">
        <v>127</v>
      </c>
      <c r="M2" s="2" t="s">
        <v>34</v>
      </c>
      <c r="N2" s="2">
        <v>497</v>
      </c>
      <c r="O2" s="2">
        <v>347</v>
      </c>
      <c r="P2" s="2" t="s">
        <v>166</v>
      </c>
      <c r="Q2" s="2" t="s">
        <v>174</v>
      </c>
    </row>
    <row r="3" spans="1:28" s="4" customFormat="1" x14ac:dyDescent="0.25">
      <c r="A3" s="2" t="s">
        <v>94</v>
      </c>
      <c r="B3" s="2" t="str">
        <f t="shared" ref="B3:B16" si="0">CONCATENATE(A3,89)</f>
        <v>6UD9A75JD5389</v>
      </c>
      <c r="C3" s="2" t="s">
        <v>150</v>
      </c>
      <c r="D3" s="2" t="s">
        <v>151</v>
      </c>
      <c r="E3" s="2" t="str">
        <f>CONCATENATE(D3," ",C3)</f>
        <v>GARY LAPISKA</v>
      </c>
      <c r="F3" s="2" t="s">
        <v>40</v>
      </c>
      <c r="G3" s="2" t="s">
        <v>28</v>
      </c>
      <c r="H3" s="2" t="s">
        <v>29</v>
      </c>
      <c r="I3" s="3">
        <v>46113</v>
      </c>
      <c r="J3" s="3">
        <v>46113</v>
      </c>
      <c r="K3" s="2">
        <v>18598357</v>
      </c>
      <c r="L3" s="2" t="s">
        <v>97</v>
      </c>
      <c r="M3" s="2" t="s">
        <v>34</v>
      </c>
      <c r="N3" s="2">
        <v>405.75</v>
      </c>
      <c r="O3" s="2">
        <v>293.25</v>
      </c>
      <c r="P3" s="2" t="s">
        <v>170</v>
      </c>
      <c r="Q3" s="2" t="s">
        <v>169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s="2" customFormat="1" x14ac:dyDescent="0.25">
      <c r="A4" s="2" t="s">
        <v>74</v>
      </c>
      <c r="B4" s="2" t="str">
        <f t="shared" si="0"/>
        <v>6ND7NH6JT4589</v>
      </c>
      <c r="C4" s="2" t="s">
        <v>143</v>
      </c>
      <c r="D4" s="2" t="s">
        <v>144</v>
      </c>
      <c r="E4" s="2" t="str">
        <f>CONCATENATE(D4," ",C4)</f>
        <v>MOHAMMAD JALLAQ</v>
      </c>
      <c r="F4" s="2" t="s">
        <v>77</v>
      </c>
      <c r="G4" s="2" t="s">
        <v>82</v>
      </c>
      <c r="H4" s="2" t="s">
        <v>29</v>
      </c>
      <c r="I4" s="3">
        <v>46023</v>
      </c>
      <c r="J4" s="3">
        <v>46023</v>
      </c>
      <c r="K4" s="2">
        <v>19491313</v>
      </c>
      <c r="L4" s="2" t="s">
        <v>81</v>
      </c>
      <c r="M4" s="2" t="s">
        <v>34</v>
      </c>
      <c r="N4" s="2">
        <v>-80.33</v>
      </c>
      <c r="O4" s="2">
        <v>-57.83</v>
      </c>
      <c r="P4" s="2" t="s">
        <v>166</v>
      </c>
      <c r="Q4" s="2" t="s">
        <v>171</v>
      </c>
    </row>
    <row r="5" spans="1:28" s="4" customFormat="1" x14ac:dyDescent="0.25">
      <c r="A5" s="2" t="s">
        <v>74</v>
      </c>
      <c r="B5" s="2" t="str">
        <f t="shared" si="0"/>
        <v>6ND7NH6JT4589</v>
      </c>
      <c r="C5" s="2" t="s">
        <v>143</v>
      </c>
      <c r="D5" s="2" t="s">
        <v>144</v>
      </c>
      <c r="E5" s="2" t="str">
        <f>CONCATENATE(D5," ",C5)</f>
        <v>MOHAMMAD JALLAQ</v>
      </c>
      <c r="F5" s="2" t="s">
        <v>77</v>
      </c>
      <c r="G5" s="2" t="s">
        <v>78</v>
      </c>
      <c r="H5" s="2" t="s">
        <v>29</v>
      </c>
      <c r="I5" s="3">
        <v>46023</v>
      </c>
      <c r="J5" s="3">
        <v>46023</v>
      </c>
      <c r="K5" s="2">
        <v>19491313</v>
      </c>
      <c r="L5" s="2" t="s">
        <v>81</v>
      </c>
      <c r="M5" s="2" t="s">
        <v>34</v>
      </c>
      <c r="N5" s="2">
        <v>82.83</v>
      </c>
      <c r="O5" s="2">
        <v>57.83</v>
      </c>
      <c r="P5" s="2" t="s">
        <v>166</v>
      </c>
      <c r="Q5" s="2" t="s">
        <v>171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s="2" customFormat="1" x14ac:dyDescent="0.25">
      <c r="A6" s="2" t="s">
        <v>24</v>
      </c>
      <c r="B6" s="2" t="str">
        <f t="shared" si="0"/>
        <v>8GH7PJ6HE4789</v>
      </c>
      <c r="C6" s="2" t="s">
        <v>129</v>
      </c>
      <c r="D6" s="2" t="s">
        <v>130</v>
      </c>
      <c r="E6" s="2" t="str">
        <f>CONCATENATE(D6," ",C6)</f>
        <v>SUSAN BANE</v>
      </c>
      <c r="F6" s="2" t="s">
        <v>27</v>
      </c>
      <c r="G6" s="2" t="s">
        <v>28</v>
      </c>
      <c r="H6" s="2" t="s">
        <v>29</v>
      </c>
      <c r="I6" s="3">
        <v>46143</v>
      </c>
      <c r="J6" s="3">
        <v>46143</v>
      </c>
      <c r="K6" s="2">
        <v>18828278</v>
      </c>
      <c r="L6" s="2" t="s">
        <v>33</v>
      </c>
      <c r="M6" s="2" t="s">
        <v>34</v>
      </c>
      <c r="N6" s="2">
        <v>331.33</v>
      </c>
      <c r="O6" s="2">
        <v>231.33</v>
      </c>
      <c r="P6" s="2" t="s">
        <v>166</v>
      </c>
      <c r="Q6" s="2" t="s">
        <v>173</v>
      </c>
      <c r="R6" s="2">
        <f>347/12*8</f>
        <v>231.33333333333334</v>
      </c>
    </row>
    <row r="7" spans="1:28" s="4" customFormat="1" x14ac:dyDescent="0.25">
      <c r="A7" s="2" t="s">
        <v>108</v>
      </c>
      <c r="B7" s="2" t="str">
        <f t="shared" si="0"/>
        <v>6Y90AW9TK3689</v>
      </c>
      <c r="C7" s="2" t="s">
        <v>157</v>
      </c>
      <c r="D7" s="2" t="s">
        <v>158</v>
      </c>
      <c r="E7" s="2" t="str">
        <f>CONCATENATE(D7," ",C7)</f>
        <v>KEVIN MYERS</v>
      </c>
      <c r="F7" s="2" t="s">
        <v>40</v>
      </c>
      <c r="G7" s="2" t="s">
        <v>111</v>
      </c>
      <c r="H7" s="2" t="s">
        <v>29</v>
      </c>
      <c r="I7" s="3">
        <v>46113</v>
      </c>
      <c r="J7" s="3">
        <v>46113</v>
      </c>
      <c r="K7" s="2" t="s">
        <v>177</v>
      </c>
      <c r="L7" s="2" t="s">
        <v>51</v>
      </c>
      <c r="M7" s="2" t="s">
        <v>34</v>
      </c>
      <c r="N7" s="2">
        <v>-405.75</v>
      </c>
      <c r="O7" s="2">
        <v>-293.25</v>
      </c>
      <c r="P7" s="2" t="s">
        <v>170</v>
      </c>
      <c r="Q7" s="2" t="s">
        <v>169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s="4" customFormat="1" x14ac:dyDescent="0.25">
      <c r="A8" s="2" t="s">
        <v>47</v>
      </c>
      <c r="B8" s="2" t="str">
        <f t="shared" si="0"/>
        <v>6N20HH2JF2589</v>
      </c>
      <c r="C8" s="2" t="s">
        <v>133</v>
      </c>
      <c r="D8" s="2" t="s">
        <v>134</v>
      </c>
      <c r="E8" s="2" t="str">
        <f>CONCATENATE(D8," ",C8)</f>
        <v>ALLAN BULLOCK</v>
      </c>
      <c r="F8" s="2" t="s">
        <v>40</v>
      </c>
      <c r="G8" s="2" t="s">
        <v>28</v>
      </c>
      <c r="H8" s="2" t="s">
        <v>29</v>
      </c>
      <c r="I8" s="3">
        <v>46113</v>
      </c>
      <c r="J8" s="3">
        <v>46113</v>
      </c>
      <c r="K8" s="2" t="s">
        <v>177</v>
      </c>
      <c r="L8" s="2" t="s">
        <v>51</v>
      </c>
      <c r="M8" s="2" t="s">
        <v>34</v>
      </c>
      <c r="N8" s="2">
        <v>405.75</v>
      </c>
      <c r="O8" s="2">
        <v>293.25</v>
      </c>
      <c r="P8" s="2" t="s">
        <v>170</v>
      </c>
      <c r="Q8" s="2" t="s">
        <v>169</v>
      </c>
      <c r="R8" s="2">
        <f>391/12*9</f>
        <v>293.25</v>
      </c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s="4" customFormat="1" x14ac:dyDescent="0.25">
      <c r="A9" s="2" t="s">
        <v>52</v>
      </c>
      <c r="B9" s="2" t="str">
        <f t="shared" si="0"/>
        <v>2X82RW7XC9889</v>
      </c>
      <c r="C9" s="2" t="s">
        <v>135</v>
      </c>
      <c r="D9" s="2" t="s">
        <v>136</v>
      </c>
      <c r="E9" s="2" t="str">
        <f>CONCATENATE(D9," ",C9)</f>
        <v>TINA CURTIS</v>
      </c>
      <c r="F9" s="2" t="s">
        <v>40</v>
      </c>
      <c r="G9" s="2" t="s">
        <v>28</v>
      </c>
      <c r="H9" s="2" t="s">
        <v>29</v>
      </c>
      <c r="I9" s="3">
        <v>46113</v>
      </c>
      <c r="J9" s="3">
        <v>46113</v>
      </c>
      <c r="K9" s="2" t="s">
        <v>177</v>
      </c>
      <c r="L9" s="2" t="s">
        <v>51</v>
      </c>
      <c r="M9" s="2" t="s">
        <v>34</v>
      </c>
      <c r="N9" s="2">
        <v>405.75</v>
      </c>
      <c r="O9" s="2">
        <v>293.25</v>
      </c>
      <c r="P9" s="2" t="s">
        <v>170</v>
      </c>
      <c r="Q9" s="2" t="s">
        <v>169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s="4" customFormat="1" x14ac:dyDescent="0.25">
      <c r="A10" s="2" t="s">
        <v>117</v>
      </c>
      <c r="B10" s="2" t="str">
        <f t="shared" si="0"/>
        <v>8HA2GJ7EV0589</v>
      </c>
      <c r="C10" s="2" t="s">
        <v>161</v>
      </c>
      <c r="D10" s="2" t="s">
        <v>136</v>
      </c>
      <c r="E10" s="2" t="str">
        <f>CONCATENATE(D10," ",C10)</f>
        <v>TINA PIAZZA</v>
      </c>
      <c r="F10" s="2" t="s">
        <v>40</v>
      </c>
      <c r="G10" s="2" t="s">
        <v>28</v>
      </c>
      <c r="H10" s="2" t="s">
        <v>29</v>
      </c>
      <c r="I10" s="3">
        <v>46113</v>
      </c>
      <c r="J10" s="3">
        <v>46113</v>
      </c>
      <c r="K10" s="2" t="s">
        <v>177</v>
      </c>
      <c r="L10" s="2" t="s">
        <v>51</v>
      </c>
      <c r="M10" s="2" t="s">
        <v>34</v>
      </c>
      <c r="N10" s="2">
        <v>405.75</v>
      </c>
      <c r="O10" s="2">
        <v>293.25</v>
      </c>
      <c r="P10" s="2" t="s">
        <v>170</v>
      </c>
      <c r="Q10" s="2" t="s">
        <v>169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s="4" customFormat="1" x14ac:dyDescent="0.25">
      <c r="A11" s="2" t="s">
        <v>83</v>
      </c>
      <c r="B11" s="2" t="str">
        <f t="shared" si="0"/>
        <v>4UY7J83RP4989</v>
      </c>
      <c r="C11" s="2" t="s">
        <v>145</v>
      </c>
      <c r="D11" s="2" t="s">
        <v>146</v>
      </c>
      <c r="E11" s="2" t="str">
        <f>CONCATENATE(D11," ",C11)</f>
        <v>BANK JANI</v>
      </c>
      <c r="F11" s="2" t="s">
        <v>40</v>
      </c>
      <c r="G11" s="2" t="s">
        <v>28</v>
      </c>
      <c r="H11" s="2" t="s">
        <v>29</v>
      </c>
      <c r="I11" s="3">
        <v>46082</v>
      </c>
      <c r="J11" s="3">
        <v>46082</v>
      </c>
      <c r="K11" s="2" t="s">
        <v>177</v>
      </c>
      <c r="L11" s="2" t="s">
        <v>51</v>
      </c>
      <c r="M11" s="2" t="s">
        <v>34</v>
      </c>
      <c r="N11" s="2">
        <v>450.83</v>
      </c>
      <c r="O11" s="2">
        <v>325.83</v>
      </c>
      <c r="P11" s="2" t="s">
        <v>170</v>
      </c>
      <c r="Q11" s="2" t="s">
        <v>175</v>
      </c>
      <c r="R11" s="2">
        <f>391/12*10</f>
        <v>325.83333333333337</v>
      </c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s="4" customFormat="1" x14ac:dyDescent="0.25">
      <c r="A12" s="2" t="s">
        <v>120</v>
      </c>
      <c r="B12" s="2" t="str">
        <f t="shared" si="0"/>
        <v>2UK8HC7AY2689</v>
      </c>
      <c r="C12" s="2" t="s">
        <v>162</v>
      </c>
      <c r="D12" s="2" t="s">
        <v>163</v>
      </c>
      <c r="E12" s="2" t="str">
        <f>CONCATENATE(D12," ",C12)</f>
        <v>JOHN SEWTER</v>
      </c>
      <c r="F12" s="2" t="s">
        <v>27</v>
      </c>
      <c r="G12" s="2" t="s">
        <v>41</v>
      </c>
      <c r="H12" s="2" t="s">
        <v>29</v>
      </c>
      <c r="I12" s="3">
        <v>46054</v>
      </c>
      <c r="J12" s="3">
        <v>46054</v>
      </c>
      <c r="K12" s="2">
        <v>9213293</v>
      </c>
      <c r="L12" s="2" t="s">
        <v>73</v>
      </c>
      <c r="M12" s="2" t="s">
        <v>34</v>
      </c>
      <c r="N12" s="2">
        <v>-455.58</v>
      </c>
      <c r="O12" s="2">
        <v>-318.08</v>
      </c>
      <c r="P12" s="2" t="s">
        <v>166</v>
      </c>
      <c r="Q12" s="2" t="s">
        <v>168</v>
      </c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s="4" customFormat="1" x14ac:dyDescent="0.25">
      <c r="A13" s="2" t="s">
        <v>69</v>
      </c>
      <c r="B13" s="2" t="str">
        <f t="shared" si="0"/>
        <v>3DM6WH5JH5489</v>
      </c>
      <c r="C13" s="2" t="s">
        <v>141</v>
      </c>
      <c r="D13" s="2" t="s">
        <v>142</v>
      </c>
      <c r="E13" s="2" t="str">
        <f>CONCATENATE(D13," ",C13)</f>
        <v>EARLENE FEDERICI</v>
      </c>
      <c r="F13" s="2" t="s">
        <v>27</v>
      </c>
      <c r="G13" s="2" t="s">
        <v>28</v>
      </c>
      <c r="H13" s="2" t="s">
        <v>29</v>
      </c>
      <c r="I13" s="3">
        <v>46113</v>
      </c>
      <c r="J13" s="3">
        <v>46113</v>
      </c>
      <c r="K13" s="2">
        <v>9213293</v>
      </c>
      <c r="L13" s="2" t="s">
        <v>73</v>
      </c>
      <c r="M13" s="2" t="s">
        <v>34</v>
      </c>
      <c r="N13" s="2">
        <v>372.75</v>
      </c>
      <c r="O13" s="2">
        <v>260.25</v>
      </c>
      <c r="P13" s="2" t="s">
        <v>166</v>
      </c>
      <c r="Q13" s="2" t="s">
        <v>172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s="4" customFormat="1" x14ac:dyDescent="0.25">
      <c r="A14" s="2" t="s">
        <v>63</v>
      </c>
      <c r="B14" s="2" t="str">
        <f t="shared" si="0"/>
        <v>4EY6Q76KW4589</v>
      </c>
      <c r="C14" s="2" t="s">
        <v>139</v>
      </c>
      <c r="D14" s="2" t="s">
        <v>140</v>
      </c>
      <c r="E14" s="2" t="str">
        <f>CONCATENATE(D14," ",C14)</f>
        <v>ROCHELLE DAVIS</v>
      </c>
      <c r="F14" s="2" t="s">
        <v>27</v>
      </c>
      <c r="G14" s="2" t="s">
        <v>28</v>
      </c>
      <c r="H14" s="2" t="s">
        <v>29</v>
      </c>
      <c r="I14" s="3">
        <v>46023</v>
      </c>
      <c r="J14" s="3">
        <v>46023</v>
      </c>
      <c r="K14" s="2">
        <v>19645587</v>
      </c>
      <c r="L14" s="2" t="s">
        <v>68</v>
      </c>
      <c r="M14" s="2" t="s">
        <v>34</v>
      </c>
      <c r="N14" s="2">
        <v>497</v>
      </c>
      <c r="O14" s="2">
        <v>347</v>
      </c>
      <c r="P14" s="2" t="s">
        <v>166</v>
      </c>
      <c r="Q14" s="2" t="s">
        <v>174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s="4" customFormat="1" x14ac:dyDescent="0.25">
      <c r="A15" s="2" t="s">
        <v>112</v>
      </c>
      <c r="B15" s="2" t="str">
        <f t="shared" si="0"/>
        <v>4AV7U25PM3489</v>
      </c>
      <c r="C15" s="2" t="s">
        <v>159</v>
      </c>
      <c r="D15" s="2" t="s">
        <v>160</v>
      </c>
      <c r="E15" s="2" t="str">
        <f>CONCATENATE(D15," ",C15)</f>
        <v>CHARLOTTE PAOLELLA</v>
      </c>
      <c r="F15" s="2" t="s">
        <v>77</v>
      </c>
      <c r="G15" s="2" t="s">
        <v>28</v>
      </c>
      <c r="H15" s="2" t="s">
        <v>29</v>
      </c>
      <c r="I15" s="3">
        <v>46113</v>
      </c>
      <c r="J15" s="3">
        <v>46113</v>
      </c>
      <c r="K15" s="2">
        <v>16170994</v>
      </c>
      <c r="L15" s="2" t="s">
        <v>116</v>
      </c>
      <c r="M15" s="2" t="s">
        <v>34</v>
      </c>
      <c r="N15" s="2">
        <v>372.75</v>
      </c>
      <c r="O15" s="2">
        <v>260.25</v>
      </c>
      <c r="P15" s="2" t="s">
        <v>166</v>
      </c>
      <c r="Q15" s="2" t="s">
        <v>172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s="2" customFormat="1" x14ac:dyDescent="0.25">
      <c r="A16" s="2" t="s">
        <v>56</v>
      </c>
      <c r="B16" s="2" t="str">
        <f t="shared" si="0"/>
        <v>6U08KP1HM5089</v>
      </c>
      <c r="C16" s="2" t="s">
        <v>137</v>
      </c>
      <c r="D16" s="2" t="s">
        <v>138</v>
      </c>
      <c r="E16" s="2" t="str">
        <f>CONCATENATE(D16," ",C16)</f>
        <v>DOUGLAS DALEY</v>
      </c>
      <c r="F16" s="2" t="s">
        <v>59</v>
      </c>
      <c r="G16" s="2" t="s">
        <v>28</v>
      </c>
      <c r="H16" s="2" t="s">
        <v>29</v>
      </c>
      <c r="I16" s="3">
        <v>46113</v>
      </c>
      <c r="J16" s="3">
        <v>46113</v>
      </c>
      <c r="K16" s="2">
        <v>8307933</v>
      </c>
      <c r="L16" s="2" t="s">
        <v>62</v>
      </c>
      <c r="M16" s="2" t="s">
        <v>34</v>
      </c>
      <c r="N16" s="2">
        <v>372.75</v>
      </c>
      <c r="O16" s="2">
        <v>260.25</v>
      </c>
      <c r="P16" s="2" t="s">
        <v>166</v>
      </c>
      <c r="Q16" s="2" t="s">
        <v>172</v>
      </c>
      <c r="R16" s="2">
        <f>347/12*9</f>
        <v>260.25</v>
      </c>
    </row>
    <row r="17" spans="1:28" s="4" customFormat="1" x14ac:dyDescent="0.25">
      <c r="A17" s="4" t="s">
        <v>120</v>
      </c>
      <c r="B17" s="4" t="str">
        <f>CONCATENATE(A17,"OVR")</f>
        <v>2UK8HC7AY26OVR</v>
      </c>
      <c r="C17" s="4" t="s">
        <v>162</v>
      </c>
      <c r="D17" s="4" t="s">
        <v>163</v>
      </c>
      <c r="E17" s="4" t="str">
        <f>CONCATENATE(D17," ",C17)</f>
        <v>JOHN SEWTER</v>
      </c>
      <c r="F17" s="4" t="s">
        <v>27</v>
      </c>
      <c r="G17" s="4" t="s">
        <v>41</v>
      </c>
      <c r="H17" s="4" t="s">
        <v>29</v>
      </c>
      <c r="I17" s="5">
        <v>46054</v>
      </c>
      <c r="J17" s="5">
        <v>46054</v>
      </c>
      <c r="K17" s="4">
        <v>20411454</v>
      </c>
      <c r="L17" s="4" t="s">
        <v>176</v>
      </c>
      <c r="M17" s="4" t="s">
        <v>34</v>
      </c>
      <c r="N17" s="4">
        <v>-455.58</v>
      </c>
      <c r="O17" s="4">
        <v>-137.5</v>
      </c>
      <c r="P17" s="4" t="s">
        <v>167</v>
      </c>
    </row>
    <row r="18" spans="1:28" s="2" customFormat="1" x14ac:dyDescent="0.25">
      <c r="A18" s="4" t="s">
        <v>108</v>
      </c>
      <c r="B18" s="4" t="str">
        <f t="shared" ref="B18:B39" si="1">CONCATENATE(A18,"OVR")</f>
        <v>6Y90AW9TK36OVR</v>
      </c>
      <c r="C18" s="4" t="s">
        <v>157</v>
      </c>
      <c r="D18" s="4" t="s">
        <v>158</v>
      </c>
      <c r="E18" s="4" t="str">
        <f>CONCATENATE(D18," ",C18)</f>
        <v>KEVIN MYERS</v>
      </c>
      <c r="F18" s="4" t="s">
        <v>40</v>
      </c>
      <c r="G18" s="4" t="s">
        <v>111</v>
      </c>
      <c r="H18" s="4" t="s">
        <v>29</v>
      </c>
      <c r="I18" s="5">
        <v>46113</v>
      </c>
      <c r="J18" s="5">
        <v>46113</v>
      </c>
      <c r="K18" s="4">
        <v>20411454</v>
      </c>
      <c r="L18" s="4" t="s">
        <v>176</v>
      </c>
      <c r="M18" s="4" t="s">
        <v>34</v>
      </c>
      <c r="N18" s="4">
        <v>-405.75</v>
      </c>
      <c r="O18" s="4">
        <v>-112.5</v>
      </c>
      <c r="P18" s="4" t="s">
        <v>167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s="4" customFormat="1" x14ac:dyDescent="0.25">
      <c r="A19" s="4" t="s">
        <v>74</v>
      </c>
      <c r="B19" s="4" t="str">
        <f t="shared" si="1"/>
        <v>6ND7NH6JT45OVR</v>
      </c>
      <c r="C19" s="4" t="s">
        <v>143</v>
      </c>
      <c r="D19" s="4" t="s">
        <v>144</v>
      </c>
      <c r="E19" s="4" t="str">
        <f>CONCATENATE(D19," ",C19)</f>
        <v>MOHAMMAD JALLAQ</v>
      </c>
      <c r="F19" s="4" t="s">
        <v>77</v>
      </c>
      <c r="G19" s="4" t="s">
        <v>82</v>
      </c>
      <c r="H19" s="4" t="s">
        <v>29</v>
      </c>
      <c r="I19" s="5">
        <v>46023</v>
      </c>
      <c r="J19" s="5">
        <v>46023</v>
      </c>
      <c r="K19" s="4">
        <v>20411454</v>
      </c>
      <c r="L19" s="4" t="s">
        <v>176</v>
      </c>
      <c r="M19" s="4" t="s">
        <v>34</v>
      </c>
      <c r="N19" s="4">
        <v>-80.33</v>
      </c>
      <c r="O19" s="4">
        <v>-22.5</v>
      </c>
      <c r="P19" s="4" t="s">
        <v>167</v>
      </c>
    </row>
    <row r="20" spans="1:28" s="2" customFormat="1" x14ac:dyDescent="0.25">
      <c r="A20" s="4" t="s">
        <v>37</v>
      </c>
      <c r="B20" s="4" t="str">
        <f t="shared" si="1"/>
        <v>9RY7NQ8UN78OVR</v>
      </c>
      <c r="C20" s="4" t="s">
        <v>131</v>
      </c>
      <c r="D20" s="4" t="s">
        <v>132</v>
      </c>
      <c r="E20" s="4" t="str">
        <f>CONCATENATE(D20," ",C20)</f>
        <v>BEVERLY BENTLEY</v>
      </c>
      <c r="F20" s="4" t="s">
        <v>40</v>
      </c>
      <c r="G20" s="4" t="s">
        <v>41</v>
      </c>
      <c r="H20" s="4" t="s">
        <v>42</v>
      </c>
      <c r="I20" s="5">
        <v>46023</v>
      </c>
      <c r="J20" s="5">
        <v>46023</v>
      </c>
      <c r="K20" s="4">
        <v>20411454</v>
      </c>
      <c r="L20" s="4" t="s">
        <v>176</v>
      </c>
      <c r="M20" s="4" t="s">
        <v>34</v>
      </c>
      <c r="N20" s="4">
        <v>-65</v>
      </c>
      <c r="O20" s="4">
        <v>-65</v>
      </c>
      <c r="P20" s="4" t="s">
        <v>167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s="2" customFormat="1" x14ac:dyDescent="0.25">
      <c r="A21" s="4" t="s">
        <v>86</v>
      </c>
      <c r="B21" s="4" t="str">
        <f t="shared" si="1"/>
        <v>4R32HC9YH90OVR</v>
      </c>
      <c r="C21" s="4" t="s">
        <v>147</v>
      </c>
      <c r="D21" s="4" t="s">
        <v>148</v>
      </c>
      <c r="E21" s="4" t="str">
        <f>CONCATENATE(D21," ",C21)</f>
        <v>GERALD KOCHMAR</v>
      </c>
      <c r="F21" s="4" t="s">
        <v>40</v>
      </c>
      <c r="G21" s="4" t="s">
        <v>41</v>
      </c>
      <c r="H21" s="4" t="s">
        <v>29</v>
      </c>
      <c r="I21" s="5">
        <v>46023</v>
      </c>
      <c r="J21" s="5">
        <v>46023</v>
      </c>
      <c r="K21" s="4">
        <v>20411454</v>
      </c>
      <c r="L21" s="4" t="s">
        <v>176</v>
      </c>
      <c r="M21" s="4" t="s">
        <v>34</v>
      </c>
      <c r="N21" s="4">
        <v>-65</v>
      </c>
      <c r="O21" s="4">
        <v>-65</v>
      </c>
      <c r="P21" s="4" t="s">
        <v>167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s="2" customFormat="1" x14ac:dyDescent="0.25">
      <c r="A22" s="4" t="s">
        <v>91</v>
      </c>
      <c r="B22" s="4" t="str">
        <f t="shared" si="1"/>
        <v>8X93P99AR91OVR</v>
      </c>
      <c r="C22" s="4" t="s">
        <v>147</v>
      </c>
      <c r="D22" s="4" t="s">
        <v>149</v>
      </c>
      <c r="E22" s="4" t="str">
        <f>CONCATENATE(D22," ",C22)</f>
        <v>DOMINICA KOCHMAR</v>
      </c>
      <c r="F22" s="4" t="s">
        <v>40</v>
      </c>
      <c r="G22" s="4" t="s">
        <v>41</v>
      </c>
      <c r="H22" s="4" t="s">
        <v>29</v>
      </c>
      <c r="I22" s="5">
        <v>46023</v>
      </c>
      <c r="J22" s="5">
        <v>46023</v>
      </c>
      <c r="K22" s="4">
        <v>20411454</v>
      </c>
      <c r="L22" s="4" t="s">
        <v>176</v>
      </c>
      <c r="M22" s="4" t="s">
        <v>34</v>
      </c>
      <c r="N22" s="4">
        <v>-65</v>
      </c>
      <c r="O22" s="4">
        <v>-65</v>
      </c>
      <c r="P22" s="4" t="s">
        <v>167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s="4" customFormat="1" x14ac:dyDescent="0.25">
      <c r="A23" s="4" t="s">
        <v>104</v>
      </c>
      <c r="B23" s="4" t="str">
        <f t="shared" si="1"/>
        <v>4AG7RM4MT20OVR</v>
      </c>
      <c r="C23" s="4" t="s">
        <v>155</v>
      </c>
      <c r="D23" s="4" t="s">
        <v>156</v>
      </c>
      <c r="E23" s="4" t="str">
        <f>CONCATENATE(D23," ",C23)</f>
        <v>ROBERT MCCANDLESS</v>
      </c>
      <c r="F23" s="4" t="s">
        <v>40</v>
      </c>
      <c r="G23" s="4" t="s">
        <v>41</v>
      </c>
      <c r="H23" s="4" t="s">
        <v>29</v>
      </c>
      <c r="I23" s="5">
        <v>46023</v>
      </c>
      <c r="J23" s="5">
        <v>46023</v>
      </c>
      <c r="K23" s="4">
        <v>20411454</v>
      </c>
      <c r="L23" s="4" t="s">
        <v>176</v>
      </c>
      <c r="M23" s="4" t="s">
        <v>34</v>
      </c>
      <c r="N23" s="4">
        <v>-65</v>
      </c>
      <c r="O23" s="4">
        <v>-65</v>
      </c>
      <c r="P23" s="4" t="s">
        <v>167</v>
      </c>
    </row>
    <row r="24" spans="1:28" s="4" customFormat="1" x14ac:dyDescent="0.25">
      <c r="A24" s="4" t="s">
        <v>86</v>
      </c>
      <c r="B24" s="4" t="str">
        <f t="shared" si="1"/>
        <v>4R32HC9YH90OVR</v>
      </c>
      <c r="C24" s="4" t="s">
        <v>147</v>
      </c>
      <c r="D24" s="4" t="s">
        <v>148</v>
      </c>
      <c r="E24" s="4" t="str">
        <f>CONCATENATE(D24," ",C24)</f>
        <v>GERALD KOCHMAR</v>
      </c>
      <c r="F24" s="4" t="s">
        <v>40</v>
      </c>
      <c r="G24" s="4" t="s">
        <v>28</v>
      </c>
      <c r="H24" s="4" t="s">
        <v>29</v>
      </c>
      <c r="I24" s="5">
        <v>46113</v>
      </c>
      <c r="J24" s="5">
        <v>46113</v>
      </c>
      <c r="K24" s="4">
        <v>20411454</v>
      </c>
      <c r="L24" s="4" t="s">
        <v>176</v>
      </c>
      <c r="M24" s="4" t="s">
        <v>34</v>
      </c>
      <c r="N24" s="4">
        <v>48.75</v>
      </c>
      <c r="O24" s="4">
        <v>48.75</v>
      </c>
      <c r="P24" s="4" t="s">
        <v>167</v>
      </c>
    </row>
    <row r="25" spans="1:28" s="4" customFormat="1" x14ac:dyDescent="0.25">
      <c r="A25" s="4" t="s">
        <v>91</v>
      </c>
      <c r="B25" s="4" t="str">
        <f t="shared" si="1"/>
        <v>8X93P99AR91OVR</v>
      </c>
      <c r="C25" s="4" t="s">
        <v>147</v>
      </c>
      <c r="D25" s="4" t="s">
        <v>149</v>
      </c>
      <c r="E25" s="4" t="str">
        <f>CONCATENATE(D25," ",C25)</f>
        <v>DOMINICA KOCHMAR</v>
      </c>
      <c r="F25" s="4" t="s">
        <v>40</v>
      </c>
      <c r="G25" s="4" t="s">
        <v>28</v>
      </c>
      <c r="H25" s="4" t="s">
        <v>29</v>
      </c>
      <c r="I25" s="5">
        <v>46113</v>
      </c>
      <c r="J25" s="5">
        <v>46113</v>
      </c>
      <c r="K25" s="4">
        <v>20411454</v>
      </c>
      <c r="L25" s="4" t="s">
        <v>176</v>
      </c>
      <c r="M25" s="4" t="s">
        <v>34</v>
      </c>
      <c r="N25" s="4">
        <v>48.75</v>
      </c>
      <c r="O25" s="4">
        <v>48.75</v>
      </c>
      <c r="P25" s="4" t="s">
        <v>167</v>
      </c>
    </row>
    <row r="26" spans="1:28" s="2" customFormat="1" x14ac:dyDescent="0.25">
      <c r="A26" s="4" t="s">
        <v>98</v>
      </c>
      <c r="B26" s="4" t="str">
        <f t="shared" si="1"/>
        <v>3X95V27VX56OVR</v>
      </c>
      <c r="C26" s="4" t="s">
        <v>152</v>
      </c>
      <c r="D26" s="4" t="s">
        <v>153</v>
      </c>
      <c r="E26" s="4" t="str">
        <f>CONCATENATE(D26," ",C26)</f>
        <v>RICHARD MAJESKY</v>
      </c>
      <c r="F26" s="4" t="s">
        <v>40</v>
      </c>
      <c r="G26" s="4" t="s">
        <v>28</v>
      </c>
      <c r="H26" s="4" t="s">
        <v>29</v>
      </c>
      <c r="I26" s="5">
        <v>46113</v>
      </c>
      <c r="J26" s="5">
        <v>46113</v>
      </c>
      <c r="K26" s="4">
        <v>20411454</v>
      </c>
      <c r="L26" s="4" t="s">
        <v>176</v>
      </c>
      <c r="M26" s="4" t="s">
        <v>34</v>
      </c>
      <c r="N26" s="4">
        <v>48.75</v>
      </c>
      <c r="O26" s="4">
        <v>48.75</v>
      </c>
      <c r="P26" s="4" t="s">
        <v>167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s="2" customFormat="1" x14ac:dyDescent="0.25">
      <c r="A27" s="4" t="s">
        <v>101</v>
      </c>
      <c r="B27" s="4" t="str">
        <f t="shared" si="1"/>
        <v>2CT5PG6WU40OVR</v>
      </c>
      <c r="C27" s="4" t="s">
        <v>152</v>
      </c>
      <c r="D27" s="4" t="s">
        <v>154</v>
      </c>
      <c r="E27" s="4" t="str">
        <f>CONCATENATE(D27," ",C27)</f>
        <v>LISA MAJESKY</v>
      </c>
      <c r="F27" s="4" t="s">
        <v>40</v>
      </c>
      <c r="G27" s="4" t="s">
        <v>28</v>
      </c>
      <c r="H27" s="4" t="s">
        <v>29</v>
      </c>
      <c r="I27" s="5">
        <v>46113</v>
      </c>
      <c r="J27" s="5">
        <v>46113</v>
      </c>
      <c r="K27" s="4">
        <v>20411454</v>
      </c>
      <c r="L27" s="4" t="s">
        <v>176</v>
      </c>
      <c r="M27" s="4" t="s">
        <v>34</v>
      </c>
      <c r="N27" s="4">
        <v>48.75</v>
      </c>
      <c r="O27" s="4">
        <v>48.75</v>
      </c>
      <c r="P27" s="4" t="s">
        <v>167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s="2" customFormat="1" x14ac:dyDescent="0.25">
      <c r="A28" s="4" t="s">
        <v>74</v>
      </c>
      <c r="B28" s="4" t="str">
        <f t="shared" si="1"/>
        <v>6ND7NH6JT45OVR</v>
      </c>
      <c r="C28" s="4" t="s">
        <v>143</v>
      </c>
      <c r="D28" s="4" t="s">
        <v>144</v>
      </c>
      <c r="E28" s="4" t="str">
        <f>CONCATENATE(D28," ",C28)</f>
        <v>MOHAMMAD JALLAQ</v>
      </c>
      <c r="F28" s="4" t="s">
        <v>77</v>
      </c>
      <c r="G28" s="4" t="s">
        <v>78</v>
      </c>
      <c r="H28" s="4" t="s">
        <v>29</v>
      </c>
      <c r="I28" s="5">
        <v>46023</v>
      </c>
      <c r="J28" s="5">
        <v>46023</v>
      </c>
      <c r="K28" s="4">
        <v>20411454</v>
      </c>
      <c r="L28" s="4" t="s">
        <v>176</v>
      </c>
      <c r="M28" s="4" t="s">
        <v>34</v>
      </c>
      <c r="N28" s="4">
        <v>82.83</v>
      </c>
      <c r="O28" s="4">
        <f>150/12*2</f>
        <v>25</v>
      </c>
      <c r="P28" s="4" t="s">
        <v>167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s="2" customFormat="1" x14ac:dyDescent="0.25">
      <c r="A29" s="4" t="s">
        <v>24</v>
      </c>
      <c r="B29" s="4" t="str">
        <f t="shared" si="1"/>
        <v>8GH7PJ6HE47OVR</v>
      </c>
      <c r="C29" s="4" t="s">
        <v>129</v>
      </c>
      <c r="D29" s="4" t="s">
        <v>130</v>
      </c>
      <c r="E29" s="4" t="str">
        <f>CONCATENATE(D29," ",C29)</f>
        <v>SUSAN BANE</v>
      </c>
      <c r="F29" s="4" t="s">
        <v>27</v>
      </c>
      <c r="G29" s="4" t="s">
        <v>28</v>
      </c>
      <c r="H29" s="4" t="s">
        <v>29</v>
      </c>
      <c r="I29" s="5">
        <v>46143</v>
      </c>
      <c r="J29" s="5">
        <v>46143</v>
      </c>
      <c r="K29" s="4">
        <v>20411454</v>
      </c>
      <c r="L29" s="4" t="s">
        <v>176</v>
      </c>
      <c r="M29" s="4" t="s">
        <v>34</v>
      </c>
      <c r="N29" s="4">
        <v>331.33</v>
      </c>
      <c r="O29" s="4">
        <v>100</v>
      </c>
      <c r="P29" s="4" t="s">
        <v>167</v>
      </c>
      <c r="Q29" s="4"/>
      <c r="R29" s="4">
        <f>150/12*8</f>
        <v>100</v>
      </c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s="4" customFormat="1" x14ac:dyDescent="0.25">
      <c r="A30" s="4" t="s">
        <v>56</v>
      </c>
      <c r="B30" s="4" t="str">
        <f t="shared" si="1"/>
        <v>6U08KP1HM50OVR</v>
      </c>
      <c r="C30" s="4" t="s">
        <v>137</v>
      </c>
      <c r="D30" s="4" t="s">
        <v>138</v>
      </c>
      <c r="E30" s="4" t="str">
        <f>CONCATENATE(D30," ",C30)</f>
        <v>DOUGLAS DALEY</v>
      </c>
      <c r="F30" s="4" t="s">
        <v>59</v>
      </c>
      <c r="G30" s="4" t="s">
        <v>28</v>
      </c>
      <c r="H30" s="4" t="s">
        <v>29</v>
      </c>
      <c r="I30" s="5">
        <v>46113</v>
      </c>
      <c r="J30" s="5">
        <v>46113</v>
      </c>
      <c r="K30" s="4">
        <v>20411454</v>
      </c>
      <c r="L30" s="4" t="s">
        <v>176</v>
      </c>
      <c r="M30" s="4" t="s">
        <v>34</v>
      </c>
      <c r="N30" s="4">
        <v>372.75</v>
      </c>
      <c r="O30" s="4">
        <v>112.5</v>
      </c>
      <c r="P30" s="4" t="s">
        <v>167</v>
      </c>
      <c r="R30" s="4">
        <f>150/12*9</f>
        <v>112.5</v>
      </c>
    </row>
    <row r="31" spans="1:28" s="4" customFormat="1" x14ac:dyDescent="0.25">
      <c r="A31" s="4" t="s">
        <v>69</v>
      </c>
      <c r="B31" s="4" t="str">
        <f t="shared" si="1"/>
        <v>3DM6WH5JH54OVR</v>
      </c>
      <c r="C31" s="4" t="s">
        <v>141</v>
      </c>
      <c r="D31" s="4" t="s">
        <v>142</v>
      </c>
      <c r="E31" s="4" t="str">
        <f>CONCATENATE(D31," ",C31)</f>
        <v>EARLENE FEDERICI</v>
      </c>
      <c r="F31" s="4" t="s">
        <v>27</v>
      </c>
      <c r="G31" s="4" t="s">
        <v>28</v>
      </c>
      <c r="H31" s="4" t="s">
        <v>29</v>
      </c>
      <c r="I31" s="5">
        <v>46113</v>
      </c>
      <c r="J31" s="5">
        <v>46113</v>
      </c>
      <c r="K31" s="4">
        <v>20411454</v>
      </c>
      <c r="L31" s="4" t="s">
        <v>176</v>
      </c>
      <c r="M31" s="4" t="s">
        <v>34</v>
      </c>
      <c r="N31" s="4">
        <v>372.75</v>
      </c>
      <c r="O31" s="4">
        <v>112.5</v>
      </c>
      <c r="P31" s="4" t="s">
        <v>167</v>
      </c>
    </row>
    <row r="32" spans="1:28" s="4" customFormat="1" x14ac:dyDescent="0.25">
      <c r="A32" s="4" t="s">
        <v>112</v>
      </c>
      <c r="B32" s="4" t="str">
        <f t="shared" si="1"/>
        <v>4AV7U25PM34OVR</v>
      </c>
      <c r="C32" s="4" t="s">
        <v>159</v>
      </c>
      <c r="D32" s="4" t="s">
        <v>160</v>
      </c>
      <c r="E32" s="4" t="str">
        <f>CONCATENATE(D32," ",C32)</f>
        <v>CHARLOTTE PAOLELLA</v>
      </c>
      <c r="F32" s="4" t="s">
        <v>77</v>
      </c>
      <c r="G32" s="4" t="s">
        <v>28</v>
      </c>
      <c r="H32" s="4" t="s">
        <v>29</v>
      </c>
      <c r="I32" s="5">
        <v>46113</v>
      </c>
      <c r="J32" s="5">
        <v>46113</v>
      </c>
      <c r="K32" s="4">
        <v>20411454</v>
      </c>
      <c r="L32" s="4" t="s">
        <v>176</v>
      </c>
      <c r="M32" s="4" t="s">
        <v>34</v>
      </c>
      <c r="N32" s="4">
        <v>372.75</v>
      </c>
      <c r="O32" s="4">
        <v>112.5</v>
      </c>
      <c r="P32" s="4" t="s">
        <v>167</v>
      </c>
    </row>
    <row r="33" spans="1:28" s="4" customFormat="1" x14ac:dyDescent="0.25">
      <c r="A33" s="4" t="s">
        <v>47</v>
      </c>
      <c r="B33" s="4" t="str">
        <f t="shared" si="1"/>
        <v>6N20HH2JF25OVR</v>
      </c>
      <c r="C33" s="4" t="s">
        <v>133</v>
      </c>
      <c r="D33" s="4" t="s">
        <v>134</v>
      </c>
      <c r="E33" s="4" t="str">
        <f>CONCATENATE(D33," ",C33)</f>
        <v>ALLAN BULLOCK</v>
      </c>
      <c r="F33" s="4" t="s">
        <v>40</v>
      </c>
      <c r="G33" s="4" t="s">
        <v>28</v>
      </c>
      <c r="H33" s="4" t="s">
        <v>29</v>
      </c>
      <c r="I33" s="5">
        <v>46113</v>
      </c>
      <c r="J33" s="5">
        <v>46113</v>
      </c>
      <c r="K33" s="4">
        <v>20411454</v>
      </c>
      <c r="L33" s="4" t="s">
        <v>176</v>
      </c>
      <c r="M33" s="4" t="s">
        <v>34</v>
      </c>
      <c r="N33" s="4">
        <v>405.75</v>
      </c>
      <c r="O33" s="4">
        <v>112.5</v>
      </c>
      <c r="P33" s="4" t="s">
        <v>167</v>
      </c>
    </row>
    <row r="34" spans="1:28" s="2" customFormat="1" x14ac:dyDescent="0.25">
      <c r="A34" s="4" t="s">
        <v>52</v>
      </c>
      <c r="B34" s="4" t="str">
        <f t="shared" si="1"/>
        <v>2X82RW7XC98OVR</v>
      </c>
      <c r="C34" s="4" t="s">
        <v>135</v>
      </c>
      <c r="D34" s="4" t="s">
        <v>136</v>
      </c>
      <c r="E34" s="4" t="str">
        <f>CONCATENATE(D34," ",C34)</f>
        <v>TINA CURTIS</v>
      </c>
      <c r="F34" s="4" t="s">
        <v>40</v>
      </c>
      <c r="G34" s="4" t="s">
        <v>28</v>
      </c>
      <c r="H34" s="4" t="s">
        <v>29</v>
      </c>
      <c r="I34" s="5">
        <v>46113</v>
      </c>
      <c r="J34" s="5">
        <v>46113</v>
      </c>
      <c r="K34" s="4">
        <v>20411454</v>
      </c>
      <c r="L34" s="4" t="s">
        <v>176</v>
      </c>
      <c r="M34" s="4" t="s">
        <v>34</v>
      </c>
      <c r="N34" s="4">
        <v>405.75</v>
      </c>
      <c r="O34" s="4">
        <v>112.5</v>
      </c>
      <c r="P34" s="4" t="s">
        <v>167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s="4" customFormat="1" x14ac:dyDescent="0.25">
      <c r="A35" s="4" t="s">
        <v>94</v>
      </c>
      <c r="B35" s="4" t="str">
        <f t="shared" si="1"/>
        <v>6UD9A75JD53OVR</v>
      </c>
      <c r="C35" s="4" t="s">
        <v>150</v>
      </c>
      <c r="D35" s="4" t="s">
        <v>151</v>
      </c>
      <c r="E35" s="4" t="str">
        <f>CONCATENATE(D35," ",C35)</f>
        <v>GARY LAPISKA</v>
      </c>
      <c r="F35" s="4" t="s">
        <v>40</v>
      </c>
      <c r="G35" s="4" t="s">
        <v>28</v>
      </c>
      <c r="H35" s="4" t="s">
        <v>29</v>
      </c>
      <c r="I35" s="5">
        <v>46113</v>
      </c>
      <c r="J35" s="5">
        <v>46113</v>
      </c>
      <c r="K35" s="4">
        <v>20411454</v>
      </c>
      <c r="L35" s="4" t="s">
        <v>176</v>
      </c>
      <c r="M35" s="4" t="s">
        <v>34</v>
      </c>
      <c r="N35" s="4">
        <v>405.75</v>
      </c>
      <c r="O35" s="4">
        <v>112.5</v>
      </c>
      <c r="P35" s="4" t="s">
        <v>167</v>
      </c>
    </row>
    <row r="36" spans="1:28" s="2" customFormat="1" x14ac:dyDescent="0.25">
      <c r="A36" s="4" t="s">
        <v>117</v>
      </c>
      <c r="B36" s="4" t="str">
        <f t="shared" si="1"/>
        <v>8HA2GJ7EV05OVR</v>
      </c>
      <c r="C36" s="4" t="s">
        <v>161</v>
      </c>
      <c r="D36" s="4" t="s">
        <v>136</v>
      </c>
      <c r="E36" s="4" t="str">
        <f>CONCATENATE(D36," ",C36)</f>
        <v>TINA PIAZZA</v>
      </c>
      <c r="F36" s="4" t="s">
        <v>40</v>
      </c>
      <c r="G36" s="4" t="s">
        <v>28</v>
      </c>
      <c r="H36" s="4" t="s">
        <v>29</v>
      </c>
      <c r="I36" s="5">
        <v>46113</v>
      </c>
      <c r="J36" s="5">
        <v>46113</v>
      </c>
      <c r="K36" s="4">
        <v>20411454</v>
      </c>
      <c r="L36" s="4" t="s">
        <v>176</v>
      </c>
      <c r="M36" s="4" t="s">
        <v>34</v>
      </c>
      <c r="N36" s="4">
        <v>405.75</v>
      </c>
      <c r="O36" s="4">
        <v>112.5</v>
      </c>
      <c r="P36" s="4" t="s">
        <v>167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s="2" customFormat="1" x14ac:dyDescent="0.25">
      <c r="A37" s="4" t="s">
        <v>83</v>
      </c>
      <c r="B37" s="4" t="str">
        <f t="shared" si="1"/>
        <v>4UY7J83RP49OVR</v>
      </c>
      <c r="C37" s="4" t="s">
        <v>145</v>
      </c>
      <c r="D37" s="4" t="s">
        <v>146</v>
      </c>
      <c r="E37" s="4" t="str">
        <f>CONCATENATE(D37," ",C37)</f>
        <v>BANK JANI</v>
      </c>
      <c r="F37" s="4" t="s">
        <v>40</v>
      </c>
      <c r="G37" s="4" t="s">
        <v>28</v>
      </c>
      <c r="H37" s="4" t="s">
        <v>29</v>
      </c>
      <c r="I37" s="5">
        <v>46082</v>
      </c>
      <c r="J37" s="5">
        <v>46082</v>
      </c>
      <c r="K37" s="4">
        <v>20411454</v>
      </c>
      <c r="L37" s="4" t="s">
        <v>176</v>
      </c>
      <c r="M37" s="4" t="s">
        <v>34</v>
      </c>
      <c r="N37" s="4">
        <v>450.83</v>
      </c>
      <c r="O37" s="4">
        <v>125</v>
      </c>
      <c r="P37" s="4" t="s">
        <v>167</v>
      </c>
      <c r="Q37" s="4"/>
      <c r="R37" s="4">
        <f>150/12*10</f>
        <v>125</v>
      </c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s="4" customFormat="1" x14ac:dyDescent="0.25">
      <c r="A38" s="4" t="s">
        <v>63</v>
      </c>
      <c r="B38" s="4" t="str">
        <f t="shared" si="1"/>
        <v>4EY6Q76KW45OVR</v>
      </c>
      <c r="C38" s="4" t="s">
        <v>139</v>
      </c>
      <c r="D38" s="4" t="s">
        <v>140</v>
      </c>
      <c r="E38" s="4" t="str">
        <f>CONCATENATE(D38," ",C38)</f>
        <v>ROCHELLE DAVIS</v>
      </c>
      <c r="F38" s="4" t="s">
        <v>27</v>
      </c>
      <c r="G38" s="4" t="s">
        <v>28</v>
      </c>
      <c r="H38" s="4" t="s">
        <v>29</v>
      </c>
      <c r="I38" s="5">
        <v>46023</v>
      </c>
      <c r="J38" s="5">
        <v>46023</v>
      </c>
      <c r="K38" s="4">
        <v>20411454</v>
      </c>
      <c r="L38" s="4" t="s">
        <v>176</v>
      </c>
      <c r="M38" s="4" t="s">
        <v>34</v>
      </c>
      <c r="N38" s="4">
        <v>497</v>
      </c>
      <c r="O38" s="4">
        <v>150</v>
      </c>
      <c r="P38" s="4" t="s">
        <v>167</v>
      </c>
    </row>
    <row r="39" spans="1:28" s="4" customFormat="1" x14ac:dyDescent="0.25">
      <c r="A39" s="4" t="s">
        <v>124</v>
      </c>
      <c r="B39" s="4" t="str">
        <f t="shared" si="1"/>
        <v>2QK9J72EK45OVR</v>
      </c>
      <c r="C39" s="4" t="s">
        <v>164</v>
      </c>
      <c r="D39" s="4" t="s">
        <v>165</v>
      </c>
      <c r="E39" s="4" t="str">
        <f>CONCATENATE(D39," ",C39)</f>
        <v>MOHAMMED SIDDIQUI</v>
      </c>
      <c r="F39" s="4" t="s">
        <v>27</v>
      </c>
      <c r="G39" s="4" t="s">
        <v>28</v>
      </c>
      <c r="H39" s="4" t="s">
        <v>29</v>
      </c>
      <c r="I39" s="5">
        <v>46023</v>
      </c>
      <c r="J39" s="5">
        <v>46023</v>
      </c>
      <c r="K39" s="4">
        <v>20411454</v>
      </c>
      <c r="L39" s="4" t="s">
        <v>176</v>
      </c>
      <c r="M39" s="4" t="s">
        <v>34</v>
      </c>
      <c r="N39" s="4">
        <v>497</v>
      </c>
      <c r="O39" s="4">
        <v>150</v>
      </c>
      <c r="P39" s="4" t="s">
        <v>167</v>
      </c>
    </row>
  </sheetData>
  <sortState xmlns:xlrd2="http://schemas.microsoft.com/office/spreadsheetml/2017/richdata2" ref="A2:AB16">
    <sortCondition ref="L2:L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2026-04-10T07:38:50Z</dcterms:created>
  <dcterms:modified xsi:type="dcterms:W3CDTF">2026-04-10T13:26:51Z</dcterms:modified>
</cp:coreProperties>
</file>