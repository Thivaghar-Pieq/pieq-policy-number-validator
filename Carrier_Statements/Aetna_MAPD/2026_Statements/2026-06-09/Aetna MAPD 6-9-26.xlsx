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6-09\"/>
    </mc:Choice>
  </mc:AlternateContent>
  <xr:revisionPtr revIDLastSave="0" documentId="13_ncr:1_{4AA71FE9-F5B2-4D82-8B1F-1A232F077854}" xr6:coauthVersionLast="47" xr6:coauthVersionMax="47" xr10:uidLastSave="{00000000-0000-0000-0000-000000000000}"/>
  <bookViews>
    <workbookView xWindow="-120" yWindow="-120" windowWidth="29040" windowHeight="15720" activeTab="1" xr2:uid="{2604647B-476E-47FA-B277-C040BEB7A2BD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2" i="2"/>
  <c r="B23" i="2"/>
  <c r="B24" i="2"/>
  <c r="B25" i="2"/>
  <c r="B26" i="2"/>
  <c r="B27" i="2"/>
  <c r="B28" i="2"/>
  <c r="B29" i="2"/>
  <c r="B30" i="2"/>
  <c r="B3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M21" i="2"/>
  <c r="M22" i="2"/>
  <c r="M23" i="2"/>
  <c r="M24" i="2"/>
  <c r="M25" i="2"/>
  <c r="M26" i="2"/>
  <c r="M27" i="2"/>
  <c r="M28" i="2"/>
  <c r="M29" i="2"/>
  <c r="M30" i="2"/>
  <c r="M31" i="2"/>
  <c r="M20" i="2"/>
  <c r="P15" i="2"/>
  <c r="E28" i="2"/>
  <c r="E27" i="2"/>
  <c r="P30" i="2"/>
  <c r="P18" i="2"/>
  <c r="E30" i="2"/>
  <c r="P31" i="2"/>
  <c r="P19" i="2"/>
  <c r="E31" i="2"/>
  <c r="P29" i="2"/>
  <c r="P17" i="2"/>
  <c r="E29" i="2"/>
  <c r="E26" i="2"/>
  <c r="E25" i="2"/>
  <c r="E24" i="2"/>
  <c r="E23" i="2"/>
  <c r="E22" i="2"/>
  <c r="P7" i="2"/>
  <c r="P6" i="2"/>
  <c r="P5" i="2"/>
  <c r="P4" i="2"/>
  <c r="P3" i="2"/>
  <c r="P2" i="2"/>
  <c r="P21" i="2"/>
  <c r="P9" i="2"/>
  <c r="E21" i="2"/>
  <c r="P20" i="2"/>
  <c r="P8" i="2"/>
  <c r="E20" i="2"/>
  <c r="E9" i="2"/>
  <c r="E2" i="2"/>
  <c r="E3" i="2"/>
  <c r="E4" i="2"/>
  <c r="E5" i="2"/>
  <c r="E6" i="2"/>
  <c r="E7" i="2"/>
  <c r="E10" i="2"/>
  <c r="E11" i="2"/>
  <c r="E12" i="2"/>
  <c r="E13" i="2"/>
  <c r="E14" i="2"/>
  <c r="E15" i="2"/>
  <c r="E16" i="2"/>
  <c r="E17" i="2"/>
  <c r="E18" i="2"/>
  <c r="E19" i="2"/>
  <c r="E8" i="2"/>
</calcChain>
</file>

<file path=xl/sharedStrings.xml><?xml version="1.0" encoding="utf-8"?>
<sst xmlns="http://schemas.openxmlformats.org/spreadsheetml/2006/main" count="509" uniqueCount="109">
  <si>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</si>
  <si>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</si>
  <si>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</si>
  <si>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</si>
  <si>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</si>
  <si>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</si>
  <si>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</si>
  <si>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</si>
  <si>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</si>
  <si>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</si>
  <si>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</si>
  <si>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</si>
  <si>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</si>
  <si>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</si>
  <si>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</si>
  <si>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</si>
  <si>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</si>
  <si>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</si>
  <si>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</si>
  <si>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</si>
  <si>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</si>
  <si>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</si>
  <si>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</si>
  <si>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</si>
  <si>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7C07VF9JM20</t>
  </si>
  <si>
    <t>NG102281168000</t>
  </si>
  <si>
    <t>DECKER O,JAMES</t>
  </si>
  <si>
    <t>OH</t>
  </si>
  <si>
    <t>New Business</t>
  </si>
  <si>
    <t>MAPD</t>
  </si>
  <si>
    <t>IMM617</t>
  </si>
  <si>
    <t>H0628-005</t>
  </si>
  <si>
    <t>LOA</t>
  </si>
  <si>
    <t>SHEPARD RYAN</t>
  </si>
  <si>
    <t>MMO</t>
  </si>
  <si>
    <t>Main Line Benefits LLC</t>
  </si>
  <si>
    <t xml:space="preserve">N  </t>
  </si>
  <si>
    <t>3R09NV7AT43</t>
  </si>
  <si>
    <t>NG102280969100</t>
  </si>
  <si>
    <t>GUILL D,AMY</t>
  </si>
  <si>
    <t>9HA9GR9AY00</t>
  </si>
  <si>
    <t>NG102044738100</t>
  </si>
  <si>
    <t>HOEPPNER B,SUSAN</t>
  </si>
  <si>
    <t>TN</t>
  </si>
  <si>
    <t>Exception</t>
  </si>
  <si>
    <t>IMM609</t>
  </si>
  <si>
    <t>H5521-254</t>
  </si>
  <si>
    <t>Teipel, Gregory</t>
  </si>
  <si>
    <t>GMO</t>
  </si>
  <si>
    <t>3UV2FE7VT00</t>
  </si>
  <si>
    <t>NG101041888400</t>
  </si>
  <si>
    <t>HUBER L,SHARON</t>
  </si>
  <si>
    <t>IL</t>
  </si>
  <si>
    <t>Pro-Rata Payment</t>
  </si>
  <si>
    <t>IMM619</t>
  </si>
  <si>
    <t>H7301-027</t>
  </si>
  <si>
    <t>Deaton, Pamela</t>
  </si>
  <si>
    <t>Pro-Rata Disenroll</t>
  </si>
  <si>
    <t>5GC4RR4EF64</t>
  </si>
  <si>
    <t>NG102280950100</t>
  </si>
  <si>
    <t>ISIROV T,NASTE</t>
  </si>
  <si>
    <t>IMM606</t>
  </si>
  <si>
    <t>H5521-086</t>
  </si>
  <si>
    <t>Yale, Richard</t>
  </si>
  <si>
    <t>OH9999999</t>
  </si>
  <si>
    <t>ME0000OH</t>
  </si>
  <si>
    <t>OHIO, JANE</t>
  </si>
  <si>
    <t>HRA</t>
  </si>
  <si>
    <t>PPO</t>
  </si>
  <si>
    <t>H5521-087</t>
  </si>
  <si>
    <t>HRA/DRXI785R4754M/17094718/PENNINGTON_STEVEN</t>
  </si>
  <si>
    <t>MAIN LINE BENEFITS LLC</t>
  </si>
  <si>
    <t>N/A</t>
  </si>
  <si>
    <t>5PE1P46NK29</t>
  </si>
  <si>
    <t>NG102281143100</t>
  </si>
  <si>
    <t>PENNINGTON R,STEVEN</t>
  </si>
  <si>
    <t>H0628-038</t>
  </si>
  <si>
    <t>HANSFORD, GREGORY</t>
  </si>
  <si>
    <t>6D74Q61UV62</t>
  </si>
  <si>
    <t>NG102281133600</t>
  </si>
  <si>
    <t>RYDER W,KEN</t>
  </si>
  <si>
    <t>FL</t>
  </si>
  <si>
    <t>IMM604</t>
  </si>
  <si>
    <t>H5521-710</t>
  </si>
  <si>
    <t>Total Payee Amount: $4612.03</t>
  </si>
  <si>
    <t>DECKER</t>
  </si>
  <si>
    <t>JAMES</t>
  </si>
  <si>
    <t>GUILL</t>
  </si>
  <si>
    <t>AMY</t>
  </si>
  <si>
    <t>HOEPPNER</t>
  </si>
  <si>
    <t>SUSAN</t>
  </si>
  <si>
    <t>HUBER</t>
  </si>
  <si>
    <t>SHARON</t>
  </si>
  <si>
    <t>ISIROV</t>
  </si>
  <si>
    <t>NASTE</t>
  </si>
  <si>
    <t>PENNINGTON</t>
  </si>
  <si>
    <t>STEVEN</t>
  </si>
  <si>
    <t>RYDER</t>
  </si>
  <si>
    <t>KEN</t>
  </si>
  <si>
    <t>[%/$=347][prorate=1/12]</t>
  </si>
  <si>
    <t>Aetna MAPD 2026*</t>
  </si>
  <si>
    <t>[%/$=358][prorate=1/12]</t>
  </si>
  <si>
    <t>Aetna MAPD 2025*</t>
  </si>
  <si>
    <t>[%/$=347][prorate=5/12]</t>
  </si>
  <si>
    <t>[%/$=347][prorate=6/12]</t>
  </si>
  <si>
    <t>[%/$=347][prorate=7/12]</t>
  </si>
  <si>
    <t>Aetna MAPD OVR 2026</t>
  </si>
  <si>
    <t>[%/$=347][prorate=12/12]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</si>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</sst>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33" borderId="0" xfId="0" applyNumberFormat="1" applyFill="1"/>
    <xf numFmtId="0" fontId="0" fillId="35" borderId="0" xfId="0" applyFill="1"/>
    <xf numFmtId="14" fontId="0" fillId="35" borderId="0" xfId="0" applyNumberFormat="1" applyFill="1"/>
    <xf numFmtId="2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22DB-115D-4B0E-92EC-49E453985F2A}">
  <dimension ref="A1:X59"/>
  <sheetViews>
    <sheetView topLeftCell="H1" workbookViewId="0">
      <selection activeCell="H1" sqref="A1:XFD1048576"/>
    </sheetView>
  </sheetViews>
  <sheetFormatPr defaultRowHeight="15" x14ac:dyDescent="0.25"/>
  <cols>
    <col min="1" max="1" width="28" bestFit="1" customWidth="1"/>
    <col min="2" max="2" width="17.28515625" bestFit="1" customWidth="1"/>
    <col min="3" max="3" width="23.140625" bestFit="1" customWidth="1"/>
    <col min="4" max="4" width="17.42578125" bestFit="1" customWidth="1"/>
    <col min="5" max="5" width="24.1406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50.57031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1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46182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46235</v>
      </c>
      <c r="M2" s="1">
        <v>46235</v>
      </c>
      <c r="O2">
        <v>16170994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207.08</v>
      </c>
      <c r="V2" t="s">
        <v>36</v>
      </c>
      <c r="W2" s="1">
        <v>46162</v>
      </c>
      <c r="X2">
        <v>2026</v>
      </c>
    </row>
    <row r="3" spans="1:24" x14ac:dyDescent="0.25">
      <c r="A3" s="1">
        <v>46182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L3" s="1">
        <v>46204</v>
      </c>
      <c r="M3" s="1">
        <v>46204</v>
      </c>
      <c r="O3">
        <v>16170994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248.5</v>
      </c>
      <c r="V3" t="s">
        <v>36</v>
      </c>
      <c r="W3" s="1">
        <v>46161</v>
      </c>
      <c r="X3">
        <v>2026</v>
      </c>
    </row>
    <row r="4" spans="1:24" x14ac:dyDescent="0.25">
      <c r="A4" s="1">
        <v>46182</v>
      </c>
      <c r="B4" t="s">
        <v>40</v>
      </c>
      <c r="C4" t="s">
        <v>41</v>
      </c>
      <c r="E4" t="s">
        <v>42</v>
      </c>
      <c r="F4" t="s">
        <v>43</v>
      </c>
      <c r="G4" t="s">
        <v>44</v>
      </c>
      <c r="H4" t="s">
        <v>29</v>
      </c>
      <c r="I4" t="s">
        <v>45</v>
      </c>
      <c r="J4" t="s">
        <v>46</v>
      </c>
      <c r="L4" s="1">
        <v>45839</v>
      </c>
      <c r="M4" s="1">
        <v>45536</v>
      </c>
      <c r="O4">
        <v>8307933</v>
      </c>
      <c r="P4" t="s">
        <v>32</v>
      </c>
      <c r="Q4" t="s">
        <v>47</v>
      </c>
      <c r="R4">
        <v>8192</v>
      </c>
      <c r="S4" t="s">
        <v>48</v>
      </c>
      <c r="T4" t="s">
        <v>35</v>
      </c>
      <c r="U4">
        <v>29.83</v>
      </c>
      <c r="V4" t="s">
        <v>36</v>
      </c>
      <c r="W4" s="1">
        <v>45511</v>
      </c>
      <c r="X4">
        <v>2026</v>
      </c>
    </row>
    <row r="5" spans="1:24" x14ac:dyDescent="0.25">
      <c r="A5" s="1">
        <v>46182</v>
      </c>
      <c r="B5" t="s">
        <v>40</v>
      </c>
      <c r="C5" t="s">
        <v>41</v>
      </c>
      <c r="E5" t="s">
        <v>42</v>
      </c>
      <c r="F5" t="s">
        <v>43</v>
      </c>
      <c r="G5" t="s">
        <v>44</v>
      </c>
      <c r="H5" t="s">
        <v>29</v>
      </c>
      <c r="I5" t="s">
        <v>45</v>
      </c>
      <c r="J5" t="s">
        <v>46</v>
      </c>
      <c r="L5" s="1">
        <v>45870</v>
      </c>
      <c r="M5" s="1">
        <v>45536</v>
      </c>
      <c r="O5">
        <v>8307933</v>
      </c>
      <c r="P5" t="s">
        <v>32</v>
      </c>
      <c r="Q5" t="s">
        <v>47</v>
      </c>
      <c r="R5">
        <v>8192</v>
      </c>
      <c r="S5" t="s">
        <v>48</v>
      </c>
      <c r="T5" t="s">
        <v>35</v>
      </c>
      <c r="U5">
        <v>29.83</v>
      </c>
      <c r="V5" t="s">
        <v>36</v>
      </c>
      <c r="W5" s="1">
        <v>45511</v>
      </c>
      <c r="X5">
        <v>2026</v>
      </c>
    </row>
    <row r="6" spans="1:24" x14ac:dyDescent="0.25">
      <c r="A6" s="1">
        <v>46182</v>
      </c>
      <c r="B6" t="s">
        <v>40</v>
      </c>
      <c r="C6" t="s">
        <v>41</v>
      </c>
      <c r="E6" t="s">
        <v>42</v>
      </c>
      <c r="F6" t="s">
        <v>43</v>
      </c>
      <c r="G6" t="s">
        <v>44</v>
      </c>
      <c r="H6" t="s">
        <v>29</v>
      </c>
      <c r="I6" t="s">
        <v>45</v>
      </c>
      <c r="J6" t="s">
        <v>46</v>
      </c>
      <c r="L6" s="1">
        <v>45901</v>
      </c>
      <c r="M6" s="1">
        <v>45536</v>
      </c>
      <c r="O6">
        <v>8307933</v>
      </c>
      <c r="P6" t="s">
        <v>32</v>
      </c>
      <c r="Q6" t="s">
        <v>47</v>
      </c>
      <c r="R6">
        <v>8192</v>
      </c>
      <c r="S6" t="s">
        <v>48</v>
      </c>
      <c r="T6" t="s">
        <v>35</v>
      </c>
      <c r="U6">
        <v>29.83</v>
      </c>
      <c r="V6" t="s">
        <v>36</v>
      </c>
      <c r="W6" s="1">
        <v>45511</v>
      </c>
      <c r="X6">
        <v>2026</v>
      </c>
    </row>
    <row r="7" spans="1:24" x14ac:dyDescent="0.25">
      <c r="A7" s="1">
        <v>46182</v>
      </c>
      <c r="B7" t="s">
        <v>40</v>
      </c>
      <c r="C7" t="s">
        <v>41</v>
      </c>
      <c r="E7" t="s">
        <v>42</v>
      </c>
      <c r="F7" t="s">
        <v>43</v>
      </c>
      <c r="G7" t="s">
        <v>44</v>
      </c>
      <c r="H7" t="s">
        <v>29</v>
      </c>
      <c r="I7" t="s">
        <v>45</v>
      </c>
      <c r="J7" t="s">
        <v>46</v>
      </c>
      <c r="L7" s="1">
        <v>45931</v>
      </c>
      <c r="M7" s="1">
        <v>45536</v>
      </c>
      <c r="O7">
        <v>8307933</v>
      </c>
      <c r="P7" t="s">
        <v>32</v>
      </c>
      <c r="Q7" t="s">
        <v>47</v>
      </c>
      <c r="R7">
        <v>8192</v>
      </c>
      <c r="S7" t="s">
        <v>48</v>
      </c>
      <c r="T7" t="s">
        <v>35</v>
      </c>
      <c r="U7">
        <v>29.83</v>
      </c>
      <c r="V7" t="s">
        <v>36</v>
      </c>
      <c r="W7" s="1">
        <v>45511</v>
      </c>
      <c r="X7">
        <v>2026</v>
      </c>
    </row>
    <row r="8" spans="1:24" x14ac:dyDescent="0.25">
      <c r="A8" s="1">
        <v>46182</v>
      </c>
      <c r="B8" t="s">
        <v>40</v>
      </c>
      <c r="C8" t="s">
        <v>41</v>
      </c>
      <c r="E8" t="s">
        <v>42</v>
      </c>
      <c r="F8" t="s">
        <v>43</v>
      </c>
      <c r="G8" t="s">
        <v>44</v>
      </c>
      <c r="H8" t="s">
        <v>29</v>
      </c>
      <c r="I8" t="s">
        <v>45</v>
      </c>
      <c r="J8" t="s">
        <v>46</v>
      </c>
      <c r="L8" s="1">
        <v>45962</v>
      </c>
      <c r="M8" s="1">
        <v>45536</v>
      </c>
      <c r="O8">
        <v>8307933</v>
      </c>
      <c r="P8" t="s">
        <v>32</v>
      </c>
      <c r="Q8" t="s">
        <v>47</v>
      </c>
      <c r="R8">
        <v>8192</v>
      </c>
      <c r="S8" t="s">
        <v>48</v>
      </c>
      <c r="T8" t="s">
        <v>35</v>
      </c>
      <c r="U8">
        <v>29.83</v>
      </c>
      <c r="V8" t="s">
        <v>36</v>
      </c>
      <c r="W8" s="1">
        <v>45511</v>
      </c>
      <c r="X8">
        <v>2026</v>
      </c>
    </row>
    <row r="9" spans="1:24" x14ac:dyDescent="0.25">
      <c r="A9" s="1">
        <v>46182</v>
      </c>
      <c r="B9" t="s">
        <v>40</v>
      </c>
      <c r="C9" t="s">
        <v>41</v>
      </c>
      <c r="E9" t="s">
        <v>42</v>
      </c>
      <c r="F9" t="s">
        <v>43</v>
      </c>
      <c r="G9" t="s">
        <v>44</v>
      </c>
      <c r="H9" t="s">
        <v>29</v>
      </c>
      <c r="I9" t="s">
        <v>45</v>
      </c>
      <c r="J9" t="s">
        <v>46</v>
      </c>
      <c r="L9" s="1">
        <v>45992</v>
      </c>
      <c r="M9" s="1">
        <v>45536</v>
      </c>
      <c r="O9">
        <v>8307933</v>
      </c>
      <c r="P9" t="s">
        <v>32</v>
      </c>
      <c r="Q9" t="s">
        <v>47</v>
      </c>
      <c r="R9">
        <v>8192</v>
      </c>
      <c r="S9" t="s">
        <v>48</v>
      </c>
      <c r="T9" t="s">
        <v>35</v>
      </c>
      <c r="U9">
        <v>29.83</v>
      </c>
      <c r="V9" t="s">
        <v>36</v>
      </c>
      <c r="W9" s="1">
        <v>45511</v>
      </c>
      <c r="X9">
        <v>2026</v>
      </c>
    </row>
    <row r="10" spans="1:24" x14ac:dyDescent="0.25">
      <c r="A10" s="1">
        <v>46182</v>
      </c>
      <c r="B10" t="s">
        <v>40</v>
      </c>
      <c r="C10" t="s">
        <v>41</v>
      </c>
      <c r="E10" t="s">
        <v>42</v>
      </c>
      <c r="F10" t="s">
        <v>43</v>
      </c>
      <c r="G10" t="s">
        <v>44</v>
      </c>
      <c r="H10" t="s">
        <v>29</v>
      </c>
      <c r="I10" t="s">
        <v>45</v>
      </c>
      <c r="J10" t="s">
        <v>46</v>
      </c>
      <c r="L10" s="1">
        <v>46023</v>
      </c>
      <c r="M10" s="1">
        <v>45536</v>
      </c>
      <c r="O10">
        <v>8307933</v>
      </c>
      <c r="P10" t="s">
        <v>32</v>
      </c>
      <c r="Q10" t="s">
        <v>47</v>
      </c>
      <c r="R10">
        <v>8192</v>
      </c>
      <c r="S10" t="s">
        <v>48</v>
      </c>
      <c r="T10" t="s">
        <v>35</v>
      </c>
      <c r="U10">
        <v>32.67</v>
      </c>
      <c r="V10" t="s">
        <v>36</v>
      </c>
      <c r="W10" s="1">
        <v>45511</v>
      </c>
      <c r="X10">
        <v>2026</v>
      </c>
    </row>
    <row r="11" spans="1:24" x14ac:dyDescent="0.25">
      <c r="A11" s="1">
        <v>46182</v>
      </c>
      <c r="B11" t="s">
        <v>40</v>
      </c>
      <c r="C11" t="s">
        <v>41</v>
      </c>
      <c r="E11" t="s">
        <v>42</v>
      </c>
      <c r="F11" t="s">
        <v>43</v>
      </c>
      <c r="G11" t="s">
        <v>44</v>
      </c>
      <c r="H11" t="s">
        <v>29</v>
      </c>
      <c r="I11" t="s">
        <v>45</v>
      </c>
      <c r="J11" t="s">
        <v>46</v>
      </c>
      <c r="L11" s="1">
        <v>46054</v>
      </c>
      <c r="M11" s="1">
        <v>45536</v>
      </c>
      <c r="O11">
        <v>8307933</v>
      </c>
      <c r="P11" t="s">
        <v>32</v>
      </c>
      <c r="Q11" t="s">
        <v>47</v>
      </c>
      <c r="R11">
        <v>8192</v>
      </c>
      <c r="S11" t="s">
        <v>48</v>
      </c>
      <c r="T11" t="s">
        <v>35</v>
      </c>
      <c r="U11">
        <v>32.67</v>
      </c>
      <c r="V11" t="s">
        <v>36</v>
      </c>
      <c r="W11" s="1">
        <v>45511</v>
      </c>
      <c r="X11">
        <v>2026</v>
      </c>
    </row>
    <row r="12" spans="1:24" x14ac:dyDescent="0.25">
      <c r="A12" s="1">
        <v>46182</v>
      </c>
      <c r="B12" t="s">
        <v>40</v>
      </c>
      <c r="C12" t="s">
        <v>41</v>
      </c>
      <c r="E12" t="s">
        <v>42</v>
      </c>
      <c r="F12" t="s">
        <v>43</v>
      </c>
      <c r="G12" t="s">
        <v>44</v>
      </c>
      <c r="H12" t="s">
        <v>29</v>
      </c>
      <c r="I12" t="s">
        <v>45</v>
      </c>
      <c r="J12" t="s">
        <v>46</v>
      </c>
      <c r="L12" s="1">
        <v>46082</v>
      </c>
      <c r="M12" s="1">
        <v>45536</v>
      </c>
      <c r="O12">
        <v>8307933</v>
      </c>
      <c r="P12" t="s">
        <v>32</v>
      </c>
      <c r="Q12" t="s">
        <v>47</v>
      </c>
      <c r="R12">
        <v>8192</v>
      </c>
      <c r="S12" t="s">
        <v>48</v>
      </c>
      <c r="T12" t="s">
        <v>35</v>
      </c>
      <c r="U12">
        <v>32.67</v>
      </c>
      <c r="V12" t="s">
        <v>36</v>
      </c>
      <c r="W12" s="1">
        <v>45511</v>
      </c>
      <c r="X12">
        <v>2026</v>
      </c>
    </row>
    <row r="13" spans="1:24" x14ac:dyDescent="0.25">
      <c r="A13" s="1">
        <v>46182</v>
      </c>
      <c r="B13" t="s">
        <v>40</v>
      </c>
      <c r="C13" t="s">
        <v>41</v>
      </c>
      <c r="E13" t="s">
        <v>42</v>
      </c>
      <c r="F13" t="s">
        <v>43</v>
      </c>
      <c r="G13" t="s">
        <v>44</v>
      </c>
      <c r="H13" t="s">
        <v>29</v>
      </c>
      <c r="I13" t="s">
        <v>45</v>
      </c>
      <c r="J13" t="s">
        <v>46</v>
      </c>
      <c r="L13" s="1">
        <v>46113</v>
      </c>
      <c r="M13" s="1">
        <v>45536</v>
      </c>
      <c r="O13">
        <v>8307933</v>
      </c>
      <c r="P13" t="s">
        <v>32</v>
      </c>
      <c r="Q13" t="s">
        <v>47</v>
      </c>
      <c r="R13">
        <v>8192</v>
      </c>
      <c r="S13" t="s">
        <v>48</v>
      </c>
      <c r="T13" t="s">
        <v>35</v>
      </c>
      <c r="U13">
        <v>32.67</v>
      </c>
      <c r="V13" t="s">
        <v>36</v>
      </c>
      <c r="W13" s="1">
        <v>45511</v>
      </c>
      <c r="X13">
        <v>2026</v>
      </c>
    </row>
    <row r="14" spans="1:24" x14ac:dyDescent="0.25">
      <c r="A14" s="1">
        <v>46182</v>
      </c>
      <c r="B14" t="s">
        <v>40</v>
      </c>
      <c r="C14" t="s">
        <v>41</v>
      </c>
      <c r="E14" t="s">
        <v>42</v>
      </c>
      <c r="F14" t="s">
        <v>43</v>
      </c>
      <c r="G14" t="s">
        <v>44</v>
      </c>
      <c r="H14" t="s">
        <v>29</v>
      </c>
      <c r="I14" t="s">
        <v>45</v>
      </c>
      <c r="J14" t="s">
        <v>46</v>
      </c>
      <c r="L14" s="1">
        <v>46143</v>
      </c>
      <c r="M14" s="1">
        <v>45536</v>
      </c>
      <c r="O14">
        <v>8307933</v>
      </c>
      <c r="P14" t="s">
        <v>32</v>
      </c>
      <c r="Q14" t="s">
        <v>47</v>
      </c>
      <c r="R14">
        <v>8192</v>
      </c>
      <c r="S14" t="s">
        <v>48</v>
      </c>
      <c r="T14" t="s">
        <v>35</v>
      </c>
      <c r="U14">
        <v>32.67</v>
      </c>
      <c r="V14" t="s">
        <v>36</v>
      </c>
      <c r="W14" s="1">
        <v>45511</v>
      </c>
      <c r="X14">
        <v>2026</v>
      </c>
    </row>
    <row r="15" spans="1:24" x14ac:dyDescent="0.25">
      <c r="A15" s="1">
        <v>46182</v>
      </c>
      <c r="B15" t="s">
        <v>49</v>
      </c>
      <c r="C15" t="s">
        <v>50</v>
      </c>
      <c r="E15" t="s">
        <v>51</v>
      </c>
      <c r="F15" t="s">
        <v>52</v>
      </c>
      <c r="G15" t="s">
        <v>53</v>
      </c>
      <c r="H15" t="s">
        <v>29</v>
      </c>
      <c r="I15" t="s">
        <v>54</v>
      </c>
      <c r="J15" t="s">
        <v>55</v>
      </c>
      <c r="L15" s="1">
        <v>46023</v>
      </c>
      <c r="M15" s="1">
        <v>46023</v>
      </c>
      <c r="N15" s="1">
        <v>46173</v>
      </c>
      <c r="O15">
        <v>8244481</v>
      </c>
      <c r="P15" t="s">
        <v>32</v>
      </c>
      <c r="Q15" t="s">
        <v>56</v>
      </c>
      <c r="R15">
        <v>8192</v>
      </c>
      <c r="S15" t="s">
        <v>34</v>
      </c>
      <c r="T15" t="s">
        <v>35</v>
      </c>
      <c r="U15">
        <v>200.83</v>
      </c>
      <c r="V15" t="s">
        <v>36</v>
      </c>
      <c r="W15" s="1">
        <v>45974</v>
      </c>
      <c r="X15">
        <v>2026</v>
      </c>
    </row>
    <row r="16" spans="1:24" x14ac:dyDescent="0.25">
      <c r="A16" s="1">
        <v>46182</v>
      </c>
      <c r="B16" t="s">
        <v>49</v>
      </c>
      <c r="C16" t="s">
        <v>50</v>
      </c>
      <c r="E16" t="s">
        <v>51</v>
      </c>
      <c r="F16" t="s">
        <v>52</v>
      </c>
      <c r="G16" t="s">
        <v>57</v>
      </c>
      <c r="H16" t="s">
        <v>29</v>
      </c>
      <c r="I16" t="s">
        <v>54</v>
      </c>
      <c r="J16" t="s">
        <v>55</v>
      </c>
      <c r="L16" s="1">
        <v>46023</v>
      </c>
      <c r="M16" s="1">
        <v>46023</v>
      </c>
      <c r="N16" s="1">
        <v>46173</v>
      </c>
      <c r="O16">
        <v>8244481</v>
      </c>
      <c r="P16" t="s">
        <v>32</v>
      </c>
      <c r="Q16" t="s">
        <v>56</v>
      </c>
      <c r="R16">
        <v>8192</v>
      </c>
      <c r="S16" t="s">
        <v>34</v>
      </c>
      <c r="T16" t="s">
        <v>35</v>
      </c>
      <c r="U16">
        <v>-482</v>
      </c>
      <c r="V16" t="s">
        <v>36</v>
      </c>
      <c r="W16" s="1">
        <v>45974</v>
      </c>
      <c r="X16">
        <v>2026</v>
      </c>
    </row>
    <row r="17" spans="1:24" x14ac:dyDescent="0.25">
      <c r="A17" s="1">
        <v>46182</v>
      </c>
      <c r="B17" t="s">
        <v>58</v>
      </c>
      <c r="C17" t="s">
        <v>59</v>
      </c>
      <c r="E17" t="s">
        <v>60</v>
      </c>
      <c r="F17" t="s">
        <v>52</v>
      </c>
      <c r="G17" t="s">
        <v>28</v>
      </c>
      <c r="H17" t="s">
        <v>29</v>
      </c>
      <c r="I17" t="s">
        <v>61</v>
      </c>
      <c r="J17" t="s">
        <v>62</v>
      </c>
      <c r="L17" s="1">
        <v>46235</v>
      </c>
      <c r="M17" s="1">
        <v>46235</v>
      </c>
      <c r="O17">
        <v>16633294</v>
      </c>
      <c r="P17" t="s">
        <v>32</v>
      </c>
      <c r="Q17" t="s">
        <v>63</v>
      </c>
      <c r="R17">
        <v>8192</v>
      </c>
      <c r="S17" t="s">
        <v>34</v>
      </c>
      <c r="T17" t="s">
        <v>35</v>
      </c>
      <c r="U17">
        <v>207.08</v>
      </c>
      <c r="V17" t="s">
        <v>36</v>
      </c>
      <c r="W17" s="1">
        <v>46161</v>
      </c>
      <c r="X17">
        <v>2026</v>
      </c>
    </row>
    <row r="18" spans="1:24" x14ac:dyDescent="0.25">
      <c r="A18" s="1">
        <v>46182</v>
      </c>
      <c r="B18" t="s">
        <v>64</v>
      </c>
      <c r="C18" t="s">
        <v>65</v>
      </c>
      <c r="E18" t="s">
        <v>66</v>
      </c>
      <c r="F18" t="s">
        <v>27</v>
      </c>
      <c r="G18" t="s">
        <v>67</v>
      </c>
      <c r="H18" t="s">
        <v>68</v>
      </c>
      <c r="I18" t="s">
        <v>30</v>
      </c>
      <c r="J18" t="s">
        <v>69</v>
      </c>
      <c r="K18" t="s">
        <v>70</v>
      </c>
      <c r="L18" s="1">
        <v>46174</v>
      </c>
      <c r="M18" s="1">
        <v>44562</v>
      </c>
      <c r="R18">
        <v>8192</v>
      </c>
      <c r="T18" t="s">
        <v>71</v>
      </c>
      <c r="U18">
        <v>55</v>
      </c>
      <c r="V18" t="s">
        <v>72</v>
      </c>
      <c r="W18" s="1">
        <v>44501</v>
      </c>
      <c r="X18">
        <v>2026</v>
      </c>
    </row>
    <row r="19" spans="1:24" x14ac:dyDescent="0.25">
      <c r="A19" s="1">
        <v>46182</v>
      </c>
      <c r="B19" t="s">
        <v>73</v>
      </c>
      <c r="C19" t="s">
        <v>74</v>
      </c>
      <c r="E19" t="s">
        <v>75</v>
      </c>
      <c r="F19" t="s">
        <v>27</v>
      </c>
      <c r="G19" t="s">
        <v>28</v>
      </c>
      <c r="H19" t="s">
        <v>29</v>
      </c>
      <c r="I19" t="s">
        <v>30</v>
      </c>
      <c r="J19" t="s">
        <v>76</v>
      </c>
      <c r="L19" s="1">
        <v>46174</v>
      </c>
      <c r="M19" s="1">
        <v>46174</v>
      </c>
      <c r="O19">
        <v>17094718</v>
      </c>
      <c r="P19" t="s">
        <v>32</v>
      </c>
      <c r="Q19" t="s">
        <v>77</v>
      </c>
      <c r="R19">
        <v>8192</v>
      </c>
      <c r="S19" t="s">
        <v>34</v>
      </c>
      <c r="T19" t="s">
        <v>35</v>
      </c>
      <c r="U19">
        <v>289.92</v>
      </c>
      <c r="V19" t="s">
        <v>36</v>
      </c>
      <c r="W19" s="1">
        <v>46162</v>
      </c>
      <c r="X19">
        <v>2026</v>
      </c>
    </row>
    <row r="20" spans="1:24" x14ac:dyDescent="0.25">
      <c r="A20" s="1">
        <v>46182</v>
      </c>
      <c r="B20" t="s">
        <v>78</v>
      </c>
      <c r="C20" t="s">
        <v>79</v>
      </c>
      <c r="E20" t="s">
        <v>80</v>
      </c>
      <c r="F20" t="s">
        <v>81</v>
      </c>
      <c r="G20" t="s">
        <v>28</v>
      </c>
      <c r="H20" t="s">
        <v>29</v>
      </c>
      <c r="I20" t="s">
        <v>82</v>
      </c>
      <c r="J20" t="s">
        <v>83</v>
      </c>
      <c r="L20" s="1">
        <v>46204</v>
      </c>
      <c r="M20" s="1">
        <v>46204</v>
      </c>
      <c r="O20">
        <v>8307933</v>
      </c>
      <c r="P20" t="s">
        <v>32</v>
      </c>
      <c r="Q20" t="s">
        <v>47</v>
      </c>
      <c r="R20">
        <v>8192</v>
      </c>
      <c r="S20" t="s">
        <v>34</v>
      </c>
      <c r="T20" t="s">
        <v>35</v>
      </c>
      <c r="U20">
        <v>248.5</v>
      </c>
      <c r="V20" t="s">
        <v>36</v>
      </c>
      <c r="W20" s="1">
        <v>46162</v>
      </c>
      <c r="X20">
        <v>2026</v>
      </c>
    </row>
    <row r="21" spans="1:24" x14ac:dyDescent="0.25">
      <c r="A21" s="1"/>
      <c r="L21" s="1"/>
      <c r="M21" s="1"/>
      <c r="W21" s="1"/>
    </row>
    <row r="22" spans="1:24" x14ac:dyDescent="0.25">
      <c r="A22" s="1"/>
      <c r="L22" s="1"/>
      <c r="M22" s="1"/>
      <c r="W22" s="1"/>
    </row>
    <row r="23" spans="1:24" x14ac:dyDescent="0.25">
      <c r="A23" s="1"/>
      <c r="L23" s="1"/>
      <c r="M23" s="1"/>
      <c r="N23" s="1"/>
      <c r="W23" s="1"/>
    </row>
    <row r="24" spans="1:24" x14ac:dyDescent="0.25">
      <c r="A24" s="1"/>
      <c r="L24" s="1"/>
      <c r="M24" s="1"/>
      <c r="W24" s="1"/>
    </row>
    <row r="25" spans="1:24" x14ac:dyDescent="0.25">
      <c r="A25" s="1"/>
      <c r="L25" s="1"/>
      <c r="M25" s="1"/>
      <c r="W25" s="1"/>
    </row>
    <row r="26" spans="1:24" x14ac:dyDescent="0.25">
      <c r="A26" s="1"/>
      <c r="L26" s="1"/>
      <c r="M26" s="1"/>
      <c r="W26" s="1"/>
    </row>
    <row r="27" spans="1:24" x14ac:dyDescent="0.25">
      <c r="A27" s="1"/>
      <c r="L27" s="1"/>
      <c r="M27" s="1"/>
      <c r="W27" s="1"/>
    </row>
    <row r="28" spans="1:24" x14ac:dyDescent="0.25">
      <c r="A28" s="1"/>
      <c r="L28" s="1"/>
      <c r="M28" s="1"/>
      <c r="W28" s="1"/>
    </row>
    <row r="29" spans="1:24" x14ac:dyDescent="0.25">
      <c r="A29" s="1"/>
      <c r="L29" s="1"/>
      <c r="M29" s="1"/>
      <c r="W29" s="1"/>
    </row>
    <row r="30" spans="1:24" x14ac:dyDescent="0.25">
      <c r="A30" s="1"/>
      <c r="L30" s="1"/>
      <c r="M30" s="1"/>
      <c r="N30" s="1"/>
      <c r="W30" s="1"/>
    </row>
    <row r="31" spans="1:24" x14ac:dyDescent="0.25">
      <c r="A31" s="1"/>
      <c r="L31" s="1"/>
      <c r="M31" s="1"/>
      <c r="W31" s="1"/>
    </row>
    <row r="32" spans="1:24" x14ac:dyDescent="0.25">
      <c r="A32" s="1"/>
      <c r="L32" s="1"/>
      <c r="M32" s="1"/>
      <c r="W32" s="1"/>
    </row>
    <row r="33" spans="1:23" x14ac:dyDescent="0.25">
      <c r="A33" s="1"/>
      <c r="L33" s="1"/>
      <c r="M33" s="1"/>
      <c r="N33" s="1"/>
      <c r="W33" s="1"/>
    </row>
    <row r="34" spans="1:23" x14ac:dyDescent="0.25">
      <c r="A34" s="1"/>
      <c r="L34" s="1"/>
      <c r="M34" s="1"/>
      <c r="N34" s="1"/>
      <c r="W34" s="1"/>
    </row>
    <row r="35" spans="1:23" x14ac:dyDescent="0.25">
      <c r="A35" s="1"/>
      <c r="L35" s="1"/>
      <c r="M35" s="1"/>
      <c r="N35" s="1"/>
      <c r="W35" s="1"/>
    </row>
    <row r="36" spans="1:23" x14ac:dyDescent="0.25">
      <c r="A36" s="1"/>
      <c r="L36" s="1"/>
      <c r="M36" s="1"/>
      <c r="N36" s="1"/>
      <c r="W36" s="1"/>
    </row>
    <row r="37" spans="1:23" x14ac:dyDescent="0.25">
      <c r="A37" s="1"/>
      <c r="L37" s="1"/>
      <c r="M37" s="1"/>
      <c r="N37" s="1"/>
      <c r="W37" s="1"/>
    </row>
    <row r="38" spans="1:23" x14ac:dyDescent="0.25">
      <c r="A38" s="1"/>
      <c r="L38" s="1"/>
      <c r="M38" s="1"/>
      <c r="N38" s="1"/>
      <c r="W38" s="1"/>
    </row>
    <row r="39" spans="1:23" x14ac:dyDescent="0.25">
      <c r="A39" s="1"/>
      <c r="L39" s="1"/>
      <c r="M39" s="1"/>
      <c r="N39" s="1"/>
      <c r="W39" s="1"/>
    </row>
    <row r="40" spans="1:23" x14ac:dyDescent="0.25">
      <c r="A40" s="1"/>
      <c r="L40" s="1"/>
      <c r="M40" s="1"/>
      <c r="N40" s="1"/>
      <c r="W40" s="1"/>
    </row>
    <row r="41" spans="1:23" x14ac:dyDescent="0.25">
      <c r="A41" s="1"/>
      <c r="L41" s="1"/>
      <c r="M41" s="1"/>
      <c r="N41" s="1"/>
      <c r="W41" s="1"/>
    </row>
    <row r="42" spans="1:23" x14ac:dyDescent="0.25">
      <c r="A42" s="1"/>
      <c r="L42" s="1"/>
      <c r="M42" s="1"/>
      <c r="N42" s="1"/>
      <c r="W42" s="1"/>
    </row>
    <row r="43" spans="1:23" x14ac:dyDescent="0.25">
      <c r="A43" s="1"/>
      <c r="L43" s="1"/>
      <c r="M43" s="1"/>
      <c r="N43" s="1"/>
      <c r="W43" s="1"/>
    </row>
    <row r="44" spans="1:23" x14ac:dyDescent="0.25">
      <c r="A44" s="1"/>
      <c r="L44" s="1"/>
      <c r="M44" s="1"/>
      <c r="W44" s="1"/>
    </row>
    <row r="45" spans="1:23" x14ac:dyDescent="0.25">
      <c r="A45" s="1"/>
      <c r="L45" s="1"/>
      <c r="M45" s="1"/>
      <c r="W45" s="1"/>
    </row>
    <row r="46" spans="1:23" x14ac:dyDescent="0.25">
      <c r="A46" s="1"/>
      <c r="L46" s="1"/>
      <c r="M46" s="1"/>
      <c r="W46" s="1"/>
    </row>
    <row r="47" spans="1:23" x14ac:dyDescent="0.25">
      <c r="A47" s="1"/>
      <c r="L47" s="1"/>
      <c r="M47" s="1"/>
      <c r="W47" s="1"/>
    </row>
    <row r="48" spans="1:23" x14ac:dyDescent="0.25">
      <c r="A48" s="1"/>
      <c r="L48" s="1"/>
      <c r="M48" s="1"/>
      <c r="N48" s="1"/>
      <c r="W48" s="1"/>
    </row>
    <row r="49" spans="1:23" x14ac:dyDescent="0.25">
      <c r="A49" s="1"/>
      <c r="L49" s="1"/>
      <c r="M49" s="1"/>
      <c r="N49" s="1"/>
      <c r="W49" s="1"/>
    </row>
    <row r="50" spans="1:23" x14ac:dyDescent="0.25">
      <c r="A50" s="1"/>
      <c r="L50" s="1"/>
      <c r="M50" s="1"/>
      <c r="W50" s="1"/>
    </row>
    <row r="51" spans="1:23" x14ac:dyDescent="0.25">
      <c r="A51" s="1"/>
      <c r="L51" s="1"/>
      <c r="M51" s="1"/>
      <c r="N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9" spans="1:23" x14ac:dyDescent="0.25">
      <c r="A5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E225-656C-487D-A1EF-D0BBE2EB714D}">
  <dimension ref="A1:AD67"/>
  <sheetViews>
    <sheetView tabSelected="1" topLeftCell="E1" workbookViewId="0">
      <selection activeCell="P19" sqref="P19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4.28515625" customWidth="1"/>
    <col min="4" max="4" width="9.7109375" customWidth="1"/>
    <col min="5" max="5" width="20.42578125" customWidth="1"/>
    <col min="6" max="6" width="13.7109375" bestFit="1" customWidth="1"/>
    <col min="7" max="7" width="25.140625" bestFit="1" customWidth="1"/>
    <col min="8" max="8" width="15.7109375" bestFit="1" customWidth="1"/>
    <col min="9" max="9" width="13.5703125" bestFit="1" customWidth="1"/>
    <col min="10" max="10" width="13.5703125" customWidth="1"/>
    <col min="11" max="11" width="10.140625" bestFit="1" customWidth="1"/>
    <col min="12" max="12" width="18" bestFit="1" customWidth="1"/>
    <col min="13" max="13" width="18" customWidth="1"/>
    <col min="14" max="14" width="21" bestFit="1" customWidth="1"/>
    <col min="15" max="15" width="14.140625" bestFit="1" customWidth="1"/>
    <col min="17" max="17" width="21.140625" bestFit="1" customWidth="1"/>
    <col min="18" max="18" width="23.140625" bestFit="1" customWidth="1"/>
  </cols>
  <sheetData>
    <row r="1" spans="1:30" x14ac:dyDescent="0.25">
      <c r="A1" t="s">
        <v>1</v>
      </c>
      <c r="C1" t="s">
        <v>4</v>
      </c>
      <c r="F1" t="s">
        <v>5</v>
      </c>
      <c r="G1" t="s">
        <v>6</v>
      </c>
      <c r="H1" t="s">
        <v>11</v>
      </c>
      <c r="I1" t="s">
        <v>12</v>
      </c>
      <c r="J1" t="s">
        <v>108</v>
      </c>
      <c r="K1" t="s">
        <v>13</v>
      </c>
      <c r="L1" t="s">
        <v>14</v>
      </c>
      <c r="N1" t="s">
        <v>16</v>
      </c>
      <c r="O1" t="s">
        <v>20</v>
      </c>
    </row>
    <row r="2" spans="1:30" s="2" customFormat="1" x14ac:dyDescent="0.25">
      <c r="A2" s="7" t="s">
        <v>40</v>
      </c>
      <c r="B2" s="7" t="str">
        <f>CONCATENATE(A2,8)</f>
        <v>9HA9GR9AY008</v>
      </c>
      <c r="C2" s="7" t="s">
        <v>89</v>
      </c>
      <c r="D2" s="7" t="s">
        <v>90</v>
      </c>
      <c r="E2" s="7" t="str">
        <f>CONCATENATE(D2," ",C2)</f>
        <v>SUSAN HOEPPNER</v>
      </c>
      <c r="F2" s="7" t="s">
        <v>43</v>
      </c>
      <c r="G2" s="7" t="s">
        <v>44</v>
      </c>
      <c r="H2" s="8">
        <v>45839</v>
      </c>
      <c r="I2" s="8">
        <v>45536</v>
      </c>
      <c r="J2" s="8">
        <v>45839</v>
      </c>
      <c r="K2" s="7"/>
      <c r="L2" s="7">
        <v>8307933</v>
      </c>
      <c r="M2" s="7">
        <v>8307933</v>
      </c>
      <c r="N2" s="7" t="s">
        <v>47</v>
      </c>
      <c r="O2" s="7">
        <v>29.83</v>
      </c>
      <c r="P2" s="9">
        <f>358/12</f>
        <v>29.833333333333332</v>
      </c>
      <c r="Q2" s="7" t="s">
        <v>102</v>
      </c>
      <c r="R2" s="7" t="s">
        <v>101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4" customFormat="1" x14ac:dyDescent="0.25">
      <c r="A3" s="7" t="s">
        <v>40</v>
      </c>
      <c r="B3" s="7" t="str">
        <f t="shared" ref="B3:B7" si="0">CONCATENATE(A3,8)</f>
        <v>9HA9GR9AY008</v>
      </c>
      <c r="C3" s="7" t="s">
        <v>89</v>
      </c>
      <c r="D3" s="7" t="s">
        <v>90</v>
      </c>
      <c r="E3" s="7" t="str">
        <f>CONCATENATE(D3," ",C3)</f>
        <v>SUSAN HOEPPNER</v>
      </c>
      <c r="F3" s="7" t="s">
        <v>43</v>
      </c>
      <c r="G3" s="7" t="s">
        <v>44</v>
      </c>
      <c r="H3" s="8">
        <v>45870</v>
      </c>
      <c r="I3" s="8">
        <v>45536</v>
      </c>
      <c r="J3" s="8">
        <v>45870</v>
      </c>
      <c r="K3" s="7"/>
      <c r="L3" s="7">
        <v>8307933</v>
      </c>
      <c r="M3" s="7">
        <v>8307933</v>
      </c>
      <c r="N3" s="7" t="s">
        <v>47</v>
      </c>
      <c r="O3" s="7">
        <v>29.83</v>
      </c>
      <c r="P3" s="9">
        <f>358/12</f>
        <v>29.833333333333332</v>
      </c>
      <c r="Q3" s="7" t="s">
        <v>102</v>
      </c>
      <c r="R3" s="7" t="s">
        <v>101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s="2" customFormat="1" x14ac:dyDescent="0.25">
      <c r="A4" s="7" t="s">
        <v>40</v>
      </c>
      <c r="B4" s="7" t="str">
        <f t="shared" si="0"/>
        <v>9HA9GR9AY008</v>
      </c>
      <c r="C4" s="7" t="s">
        <v>89</v>
      </c>
      <c r="D4" s="7" t="s">
        <v>90</v>
      </c>
      <c r="E4" s="7" t="str">
        <f>CONCATENATE(D4," ",C4)</f>
        <v>SUSAN HOEPPNER</v>
      </c>
      <c r="F4" s="7" t="s">
        <v>43</v>
      </c>
      <c r="G4" s="7" t="s">
        <v>44</v>
      </c>
      <c r="H4" s="8">
        <v>45901</v>
      </c>
      <c r="I4" s="8">
        <v>45536</v>
      </c>
      <c r="J4" s="8">
        <v>45901</v>
      </c>
      <c r="K4" s="7"/>
      <c r="L4" s="7">
        <v>8307933</v>
      </c>
      <c r="M4" s="7">
        <v>8307933</v>
      </c>
      <c r="N4" s="7" t="s">
        <v>47</v>
      </c>
      <c r="O4" s="7">
        <v>29.83</v>
      </c>
      <c r="P4" s="9">
        <f>358/12</f>
        <v>29.833333333333332</v>
      </c>
      <c r="Q4" s="7" t="s">
        <v>102</v>
      </c>
      <c r="R4" s="7" t="s">
        <v>101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s="4" customFormat="1" x14ac:dyDescent="0.25">
      <c r="A5" s="7" t="s">
        <v>40</v>
      </c>
      <c r="B5" s="7" t="str">
        <f t="shared" si="0"/>
        <v>9HA9GR9AY008</v>
      </c>
      <c r="C5" s="7" t="s">
        <v>89</v>
      </c>
      <c r="D5" s="7" t="s">
        <v>90</v>
      </c>
      <c r="E5" s="7" t="str">
        <f>CONCATENATE(D5," ",C5)</f>
        <v>SUSAN HOEPPNER</v>
      </c>
      <c r="F5" s="7" t="s">
        <v>43</v>
      </c>
      <c r="G5" s="7" t="s">
        <v>44</v>
      </c>
      <c r="H5" s="8">
        <v>45931</v>
      </c>
      <c r="I5" s="8">
        <v>45536</v>
      </c>
      <c r="J5" s="8">
        <v>45931</v>
      </c>
      <c r="K5" s="7"/>
      <c r="L5" s="7">
        <v>8307933</v>
      </c>
      <c r="M5" s="7">
        <v>8307933</v>
      </c>
      <c r="N5" s="7" t="s">
        <v>47</v>
      </c>
      <c r="O5" s="7">
        <v>29.83</v>
      </c>
      <c r="P5" s="9">
        <f>358/12</f>
        <v>29.833333333333332</v>
      </c>
      <c r="Q5" s="7" t="s">
        <v>102</v>
      </c>
      <c r="R5" s="7" t="s">
        <v>101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s="7" customFormat="1" x14ac:dyDescent="0.25">
      <c r="A6" s="7" t="s">
        <v>40</v>
      </c>
      <c r="B6" s="7" t="str">
        <f t="shared" si="0"/>
        <v>9HA9GR9AY008</v>
      </c>
      <c r="C6" s="7" t="s">
        <v>89</v>
      </c>
      <c r="D6" s="7" t="s">
        <v>90</v>
      </c>
      <c r="E6" s="7" t="str">
        <f>CONCATENATE(D6," ",C6)</f>
        <v>SUSAN HOEPPNER</v>
      </c>
      <c r="F6" s="7" t="s">
        <v>43</v>
      </c>
      <c r="G6" s="7" t="s">
        <v>44</v>
      </c>
      <c r="H6" s="8">
        <v>45962</v>
      </c>
      <c r="I6" s="8">
        <v>45536</v>
      </c>
      <c r="J6" s="8">
        <v>45962</v>
      </c>
      <c r="L6" s="7">
        <v>8307933</v>
      </c>
      <c r="M6" s="7">
        <v>8307933</v>
      </c>
      <c r="N6" s="7" t="s">
        <v>47</v>
      </c>
      <c r="O6" s="7">
        <v>29.83</v>
      </c>
      <c r="P6" s="9">
        <f>358/12</f>
        <v>29.833333333333332</v>
      </c>
      <c r="Q6" s="7" t="s">
        <v>102</v>
      </c>
      <c r="R6" s="7" t="s">
        <v>101</v>
      </c>
    </row>
    <row r="7" spans="1:30" s="7" customFormat="1" x14ac:dyDescent="0.25">
      <c r="A7" s="7" t="s">
        <v>40</v>
      </c>
      <c r="B7" s="7" t="str">
        <f t="shared" si="0"/>
        <v>9HA9GR9AY008</v>
      </c>
      <c r="C7" s="7" t="s">
        <v>89</v>
      </c>
      <c r="D7" s="7" t="s">
        <v>90</v>
      </c>
      <c r="E7" s="7" t="str">
        <f>CONCATENATE(D7," ",C7)</f>
        <v>SUSAN HOEPPNER</v>
      </c>
      <c r="F7" s="7" t="s">
        <v>43</v>
      </c>
      <c r="G7" s="7" t="s">
        <v>44</v>
      </c>
      <c r="H7" s="8">
        <v>45992</v>
      </c>
      <c r="I7" s="8">
        <v>45536</v>
      </c>
      <c r="J7" s="8">
        <v>45992</v>
      </c>
      <c r="L7" s="7">
        <v>8307933</v>
      </c>
      <c r="M7" s="7">
        <v>8307933</v>
      </c>
      <c r="N7" s="7" t="s">
        <v>47</v>
      </c>
      <c r="O7" s="7">
        <v>29.83</v>
      </c>
      <c r="P7" s="9">
        <f>358/12</f>
        <v>29.833333333333332</v>
      </c>
      <c r="Q7" s="7" t="s">
        <v>102</v>
      </c>
      <c r="R7" s="7" t="s">
        <v>101</v>
      </c>
    </row>
    <row r="8" spans="1:30" s="7" customFormat="1" x14ac:dyDescent="0.25">
      <c r="A8" s="2" t="s">
        <v>24</v>
      </c>
      <c r="B8" s="2" t="str">
        <f>CONCATENATE(A8,89)</f>
        <v>7C07VF9JM2089</v>
      </c>
      <c r="C8" s="2" t="s">
        <v>85</v>
      </c>
      <c r="D8" s="2" t="s">
        <v>86</v>
      </c>
      <c r="E8" s="2" t="str">
        <f>CONCATENATE(D8," ",C8)</f>
        <v>JAMES DECKER</v>
      </c>
      <c r="F8" s="2" t="s">
        <v>27</v>
      </c>
      <c r="G8" s="2" t="s">
        <v>28</v>
      </c>
      <c r="H8" s="3">
        <v>46235</v>
      </c>
      <c r="I8" s="3">
        <v>46235</v>
      </c>
      <c r="J8" s="3">
        <v>46387</v>
      </c>
      <c r="K8" s="2"/>
      <c r="L8" s="2">
        <v>16170994</v>
      </c>
      <c r="M8" s="2">
        <v>16170994</v>
      </c>
      <c r="N8" s="2" t="s">
        <v>33</v>
      </c>
      <c r="O8" s="2">
        <v>207.08</v>
      </c>
      <c r="P8" s="6">
        <f>347/12*5</f>
        <v>144.58333333333334</v>
      </c>
      <c r="Q8" s="2" t="s">
        <v>100</v>
      </c>
      <c r="R8" s="2" t="s">
        <v>103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s="7" customFormat="1" x14ac:dyDescent="0.25">
      <c r="A9" s="2" t="s">
        <v>37</v>
      </c>
      <c r="B9" s="2" t="str">
        <f t="shared" ref="B9:B19" si="1">CONCATENATE(A9,89)</f>
        <v>3R09NV7AT4389</v>
      </c>
      <c r="C9" s="2" t="s">
        <v>87</v>
      </c>
      <c r="D9" s="2" t="s">
        <v>88</v>
      </c>
      <c r="E9" s="2" t="str">
        <f>CONCATENATE(D9," ",C9)</f>
        <v>AMY GUILL</v>
      </c>
      <c r="F9" s="2" t="s">
        <v>27</v>
      </c>
      <c r="G9" s="2" t="s">
        <v>28</v>
      </c>
      <c r="H9" s="3">
        <v>46204</v>
      </c>
      <c r="I9" s="3">
        <v>46204</v>
      </c>
      <c r="J9" s="3">
        <v>46387</v>
      </c>
      <c r="K9" s="2"/>
      <c r="L9" s="2">
        <v>16170994</v>
      </c>
      <c r="M9" s="2">
        <v>16170994</v>
      </c>
      <c r="N9" s="2" t="s">
        <v>33</v>
      </c>
      <c r="O9" s="2">
        <v>248.5</v>
      </c>
      <c r="P9" s="2">
        <f>347/12*6</f>
        <v>173.5</v>
      </c>
      <c r="Q9" s="2" t="s">
        <v>100</v>
      </c>
      <c r="R9" s="2" t="s">
        <v>104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s="7" customFormat="1" x14ac:dyDescent="0.25">
      <c r="A10" s="2" t="s">
        <v>40</v>
      </c>
      <c r="B10" s="2" t="str">
        <f t="shared" si="1"/>
        <v>9HA9GR9AY0089</v>
      </c>
      <c r="C10" s="2" t="s">
        <v>89</v>
      </c>
      <c r="D10" s="2" t="s">
        <v>90</v>
      </c>
      <c r="E10" s="2" t="str">
        <f>CONCATENATE(D10," ",C10)</f>
        <v>SUSAN HOEPPNER</v>
      </c>
      <c r="F10" s="2" t="s">
        <v>43</v>
      </c>
      <c r="G10" s="2" t="s">
        <v>44</v>
      </c>
      <c r="H10" s="3">
        <v>46023</v>
      </c>
      <c r="I10" s="3">
        <v>45536</v>
      </c>
      <c r="J10" s="3">
        <v>46023</v>
      </c>
      <c r="K10" s="2"/>
      <c r="L10" s="2">
        <v>8307933</v>
      </c>
      <c r="M10" s="2">
        <v>8307933</v>
      </c>
      <c r="N10" s="2" t="s">
        <v>47</v>
      </c>
      <c r="O10" s="2">
        <v>32.67</v>
      </c>
      <c r="P10" s="2">
        <v>28.92</v>
      </c>
      <c r="Q10" s="2" t="s">
        <v>100</v>
      </c>
      <c r="R10" s="2" t="s">
        <v>99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s="7" customFormat="1" x14ac:dyDescent="0.25">
      <c r="A11" s="2" t="s">
        <v>40</v>
      </c>
      <c r="B11" s="2" t="str">
        <f t="shared" si="1"/>
        <v>9HA9GR9AY0089</v>
      </c>
      <c r="C11" s="2" t="s">
        <v>89</v>
      </c>
      <c r="D11" s="2" t="s">
        <v>90</v>
      </c>
      <c r="E11" s="2" t="str">
        <f>CONCATENATE(D11," ",C11)</f>
        <v>SUSAN HOEPPNER</v>
      </c>
      <c r="F11" s="2" t="s">
        <v>43</v>
      </c>
      <c r="G11" s="2" t="s">
        <v>44</v>
      </c>
      <c r="H11" s="3">
        <v>46054</v>
      </c>
      <c r="I11" s="3">
        <v>45536</v>
      </c>
      <c r="J11" s="3">
        <v>46054</v>
      </c>
      <c r="K11" s="2"/>
      <c r="L11" s="2">
        <v>8307933</v>
      </c>
      <c r="M11" s="2">
        <v>8307933</v>
      </c>
      <c r="N11" s="2" t="s">
        <v>47</v>
      </c>
      <c r="O11" s="2">
        <v>32.67</v>
      </c>
      <c r="P11" s="2">
        <v>28.92</v>
      </c>
      <c r="Q11" s="2" t="s">
        <v>100</v>
      </c>
      <c r="R11" s="2" t="s">
        <v>99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s="2" customFormat="1" x14ac:dyDescent="0.25">
      <c r="A12" s="2" t="s">
        <v>40</v>
      </c>
      <c r="B12" s="2" t="str">
        <f t="shared" si="1"/>
        <v>9HA9GR9AY0089</v>
      </c>
      <c r="C12" s="2" t="s">
        <v>89</v>
      </c>
      <c r="D12" s="2" t="s">
        <v>90</v>
      </c>
      <c r="E12" s="2" t="str">
        <f>CONCATENATE(D12," ",C12)</f>
        <v>SUSAN HOEPPNER</v>
      </c>
      <c r="F12" s="2" t="s">
        <v>43</v>
      </c>
      <c r="G12" s="2" t="s">
        <v>44</v>
      </c>
      <c r="H12" s="3">
        <v>46082</v>
      </c>
      <c r="I12" s="3">
        <v>45536</v>
      </c>
      <c r="J12" s="3">
        <v>46082</v>
      </c>
      <c r="L12" s="2">
        <v>8307933</v>
      </c>
      <c r="M12" s="2">
        <v>8307933</v>
      </c>
      <c r="N12" s="2" t="s">
        <v>47</v>
      </c>
      <c r="O12" s="2">
        <v>32.67</v>
      </c>
      <c r="P12" s="2">
        <v>28.92</v>
      </c>
      <c r="Q12" s="2" t="s">
        <v>100</v>
      </c>
      <c r="R12" s="2" t="s">
        <v>99</v>
      </c>
    </row>
    <row r="13" spans="1:30" s="2" customFormat="1" x14ac:dyDescent="0.25">
      <c r="A13" s="2" t="s">
        <v>40</v>
      </c>
      <c r="B13" s="2" t="str">
        <f t="shared" si="1"/>
        <v>9HA9GR9AY0089</v>
      </c>
      <c r="C13" s="2" t="s">
        <v>89</v>
      </c>
      <c r="D13" s="2" t="s">
        <v>90</v>
      </c>
      <c r="E13" s="2" t="str">
        <f>CONCATENATE(D13," ",C13)</f>
        <v>SUSAN HOEPPNER</v>
      </c>
      <c r="F13" s="2" t="s">
        <v>43</v>
      </c>
      <c r="G13" s="2" t="s">
        <v>44</v>
      </c>
      <c r="H13" s="3">
        <v>46113</v>
      </c>
      <c r="I13" s="3">
        <v>45536</v>
      </c>
      <c r="J13" s="3">
        <v>46113</v>
      </c>
      <c r="L13" s="2">
        <v>8307933</v>
      </c>
      <c r="M13" s="2">
        <v>8307933</v>
      </c>
      <c r="N13" s="2" t="s">
        <v>47</v>
      </c>
      <c r="O13" s="2">
        <v>32.67</v>
      </c>
      <c r="P13" s="2">
        <v>28.92</v>
      </c>
      <c r="Q13" s="2" t="s">
        <v>100</v>
      </c>
      <c r="R13" s="2" t="s">
        <v>99</v>
      </c>
    </row>
    <row r="14" spans="1:30" s="2" customFormat="1" x14ac:dyDescent="0.25">
      <c r="A14" s="2" t="s">
        <v>40</v>
      </c>
      <c r="B14" s="2" t="str">
        <f t="shared" si="1"/>
        <v>9HA9GR9AY0089</v>
      </c>
      <c r="C14" s="2" t="s">
        <v>89</v>
      </c>
      <c r="D14" s="2" t="s">
        <v>90</v>
      </c>
      <c r="E14" s="2" t="str">
        <f>CONCATENATE(D14," ",C14)</f>
        <v>SUSAN HOEPPNER</v>
      </c>
      <c r="F14" s="2" t="s">
        <v>43</v>
      </c>
      <c r="G14" s="2" t="s">
        <v>44</v>
      </c>
      <c r="H14" s="3">
        <v>46143</v>
      </c>
      <c r="I14" s="3">
        <v>45536</v>
      </c>
      <c r="J14" s="3">
        <v>46143</v>
      </c>
      <c r="L14" s="2">
        <v>8307933</v>
      </c>
      <c r="M14" s="2">
        <v>8307933</v>
      </c>
      <c r="N14" s="2" t="s">
        <v>47</v>
      </c>
      <c r="O14" s="2">
        <v>32.67</v>
      </c>
      <c r="P14" s="2">
        <v>28.92</v>
      </c>
      <c r="Q14" s="2" t="s">
        <v>100</v>
      </c>
      <c r="R14" s="2" t="s">
        <v>99</v>
      </c>
    </row>
    <row r="15" spans="1:30" s="2" customFormat="1" x14ac:dyDescent="0.25">
      <c r="A15" s="2" t="s">
        <v>49</v>
      </c>
      <c r="B15" s="2" t="str">
        <f t="shared" si="1"/>
        <v>3UV2FE7VT0089</v>
      </c>
      <c r="C15" s="2" t="s">
        <v>91</v>
      </c>
      <c r="D15" s="2" t="s">
        <v>92</v>
      </c>
      <c r="E15" s="2" t="str">
        <f>CONCATENATE(D15," ",C15)</f>
        <v>SHARON HUBER</v>
      </c>
      <c r="F15" s="2" t="s">
        <v>52</v>
      </c>
      <c r="G15" s="2" t="s">
        <v>53</v>
      </c>
      <c r="H15" s="3">
        <v>46023</v>
      </c>
      <c r="I15" s="3">
        <v>46023</v>
      </c>
      <c r="J15" s="3">
        <v>46143</v>
      </c>
      <c r="K15" s="3">
        <v>46173</v>
      </c>
      <c r="L15" s="2">
        <v>8244481</v>
      </c>
      <c r="M15" s="2">
        <v>8244481</v>
      </c>
      <c r="N15" s="2" t="s">
        <v>56</v>
      </c>
      <c r="O15" s="2">
        <v>200.83</v>
      </c>
      <c r="P15" s="6">
        <f>347/12*5</f>
        <v>144.58333333333334</v>
      </c>
      <c r="Q15" s="2" t="s">
        <v>100</v>
      </c>
      <c r="R15" s="2" t="s">
        <v>103</v>
      </c>
    </row>
    <row r="16" spans="1:30" s="2" customFormat="1" x14ac:dyDescent="0.25">
      <c r="A16" s="2" t="s">
        <v>49</v>
      </c>
      <c r="B16" s="2" t="str">
        <f t="shared" si="1"/>
        <v>3UV2FE7VT0089</v>
      </c>
      <c r="C16" s="2" t="s">
        <v>91</v>
      </c>
      <c r="D16" s="2" t="s">
        <v>92</v>
      </c>
      <c r="E16" s="2" t="str">
        <f>CONCATENATE(D16," ",C16)</f>
        <v>SHARON HUBER</v>
      </c>
      <c r="F16" s="2" t="s">
        <v>52</v>
      </c>
      <c r="G16" s="2" t="s">
        <v>57</v>
      </c>
      <c r="H16" s="3">
        <v>46023</v>
      </c>
      <c r="I16" s="3">
        <v>46023</v>
      </c>
      <c r="J16" s="3">
        <v>46143</v>
      </c>
      <c r="K16" s="3">
        <v>46173</v>
      </c>
      <c r="L16" s="2">
        <v>8244481</v>
      </c>
      <c r="M16" s="2">
        <v>8244481</v>
      </c>
      <c r="N16" s="2" t="s">
        <v>56</v>
      </c>
      <c r="O16" s="2">
        <v>-482</v>
      </c>
      <c r="P16" s="2">
        <v>-347</v>
      </c>
      <c r="Q16" s="2" t="s">
        <v>100</v>
      </c>
      <c r="R16" s="2" t="s">
        <v>107</v>
      </c>
    </row>
    <row r="17" spans="1:30" s="4" customFormat="1" x14ac:dyDescent="0.25">
      <c r="A17" s="2" t="s">
        <v>58</v>
      </c>
      <c r="B17" s="2" t="str">
        <f t="shared" si="1"/>
        <v>5GC4RR4EF6489</v>
      </c>
      <c r="C17" s="2" t="s">
        <v>93</v>
      </c>
      <c r="D17" s="2" t="s">
        <v>94</v>
      </c>
      <c r="E17" s="2" t="str">
        <f>CONCATENATE(D17," ",C17)</f>
        <v>NASTE ISIROV</v>
      </c>
      <c r="F17" s="2" t="s">
        <v>52</v>
      </c>
      <c r="G17" s="2" t="s">
        <v>28</v>
      </c>
      <c r="H17" s="3">
        <v>46235</v>
      </c>
      <c r="I17" s="3">
        <v>46235</v>
      </c>
      <c r="J17" s="3">
        <v>46387</v>
      </c>
      <c r="K17" s="2"/>
      <c r="L17" s="2">
        <v>16633294</v>
      </c>
      <c r="M17" s="2">
        <v>16633294</v>
      </c>
      <c r="N17" s="2" t="s">
        <v>63</v>
      </c>
      <c r="O17" s="2">
        <v>207.08</v>
      </c>
      <c r="P17" s="6">
        <f>347/12*5</f>
        <v>144.58333333333334</v>
      </c>
      <c r="Q17" s="2" t="s">
        <v>100</v>
      </c>
      <c r="R17" s="2" t="s">
        <v>103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s="4" customFormat="1" x14ac:dyDescent="0.25">
      <c r="A18" s="2" t="s">
        <v>73</v>
      </c>
      <c r="B18" s="2" t="str">
        <f t="shared" si="1"/>
        <v>5PE1P46NK2989</v>
      </c>
      <c r="C18" s="2" t="s">
        <v>95</v>
      </c>
      <c r="D18" s="2" t="s">
        <v>96</v>
      </c>
      <c r="E18" s="2" t="str">
        <f>CONCATENATE(D18," ",C18)</f>
        <v>STEVEN PENNINGTON</v>
      </c>
      <c r="F18" s="2" t="s">
        <v>27</v>
      </c>
      <c r="G18" s="2" t="s">
        <v>28</v>
      </c>
      <c r="H18" s="3">
        <v>46174</v>
      </c>
      <c r="I18" s="3">
        <v>46174</v>
      </c>
      <c r="J18" s="3">
        <v>46387</v>
      </c>
      <c r="K18" s="2"/>
      <c r="L18" s="2">
        <v>17094718</v>
      </c>
      <c r="M18" s="2">
        <v>17094718</v>
      </c>
      <c r="N18" s="2" t="s">
        <v>77</v>
      </c>
      <c r="O18" s="2">
        <v>289.92</v>
      </c>
      <c r="P18" s="6">
        <f>347/12*7</f>
        <v>202.41666666666669</v>
      </c>
      <c r="Q18" s="2" t="s">
        <v>100</v>
      </c>
      <c r="R18" s="2" t="s">
        <v>105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s="4" customFormat="1" x14ac:dyDescent="0.25">
      <c r="A19" s="2" t="s">
        <v>78</v>
      </c>
      <c r="B19" s="2" t="str">
        <f t="shared" si="1"/>
        <v>6D74Q61UV6289</v>
      </c>
      <c r="C19" s="2" t="s">
        <v>97</v>
      </c>
      <c r="D19" s="2" t="s">
        <v>98</v>
      </c>
      <c r="E19" s="2" t="str">
        <f>CONCATENATE(D19," ",C19)</f>
        <v>KEN RYDER</v>
      </c>
      <c r="F19" s="2" t="s">
        <v>81</v>
      </c>
      <c r="G19" s="2" t="s">
        <v>28</v>
      </c>
      <c r="H19" s="3">
        <v>46204</v>
      </c>
      <c r="I19" s="3">
        <v>46204</v>
      </c>
      <c r="J19" s="3">
        <v>46387</v>
      </c>
      <c r="K19" s="2"/>
      <c r="L19" s="2">
        <v>8307933</v>
      </c>
      <c r="M19" s="2">
        <v>8307933</v>
      </c>
      <c r="N19" s="2" t="s">
        <v>47</v>
      </c>
      <c r="O19" s="2">
        <v>248.5</v>
      </c>
      <c r="P19" s="2">
        <f>347/12*6</f>
        <v>173.5</v>
      </c>
      <c r="Q19" s="2" t="s">
        <v>100</v>
      </c>
      <c r="R19" s="2" t="s">
        <v>104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s="4" customFormat="1" x14ac:dyDescent="0.25">
      <c r="A20" s="4" t="s">
        <v>24</v>
      </c>
      <c r="B20" s="4" t="str">
        <f>CONCATENATE(A20,"OVR")</f>
        <v>7C07VF9JM20OVR</v>
      </c>
      <c r="C20" s="4" t="s">
        <v>85</v>
      </c>
      <c r="D20" s="4" t="s">
        <v>86</v>
      </c>
      <c r="E20" s="4" t="str">
        <f>CONCATENATE(D20," ",C20)</f>
        <v>JAMES DECKER</v>
      </c>
      <c r="F20" s="4" t="s">
        <v>27</v>
      </c>
      <c r="G20" s="4" t="s">
        <v>28</v>
      </c>
      <c r="H20" s="5">
        <v>46235</v>
      </c>
      <c r="I20" s="5">
        <v>46235</v>
      </c>
      <c r="J20" s="5">
        <v>46387</v>
      </c>
      <c r="L20" s="4">
        <v>16170994</v>
      </c>
      <c r="M20" s="4" t="str">
        <f>CONCATENATE(L20,"OVR")</f>
        <v>16170994OVR</v>
      </c>
      <c r="N20" s="4" t="s">
        <v>33</v>
      </c>
      <c r="O20" s="4">
        <v>207.08</v>
      </c>
      <c r="P20" s="4">
        <f>150/12*5</f>
        <v>62.5</v>
      </c>
      <c r="Q20" s="4" t="s">
        <v>106</v>
      </c>
    </row>
    <row r="21" spans="1:30" s="4" customFormat="1" x14ac:dyDescent="0.25">
      <c r="A21" s="4" t="s">
        <v>37</v>
      </c>
      <c r="B21" s="4" t="str">
        <f t="shared" ref="B21:B31" si="2">CONCATENATE(A21,"OVR")</f>
        <v>3R09NV7AT43OVR</v>
      </c>
      <c r="C21" s="4" t="s">
        <v>87</v>
      </c>
      <c r="D21" s="4" t="s">
        <v>88</v>
      </c>
      <c r="E21" s="4" t="str">
        <f>CONCATENATE(D21," ",C21)</f>
        <v>AMY GUILL</v>
      </c>
      <c r="F21" s="4" t="s">
        <v>27</v>
      </c>
      <c r="G21" s="4" t="s">
        <v>28</v>
      </c>
      <c r="H21" s="5">
        <v>46204</v>
      </c>
      <c r="I21" s="5">
        <v>46204</v>
      </c>
      <c r="J21" s="5">
        <v>46387</v>
      </c>
      <c r="L21" s="4">
        <v>16170994</v>
      </c>
      <c r="M21" s="4" t="str">
        <f t="shared" ref="M21:M31" si="3">CONCATENATE(L21,"OVR")</f>
        <v>16170994OVR</v>
      </c>
      <c r="N21" s="4" t="s">
        <v>33</v>
      </c>
      <c r="O21" s="4">
        <v>248.5</v>
      </c>
      <c r="P21" s="4">
        <f>150/12*6</f>
        <v>75</v>
      </c>
      <c r="Q21" s="4" t="s">
        <v>106</v>
      </c>
    </row>
    <row r="22" spans="1:30" s="2" customFormat="1" x14ac:dyDescent="0.25">
      <c r="A22" s="4" t="s">
        <v>40</v>
      </c>
      <c r="B22" s="4" t="str">
        <f t="shared" si="2"/>
        <v>9HA9GR9AY00OVR</v>
      </c>
      <c r="C22" s="4" t="s">
        <v>89</v>
      </c>
      <c r="D22" s="4" t="s">
        <v>90</v>
      </c>
      <c r="E22" s="4" t="str">
        <f>CONCATENATE(D22," ",C22)</f>
        <v>SUSAN HOEPPNER</v>
      </c>
      <c r="F22" s="4" t="s">
        <v>43</v>
      </c>
      <c r="G22" s="4" t="s">
        <v>44</v>
      </c>
      <c r="H22" s="5">
        <v>46023</v>
      </c>
      <c r="I22" s="5">
        <v>45536</v>
      </c>
      <c r="J22" s="5">
        <v>46023</v>
      </c>
      <c r="K22" s="4"/>
      <c r="L22" s="4">
        <v>8307933</v>
      </c>
      <c r="M22" s="4" t="str">
        <f t="shared" si="3"/>
        <v>8307933OVR</v>
      </c>
      <c r="N22" s="4" t="s">
        <v>47</v>
      </c>
      <c r="O22" s="4">
        <v>32.67</v>
      </c>
      <c r="P22" s="4">
        <v>3.75</v>
      </c>
      <c r="Q22" s="4" t="s">
        <v>106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s="4" customFormat="1" x14ac:dyDescent="0.25">
      <c r="A23" s="4" t="s">
        <v>40</v>
      </c>
      <c r="B23" s="4" t="str">
        <f t="shared" si="2"/>
        <v>9HA9GR9AY00OVR</v>
      </c>
      <c r="C23" s="4" t="s">
        <v>89</v>
      </c>
      <c r="D23" s="4" t="s">
        <v>90</v>
      </c>
      <c r="E23" s="4" t="str">
        <f>CONCATENATE(D23," ",C23)</f>
        <v>SUSAN HOEPPNER</v>
      </c>
      <c r="F23" s="4" t="s">
        <v>43</v>
      </c>
      <c r="G23" s="4" t="s">
        <v>44</v>
      </c>
      <c r="H23" s="5">
        <v>46054</v>
      </c>
      <c r="I23" s="5">
        <v>45536</v>
      </c>
      <c r="J23" s="5">
        <v>46054</v>
      </c>
      <c r="L23" s="4">
        <v>8307933</v>
      </c>
      <c r="M23" s="4" t="str">
        <f t="shared" si="3"/>
        <v>8307933OVR</v>
      </c>
      <c r="N23" s="4" t="s">
        <v>47</v>
      </c>
      <c r="O23" s="4">
        <v>32.67</v>
      </c>
      <c r="P23" s="4">
        <v>3.75</v>
      </c>
      <c r="Q23" s="4" t="s">
        <v>106</v>
      </c>
    </row>
    <row r="24" spans="1:30" s="2" customFormat="1" x14ac:dyDescent="0.25">
      <c r="A24" s="4" t="s">
        <v>40</v>
      </c>
      <c r="B24" s="4" t="str">
        <f t="shared" si="2"/>
        <v>9HA9GR9AY00OVR</v>
      </c>
      <c r="C24" s="4" t="s">
        <v>89</v>
      </c>
      <c r="D24" s="4" t="s">
        <v>90</v>
      </c>
      <c r="E24" s="4" t="str">
        <f>CONCATENATE(D24," ",C24)</f>
        <v>SUSAN HOEPPNER</v>
      </c>
      <c r="F24" s="4" t="s">
        <v>43</v>
      </c>
      <c r="G24" s="4" t="s">
        <v>44</v>
      </c>
      <c r="H24" s="5">
        <v>46082</v>
      </c>
      <c r="I24" s="5">
        <v>45536</v>
      </c>
      <c r="J24" s="5">
        <v>46082</v>
      </c>
      <c r="K24" s="4"/>
      <c r="L24" s="4">
        <v>8307933</v>
      </c>
      <c r="M24" s="4" t="str">
        <f t="shared" si="3"/>
        <v>8307933OVR</v>
      </c>
      <c r="N24" s="4" t="s">
        <v>47</v>
      </c>
      <c r="O24" s="4">
        <v>32.67</v>
      </c>
      <c r="P24" s="4">
        <v>3.75</v>
      </c>
      <c r="Q24" s="4" t="s">
        <v>106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s="4" customFormat="1" x14ac:dyDescent="0.25">
      <c r="A25" s="4" t="s">
        <v>40</v>
      </c>
      <c r="B25" s="4" t="str">
        <f t="shared" si="2"/>
        <v>9HA9GR9AY00OVR</v>
      </c>
      <c r="C25" s="4" t="s">
        <v>89</v>
      </c>
      <c r="D25" s="4" t="s">
        <v>90</v>
      </c>
      <c r="E25" s="4" t="str">
        <f>CONCATENATE(D25," ",C25)</f>
        <v>SUSAN HOEPPNER</v>
      </c>
      <c r="F25" s="4" t="s">
        <v>43</v>
      </c>
      <c r="G25" s="4" t="s">
        <v>44</v>
      </c>
      <c r="H25" s="5">
        <v>46113</v>
      </c>
      <c r="I25" s="5">
        <v>45536</v>
      </c>
      <c r="J25" s="5">
        <v>46113</v>
      </c>
      <c r="L25" s="4">
        <v>8307933</v>
      </c>
      <c r="M25" s="4" t="str">
        <f t="shared" si="3"/>
        <v>8307933OVR</v>
      </c>
      <c r="N25" s="4" t="s">
        <v>47</v>
      </c>
      <c r="O25" s="4">
        <v>32.67</v>
      </c>
      <c r="P25" s="4">
        <v>3.75</v>
      </c>
      <c r="Q25" s="4" t="s">
        <v>106</v>
      </c>
    </row>
    <row r="26" spans="1:30" s="2" customFormat="1" x14ac:dyDescent="0.25">
      <c r="A26" s="4" t="s">
        <v>40</v>
      </c>
      <c r="B26" s="4" t="str">
        <f t="shared" si="2"/>
        <v>9HA9GR9AY00OVR</v>
      </c>
      <c r="C26" s="4" t="s">
        <v>89</v>
      </c>
      <c r="D26" s="4" t="s">
        <v>90</v>
      </c>
      <c r="E26" s="4" t="str">
        <f>CONCATENATE(D26," ",C26)</f>
        <v>SUSAN HOEPPNER</v>
      </c>
      <c r="F26" s="4" t="s">
        <v>43</v>
      </c>
      <c r="G26" s="4" t="s">
        <v>44</v>
      </c>
      <c r="H26" s="5">
        <v>46143</v>
      </c>
      <c r="I26" s="5">
        <v>45536</v>
      </c>
      <c r="J26" s="5">
        <v>46143</v>
      </c>
      <c r="K26" s="4"/>
      <c r="L26" s="4">
        <v>8307933</v>
      </c>
      <c r="M26" s="4" t="str">
        <f t="shared" si="3"/>
        <v>8307933OVR</v>
      </c>
      <c r="N26" s="4" t="s">
        <v>47</v>
      </c>
      <c r="O26" s="4">
        <v>32.67</v>
      </c>
      <c r="P26" s="4">
        <v>3.75</v>
      </c>
      <c r="Q26" s="4" t="s">
        <v>106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s="4" customFormat="1" x14ac:dyDescent="0.25">
      <c r="A27" s="4" t="s">
        <v>49</v>
      </c>
      <c r="B27" s="4" t="str">
        <f t="shared" si="2"/>
        <v>3UV2FE7VT00OVR</v>
      </c>
      <c r="C27" s="4" t="s">
        <v>91</v>
      </c>
      <c r="D27" s="4" t="s">
        <v>92</v>
      </c>
      <c r="E27" s="4" t="str">
        <f>CONCATENATE(D27," ",C27)</f>
        <v>SHARON HUBER</v>
      </c>
      <c r="F27" s="4" t="s">
        <v>52</v>
      </c>
      <c r="G27" s="4" t="s">
        <v>53</v>
      </c>
      <c r="H27" s="5">
        <v>46023</v>
      </c>
      <c r="I27" s="5">
        <v>46023</v>
      </c>
      <c r="J27" s="5">
        <v>46143</v>
      </c>
      <c r="K27" s="5">
        <v>46173</v>
      </c>
      <c r="L27" s="4">
        <v>8244481</v>
      </c>
      <c r="M27" s="4" t="str">
        <f t="shared" si="3"/>
        <v>8244481OVR</v>
      </c>
      <c r="N27" s="4" t="s">
        <v>56</v>
      </c>
      <c r="O27" s="4">
        <v>200.83</v>
      </c>
      <c r="P27" s="4">
        <v>56.25</v>
      </c>
      <c r="Q27" s="4" t="s">
        <v>106</v>
      </c>
    </row>
    <row r="28" spans="1:30" s="2" customFormat="1" x14ac:dyDescent="0.25">
      <c r="A28" s="4" t="s">
        <v>49</v>
      </c>
      <c r="B28" s="4" t="str">
        <f t="shared" si="2"/>
        <v>3UV2FE7VT00OVR</v>
      </c>
      <c r="C28" s="4" t="s">
        <v>91</v>
      </c>
      <c r="D28" s="4" t="s">
        <v>92</v>
      </c>
      <c r="E28" s="4" t="str">
        <f>CONCATENATE(D28," ",C28)</f>
        <v>SHARON HUBER</v>
      </c>
      <c r="F28" s="4" t="s">
        <v>52</v>
      </c>
      <c r="G28" s="4" t="s">
        <v>57</v>
      </c>
      <c r="H28" s="5">
        <v>46023</v>
      </c>
      <c r="I28" s="5">
        <v>46023</v>
      </c>
      <c r="J28" s="5">
        <v>46143</v>
      </c>
      <c r="K28" s="5">
        <v>46173</v>
      </c>
      <c r="L28" s="4">
        <v>8244481</v>
      </c>
      <c r="M28" s="4" t="str">
        <f t="shared" si="3"/>
        <v>8244481OVR</v>
      </c>
      <c r="N28" s="4" t="s">
        <v>56</v>
      </c>
      <c r="O28" s="4">
        <v>-482</v>
      </c>
      <c r="P28" s="4">
        <v>-135</v>
      </c>
      <c r="Q28" s="4" t="s">
        <v>106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s="4" customFormat="1" x14ac:dyDescent="0.25">
      <c r="A29" s="4" t="s">
        <v>58</v>
      </c>
      <c r="B29" s="4" t="str">
        <f t="shared" si="2"/>
        <v>5GC4RR4EF64OVR</v>
      </c>
      <c r="C29" s="4" t="s">
        <v>93</v>
      </c>
      <c r="D29" s="4" t="s">
        <v>94</v>
      </c>
      <c r="E29" s="4" t="str">
        <f>CONCATENATE(D29," ",C29)</f>
        <v>NASTE ISIROV</v>
      </c>
      <c r="F29" s="4" t="s">
        <v>52</v>
      </c>
      <c r="G29" s="4" t="s">
        <v>28</v>
      </c>
      <c r="H29" s="5">
        <v>46235</v>
      </c>
      <c r="I29" s="5">
        <v>46235</v>
      </c>
      <c r="J29" s="5">
        <v>46387</v>
      </c>
      <c r="L29" s="4">
        <v>16633294</v>
      </c>
      <c r="M29" s="4" t="str">
        <f t="shared" si="3"/>
        <v>16633294OVR</v>
      </c>
      <c r="N29" s="4" t="s">
        <v>63</v>
      </c>
      <c r="O29" s="4">
        <v>207.08</v>
      </c>
      <c r="P29" s="4">
        <f>150/12*5</f>
        <v>62.5</v>
      </c>
      <c r="Q29" s="4" t="s">
        <v>106</v>
      </c>
    </row>
    <row r="30" spans="1:30" s="2" customFormat="1" x14ac:dyDescent="0.25">
      <c r="A30" s="4" t="s">
        <v>73</v>
      </c>
      <c r="B30" s="4" t="str">
        <f t="shared" si="2"/>
        <v>5PE1P46NK29OVR</v>
      </c>
      <c r="C30" s="4" t="s">
        <v>95</v>
      </c>
      <c r="D30" s="4" t="s">
        <v>96</v>
      </c>
      <c r="E30" s="4" t="str">
        <f>CONCATENATE(D30," ",C30)</f>
        <v>STEVEN PENNINGTON</v>
      </c>
      <c r="F30" s="4" t="s">
        <v>27</v>
      </c>
      <c r="G30" s="4" t="s">
        <v>28</v>
      </c>
      <c r="H30" s="5">
        <v>46174</v>
      </c>
      <c r="I30" s="5">
        <v>46174</v>
      </c>
      <c r="J30" s="5">
        <v>46387</v>
      </c>
      <c r="K30" s="4"/>
      <c r="L30" s="4">
        <v>17094718</v>
      </c>
      <c r="M30" s="4" t="str">
        <f t="shared" si="3"/>
        <v>17094718OVR</v>
      </c>
      <c r="N30" s="4" t="s">
        <v>77</v>
      </c>
      <c r="O30" s="4">
        <v>289.92</v>
      </c>
      <c r="P30" s="4">
        <f>150/12*7</f>
        <v>87.5</v>
      </c>
      <c r="Q30" s="4" t="s">
        <v>106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s="4" customFormat="1" x14ac:dyDescent="0.25">
      <c r="A31" s="4" t="s">
        <v>78</v>
      </c>
      <c r="B31" s="4" t="str">
        <f t="shared" si="2"/>
        <v>6D74Q61UV62OVR</v>
      </c>
      <c r="C31" s="4" t="s">
        <v>97</v>
      </c>
      <c r="D31" s="4" t="s">
        <v>98</v>
      </c>
      <c r="E31" s="4" t="str">
        <f>CONCATENATE(D31," ",C31)</f>
        <v>KEN RYDER</v>
      </c>
      <c r="F31" s="4" t="s">
        <v>81</v>
      </c>
      <c r="G31" s="4" t="s">
        <v>28</v>
      </c>
      <c r="H31" s="5">
        <v>46204</v>
      </c>
      <c r="I31" s="5">
        <v>46204</v>
      </c>
      <c r="J31" s="5">
        <v>46387</v>
      </c>
      <c r="L31" s="4">
        <v>8307933</v>
      </c>
      <c r="M31" s="4" t="str">
        <f t="shared" si="3"/>
        <v>8307933OVR</v>
      </c>
      <c r="N31" s="4" t="s">
        <v>47</v>
      </c>
      <c r="O31" s="4">
        <v>248.5</v>
      </c>
      <c r="P31" s="4">
        <f>150/12*6</f>
        <v>75</v>
      </c>
      <c r="Q31" s="4" t="s">
        <v>106</v>
      </c>
    </row>
    <row r="32" spans="1:30" x14ac:dyDescent="0.25">
      <c r="H32" s="1"/>
      <c r="I32" s="1"/>
      <c r="J32" s="1"/>
    </row>
    <row r="33" spans="8:11" x14ac:dyDescent="0.25">
      <c r="H33" s="1"/>
      <c r="I33" s="1"/>
      <c r="J33" s="1"/>
    </row>
    <row r="34" spans="8:11" x14ac:dyDescent="0.25">
      <c r="H34" s="1"/>
      <c r="I34" s="1"/>
      <c r="J34" s="1"/>
      <c r="K34" s="1"/>
    </row>
    <row r="35" spans="8:11" x14ac:dyDescent="0.25">
      <c r="H35" s="1"/>
      <c r="I35" s="1"/>
      <c r="J35" s="1"/>
    </row>
    <row r="36" spans="8:11" x14ac:dyDescent="0.25">
      <c r="H36" s="1"/>
      <c r="I36" s="1"/>
      <c r="J36" s="1"/>
    </row>
    <row r="37" spans="8:11" x14ac:dyDescent="0.25">
      <c r="H37" s="1"/>
      <c r="I37" s="1"/>
      <c r="J37" s="1"/>
    </row>
    <row r="38" spans="8:11" x14ac:dyDescent="0.25">
      <c r="H38" s="1"/>
      <c r="I38" s="1"/>
      <c r="J38" s="1"/>
    </row>
    <row r="39" spans="8:11" x14ac:dyDescent="0.25">
      <c r="H39" s="1"/>
      <c r="I39" s="1"/>
      <c r="J39" s="1"/>
    </row>
    <row r="40" spans="8:11" x14ac:dyDescent="0.25">
      <c r="H40" s="1"/>
      <c r="I40" s="1"/>
      <c r="J40" s="1"/>
    </row>
    <row r="41" spans="8:11" x14ac:dyDescent="0.25">
      <c r="H41" s="1"/>
      <c r="I41" s="1"/>
      <c r="J41" s="1"/>
      <c r="K41" s="1"/>
    </row>
    <row r="42" spans="8:11" x14ac:dyDescent="0.25">
      <c r="H42" s="1"/>
      <c r="I42" s="1"/>
      <c r="J42" s="1"/>
    </row>
    <row r="43" spans="8:11" x14ac:dyDescent="0.25">
      <c r="H43" s="1"/>
      <c r="I43" s="1"/>
      <c r="J43" s="1"/>
    </row>
    <row r="44" spans="8:11" x14ac:dyDescent="0.25">
      <c r="H44" s="1"/>
      <c r="I44" s="1"/>
      <c r="J44" s="1"/>
      <c r="K44" s="1"/>
    </row>
    <row r="45" spans="8:11" x14ac:dyDescent="0.25">
      <c r="H45" s="1"/>
      <c r="I45" s="1"/>
      <c r="J45" s="1"/>
      <c r="K45" s="1"/>
    </row>
    <row r="46" spans="8:11" x14ac:dyDescent="0.25">
      <c r="H46" s="1"/>
      <c r="I46" s="1"/>
      <c r="J46" s="1"/>
      <c r="K46" s="1"/>
    </row>
    <row r="47" spans="8:11" x14ac:dyDescent="0.25">
      <c r="H47" s="1"/>
      <c r="I47" s="1"/>
      <c r="J47" s="1"/>
      <c r="K47" s="1"/>
    </row>
    <row r="48" spans="8:11" x14ac:dyDescent="0.25">
      <c r="H48" s="1"/>
      <c r="I48" s="1"/>
      <c r="J48" s="1"/>
      <c r="K48" s="1"/>
    </row>
    <row r="49" spans="8:11" x14ac:dyDescent="0.25">
      <c r="H49" s="1"/>
      <c r="I49" s="1"/>
      <c r="J49" s="1"/>
      <c r="K49" s="1"/>
    </row>
    <row r="50" spans="8:11" x14ac:dyDescent="0.25">
      <c r="H50" s="1"/>
      <c r="I50" s="1"/>
      <c r="J50" s="1"/>
      <c r="K50" s="1"/>
    </row>
    <row r="51" spans="8:11" x14ac:dyDescent="0.25">
      <c r="H51" s="1"/>
      <c r="I51" s="1"/>
      <c r="J51" s="1"/>
      <c r="K51" s="1"/>
    </row>
    <row r="52" spans="8:11" x14ac:dyDescent="0.25">
      <c r="H52" s="1"/>
      <c r="I52" s="1"/>
      <c r="J52" s="1"/>
      <c r="K52" s="1"/>
    </row>
    <row r="53" spans="8:11" x14ac:dyDescent="0.25">
      <c r="H53" s="1"/>
      <c r="I53" s="1"/>
      <c r="J53" s="1"/>
      <c r="K53" s="1"/>
    </row>
    <row r="54" spans="8:11" x14ac:dyDescent="0.25">
      <c r="H54" s="1"/>
      <c r="I54" s="1"/>
      <c r="J54" s="1"/>
      <c r="K54" s="1"/>
    </row>
    <row r="55" spans="8:11" x14ac:dyDescent="0.25">
      <c r="H55" s="1"/>
      <c r="I55" s="1"/>
      <c r="J55" s="1"/>
    </row>
    <row r="56" spans="8:11" x14ac:dyDescent="0.25">
      <c r="H56" s="1"/>
      <c r="I56" s="1"/>
      <c r="J56" s="1"/>
    </row>
    <row r="57" spans="8:11" x14ac:dyDescent="0.25">
      <c r="H57" s="1"/>
      <c r="I57" s="1"/>
      <c r="J57" s="1"/>
    </row>
    <row r="58" spans="8:11" x14ac:dyDescent="0.25">
      <c r="H58" s="1"/>
      <c r="I58" s="1"/>
      <c r="J58" s="1"/>
    </row>
    <row r="59" spans="8:11" x14ac:dyDescent="0.25">
      <c r="H59" s="1"/>
      <c r="I59" s="1"/>
      <c r="J59" s="1"/>
      <c r="K59" s="1"/>
    </row>
    <row r="60" spans="8:11" x14ac:dyDescent="0.25">
      <c r="H60" s="1"/>
      <c r="I60" s="1"/>
      <c r="J60" s="1"/>
      <c r="K60" s="1"/>
    </row>
    <row r="61" spans="8:11" x14ac:dyDescent="0.25">
      <c r="H61" s="1"/>
      <c r="I61" s="1"/>
      <c r="J61" s="1"/>
    </row>
    <row r="62" spans="8:11" x14ac:dyDescent="0.25">
      <c r="H62" s="1"/>
      <c r="I62" s="1"/>
      <c r="J62" s="1"/>
      <c r="K62" s="1"/>
    </row>
    <row r="63" spans="8:11" x14ac:dyDescent="0.25">
      <c r="H63" s="1"/>
      <c r="I63" s="1"/>
      <c r="J63" s="1"/>
    </row>
    <row r="64" spans="8:11" x14ac:dyDescent="0.25">
      <c r="H64" s="1"/>
      <c r="I64" s="1"/>
      <c r="J64" s="1"/>
    </row>
    <row r="65" spans="8:10" x14ac:dyDescent="0.25">
      <c r="H65" s="1"/>
      <c r="I65" s="1"/>
      <c r="J65" s="1"/>
    </row>
    <row r="66" spans="8:10" x14ac:dyDescent="0.25">
      <c r="H66" s="1"/>
      <c r="I66" s="1"/>
      <c r="J66" s="1"/>
    </row>
    <row r="67" spans="8:10" x14ac:dyDescent="0.25">
      <c r="H67" s="1"/>
      <c r="I67" s="1"/>
      <c r="J67" s="1"/>
    </row>
  </sheetData>
  <sortState xmlns:xlrd2="http://schemas.microsoft.com/office/spreadsheetml/2017/richdata2" ref="A2:AD31">
    <sortCondition ref="Q2:Q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2026-06-12T07:07:37Z</dcterms:created>
  <dcterms:modified xsi:type="dcterms:W3CDTF">2026-06-15T13:18:55Z</dcterms:modified>
</cp:coreProperties>
</file>