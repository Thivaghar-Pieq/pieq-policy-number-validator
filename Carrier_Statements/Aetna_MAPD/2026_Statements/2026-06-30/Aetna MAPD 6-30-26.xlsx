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6-30\"/>
    </mc:Choice>
  </mc:AlternateContent>
  <xr:revisionPtr revIDLastSave="0" documentId="13_ncr:1_{4F613F4D-086E-4EF3-BB3D-290C1587AA43}" xr6:coauthVersionLast="47" xr6:coauthVersionMax="47" xr10:uidLastSave="{00000000-0000-0000-0000-000000000000}"/>
  <bookViews>
    <workbookView xWindow="-120" yWindow="-120" windowWidth="29040" windowHeight="15720" activeTab="1" xr2:uid="{30D70D7E-C990-4896-8373-56578B574FB2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4" i="2"/>
  <c r="E37" i="2"/>
  <c r="E14" i="2"/>
  <c r="E29" i="2"/>
  <c r="E10" i="2"/>
  <c r="E41" i="2"/>
  <c r="E31" i="2"/>
  <c r="E15" i="2"/>
  <c r="E22" i="2"/>
  <c r="E21" i="2"/>
  <c r="E20" i="2"/>
  <c r="E36" i="2"/>
  <c r="E11" i="2"/>
  <c r="E19" i="2"/>
  <c r="E9" i="2"/>
  <c r="E3" i="2"/>
  <c r="E28" i="2"/>
  <c r="E40" i="2"/>
  <c r="E38" i="2"/>
  <c r="E6" i="2"/>
  <c r="E26" i="2"/>
  <c r="E30" i="2"/>
  <c r="E25" i="2"/>
  <c r="E13" i="2"/>
  <c r="E18" i="2"/>
  <c r="E43" i="2"/>
  <c r="E16" i="2"/>
  <c r="E2" i="2"/>
  <c r="E35" i="2"/>
  <c r="E8" i="2"/>
  <c r="E32" i="2"/>
  <c r="E33" i="2"/>
  <c r="E24" i="2"/>
  <c r="E23" i="2"/>
  <c r="E7" i="2"/>
  <c r="E42" i="2"/>
  <c r="E27" i="2"/>
  <c r="E17" i="2"/>
  <c r="E39" i="2"/>
  <c r="E34" i="2"/>
  <c r="E46" i="2"/>
  <c r="E47" i="2"/>
  <c r="E49" i="2"/>
  <c r="E45" i="2"/>
  <c r="E51" i="2"/>
  <c r="E48" i="2"/>
  <c r="E50" i="2"/>
  <c r="E44" i="2"/>
  <c r="E54" i="2"/>
  <c r="E60" i="2"/>
  <c r="E57" i="2"/>
  <c r="E52" i="2"/>
  <c r="E56" i="2"/>
  <c r="E61" i="2"/>
  <c r="E63" i="2"/>
  <c r="E65" i="2"/>
  <c r="E58" i="2"/>
  <c r="E67" i="2"/>
  <c r="E55" i="2"/>
  <c r="E64" i="2"/>
  <c r="E59" i="2"/>
  <c r="E62" i="2"/>
  <c r="E66" i="2"/>
  <c r="E53" i="2"/>
  <c r="E99" i="2"/>
  <c r="E106" i="2"/>
  <c r="E95" i="2"/>
  <c r="E114" i="2"/>
  <c r="E72" i="2"/>
  <c r="E82" i="2"/>
  <c r="E70" i="2"/>
  <c r="E115" i="2"/>
  <c r="E84" i="2"/>
  <c r="E105" i="2"/>
  <c r="E78" i="2"/>
  <c r="E125" i="2"/>
  <c r="E108" i="2"/>
  <c r="E86" i="2"/>
  <c r="E122" i="2"/>
  <c r="E87" i="2"/>
  <c r="E71" i="2"/>
  <c r="E96" i="2"/>
  <c r="E94" i="2"/>
  <c r="E93" i="2"/>
  <c r="E113" i="2"/>
  <c r="E119" i="2"/>
  <c r="E81" i="2"/>
  <c r="E92" i="2"/>
  <c r="E77" i="2"/>
  <c r="E76" i="2"/>
  <c r="E69" i="2"/>
  <c r="E104" i="2"/>
  <c r="E79" i="2"/>
  <c r="E80" i="2"/>
  <c r="E117" i="2"/>
  <c r="E123" i="2"/>
  <c r="E118" i="2"/>
  <c r="E85" i="2"/>
  <c r="E73" i="2"/>
  <c r="E101" i="2"/>
  <c r="E121" i="2"/>
  <c r="E107" i="2"/>
  <c r="E100" i="2"/>
  <c r="E83" i="2"/>
  <c r="E90" i="2"/>
  <c r="E127" i="2"/>
  <c r="E88" i="2"/>
  <c r="E116" i="2"/>
  <c r="E68" i="2"/>
  <c r="E112" i="2"/>
  <c r="E75" i="2"/>
  <c r="E109" i="2"/>
  <c r="E110" i="2"/>
  <c r="E98" i="2"/>
  <c r="E97" i="2"/>
  <c r="E74" i="2"/>
  <c r="E91" i="2"/>
  <c r="E126" i="2"/>
  <c r="E102" i="2"/>
  <c r="E89" i="2"/>
  <c r="E103" i="2"/>
  <c r="E124" i="2"/>
  <c r="E120" i="2"/>
  <c r="E111" i="2"/>
  <c r="E140" i="2"/>
  <c r="E141" i="2"/>
  <c r="E167" i="2"/>
  <c r="E168" i="2"/>
  <c r="E137" i="2"/>
  <c r="E138" i="2"/>
  <c r="E211" i="2"/>
  <c r="E225" i="2"/>
  <c r="E202" i="2"/>
  <c r="E242" i="2"/>
  <c r="E157" i="2"/>
  <c r="E158" i="2"/>
  <c r="E171" i="2"/>
  <c r="E172" i="2"/>
  <c r="E261" i="2"/>
  <c r="E262" i="2"/>
  <c r="E243" i="2"/>
  <c r="E244" i="2"/>
  <c r="E223" i="2"/>
  <c r="E224" i="2"/>
  <c r="E228" i="2"/>
  <c r="E229" i="2"/>
  <c r="E142" i="2"/>
  <c r="E176" i="2"/>
  <c r="E177" i="2"/>
  <c r="E182" i="2"/>
  <c r="E183" i="2"/>
  <c r="E257" i="2"/>
  <c r="E184" i="2"/>
  <c r="E205" i="2"/>
  <c r="E206" i="2"/>
  <c r="E139" i="2"/>
  <c r="E200" i="2"/>
  <c r="E201" i="2"/>
  <c r="E198" i="2"/>
  <c r="E199" i="2"/>
  <c r="E253" i="2"/>
  <c r="E240" i="2"/>
  <c r="E241" i="2"/>
  <c r="E165" i="2"/>
  <c r="E166" i="2"/>
  <c r="E196" i="2"/>
  <c r="E197" i="2"/>
  <c r="E132" i="2"/>
  <c r="E162" i="2"/>
  <c r="E218" i="2"/>
  <c r="E219" i="2"/>
  <c r="E188" i="2"/>
  <c r="E189" i="2"/>
  <c r="E161" i="2"/>
  <c r="E149" i="2"/>
  <c r="E154" i="2"/>
  <c r="E180" i="2"/>
  <c r="E173" i="2"/>
  <c r="E174" i="2"/>
  <c r="E248" i="2"/>
  <c r="E249" i="2"/>
  <c r="E203" i="2"/>
  <c r="E204" i="2"/>
  <c r="E185" i="2"/>
  <c r="E232" i="2"/>
  <c r="E233" i="2"/>
  <c r="E175" i="2"/>
  <c r="E152" i="2"/>
  <c r="E153" i="2"/>
  <c r="E133" i="2"/>
  <c r="E134" i="2"/>
  <c r="E163" i="2"/>
  <c r="E164" i="2"/>
  <c r="E221" i="2"/>
  <c r="E222" i="2"/>
  <c r="E250" i="2"/>
  <c r="E251" i="2"/>
  <c r="E252" i="2"/>
  <c r="E258" i="2"/>
  <c r="E259" i="2"/>
  <c r="E130" i="2"/>
  <c r="E131" i="2"/>
  <c r="E159" i="2"/>
  <c r="E160" i="2"/>
  <c r="E265" i="2"/>
  <c r="E266" i="2"/>
  <c r="E155" i="2"/>
  <c r="E156" i="2"/>
  <c r="E135" i="2"/>
  <c r="E136" i="2"/>
  <c r="E181" i="2"/>
  <c r="E143" i="2"/>
  <c r="E144" i="2"/>
  <c r="E214" i="2"/>
  <c r="E215" i="2"/>
  <c r="E226" i="2"/>
  <c r="E227" i="2"/>
  <c r="E169" i="2"/>
  <c r="E170" i="2"/>
  <c r="E193" i="2"/>
  <c r="E194" i="2"/>
  <c r="E267" i="2"/>
  <c r="E268" i="2"/>
  <c r="E256" i="2"/>
  <c r="E128" i="2"/>
  <c r="E129" i="2"/>
  <c r="E238" i="2"/>
  <c r="E239" i="2"/>
  <c r="E186" i="2"/>
  <c r="E187" i="2"/>
  <c r="E212" i="2"/>
  <c r="E213" i="2"/>
  <c r="E147" i="2"/>
  <c r="E148" i="2"/>
  <c r="E230" i="2"/>
  <c r="E231" i="2"/>
  <c r="E245" i="2"/>
  <c r="E234" i="2"/>
  <c r="E235" i="2"/>
  <c r="E192" i="2"/>
  <c r="E150" i="2"/>
  <c r="E151" i="2"/>
  <c r="E246" i="2"/>
  <c r="E247" i="2"/>
  <c r="E178" i="2"/>
  <c r="E179" i="2"/>
  <c r="E209" i="2"/>
  <c r="E210" i="2"/>
  <c r="E145" i="2"/>
  <c r="E146" i="2"/>
  <c r="E207" i="2"/>
  <c r="E208" i="2"/>
  <c r="E195" i="2"/>
  <c r="E263" i="2"/>
  <c r="E264" i="2"/>
  <c r="E216" i="2"/>
  <c r="E217" i="2"/>
  <c r="E254" i="2"/>
  <c r="E255" i="2"/>
  <c r="E236" i="2"/>
  <c r="E237" i="2"/>
  <c r="E190" i="2"/>
  <c r="E191" i="2"/>
  <c r="E260" i="2"/>
  <c r="E220" i="2"/>
  <c r="E5" i="2"/>
  <c r="B111" i="2"/>
  <c r="B120" i="2"/>
  <c r="B124" i="2"/>
  <c r="B103" i="2"/>
  <c r="B89" i="2"/>
  <c r="B102" i="2"/>
  <c r="B126" i="2"/>
  <c r="B91" i="2"/>
  <c r="B74" i="2"/>
  <c r="B97" i="2"/>
  <c r="B98" i="2"/>
  <c r="B110" i="2"/>
  <c r="B109" i="2"/>
  <c r="B75" i="2"/>
  <c r="B112" i="2"/>
  <c r="B68" i="2"/>
  <c r="B116" i="2"/>
  <c r="B88" i="2"/>
  <c r="B127" i="2"/>
  <c r="B90" i="2"/>
  <c r="B83" i="2"/>
  <c r="B100" i="2"/>
  <c r="B107" i="2"/>
  <c r="B121" i="2"/>
  <c r="B101" i="2"/>
  <c r="B73" i="2"/>
  <c r="B85" i="2"/>
  <c r="B118" i="2"/>
  <c r="B123" i="2"/>
  <c r="B117" i="2"/>
  <c r="B80" i="2"/>
  <c r="B79" i="2"/>
  <c r="B104" i="2"/>
  <c r="B69" i="2"/>
  <c r="B76" i="2"/>
  <c r="B77" i="2"/>
  <c r="B92" i="2"/>
  <c r="B81" i="2"/>
  <c r="B119" i="2"/>
  <c r="B113" i="2"/>
  <c r="B93" i="2"/>
  <c r="B94" i="2"/>
  <c r="B96" i="2"/>
  <c r="B71" i="2"/>
  <c r="B87" i="2"/>
  <c r="B122" i="2"/>
  <c r="B86" i="2"/>
  <c r="B108" i="2"/>
  <c r="B125" i="2"/>
  <c r="B78" i="2"/>
  <c r="B105" i="2"/>
  <c r="B84" i="2"/>
  <c r="B115" i="2"/>
  <c r="B70" i="2"/>
  <c r="B82" i="2"/>
  <c r="B72" i="2"/>
  <c r="B114" i="2"/>
  <c r="B95" i="2"/>
  <c r="B106" i="2"/>
  <c r="B99" i="2"/>
  <c r="B53" i="2"/>
  <c r="B66" i="2"/>
  <c r="B62" i="2"/>
  <c r="B59" i="2"/>
  <c r="B64" i="2"/>
  <c r="B55" i="2"/>
  <c r="B67" i="2"/>
  <c r="B58" i="2"/>
  <c r="B65" i="2"/>
  <c r="B63" i="2"/>
  <c r="B61" i="2"/>
  <c r="B56" i="2"/>
  <c r="B52" i="2"/>
  <c r="B57" i="2"/>
  <c r="B60" i="2"/>
  <c r="B54" i="2"/>
  <c r="B44" i="2"/>
  <c r="B50" i="2"/>
  <c r="B48" i="2"/>
  <c r="B51" i="2"/>
  <c r="B45" i="2"/>
  <c r="B49" i="2"/>
  <c r="B47" i="2"/>
  <c r="B46" i="2"/>
  <c r="B34" i="2"/>
  <c r="B39" i="2"/>
  <c r="B17" i="2"/>
  <c r="B27" i="2"/>
  <c r="B42" i="2"/>
  <c r="B7" i="2"/>
  <c r="B23" i="2"/>
  <c r="B24" i="2"/>
  <c r="B33" i="2"/>
  <c r="B32" i="2"/>
  <c r="B8" i="2"/>
  <c r="B35" i="2"/>
  <c r="B2" i="2"/>
  <c r="B16" i="2"/>
  <c r="B43" i="2"/>
  <c r="B18" i="2"/>
  <c r="B13" i="2"/>
  <c r="B25" i="2"/>
  <c r="B30" i="2"/>
  <c r="B26" i="2"/>
  <c r="B6" i="2"/>
  <c r="B38" i="2"/>
  <c r="B40" i="2"/>
  <c r="B28" i="2"/>
  <c r="B3" i="2"/>
  <c r="B9" i="2"/>
  <c r="B19" i="2"/>
  <c r="B11" i="2"/>
  <c r="B36" i="2"/>
  <c r="B20" i="2"/>
  <c r="B21" i="2"/>
  <c r="B22" i="2"/>
  <c r="B15" i="2"/>
  <c r="B31" i="2"/>
  <c r="B41" i="2"/>
  <c r="B10" i="2"/>
  <c r="B29" i="2"/>
  <c r="B14" i="2"/>
  <c r="B37" i="2"/>
  <c r="B4" i="2"/>
  <c r="B12" i="2"/>
  <c r="B5" i="2"/>
  <c r="B141" i="2"/>
  <c r="B167" i="2"/>
  <c r="B168" i="2"/>
  <c r="B137" i="2"/>
  <c r="B138" i="2"/>
  <c r="B211" i="2"/>
  <c r="B225" i="2"/>
  <c r="B202" i="2"/>
  <c r="B242" i="2"/>
  <c r="B157" i="2"/>
  <c r="B158" i="2"/>
  <c r="B171" i="2"/>
  <c r="B172" i="2"/>
  <c r="B261" i="2"/>
  <c r="B262" i="2"/>
  <c r="B243" i="2"/>
  <c r="B244" i="2"/>
  <c r="B223" i="2"/>
  <c r="B224" i="2"/>
  <c r="B228" i="2"/>
  <c r="B229" i="2"/>
  <c r="B142" i="2"/>
  <c r="B176" i="2"/>
  <c r="B177" i="2"/>
  <c r="B182" i="2"/>
  <c r="B183" i="2"/>
  <c r="B257" i="2"/>
  <c r="B184" i="2"/>
  <c r="B205" i="2"/>
  <c r="B206" i="2"/>
  <c r="B139" i="2"/>
  <c r="B200" i="2"/>
  <c r="B201" i="2"/>
  <c r="B198" i="2"/>
  <c r="B199" i="2"/>
  <c r="B253" i="2"/>
  <c r="B240" i="2"/>
  <c r="B241" i="2"/>
  <c r="B165" i="2"/>
  <c r="B166" i="2"/>
  <c r="B196" i="2"/>
  <c r="B197" i="2"/>
  <c r="B132" i="2"/>
  <c r="B162" i="2"/>
  <c r="B218" i="2"/>
  <c r="B219" i="2"/>
  <c r="B188" i="2"/>
  <c r="B189" i="2"/>
  <c r="B161" i="2"/>
  <c r="B149" i="2"/>
  <c r="B154" i="2"/>
  <c r="B180" i="2"/>
  <c r="B173" i="2"/>
  <c r="B174" i="2"/>
  <c r="B248" i="2"/>
  <c r="B249" i="2"/>
  <c r="B203" i="2"/>
  <c r="B204" i="2"/>
  <c r="B185" i="2"/>
  <c r="B232" i="2"/>
  <c r="B233" i="2"/>
  <c r="B175" i="2"/>
  <c r="B152" i="2"/>
  <c r="B153" i="2"/>
  <c r="B133" i="2"/>
  <c r="B134" i="2"/>
  <c r="B163" i="2"/>
  <c r="B164" i="2"/>
  <c r="B221" i="2"/>
  <c r="B222" i="2"/>
  <c r="B250" i="2"/>
  <c r="B251" i="2"/>
  <c r="B252" i="2"/>
  <c r="B258" i="2"/>
  <c r="B259" i="2"/>
  <c r="B130" i="2"/>
  <c r="B131" i="2"/>
  <c r="B159" i="2"/>
  <c r="B160" i="2"/>
  <c r="B265" i="2"/>
  <c r="B266" i="2"/>
  <c r="B155" i="2"/>
  <c r="B156" i="2"/>
  <c r="B135" i="2"/>
  <c r="B136" i="2"/>
  <c r="B181" i="2"/>
  <c r="B143" i="2"/>
  <c r="B144" i="2"/>
  <c r="B214" i="2"/>
  <c r="B215" i="2"/>
  <c r="B226" i="2"/>
  <c r="B227" i="2"/>
  <c r="B169" i="2"/>
  <c r="B170" i="2"/>
  <c r="B193" i="2"/>
  <c r="B194" i="2"/>
  <c r="B267" i="2"/>
  <c r="B268" i="2"/>
  <c r="B256" i="2"/>
  <c r="B128" i="2"/>
  <c r="B129" i="2"/>
  <c r="B238" i="2"/>
  <c r="B239" i="2"/>
  <c r="B186" i="2"/>
  <c r="B187" i="2"/>
  <c r="B212" i="2"/>
  <c r="B213" i="2"/>
  <c r="B147" i="2"/>
  <c r="B148" i="2"/>
  <c r="B230" i="2"/>
  <c r="B231" i="2"/>
  <c r="B245" i="2"/>
  <c r="B234" i="2"/>
  <c r="B235" i="2"/>
  <c r="B192" i="2"/>
  <c r="B150" i="2"/>
  <c r="B151" i="2"/>
  <c r="B246" i="2"/>
  <c r="B247" i="2"/>
  <c r="B178" i="2"/>
  <c r="B179" i="2"/>
  <c r="B209" i="2"/>
  <c r="B210" i="2"/>
  <c r="B145" i="2"/>
  <c r="B146" i="2"/>
  <c r="B207" i="2"/>
  <c r="B208" i="2"/>
  <c r="B195" i="2"/>
  <c r="B263" i="2"/>
  <c r="B264" i="2"/>
  <c r="B216" i="2"/>
  <c r="B217" i="2"/>
  <c r="B254" i="2"/>
  <c r="B255" i="2"/>
  <c r="B236" i="2"/>
  <c r="B237" i="2"/>
  <c r="B190" i="2"/>
  <c r="B191" i="2"/>
  <c r="B260" i="2"/>
  <c r="B220" i="2"/>
  <c r="B140" i="2"/>
  <c r="M141" i="2"/>
  <c r="M167" i="2"/>
  <c r="M168" i="2"/>
  <c r="M137" i="2"/>
  <c r="M138" i="2"/>
  <c r="M211" i="2"/>
  <c r="M225" i="2"/>
  <c r="M202" i="2"/>
  <c r="M242" i="2"/>
  <c r="M157" i="2"/>
  <c r="M158" i="2"/>
  <c r="M171" i="2"/>
  <c r="M172" i="2"/>
  <c r="M261" i="2"/>
  <c r="M262" i="2"/>
  <c r="M243" i="2"/>
  <c r="M244" i="2"/>
  <c r="M223" i="2"/>
  <c r="M224" i="2"/>
  <c r="M228" i="2"/>
  <c r="M229" i="2"/>
  <c r="M142" i="2"/>
  <c r="M176" i="2"/>
  <c r="M177" i="2"/>
  <c r="M182" i="2"/>
  <c r="M183" i="2"/>
  <c r="M257" i="2"/>
  <c r="M184" i="2"/>
  <c r="M205" i="2"/>
  <c r="M206" i="2"/>
  <c r="M139" i="2"/>
  <c r="M200" i="2"/>
  <c r="M201" i="2"/>
  <c r="M198" i="2"/>
  <c r="M199" i="2"/>
  <c r="M253" i="2"/>
  <c r="M240" i="2"/>
  <c r="M241" i="2"/>
  <c r="M165" i="2"/>
  <c r="M166" i="2"/>
  <c r="M196" i="2"/>
  <c r="M197" i="2"/>
  <c r="M132" i="2"/>
  <c r="M162" i="2"/>
  <c r="M218" i="2"/>
  <c r="M219" i="2"/>
  <c r="M188" i="2"/>
  <c r="M189" i="2"/>
  <c r="M161" i="2"/>
  <c r="M149" i="2"/>
  <c r="M154" i="2"/>
  <c r="M180" i="2"/>
  <c r="M173" i="2"/>
  <c r="M174" i="2"/>
  <c r="M248" i="2"/>
  <c r="M249" i="2"/>
  <c r="M203" i="2"/>
  <c r="M204" i="2"/>
  <c r="M185" i="2"/>
  <c r="M232" i="2"/>
  <c r="M233" i="2"/>
  <c r="M175" i="2"/>
  <c r="M152" i="2"/>
  <c r="M153" i="2"/>
  <c r="M133" i="2"/>
  <c r="M134" i="2"/>
  <c r="M163" i="2"/>
  <c r="M164" i="2"/>
  <c r="M221" i="2"/>
  <c r="M222" i="2"/>
  <c r="M250" i="2"/>
  <c r="M251" i="2"/>
  <c r="M252" i="2"/>
  <c r="M258" i="2"/>
  <c r="M259" i="2"/>
  <c r="M130" i="2"/>
  <c r="M131" i="2"/>
  <c r="M159" i="2"/>
  <c r="M160" i="2"/>
  <c r="M265" i="2"/>
  <c r="M266" i="2"/>
  <c r="M155" i="2"/>
  <c r="M156" i="2"/>
  <c r="M135" i="2"/>
  <c r="M136" i="2"/>
  <c r="M181" i="2"/>
  <c r="M143" i="2"/>
  <c r="M144" i="2"/>
  <c r="M214" i="2"/>
  <c r="M215" i="2"/>
  <c r="M226" i="2"/>
  <c r="M227" i="2"/>
  <c r="M169" i="2"/>
  <c r="M170" i="2"/>
  <c r="M193" i="2"/>
  <c r="M194" i="2"/>
  <c r="M267" i="2"/>
  <c r="M268" i="2"/>
  <c r="M256" i="2"/>
  <c r="M128" i="2"/>
  <c r="M129" i="2"/>
  <c r="M238" i="2"/>
  <c r="M239" i="2"/>
  <c r="M186" i="2"/>
  <c r="M187" i="2"/>
  <c r="M212" i="2"/>
  <c r="M213" i="2"/>
  <c r="M147" i="2"/>
  <c r="M148" i="2"/>
  <c r="M230" i="2"/>
  <c r="M231" i="2"/>
  <c r="M245" i="2"/>
  <c r="M234" i="2"/>
  <c r="M235" i="2"/>
  <c r="M192" i="2"/>
  <c r="M150" i="2"/>
  <c r="M151" i="2"/>
  <c r="M246" i="2"/>
  <c r="M247" i="2"/>
  <c r="M178" i="2"/>
  <c r="M179" i="2"/>
  <c r="M209" i="2"/>
  <c r="M210" i="2"/>
  <c r="M145" i="2"/>
  <c r="M146" i="2"/>
  <c r="M207" i="2"/>
  <c r="M208" i="2"/>
  <c r="M195" i="2"/>
  <c r="M263" i="2"/>
  <c r="M264" i="2"/>
  <c r="M216" i="2"/>
  <c r="M217" i="2"/>
  <c r="M254" i="2"/>
  <c r="M255" i="2"/>
  <c r="M236" i="2"/>
  <c r="M237" i="2"/>
  <c r="M190" i="2"/>
  <c r="M191" i="2"/>
  <c r="M260" i="2"/>
  <c r="M220" i="2"/>
  <c r="M140" i="2"/>
  <c r="S177" i="2"/>
  <c r="S46" i="2"/>
  <c r="S144" i="2"/>
  <c r="S6" i="2"/>
  <c r="S136" i="2"/>
  <c r="S44" i="2"/>
  <c r="S168" i="2"/>
  <c r="S12" i="2"/>
  <c r="S184" i="2"/>
  <c r="S87" i="2"/>
  <c r="S253" i="2"/>
  <c r="S119" i="2"/>
  <c r="S142" i="2"/>
  <c r="S54" i="2"/>
  <c r="S202" i="2"/>
  <c r="S95" i="2"/>
  <c r="S185" i="2"/>
  <c r="S62" i="2"/>
  <c r="S211" i="2"/>
  <c r="S99" i="2"/>
  <c r="S162" i="2"/>
  <c r="S57" i="2"/>
  <c r="S256" i="2"/>
  <c r="S121" i="2"/>
  <c r="S164" i="2"/>
  <c r="S80" i="2"/>
</calcChain>
</file>

<file path=xl/sharedStrings.xml><?xml version="1.0" encoding="utf-8"?>
<sst xmlns="http://schemas.openxmlformats.org/spreadsheetml/2006/main" count="4149" uniqueCount="558">
  <si>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</si>
  <si>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</si>
  <si>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</si>
  <si>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</si>
  <si>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</si>
  <si>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</si>
  <si>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</si>
  <si>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</si>
  <si>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</si>
  <si>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</si>
  <si>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</si>
  <si>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</si>
  <si>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</si>
  <si>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</si>
  <si>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</si>
  <si>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</si>
  <si>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</si>
  <si>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</si>
  <si>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</si>
  <si>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</si>
  <si>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</si>
  <si>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</si>
  <si>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</si>
  <si>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</si>
  <si>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5HH5YX2JT89</t>
  </si>
  <si>
    <t>NG102284628100</t>
  </si>
  <si>
    <t>BARTO M,LISA</t>
  </si>
  <si>
    <t>PA</t>
  </si>
  <si>
    <t>New Business</t>
  </si>
  <si>
    <t>MAPD</t>
  </si>
  <si>
    <t>IMM608</t>
  </si>
  <si>
    <t>H5521-263</t>
  </si>
  <si>
    <t>LOA</t>
  </si>
  <si>
    <t>Smith, Margaret</t>
  </si>
  <si>
    <t>MMO</t>
  </si>
  <si>
    <t>Main Line Benefits LLC</t>
  </si>
  <si>
    <t xml:space="preserve">N  </t>
  </si>
  <si>
    <t>2D82Y32ED09</t>
  </si>
  <si>
    <t>NG102284023900</t>
  </si>
  <si>
    <t>BOGACZYK M,DAVID</t>
  </si>
  <si>
    <t>H5522-017</t>
  </si>
  <si>
    <t>Foley, Carol</t>
  </si>
  <si>
    <t>6ME5NK2NG77</t>
  </si>
  <si>
    <t>NG102284240000</t>
  </si>
  <si>
    <t>FURTH J,JOHN</t>
  </si>
  <si>
    <t>IL</t>
  </si>
  <si>
    <t>IMM606</t>
  </si>
  <si>
    <t>H7301-013</t>
  </si>
  <si>
    <t>Choi, Andrew</t>
  </si>
  <si>
    <t>5RU6N39FR87</t>
  </si>
  <si>
    <t>NG102284749100</t>
  </si>
  <si>
    <t>ISAACS A,MICHAEL</t>
  </si>
  <si>
    <t>9QD8ED8MN61</t>
  </si>
  <si>
    <t>NG102283931600</t>
  </si>
  <si>
    <t>JADOS R,VALERIE</t>
  </si>
  <si>
    <t>H7301-006</t>
  </si>
  <si>
    <t>Yale, Richard</t>
  </si>
  <si>
    <t>5NG2E52EW81</t>
  </si>
  <si>
    <t>NG102283991900</t>
  </si>
  <si>
    <t>JOHNSON M,DEANNA</t>
  </si>
  <si>
    <t>WI</t>
  </si>
  <si>
    <t>MA</t>
  </si>
  <si>
    <t>H5521-286</t>
  </si>
  <si>
    <t>Walenga, Dale</t>
  </si>
  <si>
    <t>2UF0R89NE06</t>
  </si>
  <si>
    <t>NG101751824400</t>
  </si>
  <si>
    <t>KERR L,ROGER</t>
  </si>
  <si>
    <t>WV</t>
  </si>
  <si>
    <t>Renewal</t>
  </si>
  <si>
    <t>H1692-007</t>
  </si>
  <si>
    <t>Inskipt, Deborah</t>
  </si>
  <si>
    <t>LMO</t>
  </si>
  <si>
    <t>6RJ3KQ4QY15</t>
  </si>
  <si>
    <t>NG102284235200</t>
  </si>
  <si>
    <t>LEINONEN M,DIANE</t>
  </si>
  <si>
    <t>H5521-086</t>
  </si>
  <si>
    <t>3C34GR0JH90</t>
  </si>
  <si>
    <t>NG101789839500</t>
  </si>
  <si>
    <t>MACHIKA R,KAREN</t>
  </si>
  <si>
    <t>Pro-Rata Payment</t>
  </si>
  <si>
    <t>H3959-001</t>
  </si>
  <si>
    <t>Powers, Timothy</t>
  </si>
  <si>
    <t>Pro-Rata Disenroll</t>
  </si>
  <si>
    <t>4U08X16HR52</t>
  </si>
  <si>
    <t>MEQNDVYM00000287688</t>
  </si>
  <si>
    <t>SANDOVALBUSTAM,DEBBIE</t>
  </si>
  <si>
    <t>H9771-001</t>
  </si>
  <si>
    <t>Fuentes, Victor</t>
  </si>
  <si>
    <t>4HW4Y22EA66</t>
  </si>
  <si>
    <t>NG102283968400</t>
  </si>
  <si>
    <t>WEBER A,MARILYN</t>
  </si>
  <si>
    <t>IMM619</t>
  </si>
  <si>
    <t>H7301-007</t>
  </si>
  <si>
    <t>Roller, Jason</t>
  </si>
  <si>
    <t>8HH5FX6CN84</t>
  </si>
  <si>
    <t>MEQNDVYM00000280909</t>
  </si>
  <si>
    <t>WILKIE,BRIAN</t>
  </si>
  <si>
    <t>Portugal, Gary</t>
  </si>
  <si>
    <t>3JN8T64EX27</t>
  </si>
  <si>
    <t>NG102281524200</t>
  </si>
  <si>
    <t>ALICEA MIRANDA,ELIZABETH</t>
  </si>
  <si>
    <t>CMS Trueup</t>
  </si>
  <si>
    <t>H5521-314</t>
  </si>
  <si>
    <t>Holyn, Dennis</t>
  </si>
  <si>
    <t xml:space="preserve">Y  </t>
  </si>
  <si>
    <t>CMS Trueup reversal</t>
  </si>
  <si>
    <t>2A87G63XP60</t>
  </si>
  <si>
    <t>NG102280421300</t>
  </si>
  <si>
    <t>BANNISTER E,FRANCES</t>
  </si>
  <si>
    <t>TX</t>
  </si>
  <si>
    <t>IMM618</t>
  </si>
  <si>
    <t>H3288-016</t>
  </si>
  <si>
    <t>4U93TN9EN08</t>
  </si>
  <si>
    <t>NG102282681700</t>
  </si>
  <si>
    <t>BARDELLA L,BRENDA</t>
  </si>
  <si>
    <t>H5521-261</t>
  </si>
  <si>
    <t>McCorkle, Michelle</t>
  </si>
  <si>
    <t>7RV7JJ4EA45</t>
  </si>
  <si>
    <t>NG102280040700</t>
  </si>
  <si>
    <t>BARRINGER C,MARY</t>
  </si>
  <si>
    <t>Sherman, Matthew</t>
  </si>
  <si>
    <t>8R70PA3XG01</t>
  </si>
  <si>
    <t>NG102280752000</t>
  </si>
  <si>
    <t>BARUCK M,CYNTHIA</t>
  </si>
  <si>
    <t>7XW8DP1TK34</t>
  </si>
  <si>
    <t>NG102277422000</t>
  </si>
  <si>
    <t>BEHLES W,RICHARD</t>
  </si>
  <si>
    <t>2YY2DT7AT82</t>
  </si>
  <si>
    <t>NG102278678100</t>
  </si>
  <si>
    <t>CAGLEY A,JEFF</t>
  </si>
  <si>
    <t>H7301-009</t>
  </si>
  <si>
    <t>Deaton, Pamela</t>
  </si>
  <si>
    <t>1MC0TQ6AJ27</t>
  </si>
  <si>
    <t>NG102281860300</t>
  </si>
  <si>
    <t>CHAO A,JOSE</t>
  </si>
  <si>
    <t>1K42GA2JA92</t>
  </si>
  <si>
    <t>NG102282666300</t>
  </si>
  <si>
    <t>COMINSKY R,DOUGLAS</t>
  </si>
  <si>
    <t>H5522-001</t>
  </si>
  <si>
    <t>8KN3CX6TN89</t>
  </si>
  <si>
    <t>NG102282813300</t>
  </si>
  <si>
    <t>DALTON WEINRIB A,CECILY</t>
  </si>
  <si>
    <t>Herrera-Larsen, Esther</t>
  </si>
  <si>
    <t>3EJ8GG5VX24</t>
  </si>
  <si>
    <t>NG101144295300</t>
  </si>
  <si>
    <t>DALTON,ISIAH</t>
  </si>
  <si>
    <t>Involuntary Pro-Rata Payment</t>
  </si>
  <si>
    <t>H1206-004</t>
  </si>
  <si>
    <t>Involuntarily Rapid Disenroll</t>
  </si>
  <si>
    <t>3ED5Q49PJ88</t>
  </si>
  <si>
    <t>NG102283019100</t>
  </si>
  <si>
    <t>DEBLANDER A,RICHARD</t>
  </si>
  <si>
    <t>H3959-002</t>
  </si>
  <si>
    <t>7C07VF9JM20</t>
  </si>
  <si>
    <t>NG102281168000</t>
  </si>
  <si>
    <t>DECKER O,JAMES</t>
  </si>
  <si>
    <t>OH</t>
  </si>
  <si>
    <t>IMM617</t>
  </si>
  <si>
    <t>H0628-005</t>
  </si>
  <si>
    <t>SHEPARD RYAN</t>
  </si>
  <si>
    <t>7FE7G53TR74</t>
  </si>
  <si>
    <t>NG102280181000</t>
  </si>
  <si>
    <t>ESAREY CANNON L,CORBY</t>
  </si>
  <si>
    <t>MO</t>
  </si>
  <si>
    <t>H1608-067</t>
  </si>
  <si>
    <t>DUNAVANT, MICHAEL</t>
  </si>
  <si>
    <t>6QM5AV6XP99</t>
  </si>
  <si>
    <t>NG102278123800</t>
  </si>
  <si>
    <t>FARRINGER J,BRIAN</t>
  </si>
  <si>
    <t>6QE3WM4XW79</t>
  </si>
  <si>
    <t>NG102277451400</t>
  </si>
  <si>
    <t>FOSTER W,HAROLD</t>
  </si>
  <si>
    <t>NE</t>
  </si>
  <si>
    <t>IMM610</t>
  </si>
  <si>
    <t>H7149-001</t>
  </si>
  <si>
    <t>Yale, Chad</t>
  </si>
  <si>
    <t>3RX3WV9XT71</t>
  </si>
  <si>
    <t>NG102278084400</t>
  </si>
  <si>
    <t>FOUTCH G,LINDA</t>
  </si>
  <si>
    <t>6PE4XQ2TE04</t>
  </si>
  <si>
    <t>NG102280466100</t>
  </si>
  <si>
    <t>FRIAS H,MARIA</t>
  </si>
  <si>
    <t>Shapiro, Robert</t>
  </si>
  <si>
    <t>3QX2QQ2CD00</t>
  </si>
  <si>
    <t>NG102280063200</t>
  </si>
  <si>
    <t>FUNKHOUSER T,DAVID</t>
  </si>
  <si>
    <t>PRONEW</t>
  </si>
  <si>
    <t>1U16T09GP61</t>
  </si>
  <si>
    <t>NG102280061000</t>
  </si>
  <si>
    <t>FUNKHOUSER,MARIANN</t>
  </si>
  <si>
    <t>5FG8XM4ET30</t>
  </si>
  <si>
    <t>NG102280464500</t>
  </si>
  <si>
    <t>GAINER A,JUDITH</t>
  </si>
  <si>
    <t>6DN6VJ5KJ85</t>
  </si>
  <si>
    <t>NG102282103200</t>
  </si>
  <si>
    <t>GOLDEN J,ROBERT</t>
  </si>
  <si>
    <t>H2293-014</t>
  </si>
  <si>
    <t>Teipel, Gregory</t>
  </si>
  <si>
    <t>5QG5J34VR77</t>
  </si>
  <si>
    <t>NG102279127200</t>
  </si>
  <si>
    <t>GOMEZ,MARQUERITA</t>
  </si>
  <si>
    <t>IN</t>
  </si>
  <si>
    <t>H3192-005</t>
  </si>
  <si>
    <t>HANSFORD, GREGORY</t>
  </si>
  <si>
    <t>1EM1PQ2UC00</t>
  </si>
  <si>
    <t>NG102281476200</t>
  </si>
  <si>
    <t>GRAMZ A,SEAN</t>
  </si>
  <si>
    <t>3R09NV7AT43</t>
  </si>
  <si>
    <t>NG102280969100</t>
  </si>
  <si>
    <t>GUILL D,AMY</t>
  </si>
  <si>
    <t>4G77E15MR49</t>
  </si>
  <si>
    <t>NG102162854600</t>
  </si>
  <si>
    <t>GUNTER W,DARRELL</t>
  </si>
  <si>
    <t>H3959-052</t>
  </si>
  <si>
    <t>4MX2TA6XW84</t>
  </si>
  <si>
    <t>NG102281547100</t>
  </si>
  <si>
    <t>HAGEMEIER R,TINA</t>
  </si>
  <si>
    <t>FRITZ, CAROL</t>
  </si>
  <si>
    <t>3D92RC1UN80</t>
  </si>
  <si>
    <t>NG102283674700</t>
  </si>
  <si>
    <t>HALL W,DAVID</t>
  </si>
  <si>
    <t>8KJ5C77KK64</t>
  </si>
  <si>
    <t>NG102277718400</t>
  </si>
  <si>
    <t>HARRIS R,DANIEL</t>
  </si>
  <si>
    <t>WA</t>
  </si>
  <si>
    <t>IMM616</t>
  </si>
  <si>
    <t>H5521-686</t>
  </si>
  <si>
    <t>Portugal, Stacey</t>
  </si>
  <si>
    <t>7PX3HH2DV02</t>
  </si>
  <si>
    <t>NG102280187800</t>
  </si>
  <si>
    <t>HARTMAN A,NANCY</t>
  </si>
  <si>
    <t>8WQ6C99UD53</t>
  </si>
  <si>
    <t>NG102283469000</t>
  </si>
  <si>
    <t>HERNANDEZ,DORISMILDA</t>
  </si>
  <si>
    <t>H3192-001</t>
  </si>
  <si>
    <t>6V64T75PE08</t>
  </si>
  <si>
    <t>NG102283491900</t>
  </si>
  <si>
    <t>HOBBS C,PAMELA</t>
  </si>
  <si>
    <t>2M33VC6PH78</t>
  </si>
  <si>
    <t>NG101889151100</t>
  </si>
  <si>
    <t>HORWITZ R,STEVEN</t>
  </si>
  <si>
    <t>Renewal Termination</t>
  </si>
  <si>
    <t>5GC4RR4EF64</t>
  </si>
  <si>
    <t>NG102280950100</t>
  </si>
  <si>
    <t>ISIROV T,NASTE</t>
  </si>
  <si>
    <t>8X14PW9QD72</t>
  </si>
  <si>
    <t>NG102280689200</t>
  </si>
  <si>
    <t>JARES W,SCOTT</t>
  </si>
  <si>
    <t>H5521-403</t>
  </si>
  <si>
    <t>5MX2G05JV93</t>
  </si>
  <si>
    <t>NG102281894900</t>
  </si>
  <si>
    <t>JOHNSON D,JANIS</t>
  </si>
  <si>
    <t>9YE5Y35EF65</t>
  </si>
  <si>
    <t>NG102281898400</t>
  </si>
  <si>
    <t>JOHNSON J,DAVID</t>
  </si>
  <si>
    <t>5T21RF7DG26</t>
  </si>
  <si>
    <t>NG102281909800</t>
  </si>
  <si>
    <t>JUNG L,CONNIE</t>
  </si>
  <si>
    <t>H5521-231</t>
  </si>
  <si>
    <t>Green, Danna</t>
  </si>
  <si>
    <t>6T15XQ1WX80</t>
  </si>
  <si>
    <t>NG102280149200</t>
  </si>
  <si>
    <t>KERN L,IVAN</t>
  </si>
  <si>
    <t>MI</t>
  </si>
  <si>
    <t>H5521-407</t>
  </si>
  <si>
    <t>8WH3CQ7EJ01</t>
  </si>
  <si>
    <t>NG102283501500</t>
  </si>
  <si>
    <t>KOVOLYAN W,JOHN</t>
  </si>
  <si>
    <t>2ME8XH0GM31</t>
  </si>
  <si>
    <t>NG102279171500</t>
  </si>
  <si>
    <t>KRIVAK S,REBECCA</t>
  </si>
  <si>
    <t>4H65UJ9FC76</t>
  </si>
  <si>
    <t>NG102283822800</t>
  </si>
  <si>
    <t>MARCH S,YONG</t>
  </si>
  <si>
    <t>8GE0XQ2MK39</t>
  </si>
  <si>
    <t>NG102278948300</t>
  </si>
  <si>
    <t>MCCALL A,MELANIE</t>
  </si>
  <si>
    <t>9U03WW9CW96</t>
  </si>
  <si>
    <t>NG102281288800</t>
  </si>
  <si>
    <t>MCCONNELL L,DANA</t>
  </si>
  <si>
    <t>1EC1HQ1DM99</t>
  </si>
  <si>
    <t>NG102280265800</t>
  </si>
  <si>
    <t>MCDONALD K,GARY</t>
  </si>
  <si>
    <t>H1608-029</t>
  </si>
  <si>
    <t>7Y88GX1YF61</t>
  </si>
  <si>
    <t>NG102280195700</t>
  </si>
  <si>
    <t>MONARREZ V,MARIA</t>
  </si>
  <si>
    <t>8EC0AU8EC21</t>
  </si>
  <si>
    <t>NG102281778400</t>
  </si>
  <si>
    <t>MORRIS B,KRAIG</t>
  </si>
  <si>
    <t>9W71UE7PR09</t>
  </si>
  <si>
    <t>NG102279156000</t>
  </si>
  <si>
    <t>NAGOWSKI S,CHRISTINE</t>
  </si>
  <si>
    <t>5RV7XH1CX63</t>
  </si>
  <si>
    <t>NG102278225800</t>
  </si>
  <si>
    <t>NERI,CLEOFAS</t>
  </si>
  <si>
    <t>H5522-013</t>
  </si>
  <si>
    <t>Luse, Alison</t>
  </si>
  <si>
    <t>5PE1P46NK29</t>
  </si>
  <si>
    <t>NG102281143100</t>
  </si>
  <si>
    <t>PENNINGTON R,STEVEN</t>
  </si>
  <si>
    <t>H0628-038</t>
  </si>
  <si>
    <t>8C51AJ2KM23</t>
  </si>
  <si>
    <t>NG102282739300</t>
  </si>
  <si>
    <t>PETERSON J,AILEEN</t>
  </si>
  <si>
    <t>FL</t>
  </si>
  <si>
    <t>IMM604</t>
  </si>
  <si>
    <t>H5521-702</t>
  </si>
  <si>
    <t>1Y28NF5TT45</t>
  </si>
  <si>
    <t>NG102282908800</t>
  </si>
  <si>
    <t>PRIEBE A,SHIRLEY</t>
  </si>
  <si>
    <t>2JJ4H93QA96</t>
  </si>
  <si>
    <t>NG102280074200</t>
  </si>
  <si>
    <t>RODECK G,KEITH</t>
  </si>
  <si>
    <t>H5521-569</t>
  </si>
  <si>
    <t>6D74Q61UV62</t>
  </si>
  <si>
    <t>NG102281133600</t>
  </si>
  <si>
    <t>RYDER W,KEN</t>
  </si>
  <si>
    <t>H5521-710</t>
  </si>
  <si>
    <t>4AM2RV7GN18</t>
  </si>
  <si>
    <t>NG102283822000</t>
  </si>
  <si>
    <t>SAFRAN A,ROBIN</t>
  </si>
  <si>
    <t>1Q46G23TE75</t>
  </si>
  <si>
    <t>NG101470779200</t>
  </si>
  <si>
    <t>SEEBACH P,DAWN</t>
  </si>
  <si>
    <t>Roccia, Mark</t>
  </si>
  <si>
    <t>5NH5XE9FW72</t>
  </si>
  <si>
    <t>NG102281737500</t>
  </si>
  <si>
    <t>SHEPARD V,TIMOTHY</t>
  </si>
  <si>
    <t>Hunsberger, Anthony</t>
  </si>
  <si>
    <t>2PN5RH3QY50</t>
  </si>
  <si>
    <t>NG102282033400</t>
  </si>
  <si>
    <t>SMITH D,JON</t>
  </si>
  <si>
    <t>Pardue Thomas</t>
  </si>
  <si>
    <t>9V47G70WC44</t>
  </si>
  <si>
    <t>NG101107778200</t>
  </si>
  <si>
    <t>STEELE,AARON</t>
  </si>
  <si>
    <t>MN</t>
  </si>
  <si>
    <t>IMM611</t>
  </si>
  <si>
    <t>H3219-001</t>
  </si>
  <si>
    <t>WUENSCH, RICHARD</t>
  </si>
  <si>
    <t>4H13C43FH86</t>
  </si>
  <si>
    <t>NG102281387100</t>
  </si>
  <si>
    <t>TANNER P,RALPH</t>
  </si>
  <si>
    <t>H3959-036</t>
  </si>
  <si>
    <t>6UY7AC6WU73</t>
  </si>
  <si>
    <t>NG102281954800</t>
  </si>
  <si>
    <t>TORPATS WEATHERLY A,M</t>
  </si>
  <si>
    <t>7Y11A09WM19</t>
  </si>
  <si>
    <t>NG102280776800</t>
  </si>
  <si>
    <t>TRAYERS B,MARY</t>
  </si>
  <si>
    <t>5D35QV3DW99</t>
  </si>
  <si>
    <t>NG102281904500</t>
  </si>
  <si>
    <t>WAGNER X,FRANK</t>
  </si>
  <si>
    <t>6N71UV1EV02</t>
  </si>
  <si>
    <t>NG102280584900</t>
  </si>
  <si>
    <t>WARNOCK M,JANET</t>
  </si>
  <si>
    <t>2DM2MN8UR91</t>
  </si>
  <si>
    <t>MEQNPDZM00002601589</t>
  </si>
  <si>
    <t>WATSON,JO ANN</t>
  </si>
  <si>
    <t>SCHUMANN, BARRY</t>
  </si>
  <si>
    <t>3XP0UH0MN29</t>
  </si>
  <si>
    <t>NG102277560300</t>
  </si>
  <si>
    <t>WILBERT A,JEFFREY</t>
  </si>
  <si>
    <t>8H53HD5FD76</t>
  </si>
  <si>
    <t>NG102277514700</t>
  </si>
  <si>
    <t>WORSEN D,TRINITY</t>
  </si>
  <si>
    <t>2W99YA6VJ35</t>
  </si>
  <si>
    <t>NG102280764200</t>
  </si>
  <si>
    <t>ZANG A,CAROL</t>
  </si>
  <si>
    <t>2K41R39QF37</t>
  </si>
  <si>
    <t>NG102280590400</t>
  </si>
  <si>
    <t>ZELINSKI M,BRENDA</t>
  </si>
  <si>
    <t>7FF8MQ2WT56</t>
  </si>
  <si>
    <t>NG102280581000</t>
  </si>
  <si>
    <t>ZELINSKI S,MATTHEW</t>
  </si>
  <si>
    <t>8FV9A73KF38</t>
  </si>
  <si>
    <t>NG102283062200</t>
  </si>
  <si>
    <t>ZOVACK J,DAVID</t>
  </si>
  <si>
    <t>Total Payee Amount: $62362.51</t>
  </si>
  <si>
    <t>[%/$=347][prorate=9/12]</t>
  </si>
  <si>
    <t>Aetna MAPD 2026*</t>
  </si>
  <si>
    <t>Aetna MAPD OVR 2026</t>
  </si>
  <si>
    <t>[%/$=391][prorate=8/12]</t>
  </si>
  <si>
    <t>Aetna 2026 CT, PA, DC *</t>
  </si>
  <si>
    <t>[%/$=347][prorate=8/12]</t>
  </si>
  <si>
    <t>[%/$=391][prorate=7/12]</t>
  </si>
  <si>
    <t>[%/$=347][prorate=7/12]</t>
  </si>
  <si>
    <t>[%/$=391][prorate=6/12]</t>
  </si>
  <si>
    <t>[%/$=347][prorate=6/12]</t>
  </si>
  <si>
    <t>[%/$=347][prorate=5/12]</t>
  </si>
  <si>
    <t>[%/$=391][prorate=1/12]</t>
  </si>
  <si>
    <t>[%/$=347][prorate=1/12]</t>
  </si>
  <si>
    <t>[%/$=347][prorate=2/12]</t>
  </si>
  <si>
    <t>[%/$=347][prorate=4/12]</t>
  </si>
  <si>
    <t>[%/$=391][prorate=4/12]</t>
  </si>
  <si>
    <t>[%/$=391][prorate=5/12]</t>
  </si>
  <si>
    <t>[%/$=694][prorate=7/12]</t>
  </si>
  <si>
    <t>Aetna 2026</t>
  </si>
  <si>
    <t>Aetna 2026 CT, PA, DC</t>
  </si>
  <si>
    <t>[%/$=781][prorate=7/12]</t>
  </si>
  <si>
    <t>[%/$=694][prorate=8/12]</t>
  </si>
  <si>
    <t>[%/$=781][prorate=8/12]</t>
  </si>
  <si>
    <t>[%/$=694]</t>
  </si>
  <si>
    <t>[%/$=781]</t>
  </si>
  <si>
    <t>17528908N</t>
  </si>
  <si>
    <t>18710070N</t>
  </si>
  <si>
    <t>9254978N</t>
  </si>
  <si>
    <t>BANNISTER</t>
  </si>
  <si>
    <t>FRANCES</t>
  </si>
  <si>
    <t>FUNKHOUSER</t>
  </si>
  <si>
    <t>DAVID</t>
  </si>
  <si>
    <t>MARIANN</t>
  </si>
  <si>
    <t>MORRIS</t>
  </si>
  <si>
    <t>KRAIG</t>
  </si>
  <si>
    <t>FOUTCH</t>
  </si>
  <si>
    <t>LINDA</t>
  </si>
  <si>
    <t>TORPATS</t>
  </si>
  <si>
    <t>M</t>
  </si>
  <si>
    <t>CAGLEY</t>
  </si>
  <si>
    <t>JEFF</t>
  </si>
  <si>
    <t>MCCONNELL</t>
  </si>
  <si>
    <t>DANA</t>
  </si>
  <si>
    <t>ESAREY</t>
  </si>
  <si>
    <t>CORBY</t>
  </si>
  <si>
    <t>HAGEMEIER</t>
  </si>
  <si>
    <t>TINA</t>
  </si>
  <si>
    <t>JUNG</t>
  </si>
  <si>
    <t>CONNIE</t>
  </si>
  <si>
    <t>GOMEZ</t>
  </si>
  <si>
    <t>MARQUERITA</t>
  </si>
  <si>
    <t>PENNINGTON</t>
  </si>
  <si>
    <t>STEVEN</t>
  </si>
  <si>
    <t>MONARREZ</t>
  </si>
  <si>
    <t>MARIA</t>
  </si>
  <si>
    <t>ALICEA</t>
  </si>
  <si>
    <t>ELIZABETH</t>
  </si>
  <si>
    <t>SHEPARD</t>
  </si>
  <si>
    <t>TIMOTHY</t>
  </si>
  <si>
    <t>SMITH</t>
  </si>
  <si>
    <t>JON</t>
  </si>
  <si>
    <t>CHAO</t>
  </si>
  <si>
    <t>JOSE</t>
  </si>
  <si>
    <t>KERN</t>
  </si>
  <si>
    <t>IVAN</t>
  </si>
  <si>
    <t>JARES</t>
  </si>
  <si>
    <t>SCOTT</t>
  </si>
  <si>
    <t>HARRIS</t>
  </si>
  <si>
    <t>DANIEL</t>
  </si>
  <si>
    <t>WATSON</t>
  </si>
  <si>
    <t>ANN</t>
  </si>
  <si>
    <t>FRIAS</t>
  </si>
  <si>
    <t>DECKER</t>
  </si>
  <si>
    <t>JAMES</t>
  </si>
  <si>
    <t>WARNOCK</t>
  </si>
  <si>
    <t>JANET</t>
  </si>
  <si>
    <t>GUILL</t>
  </si>
  <si>
    <t>AMY</t>
  </si>
  <si>
    <t>JOHNSON</t>
  </si>
  <si>
    <t>JANIS</t>
  </si>
  <si>
    <t>WAGNER</t>
  </si>
  <si>
    <t>FRANK</t>
  </si>
  <si>
    <t>MCDONALD</t>
  </si>
  <si>
    <t>GARY</t>
  </si>
  <si>
    <t>TRAYERS</t>
  </si>
  <si>
    <t>MARY</t>
  </si>
  <si>
    <t>ZELINSKI</t>
  </si>
  <si>
    <t>BRENDA</t>
  </si>
  <si>
    <t>MATTHEW</t>
  </si>
  <si>
    <t>BARRINGER</t>
  </si>
  <si>
    <t>GOLDEN</t>
  </si>
  <si>
    <t>ROBERT</t>
  </si>
  <si>
    <t>RYDER</t>
  </si>
  <si>
    <t>KEN</t>
  </si>
  <si>
    <t>RODECK</t>
  </si>
  <si>
    <t>KEITH</t>
  </si>
  <si>
    <t>STEELE</t>
  </si>
  <si>
    <t>AARON</t>
  </si>
  <si>
    <t>FOSTER</t>
  </si>
  <si>
    <t>HAROLD</t>
  </si>
  <si>
    <t>ISIROV</t>
  </si>
  <si>
    <t>NASTE</t>
  </si>
  <si>
    <t>BARUCK</t>
  </si>
  <si>
    <t>CYNTHIA</t>
  </si>
  <si>
    <t>BEHLES</t>
  </si>
  <si>
    <t>RICHARD</t>
  </si>
  <si>
    <t>GUNTER</t>
  </si>
  <si>
    <t>DARRELL</t>
  </si>
  <si>
    <t>GAINER</t>
  </si>
  <si>
    <t>JUDITH</t>
  </si>
  <si>
    <t>FARRINGER</t>
  </si>
  <si>
    <t>BRIAN</t>
  </si>
  <si>
    <t>WILBERT</t>
  </si>
  <si>
    <t>JEFFREY</t>
  </si>
  <si>
    <t>WORSEN</t>
  </si>
  <si>
    <t>TRINITY</t>
  </si>
  <si>
    <t>NERI</t>
  </si>
  <si>
    <t>CLEOFAS</t>
  </si>
  <si>
    <t>HARTMAN</t>
  </si>
  <si>
    <t>NANCY</t>
  </si>
  <si>
    <t>SEEBACH</t>
  </si>
  <si>
    <t>DAWN</t>
  </si>
  <si>
    <t>BOGACZYK</t>
  </si>
  <si>
    <t>DEBLANDER</t>
  </si>
  <si>
    <t>COMINSKY</t>
  </si>
  <si>
    <t>DOUGLAS</t>
  </si>
  <si>
    <t>HALL</t>
  </si>
  <si>
    <t>MARCH</t>
  </si>
  <si>
    <t>YONG</t>
  </si>
  <si>
    <t>HORWITZ</t>
  </si>
  <si>
    <t>SAFRAN</t>
  </si>
  <si>
    <t>ROBIN</t>
  </si>
  <si>
    <t>BARDELLA</t>
  </si>
  <si>
    <t>FURTH</t>
  </si>
  <si>
    <t>JOHN</t>
  </si>
  <si>
    <t>HOBBS</t>
  </si>
  <si>
    <t>PAMELA</t>
  </si>
  <si>
    <t>ISAACS</t>
  </si>
  <si>
    <t>MICHAEL</t>
  </si>
  <si>
    <t>PETERSON</t>
  </si>
  <si>
    <t>AILEEN</t>
  </si>
  <si>
    <t>HERNANDEZ</t>
  </si>
  <si>
    <t>DORISMILDA</t>
  </si>
  <si>
    <t>SANDOVALBUSTAM</t>
  </si>
  <si>
    <t>DEBBIE</t>
  </si>
  <si>
    <t>PRIEBE</t>
  </si>
  <si>
    <t>SHIRLEY</t>
  </si>
  <si>
    <t>DALTON</t>
  </si>
  <si>
    <t>CECILY</t>
  </si>
  <si>
    <t>KERR</t>
  </si>
  <si>
    <t>ROGER</t>
  </si>
  <si>
    <t>ISIAH</t>
  </si>
  <si>
    <t>WILKIE</t>
  </si>
  <si>
    <t>WEBER</t>
  </si>
  <si>
    <t>MARILYN</t>
  </si>
  <si>
    <t>KOVOLYAN</t>
  </si>
  <si>
    <t>ZOVACK</t>
  </si>
  <si>
    <t>DEANNA</t>
  </si>
  <si>
    <t>LEINONEN</t>
  </si>
  <si>
    <t>DIANE</t>
  </si>
  <si>
    <t>JADOS</t>
  </si>
  <si>
    <t>VALERIE</t>
  </si>
  <si>
    <t>GRAMZ</t>
  </si>
  <si>
    <t>SEAN</t>
  </si>
  <si>
    <t>MACHIKA</t>
  </si>
  <si>
    <t>KAREN</t>
  </si>
  <si>
    <t>NAGOWSKI</t>
  </si>
  <si>
    <t>CHRISTINE</t>
  </si>
  <si>
    <t>ZANG</t>
  </si>
  <si>
    <t>CAROL</t>
  </si>
  <si>
    <t>BARTO</t>
  </si>
  <si>
    <t>LISA</t>
  </si>
  <si>
    <t>KRIVAK</t>
  </si>
  <si>
    <t>REBECCA</t>
  </si>
  <si>
    <t>MCCALL</t>
  </si>
  <si>
    <t>MELANIE</t>
  </si>
  <si>
    <t>TANNER</t>
  </si>
  <si>
    <t>RALPH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</si>
</sst>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77B3-DCC9-4675-BEDB-39F544F96762}">
  <dimension ref="A1:X1389"/>
  <sheetViews>
    <sheetView topLeftCell="A106" workbookViewId="0">
      <selection activeCell="E21" sqref="E21"/>
    </sheetView>
  </sheetViews>
  <sheetFormatPr defaultColWidth="9.28515625" defaultRowHeight="15" x14ac:dyDescent="0.25"/>
  <cols>
    <col min="1" max="1" width="29" bestFit="1" customWidth="1"/>
    <col min="2" max="2" width="17.28515625" bestFit="1" customWidth="1"/>
    <col min="3" max="3" width="23.28515625" bestFit="1" customWidth="1"/>
    <col min="4" max="4" width="17.42578125" bestFit="1" customWidth="1"/>
    <col min="5" max="5" width="55.570312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50.57031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46203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46235</v>
      </c>
      <c r="M2" s="1">
        <v>46235</v>
      </c>
      <c r="O2">
        <v>20253958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27.09</v>
      </c>
      <c r="V2" t="s">
        <v>36</v>
      </c>
      <c r="W2" s="1">
        <v>46189</v>
      </c>
      <c r="X2">
        <v>2026</v>
      </c>
    </row>
    <row r="3" spans="1:24" x14ac:dyDescent="0.25">
      <c r="A3" s="1">
        <v>46203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46204</v>
      </c>
      <c r="M3" s="1">
        <v>46204</v>
      </c>
      <c r="O3">
        <v>17425766</v>
      </c>
      <c r="P3" t="s">
        <v>32</v>
      </c>
      <c r="Q3" t="s">
        <v>41</v>
      </c>
      <c r="R3">
        <v>8192</v>
      </c>
      <c r="S3" t="s">
        <v>34</v>
      </c>
      <c r="T3" t="s">
        <v>35</v>
      </c>
      <c r="U3">
        <v>270.5</v>
      </c>
      <c r="V3" t="s">
        <v>36</v>
      </c>
      <c r="W3" s="1">
        <v>46184</v>
      </c>
      <c r="X3">
        <v>2026</v>
      </c>
    </row>
    <row r="4" spans="1:24" x14ac:dyDescent="0.25">
      <c r="A4" s="1">
        <v>46203</v>
      </c>
      <c r="B4" t="s">
        <v>42</v>
      </c>
      <c r="C4" t="s">
        <v>43</v>
      </c>
      <c r="E4" t="s">
        <v>44</v>
      </c>
      <c r="F4" t="s">
        <v>45</v>
      </c>
      <c r="G4" t="s">
        <v>28</v>
      </c>
      <c r="H4" t="s">
        <v>29</v>
      </c>
      <c r="I4" t="s">
        <v>46</v>
      </c>
      <c r="J4" t="s">
        <v>47</v>
      </c>
      <c r="L4" s="1">
        <v>46235</v>
      </c>
      <c r="M4" s="1">
        <v>46235</v>
      </c>
      <c r="O4">
        <v>7470776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207.08</v>
      </c>
      <c r="V4" t="s">
        <v>36</v>
      </c>
      <c r="W4" s="1">
        <v>46187</v>
      </c>
      <c r="X4">
        <v>2026</v>
      </c>
    </row>
    <row r="5" spans="1:24" x14ac:dyDescent="0.25">
      <c r="A5" s="1">
        <v>46203</v>
      </c>
      <c r="B5" t="s">
        <v>49</v>
      </c>
      <c r="C5" t="s">
        <v>50</v>
      </c>
      <c r="E5" t="s">
        <v>51</v>
      </c>
      <c r="F5" t="s">
        <v>45</v>
      </c>
      <c r="G5" t="s">
        <v>28</v>
      </c>
      <c r="H5" t="s">
        <v>29</v>
      </c>
      <c r="I5" t="s">
        <v>46</v>
      </c>
      <c r="J5" t="s">
        <v>47</v>
      </c>
      <c r="L5" s="1">
        <v>46204</v>
      </c>
      <c r="M5" s="1">
        <v>46204</v>
      </c>
      <c r="O5">
        <v>7470776</v>
      </c>
      <c r="P5" t="s">
        <v>32</v>
      </c>
      <c r="Q5" t="s">
        <v>48</v>
      </c>
      <c r="R5">
        <v>8192</v>
      </c>
      <c r="S5" t="s">
        <v>34</v>
      </c>
      <c r="T5" t="s">
        <v>35</v>
      </c>
      <c r="U5">
        <v>248.5</v>
      </c>
      <c r="V5" t="s">
        <v>36</v>
      </c>
      <c r="W5" s="1">
        <v>46190</v>
      </c>
      <c r="X5">
        <v>2026</v>
      </c>
    </row>
    <row r="6" spans="1:24" x14ac:dyDescent="0.25">
      <c r="A6" s="1">
        <v>46203</v>
      </c>
      <c r="B6" t="s">
        <v>52</v>
      </c>
      <c r="C6" t="s">
        <v>53</v>
      </c>
      <c r="E6" t="s">
        <v>54</v>
      </c>
      <c r="F6" t="s">
        <v>45</v>
      </c>
      <c r="G6" t="s">
        <v>28</v>
      </c>
      <c r="H6" t="s">
        <v>29</v>
      </c>
      <c r="I6" t="s">
        <v>46</v>
      </c>
      <c r="J6" t="s">
        <v>55</v>
      </c>
      <c r="L6" s="1">
        <v>46204</v>
      </c>
      <c r="M6" s="1">
        <v>46204</v>
      </c>
      <c r="O6">
        <v>16633294</v>
      </c>
      <c r="P6" t="s">
        <v>32</v>
      </c>
      <c r="Q6" t="s">
        <v>56</v>
      </c>
      <c r="R6">
        <v>8192</v>
      </c>
      <c r="S6" t="s">
        <v>34</v>
      </c>
      <c r="T6" t="s">
        <v>35</v>
      </c>
      <c r="U6">
        <v>248.5</v>
      </c>
      <c r="V6" t="s">
        <v>36</v>
      </c>
      <c r="W6" s="1">
        <v>46183</v>
      </c>
      <c r="X6">
        <v>2026</v>
      </c>
    </row>
    <row r="7" spans="1:24" x14ac:dyDescent="0.25">
      <c r="A7" s="1">
        <v>46203</v>
      </c>
      <c r="B7" t="s">
        <v>57</v>
      </c>
      <c r="C7" t="s">
        <v>58</v>
      </c>
      <c r="E7" t="s">
        <v>59</v>
      </c>
      <c r="F7" t="s">
        <v>60</v>
      </c>
      <c r="G7" t="s">
        <v>28</v>
      </c>
      <c r="H7" t="s">
        <v>61</v>
      </c>
      <c r="I7" t="s">
        <v>46</v>
      </c>
      <c r="J7" t="s">
        <v>62</v>
      </c>
      <c r="L7" s="1">
        <v>46204</v>
      </c>
      <c r="M7" s="1">
        <v>46204</v>
      </c>
      <c r="O7">
        <v>8325282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248.5</v>
      </c>
      <c r="V7" t="s">
        <v>36</v>
      </c>
      <c r="W7" s="1">
        <v>46184</v>
      </c>
      <c r="X7">
        <v>2026</v>
      </c>
    </row>
    <row r="8" spans="1:24" x14ac:dyDescent="0.25">
      <c r="A8" s="1">
        <v>46203</v>
      </c>
      <c r="B8" t="s">
        <v>64</v>
      </c>
      <c r="C8" t="s">
        <v>65</v>
      </c>
      <c r="E8" t="s">
        <v>66</v>
      </c>
      <c r="F8" t="s">
        <v>67</v>
      </c>
      <c r="G8" t="s">
        <v>68</v>
      </c>
      <c r="H8" t="s">
        <v>29</v>
      </c>
      <c r="I8" t="s">
        <v>30</v>
      </c>
      <c r="J8" t="s">
        <v>69</v>
      </c>
      <c r="L8" s="1">
        <v>46174</v>
      </c>
      <c r="M8" s="1">
        <v>45139</v>
      </c>
      <c r="O8">
        <v>17528908</v>
      </c>
      <c r="P8" t="s">
        <v>32</v>
      </c>
      <c r="Q8" t="s">
        <v>70</v>
      </c>
      <c r="R8">
        <v>8192</v>
      </c>
      <c r="S8" t="s">
        <v>71</v>
      </c>
      <c r="T8" t="s">
        <v>35</v>
      </c>
      <c r="U8">
        <v>31.42</v>
      </c>
      <c r="V8" t="s">
        <v>36</v>
      </c>
      <c r="W8" s="1">
        <v>45134</v>
      </c>
      <c r="X8">
        <v>2026</v>
      </c>
    </row>
    <row r="9" spans="1:24" x14ac:dyDescent="0.25">
      <c r="A9" s="1">
        <v>46203</v>
      </c>
      <c r="B9" t="s">
        <v>72</v>
      </c>
      <c r="C9" t="s">
        <v>73</v>
      </c>
      <c r="E9" t="s">
        <v>74</v>
      </c>
      <c r="F9" t="s">
        <v>45</v>
      </c>
      <c r="G9" t="s">
        <v>28</v>
      </c>
      <c r="H9" t="s">
        <v>29</v>
      </c>
      <c r="I9" t="s">
        <v>46</v>
      </c>
      <c r="J9" t="s">
        <v>75</v>
      </c>
      <c r="L9" s="1">
        <v>46235</v>
      </c>
      <c r="M9" s="1">
        <v>46235</v>
      </c>
      <c r="O9">
        <v>16633294</v>
      </c>
      <c r="P9" t="s">
        <v>32</v>
      </c>
      <c r="Q9" t="s">
        <v>56</v>
      </c>
      <c r="R9">
        <v>8192</v>
      </c>
      <c r="S9" t="s">
        <v>34</v>
      </c>
      <c r="T9" t="s">
        <v>35</v>
      </c>
      <c r="U9">
        <v>207.08</v>
      </c>
      <c r="V9" t="s">
        <v>36</v>
      </c>
      <c r="W9" s="1">
        <v>46186</v>
      </c>
      <c r="X9">
        <v>2026</v>
      </c>
    </row>
    <row r="10" spans="1:24" x14ac:dyDescent="0.25">
      <c r="A10" s="1">
        <v>46203</v>
      </c>
      <c r="B10" t="s">
        <v>76</v>
      </c>
      <c r="C10" t="s">
        <v>77</v>
      </c>
      <c r="E10" t="s">
        <v>78</v>
      </c>
      <c r="F10" t="s">
        <v>27</v>
      </c>
      <c r="G10" t="s">
        <v>79</v>
      </c>
      <c r="H10" t="s">
        <v>29</v>
      </c>
      <c r="I10" t="s">
        <v>30</v>
      </c>
      <c r="J10" t="s">
        <v>80</v>
      </c>
      <c r="L10" s="1">
        <v>46023</v>
      </c>
      <c r="M10" s="1">
        <v>46023</v>
      </c>
      <c r="N10" s="1">
        <v>46203</v>
      </c>
      <c r="O10">
        <v>17886092</v>
      </c>
      <c r="P10" t="s">
        <v>32</v>
      </c>
      <c r="Q10" t="s">
        <v>81</v>
      </c>
      <c r="R10">
        <v>8192</v>
      </c>
      <c r="S10" t="s">
        <v>34</v>
      </c>
      <c r="T10" t="s">
        <v>35</v>
      </c>
      <c r="U10">
        <v>32.5</v>
      </c>
      <c r="V10" t="s">
        <v>36</v>
      </c>
      <c r="W10" s="1">
        <v>45945</v>
      </c>
      <c r="X10">
        <v>2026</v>
      </c>
    </row>
    <row r="11" spans="1:24" x14ac:dyDescent="0.25">
      <c r="A11" s="1">
        <v>46203</v>
      </c>
      <c r="B11" t="s">
        <v>76</v>
      </c>
      <c r="C11" t="s">
        <v>77</v>
      </c>
      <c r="E11" t="s">
        <v>78</v>
      </c>
      <c r="F11" t="s">
        <v>27</v>
      </c>
      <c r="G11" t="s">
        <v>82</v>
      </c>
      <c r="H11" t="s">
        <v>29</v>
      </c>
      <c r="I11" t="s">
        <v>30</v>
      </c>
      <c r="J11" t="s">
        <v>80</v>
      </c>
      <c r="L11" s="1">
        <v>46023</v>
      </c>
      <c r="M11" s="1">
        <v>46023</v>
      </c>
      <c r="N11" s="1">
        <v>46203</v>
      </c>
      <c r="O11">
        <v>17886092</v>
      </c>
      <c r="P11" t="s">
        <v>32</v>
      </c>
      <c r="Q11" t="s">
        <v>81</v>
      </c>
      <c r="R11">
        <v>8192</v>
      </c>
      <c r="S11" t="s">
        <v>34</v>
      </c>
      <c r="T11" t="s">
        <v>35</v>
      </c>
      <c r="U11">
        <v>-65</v>
      </c>
      <c r="V11" t="s">
        <v>36</v>
      </c>
      <c r="W11" s="1">
        <v>45945</v>
      </c>
      <c r="X11">
        <v>2026</v>
      </c>
    </row>
    <row r="12" spans="1:24" x14ac:dyDescent="0.25">
      <c r="A12" s="1">
        <v>46203</v>
      </c>
      <c r="B12" t="s">
        <v>83</v>
      </c>
      <c r="C12" t="s">
        <v>84</v>
      </c>
      <c r="E12" t="s">
        <v>85</v>
      </c>
      <c r="F12" t="s">
        <v>45</v>
      </c>
      <c r="G12" t="s">
        <v>28</v>
      </c>
      <c r="H12" t="s">
        <v>29</v>
      </c>
      <c r="I12" t="s">
        <v>46</v>
      </c>
      <c r="J12" t="s">
        <v>86</v>
      </c>
      <c r="L12" s="1">
        <v>46113</v>
      </c>
      <c r="M12" s="1">
        <v>46113</v>
      </c>
      <c r="O12">
        <v>21283956</v>
      </c>
      <c r="P12" t="s">
        <v>32</v>
      </c>
      <c r="Q12" t="s">
        <v>87</v>
      </c>
      <c r="R12">
        <v>8192</v>
      </c>
      <c r="S12" t="s">
        <v>34</v>
      </c>
      <c r="T12" t="s">
        <v>35</v>
      </c>
      <c r="U12">
        <v>372.75</v>
      </c>
      <c r="V12" t="s">
        <v>36</v>
      </c>
      <c r="W12" s="1">
        <v>46100</v>
      </c>
      <c r="X12">
        <v>2026</v>
      </c>
    </row>
    <row r="13" spans="1:24" x14ac:dyDescent="0.25">
      <c r="A13" s="1">
        <v>46203</v>
      </c>
      <c r="B13" t="s">
        <v>88</v>
      </c>
      <c r="C13" t="s">
        <v>89</v>
      </c>
      <c r="E13" t="s">
        <v>90</v>
      </c>
      <c r="F13" t="s">
        <v>45</v>
      </c>
      <c r="G13" t="s">
        <v>28</v>
      </c>
      <c r="H13" t="s">
        <v>29</v>
      </c>
      <c r="I13" t="s">
        <v>91</v>
      </c>
      <c r="J13" t="s">
        <v>92</v>
      </c>
      <c r="L13" s="1">
        <v>46235</v>
      </c>
      <c r="M13" s="1">
        <v>46235</v>
      </c>
      <c r="O13">
        <v>16228684</v>
      </c>
      <c r="P13" t="s">
        <v>32</v>
      </c>
      <c r="Q13" t="s">
        <v>93</v>
      </c>
      <c r="R13">
        <v>8192</v>
      </c>
      <c r="S13" t="s">
        <v>34</v>
      </c>
      <c r="T13" t="s">
        <v>35</v>
      </c>
      <c r="U13">
        <v>207.08</v>
      </c>
      <c r="V13" t="s">
        <v>36</v>
      </c>
      <c r="W13" s="1">
        <v>46184</v>
      </c>
      <c r="X13">
        <v>2026</v>
      </c>
    </row>
    <row r="14" spans="1:24" x14ac:dyDescent="0.25">
      <c r="A14" s="1">
        <v>46203</v>
      </c>
      <c r="B14" t="s">
        <v>94</v>
      </c>
      <c r="C14" t="s">
        <v>95</v>
      </c>
      <c r="E14" t="s">
        <v>96</v>
      </c>
      <c r="F14" t="s">
        <v>45</v>
      </c>
      <c r="G14" t="s">
        <v>28</v>
      </c>
      <c r="H14" t="s">
        <v>29</v>
      </c>
      <c r="I14" t="s">
        <v>46</v>
      </c>
      <c r="J14" t="s">
        <v>86</v>
      </c>
      <c r="L14" s="1">
        <v>46113</v>
      </c>
      <c r="M14" s="1">
        <v>46113</v>
      </c>
      <c r="O14">
        <v>9213293</v>
      </c>
      <c r="P14" t="s">
        <v>32</v>
      </c>
      <c r="Q14" t="s">
        <v>97</v>
      </c>
      <c r="R14">
        <v>8192</v>
      </c>
      <c r="S14" t="s">
        <v>34</v>
      </c>
      <c r="T14" t="s">
        <v>35</v>
      </c>
      <c r="U14">
        <v>372.75</v>
      </c>
      <c r="V14" t="s">
        <v>36</v>
      </c>
      <c r="W14" s="1">
        <v>46097</v>
      </c>
      <c r="X14">
        <v>2026</v>
      </c>
    </row>
    <row r="15" spans="1:24" x14ac:dyDescent="0.25">
      <c r="A15" s="1">
        <v>46196</v>
      </c>
      <c r="B15" t="s">
        <v>98</v>
      </c>
      <c r="C15" t="s">
        <v>99</v>
      </c>
      <c r="E15" t="s">
        <v>100</v>
      </c>
      <c r="F15" t="s">
        <v>45</v>
      </c>
      <c r="G15" t="s">
        <v>101</v>
      </c>
      <c r="H15" t="s">
        <v>29</v>
      </c>
      <c r="I15" t="s">
        <v>46</v>
      </c>
      <c r="J15" t="s">
        <v>102</v>
      </c>
      <c r="L15" s="1">
        <v>46204</v>
      </c>
      <c r="M15" s="1">
        <v>46204</v>
      </c>
      <c r="O15">
        <v>7152559</v>
      </c>
      <c r="P15" t="s">
        <v>32</v>
      </c>
      <c r="Q15" t="s">
        <v>103</v>
      </c>
      <c r="R15">
        <v>8192</v>
      </c>
      <c r="S15" t="s">
        <v>34</v>
      </c>
      <c r="T15" t="s">
        <v>35</v>
      </c>
      <c r="U15">
        <v>844</v>
      </c>
      <c r="V15" t="s">
        <v>104</v>
      </c>
      <c r="W15" s="1">
        <v>46164</v>
      </c>
      <c r="X15">
        <v>2026</v>
      </c>
    </row>
    <row r="16" spans="1:24" x14ac:dyDescent="0.25">
      <c r="A16" s="1">
        <v>46196</v>
      </c>
      <c r="B16" t="s">
        <v>98</v>
      </c>
      <c r="C16" t="s">
        <v>99</v>
      </c>
      <c r="E16" t="s">
        <v>100</v>
      </c>
      <c r="F16" t="s">
        <v>45</v>
      </c>
      <c r="G16" t="s">
        <v>105</v>
      </c>
      <c r="H16" t="s">
        <v>29</v>
      </c>
      <c r="I16" t="s">
        <v>46</v>
      </c>
      <c r="J16" t="s">
        <v>102</v>
      </c>
      <c r="L16" s="1">
        <v>46204</v>
      </c>
      <c r="M16" s="1">
        <v>46204</v>
      </c>
      <c r="O16">
        <v>7152559</v>
      </c>
      <c r="P16" t="s">
        <v>32</v>
      </c>
      <c r="Q16" t="s">
        <v>103</v>
      </c>
      <c r="R16">
        <v>8192</v>
      </c>
      <c r="S16" t="s">
        <v>34</v>
      </c>
      <c r="T16" t="s">
        <v>35</v>
      </c>
      <c r="U16">
        <v>-248.5</v>
      </c>
      <c r="V16" t="s">
        <v>36</v>
      </c>
      <c r="W16" s="1">
        <v>46164</v>
      </c>
      <c r="X16">
        <v>2026</v>
      </c>
    </row>
    <row r="17" spans="1:24" x14ac:dyDescent="0.25">
      <c r="A17" s="1">
        <v>46196</v>
      </c>
      <c r="B17" t="s">
        <v>106</v>
      </c>
      <c r="C17" t="s">
        <v>107</v>
      </c>
      <c r="E17" t="s">
        <v>108</v>
      </c>
      <c r="F17" t="s">
        <v>109</v>
      </c>
      <c r="G17" t="s">
        <v>101</v>
      </c>
      <c r="H17" t="s">
        <v>29</v>
      </c>
      <c r="I17" t="s">
        <v>110</v>
      </c>
      <c r="J17" t="s">
        <v>111</v>
      </c>
      <c r="L17" s="1">
        <v>46174</v>
      </c>
      <c r="M17" s="1">
        <v>46174</v>
      </c>
      <c r="O17">
        <v>7470776</v>
      </c>
      <c r="P17" t="s">
        <v>32</v>
      </c>
      <c r="Q17" t="s">
        <v>48</v>
      </c>
      <c r="R17">
        <v>8192</v>
      </c>
      <c r="S17" t="s">
        <v>34</v>
      </c>
      <c r="T17" t="s">
        <v>35</v>
      </c>
      <c r="U17">
        <v>844</v>
      </c>
      <c r="V17" t="s">
        <v>104</v>
      </c>
      <c r="W17" s="1">
        <v>46156</v>
      </c>
      <c r="X17">
        <v>2026</v>
      </c>
    </row>
    <row r="18" spans="1:24" x14ac:dyDescent="0.25">
      <c r="A18" s="1">
        <v>46196</v>
      </c>
      <c r="B18" t="s">
        <v>106</v>
      </c>
      <c r="C18" t="s">
        <v>107</v>
      </c>
      <c r="E18" t="s">
        <v>108</v>
      </c>
      <c r="F18" t="s">
        <v>109</v>
      </c>
      <c r="G18" t="s">
        <v>105</v>
      </c>
      <c r="H18" t="s">
        <v>29</v>
      </c>
      <c r="I18" t="s">
        <v>110</v>
      </c>
      <c r="J18" t="s">
        <v>111</v>
      </c>
      <c r="L18" s="1">
        <v>46174</v>
      </c>
      <c r="M18" s="1">
        <v>46174</v>
      </c>
      <c r="O18">
        <v>7470776</v>
      </c>
      <c r="P18" t="s">
        <v>32</v>
      </c>
      <c r="Q18" t="s">
        <v>48</v>
      </c>
      <c r="R18">
        <v>8192</v>
      </c>
      <c r="S18" t="s">
        <v>34</v>
      </c>
      <c r="T18" t="s">
        <v>35</v>
      </c>
      <c r="U18">
        <v>-289.92</v>
      </c>
      <c r="V18" t="s">
        <v>36</v>
      </c>
      <c r="W18" s="1">
        <v>46156</v>
      </c>
      <c r="X18">
        <v>2026</v>
      </c>
    </row>
    <row r="19" spans="1:24" x14ac:dyDescent="0.25">
      <c r="A19" s="1">
        <v>46196</v>
      </c>
      <c r="B19" t="s">
        <v>112</v>
      </c>
      <c r="C19" t="s">
        <v>113</v>
      </c>
      <c r="E19" t="s">
        <v>114</v>
      </c>
      <c r="F19" t="s">
        <v>27</v>
      </c>
      <c r="G19" t="s">
        <v>28</v>
      </c>
      <c r="H19" t="s">
        <v>29</v>
      </c>
      <c r="I19" t="s">
        <v>30</v>
      </c>
      <c r="J19" t="s">
        <v>115</v>
      </c>
      <c r="L19" s="1">
        <v>46235</v>
      </c>
      <c r="M19" s="1">
        <v>46235</v>
      </c>
      <c r="O19">
        <v>18710070</v>
      </c>
      <c r="P19" t="s">
        <v>32</v>
      </c>
      <c r="Q19" t="s">
        <v>116</v>
      </c>
      <c r="R19">
        <v>8192</v>
      </c>
      <c r="S19" t="s">
        <v>34</v>
      </c>
      <c r="T19" t="s">
        <v>35</v>
      </c>
      <c r="U19">
        <v>225.42</v>
      </c>
      <c r="V19" t="s">
        <v>36</v>
      </c>
      <c r="W19" s="1">
        <v>46175</v>
      </c>
      <c r="X19">
        <v>2026</v>
      </c>
    </row>
    <row r="20" spans="1:24" x14ac:dyDescent="0.25">
      <c r="A20" s="1">
        <v>46196</v>
      </c>
      <c r="B20" t="s">
        <v>117</v>
      </c>
      <c r="C20" t="s">
        <v>118</v>
      </c>
      <c r="E20" t="s">
        <v>119</v>
      </c>
      <c r="F20" t="s">
        <v>45</v>
      </c>
      <c r="G20" t="s">
        <v>101</v>
      </c>
      <c r="H20" t="s">
        <v>29</v>
      </c>
      <c r="I20" t="s">
        <v>91</v>
      </c>
      <c r="J20" t="s">
        <v>92</v>
      </c>
      <c r="L20" s="1">
        <v>46174</v>
      </c>
      <c r="M20" s="1">
        <v>46174</v>
      </c>
      <c r="O20">
        <v>8812322</v>
      </c>
      <c r="P20" t="s">
        <v>32</v>
      </c>
      <c r="Q20" t="s">
        <v>120</v>
      </c>
      <c r="R20">
        <v>8192</v>
      </c>
      <c r="S20" t="s">
        <v>34</v>
      </c>
      <c r="T20" t="s">
        <v>35</v>
      </c>
      <c r="U20">
        <v>844</v>
      </c>
      <c r="V20" t="s">
        <v>104</v>
      </c>
      <c r="W20" s="1">
        <v>46154</v>
      </c>
      <c r="X20">
        <v>2026</v>
      </c>
    </row>
    <row r="21" spans="1:24" x14ac:dyDescent="0.25">
      <c r="A21" s="1">
        <v>46196</v>
      </c>
      <c r="B21" t="s">
        <v>117</v>
      </c>
      <c r="C21" t="s">
        <v>118</v>
      </c>
      <c r="E21" t="s">
        <v>119</v>
      </c>
      <c r="F21" t="s">
        <v>45</v>
      </c>
      <c r="G21" t="s">
        <v>105</v>
      </c>
      <c r="H21" t="s">
        <v>29</v>
      </c>
      <c r="I21" t="s">
        <v>91</v>
      </c>
      <c r="J21" t="s">
        <v>92</v>
      </c>
      <c r="L21" s="1">
        <v>46174</v>
      </c>
      <c r="M21" s="1">
        <v>46174</v>
      </c>
      <c r="O21">
        <v>8812322</v>
      </c>
      <c r="P21" t="s">
        <v>32</v>
      </c>
      <c r="Q21" t="s">
        <v>120</v>
      </c>
      <c r="R21">
        <v>8192</v>
      </c>
      <c r="S21" t="s">
        <v>34</v>
      </c>
      <c r="T21" t="s">
        <v>35</v>
      </c>
      <c r="U21">
        <v>-289.92</v>
      </c>
      <c r="V21" t="s">
        <v>36</v>
      </c>
      <c r="W21" s="1">
        <v>46154</v>
      </c>
      <c r="X21">
        <v>2026</v>
      </c>
    </row>
    <row r="22" spans="1:24" x14ac:dyDescent="0.25">
      <c r="A22" s="1">
        <v>46196</v>
      </c>
      <c r="B22" t="s">
        <v>121</v>
      </c>
      <c r="C22" t="s">
        <v>122</v>
      </c>
      <c r="E22" t="s">
        <v>123</v>
      </c>
      <c r="F22" t="s">
        <v>45</v>
      </c>
      <c r="G22" t="s">
        <v>101</v>
      </c>
      <c r="H22" t="s">
        <v>29</v>
      </c>
      <c r="I22" t="s">
        <v>46</v>
      </c>
      <c r="J22" t="s">
        <v>75</v>
      </c>
      <c r="L22" s="1">
        <v>46174</v>
      </c>
      <c r="M22" s="1">
        <v>46174</v>
      </c>
      <c r="O22">
        <v>16633294</v>
      </c>
      <c r="P22" t="s">
        <v>32</v>
      </c>
      <c r="Q22" t="s">
        <v>56</v>
      </c>
      <c r="R22">
        <v>8192</v>
      </c>
      <c r="S22" t="s">
        <v>34</v>
      </c>
      <c r="T22" t="s">
        <v>35</v>
      </c>
      <c r="U22">
        <v>844</v>
      </c>
      <c r="V22" t="s">
        <v>104</v>
      </c>
      <c r="W22" s="1">
        <v>46160</v>
      </c>
      <c r="X22">
        <v>2026</v>
      </c>
    </row>
    <row r="23" spans="1:24" x14ac:dyDescent="0.25">
      <c r="A23" s="1">
        <v>46196</v>
      </c>
      <c r="B23" t="s">
        <v>121</v>
      </c>
      <c r="C23" t="s">
        <v>122</v>
      </c>
      <c r="E23" t="s">
        <v>123</v>
      </c>
      <c r="F23" t="s">
        <v>45</v>
      </c>
      <c r="G23" t="s">
        <v>105</v>
      </c>
      <c r="H23" t="s">
        <v>29</v>
      </c>
      <c r="I23" t="s">
        <v>46</v>
      </c>
      <c r="J23" t="s">
        <v>75</v>
      </c>
      <c r="L23" s="1">
        <v>46174</v>
      </c>
      <c r="M23" s="1">
        <v>46174</v>
      </c>
      <c r="O23">
        <v>16633294</v>
      </c>
      <c r="P23" t="s">
        <v>32</v>
      </c>
      <c r="Q23" t="s">
        <v>56</v>
      </c>
      <c r="R23">
        <v>8192</v>
      </c>
      <c r="S23" t="s">
        <v>34</v>
      </c>
      <c r="T23" t="s">
        <v>35</v>
      </c>
      <c r="U23">
        <v>-289.92</v>
      </c>
      <c r="V23" t="s">
        <v>36</v>
      </c>
      <c r="W23" s="1">
        <v>46160</v>
      </c>
      <c r="X23">
        <v>2026</v>
      </c>
    </row>
    <row r="24" spans="1:24" x14ac:dyDescent="0.25">
      <c r="A24" s="1">
        <v>46196</v>
      </c>
      <c r="B24" t="s">
        <v>124</v>
      </c>
      <c r="C24" t="s">
        <v>125</v>
      </c>
      <c r="E24" t="s">
        <v>126</v>
      </c>
      <c r="F24" t="s">
        <v>45</v>
      </c>
      <c r="G24" t="s">
        <v>101</v>
      </c>
      <c r="H24" t="s">
        <v>29</v>
      </c>
      <c r="I24" t="s">
        <v>46</v>
      </c>
      <c r="J24" t="s">
        <v>102</v>
      </c>
      <c r="L24" s="1">
        <v>46143</v>
      </c>
      <c r="M24" s="1">
        <v>46143</v>
      </c>
      <c r="O24">
        <v>16633294</v>
      </c>
      <c r="P24" t="s">
        <v>32</v>
      </c>
      <c r="Q24" t="s">
        <v>56</v>
      </c>
      <c r="R24">
        <v>8192</v>
      </c>
      <c r="S24" t="s">
        <v>34</v>
      </c>
      <c r="T24" t="s">
        <v>35</v>
      </c>
      <c r="U24">
        <v>844</v>
      </c>
      <c r="V24" t="s">
        <v>104</v>
      </c>
      <c r="W24" s="1">
        <v>46134</v>
      </c>
      <c r="X24">
        <v>2026</v>
      </c>
    </row>
    <row r="25" spans="1:24" x14ac:dyDescent="0.25">
      <c r="A25" s="1">
        <v>46196</v>
      </c>
      <c r="B25" t="s">
        <v>124</v>
      </c>
      <c r="C25" t="s">
        <v>125</v>
      </c>
      <c r="E25" t="s">
        <v>126</v>
      </c>
      <c r="F25" t="s">
        <v>45</v>
      </c>
      <c r="G25" t="s">
        <v>105</v>
      </c>
      <c r="H25" t="s">
        <v>29</v>
      </c>
      <c r="I25" t="s">
        <v>46</v>
      </c>
      <c r="J25" t="s">
        <v>102</v>
      </c>
      <c r="L25" s="1">
        <v>46143</v>
      </c>
      <c r="M25" s="1">
        <v>46143</v>
      </c>
      <c r="O25">
        <v>16633294</v>
      </c>
      <c r="P25" t="s">
        <v>32</v>
      </c>
      <c r="Q25" t="s">
        <v>56</v>
      </c>
      <c r="R25">
        <v>8192</v>
      </c>
      <c r="S25" t="s">
        <v>34</v>
      </c>
      <c r="T25" t="s">
        <v>35</v>
      </c>
      <c r="U25">
        <v>-331.33</v>
      </c>
      <c r="V25" t="s">
        <v>36</v>
      </c>
      <c r="W25" s="1">
        <v>46134</v>
      </c>
      <c r="X25">
        <v>2026</v>
      </c>
    </row>
    <row r="26" spans="1:24" x14ac:dyDescent="0.25">
      <c r="A26" s="1">
        <v>46196</v>
      </c>
      <c r="B26" t="s">
        <v>127</v>
      </c>
      <c r="C26" t="s">
        <v>128</v>
      </c>
      <c r="E26" t="s">
        <v>129</v>
      </c>
      <c r="F26" t="s">
        <v>45</v>
      </c>
      <c r="G26" t="s">
        <v>101</v>
      </c>
      <c r="H26" t="s">
        <v>29</v>
      </c>
      <c r="I26" t="s">
        <v>91</v>
      </c>
      <c r="J26" t="s">
        <v>130</v>
      </c>
      <c r="L26" s="1">
        <v>46174</v>
      </c>
      <c r="M26" s="1">
        <v>46174</v>
      </c>
      <c r="O26">
        <v>8244481</v>
      </c>
      <c r="P26" t="s">
        <v>32</v>
      </c>
      <c r="Q26" t="s">
        <v>131</v>
      </c>
      <c r="R26">
        <v>8192</v>
      </c>
      <c r="S26" t="s">
        <v>34</v>
      </c>
      <c r="T26" t="s">
        <v>35</v>
      </c>
      <c r="U26">
        <v>844</v>
      </c>
      <c r="V26" t="s">
        <v>104</v>
      </c>
      <c r="W26" s="1">
        <v>46143</v>
      </c>
      <c r="X26">
        <v>2026</v>
      </c>
    </row>
    <row r="27" spans="1:24" x14ac:dyDescent="0.25">
      <c r="A27" s="1">
        <v>46196</v>
      </c>
      <c r="B27" t="s">
        <v>127</v>
      </c>
      <c r="C27" t="s">
        <v>128</v>
      </c>
      <c r="E27" t="s">
        <v>129</v>
      </c>
      <c r="F27" t="s">
        <v>45</v>
      </c>
      <c r="G27" t="s">
        <v>105</v>
      </c>
      <c r="H27" t="s">
        <v>29</v>
      </c>
      <c r="I27" t="s">
        <v>91</v>
      </c>
      <c r="J27" t="s">
        <v>130</v>
      </c>
      <c r="L27" s="1">
        <v>46174</v>
      </c>
      <c r="M27" s="1">
        <v>46174</v>
      </c>
      <c r="O27">
        <v>8244481</v>
      </c>
      <c r="P27" t="s">
        <v>32</v>
      </c>
      <c r="Q27" t="s">
        <v>131</v>
      </c>
      <c r="R27">
        <v>8192</v>
      </c>
      <c r="S27" t="s">
        <v>34</v>
      </c>
      <c r="T27" t="s">
        <v>35</v>
      </c>
      <c r="U27">
        <v>-289.92</v>
      </c>
      <c r="V27" t="s">
        <v>36</v>
      </c>
      <c r="W27" s="1">
        <v>46143</v>
      </c>
      <c r="X27">
        <v>2026</v>
      </c>
    </row>
    <row r="28" spans="1:24" x14ac:dyDescent="0.25">
      <c r="A28" s="1">
        <v>46196</v>
      </c>
      <c r="B28" t="s">
        <v>132</v>
      </c>
      <c r="C28" t="s">
        <v>133</v>
      </c>
      <c r="E28" t="s">
        <v>134</v>
      </c>
      <c r="F28" t="s">
        <v>45</v>
      </c>
      <c r="G28" t="s">
        <v>101</v>
      </c>
      <c r="H28" t="s">
        <v>29</v>
      </c>
      <c r="I28" t="s">
        <v>46</v>
      </c>
      <c r="J28" t="s">
        <v>75</v>
      </c>
      <c r="L28" s="1">
        <v>46174</v>
      </c>
      <c r="M28" s="1">
        <v>46174</v>
      </c>
      <c r="O28">
        <v>9213293</v>
      </c>
      <c r="P28" t="s">
        <v>32</v>
      </c>
      <c r="Q28" t="s">
        <v>97</v>
      </c>
      <c r="R28">
        <v>8192</v>
      </c>
      <c r="S28" t="s">
        <v>34</v>
      </c>
      <c r="T28" t="s">
        <v>35</v>
      </c>
      <c r="U28">
        <v>844</v>
      </c>
      <c r="V28" t="s">
        <v>104</v>
      </c>
      <c r="W28" s="1">
        <v>46169</v>
      </c>
      <c r="X28">
        <v>2026</v>
      </c>
    </row>
    <row r="29" spans="1:24" x14ac:dyDescent="0.25">
      <c r="A29" s="1">
        <v>46196</v>
      </c>
      <c r="B29" t="s">
        <v>132</v>
      </c>
      <c r="C29" t="s">
        <v>133</v>
      </c>
      <c r="E29" t="s">
        <v>134</v>
      </c>
      <c r="F29" t="s">
        <v>45</v>
      </c>
      <c r="G29" t="s">
        <v>105</v>
      </c>
      <c r="H29" t="s">
        <v>29</v>
      </c>
      <c r="I29" t="s">
        <v>46</v>
      </c>
      <c r="J29" t="s">
        <v>75</v>
      </c>
      <c r="L29" s="1">
        <v>46174</v>
      </c>
      <c r="M29" s="1">
        <v>46174</v>
      </c>
      <c r="O29">
        <v>9213293</v>
      </c>
      <c r="P29" t="s">
        <v>32</v>
      </c>
      <c r="Q29" t="s">
        <v>97</v>
      </c>
      <c r="R29">
        <v>8192</v>
      </c>
      <c r="S29" t="s">
        <v>34</v>
      </c>
      <c r="T29" t="s">
        <v>35</v>
      </c>
      <c r="U29">
        <v>-289.92</v>
      </c>
      <c r="V29" t="s">
        <v>36</v>
      </c>
      <c r="W29" s="1">
        <v>46169</v>
      </c>
      <c r="X29">
        <v>2026</v>
      </c>
    </row>
    <row r="30" spans="1:24" x14ac:dyDescent="0.25">
      <c r="A30" s="1">
        <v>46196</v>
      </c>
      <c r="B30" t="s">
        <v>135</v>
      </c>
      <c r="C30" t="s">
        <v>136</v>
      </c>
      <c r="E30" t="s">
        <v>137</v>
      </c>
      <c r="F30" t="s">
        <v>27</v>
      </c>
      <c r="G30" t="s">
        <v>28</v>
      </c>
      <c r="H30" t="s">
        <v>29</v>
      </c>
      <c r="I30" t="s">
        <v>30</v>
      </c>
      <c r="J30" t="s">
        <v>138</v>
      </c>
      <c r="L30" s="1">
        <v>46204</v>
      </c>
      <c r="M30" s="1">
        <v>46204</v>
      </c>
      <c r="O30">
        <v>17528908</v>
      </c>
      <c r="P30" t="s">
        <v>32</v>
      </c>
      <c r="Q30" t="s">
        <v>70</v>
      </c>
      <c r="R30">
        <v>8192</v>
      </c>
      <c r="S30" t="s">
        <v>34</v>
      </c>
      <c r="T30" t="s">
        <v>35</v>
      </c>
      <c r="U30">
        <v>270.5</v>
      </c>
      <c r="V30" t="s">
        <v>36</v>
      </c>
      <c r="W30" s="1">
        <v>46175</v>
      </c>
      <c r="X30">
        <v>2026</v>
      </c>
    </row>
    <row r="31" spans="1:24" x14ac:dyDescent="0.25">
      <c r="A31" s="1">
        <v>46196</v>
      </c>
      <c r="B31" t="s">
        <v>139</v>
      </c>
      <c r="C31" t="s">
        <v>140</v>
      </c>
      <c r="E31" t="s">
        <v>141</v>
      </c>
      <c r="F31" t="s">
        <v>45</v>
      </c>
      <c r="G31" t="s">
        <v>28</v>
      </c>
      <c r="H31" t="s">
        <v>29</v>
      </c>
      <c r="I31" t="s">
        <v>46</v>
      </c>
      <c r="J31" t="s">
        <v>75</v>
      </c>
      <c r="L31" s="1">
        <v>46174</v>
      </c>
      <c r="M31" s="1">
        <v>46174</v>
      </c>
      <c r="O31">
        <v>17301495</v>
      </c>
      <c r="P31" t="s">
        <v>32</v>
      </c>
      <c r="Q31" t="s">
        <v>142</v>
      </c>
      <c r="R31">
        <v>8192</v>
      </c>
      <c r="S31" t="s">
        <v>34</v>
      </c>
      <c r="T31" t="s">
        <v>35</v>
      </c>
      <c r="U31">
        <v>289.92</v>
      </c>
      <c r="V31" t="s">
        <v>36</v>
      </c>
      <c r="W31" s="1">
        <v>46170</v>
      </c>
      <c r="X31">
        <v>2026</v>
      </c>
    </row>
    <row r="32" spans="1:24" x14ac:dyDescent="0.25">
      <c r="A32" s="1">
        <v>46196</v>
      </c>
      <c r="B32" t="s">
        <v>143</v>
      </c>
      <c r="C32" t="s">
        <v>144</v>
      </c>
      <c r="E32" t="s">
        <v>145</v>
      </c>
      <c r="F32" t="s">
        <v>45</v>
      </c>
      <c r="G32" t="s">
        <v>146</v>
      </c>
      <c r="H32" t="s">
        <v>29</v>
      </c>
      <c r="I32" t="s">
        <v>46</v>
      </c>
      <c r="J32" t="s">
        <v>147</v>
      </c>
      <c r="L32" s="1">
        <v>46113</v>
      </c>
      <c r="M32" s="1">
        <v>46113</v>
      </c>
      <c r="N32" s="1">
        <v>46173</v>
      </c>
      <c r="O32">
        <v>9213293</v>
      </c>
      <c r="P32" t="s">
        <v>32</v>
      </c>
      <c r="Q32" t="s">
        <v>97</v>
      </c>
      <c r="R32">
        <v>8192</v>
      </c>
      <c r="S32" t="s">
        <v>34</v>
      </c>
      <c r="T32" t="s">
        <v>35</v>
      </c>
      <c r="U32">
        <v>82.83</v>
      </c>
      <c r="V32" t="s">
        <v>36</v>
      </c>
      <c r="W32" s="1">
        <v>46098</v>
      </c>
      <c r="X32">
        <v>2026</v>
      </c>
    </row>
    <row r="33" spans="1:24" x14ac:dyDescent="0.25">
      <c r="A33" s="1">
        <v>46196</v>
      </c>
      <c r="B33" t="s">
        <v>143</v>
      </c>
      <c r="C33" t="s">
        <v>144</v>
      </c>
      <c r="E33" t="s">
        <v>145</v>
      </c>
      <c r="F33" t="s">
        <v>45</v>
      </c>
      <c r="G33" t="s">
        <v>148</v>
      </c>
      <c r="H33" t="s">
        <v>29</v>
      </c>
      <c r="I33" t="s">
        <v>46</v>
      </c>
      <c r="J33" t="s">
        <v>147</v>
      </c>
      <c r="L33" s="1">
        <v>46113</v>
      </c>
      <c r="M33" s="1">
        <v>46113</v>
      </c>
      <c r="N33" s="1">
        <v>46173</v>
      </c>
      <c r="O33">
        <v>9213293</v>
      </c>
      <c r="P33" t="s">
        <v>32</v>
      </c>
      <c r="Q33" t="s">
        <v>97</v>
      </c>
      <c r="R33">
        <v>8192</v>
      </c>
      <c r="S33" t="s">
        <v>34</v>
      </c>
      <c r="T33" t="s">
        <v>35</v>
      </c>
      <c r="U33">
        <v>-372.75</v>
      </c>
      <c r="V33" t="s">
        <v>36</v>
      </c>
      <c r="W33" s="1">
        <v>46098</v>
      </c>
      <c r="X33">
        <v>2026</v>
      </c>
    </row>
    <row r="34" spans="1:24" x14ac:dyDescent="0.25">
      <c r="A34" s="1">
        <v>46196</v>
      </c>
      <c r="B34" t="s">
        <v>149</v>
      </c>
      <c r="C34" t="s">
        <v>150</v>
      </c>
      <c r="E34" t="s">
        <v>151</v>
      </c>
      <c r="F34" t="s">
        <v>27</v>
      </c>
      <c r="G34" t="s">
        <v>28</v>
      </c>
      <c r="H34" t="s">
        <v>29</v>
      </c>
      <c r="I34" t="s">
        <v>30</v>
      </c>
      <c r="J34" t="s">
        <v>152</v>
      </c>
      <c r="L34" s="1">
        <v>46266</v>
      </c>
      <c r="M34" s="1">
        <v>46266</v>
      </c>
      <c r="O34">
        <v>17528908</v>
      </c>
      <c r="P34" t="s">
        <v>32</v>
      </c>
      <c r="Q34" t="s">
        <v>70</v>
      </c>
      <c r="R34">
        <v>8192</v>
      </c>
      <c r="S34" t="s">
        <v>34</v>
      </c>
      <c r="T34" t="s">
        <v>35</v>
      </c>
      <c r="U34">
        <v>180.33</v>
      </c>
      <c r="V34" t="s">
        <v>36</v>
      </c>
      <c r="W34" s="1">
        <v>46176</v>
      </c>
      <c r="X34">
        <v>2026</v>
      </c>
    </row>
    <row r="35" spans="1:24" x14ac:dyDescent="0.25">
      <c r="A35" s="1">
        <v>46196</v>
      </c>
      <c r="B35" t="s">
        <v>153</v>
      </c>
      <c r="C35" t="s">
        <v>154</v>
      </c>
      <c r="E35" t="s">
        <v>155</v>
      </c>
      <c r="F35" t="s">
        <v>156</v>
      </c>
      <c r="G35" t="s">
        <v>101</v>
      </c>
      <c r="H35" t="s">
        <v>29</v>
      </c>
      <c r="I35" t="s">
        <v>157</v>
      </c>
      <c r="J35" t="s">
        <v>158</v>
      </c>
      <c r="L35" s="1">
        <v>46235</v>
      </c>
      <c r="M35" s="1">
        <v>46235</v>
      </c>
      <c r="O35">
        <v>16170994</v>
      </c>
      <c r="P35" t="s">
        <v>32</v>
      </c>
      <c r="Q35" t="s">
        <v>159</v>
      </c>
      <c r="R35">
        <v>8192</v>
      </c>
      <c r="S35" t="s">
        <v>34</v>
      </c>
      <c r="T35" t="s">
        <v>35</v>
      </c>
      <c r="U35">
        <v>844</v>
      </c>
      <c r="V35" t="s">
        <v>104</v>
      </c>
      <c r="W35" s="1">
        <v>46162</v>
      </c>
      <c r="X35">
        <v>2026</v>
      </c>
    </row>
    <row r="36" spans="1:24" x14ac:dyDescent="0.25">
      <c r="A36" s="1">
        <v>46196</v>
      </c>
      <c r="B36" t="s">
        <v>153</v>
      </c>
      <c r="C36" t="s">
        <v>154</v>
      </c>
      <c r="E36" t="s">
        <v>155</v>
      </c>
      <c r="F36" t="s">
        <v>156</v>
      </c>
      <c r="G36" t="s">
        <v>105</v>
      </c>
      <c r="H36" t="s">
        <v>29</v>
      </c>
      <c r="I36" t="s">
        <v>157</v>
      </c>
      <c r="J36" t="s">
        <v>158</v>
      </c>
      <c r="L36" s="1">
        <v>46235</v>
      </c>
      <c r="M36" s="1">
        <v>46235</v>
      </c>
      <c r="O36">
        <v>16170994</v>
      </c>
      <c r="P36" t="s">
        <v>32</v>
      </c>
      <c r="Q36" t="s">
        <v>159</v>
      </c>
      <c r="R36">
        <v>8192</v>
      </c>
      <c r="S36" t="s">
        <v>34</v>
      </c>
      <c r="T36" t="s">
        <v>35</v>
      </c>
      <c r="U36">
        <v>-207.08</v>
      </c>
      <c r="V36" t="s">
        <v>36</v>
      </c>
      <c r="W36" s="1">
        <v>46162</v>
      </c>
      <c r="X36">
        <v>2026</v>
      </c>
    </row>
    <row r="37" spans="1:24" x14ac:dyDescent="0.25">
      <c r="A37" s="1">
        <v>46196</v>
      </c>
      <c r="B37" t="s">
        <v>160</v>
      </c>
      <c r="C37" t="s">
        <v>161</v>
      </c>
      <c r="E37" t="s">
        <v>162</v>
      </c>
      <c r="F37" t="s">
        <v>163</v>
      </c>
      <c r="G37" t="s">
        <v>101</v>
      </c>
      <c r="H37" t="s">
        <v>29</v>
      </c>
      <c r="I37" t="s">
        <v>91</v>
      </c>
      <c r="J37" t="s">
        <v>164</v>
      </c>
      <c r="L37" s="1">
        <v>46204</v>
      </c>
      <c r="M37" s="1">
        <v>46204</v>
      </c>
      <c r="O37">
        <v>18828278</v>
      </c>
      <c r="P37" t="s">
        <v>32</v>
      </c>
      <c r="Q37" t="s">
        <v>165</v>
      </c>
      <c r="R37">
        <v>8192</v>
      </c>
      <c r="S37" t="s">
        <v>34</v>
      </c>
      <c r="T37" t="s">
        <v>35</v>
      </c>
      <c r="U37">
        <v>844</v>
      </c>
      <c r="V37" t="s">
        <v>104</v>
      </c>
      <c r="W37" s="1">
        <v>46155</v>
      </c>
      <c r="X37">
        <v>2026</v>
      </c>
    </row>
    <row r="38" spans="1:24" x14ac:dyDescent="0.25">
      <c r="A38" s="1">
        <v>46196</v>
      </c>
      <c r="B38" t="s">
        <v>160</v>
      </c>
      <c r="C38" t="s">
        <v>161</v>
      </c>
      <c r="E38" t="s">
        <v>162</v>
      </c>
      <c r="F38" t="s">
        <v>163</v>
      </c>
      <c r="G38" t="s">
        <v>105</v>
      </c>
      <c r="H38" t="s">
        <v>29</v>
      </c>
      <c r="I38" t="s">
        <v>91</v>
      </c>
      <c r="J38" t="s">
        <v>164</v>
      </c>
      <c r="L38" s="1">
        <v>46204</v>
      </c>
      <c r="M38" s="1">
        <v>46204</v>
      </c>
      <c r="O38">
        <v>18828278</v>
      </c>
      <c r="P38" t="s">
        <v>32</v>
      </c>
      <c r="Q38" t="s">
        <v>165</v>
      </c>
      <c r="R38">
        <v>8192</v>
      </c>
      <c r="S38" t="s">
        <v>34</v>
      </c>
      <c r="T38" t="s">
        <v>35</v>
      </c>
      <c r="U38">
        <v>-248.5</v>
      </c>
      <c r="V38" t="s">
        <v>36</v>
      </c>
      <c r="W38" s="1">
        <v>46155</v>
      </c>
      <c r="X38">
        <v>2026</v>
      </c>
    </row>
    <row r="39" spans="1:24" x14ac:dyDescent="0.25">
      <c r="A39" s="1">
        <v>46196</v>
      </c>
      <c r="B39" t="s">
        <v>166</v>
      </c>
      <c r="C39" t="s">
        <v>167</v>
      </c>
      <c r="E39" t="s">
        <v>168</v>
      </c>
      <c r="F39" t="s">
        <v>27</v>
      </c>
      <c r="G39" t="s">
        <v>101</v>
      </c>
      <c r="H39" t="s">
        <v>29</v>
      </c>
      <c r="I39" t="s">
        <v>30</v>
      </c>
      <c r="J39" t="s">
        <v>138</v>
      </c>
      <c r="L39" s="1">
        <v>46143</v>
      </c>
      <c r="M39" s="1">
        <v>46143</v>
      </c>
      <c r="O39">
        <v>17528908</v>
      </c>
      <c r="P39" t="s">
        <v>32</v>
      </c>
      <c r="Q39" t="s">
        <v>70</v>
      </c>
      <c r="R39">
        <v>8192</v>
      </c>
      <c r="S39" t="s">
        <v>34</v>
      </c>
      <c r="T39" t="s">
        <v>35</v>
      </c>
      <c r="U39">
        <v>931</v>
      </c>
      <c r="V39" t="s">
        <v>104</v>
      </c>
      <c r="W39" s="1">
        <v>46140</v>
      </c>
      <c r="X39">
        <v>2026</v>
      </c>
    </row>
    <row r="40" spans="1:24" x14ac:dyDescent="0.25">
      <c r="A40" s="1">
        <v>46196</v>
      </c>
      <c r="B40" t="s">
        <v>166</v>
      </c>
      <c r="C40" t="s">
        <v>167</v>
      </c>
      <c r="E40" t="s">
        <v>168</v>
      </c>
      <c r="F40" t="s">
        <v>27</v>
      </c>
      <c r="G40" t="s">
        <v>105</v>
      </c>
      <c r="H40" t="s">
        <v>29</v>
      </c>
      <c r="I40" t="s">
        <v>30</v>
      </c>
      <c r="J40" t="s">
        <v>138</v>
      </c>
      <c r="L40" s="1">
        <v>46143</v>
      </c>
      <c r="M40" s="1">
        <v>46143</v>
      </c>
      <c r="O40">
        <v>17528908</v>
      </c>
      <c r="P40" t="s">
        <v>32</v>
      </c>
      <c r="Q40" t="s">
        <v>70</v>
      </c>
      <c r="R40">
        <v>8192</v>
      </c>
      <c r="S40" t="s">
        <v>34</v>
      </c>
      <c r="T40" t="s">
        <v>35</v>
      </c>
      <c r="U40">
        <v>-360.67</v>
      </c>
      <c r="V40" t="s">
        <v>36</v>
      </c>
      <c r="W40" s="1">
        <v>46140</v>
      </c>
      <c r="X40">
        <v>2026</v>
      </c>
    </row>
    <row r="41" spans="1:24" x14ac:dyDescent="0.25">
      <c r="A41" s="1">
        <v>46196</v>
      </c>
      <c r="B41" t="s">
        <v>169</v>
      </c>
      <c r="C41" t="s">
        <v>170</v>
      </c>
      <c r="E41" t="s">
        <v>171</v>
      </c>
      <c r="F41" t="s">
        <v>172</v>
      </c>
      <c r="G41" t="s">
        <v>101</v>
      </c>
      <c r="H41" t="s">
        <v>29</v>
      </c>
      <c r="I41" t="s">
        <v>173</v>
      </c>
      <c r="J41" t="s">
        <v>174</v>
      </c>
      <c r="L41" s="1">
        <v>46143</v>
      </c>
      <c r="M41" s="1">
        <v>46143</v>
      </c>
      <c r="O41">
        <v>20003537</v>
      </c>
      <c r="P41" t="s">
        <v>32</v>
      </c>
      <c r="Q41" t="s">
        <v>175</v>
      </c>
      <c r="R41">
        <v>8192</v>
      </c>
      <c r="S41" t="s">
        <v>34</v>
      </c>
      <c r="T41" t="s">
        <v>35</v>
      </c>
      <c r="U41">
        <v>844</v>
      </c>
      <c r="V41" t="s">
        <v>104</v>
      </c>
      <c r="W41" s="1">
        <v>46127</v>
      </c>
      <c r="X41">
        <v>2026</v>
      </c>
    </row>
    <row r="42" spans="1:24" x14ac:dyDescent="0.25">
      <c r="A42" s="1">
        <v>46196</v>
      </c>
      <c r="B42" t="s">
        <v>169</v>
      </c>
      <c r="C42" t="s">
        <v>170</v>
      </c>
      <c r="E42" t="s">
        <v>171</v>
      </c>
      <c r="F42" t="s">
        <v>172</v>
      </c>
      <c r="G42" t="s">
        <v>105</v>
      </c>
      <c r="H42" t="s">
        <v>29</v>
      </c>
      <c r="I42" t="s">
        <v>173</v>
      </c>
      <c r="J42" t="s">
        <v>174</v>
      </c>
      <c r="L42" s="1">
        <v>46143</v>
      </c>
      <c r="M42" s="1">
        <v>46143</v>
      </c>
      <c r="O42">
        <v>20003537</v>
      </c>
      <c r="P42" t="s">
        <v>32</v>
      </c>
      <c r="Q42" t="s">
        <v>175</v>
      </c>
      <c r="R42">
        <v>8192</v>
      </c>
      <c r="S42" t="s">
        <v>34</v>
      </c>
      <c r="T42" t="s">
        <v>35</v>
      </c>
      <c r="U42">
        <v>-331.33</v>
      </c>
      <c r="V42" t="s">
        <v>36</v>
      </c>
      <c r="W42" s="1">
        <v>46127</v>
      </c>
      <c r="X42">
        <v>2026</v>
      </c>
    </row>
    <row r="43" spans="1:24" x14ac:dyDescent="0.25">
      <c r="A43" s="1">
        <v>46196</v>
      </c>
      <c r="B43" t="s">
        <v>176</v>
      </c>
      <c r="C43" t="s">
        <v>177</v>
      </c>
      <c r="E43" t="s">
        <v>178</v>
      </c>
      <c r="F43" t="s">
        <v>45</v>
      </c>
      <c r="G43" t="s">
        <v>101</v>
      </c>
      <c r="H43" t="s">
        <v>29</v>
      </c>
      <c r="I43" t="s">
        <v>91</v>
      </c>
      <c r="J43" t="s">
        <v>130</v>
      </c>
      <c r="L43" s="1">
        <v>46204</v>
      </c>
      <c r="M43" s="1">
        <v>46204</v>
      </c>
      <c r="O43">
        <v>8244481</v>
      </c>
      <c r="P43" t="s">
        <v>32</v>
      </c>
      <c r="Q43" t="s">
        <v>131</v>
      </c>
      <c r="R43">
        <v>8192</v>
      </c>
      <c r="S43" t="s">
        <v>34</v>
      </c>
      <c r="T43" t="s">
        <v>35</v>
      </c>
      <c r="U43">
        <v>844</v>
      </c>
      <c r="V43" t="s">
        <v>104</v>
      </c>
      <c r="W43" s="1">
        <v>46140</v>
      </c>
      <c r="X43">
        <v>2026</v>
      </c>
    </row>
    <row r="44" spans="1:24" x14ac:dyDescent="0.25">
      <c r="A44" s="1">
        <v>46196</v>
      </c>
      <c r="B44" t="s">
        <v>176</v>
      </c>
      <c r="C44" t="s">
        <v>177</v>
      </c>
      <c r="E44" t="s">
        <v>178</v>
      </c>
      <c r="F44" t="s">
        <v>45</v>
      </c>
      <c r="G44" t="s">
        <v>105</v>
      </c>
      <c r="H44" t="s">
        <v>29</v>
      </c>
      <c r="I44" t="s">
        <v>91</v>
      </c>
      <c r="J44" t="s">
        <v>130</v>
      </c>
      <c r="L44" s="1">
        <v>46204</v>
      </c>
      <c r="M44" s="1">
        <v>46204</v>
      </c>
      <c r="O44">
        <v>8244481</v>
      </c>
      <c r="P44" t="s">
        <v>32</v>
      </c>
      <c r="Q44" t="s">
        <v>131</v>
      </c>
      <c r="R44">
        <v>8192</v>
      </c>
      <c r="S44" t="s">
        <v>34</v>
      </c>
      <c r="T44" t="s">
        <v>35</v>
      </c>
      <c r="U44">
        <v>-248.5</v>
      </c>
      <c r="V44" t="s">
        <v>36</v>
      </c>
      <c r="W44" s="1">
        <v>46140</v>
      </c>
      <c r="X44">
        <v>2026</v>
      </c>
    </row>
    <row r="45" spans="1:24" x14ac:dyDescent="0.25">
      <c r="A45" s="1">
        <v>46196</v>
      </c>
      <c r="B45" t="s">
        <v>179</v>
      </c>
      <c r="C45" t="s">
        <v>180</v>
      </c>
      <c r="E45" t="s">
        <v>181</v>
      </c>
      <c r="F45" t="s">
        <v>45</v>
      </c>
      <c r="G45" t="s">
        <v>101</v>
      </c>
      <c r="H45" t="s">
        <v>29</v>
      </c>
      <c r="I45" t="s">
        <v>46</v>
      </c>
      <c r="J45" t="s">
        <v>75</v>
      </c>
      <c r="L45" s="1">
        <v>46204</v>
      </c>
      <c r="M45" s="1">
        <v>46204</v>
      </c>
      <c r="O45">
        <v>7565575</v>
      </c>
      <c r="P45" t="s">
        <v>32</v>
      </c>
      <c r="Q45" t="s">
        <v>182</v>
      </c>
      <c r="R45">
        <v>8192</v>
      </c>
      <c r="S45" t="s">
        <v>34</v>
      </c>
      <c r="T45" t="s">
        <v>35</v>
      </c>
      <c r="U45">
        <v>844</v>
      </c>
      <c r="V45" t="s">
        <v>104</v>
      </c>
      <c r="W45" s="1">
        <v>46156</v>
      </c>
      <c r="X45">
        <v>2026</v>
      </c>
    </row>
    <row r="46" spans="1:24" x14ac:dyDescent="0.25">
      <c r="A46" s="1">
        <v>46196</v>
      </c>
      <c r="B46" t="s">
        <v>179</v>
      </c>
      <c r="C46" t="s">
        <v>180</v>
      </c>
      <c r="E46" t="s">
        <v>181</v>
      </c>
      <c r="F46" t="s">
        <v>45</v>
      </c>
      <c r="G46" t="s">
        <v>105</v>
      </c>
      <c r="H46" t="s">
        <v>29</v>
      </c>
      <c r="I46" t="s">
        <v>46</v>
      </c>
      <c r="J46" t="s">
        <v>75</v>
      </c>
      <c r="L46" s="1">
        <v>46204</v>
      </c>
      <c r="M46" s="1">
        <v>46204</v>
      </c>
      <c r="O46">
        <v>7565575</v>
      </c>
      <c r="P46" t="s">
        <v>32</v>
      </c>
      <c r="Q46" t="s">
        <v>182</v>
      </c>
      <c r="R46">
        <v>8192</v>
      </c>
      <c r="S46" t="s">
        <v>34</v>
      </c>
      <c r="T46" t="s">
        <v>35</v>
      </c>
      <c r="U46">
        <v>-248.5</v>
      </c>
      <c r="V46" t="s">
        <v>36</v>
      </c>
      <c r="W46" s="1">
        <v>46156</v>
      </c>
      <c r="X46">
        <v>2026</v>
      </c>
    </row>
    <row r="47" spans="1:24" x14ac:dyDescent="0.25">
      <c r="A47" s="1">
        <v>46196</v>
      </c>
      <c r="B47" t="s">
        <v>183</v>
      </c>
      <c r="C47" t="s">
        <v>184</v>
      </c>
      <c r="E47" t="s">
        <v>185</v>
      </c>
      <c r="F47" t="s">
        <v>45</v>
      </c>
      <c r="G47" t="s">
        <v>186</v>
      </c>
      <c r="H47" t="s">
        <v>29</v>
      </c>
      <c r="I47" t="s">
        <v>46</v>
      </c>
      <c r="J47" t="s">
        <v>75</v>
      </c>
      <c r="L47" s="1">
        <v>46174</v>
      </c>
      <c r="M47" s="1">
        <v>46174</v>
      </c>
      <c r="O47">
        <v>7470776</v>
      </c>
      <c r="P47" t="s">
        <v>32</v>
      </c>
      <c r="Q47" t="s">
        <v>48</v>
      </c>
      <c r="R47">
        <v>8192</v>
      </c>
      <c r="S47" t="s">
        <v>34</v>
      </c>
      <c r="T47" t="s">
        <v>35</v>
      </c>
      <c r="U47">
        <v>492.33</v>
      </c>
      <c r="V47" t="s">
        <v>104</v>
      </c>
      <c r="W47" s="1">
        <v>46154</v>
      </c>
      <c r="X47">
        <v>2026</v>
      </c>
    </row>
    <row r="48" spans="1:24" x14ac:dyDescent="0.25">
      <c r="A48" s="1">
        <v>46196</v>
      </c>
      <c r="B48" t="s">
        <v>183</v>
      </c>
      <c r="C48" t="s">
        <v>184</v>
      </c>
      <c r="E48" t="s">
        <v>185</v>
      </c>
      <c r="F48" t="s">
        <v>45</v>
      </c>
      <c r="G48" t="s">
        <v>105</v>
      </c>
      <c r="H48" t="s">
        <v>29</v>
      </c>
      <c r="I48" t="s">
        <v>46</v>
      </c>
      <c r="J48" t="s">
        <v>75</v>
      </c>
      <c r="L48" s="1">
        <v>46174</v>
      </c>
      <c r="M48" s="1">
        <v>46174</v>
      </c>
      <c r="O48">
        <v>7470776</v>
      </c>
      <c r="P48" t="s">
        <v>32</v>
      </c>
      <c r="Q48" t="s">
        <v>48</v>
      </c>
      <c r="R48">
        <v>8192</v>
      </c>
      <c r="S48" t="s">
        <v>34</v>
      </c>
      <c r="T48" t="s">
        <v>35</v>
      </c>
      <c r="U48">
        <v>-289.92</v>
      </c>
      <c r="V48" t="s">
        <v>36</v>
      </c>
      <c r="W48" s="1">
        <v>46154</v>
      </c>
      <c r="X48">
        <v>2026</v>
      </c>
    </row>
    <row r="49" spans="1:24" x14ac:dyDescent="0.25">
      <c r="A49" s="1">
        <v>46196</v>
      </c>
      <c r="B49" t="s">
        <v>187</v>
      </c>
      <c r="C49" t="s">
        <v>188</v>
      </c>
      <c r="E49" t="s">
        <v>189</v>
      </c>
      <c r="F49" t="s">
        <v>45</v>
      </c>
      <c r="G49" t="s">
        <v>186</v>
      </c>
      <c r="H49" t="s">
        <v>29</v>
      </c>
      <c r="I49" t="s">
        <v>46</v>
      </c>
      <c r="J49" t="s">
        <v>75</v>
      </c>
      <c r="L49" s="1">
        <v>46174</v>
      </c>
      <c r="M49" s="1">
        <v>46174</v>
      </c>
      <c r="O49">
        <v>7470776</v>
      </c>
      <c r="P49" t="s">
        <v>32</v>
      </c>
      <c r="Q49" t="s">
        <v>48</v>
      </c>
      <c r="R49">
        <v>8192</v>
      </c>
      <c r="S49" t="s">
        <v>34</v>
      </c>
      <c r="T49" t="s">
        <v>35</v>
      </c>
      <c r="U49">
        <v>492.33</v>
      </c>
      <c r="V49" t="s">
        <v>104</v>
      </c>
      <c r="W49" s="1">
        <v>46154</v>
      </c>
      <c r="X49">
        <v>2026</v>
      </c>
    </row>
    <row r="50" spans="1:24" x14ac:dyDescent="0.25">
      <c r="A50" s="1">
        <v>46196</v>
      </c>
      <c r="B50" t="s">
        <v>187</v>
      </c>
      <c r="C50" t="s">
        <v>188</v>
      </c>
      <c r="E50" t="s">
        <v>189</v>
      </c>
      <c r="F50" t="s">
        <v>45</v>
      </c>
      <c r="G50" t="s">
        <v>105</v>
      </c>
      <c r="H50" t="s">
        <v>29</v>
      </c>
      <c r="I50" t="s">
        <v>46</v>
      </c>
      <c r="J50" t="s">
        <v>75</v>
      </c>
      <c r="L50" s="1">
        <v>46174</v>
      </c>
      <c r="M50" s="1">
        <v>46174</v>
      </c>
      <c r="O50">
        <v>7470776</v>
      </c>
      <c r="P50" t="s">
        <v>32</v>
      </c>
      <c r="Q50" t="s">
        <v>48</v>
      </c>
      <c r="R50">
        <v>8192</v>
      </c>
      <c r="S50" t="s">
        <v>34</v>
      </c>
      <c r="T50" t="s">
        <v>35</v>
      </c>
      <c r="U50">
        <v>-289.92</v>
      </c>
      <c r="V50" t="s">
        <v>36</v>
      </c>
      <c r="W50" s="1">
        <v>46154</v>
      </c>
      <c r="X50">
        <v>2026</v>
      </c>
    </row>
    <row r="51" spans="1:24" x14ac:dyDescent="0.25">
      <c r="A51" s="1">
        <v>46196</v>
      </c>
      <c r="B51" t="s">
        <v>190</v>
      </c>
      <c r="C51" t="s">
        <v>191</v>
      </c>
      <c r="E51" t="s">
        <v>192</v>
      </c>
      <c r="F51" t="s">
        <v>27</v>
      </c>
      <c r="G51" t="s">
        <v>101</v>
      </c>
      <c r="H51" t="s">
        <v>29</v>
      </c>
      <c r="I51" t="s">
        <v>30</v>
      </c>
      <c r="J51" t="s">
        <v>152</v>
      </c>
      <c r="L51" s="1">
        <v>46174</v>
      </c>
      <c r="M51" s="1">
        <v>46174</v>
      </c>
      <c r="O51">
        <v>17528908</v>
      </c>
      <c r="P51" t="s">
        <v>32</v>
      </c>
      <c r="Q51" t="s">
        <v>70</v>
      </c>
      <c r="R51">
        <v>8192</v>
      </c>
      <c r="S51" t="s">
        <v>34</v>
      </c>
      <c r="T51" t="s">
        <v>35</v>
      </c>
      <c r="U51">
        <v>931</v>
      </c>
      <c r="V51" t="s">
        <v>104</v>
      </c>
      <c r="W51" s="1">
        <v>46156</v>
      </c>
      <c r="X51">
        <v>2026</v>
      </c>
    </row>
    <row r="52" spans="1:24" x14ac:dyDescent="0.25">
      <c r="A52" s="1">
        <v>46196</v>
      </c>
      <c r="B52" t="s">
        <v>190</v>
      </c>
      <c r="C52" t="s">
        <v>191</v>
      </c>
      <c r="E52" t="s">
        <v>192</v>
      </c>
      <c r="F52" t="s">
        <v>27</v>
      </c>
      <c r="G52" t="s">
        <v>105</v>
      </c>
      <c r="H52" t="s">
        <v>29</v>
      </c>
      <c r="I52" t="s">
        <v>30</v>
      </c>
      <c r="J52" t="s">
        <v>152</v>
      </c>
      <c r="L52" s="1">
        <v>46174</v>
      </c>
      <c r="M52" s="1">
        <v>46174</v>
      </c>
      <c r="O52">
        <v>17528908</v>
      </c>
      <c r="P52" t="s">
        <v>32</v>
      </c>
      <c r="Q52" t="s">
        <v>70</v>
      </c>
      <c r="R52">
        <v>8192</v>
      </c>
      <c r="S52" t="s">
        <v>34</v>
      </c>
      <c r="T52" t="s">
        <v>35</v>
      </c>
      <c r="U52">
        <v>-315.58</v>
      </c>
      <c r="V52" t="s">
        <v>36</v>
      </c>
      <c r="W52" s="1">
        <v>46156</v>
      </c>
      <c r="X52">
        <v>2026</v>
      </c>
    </row>
    <row r="53" spans="1:24" x14ac:dyDescent="0.25">
      <c r="A53" s="1">
        <v>46196</v>
      </c>
      <c r="B53" t="s">
        <v>193</v>
      </c>
      <c r="C53" t="s">
        <v>194</v>
      </c>
      <c r="E53" t="s">
        <v>195</v>
      </c>
      <c r="F53" t="s">
        <v>109</v>
      </c>
      <c r="G53" t="s">
        <v>101</v>
      </c>
      <c r="H53" t="s">
        <v>29</v>
      </c>
      <c r="I53" t="s">
        <v>110</v>
      </c>
      <c r="J53" t="s">
        <v>196</v>
      </c>
      <c r="L53" s="1">
        <v>46235</v>
      </c>
      <c r="M53" s="1">
        <v>46235</v>
      </c>
      <c r="O53">
        <v>8307933</v>
      </c>
      <c r="P53" t="s">
        <v>32</v>
      </c>
      <c r="Q53" t="s">
        <v>197</v>
      </c>
      <c r="R53">
        <v>8192</v>
      </c>
      <c r="S53" t="s">
        <v>34</v>
      </c>
      <c r="T53" t="s">
        <v>35</v>
      </c>
      <c r="U53">
        <v>844</v>
      </c>
      <c r="V53" t="s">
        <v>104</v>
      </c>
      <c r="W53" s="1">
        <v>46170</v>
      </c>
      <c r="X53">
        <v>2026</v>
      </c>
    </row>
    <row r="54" spans="1:24" x14ac:dyDescent="0.25">
      <c r="A54" s="1">
        <v>46196</v>
      </c>
      <c r="B54" t="s">
        <v>193</v>
      </c>
      <c r="C54" t="s">
        <v>194</v>
      </c>
      <c r="E54" t="s">
        <v>195</v>
      </c>
      <c r="F54" t="s">
        <v>109</v>
      </c>
      <c r="G54" t="s">
        <v>105</v>
      </c>
      <c r="H54" t="s">
        <v>29</v>
      </c>
      <c r="I54" t="s">
        <v>110</v>
      </c>
      <c r="J54" t="s">
        <v>196</v>
      </c>
      <c r="L54" s="1">
        <v>46235</v>
      </c>
      <c r="M54" s="1">
        <v>46235</v>
      </c>
      <c r="O54">
        <v>8307933</v>
      </c>
      <c r="P54" t="s">
        <v>32</v>
      </c>
      <c r="Q54" t="s">
        <v>197</v>
      </c>
      <c r="R54">
        <v>8192</v>
      </c>
      <c r="S54" t="s">
        <v>34</v>
      </c>
      <c r="T54" t="s">
        <v>35</v>
      </c>
      <c r="U54">
        <v>-207.08</v>
      </c>
      <c r="V54" t="s">
        <v>36</v>
      </c>
      <c r="W54" s="1">
        <v>46170</v>
      </c>
      <c r="X54">
        <v>2026</v>
      </c>
    </row>
    <row r="55" spans="1:24" x14ac:dyDescent="0.25">
      <c r="A55" s="1">
        <v>46196</v>
      </c>
      <c r="B55" t="s">
        <v>198</v>
      </c>
      <c r="C55" t="s">
        <v>199</v>
      </c>
      <c r="E55" t="s">
        <v>200</v>
      </c>
      <c r="F55" t="s">
        <v>201</v>
      </c>
      <c r="G55" t="s">
        <v>101</v>
      </c>
      <c r="H55" t="s">
        <v>29</v>
      </c>
      <c r="I55" t="s">
        <v>46</v>
      </c>
      <c r="J55" t="s">
        <v>202</v>
      </c>
      <c r="L55" s="1">
        <v>46174</v>
      </c>
      <c r="M55" s="1">
        <v>46174</v>
      </c>
      <c r="O55">
        <v>17094718</v>
      </c>
      <c r="P55" t="s">
        <v>32</v>
      </c>
      <c r="Q55" t="s">
        <v>203</v>
      </c>
      <c r="R55">
        <v>8192</v>
      </c>
      <c r="S55" t="s">
        <v>34</v>
      </c>
      <c r="T55" t="s">
        <v>35</v>
      </c>
      <c r="U55">
        <v>844</v>
      </c>
      <c r="V55" t="s">
        <v>104</v>
      </c>
      <c r="W55" s="1">
        <v>46147</v>
      </c>
      <c r="X55">
        <v>2026</v>
      </c>
    </row>
    <row r="56" spans="1:24" x14ac:dyDescent="0.25">
      <c r="A56" s="1">
        <v>46196</v>
      </c>
      <c r="B56" t="s">
        <v>198</v>
      </c>
      <c r="C56" t="s">
        <v>199</v>
      </c>
      <c r="E56" t="s">
        <v>200</v>
      </c>
      <c r="F56" t="s">
        <v>201</v>
      </c>
      <c r="G56" t="s">
        <v>105</v>
      </c>
      <c r="H56" t="s">
        <v>29</v>
      </c>
      <c r="I56" t="s">
        <v>46</v>
      </c>
      <c r="J56" t="s">
        <v>202</v>
      </c>
      <c r="L56" s="1">
        <v>46174</v>
      </c>
      <c r="M56" s="1">
        <v>46174</v>
      </c>
      <c r="O56">
        <v>17094718</v>
      </c>
      <c r="P56" t="s">
        <v>32</v>
      </c>
      <c r="Q56" t="s">
        <v>203</v>
      </c>
      <c r="R56">
        <v>8192</v>
      </c>
      <c r="S56" t="s">
        <v>34</v>
      </c>
      <c r="T56" t="s">
        <v>35</v>
      </c>
      <c r="U56">
        <v>-289.92</v>
      </c>
      <c r="V56" t="s">
        <v>36</v>
      </c>
      <c r="W56" s="1">
        <v>46147</v>
      </c>
      <c r="X56">
        <v>2026</v>
      </c>
    </row>
    <row r="57" spans="1:24" x14ac:dyDescent="0.25">
      <c r="A57" s="1">
        <v>46196</v>
      </c>
      <c r="B57" t="s">
        <v>204</v>
      </c>
      <c r="C57" t="s">
        <v>205</v>
      </c>
      <c r="E57" t="s">
        <v>206</v>
      </c>
      <c r="F57" t="s">
        <v>27</v>
      </c>
      <c r="G57" t="s">
        <v>101</v>
      </c>
      <c r="H57" t="s">
        <v>29</v>
      </c>
      <c r="I57" t="s">
        <v>30</v>
      </c>
      <c r="J57" t="s">
        <v>152</v>
      </c>
      <c r="L57" s="1">
        <v>46174</v>
      </c>
      <c r="M57" s="1">
        <v>46174</v>
      </c>
      <c r="O57">
        <v>17886092</v>
      </c>
      <c r="P57" t="s">
        <v>32</v>
      </c>
      <c r="Q57" t="s">
        <v>81</v>
      </c>
      <c r="R57">
        <v>8192</v>
      </c>
      <c r="S57" t="s">
        <v>34</v>
      </c>
      <c r="T57" t="s">
        <v>35</v>
      </c>
      <c r="U57">
        <v>65</v>
      </c>
      <c r="V57" t="s">
        <v>104</v>
      </c>
      <c r="W57" s="1">
        <v>46164</v>
      </c>
      <c r="X57">
        <v>2026</v>
      </c>
    </row>
    <row r="58" spans="1:24" x14ac:dyDescent="0.25">
      <c r="A58" s="1">
        <v>46196</v>
      </c>
      <c r="B58" t="s">
        <v>204</v>
      </c>
      <c r="C58" t="s">
        <v>205</v>
      </c>
      <c r="E58" t="s">
        <v>206</v>
      </c>
      <c r="F58" t="s">
        <v>27</v>
      </c>
      <c r="G58" t="s">
        <v>105</v>
      </c>
      <c r="H58" t="s">
        <v>29</v>
      </c>
      <c r="I58" t="s">
        <v>30</v>
      </c>
      <c r="J58" t="s">
        <v>152</v>
      </c>
      <c r="L58" s="1">
        <v>46174</v>
      </c>
      <c r="M58" s="1">
        <v>46174</v>
      </c>
      <c r="O58">
        <v>17886092</v>
      </c>
      <c r="P58" t="s">
        <v>32</v>
      </c>
      <c r="Q58" t="s">
        <v>81</v>
      </c>
      <c r="R58">
        <v>8192</v>
      </c>
      <c r="S58" t="s">
        <v>34</v>
      </c>
      <c r="T58" t="s">
        <v>35</v>
      </c>
      <c r="U58">
        <v>-37.909999999999997</v>
      </c>
      <c r="V58" t="s">
        <v>36</v>
      </c>
      <c r="W58" s="1">
        <v>46164</v>
      </c>
      <c r="X58">
        <v>2026</v>
      </c>
    </row>
    <row r="59" spans="1:24" x14ac:dyDescent="0.25">
      <c r="A59" s="1">
        <v>46196</v>
      </c>
      <c r="B59" t="s">
        <v>207</v>
      </c>
      <c r="C59" t="s">
        <v>208</v>
      </c>
      <c r="E59" t="s">
        <v>209</v>
      </c>
      <c r="F59" t="s">
        <v>156</v>
      </c>
      <c r="G59" t="s">
        <v>101</v>
      </c>
      <c r="H59" t="s">
        <v>29</v>
      </c>
      <c r="I59" t="s">
        <v>157</v>
      </c>
      <c r="J59" t="s">
        <v>158</v>
      </c>
      <c r="L59" s="1">
        <v>46204</v>
      </c>
      <c r="M59" s="1">
        <v>46204</v>
      </c>
      <c r="O59">
        <v>16170994</v>
      </c>
      <c r="P59" t="s">
        <v>32</v>
      </c>
      <c r="Q59" t="s">
        <v>159</v>
      </c>
      <c r="R59">
        <v>8192</v>
      </c>
      <c r="S59" t="s">
        <v>34</v>
      </c>
      <c r="T59" t="s">
        <v>35</v>
      </c>
      <c r="U59">
        <v>844</v>
      </c>
      <c r="V59" t="s">
        <v>104</v>
      </c>
      <c r="W59" s="1">
        <v>46161</v>
      </c>
      <c r="X59">
        <v>2026</v>
      </c>
    </row>
    <row r="60" spans="1:24" x14ac:dyDescent="0.25">
      <c r="A60" s="1">
        <v>46196</v>
      </c>
      <c r="B60" t="s">
        <v>207</v>
      </c>
      <c r="C60" t="s">
        <v>208</v>
      </c>
      <c r="E60" t="s">
        <v>209</v>
      </c>
      <c r="F60" t="s">
        <v>156</v>
      </c>
      <c r="G60" t="s">
        <v>105</v>
      </c>
      <c r="H60" t="s">
        <v>29</v>
      </c>
      <c r="I60" t="s">
        <v>157</v>
      </c>
      <c r="J60" t="s">
        <v>158</v>
      </c>
      <c r="L60" s="1">
        <v>46204</v>
      </c>
      <c r="M60" s="1">
        <v>46204</v>
      </c>
      <c r="O60">
        <v>16170994</v>
      </c>
      <c r="P60" t="s">
        <v>32</v>
      </c>
      <c r="Q60" t="s">
        <v>159</v>
      </c>
      <c r="R60">
        <v>8192</v>
      </c>
      <c r="S60" t="s">
        <v>34</v>
      </c>
      <c r="T60" t="s">
        <v>35</v>
      </c>
      <c r="U60">
        <v>-248.5</v>
      </c>
      <c r="V60" t="s">
        <v>36</v>
      </c>
      <c r="W60" s="1">
        <v>46161</v>
      </c>
      <c r="X60">
        <v>2026</v>
      </c>
    </row>
    <row r="61" spans="1:24" x14ac:dyDescent="0.25">
      <c r="A61" s="1">
        <v>46196</v>
      </c>
      <c r="B61" t="s">
        <v>210</v>
      </c>
      <c r="C61" t="s">
        <v>211</v>
      </c>
      <c r="E61" t="s">
        <v>212</v>
      </c>
      <c r="F61" t="s">
        <v>27</v>
      </c>
      <c r="G61" t="s">
        <v>186</v>
      </c>
      <c r="H61" t="s">
        <v>29</v>
      </c>
      <c r="I61" t="s">
        <v>30</v>
      </c>
      <c r="J61" t="s">
        <v>213</v>
      </c>
      <c r="L61" s="1">
        <v>46143</v>
      </c>
      <c r="M61" s="1">
        <v>46143</v>
      </c>
      <c r="O61">
        <v>17425766</v>
      </c>
      <c r="P61" t="s">
        <v>32</v>
      </c>
      <c r="Q61" t="s">
        <v>41</v>
      </c>
      <c r="R61">
        <v>8192</v>
      </c>
      <c r="S61" t="s">
        <v>34</v>
      </c>
      <c r="T61" t="s">
        <v>35</v>
      </c>
      <c r="U61">
        <v>620.66999999999996</v>
      </c>
      <c r="V61" t="s">
        <v>104</v>
      </c>
      <c r="W61" s="1">
        <v>46134</v>
      </c>
      <c r="X61">
        <v>2026</v>
      </c>
    </row>
    <row r="62" spans="1:24" x14ac:dyDescent="0.25">
      <c r="A62" s="1">
        <v>46196</v>
      </c>
      <c r="B62" t="s">
        <v>210</v>
      </c>
      <c r="C62" t="s">
        <v>211</v>
      </c>
      <c r="E62" t="s">
        <v>212</v>
      </c>
      <c r="F62" t="s">
        <v>27</v>
      </c>
      <c r="G62" t="s">
        <v>105</v>
      </c>
      <c r="H62" t="s">
        <v>29</v>
      </c>
      <c r="I62" t="s">
        <v>30</v>
      </c>
      <c r="J62" t="s">
        <v>213</v>
      </c>
      <c r="L62" s="1">
        <v>46143</v>
      </c>
      <c r="M62" s="1">
        <v>46143</v>
      </c>
      <c r="O62">
        <v>17425766</v>
      </c>
      <c r="P62" t="s">
        <v>32</v>
      </c>
      <c r="Q62" t="s">
        <v>41</v>
      </c>
      <c r="R62">
        <v>8192</v>
      </c>
      <c r="S62" t="s">
        <v>34</v>
      </c>
      <c r="T62" t="s">
        <v>35</v>
      </c>
      <c r="U62">
        <v>-360.67</v>
      </c>
      <c r="V62" t="s">
        <v>36</v>
      </c>
      <c r="W62" s="1">
        <v>46134</v>
      </c>
      <c r="X62">
        <v>2026</v>
      </c>
    </row>
    <row r="63" spans="1:24" x14ac:dyDescent="0.25">
      <c r="A63" s="1">
        <v>46196</v>
      </c>
      <c r="B63" t="s">
        <v>214</v>
      </c>
      <c r="C63" t="s">
        <v>215</v>
      </c>
      <c r="E63" t="s">
        <v>216</v>
      </c>
      <c r="F63" t="s">
        <v>45</v>
      </c>
      <c r="G63" t="s">
        <v>101</v>
      </c>
      <c r="H63" t="s">
        <v>29</v>
      </c>
      <c r="I63" t="s">
        <v>91</v>
      </c>
      <c r="J63" t="s">
        <v>130</v>
      </c>
      <c r="L63" s="1">
        <v>46204</v>
      </c>
      <c r="M63" s="1">
        <v>46204</v>
      </c>
      <c r="O63">
        <v>19268643</v>
      </c>
      <c r="P63" t="s">
        <v>32</v>
      </c>
      <c r="Q63" t="s">
        <v>217</v>
      </c>
      <c r="R63">
        <v>8192</v>
      </c>
      <c r="S63" t="s">
        <v>34</v>
      </c>
      <c r="T63" t="s">
        <v>35</v>
      </c>
      <c r="U63">
        <v>844</v>
      </c>
      <c r="V63" t="s">
        <v>104</v>
      </c>
      <c r="W63" s="1">
        <v>46166</v>
      </c>
      <c r="X63">
        <v>2026</v>
      </c>
    </row>
    <row r="64" spans="1:24" x14ac:dyDescent="0.25">
      <c r="A64" s="1">
        <v>46196</v>
      </c>
      <c r="B64" t="s">
        <v>214</v>
      </c>
      <c r="C64" t="s">
        <v>215</v>
      </c>
      <c r="E64" t="s">
        <v>216</v>
      </c>
      <c r="F64" t="s">
        <v>45</v>
      </c>
      <c r="G64" t="s">
        <v>105</v>
      </c>
      <c r="H64" t="s">
        <v>29</v>
      </c>
      <c r="I64" t="s">
        <v>91</v>
      </c>
      <c r="J64" t="s">
        <v>130</v>
      </c>
      <c r="L64" s="1">
        <v>46204</v>
      </c>
      <c r="M64" s="1">
        <v>46204</v>
      </c>
      <c r="O64">
        <v>19268643</v>
      </c>
      <c r="P64" t="s">
        <v>32</v>
      </c>
      <c r="Q64" t="s">
        <v>217</v>
      </c>
      <c r="R64">
        <v>8192</v>
      </c>
      <c r="S64" t="s">
        <v>34</v>
      </c>
      <c r="T64" t="s">
        <v>35</v>
      </c>
      <c r="U64">
        <v>-248.5</v>
      </c>
      <c r="V64" t="s">
        <v>36</v>
      </c>
      <c r="W64" s="1">
        <v>46166</v>
      </c>
      <c r="X64">
        <v>2026</v>
      </c>
    </row>
    <row r="65" spans="1:24" x14ac:dyDescent="0.25">
      <c r="A65" s="1">
        <v>46196</v>
      </c>
      <c r="B65" t="s">
        <v>218</v>
      </c>
      <c r="C65" t="s">
        <v>219</v>
      </c>
      <c r="E65" t="s">
        <v>220</v>
      </c>
      <c r="F65" t="s">
        <v>27</v>
      </c>
      <c r="G65" t="s">
        <v>28</v>
      </c>
      <c r="H65" t="s">
        <v>29</v>
      </c>
      <c r="I65" t="s">
        <v>30</v>
      </c>
      <c r="J65" t="s">
        <v>152</v>
      </c>
      <c r="L65" s="1">
        <v>46204</v>
      </c>
      <c r="M65" s="1">
        <v>46204</v>
      </c>
      <c r="O65">
        <v>17528908</v>
      </c>
      <c r="P65" t="s">
        <v>32</v>
      </c>
      <c r="Q65" t="s">
        <v>70</v>
      </c>
      <c r="R65">
        <v>8192</v>
      </c>
      <c r="S65" t="s">
        <v>34</v>
      </c>
      <c r="T65" t="s">
        <v>35</v>
      </c>
      <c r="U65">
        <v>270.5</v>
      </c>
      <c r="V65" t="s">
        <v>36</v>
      </c>
      <c r="W65" s="1">
        <v>46182</v>
      </c>
      <c r="X65">
        <v>2026</v>
      </c>
    </row>
    <row r="66" spans="1:24" x14ac:dyDescent="0.25">
      <c r="A66" s="1">
        <v>46196</v>
      </c>
      <c r="B66" t="s">
        <v>221</v>
      </c>
      <c r="C66" t="s">
        <v>222</v>
      </c>
      <c r="E66" t="s">
        <v>223</v>
      </c>
      <c r="F66" t="s">
        <v>224</v>
      </c>
      <c r="G66" t="s">
        <v>101</v>
      </c>
      <c r="H66" t="s">
        <v>29</v>
      </c>
      <c r="I66" t="s">
        <v>225</v>
      </c>
      <c r="J66" t="s">
        <v>226</v>
      </c>
      <c r="L66" s="1">
        <v>46143</v>
      </c>
      <c r="M66" s="1">
        <v>46143</v>
      </c>
      <c r="O66">
        <v>19645587</v>
      </c>
      <c r="P66" t="s">
        <v>32</v>
      </c>
      <c r="Q66" t="s">
        <v>227</v>
      </c>
      <c r="R66">
        <v>8192</v>
      </c>
      <c r="S66" t="s">
        <v>34</v>
      </c>
      <c r="T66" t="s">
        <v>35</v>
      </c>
      <c r="U66">
        <v>844</v>
      </c>
      <c r="V66" t="s">
        <v>104</v>
      </c>
      <c r="W66" s="1">
        <v>46136</v>
      </c>
      <c r="X66">
        <v>2026</v>
      </c>
    </row>
    <row r="67" spans="1:24" x14ac:dyDescent="0.25">
      <c r="A67" s="1">
        <v>46196</v>
      </c>
      <c r="B67" t="s">
        <v>221</v>
      </c>
      <c r="C67" t="s">
        <v>222</v>
      </c>
      <c r="E67" t="s">
        <v>223</v>
      </c>
      <c r="F67" t="s">
        <v>224</v>
      </c>
      <c r="G67" t="s">
        <v>105</v>
      </c>
      <c r="H67" t="s">
        <v>29</v>
      </c>
      <c r="I67" t="s">
        <v>225</v>
      </c>
      <c r="J67" t="s">
        <v>226</v>
      </c>
      <c r="L67" s="1">
        <v>46143</v>
      </c>
      <c r="M67" s="1">
        <v>46143</v>
      </c>
      <c r="O67">
        <v>19645587</v>
      </c>
      <c r="P67" t="s">
        <v>32</v>
      </c>
      <c r="Q67" t="s">
        <v>227</v>
      </c>
      <c r="R67">
        <v>8192</v>
      </c>
      <c r="S67" t="s">
        <v>34</v>
      </c>
      <c r="T67" t="s">
        <v>35</v>
      </c>
      <c r="U67">
        <v>-331.33</v>
      </c>
      <c r="V67" t="s">
        <v>36</v>
      </c>
      <c r="W67" s="1">
        <v>46136</v>
      </c>
      <c r="X67">
        <v>2026</v>
      </c>
    </row>
    <row r="68" spans="1:24" x14ac:dyDescent="0.25">
      <c r="A68" s="1">
        <v>46196</v>
      </c>
      <c r="B68" t="s">
        <v>228</v>
      </c>
      <c r="C68" t="s">
        <v>229</v>
      </c>
      <c r="E68" t="s">
        <v>230</v>
      </c>
      <c r="F68" t="s">
        <v>27</v>
      </c>
      <c r="G68" t="s">
        <v>101</v>
      </c>
      <c r="H68" t="s">
        <v>29</v>
      </c>
      <c r="I68" t="s">
        <v>30</v>
      </c>
      <c r="J68" t="s">
        <v>138</v>
      </c>
      <c r="L68" s="1">
        <v>46204</v>
      </c>
      <c r="M68" s="1">
        <v>46204</v>
      </c>
      <c r="O68">
        <v>18710070</v>
      </c>
      <c r="P68" t="s">
        <v>32</v>
      </c>
      <c r="Q68" t="s">
        <v>116</v>
      </c>
      <c r="R68">
        <v>8192</v>
      </c>
      <c r="S68" t="s">
        <v>34</v>
      </c>
      <c r="T68" t="s">
        <v>35</v>
      </c>
      <c r="U68">
        <v>931</v>
      </c>
      <c r="V68" t="s">
        <v>104</v>
      </c>
      <c r="W68" s="1">
        <v>46155</v>
      </c>
      <c r="X68">
        <v>2026</v>
      </c>
    </row>
    <row r="69" spans="1:24" x14ac:dyDescent="0.25">
      <c r="A69" s="1">
        <v>46196</v>
      </c>
      <c r="B69" t="s">
        <v>228</v>
      </c>
      <c r="C69" t="s">
        <v>229</v>
      </c>
      <c r="E69" t="s">
        <v>230</v>
      </c>
      <c r="F69" t="s">
        <v>27</v>
      </c>
      <c r="G69" t="s">
        <v>105</v>
      </c>
      <c r="H69" t="s">
        <v>29</v>
      </c>
      <c r="I69" t="s">
        <v>30</v>
      </c>
      <c r="J69" t="s">
        <v>138</v>
      </c>
      <c r="L69" s="1">
        <v>46204</v>
      </c>
      <c r="M69" s="1">
        <v>46204</v>
      </c>
      <c r="O69">
        <v>18710070</v>
      </c>
      <c r="P69" t="s">
        <v>32</v>
      </c>
      <c r="Q69" t="s">
        <v>116</v>
      </c>
      <c r="R69">
        <v>8192</v>
      </c>
      <c r="S69" t="s">
        <v>34</v>
      </c>
      <c r="T69" t="s">
        <v>35</v>
      </c>
      <c r="U69">
        <v>-270.5</v>
      </c>
      <c r="V69" t="s">
        <v>36</v>
      </c>
      <c r="W69" s="1">
        <v>46155</v>
      </c>
      <c r="X69">
        <v>2026</v>
      </c>
    </row>
    <row r="70" spans="1:24" x14ac:dyDescent="0.25">
      <c r="A70" s="1">
        <v>46196</v>
      </c>
      <c r="B70" t="s">
        <v>231</v>
      </c>
      <c r="C70" t="s">
        <v>232</v>
      </c>
      <c r="E70" t="s">
        <v>233</v>
      </c>
      <c r="F70" t="s">
        <v>45</v>
      </c>
      <c r="G70" t="s">
        <v>28</v>
      </c>
      <c r="H70" t="s">
        <v>29</v>
      </c>
      <c r="I70" t="s">
        <v>46</v>
      </c>
      <c r="J70" t="s">
        <v>234</v>
      </c>
      <c r="L70" s="1">
        <v>46204</v>
      </c>
      <c r="M70" s="1">
        <v>46204</v>
      </c>
      <c r="O70">
        <v>21283956</v>
      </c>
      <c r="P70" t="s">
        <v>32</v>
      </c>
      <c r="Q70" t="s">
        <v>87</v>
      </c>
      <c r="R70">
        <v>8192</v>
      </c>
      <c r="S70" t="s">
        <v>34</v>
      </c>
      <c r="T70" t="s">
        <v>35</v>
      </c>
      <c r="U70">
        <v>248.5</v>
      </c>
      <c r="V70" t="s">
        <v>36</v>
      </c>
      <c r="W70" s="1">
        <v>46181</v>
      </c>
      <c r="X70">
        <v>2026</v>
      </c>
    </row>
    <row r="71" spans="1:24" x14ac:dyDescent="0.25">
      <c r="A71" s="1">
        <v>46196</v>
      </c>
      <c r="B71" t="s">
        <v>235</v>
      </c>
      <c r="C71" t="s">
        <v>236</v>
      </c>
      <c r="E71" t="s">
        <v>237</v>
      </c>
      <c r="F71" t="s">
        <v>45</v>
      </c>
      <c r="G71" t="s">
        <v>28</v>
      </c>
      <c r="H71" t="s">
        <v>29</v>
      </c>
      <c r="I71" t="s">
        <v>46</v>
      </c>
      <c r="J71" t="s">
        <v>47</v>
      </c>
      <c r="L71" s="1">
        <v>46204</v>
      </c>
      <c r="M71" s="1">
        <v>46204</v>
      </c>
      <c r="O71">
        <v>7470776</v>
      </c>
      <c r="P71" t="s">
        <v>32</v>
      </c>
      <c r="Q71" t="s">
        <v>48</v>
      </c>
      <c r="R71">
        <v>8192</v>
      </c>
      <c r="S71" t="s">
        <v>34</v>
      </c>
      <c r="T71" t="s">
        <v>35</v>
      </c>
      <c r="U71">
        <v>248.5</v>
      </c>
      <c r="V71" t="s">
        <v>36</v>
      </c>
      <c r="W71" s="1">
        <v>46181</v>
      </c>
      <c r="X71">
        <v>2026</v>
      </c>
    </row>
    <row r="72" spans="1:24" x14ac:dyDescent="0.25">
      <c r="A72" s="1">
        <v>46196</v>
      </c>
      <c r="B72" t="s">
        <v>238</v>
      </c>
      <c r="C72" t="s">
        <v>239</v>
      </c>
      <c r="E72" t="s">
        <v>240</v>
      </c>
      <c r="F72" t="s">
        <v>27</v>
      </c>
      <c r="G72" t="s">
        <v>241</v>
      </c>
      <c r="H72" t="s">
        <v>29</v>
      </c>
      <c r="I72" t="s">
        <v>30</v>
      </c>
      <c r="J72" t="s">
        <v>80</v>
      </c>
      <c r="L72" s="1">
        <v>46174</v>
      </c>
      <c r="M72" s="1">
        <v>45323</v>
      </c>
      <c r="N72" s="1">
        <v>46173</v>
      </c>
      <c r="O72">
        <v>17528908</v>
      </c>
      <c r="P72" t="s">
        <v>32</v>
      </c>
      <c r="Q72" t="s">
        <v>70</v>
      </c>
      <c r="R72">
        <v>8192</v>
      </c>
      <c r="S72" t="s">
        <v>71</v>
      </c>
      <c r="T72" t="s">
        <v>35</v>
      </c>
      <c r="U72">
        <v>-35.08</v>
      </c>
      <c r="V72" t="s">
        <v>36</v>
      </c>
      <c r="W72" s="1">
        <v>45272</v>
      </c>
      <c r="X72">
        <v>2026</v>
      </c>
    </row>
    <row r="73" spans="1:24" x14ac:dyDescent="0.25">
      <c r="A73" s="1">
        <v>46196</v>
      </c>
      <c r="B73" t="s">
        <v>242</v>
      </c>
      <c r="C73" t="s">
        <v>243</v>
      </c>
      <c r="E73" t="s">
        <v>244</v>
      </c>
      <c r="F73" t="s">
        <v>45</v>
      </c>
      <c r="G73" t="s">
        <v>101</v>
      </c>
      <c r="H73" t="s">
        <v>29</v>
      </c>
      <c r="I73" t="s">
        <v>46</v>
      </c>
      <c r="J73" t="s">
        <v>75</v>
      </c>
      <c r="L73" s="1">
        <v>46235</v>
      </c>
      <c r="M73" s="1">
        <v>46235</v>
      </c>
      <c r="O73">
        <v>16633294</v>
      </c>
      <c r="P73" t="s">
        <v>32</v>
      </c>
      <c r="Q73" t="s">
        <v>56</v>
      </c>
      <c r="R73">
        <v>8192</v>
      </c>
      <c r="S73" t="s">
        <v>34</v>
      </c>
      <c r="T73" t="s">
        <v>35</v>
      </c>
      <c r="U73">
        <v>844</v>
      </c>
      <c r="V73" t="s">
        <v>104</v>
      </c>
      <c r="W73" s="1">
        <v>46161</v>
      </c>
      <c r="X73">
        <v>2026</v>
      </c>
    </row>
    <row r="74" spans="1:24" x14ac:dyDescent="0.25">
      <c r="A74" s="1">
        <v>46196</v>
      </c>
      <c r="B74" t="s">
        <v>242</v>
      </c>
      <c r="C74" t="s">
        <v>243</v>
      </c>
      <c r="E74" t="s">
        <v>244</v>
      </c>
      <c r="F74" t="s">
        <v>45</v>
      </c>
      <c r="G74" t="s">
        <v>105</v>
      </c>
      <c r="H74" t="s">
        <v>29</v>
      </c>
      <c r="I74" t="s">
        <v>46</v>
      </c>
      <c r="J74" t="s">
        <v>75</v>
      </c>
      <c r="L74" s="1">
        <v>46235</v>
      </c>
      <c r="M74" s="1">
        <v>46235</v>
      </c>
      <c r="O74">
        <v>16633294</v>
      </c>
      <c r="P74" t="s">
        <v>32</v>
      </c>
      <c r="Q74" t="s">
        <v>56</v>
      </c>
      <c r="R74">
        <v>8192</v>
      </c>
      <c r="S74" t="s">
        <v>34</v>
      </c>
      <c r="T74" t="s">
        <v>35</v>
      </c>
      <c r="U74">
        <v>-207.08</v>
      </c>
      <c r="V74" t="s">
        <v>36</v>
      </c>
      <c r="W74" s="1">
        <v>46161</v>
      </c>
      <c r="X74">
        <v>2026</v>
      </c>
    </row>
    <row r="75" spans="1:24" x14ac:dyDescent="0.25">
      <c r="A75" s="1">
        <v>46196</v>
      </c>
      <c r="B75" t="s">
        <v>245</v>
      </c>
      <c r="C75" t="s">
        <v>246</v>
      </c>
      <c r="E75" t="s">
        <v>247</v>
      </c>
      <c r="F75" t="s">
        <v>60</v>
      </c>
      <c r="G75" t="s">
        <v>101</v>
      </c>
      <c r="H75" t="s">
        <v>29</v>
      </c>
      <c r="I75" t="s">
        <v>46</v>
      </c>
      <c r="J75" t="s">
        <v>248</v>
      </c>
      <c r="L75" s="1">
        <v>46174</v>
      </c>
      <c r="M75" s="1">
        <v>46174</v>
      </c>
      <c r="O75">
        <v>19645587</v>
      </c>
      <c r="P75" t="s">
        <v>32</v>
      </c>
      <c r="Q75" t="s">
        <v>227</v>
      </c>
      <c r="R75">
        <v>8192</v>
      </c>
      <c r="S75" t="s">
        <v>34</v>
      </c>
      <c r="T75" t="s">
        <v>35</v>
      </c>
      <c r="U75">
        <v>844</v>
      </c>
      <c r="V75" t="s">
        <v>104</v>
      </c>
      <c r="W75" s="1">
        <v>46160</v>
      </c>
      <c r="X75">
        <v>2026</v>
      </c>
    </row>
    <row r="76" spans="1:24" x14ac:dyDescent="0.25">
      <c r="A76" s="1">
        <v>46196</v>
      </c>
      <c r="B76" t="s">
        <v>245</v>
      </c>
      <c r="C76" t="s">
        <v>246</v>
      </c>
      <c r="E76" t="s">
        <v>247</v>
      </c>
      <c r="F76" t="s">
        <v>60</v>
      </c>
      <c r="G76" t="s">
        <v>105</v>
      </c>
      <c r="H76" t="s">
        <v>29</v>
      </c>
      <c r="I76" t="s">
        <v>46</v>
      </c>
      <c r="J76" t="s">
        <v>248</v>
      </c>
      <c r="L76" s="1">
        <v>46174</v>
      </c>
      <c r="M76" s="1">
        <v>46174</v>
      </c>
      <c r="O76">
        <v>19645587</v>
      </c>
      <c r="P76" t="s">
        <v>32</v>
      </c>
      <c r="Q76" t="s">
        <v>227</v>
      </c>
      <c r="R76">
        <v>8192</v>
      </c>
      <c r="S76" t="s">
        <v>34</v>
      </c>
      <c r="T76" t="s">
        <v>35</v>
      </c>
      <c r="U76">
        <v>-289.92</v>
      </c>
      <c r="V76" t="s">
        <v>36</v>
      </c>
      <c r="W76" s="1">
        <v>46160</v>
      </c>
      <c r="X76">
        <v>2026</v>
      </c>
    </row>
    <row r="77" spans="1:24" x14ac:dyDescent="0.25">
      <c r="A77" s="1">
        <v>46196</v>
      </c>
      <c r="B77" t="s">
        <v>249</v>
      </c>
      <c r="C77" t="s">
        <v>250</v>
      </c>
      <c r="E77" t="s">
        <v>251</v>
      </c>
      <c r="F77" t="s">
        <v>156</v>
      </c>
      <c r="G77" t="s">
        <v>101</v>
      </c>
      <c r="H77" t="s">
        <v>29</v>
      </c>
      <c r="I77" t="s">
        <v>157</v>
      </c>
      <c r="J77" t="s">
        <v>158</v>
      </c>
      <c r="L77" s="1">
        <v>46204</v>
      </c>
      <c r="M77" s="1">
        <v>46204</v>
      </c>
      <c r="O77">
        <v>16170994</v>
      </c>
      <c r="P77" t="s">
        <v>32</v>
      </c>
      <c r="Q77" t="s">
        <v>159</v>
      </c>
      <c r="R77">
        <v>8192</v>
      </c>
      <c r="S77" t="s">
        <v>34</v>
      </c>
      <c r="T77" t="s">
        <v>35</v>
      </c>
      <c r="U77">
        <v>844</v>
      </c>
      <c r="V77" t="s">
        <v>104</v>
      </c>
      <c r="W77" s="1">
        <v>46169</v>
      </c>
      <c r="X77">
        <v>2026</v>
      </c>
    </row>
    <row r="78" spans="1:24" x14ac:dyDescent="0.25">
      <c r="A78" s="1">
        <v>46196</v>
      </c>
      <c r="B78" t="s">
        <v>249</v>
      </c>
      <c r="C78" t="s">
        <v>250</v>
      </c>
      <c r="E78" t="s">
        <v>251</v>
      </c>
      <c r="F78" t="s">
        <v>156</v>
      </c>
      <c r="G78" t="s">
        <v>105</v>
      </c>
      <c r="H78" t="s">
        <v>29</v>
      </c>
      <c r="I78" t="s">
        <v>157</v>
      </c>
      <c r="J78" t="s">
        <v>158</v>
      </c>
      <c r="L78" s="1">
        <v>46204</v>
      </c>
      <c r="M78" s="1">
        <v>46204</v>
      </c>
      <c r="O78">
        <v>16170994</v>
      </c>
      <c r="P78" t="s">
        <v>32</v>
      </c>
      <c r="Q78" t="s">
        <v>159</v>
      </c>
      <c r="R78">
        <v>8192</v>
      </c>
      <c r="S78" t="s">
        <v>34</v>
      </c>
      <c r="T78" t="s">
        <v>35</v>
      </c>
      <c r="U78">
        <v>-248.5</v>
      </c>
      <c r="V78" t="s">
        <v>36</v>
      </c>
      <c r="W78" s="1">
        <v>46169</v>
      </c>
      <c r="X78">
        <v>2026</v>
      </c>
    </row>
    <row r="79" spans="1:24" x14ac:dyDescent="0.25">
      <c r="A79" s="1">
        <v>46196</v>
      </c>
      <c r="B79" t="s">
        <v>252</v>
      </c>
      <c r="C79" t="s">
        <v>253</v>
      </c>
      <c r="E79" t="s">
        <v>254</v>
      </c>
      <c r="F79" t="s">
        <v>156</v>
      </c>
      <c r="G79" t="s">
        <v>101</v>
      </c>
      <c r="H79" t="s">
        <v>29</v>
      </c>
      <c r="I79" t="s">
        <v>157</v>
      </c>
      <c r="J79" t="s">
        <v>158</v>
      </c>
      <c r="L79" s="1">
        <v>46204</v>
      </c>
      <c r="M79" s="1">
        <v>46204</v>
      </c>
      <c r="O79">
        <v>16170994</v>
      </c>
      <c r="P79" t="s">
        <v>32</v>
      </c>
      <c r="Q79" t="s">
        <v>159</v>
      </c>
      <c r="R79">
        <v>8192</v>
      </c>
      <c r="S79" t="s">
        <v>34</v>
      </c>
      <c r="T79" t="s">
        <v>35</v>
      </c>
      <c r="U79">
        <v>844</v>
      </c>
      <c r="V79" t="s">
        <v>104</v>
      </c>
      <c r="W79" s="1">
        <v>46169</v>
      </c>
      <c r="X79">
        <v>2026</v>
      </c>
    </row>
    <row r="80" spans="1:24" x14ac:dyDescent="0.25">
      <c r="A80" s="1">
        <v>46196</v>
      </c>
      <c r="B80" t="s">
        <v>252</v>
      </c>
      <c r="C80" t="s">
        <v>253</v>
      </c>
      <c r="E80" t="s">
        <v>254</v>
      </c>
      <c r="F80" t="s">
        <v>156</v>
      </c>
      <c r="G80" t="s">
        <v>105</v>
      </c>
      <c r="H80" t="s">
        <v>29</v>
      </c>
      <c r="I80" t="s">
        <v>157</v>
      </c>
      <c r="J80" t="s">
        <v>158</v>
      </c>
      <c r="L80" s="1">
        <v>46204</v>
      </c>
      <c r="M80" s="1">
        <v>46204</v>
      </c>
      <c r="O80">
        <v>16170994</v>
      </c>
      <c r="P80" t="s">
        <v>32</v>
      </c>
      <c r="Q80" t="s">
        <v>159</v>
      </c>
      <c r="R80">
        <v>8192</v>
      </c>
      <c r="S80" t="s">
        <v>34</v>
      </c>
      <c r="T80" t="s">
        <v>35</v>
      </c>
      <c r="U80">
        <v>-248.5</v>
      </c>
      <c r="V80" t="s">
        <v>36</v>
      </c>
      <c r="W80" s="1">
        <v>46169</v>
      </c>
      <c r="X80">
        <v>2026</v>
      </c>
    </row>
    <row r="81" spans="1:24" x14ac:dyDescent="0.25">
      <c r="A81" s="1">
        <v>46196</v>
      </c>
      <c r="B81" t="s">
        <v>255</v>
      </c>
      <c r="C81" t="s">
        <v>256</v>
      </c>
      <c r="E81" t="s">
        <v>257</v>
      </c>
      <c r="F81" t="s">
        <v>201</v>
      </c>
      <c r="G81" t="s">
        <v>101</v>
      </c>
      <c r="H81" t="s">
        <v>29</v>
      </c>
      <c r="I81" t="s">
        <v>46</v>
      </c>
      <c r="J81" t="s">
        <v>258</v>
      </c>
      <c r="L81" s="1">
        <v>46174</v>
      </c>
      <c r="M81" s="1">
        <v>46174</v>
      </c>
      <c r="O81">
        <v>16849453</v>
      </c>
      <c r="P81" t="s">
        <v>32</v>
      </c>
      <c r="Q81" t="s">
        <v>259</v>
      </c>
      <c r="R81">
        <v>8192</v>
      </c>
      <c r="S81" t="s">
        <v>34</v>
      </c>
      <c r="T81" t="s">
        <v>35</v>
      </c>
      <c r="U81">
        <v>844</v>
      </c>
      <c r="V81" t="s">
        <v>104</v>
      </c>
      <c r="W81" s="1">
        <v>46169</v>
      </c>
      <c r="X81">
        <v>2026</v>
      </c>
    </row>
    <row r="82" spans="1:24" x14ac:dyDescent="0.25">
      <c r="A82" s="1">
        <v>46196</v>
      </c>
      <c r="B82" t="s">
        <v>255</v>
      </c>
      <c r="C82" t="s">
        <v>256</v>
      </c>
      <c r="E82" t="s">
        <v>257</v>
      </c>
      <c r="F82" t="s">
        <v>201</v>
      </c>
      <c r="G82" t="s">
        <v>105</v>
      </c>
      <c r="H82" t="s">
        <v>29</v>
      </c>
      <c r="I82" t="s">
        <v>46</v>
      </c>
      <c r="J82" t="s">
        <v>258</v>
      </c>
      <c r="L82" s="1">
        <v>46174</v>
      </c>
      <c r="M82" s="1">
        <v>46174</v>
      </c>
      <c r="O82">
        <v>16849453</v>
      </c>
      <c r="P82" t="s">
        <v>32</v>
      </c>
      <c r="Q82" t="s">
        <v>259</v>
      </c>
      <c r="R82">
        <v>8192</v>
      </c>
      <c r="S82" t="s">
        <v>34</v>
      </c>
      <c r="T82" t="s">
        <v>35</v>
      </c>
      <c r="U82">
        <v>-289.92</v>
      </c>
      <c r="V82" t="s">
        <v>36</v>
      </c>
      <c r="W82" s="1">
        <v>46169</v>
      </c>
      <c r="X82">
        <v>2026</v>
      </c>
    </row>
    <row r="83" spans="1:24" x14ac:dyDescent="0.25">
      <c r="A83" s="1">
        <v>46196</v>
      </c>
      <c r="B83" t="s">
        <v>260</v>
      </c>
      <c r="C83" t="s">
        <v>261</v>
      </c>
      <c r="E83" t="s">
        <v>262</v>
      </c>
      <c r="F83" t="s">
        <v>263</v>
      </c>
      <c r="G83" t="s">
        <v>101</v>
      </c>
      <c r="H83" t="s">
        <v>29</v>
      </c>
      <c r="I83" t="s">
        <v>46</v>
      </c>
      <c r="J83" t="s">
        <v>264</v>
      </c>
      <c r="L83" s="1">
        <v>46174</v>
      </c>
      <c r="M83" s="1">
        <v>46174</v>
      </c>
      <c r="O83">
        <v>9213293</v>
      </c>
      <c r="P83" t="s">
        <v>32</v>
      </c>
      <c r="Q83" t="s">
        <v>97</v>
      </c>
      <c r="R83">
        <v>8192</v>
      </c>
      <c r="S83" t="s">
        <v>34</v>
      </c>
      <c r="T83" t="s">
        <v>35</v>
      </c>
      <c r="U83">
        <v>844</v>
      </c>
      <c r="V83" t="s">
        <v>104</v>
      </c>
      <c r="W83" s="1">
        <v>46156</v>
      </c>
      <c r="X83">
        <v>2026</v>
      </c>
    </row>
    <row r="84" spans="1:24" x14ac:dyDescent="0.25">
      <c r="A84" s="1">
        <v>46196</v>
      </c>
      <c r="B84" t="s">
        <v>260</v>
      </c>
      <c r="C84" t="s">
        <v>261</v>
      </c>
      <c r="E84" t="s">
        <v>262</v>
      </c>
      <c r="F84" t="s">
        <v>263</v>
      </c>
      <c r="G84" t="s">
        <v>105</v>
      </c>
      <c r="H84" t="s">
        <v>29</v>
      </c>
      <c r="I84" t="s">
        <v>46</v>
      </c>
      <c r="J84" t="s">
        <v>264</v>
      </c>
      <c r="L84" s="1">
        <v>46174</v>
      </c>
      <c r="M84" s="1">
        <v>46174</v>
      </c>
      <c r="O84">
        <v>9213293</v>
      </c>
      <c r="P84" t="s">
        <v>32</v>
      </c>
      <c r="Q84" t="s">
        <v>97</v>
      </c>
      <c r="R84">
        <v>8192</v>
      </c>
      <c r="S84" t="s">
        <v>34</v>
      </c>
      <c r="T84" t="s">
        <v>35</v>
      </c>
      <c r="U84">
        <v>-289.92</v>
      </c>
      <c r="V84" t="s">
        <v>36</v>
      </c>
      <c r="W84" s="1">
        <v>46156</v>
      </c>
      <c r="X84">
        <v>2026</v>
      </c>
    </row>
    <row r="85" spans="1:24" x14ac:dyDescent="0.25">
      <c r="A85" s="1">
        <v>46196</v>
      </c>
      <c r="B85" t="s">
        <v>265</v>
      </c>
      <c r="C85" t="s">
        <v>266</v>
      </c>
      <c r="E85" t="s">
        <v>267</v>
      </c>
      <c r="F85" t="s">
        <v>156</v>
      </c>
      <c r="G85" t="s">
        <v>28</v>
      </c>
      <c r="H85" t="s">
        <v>29</v>
      </c>
      <c r="I85" t="s">
        <v>157</v>
      </c>
      <c r="J85" t="s">
        <v>158</v>
      </c>
      <c r="L85" s="1">
        <v>46266</v>
      </c>
      <c r="M85" s="1">
        <v>46266</v>
      </c>
      <c r="O85">
        <v>16170994</v>
      </c>
      <c r="P85" t="s">
        <v>32</v>
      </c>
      <c r="Q85" t="s">
        <v>159</v>
      </c>
      <c r="R85">
        <v>8192</v>
      </c>
      <c r="S85" t="s">
        <v>34</v>
      </c>
      <c r="T85" t="s">
        <v>35</v>
      </c>
      <c r="U85">
        <v>165.67</v>
      </c>
      <c r="V85" t="s">
        <v>36</v>
      </c>
      <c r="W85" s="1">
        <v>46181</v>
      </c>
      <c r="X85">
        <v>2026</v>
      </c>
    </row>
    <row r="86" spans="1:24" x14ac:dyDescent="0.25">
      <c r="A86" s="1">
        <v>46196</v>
      </c>
      <c r="B86" t="s">
        <v>268</v>
      </c>
      <c r="C86" t="s">
        <v>269</v>
      </c>
      <c r="E86" t="s">
        <v>270</v>
      </c>
      <c r="F86" t="s">
        <v>27</v>
      </c>
      <c r="G86" t="s">
        <v>101</v>
      </c>
      <c r="H86" t="s">
        <v>29</v>
      </c>
      <c r="I86" t="s">
        <v>30</v>
      </c>
      <c r="J86" t="s">
        <v>152</v>
      </c>
      <c r="L86" s="1">
        <v>46235</v>
      </c>
      <c r="M86" s="1">
        <v>46235</v>
      </c>
      <c r="O86">
        <v>20253958</v>
      </c>
      <c r="P86" t="s">
        <v>32</v>
      </c>
      <c r="Q86" t="s">
        <v>33</v>
      </c>
      <c r="R86">
        <v>8192</v>
      </c>
      <c r="S86" t="s">
        <v>34</v>
      </c>
      <c r="T86" t="s">
        <v>35</v>
      </c>
      <c r="U86">
        <v>65</v>
      </c>
      <c r="V86" t="s">
        <v>104</v>
      </c>
      <c r="W86" s="1">
        <v>46147</v>
      </c>
      <c r="X86">
        <v>2026</v>
      </c>
    </row>
    <row r="87" spans="1:24" x14ac:dyDescent="0.25">
      <c r="A87" s="1">
        <v>46196</v>
      </c>
      <c r="B87" t="s">
        <v>268</v>
      </c>
      <c r="C87" t="s">
        <v>269</v>
      </c>
      <c r="E87" t="s">
        <v>270</v>
      </c>
      <c r="F87" t="s">
        <v>27</v>
      </c>
      <c r="G87" t="s">
        <v>105</v>
      </c>
      <c r="H87" t="s">
        <v>29</v>
      </c>
      <c r="I87" t="s">
        <v>30</v>
      </c>
      <c r="J87" t="s">
        <v>152</v>
      </c>
      <c r="L87" s="1">
        <v>46235</v>
      </c>
      <c r="M87" s="1">
        <v>46235</v>
      </c>
      <c r="O87">
        <v>20253958</v>
      </c>
      <c r="P87" t="s">
        <v>32</v>
      </c>
      <c r="Q87" t="s">
        <v>33</v>
      </c>
      <c r="R87">
        <v>8192</v>
      </c>
      <c r="S87" t="s">
        <v>34</v>
      </c>
      <c r="T87" t="s">
        <v>35</v>
      </c>
      <c r="U87">
        <v>-27.09</v>
      </c>
      <c r="V87" t="s">
        <v>36</v>
      </c>
      <c r="W87" s="1">
        <v>46147</v>
      </c>
      <c r="X87">
        <v>2026</v>
      </c>
    </row>
    <row r="88" spans="1:24" x14ac:dyDescent="0.25">
      <c r="A88" s="1">
        <v>46196</v>
      </c>
      <c r="B88" t="s">
        <v>271</v>
      </c>
      <c r="C88" t="s">
        <v>272</v>
      </c>
      <c r="E88" t="s">
        <v>273</v>
      </c>
      <c r="F88" t="s">
        <v>27</v>
      </c>
      <c r="G88" t="s">
        <v>28</v>
      </c>
      <c r="H88" t="s">
        <v>29</v>
      </c>
      <c r="I88" t="s">
        <v>30</v>
      </c>
      <c r="J88" t="s">
        <v>138</v>
      </c>
      <c r="L88" s="1">
        <v>46204</v>
      </c>
      <c r="M88" s="1">
        <v>46204</v>
      </c>
      <c r="O88">
        <v>17528908</v>
      </c>
      <c r="P88" t="s">
        <v>32</v>
      </c>
      <c r="Q88" t="s">
        <v>70</v>
      </c>
      <c r="R88">
        <v>8192</v>
      </c>
      <c r="S88" t="s">
        <v>34</v>
      </c>
      <c r="T88" t="s">
        <v>35</v>
      </c>
      <c r="U88">
        <v>270.5</v>
      </c>
      <c r="V88" t="s">
        <v>36</v>
      </c>
      <c r="W88" s="1">
        <v>46183</v>
      </c>
      <c r="X88">
        <v>2026</v>
      </c>
    </row>
    <row r="89" spans="1:24" x14ac:dyDescent="0.25">
      <c r="A89" s="1">
        <v>46196</v>
      </c>
      <c r="B89" t="s">
        <v>274</v>
      </c>
      <c r="C89" t="s">
        <v>275</v>
      </c>
      <c r="E89" t="s">
        <v>276</v>
      </c>
      <c r="F89" t="s">
        <v>27</v>
      </c>
      <c r="G89" t="s">
        <v>101</v>
      </c>
      <c r="H89" t="s">
        <v>29</v>
      </c>
      <c r="I89" t="s">
        <v>30</v>
      </c>
      <c r="J89" t="s">
        <v>152</v>
      </c>
      <c r="L89" s="1">
        <v>46204</v>
      </c>
      <c r="M89" s="1">
        <v>46204</v>
      </c>
      <c r="O89">
        <v>20253958</v>
      </c>
      <c r="P89" t="s">
        <v>32</v>
      </c>
      <c r="Q89" t="s">
        <v>33</v>
      </c>
      <c r="R89">
        <v>8192</v>
      </c>
      <c r="S89" t="s">
        <v>34</v>
      </c>
      <c r="T89" t="s">
        <v>35</v>
      </c>
      <c r="U89">
        <v>65</v>
      </c>
      <c r="V89" t="s">
        <v>104</v>
      </c>
      <c r="W89" s="1">
        <v>46146</v>
      </c>
      <c r="X89">
        <v>2026</v>
      </c>
    </row>
    <row r="90" spans="1:24" x14ac:dyDescent="0.25">
      <c r="A90" s="1">
        <v>46196</v>
      </c>
      <c r="B90" t="s">
        <v>274</v>
      </c>
      <c r="C90" t="s">
        <v>275</v>
      </c>
      <c r="E90" t="s">
        <v>276</v>
      </c>
      <c r="F90" t="s">
        <v>27</v>
      </c>
      <c r="G90" t="s">
        <v>105</v>
      </c>
      <c r="H90" t="s">
        <v>29</v>
      </c>
      <c r="I90" t="s">
        <v>30</v>
      </c>
      <c r="J90" t="s">
        <v>152</v>
      </c>
      <c r="L90" s="1">
        <v>46204</v>
      </c>
      <c r="M90" s="1">
        <v>46204</v>
      </c>
      <c r="O90">
        <v>20253958</v>
      </c>
      <c r="P90" t="s">
        <v>32</v>
      </c>
      <c r="Q90" t="s">
        <v>33</v>
      </c>
      <c r="R90">
        <v>8192</v>
      </c>
      <c r="S90" t="s">
        <v>34</v>
      </c>
      <c r="T90" t="s">
        <v>35</v>
      </c>
      <c r="U90">
        <v>-32.5</v>
      </c>
      <c r="V90" t="s">
        <v>36</v>
      </c>
      <c r="W90" s="1">
        <v>46146</v>
      </c>
      <c r="X90">
        <v>2026</v>
      </c>
    </row>
    <row r="91" spans="1:24" x14ac:dyDescent="0.25">
      <c r="A91" s="1">
        <v>46196</v>
      </c>
      <c r="B91" t="s">
        <v>277</v>
      </c>
      <c r="C91" t="s">
        <v>278</v>
      </c>
      <c r="E91" t="s">
        <v>279</v>
      </c>
      <c r="F91" t="s">
        <v>45</v>
      </c>
      <c r="G91" t="s">
        <v>101</v>
      </c>
      <c r="H91" t="s">
        <v>29</v>
      </c>
      <c r="I91" t="s">
        <v>91</v>
      </c>
      <c r="J91" t="s">
        <v>130</v>
      </c>
      <c r="L91" s="1">
        <v>46174</v>
      </c>
      <c r="M91" s="1">
        <v>46174</v>
      </c>
      <c r="O91">
        <v>8244481</v>
      </c>
      <c r="P91" t="s">
        <v>32</v>
      </c>
      <c r="Q91" t="s">
        <v>131</v>
      </c>
      <c r="R91">
        <v>8192</v>
      </c>
      <c r="S91" t="s">
        <v>34</v>
      </c>
      <c r="T91" t="s">
        <v>35</v>
      </c>
      <c r="U91">
        <v>844</v>
      </c>
      <c r="V91" t="s">
        <v>104</v>
      </c>
      <c r="W91" s="1">
        <v>46163</v>
      </c>
      <c r="X91">
        <v>2026</v>
      </c>
    </row>
    <row r="92" spans="1:24" x14ac:dyDescent="0.25">
      <c r="A92" s="1">
        <v>46196</v>
      </c>
      <c r="B92" t="s">
        <v>277</v>
      </c>
      <c r="C92" t="s">
        <v>278</v>
      </c>
      <c r="E92" t="s">
        <v>279</v>
      </c>
      <c r="F92" t="s">
        <v>45</v>
      </c>
      <c r="G92" t="s">
        <v>105</v>
      </c>
      <c r="H92" t="s">
        <v>29</v>
      </c>
      <c r="I92" t="s">
        <v>91</v>
      </c>
      <c r="J92" t="s">
        <v>130</v>
      </c>
      <c r="L92" s="1">
        <v>46174</v>
      </c>
      <c r="M92" s="1">
        <v>46174</v>
      </c>
      <c r="O92">
        <v>8244481</v>
      </c>
      <c r="P92" t="s">
        <v>32</v>
      </c>
      <c r="Q92" t="s">
        <v>131</v>
      </c>
      <c r="R92">
        <v>8192</v>
      </c>
      <c r="S92" t="s">
        <v>34</v>
      </c>
      <c r="T92" t="s">
        <v>35</v>
      </c>
      <c r="U92">
        <v>-289.92</v>
      </c>
      <c r="V92" t="s">
        <v>36</v>
      </c>
      <c r="W92" s="1">
        <v>46163</v>
      </c>
      <c r="X92">
        <v>2026</v>
      </c>
    </row>
    <row r="93" spans="1:24" x14ac:dyDescent="0.25">
      <c r="A93" s="1">
        <v>46196</v>
      </c>
      <c r="B93" t="s">
        <v>280</v>
      </c>
      <c r="C93" t="s">
        <v>281</v>
      </c>
      <c r="E93" t="s">
        <v>282</v>
      </c>
      <c r="F93" t="s">
        <v>156</v>
      </c>
      <c r="G93" t="s">
        <v>101</v>
      </c>
      <c r="H93" t="s">
        <v>29</v>
      </c>
      <c r="I93" t="s">
        <v>157</v>
      </c>
      <c r="J93" t="s">
        <v>283</v>
      </c>
      <c r="L93" s="1">
        <v>46174</v>
      </c>
      <c r="M93" s="1">
        <v>46174</v>
      </c>
      <c r="O93">
        <v>16170994</v>
      </c>
      <c r="P93" t="s">
        <v>32</v>
      </c>
      <c r="Q93" t="s">
        <v>159</v>
      </c>
      <c r="R93">
        <v>8192</v>
      </c>
      <c r="S93" t="s">
        <v>34</v>
      </c>
      <c r="T93" t="s">
        <v>35</v>
      </c>
      <c r="U93">
        <v>844</v>
      </c>
      <c r="V93" t="s">
        <v>104</v>
      </c>
      <c r="W93" s="1">
        <v>46155</v>
      </c>
      <c r="X93">
        <v>2026</v>
      </c>
    </row>
    <row r="94" spans="1:24" x14ac:dyDescent="0.25">
      <c r="A94" s="1">
        <v>46196</v>
      </c>
      <c r="B94" t="s">
        <v>280</v>
      </c>
      <c r="C94" t="s">
        <v>281</v>
      </c>
      <c r="E94" t="s">
        <v>282</v>
      </c>
      <c r="F94" t="s">
        <v>156</v>
      </c>
      <c r="G94" t="s">
        <v>105</v>
      </c>
      <c r="H94" t="s">
        <v>29</v>
      </c>
      <c r="I94" t="s">
        <v>157</v>
      </c>
      <c r="J94" t="s">
        <v>283</v>
      </c>
      <c r="L94" s="1">
        <v>46174</v>
      </c>
      <c r="M94" s="1">
        <v>46174</v>
      </c>
      <c r="O94">
        <v>16170994</v>
      </c>
      <c r="P94" t="s">
        <v>32</v>
      </c>
      <c r="Q94" t="s">
        <v>159</v>
      </c>
      <c r="R94">
        <v>8192</v>
      </c>
      <c r="S94" t="s">
        <v>34</v>
      </c>
      <c r="T94" t="s">
        <v>35</v>
      </c>
      <c r="U94">
        <v>-289.92</v>
      </c>
      <c r="V94" t="s">
        <v>36</v>
      </c>
      <c r="W94" s="1">
        <v>46155</v>
      </c>
      <c r="X94">
        <v>2026</v>
      </c>
    </row>
    <row r="95" spans="1:24" x14ac:dyDescent="0.25">
      <c r="A95" s="1">
        <v>46196</v>
      </c>
      <c r="B95" t="s">
        <v>284</v>
      </c>
      <c r="C95" t="s">
        <v>285</v>
      </c>
      <c r="E95" t="s">
        <v>286</v>
      </c>
      <c r="F95" t="s">
        <v>45</v>
      </c>
      <c r="G95" t="s">
        <v>101</v>
      </c>
      <c r="H95" t="s">
        <v>29</v>
      </c>
      <c r="I95" t="s">
        <v>46</v>
      </c>
      <c r="J95" t="s">
        <v>75</v>
      </c>
      <c r="L95" s="1">
        <v>46204</v>
      </c>
      <c r="M95" s="1">
        <v>46204</v>
      </c>
      <c r="O95">
        <v>17301495</v>
      </c>
      <c r="P95" t="s">
        <v>32</v>
      </c>
      <c r="Q95" t="s">
        <v>142</v>
      </c>
      <c r="R95">
        <v>8192</v>
      </c>
      <c r="S95" t="s">
        <v>34</v>
      </c>
      <c r="T95" t="s">
        <v>35</v>
      </c>
      <c r="U95">
        <v>844</v>
      </c>
      <c r="V95" t="s">
        <v>104</v>
      </c>
      <c r="W95" s="1">
        <v>46155</v>
      </c>
      <c r="X95">
        <v>2026</v>
      </c>
    </row>
    <row r="96" spans="1:24" x14ac:dyDescent="0.25">
      <c r="A96" s="1">
        <v>46196</v>
      </c>
      <c r="B96" t="s">
        <v>284</v>
      </c>
      <c r="C96" t="s">
        <v>285</v>
      </c>
      <c r="E96" t="s">
        <v>286</v>
      </c>
      <c r="F96" t="s">
        <v>45</v>
      </c>
      <c r="G96" t="s">
        <v>105</v>
      </c>
      <c r="H96" t="s">
        <v>29</v>
      </c>
      <c r="I96" t="s">
        <v>46</v>
      </c>
      <c r="J96" t="s">
        <v>75</v>
      </c>
      <c r="L96" s="1">
        <v>46204</v>
      </c>
      <c r="M96" s="1">
        <v>46204</v>
      </c>
      <c r="O96">
        <v>17301495</v>
      </c>
      <c r="P96" t="s">
        <v>32</v>
      </c>
      <c r="Q96" t="s">
        <v>142</v>
      </c>
      <c r="R96">
        <v>8192</v>
      </c>
      <c r="S96" t="s">
        <v>34</v>
      </c>
      <c r="T96" t="s">
        <v>35</v>
      </c>
      <c r="U96">
        <v>-248.5</v>
      </c>
      <c r="V96" t="s">
        <v>36</v>
      </c>
      <c r="W96" s="1">
        <v>46155</v>
      </c>
      <c r="X96">
        <v>2026</v>
      </c>
    </row>
    <row r="97" spans="1:24" x14ac:dyDescent="0.25">
      <c r="A97" s="1">
        <v>46196</v>
      </c>
      <c r="B97" t="s">
        <v>287</v>
      </c>
      <c r="C97" t="s">
        <v>288</v>
      </c>
      <c r="E97" t="s">
        <v>289</v>
      </c>
      <c r="F97" t="s">
        <v>45</v>
      </c>
      <c r="G97" t="s">
        <v>101</v>
      </c>
      <c r="H97" t="s">
        <v>29</v>
      </c>
      <c r="I97" t="s">
        <v>91</v>
      </c>
      <c r="J97" t="s">
        <v>130</v>
      </c>
      <c r="L97" s="1">
        <v>46235</v>
      </c>
      <c r="M97" s="1">
        <v>46235</v>
      </c>
      <c r="O97">
        <v>8244481</v>
      </c>
      <c r="P97" t="s">
        <v>32</v>
      </c>
      <c r="Q97" t="s">
        <v>131</v>
      </c>
      <c r="R97">
        <v>8192</v>
      </c>
      <c r="S97" t="s">
        <v>34</v>
      </c>
      <c r="T97" t="s">
        <v>35</v>
      </c>
      <c r="U97">
        <v>844</v>
      </c>
      <c r="V97" t="s">
        <v>104</v>
      </c>
      <c r="W97" s="1">
        <v>46168</v>
      </c>
      <c r="X97">
        <v>2026</v>
      </c>
    </row>
    <row r="98" spans="1:24" x14ac:dyDescent="0.25">
      <c r="A98" s="1">
        <v>46196</v>
      </c>
      <c r="B98" t="s">
        <v>287</v>
      </c>
      <c r="C98" t="s">
        <v>288</v>
      </c>
      <c r="E98" t="s">
        <v>289</v>
      </c>
      <c r="F98" t="s">
        <v>45</v>
      </c>
      <c r="G98" t="s">
        <v>105</v>
      </c>
      <c r="H98" t="s">
        <v>29</v>
      </c>
      <c r="I98" t="s">
        <v>91</v>
      </c>
      <c r="J98" t="s">
        <v>130</v>
      </c>
      <c r="L98" s="1">
        <v>46235</v>
      </c>
      <c r="M98" s="1">
        <v>46235</v>
      </c>
      <c r="O98">
        <v>8244481</v>
      </c>
      <c r="P98" t="s">
        <v>32</v>
      </c>
      <c r="Q98" t="s">
        <v>131</v>
      </c>
      <c r="R98">
        <v>8192</v>
      </c>
      <c r="S98" t="s">
        <v>34</v>
      </c>
      <c r="T98" t="s">
        <v>35</v>
      </c>
      <c r="U98">
        <v>-207.08</v>
      </c>
      <c r="V98" t="s">
        <v>36</v>
      </c>
      <c r="W98" s="1">
        <v>46168</v>
      </c>
      <c r="X98">
        <v>2026</v>
      </c>
    </row>
    <row r="99" spans="1:24" x14ac:dyDescent="0.25">
      <c r="A99" s="1">
        <v>46196</v>
      </c>
      <c r="B99" t="s">
        <v>290</v>
      </c>
      <c r="C99" t="s">
        <v>291</v>
      </c>
      <c r="E99" t="s">
        <v>292</v>
      </c>
      <c r="F99" t="s">
        <v>27</v>
      </c>
      <c r="G99" t="s">
        <v>101</v>
      </c>
      <c r="H99" t="s">
        <v>29</v>
      </c>
      <c r="I99" t="s">
        <v>30</v>
      </c>
      <c r="J99" t="s">
        <v>152</v>
      </c>
      <c r="L99" s="1">
        <v>46235</v>
      </c>
      <c r="M99" s="1">
        <v>46235</v>
      </c>
      <c r="O99">
        <v>17886092</v>
      </c>
      <c r="P99" t="s">
        <v>32</v>
      </c>
      <c r="Q99" t="s">
        <v>81</v>
      </c>
      <c r="R99">
        <v>8192</v>
      </c>
      <c r="S99" t="s">
        <v>34</v>
      </c>
      <c r="T99" t="s">
        <v>35</v>
      </c>
      <c r="U99">
        <v>65</v>
      </c>
      <c r="V99" t="s">
        <v>104</v>
      </c>
      <c r="W99" s="1">
        <v>46147</v>
      </c>
      <c r="X99">
        <v>2026</v>
      </c>
    </row>
    <row r="100" spans="1:24" x14ac:dyDescent="0.25">
      <c r="A100" s="1">
        <v>46196</v>
      </c>
      <c r="B100" t="s">
        <v>290</v>
      </c>
      <c r="C100" t="s">
        <v>291</v>
      </c>
      <c r="E100" t="s">
        <v>292</v>
      </c>
      <c r="F100" t="s">
        <v>27</v>
      </c>
      <c r="G100" t="s">
        <v>105</v>
      </c>
      <c r="H100" t="s">
        <v>29</v>
      </c>
      <c r="I100" t="s">
        <v>30</v>
      </c>
      <c r="J100" t="s">
        <v>152</v>
      </c>
      <c r="L100" s="1">
        <v>46235</v>
      </c>
      <c r="M100" s="1">
        <v>46235</v>
      </c>
      <c r="O100">
        <v>17886092</v>
      </c>
      <c r="P100" t="s">
        <v>32</v>
      </c>
      <c r="Q100" t="s">
        <v>81</v>
      </c>
      <c r="R100">
        <v>8192</v>
      </c>
      <c r="S100" t="s">
        <v>34</v>
      </c>
      <c r="T100" t="s">
        <v>35</v>
      </c>
      <c r="U100">
        <v>-27.09</v>
      </c>
      <c r="V100" t="s">
        <v>36</v>
      </c>
      <c r="W100" s="1">
        <v>46147</v>
      </c>
      <c r="X100">
        <v>2026</v>
      </c>
    </row>
    <row r="101" spans="1:24" x14ac:dyDescent="0.25">
      <c r="A101" s="1">
        <v>46196</v>
      </c>
      <c r="B101" t="s">
        <v>293</v>
      </c>
      <c r="C101" t="s">
        <v>294</v>
      </c>
      <c r="E101" t="s">
        <v>295</v>
      </c>
      <c r="F101" t="s">
        <v>27</v>
      </c>
      <c r="G101" t="s">
        <v>101</v>
      </c>
      <c r="H101" t="s">
        <v>29</v>
      </c>
      <c r="I101" t="s">
        <v>30</v>
      </c>
      <c r="J101" t="s">
        <v>296</v>
      </c>
      <c r="L101" s="1">
        <v>46143</v>
      </c>
      <c r="M101" s="1">
        <v>46143</v>
      </c>
      <c r="O101">
        <v>9254978</v>
      </c>
      <c r="P101" t="s">
        <v>32</v>
      </c>
      <c r="Q101" t="s">
        <v>297</v>
      </c>
      <c r="R101">
        <v>8192</v>
      </c>
      <c r="S101" t="s">
        <v>34</v>
      </c>
      <c r="T101" t="s">
        <v>35</v>
      </c>
      <c r="U101">
        <v>931</v>
      </c>
      <c r="V101" t="s">
        <v>104</v>
      </c>
      <c r="W101" s="1">
        <v>46140</v>
      </c>
      <c r="X101">
        <v>2026</v>
      </c>
    </row>
    <row r="102" spans="1:24" x14ac:dyDescent="0.25">
      <c r="A102" s="1">
        <v>46196</v>
      </c>
      <c r="B102" t="s">
        <v>293</v>
      </c>
      <c r="C102" t="s">
        <v>294</v>
      </c>
      <c r="E102" t="s">
        <v>295</v>
      </c>
      <c r="F102" t="s">
        <v>27</v>
      </c>
      <c r="G102" t="s">
        <v>105</v>
      </c>
      <c r="H102" t="s">
        <v>29</v>
      </c>
      <c r="I102" t="s">
        <v>30</v>
      </c>
      <c r="J102" t="s">
        <v>296</v>
      </c>
      <c r="L102" s="1">
        <v>46143</v>
      </c>
      <c r="M102" s="1">
        <v>46143</v>
      </c>
      <c r="O102">
        <v>9254978</v>
      </c>
      <c r="P102" t="s">
        <v>32</v>
      </c>
      <c r="Q102" t="s">
        <v>297</v>
      </c>
      <c r="R102">
        <v>8192</v>
      </c>
      <c r="S102" t="s">
        <v>34</v>
      </c>
      <c r="T102" t="s">
        <v>35</v>
      </c>
      <c r="U102">
        <v>-360.67</v>
      </c>
      <c r="V102" t="s">
        <v>36</v>
      </c>
      <c r="W102" s="1">
        <v>46140</v>
      </c>
      <c r="X102">
        <v>2026</v>
      </c>
    </row>
    <row r="103" spans="1:24" x14ac:dyDescent="0.25">
      <c r="A103" s="1">
        <v>46196</v>
      </c>
      <c r="B103" t="s">
        <v>298</v>
      </c>
      <c r="C103" t="s">
        <v>299</v>
      </c>
      <c r="E103" t="s">
        <v>300</v>
      </c>
      <c r="F103" t="s">
        <v>156</v>
      </c>
      <c r="G103" t="s">
        <v>101</v>
      </c>
      <c r="H103" t="s">
        <v>29</v>
      </c>
      <c r="I103" t="s">
        <v>157</v>
      </c>
      <c r="J103" t="s">
        <v>301</v>
      </c>
      <c r="L103" s="1">
        <v>46174</v>
      </c>
      <c r="M103" s="1">
        <v>46174</v>
      </c>
      <c r="O103">
        <v>17094718</v>
      </c>
      <c r="P103" t="s">
        <v>32</v>
      </c>
      <c r="Q103" t="s">
        <v>203</v>
      </c>
      <c r="R103">
        <v>8192</v>
      </c>
      <c r="S103" t="s">
        <v>34</v>
      </c>
      <c r="T103" t="s">
        <v>35</v>
      </c>
      <c r="U103">
        <v>844</v>
      </c>
      <c r="V103" t="s">
        <v>104</v>
      </c>
      <c r="W103" s="1">
        <v>46162</v>
      </c>
      <c r="X103">
        <v>2026</v>
      </c>
    </row>
    <row r="104" spans="1:24" x14ac:dyDescent="0.25">
      <c r="A104" s="1">
        <v>46196</v>
      </c>
      <c r="B104" t="s">
        <v>298</v>
      </c>
      <c r="C104" t="s">
        <v>299</v>
      </c>
      <c r="E104" t="s">
        <v>300</v>
      </c>
      <c r="F104" t="s">
        <v>156</v>
      </c>
      <c r="G104" t="s">
        <v>105</v>
      </c>
      <c r="H104" t="s">
        <v>29</v>
      </c>
      <c r="I104" t="s">
        <v>157</v>
      </c>
      <c r="J104" t="s">
        <v>301</v>
      </c>
      <c r="L104" s="1">
        <v>46174</v>
      </c>
      <c r="M104" s="1">
        <v>46174</v>
      </c>
      <c r="O104">
        <v>17094718</v>
      </c>
      <c r="P104" t="s">
        <v>32</v>
      </c>
      <c r="Q104" t="s">
        <v>203</v>
      </c>
      <c r="R104">
        <v>8192</v>
      </c>
      <c r="S104" t="s">
        <v>34</v>
      </c>
      <c r="T104" t="s">
        <v>35</v>
      </c>
      <c r="U104">
        <v>-289.92</v>
      </c>
      <c r="V104" t="s">
        <v>36</v>
      </c>
      <c r="W104" s="1">
        <v>46162</v>
      </c>
      <c r="X104">
        <v>2026</v>
      </c>
    </row>
    <row r="105" spans="1:24" x14ac:dyDescent="0.25">
      <c r="A105" s="1">
        <v>46196</v>
      </c>
      <c r="B105" t="s">
        <v>302</v>
      </c>
      <c r="C105" t="s">
        <v>303</v>
      </c>
      <c r="E105" t="s">
        <v>304</v>
      </c>
      <c r="F105" t="s">
        <v>305</v>
      </c>
      <c r="G105" t="s">
        <v>28</v>
      </c>
      <c r="H105" t="s">
        <v>29</v>
      </c>
      <c r="I105" t="s">
        <v>306</v>
      </c>
      <c r="J105" t="s">
        <v>307</v>
      </c>
      <c r="L105" s="1">
        <v>46204</v>
      </c>
      <c r="M105" s="1">
        <v>46204</v>
      </c>
      <c r="O105">
        <v>7470776</v>
      </c>
      <c r="P105" t="s">
        <v>32</v>
      </c>
      <c r="Q105" t="s">
        <v>48</v>
      </c>
      <c r="R105">
        <v>8192</v>
      </c>
      <c r="S105" t="s">
        <v>34</v>
      </c>
      <c r="T105" t="s">
        <v>35</v>
      </c>
      <c r="U105">
        <v>248.5</v>
      </c>
      <c r="V105" t="s">
        <v>36</v>
      </c>
      <c r="W105" s="1">
        <v>46175</v>
      </c>
      <c r="X105">
        <v>2026</v>
      </c>
    </row>
    <row r="106" spans="1:24" x14ac:dyDescent="0.25">
      <c r="A106" s="1">
        <v>46196</v>
      </c>
      <c r="B106" t="s">
        <v>308</v>
      </c>
      <c r="C106" t="s">
        <v>309</v>
      </c>
      <c r="E106" t="s">
        <v>310</v>
      </c>
      <c r="F106" t="s">
        <v>201</v>
      </c>
      <c r="G106" t="s">
        <v>28</v>
      </c>
      <c r="H106" t="s">
        <v>29</v>
      </c>
      <c r="I106" t="s">
        <v>46</v>
      </c>
      <c r="J106" t="s">
        <v>258</v>
      </c>
      <c r="L106" s="1">
        <v>46204</v>
      </c>
      <c r="M106" s="1">
        <v>46204</v>
      </c>
      <c r="O106">
        <v>16849453</v>
      </c>
      <c r="P106" t="s">
        <v>32</v>
      </c>
      <c r="Q106" t="s">
        <v>259</v>
      </c>
      <c r="R106">
        <v>8192</v>
      </c>
      <c r="S106" t="s">
        <v>34</v>
      </c>
      <c r="T106" t="s">
        <v>35</v>
      </c>
      <c r="U106">
        <v>248.5</v>
      </c>
      <c r="V106" t="s">
        <v>36</v>
      </c>
      <c r="W106" s="1">
        <v>46176</v>
      </c>
      <c r="X106">
        <v>2026</v>
      </c>
    </row>
    <row r="107" spans="1:24" x14ac:dyDescent="0.25">
      <c r="A107" s="1">
        <v>46196</v>
      </c>
      <c r="B107" t="s">
        <v>311</v>
      </c>
      <c r="C107" t="s">
        <v>312</v>
      </c>
      <c r="E107" t="s">
        <v>313</v>
      </c>
      <c r="F107" t="s">
        <v>305</v>
      </c>
      <c r="G107" t="s">
        <v>101</v>
      </c>
      <c r="H107" t="s">
        <v>29</v>
      </c>
      <c r="I107" t="s">
        <v>306</v>
      </c>
      <c r="J107" t="s">
        <v>314</v>
      </c>
      <c r="L107" s="1">
        <v>46174</v>
      </c>
      <c r="M107" s="1">
        <v>46174</v>
      </c>
      <c r="O107">
        <v>8307933</v>
      </c>
      <c r="P107" t="s">
        <v>32</v>
      </c>
      <c r="Q107" t="s">
        <v>197</v>
      </c>
      <c r="R107">
        <v>8192</v>
      </c>
      <c r="S107" t="s">
        <v>34</v>
      </c>
      <c r="T107" t="s">
        <v>35</v>
      </c>
      <c r="U107">
        <v>844</v>
      </c>
      <c r="V107" t="s">
        <v>104</v>
      </c>
      <c r="W107" s="1">
        <v>46154</v>
      </c>
      <c r="X107">
        <v>2026</v>
      </c>
    </row>
    <row r="108" spans="1:24" x14ac:dyDescent="0.25">
      <c r="A108" s="1">
        <v>46196</v>
      </c>
      <c r="B108" t="s">
        <v>311</v>
      </c>
      <c r="C108" t="s">
        <v>312</v>
      </c>
      <c r="E108" t="s">
        <v>313</v>
      </c>
      <c r="F108" t="s">
        <v>305</v>
      </c>
      <c r="G108" t="s">
        <v>105</v>
      </c>
      <c r="H108" t="s">
        <v>29</v>
      </c>
      <c r="I108" t="s">
        <v>306</v>
      </c>
      <c r="J108" t="s">
        <v>314</v>
      </c>
      <c r="L108" s="1">
        <v>46174</v>
      </c>
      <c r="M108" s="1">
        <v>46174</v>
      </c>
      <c r="O108">
        <v>8307933</v>
      </c>
      <c r="P108" t="s">
        <v>32</v>
      </c>
      <c r="Q108" t="s">
        <v>197</v>
      </c>
      <c r="R108">
        <v>8192</v>
      </c>
      <c r="S108" t="s">
        <v>34</v>
      </c>
      <c r="T108" t="s">
        <v>35</v>
      </c>
      <c r="U108">
        <v>-289.92</v>
      </c>
      <c r="V108" t="s">
        <v>36</v>
      </c>
      <c r="W108" s="1">
        <v>46154</v>
      </c>
      <c r="X108">
        <v>2026</v>
      </c>
    </row>
    <row r="109" spans="1:24" x14ac:dyDescent="0.25">
      <c r="A109" s="1">
        <v>46196</v>
      </c>
      <c r="B109" t="s">
        <v>315</v>
      </c>
      <c r="C109" t="s">
        <v>316</v>
      </c>
      <c r="E109" t="s">
        <v>317</v>
      </c>
      <c r="F109" t="s">
        <v>305</v>
      </c>
      <c r="G109" t="s">
        <v>101</v>
      </c>
      <c r="H109" t="s">
        <v>29</v>
      </c>
      <c r="I109" t="s">
        <v>306</v>
      </c>
      <c r="J109" t="s">
        <v>318</v>
      </c>
      <c r="L109" s="1">
        <v>46204</v>
      </c>
      <c r="M109" s="1">
        <v>46204</v>
      </c>
      <c r="O109">
        <v>8307933</v>
      </c>
      <c r="P109" t="s">
        <v>32</v>
      </c>
      <c r="Q109" t="s">
        <v>197</v>
      </c>
      <c r="R109">
        <v>8192</v>
      </c>
      <c r="S109" t="s">
        <v>34</v>
      </c>
      <c r="T109" t="s">
        <v>35</v>
      </c>
      <c r="U109">
        <v>844</v>
      </c>
      <c r="V109" t="s">
        <v>104</v>
      </c>
      <c r="W109" s="1">
        <v>46162</v>
      </c>
      <c r="X109">
        <v>2026</v>
      </c>
    </row>
    <row r="110" spans="1:24" x14ac:dyDescent="0.25">
      <c r="A110" s="1">
        <v>46196</v>
      </c>
      <c r="B110" t="s">
        <v>315</v>
      </c>
      <c r="C110" t="s">
        <v>316</v>
      </c>
      <c r="E110" t="s">
        <v>317</v>
      </c>
      <c r="F110" t="s">
        <v>305</v>
      </c>
      <c r="G110" t="s">
        <v>105</v>
      </c>
      <c r="H110" t="s">
        <v>29</v>
      </c>
      <c r="I110" t="s">
        <v>306</v>
      </c>
      <c r="J110" t="s">
        <v>318</v>
      </c>
      <c r="L110" s="1">
        <v>46204</v>
      </c>
      <c r="M110" s="1">
        <v>46204</v>
      </c>
      <c r="O110">
        <v>8307933</v>
      </c>
      <c r="P110" t="s">
        <v>32</v>
      </c>
      <c r="Q110" t="s">
        <v>197</v>
      </c>
      <c r="R110">
        <v>8192</v>
      </c>
      <c r="S110" t="s">
        <v>34</v>
      </c>
      <c r="T110" t="s">
        <v>35</v>
      </c>
      <c r="U110">
        <v>-248.5</v>
      </c>
      <c r="V110" t="s">
        <v>36</v>
      </c>
      <c r="W110" s="1">
        <v>46162</v>
      </c>
      <c r="X110">
        <v>2026</v>
      </c>
    </row>
    <row r="111" spans="1:24" x14ac:dyDescent="0.25">
      <c r="A111" s="1">
        <v>46196</v>
      </c>
      <c r="B111" t="s">
        <v>319</v>
      </c>
      <c r="C111" t="s">
        <v>320</v>
      </c>
      <c r="E111" t="s">
        <v>321</v>
      </c>
      <c r="F111" t="s">
        <v>27</v>
      </c>
      <c r="G111" t="s">
        <v>28</v>
      </c>
      <c r="H111" t="s">
        <v>29</v>
      </c>
      <c r="I111" t="s">
        <v>30</v>
      </c>
      <c r="J111" t="s">
        <v>115</v>
      </c>
      <c r="L111" s="1">
        <v>46266</v>
      </c>
      <c r="M111" s="1">
        <v>46266</v>
      </c>
      <c r="O111">
        <v>18710070</v>
      </c>
      <c r="P111" t="s">
        <v>32</v>
      </c>
      <c r="Q111" t="s">
        <v>116</v>
      </c>
      <c r="R111">
        <v>8192</v>
      </c>
      <c r="S111" t="s">
        <v>34</v>
      </c>
      <c r="T111" t="s">
        <v>35</v>
      </c>
      <c r="U111">
        <v>180.33</v>
      </c>
      <c r="V111" t="s">
        <v>36</v>
      </c>
      <c r="W111" s="1">
        <v>46183</v>
      </c>
      <c r="X111">
        <v>2026</v>
      </c>
    </row>
    <row r="112" spans="1:24" x14ac:dyDescent="0.25">
      <c r="A112" s="1">
        <v>46196</v>
      </c>
      <c r="B112" t="s">
        <v>322</v>
      </c>
      <c r="C112" t="s">
        <v>323</v>
      </c>
      <c r="E112" t="s">
        <v>324</v>
      </c>
      <c r="F112" t="s">
        <v>27</v>
      </c>
      <c r="G112" t="s">
        <v>186</v>
      </c>
      <c r="H112" t="s">
        <v>29</v>
      </c>
      <c r="I112" t="s">
        <v>30</v>
      </c>
      <c r="J112" t="s">
        <v>213</v>
      </c>
      <c r="L112" s="1">
        <v>46174</v>
      </c>
      <c r="M112" s="1">
        <v>46174</v>
      </c>
      <c r="O112">
        <v>21618313</v>
      </c>
      <c r="P112" t="s">
        <v>32</v>
      </c>
      <c r="Q112" t="s">
        <v>325</v>
      </c>
      <c r="R112">
        <v>8192</v>
      </c>
      <c r="S112" t="s">
        <v>34</v>
      </c>
      <c r="T112" t="s">
        <v>35</v>
      </c>
      <c r="U112">
        <v>543.08000000000004</v>
      </c>
      <c r="V112" t="s">
        <v>104</v>
      </c>
      <c r="W112" s="1">
        <v>46169</v>
      </c>
      <c r="X112">
        <v>2026</v>
      </c>
    </row>
    <row r="113" spans="1:24" x14ac:dyDescent="0.25">
      <c r="A113" s="1">
        <v>46196</v>
      </c>
      <c r="B113" t="s">
        <v>322</v>
      </c>
      <c r="C113" t="s">
        <v>323</v>
      </c>
      <c r="E113" t="s">
        <v>324</v>
      </c>
      <c r="F113" t="s">
        <v>27</v>
      </c>
      <c r="G113" t="s">
        <v>105</v>
      </c>
      <c r="H113" t="s">
        <v>29</v>
      </c>
      <c r="I113" t="s">
        <v>30</v>
      </c>
      <c r="J113" t="s">
        <v>213</v>
      </c>
      <c r="L113" s="1">
        <v>46174</v>
      </c>
      <c r="M113" s="1">
        <v>46174</v>
      </c>
      <c r="O113">
        <v>21618313</v>
      </c>
      <c r="P113" t="s">
        <v>32</v>
      </c>
      <c r="Q113" t="s">
        <v>325</v>
      </c>
      <c r="R113">
        <v>8192</v>
      </c>
      <c r="S113" t="s">
        <v>34</v>
      </c>
      <c r="T113" t="s">
        <v>35</v>
      </c>
      <c r="U113">
        <v>-315.58</v>
      </c>
      <c r="V113" t="s">
        <v>36</v>
      </c>
      <c r="W113" s="1">
        <v>46169</v>
      </c>
      <c r="X113">
        <v>2026</v>
      </c>
    </row>
    <row r="114" spans="1:24" x14ac:dyDescent="0.25">
      <c r="A114" s="1">
        <v>46196</v>
      </c>
      <c r="B114" t="s">
        <v>326</v>
      </c>
      <c r="C114" t="s">
        <v>327</v>
      </c>
      <c r="E114" t="s">
        <v>328</v>
      </c>
      <c r="F114" t="s">
        <v>45</v>
      </c>
      <c r="G114" t="s">
        <v>101</v>
      </c>
      <c r="H114" t="s">
        <v>29</v>
      </c>
      <c r="I114" t="s">
        <v>46</v>
      </c>
      <c r="J114" t="s">
        <v>55</v>
      </c>
      <c r="L114" s="1">
        <v>46174</v>
      </c>
      <c r="M114" s="1">
        <v>46174</v>
      </c>
      <c r="O114">
        <v>7146581</v>
      </c>
      <c r="P114" t="s">
        <v>32</v>
      </c>
      <c r="Q114" t="s">
        <v>329</v>
      </c>
      <c r="R114">
        <v>8192</v>
      </c>
      <c r="S114" t="s">
        <v>34</v>
      </c>
      <c r="T114" t="s">
        <v>35</v>
      </c>
      <c r="U114">
        <v>844</v>
      </c>
      <c r="V114" t="s">
        <v>104</v>
      </c>
      <c r="W114" s="1">
        <v>46168</v>
      </c>
      <c r="X114">
        <v>2026</v>
      </c>
    </row>
    <row r="115" spans="1:24" x14ac:dyDescent="0.25">
      <c r="A115" s="1">
        <v>46196</v>
      </c>
      <c r="B115" t="s">
        <v>326</v>
      </c>
      <c r="C115" t="s">
        <v>327</v>
      </c>
      <c r="E115" t="s">
        <v>328</v>
      </c>
      <c r="F115" t="s">
        <v>45</v>
      </c>
      <c r="G115" t="s">
        <v>105</v>
      </c>
      <c r="H115" t="s">
        <v>29</v>
      </c>
      <c r="I115" t="s">
        <v>46</v>
      </c>
      <c r="J115" t="s">
        <v>55</v>
      </c>
      <c r="L115" s="1">
        <v>46174</v>
      </c>
      <c r="M115" s="1">
        <v>46174</v>
      </c>
      <c r="O115">
        <v>7146581</v>
      </c>
      <c r="P115" t="s">
        <v>32</v>
      </c>
      <c r="Q115" t="s">
        <v>329</v>
      </c>
      <c r="R115">
        <v>8192</v>
      </c>
      <c r="S115" t="s">
        <v>34</v>
      </c>
      <c r="T115" t="s">
        <v>35</v>
      </c>
      <c r="U115">
        <v>-289.92</v>
      </c>
      <c r="V115" t="s">
        <v>36</v>
      </c>
      <c r="W115" s="1">
        <v>46168</v>
      </c>
      <c r="X115">
        <v>2026</v>
      </c>
    </row>
    <row r="116" spans="1:24" x14ac:dyDescent="0.25">
      <c r="A116" s="1">
        <v>46196</v>
      </c>
      <c r="B116" t="s">
        <v>330</v>
      </c>
      <c r="C116" t="s">
        <v>331</v>
      </c>
      <c r="E116" t="s">
        <v>332</v>
      </c>
      <c r="F116" t="s">
        <v>109</v>
      </c>
      <c r="G116" t="s">
        <v>101</v>
      </c>
      <c r="H116" t="s">
        <v>29</v>
      </c>
      <c r="I116" t="s">
        <v>110</v>
      </c>
      <c r="J116" t="s">
        <v>196</v>
      </c>
      <c r="L116" s="1">
        <v>46174</v>
      </c>
      <c r="M116" s="1">
        <v>46174</v>
      </c>
      <c r="O116">
        <v>371819</v>
      </c>
      <c r="P116" t="s">
        <v>32</v>
      </c>
      <c r="Q116" t="s">
        <v>333</v>
      </c>
      <c r="R116">
        <v>8192</v>
      </c>
      <c r="S116" t="s">
        <v>34</v>
      </c>
      <c r="T116" t="s">
        <v>35</v>
      </c>
      <c r="U116">
        <v>844</v>
      </c>
      <c r="V116" t="s">
        <v>104</v>
      </c>
      <c r="W116" s="1">
        <v>46170</v>
      </c>
      <c r="X116">
        <v>2026</v>
      </c>
    </row>
    <row r="117" spans="1:24" x14ac:dyDescent="0.25">
      <c r="A117" s="1">
        <v>46196</v>
      </c>
      <c r="B117" t="s">
        <v>330</v>
      </c>
      <c r="C117" t="s">
        <v>331</v>
      </c>
      <c r="E117" t="s">
        <v>332</v>
      </c>
      <c r="F117" t="s">
        <v>109</v>
      </c>
      <c r="G117" t="s">
        <v>105</v>
      </c>
      <c r="H117" t="s">
        <v>29</v>
      </c>
      <c r="I117" t="s">
        <v>110</v>
      </c>
      <c r="J117" t="s">
        <v>196</v>
      </c>
      <c r="L117" s="1">
        <v>46174</v>
      </c>
      <c r="M117" s="1">
        <v>46174</v>
      </c>
      <c r="O117">
        <v>371819</v>
      </c>
      <c r="P117" t="s">
        <v>32</v>
      </c>
      <c r="Q117" t="s">
        <v>333</v>
      </c>
      <c r="R117">
        <v>8192</v>
      </c>
      <c r="S117" t="s">
        <v>34</v>
      </c>
      <c r="T117" t="s">
        <v>35</v>
      </c>
      <c r="U117">
        <v>-289.92</v>
      </c>
      <c r="V117" t="s">
        <v>36</v>
      </c>
      <c r="W117" s="1">
        <v>46170</v>
      </c>
      <c r="X117">
        <v>2026</v>
      </c>
    </row>
    <row r="118" spans="1:24" x14ac:dyDescent="0.25">
      <c r="A118" s="1">
        <v>46196</v>
      </c>
      <c r="B118" t="s">
        <v>334</v>
      </c>
      <c r="C118" t="s">
        <v>335</v>
      </c>
      <c r="E118" t="s">
        <v>336</v>
      </c>
      <c r="F118" t="s">
        <v>337</v>
      </c>
      <c r="G118" t="s">
        <v>186</v>
      </c>
      <c r="H118" t="s">
        <v>29</v>
      </c>
      <c r="I118" t="s">
        <v>338</v>
      </c>
      <c r="J118" t="s">
        <v>339</v>
      </c>
      <c r="L118" s="1">
        <v>46174</v>
      </c>
      <c r="M118" s="1">
        <v>46174</v>
      </c>
      <c r="O118">
        <v>19615078</v>
      </c>
      <c r="P118" t="s">
        <v>32</v>
      </c>
      <c r="Q118" t="s">
        <v>340</v>
      </c>
      <c r="R118">
        <v>8192</v>
      </c>
      <c r="S118" t="s">
        <v>34</v>
      </c>
      <c r="T118" t="s">
        <v>35</v>
      </c>
      <c r="U118">
        <v>492.33</v>
      </c>
      <c r="V118" t="s">
        <v>104</v>
      </c>
      <c r="W118" s="1">
        <v>46165</v>
      </c>
      <c r="X118">
        <v>2026</v>
      </c>
    </row>
    <row r="119" spans="1:24" x14ac:dyDescent="0.25">
      <c r="A119" s="1">
        <v>46196</v>
      </c>
      <c r="B119" t="s">
        <v>334</v>
      </c>
      <c r="C119" t="s">
        <v>335</v>
      </c>
      <c r="E119" t="s">
        <v>336</v>
      </c>
      <c r="F119" t="s">
        <v>337</v>
      </c>
      <c r="G119" t="s">
        <v>105</v>
      </c>
      <c r="H119" t="s">
        <v>29</v>
      </c>
      <c r="I119" t="s">
        <v>338</v>
      </c>
      <c r="J119" t="s">
        <v>339</v>
      </c>
      <c r="L119" s="1">
        <v>46174</v>
      </c>
      <c r="M119" s="1">
        <v>46174</v>
      </c>
      <c r="O119">
        <v>19615078</v>
      </c>
      <c r="P119" t="s">
        <v>32</v>
      </c>
      <c r="Q119" t="s">
        <v>340</v>
      </c>
      <c r="R119">
        <v>8192</v>
      </c>
      <c r="S119" t="s">
        <v>34</v>
      </c>
      <c r="T119" t="s">
        <v>35</v>
      </c>
      <c r="U119">
        <v>-289.92</v>
      </c>
      <c r="V119" t="s">
        <v>36</v>
      </c>
      <c r="W119" s="1">
        <v>46165</v>
      </c>
      <c r="X119">
        <v>2026</v>
      </c>
    </row>
    <row r="120" spans="1:24" x14ac:dyDescent="0.25">
      <c r="A120" s="1">
        <v>46196</v>
      </c>
      <c r="B120" t="s">
        <v>341</v>
      </c>
      <c r="C120" t="s">
        <v>342</v>
      </c>
      <c r="E120" t="s">
        <v>343</v>
      </c>
      <c r="F120" t="s">
        <v>27</v>
      </c>
      <c r="G120" t="s">
        <v>101</v>
      </c>
      <c r="H120" t="s">
        <v>29</v>
      </c>
      <c r="I120" t="s">
        <v>30</v>
      </c>
      <c r="J120" t="s">
        <v>344</v>
      </c>
      <c r="L120" s="1">
        <v>46174</v>
      </c>
      <c r="M120" s="1">
        <v>46174</v>
      </c>
      <c r="O120">
        <v>20253958</v>
      </c>
      <c r="P120" t="s">
        <v>32</v>
      </c>
      <c r="Q120" t="s">
        <v>33</v>
      </c>
      <c r="R120">
        <v>8192</v>
      </c>
      <c r="S120" t="s">
        <v>34</v>
      </c>
      <c r="T120" t="s">
        <v>35</v>
      </c>
      <c r="U120">
        <v>65</v>
      </c>
      <c r="V120" t="s">
        <v>104</v>
      </c>
      <c r="W120" s="1">
        <v>46163</v>
      </c>
      <c r="X120">
        <v>2026</v>
      </c>
    </row>
    <row r="121" spans="1:24" x14ac:dyDescent="0.25">
      <c r="A121" s="1">
        <v>46196</v>
      </c>
      <c r="B121" t="s">
        <v>341</v>
      </c>
      <c r="C121" t="s">
        <v>342</v>
      </c>
      <c r="E121" t="s">
        <v>343</v>
      </c>
      <c r="F121" t="s">
        <v>27</v>
      </c>
      <c r="G121" t="s">
        <v>105</v>
      </c>
      <c r="H121" t="s">
        <v>29</v>
      </c>
      <c r="I121" t="s">
        <v>30</v>
      </c>
      <c r="J121" t="s">
        <v>344</v>
      </c>
      <c r="L121" s="1">
        <v>46174</v>
      </c>
      <c r="M121" s="1">
        <v>46174</v>
      </c>
      <c r="O121">
        <v>20253958</v>
      </c>
      <c r="P121" t="s">
        <v>32</v>
      </c>
      <c r="Q121" t="s">
        <v>33</v>
      </c>
      <c r="R121">
        <v>8192</v>
      </c>
      <c r="S121" t="s">
        <v>34</v>
      </c>
      <c r="T121" t="s">
        <v>35</v>
      </c>
      <c r="U121">
        <v>-37.909999999999997</v>
      </c>
      <c r="V121" t="s">
        <v>36</v>
      </c>
      <c r="W121" s="1">
        <v>46163</v>
      </c>
      <c r="X121">
        <v>2026</v>
      </c>
    </row>
    <row r="122" spans="1:24" x14ac:dyDescent="0.25">
      <c r="A122" s="1">
        <v>46196</v>
      </c>
      <c r="B122" t="s">
        <v>345</v>
      </c>
      <c r="C122" t="s">
        <v>346</v>
      </c>
      <c r="E122" t="s">
        <v>347</v>
      </c>
      <c r="F122" t="s">
        <v>45</v>
      </c>
      <c r="G122" t="s">
        <v>101</v>
      </c>
      <c r="H122" t="s">
        <v>29</v>
      </c>
      <c r="I122" t="s">
        <v>91</v>
      </c>
      <c r="J122" t="s">
        <v>130</v>
      </c>
      <c r="L122" s="1">
        <v>46204</v>
      </c>
      <c r="M122" s="1">
        <v>46204</v>
      </c>
      <c r="O122">
        <v>8244481</v>
      </c>
      <c r="P122" t="s">
        <v>32</v>
      </c>
      <c r="Q122" t="s">
        <v>131</v>
      </c>
      <c r="R122">
        <v>8192</v>
      </c>
      <c r="S122" t="s">
        <v>34</v>
      </c>
      <c r="T122" t="s">
        <v>35</v>
      </c>
      <c r="U122">
        <v>844</v>
      </c>
      <c r="V122" t="s">
        <v>104</v>
      </c>
      <c r="W122" s="1">
        <v>46169</v>
      </c>
      <c r="X122">
        <v>2026</v>
      </c>
    </row>
    <row r="123" spans="1:24" x14ac:dyDescent="0.25">
      <c r="A123" s="1">
        <v>46196</v>
      </c>
      <c r="B123" t="s">
        <v>345</v>
      </c>
      <c r="C123" t="s">
        <v>346</v>
      </c>
      <c r="E123" t="s">
        <v>347</v>
      </c>
      <c r="F123" t="s">
        <v>45</v>
      </c>
      <c r="G123" t="s">
        <v>105</v>
      </c>
      <c r="H123" t="s">
        <v>29</v>
      </c>
      <c r="I123" t="s">
        <v>91</v>
      </c>
      <c r="J123" t="s">
        <v>130</v>
      </c>
      <c r="L123" s="1">
        <v>46204</v>
      </c>
      <c r="M123" s="1">
        <v>46204</v>
      </c>
      <c r="O123">
        <v>8244481</v>
      </c>
      <c r="P123" t="s">
        <v>32</v>
      </c>
      <c r="Q123" t="s">
        <v>131</v>
      </c>
      <c r="R123">
        <v>8192</v>
      </c>
      <c r="S123" t="s">
        <v>34</v>
      </c>
      <c r="T123" t="s">
        <v>35</v>
      </c>
      <c r="U123">
        <v>-248.5</v>
      </c>
      <c r="V123" t="s">
        <v>36</v>
      </c>
      <c r="W123" s="1">
        <v>46169</v>
      </c>
      <c r="X123">
        <v>2026</v>
      </c>
    </row>
    <row r="124" spans="1:24" x14ac:dyDescent="0.25">
      <c r="A124" s="1">
        <v>46196</v>
      </c>
      <c r="B124" t="s">
        <v>348</v>
      </c>
      <c r="C124" t="s">
        <v>349</v>
      </c>
      <c r="E124" t="s">
        <v>350</v>
      </c>
      <c r="F124" t="s">
        <v>156</v>
      </c>
      <c r="G124" t="s">
        <v>101</v>
      </c>
      <c r="H124" t="s">
        <v>29</v>
      </c>
      <c r="I124" t="s">
        <v>157</v>
      </c>
      <c r="J124" t="s">
        <v>158</v>
      </c>
      <c r="L124" s="1">
        <v>46174</v>
      </c>
      <c r="M124" s="1">
        <v>46174</v>
      </c>
      <c r="O124">
        <v>16170994</v>
      </c>
      <c r="P124" t="s">
        <v>32</v>
      </c>
      <c r="Q124" t="s">
        <v>159</v>
      </c>
      <c r="R124">
        <v>8192</v>
      </c>
      <c r="S124" t="s">
        <v>34</v>
      </c>
      <c r="T124" t="s">
        <v>35</v>
      </c>
      <c r="U124">
        <v>844</v>
      </c>
      <c r="V124" t="s">
        <v>104</v>
      </c>
      <c r="W124" s="1">
        <v>46160</v>
      </c>
      <c r="X124">
        <v>2026</v>
      </c>
    </row>
    <row r="125" spans="1:24" x14ac:dyDescent="0.25">
      <c r="A125" s="1">
        <v>46196</v>
      </c>
      <c r="B125" t="s">
        <v>348</v>
      </c>
      <c r="C125" t="s">
        <v>349</v>
      </c>
      <c r="E125" t="s">
        <v>350</v>
      </c>
      <c r="F125" t="s">
        <v>156</v>
      </c>
      <c r="G125" t="s">
        <v>105</v>
      </c>
      <c r="H125" t="s">
        <v>29</v>
      </c>
      <c r="I125" t="s">
        <v>157</v>
      </c>
      <c r="J125" t="s">
        <v>158</v>
      </c>
      <c r="L125" s="1">
        <v>46174</v>
      </c>
      <c r="M125" s="1">
        <v>46174</v>
      </c>
      <c r="O125">
        <v>16170994</v>
      </c>
      <c r="P125" t="s">
        <v>32</v>
      </c>
      <c r="Q125" t="s">
        <v>159</v>
      </c>
      <c r="R125">
        <v>8192</v>
      </c>
      <c r="S125" t="s">
        <v>34</v>
      </c>
      <c r="T125" t="s">
        <v>35</v>
      </c>
      <c r="U125">
        <v>-289.92</v>
      </c>
      <c r="V125" t="s">
        <v>36</v>
      </c>
      <c r="W125" s="1">
        <v>46160</v>
      </c>
      <c r="X125">
        <v>2026</v>
      </c>
    </row>
    <row r="126" spans="1:24" x14ac:dyDescent="0.25">
      <c r="A126" s="1">
        <v>46196</v>
      </c>
      <c r="B126" t="s">
        <v>351</v>
      </c>
      <c r="C126" t="s">
        <v>352</v>
      </c>
      <c r="E126" t="s">
        <v>353</v>
      </c>
      <c r="F126" t="s">
        <v>156</v>
      </c>
      <c r="G126" t="s">
        <v>101</v>
      </c>
      <c r="H126" t="s">
        <v>29</v>
      </c>
      <c r="I126" t="s">
        <v>157</v>
      </c>
      <c r="J126" t="s">
        <v>158</v>
      </c>
      <c r="L126" s="1">
        <v>46204</v>
      </c>
      <c r="M126" s="1">
        <v>46204</v>
      </c>
      <c r="O126">
        <v>16170994</v>
      </c>
      <c r="P126" t="s">
        <v>32</v>
      </c>
      <c r="Q126" t="s">
        <v>159</v>
      </c>
      <c r="R126">
        <v>8192</v>
      </c>
      <c r="S126" t="s">
        <v>34</v>
      </c>
      <c r="T126" t="s">
        <v>35</v>
      </c>
      <c r="U126">
        <v>844</v>
      </c>
      <c r="V126" t="s">
        <v>104</v>
      </c>
      <c r="W126" s="1">
        <v>46169</v>
      </c>
      <c r="X126">
        <v>2026</v>
      </c>
    </row>
    <row r="127" spans="1:24" x14ac:dyDescent="0.25">
      <c r="A127" s="1">
        <v>46196</v>
      </c>
      <c r="B127" t="s">
        <v>351</v>
      </c>
      <c r="C127" t="s">
        <v>352</v>
      </c>
      <c r="E127" t="s">
        <v>353</v>
      </c>
      <c r="F127" t="s">
        <v>156</v>
      </c>
      <c r="G127" t="s">
        <v>105</v>
      </c>
      <c r="H127" t="s">
        <v>29</v>
      </c>
      <c r="I127" t="s">
        <v>157</v>
      </c>
      <c r="J127" t="s">
        <v>158</v>
      </c>
      <c r="L127" s="1">
        <v>46204</v>
      </c>
      <c r="M127" s="1">
        <v>46204</v>
      </c>
      <c r="O127">
        <v>16170994</v>
      </c>
      <c r="P127" t="s">
        <v>32</v>
      </c>
      <c r="Q127" t="s">
        <v>159</v>
      </c>
      <c r="R127">
        <v>8192</v>
      </c>
      <c r="S127" t="s">
        <v>34</v>
      </c>
      <c r="T127" t="s">
        <v>35</v>
      </c>
      <c r="U127">
        <v>-248.5</v>
      </c>
      <c r="V127" t="s">
        <v>36</v>
      </c>
      <c r="W127" s="1">
        <v>46169</v>
      </c>
      <c r="X127">
        <v>2026</v>
      </c>
    </row>
    <row r="128" spans="1:24" x14ac:dyDescent="0.25">
      <c r="A128" s="1">
        <v>46196</v>
      </c>
      <c r="B128" t="s">
        <v>354</v>
      </c>
      <c r="C128" t="s">
        <v>355</v>
      </c>
      <c r="E128" t="s">
        <v>356</v>
      </c>
      <c r="F128" t="s">
        <v>156</v>
      </c>
      <c r="G128" t="s">
        <v>101</v>
      </c>
      <c r="H128" t="s">
        <v>29</v>
      </c>
      <c r="I128" t="s">
        <v>157</v>
      </c>
      <c r="J128" t="s">
        <v>158</v>
      </c>
      <c r="L128" s="1">
        <v>46235</v>
      </c>
      <c r="M128" s="1">
        <v>46235</v>
      </c>
      <c r="O128">
        <v>16170994</v>
      </c>
      <c r="P128" t="s">
        <v>32</v>
      </c>
      <c r="Q128" t="s">
        <v>159</v>
      </c>
      <c r="R128">
        <v>8192</v>
      </c>
      <c r="S128" t="s">
        <v>34</v>
      </c>
      <c r="T128" t="s">
        <v>35</v>
      </c>
      <c r="U128">
        <v>844</v>
      </c>
      <c r="V128" t="s">
        <v>104</v>
      </c>
      <c r="W128" s="1">
        <v>46157</v>
      </c>
      <c r="X128">
        <v>2026</v>
      </c>
    </row>
    <row r="129" spans="1:24" x14ac:dyDescent="0.25">
      <c r="A129" s="1">
        <v>46196</v>
      </c>
      <c r="B129" t="s">
        <v>354</v>
      </c>
      <c r="C129" t="s">
        <v>355</v>
      </c>
      <c r="E129" t="s">
        <v>356</v>
      </c>
      <c r="F129" t="s">
        <v>156</v>
      </c>
      <c r="G129" t="s">
        <v>105</v>
      </c>
      <c r="H129" t="s">
        <v>29</v>
      </c>
      <c r="I129" t="s">
        <v>157</v>
      </c>
      <c r="J129" t="s">
        <v>158</v>
      </c>
      <c r="L129" s="1">
        <v>46235</v>
      </c>
      <c r="M129" s="1">
        <v>46235</v>
      </c>
      <c r="O129">
        <v>16170994</v>
      </c>
      <c r="P129" t="s">
        <v>32</v>
      </c>
      <c r="Q129" t="s">
        <v>159</v>
      </c>
      <c r="R129">
        <v>8192</v>
      </c>
      <c r="S129" t="s">
        <v>34</v>
      </c>
      <c r="T129" t="s">
        <v>35</v>
      </c>
      <c r="U129">
        <v>-207.08</v>
      </c>
      <c r="V129" t="s">
        <v>36</v>
      </c>
      <c r="W129" s="1">
        <v>46157</v>
      </c>
      <c r="X129">
        <v>2026</v>
      </c>
    </row>
    <row r="130" spans="1:24" x14ac:dyDescent="0.25">
      <c r="A130" s="1">
        <v>46196</v>
      </c>
      <c r="B130" t="s">
        <v>357</v>
      </c>
      <c r="C130" t="s">
        <v>358</v>
      </c>
      <c r="E130" t="s">
        <v>359</v>
      </c>
      <c r="F130" t="s">
        <v>45</v>
      </c>
      <c r="G130" t="s">
        <v>186</v>
      </c>
      <c r="H130" t="s">
        <v>29</v>
      </c>
      <c r="I130" t="s">
        <v>46</v>
      </c>
      <c r="J130" t="s">
        <v>86</v>
      </c>
      <c r="L130" s="1">
        <v>46143</v>
      </c>
      <c r="M130" s="1">
        <v>46143</v>
      </c>
      <c r="O130">
        <v>19586992</v>
      </c>
      <c r="P130" t="s">
        <v>32</v>
      </c>
      <c r="Q130" t="s">
        <v>360</v>
      </c>
      <c r="R130">
        <v>8192</v>
      </c>
      <c r="S130" t="s">
        <v>34</v>
      </c>
      <c r="T130" t="s">
        <v>35</v>
      </c>
      <c r="U130">
        <v>562.66999999999996</v>
      </c>
      <c r="V130" t="s">
        <v>104</v>
      </c>
      <c r="W130" s="1">
        <v>46142</v>
      </c>
      <c r="X130">
        <v>2026</v>
      </c>
    </row>
    <row r="131" spans="1:24" x14ac:dyDescent="0.25">
      <c r="A131" s="1">
        <v>46196</v>
      </c>
      <c r="B131" t="s">
        <v>357</v>
      </c>
      <c r="C131" t="s">
        <v>358</v>
      </c>
      <c r="E131" t="s">
        <v>359</v>
      </c>
      <c r="F131" t="s">
        <v>45</v>
      </c>
      <c r="G131" t="s">
        <v>105</v>
      </c>
      <c r="H131" t="s">
        <v>29</v>
      </c>
      <c r="I131" t="s">
        <v>46</v>
      </c>
      <c r="J131" t="s">
        <v>86</v>
      </c>
      <c r="L131" s="1">
        <v>46143</v>
      </c>
      <c r="M131" s="1">
        <v>46143</v>
      </c>
      <c r="O131">
        <v>19586992</v>
      </c>
      <c r="P131" t="s">
        <v>32</v>
      </c>
      <c r="Q131" t="s">
        <v>360</v>
      </c>
      <c r="R131">
        <v>8192</v>
      </c>
      <c r="S131" t="s">
        <v>34</v>
      </c>
      <c r="T131" t="s">
        <v>35</v>
      </c>
      <c r="U131">
        <v>-331.33</v>
      </c>
      <c r="V131" t="s">
        <v>36</v>
      </c>
      <c r="W131" s="1">
        <v>46142</v>
      </c>
      <c r="X131">
        <v>2026</v>
      </c>
    </row>
    <row r="132" spans="1:24" x14ac:dyDescent="0.25">
      <c r="A132" s="1">
        <v>46196</v>
      </c>
      <c r="B132" t="s">
        <v>361</v>
      </c>
      <c r="C132" t="s">
        <v>362</v>
      </c>
      <c r="E132" t="s">
        <v>363</v>
      </c>
      <c r="F132" t="s">
        <v>27</v>
      </c>
      <c r="G132" t="s">
        <v>101</v>
      </c>
      <c r="H132" t="s">
        <v>29</v>
      </c>
      <c r="I132" t="s">
        <v>30</v>
      </c>
      <c r="J132" t="s">
        <v>138</v>
      </c>
      <c r="L132" s="1">
        <v>46143</v>
      </c>
      <c r="M132" s="1">
        <v>46143</v>
      </c>
      <c r="O132">
        <v>17528908</v>
      </c>
      <c r="P132" t="s">
        <v>32</v>
      </c>
      <c r="Q132" t="s">
        <v>70</v>
      </c>
      <c r="R132">
        <v>8192</v>
      </c>
      <c r="S132" t="s">
        <v>34</v>
      </c>
      <c r="T132" t="s">
        <v>35</v>
      </c>
      <c r="U132">
        <v>931</v>
      </c>
      <c r="V132" t="s">
        <v>104</v>
      </c>
      <c r="W132" s="1">
        <v>46135</v>
      </c>
      <c r="X132">
        <v>2026</v>
      </c>
    </row>
    <row r="133" spans="1:24" x14ac:dyDescent="0.25">
      <c r="A133" s="1">
        <v>46196</v>
      </c>
      <c r="B133" t="s">
        <v>361</v>
      </c>
      <c r="C133" t="s">
        <v>362</v>
      </c>
      <c r="E133" t="s">
        <v>363</v>
      </c>
      <c r="F133" t="s">
        <v>27</v>
      </c>
      <c r="G133" t="s">
        <v>105</v>
      </c>
      <c r="H133" t="s">
        <v>29</v>
      </c>
      <c r="I133" t="s">
        <v>30</v>
      </c>
      <c r="J133" t="s">
        <v>138</v>
      </c>
      <c r="L133" s="1">
        <v>46143</v>
      </c>
      <c r="M133" s="1">
        <v>46143</v>
      </c>
      <c r="O133">
        <v>17528908</v>
      </c>
      <c r="P133" t="s">
        <v>32</v>
      </c>
      <c r="Q133" t="s">
        <v>70</v>
      </c>
      <c r="R133">
        <v>8192</v>
      </c>
      <c r="S133" t="s">
        <v>34</v>
      </c>
      <c r="T133" t="s">
        <v>35</v>
      </c>
      <c r="U133">
        <v>-360.67</v>
      </c>
      <c r="V133" t="s">
        <v>36</v>
      </c>
      <c r="W133" s="1">
        <v>46135</v>
      </c>
      <c r="X133">
        <v>2026</v>
      </c>
    </row>
    <row r="134" spans="1:24" x14ac:dyDescent="0.25">
      <c r="A134" s="1">
        <v>46196</v>
      </c>
      <c r="B134" t="s">
        <v>364</v>
      </c>
      <c r="C134" t="s">
        <v>365</v>
      </c>
      <c r="E134" t="s">
        <v>366</v>
      </c>
      <c r="F134" t="s">
        <v>27</v>
      </c>
      <c r="G134" t="s">
        <v>101</v>
      </c>
      <c r="H134" t="s">
        <v>29</v>
      </c>
      <c r="I134" t="s">
        <v>30</v>
      </c>
      <c r="J134" t="s">
        <v>344</v>
      </c>
      <c r="L134" s="1">
        <v>46143</v>
      </c>
      <c r="M134" s="1">
        <v>46143</v>
      </c>
      <c r="O134">
        <v>17528908</v>
      </c>
      <c r="P134" t="s">
        <v>32</v>
      </c>
      <c r="Q134" t="s">
        <v>70</v>
      </c>
      <c r="R134">
        <v>8192</v>
      </c>
      <c r="S134" t="s">
        <v>34</v>
      </c>
      <c r="T134" t="s">
        <v>35</v>
      </c>
      <c r="U134">
        <v>931</v>
      </c>
      <c r="V134" t="s">
        <v>104</v>
      </c>
      <c r="W134" s="1">
        <v>46134</v>
      </c>
      <c r="X134">
        <v>2026</v>
      </c>
    </row>
    <row r="135" spans="1:24" x14ac:dyDescent="0.25">
      <c r="A135" s="1">
        <v>46196</v>
      </c>
      <c r="B135" t="s">
        <v>364</v>
      </c>
      <c r="C135" t="s">
        <v>365</v>
      </c>
      <c r="E135" t="s">
        <v>366</v>
      </c>
      <c r="F135" t="s">
        <v>27</v>
      </c>
      <c r="G135" t="s">
        <v>105</v>
      </c>
      <c r="H135" t="s">
        <v>29</v>
      </c>
      <c r="I135" t="s">
        <v>30</v>
      </c>
      <c r="J135" t="s">
        <v>344</v>
      </c>
      <c r="L135" s="1">
        <v>46143</v>
      </c>
      <c r="M135" s="1">
        <v>46143</v>
      </c>
      <c r="O135">
        <v>17528908</v>
      </c>
      <c r="P135" t="s">
        <v>32</v>
      </c>
      <c r="Q135" t="s">
        <v>70</v>
      </c>
      <c r="R135">
        <v>8192</v>
      </c>
      <c r="S135" t="s">
        <v>34</v>
      </c>
      <c r="T135" t="s">
        <v>35</v>
      </c>
      <c r="U135">
        <v>-360.67</v>
      </c>
      <c r="V135" t="s">
        <v>36</v>
      </c>
      <c r="W135" s="1">
        <v>46134</v>
      </c>
      <c r="X135">
        <v>2026</v>
      </c>
    </row>
    <row r="136" spans="1:24" x14ac:dyDescent="0.25">
      <c r="A136" s="1">
        <v>46196</v>
      </c>
      <c r="B136" t="s">
        <v>367</v>
      </c>
      <c r="C136" t="s">
        <v>368</v>
      </c>
      <c r="E136" t="s">
        <v>369</v>
      </c>
      <c r="F136" t="s">
        <v>27</v>
      </c>
      <c r="G136" t="s">
        <v>101</v>
      </c>
      <c r="H136" t="s">
        <v>29</v>
      </c>
      <c r="I136" t="s">
        <v>30</v>
      </c>
      <c r="J136" t="s">
        <v>152</v>
      </c>
      <c r="L136" s="1">
        <v>46204</v>
      </c>
      <c r="M136" s="1">
        <v>46204</v>
      </c>
      <c r="O136">
        <v>17886092</v>
      </c>
      <c r="P136" t="s">
        <v>32</v>
      </c>
      <c r="Q136" t="s">
        <v>81</v>
      </c>
      <c r="R136">
        <v>8192</v>
      </c>
      <c r="S136" t="s">
        <v>34</v>
      </c>
      <c r="T136" t="s">
        <v>35</v>
      </c>
      <c r="U136">
        <v>65</v>
      </c>
      <c r="V136" t="s">
        <v>104</v>
      </c>
      <c r="W136" s="1">
        <v>46160</v>
      </c>
      <c r="X136">
        <v>2026</v>
      </c>
    </row>
    <row r="137" spans="1:24" x14ac:dyDescent="0.25">
      <c r="A137" s="1">
        <v>46196</v>
      </c>
      <c r="B137" t="s">
        <v>367</v>
      </c>
      <c r="C137" t="s">
        <v>368</v>
      </c>
      <c r="E137" t="s">
        <v>369</v>
      </c>
      <c r="F137" t="s">
        <v>27</v>
      </c>
      <c r="G137" t="s">
        <v>105</v>
      </c>
      <c r="H137" t="s">
        <v>29</v>
      </c>
      <c r="I137" t="s">
        <v>30</v>
      </c>
      <c r="J137" t="s">
        <v>152</v>
      </c>
      <c r="L137" s="1">
        <v>46204</v>
      </c>
      <c r="M137" s="1">
        <v>46204</v>
      </c>
      <c r="O137">
        <v>17886092</v>
      </c>
      <c r="P137" t="s">
        <v>32</v>
      </c>
      <c r="Q137" t="s">
        <v>81</v>
      </c>
      <c r="R137">
        <v>8192</v>
      </c>
      <c r="S137" t="s">
        <v>34</v>
      </c>
      <c r="T137" t="s">
        <v>35</v>
      </c>
      <c r="U137">
        <v>-32.5</v>
      </c>
      <c r="V137" t="s">
        <v>36</v>
      </c>
      <c r="W137" s="1">
        <v>46160</v>
      </c>
      <c r="X137">
        <v>2026</v>
      </c>
    </row>
    <row r="138" spans="1:24" x14ac:dyDescent="0.25">
      <c r="A138" s="1">
        <v>46196</v>
      </c>
      <c r="B138" t="s">
        <v>370</v>
      </c>
      <c r="C138" t="s">
        <v>371</v>
      </c>
      <c r="E138" t="s">
        <v>372</v>
      </c>
      <c r="F138" t="s">
        <v>156</v>
      </c>
      <c r="G138" t="s">
        <v>101</v>
      </c>
      <c r="H138" t="s">
        <v>29</v>
      </c>
      <c r="I138" t="s">
        <v>157</v>
      </c>
      <c r="J138" t="s">
        <v>283</v>
      </c>
      <c r="L138" s="1">
        <v>46174</v>
      </c>
      <c r="M138" s="1">
        <v>46174</v>
      </c>
      <c r="O138">
        <v>16170994</v>
      </c>
      <c r="P138" t="s">
        <v>32</v>
      </c>
      <c r="Q138" t="s">
        <v>159</v>
      </c>
      <c r="R138">
        <v>8192</v>
      </c>
      <c r="S138" t="s">
        <v>34</v>
      </c>
      <c r="T138" t="s">
        <v>35</v>
      </c>
      <c r="U138">
        <v>844</v>
      </c>
      <c r="V138" t="s">
        <v>104</v>
      </c>
      <c r="W138" s="1">
        <v>46157</v>
      </c>
      <c r="X138">
        <v>2026</v>
      </c>
    </row>
    <row r="139" spans="1:24" x14ac:dyDescent="0.25">
      <c r="A139" s="1">
        <v>46196</v>
      </c>
      <c r="B139" t="s">
        <v>370</v>
      </c>
      <c r="C139" t="s">
        <v>371</v>
      </c>
      <c r="E139" t="s">
        <v>372</v>
      </c>
      <c r="F139" t="s">
        <v>156</v>
      </c>
      <c r="G139" t="s">
        <v>105</v>
      </c>
      <c r="H139" t="s">
        <v>29</v>
      </c>
      <c r="I139" t="s">
        <v>157</v>
      </c>
      <c r="J139" t="s">
        <v>283</v>
      </c>
      <c r="L139" s="1">
        <v>46174</v>
      </c>
      <c r="M139" s="1">
        <v>46174</v>
      </c>
      <c r="O139">
        <v>16170994</v>
      </c>
      <c r="P139" t="s">
        <v>32</v>
      </c>
      <c r="Q139" t="s">
        <v>159</v>
      </c>
      <c r="R139">
        <v>8192</v>
      </c>
      <c r="S139" t="s">
        <v>34</v>
      </c>
      <c r="T139" t="s">
        <v>35</v>
      </c>
      <c r="U139">
        <v>-289.92</v>
      </c>
      <c r="V139" t="s">
        <v>36</v>
      </c>
      <c r="W139" s="1">
        <v>46157</v>
      </c>
      <c r="X139">
        <v>2026</v>
      </c>
    </row>
    <row r="140" spans="1:24" x14ac:dyDescent="0.25">
      <c r="A140" s="1">
        <v>46196</v>
      </c>
      <c r="B140" t="s">
        <v>373</v>
      </c>
      <c r="C140" t="s">
        <v>374</v>
      </c>
      <c r="E140" t="s">
        <v>375</v>
      </c>
      <c r="F140" t="s">
        <v>156</v>
      </c>
      <c r="G140" t="s">
        <v>101</v>
      </c>
      <c r="H140" t="s">
        <v>29</v>
      </c>
      <c r="I140" t="s">
        <v>157</v>
      </c>
      <c r="J140" t="s">
        <v>283</v>
      </c>
      <c r="L140" s="1">
        <v>46174</v>
      </c>
      <c r="M140" s="1">
        <v>46174</v>
      </c>
      <c r="O140">
        <v>16170994</v>
      </c>
      <c r="P140" t="s">
        <v>32</v>
      </c>
      <c r="Q140" t="s">
        <v>159</v>
      </c>
      <c r="R140">
        <v>8192</v>
      </c>
      <c r="S140" t="s">
        <v>34</v>
      </c>
      <c r="T140" t="s">
        <v>35</v>
      </c>
      <c r="U140">
        <v>844</v>
      </c>
      <c r="V140" t="s">
        <v>104</v>
      </c>
      <c r="W140" s="1">
        <v>46157</v>
      </c>
      <c r="X140">
        <v>2026</v>
      </c>
    </row>
    <row r="141" spans="1:24" x14ac:dyDescent="0.25">
      <c r="A141" s="1">
        <v>46196</v>
      </c>
      <c r="B141" t="s">
        <v>373</v>
      </c>
      <c r="C141" t="s">
        <v>374</v>
      </c>
      <c r="E141" t="s">
        <v>375</v>
      </c>
      <c r="F141" t="s">
        <v>156</v>
      </c>
      <c r="G141" t="s">
        <v>105</v>
      </c>
      <c r="H141" t="s">
        <v>29</v>
      </c>
      <c r="I141" t="s">
        <v>157</v>
      </c>
      <c r="J141" t="s">
        <v>283</v>
      </c>
      <c r="L141" s="1">
        <v>46174</v>
      </c>
      <c r="M141" s="1">
        <v>46174</v>
      </c>
      <c r="O141">
        <v>16170994</v>
      </c>
      <c r="P141" t="s">
        <v>32</v>
      </c>
      <c r="Q141" t="s">
        <v>159</v>
      </c>
      <c r="R141">
        <v>8192</v>
      </c>
      <c r="S141" t="s">
        <v>34</v>
      </c>
      <c r="T141" t="s">
        <v>35</v>
      </c>
      <c r="U141">
        <v>-289.92</v>
      </c>
      <c r="V141" t="s">
        <v>36</v>
      </c>
      <c r="W141" s="1">
        <v>46157</v>
      </c>
      <c r="X141">
        <v>2026</v>
      </c>
    </row>
    <row r="142" spans="1:24" x14ac:dyDescent="0.25">
      <c r="A142" s="1">
        <v>46196</v>
      </c>
      <c r="B142" t="s">
        <v>376</v>
      </c>
      <c r="C142" t="s">
        <v>377</v>
      </c>
      <c r="E142" t="s">
        <v>378</v>
      </c>
      <c r="F142" t="s">
        <v>156</v>
      </c>
      <c r="G142" t="s">
        <v>28</v>
      </c>
      <c r="H142" t="s">
        <v>29</v>
      </c>
      <c r="I142" t="s">
        <v>157</v>
      </c>
      <c r="J142" t="s">
        <v>283</v>
      </c>
      <c r="L142" s="1">
        <v>46204</v>
      </c>
      <c r="M142" s="1">
        <v>46204</v>
      </c>
      <c r="O142">
        <v>16170994</v>
      </c>
      <c r="P142" t="s">
        <v>32</v>
      </c>
      <c r="Q142" t="s">
        <v>159</v>
      </c>
      <c r="R142">
        <v>8192</v>
      </c>
      <c r="S142" t="s">
        <v>34</v>
      </c>
      <c r="T142" t="s">
        <v>35</v>
      </c>
      <c r="U142">
        <v>248.5</v>
      </c>
      <c r="V142" t="s">
        <v>36</v>
      </c>
      <c r="W142" s="1">
        <v>46177</v>
      </c>
      <c r="X142">
        <v>2026</v>
      </c>
    </row>
    <row r="143" spans="1:24" x14ac:dyDescent="0.25">
      <c r="A143" s="1"/>
      <c r="L143" s="1"/>
      <c r="M143" s="1"/>
      <c r="W143" s="1"/>
    </row>
    <row r="144" spans="1:24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N355" s="1"/>
      <c r="W355" s="1"/>
    </row>
    <row r="356" spans="1:23" x14ac:dyDescent="0.25">
      <c r="A356" s="1"/>
      <c r="L356" s="1"/>
      <c r="M356" s="1"/>
      <c r="N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N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N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N1345" s="1"/>
      <c r="W1345" s="1"/>
    </row>
    <row r="1346" spans="1:23" x14ac:dyDescent="0.25">
      <c r="A1346" s="1"/>
      <c r="L1346" s="1"/>
      <c r="M1346" s="1"/>
      <c r="N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W1348" s="1"/>
    </row>
    <row r="1349" spans="1:23" x14ac:dyDescent="0.25">
      <c r="A1349" s="1"/>
      <c r="L1349" s="1"/>
      <c r="M1349" s="1"/>
      <c r="W1349" s="1"/>
    </row>
    <row r="1350" spans="1:23" x14ac:dyDescent="0.25">
      <c r="A1350" s="1"/>
      <c r="L1350" s="1"/>
      <c r="M1350" s="1"/>
      <c r="W1350" s="1"/>
    </row>
    <row r="1351" spans="1:23" x14ac:dyDescent="0.25">
      <c r="A1351" s="1"/>
      <c r="L1351" s="1"/>
      <c r="M1351" s="1"/>
      <c r="W1351" s="1"/>
    </row>
    <row r="1352" spans="1:23" x14ac:dyDescent="0.25">
      <c r="A1352" s="1"/>
      <c r="L1352" s="1"/>
      <c r="M1352" s="1"/>
      <c r="W1352" s="1"/>
    </row>
    <row r="1353" spans="1:23" x14ac:dyDescent="0.25">
      <c r="A1353" s="1"/>
      <c r="L1353" s="1"/>
      <c r="M1353" s="1"/>
      <c r="N1353" s="1"/>
      <c r="W1353" s="1"/>
    </row>
    <row r="1354" spans="1:23" x14ac:dyDescent="0.25">
      <c r="A1354" s="1"/>
      <c r="L1354" s="1"/>
      <c r="M1354" s="1"/>
      <c r="W1354" s="1"/>
    </row>
    <row r="1355" spans="1:23" x14ac:dyDescent="0.25">
      <c r="A1355" s="1"/>
      <c r="L1355" s="1"/>
      <c r="M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N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N1363" s="1"/>
      <c r="W1363" s="1"/>
    </row>
    <row r="1364" spans="1:23" x14ac:dyDescent="0.25">
      <c r="A1364" s="1"/>
      <c r="L1364" s="1"/>
      <c r="M1364" s="1"/>
      <c r="N1364" s="1"/>
      <c r="W1364" s="1"/>
    </row>
    <row r="1365" spans="1:23" x14ac:dyDescent="0.25">
      <c r="A1365" s="1"/>
      <c r="L1365" s="1"/>
      <c r="M1365" s="1"/>
      <c r="N1365" s="1"/>
      <c r="W1365" s="1"/>
    </row>
    <row r="1366" spans="1:23" x14ac:dyDescent="0.25">
      <c r="A1366" s="1"/>
      <c r="L1366" s="1"/>
      <c r="M1366" s="1"/>
      <c r="N1366" s="1"/>
      <c r="W1366" s="1"/>
    </row>
    <row r="1367" spans="1:23" x14ac:dyDescent="0.25">
      <c r="A1367" s="1"/>
      <c r="L1367" s="1"/>
      <c r="M1367" s="1"/>
      <c r="N1367" s="1"/>
      <c r="W1367" s="1"/>
    </row>
    <row r="1368" spans="1:23" x14ac:dyDescent="0.25">
      <c r="A1368" s="1"/>
      <c r="L1368" s="1"/>
      <c r="M1368" s="1"/>
      <c r="N1368" s="1"/>
      <c r="W1368" s="1"/>
    </row>
    <row r="1369" spans="1:23" x14ac:dyDescent="0.25">
      <c r="A1369" s="1"/>
      <c r="L1369" s="1"/>
      <c r="M1369" s="1"/>
      <c r="N1369" s="1"/>
      <c r="W1369" s="1"/>
    </row>
    <row r="1370" spans="1:23" x14ac:dyDescent="0.25">
      <c r="A1370" s="1"/>
      <c r="L1370" s="1"/>
      <c r="M1370" s="1"/>
      <c r="N1370" s="1"/>
      <c r="W1370" s="1"/>
    </row>
    <row r="1371" spans="1:23" x14ac:dyDescent="0.25">
      <c r="A1371" s="1"/>
      <c r="L1371" s="1"/>
      <c r="M1371" s="1"/>
      <c r="N1371" s="1"/>
      <c r="W1371" s="1"/>
    </row>
    <row r="1372" spans="1:23" x14ac:dyDescent="0.25">
      <c r="A1372" s="1"/>
      <c r="L1372" s="1"/>
      <c r="M1372" s="1"/>
      <c r="N1372" s="1"/>
      <c r="W1372" s="1"/>
    </row>
    <row r="1373" spans="1:23" x14ac:dyDescent="0.25">
      <c r="A1373" s="1"/>
      <c r="L1373" s="1"/>
      <c r="M1373" s="1"/>
      <c r="N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N1378" s="1"/>
      <c r="W1378" s="1"/>
    </row>
    <row r="1379" spans="1:23" x14ac:dyDescent="0.25">
      <c r="A1379" s="1"/>
      <c r="L1379" s="1"/>
      <c r="M1379" s="1"/>
      <c r="N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N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9" spans="1:23" x14ac:dyDescent="0.25">
      <c r="A1389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27EE-2170-440F-8FE2-CDC11BBE1541}">
  <dimension ref="A1:AD1512"/>
  <sheetViews>
    <sheetView tabSelected="1" zoomScaleNormal="100" workbookViewId="0">
      <selection activeCell="A92" sqref="A92"/>
    </sheetView>
  </sheetViews>
  <sheetFormatPr defaultColWidth="9.28515625" defaultRowHeight="15" x14ac:dyDescent="0.25"/>
  <cols>
    <col min="1" max="1" width="17.28515625" bestFit="1" customWidth="1"/>
    <col min="2" max="2" width="17.28515625" customWidth="1"/>
    <col min="3" max="3" width="16.42578125" customWidth="1"/>
    <col min="4" max="4" width="13.140625" customWidth="1"/>
    <col min="5" max="5" width="26.85546875" customWidth="1"/>
    <col min="6" max="6" width="8" customWidth="1"/>
    <col min="7" max="7" width="28" bestFit="1" customWidth="1"/>
    <col min="8" max="8" width="7.85546875" bestFit="1" customWidth="1"/>
    <col min="9" max="9" width="15.7109375" bestFit="1" customWidth="1"/>
    <col min="10" max="10" width="13.5703125" bestFit="1" customWidth="1"/>
    <col min="11" max="11" width="10.7109375" bestFit="1" customWidth="1"/>
    <col min="12" max="12" width="18" bestFit="1" customWidth="1"/>
    <col min="13" max="13" width="18" customWidth="1"/>
    <col min="14" max="14" width="27.85546875" bestFit="1" customWidth="1"/>
    <col min="15" max="15" width="14.140625" bestFit="1" customWidth="1"/>
    <col min="17" max="17" width="22" bestFit="1" customWidth="1"/>
    <col min="18" max="18" width="23.140625" bestFit="1" customWidth="1"/>
  </cols>
  <sheetData>
    <row r="1" spans="1:30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N1" t="s">
        <v>16</v>
      </c>
      <c r="O1" t="s">
        <v>20</v>
      </c>
    </row>
    <row r="2" spans="1:30" s="2" customFormat="1" x14ac:dyDescent="0.25">
      <c r="A2" s="2" t="s">
        <v>280</v>
      </c>
      <c r="B2" s="2" t="str">
        <f>CONCATENATE(A2,77)</f>
        <v>1EC1HQ1DM9977</v>
      </c>
      <c r="C2" s="2" t="s">
        <v>462</v>
      </c>
      <c r="D2" s="2" t="s">
        <v>463</v>
      </c>
      <c r="E2" s="2" t="str">
        <f>CONCATENATE(D2," ",C2)</f>
        <v>GARY MCDONALD</v>
      </c>
      <c r="F2" s="2" t="s">
        <v>156</v>
      </c>
      <c r="G2" s="2" t="s">
        <v>101</v>
      </c>
      <c r="H2" s="2" t="s">
        <v>29</v>
      </c>
      <c r="I2" s="3">
        <v>46174</v>
      </c>
      <c r="J2" s="3">
        <v>46174</v>
      </c>
      <c r="K2" s="3">
        <v>46387</v>
      </c>
      <c r="L2" s="2">
        <v>16170994</v>
      </c>
      <c r="M2" s="2">
        <v>16170994</v>
      </c>
      <c r="N2" s="2" t="s">
        <v>159</v>
      </c>
      <c r="O2" s="2">
        <v>844</v>
      </c>
      <c r="P2" s="2">
        <v>694</v>
      </c>
      <c r="Q2" s="2" t="s">
        <v>398</v>
      </c>
      <c r="R2" s="2" t="s">
        <v>403</v>
      </c>
    </row>
    <row r="3" spans="1:30" s="4" customFormat="1" x14ac:dyDescent="0.25">
      <c r="A3" s="2" t="s">
        <v>132</v>
      </c>
      <c r="B3" s="2" t="str">
        <f>CONCATENATE(A3,77)</f>
        <v>1MC0TQ6AJ2777</v>
      </c>
      <c r="C3" s="2" t="s">
        <v>441</v>
      </c>
      <c r="D3" s="2" t="s">
        <v>442</v>
      </c>
      <c r="E3" s="2" t="str">
        <f>CONCATENATE(D3," ",C3)</f>
        <v>JOSE CHAO</v>
      </c>
      <c r="F3" s="2" t="s">
        <v>45</v>
      </c>
      <c r="G3" s="2" t="s">
        <v>101</v>
      </c>
      <c r="H3" s="2" t="s">
        <v>29</v>
      </c>
      <c r="I3" s="3">
        <v>46174</v>
      </c>
      <c r="J3" s="3">
        <v>46174</v>
      </c>
      <c r="K3" s="3">
        <v>46387</v>
      </c>
      <c r="L3" s="2">
        <v>9213293</v>
      </c>
      <c r="M3" s="2">
        <v>9213293</v>
      </c>
      <c r="N3" s="2" t="s">
        <v>97</v>
      </c>
      <c r="O3" s="2">
        <v>844</v>
      </c>
      <c r="P3" s="2">
        <v>694</v>
      </c>
      <c r="Q3" s="2" t="s">
        <v>398</v>
      </c>
      <c r="R3" s="2" t="s">
        <v>403</v>
      </c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0" s="2" customFormat="1" x14ac:dyDescent="0.25">
      <c r="A4" s="2" t="s">
        <v>187</v>
      </c>
      <c r="B4" s="2" t="str">
        <f>CONCATENATE(A4,77)</f>
        <v>1U16T09GP6177</v>
      </c>
      <c r="C4" s="2" t="s">
        <v>410</v>
      </c>
      <c r="D4" s="2" t="s">
        <v>412</v>
      </c>
      <c r="E4" s="2" t="str">
        <f>CONCATENATE(D4," ",C4)</f>
        <v>MARIANN FUNKHOUSER</v>
      </c>
      <c r="F4" s="2" t="s">
        <v>45</v>
      </c>
      <c r="G4" s="2" t="s">
        <v>186</v>
      </c>
      <c r="H4" s="2" t="s">
        <v>29</v>
      </c>
      <c r="I4" s="3">
        <v>46174</v>
      </c>
      <c r="J4" s="3">
        <v>46174</v>
      </c>
      <c r="K4" s="3">
        <v>46387</v>
      </c>
      <c r="L4" s="2">
        <v>7470776</v>
      </c>
      <c r="M4" s="2">
        <v>7470776</v>
      </c>
      <c r="N4" s="2" t="s">
        <v>48</v>
      </c>
      <c r="O4" s="2">
        <v>492.33</v>
      </c>
      <c r="P4" s="2">
        <v>404.83</v>
      </c>
      <c r="Q4" s="2" t="s">
        <v>398</v>
      </c>
      <c r="R4" s="2" t="s">
        <v>397</v>
      </c>
    </row>
    <row r="5" spans="1:30" s="2" customFormat="1" x14ac:dyDescent="0.25">
      <c r="A5" s="2" t="s">
        <v>106</v>
      </c>
      <c r="B5" s="2" t="str">
        <f>CONCATENATE(A5,77)</f>
        <v>2A87G63XP6077</v>
      </c>
      <c r="C5" s="2" t="s">
        <v>408</v>
      </c>
      <c r="D5" s="2" t="s">
        <v>409</v>
      </c>
      <c r="E5" s="2" t="str">
        <f>CONCATENATE(D5," ",C5)</f>
        <v>FRANCES BANNISTER</v>
      </c>
      <c r="F5" s="2" t="s">
        <v>109</v>
      </c>
      <c r="G5" s="2" t="s">
        <v>101</v>
      </c>
      <c r="H5" s="2" t="s">
        <v>29</v>
      </c>
      <c r="I5" s="3">
        <v>46174</v>
      </c>
      <c r="J5" s="3">
        <v>46174</v>
      </c>
      <c r="K5" s="3">
        <v>46387</v>
      </c>
      <c r="L5" s="2">
        <v>7470776</v>
      </c>
      <c r="M5" s="2">
        <v>7470776</v>
      </c>
      <c r="N5" s="2" t="s">
        <v>48</v>
      </c>
      <c r="O5" s="2">
        <v>844</v>
      </c>
      <c r="P5" s="2">
        <v>694</v>
      </c>
      <c r="Q5" s="2" t="s">
        <v>398</v>
      </c>
      <c r="R5" s="2" t="s">
        <v>403</v>
      </c>
    </row>
    <row r="6" spans="1:30" s="2" customFormat="1" x14ac:dyDescent="0.25">
      <c r="A6" s="2" t="s">
        <v>357</v>
      </c>
      <c r="B6" s="2" t="str">
        <f>CONCATENATE(A6,77)</f>
        <v>2DM2MN8UR9177</v>
      </c>
      <c r="C6" s="2" t="s">
        <v>449</v>
      </c>
      <c r="D6" s="2" t="s">
        <v>450</v>
      </c>
      <c r="E6" s="2" t="str">
        <f>CONCATENATE(D6," ",C6)</f>
        <v>ANN WATSON</v>
      </c>
      <c r="F6" s="2" t="s">
        <v>45</v>
      </c>
      <c r="G6" s="2" t="s">
        <v>186</v>
      </c>
      <c r="H6" s="2" t="s">
        <v>29</v>
      </c>
      <c r="I6" s="3">
        <v>46143</v>
      </c>
      <c r="J6" s="3">
        <v>46143</v>
      </c>
      <c r="K6" s="3">
        <v>46387</v>
      </c>
      <c r="L6" s="2">
        <v>19586992</v>
      </c>
      <c r="M6" s="2">
        <v>19586992</v>
      </c>
      <c r="N6" s="2" t="s">
        <v>360</v>
      </c>
      <c r="O6" s="2">
        <v>562.66999999999996</v>
      </c>
      <c r="P6" s="2">
        <v>462.67</v>
      </c>
      <c r="Q6" s="2" t="s">
        <v>398</v>
      </c>
      <c r="R6" s="2" t="s">
        <v>401</v>
      </c>
      <c r="S6" s="2">
        <f>694/12*8</f>
        <v>462.66666666666669</v>
      </c>
    </row>
    <row r="7" spans="1:30" s="2" customFormat="1" x14ac:dyDescent="0.25">
      <c r="A7" s="2" t="s">
        <v>311</v>
      </c>
      <c r="B7" s="2" t="str">
        <f>CONCATENATE(A7,77)</f>
        <v>2JJ4H93QA9677</v>
      </c>
      <c r="C7" s="2" t="s">
        <v>474</v>
      </c>
      <c r="D7" s="2" t="s">
        <v>475</v>
      </c>
      <c r="E7" s="2" t="str">
        <f>CONCATENATE(D7," ",C7)</f>
        <v>KEITH RODECK</v>
      </c>
      <c r="F7" s="2" t="s">
        <v>305</v>
      </c>
      <c r="G7" s="2" t="s">
        <v>101</v>
      </c>
      <c r="H7" s="2" t="s">
        <v>29</v>
      </c>
      <c r="I7" s="3">
        <v>46174</v>
      </c>
      <c r="J7" s="3">
        <v>46174</v>
      </c>
      <c r="K7" s="3">
        <v>46387</v>
      </c>
      <c r="L7" s="2">
        <v>8307933</v>
      </c>
      <c r="M7" s="2">
        <v>8307933</v>
      </c>
      <c r="N7" s="2" t="s">
        <v>197</v>
      </c>
      <c r="O7" s="2">
        <v>844</v>
      </c>
      <c r="P7" s="2">
        <v>694</v>
      </c>
      <c r="Q7" s="2" t="s">
        <v>398</v>
      </c>
      <c r="R7" s="2" t="s">
        <v>403</v>
      </c>
    </row>
    <row r="8" spans="1:30" s="2" customFormat="1" x14ac:dyDescent="0.25">
      <c r="A8" s="2" t="s">
        <v>370</v>
      </c>
      <c r="B8" s="2" t="str">
        <f>CONCATENATE(A8,77)</f>
        <v>2K41R39QF3777</v>
      </c>
      <c r="C8" s="2" t="s">
        <v>466</v>
      </c>
      <c r="D8" s="2" t="s">
        <v>467</v>
      </c>
      <c r="E8" s="2" t="str">
        <f>CONCATENATE(D8," ",C8)</f>
        <v>BRENDA ZELINSKI</v>
      </c>
      <c r="F8" s="2" t="s">
        <v>156</v>
      </c>
      <c r="G8" s="2" t="s">
        <v>101</v>
      </c>
      <c r="H8" s="2" t="s">
        <v>29</v>
      </c>
      <c r="I8" s="3">
        <v>46174</v>
      </c>
      <c r="J8" s="3">
        <v>46174</v>
      </c>
      <c r="K8" s="3">
        <v>46387</v>
      </c>
      <c r="L8" s="2">
        <v>16170994</v>
      </c>
      <c r="M8" s="2">
        <v>16170994</v>
      </c>
      <c r="N8" s="2" t="s">
        <v>159</v>
      </c>
      <c r="O8" s="2">
        <v>844</v>
      </c>
      <c r="P8" s="2">
        <v>694</v>
      </c>
      <c r="Q8" s="2" t="s">
        <v>398</v>
      </c>
      <c r="R8" s="2" t="s">
        <v>403</v>
      </c>
    </row>
    <row r="9" spans="1:30" s="4" customFormat="1" x14ac:dyDescent="0.25">
      <c r="A9" s="2" t="s">
        <v>330</v>
      </c>
      <c r="B9" s="2" t="str">
        <f>CONCATENATE(A9,77)</f>
        <v>2PN5RH3QY5077</v>
      </c>
      <c r="C9" s="2" t="s">
        <v>439</v>
      </c>
      <c r="D9" s="2" t="s">
        <v>440</v>
      </c>
      <c r="E9" s="2" t="str">
        <f>CONCATENATE(D9," ",C9)</f>
        <v>JON SMITH</v>
      </c>
      <c r="F9" s="2" t="s">
        <v>109</v>
      </c>
      <c r="G9" s="2" t="s">
        <v>101</v>
      </c>
      <c r="H9" s="2" t="s">
        <v>29</v>
      </c>
      <c r="I9" s="3">
        <v>46174</v>
      </c>
      <c r="J9" s="3">
        <v>46174</v>
      </c>
      <c r="K9" s="3">
        <v>46387</v>
      </c>
      <c r="L9" s="2">
        <v>371819</v>
      </c>
      <c r="M9" s="2">
        <v>371819</v>
      </c>
      <c r="N9" s="2" t="s">
        <v>333</v>
      </c>
      <c r="O9" s="2">
        <v>844</v>
      </c>
      <c r="P9" s="2">
        <v>694</v>
      </c>
      <c r="Q9" s="2" t="s">
        <v>398</v>
      </c>
      <c r="R9" s="2" t="s">
        <v>403</v>
      </c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0" s="4" customFormat="1" x14ac:dyDescent="0.25">
      <c r="A10" s="2" t="s">
        <v>127</v>
      </c>
      <c r="B10" s="2" t="str">
        <f>CONCATENATE(A10,77)</f>
        <v>2YY2DT7AT8277</v>
      </c>
      <c r="C10" s="2" t="s">
        <v>419</v>
      </c>
      <c r="D10" s="2" t="s">
        <v>420</v>
      </c>
      <c r="E10" s="2" t="str">
        <f>CONCATENATE(D10," ",C10)</f>
        <v>JEFF CAGLEY</v>
      </c>
      <c r="F10" s="2" t="s">
        <v>45</v>
      </c>
      <c r="G10" s="2" t="s">
        <v>101</v>
      </c>
      <c r="H10" s="2" t="s">
        <v>29</v>
      </c>
      <c r="I10" s="3">
        <v>46174</v>
      </c>
      <c r="J10" s="3">
        <v>46174</v>
      </c>
      <c r="K10" s="3">
        <v>46387</v>
      </c>
      <c r="L10" s="2">
        <v>8244481</v>
      </c>
      <c r="M10" s="2">
        <v>8244481</v>
      </c>
      <c r="N10" s="2" t="s">
        <v>131</v>
      </c>
      <c r="O10" s="2">
        <v>844</v>
      </c>
      <c r="P10" s="2">
        <v>694</v>
      </c>
      <c r="Q10" s="2" t="s">
        <v>398</v>
      </c>
      <c r="R10" s="2" t="s">
        <v>403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s="4" customFormat="1" x14ac:dyDescent="0.25">
      <c r="A11" s="2" t="s">
        <v>98</v>
      </c>
      <c r="B11" s="2" t="str">
        <f>CONCATENATE(A11,77)</f>
        <v>3JN8T64EX2777</v>
      </c>
      <c r="C11" s="2" t="s">
        <v>435</v>
      </c>
      <c r="D11" s="2" t="s">
        <v>436</v>
      </c>
      <c r="E11" s="2" t="str">
        <f>CONCATENATE(D11," ",C11)</f>
        <v>ELIZABETH ALICEA</v>
      </c>
      <c r="F11" s="2" t="s">
        <v>45</v>
      </c>
      <c r="G11" s="2" t="s">
        <v>101</v>
      </c>
      <c r="H11" s="2" t="s">
        <v>29</v>
      </c>
      <c r="I11" s="3">
        <v>46204</v>
      </c>
      <c r="J11" s="3">
        <v>46204</v>
      </c>
      <c r="K11" s="3">
        <v>46387</v>
      </c>
      <c r="L11" s="2">
        <v>7152559</v>
      </c>
      <c r="M11" s="2">
        <v>7152559</v>
      </c>
      <c r="N11" s="2" t="s">
        <v>103</v>
      </c>
      <c r="O11" s="2">
        <v>844</v>
      </c>
      <c r="P11" s="2">
        <v>694</v>
      </c>
      <c r="Q11" s="2" t="s">
        <v>398</v>
      </c>
      <c r="R11" s="2" t="s">
        <v>403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s="4" customFormat="1" x14ac:dyDescent="0.25">
      <c r="A12" s="2" t="s">
        <v>183</v>
      </c>
      <c r="B12" s="2" t="str">
        <f>CONCATENATE(A12,77)</f>
        <v>3QX2QQ2CD0077</v>
      </c>
      <c r="C12" s="2" t="s">
        <v>410</v>
      </c>
      <c r="D12" s="2" t="s">
        <v>411</v>
      </c>
      <c r="E12" s="2" t="str">
        <f>CONCATENATE(D12," ",C12)</f>
        <v>DAVID FUNKHOUSER</v>
      </c>
      <c r="F12" s="2" t="s">
        <v>45</v>
      </c>
      <c r="G12" s="2" t="s">
        <v>186</v>
      </c>
      <c r="H12" s="2" t="s">
        <v>29</v>
      </c>
      <c r="I12" s="3">
        <v>46174</v>
      </c>
      <c r="J12" s="3">
        <v>46174</v>
      </c>
      <c r="K12" s="3">
        <v>46387</v>
      </c>
      <c r="L12" s="2">
        <v>7470776</v>
      </c>
      <c r="M12" s="2">
        <v>7470776</v>
      </c>
      <c r="N12" s="2" t="s">
        <v>48</v>
      </c>
      <c r="O12" s="2">
        <v>492.33</v>
      </c>
      <c r="P12" s="2">
        <v>404.83</v>
      </c>
      <c r="Q12" s="2" t="s">
        <v>398</v>
      </c>
      <c r="R12" s="2" t="s">
        <v>397</v>
      </c>
      <c r="S12" s="2">
        <f>694/12*7</f>
        <v>404.83333333333337</v>
      </c>
      <c r="T12" s="2"/>
      <c r="U12" s="2"/>
      <c r="V12" s="2"/>
      <c r="W12" s="2"/>
      <c r="X12" s="2"/>
      <c r="Y12" s="2"/>
      <c r="Z12" s="2"/>
      <c r="AA12" s="2"/>
      <c r="AB12" s="2"/>
    </row>
    <row r="13" spans="1:30" s="4" customFormat="1" x14ac:dyDescent="0.25">
      <c r="A13" s="2" t="s">
        <v>207</v>
      </c>
      <c r="B13" s="2" t="str">
        <f>CONCATENATE(A13,77)</f>
        <v>3R09NV7AT4377</v>
      </c>
      <c r="C13" s="2" t="s">
        <v>456</v>
      </c>
      <c r="D13" s="2" t="s">
        <v>457</v>
      </c>
      <c r="E13" s="2" t="str">
        <f>CONCATENATE(D13," ",C13)</f>
        <v>AMY GUILL</v>
      </c>
      <c r="F13" s="2" t="s">
        <v>156</v>
      </c>
      <c r="G13" s="2" t="s">
        <v>101</v>
      </c>
      <c r="H13" s="2" t="s">
        <v>29</v>
      </c>
      <c r="I13" s="3">
        <v>46204</v>
      </c>
      <c r="J13" s="3">
        <v>46204</v>
      </c>
      <c r="K13" s="3">
        <v>46387</v>
      </c>
      <c r="L13" s="2">
        <v>16170994</v>
      </c>
      <c r="M13" s="2">
        <v>16170994</v>
      </c>
      <c r="N13" s="2" t="s">
        <v>159</v>
      </c>
      <c r="O13" s="2">
        <v>844</v>
      </c>
      <c r="P13" s="2">
        <v>694</v>
      </c>
      <c r="Q13" s="2" t="s">
        <v>398</v>
      </c>
      <c r="R13" s="2" t="s">
        <v>403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s="2" customFormat="1" x14ac:dyDescent="0.25">
      <c r="A14" s="2" t="s">
        <v>176</v>
      </c>
      <c r="B14" s="2" t="str">
        <f>CONCATENATE(A14,77)</f>
        <v>3RX3WV9XT7177</v>
      </c>
      <c r="C14" s="2" t="s">
        <v>415</v>
      </c>
      <c r="D14" s="2" t="s">
        <v>416</v>
      </c>
      <c r="E14" s="2" t="str">
        <f>CONCATENATE(D14," ",C14)</f>
        <v>LINDA FOUTCH</v>
      </c>
      <c r="F14" s="2" t="s">
        <v>45</v>
      </c>
      <c r="G14" s="2" t="s">
        <v>101</v>
      </c>
      <c r="H14" s="2" t="s">
        <v>29</v>
      </c>
      <c r="I14" s="3">
        <v>46204</v>
      </c>
      <c r="J14" s="3">
        <v>46204</v>
      </c>
      <c r="K14" s="3">
        <v>46387</v>
      </c>
      <c r="L14" s="2">
        <v>8244481</v>
      </c>
      <c r="M14" s="2">
        <v>8244481</v>
      </c>
      <c r="N14" s="2" t="s">
        <v>131</v>
      </c>
      <c r="O14" s="2">
        <v>844</v>
      </c>
      <c r="P14" s="2">
        <v>694</v>
      </c>
      <c r="Q14" s="2" t="s">
        <v>398</v>
      </c>
      <c r="R14" s="2" t="s">
        <v>403</v>
      </c>
    </row>
    <row r="15" spans="1:30" s="2" customFormat="1" x14ac:dyDescent="0.25">
      <c r="A15" s="2" t="s">
        <v>214</v>
      </c>
      <c r="B15" s="2" t="str">
        <f>CONCATENATE(A15,77)</f>
        <v>4MX2TA6XW8477</v>
      </c>
      <c r="C15" s="2" t="s">
        <v>425</v>
      </c>
      <c r="D15" s="2" t="s">
        <v>426</v>
      </c>
      <c r="E15" s="2" t="str">
        <f>CONCATENATE(D15," ",C15)</f>
        <v>TINA HAGEMEIER</v>
      </c>
      <c r="F15" s="2" t="s">
        <v>45</v>
      </c>
      <c r="G15" s="2" t="s">
        <v>101</v>
      </c>
      <c r="H15" s="2" t="s">
        <v>29</v>
      </c>
      <c r="I15" s="3">
        <v>46204</v>
      </c>
      <c r="J15" s="3">
        <v>46204</v>
      </c>
      <c r="K15" s="3">
        <v>46387</v>
      </c>
      <c r="L15" s="2">
        <v>19268643</v>
      </c>
      <c r="M15" s="2">
        <v>19268643</v>
      </c>
      <c r="N15" s="2" t="s">
        <v>217</v>
      </c>
      <c r="O15" s="2">
        <v>844</v>
      </c>
      <c r="P15" s="2">
        <v>694</v>
      </c>
      <c r="Q15" s="2" t="s">
        <v>398</v>
      </c>
      <c r="R15" s="2" t="s">
        <v>403</v>
      </c>
      <c r="AC15" s="4"/>
      <c r="AD15" s="4"/>
    </row>
    <row r="16" spans="1:30" s="2" customFormat="1" x14ac:dyDescent="0.25">
      <c r="A16" s="2" t="s">
        <v>351</v>
      </c>
      <c r="B16" s="2" t="str">
        <f>CONCATENATE(A16,77)</f>
        <v>5D35QV3DW9977</v>
      </c>
      <c r="C16" s="2" t="s">
        <v>460</v>
      </c>
      <c r="D16" s="2" t="s">
        <v>461</v>
      </c>
      <c r="E16" s="2" t="str">
        <f>CONCATENATE(D16," ",C16)</f>
        <v>FRANK WAGNER</v>
      </c>
      <c r="F16" s="2" t="s">
        <v>156</v>
      </c>
      <c r="G16" s="2" t="s">
        <v>101</v>
      </c>
      <c r="H16" s="2" t="s">
        <v>29</v>
      </c>
      <c r="I16" s="3">
        <v>46204</v>
      </c>
      <c r="J16" s="3">
        <v>46204</v>
      </c>
      <c r="K16" s="3">
        <v>46387</v>
      </c>
      <c r="L16" s="2">
        <v>16170994</v>
      </c>
      <c r="M16" s="2">
        <v>16170994</v>
      </c>
      <c r="N16" s="2" t="s">
        <v>159</v>
      </c>
      <c r="O16" s="2">
        <v>844</v>
      </c>
      <c r="P16" s="2">
        <v>694</v>
      </c>
      <c r="Q16" s="2" t="s">
        <v>398</v>
      </c>
      <c r="R16" s="2" t="s">
        <v>403</v>
      </c>
    </row>
    <row r="17" spans="1:30" s="2" customFormat="1" x14ac:dyDescent="0.25">
      <c r="A17" s="2" t="s">
        <v>242</v>
      </c>
      <c r="B17" s="2" t="str">
        <f>CONCATENATE(A17,77)</f>
        <v>5GC4RR4EF6477</v>
      </c>
      <c r="C17" s="2" t="s">
        <v>480</v>
      </c>
      <c r="D17" s="2" t="s">
        <v>481</v>
      </c>
      <c r="E17" s="2" t="str">
        <f>CONCATENATE(D17," ",C17)</f>
        <v>NASTE ISIROV</v>
      </c>
      <c r="F17" s="2" t="s">
        <v>45</v>
      </c>
      <c r="G17" s="2" t="s">
        <v>101</v>
      </c>
      <c r="H17" s="2" t="s">
        <v>29</v>
      </c>
      <c r="I17" s="3">
        <v>46235</v>
      </c>
      <c r="J17" s="3">
        <v>46235</v>
      </c>
      <c r="K17" s="3">
        <v>46387</v>
      </c>
      <c r="L17" s="2">
        <v>16633294</v>
      </c>
      <c r="M17" s="2">
        <v>16633294</v>
      </c>
      <c r="N17" s="2" t="s">
        <v>56</v>
      </c>
      <c r="O17" s="2">
        <v>844</v>
      </c>
      <c r="P17" s="2">
        <v>694</v>
      </c>
      <c r="Q17" s="2" t="s">
        <v>398</v>
      </c>
      <c r="R17" s="2" t="s">
        <v>403</v>
      </c>
    </row>
    <row r="18" spans="1:30" s="4" customFormat="1" x14ac:dyDescent="0.25">
      <c r="A18" s="2" t="s">
        <v>249</v>
      </c>
      <c r="B18" s="2" t="str">
        <f>CONCATENATE(A18,77)</f>
        <v>5MX2G05JV9377</v>
      </c>
      <c r="C18" s="2" t="s">
        <v>458</v>
      </c>
      <c r="D18" s="2" t="s">
        <v>459</v>
      </c>
      <c r="E18" s="2" t="str">
        <f>CONCATENATE(D18," ",C18)</f>
        <v>JANIS JOHNSON</v>
      </c>
      <c r="F18" s="2" t="s">
        <v>156</v>
      </c>
      <c r="G18" s="2" t="s">
        <v>101</v>
      </c>
      <c r="H18" s="2" t="s">
        <v>29</v>
      </c>
      <c r="I18" s="3">
        <v>46204</v>
      </c>
      <c r="J18" s="3">
        <v>46204</v>
      </c>
      <c r="K18" s="3">
        <v>46387</v>
      </c>
      <c r="L18" s="2">
        <v>16170994</v>
      </c>
      <c r="M18" s="2">
        <v>16170994</v>
      </c>
      <c r="N18" s="2" t="s">
        <v>159</v>
      </c>
      <c r="O18" s="2">
        <v>844</v>
      </c>
      <c r="P18" s="2">
        <v>694</v>
      </c>
      <c r="Q18" s="2" t="s">
        <v>398</v>
      </c>
      <c r="R18" s="2" t="s">
        <v>403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s="4" customFormat="1" x14ac:dyDescent="0.25">
      <c r="A19" s="2" t="s">
        <v>326</v>
      </c>
      <c r="B19" s="2" t="str">
        <f>CONCATENATE(A19,77)</f>
        <v>5NH5XE9FW7277</v>
      </c>
      <c r="C19" s="2" t="s">
        <v>437</v>
      </c>
      <c r="D19" s="2" t="s">
        <v>438</v>
      </c>
      <c r="E19" s="2" t="str">
        <f>CONCATENATE(D19," ",C19)</f>
        <v>TIMOTHY SHEPARD</v>
      </c>
      <c r="F19" s="2" t="s">
        <v>45</v>
      </c>
      <c r="G19" s="2" t="s">
        <v>101</v>
      </c>
      <c r="H19" s="2" t="s">
        <v>29</v>
      </c>
      <c r="I19" s="3">
        <v>46174</v>
      </c>
      <c r="J19" s="3">
        <v>46174</v>
      </c>
      <c r="K19" s="3">
        <v>46387</v>
      </c>
      <c r="L19" s="2">
        <v>7146581</v>
      </c>
      <c r="M19" s="2">
        <v>7146581</v>
      </c>
      <c r="N19" s="2" t="s">
        <v>329</v>
      </c>
      <c r="O19" s="2">
        <v>844</v>
      </c>
      <c r="P19" s="2">
        <v>694</v>
      </c>
      <c r="Q19" s="2" t="s">
        <v>398</v>
      </c>
      <c r="R19" s="2" t="s">
        <v>403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s="4" customFormat="1" x14ac:dyDescent="0.25">
      <c r="A20" s="2" t="s">
        <v>298</v>
      </c>
      <c r="B20" s="2" t="str">
        <f>CONCATENATE(A20,77)</f>
        <v>5PE1P46NK2977</v>
      </c>
      <c r="C20" s="2" t="s">
        <v>431</v>
      </c>
      <c r="D20" s="2" t="s">
        <v>432</v>
      </c>
      <c r="E20" s="2" t="str">
        <f>CONCATENATE(D20," ",C20)</f>
        <v>STEVEN PENNINGTON</v>
      </c>
      <c r="F20" s="2" t="s">
        <v>156</v>
      </c>
      <c r="G20" s="2" t="s">
        <v>101</v>
      </c>
      <c r="H20" s="2" t="s">
        <v>29</v>
      </c>
      <c r="I20" s="3">
        <v>46174</v>
      </c>
      <c r="J20" s="3">
        <v>46174</v>
      </c>
      <c r="K20" s="3">
        <v>46387</v>
      </c>
      <c r="L20" s="2">
        <v>17094718</v>
      </c>
      <c r="M20" s="2">
        <v>17094718</v>
      </c>
      <c r="N20" s="2" t="s">
        <v>203</v>
      </c>
      <c r="O20" s="2">
        <v>844</v>
      </c>
      <c r="P20" s="2">
        <v>694</v>
      </c>
      <c r="Q20" s="2" t="s">
        <v>398</v>
      </c>
      <c r="R20" s="2" t="s">
        <v>403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s="4" customFormat="1" x14ac:dyDescent="0.25">
      <c r="A21" s="2" t="s">
        <v>198</v>
      </c>
      <c r="B21" s="2" t="str">
        <f>CONCATENATE(A21,77)</f>
        <v>5QG5J34VR7777</v>
      </c>
      <c r="C21" s="2" t="s">
        <v>429</v>
      </c>
      <c r="D21" s="2" t="s">
        <v>430</v>
      </c>
      <c r="E21" s="2" t="str">
        <f>CONCATENATE(D21," ",C21)</f>
        <v>MARQUERITA GOMEZ</v>
      </c>
      <c r="F21" s="2" t="s">
        <v>201</v>
      </c>
      <c r="G21" s="2" t="s">
        <v>101</v>
      </c>
      <c r="H21" s="2" t="s">
        <v>29</v>
      </c>
      <c r="I21" s="3">
        <v>46174</v>
      </c>
      <c r="J21" s="3">
        <v>46174</v>
      </c>
      <c r="K21" s="3">
        <v>46387</v>
      </c>
      <c r="L21" s="2">
        <v>17094718</v>
      </c>
      <c r="M21" s="2">
        <v>17094718</v>
      </c>
      <c r="N21" s="2" t="s">
        <v>203</v>
      </c>
      <c r="O21" s="2">
        <v>844</v>
      </c>
      <c r="P21" s="2">
        <v>694</v>
      </c>
      <c r="Q21" s="2" t="s">
        <v>398</v>
      </c>
      <c r="R21" s="2" t="s">
        <v>403</v>
      </c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30" s="2" customFormat="1" x14ac:dyDescent="0.25">
      <c r="A22" s="2" t="s">
        <v>255</v>
      </c>
      <c r="B22" s="2" t="str">
        <f>CONCATENATE(A22,77)</f>
        <v>5T21RF7DG2677</v>
      </c>
      <c r="C22" s="2" t="s">
        <v>427</v>
      </c>
      <c r="D22" s="2" t="s">
        <v>428</v>
      </c>
      <c r="E22" s="2" t="str">
        <f>CONCATENATE(D22," ",C22)</f>
        <v>CONNIE JUNG</v>
      </c>
      <c r="F22" s="2" t="s">
        <v>201</v>
      </c>
      <c r="G22" s="2" t="s">
        <v>101</v>
      </c>
      <c r="H22" s="2" t="s">
        <v>29</v>
      </c>
      <c r="I22" s="3">
        <v>46174</v>
      </c>
      <c r="J22" s="3">
        <v>46174</v>
      </c>
      <c r="K22" s="3">
        <v>46387</v>
      </c>
      <c r="L22" s="2">
        <v>16849453</v>
      </c>
      <c r="M22" s="2">
        <v>16849453</v>
      </c>
      <c r="N22" s="2" t="s">
        <v>259</v>
      </c>
      <c r="O22" s="2">
        <v>844</v>
      </c>
      <c r="P22" s="2">
        <v>694</v>
      </c>
      <c r="Q22" s="2" t="s">
        <v>398</v>
      </c>
      <c r="R22" s="2" t="s">
        <v>403</v>
      </c>
      <c r="AC22" s="4"/>
      <c r="AD22" s="4"/>
    </row>
    <row r="23" spans="1:30" s="2" customFormat="1" x14ac:dyDescent="0.25">
      <c r="A23" s="2" t="s">
        <v>315</v>
      </c>
      <c r="B23" s="2" t="str">
        <f>CONCATENATE(A23,77)</f>
        <v>6D74Q61UV6277</v>
      </c>
      <c r="C23" s="2" t="s">
        <v>472</v>
      </c>
      <c r="D23" s="2" t="s">
        <v>473</v>
      </c>
      <c r="E23" s="2" t="str">
        <f>CONCATENATE(D23," ",C23)</f>
        <v>KEN RYDER</v>
      </c>
      <c r="F23" s="2" t="s">
        <v>305</v>
      </c>
      <c r="G23" s="2" t="s">
        <v>101</v>
      </c>
      <c r="H23" s="2" t="s">
        <v>29</v>
      </c>
      <c r="I23" s="3">
        <v>46204</v>
      </c>
      <c r="J23" s="3">
        <v>46204</v>
      </c>
      <c r="K23" s="3">
        <v>46387</v>
      </c>
      <c r="L23" s="2">
        <v>8307933</v>
      </c>
      <c r="M23" s="2">
        <v>8307933</v>
      </c>
      <c r="N23" s="2" t="s">
        <v>197</v>
      </c>
      <c r="O23" s="2">
        <v>844</v>
      </c>
      <c r="P23" s="2">
        <v>694</v>
      </c>
      <c r="Q23" s="2" t="s">
        <v>398</v>
      </c>
      <c r="R23" s="2" t="s">
        <v>403</v>
      </c>
    </row>
    <row r="24" spans="1:30" s="4" customFormat="1" x14ac:dyDescent="0.25">
      <c r="A24" s="2" t="s">
        <v>193</v>
      </c>
      <c r="B24" s="2" t="str">
        <f>CONCATENATE(A24,77)</f>
        <v>6DN6VJ5KJ8577</v>
      </c>
      <c r="C24" s="2" t="s">
        <v>470</v>
      </c>
      <c r="D24" s="2" t="s">
        <v>471</v>
      </c>
      <c r="E24" s="2" t="str">
        <f>CONCATENATE(D24," ",C24)</f>
        <v>ROBERT GOLDEN</v>
      </c>
      <c r="F24" s="2" t="s">
        <v>109</v>
      </c>
      <c r="G24" s="2" t="s">
        <v>101</v>
      </c>
      <c r="H24" s="2" t="s">
        <v>29</v>
      </c>
      <c r="I24" s="3">
        <v>46235</v>
      </c>
      <c r="J24" s="3">
        <v>46235</v>
      </c>
      <c r="K24" s="3">
        <v>46387</v>
      </c>
      <c r="L24" s="2">
        <v>8307933</v>
      </c>
      <c r="M24" s="2">
        <v>8307933</v>
      </c>
      <c r="N24" s="2" t="s">
        <v>197</v>
      </c>
      <c r="O24" s="2">
        <v>844</v>
      </c>
      <c r="P24" s="2">
        <v>694</v>
      </c>
      <c r="Q24" s="2" t="s">
        <v>398</v>
      </c>
      <c r="R24" s="2" t="s">
        <v>403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s="4" customFormat="1" x14ac:dyDescent="0.25">
      <c r="A25" s="2" t="s">
        <v>354</v>
      </c>
      <c r="B25" s="2" t="str">
        <f>CONCATENATE(A25,77)</f>
        <v>6N71UV1EV0277</v>
      </c>
      <c r="C25" s="2" t="s">
        <v>454</v>
      </c>
      <c r="D25" s="2" t="s">
        <v>455</v>
      </c>
      <c r="E25" s="2" t="str">
        <f>CONCATENATE(D25," ",C25)</f>
        <v>JANET WARNOCK</v>
      </c>
      <c r="F25" s="2" t="s">
        <v>156</v>
      </c>
      <c r="G25" s="2" t="s">
        <v>101</v>
      </c>
      <c r="H25" s="2" t="s">
        <v>29</v>
      </c>
      <c r="I25" s="3">
        <v>46235</v>
      </c>
      <c r="J25" s="3">
        <v>46235</v>
      </c>
      <c r="K25" s="3">
        <v>46387</v>
      </c>
      <c r="L25" s="2">
        <v>16170994</v>
      </c>
      <c r="M25" s="2">
        <v>16170994</v>
      </c>
      <c r="N25" s="2" t="s">
        <v>159</v>
      </c>
      <c r="O25" s="2">
        <v>844</v>
      </c>
      <c r="P25" s="2">
        <v>694</v>
      </c>
      <c r="Q25" s="2" t="s">
        <v>398</v>
      </c>
      <c r="R25" s="2" t="s">
        <v>403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s="2" customFormat="1" x14ac:dyDescent="0.25">
      <c r="A26" s="2" t="s">
        <v>179</v>
      </c>
      <c r="B26" s="2" t="str">
        <f>CONCATENATE(A26,77)</f>
        <v>6PE4XQ2TE0477</v>
      </c>
      <c r="C26" s="2" t="s">
        <v>451</v>
      </c>
      <c r="D26" s="2" t="s">
        <v>434</v>
      </c>
      <c r="E26" s="2" t="str">
        <f>CONCATENATE(D26," ",C26)</f>
        <v>MARIA FRIAS</v>
      </c>
      <c r="F26" s="2" t="s">
        <v>45</v>
      </c>
      <c r="G26" s="2" t="s">
        <v>101</v>
      </c>
      <c r="H26" s="2" t="s">
        <v>29</v>
      </c>
      <c r="I26" s="3">
        <v>46204</v>
      </c>
      <c r="J26" s="3">
        <v>46204</v>
      </c>
      <c r="K26" s="3">
        <v>46387</v>
      </c>
      <c r="L26" s="2">
        <v>7565575</v>
      </c>
      <c r="M26" s="2">
        <v>7565575</v>
      </c>
      <c r="N26" s="2" t="s">
        <v>182</v>
      </c>
      <c r="O26" s="2">
        <v>844</v>
      </c>
      <c r="P26" s="2">
        <v>694</v>
      </c>
      <c r="Q26" s="2" t="s">
        <v>398</v>
      </c>
      <c r="R26" s="2" t="s">
        <v>403</v>
      </c>
      <c r="AC26" s="4"/>
      <c r="AD26" s="4"/>
    </row>
    <row r="27" spans="1:30" s="2" customFormat="1" x14ac:dyDescent="0.25">
      <c r="A27" s="2" t="s">
        <v>169</v>
      </c>
      <c r="B27" s="2" t="str">
        <f>CONCATENATE(A27,77)</f>
        <v>6QE3WM4XW7977</v>
      </c>
      <c r="C27" s="2" t="s">
        <v>478</v>
      </c>
      <c r="D27" s="2" t="s">
        <v>479</v>
      </c>
      <c r="E27" s="2" t="str">
        <f>CONCATENATE(D27," ",C27)</f>
        <v>HAROLD FOSTER</v>
      </c>
      <c r="F27" s="2" t="s">
        <v>172</v>
      </c>
      <c r="G27" s="2" t="s">
        <v>101</v>
      </c>
      <c r="H27" s="2" t="s">
        <v>29</v>
      </c>
      <c r="I27" s="3">
        <v>46143</v>
      </c>
      <c r="J27" s="3">
        <v>46143</v>
      </c>
      <c r="K27" s="3">
        <v>46387</v>
      </c>
      <c r="L27" s="2">
        <v>20003537</v>
      </c>
      <c r="M27" s="2">
        <v>20003537</v>
      </c>
      <c r="N27" s="2" t="s">
        <v>175</v>
      </c>
      <c r="O27" s="2">
        <v>844</v>
      </c>
      <c r="P27" s="2">
        <v>694</v>
      </c>
      <c r="Q27" s="2" t="s">
        <v>398</v>
      </c>
      <c r="R27" s="2" t="s">
        <v>403</v>
      </c>
    </row>
    <row r="28" spans="1:30" s="2" customFormat="1" x14ac:dyDescent="0.25">
      <c r="A28" s="2" t="s">
        <v>260</v>
      </c>
      <c r="B28" s="2" t="str">
        <f>CONCATENATE(A28,77)</f>
        <v>6T15XQ1WX8077</v>
      </c>
      <c r="C28" s="2" t="s">
        <v>443</v>
      </c>
      <c r="D28" s="2" t="s">
        <v>444</v>
      </c>
      <c r="E28" s="2" t="str">
        <f>CONCATENATE(D28," ",C28)</f>
        <v>IVAN KERN</v>
      </c>
      <c r="F28" s="2" t="s">
        <v>263</v>
      </c>
      <c r="G28" s="2" t="s">
        <v>101</v>
      </c>
      <c r="H28" s="2" t="s">
        <v>29</v>
      </c>
      <c r="I28" s="3">
        <v>46174</v>
      </c>
      <c r="J28" s="3">
        <v>46174</v>
      </c>
      <c r="K28" s="3">
        <v>46387</v>
      </c>
      <c r="L28" s="2">
        <v>9213293</v>
      </c>
      <c r="M28" s="2">
        <v>9213293</v>
      </c>
      <c r="N28" s="2" t="s">
        <v>97</v>
      </c>
      <c r="O28" s="2">
        <v>844</v>
      </c>
      <c r="P28" s="2">
        <v>694</v>
      </c>
      <c r="Q28" s="2" t="s">
        <v>398</v>
      </c>
      <c r="R28" s="2" t="s">
        <v>403</v>
      </c>
      <c r="AC28" s="4"/>
      <c r="AD28" s="4"/>
    </row>
    <row r="29" spans="1:30" s="2" customFormat="1" x14ac:dyDescent="0.25">
      <c r="A29" s="2" t="s">
        <v>345</v>
      </c>
      <c r="B29" s="2" t="str">
        <f>CONCATENATE(A29,77)</f>
        <v>6UY7AC6WU7377</v>
      </c>
      <c r="C29" s="2" t="s">
        <v>417</v>
      </c>
      <c r="D29" s="2" t="s">
        <v>418</v>
      </c>
      <c r="E29" s="2" t="str">
        <f>CONCATENATE(D29," ",C29)</f>
        <v>M TORPATS</v>
      </c>
      <c r="F29" s="2" t="s">
        <v>45</v>
      </c>
      <c r="G29" s="2" t="s">
        <v>101</v>
      </c>
      <c r="H29" s="2" t="s">
        <v>29</v>
      </c>
      <c r="I29" s="3">
        <v>46204</v>
      </c>
      <c r="J29" s="3">
        <v>46204</v>
      </c>
      <c r="K29" s="3">
        <v>46387</v>
      </c>
      <c r="L29" s="2">
        <v>8244481</v>
      </c>
      <c r="M29" s="2">
        <v>8244481</v>
      </c>
      <c r="N29" s="2" t="s">
        <v>131</v>
      </c>
      <c r="O29" s="2">
        <v>844</v>
      </c>
      <c r="P29" s="2">
        <v>694</v>
      </c>
      <c r="Q29" s="2" t="s">
        <v>398</v>
      </c>
      <c r="R29" s="2" t="s">
        <v>403</v>
      </c>
    </row>
    <row r="30" spans="1:30" s="2" customFormat="1" x14ac:dyDescent="0.25">
      <c r="A30" s="2" t="s">
        <v>153</v>
      </c>
      <c r="B30" s="2" t="str">
        <f>CONCATENATE(A30,77)</f>
        <v>7C07VF9JM2077</v>
      </c>
      <c r="C30" s="2" t="s">
        <v>452</v>
      </c>
      <c r="D30" s="2" t="s">
        <v>453</v>
      </c>
      <c r="E30" s="2" t="str">
        <f>CONCATENATE(D30," ",C30)</f>
        <v>JAMES DECKER</v>
      </c>
      <c r="F30" s="2" t="s">
        <v>156</v>
      </c>
      <c r="G30" s="2" t="s">
        <v>101</v>
      </c>
      <c r="H30" s="2" t="s">
        <v>29</v>
      </c>
      <c r="I30" s="3">
        <v>46235</v>
      </c>
      <c r="J30" s="3">
        <v>46235</v>
      </c>
      <c r="K30" s="3">
        <v>46387</v>
      </c>
      <c r="L30" s="2">
        <v>16170994</v>
      </c>
      <c r="M30" s="2">
        <v>16170994</v>
      </c>
      <c r="N30" s="2" t="s">
        <v>159</v>
      </c>
      <c r="O30" s="2">
        <v>844</v>
      </c>
      <c r="P30" s="2">
        <v>694</v>
      </c>
      <c r="Q30" s="2" t="s">
        <v>398</v>
      </c>
      <c r="R30" s="2" t="s">
        <v>403</v>
      </c>
      <c r="AC30" s="4"/>
      <c r="AD30" s="4"/>
    </row>
    <row r="31" spans="1:30" s="2" customFormat="1" x14ac:dyDescent="0.25">
      <c r="A31" s="2" t="s">
        <v>160</v>
      </c>
      <c r="B31" s="2" t="str">
        <f>CONCATENATE(A31,77)</f>
        <v>7FE7G53TR7477</v>
      </c>
      <c r="C31" s="2" t="s">
        <v>423</v>
      </c>
      <c r="D31" s="2" t="s">
        <v>424</v>
      </c>
      <c r="E31" s="2" t="str">
        <f>CONCATENATE(D31," ",C31)</f>
        <v>CORBY ESAREY</v>
      </c>
      <c r="F31" s="2" t="s">
        <v>163</v>
      </c>
      <c r="G31" s="2" t="s">
        <v>101</v>
      </c>
      <c r="H31" s="2" t="s">
        <v>29</v>
      </c>
      <c r="I31" s="3">
        <v>46204</v>
      </c>
      <c r="J31" s="3">
        <v>46204</v>
      </c>
      <c r="K31" s="3">
        <v>46387</v>
      </c>
      <c r="L31" s="2">
        <v>18828278</v>
      </c>
      <c r="M31" s="2">
        <v>18828278</v>
      </c>
      <c r="N31" s="2" t="s">
        <v>165</v>
      </c>
      <c r="O31" s="2">
        <v>844</v>
      </c>
      <c r="P31" s="2">
        <v>694</v>
      </c>
      <c r="Q31" s="2" t="s">
        <v>398</v>
      </c>
      <c r="R31" s="2" t="s">
        <v>403</v>
      </c>
      <c r="AC31" s="4"/>
      <c r="AD31" s="4"/>
    </row>
    <row r="32" spans="1:30" s="2" customFormat="1" x14ac:dyDescent="0.25">
      <c r="A32" s="2" t="s">
        <v>373</v>
      </c>
      <c r="B32" s="2" t="str">
        <f>CONCATENATE(A32,77)</f>
        <v>7FF8MQ2WT5677</v>
      </c>
      <c r="C32" s="2" t="s">
        <v>466</v>
      </c>
      <c r="D32" s="2" t="s">
        <v>468</v>
      </c>
      <c r="E32" s="2" t="str">
        <f>CONCATENATE(D32," ",C32)</f>
        <v>MATTHEW ZELINSKI</v>
      </c>
      <c r="F32" s="2" t="s">
        <v>156</v>
      </c>
      <c r="G32" s="2" t="s">
        <v>101</v>
      </c>
      <c r="H32" s="2" t="s">
        <v>29</v>
      </c>
      <c r="I32" s="3">
        <v>46174</v>
      </c>
      <c r="J32" s="3">
        <v>46174</v>
      </c>
      <c r="K32" s="3">
        <v>46387</v>
      </c>
      <c r="L32" s="2">
        <v>16170994</v>
      </c>
      <c r="M32" s="2">
        <v>16170994</v>
      </c>
      <c r="N32" s="2" t="s">
        <v>159</v>
      </c>
      <c r="O32" s="2">
        <v>844</v>
      </c>
      <c r="P32" s="2">
        <v>694</v>
      </c>
      <c r="Q32" s="2" t="s">
        <v>398</v>
      </c>
      <c r="R32" s="2" t="s">
        <v>403</v>
      </c>
    </row>
    <row r="33" spans="1:30" s="2" customFormat="1" x14ac:dyDescent="0.25">
      <c r="A33" s="2" t="s">
        <v>117</v>
      </c>
      <c r="B33" s="2" t="str">
        <f>CONCATENATE(A33,77)</f>
        <v>7RV7JJ4EA4577</v>
      </c>
      <c r="C33" s="2" t="s">
        <v>469</v>
      </c>
      <c r="D33" s="2" t="s">
        <v>465</v>
      </c>
      <c r="E33" s="2" t="str">
        <f>CONCATENATE(D33," ",C33)</f>
        <v>MARY BARRINGER</v>
      </c>
      <c r="F33" s="2" t="s">
        <v>45</v>
      </c>
      <c r="G33" s="2" t="s">
        <v>101</v>
      </c>
      <c r="H33" s="2" t="s">
        <v>29</v>
      </c>
      <c r="I33" s="3">
        <v>46174</v>
      </c>
      <c r="J33" s="3">
        <v>46174</v>
      </c>
      <c r="K33" s="3">
        <v>46387</v>
      </c>
      <c r="L33" s="2">
        <v>8812322</v>
      </c>
      <c r="M33" s="2">
        <v>8812322</v>
      </c>
      <c r="N33" s="2" t="s">
        <v>120</v>
      </c>
      <c r="O33" s="2">
        <v>844</v>
      </c>
      <c r="P33" s="2">
        <v>694</v>
      </c>
      <c r="Q33" s="2" t="s">
        <v>398</v>
      </c>
      <c r="R33" s="2" t="s">
        <v>403</v>
      </c>
    </row>
    <row r="34" spans="1:30" s="2" customFormat="1" x14ac:dyDescent="0.25">
      <c r="A34" s="2" t="s">
        <v>124</v>
      </c>
      <c r="B34" s="2" t="str">
        <f>CONCATENATE(A34,77)</f>
        <v>7XW8DP1TK3477</v>
      </c>
      <c r="C34" s="2" t="s">
        <v>484</v>
      </c>
      <c r="D34" s="2" t="s">
        <v>485</v>
      </c>
      <c r="E34" s="2" t="str">
        <f>CONCATENATE(D34," ",C34)</f>
        <v>RICHARD BEHLES</v>
      </c>
      <c r="F34" s="2" t="s">
        <v>45</v>
      </c>
      <c r="G34" s="2" t="s">
        <v>101</v>
      </c>
      <c r="H34" s="2" t="s">
        <v>29</v>
      </c>
      <c r="I34" s="3">
        <v>46143</v>
      </c>
      <c r="J34" s="3">
        <v>46143</v>
      </c>
      <c r="K34" s="3">
        <v>46387</v>
      </c>
      <c r="L34" s="2">
        <v>16633294</v>
      </c>
      <c r="M34" s="2">
        <v>16633294</v>
      </c>
      <c r="N34" s="2" t="s">
        <v>56</v>
      </c>
      <c r="O34" s="2">
        <v>844</v>
      </c>
      <c r="P34" s="2">
        <v>694</v>
      </c>
      <c r="Q34" s="2" t="s">
        <v>398</v>
      </c>
      <c r="R34" s="2" t="s">
        <v>403</v>
      </c>
    </row>
    <row r="35" spans="1:30" s="2" customFormat="1" x14ac:dyDescent="0.25">
      <c r="A35" s="2" t="s">
        <v>348</v>
      </c>
      <c r="B35" s="2" t="str">
        <f>CONCATENATE(A35,77)</f>
        <v>7Y11A09WM1977</v>
      </c>
      <c r="C35" s="2" t="s">
        <v>464</v>
      </c>
      <c r="D35" s="2" t="s">
        <v>465</v>
      </c>
      <c r="E35" s="2" t="str">
        <f>CONCATENATE(D35," ",C35)</f>
        <v>MARY TRAYERS</v>
      </c>
      <c r="F35" s="2" t="s">
        <v>156</v>
      </c>
      <c r="G35" s="2" t="s">
        <v>101</v>
      </c>
      <c r="H35" s="2" t="s">
        <v>29</v>
      </c>
      <c r="I35" s="3">
        <v>46174</v>
      </c>
      <c r="J35" s="3">
        <v>46174</v>
      </c>
      <c r="K35" s="3">
        <v>46387</v>
      </c>
      <c r="L35" s="2">
        <v>16170994</v>
      </c>
      <c r="M35" s="2">
        <v>16170994</v>
      </c>
      <c r="N35" s="2" t="s">
        <v>159</v>
      </c>
      <c r="O35" s="2">
        <v>844</v>
      </c>
      <c r="P35" s="2">
        <v>694</v>
      </c>
      <c r="Q35" s="2" t="s">
        <v>398</v>
      </c>
      <c r="R35" s="2" t="s">
        <v>403</v>
      </c>
    </row>
    <row r="36" spans="1:30" s="2" customFormat="1" x14ac:dyDescent="0.25">
      <c r="A36" s="2" t="s">
        <v>284</v>
      </c>
      <c r="B36" s="2" t="str">
        <f>CONCATENATE(A36,77)</f>
        <v>7Y88GX1YF6177</v>
      </c>
      <c r="C36" s="2" t="s">
        <v>433</v>
      </c>
      <c r="D36" s="2" t="s">
        <v>434</v>
      </c>
      <c r="E36" s="2" t="str">
        <f>CONCATENATE(D36," ",C36)</f>
        <v>MARIA MONARREZ</v>
      </c>
      <c r="F36" s="2" t="s">
        <v>45</v>
      </c>
      <c r="G36" s="2" t="s">
        <v>101</v>
      </c>
      <c r="H36" s="2" t="s">
        <v>29</v>
      </c>
      <c r="I36" s="3">
        <v>46204</v>
      </c>
      <c r="J36" s="3">
        <v>46204</v>
      </c>
      <c r="K36" s="3">
        <v>46387</v>
      </c>
      <c r="L36" s="2">
        <v>17301495</v>
      </c>
      <c r="M36" s="2">
        <v>17301495</v>
      </c>
      <c r="N36" s="2" t="s">
        <v>142</v>
      </c>
      <c r="O36" s="2">
        <v>844</v>
      </c>
      <c r="P36" s="2">
        <v>694</v>
      </c>
      <c r="Q36" s="2" t="s">
        <v>398</v>
      </c>
      <c r="R36" s="2" t="s">
        <v>403</v>
      </c>
    </row>
    <row r="37" spans="1:30" s="2" customFormat="1" x14ac:dyDescent="0.25">
      <c r="A37" s="2" t="s">
        <v>287</v>
      </c>
      <c r="B37" s="2" t="str">
        <f>CONCATENATE(A37,77)</f>
        <v>8EC0AU8EC2177</v>
      </c>
      <c r="C37" s="2" t="s">
        <v>413</v>
      </c>
      <c r="D37" s="2" t="s">
        <v>414</v>
      </c>
      <c r="E37" s="2" t="str">
        <f>CONCATENATE(D37," ",C37)</f>
        <v>KRAIG MORRIS</v>
      </c>
      <c r="F37" s="2" t="s">
        <v>45</v>
      </c>
      <c r="G37" s="2" t="s">
        <v>101</v>
      </c>
      <c r="H37" s="2" t="s">
        <v>29</v>
      </c>
      <c r="I37" s="3">
        <v>46235</v>
      </c>
      <c r="J37" s="3">
        <v>46235</v>
      </c>
      <c r="K37" s="3">
        <v>46387</v>
      </c>
      <c r="L37" s="2">
        <v>8244481</v>
      </c>
      <c r="M37" s="2">
        <v>8244481</v>
      </c>
      <c r="N37" s="2" t="s">
        <v>131</v>
      </c>
      <c r="O37" s="2">
        <v>844</v>
      </c>
      <c r="P37" s="2">
        <v>694</v>
      </c>
      <c r="Q37" s="2" t="s">
        <v>398</v>
      </c>
      <c r="R37" s="2" t="s">
        <v>403</v>
      </c>
    </row>
    <row r="38" spans="1:30" s="2" customFormat="1" x14ac:dyDescent="0.25">
      <c r="A38" s="2" t="s">
        <v>221</v>
      </c>
      <c r="B38" s="2" t="str">
        <f>CONCATENATE(A38,77)</f>
        <v>8KJ5C77KK6477</v>
      </c>
      <c r="C38" s="2" t="s">
        <v>447</v>
      </c>
      <c r="D38" s="2" t="s">
        <v>448</v>
      </c>
      <c r="E38" s="2" t="str">
        <f>CONCATENATE(D38," ",C38)</f>
        <v>DANIEL HARRIS</v>
      </c>
      <c r="F38" s="2" t="s">
        <v>224</v>
      </c>
      <c r="G38" s="2" t="s">
        <v>101</v>
      </c>
      <c r="H38" s="2" t="s">
        <v>29</v>
      </c>
      <c r="I38" s="3">
        <v>46143</v>
      </c>
      <c r="J38" s="3">
        <v>46143</v>
      </c>
      <c r="K38" s="3">
        <v>46387</v>
      </c>
      <c r="L38" s="2">
        <v>19645587</v>
      </c>
      <c r="M38" s="2">
        <v>19645587</v>
      </c>
      <c r="N38" s="2" t="s">
        <v>227</v>
      </c>
      <c r="O38" s="2">
        <v>844</v>
      </c>
      <c r="P38" s="2">
        <v>694</v>
      </c>
      <c r="Q38" s="2" t="s">
        <v>398</v>
      </c>
      <c r="R38" s="2" t="s">
        <v>403</v>
      </c>
    </row>
    <row r="39" spans="1:30" s="2" customFormat="1" x14ac:dyDescent="0.25">
      <c r="A39" s="2" t="s">
        <v>121</v>
      </c>
      <c r="B39" s="2" t="str">
        <f>CONCATENATE(A39,77)</f>
        <v>8R70PA3XG0177</v>
      </c>
      <c r="C39" s="2" t="s">
        <v>482</v>
      </c>
      <c r="D39" s="2" t="s">
        <v>483</v>
      </c>
      <c r="E39" s="2" t="str">
        <f>CONCATENATE(D39," ",C39)</f>
        <v>CYNTHIA BARUCK</v>
      </c>
      <c r="F39" s="2" t="s">
        <v>45</v>
      </c>
      <c r="G39" s="2" t="s">
        <v>101</v>
      </c>
      <c r="H39" s="2" t="s">
        <v>29</v>
      </c>
      <c r="I39" s="3">
        <v>46174</v>
      </c>
      <c r="J39" s="3">
        <v>46174</v>
      </c>
      <c r="K39" s="3">
        <v>46387</v>
      </c>
      <c r="L39" s="2">
        <v>16633294</v>
      </c>
      <c r="M39" s="2">
        <v>16633294</v>
      </c>
      <c r="N39" s="2" t="s">
        <v>56</v>
      </c>
      <c r="O39" s="2">
        <v>844</v>
      </c>
      <c r="P39" s="2">
        <v>694</v>
      </c>
      <c r="Q39" s="2" t="s">
        <v>398</v>
      </c>
      <c r="R39" s="2" t="s">
        <v>403</v>
      </c>
    </row>
    <row r="40" spans="1:30" s="2" customFormat="1" x14ac:dyDescent="0.25">
      <c r="A40" s="2" t="s">
        <v>245</v>
      </c>
      <c r="B40" s="2" t="str">
        <f>CONCATENATE(A40,77)</f>
        <v>8X14PW9QD7277</v>
      </c>
      <c r="C40" s="2" t="s">
        <v>445</v>
      </c>
      <c r="D40" s="2" t="s">
        <v>446</v>
      </c>
      <c r="E40" s="2" t="str">
        <f>CONCATENATE(D40," ",C40)</f>
        <v>SCOTT JARES</v>
      </c>
      <c r="F40" s="2" t="s">
        <v>60</v>
      </c>
      <c r="G40" s="2" t="s">
        <v>101</v>
      </c>
      <c r="H40" s="2" t="s">
        <v>29</v>
      </c>
      <c r="I40" s="3">
        <v>46174</v>
      </c>
      <c r="J40" s="3">
        <v>46174</v>
      </c>
      <c r="K40" s="3">
        <v>46387</v>
      </c>
      <c r="L40" s="2">
        <v>19645587</v>
      </c>
      <c r="M40" s="2">
        <v>19645587</v>
      </c>
      <c r="N40" s="2" t="s">
        <v>227</v>
      </c>
      <c r="O40" s="2">
        <v>844</v>
      </c>
      <c r="P40" s="2">
        <v>694</v>
      </c>
      <c r="Q40" s="2" t="s">
        <v>398</v>
      </c>
      <c r="R40" s="2" t="s">
        <v>403</v>
      </c>
      <c r="AC40" s="4"/>
      <c r="AD40" s="4"/>
    </row>
    <row r="41" spans="1:30" s="2" customFormat="1" x14ac:dyDescent="0.25">
      <c r="A41" s="2" t="s">
        <v>277</v>
      </c>
      <c r="B41" s="2" t="str">
        <f>CONCATENATE(A41,77)</f>
        <v>9U03WW9CW9677</v>
      </c>
      <c r="C41" s="2" t="s">
        <v>421</v>
      </c>
      <c r="D41" s="2" t="s">
        <v>422</v>
      </c>
      <c r="E41" s="2" t="str">
        <f>CONCATENATE(D41," ",C41)</f>
        <v>DANA MCCONNELL</v>
      </c>
      <c r="F41" s="2" t="s">
        <v>45</v>
      </c>
      <c r="G41" s="2" t="s">
        <v>101</v>
      </c>
      <c r="H41" s="2" t="s">
        <v>29</v>
      </c>
      <c r="I41" s="3">
        <v>46174</v>
      </c>
      <c r="J41" s="3">
        <v>46174</v>
      </c>
      <c r="K41" s="3">
        <v>46387</v>
      </c>
      <c r="L41" s="2">
        <v>8244481</v>
      </c>
      <c r="M41" s="2">
        <v>8244481</v>
      </c>
      <c r="N41" s="2" t="s">
        <v>131</v>
      </c>
      <c r="O41" s="2">
        <v>844</v>
      </c>
      <c r="P41" s="2">
        <v>694</v>
      </c>
      <c r="Q41" s="2" t="s">
        <v>398</v>
      </c>
      <c r="R41" s="2" t="s">
        <v>403</v>
      </c>
      <c r="AC41" s="4"/>
      <c r="AD41" s="4"/>
    </row>
    <row r="42" spans="1:30" s="2" customFormat="1" x14ac:dyDescent="0.25">
      <c r="A42" s="2" t="s">
        <v>334</v>
      </c>
      <c r="B42" s="2" t="str">
        <f>CONCATENATE(A42,77)</f>
        <v>9V47G70WC4477</v>
      </c>
      <c r="C42" s="2" t="s">
        <v>476</v>
      </c>
      <c r="D42" s="2" t="s">
        <v>477</v>
      </c>
      <c r="E42" s="2" t="str">
        <f>CONCATENATE(D42," ",C42)</f>
        <v>AARON STEELE</v>
      </c>
      <c r="F42" s="2" t="s">
        <v>337</v>
      </c>
      <c r="G42" s="2" t="s">
        <v>186</v>
      </c>
      <c r="H42" s="2" t="s">
        <v>29</v>
      </c>
      <c r="I42" s="3">
        <v>46174</v>
      </c>
      <c r="J42" s="3">
        <v>46174</v>
      </c>
      <c r="K42" s="3">
        <v>46387</v>
      </c>
      <c r="L42" s="2">
        <v>19615078</v>
      </c>
      <c r="M42" s="2">
        <v>19615078</v>
      </c>
      <c r="N42" s="2" t="s">
        <v>340</v>
      </c>
      <c r="O42" s="2">
        <v>492.33</v>
      </c>
      <c r="P42" s="2">
        <v>404.83</v>
      </c>
      <c r="Q42" s="2" t="s">
        <v>398</v>
      </c>
      <c r="R42" s="2" t="s">
        <v>397</v>
      </c>
    </row>
    <row r="43" spans="1:30" s="2" customFormat="1" x14ac:dyDescent="0.25">
      <c r="A43" s="2" t="s">
        <v>252</v>
      </c>
      <c r="B43" s="2" t="str">
        <f>CONCATENATE(A43,77)</f>
        <v>9YE5Y35EF6577</v>
      </c>
      <c r="C43" s="2" t="s">
        <v>458</v>
      </c>
      <c r="D43" s="2" t="s">
        <v>411</v>
      </c>
      <c r="E43" s="2" t="str">
        <f>CONCATENATE(D43," ",C43)</f>
        <v>DAVID JOHNSON</v>
      </c>
      <c r="F43" s="2" t="s">
        <v>156</v>
      </c>
      <c r="G43" s="2" t="s">
        <v>101</v>
      </c>
      <c r="H43" s="2" t="s">
        <v>29</v>
      </c>
      <c r="I43" s="3">
        <v>46204</v>
      </c>
      <c r="J43" s="3">
        <v>46204</v>
      </c>
      <c r="K43" s="3">
        <v>46387</v>
      </c>
      <c r="L43" s="2">
        <v>16170994</v>
      </c>
      <c r="M43" s="2">
        <v>16170994</v>
      </c>
      <c r="N43" s="2" t="s">
        <v>159</v>
      </c>
      <c r="O43" s="2">
        <v>844</v>
      </c>
      <c r="P43" s="2">
        <v>694</v>
      </c>
      <c r="Q43" s="2" t="s">
        <v>398</v>
      </c>
      <c r="R43" s="2" t="s">
        <v>403</v>
      </c>
    </row>
    <row r="44" spans="1:30" s="2" customFormat="1" x14ac:dyDescent="0.25">
      <c r="A44" s="2" t="s">
        <v>322</v>
      </c>
      <c r="B44" s="2" t="str">
        <f>CONCATENATE(A44,77)</f>
        <v>1Q46G23TE7577</v>
      </c>
      <c r="C44" s="2" t="s">
        <v>500</v>
      </c>
      <c r="D44" s="2" t="s">
        <v>501</v>
      </c>
      <c r="E44" s="2" t="str">
        <f>CONCATENATE(D44," ",C44)</f>
        <v>DAWN SEEBACH</v>
      </c>
      <c r="F44" s="2" t="s">
        <v>27</v>
      </c>
      <c r="G44" s="2" t="s">
        <v>186</v>
      </c>
      <c r="H44" s="2" t="s">
        <v>29</v>
      </c>
      <c r="I44" s="3">
        <v>46174</v>
      </c>
      <c r="J44" s="3">
        <v>46174</v>
      </c>
      <c r="K44" s="3">
        <v>46387</v>
      </c>
      <c r="L44" s="2">
        <v>21618313</v>
      </c>
      <c r="M44" s="2">
        <v>21618313</v>
      </c>
      <c r="N44" s="2" t="s">
        <v>325</v>
      </c>
      <c r="O44" s="2">
        <v>543.08000000000004</v>
      </c>
      <c r="P44" s="2">
        <v>455.58</v>
      </c>
      <c r="Q44" s="2" t="s">
        <v>399</v>
      </c>
      <c r="R44" s="2" t="s">
        <v>400</v>
      </c>
      <c r="S44" s="2">
        <f>781/12*7</f>
        <v>455.58333333333331</v>
      </c>
      <c r="AC44" s="4"/>
      <c r="AD44" s="4"/>
    </row>
    <row r="45" spans="1:30" s="2" customFormat="1" x14ac:dyDescent="0.25">
      <c r="A45" s="2" t="s">
        <v>361</v>
      </c>
      <c r="B45" s="2" t="str">
        <f>CONCATENATE(A45,77)</f>
        <v>3XP0UH0MN2977</v>
      </c>
      <c r="C45" s="2" t="s">
        <v>492</v>
      </c>
      <c r="D45" s="2" t="s">
        <v>493</v>
      </c>
      <c r="E45" s="2" t="str">
        <f>CONCATENATE(D45," ",C45)</f>
        <v>JEFFREY WILBERT</v>
      </c>
      <c r="F45" s="2" t="s">
        <v>27</v>
      </c>
      <c r="G45" s="2" t="s">
        <v>101</v>
      </c>
      <c r="H45" s="2" t="s">
        <v>29</v>
      </c>
      <c r="I45" s="3">
        <v>46143</v>
      </c>
      <c r="J45" s="3">
        <v>46143</v>
      </c>
      <c r="K45" s="3">
        <v>46387</v>
      </c>
      <c r="L45" s="2">
        <v>17528908</v>
      </c>
      <c r="M45" s="2" t="s">
        <v>405</v>
      </c>
      <c r="N45" s="2" t="s">
        <v>70</v>
      </c>
      <c r="O45" s="2">
        <v>931</v>
      </c>
      <c r="P45" s="2">
        <v>781</v>
      </c>
      <c r="Q45" s="2" t="s">
        <v>399</v>
      </c>
      <c r="R45" s="2" t="s">
        <v>404</v>
      </c>
      <c r="AC45" s="4"/>
      <c r="AD45" s="4"/>
    </row>
    <row r="46" spans="1:30" s="2" customFormat="1" x14ac:dyDescent="0.25">
      <c r="A46" s="2" t="s">
        <v>210</v>
      </c>
      <c r="B46" s="2" t="str">
        <f>CONCATENATE(A46,77)</f>
        <v>4G77E15MR4977</v>
      </c>
      <c r="C46" s="2" t="s">
        <v>486</v>
      </c>
      <c r="D46" s="2" t="s">
        <v>487</v>
      </c>
      <c r="E46" s="2" t="str">
        <f>CONCATENATE(D46," ",C46)</f>
        <v>DARRELL GUNTER</v>
      </c>
      <c r="F46" s="2" t="s">
        <v>27</v>
      </c>
      <c r="G46" s="2" t="s">
        <v>186</v>
      </c>
      <c r="H46" s="2" t="s">
        <v>29</v>
      </c>
      <c r="I46" s="3">
        <v>46143</v>
      </c>
      <c r="J46" s="3">
        <v>46143</v>
      </c>
      <c r="K46" s="3">
        <v>46387</v>
      </c>
      <c r="L46" s="2">
        <v>17425766</v>
      </c>
      <c r="M46" s="2">
        <v>17425766</v>
      </c>
      <c r="N46" s="2" t="s">
        <v>41</v>
      </c>
      <c r="O46" s="2">
        <v>620.66999999999996</v>
      </c>
      <c r="P46" s="2">
        <v>520.66999999999996</v>
      </c>
      <c r="Q46" s="2" t="s">
        <v>399</v>
      </c>
      <c r="R46" s="2" t="s">
        <v>402</v>
      </c>
      <c r="S46" s="2">
        <f>781/12*8</f>
        <v>520.66666666666663</v>
      </c>
    </row>
    <row r="47" spans="1:30" s="4" customFormat="1" x14ac:dyDescent="0.25">
      <c r="A47" s="2" t="s">
        <v>190</v>
      </c>
      <c r="B47" s="2" t="str">
        <f>CONCATENATE(A47,77)</f>
        <v>5FG8XM4ET3077</v>
      </c>
      <c r="C47" s="2" t="s">
        <v>488</v>
      </c>
      <c r="D47" s="2" t="s">
        <v>489</v>
      </c>
      <c r="E47" s="2" t="str">
        <f>CONCATENATE(D47," ",C47)</f>
        <v>JUDITH GAINER</v>
      </c>
      <c r="F47" s="2" t="s">
        <v>27</v>
      </c>
      <c r="G47" s="2" t="s">
        <v>101</v>
      </c>
      <c r="H47" s="2" t="s">
        <v>29</v>
      </c>
      <c r="I47" s="3">
        <v>46174</v>
      </c>
      <c r="J47" s="3">
        <v>46174</v>
      </c>
      <c r="K47" s="3">
        <v>46387</v>
      </c>
      <c r="L47" s="2">
        <v>17528908</v>
      </c>
      <c r="M47" s="2" t="s">
        <v>405</v>
      </c>
      <c r="N47" s="2" t="s">
        <v>70</v>
      </c>
      <c r="O47" s="2">
        <v>931</v>
      </c>
      <c r="P47" s="2">
        <v>781</v>
      </c>
      <c r="Q47" s="2" t="s">
        <v>399</v>
      </c>
      <c r="R47" s="2" t="s">
        <v>404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s="4" customFormat="1" x14ac:dyDescent="0.25">
      <c r="A48" s="2" t="s">
        <v>293</v>
      </c>
      <c r="B48" s="2" t="str">
        <f>CONCATENATE(A48,77)</f>
        <v>5RV7XH1CX6377</v>
      </c>
      <c r="C48" s="2" t="s">
        <v>496</v>
      </c>
      <c r="D48" s="2" t="s">
        <v>497</v>
      </c>
      <c r="E48" s="2" t="str">
        <f>CONCATENATE(D48," ",C48)</f>
        <v>CLEOFAS NERI</v>
      </c>
      <c r="F48" s="2" t="s">
        <v>27</v>
      </c>
      <c r="G48" s="2" t="s">
        <v>101</v>
      </c>
      <c r="H48" s="2" t="s">
        <v>29</v>
      </c>
      <c r="I48" s="3">
        <v>46143</v>
      </c>
      <c r="J48" s="3">
        <v>46143</v>
      </c>
      <c r="K48" s="3">
        <v>46387</v>
      </c>
      <c r="L48" s="2">
        <v>9254978</v>
      </c>
      <c r="M48" s="2" t="s">
        <v>407</v>
      </c>
      <c r="N48" s="2" t="s">
        <v>297</v>
      </c>
      <c r="O48" s="2">
        <v>931</v>
      </c>
      <c r="P48" s="2">
        <v>781</v>
      </c>
      <c r="Q48" s="2" t="s">
        <v>399</v>
      </c>
      <c r="R48" s="2" t="s">
        <v>404</v>
      </c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30" s="4" customFormat="1" x14ac:dyDescent="0.25">
      <c r="A49" s="2" t="s">
        <v>166</v>
      </c>
      <c r="B49" s="2" t="str">
        <f>CONCATENATE(A49,77)</f>
        <v>6QM5AV6XP9977</v>
      </c>
      <c r="C49" s="2" t="s">
        <v>490</v>
      </c>
      <c r="D49" s="2" t="s">
        <v>491</v>
      </c>
      <c r="E49" s="2" t="str">
        <f>CONCATENATE(D49," ",C49)</f>
        <v>BRIAN FARRINGER</v>
      </c>
      <c r="F49" s="2" t="s">
        <v>27</v>
      </c>
      <c r="G49" s="2" t="s">
        <v>101</v>
      </c>
      <c r="H49" s="2" t="s">
        <v>29</v>
      </c>
      <c r="I49" s="3">
        <v>46143</v>
      </c>
      <c r="J49" s="3">
        <v>46143</v>
      </c>
      <c r="K49" s="3">
        <v>46387</v>
      </c>
      <c r="L49" s="2">
        <v>17528908</v>
      </c>
      <c r="M49" s="2" t="s">
        <v>405</v>
      </c>
      <c r="N49" s="2" t="s">
        <v>70</v>
      </c>
      <c r="O49" s="2">
        <v>931</v>
      </c>
      <c r="P49" s="2">
        <v>781</v>
      </c>
      <c r="Q49" s="2" t="s">
        <v>399</v>
      </c>
      <c r="R49" s="2" t="s">
        <v>404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s="4" customFormat="1" x14ac:dyDescent="0.25">
      <c r="A50" s="2" t="s">
        <v>228</v>
      </c>
      <c r="B50" s="2" t="str">
        <f>CONCATENATE(A50,77)</f>
        <v>7PX3HH2DV0277</v>
      </c>
      <c r="C50" s="2" t="s">
        <v>498</v>
      </c>
      <c r="D50" s="2" t="s">
        <v>499</v>
      </c>
      <c r="E50" s="2" t="str">
        <f>CONCATENATE(D50," ",C50)</f>
        <v>NANCY HARTMAN</v>
      </c>
      <c r="F50" s="2" t="s">
        <v>27</v>
      </c>
      <c r="G50" s="2" t="s">
        <v>101</v>
      </c>
      <c r="H50" s="2" t="s">
        <v>29</v>
      </c>
      <c r="I50" s="3">
        <v>46204</v>
      </c>
      <c r="J50" s="3">
        <v>46204</v>
      </c>
      <c r="K50" s="3">
        <v>46387</v>
      </c>
      <c r="L50" s="2">
        <v>18710070</v>
      </c>
      <c r="M50" s="2" t="s">
        <v>406</v>
      </c>
      <c r="N50" s="2" t="s">
        <v>116</v>
      </c>
      <c r="O50" s="2">
        <v>931</v>
      </c>
      <c r="P50" s="2">
        <v>781</v>
      </c>
      <c r="Q50" s="2" t="s">
        <v>399</v>
      </c>
      <c r="R50" s="2" t="s">
        <v>404</v>
      </c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30" s="4" customFormat="1" x14ac:dyDescent="0.25">
      <c r="A51" s="2" t="s">
        <v>364</v>
      </c>
      <c r="B51" s="2" t="str">
        <f>CONCATENATE(A51,77)</f>
        <v>8H53HD5FD7677</v>
      </c>
      <c r="C51" s="2" t="s">
        <v>494</v>
      </c>
      <c r="D51" s="2" t="s">
        <v>495</v>
      </c>
      <c r="E51" s="2" t="str">
        <f>CONCATENATE(D51," ",C51)</f>
        <v>TRINITY WORSEN</v>
      </c>
      <c r="F51" s="2" t="s">
        <v>27</v>
      </c>
      <c r="G51" s="2" t="s">
        <v>101</v>
      </c>
      <c r="H51" s="2" t="s">
        <v>29</v>
      </c>
      <c r="I51" s="3">
        <v>46143</v>
      </c>
      <c r="J51" s="3">
        <v>46143</v>
      </c>
      <c r="K51" s="3">
        <v>46387</v>
      </c>
      <c r="L51" s="2">
        <v>17528908</v>
      </c>
      <c r="M51" s="2" t="s">
        <v>405</v>
      </c>
      <c r="N51" s="2" t="s">
        <v>70</v>
      </c>
      <c r="O51" s="2">
        <v>931</v>
      </c>
      <c r="P51" s="2">
        <v>781</v>
      </c>
      <c r="Q51" s="2" t="s">
        <v>399</v>
      </c>
      <c r="R51" s="2" t="s">
        <v>404</v>
      </c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30" s="4" customFormat="1" x14ac:dyDescent="0.25">
      <c r="A52" s="2" t="s">
        <v>135</v>
      </c>
      <c r="B52" s="2" t="str">
        <f>CONCATENATE(A52,89)</f>
        <v>1K42GA2JA9289</v>
      </c>
      <c r="C52" s="2" t="s">
        <v>504</v>
      </c>
      <c r="D52" s="2" t="s">
        <v>505</v>
      </c>
      <c r="E52" s="2" t="str">
        <f>CONCATENATE(D52," ",C52)</f>
        <v>DOUGLAS COMINSKY</v>
      </c>
      <c r="F52" s="2" t="s">
        <v>27</v>
      </c>
      <c r="G52" s="2" t="s">
        <v>28</v>
      </c>
      <c r="H52" s="2" t="s">
        <v>29</v>
      </c>
      <c r="I52" s="3">
        <v>46204</v>
      </c>
      <c r="J52" s="3">
        <v>46204</v>
      </c>
      <c r="K52" s="3">
        <v>46387</v>
      </c>
      <c r="L52" s="2">
        <v>17528908</v>
      </c>
      <c r="M52" s="2" t="s">
        <v>405</v>
      </c>
      <c r="N52" s="2" t="s">
        <v>70</v>
      </c>
      <c r="O52" s="2">
        <v>270.5</v>
      </c>
      <c r="P52" s="2">
        <v>195.5</v>
      </c>
      <c r="Q52" s="2" t="s">
        <v>384</v>
      </c>
      <c r="R52" s="2" t="s">
        <v>388</v>
      </c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30" s="4" customFormat="1" x14ac:dyDescent="0.25">
      <c r="A53" s="2" t="s">
        <v>322</v>
      </c>
      <c r="B53" s="2" t="str">
        <f>CONCATENATE(A53,89)</f>
        <v>1Q46G23TE7589</v>
      </c>
      <c r="C53" s="2" t="s">
        <v>500</v>
      </c>
      <c r="D53" s="2" t="s">
        <v>501</v>
      </c>
      <c r="E53" s="2" t="str">
        <f>CONCATENATE(D53," ",C53)</f>
        <v>DAWN SEEBACH</v>
      </c>
      <c r="F53" s="2" t="s">
        <v>27</v>
      </c>
      <c r="G53" s="2" t="s">
        <v>105</v>
      </c>
      <c r="H53" s="2" t="s">
        <v>29</v>
      </c>
      <c r="I53" s="3">
        <v>46174</v>
      </c>
      <c r="J53" s="3">
        <v>46174</v>
      </c>
      <c r="K53" s="3">
        <v>46387</v>
      </c>
      <c r="L53" s="2">
        <v>21618313</v>
      </c>
      <c r="M53" s="2">
        <v>21618313</v>
      </c>
      <c r="N53" s="2" t="s">
        <v>325</v>
      </c>
      <c r="O53" s="2">
        <v>-315.58</v>
      </c>
      <c r="P53" s="2">
        <v>-228.08</v>
      </c>
      <c r="Q53" s="2" t="s">
        <v>384</v>
      </c>
      <c r="R53" s="2" t="s">
        <v>386</v>
      </c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30" s="4" customFormat="1" x14ac:dyDescent="0.25">
      <c r="A54" s="2" t="s">
        <v>37</v>
      </c>
      <c r="B54" s="2" t="str">
        <f>CONCATENATE(A54,89)</f>
        <v>2D82Y32ED0989</v>
      </c>
      <c r="C54" s="2" t="s">
        <v>502</v>
      </c>
      <c r="D54" s="2" t="s">
        <v>411</v>
      </c>
      <c r="E54" s="2" t="str">
        <f>CONCATENATE(D54," ",C54)</f>
        <v>DAVID BOGACZYK</v>
      </c>
      <c r="F54" s="2" t="s">
        <v>27</v>
      </c>
      <c r="G54" s="2" t="s">
        <v>28</v>
      </c>
      <c r="H54" s="2" t="s">
        <v>29</v>
      </c>
      <c r="I54" s="3">
        <v>46204</v>
      </c>
      <c r="J54" s="3">
        <v>46204</v>
      </c>
      <c r="K54" s="3">
        <v>46387</v>
      </c>
      <c r="L54" s="2">
        <v>17425766</v>
      </c>
      <c r="M54" s="2">
        <v>17425766</v>
      </c>
      <c r="N54" s="2" t="s">
        <v>41</v>
      </c>
      <c r="O54" s="2">
        <v>270.5</v>
      </c>
      <c r="P54" s="2">
        <v>195.5</v>
      </c>
      <c r="Q54" s="2" t="s">
        <v>384</v>
      </c>
      <c r="R54" s="2" t="s">
        <v>388</v>
      </c>
      <c r="S54" s="2">
        <f>391/12*6</f>
        <v>195.5</v>
      </c>
      <c r="T54" s="2"/>
      <c r="U54" s="2"/>
      <c r="V54" s="2"/>
      <c r="W54" s="2"/>
      <c r="X54" s="2"/>
      <c r="Y54" s="2"/>
      <c r="Z54" s="2"/>
      <c r="AA54" s="2"/>
      <c r="AB54" s="2"/>
    </row>
    <row r="55" spans="1:30" s="4" customFormat="1" x14ac:dyDescent="0.25">
      <c r="A55" s="2" t="s">
        <v>238</v>
      </c>
      <c r="B55" s="2" t="str">
        <f>CONCATENATE(A55,89)</f>
        <v>2M33VC6PH7889</v>
      </c>
      <c r="C55" s="2" t="s">
        <v>509</v>
      </c>
      <c r="D55" s="2" t="s">
        <v>432</v>
      </c>
      <c r="E55" s="2" t="str">
        <f>CONCATENATE(D55," ",C55)</f>
        <v>STEVEN HORWITZ</v>
      </c>
      <c r="F55" s="2" t="s">
        <v>27</v>
      </c>
      <c r="G55" s="2" t="s">
        <v>241</v>
      </c>
      <c r="H55" s="2" t="s">
        <v>29</v>
      </c>
      <c r="I55" s="3">
        <v>46174</v>
      </c>
      <c r="J55" s="3">
        <v>45323</v>
      </c>
      <c r="K55" s="3">
        <v>46174</v>
      </c>
      <c r="L55" s="2">
        <v>17528908</v>
      </c>
      <c r="M55" s="2">
        <v>17528908</v>
      </c>
      <c r="N55" s="2" t="s">
        <v>70</v>
      </c>
      <c r="O55" s="2">
        <v>-35.08</v>
      </c>
      <c r="P55" s="2">
        <v>-32.58</v>
      </c>
      <c r="Q55" s="2" t="s">
        <v>384</v>
      </c>
      <c r="R55" s="2" t="s">
        <v>391</v>
      </c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30" s="4" customFormat="1" x14ac:dyDescent="0.25">
      <c r="A56" s="2" t="s">
        <v>218</v>
      </c>
      <c r="B56" s="2" t="str">
        <f>CONCATENATE(A56,89)</f>
        <v>3D92RC1UN8089</v>
      </c>
      <c r="C56" s="2" t="s">
        <v>506</v>
      </c>
      <c r="D56" s="2" t="s">
        <v>411</v>
      </c>
      <c r="E56" s="2" t="str">
        <f>CONCATENATE(D56," ",C56)</f>
        <v>DAVID HALL</v>
      </c>
      <c r="F56" s="2" t="s">
        <v>27</v>
      </c>
      <c r="G56" s="2" t="s">
        <v>28</v>
      </c>
      <c r="H56" s="2" t="s">
        <v>29</v>
      </c>
      <c r="I56" s="3">
        <v>46204</v>
      </c>
      <c r="J56" s="3">
        <v>46204</v>
      </c>
      <c r="K56" s="3">
        <v>46387</v>
      </c>
      <c r="L56" s="2">
        <v>17528908</v>
      </c>
      <c r="M56" s="2" t="s">
        <v>405</v>
      </c>
      <c r="N56" s="2" t="s">
        <v>70</v>
      </c>
      <c r="O56" s="2">
        <v>270.5</v>
      </c>
      <c r="P56" s="2">
        <v>195.5</v>
      </c>
      <c r="Q56" s="2" t="s">
        <v>384</v>
      </c>
      <c r="R56" s="2" t="s">
        <v>388</v>
      </c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30" s="4" customFormat="1" x14ac:dyDescent="0.25">
      <c r="A57" s="2" t="s">
        <v>149</v>
      </c>
      <c r="B57" s="2" t="str">
        <f>CONCATENATE(A57,89)</f>
        <v>3ED5Q49PJ8889</v>
      </c>
      <c r="C57" s="2" t="s">
        <v>503</v>
      </c>
      <c r="D57" s="2" t="s">
        <v>485</v>
      </c>
      <c r="E57" s="2" t="str">
        <f>CONCATENATE(D57," ",C57)</f>
        <v>RICHARD DEBLANDER</v>
      </c>
      <c r="F57" s="2" t="s">
        <v>27</v>
      </c>
      <c r="G57" s="2" t="s">
        <v>28</v>
      </c>
      <c r="H57" s="2" t="s">
        <v>29</v>
      </c>
      <c r="I57" s="3">
        <v>46266</v>
      </c>
      <c r="J57" s="3">
        <v>46266</v>
      </c>
      <c r="K57" s="3">
        <v>46387</v>
      </c>
      <c r="L57" s="2">
        <v>17528908</v>
      </c>
      <c r="M57" s="2" t="s">
        <v>405</v>
      </c>
      <c r="N57" s="2" t="s">
        <v>70</v>
      </c>
      <c r="O57" s="2">
        <v>180.33</v>
      </c>
      <c r="P57" s="2">
        <v>130.33000000000001</v>
      </c>
      <c r="Q57" s="2" t="s">
        <v>384</v>
      </c>
      <c r="R57" s="2" t="s">
        <v>395</v>
      </c>
      <c r="S57" s="2">
        <f>391/12*4</f>
        <v>130.33333333333334</v>
      </c>
      <c r="T57" s="2"/>
      <c r="U57" s="2"/>
      <c r="V57" s="2"/>
      <c r="W57" s="2"/>
      <c r="X57" s="2"/>
      <c r="Y57" s="2"/>
      <c r="Z57" s="2"/>
      <c r="AA57" s="2"/>
      <c r="AB57" s="2"/>
    </row>
    <row r="58" spans="1:30" s="4" customFormat="1" x14ac:dyDescent="0.25">
      <c r="A58" s="2" t="s">
        <v>361</v>
      </c>
      <c r="B58" s="2" t="str">
        <f>CONCATENATE(A58,89)</f>
        <v>3XP0UH0MN2989</v>
      </c>
      <c r="C58" s="2" t="s">
        <v>492</v>
      </c>
      <c r="D58" s="2" t="s">
        <v>493</v>
      </c>
      <c r="E58" s="2" t="str">
        <f>CONCATENATE(D58," ",C58)</f>
        <v>JEFFREY WILBERT</v>
      </c>
      <c r="F58" s="2" t="s">
        <v>27</v>
      </c>
      <c r="G58" s="2" t="s">
        <v>105</v>
      </c>
      <c r="H58" s="2" t="s">
        <v>29</v>
      </c>
      <c r="I58" s="3">
        <v>46143</v>
      </c>
      <c r="J58" s="3">
        <v>46143</v>
      </c>
      <c r="K58" s="3">
        <v>46387</v>
      </c>
      <c r="L58" s="2">
        <v>17528908</v>
      </c>
      <c r="M58" s="2" t="s">
        <v>405</v>
      </c>
      <c r="N58" s="2" t="s">
        <v>70</v>
      </c>
      <c r="O58" s="2">
        <v>-360.67</v>
      </c>
      <c r="P58" s="2">
        <v>-260.67</v>
      </c>
      <c r="Q58" s="2" t="s">
        <v>384</v>
      </c>
      <c r="R58" s="2" t="s">
        <v>383</v>
      </c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30" s="4" customFormat="1" x14ac:dyDescent="0.25">
      <c r="A59" s="2" t="s">
        <v>319</v>
      </c>
      <c r="B59" s="2" t="str">
        <f>CONCATENATE(A59,89)</f>
        <v>4AM2RV7GN1889</v>
      </c>
      <c r="C59" s="2" t="s">
        <v>510</v>
      </c>
      <c r="D59" s="2" t="s">
        <v>511</v>
      </c>
      <c r="E59" s="2" t="str">
        <f>CONCATENATE(D59," ",C59)</f>
        <v>ROBIN SAFRAN</v>
      </c>
      <c r="F59" s="2" t="s">
        <v>27</v>
      </c>
      <c r="G59" s="2" t="s">
        <v>28</v>
      </c>
      <c r="H59" s="2" t="s">
        <v>29</v>
      </c>
      <c r="I59" s="3">
        <v>46266</v>
      </c>
      <c r="J59" s="3">
        <v>46266</v>
      </c>
      <c r="K59" s="3">
        <v>46387</v>
      </c>
      <c r="L59" s="2">
        <v>18710070</v>
      </c>
      <c r="M59" s="2" t="s">
        <v>406</v>
      </c>
      <c r="N59" s="2" t="s">
        <v>116</v>
      </c>
      <c r="O59" s="2">
        <v>180.33</v>
      </c>
      <c r="P59" s="2">
        <v>130.33000000000001</v>
      </c>
      <c r="Q59" s="2" t="s">
        <v>384</v>
      </c>
      <c r="R59" s="2" t="s">
        <v>395</v>
      </c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30" s="4" customFormat="1" x14ac:dyDescent="0.25">
      <c r="A60" s="2" t="s">
        <v>210</v>
      </c>
      <c r="B60" s="2" t="str">
        <f>CONCATENATE(A60,89)</f>
        <v>4G77E15MR4989</v>
      </c>
      <c r="C60" s="2" t="s">
        <v>486</v>
      </c>
      <c r="D60" s="2" t="s">
        <v>487</v>
      </c>
      <c r="E60" s="2" t="str">
        <f>CONCATENATE(D60," ",C60)</f>
        <v>DARRELL GUNTER</v>
      </c>
      <c r="F60" s="2" t="s">
        <v>27</v>
      </c>
      <c r="G60" s="2" t="s">
        <v>105</v>
      </c>
      <c r="H60" s="2" t="s">
        <v>29</v>
      </c>
      <c r="I60" s="3">
        <v>46143</v>
      </c>
      <c r="J60" s="3">
        <v>46143</v>
      </c>
      <c r="K60" s="3">
        <v>46387</v>
      </c>
      <c r="L60" s="2">
        <v>17425766</v>
      </c>
      <c r="M60" s="2">
        <v>17425766</v>
      </c>
      <c r="N60" s="2" t="s">
        <v>41</v>
      </c>
      <c r="O60" s="2">
        <v>-360.67</v>
      </c>
      <c r="P60" s="2">
        <v>-260.67</v>
      </c>
      <c r="Q60" s="2" t="s">
        <v>384</v>
      </c>
      <c r="R60" s="2" t="s">
        <v>383</v>
      </c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30" s="4" customFormat="1" x14ac:dyDescent="0.25">
      <c r="A61" s="2" t="s">
        <v>271</v>
      </c>
      <c r="B61" s="2" t="str">
        <f>CONCATENATE(A61,89)</f>
        <v>4H65UJ9FC7689</v>
      </c>
      <c r="C61" s="2" t="s">
        <v>507</v>
      </c>
      <c r="D61" s="2" t="s">
        <v>508</v>
      </c>
      <c r="E61" s="2" t="str">
        <f>CONCATENATE(D61," ",C61)</f>
        <v>YONG MARCH</v>
      </c>
      <c r="F61" s="2" t="s">
        <v>27</v>
      </c>
      <c r="G61" s="2" t="s">
        <v>28</v>
      </c>
      <c r="H61" s="2" t="s">
        <v>29</v>
      </c>
      <c r="I61" s="3">
        <v>46204</v>
      </c>
      <c r="J61" s="3">
        <v>46204</v>
      </c>
      <c r="K61" s="3">
        <v>46387</v>
      </c>
      <c r="L61" s="2">
        <v>17528908</v>
      </c>
      <c r="M61" s="2" t="s">
        <v>405</v>
      </c>
      <c r="N61" s="2" t="s">
        <v>70</v>
      </c>
      <c r="O61" s="2">
        <v>270.5</v>
      </c>
      <c r="P61" s="2">
        <v>195.5</v>
      </c>
      <c r="Q61" s="2" t="s">
        <v>384</v>
      </c>
      <c r="R61" s="2" t="s">
        <v>388</v>
      </c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30" s="4" customFormat="1" x14ac:dyDescent="0.25">
      <c r="A62" s="2" t="s">
        <v>112</v>
      </c>
      <c r="B62" s="2" t="str">
        <f>CONCATENATE(A62,89)</f>
        <v>4U93TN9EN0889</v>
      </c>
      <c r="C62" s="2" t="s">
        <v>512</v>
      </c>
      <c r="D62" s="2" t="s">
        <v>467</v>
      </c>
      <c r="E62" s="2" t="str">
        <f>CONCATENATE(D62," ",C62)</f>
        <v>BRENDA BARDELLA</v>
      </c>
      <c r="F62" s="2" t="s">
        <v>27</v>
      </c>
      <c r="G62" s="2" t="s">
        <v>28</v>
      </c>
      <c r="H62" s="2" t="s">
        <v>29</v>
      </c>
      <c r="I62" s="3">
        <v>46235</v>
      </c>
      <c r="J62" s="3">
        <v>46235</v>
      </c>
      <c r="K62" s="3">
        <v>46387</v>
      </c>
      <c r="L62" s="2">
        <v>18710070</v>
      </c>
      <c r="M62" s="2" t="s">
        <v>406</v>
      </c>
      <c r="N62" s="2" t="s">
        <v>116</v>
      </c>
      <c r="O62" s="2">
        <v>225.42</v>
      </c>
      <c r="P62" s="2">
        <v>162.91999999999999</v>
      </c>
      <c r="Q62" s="2" t="s">
        <v>384</v>
      </c>
      <c r="R62" s="2" t="s">
        <v>396</v>
      </c>
      <c r="S62" s="2">
        <f>391/12*5</f>
        <v>162.91666666666669</v>
      </c>
      <c r="T62" s="2"/>
      <c r="U62" s="2"/>
      <c r="V62" s="2"/>
      <c r="W62" s="2"/>
      <c r="X62" s="2"/>
      <c r="Y62" s="2"/>
      <c r="Z62" s="2"/>
      <c r="AA62" s="2"/>
      <c r="AB62" s="2"/>
    </row>
    <row r="63" spans="1:30" s="4" customFormat="1" x14ac:dyDescent="0.25">
      <c r="A63" s="2" t="s">
        <v>190</v>
      </c>
      <c r="B63" s="2" t="str">
        <f>CONCATENATE(A63,89)</f>
        <v>5FG8XM4ET3089</v>
      </c>
      <c r="C63" s="2" t="s">
        <v>488</v>
      </c>
      <c r="D63" s="2" t="s">
        <v>489</v>
      </c>
      <c r="E63" s="2" t="str">
        <f>CONCATENATE(D63," ",C63)</f>
        <v>JUDITH GAINER</v>
      </c>
      <c r="F63" s="2" t="s">
        <v>27</v>
      </c>
      <c r="G63" s="2" t="s">
        <v>105</v>
      </c>
      <c r="H63" s="2" t="s">
        <v>29</v>
      </c>
      <c r="I63" s="3">
        <v>46174</v>
      </c>
      <c r="J63" s="3">
        <v>46174</v>
      </c>
      <c r="K63" s="3">
        <v>46387</v>
      </c>
      <c r="L63" s="2">
        <v>17528908</v>
      </c>
      <c r="M63" s="2" t="s">
        <v>405</v>
      </c>
      <c r="N63" s="2" t="s">
        <v>70</v>
      </c>
      <c r="O63" s="2">
        <v>-315.58</v>
      </c>
      <c r="P63" s="2">
        <v>-228.08</v>
      </c>
      <c r="Q63" s="2" t="s">
        <v>384</v>
      </c>
      <c r="R63" s="2" t="s">
        <v>386</v>
      </c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30" s="4" customFormat="1" x14ac:dyDescent="0.25">
      <c r="A64" s="2" t="s">
        <v>293</v>
      </c>
      <c r="B64" s="2" t="str">
        <f>CONCATENATE(A64,89)</f>
        <v>5RV7XH1CX6389</v>
      </c>
      <c r="C64" s="2" t="s">
        <v>496</v>
      </c>
      <c r="D64" s="2" t="s">
        <v>497</v>
      </c>
      <c r="E64" s="2" t="str">
        <f>CONCATENATE(D64," ",C64)</f>
        <v>CLEOFAS NERI</v>
      </c>
      <c r="F64" s="2" t="s">
        <v>27</v>
      </c>
      <c r="G64" s="2" t="s">
        <v>105</v>
      </c>
      <c r="H64" s="2" t="s">
        <v>29</v>
      </c>
      <c r="I64" s="3">
        <v>46143</v>
      </c>
      <c r="J64" s="3">
        <v>46143</v>
      </c>
      <c r="K64" s="3">
        <v>46387</v>
      </c>
      <c r="L64" s="2">
        <v>9254978</v>
      </c>
      <c r="M64" s="2" t="s">
        <v>407</v>
      </c>
      <c r="N64" s="2" t="s">
        <v>297</v>
      </c>
      <c r="O64" s="2">
        <v>-360.67</v>
      </c>
      <c r="P64" s="2">
        <v>-260.67</v>
      </c>
      <c r="Q64" s="2" t="s">
        <v>384</v>
      </c>
      <c r="R64" s="2" t="s">
        <v>383</v>
      </c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30" s="4" customFormat="1" x14ac:dyDescent="0.25">
      <c r="A65" s="2" t="s">
        <v>166</v>
      </c>
      <c r="B65" s="2" t="str">
        <f>CONCATENATE(A65,89)</f>
        <v>6QM5AV6XP9989</v>
      </c>
      <c r="C65" s="2" t="s">
        <v>490</v>
      </c>
      <c r="D65" s="2" t="s">
        <v>491</v>
      </c>
      <c r="E65" s="2" t="str">
        <f>CONCATENATE(D65," ",C65)</f>
        <v>BRIAN FARRINGER</v>
      </c>
      <c r="F65" s="2" t="s">
        <v>27</v>
      </c>
      <c r="G65" s="2" t="s">
        <v>105</v>
      </c>
      <c r="H65" s="2" t="s">
        <v>29</v>
      </c>
      <c r="I65" s="3">
        <v>46143</v>
      </c>
      <c r="J65" s="3">
        <v>46143</v>
      </c>
      <c r="K65" s="3">
        <v>46387</v>
      </c>
      <c r="L65" s="2">
        <v>17528908</v>
      </c>
      <c r="M65" s="2" t="s">
        <v>405</v>
      </c>
      <c r="N65" s="2" t="s">
        <v>70</v>
      </c>
      <c r="O65" s="2">
        <v>-360.67</v>
      </c>
      <c r="P65" s="2">
        <v>-260.67</v>
      </c>
      <c r="Q65" s="2" t="s">
        <v>384</v>
      </c>
      <c r="R65" s="2" t="s">
        <v>383</v>
      </c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30" s="4" customFormat="1" x14ac:dyDescent="0.25">
      <c r="A66" s="2" t="s">
        <v>228</v>
      </c>
      <c r="B66" s="2" t="str">
        <f>CONCATENATE(A66,89)</f>
        <v>7PX3HH2DV0289</v>
      </c>
      <c r="C66" s="2" t="s">
        <v>498</v>
      </c>
      <c r="D66" s="2" t="s">
        <v>499</v>
      </c>
      <c r="E66" s="2" t="str">
        <f>CONCATENATE(D66," ",C66)</f>
        <v>NANCY HARTMAN</v>
      </c>
      <c r="F66" s="2" t="s">
        <v>27</v>
      </c>
      <c r="G66" s="2" t="s">
        <v>105</v>
      </c>
      <c r="H66" s="2" t="s">
        <v>29</v>
      </c>
      <c r="I66" s="3">
        <v>46204</v>
      </c>
      <c r="J66" s="3">
        <v>46204</v>
      </c>
      <c r="K66" s="3">
        <v>46387</v>
      </c>
      <c r="L66" s="2">
        <v>18710070</v>
      </c>
      <c r="M66" s="2" t="s">
        <v>406</v>
      </c>
      <c r="N66" s="2" t="s">
        <v>116</v>
      </c>
      <c r="O66" s="2">
        <v>-270.5</v>
      </c>
      <c r="P66" s="2">
        <v>-195.5</v>
      </c>
      <c r="Q66" s="2" t="s">
        <v>384</v>
      </c>
      <c r="R66" s="2" t="s">
        <v>388</v>
      </c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30" s="4" customFormat="1" x14ac:dyDescent="0.25">
      <c r="A67" s="2" t="s">
        <v>364</v>
      </c>
      <c r="B67" s="2" t="str">
        <f>CONCATENATE(A67,89)</f>
        <v>8H53HD5FD7689</v>
      </c>
      <c r="C67" s="2" t="s">
        <v>494</v>
      </c>
      <c r="D67" s="2" t="s">
        <v>495</v>
      </c>
      <c r="E67" s="2" t="str">
        <f>CONCATENATE(D67," ",C67)</f>
        <v>TRINITY WORSEN</v>
      </c>
      <c r="F67" s="2" t="s">
        <v>27</v>
      </c>
      <c r="G67" s="2" t="s">
        <v>105</v>
      </c>
      <c r="H67" s="2" t="s">
        <v>29</v>
      </c>
      <c r="I67" s="3">
        <v>46143</v>
      </c>
      <c r="J67" s="3">
        <v>46143</v>
      </c>
      <c r="K67" s="3">
        <v>46387</v>
      </c>
      <c r="L67" s="2">
        <v>17528908</v>
      </c>
      <c r="M67" s="2" t="s">
        <v>405</v>
      </c>
      <c r="N67" s="2" t="s">
        <v>70</v>
      </c>
      <c r="O67" s="2">
        <v>-360.67</v>
      </c>
      <c r="P67" s="2">
        <v>-260.67</v>
      </c>
      <c r="Q67" s="2" t="s">
        <v>384</v>
      </c>
      <c r="R67" s="2" t="s">
        <v>383</v>
      </c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30" s="2" customFormat="1" x14ac:dyDescent="0.25">
      <c r="A68" s="2" t="s">
        <v>280</v>
      </c>
      <c r="B68" s="2" t="str">
        <f>CONCATENATE(A68,89)</f>
        <v>1EC1HQ1DM9989</v>
      </c>
      <c r="C68" s="2" t="s">
        <v>462</v>
      </c>
      <c r="D68" s="2" t="s">
        <v>463</v>
      </c>
      <c r="E68" s="2" t="str">
        <f>CONCATENATE(D68," ",C68)</f>
        <v>GARY MCDONALD</v>
      </c>
      <c r="F68" s="2" t="s">
        <v>156</v>
      </c>
      <c r="G68" s="2" t="s">
        <v>105</v>
      </c>
      <c r="H68" s="2" t="s">
        <v>29</v>
      </c>
      <c r="I68" s="3">
        <v>46174</v>
      </c>
      <c r="J68" s="3">
        <v>46174</v>
      </c>
      <c r="K68" s="3">
        <v>46387</v>
      </c>
      <c r="L68" s="2">
        <v>16170994</v>
      </c>
      <c r="M68" s="2">
        <v>16170994</v>
      </c>
      <c r="N68" s="2" t="s">
        <v>159</v>
      </c>
      <c r="O68" s="2">
        <v>-289.92</v>
      </c>
      <c r="P68" s="2">
        <v>-202.42</v>
      </c>
      <c r="Q68" s="2" t="s">
        <v>381</v>
      </c>
      <c r="R68" s="2" t="s">
        <v>387</v>
      </c>
      <c r="AC68" s="4"/>
      <c r="AD68" s="4"/>
    </row>
    <row r="69" spans="1:30" s="4" customFormat="1" x14ac:dyDescent="0.25">
      <c r="A69" s="2" t="s">
        <v>132</v>
      </c>
      <c r="B69" s="2" t="str">
        <f>CONCATENATE(A69,89)</f>
        <v>1MC0TQ6AJ2789</v>
      </c>
      <c r="C69" s="2" t="s">
        <v>441</v>
      </c>
      <c r="D69" s="2" t="s">
        <v>442</v>
      </c>
      <c r="E69" s="2" t="str">
        <f>CONCATENATE(D69," ",C69)</f>
        <v>JOSE CHAO</v>
      </c>
      <c r="F69" s="2" t="s">
        <v>45</v>
      </c>
      <c r="G69" s="2" t="s">
        <v>105</v>
      </c>
      <c r="H69" s="2" t="s">
        <v>29</v>
      </c>
      <c r="I69" s="3">
        <v>46174</v>
      </c>
      <c r="J69" s="3">
        <v>46174</v>
      </c>
      <c r="K69" s="3">
        <v>46387</v>
      </c>
      <c r="L69" s="2">
        <v>9213293</v>
      </c>
      <c r="M69" s="2">
        <v>9213293</v>
      </c>
      <c r="N69" s="2" t="s">
        <v>97</v>
      </c>
      <c r="O69" s="2">
        <v>-289.92</v>
      </c>
      <c r="P69" s="2">
        <v>-202.42</v>
      </c>
      <c r="Q69" s="2" t="s">
        <v>381</v>
      </c>
      <c r="R69" s="2" t="s">
        <v>387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s="2" customFormat="1" x14ac:dyDescent="0.25">
      <c r="A70" s="2" t="s">
        <v>187</v>
      </c>
      <c r="B70" s="2" t="str">
        <f>CONCATENATE(A70,89)</f>
        <v>1U16T09GP6189</v>
      </c>
      <c r="C70" s="2" t="s">
        <v>410</v>
      </c>
      <c r="D70" s="2" t="s">
        <v>412</v>
      </c>
      <c r="E70" s="2" t="str">
        <f>CONCATENATE(D70," ",C70)</f>
        <v>MARIANN FUNKHOUSER</v>
      </c>
      <c r="F70" s="2" t="s">
        <v>45</v>
      </c>
      <c r="G70" s="2" t="s">
        <v>105</v>
      </c>
      <c r="H70" s="2" t="s">
        <v>29</v>
      </c>
      <c r="I70" s="3">
        <v>46174</v>
      </c>
      <c r="J70" s="3">
        <v>46174</v>
      </c>
      <c r="K70" s="3">
        <v>46387</v>
      </c>
      <c r="L70" s="2">
        <v>7470776</v>
      </c>
      <c r="M70" s="2">
        <v>7470776</v>
      </c>
      <c r="N70" s="2" t="s">
        <v>48</v>
      </c>
      <c r="O70" s="2">
        <v>-289.92</v>
      </c>
      <c r="P70" s="2">
        <v>-202.42</v>
      </c>
      <c r="Q70" s="2" t="s">
        <v>381</v>
      </c>
      <c r="R70" s="2" t="s">
        <v>387</v>
      </c>
    </row>
    <row r="71" spans="1:30" s="2" customFormat="1" x14ac:dyDescent="0.25">
      <c r="A71" s="2" t="s">
        <v>308</v>
      </c>
      <c r="B71" s="2" t="str">
        <f>CONCATENATE(A71,89)</f>
        <v>1Y28NF5TT4589</v>
      </c>
      <c r="C71" s="2" t="s">
        <v>525</v>
      </c>
      <c r="D71" s="2" t="s">
        <v>526</v>
      </c>
      <c r="E71" s="2" t="str">
        <f>CONCATENATE(D71," ",C71)</f>
        <v>SHIRLEY PRIEBE</v>
      </c>
      <c r="F71" s="2" t="s">
        <v>201</v>
      </c>
      <c r="G71" s="2" t="s">
        <v>28</v>
      </c>
      <c r="H71" s="2" t="s">
        <v>29</v>
      </c>
      <c r="I71" s="3">
        <v>46204</v>
      </c>
      <c r="J71" s="3">
        <v>46204</v>
      </c>
      <c r="K71" s="3">
        <v>46387</v>
      </c>
      <c r="L71" s="2">
        <v>16849453</v>
      </c>
      <c r="M71" s="2">
        <v>16849453</v>
      </c>
      <c r="N71" s="2" t="s">
        <v>259</v>
      </c>
      <c r="O71" s="2">
        <v>248.5</v>
      </c>
      <c r="P71" s="2">
        <v>173.5</v>
      </c>
      <c r="Q71" s="2" t="s">
        <v>381</v>
      </c>
      <c r="R71" s="2" t="s">
        <v>389</v>
      </c>
      <c r="AC71" s="4"/>
      <c r="AD71" s="4"/>
    </row>
    <row r="72" spans="1:30" s="2" customFormat="1" x14ac:dyDescent="0.25">
      <c r="A72" s="2" t="s">
        <v>106</v>
      </c>
      <c r="B72" s="2" t="str">
        <f>CONCATENATE(A72,89)</f>
        <v>2A87G63XP6089</v>
      </c>
      <c r="C72" s="2" t="s">
        <v>408</v>
      </c>
      <c r="D72" s="2" t="s">
        <v>409</v>
      </c>
      <c r="E72" s="2" t="str">
        <f>CONCATENATE(D72," ",C72)</f>
        <v>FRANCES BANNISTER</v>
      </c>
      <c r="F72" s="2" t="s">
        <v>109</v>
      </c>
      <c r="G72" s="2" t="s">
        <v>105</v>
      </c>
      <c r="H72" s="2" t="s">
        <v>29</v>
      </c>
      <c r="I72" s="3">
        <v>46174</v>
      </c>
      <c r="J72" s="3">
        <v>46174</v>
      </c>
      <c r="K72" s="3">
        <v>46387</v>
      </c>
      <c r="L72" s="2">
        <v>7470776</v>
      </c>
      <c r="M72" s="2">
        <v>7470776</v>
      </c>
      <c r="N72" s="2" t="s">
        <v>48</v>
      </c>
      <c r="O72" s="2">
        <v>-289.92</v>
      </c>
      <c r="P72" s="2">
        <v>-202.42</v>
      </c>
      <c r="Q72" s="2" t="s">
        <v>381</v>
      </c>
      <c r="R72" s="2" t="s">
        <v>387</v>
      </c>
    </row>
    <row r="73" spans="1:30" s="2" customFormat="1" x14ac:dyDescent="0.25">
      <c r="A73" s="2" t="s">
        <v>357</v>
      </c>
      <c r="B73" s="2" t="str">
        <f>CONCATENATE(A73,89)</f>
        <v>2DM2MN8UR9189</v>
      </c>
      <c r="C73" s="2" t="s">
        <v>449</v>
      </c>
      <c r="D73" s="2" t="s">
        <v>450</v>
      </c>
      <c r="E73" s="2" t="str">
        <f>CONCATENATE(D73," ",C73)</f>
        <v>ANN WATSON</v>
      </c>
      <c r="F73" s="2" t="s">
        <v>45</v>
      </c>
      <c r="G73" s="2" t="s">
        <v>105</v>
      </c>
      <c r="H73" s="2" t="s">
        <v>29</v>
      </c>
      <c r="I73" s="3">
        <v>46143</v>
      </c>
      <c r="J73" s="3">
        <v>46143</v>
      </c>
      <c r="K73" s="3">
        <v>46387</v>
      </c>
      <c r="L73" s="2">
        <v>19586992</v>
      </c>
      <c r="M73" s="2">
        <v>19586992</v>
      </c>
      <c r="N73" s="2" t="s">
        <v>360</v>
      </c>
      <c r="O73" s="2">
        <v>-331.33</v>
      </c>
      <c r="P73" s="2">
        <v>-231.33</v>
      </c>
      <c r="Q73" s="2" t="s">
        <v>381</v>
      </c>
      <c r="R73" s="2" t="s">
        <v>385</v>
      </c>
      <c r="AC73" s="4"/>
      <c r="AD73" s="4"/>
    </row>
    <row r="74" spans="1:30" s="2" customFormat="1" x14ac:dyDescent="0.25">
      <c r="A74" s="2" t="s">
        <v>311</v>
      </c>
      <c r="B74" s="2" t="str">
        <f>CONCATENATE(A74,89)</f>
        <v>2JJ4H93QA9689</v>
      </c>
      <c r="C74" s="2" t="s">
        <v>474</v>
      </c>
      <c r="D74" s="2" t="s">
        <v>475</v>
      </c>
      <c r="E74" s="2" t="str">
        <f>CONCATENATE(D74," ",C74)</f>
        <v>KEITH RODECK</v>
      </c>
      <c r="F74" s="2" t="s">
        <v>305</v>
      </c>
      <c r="G74" s="2" t="s">
        <v>105</v>
      </c>
      <c r="H74" s="2" t="s">
        <v>29</v>
      </c>
      <c r="I74" s="3">
        <v>46174</v>
      </c>
      <c r="J74" s="3">
        <v>46174</v>
      </c>
      <c r="K74" s="3">
        <v>46387</v>
      </c>
      <c r="L74" s="2">
        <v>8307933</v>
      </c>
      <c r="M74" s="2">
        <v>8307933</v>
      </c>
      <c r="N74" s="2" t="s">
        <v>197</v>
      </c>
      <c r="O74" s="2">
        <v>-289.92</v>
      </c>
      <c r="P74" s="2">
        <v>-202.42</v>
      </c>
      <c r="Q74" s="2" t="s">
        <v>381</v>
      </c>
      <c r="R74" s="2" t="s">
        <v>387</v>
      </c>
      <c r="AC74" s="4"/>
      <c r="AD74" s="4"/>
    </row>
    <row r="75" spans="1:30" s="2" customFormat="1" x14ac:dyDescent="0.25">
      <c r="A75" s="2" t="s">
        <v>370</v>
      </c>
      <c r="B75" s="2" t="str">
        <f>CONCATENATE(A75,89)</f>
        <v>2K41R39QF3789</v>
      </c>
      <c r="C75" s="2" t="s">
        <v>466</v>
      </c>
      <c r="D75" s="2" t="s">
        <v>467</v>
      </c>
      <c r="E75" s="2" t="str">
        <f>CONCATENATE(D75," ",C75)</f>
        <v>BRENDA ZELINSKI</v>
      </c>
      <c r="F75" s="2" t="s">
        <v>156</v>
      </c>
      <c r="G75" s="2" t="s">
        <v>105</v>
      </c>
      <c r="H75" s="2" t="s">
        <v>29</v>
      </c>
      <c r="I75" s="3">
        <v>46174</v>
      </c>
      <c r="J75" s="3">
        <v>46174</v>
      </c>
      <c r="K75" s="3">
        <v>46387</v>
      </c>
      <c r="L75" s="2">
        <v>16170994</v>
      </c>
      <c r="M75" s="2">
        <v>16170994</v>
      </c>
      <c r="N75" s="2" t="s">
        <v>159</v>
      </c>
      <c r="O75" s="2">
        <v>-289.92</v>
      </c>
      <c r="P75" s="2">
        <v>-202.42</v>
      </c>
      <c r="Q75" s="2" t="s">
        <v>381</v>
      </c>
      <c r="R75" s="2" t="s">
        <v>387</v>
      </c>
    </row>
    <row r="76" spans="1:30" s="2" customFormat="1" x14ac:dyDescent="0.25">
      <c r="A76" s="2" t="s">
        <v>330</v>
      </c>
      <c r="B76" s="2" t="str">
        <f>CONCATENATE(A76,89)</f>
        <v>2PN5RH3QY5089</v>
      </c>
      <c r="C76" s="2" t="s">
        <v>439</v>
      </c>
      <c r="D76" s="2" t="s">
        <v>440</v>
      </c>
      <c r="E76" s="2" t="str">
        <f>CONCATENATE(D76," ",C76)</f>
        <v>JON SMITH</v>
      </c>
      <c r="F76" s="2" t="s">
        <v>109</v>
      </c>
      <c r="G76" s="2" t="s">
        <v>105</v>
      </c>
      <c r="H76" s="2" t="s">
        <v>29</v>
      </c>
      <c r="I76" s="3">
        <v>46174</v>
      </c>
      <c r="J76" s="3">
        <v>46174</v>
      </c>
      <c r="K76" s="3">
        <v>46387</v>
      </c>
      <c r="L76" s="2">
        <v>371819</v>
      </c>
      <c r="M76" s="2">
        <v>371819</v>
      </c>
      <c r="N76" s="2" t="s">
        <v>333</v>
      </c>
      <c r="O76" s="2">
        <v>-289.92</v>
      </c>
      <c r="P76" s="2">
        <v>-202.42</v>
      </c>
      <c r="Q76" s="2" t="s">
        <v>381</v>
      </c>
      <c r="R76" s="2" t="s">
        <v>387</v>
      </c>
      <c r="AC76" s="4"/>
      <c r="AD76" s="4"/>
    </row>
    <row r="77" spans="1:30" s="2" customFormat="1" x14ac:dyDescent="0.25">
      <c r="A77" s="2" t="s">
        <v>64</v>
      </c>
      <c r="B77" s="2" t="str">
        <f>CONCATENATE(A77,89)</f>
        <v>2UF0R89NE0689</v>
      </c>
      <c r="C77" s="2" t="s">
        <v>529</v>
      </c>
      <c r="D77" s="2" t="s">
        <v>530</v>
      </c>
      <c r="E77" s="2" t="str">
        <f>CONCATENATE(D77," ",C77)</f>
        <v>ROGER KERR</v>
      </c>
      <c r="F77" s="2" t="s">
        <v>67</v>
      </c>
      <c r="G77" s="2" t="s">
        <v>68</v>
      </c>
      <c r="H77" s="2" t="s">
        <v>29</v>
      </c>
      <c r="I77" s="3">
        <v>46174</v>
      </c>
      <c r="J77" s="3">
        <v>45139</v>
      </c>
      <c r="K77" s="3">
        <v>46387</v>
      </c>
      <c r="L77" s="2">
        <v>17528908</v>
      </c>
      <c r="M77" s="2">
        <v>17528908</v>
      </c>
      <c r="N77" s="2" t="s">
        <v>70</v>
      </c>
      <c r="O77" s="2">
        <v>31.42</v>
      </c>
      <c r="P77" s="2">
        <v>28.92</v>
      </c>
      <c r="Q77" s="2" t="s">
        <v>381</v>
      </c>
      <c r="R77" s="2" t="s">
        <v>392</v>
      </c>
      <c r="AC77" s="4"/>
      <c r="AD77" s="4"/>
    </row>
    <row r="78" spans="1:30" s="2" customFormat="1" x14ac:dyDescent="0.25">
      <c r="A78" s="2" t="s">
        <v>127</v>
      </c>
      <c r="B78" s="2" t="str">
        <f>CONCATENATE(A78,89)</f>
        <v>2YY2DT7AT8289</v>
      </c>
      <c r="C78" s="2" t="s">
        <v>419</v>
      </c>
      <c r="D78" s="2" t="s">
        <v>420</v>
      </c>
      <c r="E78" s="2" t="str">
        <f>CONCATENATE(D78," ",C78)</f>
        <v>JEFF CAGLEY</v>
      </c>
      <c r="F78" s="2" t="s">
        <v>45</v>
      </c>
      <c r="G78" s="2" t="s">
        <v>105</v>
      </c>
      <c r="H78" s="2" t="s">
        <v>29</v>
      </c>
      <c r="I78" s="3">
        <v>46174</v>
      </c>
      <c r="J78" s="3">
        <v>46174</v>
      </c>
      <c r="K78" s="3">
        <v>46387</v>
      </c>
      <c r="L78" s="2">
        <v>8244481</v>
      </c>
      <c r="M78" s="2">
        <v>8244481</v>
      </c>
      <c r="N78" s="2" t="s">
        <v>131</v>
      </c>
      <c r="O78" s="2">
        <v>-289.92</v>
      </c>
      <c r="P78" s="2">
        <v>-202.42</v>
      </c>
      <c r="Q78" s="2" t="s">
        <v>381</v>
      </c>
      <c r="R78" s="2" t="s">
        <v>387</v>
      </c>
    </row>
    <row r="79" spans="1:30" s="2" customFormat="1" x14ac:dyDescent="0.25">
      <c r="A79" s="2" t="s">
        <v>143</v>
      </c>
      <c r="B79" s="2" t="str">
        <f>CONCATENATE(A79,89)</f>
        <v>3EJ8GG5VX2489</v>
      </c>
      <c r="C79" s="2" t="s">
        <v>527</v>
      </c>
      <c r="D79" s="2" t="s">
        <v>531</v>
      </c>
      <c r="E79" s="2" t="str">
        <f>CONCATENATE(D79," ",C79)</f>
        <v>ISIAH DALTON</v>
      </c>
      <c r="F79" s="2" t="s">
        <v>45</v>
      </c>
      <c r="G79" s="2" t="s">
        <v>148</v>
      </c>
      <c r="H79" s="2" t="s">
        <v>29</v>
      </c>
      <c r="I79" s="3">
        <v>46113</v>
      </c>
      <c r="J79" s="3">
        <v>46113</v>
      </c>
      <c r="K79" s="3">
        <v>46174</v>
      </c>
      <c r="L79" s="2">
        <v>9213293</v>
      </c>
      <c r="M79" s="2">
        <v>9213293</v>
      </c>
      <c r="N79" s="2" t="s">
        <v>97</v>
      </c>
      <c r="O79" s="2">
        <v>-372.75</v>
      </c>
      <c r="P79" s="2">
        <v>-260.25</v>
      </c>
      <c r="Q79" s="2" t="s">
        <v>381</v>
      </c>
      <c r="R79" s="2" t="s">
        <v>380</v>
      </c>
    </row>
    <row r="80" spans="1:30" s="2" customFormat="1" x14ac:dyDescent="0.25">
      <c r="A80" s="2" t="s">
        <v>143</v>
      </c>
      <c r="B80" s="2" t="str">
        <f>CONCATENATE(A80,89)</f>
        <v>3EJ8GG5VX2489</v>
      </c>
      <c r="C80" s="2" t="s">
        <v>527</v>
      </c>
      <c r="D80" s="2" t="s">
        <v>531</v>
      </c>
      <c r="E80" s="2" t="str">
        <f>CONCATENATE(D80," ",C80)</f>
        <v>ISIAH DALTON</v>
      </c>
      <c r="F80" s="2" t="s">
        <v>45</v>
      </c>
      <c r="G80" s="2" t="s">
        <v>146</v>
      </c>
      <c r="H80" s="2" t="s">
        <v>29</v>
      </c>
      <c r="I80" s="3">
        <v>46113</v>
      </c>
      <c r="J80" s="3">
        <v>46113</v>
      </c>
      <c r="K80" s="3">
        <v>46174</v>
      </c>
      <c r="L80" s="2">
        <v>9213293</v>
      </c>
      <c r="M80" s="2">
        <v>9213293</v>
      </c>
      <c r="N80" s="2" t="s">
        <v>97</v>
      </c>
      <c r="O80" s="2">
        <v>82.83</v>
      </c>
      <c r="P80" s="2">
        <v>57.83</v>
      </c>
      <c r="Q80" s="2" t="s">
        <v>381</v>
      </c>
      <c r="R80" s="2" t="s">
        <v>393</v>
      </c>
      <c r="S80" s="2">
        <f>347/12*2</f>
        <v>57.833333333333336</v>
      </c>
    </row>
    <row r="81" spans="1:30" s="2" customFormat="1" x14ac:dyDescent="0.25">
      <c r="A81" s="2" t="s">
        <v>98</v>
      </c>
      <c r="B81" s="2" t="str">
        <f>CONCATENATE(A81,89)</f>
        <v>3JN8T64EX2789</v>
      </c>
      <c r="C81" s="2" t="s">
        <v>435</v>
      </c>
      <c r="D81" s="2" t="s">
        <v>436</v>
      </c>
      <c r="E81" s="2" t="str">
        <f>CONCATENATE(D81," ",C81)</f>
        <v>ELIZABETH ALICEA</v>
      </c>
      <c r="F81" s="2" t="s">
        <v>45</v>
      </c>
      <c r="G81" s="2" t="s">
        <v>105</v>
      </c>
      <c r="H81" s="2" t="s">
        <v>29</v>
      </c>
      <c r="I81" s="3">
        <v>46204</v>
      </c>
      <c r="J81" s="3">
        <v>46204</v>
      </c>
      <c r="K81" s="3">
        <v>46387</v>
      </c>
      <c r="L81" s="2">
        <v>7152559</v>
      </c>
      <c r="M81" s="2">
        <v>7152559</v>
      </c>
      <c r="N81" s="2" t="s">
        <v>103</v>
      </c>
      <c r="O81" s="2">
        <v>-248.5</v>
      </c>
      <c r="P81" s="2">
        <v>-173.5</v>
      </c>
      <c r="Q81" s="2" t="s">
        <v>381</v>
      </c>
      <c r="R81" s="2" t="s">
        <v>389</v>
      </c>
      <c r="AC81" s="4"/>
      <c r="AD81" s="4"/>
    </row>
    <row r="82" spans="1:30" s="4" customFormat="1" x14ac:dyDescent="0.25">
      <c r="A82" s="2" t="s">
        <v>183</v>
      </c>
      <c r="B82" s="2" t="str">
        <f>CONCATENATE(A82,89)</f>
        <v>3QX2QQ2CD0089</v>
      </c>
      <c r="C82" s="2" t="s">
        <v>410</v>
      </c>
      <c r="D82" s="2" t="s">
        <v>411</v>
      </c>
      <c r="E82" s="2" t="str">
        <f>CONCATENATE(D82," ",C82)</f>
        <v>DAVID FUNKHOUSER</v>
      </c>
      <c r="F82" s="2" t="s">
        <v>45</v>
      </c>
      <c r="G82" s="2" t="s">
        <v>105</v>
      </c>
      <c r="H82" s="2" t="s">
        <v>29</v>
      </c>
      <c r="I82" s="3">
        <v>46174</v>
      </c>
      <c r="J82" s="3">
        <v>46174</v>
      </c>
      <c r="K82" s="3">
        <v>46387</v>
      </c>
      <c r="L82" s="2">
        <v>7470776</v>
      </c>
      <c r="M82" s="2">
        <v>7470776</v>
      </c>
      <c r="N82" s="2" t="s">
        <v>48</v>
      </c>
      <c r="O82" s="2">
        <v>-289.92</v>
      </c>
      <c r="P82" s="2">
        <v>-202.42</v>
      </c>
      <c r="Q82" s="2" t="s">
        <v>381</v>
      </c>
      <c r="R82" s="2" t="s">
        <v>387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s="4" customFormat="1" x14ac:dyDescent="0.25">
      <c r="A83" s="2" t="s">
        <v>207</v>
      </c>
      <c r="B83" s="2" t="str">
        <f>CONCATENATE(A83,89)</f>
        <v>3R09NV7AT4389</v>
      </c>
      <c r="C83" s="2" t="s">
        <v>456</v>
      </c>
      <c r="D83" s="2" t="s">
        <v>457</v>
      </c>
      <c r="E83" s="2" t="str">
        <f>CONCATENATE(D83," ",C83)</f>
        <v>AMY GUILL</v>
      </c>
      <c r="F83" s="2" t="s">
        <v>156</v>
      </c>
      <c r="G83" s="2" t="s">
        <v>105</v>
      </c>
      <c r="H83" s="2" t="s">
        <v>29</v>
      </c>
      <c r="I83" s="3">
        <v>46204</v>
      </c>
      <c r="J83" s="3">
        <v>46204</v>
      </c>
      <c r="K83" s="3">
        <v>46387</v>
      </c>
      <c r="L83" s="2">
        <v>16170994</v>
      </c>
      <c r="M83" s="2">
        <v>16170994</v>
      </c>
      <c r="N83" s="2" t="s">
        <v>159</v>
      </c>
      <c r="O83" s="2">
        <v>-248.5</v>
      </c>
      <c r="P83" s="2">
        <v>-173.5</v>
      </c>
      <c r="Q83" s="2" t="s">
        <v>381</v>
      </c>
      <c r="R83" s="2" t="s">
        <v>389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s="4" customFormat="1" x14ac:dyDescent="0.25">
      <c r="A84" s="2" t="s">
        <v>176</v>
      </c>
      <c r="B84" s="2" t="str">
        <f>CONCATENATE(A84,89)</f>
        <v>3RX3WV9XT7189</v>
      </c>
      <c r="C84" s="2" t="s">
        <v>415</v>
      </c>
      <c r="D84" s="2" t="s">
        <v>416</v>
      </c>
      <c r="E84" s="2" t="str">
        <f>CONCATENATE(D84," ",C84)</f>
        <v>LINDA FOUTCH</v>
      </c>
      <c r="F84" s="2" t="s">
        <v>45</v>
      </c>
      <c r="G84" s="2" t="s">
        <v>105</v>
      </c>
      <c r="H84" s="2" t="s">
        <v>29</v>
      </c>
      <c r="I84" s="3">
        <v>46204</v>
      </c>
      <c r="J84" s="3">
        <v>46204</v>
      </c>
      <c r="K84" s="3">
        <v>46387</v>
      </c>
      <c r="L84" s="2">
        <v>8244481</v>
      </c>
      <c r="M84" s="2">
        <v>8244481</v>
      </c>
      <c r="N84" s="2" t="s">
        <v>131</v>
      </c>
      <c r="O84" s="2">
        <v>-248.5</v>
      </c>
      <c r="P84" s="2">
        <v>-173.5</v>
      </c>
      <c r="Q84" s="2" t="s">
        <v>381</v>
      </c>
      <c r="R84" s="2" t="s">
        <v>389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s="4" customFormat="1" x14ac:dyDescent="0.25">
      <c r="A85" s="2" t="s">
        <v>88</v>
      </c>
      <c r="B85" s="2" t="str">
        <f>CONCATENATE(A85,89)</f>
        <v>4HW4Y22EA6689</v>
      </c>
      <c r="C85" s="2" t="s">
        <v>533</v>
      </c>
      <c r="D85" s="2" t="s">
        <v>534</v>
      </c>
      <c r="E85" s="2" t="str">
        <f>CONCATENATE(D85," ",C85)</f>
        <v>MARILYN WEBER</v>
      </c>
      <c r="F85" s="2" t="s">
        <v>45</v>
      </c>
      <c r="G85" s="2" t="s">
        <v>28</v>
      </c>
      <c r="H85" s="2" t="s">
        <v>29</v>
      </c>
      <c r="I85" s="3">
        <v>46235</v>
      </c>
      <c r="J85" s="3">
        <v>46235</v>
      </c>
      <c r="K85" s="3">
        <v>46387</v>
      </c>
      <c r="L85" s="2">
        <v>16228684</v>
      </c>
      <c r="M85" s="2">
        <v>16228684</v>
      </c>
      <c r="N85" s="2" t="s">
        <v>93</v>
      </c>
      <c r="O85" s="2">
        <v>207.08</v>
      </c>
      <c r="P85" s="2">
        <v>144.58000000000001</v>
      </c>
      <c r="Q85" s="2" t="s">
        <v>381</v>
      </c>
      <c r="R85" s="2" t="s">
        <v>390</v>
      </c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30" s="4" customFormat="1" x14ac:dyDescent="0.25">
      <c r="A86" s="2" t="s">
        <v>214</v>
      </c>
      <c r="B86" s="2" t="str">
        <f>CONCATENATE(A86,89)</f>
        <v>4MX2TA6XW8489</v>
      </c>
      <c r="C86" s="2" t="s">
        <v>425</v>
      </c>
      <c r="D86" s="2" t="s">
        <v>426</v>
      </c>
      <c r="E86" s="2" t="str">
        <f>CONCATENATE(D86," ",C86)</f>
        <v>TINA HAGEMEIER</v>
      </c>
      <c r="F86" s="2" t="s">
        <v>45</v>
      </c>
      <c r="G86" s="2" t="s">
        <v>105</v>
      </c>
      <c r="H86" s="2" t="s">
        <v>29</v>
      </c>
      <c r="I86" s="3">
        <v>46204</v>
      </c>
      <c r="J86" s="3">
        <v>46204</v>
      </c>
      <c r="K86" s="3">
        <v>46387</v>
      </c>
      <c r="L86" s="2">
        <v>19268643</v>
      </c>
      <c r="M86" s="2">
        <v>19268643</v>
      </c>
      <c r="N86" s="2" t="s">
        <v>217</v>
      </c>
      <c r="O86" s="2">
        <v>-248.5</v>
      </c>
      <c r="P86" s="2">
        <v>-173.5</v>
      </c>
      <c r="Q86" s="2" t="s">
        <v>381</v>
      </c>
      <c r="R86" s="2" t="s">
        <v>389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s="4" customFormat="1" x14ac:dyDescent="0.25">
      <c r="A87" s="2" t="s">
        <v>83</v>
      </c>
      <c r="B87" s="2" t="str">
        <f>CONCATENATE(A87,89)</f>
        <v>4U08X16HR5289</v>
      </c>
      <c r="C87" s="2" t="s">
        <v>523</v>
      </c>
      <c r="D87" s="2" t="s">
        <v>524</v>
      </c>
      <c r="E87" s="2" t="str">
        <f>CONCATENATE(D87," ",C87)</f>
        <v>DEBBIE SANDOVALBUSTAM</v>
      </c>
      <c r="F87" s="2" t="s">
        <v>45</v>
      </c>
      <c r="G87" s="2" t="s">
        <v>28</v>
      </c>
      <c r="H87" s="2" t="s">
        <v>29</v>
      </c>
      <c r="I87" s="3">
        <v>46113</v>
      </c>
      <c r="J87" s="3">
        <v>46113</v>
      </c>
      <c r="K87" s="3">
        <v>46387</v>
      </c>
      <c r="L87" s="2">
        <v>21283956</v>
      </c>
      <c r="M87" s="2">
        <v>21283956</v>
      </c>
      <c r="N87" s="2" t="s">
        <v>87</v>
      </c>
      <c r="O87" s="2">
        <v>372.75</v>
      </c>
      <c r="P87" s="2">
        <v>260.25</v>
      </c>
      <c r="Q87" s="2" t="s">
        <v>381</v>
      </c>
      <c r="R87" s="2" t="s">
        <v>380</v>
      </c>
      <c r="S87" s="2">
        <f>347/12*9</f>
        <v>260.25</v>
      </c>
      <c r="T87" s="2"/>
      <c r="U87" s="2"/>
      <c r="V87" s="2"/>
      <c r="W87" s="2"/>
      <c r="X87" s="2"/>
      <c r="Y87" s="2"/>
      <c r="Z87" s="2"/>
      <c r="AA87" s="2"/>
      <c r="AB87" s="2"/>
    </row>
    <row r="88" spans="1:30" s="4" customFormat="1" x14ac:dyDescent="0.25">
      <c r="A88" s="2" t="s">
        <v>351</v>
      </c>
      <c r="B88" s="2" t="str">
        <f>CONCATENATE(A88,89)</f>
        <v>5D35QV3DW9989</v>
      </c>
      <c r="C88" s="2" t="s">
        <v>460</v>
      </c>
      <c r="D88" s="2" t="s">
        <v>461</v>
      </c>
      <c r="E88" s="2" t="str">
        <f>CONCATENATE(D88," ",C88)</f>
        <v>FRANK WAGNER</v>
      </c>
      <c r="F88" s="2" t="s">
        <v>156</v>
      </c>
      <c r="G88" s="2" t="s">
        <v>105</v>
      </c>
      <c r="H88" s="2" t="s">
        <v>29</v>
      </c>
      <c r="I88" s="3">
        <v>46204</v>
      </c>
      <c r="J88" s="3">
        <v>46204</v>
      </c>
      <c r="K88" s="3">
        <v>46387</v>
      </c>
      <c r="L88" s="2">
        <v>16170994</v>
      </c>
      <c r="M88" s="2">
        <v>16170994</v>
      </c>
      <c r="N88" s="2" t="s">
        <v>159</v>
      </c>
      <c r="O88" s="2">
        <v>-248.5</v>
      </c>
      <c r="P88" s="2">
        <v>-173.5</v>
      </c>
      <c r="Q88" s="2" t="s">
        <v>381</v>
      </c>
      <c r="R88" s="2" t="s">
        <v>389</v>
      </c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30" s="4" customFormat="1" x14ac:dyDescent="0.25">
      <c r="A89" s="2" t="s">
        <v>242</v>
      </c>
      <c r="B89" s="2" t="str">
        <f>CONCATENATE(A89,89)</f>
        <v>5GC4RR4EF6489</v>
      </c>
      <c r="C89" s="2" t="s">
        <v>480</v>
      </c>
      <c r="D89" s="2" t="s">
        <v>481</v>
      </c>
      <c r="E89" s="2" t="str">
        <f>CONCATENATE(D89," ",C89)</f>
        <v>NASTE ISIROV</v>
      </c>
      <c r="F89" s="2" t="s">
        <v>45</v>
      </c>
      <c r="G89" s="2" t="s">
        <v>105</v>
      </c>
      <c r="H89" s="2" t="s">
        <v>29</v>
      </c>
      <c r="I89" s="3">
        <v>46235</v>
      </c>
      <c r="J89" s="3">
        <v>46235</v>
      </c>
      <c r="K89" s="3">
        <v>46387</v>
      </c>
      <c r="L89" s="2">
        <v>16633294</v>
      </c>
      <c r="M89" s="2">
        <v>16633294</v>
      </c>
      <c r="N89" s="2" t="s">
        <v>56</v>
      </c>
      <c r="O89" s="2">
        <v>-207.08</v>
      </c>
      <c r="P89" s="2">
        <v>-144.58000000000001</v>
      </c>
      <c r="Q89" s="2" t="s">
        <v>381</v>
      </c>
      <c r="R89" s="2" t="s">
        <v>390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s="4" customFormat="1" x14ac:dyDescent="0.25">
      <c r="A90" s="2" t="s">
        <v>249</v>
      </c>
      <c r="B90" s="2" t="str">
        <f>CONCATENATE(A90,89)</f>
        <v>5MX2G05JV9389</v>
      </c>
      <c r="C90" s="2" t="s">
        <v>458</v>
      </c>
      <c r="D90" s="2" t="s">
        <v>459</v>
      </c>
      <c r="E90" s="2" t="str">
        <f>CONCATENATE(D90," ",C90)</f>
        <v>JANIS JOHNSON</v>
      </c>
      <c r="F90" s="2" t="s">
        <v>156</v>
      </c>
      <c r="G90" s="2" t="s">
        <v>105</v>
      </c>
      <c r="H90" s="2" t="s">
        <v>29</v>
      </c>
      <c r="I90" s="3">
        <v>46204</v>
      </c>
      <c r="J90" s="3">
        <v>46204</v>
      </c>
      <c r="K90" s="3">
        <v>46387</v>
      </c>
      <c r="L90" s="2">
        <v>16170994</v>
      </c>
      <c r="M90" s="2">
        <v>16170994</v>
      </c>
      <c r="N90" s="2" t="s">
        <v>159</v>
      </c>
      <c r="O90" s="2">
        <v>-248.5</v>
      </c>
      <c r="P90" s="2">
        <v>-173.5</v>
      </c>
      <c r="Q90" s="2" t="s">
        <v>381</v>
      </c>
      <c r="R90" s="2" t="s">
        <v>389</v>
      </c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30" s="4" customFormat="1" x14ac:dyDescent="0.25">
      <c r="A91" s="2" t="s">
        <v>57</v>
      </c>
      <c r="B91" s="2" t="str">
        <f>CONCATENATE(A91,89)</f>
        <v>5NG2E52EW8189</v>
      </c>
      <c r="C91" s="2" t="s">
        <v>458</v>
      </c>
      <c r="D91" s="2" t="s">
        <v>537</v>
      </c>
      <c r="E91" s="2" t="str">
        <f>CONCATENATE(D91," ",C91)</f>
        <v>DEANNA JOHNSON</v>
      </c>
      <c r="F91" s="2" t="s">
        <v>60</v>
      </c>
      <c r="G91" s="2" t="s">
        <v>28</v>
      </c>
      <c r="H91" s="2" t="s">
        <v>61</v>
      </c>
      <c r="I91" s="3">
        <v>46204</v>
      </c>
      <c r="J91" s="3">
        <v>46204</v>
      </c>
      <c r="K91" s="3">
        <v>46387</v>
      </c>
      <c r="L91" s="2">
        <v>8325282</v>
      </c>
      <c r="M91" s="2">
        <v>8325282</v>
      </c>
      <c r="N91" s="2" t="s">
        <v>63</v>
      </c>
      <c r="O91" s="2">
        <v>248.5</v>
      </c>
      <c r="P91" s="2">
        <v>173.5</v>
      </c>
      <c r="Q91" s="2" t="s">
        <v>381</v>
      </c>
      <c r="R91" s="2" t="s">
        <v>389</v>
      </c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30" s="4" customFormat="1" x14ac:dyDescent="0.25">
      <c r="A92" s="2" t="s">
        <v>326</v>
      </c>
      <c r="B92" s="2" t="str">
        <f>CONCATENATE(A92,89)</f>
        <v>5NH5XE9FW7289</v>
      </c>
      <c r="C92" s="2" t="s">
        <v>437</v>
      </c>
      <c r="D92" s="2" t="s">
        <v>438</v>
      </c>
      <c r="E92" s="2" t="str">
        <f>CONCATENATE(D92," ",C92)</f>
        <v>TIMOTHY SHEPARD</v>
      </c>
      <c r="F92" s="2" t="s">
        <v>45</v>
      </c>
      <c r="G92" s="2" t="s">
        <v>105</v>
      </c>
      <c r="H92" s="2" t="s">
        <v>29</v>
      </c>
      <c r="I92" s="3">
        <v>46174</v>
      </c>
      <c r="J92" s="3">
        <v>46174</v>
      </c>
      <c r="K92" s="3">
        <v>46387</v>
      </c>
      <c r="L92" s="2">
        <v>7146581</v>
      </c>
      <c r="M92" s="2">
        <v>7146581</v>
      </c>
      <c r="N92" s="2" t="s">
        <v>329</v>
      </c>
      <c r="O92" s="2">
        <v>-289.92</v>
      </c>
      <c r="P92" s="2">
        <v>-202.42</v>
      </c>
      <c r="Q92" s="2" t="s">
        <v>381</v>
      </c>
      <c r="R92" s="2" t="s">
        <v>387</v>
      </c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30" s="4" customFormat="1" x14ac:dyDescent="0.25">
      <c r="A93" s="2" t="s">
        <v>298</v>
      </c>
      <c r="B93" s="2" t="str">
        <f>CONCATENATE(A93,89)</f>
        <v>5PE1P46NK2989</v>
      </c>
      <c r="C93" s="2" t="s">
        <v>431</v>
      </c>
      <c r="D93" s="2" t="s">
        <v>432</v>
      </c>
      <c r="E93" s="2" t="str">
        <f>CONCATENATE(D93," ",C93)</f>
        <v>STEVEN PENNINGTON</v>
      </c>
      <c r="F93" s="2" t="s">
        <v>156</v>
      </c>
      <c r="G93" s="2" t="s">
        <v>105</v>
      </c>
      <c r="H93" s="2" t="s">
        <v>29</v>
      </c>
      <c r="I93" s="3">
        <v>46174</v>
      </c>
      <c r="J93" s="3">
        <v>46174</v>
      </c>
      <c r="K93" s="3">
        <v>46387</v>
      </c>
      <c r="L93" s="2">
        <v>17094718</v>
      </c>
      <c r="M93" s="2">
        <v>17094718</v>
      </c>
      <c r="N93" s="2" t="s">
        <v>203</v>
      </c>
      <c r="O93" s="2">
        <v>-289.92</v>
      </c>
      <c r="P93" s="2">
        <v>-202.42</v>
      </c>
      <c r="Q93" s="2" t="s">
        <v>381</v>
      </c>
      <c r="R93" s="2" t="s">
        <v>387</v>
      </c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30" s="2" customFormat="1" x14ac:dyDescent="0.25">
      <c r="A94" s="2" t="s">
        <v>198</v>
      </c>
      <c r="B94" s="2" t="str">
        <f>CONCATENATE(A94,89)</f>
        <v>5QG5J34VR7789</v>
      </c>
      <c r="C94" s="2" t="s">
        <v>429</v>
      </c>
      <c r="D94" s="2" t="s">
        <v>430</v>
      </c>
      <c r="E94" s="2" t="str">
        <f>CONCATENATE(D94," ",C94)</f>
        <v>MARQUERITA GOMEZ</v>
      </c>
      <c r="F94" s="2" t="s">
        <v>201</v>
      </c>
      <c r="G94" s="2" t="s">
        <v>105</v>
      </c>
      <c r="H94" s="2" t="s">
        <v>29</v>
      </c>
      <c r="I94" s="3">
        <v>46174</v>
      </c>
      <c r="J94" s="3">
        <v>46174</v>
      </c>
      <c r="K94" s="3">
        <v>46387</v>
      </c>
      <c r="L94" s="2">
        <v>17094718</v>
      </c>
      <c r="M94" s="2">
        <v>17094718</v>
      </c>
      <c r="N94" s="2" t="s">
        <v>203</v>
      </c>
      <c r="O94" s="2">
        <v>-289.92</v>
      </c>
      <c r="P94" s="2">
        <v>-202.42</v>
      </c>
      <c r="Q94" s="2" t="s">
        <v>381</v>
      </c>
      <c r="R94" s="2" t="s">
        <v>387</v>
      </c>
      <c r="AC94" s="4"/>
      <c r="AD94" s="4"/>
    </row>
    <row r="95" spans="1:30" s="2" customFormat="1" x14ac:dyDescent="0.25">
      <c r="A95" s="2" t="s">
        <v>49</v>
      </c>
      <c r="B95" s="2" t="str">
        <f>CONCATENATE(A95,89)</f>
        <v>5RU6N39FR8789</v>
      </c>
      <c r="C95" s="2" t="s">
        <v>517</v>
      </c>
      <c r="D95" s="2" t="s">
        <v>518</v>
      </c>
      <c r="E95" s="2" t="str">
        <f>CONCATENATE(D95," ",C95)</f>
        <v>MICHAEL ISAACS</v>
      </c>
      <c r="F95" s="2" t="s">
        <v>45</v>
      </c>
      <c r="G95" s="2" t="s">
        <v>28</v>
      </c>
      <c r="H95" s="2" t="s">
        <v>29</v>
      </c>
      <c r="I95" s="3">
        <v>46204</v>
      </c>
      <c r="J95" s="3">
        <v>46204</v>
      </c>
      <c r="K95" s="3">
        <v>46387</v>
      </c>
      <c r="L95" s="2">
        <v>7470776</v>
      </c>
      <c r="M95" s="2">
        <v>7470776</v>
      </c>
      <c r="N95" s="2" t="s">
        <v>48</v>
      </c>
      <c r="O95" s="2">
        <v>248.5</v>
      </c>
      <c r="P95" s="2">
        <v>173.5</v>
      </c>
      <c r="Q95" s="2" t="s">
        <v>381</v>
      </c>
      <c r="R95" s="2" t="s">
        <v>389</v>
      </c>
      <c r="S95" s="2">
        <f>347/12*6</f>
        <v>173.5</v>
      </c>
    </row>
    <row r="96" spans="1:30" s="2" customFormat="1" x14ac:dyDescent="0.25">
      <c r="A96" s="2" t="s">
        <v>255</v>
      </c>
      <c r="B96" s="2" t="str">
        <f>CONCATENATE(A96,89)</f>
        <v>5T21RF7DG2689</v>
      </c>
      <c r="C96" s="2" t="s">
        <v>427</v>
      </c>
      <c r="D96" s="2" t="s">
        <v>428</v>
      </c>
      <c r="E96" s="2" t="str">
        <f>CONCATENATE(D96," ",C96)</f>
        <v>CONNIE JUNG</v>
      </c>
      <c r="F96" s="2" t="s">
        <v>201</v>
      </c>
      <c r="G96" s="2" t="s">
        <v>105</v>
      </c>
      <c r="H96" s="2" t="s">
        <v>29</v>
      </c>
      <c r="I96" s="3">
        <v>46174</v>
      </c>
      <c r="J96" s="3">
        <v>46174</v>
      </c>
      <c r="K96" s="3">
        <v>46387</v>
      </c>
      <c r="L96" s="2">
        <v>16849453</v>
      </c>
      <c r="M96" s="2">
        <v>16849453</v>
      </c>
      <c r="N96" s="2" t="s">
        <v>259</v>
      </c>
      <c r="O96" s="2">
        <v>-289.92</v>
      </c>
      <c r="P96" s="2">
        <v>-202.42</v>
      </c>
      <c r="Q96" s="2" t="s">
        <v>381</v>
      </c>
      <c r="R96" s="2" t="s">
        <v>387</v>
      </c>
      <c r="AC96" s="4"/>
      <c r="AD96" s="4"/>
    </row>
    <row r="97" spans="1:30" s="2" customFormat="1" x14ac:dyDescent="0.25">
      <c r="A97" s="2" t="s">
        <v>315</v>
      </c>
      <c r="B97" s="2" t="str">
        <f>CONCATENATE(A97,89)</f>
        <v>6D74Q61UV6289</v>
      </c>
      <c r="C97" s="2" t="s">
        <v>472</v>
      </c>
      <c r="D97" s="2" t="s">
        <v>473</v>
      </c>
      <c r="E97" s="2" t="str">
        <f>CONCATENATE(D97," ",C97)</f>
        <v>KEN RYDER</v>
      </c>
      <c r="F97" s="2" t="s">
        <v>305</v>
      </c>
      <c r="G97" s="2" t="s">
        <v>105</v>
      </c>
      <c r="H97" s="2" t="s">
        <v>29</v>
      </c>
      <c r="I97" s="3">
        <v>46204</v>
      </c>
      <c r="J97" s="3">
        <v>46204</v>
      </c>
      <c r="K97" s="3">
        <v>46387</v>
      </c>
      <c r="L97" s="2">
        <v>8307933</v>
      </c>
      <c r="M97" s="2">
        <v>8307933</v>
      </c>
      <c r="N97" s="2" t="s">
        <v>197</v>
      </c>
      <c r="O97" s="2">
        <v>-248.5</v>
      </c>
      <c r="P97" s="2">
        <v>-173.5</v>
      </c>
      <c r="Q97" s="2" t="s">
        <v>381</v>
      </c>
      <c r="R97" s="2" t="s">
        <v>389</v>
      </c>
      <c r="AC97" s="4"/>
      <c r="AD97" s="4"/>
    </row>
    <row r="98" spans="1:30" s="2" customFormat="1" x14ac:dyDescent="0.25">
      <c r="A98" s="2" t="s">
        <v>193</v>
      </c>
      <c r="B98" s="2" t="str">
        <f>CONCATENATE(A98,89)</f>
        <v>6DN6VJ5KJ8589</v>
      </c>
      <c r="C98" s="2" t="s">
        <v>470</v>
      </c>
      <c r="D98" s="2" t="s">
        <v>471</v>
      </c>
      <c r="E98" s="2" t="str">
        <f>CONCATENATE(D98," ",C98)</f>
        <v>ROBERT GOLDEN</v>
      </c>
      <c r="F98" s="2" t="s">
        <v>109</v>
      </c>
      <c r="G98" s="2" t="s">
        <v>105</v>
      </c>
      <c r="H98" s="2" t="s">
        <v>29</v>
      </c>
      <c r="I98" s="3">
        <v>46235</v>
      </c>
      <c r="J98" s="3">
        <v>46235</v>
      </c>
      <c r="K98" s="3">
        <v>46387</v>
      </c>
      <c r="L98" s="2">
        <v>8307933</v>
      </c>
      <c r="M98" s="2">
        <v>8307933</v>
      </c>
      <c r="N98" s="2" t="s">
        <v>197</v>
      </c>
      <c r="O98" s="2">
        <v>-207.08</v>
      </c>
      <c r="P98" s="2">
        <v>-144.58000000000001</v>
      </c>
      <c r="Q98" s="2" t="s">
        <v>381</v>
      </c>
      <c r="R98" s="2" t="s">
        <v>390</v>
      </c>
      <c r="AC98" s="4"/>
      <c r="AD98" s="4"/>
    </row>
    <row r="99" spans="1:30" s="4" customFormat="1" x14ac:dyDescent="0.25">
      <c r="A99" s="2" t="s">
        <v>42</v>
      </c>
      <c r="B99" s="2" t="str">
        <f>CONCATENATE(A99,89)</f>
        <v>6ME5NK2NG7789</v>
      </c>
      <c r="C99" s="2" t="s">
        <v>513</v>
      </c>
      <c r="D99" s="2" t="s">
        <v>514</v>
      </c>
      <c r="E99" s="2" t="str">
        <f>CONCATENATE(D99," ",C99)</f>
        <v>JOHN FURTH</v>
      </c>
      <c r="F99" s="2" t="s">
        <v>45</v>
      </c>
      <c r="G99" s="2" t="s">
        <v>28</v>
      </c>
      <c r="H99" s="2" t="s">
        <v>29</v>
      </c>
      <c r="I99" s="3">
        <v>46235</v>
      </c>
      <c r="J99" s="3">
        <v>46235</v>
      </c>
      <c r="K99" s="3">
        <v>46387</v>
      </c>
      <c r="L99" s="2">
        <v>7470776</v>
      </c>
      <c r="M99" s="2">
        <v>7470776</v>
      </c>
      <c r="N99" s="2" t="s">
        <v>48</v>
      </c>
      <c r="O99" s="2">
        <v>207.08</v>
      </c>
      <c r="P99" s="2">
        <v>144.58000000000001</v>
      </c>
      <c r="Q99" s="2" t="s">
        <v>381</v>
      </c>
      <c r="R99" s="2" t="s">
        <v>390</v>
      </c>
      <c r="S99" s="2">
        <f>347/12*5</f>
        <v>144.58333333333334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s="4" customFormat="1" x14ac:dyDescent="0.25">
      <c r="A100" s="2" t="s">
        <v>354</v>
      </c>
      <c r="B100" s="2" t="str">
        <f>CONCATENATE(A100,89)</f>
        <v>6N71UV1EV0289</v>
      </c>
      <c r="C100" s="2" t="s">
        <v>454</v>
      </c>
      <c r="D100" s="2" t="s">
        <v>455</v>
      </c>
      <c r="E100" s="2" t="str">
        <f>CONCATENATE(D100," ",C100)</f>
        <v>JANET WARNOCK</v>
      </c>
      <c r="F100" s="2" t="s">
        <v>156</v>
      </c>
      <c r="G100" s="2" t="s">
        <v>105</v>
      </c>
      <c r="H100" s="2" t="s">
        <v>29</v>
      </c>
      <c r="I100" s="3">
        <v>46235</v>
      </c>
      <c r="J100" s="3">
        <v>46235</v>
      </c>
      <c r="K100" s="3">
        <v>46387</v>
      </c>
      <c r="L100" s="2">
        <v>16170994</v>
      </c>
      <c r="M100" s="2">
        <v>16170994</v>
      </c>
      <c r="N100" s="2" t="s">
        <v>159</v>
      </c>
      <c r="O100" s="2">
        <v>-207.08</v>
      </c>
      <c r="P100" s="2">
        <v>-144.58000000000001</v>
      </c>
      <c r="Q100" s="2" t="s">
        <v>381</v>
      </c>
      <c r="R100" s="2" t="s">
        <v>390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30" s="4" customFormat="1" x14ac:dyDescent="0.25">
      <c r="A101" s="2" t="s">
        <v>179</v>
      </c>
      <c r="B101" s="2" t="str">
        <f>CONCATENATE(A101,89)</f>
        <v>6PE4XQ2TE0489</v>
      </c>
      <c r="C101" s="2" t="s">
        <v>451</v>
      </c>
      <c r="D101" s="2" t="s">
        <v>434</v>
      </c>
      <c r="E101" s="2" t="str">
        <f>CONCATENATE(D101," ",C101)</f>
        <v>MARIA FRIAS</v>
      </c>
      <c r="F101" s="2" t="s">
        <v>45</v>
      </c>
      <c r="G101" s="2" t="s">
        <v>105</v>
      </c>
      <c r="H101" s="2" t="s">
        <v>29</v>
      </c>
      <c r="I101" s="3">
        <v>46204</v>
      </c>
      <c r="J101" s="3">
        <v>46204</v>
      </c>
      <c r="K101" s="3">
        <v>46387</v>
      </c>
      <c r="L101" s="2">
        <v>7565575</v>
      </c>
      <c r="M101" s="2">
        <v>7565575</v>
      </c>
      <c r="N101" s="2" t="s">
        <v>182</v>
      </c>
      <c r="O101" s="2">
        <v>-248.5</v>
      </c>
      <c r="P101" s="2">
        <v>-173.5</v>
      </c>
      <c r="Q101" s="2" t="s">
        <v>381</v>
      </c>
      <c r="R101" s="2" t="s">
        <v>389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30" s="4" customFormat="1" x14ac:dyDescent="0.25">
      <c r="A102" s="2" t="s">
        <v>169</v>
      </c>
      <c r="B102" s="2" t="str">
        <f>CONCATENATE(A102,89)</f>
        <v>6QE3WM4XW7989</v>
      </c>
      <c r="C102" s="2" t="s">
        <v>478</v>
      </c>
      <c r="D102" s="2" t="s">
        <v>479</v>
      </c>
      <c r="E102" s="2" t="str">
        <f>CONCATENATE(D102," ",C102)</f>
        <v>HAROLD FOSTER</v>
      </c>
      <c r="F102" s="2" t="s">
        <v>172</v>
      </c>
      <c r="G102" s="2" t="s">
        <v>105</v>
      </c>
      <c r="H102" s="2" t="s">
        <v>29</v>
      </c>
      <c r="I102" s="3">
        <v>46143</v>
      </c>
      <c r="J102" s="3">
        <v>46143</v>
      </c>
      <c r="K102" s="3">
        <v>46387</v>
      </c>
      <c r="L102" s="2">
        <v>20003537</v>
      </c>
      <c r="M102" s="2">
        <v>20003537</v>
      </c>
      <c r="N102" s="2" t="s">
        <v>175</v>
      </c>
      <c r="O102" s="2">
        <v>-331.33</v>
      </c>
      <c r="P102" s="2">
        <v>-231.33</v>
      </c>
      <c r="Q102" s="2" t="s">
        <v>381</v>
      </c>
      <c r="R102" s="2" t="s">
        <v>385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30" s="4" customFormat="1" x14ac:dyDescent="0.25">
      <c r="A103" s="2" t="s">
        <v>72</v>
      </c>
      <c r="B103" s="2" t="str">
        <f>CONCATENATE(A103,89)</f>
        <v>6RJ3KQ4QY1589</v>
      </c>
      <c r="C103" s="2" t="s">
        <v>538</v>
      </c>
      <c r="D103" s="2" t="s">
        <v>539</v>
      </c>
      <c r="E103" s="2" t="str">
        <f>CONCATENATE(D103," ",C103)</f>
        <v>DIANE LEINONEN</v>
      </c>
      <c r="F103" s="2" t="s">
        <v>45</v>
      </c>
      <c r="G103" s="2" t="s">
        <v>28</v>
      </c>
      <c r="H103" s="2" t="s">
        <v>29</v>
      </c>
      <c r="I103" s="3">
        <v>46235</v>
      </c>
      <c r="J103" s="3">
        <v>46235</v>
      </c>
      <c r="K103" s="3">
        <v>46387</v>
      </c>
      <c r="L103" s="2">
        <v>16633294</v>
      </c>
      <c r="M103" s="2">
        <v>16633294</v>
      </c>
      <c r="N103" s="2" t="s">
        <v>56</v>
      </c>
      <c r="O103" s="2">
        <v>207.08</v>
      </c>
      <c r="P103" s="2">
        <v>144.58000000000001</v>
      </c>
      <c r="Q103" s="2" t="s">
        <v>381</v>
      </c>
      <c r="R103" s="2" t="s">
        <v>390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30" s="4" customFormat="1" x14ac:dyDescent="0.25">
      <c r="A104" s="2" t="s">
        <v>260</v>
      </c>
      <c r="B104" s="2" t="str">
        <f>CONCATENATE(A104,89)</f>
        <v>6T15XQ1WX8089</v>
      </c>
      <c r="C104" s="2" t="s">
        <v>443</v>
      </c>
      <c r="D104" s="2" t="s">
        <v>444</v>
      </c>
      <c r="E104" s="2" t="str">
        <f>CONCATENATE(D104," ",C104)</f>
        <v>IVAN KERN</v>
      </c>
      <c r="F104" s="2" t="s">
        <v>263</v>
      </c>
      <c r="G104" s="2" t="s">
        <v>105</v>
      </c>
      <c r="H104" s="2" t="s">
        <v>29</v>
      </c>
      <c r="I104" s="3">
        <v>46174</v>
      </c>
      <c r="J104" s="3">
        <v>46174</v>
      </c>
      <c r="K104" s="3">
        <v>46387</v>
      </c>
      <c r="L104" s="2">
        <v>9213293</v>
      </c>
      <c r="M104" s="2">
        <v>9213293</v>
      </c>
      <c r="N104" s="2" t="s">
        <v>97</v>
      </c>
      <c r="O104" s="2">
        <v>-289.92</v>
      </c>
      <c r="P104" s="2">
        <v>-202.42</v>
      </c>
      <c r="Q104" s="2" t="s">
        <v>381</v>
      </c>
      <c r="R104" s="2" t="s">
        <v>387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s="4" customFormat="1" x14ac:dyDescent="0.25">
      <c r="A105" s="2" t="s">
        <v>345</v>
      </c>
      <c r="B105" s="2" t="str">
        <f>CONCATENATE(A105,89)</f>
        <v>6UY7AC6WU7389</v>
      </c>
      <c r="C105" s="2" t="s">
        <v>417</v>
      </c>
      <c r="D105" s="2" t="s">
        <v>418</v>
      </c>
      <c r="E105" s="2" t="str">
        <f>CONCATENATE(D105," ",C105)</f>
        <v>M TORPATS</v>
      </c>
      <c r="F105" s="2" t="s">
        <v>45</v>
      </c>
      <c r="G105" s="2" t="s">
        <v>105</v>
      </c>
      <c r="H105" s="2" t="s">
        <v>29</v>
      </c>
      <c r="I105" s="3">
        <v>46204</v>
      </c>
      <c r="J105" s="3">
        <v>46204</v>
      </c>
      <c r="K105" s="3">
        <v>46387</v>
      </c>
      <c r="L105" s="2">
        <v>8244481</v>
      </c>
      <c r="M105" s="2">
        <v>8244481</v>
      </c>
      <c r="N105" s="2" t="s">
        <v>131</v>
      </c>
      <c r="O105" s="2">
        <v>-248.5</v>
      </c>
      <c r="P105" s="2">
        <v>-173.5</v>
      </c>
      <c r="Q105" s="2" t="s">
        <v>381</v>
      </c>
      <c r="R105" s="2" t="s">
        <v>389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s="4" customFormat="1" x14ac:dyDescent="0.25">
      <c r="A106" s="2" t="s">
        <v>235</v>
      </c>
      <c r="B106" s="2" t="str">
        <f>CONCATENATE(A106,89)</f>
        <v>6V64T75PE0889</v>
      </c>
      <c r="C106" s="2" t="s">
        <v>515</v>
      </c>
      <c r="D106" s="2" t="s">
        <v>516</v>
      </c>
      <c r="E106" s="2" t="str">
        <f>CONCATENATE(D106," ",C106)</f>
        <v>PAMELA HOBBS</v>
      </c>
      <c r="F106" s="2" t="s">
        <v>45</v>
      </c>
      <c r="G106" s="2" t="s">
        <v>28</v>
      </c>
      <c r="H106" s="2" t="s">
        <v>29</v>
      </c>
      <c r="I106" s="3">
        <v>46204</v>
      </c>
      <c r="J106" s="3">
        <v>46204</v>
      </c>
      <c r="K106" s="3">
        <v>46387</v>
      </c>
      <c r="L106" s="2">
        <v>7470776</v>
      </c>
      <c r="M106" s="2">
        <v>7470776</v>
      </c>
      <c r="N106" s="2" t="s">
        <v>48</v>
      </c>
      <c r="O106" s="2">
        <v>248.5</v>
      </c>
      <c r="P106" s="2">
        <v>173.5</v>
      </c>
      <c r="Q106" s="2" t="s">
        <v>381</v>
      </c>
      <c r="R106" s="2" t="s">
        <v>389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30" s="2" customFormat="1" x14ac:dyDescent="0.25">
      <c r="A107" s="2" t="s">
        <v>153</v>
      </c>
      <c r="B107" s="2" t="str">
        <f>CONCATENATE(A107,89)</f>
        <v>7C07VF9JM2089</v>
      </c>
      <c r="C107" s="2" t="s">
        <v>452</v>
      </c>
      <c r="D107" s="2" t="s">
        <v>453</v>
      </c>
      <c r="E107" s="2" t="str">
        <f>CONCATENATE(D107," ",C107)</f>
        <v>JAMES DECKER</v>
      </c>
      <c r="F107" s="2" t="s">
        <v>156</v>
      </c>
      <c r="G107" s="2" t="s">
        <v>105</v>
      </c>
      <c r="H107" s="2" t="s">
        <v>29</v>
      </c>
      <c r="I107" s="3">
        <v>46235</v>
      </c>
      <c r="J107" s="3">
        <v>46235</v>
      </c>
      <c r="K107" s="3">
        <v>46387</v>
      </c>
      <c r="L107" s="2">
        <v>16170994</v>
      </c>
      <c r="M107" s="2">
        <v>16170994</v>
      </c>
      <c r="N107" s="2" t="s">
        <v>159</v>
      </c>
      <c r="O107" s="2">
        <v>-207.08</v>
      </c>
      <c r="P107" s="2">
        <v>-144.58000000000001</v>
      </c>
      <c r="Q107" s="2" t="s">
        <v>381</v>
      </c>
      <c r="R107" s="2" t="s">
        <v>390</v>
      </c>
      <c r="AC107" s="4"/>
      <c r="AD107" s="4"/>
    </row>
    <row r="108" spans="1:30" s="4" customFormat="1" x14ac:dyDescent="0.25">
      <c r="A108" s="2" t="s">
        <v>160</v>
      </c>
      <c r="B108" s="2" t="str">
        <f>CONCATENATE(A108,89)</f>
        <v>7FE7G53TR7489</v>
      </c>
      <c r="C108" s="2" t="s">
        <v>423</v>
      </c>
      <c r="D108" s="2" t="s">
        <v>424</v>
      </c>
      <c r="E108" s="2" t="str">
        <f>CONCATENATE(D108," ",C108)</f>
        <v>CORBY ESAREY</v>
      </c>
      <c r="F108" s="2" t="s">
        <v>163</v>
      </c>
      <c r="G108" s="2" t="s">
        <v>105</v>
      </c>
      <c r="H108" s="2" t="s">
        <v>29</v>
      </c>
      <c r="I108" s="3">
        <v>46204</v>
      </c>
      <c r="J108" s="3">
        <v>46204</v>
      </c>
      <c r="K108" s="3">
        <v>46387</v>
      </c>
      <c r="L108" s="2">
        <v>18828278</v>
      </c>
      <c r="M108" s="2">
        <v>18828278</v>
      </c>
      <c r="N108" s="2" t="s">
        <v>165</v>
      </c>
      <c r="O108" s="2">
        <v>-248.5</v>
      </c>
      <c r="P108" s="2">
        <v>-173.5</v>
      </c>
      <c r="Q108" s="2" t="s">
        <v>381</v>
      </c>
      <c r="R108" s="2" t="s">
        <v>389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s="4" customFormat="1" x14ac:dyDescent="0.25">
      <c r="A109" s="2" t="s">
        <v>373</v>
      </c>
      <c r="B109" s="2" t="str">
        <f>CONCATENATE(A109,89)</f>
        <v>7FF8MQ2WT5689</v>
      </c>
      <c r="C109" s="2" t="s">
        <v>466</v>
      </c>
      <c r="D109" s="2" t="s">
        <v>468</v>
      </c>
      <c r="E109" s="2" t="str">
        <f>CONCATENATE(D109," ",C109)</f>
        <v>MATTHEW ZELINSKI</v>
      </c>
      <c r="F109" s="2" t="s">
        <v>156</v>
      </c>
      <c r="G109" s="2" t="s">
        <v>105</v>
      </c>
      <c r="H109" s="2" t="s">
        <v>29</v>
      </c>
      <c r="I109" s="3">
        <v>46174</v>
      </c>
      <c r="J109" s="3">
        <v>46174</v>
      </c>
      <c r="K109" s="3">
        <v>46387</v>
      </c>
      <c r="L109" s="2">
        <v>16170994</v>
      </c>
      <c r="M109" s="2">
        <v>16170994</v>
      </c>
      <c r="N109" s="2" t="s">
        <v>159</v>
      </c>
      <c r="O109" s="2">
        <v>-289.92</v>
      </c>
      <c r="P109" s="2">
        <v>-202.42</v>
      </c>
      <c r="Q109" s="2" t="s">
        <v>381</v>
      </c>
      <c r="R109" s="2" t="s">
        <v>387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30" s="4" customFormat="1" x14ac:dyDescent="0.25">
      <c r="A110" s="2" t="s">
        <v>117</v>
      </c>
      <c r="B110" s="2" t="str">
        <f>CONCATENATE(A110,89)</f>
        <v>7RV7JJ4EA4589</v>
      </c>
      <c r="C110" s="2" t="s">
        <v>469</v>
      </c>
      <c r="D110" s="2" t="s">
        <v>465</v>
      </c>
      <c r="E110" s="2" t="str">
        <f>CONCATENATE(D110," ",C110)</f>
        <v>MARY BARRINGER</v>
      </c>
      <c r="F110" s="2" t="s">
        <v>45</v>
      </c>
      <c r="G110" s="2" t="s">
        <v>105</v>
      </c>
      <c r="H110" s="2" t="s">
        <v>29</v>
      </c>
      <c r="I110" s="3">
        <v>46174</v>
      </c>
      <c r="J110" s="3">
        <v>46174</v>
      </c>
      <c r="K110" s="3">
        <v>46387</v>
      </c>
      <c r="L110" s="2">
        <v>8812322</v>
      </c>
      <c r="M110" s="2">
        <v>8812322</v>
      </c>
      <c r="N110" s="2" t="s">
        <v>120</v>
      </c>
      <c r="O110" s="2">
        <v>-289.92</v>
      </c>
      <c r="P110" s="2">
        <v>-202.42</v>
      </c>
      <c r="Q110" s="2" t="s">
        <v>381</v>
      </c>
      <c r="R110" s="2" t="s">
        <v>387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30" s="4" customFormat="1" x14ac:dyDescent="0.25">
      <c r="A111" s="2" t="s">
        <v>124</v>
      </c>
      <c r="B111" s="2" t="str">
        <f>CONCATENATE(A111,89)</f>
        <v>7XW8DP1TK3489</v>
      </c>
      <c r="C111" s="2" t="s">
        <v>484</v>
      </c>
      <c r="D111" s="2" t="s">
        <v>485</v>
      </c>
      <c r="E111" s="2" t="str">
        <f>CONCATENATE(D111," ",C111)</f>
        <v>RICHARD BEHLES</v>
      </c>
      <c r="F111" s="2" t="s">
        <v>45</v>
      </c>
      <c r="G111" s="2" t="s">
        <v>105</v>
      </c>
      <c r="H111" s="2" t="s">
        <v>29</v>
      </c>
      <c r="I111" s="3">
        <v>46143</v>
      </c>
      <c r="J111" s="3">
        <v>46143</v>
      </c>
      <c r="K111" s="3">
        <v>46387</v>
      </c>
      <c r="L111" s="2">
        <v>16633294</v>
      </c>
      <c r="M111" s="2">
        <v>16633294</v>
      </c>
      <c r="N111" s="2" t="s">
        <v>56</v>
      </c>
      <c r="O111" s="2">
        <v>-331.33</v>
      </c>
      <c r="P111" s="2">
        <v>-231.33</v>
      </c>
      <c r="Q111" s="2" t="s">
        <v>381</v>
      </c>
      <c r="R111" s="2" t="s">
        <v>385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s="4" customFormat="1" x14ac:dyDescent="0.25">
      <c r="A112" s="2" t="s">
        <v>348</v>
      </c>
      <c r="B112" s="2" t="str">
        <f>CONCATENATE(A112,89)</f>
        <v>7Y11A09WM1989</v>
      </c>
      <c r="C112" s="2" t="s">
        <v>464</v>
      </c>
      <c r="D112" s="2" t="s">
        <v>465</v>
      </c>
      <c r="E112" s="2" t="str">
        <f>CONCATENATE(D112," ",C112)</f>
        <v>MARY TRAYERS</v>
      </c>
      <c r="F112" s="2" t="s">
        <v>156</v>
      </c>
      <c r="G112" s="2" t="s">
        <v>105</v>
      </c>
      <c r="H112" s="2" t="s">
        <v>29</v>
      </c>
      <c r="I112" s="3">
        <v>46174</v>
      </c>
      <c r="J112" s="3">
        <v>46174</v>
      </c>
      <c r="K112" s="3">
        <v>46387</v>
      </c>
      <c r="L112" s="2">
        <v>16170994</v>
      </c>
      <c r="M112" s="2">
        <v>16170994</v>
      </c>
      <c r="N112" s="2" t="s">
        <v>159</v>
      </c>
      <c r="O112" s="2">
        <v>-289.92</v>
      </c>
      <c r="P112" s="2">
        <v>-202.42</v>
      </c>
      <c r="Q112" s="2" t="s">
        <v>381</v>
      </c>
      <c r="R112" s="2" t="s">
        <v>387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30" s="4" customFormat="1" x14ac:dyDescent="0.25">
      <c r="A113" s="2" t="s">
        <v>284</v>
      </c>
      <c r="B113" s="2" t="str">
        <f>CONCATENATE(A113,89)</f>
        <v>7Y88GX1YF6189</v>
      </c>
      <c r="C113" s="2" t="s">
        <v>433</v>
      </c>
      <c r="D113" s="2" t="s">
        <v>434</v>
      </c>
      <c r="E113" s="2" t="str">
        <f>CONCATENATE(D113," ",C113)</f>
        <v>MARIA MONARREZ</v>
      </c>
      <c r="F113" s="2" t="s">
        <v>45</v>
      </c>
      <c r="G113" s="2" t="s">
        <v>105</v>
      </c>
      <c r="H113" s="2" t="s">
        <v>29</v>
      </c>
      <c r="I113" s="3">
        <v>46204</v>
      </c>
      <c r="J113" s="3">
        <v>46204</v>
      </c>
      <c r="K113" s="3">
        <v>46387</v>
      </c>
      <c r="L113" s="2">
        <v>17301495</v>
      </c>
      <c r="M113" s="2">
        <v>17301495</v>
      </c>
      <c r="N113" s="2" t="s">
        <v>142</v>
      </c>
      <c r="O113" s="2">
        <v>-248.5</v>
      </c>
      <c r="P113" s="2">
        <v>-173.5</v>
      </c>
      <c r="Q113" s="2" t="s">
        <v>381</v>
      </c>
      <c r="R113" s="2" t="s">
        <v>389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30" s="2" customFormat="1" x14ac:dyDescent="0.25">
      <c r="A114" s="2" t="s">
        <v>302</v>
      </c>
      <c r="B114" s="2" t="str">
        <f>CONCATENATE(A114,89)</f>
        <v>8C51AJ2KM2389</v>
      </c>
      <c r="C114" s="2" t="s">
        <v>519</v>
      </c>
      <c r="D114" s="2" t="s">
        <v>520</v>
      </c>
      <c r="E114" s="2" t="str">
        <f>CONCATENATE(D114," ",C114)</f>
        <v>AILEEN PETERSON</v>
      </c>
      <c r="F114" s="2" t="s">
        <v>305</v>
      </c>
      <c r="G114" s="2" t="s">
        <v>28</v>
      </c>
      <c r="H114" s="2" t="s">
        <v>29</v>
      </c>
      <c r="I114" s="3">
        <v>46204</v>
      </c>
      <c r="J114" s="3">
        <v>46204</v>
      </c>
      <c r="K114" s="3">
        <v>46387</v>
      </c>
      <c r="L114" s="2">
        <v>7470776</v>
      </c>
      <c r="M114" s="2">
        <v>7470776</v>
      </c>
      <c r="N114" s="2" t="s">
        <v>48</v>
      </c>
      <c r="O114" s="2">
        <v>248.5</v>
      </c>
      <c r="P114" s="2">
        <v>173.5</v>
      </c>
      <c r="Q114" s="2" t="s">
        <v>381</v>
      </c>
      <c r="R114" s="2" t="s">
        <v>389</v>
      </c>
    </row>
    <row r="115" spans="1:30" s="4" customFormat="1" x14ac:dyDescent="0.25">
      <c r="A115" s="2" t="s">
        <v>287</v>
      </c>
      <c r="B115" s="2" t="str">
        <f>CONCATENATE(A115,89)</f>
        <v>8EC0AU8EC2189</v>
      </c>
      <c r="C115" s="2" t="s">
        <v>413</v>
      </c>
      <c r="D115" s="2" t="s">
        <v>414</v>
      </c>
      <c r="E115" s="2" t="str">
        <f>CONCATENATE(D115," ",C115)</f>
        <v>KRAIG MORRIS</v>
      </c>
      <c r="F115" s="2" t="s">
        <v>45</v>
      </c>
      <c r="G115" s="2" t="s">
        <v>105</v>
      </c>
      <c r="H115" s="2" t="s">
        <v>29</v>
      </c>
      <c r="I115" s="3">
        <v>46235</v>
      </c>
      <c r="J115" s="3">
        <v>46235</v>
      </c>
      <c r="K115" s="3">
        <v>46387</v>
      </c>
      <c r="L115" s="2">
        <v>8244481</v>
      </c>
      <c r="M115" s="2">
        <v>8244481</v>
      </c>
      <c r="N115" s="2" t="s">
        <v>131</v>
      </c>
      <c r="O115" s="2">
        <v>-207.08</v>
      </c>
      <c r="P115" s="2">
        <v>-144.58000000000001</v>
      </c>
      <c r="Q115" s="2" t="s">
        <v>381</v>
      </c>
      <c r="R115" s="2" t="s">
        <v>390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s="4" customFormat="1" x14ac:dyDescent="0.25">
      <c r="A116" s="2" t="s">
        <v>376</v>
      </c>
      <c r="B116" s="2" t="str">
        <f>CONCATENATE(A116,89)</f>
        <v>8FV9A73KF3889</v>
      </c>
      <c r="C116" s="2" t="s">
        <v>536</v>
      </c>
      <c r="D116" s="2" t="s">
        <v>411</v>
      </c>
      <c r="E116" s="2" t="str">
        <f>CONCATENATE(D116," ",C116)</f>
        <v>DAVID ZOVACK</v>
      </c>
      <c r="F116" s="2" t="s">
        <v>156</v>
      </c>
      <c r="G116" s="2" t="s">
        <v>28</v>
      </c>
      <c r="H116" s="2" t="s">
        <v>29</v>
      </c>
      <c r="I116" s="3">
        <v>46204</v>
      </c>
      <c r="J116" s="3">
        <v>46204</v>
      </c>
      <c r="K116" s="3">
        <v>46387</v>
      </c>
      <c r="L116" s="2">
        <v>16170994</v>
      </c>
      <c r="M116" s="2">
        <v>16170994</v>
      </c>
      <c r="N116" s="2" t="s">
        <v>159</v>
      </c>
      <c r="O116" s="2">
        <v>248.5</v>
      </c>
      <c r="P116" s="2">
        <v>173.5</v>
      </c>
      <c r="Q116" s="2" t="s">
        <v>381</v>
      </c>
      <c r="R116" s="2" t="s">
        <v>389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30" s="4" customFormat="1" x14ac:dyDescent="0.25">
      <c r="A117" s="2" t="s">
        <v>94</v>
      </c>
      <c r="B117" s="2" t="str">
        <f>CONCATENATE(A117,89)</f>
        <v>8HH5FX6CN8489</v>
      </c>
      <c r="C117" s="2" t="s">
        <v>532</v>
      </c>
      <c r="D117" s="2" t="s">
        <v>491</v>
      </c>
      <c r="E117" s="2" t="str">
        <f>CONCATENATE(D117," ",C117)</f>
        <v>BRIAN WILKIE</v>
      </c>
      <c r="F117" s="2" t="s">
        <v>45</v>
      </c>
      <c r="G117" s="2" t="s">
        <v>28</v>
      </c>
      <c r="H117" s="2" t="s">
        <v>29</v>
      </c>
      <c r="I117" s="3">
        <v>46113</v>
      </c>
      <c r="J117" s="3">
        <v>46113</v>
      </c>
      <c r="K117" s="3">
        <v>46387</v>
      </c>
      <c r="L117" s="2">
        <v>9213293</v>
      </c>
      <c r="M117" s="2">
        <v>9213293</v>
      </c>
      <c r="N117" s="2" t="s">
        <v>97</v>
      </c>
      <c r="O117" s="2">
        <v>372.75</v>
      </c>
      <c r="P117" s="2">
        <v>260.25</v>
      </c>
      <c r="Q117" s="2" t="s">
        <v>381</v>
      </c>
      <c r="R117" s="2" t="s">
        <v>380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s="4" customFormat="1" x14ac:dyDescent="0.25">
      <c r="A118" s="2" t="s">
        <v>221</v>
      </c>
      <c r="B118" s="2" t="str">
        <f>CONCATENATE(A118,89)</f>
        <v>8KJ5C77KK6489</v>
      </c>
      <c r="C118" s="2" t="s">
        <v>447</v>
      </c>
      <c r="D118" s="2" t="s">
        <v>448</v>
      </c>
      <c r="E118" s="2" t="str">
        <f>CONCATENATE(D118," ",C118)</f>
        <v>DANIEL HARRIS</v>
      </c>
      <c r="F118" s="2" t="s">
        <v>224</v>
      </c>
      <c r="G118" s="2" t="s">
        <v>105</v>
      </c>
      <c r="H118" s="2" t="s">
        <v>29</v>
      </c>
      <c r="I118" s="3">
        <v>46143</v>
      </c>
      <c r="J118" s="3">
        <v>46143</v>
      </c>
      <c r="K118" s="3">
        <v>46387</v>
      </c>
      <c r="L118" s="2">
        <v>19645587</v>
      </c>
      <c r="M118" s="2">
        <v>19645587</v>
      </c>
      <c r="N118" s="2" t="s">
        <v>227</v>
      </c>
      <c r="O118" s="2">
        <v>-331.33</v>
      </c>
      <c r="P118" s="2">
        <v>-231.33</v>
      </c>
      <c r="Q118" s="2" t="s">
        <v>381</v>
      </c>
      <c r="R118" s="2" t="s">
        <v>385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30" s="4" customFormat="1" x14ac:dyDescent="0.25">
      <c r="A119" s="2" t="s">
        <v>139</v>
      </c>
      <c r="B119" s="2" t="str">
        <f>CONCATENATE(A119,89)</f>
        <v>8KN3CX6TN8989</v>
      </c>
      <c r="C119" s="2" t="s">
        <v>527</v>
      </c>
      <c r="D119" s="2" t="s">
        <v>528</v>
      </c>
      <c r="E119" s="2" t="str">
        <f>CONCATENATE(D119," ",C119)</f>
        <v>CECILY DALTON</v>
      </c>
      <c r="F119" s="2" t="s">
        <v>45</v>
      </c>
      <c r="G119" s="2" t="s">
        <v>28</v>
      </c>
      <c r="H119" s="2" t="s">
        <v>29</v>
      </c>
      <c r="I119" s="3">
        <v>46174</v>
      </c>
      <c r="J119" s="3">
        <v>46174</v>
      </c>
      <c r="K119" s="3">
        <v>46387</v>
      </c>
      <c r="L119" s="2">
        <v>17301495</v>
      </c>
      <c r="M119" s="2">
        <v>17301495</v>
      </c>
      <c r="N119" s="2" t="s">
        <v>142</v>
      </c>
      <c r="O119" s="2">
        <v>289.92</v>
      </c>
      <c r="P119" s="2">
        <v>202.42</v>
      </c>
      <c r="Q119" s="2" t="s">
        <v>381</v>
      </c>
      <c r="R119" s="2" t="s">
        <v>387</v>
      </c>
      <c r="S119" s="2">
        <f>347/12*7</f>
        <v>202.41666666666669</v>
      </c>
      <c r="T119" s="2"/>
      <c r="U119" s="2"/>
      <c r="V119" s="2"/>
      <c r="W119" s="2"/>
      <c r="X119" s="2"/>
      <c r="Y119" s="2"/>
      <c r="Z119" s="2"/>
      <c r="AA119" s="2"/>
      <c r="AB119" s="2"/>
    </row>
    <row r="120" spans="1:30" s="4" customFormat="1" x14ac:dyDescent="0.25">
      <c r="A120" s="2" t="s">
        <v>121</v>
      </c>
      <c r="B120" s="2" t="str">
        <f>CONCATENATE(A120,89)</f>
        <v>8R70PA3XG0189</v>
      </c>
      <c r="C120" s="2" t="s">
        <v>482</v>
      </c>
      <c r="D120" s="2" t="s">
        <v>483</v>
      </c>
      <c r="E120" s="2" t="str">
        <f>CONCATENATE(D120," ",C120)</f>
        <v>CYNTHIA BARUCK</v>
      </c>
      <c r="F120" s="2" t="s">
        <v>45</v>
      </c>
      <c r="G120" s="2" t="s">
        <v>105</v>
      </c>
      <c r="H120" s="2" t="s">
        <v>29</v>
      </c>
      <c r="I120" s="3">
        <v>46174</v>
      </c>
      <c r="J120" s="3">
        <v>46174</v>
      </c>
      <c r="K120" s="3">
        <v>46387</v>
      </c>
      <c r="L120" s="2">
        <v>16633294</v>
      </c>
      <c r="M120" s="2">
        <v>16633294</v>
      </c>
      <c r="N120" s="2" t="s">
        <v>56</v>
      </c>
      <c r="O120" s="2">
        <v>-289.92</v>
      </c>
      <c r="P120" s="2">
        <v>-202.42</v>
      </c>
      <c r="Q120" s="2" t="s">
        <v>381</v>
      </c>
      <c r="R120" s="2" t="s">
        <v>387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30" s="4" customFormat="1" x14ac:dyDescent="0.25">
      <c r="A121" s="2" t="s">
        <v>265</v>
      </c>
      <c r="B121" s="2" t="str">
        <f>CONCATENATE(A121,89)</f>
        <v>8WH3CQ7EJ0189</v>
      </c>
      <c r="C121" s="2" t="s">
        <v>535</v>
      </c>
      <c r="D121" s="2" t="s">
        <v>514</v>
      </c>
      <c r="E121" s="2" t="str">
        <f>CONCATENATE(D121," ",C121)</f>
        <v>JOHN KOVOLYAN</v>
      </c>
      <c r="F121" s="2" t="s">
        <v>156</v>
      </c>
      <c r="G121" s="2" t="s">
        <v>28</v>
      </c>
      <c r="H121" s="2" t="s">
        <v>29</v>
      </c>
      <c r="I121" s="3">
        <v>46266</v>
      </c>
      <c r="J121" s="3">
        <v>46266</v>
      </c>
      <c r="K121" s="3">
        <v>46387</v>
      </c>
      <c r="L121" s="2">
        <v>16170994</v>
      </c>
      <c r="M121" s="2">
        <v>16170994</v>
      </c>
      <c r="N121" s="2" t="s">
        <v>159</v>
      </c>
      <c r="O121" s="2">
        <v>165.67</v>
      </c>
      <c r="P121" s="2">
        <v>115.67</v>
      </c>
      <c r="Q121" s="2" t="s">
        <v>381</v>
      </c>
      <c r="R121" s="2" t="s">
        <v>394</v>
      </c>
      <c r="S121" s="2">
        <f>347/12*4</f>
        <v>115.66666666666667</v>
      </c>
      <c r="T121" s="2"/>
      <c r="U121" s="2"/>
      <c r="V121" s="2"/>
      <c r="W121" s="2"/>
      <c r="X121" s="2"/>
      <c r="Y121" s="2"/>
      <c r="Z121" s="2"/>
      <c r="AA121" s="2"/>
      <c r="AB121" s="2"/>
    </row>
    <row r="122" spans="1:30" s="4" customFormat="1" x14ac:dyDescent="0.25">
      <c r="A122" s="2" t="s">
        <v>231</v>
      </c>
      <c r="B122" s="2" t="str">
        <f>CONCATENATE(A122,89)</f>
        <v>8WQ6C99UD5389</v>
      </c>
      <c r="C122" s="2" t="s">
        <v>521</v>
      </c>
      <c r="D122" s="2" t="s">
        <v>522</v>
      </c>
      <c r="E122" s="2" t="str">
        <f>CONCATENATE(D122," ",C122)</f>
        <v>DORISMILDA HERNANDEZ</v>
      </c>
      <c r="F122" s="2" t="s">
        <v>45</v>
      </c>
      <c r="G122" s="2" t="s">
        <v>28</v>
      </c>
      <c r="H122" s="2" t="s">
        <v>29</v>
      </c>
      <c r="I122" s="3">
        <v>46204</v>
      </c>
      <c r="J122" s="3">
        <v>46204</v>
      </c>
      <c r="K122" s="3">
        <v>46387</v>
      </c>
      <c r="L122" s="2">
        <v>21283956</v>
      </c>
      <c r="M122" s="2">
        <v>21283956</v>
      </c>
      <c r="N122" s="2" t="s">
        <v>87</v>
      </c>
      <c r="O122" s="2">
        <v>248.5</v>
      </c>
      <c r="P122" s="2">
        <v>173.5</v>
      </c>
      <c r="Q122" s="2" t="s">
        <v>381</v>
      </c>
      <c r="R122" s="2" t="s">
        <v>389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30" s="2" customFormat="1" x14ac:dyDescent="0.25">
      <c r="A123" s="2" t="s">
        <v>245</v>
      </c>
      <c r="B123" s="2" t="str">
        <f>CONCATENATE(A123,89)</f>
        <v>8X14PW9QD7289</v>
      </c>
      <c r="C123" s="2" t="s">
        <v>445</v>
      </c>
      <c r="D123" s="2" t="s">
        <v>446</v>
      </c>
      <c r="E123" s="2" t="str">
        <f>CONCATENATE(D123," ",C123)</f>
        <v>SCOTT JARES</v>
      </c>
      <c r="F123" s="2" t="s">
        <v>60</v>
      </c>
      <c r="G123" s="2" t="s">
        <v>105</v>
      </c>
      <c r="H123" s="2" t="s">
        <v>29</v>
      </c>
      <c r="I123" s="3">
        <v>46174</v>
      </c>
      <c r="J123" s="3">
        <v>46174</v>
      </c>
      <c r="K123" s="3">
        <v>46387</v>
      </c>
      <c r="L123" s="2">
        <v>19645587</v>
      </c>
      <c r="M123" s="2">
        <v>19645587</v>
      </c>
      <c r="N123" s="2" t="s">
        <v>227</v>
      </c>
      <c r="O123" s="2">
        <v>-289.92</v>
      </c>
      <c r="P123" s="2">
        <v>-202.42</v>
      </c>
      <c r="Q123" s="2" t="s">
        <v>381</v>
      </c>
      <c r="R123" s="2" t="s">
        <v>387</v>
      </c>
      <c r="AC123" s="4"/>
      <c r="AD123" s="4"/>
    </row>
    <row r="124" spans="1:30" s="4" customFormat="1" x14ac:dyDescent="0.25">
      <c r="A124" s="2" t="s">
        <v>52</v>
      </c>
      <c r="B124" s="2" t="str">
        <f>CONCATENATE(A124,89)</f>
        <v>9QD8ED8MN6189</v>
      </c>
      <c r="C124" s="2" t="s">
        <v>540</v>
      </c>
      <c r="D124" s="2" t="s">
        <v>541</v>
      </c>
      <c r="E124" s="2" t="str">
        <f>CONCATENATE(D124," ",C124)</f>
        <v>VALERIE JADOS</v>
      </c>
      <c r="F124" s="2" t="s">
        <v>45</v>
      </c>
      <c r="G124" s="2" t="s">
        <v>28</v>
      </c>
      <c r="H124" s="2" t="s">
        <v>29</v>
      </c>
      <c r="I124" s="3">
        <v>46204</v>
      </c>
      <c r="J124" s="3">
        <v>46204</v>
      </c>
      <c r="K124" s="3">
        <v>46387</v>
      </c>
      <c r="L124" s="2">
        <v>16633294</v>
      </c>
      <c r="M124" s="2">
        <v>16633294</v>
      </c>
      <c r="N124" s="2" t="s">
        <v>56</v>
      </c>
      <c r="O124" s="2">
        <v>248.5</v>
      </c>
      <c r="P124" s="2">
        <v>173.5</v>
      </c>
      <c r="Q124" s="2" t="s">
        <v>381</v>
      </c>
      <c r="R124" s="2" t="s">
        <v>389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s="2" customFormat="1" x14ac:dyDescent="0.25">
      <c r="A125" s="2" t="s">
        <v>277</v>
      </c>
      <c r="B125" s="2" t="str">
        <f>CONCATENATE(A125,89)</f>
        <v>9U03WW9CW9689</v>
      </c>
      <c r="C125" s="2" t="s">
        <v>421</v>
      </c>
      <c r="D125" s="2" t="s">
        <v>422</v>
      </c>
      <c r="E125" s="2" t="str">
        <f>CONCATENATE(D125," ",C125)</f>
        <v>DANA MCCONNELL</v>
      </c>
      <c r="F125" s="2" t="s">
        <v>45</v>
      </c>
      <c r="G125" s="2" t="s">
        <v>105</v>
      </c>
      <c r="H125" s="2" t="s">
        <v>29</v>
      </c>
      <c r="I125" s="3">
        <v>46174</v>
      </c>
      <c r="J125" s="3">
        <v>46174</v>
      </c>
      <c r="K125" s="3">
        <v>46387</v>
      </c>
      <c r="L125" s="2">
        <v>8244481</v>
      </c>
      <c r="M125" s="2">
        <v>8244481</v>
      </c>
      <c r="N125" s="2" t="s">
        <v>131</v>
      </c>
      <c r="O125" s="2">
        <v>-289.92</v>
      </c>
      <c r="P125" s="2">
        <v>-202.42</v>
      </c>
      <c r="Q125" s="2" t="s">
        <v>381</v>
      </c>
      <c r="R125" s="2" t="s">
        <v>387</v>
      </c>
    </row>
    <row r="126" spans="1:30" s="4" customFormat="1" x14ac:dyDescent="0.25">
      <c r="A126" s="2" t="s">
        <v>334</v>
      </c>
      <c r="B126" s="2" t="str">
        <f>CONCATENATE(A126,89)</f>
        <v>9V47G70WC4489</v>
      </c>
      <c r="C126" s="2" t="s">
        <v>476</v>
      </c>
      <c r="D126" s="2" t="s">
        <v>477</v>
      </c>
      <c r="E126" s="2" t="str">
        <f>CONCATENATE(D126," ",C126)</f>
        <v>AARON STEELE</v>
      </c>
      <c r="F126" s="2" t="s">
        <v>337</v>
      </c>
      <c r="G126" s="2" t="s">
        <v>105</v>
      </c>
      <c r="H126" s="2" t="s">
        <v>29</v>
      </c>
      <c r="I126" s="3">
        <v>46174</v>
      </c>
      <c r="J126" s="3">
        <v>46174</v>
      </c>
      <c r="K126" s="3">
        <v>46387</v>
      </c>
      <c r="L126" s="2">
        <v>19615078</v>
      </c>
      <c r="M126" s="2">
        <v>19615078</v>
      </c>
      <c r="N126" s="2" t="s">
        <v>340</v>
      </c>
      <c r="O126" s="2">
        <v>-289.92</v>
      </c>
      <c r="P126" s="2">
        <v>-202.42</v>
      </c>
      <c r="Q126" s="2" t="s">
        <v>381</v>
      </c>
      <c r="R126" s="2" t="s">
        <v>387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30" s="2" customFormat="1" x14ac:dyDescent="0.25">
      <c r="A127" s="2" t="s">
        <v>252</v>
      </c>
      <c r="B127" s="2" t="str">
        <f>CONCATENATE(A127,89)</f>
        <v>9YE5Y35EF6589</v>
      </c>
      <c r="C127" s="2" t="s">
        <v>458</v>
      </c>
      <c r="D127" s="2" t="s">
        <v>411</v>
      </c>
      <c r="E127" s="2" t="str">
        <f>CONCATENATE(D127," ",C127)</f>
        <v>DAVID JOHNSON</v>
      </c>
      <c r="F127" s="2" t="s">
        <v>156</v>
      </c>
      <c r="G127" s="2" t="s">
        <v>105</v>
      </c>
      <c r="H127" s="2" t="s">
        <v>29</v>
      </c>
      <c r="I127" s="3">
        <v>46204</v>
      </c>
      <c r="J127" s="3">
        <v>46204</v>
      </c>
      <c r="K127" s="3">
        <v>46387</v>
      </c>
      <c r="L127" s="2">
        <v>16170994</v>
      </c>
      <c r="M127" s="2">
        <v>16170994</v>
      </c>
      <c r="N127" s="2" t="s">
        <v>159</v>
      </c>
      <c r="O127" s="2">
        <v>-248.5</v>
      </c>
      <c r="P127" s="2">
        <v>-173.5</v>
      </c>
      <c r="Q127" s="2" t="s">
        <v>381</v>
      </c>
      <c r="R127" s="2" t="s">
        <v>389</v>
      </c>
      <c r="AC127" s="4"/>
      <c r="AD127" s="4"/>
    </row>
    <row r="128" spans="1:30" s="4" customFormat="1" x14ac:dyDescent="0.25">
      <c r="A128" s="4" t="s">
        <v>280</v>
      </c>
      <c r="B128" s="4" t="str">
        <f>CONCATENATE(A128,"OVR")</f>
        <v>1EC1HQ1DM99OVR</v>
      </c>
      <c r="C128" s="4" t="s">
        <v>462</v>
      </c>
      <c r="D128" s="4" t="s">
        <v>463</v>
      </c>
      <c r="E128" s="4" t="str">
        <f>CONCATENATE(D128," ",C128)</f>
        <v>GARY MCDONALD</v>
      </c>
      <c r="F128" s="4" t="s">
        <v>156</v>
      </c>
      <c r="G128" s="4" t="s">
        <v>105</v>
      </c>
      <c r="H128" s="4" t="s">
        <v>29</v>
      </c>
      <c r="I128" s="5">
        <v>46174</v>
      </c>
      <c r="J128" s="5">
        <v>46174</v>
      </c>
      <c r="K128" s="5">
        <v>46387</v>
      </c>
      <c r="L128" s="4">
        <v>16170994</v>
      </c>
      <c r="M128" s="4" t="str">
        <f>CONCATENATE(L128,"OVR")</f>
        <v>16170994OVR</v>
      </c>
      <c r="N128" s="4" t="s">
        <v>159</v>
      </c>
      <c r="O128" s="4">
        <v>-289.92</v>
      </c>
      <c r="P128" s="4">
        <v>-87.5</v>
      </c>
      <c r="Q128" s="4" t="s">
        <v>382</v>
      </c>
    </row>
    <row r="129" spans="1:19" s="4" customFormat="1" x14ac:dyDescent="0.25">
      <c r="A129" s="4" t="s">
        <v>280</v>
      </c>
      <c r="B129" s="4" t="str">
        <f>CONCATENATE(A129,"OVR")</f>
        <v>1EC1HQ1DM99OVR</v>
      </c>
      <c r="C129" s="4" t="s">
        <v>462</v>
      </c>
      <c r="D129" s="4" t="s">
        <v>463</v>
      </c>
      <c r="E129" s="4" t="str">
        <f>CONCATENATE(D129," ",C129)</f>
        <v>GARY MCDONALD</v>
      </c>
      <c r="F129" s="4" t="s">
        <v>156</v>
      </c>
      <c r="G129" s="4" t="s">
        <v>101</v>
      </c>
      <c r="H129" s="4" t="s">
        <v>29</v>
      </c>
      <c r="I129" s="5">
        <v>46174</v>
      </c>
      <c r="J129" s="5">
        <v>46174</v>
      </c>
      <c r="K129" s="5">
        <v>46387</v>
      </c>
      <c r="L129" s="4">
        <v>16170994</v>
      </c>
      <c r="M129" s="4" t="str">
        <f>CONCATENATE(L129,"OVR")</f>
        <v>16170994OVR</v>
      </c>
      <c r="N129" s="4" t="s">
        <v>159</v>
      </c>
      <c r="O129" s="4">
        <v>844</v>
      </c>
      <c r="P129" s="4">
        <v>150</v>
      </c>
      <c r="Q129" s="4" t="s">
        <v>382</v>
      </c>
    </row>
    <row r="130" spans="1:19" s="4" customFormat="1" x14ac:dyDescent="0.25">
      <c r="A130" s="4" t="s">
        <v>204</v>
      </c>
      <c r="B130" s="4" t="str">
        <f>CONCATENATE(A130,"OVR")</f>
        <v>1EM1PQ2UC00OVR</v>
      </c>
      <c r="C130" s="4" t="s">
        <v>542</v>
      </c>
      <c r="D130" s="4" t="s">
        <v>543</v>
      </c>
      <c r="E130" s="4" t="str">
        <f>CONCATENATE(D130," ",C130)</f>
        <v>SEAN GRAMZ</v>
      </c>
      <c r="F130" s="4" t="s">
        <v>27</v>
      </c>
      <c r="G130" s="4" t="s">
        <v>105</v>
      </c>
      <c r="H130" s="4" t="s">
        <v>29</v>
      </c>
      <c r="I130" s="5">
        <v>46174</v>
      </c>
      <c r="J130" s="5">
        <v>46174</v>
      </c>
      <c r="K130" s="5">
        <v>46204</v>
      </c>
      <c r="L130" s="4">
        <v>17886092</v>
      </c>
      <c r="M130" s="4" t="str">
        <f>CONCATENATE(L130,"OVR")</f>
        <v>17886092OVR</v>
      </c>
      <c r="N130" s="4" t="s">
        <v>81</v>
      </c>
      <c r="O130" s="4">
        <v>-37.909999999999997</v>
      </c>
      <c r="P130" s="4">
        <v>-37.909999999999997</v>
      </c>
      <c r="Q130" s="4" t="s">
        <v>382</v>
      </c>
    </row>
    <row r="131" spans="1:19" s="4" customFormat="1" x14ac:dyDescent="0.25">
      <c r="A131" s="4" t="s">
        <v>204</v>
      </c>
      <c r="B131" s="4" t="str">
        <f>CONCATENATE(A131,"OVR")</f>
        <v>1EM1PQ2UC00OVR</v>
      </c>
      <c r="C131" s="4" t="s">
        <v>542</v>
      </c>
      <c r="D131" s="4" t="s">
        <v>543</v>
      </c>
      <c r="E131" s="4" t="str">
        <f>CONCATENATE(D131," ",C131)</f>
        <v>SEAN GRAMZ</v>
      </c>
      <c r="F131" s="4" t="s">
        <v>27</v>
      </c>
      <c r="G131" s="4" t="s">
        <v>101</v>
      </c>
      <c r="H131" s="4" t="s">
        <v>29</v>
      </c>
      <c r="I131" s="5">
        <v>46174</v>
      </c>
      <c r="J131" s="5">
        <v>46174</v>
      </c>
      <c r="K131" s="5">
        <v>46387</v>
      </c>
      <c r="L131" s="4">
        <v>17886092</v>
      </c>
      <c r="M131" s="4" t="str">
        <f>CONCATENATE(L131,"OVR")</f>
        <v>17886092OVR</v>
      </c>
      <c r="N131" s="4" t="s">
        <v>81</v>
      </c>
      <c r="O131" s="4">
        <v>65</v>
      </c>
      <c r="P131" s="4">
        <v>65</v>
      </c>
      <c r="Q131" s="4" t="s">
        <v>382</v>
      </c>
    </row>
    <row r="132" spans="1:19" s="4" customFormat="1" x14ac:dyDescent="0.25">
      <c r="A132" s="4" t="s">
        <v>135</v>
      </c>
      <c r="B132" s="4" t="str">
        <f>CONCATENATE(A132,"OVR")</f>
        <v>1K42GA2JA92OVR</v>
      </c>
      <c r="C132" s="4" t="s">
        <v>504</v>
      </c>
      <c r="D132" s="4" t="s">
        <v>505</v>
      </c>
      <c r="E132" s="4" t="str">
        <f>CONCATENATE(D132," ",C132)</f>
        <v>DOUGLAS COMINSKY</v>
      </c>
      <c r="F132" s="4" t="s">
        <v>27</v>
      </c>
      <c r="G132" s="4" t="s">
        <v>28</v>
      </c>
      <c r="H132" s="4" t="s">
        <v>29</v>
      </c>
      <c r="I132" s="5">
        <v>46204</v>
      </c>
      <c r="J132" s="5">
        <v>46204</v>
      </c>
      <c r="K132" s="5">
        <v>46387</v>
      </c>
      <c r="L132" s="4">
        <v>17528908</v>
      </c>
      <c r="M132" s="4" t="str">
        <f>CONCATENATE(L132,"OVR")</f>
        <v>17528908OVR</v>
      </c>
      <c r="N132" s="4" t="s">
        <v>70</v>
      </c>
      <c r="O132" s="4">
        <v>270.5</v>
      </c>
      <c r="P132" s="4">
        <v>75</v>
      </c>
      <c r="Q132" s="4" t="s">
        <v>382</v>
      </c>
    </row>
    <row r="133" spans="1:19" s="4" customFormat="1" x14ac:dyDescent="0.25">
      <c r="A133" s="4" t="s">
        <v>132</v>
      </c>
      <c r="B133" s="4" t="str">
        <f>CONCATENATE(A133,"OVR")</f>
        <v>1MC0TQ6AJ27OVR</v>
      </c>
      <c r="C133" s="4" t="s">
        <v>441</v>
      </c>
      <c r="D133" s="4" t="s">
        <v>442</v>
      </c>
      <c r="E133" s="4" t="str">
        <f>CONCATENATE(D133," ",C133)</f>
        <v>JOSE CHAO</v>
      </c>
      <c r="F133" s="4" t="s">
        <v>45</v>
      </c>
      <c r="G133" s="4" t="s">
        <v>105</v>
      </c>
      <c r="H133" s="4" t="s">
        <v>29</v>
      </c>
      <c r="I133" s="5">
        <v>46174</v>
      </c>
      <c r="J133" s="5">
        <v>46174</v>
      </c>
      <c r="K133" s="5">
        <v>46387</v>
      </c>
      <c r="L133" s="4">
        <v>9213293</v>
      </c>
      <c r="M133" s="4" t="str">
        <f>CONCATENATE(L133,"OVR")</f>
        <v>9213293OVR</v>
      </c>
      <c r="N133" s="4" t="s">
        <v>97</v>
      </c>
      <c r="O133" s="4">
        <v>-289.92</v>
      </c>
      <c r="P133" s="4">
        <v>-87.5</v>
      </c>
      <c r="Q133" s="4" t="s">
        <v>382</v>
      </c>
    </row>
    <row r="134" spans="1:19" s="4" customFormat="1" x14ac:dyDescent="0.25">
      <c r="A134" s="4" t="s">
        <v>132</v>
      </c>
      <c r="B134" s="4" t="str">
        <f>CONCATENATE(A134,"OVR")</f>
        <v>1MC0TQ6AJ27OVR</v>
      </c>
      <c r="C134" s="4" t="s">
        <v>441</v>
      </c>
      <c r="D134" s="4" t="s">
        <v>442</v>
      </c>
      <c r="E134" s="4" t="str">
        <f>CONCATENATE(D134," ",C134)</f>
        <v>JOSE CHAO</v>
      </c>
      <c r="F134" s="4" t="s">
        <v>45</v>
      </c>
      <c r="G134" s="4" t="s">
        <v>101</v>
      </c>
      <c r="H134" s="4" t="s">
        <v>29</v>
      </c>
      <c r="I134" s="5">
        <v>46174</v>
      </c>
      <c r="J134" s="5">
        <v>46174</v>
      </c>
      <c r="K134" s="5">
        <v>46387</v>
      </c>
      <c r="L134" s="4">
        <v>9213293</v>
      </c>
      <c r="M134" s="4" t="str">
        <f>CONCATENATE(L134,"OVR")</f>
        <v>9213293OVR</v>
      </c>
      <c r="N134" s="4" t="s">
        <v>97</v>
      </c>
      <c r="O134" s="4">
        <v>844</v>
      </c>
      <c r="P134" s="4">
        <v>150</v>
      </c>
      <c r="Q134" s="4" t="s">
        <v>382</v>
      </c>
    </row>
    <row r="135" spans="1:19" s="4" customFormat="1" x14ac:dyDescent="0.25">
      <c r="A135" s="4" t="s">
        <v>322</v>
      </c>
      <c r="B135" s="4" t="str">
        <f>CONCATENATE(A135,"OVR")</f>
        <v>1Q46G23TE75OVR</v>
      </c>
      <c r="C135" s="4" t="s">
        <v>500</v>
      </c>
      <c r="D135" s="4" t="s">
        <v>501</v>
      </c>
      <c r="E135" s="4" t="str">
        <f>CONCATENATE(D135," ",C135)</f>
        <v>DAWN SEEBACH</v>
      </c>
      <c r="F135" s="4" t="s">
        <v>27</v>
      </c>
      <c r="G135" s="4" t="s">
        <v>105</v>
      </c>
      <c r="H135" s="4" t="s">
        <v>29</v>
      </c>
      <c r="I135" s="5">
        <v>46174</v>
      </c>
      <c r="J135" s="5">
        <v>46174</v>
      </c>
      <c r="K135" s="5">
        <v>46387</v>
      </c>
      <c r="L135" s="4">
        <v>21618313</v>
      </c>
      <c r="M135" s="4" t="str">
        <f>CONCATENATE(L135,"OVR")</f>
        <v>21618313OVR</v>
      </c>
      <c r="N135" s="4" t="s">
        <v>325</v>
      </c>
      <c r="O135" s="4">
        <v>-315.58</v>
      </c>
      <c r="P135" s="4">
        <v>-87.5</v>
      </c>
      <c r="Q135" s="4" t="s">
        <v>382</v>
      </c>
    </row>
    <row r="136" spans="1:19" s="4" customFormat="1" x14ac:dyDescent="0.25">
      <c r="A136" s="4" t="s">
        <v>322</v>
      </c>
      <c r="B136" s="4" t="str">
        <f>CONCATENATE(A136,"OVR")</f>
        <v>1Q46G23TE75OVR</v>
      </c>
      <c r="C136" s="4" t="s">
        <v>500</v>
      </c>
      <c r="D136" s="4" t="s">
        <v>501</v>
      </c>
      <c r="E136" s="4" t="str">
        <f>CONCATENATE(D136," ",C136)</f>
        <v>DAWN SEEBACH</v>
      </c>
      <c r="F136" s="4" t="s">
        <v>27</v>
      </c>
      <c r="G136" s="4" t="s">
        <v>186</v>
      </c>
      <c r="H136" s="4" t="s">
        <v>29</v>
      </c>
      <c r="I136" s="5">
        <v>46174</v>
      </c>
      <c r="J136" s="5">
        <v>46174</v>
      </c>
      <c r="K136" s="5">
        <v>46387</v>
      </c>
      <c r="L136" s="4">
        <v>21618313</v>
      </c>
      <c r="M136" s="4" t="str">
        <f>CONCATENATE(L136,"OVR")</f>
        <v>21618313OVR</v>
      </c>
      <c r="N136" s="4" t="s">
        <v>325</v>
      </c>
      <c r="O136" s="4">
        <v>543.08000000000004</v>
      </c>
      <c r="P136" s="4">
        <v>87.5</v>
      </c>
      <c r="Q136" s="4" t="s">
        <v>382</v>
      </c>
      <c r="S136" s="4">
        <f>150/12*7</f>
        <v>87.5</v>
      </c>
    </row>
    <row r="137" spans="1:19" s="4" customFormat="1" x14ac:dyDescent="0.25">
      <c r="A137" s="4" t="s">
        <v>187</v>
      </c>
      <c r="B137" s="4" t="str">
        <f>CONCATENATE(A137,"OVR")</f>
        <v>1U16T09GP61OVR</v>
      </c>
      <c r="C137" s="4" t="s">
        <v>410</v>
      </c>
      <c r="D137" s="4" t="s">
        <v>412</v>
      </c>
      <c r="E137" s="4" t="str">
        <f>CONCATENATE(D137," ",C137)</f>
        <v>MARIANN FUNKHOUSER</v>
      </c>
      <c r="F137" s="4" t="s">
        <v>45</v>
      </c>
      <c r="G137" s="4" t="s">
        <v>105</v>
      </c>
      <c r="H137" s="4" t="s">
        <v>29</v>
      </c>
      <c r="I137" s="5">
        <v>46174</v>
      </c>
      <c r="J137" s="5">
        <v>46174</v>
      </c>
      <c r="K137" s="5">
        <v>46387</v>
      </c>
      <c r="L137" s="4">
        <v>7470776</v>
      </c>
      <c r="M137" s="4" t="str">
        <f>CONCATENATE(L137,"OVR")</f>
        <v>7470776OVR</v>
      </c>
      <c r="N137" s="4" t="s">
        <v>48</v>
      </c>
      <c r="O137" s="4">
        <v>-289.92</v>
      </c>
      <c r="P137" s="4">
        <v>-87.5</v>
      </c>
      <c r="Q137" s="4" t="s">
        <v>382</v>
      </c>
    </row>
    <row r="138" spans="1:19" s="4" customFormat="1" x14ac:dyDescent="0.25">
      <c r="A138" s="4" t="s">
        <v>187</v>
      </c>
      <c r="B138" s="4" t="str">
        <f>CONCATENATE(A138,"OVR")</f>
        <v>1U16T09GP61OVR</v>
      </c>
      <c r="C138" s="4" t="s">
        <v>410</v>
      </c>
      <c r="D138" s="4" t="s">
        <v>412</v>
      </c>
      <c r="E138" s="4" t="str">
        <f>CONCATENATE(D138," ",C138)</f>
        <v>MARIANN FUNKHOUSER</v>
      </c>
      <c r="F138" s="4" t="s">
        <v>45</v>
      </c>
      <c r="G138" s="4" t="s">
        <v>186</v>
      </c>
      <c r="H138" s="4" t="s">
        <v>29</v>
      </c>
      <c r="I138" s="5">
        <v>46174</v>
      </c>
      <c r="J138" s="5">
        <v>46174</v>
      </c>
      <c r="K138" s="5">
        <v>46387</v>
      </c>
      <c r="L138" s="4">
        <v>7470776</v>
      </c>
      <c r="M138" s="4" t="str">
        <f>CONCATENATE(L138,"OVR")</f>
        <v>7470776OVR</v>
      </c>
      <c r="N138" s="4" t="s">
        <v>48</v>
      </c>
      <c r="O138" s="4">
        <v>492.33</v>
      </c>
      <c r="P138" s="4">
        <v>87.5</v>
      </c>
      <c r="Q138" s="4" t="s">
        <v>382</v>
      </c>
    </row>
    <row r="139" spans="1:19" s="4" customFormat="1" x14ac:dyDescent="0.25">
      <c r="A139" s="4" t="s">
        <v>308</v>
      </c>
      <c r="B139" s="4" t="str">
        <f>CONCATENATE(A139,"OVR")</f>
        <v>1Y28NF5TT45OVR</v>
      </c>
      <c r="C139" s="4" t="s">
        <v>525</v>
      </c>
      <c r="D139" s="4" t="s">
        <v>526</v>
      </c>
      <c r="E139" s="4" t="str">
        <f>CONCATENATE(D139," ",C139)</f>
        <v>SHIRLEY PRIEBE</v>
      </c>
      <c r="F139" s="4" t="s">
        <v>201</v>
      </c>
      <c r="G139" s="4" t="s">
        <v>28</v>
      </c>
      <c r="H139" s="4" t="s">
        <v>29</v>
      </c>
      <c r="I139" s="5">
        <v>46204</v>
      </c>
      <c r="J139" s="5">
        <v>46204</v>
      </c>
      <c r="K139" s="5">
        <v>46387</v>
      </c>
      <c r="L139" s="4">
        <v>16849453</v>
      </c>
      <c r="M139" s="4" t="str">
        <f>CONCATENATE(L139,"OVR")</f>
        <v>16849453OVR</v>
      </c>
      <c r="N139" s="4" t="s">
        <v>259</v>
      </c>
      <c r="O139" s="4">
        <v>248.5</v>
      </c>
      <c r="P139" s="4">
        <v>75</v>
      </c>
      <c r="Q139" s="4" t="s">
        <v>382</v>
      </c>
    </row>
    <row r="140" spans="1:19" s="4" customFormat="1" x14ac:dyDescent="0.25">
      <c r="A140" s="4" t="s">
        <v>106</v>
      </c>
      <c r="B140" s="4" t="str">
        <f>CONCATENATE(A140,"OVR")</f>
        <v>2A87G63XP60OVR</v>
      </c>
      <c r="C140" s="4" t="s">
        <v>408</v>
      </c>
      <c r="D140" s="4" t="s">
        <v>409</v>
      </c>
      <c r="E140" s="4" t="str">
        <f>CONCATENATE(D140," ",C140)</f>
        <v>FRANCES BANNISTER</v>
      </c>
      <c r="F140" s="4" t="s">
        <v>109</v>
      </c>
      <c r="G140" s="4" t="s">
        <v>105</v>
      </c>
      <c r="H140" s="4" t="s">
        <v>29</v>
      </c>
      <c r="I140" s="5">
        <v>46174</v>
      </c>
      <c r="J140" s="5">
        <v>46174</v>
      </c>
      <c r="K140" s="5">
        <v>46387</v>
      </c>
      <c r="L140" s="4">
        <v>7470776</v>
      </c>
      <c r="M140" s="4" t="str">
        <f>CONCATENATE(L140,"OVR")</f>
        <v>7470776OVR</v>
      </c>
      <c r="N140" s="4" t="s">
        <v>48</v>
      </c>
      <c r="O140" s="4">
        <v>-289.92</v>
      </c>
      <c r="P140" s="4">
        <v>-87.5</v>
      </c>
      <c r="Q140" s="4" t="s">
        <v>382</v>
      </c>
    </row>
    <row r="141" spans="1:19" s="4" customFormat="1" x14ac:dyDescent="0.25">
      <c r="A141" s="4" t="s">
        <v>106</v>
      </c>
      <c r="B141" s="4" t="str">
        <f>CONCATENATE(A141,"OVR")</f>
        <v>2A87G63XP60OVR</v>
      </c>
      <c r="C141" s="4" t="s">
        <v>408</v>
      </c>
      <c r="D141" s="4" t="s">
        <v>409</v>
      </c>
      <c r="E141" s="4" t="str">
        <f>CONCATENATE(D141," ",C141)</f>
        <v>FRANCES BANNISTER</v>
      </c>
      <c r="F141" s="4" t="s">
        <v>109</v>
      </c>
      <c r="G141" s="4" t="s">
        <v>101</v>
      </c>
      <c r="H141" s="4" t="s">
        <v>29</v>
      </c>
      <c r="I141" s="5">
        <v>46174</v>
      </c>
      <c r="J141" s="5">
        <v>46174</v>
      </c>
      <c r="K141" s="5">
        <v>46387</v>
      </c>
      <c r="L141" s="4">
        <v>7470776</v>
      </c>
      <c r="M141" s="4" t="str">
        <f>CONCATENATE(L141,"OVR")</f>
        <v>7470776OVR</v>
      </c>
      <c r="N141" s="4" t="s">
        <v>48</v>
      </c>
      <c r="O141" s="4">
        <v>844</v>
      </c>
      <c r="P141" s="4">
        <v>150</v>
      </c>
      <c r="Q141" s="4" t="s">
        <v>382</v>
      </c>
    </row>
    <row r="142" spans="1:19" s="4" customFormat="1" x14ac:dyDescent="0.25">
      <c r="A142" s="4" t="s">
        <v>37</v>
      </c>
      <c r="B142" s="4" t="str">
        <f>CONCATENATE(A142,"OVR")</f>
        <v>2D82Y32ED09OVR</v>
      </c>
      <c r="C142" s="4" t="s">
        <v>502</v>
      </c>
      <c r="D142" s="4" t="s">
        <v>411</v>
      </c>
      <c r="E142" s="4" t="str">
        <f>CONCATENATE(D142," ",C142)</f>
        <v>DAVID BOGACZYK</v>
      </c>
      <c r="F142" s="4" t="s">
        <v>27</v>
      </c>
      <c r="G142" s="4" t="s">
        <v>28</v>
      </c>
      <c r="H142" s="4" t="s">
        <v>29</v>
      </c>
      <c r="I142" s="5">
        <v>46204</v>
      </c>
      <c r="J142" s="5">
        <v>46204</v>
      </c>
      <c r="K142" s="5">
        <v>46387</v>
      </c>
      <c r="L142" s="4">
        <v>17425766</v>
      </c>
      <c r="M142" s="4" t="str">
        <f>CONCATENATE(L142,"OVR")</f>
        <v>17425766OVR</v>
      </c>
      <c r="N142" s="4" t="s">
        <v>41</v>
      </c>
      <c r="O142" s="4">
        <v>270.5</v>
      </c>
      <c r="P142" s="4">
        <v>75</v>
      </c>
      <c r="Q142" s="4" t="s">
        <v>382</v>
      </c>
      <c r="S142" s="4">
        <f>150/12*6</f>
        <v>75</v>
      </c>
    </row>
    <row r="143" spans="1:19" s="4" customFormat="1" x14ac:dyDescent="0.25">
      <c r="A143" s="4" t="s">
        <v>357</v>
      </c>
      <c r="B143" s="4" t="str">
        <f>CONCATENATE(A143,"OVR")</f>
        <v>2DM2MN8UR91OVR</v>
      </c>
      <c r="C143" s="4" t="s">
        <v>449</v>
      </c>
      <c r="D143" s="4" t="s">
        <v>450</v>
      </c>
      <c r="E143" s="4" t="str">
        <f>CONCATENATE(D143," ",C143)</f>
        <v>ANN WATSON</v>
      </c>
      <c r="F143" s="4" t="s">
        <v>45</v>
      </c>
      <c r="G143" s="4" t="s">
        <v>105</v>
      </c>
      <c r="H143" s="4" t="s">
        <v>29</v>
      </c>
      <c r="I143" s="5">
        <v>46143</v>
      </c>
      <c r="J143" s="5">
        <v>46143</v>
      </c>
      <c r="K143" s="5">
        <v>46387</v>
      </c>
      <c r="L143" s="4">
        <v>19586992</v>
      </c>
      <c r="M143" s="4" t="str">
        <f>CONCATENATE(L143,"OVR")</f>
        <v>19586992OVR</v>
      </c>
      <c r="N143" s="4" t="s">
        <v>360</v>
      </c>
      <c r="O143" s="4">
        <v>-331.33</v>
      </c>
      <c r="P143" s="4">
        <v>-100</v>
      </c>
      <c r="Q143" s="4" t="s">
        <v>382</v>
      </c>
    </row>
    <row r="144" spans="1:19" s="4" customFormat="1" x14ac:dyDescent="0.25">
      <c r="A144" s="4" t="s">
        <v>357</v>
      </c>
      <c r="B144" s="4" t="str">
        <f>CONCATENATE(A144,"OVR")</f>
        <v>2DM2MN8UR91OVR</v>
      </c>
      <c r="C144" s="4" t="s">
        <v>449</v>
      </c>
      <c r="D144" s="4" t="s">
        <v>450</v>
      </c>
      <c r="E144" s="4" t="str">
        <f>CONCATENATE(D144," ",C144)</f>
        <v>ANN WATSON</v>
      </c>
      <c r="F144" s="4" t="s">
        <v>45</v>
      </c>
      <c r="G144" s="4" t="s">
        <v>186</v>
      </c>
      <c r="H144" s="4" t="s">
        <v>29</v>
      </c>
      <c r="I144" s="5">
        <v>46143</v>
      </c>
      <c r="J144" s="5">
        <v>46143</v>
      </c>
      <c r="K144" s="5">
        <v>46387</v>
      </c>
      <c r="L144" s="4">
        <v>19586992</v>
      </c>
      <c r="M144" s="4" t="str">
        <f>CONCATENATE(L144,"OVR")</f>
        <v>19586992OVR</v>
      </c>
      <c r="N144" s="4" t="s">
        <v>360</v>
      </c>
      <c r="O144" s="4">
        <v>562.66999999999996</v>
      </c>
      <c r="P144" s="4">
        <v>100</v>
      </c>
      <c r="Q144" s="4" t="s">
        <v>382</v>
      </c>
      <c r="S144" s="4">
        <f>150/12*8</f>
        <v>100</v>
      </c>
    </row>
    <row r="145" spans="1:17" s="4" customFormat="1" x14ac:dyDescent="0.25">
      <c r="A145" s="4" t="s">
        <v>311</v>
      </c>
      <c r="B145" s="4" t="str">
        <f>CONCATENATE(A145,"OVR")</f>
        <v>2JJ4H93QA96OVR</v>
      </c>
      <c r="C145" s="4" t="s">
        <v>474</v>
      </c>
      <c r="D145" s="4" t="s">
        <v>475</v>
      </c>
      <c r="E145" s="4" t="str">
        <f>CONCATENATE(D145," ",C145)</f>
        <v>KEITH RODECK</v>
      </c>
      <c r="F145" s="4" t="s">
        <v>305</v>
      </c>
      <c r="G145" s="4" t="s">
        <v>105</v>
      </c>
      <c r="H145" s="4" t="s">
        <v>29</v>
      </c>
      <c r="I145" s="5">
        <v>46174</v>
      </c>
      <c r="J145" s="5">
        <v>46174</v>
      </c>
      <c r="K145" s="5">
        <v>46387</v>
      </c>
      <c r="L145" s="4">
        <v>8307933</v>
      </c>
      <c r="M145" s="4" t="str">
        <f>CONCATENATE(L145,"OVR")</f>
        <v>8307933OVR</v>
      </c>
      <c r="N145" s="4" t="s">
        <v>197</v>
      </c>
      <c r="O145" s="4">
        <v>-289.92</v>
      </c>
      <c r="P145" s="4">
        <v>-87.5</v>
      </c>
      <c r="Q145" s="4" t="s">
        <v>382</v>
      </c>
    </row>
    <row r="146" spans="1:17" s="4" customFormat="1" x14ac:dyDescent="0.25">
      <c r="A146" s="4" t="s">
        <v>311</v>
      </c>
      <c r="B146" s="4" t="str">
        <f>CONCATENATE(A146,"OVR")</f>
        <v>2JJ4H93QA96OVR</v>
      </c>
      <c r="C146" s="4" t="s">
        <v>474</v>
      </c>
      <c r="D146" s="4" t="s">
        <v>475</v>
      </c>
      <c r="E146" s="4" t="str">
        <f>CONCATENATE(D146," ",C146)</f>
        <v>KEITH RODECK</v>
      </c>
      <c r="F146" s="4" t="s">
        <v>305</v>
      </c>
      <c r="G146" s="4" t="s">
        <v>101</v>
      </c>
      <c r="H146" s="4" t="s">
        <v>29</v>
      </c>
      <c r="I146" s="5">
        <v>46174</v>
      </c>
      <c r="J146" s="5">
        <v>46174</v>
      </c>
      <c r="K146" s="5">
        <v>46387</v>
      </c>
      <c r="L146" s="4">
        <v>8307933</v>
      </c>
      <c r="M146" s="4" t="str">
        <f>CONCATENATE(L146,"OVR")</f>
        <v>8307933OVR</v>
      </c>
      <c r="N146" s="4" t="s">
        <v>197</v>
      </c>
      <c r="O146" s="4">
        <v>844</v>
      </c>
      <c r="P146" s="4">
        <v>150</v>
      </c>
      <c r="Q146" s="4" t="s">
        <v>382</v>
      </c>
    </row>
    <row r="147" spans="1:17" s="4" customFormat="1" x14ac:dyDescent="0.25">
      <c r="A147" s="4" t="s">
        <v>370</v>
      </c>
      <c r="B147" s="4" t="str">
        <f>CONCATENATE(A147,"OVR")</f>
        <v>2K41R39QF37OVR</v>
      </c>
      <c r="C147" s="4" t="s">
        <v>466</v>
      </c>
      <c r="D147" s="4" t="s">
        <v>467</v>
      </c>
      <c r="E147" s="4" t="str">
        <f>CONCATENATE(D147," ",C147)</f>
        <v>BRENDA ZELINSKI</v>
      </c>
      <c r="F147" s="4" t="s">
        <v>156</v>
      </c>
      <c r="G147" s="4" t="s">
        <v>105</v>
      </c>
      <c r="H147" s="4" t="s">
        <v>29</v>
      </c>
      <c r="I147" s="5">
        <v>46174</v>
      </c>
      <c r="J147" s="5">
        <v>46174</v>
      </c>
      <c r="K147" s="5">
        <v>46387</v>
      </c>
      <c r="L147" s="4">
        <v>16170994</v>
      </c>
      <c r="M147" s="4" t="str">
        <f>CONCATENATE(L147,"OVR")</f>
        <v>16170994OVR</v>
      </c>
      <c r="N147" s="4" t="s">
        <v>159</v>
      </c>
      <c r="O147" s="4">
        <v>-289.92</v>
      </c>
      <c r="P147" s="4">
        <v>-87.5</v>
      </c>
      <c r="Q147" s="4" t="s">
        <v>382</v>
      </c>
    </row>
    <row r="148" spans="1:17" s="4" customFormat="1" x14ac:dyDescent="0.25">
      <c r="A148" s="4" t="s">
        <v>370</v>
      </c>
      <c r="B148" s="4" t="str">
        <f>CONCATENATE(A148,"OVR")</f>
        <v>2K41R39QF37OVR</v>
      </c>
      <c r="C148" s="4" t="s">
        <v>466</v>
      </c>
      <c r="D148" s="4" t="s">
        <v>467</v>
      </c>
      <c r="E148" s="4" t="str">
        <f>CONCATENATE(D148," ",C148)</f>
        <v>BRENDA ZELINSKI</v>
      </c>
      <c r="F148" s="4" t="s">
        <v>156</v>
      </c>
      <c r="G148" s="4" t="s">
        <v>101</v>
      </c>
      <c r="H148" s="4" t="s">
        <v>29</v>
      </c>
      <c r="I148" s="5">
        <v>46174</v>
      </c>
      <c r="J148" s="5">
        <v>46174</v>
      </c>
      <c r="K148" s="5">
        <v>46387</v>
      </c>
      <c r="L148" s="4">
        <v>16170994</v>
      </c>
      <c r="M148" s="4" t="str">
        <f>CONCATENATE(L148,"OVR")</f>
        <v>16170994OVR</v>
      </c>
      <c r="N148" s="4" t="s">
        <v>159</v>
      </c>
      <c r="O148" s="4">
        <v>844</v>
      </c>
      <c r="P148" s="4">
        <v>150</v>
      </c>
      <c r="Q148" s="4" t="s">
        <v>382</v>
      </c>
    </row>
    <row r="149" spans="1:17" s="4" customFormat="1" x14ac:dyDescent="0.25">
      <c r="A149" s="4" t="s">
        <v>238</v>
      </c>
      <c r="B149" s="4" t="str">
        <f>CONCATENATE(A149,"OVR")</f>
        <v>2M33VC6PH78OVR</v>
      </c>
      <c r="C149" s="4" t="s">
        <v>509</v>
      </c>
      <c r="D149" s="4" t="s">
        <v>432</v>
      </c>
      <c r="E149" s="4" t="str">
        <f>CONCATENATE(D149," ",C149)</f>
        <v>STEVEN HORWITZ</v>
      </c>
      <c r="F149" s="4" t="s">
        <v>27</v>
      </c>
      <c r="G149" s="4" t="s">
        <v>241</v>
      </c>
      <c r="H149" s="4" t="s">
        <v>29</v>
      </c>
      <c r="I149" s="5">
        <v>46174</v>
      </c>
      <c r="J149" s="5">
        <v>45323</v>
      </c>
      <c r="K149" s="5">
        <v>46174</v>
      </c>
      <c r="L149" s="4">
        <v>17528908</v>
      </c>
      <c r="M149" s="4" t="str">
        <f>CONCATENATE(L149,"OVR")</f>
        <v>17528908OVR</v>
      </c>
      <c r="N149" s="4" t="s">
        <v>70</v>
      </c>
      <c r="O149" s="4">
        <v>-35.08</v>
      </c>
      <c r="P149" s="4">
        <v>-2.5</v>
      </c>
      <c r="Q149" s="4" t="s">
        <v>382</v>
      </c>
    </row>
    <row r="150" spans="1:17" s="4" customFormat="1" x14ac:dyDescent="0.25">
      <c r="A150" s="4" t="s">
        <v>268</v>
      </c>
      <c r="B150" s="4" t="str">
        <f>CONCATENATE(A150,"OVR")</f>
        <v>2ME8XH0GM31OVR</v>
      </c>
      <c r="C150" s="4" t="s">
        <v>552</v>
      </c>
      <c r="D150" s="4" t="s">
        <v>553</v>
      </c>
      <c r="E150" s="4" t="str">
        <f>CONCATENATE(D150," ",C150)</f>
        <v>REBECCA KRIVAK</v>
      </c>
      <c r="F150" s="4" t="s">
        <v>27</v>
      </c>
      <c r="G150" s="4" t="s">
        <v>105</v>
      </c>
      <c r="H150" s="4" t="s">
        <v>29</v>
      </c>
      <c r="I150" s="5">
        <v>46235</v>
      </c>
      <c r="J150" s="5">
        <v>46235</v>
      </c>
      <c r="K150" s="5">
        <v>46266</v>
      </c>
      <c r="L150" s="4">
        <v>20253958</v>
      </c>
      <c r="M150" s="4" t="str">
        <f>CONCATENATE(L150,"OVR")</f>
        <v>20253958OVR</v>
      </c>
      <c r="N150" s="4" t="s">
        <v>33</v>
      </c>
      <c r="O150" s="4">
        <v>-27.09</v>
      </c>
      <c r="P150" s="4">
        <v>-27.09</v>
      </c>
      <c r="Q150" s="4" t="s">
        <v>382</v>
      </c>
    </row>
    <row r="151" spans="1:17" s="4" customFormat="1" x14ac:dyDescent="0.25">
      <c r="A151" s="4" t="s">
        <v>268</v>
      </c>
      <c r="B151" s="4" t="str">
        <f>CONCATENATE(A151,"OVR")</f>
        <v>2ME8XH0GM31OVR</v>
      </c>
      <c r="C151" s="4" t="s">
        <v>552</v>
      </c>
      <c r="D151" s="4" t="s">
        <v>553</v>
      </c>
      <c r="E151" s="4" t="str">
        <f>CONCATENATE(D151," ",C151)</f>
        <v>REBECCA KRIVAK</v>
      </c>
      <c r="F151" s="4" t="s">
        <v>27</v>
      </c>
      <c r="G151" s="4" t="s">
        <v>101</v>
      </c>
      <c r="H151" s="4" t="s">
        <v>29</v>
      </c>
      <c r="I151" s="5">
        <v>46235</v>
      </c>
      <c r="J151" s="5">
        <v>46235</v>
      </c>
      <c r="K151" s="5">
        <v>46387</v>
      </c>
      <c r="L151" s="4">
        <v>20253958</v>
      </c>
      <c r="M151" s="4" t="str">
        <f>CONCATENATE(L151,"OVR")</f>
        <v>20253958OVR</v>
      </c>
      <c r="N151" s="4" t="s">
        <v>33</v>
      </c>
      <c r="O151" s="4">
        <v>65</v>
      </c>
      <c r="P151" s="4">
        <v>65</v>
      </c>
      <c r="Q151" s="4" t="s">
        <v>382</v>
      </c>
    </row>
    <row r="152" spans="1:17" s="4" customFormat="1" x14ac:dyDescent="0.25">
      <c r="A152" s="4" t="s">
        <v>330</v>
      </c>
      <c r="B152" s="4" t="str">
        <f>CONCATENATE(A152,"OVR")</f>
        <v>2PN5RH3QY50OVR</v>
      </c>
      <c r="C152" s="4" t="s">
        <v>439</v>
      </c>
      <c r="D152" s="4" t="s">
        <v>440</v>
      </c>
      <c r="E152" s="4" t="str">
        <f>CONCATENATE(D152," ",C152)</f>
        <v>JON SMITH</v>
      </c>
      <c r="F152" s="4" t="s">
        <v>109</v>
      </c>
      <c r="G152" s="4" t="s">
        <v>105</v>
      </c>
      <c r="H152" s="4" t="s">
        <v>29</v>
      </c>
      <c r="I152" s="5">
        <v>46174</v>
      </c>
      <c r="J152" s="5">
        <v>46174</v>
      </c>
      <c r="K152" s="5">
        <v>46387</v>
      </c>
      <c r="L152" s="4">
        <v>371819</v>
      </c>
      <c r="M152" s="4" t="str">
        <f>CONCATENATE(L152,"OVR")</f>
        <v>371819OVR</v>
      </c>
      <c r="N152" s="4" t="s">
        <v>333</v>
      </c>
      <c r="O152" s="4">
        <v>-289.92</v>
      </c>
      <c r="P152" s="4">
        <v>-87.5</v>
      </c>
      <c r="Q152" s="4" t="s">
        <v>382</v>
      </c>
    </row>
    <row r="153" spans="1:17" s="4" customFormat="1" x14ac:dyDescent="0.25">
      <c r="A153" s="4" t="s">
        <v>330</v>
      </c>
      <c r="B153" s="4" t="str">
        <f>CONCATENATE(A153,"OVR")</f>
        <v>2PN5RH3QY50OVR</v>
      </c>
      <c r="C153" s="4" t="s">
        <v>439</v>
      </c>
      <c r="D153" s="4" t="s">
        <v>440</v>
      </c>
      <c r="E153" s="4" t="str">
        <f>CONCATENATE(D153," ",C153)</f>
        <v>JON SMITH</v>
      </c>
      <c r="F153" s="4" t="s">
        <v>109</v>
      </c>
      <c r="G153" s="4" t="s">
        <v>101</v>
      </c>
      <c r="H153" s="4" t="s">
        <v>29</v>
      </c>
      <c r="I153" s="5">
        <v>46174</v>
      </c>
      <c r="J153" s="5">
        <v>46174</v>
      </c>
      <c r="K153" s="5">
        <v>46387</v>
      </c>
      <c r="L153" s="4">
        <v>371819</v>
      </c>
      <c r="M153" s="4" t="str">
        <f>CONCATENATE(L153,"OVR")</f>
        <v>371819OVR</v>
      </c>
      <c r="N153" s="4" t="s">
        <v>333</v>
      </c>
      <c r="O153" s="4">
        <v>844</v>
      </c>
      <c r="P153" s="4">
        <v>150</v>
      </c>
      <c r="Q153" s="4" t="s">
        <v>382</v>
      </c>
    </row>
    <row r="154" spans="1:17" s="4" customFormat="1" x14ac:dyDescent="0.25">
      <c r="A154" s="4" t="s">
        <v>64</v>
      </c>
      <c r="B154" s="4" t="str">
        <f>CONCATENATE(A154,"OVR")</f>
        <v>2UF0R89NE06OVR</v>
      </c>
      <c r="C154" s="4" t="s">
        <v>529</v>
      </c>
      <c r="D154" s="4" t="s">
        <v>530</v>
      </c>
      <c r="E154" s="4" t="str">
        <f>CONCATENATE(D154," ",C154)</f>
        <v>ROGER KERR</v>
      </c>
      <c r="F154" s="4" t="s">
        <v>67</v>
      </c>
      <c r="G154" s="4" t="s">
        <v>68</v>
      </c>
      <c r="H154" s="4" t="s">
        <v>29</v>
      </c>
      <c r="I154" s="5">
        <v>46174</v>
      </c>
      <c r="J154" s="5">
        <v>45139</v>
      </c>
      <c r="K154" s="5">
        <v>46387</v>
      </c>
      <c r="L154" s="4">
        <v>17528908</v>
      </c>
      <c r="M154" s="4" t="str">
        <f>CONCATENATE(L154,"OVR")</f>
        <v>17528908OVR</v>
      </c>
      <c r="N154" s="4" t="s">
        <v>70</v>
      </c>
      <c r="O154" s="4">
        <v>31.42</v>
      </c>
      <c r="P154" s="4">
        <v>2.5</v>
      </c>
      <c r="Q154" s="4" t="s">
        <v>382</v>
      </c>
    </row>
    <row r="155" spans="1:17" s="4" customFormat="1" x14ac:dyDescent="0.25">
      <c r="A155" s="4" t="s">
        <v>367</v>
      </c>
      <c r="B155" s="4" t="str">
        <f>CONCATENATE(A155,"OVR")</f>
        <v>2W99YA6VJ35OVR</v>
      </c>
      <c r="C155" s="4" t="s">
        <v>548</v>
      </c>
      <c r="D155" s="4" t="s">
        <v>549</v>
      </c>
      <c r="E155" s="4" t="str">
        <f>CONCATENATE(D155," ",C155)</f>
        <v>CAROL ZANG</v>
      </c>
      <c r="F155" s="4" t="s">
        <v>27</v>
      </c>
      <c r="G155" s="4" t="s">
        <v>105</v>
      </c>
      <c r="H155" s="4" t="s">
        <v>29</v>
      </c>
      <c r="I155" s="5">
        <v>46204</v>
      </c>
      <c r="J155" s="5">
        <v>46204</v>
      </c>
      <c r="K155" s="5">
        <v>46235</v>
      </c>
      <c r="L155" s="4">
        <v>17886092</v>
      </c>
      <c r="M155" s="4" t="str">
        <f>CONCATENATE(L155,"OVR")</f>
        <v>17886092OVR</v>
      </c>
      <c r="N155" s="4" t="s">
        <v>81</v>
      </c>
      <c r="O155" s="4">
        <v>-32.5</v>
      </c>
      <c r="P155" s="4">
        <v>-32.5</v>
      </c>
      <c r="Q155" s="4" t="s">
        <v>382</v>
      </c>
    </row>
    <row r="156" spans="1:17" s="4" customFormat="1" x14ac:dyDescent="0.25">
      <c r="A156" s="4" t="s">
        <v>367</v>
      </c>
      <c r="B156" s="4" t="str">
        <f>CONCATENATE(A156,"OVR")</f>
        <v>2W99YA6VJ35OVR</v>
      </c>
      <c r="C156" s="4" t="s">
        <v>548</v>
      </c>
      <c r="D156" s="4" t="s">
        <v>549</v>
      </c>
      <c r="E156" s="4" t="str">
        <f>CONCATENATE(D156," ",C156)</f>
        <v>CAROL ZANG</v>
      </c>
      <c r="F156" s="4" t="s">
        <v>27</v>
      </c>
      <c r="G156" s="4" t="s">
        <v>101</v>
      </c>
      <c r="H156" s="4" t="s">
        <v>29</v>
      </c>
      <c r="I156" s="5">
        <v>46204</v>
      </c>
      <c r="J156" s="5">
        <v>46204</v>
      </c>
      <c r="K156" s="5">
        <v>46387</v>
      </c>
      <c r="L156" s="4">
        <v>17886092</v>
      </c>
      <c r="M156" s="4" t="str">
        <f>CONCATENATE(L156,"OVR")</f>
        <v>17886092OVR</v>
      </c>
      <c r="N156" s="4" t="s">
        <v>81</v>
      </c>
      <c r="O156" s="4">
        <v>65</v>
      </c>
      <c r="P156" s="4">
        <v>65</v>
      </c>
      <c r="Q156" s="4" t="s">
        <v>382</v>
      </c>
    </row>
    <row r="157" spans="1:17" s="4" customFormat="1" x14ac:dyDescent="0.25">
      <c r="A157" s="4" t="s">
        <v>127</v>
      </c>
      <c r="B157" s="4" t="str">
        <f>CONCATENATE(A157,"OVR")</f>
        <v>2YY2DT7AT82OVR</v>
      </c>
      <c r="C157" s="4" t="s">
        <v>419</v>
      </c>
      <c r="D157" s="4" t="s">
        <v>420</v>
      </c>
      <c r="E157" s="4" t="str">
        <f>CONCATENATE(D157," ",C157)</f>
        <v>JEFF CAGLEY</v>
      </c>
      <c r="F157" s="4" t="s">
        <v>45</v>
      </c>
      <c r="G157" s="4" t="s">
        <v>105</v>
      </c>
      <c r="H157" s="4" t="s">
        <v>29</v>
      </c>
      <c r="I157" s="5">
        <v>46174</v>
      </c>
      <c r="J157" s="5">
        <v>46174</v>
      </c>
      <c r="K157" s="5">
        <v>46387</v>
      </c>
      <c r="L157" s="4">
        <v>8244481</v>
      </c>
      <c r="M157" s="4" t="str">
        <f>CONCATENATE(L157,"OVR")</f>
        <v>8244481OVR</v>
      </c>
      <c r="N157" s="4" t="s">
        <v>131</v>
      </c>
      <c r="O157" s="4">
        <v>-289.92</v>
      </c>
      <c r="P157" s="4">
        <v>-87.5</v>
      </c>
      <c r="Q157" s="4" t="s">
        <v>382</v>
      </c>
    </row>
    <row r="158" spans="1:17" s="4" customFormat="1" x14ac:dyDescent="0.25">
      <c r="A158" s="4" t="s">
        <v>127</v>
      </c>
      <c r="B158" s="4" t="str">
        <f>CONCATENATE(A158,"OVR")</f>
        <v>2YY2DT7AT82OVR</v>
      </c>
      <c r="C158" s="4" t="s">
        <v>419</v>
      </c>
      <c r="D158" s="4" t="s">
        <v>420</v>
      </c>
      <c r="E158" s="4" t="str">
        <f>CONCATENATE(D158," ",C158)</f>
        <v>JEFF CAGLEY</v>
      </c>
      <c r="F158" s="4" t="s">
        <v>45</v>
      </c>
      <c r="G158" s="4" t="s">
        <v>101</v>
      </c>
      <c r="H158" s="4" t="s">
        <v>29</v>
      </c>
      <c r="I158" s="5">
        <v>46174</v>
      </c>
      <c r="J158" s="5">
        <v>46174</v>
      </c>
      <c r="K158" s="5">
        <v>46387</v>
      </c>
      <c r="L158" s="4">
        <v>8244481</v>
      </c>
      <c r="M158" s="4" t="str">
        <f>CONCATENATE(L158,"OVR")</f>
        <v>8244481OVR</v>
      </c>
      <c r="N158" s="4" t="s">
        <v>131</v>
      </c>
      <c r="O158" s="4">
        <v>844</v>
      </c>
      <c r="P158" s="4">
        <v>150</v>
      </c>
      <c r="Q158" s="4" t="s">
        <v>382</v>
      </c>
    </row>
    <row r="159" spans="1:17" s="4" customFormat="1" x14ac:dyDescent="0.25">
      <c r="A159" s="4" t="s">
        <v>76</v>
      </c>
      <c r="B159" s="4" t="str">
        <f>CONCATENATE(A159,"OVR")</f>
        <v>3C34GR0JH90OVR</v>
      </c>
      <c r="C159" s="4" t="s">
        <v>544</v>
      </c>
      <c r="D159" s="4" t="s">
        <v>545</v>
      </c>
      <c r="E159" s="4" t="str">
        <f>CONCATENATE(D159," ",C159)</f>
        <v>KAREN MACHIKA</v>
      </c>
      <c r="F159" s="4" t="s">
        <v>27</v>
      </c>
      <c r="G159" s="4" t="s">
        <v>82</v>
      </c>
      <c r="H159" s="4" t="s">
        <v>29</v>
      </c>
      <c r="I159" s="5">
        <v>46023</v>
      </c>
      <c r="J159" s="5">
        <v>46023</v>
      </c>
      <c r="K159" s="5">
        <v>46054</v>
      </c>
      <c r="L159" s="4">
        <v>17886092</v>
      </c>
      <c r="M159" s="4" t="str">
        <f>CONCATENATE(L159,"OVR")</f>
        <v>17886092OVR</v>
      </c>
      <c r="N159" s="4" t="s">
        <v>81</v>
      </c>
      <c r="O159" s="4">
        <v>-65</v>
      </c>
      <c r="P159" s="4">
        <v>-65</v>
      </c>
      <c r="Q159" s="4" t="s">
        <v>382</v>
      </c>
    </row>
    <row r="160" spans="1:17" s="4" customFormat="1" x14ac:dyDescent="0.25">
      <c r="A160" s="4" t="s">
        <v>76</v>
      </c>
      <c r="B160" s="4" t="str">
        <f>CONCATENATE(A160,"OVR")</f>
        <v>3C34GR0JH90OVR</v>
      </c>
      <c r="C160" s="4" t="s">
        <v>544</v>
      </c>
      <c r="D160" s="4" t="s">
        <v>545</v>
      </c>
      <c r="E160" s="4" t="str">
        <f>CONCATENATE(D160," ",C160)</f>
        <v>KAREN MACHIKA</v>
      </c>
      <c r="F160" s="4" t="s">
        <v>27</v>
      </c>
      <c r="G160" s="4" t="s">
        <v>79</v>
      </c>
      <c r="H160" s="4" t="s">
        <v>29</v>
      </c>
      <c r="I160" s="5">
        <v>46023</v>
      </c>
      <c r="J160" s="5">
        <v>46023</v>
      </c>
      <c r="K160" s="5">
        <v>46174</v>
      </c>
      <c r="L160" s="4">
        <v>17886092</v>
      </c>
      <c r="M160" s="4" t="str">
        <f>CONCATENATE(L160,"OVR")</f>
        <v>17886092OVR</v>
      </c>
      <c r="N160" s="4" t="s">
        <v>81</v>
      </c>
      <c r="O160" s="4">
        <v>32.5</v>
      </c>
      <c r="P160" s="4">
        <v>32.5</v>
      </c>
      <c r="Q160" s="4" t="s">
        <v>382</v>
      </c>
    </row>
    <row r="161" spans="1:19" s="4" customFormat="1" x14ac:dyDescent="0.25">
      <c r="A161" s="4" t="s">
        <v>218</v>
      </c>
      <c r="B161" s="4" t="str">
        <f>CONCATENATE(A161,"OVR")</f>
        <v>3D92RC1UN80OVR</v>
      </c>
      <c r="C161" s="4" t="s">
        <v>506</v>
      </c>
      <c r="D161" s="4" t="s">
        <v>411</v>
      </c>
      <c r="E161" s="4" t="str">
        <f>CONCATENATE(D161," ",C161)</f>
        <v>DAVID HALL</v>
      </c>
      <c r="F161" s="4" t="s">
        <v>27</v>
      </c>
      <c r="G161" s="4" t="s">
        <v>28</v>
      </c>
      <c r="H161" s="4" t="s">
        <v>29</v>
      </c>
      <c r="I161" s="5">
        <v>46204</v>
      </c>
      <c r="J161" s="5">
        <v>46204</v>
      </c>
      <c r="K161" s="5">
        <v>46387</v>
      </c>
      <c r="L161" s="4">
        <v>17528908</v>
      </c>
      <c r="M161" s="4" t="str">
        <f>CONCATENATE(L161,"OVR")</f>
        <v>17528908OVR</v>
      </c>
      <c r="N161" s="4" t="s">
        <v>70</v>
      </c>
      <c r="O161" s="4">
        <v>270.5</v>
      </c>
      <c r="P161" s="4">
        <v>75</v>
      </c>
      <c r="Q161" s="4" t="s">
        <v>382</v>
      </c>
    </row>
    <row r="162" spans="1:19" s="4" customFormat="1" x14ac:dyDescent="0.25">
      <c r="A162" s="4" t="s">
        <v>149</v>
      </c>
      <c r="B162" s="4" t="str">
        <f>CONCATENATE(A162,"OVR")</f>
        <v>3ED5Q49PJ88OVR</v>
      </c>
      <c r="C162" s="4" t="s">
        <v>503</v>
      </c>
      <c r="D162" s="4" t="s">
        <v>485</v>
      </c>
      <c r="E162" s="4" t="str">
        <f>CONCATENATE(D162," ",C162)</f>
        <v>RICHARD DEBLANDER</v>
      </c>
      <c r="F162" s="4" t="s">
        <v>27</v>
      </c>
      <c r="G162" s="4" t="s">
        <v>28</v>
      </c>
      <c r="H162" s="4" t="s">
        <v>29</v>
      </c>
      <c r="I162" s="5">
        <v>46266</v>
      </c>
      <c r="J162" s="5">
        <v>46266</v>
      </c>
      <c r="K162" s="5">
        <v>46387</v>
      </c>
      <c r="L162" s="4">
        <v>17528908</v>
      </c>
      <c r="M162" s="4" t="str">
        <f>CONCATENATE(L162,"OVR")</f>
        <v>17528908OVR</v>
      </c>
      <c r="N162" s="4" t="s">
        <v>70</v>
      </c>
      <c r="O162" s="4">
        <v>180.33</v>
      </c>
      <c r="P162" s="4">
        <v>50</v>
      </c>
      <c r="Q162" s="4" t="s">
        <v>382</v>
      </c>
      <c r="S162" s="4">
        <f>150/12*4</f>
        <v>50</v>
      </c>
    </row>
    <row r="163" spans="1:19" s="4" customFormat="1" x14ac:dyDescent="0.25">
      <c r="A163" s="4" t="s">
        <v>143</v>
      </c>
      <c r="B163" s="4" t="str">
        <f>CONCATENATE(A163,"OVR")</f>
        <v>3EJ8GG5VX24OVR</v>
      </c>
      <c r="C163" s="4" t="s">
        <v>527</v>
      </c>
      <c r="D163" s="4" t="s">
        <v>531</v>
      </c>
      <c r="E163" s="4" t="str">
        <f>CONCATENATE(D163," ",C163)</f>
        <v>ISIAH DALTON</v>
      </c>
      <c r="F163" s="4" t="s">
        <v>45</v>
      </c>
      <c r="G163" s="4" t="s">
        <v>148</v>
      </c>
      <c r="H163" s="4" t="s">
        <v>29</v>
      </c>
      <c r="I163" s="5">
        <v>46113</v>
      </c>
      <c r="J163" s="5">
        <v>46113</v>
      </c>
      <c r="K163" s="5">
        <v>46174</v>
      </c>
      <c r="L163" s="4">
        <v>9213293</v>
      </c>
      <c r="M163" s="4" t="str">
        <f>CONCATENATE(L163,"OVR")</f>
        <v>9213293OVR</v>
      </c>
      <c r="N163" s="4" t="s">
        <v>97</v>
      </c>
      <c r="O163" s="4">
        <v>-372.75</v>
      </c>
      <c r="P163" s="4">
        <v>-112.5</v>
      </c>
      <c r="Q163" s="4" t="s">
        <v>382</v>
      </c>
    </row>
    <row r="164" spans="1:19" s="4" customFormat="1" x14ac:dyDescent="0.25">
      <c r="A164" s="4" t="s">
        <v>143</v>
      </c>
      <c r="B164" s="4" t="str">
        <f>CONCATENATE(A164,"OVR")</f>
        <v>3EJ8GG5VX24OVR</v>
      </c>
      <c r="C164" s="4" t="s">
        <v>527</v>
      </c>
      <c r="D164" s="4" t="s">
        <v>531</v>
      </c>
      <c r="E164" s="4" t="str">
        <f>CONCATENATE(D164," ",C164)</f>
        <v>ISIAH DALTON</v>
      </c>
      <c r="F164" s="4" t="s">
        <v>45</v>
      </c>
      <c r="G164" s="4" t="s">
        <v>146</v>
      </c>
      <c r="H164" s="4" t="s">
        <v>29</v>
      </c>
      <c r="I164" s="5">
        <v>46113</v>
      </c>
      <c r="J164" s="5">
        <v>46113</v>
      </c>
      <c r="K164" s="5">
        <v>46174</v>
      </c>
      <c r="L164" s="4">
        <v>9213293</v>
      </c>
      <c r="M164" s="4" t="str">
        <f>CONCATENATE(L164,"OVR")</f>
        <v>9213293OVR</v>
      </c>
      <c r="N164" s="4" t="s">
        <v>97</v>
      </c>
      <c r="O164" s="4">
        <v>82.83</v>
      </c>
      <c r="P164" s="4">
        <v>25</v>
      </c>
      <c r="Q164" s="4" t="s">
        <v>382</v>
      </c>
      <c r="S164" s="4">
        <f>150/12*2</f>
        <v>25</v>
      </c>
    </row>
    <row r="165" spans="1:19" s="4" customFormat="1" x14ac:dyDescent="0.25">
      <c r="A165" s="4" t="s">
        <v>98</v>
      </c>
      <c r="B165" s="4" t="str">
        <f>CONCATENATE(A165,"OVR")</f>
        <v>3JN8T64EX27OVR</v>
      </c>
      <c r="C165" s="4" t="s">
        <v>435</v>
      </c>
      <c r="D165" s="4" t="s">
        <v>436</v>
      </c>
      <c r="E165" s="4" t="str">
        <f>CONCATENATE(D165," ",C165)</f>
        <v>ELIZABETH ALICEA</v>
      </c>
      <c r="F165" s="4" t="s">
        <v>45</v>
      </c>
      <c r="G165" s="4" t="s">
        <v>105</v>
      </c>
      <c r="H165" s="4" t="s">
        <v>29</v>
      </c>
      <c r="I165" s="5">
        <v>46204</v>
      </c>
      <c r="J165" s="5">
        <v>46204</v>
      </c>
      <c r="K165" s="5">
        <v>46387</v>
      </c>
      <c r="L165" s="4">
        <v>7152559</v>
      </c>
      <c r="M165" s="4" t="str">
        <f>CONCATENATE(L165,"OVR")</f>
        <v>7152559OVR</v>
      </c>
      <c r="N165" s="4" t="s">
        <v>103</v>
      </c>
      <c r="O165" s="4">
        <v>-248.5</v>
      </c>
      <c r="P165" s="4">
        <v>-75</v>
      </c>
      <c r="Q165" s="4" t="s">
        <v>382</v>
      </c>
    </row>
    <row r="166" spans="1:19" s="4" customFormat="1" x14ac:dyDescent="0.25">
      <c r="A166" s="4" t="s">
        <v>98</v>
      </c>
      <c r="B166" s="4" t="str">
        <f>CONCATENATE(A166,"OVR")</f>
        <v>3JN8T64EX27OVR</v>
      </c>
      <c r="C166" s="4" t="s">
        <v>435</v>
      </c>
      <c r="D166" s="4" t="s">
        <v>436</v>
      </c>
      <c r="E166" s="4" t="str">
        <f>CONCATENATE(D166," ",C166)</f>
        <v>ELIZABETH ALICEA</v>
      </c>
      <c r="F166" s="4" t="s">
        <v>45</v>
      </c>
      <c r="G166" s="4" t="s">
        <v>101</v>
      </c>
      <c r="H166" s="4" t="s">
        <v>29</v>
      </c>
      <c r="I166" s="5">
        <v>46204</v>
      </c>
      <c r="J166" s="5">
        <v>46204</v>
      </c>
      <c r="K166" s="5">
        <v>46387</v>
      </c>
      <c r="L166" s="4">
        <v>7152559</v>
      </c>
      <c r="M166" s="4" t="str">
        <f>CONCATENATE(L166,"OVR")</f>
        <v>7152559OVR</v>
      </c>
      <c r="N166" s="4" t="s">
        <v>103</v>
      </c>
      <c r="O166" s="4">
        <v>844</v>
      </c>
      <c r="P166" s="4">
        <v>150</v>
      </c>
      <c r="Q166" s="4" t="s">
        <v>382</v>
      </c>
    </row>
    <row r="167" spans="1:19" s="4" customFormat="1" x14ac:dyDescent="0.25">
      <c r="A167" s="4" t="s">
        <v>183</v>
      </c>
      <c r="B167" s="4" t="str">
        <f>CONCATENATE(A167,"OVR")</f>
        <v>3QX2QQ2CD00OVR</v>
      </c>
      <c r="C167" s="4" t="s">
        <v>410</v>
      </c>
      <c r="D167" s="4" t="s">
        <v>411</v>
      </c>
      <c r="E167" s="4" t="str">
        <f>CONCATENATE(D167," ",C167)</f>
        <v>DAVID FUNKHOUSER</v>
      </c>
      <c r="F167" s="4" t="s">
        <v>45</v>
      </c>
      <c r="G167" s="4" t="s">
        <v>105</v>
      </c>
      <c r="H167" s="4" t="s">
        <v>29</v>
      </c>
      <c r="I167" s="5">
        <v>46174</v>
      </c>
      <c r="J167" s="5">
        <v>46174</v>
      </c>
      <c r="K167" s="5">
        <v>46387</v>
      </c>
      <c r="L167" s="4">
        <v>7470776</v>
      </c>
      <c r="M167" s="4" t="str">
        <f>CONCATENATE(L167,"OVR")</f>
        <v>7470776OVR</v>
      </c>
      <c r="N167" s="4" t="s">
        <v>48</v>
      </c>
      <c r="O167" s="4">
        <v>-289.92</v>
      </c>
      <c r="P167" s="4">
        <v>-87.5</v>
      </c>
      <c r="Q167" s="4" t="s">
        <v>382</v>
      </c>
    </row>
    <row r="168" spans="1:19" s="4" customFormat="1" x14ac:dyDescent="0.25">
      <c r="A168" s="4" t="s">
        <v>183</v>
      </c>
      <c r="B168" s="4" t="str">
        <f>CONCATENATE(A168,"OVR")</f>
        <v>3QX2QQ2CD00OVR</v>
      </c>
      <c r="C168" s="4" t="s">
        <v>410</v>
      </c>
      <c r="D168" s="4" t="s">
        <v>411</v>
      </c>
      <c r="E168" s="4" t="str">
        <f>CONCATENATE(D168," ",C168)</f>
        <v>DAVID FUNKHOUSER</v>
      </c>
      <c r="F168" s="4" t="s">
        <v>45</v>
      </c>
      <c r="G168" s="4" t="s">
        <v>186</v>
      </c>
      <c r="H168" s="4" t="s">
        <v>29</v>
      </c>
      <c r="I168" s="5">
        <v>46174</v>
      </c>
      <c r="J168" s="5">
        <v>46174</v>
      </c>
      <c r="K168" s="5">
        <v>46387</v>
      </c>
      <c r="L168" s="4">
        <v>7470776</v>
      </c>
      <c r="M168" s="4" t="str">
        <f>CONCATENATE(L168,"OVR")</f>
        <v>7470776OVR</v>
      </c>
      <c r="N168" s="4" t="s">
        <v>48</v>
      </c>
      <c r="O168" s="4">
        <v>492.33</v>
      </c>
      <c r="P168" s="4">
        <v>87.5</v>
      </c>
      <c r="Q168" s="4" t="s">
        <v>382</v>
      </c>
      <c r="S168" s="4">
        <f>150/12*7</f>
        <v>87.5</v>
      </c>
    </row>
    <row r="169" spans="1:19" s="4" customFormat="1" x14ac:dyDescent="0.25">
      <c r="A169" s="4" t="s">
        <v>207</v>
      </c>
      <c r="B169" s="4" t="str">
        <f>CONCATENATE(A169,"OVR")</f>
        <v>3R09NV7AT43OVR</v>
      </c>
      <c r="C169" s="4" t="s">
        <v>456</v>
      </c>
      <c r="D169" s="4" t="s">
        <v>457</v>
      </c>
      <c r="E169" s="4" t="str">
        <f>CONCATENATE(D169," ",C169)</f>
        <v>AMY GUILL</v>
      </c>
      <c r="F169" s="4" t="s">
        <v>156</v>
      </c>
      <c r="G169" s="4" t="s">
        <v>105</v>
      </c>
      <c r="H169" s="4" t="s">
        <v>29</v>
      </c>
      <c r="I169" s="5">
        <v>46204</v>
      </c>
      <c r="J169" s="5">
        <v>46204</v>
      </c>
      <c r="K169" s="5">
        <v>46387</v>
      </c>
      <c r="L169" s="4">
        <v>16170994</v>
      </c>
      <c r="M169" s="4" t="str">
        <f>CONCATENATE(L169,"OVR")</f>
        <v>16170994OVR</v>
      </c>
      <c r="N169" s="4" t="s">
        <v>159</v>
      </c>
      <c r="O169" s="4">
        <v>-248.5</v>
      </c>
      <c r="P169" s="4">
        <v>-75</v>
      </c>
      <c r="Q169" s="4" t="s">
        <v>382</v>
      </c>
    </row>
    <row r="170" spans="1:19" s="4" customFormat="1" x14ac:dyDescent="0.25">
      <c r="A170" s="4" t="s">
        <v>207</v>
      </c>
      <c r="B170" s="4" t="str">
        <f>CONCATENATE(A170,"OVR")</f>
        <v>3R09NV7AT43OVR</v>
      </c>
      <c r="C170" s="4" t="s">
        <v>456</v>
      </c>
      <c r="D170" s="4" t="s">
        <v>457</v>
      </c>
      <c r="E170" s="4" t="str">
        <f>CONCATENATE(D170," ",C170)</f>
        <v>AMY GUILL</v>
      </c>
      <c r="F170" s="4" t="s">
        <v>156</v>
      </c>
      <c r="G170" s="4" t="s">
        <v>101</v>
      </c>
      <c r="H170" s="4" t="s">
        <v>29</v>
      </c>
      <c r="I170" s="5">
        <v>46204</v>
      </c>
      <c r="J170" s="5">
        <v>46204</v>
      </c>
      <c r="K170" s="5">
        <v>46387</v>
      </c>
      <c r="L170" s="4">
        <v>16170994</v>
      </c>
      <c r="M170" s="4" t="str">
        <f>CONCATENATE(L170,"OVR")</f>
        <v>16170994OVR</v>
      </c>
      <c r="N170" s="4" t="s">
        <v>159</v>
      </c>
      <c r="O170" s="4">
        <v>844</v>
      </c>
      <c r="P170" s="4">
        <v>150</v>
      </c>
      <c r="Q170" s="4" t="s">
        <v>382</v>
      </c>
    </row>
    <row r="171" spans="1:19" s="4" customFormat="1" x14ac:dyDescent="0.25">
      <c r="A171" s="4" t="s">
        <v>176</v>
      </c>
      <c r="B171" s="4" t="str">
        <f>CONCATENATE(A171,"OVR")</f>
        <v>3RX3WV9XT71OVR</v>
      </c>
      <c r="C171" s="4" t="s">
        <v>415</v>
      </c>
      <c r="D171" s="4" t="s">
        <v>416</v>
      </c>
      <c r="E171" s="4" t="str">
        <f>CONCATENATE(D171," ",C171)</f>
        <v>LINDA FOUTCH</v>
      </c>
      <c r="F171" s="4" t="s">
        <v>45</v>
      </c>
      <c r="G171" s="4" t="s">
        <v>105</v>
      </c>
      <c r="H171" s="4" t="s">
        <v>29</v>
      </c>
      <c r="I171" s="5">
        <v>46204</v>
      </c>
      <c r="J171" s="5">
        <v>46204</v>
      </c>
      <c r="K171" s="5">
        <v>46387</v>
      </c>
      <c r="L171" s="4">
        <v>8244481</v>
      </c>
      <c r="M171" s="4" t="str">
        <f>CONCATENATE(L171,"OVR")</f>
        <v>8244481OVR</v>
      </c>
      <c r="N171" s="4" t="s">
        <v>131</v>
      </c>
      <c r="O171" s="4">
        <v>-248.5</v>
      </c>
      <c r="P171" s="4">
        <v>-75</v>
      </c>
      <c r="Q171" s="4" t="s">
        <v>382</v>
      </c>
    </row>
    <row r="172" spans="1:19" s="4" customFormat="1" x14ac:dyDescent="0.25">
      <c r="A172" s="4" t="s">
        <v>176</v>
      </c>
      <c r="B172" s="4" t="str">
        <f>CONCATENATE(A172,"OVR")</f>
        <v>3RX3WV9XT71OVR</v>
      </c>
      <c r="C172" s="4" t="s">
        <v>415</v>
      </c>
      <c r="D172" s="4" t="s">
        <v>416</v>
      </c>
      <c r="E172" s="4" t="str">
        <f>CONCATENATE(D172," ",C172)</f>
        <v>LINDA FOUTCH</v>
      </c>
      <c r="F172" s="4" t="s">
        <v>45</v>
      </c>
      <c r="G172" s="4" t="s">
        <v>101</v>
      </c>
      <c r="H172" s="4" t="s">
        <v>29</v>
      </c>
      <c r="I172" s="5">
        <v>46204</v>
      </c>
      <c r="J172" s="5">
        <v>46204</v>
      </c>
      <c r="K172" s="5">
        <v>46387</v>
      </c>
      <c r="L172" s="4">
        <v>8244481</v>
      </c>
      <c r="M172" s="4" t="str">
        <f>CONCATENATE(L172,"OVR")</f>
        <v>8244481OVR</v>
      </c>
      <c r="N172" s="4" t="s">
        <v>131</v>
      </c>
      <c r="O172" s="4">
        <v>844</v>
      </c>
      <c r="P172" s="4">
        <v>150</v>
      </c>
      <c r="Q172" s="4" t="s">
        <v>382</v>
      </c>
    </row>
    <row r="173" spans="1:19" s="4" customFormat="1" x14ac:dyDescent="0.25">
      <c r="A173" s="4" t="s">
        <v>361</v>
      </c>
      <c r="B173" s="4" t="str">
        <f>CONCATENATE(A173,"OVR")</f>
        <v>3XP0UH0MN29OVR</v>
      </c>
      <c r="C173" s="4" t="s">
        <v>492</v>
      </c>
      <c r="D173" s="4" t="s">
        <v>493</v>
      </c>
      <c r="E173" s="4" t="str">
        <f>CONCATENATE(D173," ",C173)</f>
        <v>JEFFREY WILBERT</v>
      </c>
      <c r="F173" s="4" t="s">
        <v>27</v>
      </c>
      <c r="G173" s="4" t="s">
        <v>105</v>
      </c>
      <c r="H173" s="4" t="s">
        <v>29</v>
      </c>
      <c r="I173" s="5">
        <v>46143</v>
      </c>
      <c r="J173" s="5">
        <v>46143</v>
      </c>
      <c r="K173" s="5">
        <v>46387</v>
      </c>
      <c r="L173" s="4">
        <v>17528908</v>
      </c>
      <c r="M173" s="4" t="str">
        <f>CONCATENATE(L173,"OVR")</f>
        <v>17528908OVR</v>
      </c>
      <c r="N173" s="4" t="s">
        <v>70</v>
      </c>
      <c r="O173" s="4">
        <v>-360.67</v>
      </c>
      <c r="P173" s="4">
        <v>-100</v>
      </c>
      <c r="Q173" s="4" t="s">
        <v>382</v>
      </c>
    </row>
    <row r="174" spans="1:19" s="4" customFormat="1" x14ac:dyDescent="0.25">
      <c r="A174" s="4" t="s">
        <v>361</v>
      </c>
      <c r="B174" s="4" t="str">
        <f>CONCATENATE(A174,"OVR")</f>
        <v>3XP0UH0MN29OVR</v>
      </c>
      <c r="C174" s="4" t="s">
        <v>492</v>
      </c>
      <c r="D174" s="4" t="s">
        <v>493</v>
      </c>
      <c r="E174" s="4" t="str">
        <f>CONCATENATE(D174," ",C174)</f>
        <v>JEFFREY WILBERT</v>
      </c>
      <c r="F174" s="4" t="s">
        <v>27</v>
      </c>
      <c r="G174" s="4" t="s">
        <v>101</v>
      </c>
      <c r="H174" s="4" t="s">
        <v>29</v>
      </c>
      <c r="I174" s="5">
        <v>46143</v>
      </c>
      <c r="J174" s="5">
        <v>46143</v>
      </c>
      <c r="K174" s="5">
        <v>46387</v>
      </c>
      <c r="L174" s="4">
        <v>17528908</v>
      </c>
      <c r="M174" s="4" t="str">
        <f>CONCATENATE(L174,"OVR")</f>
        <v>17528908OVR</v>
      </c>
      <c r="N174" s="4" t="s">
        <v>70</v>
      </c>
      <c r="O174" s="4">
        <v>931</v>
      </c>
      <c r="P174" s="4">
        <v>150</v>
      </c>
      <c r="Q174" s="4" t="s">
        <v>382</v>
      </c>
    </row>
    <row r="175" spans="1:19" s="4" customFormat="1" x14ac:dyDescent="0.25">
      <c r="A175" s="4" t="s">
        <v>319</v>
      </c>
      <c r="B175" s="4" t="str">
        <f>CONCATENATE(A175,"OVR")</f>
        <v>4AM2RV7GN18OVR</v>
      </c>
      <c r="C175" s="4" t="s">
        <v>510</v>
      </c>
      <c r="D175" s="4" t="s">
        <v>511</v>
      </c>
      <c r="E175" s="4" t="str">
        <f>CONCATENATE(D175," ",C175)</f>
        <v>ROBIN SAFRAN</v>
      </c>
      <c r="F175" s="4" t="s">
        <v>27</v>
      </c>
      <c r="G175" s="4" t="s">
        <v>28</v>
      </c>
      <c r="H175" s="4" t="s">
        <v>29</v>
      </c>
      <c r="I175" s="5">
        <v>46266</v>
      </c>
      <c r="J175" s="5">
        <v>46266</v>
      </c>
      <c r="K175" s="5">
        <v>46387</v>
      </c>
      <c r="L175" s="4">
        <v>18710070</v>
      </c>
      <c r="M175" s="4" t="str">
        <f>CONCATENATE(L175,"OVR")</f>
        <v>18710070OVR</v>
      </c>
      <c r="N175" s="4" t="s">
        <v>116</v>
      </c>
      <c r="O175" s="4">
        <v>180.33</v>
      </c>
      <c r="P175" s="4">
        <v>50</v>
      </c>
      <c r="Q175" s="4" t="s">
        <v>382</v>
      </c>
    </row>
    <row r="176" spans="1:19" s="4" customFormat="1" x14ac:dyDescent="0.25">
      <c r="A176" s="4" t="s">
        <v>210</v>
      </c>
      <c r="B176" s="4" t="str">
        <f>CONCATENATE(A176,"OVR")</f>
        <v>4G77E15MR49OVR</v>
      </c>
      <c r="C176" s="4" t="s">
        <v>486</v>
      </c>
      <c r="D176" s="4" t="s">
        <v>487</v>
      </c>
      <c r="E176" s="4" t="str">
        <f>CONCATENATE(D176," ",C176)</f>
        <v>DARRELL GUNTER</v>
      </c>
      <c r="F176" s="4" t="s">
        <v>27</v>
      </c>
      <c r="G176" s="4" t="s">
        <v>105</v>
      </c>
      <c r="H176" s="4" t="s">
        <v>29</v>
      </c>
      <c r="I176" s="5">
        <v>46143</v>
      </c>
      <c r="J176" s="5">
        <v>46143</v>
      </c>
      <c r="K176" s="5">
        <v>46387</v>
      </c>
      <c r="L176" s="4">
        <v>17425766</v>
      </c>
      <c r="M176" s="4" t="str">
        <f>CONCATENATE(L176,"OVR")</f>
        <v>17425766OVR</v>
      </c>
      <c r="N176" s="4" t="s">
        <v>41</v>
      </c>
      <c r="O176" s="4">
        <v>-360.67</v>
      </c>
      <c r="P176" s="4">
        <v>-100</v>
      </c>
      <c r="Q176" s="4" t="s">
        <v>382</v>
      </c>
    </row>
    <row r="177" spans="1:19" s="4" customFormat="1" x14ac:dyDescent="0.25">
      <c r="A177" s="4" t="s">
        <v>210</v>
      </c>
      <c r="B177" s="4" t="str">
        <f>CONCATENATE(A177,"OVR")</f>
        <v>4G77E15MR49OVR</v>
      </c>
      <c r="C177" s="4" t="s">
        <v>486</v>
      </c>
      <c r="D177" s="4" t="s">
        <v>487</v>
      </c>
      <c r="E177" s="4" t="str">
        <f>CONCATENATE(D177," ",C177)</f>
        <v>DARRELL GUNTER</v>
      </c>
      <c r="F177" s="4" t="s">
        <v>27</v>
      </c>
      <c r="G177" s="4" t="s">
        <v>186</v>
      </c>
      <c r="H177" s="4" t="s">
        <v>29</v>
      </c>
      <c r="I177" s="5">
        <v>46143</v>
      </c>
      <c r="J177" s="5">
        <v>46143</v>
      </c>
      <c r="K177" s="5">
        <v>46387</v>
      </c>
      <c r="L177" s="4">
        <v>17425766</v>
      </c>
      <c r="M177" s="4" t="str">
        <f>CONCATENATE(L177,"OVR")</f>
        <v>17425766OVR</v>
      </c>
      <c r="N177" s="4" t="s">
        <v>41</v>
      </c>
      <c r="O177" s="4">
        <v>620.66999999999996</v>
      </c>
      <c r="P177" s="4">
        <v>100</v>
      </c>
      <c r="Q177" s="4" t="s">
        <v>382</v>
      </c>
      <c r="S177" s="4">
        <f>150/12*8</f>
        <v>100</v>
      </c>
    </row>
    <row r="178" spans="1:19" s="4" customFormat="1" x14ac:dyDescent="0.25">
      <c r="A178" s="4" t="s">
        <v>341</v>
      </c>
      <c r="B178" s="4" t="str">
        <f>CONCATENATE(A178,"OVR")</f>
        <v>4H13C43FH86OVR</v>
      </c>
      <c r="C178" s="4" t="s">
        <v>556</v>
      </c>
      <c r="D178" s="4" t="s">
        <v>557</v>
      </c>
      <c r="E178" s="4" t="str">
        <f>CONCATENATE(D178," ",C178)</f>
        <v>RALPH TANNER</v>
      </c>
      <c r="F178" s="4" t="s">
        <v>27</v>
      </c>
      <c r="G178" s="4" t="s">
        <v>105</v>
      </c>
      <c r="H178" s="4" t="s">
        <v>29</v>
      </c>
      <c r="I178" s="5">
        <v>46174</v>
      </c>
      <c r="J178" s="5">
        <v>46174</v>
      </c>
      <c r="K178" s="5">
        <v>46204</v>
      </c>
      <c r="L178" s="4">
        <v>20253958</v>
      </c>
      <c r="M178" s="4" t="str">
        <f>CONCATENATE(L178,"OVR")</f>
        <v>20253958OVR</v>
      </c>
      <c r="N178" s="4" t="s">
        <v>33</v>
      </c>
      <c r="O178" s="4">
        <v>-37.909999999999997</v>
      </c>
      <c r="P178" s="4">
        <v>-37.909999999999997</v>
      </c>
      <c r="Q178" s="4" t="s">
        <v>382</v>
      </c>
    </row>
    <row r="179" spans="1:19" s="4" customFormat="1" x14ac:dyDescent="0.25">
      <c r="A179" s="4" t="s">
        <v>341</v>
      </c>
      <c r="B179" s="4" t="str">
        <f>CONCATENATE(A179,"OVR")</f>
        <v>4H13C43FH86OVR</v>
      </c>
      <c r="C179" s="4" t="s">
        <v>556</v>
      </c>
      <c r="D179" s="4" t="s">
        <v>557</v>
      </c>
      <c r="E179" s="4" t="str">
        <f>CONCATENATE(D179," ",C179)</f>
        <v>RALPH TANNER</v>
      </c>
      <c r="F179" s="4" t="s">
        <v>27</v>
      </c>
      <c r="G179" s="4" t="s">
        <v>101</v>
      </c>
      <c r="H179" s="4" t="s">
        <v>29</v>
      </c>
      <c r="I179" s="5">
        <v>46174</v>
      </c>
      <c r="J179" s="5">
        <v>46174</v>
      </c>
      <c r="K179" s="5">
        <v>46387</v>
      </c>
      <c r="L179" s="4">
        <v>20253958</v>
      </c>
      <c r="M179" s="4" t="str">
        <f>CONCATENATE(L179,"OVR")</f>
        <v>20253958OVR</v>
      </c>
      <c r="N179" s="4" t="s">
        <v>33</v>
      </c>
      <c r="O179" s="4">
        <v>65</v>
      </c>
      <c r="P179" s="4">
        <v>65</v>
      </c>
      <c r="Q179" s="4" t="s">
        <v>382</v>
      </c>
    </row>
    <row r="180" spans="1:19" s="4" customFormat="1" x14ac:dyDescent="0.25">
      <c r="A180" s="4" t="s">
        <v>271</v>
      </c>
      <c r="B180" s="4" t="str">
        <f>CONCATENATE(A180,"OVR")</f>
        <v>4H65UJ9FC76OVR</v>
      </c>
      <c r="C180" s="4" t="s">
        <v>507</v>
      </c>
      <c r="D180" s="4" t="s">
        <v>508</v>
      </c>
      <c r="E180" s="4" t="str">
        <f>CONCATENATE(D180," ",C180)</f>
        <v>YONG MARCH</v>
      </c>
      <c r="F180" s="4" t="s">
        <v>27</v>
      </c>
      <c r="G180" s="4" t="s">
        <v>28</v>
      </c>
      <c r="H180" s="4" t="s">
        <v>29</v>
      </c>
      <c r="I180" s="5">
        <v>46204</v>
      </c>
      <c r="J180" s="5">
        <v>46204</v>
      </c>
      <c r="K180" s="5">
        <v>46387</v>
      </c>
      <c r="L180" s="4">
        <v>17528908</v>
      </c>
      <c r="M180" s="4" t="str">
        <f>CONCATENATE(L180,"OVR")</f>
        <v>17528908OVR</v>
      </c>
      <c r="N180" s="4" t="s">
        <v>70</v>
      </c>
      <c r="O180" s="4">
        <v>270.5</v>
      </c>
      <c r="P180" s="4">
        <v>75</v>
      </c>
      <c r="Q180" s="4" t="s">
        <v>382</v>
      </c>
    </row>
    <row r="181" spans="1:19" s="4" customFormat="1" x14ac:dyDescent="0.25">
      <c r="A181" s="4" t="s">
        <v>88</v>
      </c>
      <c r="B181" s="4" t="str">
        <f>CONCATENATE(A181,"OVR")</f>
        <v>4HW4Y22EA66OVR</v>
      </c>
      <c r="C181" s="4" t="s">
        <v>533</v>
      </c>
      <c r="D181" s="4" t="s">
        <v>534</v>
      </c>
      <c r="E181" s="4" t="str">
        <f>CONCATENATE(D181," ",C181)</f>
        <v>MARILYN WEBER</v>
      </c>
      <c r="F181" s="4" t="s">
        <v>45</v>
      </c>
      <c r="G181" s="4" t="s">
        <v>28</v>
      </c>
      <c r="H181" s="4" t="s">
        <v>29</v>
      </c>
      <c r="I181" s="5">
        <v>46235</v>
      </c>
      <c r="J181" s="5">
        <v>46235</v>
      </c>
      <c r="K181" s="5">
        <v>46387</v>
      </c>
      <c r="L181" s="4">
        <v>16228684</v>
      </c>
      <c r="M181" s="4" t="str">
        <f>CONCATENATE(L181,"OVR")</f>
        <v>16228684OVR</v>
      </c>
      <c r="N181" s="4" t="s">
        <v>93</v>
      </c>
      <c r="O181" s="4">
        <v>207.08</v>
      </c>
      <c r="P181" s="4">
        <v>62.5</v>
      </c>
      <c r="Q181" s="4" t="s">
        <v>382</v>
      </c>
    </row>
    <row r="182" spans="1:19" s="4" customFormat="1" x14ac:dyDescent="0.25">
      <c r="A182" s="4" t="s">
        <v>214</v>
      </c>
      <c r="B182" s="4" t="str">
        <f>CONCATENATE(A182,"OVR")</f>
        <v>4MX2TA6XW84OVR</v>
      </c>
      <c r="C182" s="4" t="s">
        <v>425</v>
      </c>
      <c r="D182" s="4" t="s">
        <v>426</v>
      </c>
      <c r="E182" s="4" t="str">
        <f>CONCATENATE(D182," ",C182)</f>
        <v>TINA HAGEMEIER</v>
      </c>
      <c r="F182" s="4" t="s">
        <v>45</v>
      </c>
      <c r="G182" s="4" t="s">
        <v>105</v>
      </c>
      <c r="H182" s="4" t="s">
        <v>29</v>
      </c>
      <c r="I182" s="5">
        <v>46204</v>
      </c>
      <c r="J182" s="5">
        <v>46204</v>
      </c>
      <c r="K182" s="5">
        <v>46387</v>
      </c>
      <c r="L182" s="4">
        <v>19268643</v>
      </c>
      <c r="M182" s="4" t="str">
        <f>CONCATENATE(L182,"OVR")</f>
        <v>19268643OVR</v>
      </c>
      <c r="N182" s="4" t="s">
        <v>217</v>
      </c>
      <c r="O182" s="4">
        <v>-248.5</v>
      </c>
      <c r="P182" s="4">
        <v>-75</v>
      </c>
      <c r="Q182" s="4" t="s">
        <v>382</v>
      </c>
    </row>
    <row r="183" spans="1:19" s="4" customFormat="1" x14ac:dyDescent="0.25">
      <c r="A183" s="4" t="s">
        <v>214</v>
      </c>
      <c r="B183" s="4" t="str">
        <f>CONCATENATE(A183,"OVR")</f>
        <v>4MX2TA6XW84OVR</v>
      </c>
      <c r="C183" s="4" t="s">
        <v>425</v>
      </c>
      <c r="D183" s="4" t="s">
        <v>426</v>
      </c>
      <c r="E183" s="4" t="str">
        <f>CONCATENATE(D183," ",C183)</f>
        <v>TINA HAGEMEIER</v>
      </c>
      <c r="F183" s="4" t="s">
        <v>45</v>
      </c>
      <c r="G183" s="4" t="s">
        <v>101</v>
      </c>
      <c r="H183" s="4" t="s">
        <v>29</v>
      </c>
      <c r="I183" s="5">
        <v>46204</v>
      </c>
      <c r="J183" s="5">
        <v>46204</v>
      </c>
      <c r="K183" s="5">
        <v>46387</v>
      </c>
      <c r="L183" s="4">
        <v>19268643</v>
      </c>
      <c r="M183" s="4" t="str">
        <f>CONCATENATE(L183,"OVR")</f>
        <v>19268643OVR</v>
      </c>
      <c r="N183" s="4" t="s">
        <v>217</v>
      </c>
      <c r="O183" s="4">
        <v>844</v>
      </c>
      <c r="P183" s="4">
        <v>150</v>
      </c>
      <c r="Q183" s="4" t="s">
        <v>382</v>
      </c>
    </row>
    <row r="184" spans="1:19" s="4" customFormat="1" x14ac:dyDescent="0.25">
      <c r="A184" s="4" t="s">
        <v>83</v>
      </c>
      <c r="B184" s="4" t="str">
        <f>CONCATENATE(A184,"OVR")</f>
        <v>4U08X16HR52OVR</v>
      </c>
      <c r="C184" s="4" t="s">
        <v>523</v>
      </c>
      <c r="D184" s="4" t="s">
        <v>524</v>
      </c>
      <c r="E184" s="4" t="str">
        <f>CONCATENATE(D184," ",C184)</f>
        <v>DEBBIE SANDOVALBUSTAM</v>
      </c>
      <c r="F184" s="4" t="s">
        <v>45</v>
      </c>
      <c r="G184" s="4" t="s">
        <v>28</v>
      </c>
      <c r="H184" s="4" t="s">
        <v>29</v>
      </c>
      <c r="I184" s="5">
        <v>46113</v>
      </c>
      <c r="J184" s="5">
        <v>46113</v>
      </c>
      <c r="K184" s="5">
        <v>46387</v>
      </c>
      <c r="L184" s="4">
        <v>21283956</v>
      </c>
      <c r="M184" s="4" t="str">
        <f>CONCATENATE(L184,"OVR")</f>
        <v>21283956OVR</v>
      </c>
      <c r="N184" s="4" t="s">
        <v>87</v>
      </c>
      <c r="O184" s="4">
        <v>372.75</v>
      </c>
      <c r="P184" s="4">
        <v>112.5</v>
      </c>
      <c r="Q184" s="4" t="s">
        <v>382</v>
      </c>
      <c r="S184" s="4">
        <f>150/12*9</f>
        <v>112.5</v>
      </c>
    </row>
    <row r="185" spans="1:19" s="4" customFormat="1" x14ac:dyDescent="0.25">
      <c r="A185" s="4" t="s">
        <v>112</v>
      </c>
      <c r="B185" s="4" t="str">
        <f>CONCATENATE(A185,"OVR")</f>
        <v>4U93TN9EN08OVR</v>
      </c>
      <c r="C185" s="4" t="s">
        <v>512</v>
      </c>
      <c r="D185" s="4" t="s">
        <v>467</v>
      </c>
      <c r="E185" s="4" t="str">
        <f>CONCATENATE(D185," ",C185)</f>
        <v>BRENDA BARDELLA</v>
      </c>
      <c r="F185" s="4" t="s">
        <v>27</v>
      </c>
      <c r="G185" s="4" t="s">
        <v>28</v>
      </c>
      <c r="H185" s="4" t="s">
        <v>29</v>
      </c>
      <c r="I185" s="5">
        <v>46235</v>
      </c>
      <c r="J185" s="5">
        <v>46235</v>
      </c>
      <c r="K185" s="5">
        <v>46387</v>
      </c>
      <c r="L185" s="4">
        <v>18710070</v>
      </c>
      <c r="M185" s="4" t="str">
        <f>CONCATENATE(L185,"OVR")</f>
        <v>18710070OVR</v>
      </c>
      <c r="N185" s="4" t="s">
        <v>116</v>
      </c>
      <c r="O185" s="4">
        <v>225.42</v>
      </c>
      <c r="P185" s="4">
        <v>62.5</v>
      </c>
      <c r="Q185" s="4" t="s">
        <v>382</v>
      </c>
      <c r="S185" s="4">
        <f>150/12*5</f>
        <v>62.5</v>
      </c>
    </row>
    <row r="186" spans="1:19" s="4" customFormat="1" x14ac:dyDescent="0.25">
      <c r="A186" s="4" t="s">
        <v>351</v>
      </c>
      <c r="B186" s="4" t="str">
        <f>CONCATENATE(A186,"OVR")</f>
        <v>5D35QV3DW99OVR</v>
      </c>
      <c r="C186" s="4" t="s">
        <v>460</v>
      </c>
      <c r="D186" s="4" t="s">
        <v>461</v>
      </c>
      <c r="E186" s="4" t="str">
        <f>CONCATENATE(D186," ",C186)</f>
        <v>FRANK WAGNER</v>
      </c>
      <c r="F186" s="4" t="s">
        <v>156</v>
      </c>
      <c r="G186" s="4" t="s">
        <v>105</v>
      </c>
      <c r="H186" s="4" t="s">
        <v>29</v>
      </c>
      <c r="I186" s="5">
        <v>46204</v>
      </c>
      <c r="J186" s="5">
        <v>46204</v>
      </c>
      <c r="K186" s="5">
        <v>46387</v>
      </c>
      <c r="L186" s="4">
        <v>16170994</v>
      </c>
      <c r="M186" s="4" t="str">
        <f>CONCATENATE(L186,"OVR")</f>
        <v>16170994OVR</v>
      </c>
      <c r="N186" s="4" t="s">
        <v>159</v>
      </c>
      <c r="O186" s="4">
        <v>-248.5</v>
      </c>
      <c r="P186" s="4">
        <v>-75</v>
      </c>
      <c r="Q186" s="4" t="s">
        <v>382</v>
      </c>
    </row>
    <row r="187" spans="1:19" s="4" customFormat="1" x14ac:dyDescent="0.25">
      <c r="A187" s="4" t="s">
        <v>351</v>
      </c>
      <c r="B187" s="4" t="str">
        <f>CONCATENATE(A187,"OVR")</f>
        <v>5D35QV3DW99OVR</v>
      </c>
      <c r="C187" s="4" t="s">
        <v>460</v>
      </c>
      <c r="D187" s="4" t="s">
        <v>461</v>
      </c>
      <c r="E187" s="4" t="str">
        <f>CONCATENATE(D187," ",C187)</f>
        <v>FRANK WAGNER</v>
      </c>
      <c r="F187" s="4" t="s">
        <v>156</v>
      </c>
      <c r="G187" s="4" t="s">
        <v>101</v>
      </c>
      <c r="H187" s="4" t="s">
        <v>29</v>
      </c>
      <c r="I187" s="5">
        <v>46204</v>
      </c>
      <c r="J187" s="5">
        <v>46204</v>
      </c>
      <c r="K187" s="5">
        <v>46387</v>
      </c>
      <c r="L187" s="4">
        <v>16170994</v>
      </c>
      <c r="M187" s="4" t="str">
        <f>CONCATENATE(L187,"OVR")</f>
        <v>16170994OVR</v>
      </c>
      <c r="N187" s="4" t="s">
        <v>159</v>
      </c>
      <c r="O187" s="4">
        <v>844</v>
      </c>
      <c r="P187" s="4">
        <v>150</v>
      </c>
      <c r="Q187" s="4" t="s">
        <v>382</v>
      </c>
    </row>
    <row r="188" spans="1:19" s="4" customFormat="1" x14ac:dyDescent="0.25">
      <c r="A188" s="4" t="s">
        <v>190</v>
      </c>
      <c r="B188" s="4" t="str">
        <f>CONCATENATE(A188,"OVR")</f>
        <v>5FG8XM4ET30OVR</v>
      </c>
      <c r="C188" s="4" t="s">
        <v>488</v>
      </c>
      <c r="D188" s="4" t="s">
        <v>489</v>
      </c>
      <c r="E188" s="4" t="str">
        <f>CONCATENATE(D188," ",C188)</f>
        <v>JUDITH GAINER</v>
      </c>
      <c r="F188" s="4" t="s">
        <v>27</v>
      </c>
      <c r="G188" s="4" t="s">
        <v>105</v>
      </c>
      <c r="H188" s="4" t="s">
        <v>29</v>
      </c>
      <c r="I188" s="5">
        <v>46174</v>
      </c>
      <c r="J188" s="5">
        <v>46174</v>
      </c>
      <c r="K188" s="5">
        <v>46387</v>
      </c>
      <c r="L188" s="4">
        <v>17528908</v>
      </c>
      <c r="M188" s="4" t="str">
        <f>CONCATENATE(L188,"OVR")</f>
        <v>17528908OVR</v>
      </c>
      <c r="N188" s="4" t="s">
        <v>70</v>
      </c>
      <c r="O188" s="4">
        <v>-315.58</v>
      </c>
      <c r="P188" s="4">
        <v>-87.5</v>
      </c>
      <c r="Q188" s="4" t="s">
        <v>382</v>
      </c>
    </row>
    <row r="189" spans="1:19" s="4" customFormat="1" x14ac:dyDescent="0.25">
      <c r="A189" s="4" t="s">
        <v>190</v>
      </c>
      <c r="B189" s="4" t="str">
        <f>CONCATENATE(A189,"OVR")</f>
        <v>5FG8XM4ET30OVR</v>
      </c>
      <c r="C189" s="4" t="s">
        <v>488</v>
      </c>
      <c r="D189" s="4" t="s">
        <v>489</v>
      </c>
      <c r="E189" s="4" t="str">
        <f>CONCATENATE(D189," ",C189)</f>
        <v>JUDITH GAINER</v>
      </c>
      <c r="F189" s="4" t="s">
        <v>27</v>
      </c>
      <c r="G189" s="4" t="s">
        <v>101</v>
      </c>
      <c r="H189" s="4" t="s">
        <v>29</v>
      </c>
      <c r="I189" s="5">
        <v>46174</v>
      </c>
      <c r="J189" s="5">
        <v>46174</v>
      </c>
      <c r="K189" s="5">
        <v>46387</v>
      </c>
      <c r="L189" s="4">
        <v>17528908</v>
      </c>
      <c r="M189" s="4" t="str">
        <f>CONCATENATE(L189,"OVR")</f>
        <v>17528908OVR</v>
      </c>
      <c r="N189" s="4" t="s">
        <v>70</v>
      </c>
      <c r="O189" s="4">
        <v>931</v>
      </c>
      <c r="P189" s="4">
        <v>150</v>
      </c>
      <c r="Q189" s="4" t="s">
        <v>382</v>
      </c>
    </row>
    <row r="190" spans="1:19" s="4" customFormat="1" x14ac:dyDescent="0.25">
      <c r="A190" s="4" t="s">
        <v>242</v>
      </c>
      <c r="B190" s="4" t="str">
        <f>CONCATENATE(A190,"OVR")</f>
        <v>5GC4RR4EF64OVR</v>
      </c>
      <c r="C190" s="4" t="s">
        <v>480</v>
      </c>
      <c r="D190" s="4" t="s">
        <v>481</v>
      </c>
      <c r="E190" s="4" t="str">
        <f>CONCATENATE(D190," ",C190)</f>
        <v>NASTE ISIROV</v>
      </c>
      <c r="F190" s="4" t="s">
        <v>45</v>
      </c>
      <c r="G190" s="4" t="s">
        <v>105</v>
      </c>
      <c r="H190" s="4" t="s">
        <v>29</v>
      </c>
      <c r="I190" s="5">
        <v>46235</v>
      </c>
      <c r="J190" s="5">
        <v>46235</v>
      </c>
      <c r="K190" s="5">
        <v>46387</v>
      </c>
      <c r="L190" s="4">
        <v>16633294</v>
      </c>
      <c r="M190" s="4" t="str">
        <f>CONCATENATE(L190,"OVR")</f>
        <v>16633294OVR</v>
      </c>
      <c r="N190" s="4" t="s">
        <v>56</v>
      </c>
      <c r="O190" s="4">
        <v>-207.08</v>
      </c>
      <c r="P190" s="4">
        <v>-62.5</v>
      </c>
      <c r="Q190" s="4" t="s">
        <v>382</v>
      </c>
    </row>
    <row r="191" spans="1:19" s="4" customFormat="1" x14ac:dyDescent="0.25">
      <c r="A191" s="4" t="s">
        <v>242</v>
      </c>
      <c r="B191" s="4" t="str">
        <f>CONCATENATE(A191,"OVR")</f>
        <v>5GC4RR4EF64OVR</v>
      </c>
      <c r="C191" s="4" t="s">
        <v>480</v>
      </c>
      <c r="D191" s="4" t="s">
        <v>481</v>
      </c>
      <c r="E191" s="4" t="str">
        <f>CONCATENATE(D191," ",C191)</f>
        <v>NASTE ISIROV</v>
      </c>
      <c r="F191" s="4" t="s">
        <v>45</v>
      </c>
      <c r="G191" s="4" t="s">
        <v>101</v>
      </c>
      <c r="H191" s="4" t="s">
        <v>29</v>
      </c>
      <c r="I191" s="5">
        <v>46235</v>
      </c>
      <c r="J191" s="5">
        <v>46235</v>
      </c>
      <c r="K191" s="5">
        <v>46387</v>
      </c>
      <c r="L191" s="4">
        <v>16633294</v>
      </c>
      <c r="M191" s="4" t="str">
        <f>CONCATENATE(L191,"OVR")</f>
        <v>16633294OVR</v>
      </c>
      <c r="N191" s="4" t="s">
        <v>56</v>
      </c>
      <c r="O191" s="4">
        <v>844</v>
      </c>
      <c r="P191" s="4">
        <v>150</v>
      </c>
      <c r="Q191" s="4" t="s">
        <v>382</v>
      </c>
    </row>
    <row r="192" spans="1:19" s="4" customFormat="1" x14ac:dyDescent="0.25">
      <c r="A192" s="4" t="s">
        <v>24</v>
      </c>
      <c r="B192" s="4" t="str">
        <f>CONCATENATE(A192,"OVR")</f>
        <v>5HH5YX2JT89OVR</v>
      </c>
      <c r="C192" s="4" t="s">
        <v>550</v>
      </c>
      <c r="D192" s="4" t="s">
        <v>551</v>
      </c>
      <c r="E192" s="4" t="str">
        <f>CONCATENATE(D192," ",C192)</f>
        <v>LISA BARTO</v>
      </c>
      <c r="F192" s="4" t="s">
        <v>27</v>
      </c>
      <c r="G192" s="4" t="s">
        <v>28</v>
      </c>
      <c r="H192" s="4" t="s">
        <v>29</v>
      </c>
      <c r="I192" s="5">
        <v>46235</v>
      </c>
      <c r="J192" s="5">
        <v>46235</v>
      </c>
      <c r="K192" s="5">
        <v>46387</v>
      </c>
      <c r="L192" s="4">
        <v>20253958</v>
      </c>
      <c r="M192" s="4" t="str">
        <f>CONCATENATE(L192,"OVR")</f>
        <v>20253958OVR</v>
      </c>
      <c r="N192" s="4" t="s">
        <v>33</v>
      </c>
      <c r="O192" s="4">
        <v>27.09</v>
      </c>
      <c r="P192" s="4">
        <v>27.09</v>
      </c>
      <c r="Q192" s="4" t="s">
        <v>382</v>
      </c>
    </row>
    <row r="193" spans="1:19" s="4" customFormat="1" x14ac:dyDescent="0.25">
      <c r="A193" s="4" t="s">
        <v>249</v>
      </c>
      <c r="B193" s="4" t="str">
        <f>CONCATENATE(A193,"OVR")</f>
        <v>5MX2G05JV93OVR</v>
      </c>
      <c r="C193" s="4" t="s">
        <v>458</v>
      </c>
      <c r="D193" s="4" t="s">
        <v>459</v>
      </c>
      <c r="E193" s="4" t="str">
        <f>CONCATENATE(D193," ",C193)</f>
        <v>JANIS JOHNSON</v>
      </c>
      <c r="F193" s="4" t="s">
        <v>156</v>
      </c>
      <c r="G193" s="4" t="s">
        <v>105</v>
      </c>
      <c r="H193" s="4" t="s">
        <v>29</v>
      </c>
      <c r="I193" s="5">
        <v>46204</v>
      </c>
      <c r="J193" s="5">
        <v>46204</v>
      </c>
      <c r="K193" s="5">
        <v>46387</v>
      </c>
      <c r="L193" s="4">
        <v>16170994</v>
      </c>
      <c r="M193" s="4" t="str">
        <f>CONCATENATE(L193,"OVR")</f>
        <v>16170994OVR</v>
      </c>
      <c r="N193" s="4" t="s">
        <v>159</v>
      </c>
      <c r="O193" s="4">
        <v>-248.5</v>
      </c>
      <c r="P193" s="4">
        <v>-75</v>
      </c>
      <c r="Q193" s="4" t="s">
        <v>382</v>
      </c>
    </row>
    <row r="194" spans="1:19" s="4" customFormat="1" x14ac:dyDescent="0.25">
      <c r="A194" s="4" t="s">
        <v>249</v>
      </c>
      <c r="B194" s="4" t="str">
        <f>CONCATENATE(A194,"OVR")</f>
        <v>5MX2G05JV93OVR</v>
      </c>
      <c r="C194" s="4" t="s">
        <v>458</v>
      </c>
      <c r="D194" s="4" t="s">
        <v>459</v>
      </c>
      <c r="E194" s="4" t="str">
        <f>CONCATENATE(D194," ",C194)</f>
        <v>JANIS JOHNSON</v>
      </c>
      <c r="F194" s="4" t="s">
        <v>156</v>
      </c>
      <c r="G194" s="4" t="s">
        <v>101</v>
      </c>
      <c r="H194" s="4" t="s">
        <v>29</v>
      </c>
      <c r="I194" s="5">
        <v>46204</v>
      </c>
      <c r="J194" s="5">
        <v>46204</v>
      </c>
      <c r="K194" s="5">
        <v>46387</v>
      </c>
      <c r="L194" s="4">
        <v>16170994</v>
      </c>
      <c r="M194" s="4" t="str">
        <f>CONCATENATE(L194,"OVR")</f>
        <v>16170994OVR</v>
      </c>
      <c r="N194" s="4" t="s">
        <v>159</v>
      </c>
      <c r="O194" s="4">
        <v>844</v>
      </c>
      <c r="P194" s="4">
        <v>150</v>
      </c>
      <c r="Q194" s="4" t="s">
        <v>382</v>
      </c>
    </row>
    <row r="195" spans="1:19" s="4" customFormat="1" x14ac:dyDescent="0.25">
      <c r="A195" s="4" t="s">
        <v>57</v>
      </c>
      <c r="B195" s="4" t="str">
        <f>CONCATENATE(A195,"OVR")</f>
        <v>5NG2E52EW81OVR</v>
      </c>
      <c r="C195" s="4" t="s">
        <v>458</v>
      </c>
      <c r="D195" s="4" t="s">
        <v>537</v>
      </c>
      <c r="E195" s="4" t="str">
        <f>CONCATENATE(D195," ",C195)</f>
        <v>DEANNA JOHNSON</v>
      </c>
      <c r="F195" s="4" t="s">
        <v>60</v>
      </c>
      <c r="G195" s="4" t="s">
        <v>28</v>
      </c>
      <c r="H195" s="4" t="s">
        <v>61</v>
      </c>
      <c r="I195" s="5">
        <v>46204</v>
      </c>
      <c r="J195" s="5">
        <v>46204</v>
      </c>
      <c r="K195" s="5">
        <v>46387</v>
      </c>
      <c r="L195" s="4">
        <v>8325282</v>
      </c>
      <c r="M195" s="4" t="str">
        <f>CONCATENATE(L195,"OVR")</f>
        <v>8325282OVR</v>
      </c>
      <c r="N195" s="4" t="s">
        <v>63</v>
      </c>
      <c r="O195" s="4">
        <v>248.5</v>
      </c>
      <c r="P195" s="4">
        <v>75</v>
      </c>
      <c r="Q195" s="4" t="s">
        <v>382</v>
      </c>
    </row>
    <row r="196" spans="1:19" s="4" customFormat="1" x14ac:dyDescent="0.25">
      <c r="A196" s="4" t="s">
        <v>326</v>
      </c>
      <c r="B196" s="4" t="str">
        <f>CONCATENATE(A196,"OVR")</f>
        <v>5NH5XE9FW72OVR</v>
      </c>
      <c r="C196" s="4" t="s">
        <v>437</v>
      </c>
      <c r="D196" s="4" t="s">
        <v>438</v>
      </c>
      <c r="E196" s="4" t="str">
        <f>CONCATENATE(D196," ",C196)</f>
        <v>TIMOTHY SHEPARD</v>
      </c>
      <c r="F196" s="4" t="s">
        <v>45</v>
      </c>
      <c r="G196" s="4" t="s">
        <v>105</v>
      </c>
      <c r="H196" s="4" t="s">
        <v>29</v>
      </c>
      <c r="I196" s="5">
        <v>46174</v>
      </c>
      <c r="J196" s="5">
        <v>46174</v>
      </c>
      <c r="K196" s="5">
        <v>46387</v>
      </c>
      <c r="L196" s="4">
        <v>7146581</v>
      </c>
      <c r="M196" s="4" t="str">
        <f>CONCATENATE(L196,"OVR")</f>
        <v>7146581OVR</v>
      </c>
      <c r="N196" s="4" t="s">
        <v>329</v>
      </c>
      <c r="O196" s="4">
        <v>-289.92</v>
      </c>
      <c r="P196" s="4">
        <v>-87.5</v>
      </c>
      <c r="Q196" s="4" t="s">
        <v>382</v>
      </c>
    </row>
    <row r="197" spans="1:19" s="4" customFormat="1" x14ac:dyDescent="0.25">
      <c r="A197" s="4" t="s">
        <v>326</v>
      </c>
      <c r="B197" s="4" t="str">
        <f>CONCATENATE(A197,"OVR")</f>
        <v>5NH5XE9FW72OVR</v>
      </c>
      <c r="C197" s="4" t="s">
        <v>437</v>
      </c>
      <c r="D197" s="4" t="s">
        <v>438</v>
      </c>
      <c r="E197" s="4" t="str">
        <f>CONCATENATE(D197," ",C197)</f>
        <v>TIMOTHY SHEPARD</v>
      </c>
      <c r="F197" s="4" t="s">
        <v>45</v>
      </c>
      <c r="G197" s="4" t="s">
        <v>101</v>
      </c>
      <c r="H197" s="4" t="s">
        <v>29</v>
      </c>
      <c r="I197" s="5">
        <v>46174</v>
      </c>
      <c r="J197" s="5">
        <v>46174</v>
      </c>
      <c r="K197" s="5">
        <v>46387</v>
      </c>
      <c r="L197" s="4">
        <v>7146581</v>
      </c>
      <c r="M197" s="4" t="str">
        <f>CONCATENATE(L197,"OVR")</f>
        <v>7146581OVR</v>
      </c>
      <c r="N197" s="4" t="s">
        <v>329</v>
      </c>
      <c r="O197" s="4">
        <v>844</v>
      </c>
      <c r="P197" s="4">
        <v>150</v>
      </c>
      <c r="Q197" s="4" t="s">
        <v>382</v>
      </c>
    </row>
    <row r="198" spans="1:19" s="4" customFormat="1" x14ac:dyDescent="0.25">
      <c r="A198" s="4" t="s">
        <v>298</v>
      </c>
      <c r="B198" s="4" t="str">
        <f>CONCATENATE(A198,"OVR")</f>
        <v>5PE1P46NK29OVR</v>
      </c>
      <c r="C198" s="4" t="s">
        <v>431</v>
      </c>
      <c r="D198" s="4" t="s">
        <v>432</v>
      </c>
      <c r="E198" s="4" t="str">
        <f>CONCATENATE(D198," ",C198)</f>
        <v>STEVEN PENNINGTON</v>
      </c>
      <c r="F198" s="4" t="s">
        <v>156</v>
      </c>
      <c r="G198" s="4" t="s">
        <v>105</v>
      </c>
      <c r="H198" s="4" t="s">
        <v>29</v>
      </c>
      <c r="I198" s="5">
        <v>46174</v>
      </c>
      <c r="J198" s="5">
        <v>46174</v>
      </c>
      <c r="K198" s="5">
        <v>46387</v>
      </c>
      <c r="L198" s="4">
        <v>17094718</v>
      </c>
      <c r="M198" s="4" t="str">
        <f>CONCATENATE(L198,"OVR")</f>
        <v>17094718OVR</v>
      </c>
      <c r="N198" s="4" t="s">
        <v>203</v>
      </c>
      <c r="O198" s="4">
        <v>-289.92</v>
      </c>
      <c r="P198" s="4">
        <v>-87.5</v>
      </c>
      <c r="Q198" s="4" t="s">
        <v>382</v>
      </c>
    </row>
    <row r="199" spans="1:19" s="4" customFormat="1" x14ac:dyDescent="0.25">
      <c r="A199" s="4" t="s">
        <v>298</v>
      </c>
      <c r="B199" s="4" t="str">
        <f>CONCATENATE(A199,"OVR")</f>
        <v>5PE1P46NK29OVR</v>
      </c>
      <c r="C199" s="4" t="s">
        <v>431</v>
      </c>
      <c r="D199" s="4" t="s">
        <v>432</v>
      </c>
      <c r="E199" s="4" t="str">
        <f>CONCATENATE(D199," ",C199)</f>
        <v>STEVEN PENNINGTON</v>
      </c>
      <c r="F199" s="4" t="s">
        <v>156</v>
      </c>
      <c r="G199" s="4" t="s">
        <v>101</v>
      </c>
      <c r="H199" s="4" t="s">
        <v>29</v>
      </c>
      <c r="I199" s="5">
        <v>46174</v>
      </c>
      <c r="J199" s="5">
        <v>46174</v>
      </c>
      <c r="K199" s="5">
        <v>46387</v>
      </c>
      <c r="L199" s="4">
        <v>17094718</v>
      </c>
      <c r="M199" s="4" t="str">
        <f>CONCATENATE(L199,"OVR")</f>
        <v>17094718OVR</v>
      </c>
      <c r="N199" s="4" t="s">
        <v>203</v>
      </c>
      <c r="O199" s="4">
        <v>844</v>
      </c>
      <c r="P199" s="4">
        <v>150</v>
      </c>
      <c r="Q199" s="4" t="s">
        <v>382</v>
      </c>
    </row>
    <row r="200" spans="1:19" s="4" customFormat="1" x14ac:dyDescent="0.25">
      <c r="A200" s="4" t="s">
        <v>198</v>
      </c>
      <c r="B200" s="4" t="str">
        <f>CONCATENATE(A200,"OVR")</f>
        <v>5QG5J34VR77OVR</v>
      </c>
      <c r="C200" s="4" t="s">
        <v>429</v>
      </c>
      <c r="D200" s="4" t="s">
        <v>430</v>
      </c>
      <c r="E200" s="4" t="str">
        <f>CONCATENATE(D200," ",C200)</f>
        <v>MARQUERITA GOMEZ</v>
      </c>
      <c r="F200" s="4" t="s">
        <v>201</v>
      </c>
      <c r="G200" s="4" t="s">
        <v>105</v>
      </c>
      <c r="H200" s="4" t="s">
        <v>29</v>
      </c>
      <c r="I200" s="5">
        <v>46174</v>
      </c>
      <c r="J200" s="5">
        <v>46174</v>
      </c>
      <c r="K200" s="5">
        <v>46387</v>
      </c>
      <c r="L200" s="4">
        <v>17094718</v>
      </c>
      <c r="M200" s="4" t="str">
        <f>CONCATENATE(L200,"OVR")</f>
        <v>17094718OVR</v>
      </c>
      <c r="N200" s="4" t="s">
        <v>203</v>
      </c>
      <c r="O200" s="4">
        <v>-289.92</v>
      </c>
      <c r="P200" s="4">
        <v>-87.5</v>
      </c>
      <c r="Q200" s="4" t="s">
        <v>382</v>
      </c>
    </row>
    <row r="201" spans="1:19" s="4" customFormat="1" x14ac:dyDescent="0.25">
      <c r="A201" s="4" t="s">
        <v>198</v>
      </c>
      <c r="B201" s="4" t="str">
        <f>CONCATENATE(A201,"OVR")</f>
        <v>5QG5J34VR77OVR</v>
      </c>
      <c r="C201" s="4" t="s">
        <v>429</v>
      </c>
      <c r="D201" s="4" t="s">
        <v>430</v>
      </c>
      <c r="E201" s="4" t="str">
        <f>CONCATENATE(D201," ",C201)</f>
        <v>MARQUERITA GOMEZ</v>
      </c>
      <c r="F201" s="4" t="s">
        <v>201</v>
      </c>
      <c r="G201" s="4" t="s">
        <v>101</v>
      </c>
      <c r="H201" s="4" t="s">
        <v>29</v>
      </c>
      <c r="I201" s="5">
        <v>46174</v>
      </c>
      <c r="J201" s="5">
        <v>46174</v>
      </c>
      <c r="K201" s="5">
        <v>46387</v>
      </c>
      <c r="L201" s="4">
        <v>17094718</v>
      </c>
      <c r="M201" s="4" t="str">
        <f>CONCATENATE(L201,"OVR")</f>
        <v>17094718OVR</v>
      </c>
      <c r="N201" s="4" t="s">
        <v>203</v>
      </c>
      <c r="O201" s="4">
        <v>844</v>
      </c>
      <c r="P201" s="4">
        <v>150</v>
      </c>
      <c r="Q201" s="4" t="s">
        <v>382</v>
      </c>
    </row>
    <row r="202" spans="1:19" s="4" customFormat="1" x14ac:dyDescent="0.25">
      <c r="A202" s="4" t="s">
        <v>49</v>
      </c>
      <c r="B202" s="4" t="str">
        <f>CONCATENATE(A202,"OVR")</f>
        <v>5RU6N39FR87OVR</v>
      </c>
      <c r="C202" s="4" t="s">
        <v>517</v>
      </c>
      <c r="D202" s="4" t="s">
        <v>518</v>
      </c>
      <c r="E202" s="4" t="str">
        <f>CONCATENATE(D202," ",C202)</f>
        <v>MICHAEL ISAACS</v>
      </c>
      <c r="F202" s="4" t="s">
        <v>45</v>
      </c>
      <c r="G202" s="4" t="s">
        <v>28</v>
      </c>
      <c r="H202" s="4" t="s">
        <v>29</v>
      </c>
      <c r="I202" s="5">
        <v>46204</v>
      </c>
      <c r="J202" s="5">
        <v>46204</v>
      </c>
      <c r="K202" s="5">
        <v>46387</v>
      </c>
      <c r="L202" s="4">
        <v>7470776</v>
      </c>
      <c r="M202" s="4" t="str">
        <f>CONCATENATE(L202,"OVR")</f>
        <v>7470776OVR</v>
      </c>
      <c r="N202" s="4" t="s">
        <v>48</v>
      </c>
      <c r="O202" s="4">
        <v>248.5</v>
      </c>
      <c r="P202" s="4">
        <v>75</v>
      </c>
      <c r="Q202" s="4" t="s">
        <v>382</v>
      </c>
      <c r="S202" s="4">
        <f>150/12*6</f>
        <v>75</v>
      </c>
    </row>
    <row r="203" spans="1:19" s="4" customFormat="1" x14ac:dyDescent="0.25">
      <c r="A203" s="4" t="s">
        <v>293</v>
      </c>
      <c r="B203" s="4" t="str">
        <f>CONCATENATE(A203,"OVR")</f>
        <v>5RV7XH1CX63OVR</v>
      </c>
      <c r="C203" s="4" t="s">
        <v>496</v>
      </c>
      <c r="D203" s="4" t="s">
        <v>497</v>
      </c>
      <c r="E203" s="4" t="str">
        <f>CONCATENATE(D203," ",C203)</f>
        <v>CLEOFAS NERI</v>
      </c>
      <c r="F203" s="4" t="s">
        <v>27</v>
      </c>
      <c r="G203" s="4" t="s">
        <v>105</v>
      </c>
      <c r="H203" s="4" t="s">
        <v>29</v>
      </c>
      <c r="I203" s="5">
        <v>46143</v>
      </c>
      <c r="J203" s="5">
        <v>46143</v>
      </c>
      <c r="K203" s="5">
        <v>46387</v>
      </c>
      <c r="L203" s="4">
        <v>9254978</v>
      </c>
      <c r="M203" s="4" t="str">
        <f>CONCATENATE(L203,"OVR")</f>
        <v>9254978OVR</v>
      </c>
      <c r="N203" s="4" t="s">
        <v>297</v>
      </c>
      <c r="O203" s="4">
        <v>-360.67</v>
      </c>
      <c r="P203" s="4">
        <v>-100</v>
      </c>
      <c r="Q203" s="4" t="s">
        <v>382</v>
      </c>
    </row>
    <row r="204" spans="1:19" s="4" customFormat="1" x14ac:dyDescent="0.25">
      <c r="A204" s="4" t="s">
        <v>293</v>
      </c>
      <c r="B204" s="4" t="str">
        <f>CONCATENATE(A204,"OVR")</f>
        <v>5RV7XH1CX63OVR</v>
      </c>
      <c r="C204" s="4" t="s">
        <v>496</v>
      </c>
      <c r="D204" s="4" t="s">
        <v>497</v>
      </c>
      <c r="E204" s="4" t="str">
        <f>CONCATENATE(D204," ",C204)</f>
        <v>CLEOFAS NERI</v>
      </c>
      <c r="F204" s="4" t="s">
        <v>27</v>
      </c>
      <c r="G204" s="4" t="s">
        <v>101</v>
      </c>
      <c r="H204" s="4" t="s">
        <v>29</v>
      </c>
      <c r="I204" s="5">
        <v>46143</v>
      </c>
      <c r="J204" s="5">
        <v>46143</v>
      </c>
      <c r="K204" s="5">
        <v>46387</v>
      </c>
      <c r="L204" s="4">
        <v>9254978</v>
      </c>
      <c r="M204" s="4" t="str">
        <f>CONCATENATE(L204,"OVR")</f>
        <v>9254978OVR</v>
      </c>
      <c r="N204" s="4" t="s">
        <v>297</v>
      </c>
      <c r="O204" s="4">
        <v>931</v>
      </c>
      <c r="P204" s="4">
        <v>150</v>
      </c>
      <c r="Q204" s="4" t="s">
        <v>382</v>
      </c>
    </row>
    <row r="205" spans="1:19" s="4" customFormat="1" x14ac:dyDescent="0.25">
      <c r="A205" s="4" t="s">
        <v>255</v>
      </c>
      <c r="B205" s="4" t="str">
        <f>CONCATENATE(A205,"OVR")</f>
        <v>5T21RF7DG26OVR</v>
      </c>
      <c r="C205" s="4" t="s">
        <v>427</v>
      </c>
      <c r="D205" s="4" t="s">
        <v>428</v>
      </c>
      <c r="E205" s="4" t="str">
        <f>CONCATENATE(D205," ",C205)</f>
        <v>CONNIE JUNG</v>
      </c>
      <c r="F205" s="4" t="s">
        <v>201</v>
      </c>
      <c r="G205" s="4" t="s">
        <v>105</v>
      </c>
      <c r="H205" s="4" t="s">
        <v>29</v>
      </c>
      <c r="I205" s="5">
        <v>46174</v>
      </c>
      <c r="J205" s="5">
        <v>46174</v>
      </c>
      <c r="K205" s="5">
        <v>46387</v>
      </c>
      <c r="L205" s="4">
        <v>16849453</v>
      </c>
      <c r="M205" s="4" t="str">
        <f>CONCATENATE(L205,"OVR")</f>
        <v>16849453OVR</v>
      </c>
      <c r="N205" s="4" t="s">
        <v>259</v>
      </c>
      <c r="O205" s="4">
        <v>-289.92</v>
      </c>
      <c r="P205" s="4">
        <v>-87.5</v>
      </c>
      <c r="Q205" s="4" t="s">
        <v>382</v>
      </c>
    </row>
    <row r="206" spans="1:19" s="4" customFormat="1" x14ac:dyDescent="0.25">
      <c r="A206" s="4" t="s">
        <v>255</v>
      </c>
      <c r="B206" s="4" t="str">
        <f>CONCATENATE(A206,"OVR")</f>
        <v>5T21RF7DG26OVR</v>
      </c>
      <c r="C206" s="4" t="s">
        <v>427</v>
      </c>
      <c r="D206" s="4" t="s">
        <v>428</v>
      </c>
      <c r="E206" s="4" t="str">
        <f>CONCATENATE(D206," ",C206)</f>
        <v>CONNIE JUNG</v>
      </c>
      <c r="F206" s="4" t="s">
        <v>201</v>
      </c>
      <c r="G206" s="4" t="s">
        <v>101</v>
      </c>
      <c r="H206" s="4" t="s">
        <v>29</v>
      </c>
      <c r="I206" s="5">
        <v>46174</v>
      </c>
      <c r="J206" s="5">
        <v>46174</v>
      </c>
      <c r="K206" s="5">
        <v>46387</v>
      </c>
      <c r="L206" s="4">
        <v>16849453</v>
      </c>
      <c r="M206" s="4" t="str">
        <f>CONCATENATE(L206,"OVR")</f>
        <v>16849453OVR</v>
      </c>
      <c r="N206" s="4" t="s">
        <v>259</v>
      </c>
      <c r="O206" s="4">
        <v>844</v>
      </c>
      <c r="P206" s="4">
        <v>150</v>
      </c>
      <c r="Q206" s="4" t="s">
        <v>382</v>
      </c>
    </row>
    <row r="207" spans="1:19" s="4" customFormat="1" x14ac:dyDescent="0.25">
      <c r="A207" s="4" t="s">
        <v>315</v>
      </c>
      <c r="B207" s="4" t="str">
        <f>CONCATENATE(A207,"OVR")</f>
        <v>6D74Q61UV62OVR</v>
      </c>
      <c r="C207" s="4" t="s">
        <v>472</v>
      </c>
      <c r="D207" s="4" t="s">
        <v>473</v>
      </c>
      <c r="E207" s="4" t="str">
        <f>CONCATENATE(D207," ",C207)</f>
        <v>KEN RYDER</v>
      </c>
      <c r="F207" s="4" t="s">
        <v>305</v>
      </c>
      <c r="G207" s="4" t="s">
        <v>105</v>
      </c>
      <c r="H207" s="4" t="s">
        <v>29</v>
      </c>
      <c r="I207" s="5">
        <v>46204</v>
      </c>
      <c r="J207" s="5">
        <v>46204</v>
      </c>
      <c r="K207" s="5">
        <v>46387</v>
      </c>
      <c r="L207" s="4">
        <v>8307933</v>
      </c>
      <c r="M207" s="4" t="str">
        <f>CONCATENATE(L207,"OVR")</f>
        <v>8307933OVR</v>
      </c>
      <c r="N207" s="4" t="s">
        <v>197</v>
      </c>
      <c r="O207" s="4">
        <v>-248.5</v>
      </c>
      <c r="P207" s="4">
        <v>-75</v>
      </c>
      <c r="Q207" s="4" t="s">
        <v>382</v>
      </c>
    </row>
    <row r="208" spans="1:19" s="4" customFormat="1" x14ac:dyDescent="0.25">
      <c r="A208" s="4" t="s">
        <v>315</v>
      </c>
      <c r="B208" s="4" t="str">
        <f>CONCATENATE(A208,"OVR")</f>
        <v>6D74Q61UV62OVR</v>
      </c>
      <c r="C208" s="4" t="s">
        <v>472</v>
      </c>
      <c r="D208" s="4" t="s">
        <v>473</v>
      </c>
      <c r="E208" s="4" t="str">
        <f>CONCATENATE(D208," ",C208)</f>
        <v>KEN RYDER</v>
      </c>
      <c r="F208" s="4" t="s">
        <v>305</v>
      </c>
      <c r="G208" s="4" t="s">
        <v>101</v>
      </c>
      <c r="H208" s="4" t="s">
        <v>29</v>
      </c>
      <c r="I208" s="5">
        <v>46204</v>
      </c>
      <c r="J208" s="5">
        <v>46204</v>
      </c>
      <c r="K208" s="5">
        <v>46387</v>
      </c>
      <c r="L208" s="4">
        <v>8307933</v>
      </c>
      <c r="M208" s="4" t="str">
        <f>CONCATENATE(L208,"OVR")</f>
        <v>8307933OVR</v>
      </c>
      <c r="N208" s="4" t="s">
        <v>197</v>
      </c>
      <c r="O208" s="4">
        <v>844</v>
      </c>
      <c r="P208" s="4">
        <v>150</v>
      </c>
      <c r="Q208" s="4" t="s">
        <v>382</v>
      </c>
    </row>
    <row r="209" spans="1:19" s="4" customFormat="1" x14ac:dyDescent="0.25">
      <c r="A209" s="4" t="s">
        <v>193</v>
      </c>
      <c r="B209" s="4" t="str">
        <f>CONCATENATE(A209,"OVR")</f>
        <v>6DN6VJ5KJ85OVR</v>
      </c>
      <c r="C209" s="4" t="s">
        <v>470</v>
      </c>
      <c r="D209" s="4" t="s">
        <v>471</v>
      </c>
      <c r="E209" s="4" t="str">
        <f>CONCATENATE(D209," ",C209)</f>
        <v>ROBERT GOLDEN</v>
      </c>
      <c r="F209" s="4" t="s">
        <v>109</v>
      </c>
      <c r="G209" s="4" t="s">
        <v>105</v>
      </c>
      <c r="H209" s="4" t="s">
        <v>29</v>
      </c>
      <c r="I209" s="5">
        <v>46235</v>
      </c>
      <c r="J209" s="5">
        <v>46235</v>
      </c>
      <c r="K209" s="5">
        <v>46387</v>
      </c>
      <c r="L209" s="4">
        <v>8307933</v>
      </c>
      <c r="M209" s="4" t="str">
        <f>CONCATENATE(L209,"OVR")</f>
        <v>8307933OVR</v>
      </c>
      <c r="N209" s="4" t="s">
        <v>197</v>
      </c>
      <c r="O209" s="4">
        <v>-207.08</v>
      </c>
      <c r="P209" s="4">
        <v>-62.5</v>
      </c>
      <c r="Q209" s="4" t="s">
        <v>382</v>
      </c>
    </row>
    <row r="210" spans="1:19" s="4" customFormat="1" x14ac:dyDescent="0.25">
      <c r="A210" s="4" t="s">
        <v>193</v>
      </c>
      <c r="B210" s="4" t="str">
        <f>CONCATENATE(A210,"OVR")</f>
        <v>6DN6VJ5KJ85OVR</v>
      </c>
      <c r="C210" s="4" t="s">
        <v>470</v>
      </c>
      <c r="D210" s="4" t="s">
        <v>471</v>
      </c>
      <c r="E210" s="4" t="str">
        <f>CONCATENATE(D210," ",C210)</f>
        <v>ROBERT GOLDEN</v>
      </c>
      <c r="F210" s="4" t="s">
        <v>109</v>
      </c>
      <c r="G210" s="4" t="s">
        <v>101</v>
      </c>
      <c r="H210" s="4" t="s">
        <v>29</v>
      </c>
      <c r="I210" s="5">
        <v>46235</v>
      </c>
      <c r="J210" s="5">
        <v>46235</v>
      </c>
      <c r="K210" s="5">
        <v>46387</v>
      </c>
      <c r="L210" s="4">
        <v>8307933</v>
      </c>
      <c r="M210" s="4" t="str">
        <f>CONCATENATE(L210,"OVR")</f>
        <v>8307933OVR</v>
      </c>
      <c r="N210" s="4" t="s">
        <v>197</v>
      </c>
      <c r="O210" s="4">
        <v>844</v>
      </c>
      <c r="P210" s="4">
        <v>150</v>
      </c>
      <c r="Q210" s="4" t="s">
        <v>382</v>
      </c>
    </row>
    <row r="211" spans="1:19" s="4" customFormat="1" x14ac:dyDescent="0.25">
      <c r="A211" s="4" t="s">
        <v>42</v>
      </c>
      <c r="B211" s="4" t="str">
        <f>CONCATENATE(A211,"OVR")</f>
        <v>6ME5NK2NG77OVR</v>
      </c>
      <c r="C211" s="4" t="s">
        <v>513</v>
      </c>
      <c r="D211" s="4" t="s">
        <v>514</v>
      </c>
      <c r="E211" s="4" t="str">
        <f>CONCATENATE(D211," ",C211)</f>
        <v>JOHN FURTH</v>
      </c>
      <c r="F211" s="4" t="s">
        <v>45</v>
      </c>
      <c r="G211" s="4" t="s">
        <v>28</v>
      </c>
      <c r="H211" s="4" t="s">
        <v>29</v>
      </c>
      <c r="I211" s="5">
        <v>46235</v>
      </c>
      <c r="J211" s="5">
        <v>46235</v>
      </c>
      <c r="K211" s="5">
        <v>46387</v>
      </c>
      <c r="L211" s="4">
        <v>7470776</v>
      </c>
      <c r="M211" s="4" t="str">
        <f>CONCATENATE(L211,"OVR")</f>
        <v>7470776OVR</v>
      </c>
      <c r="N211" s="4" t="s">
        <v>48</v>
      </c>
      <c r="O211" s="4">
        <v>207.08</v>
      </c>
      <c r="P211" s="4">
        <v>62.5</v>
      </c>
      <c r="Q211" s="4" t="s">
        <v>382</v>
      </c>
      <c r="S211" s="4">
        <f>150/12*5</f>
        <v>62.5</v>
      </c>
    </row>
    <row r="212" spans="1:19" s="4" customFormat="1" x14ac:dyDescent="0.25">
      <c r="A212" s="4" t="s">
        <v>354</v>
      </c>
      <c r="B212" s="4" t="str">
        <f>CONCATENATE(A212,"OVR")</f>
        <v>6N71UV1EV02OVR</v>
      </c>
      <c r="C212" s="4" t="s">
        <v>454</v>
      </c>
      <c r="D212" s="4" t="s">
        <v>455</v>
      </c>
      <c r="E212" s="4" t="str">
        <f>CONCATENATE(D212," ",C212)</f>
        <v>JANET WARNOCK</v>
      </c>
      <c r="F212" s="4" t="s">
        <v>156</v>
      </c>
      <c r="G212" s="4" t="s">
        <v>105</v>
      </c>
      <c r="H212" s="4" t="s">
        <v>29</v>
      </c>
      <c r="I212" s="5">
        <v>46235</v>
      </c>
      <c r="J212" s="5">
        <v>46235</v>
      </c>
      <c r="K212" s="5">
        <v>46387</v>
      </c>
      <c r="L212" s="4">
        <v>16170994</v>
      </c>
      <c r="M212" s="4" t="str">
        <f>CONCATENATE(L212,"OVR")</f>
        <v>16170994OVR</v>
      </c>
      <c r="N212" s="4" t="s">
        <v>159</v>
      </c>
      <c r="O212" s="4">
        <v>-207.08</v>
      </c>
      <c r="P212" s="4">
        <v>-62.5</v>
      </c>
      <c r="Q212" s="4" t="s">
        <v>382</v>
      </c>
    </row>
    <row r="213" spans="1:19" s="4" customFormat="1" x14ac:dyDescent="0.25">
      <c r="A213" s="4" t="s">
        <v>354</v>
      </c>
      <c r="B213" s="4" t="str">
        <f>CONCATENATE(A213,"OVR")</f>
        <v>6N71UV1EV02OVR</v>
      </c>
      <c r="C213" s="4" t="s">
        <v>454</v>
      </c>
      <c r="D213" s="4" t="s">
        <v>455</v>
      </c>
      <c r="E213" s="4" t="str">
        <f>CONCATENATE(D213," ",C213)</f>
        <v>JANET WARNOCK</v>
      </c>
      <c r="F213" s="4" t="s">
        <v>156</v>
      </c>
      <c r="G213" s="4" t="s">
        <v>101</v>
      </c>
      <c r="H213" s="4" t="s">
        <v>29</v>
      </c>
      <c r="I213" s="5">
        <v>46235</v>
      </c>
      <c r="J213" s="5">
        <v>46235</v>
      </c>
      <c r="K213" s="5">
        <v>46387</v>
      </c>
      <c r="L213" s="4">
        <v>16170994</v>
      </c>
      <c r="M213" s="4" t="str">
        <f>CONCATENATE(L213,"OVR")</f>
        <v>16170994OVR</v>
      </c>
      <c r="N213" s="4" t="s">
        <v>159</v>
      </c>
      <c r="O213" s="4">
        <v>844</v>
      </c>
      <c r="P213" s="4">
        <v>150</v>
      </c>
      <c r="Q213" s="4" t="s">
        <v>382</v>
      </c>
    </row>
    <row r="214" spans="1:19" s="4" customFormat="1" x14ac:dyDescent="0.25">
      <c r="A214" s="4" t="s">
        <v>179</v>
      </c>
      <c r="B214" s="4" t="str">
        <f>CONCATENATE(A214,"OVR")</f>
        <v>6PE4XQ2TE04OVR</v>
      </c>
      <c r="C214" s="4" t="s">
        <v>451</v>
      </c>
      <c r="D214" s="4" t="s">
        <v>434</v>
      </c>
      <c r="E214" s="4" t="str">
        <f>CONCATENATE(D214," ",C214)</f>
        <v>MARIA FRIAS</v>
      </c>
      <c r="F214" s="4" t="s">
        <v>45</v>
      </c>
      <c r="G214" s="4" t="s">
        <v>105</v>
      </c>
      <c r="H214" s="4" t="s">
        <v>29</v>
      </c>
      <c r="I214" s="5">
        <v>46204</v>
      </c>
      <c r="J214" s="5">
        <v>46204</v>
      </c>
      <c r="K214" s="5">
        <v>46387</v>
      </c>
      <c r="L214" s="4">
        <v>7565575</v>
      </c>
      <c r="M214" s="4" t="str">
        <f>CONCATENATE(L214,"OVR")</f>
        <v>7565575OVR</v>
      </c>
      <c r="N214" s="4" t="s">
        <v>182</v>
      </c>
      <c r="O214" s="4">
        <v>-248.5</v>
      </c>
      <c r="P214" s="4">
        <v>-75</v>
      </c>
      <c r="Q214" s="4" t="s">
        <v>382</v>
      </c>
    </row>
    <row r="215" spans="1:19" s="4" customFormat="1" x14ac:dyDescent="0.25">
      <c r="A215" s="4" t="s">
        <v>179</v>
      </c>
      <c r="B215" s="4" t="str">
        <f>CONCATENATE(A215,"OVR")</f>
        <v>6PE4XQ2TE04OVR</v>
      </c>
      <c r="C215" s="4" t="s">
        <v>451</v>
      </c>
      <c r="D215" s="4" t="s">
        <v>434</v>
      </c>
      <c r="E215" s="4" t="str">
        <f>CONCATENATE(D215," ",C215)</f>
        <v>MARIA FRIAS</v>
      </c>
      <c r="F215" s="4" t="s">
        <v>45</v>
      </c>
      <c r="G215" s="4" t="s">
        <v>101</v>
      </c>
      <c r="H215" s="4" t="s">
        <v>29</v>
      </c>
      <c r="I215" s="5">
        <v>46204</v>
      </c>
      <c r="J215" s="5">
        <v>46204</v>
      </c>
      <c r="K215" s="5">
        <v>46387</v>
      </c>
      <c r="L215" s="4">
        <v>7565575</v>
      </c>
      <c r="M215" s="4" t="str">
        <f>CONCATENATE(L215,"OVR")</f>
        <v>7565575OVR</v>
      </c>
      <c r="N215" s="4" t="s">
        <v>182</v>
      </c>
      <c r="O215" s="4">
        <v>844</v>
      </c>
      <c r="P215" s="4">
        <v>150</v>
      </c>
      <c r="Q215" s="4" t="s">
        <v>382</v>
      </c>
    </row>
    <row r="216" spans="1:19" s="4" customFormat="1" x14ac:dyDescent="0.25">
      <c r="A216" s="4" t="s">
        <v>169</v>
      </c>
      <c r="B216" s="4" t="str">
        <f>CONCATENATE(A216,"OVR")</f>
        <v>6QE3WM4XW79OVR</v>
      </c>
      <c r="C216" s="4" t="s">
        <v>478</v>
      </c>
      <c r="D216" s="4" t="s">
        <v>479</v>
      </c>
      <c r="E216" s="4" t="str">
        <f>CONCATENATE(D216," ",C216)</f>
        <v>HAROLD FOSTER</v>
      </c>
      <c r="F216" s="4" t="s">
        <v>172</v>
      </c>
      <c r="G216" s="4" t="s">
        <v>105</v>
      </c>
      <c r="H216" s="4" t="s">
        <v>29</v>
      </c>
      <c r="I216" s="5">
        <v>46143</v>
      </c>
      <c r="J216" s="5">
        <v>46143</v>
      </c>
      <c r="K216" s="5">
        <v>46387</v>
      </c>
      <c r="L216" s="4">
        <v>20003537</v>
      </c>
      <c r="M216" s="4" t="str">
        <f>CONCATENATE(L216,"OVR")</f>
        <v>20003537OVR</v>
      </c>
      <c r="N216" s="4" t="s">
        <v>175</v>
      </c>
      <c r="O216" s="4">
        <v>-331.33</v>
      </c>
      <c r="P216" s="4">
        <v>-100</v>
      </c>
      <c r="Q216" s="4" t="s">
        <v>382</v>
      </c>
    </row>
    <row r="217" spans="1:19" s="4" customFormat="1" x14ac:dyDescent="0.25">
      <c r="A217" s="4" t="s">
        <v>169</v>
      </c>
      <c r="B217" s="4" t="str">
        <f>CONCATENATE(A217,"OVR")</f>
        <v>6QE3WM4XW79OVR</v>
      </c>
      <c r="C217" s="4" t="s">
        <v>478</v>
      </c>
      <c r="D217" s="4" t="s">
        <v>479</v>
      </c>
      <c r="E217" s="4" t="str">
        <f>CONCATENATE(D217," ",C217)</f>
        <v>HAROLD FOSTER</v>
      </c>
      <c r="F217" s="4" t="s">
        <v>172</v>
      </c>
      <c r="G217" s="4" t="s">
        <v>101</v>
      </c>
      <c r="H217" s="4" t="s">
        <v>29</v>
      </c>
      <c r="I217" s="5">
        <v>46143</v>
      </c>
      <c r="J217" s="5">
        <v>46143</v>
      </c>
      <c r="K217" s="5">
        <v>46387</v>
      </c>
      <c r="L217" s="4">
        <v>20003537</v>
      </c>
      <c r="M217" s="4" t="str">
        <f>CONCATENATE(L217,"OVR")</f>
        <v>20003537OVR</v>
      </c>
      <c r="N217" s="4" t="s">
        <v>175</v>
      </c>
      <c r="O217" s="4">
        <v>844</v>
      </c>
      <c r="P217" s="4">
        <v>150</v>
      </c>
      <c r="Q217" s="4" t="s">
        <v>382</v>
      </c>
    </row>
    <row r="218" spans="1:19" s="4" customFormat="1" x14ac:dyDescent="0.25">
      <c r="A218" s="4" t="s">
        <v>166</v>
      </c>
      <c r="B218" s="4" t="str">
        <f>CONCATENATE(A218,"OVR")</f>
        <v>6QM5AV6XP99OVR</v>
      </c>
      <c r="C218" s="4" t="s">
        <v>490</v>
      </c>
      <c r="D218" s="4" t="s">
        <v>491</v>
      </c>
      <c r="E218" s="4" t="str">
        <f>CONCATENATE(D218," ",C218)</f>
        <v>BRIAN FARRINGER</v>
      </c>
      <c r="F218" s="4" t="s">
        <v>27</v>
      </c>
      <c r="G218" s="4" t="s">
        <v>105</v>
      </c>
      <c r="H218" s="4" t="s">
        <v>29</v>
      </c>
      <c r="I218" s="5">
        <v>46143</v>
      </c>
      <c r="J218" s="5">
        <v>46143</v>
      </c>
      <c r="K218" s="5">
        <v>46387</v>
      </c>
      <c r="L218" s="4">
        <v>17528908</v>
      </c>
      <c r="M218" s="4" t="str">
        <f>CONCATENATE(L218,"OVR")</f>
        <v>17528908OVR</v>
      </c>
      <c r="N218" s="4" t="s">
        <v>70</v>
      </c>
      <c r="O218" s="4">
        <v>-360.67</v>
      </c>
      <c r="P218" s="4">
        <v>-100</v>
      </c>
      <c r="Q218" s="4" t="s">
        <v>382</v>
      </c>
    </row>
    <row r="219" spans="1:19" s="4" customFormat="1" x14ac:dyDescent="0.25">
      <c r="A219" s="4" t="s">
        <v>166</v>
      </c>
      <c r="B219" s="4" t="str">
        <f>CONCATENATE(A219,"OVR")</f>
        <v>6QM5AV6XP99OVR</v>
      </c>
      <c r="C219" s="4" t="s">
        <v>490</v>
      </c>
      <c r="D219" s="4" t="s">
        <v>491</v>
      </c>
      <c r="E219" s="4" t="str">
        <f>CONCATENATE(D219," ",C219)</f>
        <v>BRIAN FARRINGER</v>
      </c>
      <c r="F219" s="4" t="s">
        <v>27</v>
      </c>
      <c r="G219" s="4" t="s">
        <v>101</v>
      </c>
      <c r="H219" s="4" t="s">
        <v>29</v>
      </c>
      <c r="I219" s="5">
        <v>46143</v>
      </c>
      <c r="J219" s="5">
        <v>46143</v>
      </c>
      <c r="K219" s="5">
        <v>46387</v>
      </c>
      <c r="L219" s="4">
        <v>17528908</v>
      </c>
      <c r="M219" s="4" t="str">
        <f>CONCATENATE(L219,"OVR")</f>
        <v>17528908OVR</v>
      </c>
      <c r="N219" s="4" t="s">
        <v>70</v>
      </c>
      <c r="O219" s="4">
        <v>931</v>
      </c>
      <c r="P219" s="4">
        <v>150</v>
      </c>
      <c r="Q219" s="4" t="s">
        <v>382</v>
      </c>
    </row>
    <row r="220" spans="1:19" s="4" customFormat="1" x14ac:dyDescent="0.25">
      <c r="A220" s="4" t="s">
        <v>72</v>
      </c>
      <c r="B220" s="4" t="str">
        <f>CONCATENATE(A220,"OVR")</f>
        <v>6RJ3KQ4QY15OVR</v>
      </c>
      <c r="C220" s="4" t="s">
        <v>538</v>
      </c>
      <c r="D220" s="4" t="s">
        <v>539</v>
      </c>
      <c r="E220" s="4" t="str">
        <f>CONCATENATE(D220," ",C220)</f>
        <v>DIANE LEINONEN</v>
      </c>
      <c r="F220" s="4" t="s">
        <v>45</v>
      </c>
      <c r="G220" s="4" t="s">
        <v>28</v>
      </c>
      <c r="H220" s="4" t="s">
        <v>29</v>
      </c>
      <c r="I220" s="5">
        <v>46235</v>
      </c>
      <c r="J220" s="5">
        <v>46235</v>
      </c>
      <c r="K220" s="5">
        <v>46387</v>
      </c>
      <c r="L220" s="4">
        <v>16633294</v>
      </c>
      <c r="M220" s="4" t="str">
        <f>CONCATENATE(L220,"OVR")</f>
        <v>16633294OVR</v>
      </c>
      <c r="N220" s="4" t="s">
        <v>56</v>
      </c>
      <c r="O220" s="4">
        <v>207.08</v>
      </c>
      <c r="P220" s="4">
        <v>62.5</v>
      </c>
      <c r="Q220" s="4" t="s">
        <v>382</v>
      </c>
    </row>
    <row r="221" spans="1:19" s="4" customFormat="1" x14ac:dyDescent="0.25">
      <c r="A221" s="4" t="s">
        <v>260</v>
      </c>
      <c r="B221" s="4" t="str">
        <f>CONCATENATE(A221,"OVR")</f>
        <v>6T15XQ1WX80OVR</v>
      </c>
      <c r="C221" s="4" t="s">
        <v>443</v>
      </c>
      <c r="D221" s="4" t="s">
        <v>444</v>
      </c>
      <c r="E221" s="4" t="str">
        <f>CONCATENATE(D221," ",C221)</f>
        <v>IVAN KERN</v>
      </c>
      <c r="F221" s="4" t="s">
        <v>263</v>
      </c>
      <c r="G221" s="4" t="s">
        <v>105</v>
      </c>
      <c r="H221" s="4" t="s">
        <v>29</v>
      </c>
      <c r="I221" s="5">
        <v>46174</v>
      </c>
      <c r="J221" s="5">
        <v>46174</v>
      </c>
      <c r="K221" s="5">
        <v>46387</v>
      </c>
      <c r="L221" s="4">
        <v>9213293</v>
      </c>
      <c r="M221" s="4" t="str">
        <f>CONCATENATE(L221,"OVR")</f>
        <v>9213293OVR</v>
      </c>
      <c r="N221" s="4" t="s">
        <v>97</v>
      </c>
      <c r="O221" s="4">
        <v>-289.92</v>
      </c>
      <c r="P221" s="4">
        <v>-87.5</v>
      </c>
      <c r="Q221" s="4" t="s">
        <v>382</v>
      </c>
    </row>
    <row r="222" spans="1:19" s="4" customFormat="1" x14ac:dyDescent="0.25">
      <c r="A222" s="4" t="s">
        <v>260</v>
      </c>
      <c r="B222" s="4" t="str">
        <f>CONCATENATE(A222,"OVR")</f>
        <v>6T15XQ1WX80OVR</v>
      </c>
      <c r="C222" s="4" t="s">
        <v>443</v>
      </c>
      <c r="D222" s="4" t="s">
        <v>444</v>
      </c>
      <c r="E222" s="4" t="str">
        <f>CONCATENATE(D222," ",C222)</f>
        <v>IVAN KERN</v>
      </c>
      <c r="F222" s="4" t="s">
        <v>263</v>
      </c>
      <c r="G222" s="4" t="s">
        <v>101</v>
      </c>
      <c r="H222" s="4" t="s">
        <v>29</v>
      </c>
      <c r="I222" s="5">
        <v>46174</v>
      </c>
      <c r="J222" s="5">
        <v>46174</v>
      </c>
      <c r="K222" s="5">
        <v>46387</v>
      </c>
      <c r="L222" s="4">
        <v>9213293</v>
      </c>
      <c r="M222" s="4" t="str">
        <f>CONCATENATE(L222,"OVR")</f>
        <v>9213293OVR</v>
      </c>
      <c r="N222" s="4" t="s">
        <v>97</v>
      </c>
      <c r="O222" s="4">
        <v>844</v>
      </c>
      <c r="P222" s="4">
        <v>150</v>
      </c>
      <c r="Q222" s="4" t="s">
        <v>382</v>
      </c>
    </row>
    <row r="223" spans="1:19" s="4" customFormat="1" x14ac:dyDescent="0.25">
      <c r="A223" s="4" t="s">
        <v>345</v>
      </c>
      <c r="B223" s="4" t="str">
        <f>CONCATENATE(A223,"OVR")</f>
        <v>6UY7AC6WU73OVR</v>
      </c>
      <c r="C223" s="4" t="s">
        <v>417</v>
      </c>
      <c r="D223" s="4" t="s">
        <v>418</v>
      </c>
      <c r="E223" s="4" t="str">
        <f>CONCATENATE(D223," ",C223)</f>
        <v>M TORPATS</v>
      </c>
      <c r="F223" s="4" t="s">
        <v>45</v>
      </c>
      <c r="G223" s="4" t="s">
        <v>105</v>
      </c>
      <c r="H223" s="4" t="s">
        <v>29</v>
      </c>
      <c r="I223" s="5">
        <v>46204</v>
      </c>
      <c r="J223" s="5">
        <v>46204</v>
      </c>
      <c r="K223" s="5">
        <v>46387</v>
      </c>
      <c r="L223" s="4">
        <v>8244481</v>
      </c>
      <c r="M223" s="4" t="str">
        <f>CONCATENATE(L223,"OVR")</f>
        <v>8244481OVR</v>
      </c>
      <c r="N223" s="4" t="s">
        <v>131</v>
      </c>
      <c r="O223" s="4">
        <v>-248.5</v>
      </c>
      <c r="P223" s="4">
        <v>-75</v>
      </c>
      <c r="Q223" s="4" t="s">
        <v>382</v>
      </c>
    </row>
    <row r="224" spans="1:19" s="4" customFormat="1" x14ac:dyDescent="0.25">
      <c r="A224" s="4" t="s">
        <v>345</v>
      </c>
      <c r="B224" s="4" t="str">
        <f>CONCATENATE(A224,"OVR")</f>
        <v>6UY7AC6WU73OVR</v>
      </c>
      <c r="C224" s="4" t="s">
        <v>417</v>
      </c>
      <c r="D224" s="4" t="s">
        <v>418</v>
      </c>
      <c r="E224" s="4" t="str">
        <f>CONCATENATE(D224," ",C224)</f>
        <v>M TORPATS</v>
      </c>
      <c r="F224" s="4" t="s">
        <v>45</v>
      </c>
      <c r="G224" s="4" t="s">
        <v>101</v>
      </c>
      <c r="H224" s="4" t="s">
        <v>29</v>
      </c>
      <c r="I224" s="5">
        <v>46204</v>
      </c>
      <c r="J224" s="5">
        <v>46204</v>
      </c>
      <c r="K224" s="5">
        <v>46387</v>
      </c>
      <c r="L224" s="4">
        <v>8244481</v>
      </c>
      <c r="M224" s="4" t="str">
        <f>CONCATENATE(L224,"OVR")</f>
        <v>8244481OVR</v>
      </c>
      <c r="N224" s="4" t="s">
        <v>131</v>
      </c>
      <c r="O224" s="4">
        <v>844</v>
      </c>
      <c r="P224" s="4">
        <v>150</v>
      </c>
      <c r="Q224" s="4" t="s">
        <v>382</v>
      </c>
    </row>
    <row r="225" spans="1:17" s="4" customFormat="1" x14ac:dyDescent="0.25">
      <c r="A225" s="4" t="s">
        <v>235</v>
      </c>
      <c r="B225" s="4" t="str">
        <f>CONCATENATE(A225,"OVR")</f>
        <v>6V64T75PE08OVR</v>
      </c>
      <c r="C225" s="4" t="s">
        <v>515</v>
      </c>
      <c r="D225" s="4" t="s">
        <v>516</v>
      </c>
      <c r="E225" s="4" t="str">
        <f>CONCATENATE(D225," ",C225)</f>
        <v>PAMELA HOBBS</v>
      </c>
      <c r="F225" s="4" t="s">
        <v>45</v>
      </c>
      <c r="G225" s="4" t="s">
        <v>28</v>
      </c>
      <c r="H225" s="4" t="s">
        <v>29</v>
      </c>
      <c r="I225" s="5">
        <v>46204</v>
      </c>
      <c r="J225" s="5">
        <v>46204</v>
      </c>
      <c r="K225" s="5">
        <v>46387</v>
      </c>
      <c r="L225" s="4">
        <v>7470776</v>
      </c>
      <c r="M225" s="4" t="str">
        <f>CONCATENATE(L225,"OVR")</f>
        <v>7470776OVR</v>
      </c>
      <c r="N225" s="4" t="s">
        <v>48</v>
      </c>
      <c r="O225" s="4">
        <v>248.5</v>
      </c>
      <c r="P225" s="4">
        <v>75</v>
      </c>
      <c r="Q225" s="4" t="s">
        <v>382</v>
      </c>
    </row>
    <row r="226" spans="1:17" s="4" customFormat="1" x14ac:dyDescent="0.25">
      <c r="A226" s="4" t="s">
        <v>153</v>
      </c>
      <c r="B226" s="4" t="str">
        <f>CONCATENATE(A226,"OVR")</f>
        <v>7C07VF9JM20OVR</v>
      </c>
      <c r="C226" s="4" t="s">
        <v>452</v>
      </c>
      <c r="D226" s="4" t="s">
        <v>453</v>
      </c>
      <c r="E226" s="4" t="str">
        <f>CONCATENATE(D226," ",C226)</f>
        <v>JAMES DECKER</v>
      </c>
      <c r="F226" s="4" t="s">
        <v>156</v>
      </c>
      <c r="G226" s="4" t="s">
        <v>105</v>
      </c>
      <c r="H226" s="4" t="s">
        <v>29</v>
      </c>
      <c r="I226" s="5">
        <v>46235</v>
      </c>
      <c r="J226" s="5">
        <v>46235</v>
      </c>
      <c r="K226" s="5">
        <v>46387</v>
      </c>
      <c r="L226" s="4">
        <v>16170994</v>
      </c>
      <c r="M226" s="4" t="str">
        <f>CONCATENATE(L226,"OVR")</f>
        <v>16170994OVR</v>
      </c>
      <c r="N226" s="4" t="s">
        <v>159</v>
      </c>
      <c r="O226" s="4">
        <v>-207.08</v>
      </c>
      <c r="P226" s="4">
        <v>-62.5</v>
      </c>
      <c r="Q226" s="4" t="s">
        <v>382</v>
      </c>
    </row>
    <row r="227" spans="1:17" s="4" customFormat="1" x14ac:dyDescent="0.25">
      <c r="A227" s="4" t="s">
        <v>153</v>
      </c>
      <c r="B227" s="4" t="str">
        <f>CONCATENATE(A227,"OVR")</f>
        <v>7C07VF9JM20OVR</v>
      </c>
      <c r="C227" s="4" t="s">
        <v>452</v>
      </c>
      <c r="D227" s="4" t="s">
        <v>453</v>
      </c>
      <c r="E227" s="4" t="str">
        <f>CONCATENATE(D227," ",C227)</f>
        <v>JAMES DECKER</v>
      </c>
      <c r="F227" s="4" t="s">
        <v>156</v>
      </c>
      <c r="G227" s="4" t="s">
        <v>101</v>
      </c>
      <c r="H227" s="4" t="s">
        <v>29</v>
      </c>
      <c r="I227" s="5">
        <v>46235</v>
      </c>
      <c r="J227" s="5">
        <v>46235</v>
      </c>
      <c r="K227" s="5">
        <v>46387</v>
      </c>
      <c r="L227" s="4">
        <v>16170994</v>
      </c>
      <c r="M227" s="4" t="str">
        <f>CONCATENATE(L227,"OVR")</f>
        <v>16170994OVR</v>
      </c>
      <c r="N227" s="4" t="s">
        <v>159</v>
      </c>
      <c r="O227" s="4">
        <v>844</v>
      </c>
      <c r="P227" s="4">
        <v>150</v>
      </c>
      <c r="Q227" s="4" t="s">
        <v>382</v>
      </c>
    </row>
    <row r="228" spans="1:17" s="4" customFormat="1" x14ac:dyDescent="0.25">
      <c r="A228" s="4" t="s">
        <v>160</v>
      </c>
      <c r="B228" s="4" t="str">
        <f>CONCATENATE(A228,"OVR")</f>
        <v>7FE7G53TR74OVR</v>
      </c>
      <c r="C228" s="4" t="s">
        <v>423</v>
      </c>
      <c r="D228" s="4" t="s">
        <v>424</v>
      </c>
      <c r="E228" s="4" t="str">
        <f>CONCATENATE(D228," ",C228)</f>
        <v>CORBY ESAREY</v>
      </c>
      <c r="F228" s="4" t="s">
        <v>163</v>
      </c>
      <c r="G228" s="4" t="s">
        <v>105</v>
      </c>
      <c r="H228" s="4" t="s">
        <v>29</v>
      </c>
      <c r="I228" s="5">
        <v>46204</v>
      </c>
      <c r="J228" s="5">
        <v>46204</v>
      </c>
      <c r="K228" s="5">
        <v>46387</v>
      </c>
      <c r="L228" s="4">
        <v>18828278</v>
      </c>
      <c r="M228" s="4" t="str">
        <f>CONCATENATE(L228,"OVR")</f>
        <v>18828278OVR</v>
      </c>
      <c r="N228" s="4" t="s">
        <v>165</v>
      </c>
      <c r="O228" s="4">
        <v>-248.5</v>
      </c>
      <c r="P228" s="4">
        <v>-75</v>
      </c>
      <c r="Q228" s="4" t="s">
        <v>382</v>
      </c>
    </row>
    <row r="229" spans="1:17" s="4" customFormat="1" x14ac:dyDescent="0.25">
      <c r="A229" s="4" t="s">
        <v>160</v>
      </c>
      <c r="B229" s="4" t="str">
        <f>CONCATENATE(A229,"OVR")</f>
        <v>7FE7G53TR74OVR</v>
      </c>
      <c r="C229" s="4" t="s">
        <v>423</v>
      </c>
      <c r="D229" s="4" t="s">
        <v>424</v>
      </c>
      <c r="E229" s="4" t="str">
        <f>CONCATENATE(D229," ",C229)</f>
        <v>CORBY ESAREY</v>
      </c>
      <c r="F229" s="4" t="s">
        <v>163</v>
      </c>
      <c r="G229" s="4" t="s">
        <v>101</v>
      </c>
      <c r="H229" s="4" t="s">
        <v>29</v>
      </c>
      <c r="I229" s="5">
        <v>46204</v>
      </c>
      <c r="J229" s="5">
        <v>46204</v>
      </c>
      <c r="K229" s="5">
        <v>46387</v>
      </c>
      <c r="L229" s="4">
        <v>18828278</v>
      </c>
      <c r="M229" s="4" t="str">
        <f>CONCATENATE(L229,"OVR")</f>
        <v>18828278OVR</v>
      </c>
      <c r="N229" s="4" t="s">
        <v>165</v>
      </c>
      <c r="O229" s="4">
        <v>844</v>
      </c>
      <c r="P229" s="4">
        <v>150</v>
      </c>
      <c r="Q229" s="4" t="s">
        <v>382</v>
      </c>
    </row>
    <row r="230" spans="1:17" s="4" customFormat="1" x14ac:dyDescent="0.25">
      <c r="A230" s="4" t="s">
        <v>373</v>
      </c>
      <c r="B230" s="4" t="str">
        <f>CONCATENATE(A230,"OVR")</f>
        <v>7FF8MQ2WT56OVR</v>
      </c>
      <c r="C230" s="4" t="s">
        <v>466</v>
      </c>
      <c r="D230" s="4" t="s">
        <v>468</v>
      </c>
      <c r="E230" s="4" t="str">
        <f>CONCATENATE(D230," ",C230)</f>
        <v>MATTHEW ZELINSKI</v>
      </c>
      <c r="F230" s="4" t="s">
        <v>156</v>
      </c>
      <c r="G230" s="4" t="s">
        <v>105</v>
      </c>
      <c r="H230" s="4" t="s">
        <v>29</v>
      </c>
      <c r="I230" s="5">
        <v>46174</v>
      </c>
      <c r="J230" s="5">
        <v>46174</v>
      </c>
      <c r="K230" s="5">
        <v>46387</v>
      </c>
      <c r="L230" s="4">
        <v>16170994</v>
      </c>
      <c r="M230" s="4" t="str">
        <f>CONCATENATE(L230,"OVR")</f>
        <v>16170994OVR</v>
      </c>
      <c r="N230" s="4" t="s">
        <v>159</v>
      </c>
      <c r="O230" s="4">
        <v>-289.92</v>
      </c>
      <c r="P230" s="4">
        <v>-87.5</v>
      </c>
      <c r="Q230" s="4" t="s">
        <v>382</v>
      </c>
    </row>
    <row r="231" spans="1:17" s="4" customFormat="1" x14ac:dyDescent="0.25">
      <c r="A231" s="4" t="s">
        <v>373</v>
      </c>
      <c r="B231" s="4" t="str">
        <f>CONCATENATE(A231,"OVR")</f>
        <v>7FF8MQ2WT56OVR</v>
      </c>
      <c r="C231" s="4" t="s">
        <v>466</v>
      </c>
      <c r="D231" s="4" t="s">
        <v>468</v>
      </c>
      <c r="E231" s="4" t="str">
        <f>CONCATENATE(D231," ",C231)</f>
        <v>MATTHEW ZELINSKI</v>
      </c>
      <c r="F231" s="4" t="s">
        <v>156</v>
      </c>
      <c r="G231" s="4" t="s">
        <v>101</v>
      </c>
      <c r="H231" s="4" t="s">
        <v>29</v>
      </c>
      <c r="I231" s="5">
        <v>46174</v>
      </c>
      <c r="J231" s="5">
        <v>46174</v>
      </c>
      <c r="K231" s="5">
        <v>46387</v>
      </c>
      <c r="L231" s="4">
        <v>16170994</v>
      </c>
      <c r="M231" s="4" t="str">
        <f>CONCATENATE(L231,"OVR")</f>
        <v>16170994OVR</v>
      </c>
      <c r="N231" s="4" t="s">
        <v>159</v>
      </c>
      <c r="O231" s="4">
        <v>844</v>
      </c>
      <c r="P231" s="4">
        <v>150</v>
      </c>
      <c r="Q231" s="4" t="s">
        <v>382</v>
      </c>
    </row>
    <row r="232" spans="1:17" s="4" customFormat="1" x14ac:dyDescent="0.25">
      <c r="A232" s="4" t="s">
        <v>228</v>
      </c>
      <c r="B232" s="4" t="str">
        <f>CONCATENATE(A232,"OVR")</f>
        <v>7PX3HH2DV02OVR</v>
      </c>
      <c r="C232" s="4" t="s">
        <v>498</v>
      </c>
      <c r="D232" s="4" t="s">
        <v>499</v>
      </c>
      <c r="E232" s="4" t="str">
        <f>CONCATENATE(D232," ",C232)</f>
        <v>NANCY HARTMAN</v>
      </c>
      <c r="F232" s="4" t="s">
        <v>27</v>
      </c>
      <c r="G232" s="4" t="s">
        <v>105</v>
      </c>
      <c r="H232" s="4" t="s">
        <v>29</v>
      </c>
      <c r="I232" s="5">
        <v>46204</v>
      </c>
      <c r="J232" s="5">
        <v>46204</v>
      </c>
      <c r="K232" s="5">
        <v>46387</v>
      </c>
      <c r="L232" s="4">
        <v>18710070</v>
      </c>
      <c r="M232" s="4" t="str">
        <f>CONCATENATE(L232,"OVR")</f>
        <v>18710070OVR</v>
      </c>
      <c r="N232" s="4" t="s">
        <v>116</v>
      </c>
      <c r="O232" s="4">
        <v>-270.5</v>
      </c>
      <c r="P232" s="4">
        <v>-75</v>
      </c>
      <c r="Q232" s="4" t="s">
        <v>382</v>
      </c>
    </row>
    <row r="233" spans="1:17" s="4" customFormat="1" x14ac:dyDescent="0.25">
      <c r="A233" s="4" t="s">
        <v>228</v>
      </c>
      <c r="B233" s="4" t="str">
        <f>CONCATENATE(A233,"OVR")</f>
        <v>7PX3HH2DV02OVR</v>
      </c>
      <c r="C233" s="4" t="s">
        <v>498</v>
      </c>
      <c r="D233" s="4" t="s">
        <v>499</v>
      </c>
      <c r="E233" s="4" t="str">
        <f>CONCATENATE(D233," ",C233)</f>
        <v>NANCY HARTMAN</v>
      </c>
      <c r="F233" s="4" t="s">
        <v>27</v>
      </c>
      <c r="G233" s="4" t="s">
        <v>101</v>
      </c>
      <c r="H233" s="4" t="s">
        <v>29</v>
      </c>
      <c r="I233" s="5">
        <v>46204</v>
      </c>
      <c r="J233" s="5">
        <v>46204</v>
      </c>
      <c r="K233" s="5">
        <v>46387</v>
      </c>
      <c r="L233" s="4">
        <v>18710070</v>
      </c>
      <c r="M233" s="4" t="str">
        <f>CONCATENATE(L233,"OVR")</f>
        <v>18710070OVR</v>
      </c>
      <c r="N233" s="4" t="s">
        <v>116</v>
      </c>
      <c r="O233" s="4">
        <v>931</v>
      </c>
      <c r="P233" s="4">
        <v>150</v>
      </c>
      <c r="Q233" s="4" t="s">
        <v>382</v>
      </c>
    </row>
    <row r="234" spans="1:17" s="4" customFormat="1" x14ac:dyDescent="0.25">
      <c r="A234" s="4" t="s">
        <v>117</v>
      </c>
      <c r="B234" s="4" t="str">
        <f>CONCATENATE(A234,"OVR")</f>
        <v>7RV7JJ4EA45OVR</v>
      </c>
      <c r="C234" s="4" t="s">
        <v>469</v>
      </c>
      <c r="D234" s="4" t="s">
        <v>465</v>
      </c>
      <c r="E234" s="4" t="str">
        <f>CONCATENATE(D234," ",C234)</f>
        <v>MARY BARRINGER</v>
      </c>
      <c r="F234" s="4" t="s">
        <v>45</v>
      </c>
      <c r="G234" s="4" t="s">
        <v>105</v>
      </c>
      <c r="H234" s="4" t="s">
        <v>29</v>
      </c>
      <c r="I234" s="5">
        <v>46174</v>
      </c>
      <c r="J234" s="5">
        <v>46174</v>
      </c>
      <c r="K234" s="5">
        <v>46387</v>
      </c>
      <c r="L234" s="4">
        <v>8812322</v>
      </c>
      <c r="M234" s="4" t="str">
        <f>CONCATENATE(L234,"OVR")</f>
        <v>8812322OVR</v>
      </c>
      <c r="N234" s="4" t="s">
        <v>120</v>
      </c>
      <c r="O234" s="4">
        <v>-289.92</v>
      </c>
      <c r="P234" s="4">
        <v>-87.5</v>
      </c>
      <c r="Q234" s="4" t="s">
        <v>382</v>
      </c>
    </row>
    <row r="235" spans="1:17" s="4" customFormat="1" x14ac:dyDescent="0.25">
      <c r="A235" s="4" t="s">
        <v>117</v>
      </c>
      <c r="B235" s="4" t="str">
        <f>CONCATENATE(A235,"OVR")</f>
        <v>7RV7JJ4EA45OVR</v>
      </c>
      <c r="C235" s="4" t="s">
        <v>469</v>
      </c>
      <c r="D235" s="4" t="s">
        <v>465</v>
      </c>
      <c r="E235" s="4" t="str">
        <f>CONCATENATE(D235," ",C235)</f>
        <v>MARY BARRINGER</v>
      </c>
      <c r="F235" s="4" t="s">
        <v>45</v>
      </c>
      <c r="G235" s="4" t="s">
        <v>101</v>
      </c>
      <c r="H235" s="4" t="s">
        <v>29</v>
      </c>
      <c r="I235" s="5">
        <v>46174</v>
      </c>
      <c r="J235" s="5">
        <v>46174</v>
      </c>
      <c r="K235" s="5">
        <v>46387</v>
      </c>
      <c r="L235" s="4">
        <v>8812322</v>
      </c>
      <c r="M235" s="4" t="str">
        <f>CONCATENATE(L235,"OVR")</f>
        <v>8812322OVR</v>
      </c>
      <c r="N235" s="4" t="s">
        <v>120</v>
      </c>
      <c r="O235" s="4">
        <v>844</v>
      </c>
      <c r="P235" s="4">
        <v>150</v>
      </c>
      <c r="Q235" s="4" t="s">
        <v>382</v>
      </c>
    </row>
    <row r="236" spans="1:17" s="4" customFormat="1" x14ac:dyDescent="0.25">
      <c r="A236" s="4" t="s">
        <v>124</v>
      </c>
      <c r="B236" s="4" t="str">
        <f>CONCATENATE(A236,"OVR")</f>
        <v>7XW8DP1TK34OVR</v>
      </c>
      <c r="C236" s="4" t="s">
        <v>484</v>
      </c>
      <c r="D236" s="4" t="s">
        <v>485</v>
      </c>
      <c r="E236" s="4" t="str">
        <f>CONCATENATE(D236," ",C236)</f>
        <v>RICHARD BEHLES</v>
      </c>
      <c r="F236" s="4" t="s">
        <v>45</v>
      </c>
      <c r="G236" s="4" t="s">
        <v>105</v>
      </c>
      <c r="H236" s="4" t="s">
        <v>29</v>
      </c>
      <c r="I236" s="5">
        <v>46143</v>
      </c>
      <c r="J236" s="5">
        <v>46143</v>
      </c>
      <c r="K236" s="5">
        <v>46387</v>
      </c>
      <c r="L236" s="4">
        <v>16633294</v>
      </c>
      <c r="M236" s="4" t="str">
        <f>CONCATENATE(L236,"OVR")</f>
        <v>16633294OVR</v>
      </c>
      <c r="N236" s="4" t="s">
        <v>56</v>
      </c>
      <c r="O236" s="4">
        <v>-331.33</v>
      </c>
      <c r="P236" s="4">
        <v>-100</v>
      </c>
      <c r="Q236" s="4" t="s">
        <v>382</v>
      </c>
    </row>
    <row r="237" spans="1:17" s="4" customFormat="1" x14ac:dyDescent="0.25">
      <c r="A237" s="4" t="s">
        <v>124</v>
      </c>
      <c r="B237" s="4" t="str">
        <f>CONCATENATE(A237,"OVR")</f>
        <v>7XW8DP1TK34OVR</v>
      </c>
      <c r="C237" s="4" t="s">
        <v>484</v>
      </c>
      <c r="D237" s="4" t="s">
        <v>485</v>
      </c>
      <c r="E237" s="4" t="str">
        <f>CONCATENATE(D237," ",C237)</f>
        <v>RICHARD BEHLES</v>
      </c>
      <c r="F237" s="4" t="s">
        <v>45</v>
      </c>
      <c r="G237" s="4" t="s">
        <v>101</v>
      </c>
      <c r="H237" s="4" t="s">
        <v>29</v>
      </c>
      <c r="I237" s="5">
        <v>46143</v>
      </c>
      <c r="J237" s="5">
        <v>46143</v>
      </c>
      <c r="K237" s="5">
        <v>46387</v>
      </c>
      <c r="L237" s="4">
        <v>16633294</v>
      </c>
      <c r="M237" s="4" t="str">
        <f>CONCATENATE(L237,"OVR")</f>
        <v>16633294OVR</v>
      </c>
      <c r="N237" s="4" t="s">
        <v>56</v>
      </c>
      <c r="O237" s="4">
        <v>844</v>
      </c>
      <c r="P237" s="4">
        <v>150</v>
      </c>
      <c r="Q237" s="4" t="s">
        <v>382</v>
      </c>
    </row>
    <row r="238" spans="1:17" s="4" customFormat="1" x14ac:dyDescent="0.25">
      <c r="A238" s="4" t="s">
        <v>348</v>
      </c>
      <c r="B238" s="4" t="str">
        <f>CONCATENATE(A238,"OVR")</f>
        <v>7Y11A09WM19OVR</v>
      </c>
      <c r="C238" s="4" t="s">
        <v>464</v>
      </c>
      <c r="D238" s="4" t="s">
        <v>465</v>
      </c>
      <c r="E238" s="4" t="str">
        <f>CONCATENATE(D238," ",C238)</f>
        <v>MARY TRAYERS</v>
      </c>
      <c r="F238" s="4" t="s">
        <v>156</v>
      </c>
      <c r="G238" s="4" t="s">
        <v>105</v>
      </c>
      <c r="H238" s="4" t="s">
        <v>29</v>
      </c>
      <c r="I238" s="5">
        <v>46174</v>
      </c>
      <c r="J238" s="5">
        <v>46174</v>
      </c>
      <c r="K238" s="5">
        <v>46387</v>
      </c>
      <c r="L238" s="4">
        <v>16170994</v>
      </c>
      <c r="M238" s="4" t="str">
        <f>CONCATENATE(L238,"OVR")</f>
        <v>16170994OVR</v>
      </c>
      <c r="N238" s="4" t="s">
        <v>159</v>
      </c>
      <c r="O238" s="4">
        <v>-289.92</v>
      </c>
      <c r="P238" s="4">
        <v>-87.5</v>
      </c>
      <c r="Q238" s="4" t="s">
        <v>382</v>
      </c>
    </row>
    <row r="239" spans="1:17" s="4" customFormat="1" x14ac:dyDescent="0.25">
      <c r="A239" s="4" t="s">
        <v>348</v>
      </c>
      <c r="B239" s="4" t="str">
        <f>CONCATENATE(A239,"OVR")</f>
        <v>7Y11A09WM19OVR</v>
      </c>
      <c r="C239" s="4" t="s">
        <v>464</v>
      </c>
      <c r="D239" s="4" t="s">
        <v>465</v>
      </c>
      <c r="E239" s="4" t="str">
        <f>CONCATENATE(D239," ",C239)</f>
        <v>MARY TRAYERS</v>
      </c>
      <c r="F239" s="4" t="s">
        <v>156</v>
      </c>
      <c r="G239" s="4" t="s">
        <v>101</v>
      </c>
      <c r="H239" s="4" t="s">
        <v>29</v>
      </c>
      <c r="I239" s="5">
        <v>46174</v>
      </c>
      <c r="J239" s="5">
        <v>46174</v>
      </c>
      <c r="K239" s="5">
        <v>46387</v>
      </c>
      <c r="L239" s="4">
        <v>16170994</v>
      </c>
      <c r="M239" s="4" t="str">
        <f>CONCATENATE(L239,"OVR")</f>
        <v>16170994OVR</v>
      </c>
      <c r="N239" s="4" t="s">
        <v>159</v>
      </c>
      <c r="O239" s="4">
        <v>844</v>
      </c>
      <c r="P239" s="4">
        <v>150</v>
      </c>
      <c r="Q239" s="4" t="s">
        <v>382</v>
      </c>
    </row>
    <row r="240" spans="1:17" s="4" customFormat="1" x14ac:dyDescent="0.25">
      <c r="A240" s="4" t="s">
        <v>284</v>
      </c>
      <c r="B240" s="4" t="str">
        <f>CONCATENATE(A240,"OVR")</f>
        <v>7Y88GX1YF61OVR</v>
      </c>
      <c r="C240" s="4" t="s">
        <v>433</v>
      </c>
      <c r="D240" s="4" t="s">
        <v>434</v>
      </c>
      <c r="E240" s="4" t="str">
        <f>CONCATENATE(D240," ",C240)</f>
        <v>MARIA MONARREZ</v>
      </c>
      <c r="F240" s="4" t="s">
        <v>45</v>
      </c>
      <c r="G240" s="4" t="s">
        <v>105</v>
      </c>
      <c r="H240" s="4" t="s">
        <v>29</v>
      </c>
      <c r="I240" s="5">
        <v>46204</v>
      </c>
      <c r="J240" s="5">
        <v>46204</v>
      </c>
      <c r="K240" s="5">
        <v>46387</v>
      </c>
      <c r="L240" s="4">
        <v>17301495</v>
      </c>
      <c r="M240" s="4" t="str">
        <f>CONCATENATE(L240,"OVR")</f>
        <v>17301495OVR</v>
      </c>
      <c r="N240" s="4" t="s">
        <v>142</v>
      </c>
      <c r="O240" s="4">
        <v>-248.5</v>
      </c>
      <c r="P240" s="4">
        <v>-75</v>
      </c>
      <c r="Q240" s="4" t="s">
        <v>382</v>
      </c>
    </row>
    <row r="241" spans="1:19" s="4" customFormat="1" x14ac:dyDescent="0.25">
      <c r="A241" s="4" t="s">
        <v>284</v>
      </c>
      <c r="B241" s="4" t="str">
        <f>CONCATENATE(A241,"OVR")</f>
        <v>7Y88GX1YF61OVR</v>
      </c>
      <c r="C241" s="4" t="s">
        <v>433</v>
      </c>
      <c r="D241" s="4" t="s">
        <v>434</v>
      </c>
      <c r="E241" s="4" t="str">
        <f>CONCATENATE(D241," ",C241)</f>
        <v>MARIA MONARREZ</v>
      </c>
      <c r="F241" s="4" t="s">
        <v>45</v>
      </c>
      <c r="G241" s="4" t="s">
        <v>101</v>
      </c>
      <c r="H241" s="4" t="s">
        <v>29</v>
      </c>
      <c r="I241" s="5">
        <v>46204</v>
      </c>
      <c r="J241" s="5">
        <v>46204</v>
      </c>
      <c r="K241" s="5">
        <v>46387</v>
      </c>
      <c r="L241" s="4">
        <v>17301495</v>
      </c>
      <c r="M241" s="4" t="str">
        <f>CONCATENATE(L241,"OVR")</f>
        <v>17301495OVR</v>
      </c>
      <c r="N241" s="4" t="s">
        <v>142</v>
      </c>
      <c r="O241" s="4">
        <v>844</v>
      </c>
      <c r="P241" s="4">
        <v>150</v>
      </c>
      <c r="Q241" s="4" t="s">
        <v>382</v>
      </c>
    </row>
    <row r="242" spans="1:19" s="4" customFormat="1" x14ac:dyDescent="0.25">
      <c r="A242" s="4" t="s">
        <v>302</v>
      </c>
      <c r="B242" s="4" t="str">
        <f>CONCATENATE(A242,"OVR")</f>
        <v>8C51AJ2KM23OVR</v>
      </c>
      <c r="C242" s="4" t="s">
        <v>519</v>
      </c>
      <c r="D242" s="4" t="s">
        <v>520</v>
      </c>
      <c r="E242" s="4" t="str">
        <f>CONCATENATE(D242," ",C242)</f>
        <v>AILEEN PETERSON</v>
      </c>
      <c r="F242" s="4" t="s">
        <v>305</v>
      </c>
      <c r="G242" s="4" t="s">
        <v>28</v>
      </c>
      <c r="H242" s="4" t="s">
        <v>29</v>
      </c>
      <c r="I242" s="5">
        <v>46204</v>
      </c>
      <c r="J242" s="5">
        <v>46204</v>
      </c>
      <c r="K242" s="5">
        <v>46387</v>
      </c>
      <c r="L242" s="4">
        <v>7470776</v>
      </c>
      <c r="M242" s="4" t="str">
        <f>CONCATENATE(L242,"OVR")</f>
        <v>7470776OVR</v>
      </c>
      <c r="N242" s="4" t="s">
        <v>48</v>
      </c>
      <c r="O242" s="4">
        <v>248.5</v>
      </c>
      <c r="P242" s="4">
        <v>75</v>
      </c>
      <c r="Q242" s="4" t="s">
        <v>382</v>
      </c>
    </row>
    <row r="243" spans="1:19" s="4" customFormat="1" x14ac:dyDescent="0.25">
      <c r="A243" s="4" t="s">
        <v>287</v>
      </c>
      <c r="B243" s="4" t="str">
        <f>CONCATENATE(A243,"OVR")</f>
        <v>8EC0AU8EC21OVR</v>
      </c>
      <c r="C243" s="4" t="s">
        <v>413</v>
      </c>
      <c r="D243" s="4" t="s">
        <v>414</v>
      </c>
      <c r="E243" s="4" t="str">
        <f>CONCATENATE(D243," ",C243)</f>
        <v>KRAIG MORRIS</v>
      </c>
      <c r="F243" s="4" t="s">
        <v>45</v>
      </c>
      <c r="G243" s="4" t="s">
        <v>105</v>
      </c>
      <c r="H243" s="4" t="s">
        <v>29</v>
      </c>
      <c r="I243" s="5">
        <v>46235</v>
      </c>
      <c r="J243" s="5">
        <v>46235</v>
      </c>
      <c r="K243" s="5">
        <v>46387</v>
      </c>
      <c r="L243" s="4">
        <v>8244481</v>
      </c>
      <c r="M243" s="4" t="str">
        <f>CONCATENATE(L243,"OVR")</f>
        <v>8244481OVR</v>
      </c>
      <c r="N243" s="4" t="s">
        <v>131</v>
      </c>
      <c r="O243" s="4">
        <v>-207.08</v>
      </c>
      <c r="P243" s="4">
        <v>-62.5</v>
      </c>
      <c r="Q243" s="4" t="s">
        <v>382</v>
      </c>
    </row>
    <row r="244" spans="1:19" s="4" customFormat="1" x14ac:dyDescent="0.25">
      <c r="A244" s="4" t="s">
        <v>287</v>
      </c>
      <c r="B244" s="4" t="str">
        <f>CONCATENATE(A244,"OVR")</f>
        <v>8EC0AU8EC21OVR</v>
      </c>
      <c r="C244" s="4" t="s">
        <v>413</v>
      </c>
      <c r="D244" s="4" t="s">
        <v>414</v>
      </c>
      <c r="E244" s="4" t="str">
        <f>CONCATENATE(D244," ",C244)</f>
        <v>KRAIG MORRIS</v>
      </c>
      <c r="F244" s="4" t="s">
        <v>45</v>
      </c>
      <c r="G244" s="4" t="s">
        <v>101</v>
      </c>
      <c r="H244" s="4" t="s">
        <v>29</v>
      </c>
      <c r="I244" s="5">
        <v>46235</v>
      </c>
      <c r="J244" s="5">
        <v>46235</v>
      </c>
      <c r="K244" s="5">
        <v>46387</v>
      </c>
      <c r="L244" s="4">
        <v>8244481</v>
      </c>
      <c r="M244" s="4" t="str">
        <f>CONCATENATE(L244,"OVR")</f>
        <v>8244481OVR</v>
      </c>
      <c r="N244" s="4" t="s">
        <v>131</v>
      </c>
      <c r="O244" s="4">
        <v>844</v>
      </c>
      <c r="P244" s="4">
        <v>150</v>
      </c>
      <c r="Q244" s="4" t="s">
        <v>382</v>
      </c>
    </row>
    <row r="245" spans="1:19" s="4" customFormat="1" x14ac:dyDescent="0.25">
      <c r="A245" s="4" t="s">
        <v>376</v>
      </c>
      <c r="B245" s="4" t="str">
        <f>CONCATENATE(A245,"OVR")</f>
        <v>8FV9A73KF38OVR</v>
      </c>
      <c r="C245" s="4" t="s">
        <v>536</v>
      </c>
      <c r="D245" s="4" t="s">
        <v>411</v>
      </c>
      <c r="E245" s="4" t="str">
        <f>CONCATENATE(D245," ",C245)</f>
        <v>DAVID ZOVACK</v>
      </c>
      <c r="F245" s="4" t="s">
        <v>156</v>
      </c>
      <c r="G245" s="4" t="s">
        <v>28</v>
      </c>
      <c r="H245" s="4" t="s">
        <v>29</v>
      </c>
      <c r="I245" s="5">
        <v>46204</v>
      </c>
      <c r="J245" s="5">
        <v>46204</v>
      </c>
      <c r="K245" s="5">
        <v>46387</v>
      </c>
      <c r="L245" s="4">
        <v>16170994</v>
      </c>
      <c r="M245" s="4" t="str">
        <f>CONCATENATE(L245,"OVR")</f>
        <v>16170994OVR</v>
      </c>
      <c r="N245" s="4" t="s">
        <v>159</v>
      </c>
      <c r="O245" s="4">
        <v>248.5</v>
      </c>
      <c r="P245" s="4">
        <v>75</v>
      </c>
      <c r="Q245" s="4" t="s">
        <v>382</v>
      </c>
    </row>
    <row r="246" spans="1:19" s="4" customFormat="1" x14ac:dyDescent="0.25">
      <c r="A246" s="4" t="s">
        <v>274</v>
      </c>
      <c r="B246" s="4" t="str">
        <f>CONCATENATE(A246,"OVR")</f>
        <v>8GE0XQ2MK39OVR</v>
      </c>
      <c r="C246" s="4" t="s">
        <v>554</v>
      </c>
      <c r="D246" s="4" t="s">
        <v>555</v>
      </c>
      <c r="E246" s="4" t="str">
        <f>CONCATENATE(D246," ",C246)</f>
        <v>MELANIE MCCALL</v>
      </c>
      <c r="F246" s="4" t="s">
        <v>27</v>
      </c>
      <c r="G246" s="4" t="s">
        <v>105</v>
      </c>
      <c r="H246" s="4" t="s">
        <v>29</v>
      </c>
      <c r="I246" s="5">
        <v>46204</v>
      </c>
      <c r="J246" s="5">
        <v>46204</v>
      </c>
      <c r="K246" s="5">
        <v>46235</v>
      </c>
      <c r="L246" s="4">
        <v>20253958</v>
      </c>
      <c r="M246" s="4" t="str">
        <f>CONCATENATE(L246,"OVR")</f>
        <v>20253958OVR</v>
      </c>
      <c r="N246" s="4" t="s">
        <v>33</v>
      </c>
      <c r="O246" s="4">
        <v>-32.5</v>
      </c>
      <c r="P246" s="4">
        <v>-32.5</v>
      </c>
      <c r="Q246" s="4" t="s">
        <v>382</v>
      </c>
    </row>
    <row r="247" spans="1:19" s="4" customFormat="1" x14ac:dyDescent="0.25">
      <c r="A247" s="4" t="s">
        <v>274</v>
      </c>
      <c r="B247" s="4" t="str">
        <f>CONCATENATE(A247,"OVR")</f>
        <v>8GE0XQ2MK39OVR</v>
      </c>
      <c r="C247" s="4" t="s">
        <v>554</v>
      </c>
      <c r="D247" s="4" t="s">
        <v>555</v>
      </c>
      <c r="E247" s="4" t="str">
        <f>CONCATENATE(D247," ",C247)</f>
        <v>MELANIE MCCALL</v>
      </c>
      <c r="F247" s="4" t="s">
        <v>27</v>
      </c>
      <c r="G247" s="4" t="s">
        <v>101</v>
      </c>
      <c r="H247" s="4" t="s">
        <v>29</v>
      </c>
      <c r="I247" s="5">
        <v>46204</v>
      </c>
      <c r="J247" s="5">
        <v>46204</v>
      </c>
      <c r="K247" s="5">
        <v>46387</v>
      </c>
      <c r="L247" s="4">
        <v>20253958</v>
      </c>
      <c r="M247" s="4" t="str">
        <f>CONCATENATE(L247,"OVR")</f>
        <v>20253958OVR</v>
      </c>
      <c r="N247" s="4" t="s">
        <v>33</v>
      </c>
      <c r="O247" s="4">
        <v>65</v>
      </c>
      <c r="P247" s="4">
        <v>65</v>
      </c>
      <c r="Q247" s="4" t="s">
        <v>382</v>
      </c>
    </row>
    <row r="248" spans="1:19" s="4" customFormat="1" x14ac:dyDescent="0.25">
      <c r="A248" s="4" t="s">
        <v>364</v>
      </c>
      <c r="B248" s="4" t="str">
        <f>CONCATENATE(A248,"OVR")</f>
        <v>8H53HD5FD76OVR</v>
      </c>
      <c r="C248" s="4" t="s">
        <v>494</v>
      </c>
      <c r="D248" s="4" t="s">
        <v>495</v>
      </c>
      <c r="E248" s="4" t="str">
        <f>CONCATENATE(D248," ",C248)</f>
        <v>TRINITY WORSEN</v>
      </c>
      <c r="F248" s="4" t="s">
        <v>27</v>
      </c>
      <c r="G248" s="4" t="s">
        <v>105</v>
      </c>
      <c r="H248" s="4" t="s">
        <v>29</v>
      </c>
      <c r="I248" s="5">
        <v>46143</v>
      </c>
      <c r="J248" s="5">
        <v>46143</v>
      </c>
      <c r="K248" s="5">
        <v>46387</v>
      </c>
      <c r="L248" s="4">
        <v>17528908</v>
      </c>
      <c r="M248" s="4" t="str">
        <f>CONCATENATE(L248,"OVR")</f>
        <v>17528908OVR</v>
      </c>
      <c r="N248" s="4" t="s">
        <v>70</v>
      </c>
      <c r="O248" s="4">
        <v>-360.67</v>
      </c>
      <c r="P248" s="4">
        <v>-100</v>
      </c>
      <c r="Q248" s="4" t="s">
        <v>382</v>
      </c>
    </row>
    <row r="249" spans="1:19" s="4" customFormat="1" x14ac:dyDescent="0.25">
      <c r="A249" s="4" t="s">
        <v>364</v>
      </c>
      <c r="B249" s="4" t="str">
        <f>CONCATENATE(A249,"OVR")</f>
        <v>8H53HD5FD76OVR</v>
      </c>
      <c r="C249" s="4" t="s">
        <v>494</v>
      </c>
      <c r="D249" s="4" t="s">
        <v>495</v>
      </c>
      <c r="E249" s="4" t="str">
        <f>CONCATENATE(D249," ",C249)</f>
        <v>TRINITY WORSEN</v>
      </c>
      <c r="F249" s="4" t="s">
        <v>27</v>
      </c>
      <c r="G249" s="4" t="s">
        <v>101</v>
      </c>
      <c r="H249" s="4" t="s">
        <v>29</v>
      </c>
      <c r="I249" s="5">
        <v>46143</v>
      </c>
      <c r="J249" s="5">
        <v>46143</v>
      </c>
      <c r="K249" s="5">
        <v>46387</v>
      </c>
      <c r="L249" s="4">
        <v>17528908</v>
      </c>
      <c r="M249" s="4" t="str">
        <f>CONCATENATE(L249,"OVR")</f>
        <v>17528908OVR</v>
      </c>
      <c r="N249" s="4" t="s">
        <v>70</v>
      </c>
      <c r="O249" s="4">
        <v>931</v>
      </c>
      <c r="P249" s="4">
        <v>150</v>
      </c>
      <c r="Q249" s="4" t="s">
        <v>382</v>
      </c>
    </row>
    <row r="250" spans="1:19" s="4" customFormat="1" x14ac:dyDescent="0.25">
      <c r="A250" s="4" t="s">
        <v>94</v>
      </c>
      <c r="B250" s="4" t="str">
        <f>CONCATENATE(A250,"OVR")</f>
        <v>8HH5FX6CN84OVR</v>
      </c>
      <c r="C250" s="4" t="s">
        <v>532</v>
      </c>
      <c r="D250" s="4" t="s">
        <v>491</v>
      </c>
      <c r="E250" s="4" t="str">
        <f>CONCATENATE(D250," ",C250)</f>
        <v>BRIAN WILKIE</v>
      </c>
      <c r="F250" s="4" t="s">
        <v>45</v>
      </c>
      <c r="G250" s="4" t="s">
        <v>28</v>
      </c>
      <c r="H250" s="4" t="s">
        <v>29</v>
      </c>
      <c r="I250" s="5">
        <v>46113</v>
      </c>
      <c r="J250" s="5">
        <v>46113</v>
      </c>
      <c r="K250" s="5">
        <v>46387</v>
      </c>
      <c r="L250" s="4">
        <v>9213293</v>
      </c>
      <c r="M250" s="4" t="str">
        <f>CONCATENATE(L250,"OVR")</f>
        <v>9213293OVR</v>
      </c>
      <c r="N250" s="4" t="s">
        <v>97</v>
      </c>
      <c r="O250" s="4">
        <v>372.75</v>
      </c>
      <c r="P250" s="4">
        <v>112.5</v>
      </c>
      <c r="Q250" s="4" t="s">
        <v>382</v>
      </c>
    </row>
    <row r="251" spans="1:19" s="4" customFormat="1" x14ac:dyDescent="0.25">
      <c r="A251" s="4" t="s">
        <v>221</v>
      </c>
      <c r="B251" s="4" t="str">
        <f>CONCATENATE(A251,"OVR")</f>
        <v>8KJ5C77KK64OVR</v>
      </c>
      <c r="C251" s="4" t="s">
        <v>447</v>
      </c>
      <c r="D251" s="4" t="s">
        <v>448</v>
      </c>
      <c r="E251" s="4" t="str">
        <f>CONCATENATE(D251," ",C251)</f>
        <v>DANIEL HARRIS</v>
      </c>
      <c r="F251" s="4" t="s">
        <v>224</v>
      </c>
      <c r="G251" s="4" t="s">
        <v>105</v>
      </c>
      <c r="H251" s="4" t="s">
        <v>29</v>
      </c>
      <c r="I251" s="5">
        <v>46143</v>
      </c>
      <c r="J251" s="5">
        <v>46143</v>
      </c>
      <c r="K251" s="5">
        <v>46387</v>
      </c>
      <c r="L251" s="4">
        <v>19645587</v>
      </c>
      <c r="M251" s="4" t="str">
        <f>CONCATENATE(L251,"OVR")</f>
        <v>19645587OVR</v>
      </c>
      <c r="N251" s="4" t="s">
        <v>227</v>
      </c>
      <c r="O251" s="4">
        <v>-331.33</v>
      </c>
      <c r="P251" s="4">
        <v>-100</v>
      </c>
      <c r="Q251" s="4" t="s">
        <v>382</v>
      </c>
    </row>
    <row r="252" spans="1:19" s="4" customFormat="1" x14ac:dyDescent="0.25">
      <c r="A252" s="4" t="s">
        <v>221</v>
      </c>
      <c r="B252" s="4" t="str">
        <f>CONCATENATE(A252,"OVR")</f>
        <v>8KJ5C77KK64OVR</v>
      </c>
      <c r="C252" s="4" t="s">
        <v>447</v>
      </c>
      <c r="D252" s="4" t="s">
        <v>448</v>
      </c>
      <c r="E252" s="4" t="str">
        <f>CONCATENATE(D252," ",C252)</f>
        <v>DANIEL HARRIS</v>
      </c>
      <c r="F252" s="4" t="s">
        <v>224</v>
      </c>
      <c r="G252" s="4" t="s">
        <v>101</v>
      </c>
      <c r="H252" s="4" t="s">
        <v>29</v>
      </c>
      <c r="I252" s="5">
        <v>46143</v>
      </c>
      <c r="J252" s="5">
        <v>46143</v>
      </c>
      <c r="K252" s="5">
        <v>46387</v>
      </c>
      <c r="L252" s="4">
        <v>19645587</v>
      </c>
      <c r="M252" s="4" t="str">
        <f>CONCATENATE(L252,"OVR")</f>
        <v>19645587OVR</v>
      </c>
      <c r="N252" s="4" t="s">
        <v>227</v>
      </c>
      <c r="O252" s="4">
        <v>844</v>
      </c>
      <c r="P252" s="4">
        <v>150</v>
      </c>
      <c r="Q252" s="4" t="s">
        <v>382</v>
      </c>
    </row>
    <row r="253" spans="1:19" s="4" customFormat="1" x14ac:dyDescent="0.25">
      <c r="A253" s="4" t="s">
        <v>139</v>
      </c>
      <c r="B253" s="4" t="str">
        <f>CONCATENATE(A253,"OVR")</f>
        <v>8KN3CX6TN89OVR</v>
      </c>
      <c r="C253" s="4" t="s">
        <v>527</v>
      </c>
      <c r="D253" s="4" t="s">
        <v>528</v>
      </c>
      <c r="E253" s="4" t="str">
        <f>CONCATENATE(D253," ",C253)</f>
        <v>CECILY DALTON</v>
      </c>
      <c r="F253" s="4" t="s">
        <v>45</v>
      </c>
      <c r="G253" s="4" t="s">
        <v>28</v>
      </c>
      <c r="H253" s="4" t="s">
        <v>29</v>
      </c>
      <c r="I253" s="5">
        <v>46174</v>
      </c>
      <c r="J253" s="5">
        <v>46174</v>
      </c>
      <c r="K253" s="5">
        <v>46387</v>
      </c>
      <c r="L253" s="4">
        <v>17301495</v>
      </c>
      <c r="M253" s="4" t="str">
        <f>CONCATENATE(L253,"OVR")</f>
        <v>17301495OVR</v>
      </c>
      <c r="N253" s="4" t="s">
        <v>142</v>
      </c>
      <c r="O253" s="4">
        <v>289.92</v>
      </c>
      <c r="P253" s="4">
        <v>87.5</v>
      </c>
      <c r="Q253" s="4" t="s">
        <v>382</v>
      </c>
      <c r="S253" s="4">
        <f>150/12*7</f>
        <v>87.5</v>
      </c>
    </row>
    <row r="254" spans="1:19" s="4" customFormat="1" x14ac:dyDescent="0.25">
      <c r="A254" s="4" t="s">
        <v>121</v>
      </c>
      <c r="B254" s="4" t="str">
        <f>CONCATENATE(A254,"OVR")</f>
        <v>8R70PA3XG01OVR</v>
      </c>
      <c r="C254" s="4" t="s">
        <v>482</v>
      </c>
      <c r="D254" s="4" t="s">
        <v>483</v>
      </c>
      <c r="E254" s="4" t="str">
        <f>CONCATENATE(D254," ",C254)</f>
        <v>CYNTHIA BARUCK</v>
      </c>
      <c r="F254" s="4" t="s">
        <v>45</v>
      </c>
      <c r="G254" s="4" t="s">
        <v>105</v>
      </c>
      <c r="H254" s="4" t="s">
        <v>29</v>
      </c>
      <c r="I254" s="5">
        <v>46174</v>
      </c>
      <c r="J254" s="5">
        <v>46174</v>
      </c>
      <c r="K254" s="5">
        <v>46387</v>
      </c>
      <c r="L254" s="4">
        <v>16633294</v>
      </c>
      <c r="M254" s="4" t="str">
        <f>CONCATENATE(L254,"OVR")</f>
        <v>16633294OVR</v>
      </c>
      <c r="N254" s="4" t="s">
        <v>56</v>
      </c>
      <c r="O254" s="4">
        <v>-289.92</v>
      </c>
      <c r="P254" s="4">
        <v>-87.5</v>
      </c>
      <c r="Q254" s="4" t="s">
        <v>382</v>
      </c>
    </row>
    <row r="255" spans="1:19" s="4" customFormat="1" x14ac:dyDescent="0.25">
      <c r="A255" s="4" t="s">
        <v>121</v>
      </c>
      <c r="B255" s="4" t="str">
        <f>CONCATENATE(A255,"OVR")</f>
        <v>8R70PA3XG01OVR</v>
      </c>
      <c r="C255" s="4" t="s">
        <v>482</v>
      </c>
      <c r="D255" s="4" t="s">
        <v>483</v>
      </c>
      <c r="E255" s="4" t="str">
        <f>CONCATENATE(D255," ",C255)</f>
        <v>CYNTHIA BARUCK</v>
      </c>
      <c r="F255" s="4" t="s">
        <v>45</v>
      </c>
      <c r="G255" s="4" t="s">
        <v>101</v>
      </c>
      <c r="H255" s="4" t="s">
        <v>29</v>
      </c>
      <c r="I255" s="5">
        <v>46174</v>
      </c>
      <c r="J255" s="5">
        <v>46174</v>
      </c>
      <c r="K255" s="5">
        <v>46387</v>
      </c>
      <c r="L255" s="4">
        <v>16633294</v>
      </c>
      <c r="M255" s="4" t="str">
        <f>CONCATENATE(L255,"OVR")</f>
        <v>16633294OVR</v>
      </c>
      <c r="N255" s="4" t="s">
        <v>56</v>
      </c>
      <c r="O255" s="4">
        <v>844</v>
      </c>
      <c r="P255" s="4">
        <v>150</v>
      </c>
      <c r="Q255" s="4" t="s">
        <v>382</v>
      </c>
    </row>
    <row r="256" spans="1:19" s="4" customFormat="1" x14ac:dyDescent="0.25">
      <c r="A256" s="4" t="s">
        <v>265</v>
      </c>
      <c r="B256" s="4" t="str">
        <f>CONCATENATE(A256,"OVR")</f>
        <v>8WH3CQ7EJ01OVR</v>
      </c>
      <c r="C256" s="4" t="s">
        <v>535</v>
      </c>
      <c r="D256" s="4" t="s">
        <v>514</v>
      </c>
      <c r="E256" s="4" t="str">
        <f>CONCATENATE(D256," ",C256)</f>
        <v>JOHN KOVOLYAN</v>
      </c>
      <c r="F256" s="4" t="s">
        <v>156</v>
      </c>
      <c r="G256" s="4" t="s">
        <v>28</v>
      </c>
      <c r="H256" s="4" t="s">
        <v>29</v>
      </c>
      <c r="I256" s="5">
        <v>46266</v>
      </c>
      <c r="J256" s="5">
        <v>46266</v>
      </c>
      <c r="K256" s="5">
        <v>46387</v>
      </c>
      <c r="L256" s="4">
        <v>16170994</v>
      </c>
      <c r="M256" s="4" t="str">
        <f>CONCATENATE(L256,"OVR")</f>
        <v>16170994OVR</v>
      </c>
      <c r="N256" s="4" t="s">
        <v>159</v>
      </c>
      <c r="O256" s="4">
        <v>165.67</v>
      </c>
      <c r="P256" s="4">
        <v>50</v>
      </c>
      <c r="Q256" s="4" t="s">
        <v>382</v>
      </c>
      <c r="S256" s="4">
        <f>150/12*4</f>
        <v>50</v>
      </c>
    </row>
    <row r="257" spans="1:17" s="4" customFormat="1" x14ac:dyDescent="0.25">
      <c r="A257" s="4" t="s">
        <v>231</v>
      </c>
      <c r="B257" s="4" t="str">
        <f>CONCATENATE(A257,"OVR")</f>
        <v>8WQ6C99UD53OVR</v>
      </c>
      <c r="C257" s="4" t="s">
        <v>521</v>
      </c>
      <c r="D257" s="4" t="s">
        <v>522</v>
      </c>
      <c r="E257" s="4" t="str">
        <f>CONCATENATE(D257," ",C257)</f>
        <v>DORISMILDA HERNANDEZ</v>
      </c>
      <c r="F257" s="4" t="s">
        <v>45</v>
      </c>
      <c r="G257" s="4" t="s">
        <v>28</v>
      </c>
      <c r="H257" s="4" t="s">
        <v>29</v>
      </c>
      <c r="I257" s="5">
        <v>46204</v>
      </c>
      <c r="J257" s="5">
        <v>46204</v>
      </c>
      <c r="K257" s="5">
        <v>46387</v>
      </c>
      <c r="L257" s="4">
        <v>21283956</v>
      </c>
      <c r="M257" s="4" t="str">
        <f>CONCATENATE(L257,"OVR")</f>
        <v>21283956OVR</v>
      </c>
      <c r="N257" s="4" t="s">
        <v>87</v>
      </c>
      <c r="O257" s="4">
        <v>248.5</v>
      </c>
      <c r="P257" s="4">
        <v>75</v>
      </c>
      <c r="Q257" s="4" t="s">
        <v>382</v>
      </c>
    </row>
    <row r="258" spans="1:17" s="4" customFormat="1" x14ac:dyDescent="0.25">
      <c r="A258" s="4" t="s">
        <v>245</v>
      </c>
      <c r="B258" s="4" t="str">
        <f>CONCATENATE(A258,"OVR")</f>
        <v>8X14PW9QD72OVR</v>
      </c>
      <c r="C258" s="4" t="s">
        <v>445</v>
      </c>
      <c r="D258" s="4" t="s">
        <v>446</v>
      </c>
      <c r="E258" s="4" t="str">
        <f>CONCATENATE(D258," ",C258)</f>
        <v>SCOTT JARES</v>
      </c>
      <c r="F258" s="4" t="s">
        <v>60</v>
      </c>
      <c r="G258" s="4" t="s">
        <v>105</v>
      </c>
      <c r="H258" s="4" t="s">
        <v>29</v>
      </c>
      <c r="I258" s="5">
        <v>46174</v>
      </c>
      <c r="J258" s="5">
        <v>46174</v>
      </c>
      <c r="K258" s="5">
        <v>46387</v>
      </c>
      <c r="L258" s="4">
        <v>19645587</v>
      </c>
      <c r="M258" s="4" t="str">
        <f>CONCATENATE(L258,"OVR")</f>
        <v>19645587OVR</v>
      </c>
      <c r="N258" s="4" t="s">
        <v>227</v>
      </c>
      <c r="O258" s="4">
        <v>-289.92</v>
      </c>
      <c r="P258" s="4">
        <v>-87.5</v>
      </c>
      <c r="Q258" s="4" t="s">
        <v>382</v>
      </c>
    </row>
    <row r="259" spans="1:17" s="4" customFormat="1" x14ac:dyDescent="0.25">
      <c r="A259" s="4" t="s">
        <v>245</v>
      </c>
      <c r="B259" s="4" t="str">
        <f>CONCATENATE(A259,"OVR")</f>
        <v>8X14PW9QD72OVR</v>
      </c>
      <c r="C259" s="4" t="s">
        <v>445</v>
      </c>
      <c r="D259" s="4" t="s">
        <v>446</v>
      </c>
      <c r="E259" s="4" t="str">
        <f>CONCATENATE(D259," ",C259)</f>
        <v>SCOTT JARES</v>
      </c>
      <c r="F259" s="4" t="s">
        <v>60</v>
      </c>
      <c r="G259" s="4" t="s">
        <v>101</v>
      </c>
      <c r="H259" s="4" t="s">
        <v>29</v>
      </c>
      <c r="I259" s="5">
        <v>46174</v>
      </c>
      <c r="J259" s="5">
        <v>46174</v>
      </c>
      <c r="K259" s="5">
        <v>46387</v>
      </c>
      <c r="L259" s="4">
        <v>19645587</v>
      </c>
      <c r="M259" s="4" t="str">
        <f>CONCATENATE(L259,"OVR")</f>
        <v>19645587OVR</v>
      </c>
      <c r="N259" s="4" t="s">
        <v>227</v>
      </c>
      <c r="O259" s="4">
        <v>844</v>
      </c>
      <c r="P259" s="4">
        <v>150</v>
      </c>
      <c r="Q259" s="4" t="s">
        <v>382</v>
      </c>
    </row>
    <row r="260" spans="1:17" s="4" customFormat="1" x14ac:dyDescent="0.25">
      <c r="A260" s="4" t="s">
        <v>52</v>
      </c>
      <c r="B260" s="4" t="str">
        <f>CONCATENATE(A260,"OVR")</f>
        <v>9QD8ED8MN61OVR</v>
      </c>
      <c r="C260" s="4" t="s">
        <v>540</v>
      </c>
      <c r="D260" s="4" t="s">
        <v>541</v>
      </c>
      <c r="E260" s="4" t="str">
        <f>CONCATENATE(D260," ",C260)</f>
        <v>VALERIE JADOS</v>
      </c>
      <c r="F260" s="4" t="s">
        <v>45</v>
      </c>
      <c r="G260" s="4" t="s">
        <v>28</v>
      </c>
      <c r="H260" s="4" t="s">
        <v>29</v>
      </c>
      <c r="I260" s="5">
        <v>46204</v>
      </c>
      <c r="J260" s="5">
        <v>46204</v>
      </c>
      <c r="K260" s="5">
        <v>46387</v>
      </c>
      <c r="L260" s="4">
        <v>16633294</v>
      </c>
      <c r="M260" s="4" t="str">
        <f>CONCATENATE(L260,"OVR")</f>
        <v>16633294OVR</v>
      </c>
      <c r="N260" s="4" t="s">
        <v>56</v>
      </c>
      <c r="O260" s="4">
        <v>248.5</v>
      </c>
      <c r="P260" s="4">
        <v>75</v>
      </c>
      <c r="Q260" s="4" t="s">
        <v>382</v>
      </c>
    </row>
    <row r="261" spans="1:17" s="4" customFormat="1" x14ac:dyDescent="0.25">
      <c r="A261" s="4" t="s">
        <v>277</v>
      </c>
      <c r="B261" s="4" t="str">
        <f>CONCATENATE(A261,"OVR")</f>
        <v>9U03WW9CW96OVR</v>
      </c>
      <c r="C261" s="4" t="s">
        <v>421</v>
      </c>
      <c r="D261" s="4" t="s">
        <v>422</v>
      </c>
      <c r="E261" s="4" t="str">
        <f>CONCATENATE(D261," ",C261)</f>
        <v>DANA MCCONNELL</v>
      </c>
      <c r="F261" s="4" t="s">
        <v>45</v>
      </c>
      <c r="G261" s="4" t="s">
        <v>105</v>
      </c>
      <c r="H261" s="4" t="s">
        <v>29</v>
      </c>
      <c r="I261" s="5">
        <v>46174</v>
      </c>
      <c r="J261" s="5">
        <v>46174</v>
      </c>
      <c r="K261" s="5">
        <v>46387</v>
      </c>
      <c r="L261" s="4">
        <v>8244481</v>
      </c>
      <c r="M261" s="4" t="str">
        <f>CONCATENATE(L261,"OVR")</f>
        <v>8244481OVR</v>
      </c>
      <c r="N261" s="4" t="s">
        <v>131</v>
      </c>
      <c r="O261" s="4">
        <v>-289.92</v>
      </c>
      <c r="P261" s="4">
        <v>-87.5</v>
      </c>
      <c r="Q261" s="4" t="s">
        <v>382</v>
      </c>
    </row>
    <row r="262" spans="1:17" s="4" customFormat="1" x14ac:dyDescent="0.25">
      <c r="A262" s="4" t="s">
        <v>277</v>
      </c>
      <c r="B262" s="4" t="str">
        <f>CONCATENATE(A262,"OVR")</f>
        <v>9U03WW9CW96OVR</v>
      </c>
      <c r="C262" s="4" t="s">
        <v>421</v>
      </c>
      <c r="D262" s="4" t="s">
        <v>422</v>
      </c>
      <c r="E262" s="4" t="str">
        <f>CONCATENATE(D262," ",C262)</f>
        <v>DANA MCCONNELL</v>
      </c>
      <c r="F262" s="4" t="s">
        <v>45</v>
      </c>
      <c r="G262" s="4" t="s">
        <v>101</v>
      </c>
      <c r="H262" s="4" t="s">
        <v>29</v>
      </c>
      <c r="I262" s="5">
        <v>46174</v>
      </c>
      <c r="J262" s="5">
        <v>46174</v>
      </c>
      <c r="K262" s="5">
        <v>46387</v>
      </c>
      <c r="L262" s="4">
        <v>8244481</v>
      </c>
      <c r="M262" s="4" t="str">
        <f>CONCATENATE(L262,"OVR")</f>
        <v>8244481OVR</v>
      </c>
      <c r="N262" s="4" t="s">
        <v>131</v>
      </c>
      <c r="O262" s="4">
        <v>844</v>
      </c>
      <c r="P262" s="4">
        <v>150</v>
      </c>
      <c r="Q262" s="4" t="s">
        <v>382</v>
      </c>
    </row>
    <row r="263" spans="1:17" s="4" customFormat="1" x14ac:dyDescent="0.25">
      <c r="A263" s="4" t="s">
        <v>334</v>
      </c>
      <c r="B263" s="4" t="str">
        <f>CONCATENATE(A263,"OVR")</f>
        <v>9V47G70WC44OVR</v>
      </c>
      <c r="C263" s="4" t="s">
        <v>476</v>
      </c>
      <c r="D263" s="4" t="s">
        <v>477</v>
      </c>
      <c r="E263" s="4" t="str">
        <f>CONCATENATE(D263," ",C263)</f>
        <v>AARON STEELE</v>
      </c>
      <c r="F263" s="4" t="s">
        <v>337</v>
      </c>
      <c r="G263" s="4" t="s">
        <v>105</v>
      </c>
      <c r="H263" s="4" t="s">
        <v>29</v>
      </c>
      <c r="I263" s="5">
        <v>46174</v>
      </c>
      <c r="J263" s="5">
        <v>46174</v>
      </c>
      <c r="K263" s="5">
        <v>46387</v>
      </c>
      <c r="L263" s="4">
        <v>19615078</v>
      </c>
      <c r="M263" s="4" t="str">
        <f>CONCATENATE(L263,"OVR")</f>
        <v>19615078OVR</v>
      </c>
      <c r="N263" s="4" t="s">
        <v>340</v>
      </c>
      <c r="O263" s="4">
        <v>-289.92</v>
      </c>
      <c r="P263" s="4">
        <v>-87.5</v>
      </c>
      <c r="Q263" s="4" t="s">
        <v>382</v>
      </c>
    </row>
    <row r="264" spans="1:17" s="4" customFormat="1" x14ac:dyDescent="0.25">
      <c r="A264" s="4" t="s">
        <v>334</v>
      </c>
      <c r="B264" s="4" t="str">
        <f>CONCATENATE(A264,"OVR")</f>
        <v>9V47G70WC44OVR</v>
      </c>
      <c r="C264" s="4" t="s">
        <v>476</v>
      </c>
      <c r="D264" s="4" t="s">
        <v>477</v>
      </c>
      <c r="E264" s="4" t="str">
        <f>CONCATENATE(D264," ",C264)</f>
        <v>AARON STEELE</v>
      </c>
      <c r="F264" s="4" t="s">
        <v>337</v>
      </c>
      <c r="G264" s="4" t="s">
        <v>186</v>
      </c>
      <c r="H264" s="4" t="s">
        <v>29</v>
      </c>
      <c r="I264" s="5">
        <v>46174</v>
      </c>
      <c r="J264" s="5">
        <v>46174</v>
      </c>
      <c r="K264" s="5">
        <v>46387</v>
      </c>
      <c r="L264" s="4">
        <v>19615078</v>
      </c>
      <c r="M264" s="4" t="str">
        <f>CONCATENATE(L264,"OVR")</f>
        <v>19615078OVR</v>
      </c>
      <c r="N264" s="4" t="s">
        <v>340</v>
      </c>
      <c r="O264" s="4">
        <v>492.33</v>
      </c>
      <c r="P264" s="4">
        <v>87.5</v>
      </c>
      <c r="Q264" s="4" t="s">
        <v>382</v>
      </c>
    </row>
    <row r="265" spans="1:17" s="4" customFormat="1" x14ac:dyDescent="0.25">
      <c r="A265" s="4" t="s">
        <v>290</v>
      </c>
      <c r="B265" s="4" t="str">
        <f>CONCATENATE(A265,"OVR")</f>
        <v>9W71UE7PR09OVR</v>
      </c>
      <c r="C265" s="4" t="s">
        <v>546</v>
      </c>
      <c r="D265" s="4" t="s">
        <v>547</v>
      </c>
      <c r="E265" s="4" t="str">
        <f>CONCATENATE(D265," ",C265)</f>
        <v>CHRISTINE NAGOWSKI</v>
      </c>
      <c r="F265" s="4" t="s">
        <v>27</v>
      </c>
      <c r="G265" s="4" t="s">
        <v>105</v>
      </c>
      <c r="H265" s="4" t="s">
        <v>29</v>
      </c>
      <c r="I265" s="5">
        <v>46235</v>
      </c>
      <c r="J265" s="5">
        <v>46235</v>
      </c>
      <c r="K265" s="5">
        <v>46266</v>
      </c>
      <c r="L265" s="4">
        <v>17886092</v>
      </c>
      <c r="M265" s="4" t="str">
        <f>CONCATENATE(L265,"OVR")</f>
        <v>17886092OVR</v>
      </c>
      <c r="N265" s="4" t="s">
        <v>81</v>
      </c>
      <c r="O265" s="4">
        <v>-27.09</v>
      </c>
      <c r="P265" s="4">
        <v>-27.09</v>
      </c>
      <c r="Q265" s="4" t="s">
        <v>382</v>
      </c>
    </row>
    <row r="266" spans="1:17" s="4" customFormat="1" x14ac:dyDescent="0.25">
      <c r="A266" s="4" t="s">
        <v>290</v>
      </c>
      <c r="B266" s="4" t="str">
        <f>CONCATENATE(A266,"OVR")</f>
        <v>9W71UE7PR09OVR</v>
      </c>
      <c r="C266" s="4" t="s">
        <v>546</v>
      </c>
      <c r="D266" s="4" t="s">
        <v>547</v>
      </c>
      <c r="E266" s="4" t="str">
        <f>CONCATENATE(D266," ",C266)</f>
        <v>CHRISTINE NAGOWSKI</v>
      </c>
      <c r="F266" s="4" t="s">
        <v>27</v>
      </c>
      <c r="G266" s="4" t="s">
        <v>101</v>
      </c>
      <c r="H266" s="4" t="s">
        <v>29</v>
      </c>
      <c r="I266" s="5">
        <v>46235</v>
      </c>
      <c r="J266" s="5">
        <v>46235</v>
      </c>
      <c r="K266" s="5">
        <v>46387</v>
      </c>
      <c r="L266" s="4">
        <v>17886092</v>
      </c>
      <c r="M266" s="4" t="str">
        <f>CONCATENATE(L266,"OVR")</f>
        <v>17886092OVR</v>
      </c>
      <c r="N266" s="4" t="s">
        <v>81</v>
      </c>
      <c r="O266" s="4">
        <v>65</v>
      </c>
      <c r="P266" s="4">
        <v>65</v>
      </c>
      <c r="Q266" s="4" t="s">
        <v>382</v>
      </c>
    </row>
    <row r="267" spans="1:17" s="4" customFormat="1" x14ac:dyDescent="0.25">
      <c r="A267" s="4" t="s">
        <v>252</v>
      </c>
      <c r="B267" s="4" t="str">
        <f>CONCATENATE(A267,"OVR")</f>
        <v>9YE5Y35EF65OVR</v>
      </c>
      <c r="C267" s="4" t="s">
        <v>458</v>
      </c>
      <c r="D267" s="4" t="s">
        <v>411</v>
      </c>
      <c r="E267" s="4" t="str">
        <f>CONCATENATE(D267," ",C267)</f>
        <v>DAVID JOHNSON</v>
      </c>
      <c r="F267" s="4" t="s">
        <v>156</v>
      </c>
      <c r="G267" s="4" t="s">
        <v>105</v>
      </c>
      <c r="H267" s="4" t="s">
        <v>29</v>
      </c>
      <c r="I267" s="5">
        <v>46204</v>
      </c>
      <c r="J267" s="5">
        <v>46204</v>
      </c>
      <c r="K267" s="5">
        <v>46387</v>
      </c>
      <c r="L267" s="4">
        <v>16170994</v>
      </c>
      <c r="M267" s="4" t="str">
        <f>CONCATENATE(L267,"OVR")</f>
        <v>16170994OVR</v>
      </c>
      <c r="N267" s="4" t="s">
        <v>159</v>
      </c>
      <c r="O267" s="4">
        <v>-248.5</v>
      </c>
      <c r="P267" s="4">
        <v>-75</v>
      </c>
      <c r="Q267" s="4" t="s">
        <v>382</v>
      </c>
    </row>
    <row r="268" spans="1:17" s="4" customFormat="1" x14ac:dyDescent="0.25">
      <c r="A268" s="4" t="s">
        <v>252</v>
      </c>
      <c r="B268" s="4" t="str">
        <f>CONCATENATE(A268,"OVR")</f>
        <v>9YE5Y35EF65OVR</v>
      </c>
      <c r="C268" s="4" t="s">
        <v>458</v>
      </c>
      <c r="D268" s="4" t="s">
        <v>411</v>
      </c>
      <c r="E268" s="4" t="str">
        <f>CONCATENATE(D268," ",C268)</f>
        <v>DAVID JOHNSON</v>
      </c>
      <c r="F268" s="4" t="s">
        <v>156</v>
      </c>
      <c r="G268" s="4" t="s">
        <v>101</v>
      </c>
      <c r="H268" s="4" t="s">
        <v>29</v>
      </c>
      <c r="I268" s="5">
        <v>46204</v>
      </c>
      <c r="J268" s="5">
        <v>46204</v>
      </c>
      <c r="K268" s="5">
        <v>46387</v>
      </c>
      <c r="L268" s="4">
        <v>16170994</v>
      </c>
      <c r="M268" s="4" t="str">
        <f>CONCATENATE(L268,"OVR")</f>
        <v>16170994OVR</v>
      </c>
      <c r="N268" s="4" t="s">
        <v>159</v>
      </c>
      <c r="O268" s="4">
        <v>844</v>
      </c>
      <c r="P268" s="4">
        <v>150</v>
      </c>
      <c r="Q268" s="4" t="s">
        <v>382</v>
      </c>
    </row>
    <row r="269" spans="1:17" x14ac:dyDescent="0.25">
      <c r="I269" s="1"/>
      <c r="J269" s="1"/>
    </row>
    <row r="270" spans="1:17" x14ac:dyDescent="0.25">
      <c r="I270" s="1"/>
      <c r="J270" s="1"/>
    </row>
    <row r="271" spans="1:17" x14ac:dyDescent="0.25">
      <c r="I271" s="1"/>
      <c r="J271" s="1"/>
    </row>
    <row r="272" spans="1:17" x14ac:dyDescent="0.25">
      <c r="I272" s="1"/>
      <c r="J272" s="1"/>
    </row>
    <row r="273" spans="9:10" x14ac:dyDescent="0.25">
      <c r="I273" s="1"/>
      <c r="J273" s="1"/>
    </row>
    <row r="274" spans="9:10" x14ac:dyDescent="0.25">
      <c r="I274" s="1"/>
      <c r="J274" s="1"/>
    </row>
    <row r="275" spans="9:10" x14ac:dyDescent="0.25">
      <c r="I275" s="1"/>
      <c r="J275" s="1"/>
    </row>
    <row r="276" spans="9:10" x14ac:dyDescent="0.25">
      <c r="I276" s="1"/>
      <c r="J276" s="1"/>
    </row>
    <row r="277" spans="9:10" x14ac:dyDescent="0.25">
      <c r="I277" s="1"/>
      <c r="J277" s="1"/>
    </row>
    <row r="278" spans="9:10" x14ac:dyDescent="0.25">
      <c r="I278" s="1"/>
      <c r="J278" s="1"/>
    </row>
    <row r="279" spans="9:10" x14ac:dyDescent="0.25">
      <c r="I279" s="1"/>
      <c r="J279" s="1"/>
    </row>
    <row r="280" spans="9:10" x14ac:dyDescent="0.25">
      <c r="I280" s="1"/>
      <c r="J280" s="1"/>
    </row>
    <row r="281" spans="9:10" x14ac:dyDescent="0.25">
      <c r="I281" s="1"/>
      <c r="J281" s="1"/>
    </row>
    <row r="282" spans="9:10" x14ac:dyDescent="0.25">
      <c r="I282" s="1"/>
      <c r="J282" s="1"/>
    </row>
    <row r="283" spans="9:10" x14ac:dyDescent="0.25">
      <c r="I283" s="1"/>
      <c r="J283" s="1"/>
    </row>
    <row r="284" spans="9:10" x14ac:dyDescent="0.25">
      <c r="I284" s="1"/>
      <c r="J284" s="1"/>
    </row>
    <row r="285" spans="9:10" x14ac:dyDescent="0.25">
      <c r="I285" s="1"/>
      <c r="J285" s="1"/>
    </row>
    <row r="286" spans="9:10" x14ac:dyDescent="0.25">
      <c r="I286" s="1"/>
      <c r="J286" s="1"/>
    </row>
    <row r="287" spans="9:10" x14ac:dyDescent="0.25">
      <c r="I287" s="1"/>
      <c r="J287" s="1"/>
    </row>
    <row r="288" spans="9:10" x14ac:dyDescent="0.25">
      <c r="I288" s="1"/>
      <c r="J288" s="1"/>
    </row>
    <row r="289" spans="9:10" x14ac:dyDescent="0.25">
      <c r="I289" s="1"/>
      <c r="J289" s="1"/>
    </row>
    <row r="290" spans="9:10" x14ac:dyDescent="0.25">
      <c r="I290" s="1"/>
      <c r="J290" s="1"/>
    </row>
    <row r="291" spans="9:10" x14ac:dyDescent="0.25">
      <c r="I291" s="1"/>
      <c r="J291" s="1"/>
    </row>
    <row r="292" spans="9:10" x14ac:dyDescent="0.25">
      <c r="I292" s="1"/>
      <c r="J292" s="1"/>
    </row>
    <row r="293" spans="9:10" x14ac:dyDescent="0.25">
      <c r="I293" s="1"/>
      <c r="J293" s="1"/>
    </row>
    <row r="294" spans="9:10" x14ac:dyDescent="0.25">
      <c r="I294" s="1"/>
      <c r="J294" s="1"/>
    </row>
    <row r="295" spans="9:10" x14ac:dyDescent="0.25">
      <c r="I295" s="1"/>
      <c r="J295" s="1"/>
    </row>
    <row r="296" spans="9:10" x14ac:dyDescent="0.25">
      <c r="I296" s="1"/>
      <c r="J296" s="1"/>
    </row>
    <row r="297" spans="9:10" x14ac:dyDescent="0.25">
      <c r="I297" s="1"/>
      <c r="J297" s="1"/>
    </row>
    <row r="298" spans="9:10" x14ac:dyDescent="0.25">
      <c r="I298" s="1"/>
      <c r="J298" s="1"/>
    </row>
    <row r="299" spans="9:10" x14ac:dyDescent="0.25">
      <c r="I299" s="1"/>
      <c r="J299" s="1"/>
    </row>
    <row r="300" spans="9:10" x14ac:dyDescent="0.25">
      <c r="I300" s="1"/>
      <c r="J300" s="1"/>
    </row>
    <row r="301" spans="9:10" x14ac:dyDescent="0.25">
      <c r="I301" s="1"/>
      <c r="J301" s="1"/>
    </row>
    <row r="302" spans="9:10" x14ac:dyDescent="0.25">
      <c r="I302" s="1"/>
      <c r="J302" s="1"/>
    </row>
    <row r="303" spans="9:10" x14ac:dyDescent="0.25">
      <c r="I303" s="1"/>
      <c r="J303" s="1"/>
    </row>
    <row r="304" spans="9:10" x14ac:dyDescent="0.25">
      <c r="I304" s="1"/>
      <c r="J304" s="1"/>
    </row>
    <row r="305" spans="9:10" x14ac:dyDescent="0.25">
      <c r="I305" s="1"/>
      <c r="J305" s="1"/>
    </row>
    <row r="306" spans="9:10" x14ac:dyDescent="0.25">
      <c r="I306" s="1"/>
      <c r="J306" s="1"/>
    </row>
    <row r="307" spans="9:10" x14ac:dyDescent="0.25">
      <c r="I307" s="1"/>
      <c r="J307" s="1"/>
    </row>
    <row r="308" spans="9:10" x14ac:dyDescent="0.25">
      <c r="I308" s="1"/>
      <c r="J308" s="1"/>
    </row>
    <row r="309" spans="9:10" x14ac:dyDescent="0.25">
      <c r="I309" s="1"/>
      <c r="J309" s="1"/>
    </row>
    <row r="310" spans="9:10" x14ac:dyDescent="0.25">
      <c r="I310" s="1"/>
      <c r="J310" s="1"/>
    </row>
    <row r="311" spans="9:10" x14ac:dyDescent="0.25">
      <c r="I311" s="1"/>
      <c r="J311" s="1"/>
    </row>
    <row r="312" spans="9:10" x14ac:dyDescent="0.25">
      <c r="I312" s="1"/>
      <c r="J312" s="1"/>
    </row>
    <row r="313" spans="9:10" x14ac:dyDescent="0.25">
      <c r="I313" s="1"/>
      <c r="J313" s="1"/>
    </row>
    <row r="314" spans="9:10" x14ac:dyDescent="0.25">
      <c r="I314" s="1"/>
      <c r="J314" s="1"/>
    </row>
    <row r="315" spans="9:10" x14ac:dyDescent="0.25">
      <c r="I315" s="1"/>
      <c r="J315" s="1"/>
    </row>
    <row r="316" spans="9:10" x14ac:dyDescent="0.25">
      <c r="I316" s="1"/>
      <c r="J316" s="1"/>
    </row>
    <row r="317" spans="9:10" x14ac:dyDescent="0.25">
      <c r="I317" s="1"/>
      <c r="J317" s="1"/>
    </row>
    <row r="318" spans="9:10" x14ac:dyDescent="0.25">
      <c r="I318" s="1"/>
      <c r="J318" s="1"/>
    </row>
    <row r="319" spans="9:10" x14ac:dyDescent="0.25">
      <c r="I319" s="1"/>
      <c r="J319" s="1"/>
    </row>
    <row r="320" spans="9:10" x14ac:dyDescent="0.25">
      <c r="I320" s="1"/>
      <c r="J320" s="1"/>
    </row>
    <row r="321" spans="9:10" x14ac:dyDescent="0.25">
      <c r="I321" s="1"/>
      <c r="J321" s="1"/>
    </row>
    <row r="322" spans="9:10" x14ac:dyDescent="0.25">
      <c r="I322" s="1"/>
      <c r="J322" s="1"/>
    </row>
    <row r="323" spans="9:10" x14ac:dyDescent="0.25">
      <c r="I323" s="1"/>
      <c r="J323" s="1"/>
    </row>
    <row r="324" spans="9:10" x14ac:dyDescent="0.25">
      <c r="I324" s="1"/>
      <c r="J324" s="1"/>
    </row>
    <row r="325" spans="9:10" x14ac:dyDescent="0.25">
      <c r="I325" s="1"/>
      <c r="J325" s="1"/>
    </row>
    <row r="326" spans="9:10" x14ac:dyDescent="0.25">
      <c r="I326" s="1"/>
      <c r="J326" s="1"/>
    </row>
    <row r="327" spans="9:10" x14ac:dyDescent="0.25">
      <c r="I327" s="1"/>
      <c r="J327" s="1"/>
    </row>
    <row r="328" spans="9:10" x14ac:dyDescent="0.25">
      <c r="I328" s="1"/>
      <c r="J328" s="1"/>
    </row>
    <row r="329" spans="9:10" x14ac:dyDescent="0.25">
      <c r="I329" s="1"/>
      <c r="J329" s="1"/>
    </row>
    <row r="330" spans="9:10" x14ac:dyDescent="0.25">
      <c r="I330" s="1"/>
      <c r="J330" s="1"/>
    </row>
    <row r="331" spans="9:10" x14ac:dyDescent="0.25">
      <c r="I331" s="1"/>
      <c r="J331" s="1"/>
    </row>
    <row r="332" spans="9:10" x14ac:dyDescent="0.25">
      <c r="I332" s="1"/>
      <c r="J332" s="1"/>
    </row>
    <row r="333" spans="9:10" x14ac:dyDescent="0.25">
      <c r="I333" s="1"/>
      <c r="J333" s="1"/>
    </row>
    <row r="334" spans="9:10" x14ac:dyDescent="0.25">
      <c r="I334" s="1"/>
      <c r="J334" s="1"/>
    </row>
    <row r="335" spans="9:10" x14ac:dyDescent="0.25">
      <c r="I335" s="1"/>
      <c r="J335" s="1"/>
    </row>
    <row r="336" spans="9:10" x14ac:dyDescent="0.25">
      <c r="I336" s="1"/>
      <c r="J336" s="1"/>
    </row>
    <row r="337" spans="9:10" x14ac:dyDescent="0.25">
      <c r="I337" s="1"/>
      <c r="J337" s="1"/>
    </row>
    <row r="338" spans="9:10" x14ac:dyDescent="0.25">
      <c r="I338" s="1"/>
      <c r="J338" s="1"/>
    </row>
    <row r="339" spans="9:10" x14ac:dyDescent="0.25">
      <c r="I339" s="1"/>
      <c r="J339" s="1"/>
    </row>
    <row r="340" spans="9:10" x14ac:dyDescent="0.25">
      <c r="I340" s="1"/>
      <c r="J340" s="1"/>
    </row>
    <row r="341" spans="9:10" x14ac:dyDescent="0.25">
      <c r="I341" s="1"/>
      <c r="J341" s="1"/>
    </row>
    <row r="342" spans="9:10" x14ac:dyDescent="0.25">
      <c r="I342" s="1"/>
      <c r="J342" s="1"/>
    </row>
    <row r="343" spans="9:10" x14ac:dyDescent="0.25">
      <c r="I343" s="1"/>
      <c r="J343" s="1"/>
    </row>
    <row r="344" spans="9:10" x14ac:dyDescent="0.25">
      <c r="I344" s="1"/>
      <c r="J344" s="1"/>
    </row>
    <row r="345" spans="9:10" x14ac:dyDescent="0.25">
      <c r="I345" s="1"/>
      <c r="J345" s="1"/>
    </row>
    <row r="346" spans="9:10" x14ac:dyDescent="0.25">
      <c r="I346" s="1"/>
      <c r="J346" s="1"/>
    </row>
    <row r="347" spans="9:10" x14ac:dyDescent="0.25">
      <c r="I347" s="1"/>
      <c r="J347" s="1"/>
    </row>
    <row r="348" spans="9:10" x14ac:dyDescent="0.25">
      <c r="I348" s="1"/>
      <c r="J348" s="1"/>
    </row>
    <row r="349" spans="9:10" x14ac:dyDescent="0.25">
      <c r="I349" s="1"/>
      <c r="J349" s="1"/>
    </row>
    <row r="350" spans="9:10" x14ac:dyDescent="0.25">
      <c r="I350" s="1"/>
      <c r="J350" s="1"/>
    </row>
    <row r="351" spans="9:10" x14ac:dyDescent="0.25">
      <c r="I351" s="1"/>
      <c r="J351" s="1"/>
    </row>
    <row r="352" spans="9:10" x14ac:dyDescent="0.25">
      <c r="I352" s="1"/>
      <c r="J352" s="1"/>
    </row>
    <row r="353" spans="9:10" x14ac:dyDescent="0.25">
      <c r="I353" s="1"/>
      <c r="J353" s="1"/>
    </row>
    <row r="354" spans="9:10" x14ac:dyDescent="0.25">
      <c r="I354" s="1"/>
      <c r="J354" s="1"/>
    </row>
    <row r="355" spans="9:10" x14ac:dyDescent="0.25">
      <c r="I355" s="1"/>
      <c r="J355" s="1"/>
    </row>
    <row r="356" spans="9:10" x14ac:dyDescent="0.25">
      <c r="I356" s="1"/>
      <c r="J356" s="1"/>
    </row>
    <row r="357" spans="9:10" x14ac:dyDescent="0.25">
      <c r="I357" s="1"/>
      <c r="J357" s="1"/>
    </row>
    <row r="358" spans="9:10" x14ac:dyDescent="0.25">
      <c r="I358" s="1"/>
      <c r="J358" s="1"/>
    </row>
    <row r="359" spans="9:10" x14ac:dyDescent="0.25">
      <c r="I359" s="1"/>
      <c r="J359" s="1"/>
    </row>
    <row r="360" spans="9:10" x14ac:dyDescent="0.25">
      <c r="I360" s="1"/>
      <c r="J360" s="1"/>
    </row>
    <row r="361" spans="9:10" x14ac:dyDescent="0.25">
      <c r="I361" s="1"/>
      <c r="J361" s="1"/>
    </row>
    <row r="362" spans="9:10" x14ac:dyDescent="0.25">
      <c r="I362" s="1"/>
      <c r="J362" s="1"/>
    </row>
    <row r="363" spans="9:10" x14ac:dyDescent="0.25">
      <c r="I363" s="1"/>
      <c r="J363" s="1"/>
    </row>
    <row r="364" spans="9:10" x14ac:dyDescent="0.25">
      <c r="I364" s="1"/>
      <c r="J364" s="1"/>
    </row>
    <row r="365" spans="9:10" x14ac:dyDescent="0.25">
      <c r="I365" s="1"/>
      <c r="J365" s="1"/>
    </row>
    <row r="366" spans="9:10" x14ac:dyDescent="0.25">
      <c r="I366" s="1"/>
      <c r="J366" s="1"/>
    </row>
    <row r="367" spans="9:10" x14ac:dyDescent="0.25">
      <c r="I367" s="1"/>
      <c r="J367" s="1"/>
    </row>
    <row r="368" spans="9:10" x14ac:dyDescent="0.25">
      <c r="I368" s="1"/>
      <c r="J368" s="1"/>
    </row>
    <row r="369" spans="9:10" x14ac:dyDescent="0.25">
      <c r="I369" s="1"/>
      <c r="J369" s="1"/>
    </row>
    <row r="370" spans="9:10" x14ac:dyDescent="0.25">
      <c r="I370" s="1"/>
      <c r="J370" s="1"/>
    </row>
    <row r="371" spans="9:10" x14ac:dyDescent="0.25">
      <c r="I371" s="1"/>
      <c r="J371" s="1"/>
    </row>
    <row r="372" spans="9:10" x14ac:dyDescent="0.25">
      <c r="I372" s="1"/>
      <c r="J372" s="1"/>
    </row>
    <row r="373" spans="9:10" x14ac:dyDescent="0.25">
      <c r="I373" s="1"/>
      <c r="J373" s="1"/>
    </row>
    <row r="374" spans="9:10" x14ac:dyDescent="0.25">
      <c r="I374" s="1"/>
      <c r="J374" s="1"/>
    </row>
    <row r="375" spans="9:10" x14ac:dyDescent="0.25">
      <c r="I375" s="1"/>
      <c r="J375" s="1"/>
    </row>
    <row r="376" spans="9:10" x14ac:dyDescent="0.25">
      <c r="I376" s="1"/>
      <c r="J376" s="1"/>
    </row>
    <row r="377" spans="9:10" x14ac:dyDescent="0.25">
      <c r="I377" s="1"/>
      <c r="J377" s="1"/>
    </row>
    <row r="378" spans="9:10" x14ac:dyDescent="0.25">
      <c r="I378" s="1"/>
      <c r="J378" s="1"/>
    </row>
    <row r="379" spans="9:10" x14ac:dyDescent="0.25">
      <c r="I379" s="1"/>
      <c r="J379" s="1"/>
    </row>
    <row r="380" spans="9:10" x14ac:dyDescent="0.25">
      <c r="I380" s="1"/>
      <c r="J380" s="1"/>
    </row>
    <row r="381" spans="9:10" x14ac:dyDescent="0.25">
      <c r="I381" s="1"/>
      <c r="J381" s="1"/>
    </row>
    <row r="382" spans="9:10" x14ac:dyDescent="0.25">
      <c r="I382" s="1"/>
      <c r="J382" s="1"/>
    </row>
    <row r="383" spans="9:10" x14ac:dyDescent="0.25">
      <c r="I383" s="1"/>
      <c r="J383" s="1"/>
    </row>
    <row r="384" spans="9:10" x14ac:dyDescent="0.25">
      <c r="I384" s="1"/>
      <c r="J384" s="1"/>
    </row>
    <row r="385" spans="9:10" x14ac:dyDescent="0.25">
      <c r="I385" s="1"/>
      <c r="J385" s="1"/>
    </row>
    <row r="386" spans="9:10" x14ac:dyDescent="0.25">
      <c r="I386" s="1"/>
      <c r="J386" s="1"/>
    </row>
    <row r="387" spans="9:10" x14ac:dyDescent="0.25">
      <c r="I387" s="1"/>
      <c r="J387" s="1"/>
    </row>
    <row r="388" spans="9:10" x14ac:dyDescent="0.25">
      <c r="I388" s="1"/>
      <c r="J388" s="1"/>
    </row>
    <row r="389" spans="9:10" x14ac:dyDescent="0.25">
      <c r="I389" s="1"/>
      <c r="J389" s="1"/>
    </row>
    <row r="390" spans="9:10" x14ac:dyDescent="0.25">
      <c r="I390" s="1"/>
      <c r="J390" s="1"/>
    </row>
    <row r="391" spans="9:10" x14ac:dyDescent="0.25">
      <c r="I391" s="1"/>
      <c r="J391" s="1"/>
    </row>
    <row r="392" spans="9:10" x14ac:dyDescent="0.25">
      <c r="I392" s="1"/>
      <c r="J392" s="1"/>
    </row>
    <row r="393" spans="9:10" x14ac:dyDescent="0.25">
      <c r="I393" s="1"/>
      <c r="J393" s="1"/>
    </row>
    <row r="394" spans="9:10" x14ac:dyDescent="0.25">
      <c r="I394" s="1"/>
      <c r="J394" s="1"/>
    </row>
    <row r="395" spans="9:10" x14ac:dyDescent="0.25">
      <c r="I395" s="1"/>
      <c r="J395" s="1"/>
    </row>
    <row r="396" spans="9:10" x14ac:dyDescent="0.25">
      <c r="I396" s="1"/>
      <c r="J396" s="1"/>
    </row>
    <row r="397" spans="9:10" x14ac:dyDescent="0.25">
      <c r="I397" s="1"/>
      <c r="J397" s="1"/>
    </row>
    <row r="398" spans="9:10" x14ac:dyDescent="0.25">
      <c r="I398" s="1"/>
      <c r="J398" s="1"/>
    </row>
    <row r="399" spans="9:10" x14ac:dyDescent="0.25">
      <c r="I399" s="1"/>
      <c r="J399" s="1"/>
    </row>
    <row r="400" spans="9:10" x14ac:dyDescent="0.25">
      <c r="I400" s="1"/>
      <c r="J400" s="1"/>
    </row>
    <row r="401" spans="9:10" x14ac:dyDescent="0.25">
      <c r="I401" s="1"/>
      <c r="J401" s="1"/>
    </row>
    <row r="402" spans="9:10" x14ac:dyDescent="0.25">
      <c r="I402" s="1"/>
      <c r="J402" s="1"/>
    </row>
    <row r="403" spans="9:10" x14ac:dyDescent="0.25">
      <c r="I403" s="1"/>
      <c r="J403" s="1"/>
    </row>
    <row r="404" spans="9:10" x14ac:dyDescent="0.25">
      <c r="I404" s="1"/>
      <c r="J404" s="1"/>
    </row>
    <row r="405" spans="9:10" x14ac:dyDescent="0.25">
      <c r="I405" s="1"/>
      <c r="J405" s="1"/>
    </row>
    <row r="406" spans="9:10" x14ac:dyDescent="0.25">
      <c r="I406" s="1"/>
      <c r="J406" s="1"/>
    </row>
    <row r="407" spans="9:10" x14ac:dyDescent="0.25">
      <c r="I407" s="1"/>
      <c r="J407" s="1"/>
    </row>
    <row r="408" spans="9:10" x14ac:dyDescent="0.25">
      <c r="I408" s="1"/>
      <c r="J408" s="1"/>
    </row>
    <row r="409" spans="9:10" x14ac:dyDescent="0.25">
      <c r="I409" s="1"/>
      <c r="J409" s="1"/>
    </row>
    <row r="410" spans="9:10" x14ac:dyDescent="0.25">
      <c r="I410" s="1"/>
      <c r="J410" s="1"/>
    </row>
    <row r="411" spans="9:10" x14ac:dyDescent="0.25">
      <c r="I411" s="1"/>
      <c r="J411" s="1"/>
    </row>
    <row r="412" spans="9:10" x14ac:dyDescent="0.25">
      <c r="I412" s="1"/>
      <c r="J412" s="1"/>
    </row>
    <row r="413" spans="9:10" x14ac:dyDescent="0.25">
      <c r="I413" s="1"/>
      <c r="J413" s="1"/>
    </row>
    <row r="414" spans="9:10" x14ac:dyDescent="0.25">
      <c r="I414" s="1"/>
      <c r="J414" s="1"/>
    </row>
    <row r="415" spans="9:10" x14ac:dyDescent="0.25">
      <c r="I415" s="1"/>
      <c r="J415" s="1"/>
    </row>
    <row r="416" spans="9:10" x14ac:dyDescent="0.25">
      <c r="I416" s="1"/>
      <c r="J416" s="1"/>
    </row>
    <row r="417" spans="9:10" x14ac:dyDescent="0.25">
      <c r="I417" s="1"/>
      <c r="J417" s="1"/>
    </row>
    <row r="418" spans="9:10" x14ac:dyDescent="0.25">
      <c r="I418" s="1"/>
      <c r="J418" s="1"/>
    </row>
    <row r="419" spans="9:10" x14ac:dyDescent="0.25">
      <c r="I419" s="1"/>
      <c r="J419" s="1"/>
    </row>
    <row r="420" spans="9:10" x14ac:dyDescent="0.25">
      <c r="I420" s="1"/>
      <c r="J420" s="1"/>
    </row>
    <row r="421" spans="9:10" x14ac:dyDescent="0.25">
      <c r="I421" s="1"/>
      <c r="J421" s="1"/>
    </row>
    <row r="422" spans="9:10" x14ac:dyDescent="0.25">
      <c r="I422" s="1"/>
      <c r="J422" s="1"/>
    </row>
    <row r="423" spans="9:10" x14ac:dyDescent="0.25">
      <c r="I423" s="1"/>
      <c r="J423" s="1"/>
    </row>
    <row r="424" spans="9:10" x14ac:dyDescent="0.25">
      <c r="I424" s="1"/>
      <c r="J424" s="1"/>
    </row>
    <row r="425" spans="9:10" x14ac:dyDescent="0.25">
      <c r="I425" s="1"/>
      <c r="J425" s="1"/>
    </row>
    <row r="426" spans="9:10" x14ac:dyDescent="0.25">
      <c r="I426" s="1"/>
      <c r="J426" s="1"/>
    </row>
    <row r="427" spans="9:10" x14ac:dyDescent="0.25">
      <c r="I427" s="1"/>
      <c r="J427" s="1"/>
    </row>
    <row r="428" spans="9:10" x14ac:dyDescent="0.25">
      <c r="I428" s="1"/>
      <c r="J428" s="1"/>
    </row>
    <row r="429" spans="9:10" x14ac:dyDescent="0.25">
      <c r="I429" s="1"/>
      <c r="J429" s="1"/>
    </row>
    <row r="430" spans="9:10" x14ac:dyDescent="0.25">
      <c r="I430" s="1"/>
      <c r="J430" s="1"/>
    </row>
    <row r="431" spans="9:10" x14ac:dyDescent="0.25">
      <c r="I431" s="1"/>
      <c r="J431" s="1"/>
    </row>
    <row r="432" spans="9:10" x14ac:dyDescent="0.25">
      <c r="I432" s="1"/>
      <c r="J432" s="1"/>
    </row>
    <row r="433" spans="9:10" x14ac:dyDescent="0.25">
      <c r="I433" s="1"/>
      <c r="J433" s="1"/>
    </row>
    <row r="434" spans="9:10" x14ac:dyDescent="0.25">
      <c r="I434" s="1"/>
      <c r="J434" s="1"/>
    </row>
    <row r="435" spans="9:10" x14ac:dyDescent="0.25">
      <c r="I435" s="1"/>
      <c r="J435" s="1"/>
    </row>
    <row r="436" spans="9:10" x14ac:dyDescent="0.25">
      <c r="I436" s="1"/>
      <c r="J436" s="1"/>
    </row>
    <row r="437" spans="9:10" x14ac:dyDescent="0.25">
      <c r="I437" s="1"/>
      <c r="J437" s="1"/>
    </row>
    <row r="438" spans="9:10" x14ac:dyDescent="0.25">
      <c r="I438" s="1"/>
      <c r="J438" s="1"/>
    </row>
    <row r="439" spans="9:10" x14ac:dyDescent="0.25">
      <c r="I439" s="1"/>
      <c r="J439" s="1"/>
    </row>
    <row r="440" spans="9:10" x14ac:dyDescent="0.25">
      <c r="I440" s="1"/>
      <c r="J440" s="1"/>
    </row>
    <row r="441" spans="9:10" x14ac:dyDescent="0.25">
      <c r="I441" s="1"/>
      <c r="J441" s="1"/>
    </row>
    <row r="442" spans="9:10" x14ac:dyDescent="0.25">
      <c r="I442" s="1"/>
      <c r="J442" s="1"/>
    </row>
    <row r="443" spans="9:10" x14ac:dyDescent="0.25">
      <c r="I443" s="1"/>
      <c r="J443" s="1"/>
    </row>
    <row r="444" spans="9:10" x14ac:dyDescent="0.25">
      <c r="I444" s="1"/>
      <c r="J444" s="1"/>
    </row>
    <row r="445" spans="9:10" x14ac:dyDescent="0.25">
      <c r="I445" s="1"/>
      <c r="J445" s="1"/>
    </row>
    <row r="446" spans="9:10" x14ac:dyDescent="0.25">
      <c r="I446" s="1"/>
      <c r="J446" s="1"/>
    </row>
    <row r="447" spans="9:10" x14ac:dyDescent="0.25">
      <c r="I447" s="1"/>
      <c r="J447" s="1"/>
    </row>
    <row r="448" spans="9:10" x14ac:dyDescent="0.25">
      <c r="I448" s="1"/>
      <c r="J448" s="1"/>
    </row>
    <row r="449" spans="9:10" x14ac:dyDescent="0.25">
      <c r="I449" s="1"/>
      <c r="J449" s="1"/>
    </row>
    <row r="450" spans="9:10" x14ac:dyDescent="0.25">
      <c r="I450" s="1"/>
      <c r="J450" s="1"/>
    </row>
    <row r="451" spans="9:10" x14ac:dyDescent="0.25">
      <c r="I451" s="1"/>
      <c r="J451" s="1"/>
    </row>
    <row r="452" spans="9:10" x14ac:dyDescent="0.25">
      <c r="I452" s="1"/>
      <c r="J452" s="1"/>
    </row>
    <row r="453" spans="9:10" x14ac:dyDescent="0.25">
      <c r="I453" s="1"/>
      <c r="J453" s="1"/>
    </row>
    <row r="454" spans="9:10" x14ac:dyDescent="0.25">
      <c r="I454" s="1"/>
      <c r="J454" s="1"/>
    </row>
    <row r="455" spans="9:10" x14ac:dyDescent="0.25">
      <c r="I455" s="1"/>
      <c r="J455" s="1"/>
    </row>
    <row r="456" spans="9:10" x14ac:dyDescent="0.25">
      <c r="I456" s="1"/>
      <c r="J456" s="1"/>
    </row>
    <row r="457" spans="9:10" x14ac:dyDescent="0.25">
      <c r="I457" s="1"/>
      <c r="J457" s="1"/>
    </row>
    <row r="458" spans="9:10" x14ac:dyDescent="0.25">
      <c r="I458" s="1"/>
      <c r="J458" s="1"/>
    </row>
    <row r="459" spans="9:10" x14ac:dyDescent="0.25">
      <c r="I459" s="1"/>
      <c r="J459" s="1"/>
    </row>
    <row r="460" spans="9:10" x14ac:dyDescent="0.25">
      <c r="I460" s="1"/>
      <c r="J460" s="1"/>
    </row>
    <row r="461" spans="9:10" x14ac:dyDescent="0.25">
      <c r="I461" s="1"/>
      <c r="J461" s="1"/>
    </row>
    <row r="462" spans="9:10" x14ac:dyDescent="0.25">
      <c r="I462" s="1"/>
      <c r="J462" s="1"/>
    </row>
    <row r="463" spans="9:10" x14ac:dyDescent="0.25">
      <c r="I463" s="1"/>
      <c r="J463" s="1"/>
    </row>
    <row r="464" spans="9:10" x14ac:dyDescent="0.25">
      <c r="I464" s="1"/>
      <c r="J464" s="1"/>
    </row>
    <row r="465" spans="9:10" x14ac:dyDescent="0.25">
      <c r="I465" s="1"/>
      <c r="J465" s="1"/>
    </row>
    <row r="466" spans="9:10" x14ac:dyDescent="0.25">
      <c r="I466" s="1"/>
      <c r="J466" s="1"/>
    </row>
    <row r="467" spans="9:10" x14ac:dyDescent="0.25">
      <c r="I467" s="1"/>
      <c r="J467" s="1"/>
    </row>
    <row r="468" spans="9:10" x14ac:dyDescent="0.25">
      <c r="I468" s="1"/>
      <c r="J468" s="1"/>
    </row>
    <row r="469" spans="9:10" x14ac:dyDescent="0.25">
      <c r="I469" s="1"/>
      <c r="J469" s="1"/>
    </row>
    <row r="470" spans="9:10" x14ac:dyDescent="0.25">
      <c r="I470" s="1"/>
      <c r="J470" s="1"/>
    </row>
    <row r="471" spans="9:10" x14ac:dyDescent="0.25">
      <c r="I471" s="1"/>
      <c r="J471" s="1"/>
    </row>
    <row r="472" spans="9:10" x14ac:dyDescent="0.25">
      <c r="I472" s="1"/>
      <c r="J472" s="1"/>
    </row>
    <row r="473" spans="9:10" x14ac:dyDescent="0.25">
      <c r="I473" s="1"/>
      <c r="J473" s="1"/>
    </row>
    <row r="474" spans="9:10" x14ac:dyDescent="0.25">
      <c r="I474" s="1"/>
      <c r="J474" s="1"/>
    </row>
    <row r="475" spans="9:10" x14ac:dyDescent="0.25">
      <c r="I475" s="1"/>
      <c r="J475" s="1"/>
    </row>
    <row r="476" spans="9:10" x14ac:dyDescent="0.25">
      <c r="I476" s="1"/>
      <c r="J476" s="1"/>
    </row>
    <row r="477" spans="9:10" x14ac:dyDescent="0.25">
      <c r="I477" s="1"/>
      <c r="J477" s="1"/>
    </row>
    <row r="478" spans="9:10" x14ac:dyDescent="0.25">
      <c r="I478" s="1"/>
      <c r="J478" s="1"/>
    </row>
    <row r="479" spans="9:10" x14ac:dyDescent="0.25">
      <c r="I479" s="1"/>
      <c r="J479" s="1"/>
    </row>
    <row r="480" spans="9:10" x14ac:dyDescent="0.25">
      <c r="I480" s="1"/>
      <c r="J480" s="1"/>
    </row>
    <row r="481" spans="9:11" x14ac:dyDescent="0.25">
      <c r="I481" s="1"/>
      <c r="J481" s="1"/>
      <c r="K481" s="1"/>
    </row>
    <row r="482" spans="9:11" x14ac:dyDescent="0.25">
      <c r="I482" s="1"/>
      <c r="J482" s="1"/>
      <c r="K482" s="1"/>
    </row>
    <row r="483" spans="9:11" x14ac:dyDescent="0.25">
      <c r="I483" s="1"/>
      <c r="J483" s="1"/>
    </row>
    <row r="484" spans="9:11" x14ac:dyDescent="0.25">
      <c r="I484" s="1"/>
      <c r="J484" s="1"/>
    </row>
    <row r="485" spans="9:11" x14ac:dyDescent="0.25">
      <c r="I485" s="1"/>
      <c r="J485" s="1"/>
    </row>
    <row r="486" spans="9:11" x14ac:dyDescent="0.25">
      <c r="I486" s="1"/>
      <c r="J486" s="1"/>
    </row>
    <row r="487" spans="9:11" x14ac:dyDescent="0.25">
      <c r="I487" s="1"/>
      <c r="J487" s="1"/>
    </row>
    <row r="488" spans="9:11" x14ac:dyDescent="0.25">
      <c r="I488" s="1"/>
      <c r="J488" s="1"/>
    </row>
    <row r="489" spans="9:11" x14ac:dyDescent="0.25">
      <c r="I489" s="1"/>
      <c r="J489" s="1"/>
    </row>
    <row r="490" spans="9:11" x14ac:dyDescent="0.25">
      <c r="I490" s="1"/>
      <c r="J490" s="1"/>
    </row>
    <row r="491" spans="9:11" x14ac:dyDescent="0.25">
      <c r="I491" s="1"/>
      <c r="J491" s="1"/>
    </row>
    <row r="492" spans="9:11" x14ac:dyDescent="0.25">
      <c r="I492" s="1"/>
      <c r="J492" s="1"/>
    </row>
    <row r="493" spans="9:11" x14ac:dyDescent="0.25">
      <c r="I493" s="1"/>
      <c r="J493" s="1"/>
    </row>
    <row r="494" spans="9:11" x14ac:dyDescent="0.25">
      <c r="I494" s="1"/>
      <c r="J494" s="1"/>
    </row>
    <row r="495" spans="9:11" x14ac:dyDescent="0.25">
      <c r="I495" s="1"/>
      <c r="J495" s="1"/>
    </row>
    <row r="496" spans="9:11" x14ac:dyDescent="0.25">
      <c r="I496" s="1"/>
      <c r="J496" s="1"/>
    </row>
    <row r="497" spans="9:10" x14ac:dyDescent="0.25">
      <c r="I497" s="1"/>
      <c r="J497" s="1"/>
    </row>
    <row r="498" spans="9:10" x14ac:dyDescent="0.25">
      <c r="I498" s="1"/>
      <c r="J498" s="1"/>
    </row>
    <row r="499" spans="9:10" x14ac:dyDescent="0.25">
      <c r="I499" s="1"/>
      <c r="J499" s="1"/>
    </row>
    <row r="500" spans="9:10" x14ac:dyDescent="0.25">
      <c r="I500" s="1"/>
      <c r="J500" s="1"/>
    </row>
    <row r="501" spans="9:10" x14ac:dyDescent="0.25">
      <c r="I501" s="1"/>
      <c r="J501" s="1"/>
    </row>
    <row r="502" spans="9:10" x14ac:dyDescent="0.25">
      <c r="I502" s="1"/>
      <c r="J502" s="1"/>
    </row>
    <row r="503" spans="9:10" x14ac:dyDescent="0.25">
      <c r="I503" s="1"/>
      <c r="J503" s="1"/>
    </row>
    <row r="504" spans="9:10" x14ac:dyDescent="0.25">
      <c r="I504" s="1"/>
      <c r="J504" s="1"/>
    </row>
    <row r="505" spans="9:10" x14ac:dyDescent="0.25">
      <c r="I505" s="1"/>
      <c r="J505" s="1"/>
    </row>
    <row r="506" spans="9:10" x14ac:dyDescent="0.25">
      <c r="I506" s="1"/>
      <c r="J506" s="1"/>
    </row>
    <row r="507" spans="9:10" x14ac:dyDescent="0.25">
      <c r="I507" s="1"/>
      <c r="J507" s="1"/>
    </row>
    <row r="508" spans="9:10" x14ac:dyDescent="0.25">
      <c r="I508" s="1"/>
      <c r="J508" s="1"/>
    </row>
    <row r="509" spans="9:10" x14ac:dyDescent="0.25">
      <c r="I509" s="1"/>
      <c r="J509" s="1"/>
    </row>
    <row r="510" spans="9:10" x14ac:dyDescent="0.25">
      <c r="I510" s="1"/>
      <c r="J510" s="1"/>
    </row>
    <row r="511" spans="9:10" x14ac:dyDescent="0.25">
      <c r="I511" s="1"/>
      <c r="J511" s="1"/>
    </row>
    <row r="512" spans="9:10" x14ac:dyDescent="0.25">
      <c r="I512" s="1"/>
      <c r="J512" s="1"/>
    </row>
    <row r="513" spans="9:10" x14ac:dyDescent="0.25">
      <c r="I513" s="1"/>
      <c r="J513" s="1"/>
    </row>
    <row r="514" spans="9:10" x14ac:dyDescent="0.25">
      <c r="I514" s="1"/>
      <c r="J514" s="1"/>
    </row>
    <row r="515" spans="9:10" x14ac:dyDescent="0.25">
      <c r="I515" s="1"/>
      <c r="J515" s="1"/>
    </row>
    <row r="516" spans="9:10" x14ac:dyDescent="0.25">
      <c r="I516" s="1"/>
      <c r="J516" s="1"/>
    </row>
    <row r="517" spans="9:10" x14ac:dyDescent="0.25">
      <c r="I517" s="1"/>
      <c r="J517" s="1"/>
    </row>
    <row r="518" spans="9:10" x14ac:dyDescent="0.25">
      <c r="I518" s="1"/>
      <c r="J518" s="1"/>
    </row>
    <row r="519" spans="9:10" x14ac:dyDescent="0.25">
      <c r="I519" s="1"/>
      <c r="J519" s="1"/>
    </row>
    <row r="520" spans="9:10" x14ac:dyDescent="0.25">
      <c r="I520" s="1"/>
      <c r="J520" s="1"/>
    </row>
    <row r="521" spans="9:10" x14ac:dyDescent="0.25">
      <c r="I521" s="1"/>
      <c r="J521" s="1"/>
    </row>
    <row r="522" spans="9:10" x14ac:dyDescent="0.25">
      <c r="I522" s="1"/>
      <c r="J522" s="1"/>
    </row>
    <row r="523" spans="9:10" x14ac:dyDescent="0.25">
      <c r="I523" s="1"/>
      <c r="J523" s="1"/>
    </row>
    <row r="524" spans="9:10" x14ac:dyDescent="0.25">
      <c r="I524" s="1"/>
      <c r="J524" s="1"/>
    </row>
    <row r="525" spans="9:10" x14ac:dyDescent="0.25">
      <c r="I525" s="1"/>
      <c r="J525" s="1"/>
    </row>
    <row r="526" spans="9:10" x14ac:dyDescent="0.25">
      <c r="I526" s="1"/>
      <c r="J526" s="1"/>
    </row>
    <row r="527" spans="9:10" x14ac:dyDescent="0.25">
      <c r="I527" s="1"/>
      <c r="J527" s="1"/>
    </row>
    <row r="528" spans="9:10" x14ac:dyDescent="0.25">
      <c r="I528" s="1"/>
      <c r="J528" s="1"/>
    </row>
    <row r="529" spans="9:10" x14ac:dyDescent="0.25">
      <c r="I529" s="1"/>
      <c r="J529" s="1"/>
    </row>
    <row r="530" spans="9:10" x14ac:dyDescent="0.25">
      <c r="I530" s="1"/>
      <c r="J530" s="1"/>
    </row>
    <row r="531" spans="9:10" x14ac:dyDescent="0.25">
      <c r="I531" s="1"/>
      <c r="J531" s="1"/>
    </row>
    <row r="532" spans="9:10" x14ac:dyDescent="0.25">
      <c r="I532" s="1"/>
      <c r="J532" s="1"/>
    </row>
    <row r="533" spans="9:10" x14ac:dyDescent="0.25">
      <c r="I533" s="1"/>
      <c r="J533" s="1"/>
    </row>
    <row r="534" spans="9:10" x14ac:dyDescent="0.25">
      <c r="I534" s="1"/>
      <c r="J534" s="1"/>
    </row>
    <row r="535" spans="9:10" x14ac:dyDescent="0.25">
      <c r="I535" s="1"/>
      <c r="J535" s="1"/>
    </row>
    <row r="536" spans="9:10" x14ac:dyDescent="0.25">
      <c r="I536" s="1"/>
      <c r="J536" s="1"/>
    </row>
    <row r="537" spans="9:10" x14ac:dyDescent="0.25">
      <c r="I537" s="1"/>
      <c r="J537" s="1"/>
    </row>
    <row r="538" spans="9:10" x14ac:dyDescent="0.25">
      <c r="I538" s="1"/>
      <c r="J538" s="1"/>
    </row>
    <row r="539" spans="9:10" x14ac:dyDescent="0.25">
      <c r="I539" s="1"/>
      <c r="J539" s="1"/>
    </row>
    <row r="540" spans="9:10" x14ac:dyDescent="0.25">
      <c r="I540" s="1"/>
      <c r="J540" s="1"/>
    </row>
    <row r="541" spans="9:10" x14ac:dyDescent="0.25">
      <c r="I541" s="1"/>
      <c r="J541" s="1"/>
    </row>
    <row r="542" spans="9:10" x14ac:dyDescent="0.25">
      <c r="I542" s="1"/>
      <c r="J542" s="1"/>
    </row>
    <row r="543" spans="9:10" x14ac:dyDescent="0.25">
      <c r="I543" s="1"/>
      <c r="J543" s="1"/>
    </row>
    <row r="544" spans="9:10" x14ac:dyDescent="0.25">
      <c r="I544" s="1"/>
      <c r="J544" s="1"/>
    </row>
    <row r="545" spans="9:10" x14ac:dyDescent="0.25">
      <c r="I545" s="1"/>
      <c r="J545" s="1"/>
    </row>
    <row r="546" spans="9:10" x14ac:dyDescent="0.25">
      <c r="I546" s="1"/>
      <c r="J546" s="1"/>
    </row>
    <row r="547" spans="9:10" x14ac:dyDescent="0.25">
      <c r="I547" s="1"/>
      <c r="J547" s="1"/>
    </row>
    <row r="548" spans="9:10" x14ac:dyDescent="0.25">
      <c r="I548" s="1"/>
      <c r="J548" s="1"/>
    </row>
    <row r="549" spans="9:10" x14ac:dyDescent="0.25">
      <c r="I549" s="1"/>
      <c r="J549" s="1"/>
    </row>
    <row r="550" spans="9:10" x14ac:dyDescent="0.25">
      <c r="I550" s="1"/>
      <c r="J550" s="1"/>
    </row>
    <row r="551" spans="9:10" x14ac:dyDescent="0.25">
      <c r="I551" s="1"/>
      <c r="J551" s="1"/>
    </row>
    <row r="552" spans="9:10" x14ac:dyDescent="0.25">
      <c r="I552" s="1"/>
      <c r="J552" s="1"/>
    </row>
    <row r="553" spans="9:10" x14ac:dyDescent="0.25">
      <c r="I553" s="1"/>
      <c r="J553" s="1"/>
    </row>
    <row r="554" spans="9:10" x14ac:dyDescent="0.25">
      <c r="I554" s="1"/>
      <c r="J554" s="1"/>
    </row>
    <row r="555" spans="9:10" x14ac:dyDescent="0.25">
      <c r="I555" s="1"/>
      <c r="J555" s="1"/>
    </row>
    <row r="556" spans="9:10" x14ac:dyDescent="0.25">
      <c r="I556" s="1"/>
      <c r="J556" s="1"/>
    </row>
    <row r="557" spans="9:10" x14ac:dyDescent="0.25">
      <c r="I557" s="1"/>
      <c r="J557" s="1"/>
    </row>
    <row r="558" spans="9:10" x14ac:dyDescent="0.25">
      <c r="I558" s="1"/>
      <c r="J558" s="1"/>
    </row>
    <row r="559" spans="9:10" x14ac:dyDescent="0.25">
      <c r="I559" s="1"/>
      <c r="J559" s="1"/>
    </row>
    <row r="560" spans="9:10" x14ac:dyDescent="0.25">
      <c r="I560" s="1"/>
      <c r="J560" s="1"/>
    </row>
    <row r="561" spans="9:10" x14ac:dyDescent="0.25">
      <c r="I561" s="1"/>
      <c r="J561" s="1"/>
    </row>
    <row r="562" spans="9:10" x14ac:dyDescent="0.25">
      <c r="I562" s="1"/>
      <c r="J562" s="1"/>
    </row>
    <row r="563" spans="9:10" x14ac:dyDescent="0.25">
      <c r="I563" s="1"/>
      <c r="J563" s="1"/>
    </row>
    <row r="564" spans="9:10" x14ac:dyDescent="0.25">
      <c r="I564" s="1"/>
      <c r="J564" s="1"/>
    </row>
    <row r="565" spans="9:10" x14ac:dyDescent="0.25">
      <c r="I565" s="1"/>
      <c r="J565" s="1"/>
    </row>
    <row r="566" spans="9:10" x14ac:dyDescent="0.25">
      <c r="I566" s="1"/>
      <c r="J566" s="1"/>
    </row>
    <row r="567" spans="9:10" x14ac:dyDescent="0.25">
      <c r="I567" s="1"/>
      <c r="J567" s="1"/>
    </row>
    <row r="568" spans="9:10" x14ac:dyDescent="0.25">
      <c r="I568" s="1"/>
      <c r="J568" s="1"/>
    </row>
    <row r="569" spans="9:10" x14ac:dyDescent="0.25">
      <c r="I569" s="1"/>
      <c r="J569" s="1"/>
    </row>
    <row r="570" spans="9:10" x14ac:dyDescent="0.25">
      <c r="I570" s="1"/>
      <c r="J570" s="1"/>
    </row>
    <row r="571" spans="9:10" x14ac:dyDescent="0.25">
      <c r="I571" s="1"/>
      <c r="J571" s="1"/>
    </row>
    <row r="572" spans="9:10" x14ac:dyDescent="0.25">
      <c r="I572" s="1"/>
      <c r="J572" s="1"/>
    </row>
    <row r="573" spans="9:10" x14ac:dyDescent="0.25">
      <c r="I573" s="1"/>
      <c r="J573" s="1"/>
    </row>
    <row r="574" spans="9:10" x14ac:dyDescent="0.25">
      <c r="I574" s="1"/>
      <c r="J574" s="1"/>
    </row>
    <row r="575" spans="9:10" x14ac:dyDescent="0.25">
      <c r="I575" s="1"/>
      <c r="J575" s="1"/>
    </row>
    <row r="576" spans="9:10" x14ac:dyDescent="0.25">
      <c r="I576" s="1"/>
      <c r="J576" s="1"/>
    </row>
    <row r="577" spans="9:10" x14ac:dyDescent="0.25">
      <c r="I577" s="1"/>
      <c r="J577" s="1"/>
    </row>
    <row r="578" spans="9:10" x14ac:dyDescent="0.25">
      <c r="I578" s="1"/>
      <c r="J578" s="1"/>
    </row>
    <row r="579" spans="9:10" x14ac:dyDescent="0.25">
      <c r="I579" s="1"/>
      <c r="J579" s="1"/>
    </row>
    <row r="580" spans="9:10" x14ac:dyDescent="0.25">
      <c r="I580" s="1"/>
      <c r="J580" s="1"/>
    </row>
    <row r="581" spans="9:10" x14ac:dyDescent="0.25">
      <c r="I581" s="1"/>
      <c r="J581" s="1"/>
    </row>
    <row r="582" spans="9:10" x14ac:dyDescent="0.25">
      <c r="I582" s="1"/>
      <c r="J582" s="1"/>
    </row>
    <row r="583" spans="9:10" x14ac:dyDescent="0.25">
      <c r="I583" s="1"/>
      <c r="J583" s="1"/>
    </row>
    <row r="584" spans="9:10" x14ac:dyDescent="0.25">
      <c r="I584" s="1"/>
      <c r="J584" s="1"/>
    </row>
    <row r="585" spans="9:10" x14ac:dyDescent="0.25">
      <c r="I585" s="1"/>
      <c r="J585" s="1"/>
    </row>
    <row r="586" spans="9:10" x14ac:dyDescent="0.25">
      <c r="I586" s="1"/>
      <c r="J586" s="1"/>
    </row>
    <row r="587" spans="9:10" x14ac:dyDescent="0.25">
      <c r="I587" s="1"/>
      <c r="J587" s="1"/>
    </row>
    <row r="588" spans="9:10" x14ac:dyDescent="0.25">
      <c r="I588" s="1"/>
      <c r="J588" s="1"/>
    </row>
    <row r="589" spans="9:10" x14ac:dyDescent="0.25">
      <c r="I589" s="1"/>
      <c r="J589" s="1"/>
    </row>
    <row r="590" spans="9:10" x14ac:dyDescent="0.25">
      <c r="I590" s="1"/>
      <c r="J590" s="1"/>
    </row>
    <row r="591" spans="9:10" x14ac:dyDescent="0.25">
      <c r="I591" s="1"/>
      <c r="J591" s="1"/>
    </row>
    <row r="592" spans="9:10" x14ac:dyDescent="0.25">
      <c r="I592" s="1"/>
      <c r="J592" s="1"/>
    </row>
    <row r="593" spans="9:10" x14ac:dyDescent="0.25">
      <c r="I593" s="1"/>
      <c r="J593" s="1"/>
    </row>
    <row r="594" spans="9:10" x14ac:dyDescent="0.25">
      <c r="I594" s="1"/>
      <c r="J594" s="1"/>
    </row>
    <row r="595" spans="9:10" x14ac:dyDescent="0.25">
      <c r="I595" s="1"/>
      <c r="J595" s="1"/>
    </row>
    <row r="596" spans="9:10" x14ac:dyDescent="0.25">
      <c r="I596" s="1"/>
      <c r="J596" s="1"/>
    </row>
    <row r="597" spans="9:10" x14ac:dyDescent="0.25">
      <c r="I597" s="1"/>
      <c r="J597" s="1"/>
    </row>
    <row r="598" spans="9:10" x14ac:dyDescent="0.25">
      <c r="I598" s="1"/>
      <c r="J598" s="1"/>
    </row>
    <row r="599" spans="9:10" x14ac:dyDescent="0.25">
      <c r="I599" s="1"/>
      <c r="J599" s="1"/>
    </row>
    <row r="600" spans="9:10" x14ac:dyDescent="0.25">
      <c r="I600" s="1"/>
      <c r="J600" s="1"/>
    </row>
    <row r="601" spans="9:10" x14ac:dyDescent="0.25">
      <c r="I601" s="1"/>
      <c r="J601" s="1"/>
    </row>
    <row r="602" spans="9:10" x14ac:dyDescent="0.25">
      <c r="I602" s="1"/>
      <c r="J602" s="1"/>
    </row>
    <row r="603" spans="9:10" x14ac:dyDescent="0.25">
      <c r="I603" s="1"/>
      <c r="J603" s="1"/>
    </row>
    <row r="604" spans="9:10" x14ac:dyDescent="0.25">
      <c r="I604" s="1"/>
      <c r="J604" s="1"/>
    </row>
    <row r="605" spans="9:10" x14ac:dyDescent="0.25">
      <c r="I605" s="1"/>
      <c r="J605" s="1"/>
    </row>
    <row r="606" spans="9:10" x14ac:dyDescent="0.25">
      <c r="I606" s="1"/>
      <c r="J606" s="1"/>
    </row>
    <row r="607" spans="9:10" x14ac:dyDescent="0.25">
      <c r="I607" s="1"/>
      <c r="J607" s="1"/>
    </row>
    <row r="608" spans="9:10" x14ac:dyDescent="0.25">
      <c r="I608" s="1"/>
      <c r="J608" s="1"/>
    </row>
    <row r="609" spans="9:10" x14ac:dyDescent="0.25">
      <c r="I609" s="1"/>
      <c r="J609" s="1"/>
    </row>
    <row r="610" spans="9:10" x14ac:dyDescent="0.25">
      <c r="I610" s="1"/>
      <c r="J610" s="1"/>
    </row>
    <row r="611" spans="9:10" x14ac:dyDescent="0.25">
      <c r="I611" s="1"/>
      <c r="J611" s="1"/>
    </row>
    <row r="612" spans="9:10" x14ac:dyDescent="0.25">
      <c r="I612" s="1"/>
      <c r="J612" s="1"/>
    </row>
    <row r="613" spans="9:10" x14ac:dyDescent="0.25">
      <c r="I613" s="1"/>
      <c r="J613" s="1"/>
    </row>
    <row r="614" spans="9:10" x14ac:dyDescent="0.25">
      <c r="I614" s="1"/>
      <c r="J614" s="1"/>
    </row>
    <row r="615" spans="9:10" x14ac:dyDescent="0.25">
      <c r="I615" s="1"/>
      <c r="J615" s="1"/>
    </row>
    <row r="616" spans="9:10" x14ac:dyDescent="0.25">
      <c r="I616" s="1"/>
      <c r="J616" s="1"/>
    </row>
    <row r="617" spans="9:10" x14ac:dyDescent="0.25">
      <c r="I617" s="1"/>
      <c r="J617" s="1"/>
    </row>
    <row r="618" spans="9:10" x14ac:dyDescent="0.25">
      <c r="I618" s="1"/>
      <c r="J618" s="1"/>
    </row>
    <row r="619" spans="9:10" x14ac:dyDescent="0.25">
      <c r="I619" s="1"/>
      <c r="J619" s="1"/>
    </row>
    <row r="620" spans="9:10" x14ac:dyDescent="0.25">
      <c r="I620" s="1"/>
      <c r="J620" s="1"/>
    </row>
    <row r="621" spans="9:10" x14ac:dyDescent="0.25">
      <c r="I621" s="1"/>
      <c r="J621" s="1"/>
    </row>
    <row r="622" spans="9:10" x14ac:dyDescent="0.25">
      <c r="I622" s="1"/>
      <c r="J622" s="1"/>
    </row>
    <row r="623" spans="9:10" x14ac:dyDescent="0.25">
      <c r="I623" s="1"/>
      <c r="J623" s="1"/>
    </row>
    <row r="624" spans="9:10" x14ac:dyDescent="0.25">
      <c r="I624" s="1"/>
      <c r="J624" s="1"/>
    </row>
    <row r="625" spans="9:10" x14ac:dyDescent="0.25">
      <c r="I625" s="1"/>
      <c r="J625" s="1"/>
    </row>
    <row r="626" spans="9:10" x14ac:dyDescent="0.25">
      <c r="I626" s="1"/>
      <c r="J626" s="1"/>
    </row>
    <row r="627" spans="9:10" x14ac:dyDescent="0.25">
      <c r="I627" s="1"/>
      <c r="J627" s="1"/>
    </row>
    <row r="628" spans="9:10" x14ac:dyDescent="0.25">
      <c r="I628" s="1"/>
      <c r="J628" s="1"/>
    </row>
    <row r="629" spans="9:10" x14ac:dyDescent="0.25">
      <c r="I629" s="1"/>
      <c r="J629" s="1"/>
    </row>
    <row r="630" spans="9:10" x14ac:dyDescent="0.25">
      <c r="I630" s="1"/>
      <c r="J630" s="1"/>
    </row>
    <row r="631" spans="9:10" x14ac:dyDescent="0.25">
      <c r="I631" s="1"/>
      <c r="J631" s="1"/>
    </row>
    <row r="632" spans="9:10" x14ac:dyDescent="0.25">
      <c r="I632" s="1"/>
      <c r="J632" s="1"/>
    </row>
    <row r="633" spans="9:10" x14ac:dyDescent="0.25">
      <c r="I633" s="1"/>
      <c r="J633" s="1"/>
    </row>
    <row r="634" spans="9:10" x14ac:dyDescent="0.25">
      <c r="I634" s="1"/>
      <c r="J634" s="1"/>
    </row>
    <row r="635" spans="9:10" x14ac:dyDescent="0.25">
      <c r="I635" s="1"/>
      <c r="J635" s="1"/>
    </row>
    <row r="636" spans="9:10" x14ac:dyDescent="0.25">
      <c r="I636" s="1"/>
      <c r="J636" s="1"/>
    </row>
    <row r="637" spans="9:10" x14ac:dyDescent="0.25">
      <c r="I637" s="1"/>
      <c r="J637" s="1"/>
    </row>
    <row r="638" spans="9:10" x14ac:dyDescent="0.25">
      <c r="I638" s="1"/>
      <c r="J638" s="1"/>
    </row>
    <row r="639" spans="9:10" x14ac:dyDescent="0.25">
      <c r="I639" s="1"/>
      <c r="J639" s="1"/>
    </row>
    <row r="640" spans="9:10" x14ac:dyDescent="0.25">
      <c r="I640" s="1"/>
      <c r="J640" s="1"/>
    </row>
    <row r="641" spans="9:10" x14ac:dyDescent="0.25">
      <c r="I641" s="1"/>
      <c r="J641" s="1"/>
    </row>
    <row r="642" spans="9:10" x14ac:dyDescent="0.25">
      <c r="I642" s="1"/>
      <c r="J642" s="1"/>
    </row>
    <row r="643" spans="9:10" x14ac:dyDescent="0.25">
      <c r="I643" s="1"/>
      <c r="J643" s="1"/>
    </row>
    <row r="644" spans="9:10" x14ac:dyDescent="0.25">
      <c r="I644" s="1"/>
      <c r="J644" s="1"/>
    </row>
    <row r="645" spans="9:10" x14ac:dyDescent="0.25">
      <c r="I645" s="1"/>
      <c r="J645" s="1"/>
    </row>
    <row r="646" spans="9:10" x14ac:dyDescent="0.25">
      <c r="I646" s="1"/>
      <c r="J646" s="1"/>
    </row>
    <row r="647" spans="9:10" x14ac:dyDescent="0.25">
      <c r="I647" s="1"/>
      <c r="J647" s="1"/>
    </row>
    <row r="648" spans="9:10" x14ac:dyDescent="0.25">
      <c r="I648" s="1"/>
      <c r="J648" s="1"/>
    </row>
    <row r="649" spans="9:10" x14ac:dyDescent="0.25">
      <c r="I649" s="1"/>
      <c r="J649" s="1"/>
    </row>
    <row r="650" spans="9:10" x14ac:dyDescent="0.25">
      <c r="I650" s="1"/>
      <c r="J650" s="1"/>
    </row>
    <row r="651" spans="9:10" x14ac:dyDescent="0.25">
      <c r="I651" s="1"/>
      <c r="J651" s="1"/>
    </row>
    <row r="652" spans="9:10" x14ac:dyDescent="0.25">
      <c r="I652" s="1"/>
      <c r="J652" s="1"/>
    </row>
    <row r="653" spans="9:10" x14ac:dyDescent="0.25">
      <c r="I653" s="1"/>
      <c r="J653" s="1"/>
    </row>
    <row r="654" spans="9:10" x14ac:dyDescent="0.25">
      <c r="I654" s="1"/>
      <c r="J654" s="1"/>
    </row>
    <row r="655" spans="9:10" x14ac:dyDescent="0.25">
      <c r="I655" s="1"/>
      <c r="J655" s="1"/>
    </row>
    <row r="656" spans="9:10" x14ac:dyDescent="0.25">
      <c r="I656" s="1"/>
      <c r="J656" s="1"/>
    </row>
    <row r="657" spans="9:10" x14ac:dyDescent="0.25">
      <c r="I657" s="1"/>
      <c r="J657" s="1"/>
    </row>
    <row r="658" spans="9:10" x14ac:dyDescent="0.25">
      <c r="I658" s="1"/>
      <c r="J658" s="1"/>
    </row>
    <row r="659" spans="9:10" x14ac:dyDescent="0.25">
      <c r="I659" s="1"/>
      <c r="J659" s="1"/>
    </row>
    <row r="660" spans="9:10" x14ac:dyDescent="0.25">
      <c r="I660" s="1"/>
      <c r="J660" s="1"/>
    </row>
    <row r="661" spans="9:10" x14ac:dyDescent="0.25">
      <c r="I661" s="1"/>
      <c r="J661" s="1"/>
    </row>
    <row r="662" spans="9:10" x14ac:dyDescent="0.25">
      <c r="I662" s="1"/>
      <c r="J662" s="1"/>
    </row>
    <row r="663" spans="9:10" x14ac:dyDescent="0.25">
      <c r="I663" s="1"/>
      <c r="J663" s="1"/>
    </row>
    <row r="664" spans="9:10" x14ac:dyDescent="0.25">
      <c r="I664" s="1"/>
      <c r="J664" s="1"/>
    </row>
    <row r="665" spans="9:10" x14ac:dyDescent="0.25">
      <c r="I665" s="1"/>
      <c r="J665" s="1"/>
    </row>
    <row r="666" spans="9:10" x14ac:dyDescent="0.25">
      <c r="I666" s="1"/>
      <c r="J666" s="1"/>
    </row>
    <row r="667" spans="9:10" x14ac:dyDescent="0.25">
      <c r="I667" s="1"/>
      <c r="J667" s="1"/>
    </row>
    <row r="668" spans="9:10" x14ac:dyDescent="0.25">
      <c r="I668" s="1"/>
      <c r="J668" s="1"/>
    </row>
    <row r="669" spans="9:10" x14ac:dyDescent="0.25">
      <c r="I669" s="1"/>
      <c r="J669" s="1"/>
    </row>
    <row r="670" spans="9:10" x14ac:dyDescent="0.25">
      <c r="I670" s="1"/>
      <c r="J670" s="1"/>
    </row>
    <row r="671" spans="9:10" x14ac:dyDescent="0.25">
      <c r="I671" s="1"/>
      <c r="J671" s="1"/>
    </row>
    <row r="672" spans="9:10" x14ac:dyDescent="0.25">
      <c r="I672" s="1"/>
      <c r="J672" s="1"/>
    </row>
    <row r="673" spans="9:10" x14ac:dyDescent="0.25">
      <c r="I673" s="1"/>
      <c r="J673" s="1"/>
    </row>
    <row r="674" spans="9:10" x14ac:dyDescent="0.25">
      <c r="I674" s="1"/>
      <c r="J674" s="1"/>
    </row>
    <row r="675" spans="9:10" x14ac:dyDescent="0.25">
      <c r="I675" s="1"/>
      <c r="J675" s="1"/>
    </row>
    <row r="676" spans="9:10" x14ac:dyDescent="0.25">
      <c r="I676" s="1"/>
      <c r="J676" s="1"/>
    </row>
    <row r="677" spans="9:10" x14ac:dyDescent="0.25">
      <c r="I677" s="1"/>
      <c r="J677" s="1"/>
    </row>
    <row r="678" spans="9:10" x14ac:dyDescent="0.25">
      <c r="I678" s="1"/>
      <c r="J678" s="1"/>
    </row>
    <row r="679" spans="9:10" x14ac:dyDescent="0.25">
      <c r="I679" s="1"/>
      <c r="J679" s="1"/>
    </row>
    <row r="680" spans="9:10" x14ac:dyDescent="0.25">
      <c r="I680" s="1"/>
      <c r="J680" s="1"/>
    </row>
    <row r="681" spans="9:10" x14ac:dyDescent="0.25">
      <c r="I681" s="1"/>
      <c r="J681" s="1"/>
    </row>
    <row r="682" spans="9:10" x14ac:dyDescent="0.25">
      <c r="I682" s="1"/>
      <c r="J682" s="1"/>
    </row>
    <row r="683" spans="9:10" x14ac:dyDescent="0.25">
      <c r="I683" s="1"/>
      <c r="J683" s="1"/>
    </row>
    <row r="684" spans="9:10" x14ac:dyDescent="0.25">
      <c r="I684" s="1"/>
      <c r="J684" s="1"/>
    </row>
    <row r="685" spans="9:10" x14ac:dyDescent="0.25">
      <c r="I685" s="1"/>
      <c r="J685" s="1"/>
    </row>
    <row r="686" spans="9:10" x14ac:dyDescent="0.25">
      <c r="I686" s="1"/>
      <c r="J686" s="1"/>
    </row>
    <row r="687" spans="9:10" x14ac:dyDescent="0.25">
      <c r="I687" s="1"/>
      <c r="J687" s="1"/>
    </row>
    <row r="688" spans="9:10" x14ac:dyDescent="0.25">
      <c r="I688" s="1"/>
      <c r="J688" s="1"/>
    </row>
    <row r="689" spans="9:10" x14ac:dyDescent="0.25">
      <c r="I689" s="1"/>
      <c r="J689" s="1"/>
    </row>
    <row r="690" spans="9:10" x14ac:dyDescent="0.25">
      <c r="I690" s="1"/>
      <c r="J690" s="1"/>
    </row>
    <row r="691" spans="9:10" x14ac:dyDescent="0.25">
      <c r="I691" s="1"/>
      <c r="J691" s="1"/>
    </row>
    <row r="692" spans="9:10" x14ac:dyDescent="0.25">
      <c r="I692" s="1"/>
      <c r="J692" s="1"/>
    </row>
    <row r="693" spans="9:10" x14ac:dyDescent="0.25">
      <c r="I693" s="1"/>
      <c r="J693" s="1"/>
    </row>
    <row r="694" spans="9:10" x14ac:dyDescent="0.25">
      <c r="I694" s="1"/>
      <c r="J694" s="1"/>
    </row>
    <row r="695" spans="9:10" x14ac:dyDescent="0.25">
      <c r="I695" s="1"/>
      <c r="J695" s="1"/>
    </row>
    <row r="696" spans="9:10" x14ac:dyDescent="0.25">
      <c r="I696" s="1"/>
      <c r="J696" s="1"/>
    </row>
    <row r="697" spans="9:10" x14ac:dyDescent="0.25">
      <c r="I697" s="1"/>
      <c r="J697" s="1"/>
    </row>
    <row r="698" spans="9:10" x14ac:dyDescent="0.25">
      <c r="I698" s="1"/>
      <c r="J698" s="1"/>
    </row>
    <row r="699" spans="9:10" x14ac:dyDescent="0.25">
      <c r="I699" s="1"/>
      <c r="J699" s="1"/>
    </row>
    <row r="700" spans="9:10" x14ac:dyDescent="0.25">
      <c r="I700" s="1"/>
      <c r="J700" s="1"/>
    </row>
    <row r="701" spans="9:10" x14ac:dyDescent="0.25">
      <c r="I701" s="1"/>
      <c r="J701" s="1"/>
    </row>
    <row r="702" spans="9:10" x14ac:dyDescent="0.25">
      <c r="I702" s="1"/>
      <c r="J702" s="1"/>
    </row>
    <row r="703" spans="9:10" x14ac:dyDescent="0.25">
      <c r="I703" s="1"/>
      <c r="J703" s="1"/>
    </row>
    <row r="704" spans="9:10" x14ac:dyDescent="0.25">
      <c r="I704" s="1"/>
      <c r="J704" s="1"/>
    </row>
    <row r="705" spans="9:10" x14ac:dyDescent="0.25">
      <c r="I705" s="1"/>
      <c r="J705" s="1"/>
    </row>
    <row r="706" spans="9:10" x14ac:dyDescent="0.25">
      <c r="I706" s="1"/>
      <c r="J706" s="1"/>
    </row>
    <row r="707" spans="9:10" x14ac:dyDescent="0.25">
      <c r="I707" s="1"/>
      <c r="J707" s="1"/>
    </row>
    <row r="708" spans="9:10" x14ac:dyDescent="0.25">
      <c r="I708" s="1"/>
      <c r="J708" s="1"/>
    </row>
    <row r="709" spans="9:10" x14ac:dyDescent="0.25">
      <c r="I709" s="1"/>
      <c r="J709" s="1"/>
    </row>
    <row r="710" spans="9:10" x14ac:dyDescent="0.25">
      <c r="I710" s="1"/>
      <c r="J710" s="1"/>
    </row>
    <row r="711" spans="9:10" x14ac:dyDescent="0.25">
      <c r="I711" s="1"/>
      <c r="J711" s="1"/>
    </row>
    <row r="712" spans="9:10" x14ac:dyDescent="0.25">
      <c r="I712" s="1"/>
      <c r="J712" s="1"/>
    </row>
    <row r="713" spans="9:10" x14ac:dyDescent="0.25">
      <c r="I713" s="1"/>
      <c r="J713" s="1"/>
    </row>
    <row r="714" spans="9:10" x14ac:dyDescent="0.25">
      <c r="I714" s="1"/>
      <c r="J714" s="1"/>
    </row>
    <row r="715" spans="9:10" x14ac:dyDescent="0.25">
      <c r="I715" s="1"/>
      <c r="J715" s="1"/>
    </row>
    <row r="716" spans="9:10" x14ac:dyDescent="0.25">
      <c r="I716" s="1"/>
      <c r="J716" s="1"/>
    </row>
    <row r="717" spans="9:10" x14ac:dyDescent="0.25">
      <c r="I717" s="1"/>
      <c r="J717" s="1"/>
    </row>
    <row r="718" spans="9:10" x14ac:dyDescent="0.25">
      <c r="I718" s="1"/>
      <c r="J718" s="1"/>
    </row>
    <row r="719" spans="9:10" x14ac:dyDescent="0.25">
      <c r="I719" s="1"/>
      <c r="J719" s="1"/>
    </row>
    <row r="720" spans="9:10" x14ac:dyDescent="0.25">
      <c r="I720" s="1"/>
      <c r="J720" s="1"/>
    </row>
    <row r="721" spans="9:10" x14ac:dyDescent="0.25">
      <c r="I721" s="1"/>
      <c r="J721" s="1"/>
    </row>
    <row r="722" spans="9:10" x14ac:dyDescent="0.25">
      <c r="I722" s="1"/>
      <c r="J722" s="1"/>
    </row>
    <row r="723" spans="9:10" x14ac:dyDescent="0.25">
      <c r="I723" s="1"/>
      <c r="J723" s="1"/>
    </row>
    <row r="724" spans="9:10" x14ac:dyDescent="0.25">
      <c r="I724" s="1"/>
      <c r="J724" s="1"/>
    </row>
    <row r="725" spans="9:10" x14ac:dyDescent="0.25">
      <c r="I725" s="1"/>
      <c r="J725" s="1"/>
    </row>
    <row r="726" spans="9:10" x14ac:dyDescent="0.25">
      <c r="I726" s="1"/>
      <c r="J726" s="1"/>
    </row>
    <row r="727" spans="9:10" x14ac:dyDescent="0.25">
      <c r="I727" s="1"/>
      <c r="J727" s="1"/>
    </row>
    <row r="728" spans="9:10" x14ac:dyDescent="0.25">
      <c r="I728" s="1"/>
      <c r="J728" s="1"/>
    </row>
    <row r="729" spans="9:10" x14ac:dyDescent="0.25">
      <c r="I729" s="1"/>
      <c r="J729" s="1"/>
    </row>
    <row r="730" spans="9:10" x14ac:dyDescent="0.25">
      <c r="I730" s="1"/>
      <c r="J730" s="1"/>
    </row>
    <row r="731" spans="9:10" x14ac:dyDescent="0.25">
      <c r="I731" s="1"/>
      <c r="J731" s="1"/>
    </row>
    <row r="732" spans="9:10" x14ac:dyDescent="0.25">
      <c r="I732" s="1"/>
      <c r="J732" s="1"/>
    </row>
    <row r="733" spans="9:10" x14ac:dyDescent="0.25">
      <c r="I733" s="1"/>
      <c r="J733" s="1"/>
    </row>
    <row r="734" spans="9:10" x14ac:dyDescent="0.25">
      <c r="I734" s="1"/>
      <c r="J734" s="1"/>
    </row>
    <row r="735" spans="9:10" x14ac:dyDescent="0.25">
      <c r="I735" s="1"/>
      <c r="J735" s="1"/>
    </row>
    <row r="736" spans="9:10" x14ac:dyDescent="0.25">
      <c r="I736" s="1"/>
      <c r="J736" s="1"/>
    </row>
    <row r="737" spans="9:10" x14ac:dyDescent="0.25">
      <c r="I737" s="1"/>
      <c r="J737" s="1"/>
    </row>
    <row r="738" spans="9:10" x14ac:dyDescent="0.25">
      <c r="I738" s="1"/>
      <c r="J738" s="1"/>
    </row>
    <row r="739" spans="9:10" x14ac:dyDescent="0.25">
      <c r="I739" s="1"/>
      <c r="J739" s="1"/>
    </row>
    <row r="740" spans="9:10" x14ac:dyDescent="0.25">
      <c r="I740" s="1"/>
      <c r="J740" s="1"/>
    </row>
    <row r="741" spans="9:10" x14ac:dyDescent="0.25">
      <c r="I741" s="1"/>
      <c r="J741" s="1"/>
    </row>
    <row r="742" spans="9:10" x14ac:dyDescent="0.25">
      <c r="I742" s="1"/>
      <c r="J742" s="1"/>
    </row>
    <row r="743" spans="9:10" x14ac:dyDescent="0.25">
      <c r="I743" s="1"/>
      <c r="J743" s="1"/>
    </row>
    <row r="744" spans="9:10" x14ac:dyDescent="0.25">
      <c r="I744" s="1"/>
      <c r="J744" s="1"/>
    </row>
    <row r="745" spans="9:10" x14ac:dyDescent="0.25">
      <c r="I745" s="1"/>
      <c r="J745" s="1"/>
    </row>
    <row r="746" spans="9:10" x14ac:dyDescent="0.25">
      <c r="I746" s="1"/>
      <c r="J746" s="1"/>
    </row>
    <row r="747" spans="9:10" x14ac:dyDescent="0.25">
      <c r="I747" s="1"/>
      <c r="J747" s="1"/>
    </row>
    <row r="748" spans="9:10" x14ac:dyDescent="0.25">
      <c r="I748" s="1"/>
      <c r="J748" s="1"/>
    </row>
    <row r="749" spans="9:10" x14ac:dyDescent="0.25">
      <c r="I749" s="1"/>
      <c r="J749" s="1"/>
    </row>
    <row r="750" spans="9:10" x14ac:dyDescent="0.25">
      <c r="I750" s="1"/>
      <c r="J750" s="1"/>
    </row>
    <row r="751" spans="9:10" x14ac:dyDescent="0.25">
      <c r="I751" s="1"/>
      <c r="J751" s="1"/>
    </row>
    <row r="752" spans="9:10" x14ac:dyDescent="0.25">
      <c r="I752" s="1"/>
      <c r="J752" s="1"/>
    </row>
    <row r="753" spans="9:10" x14ac:dyDescent="0.25">
      <c r="I753" s="1"/>
      <c r="J753" s="1"/>
    </row>
    <row r="754" spans="9:10" x14ac:dyDescent="0.25">
      <c r="I754" s="1"/>
      <c r="J754" s="1"/>
    </row>
    <row r="755" spans="9:10" x14ac:dyDescent="0.25">
      <c r="I755" s="1"/>
      <c r="J755" s="1"/>
    </row>
    <row r="756" spans="9:10" x14ac:dyDescent="0.25">
      <c r="I756" s="1"/>
      <c r="J756" s="1"/>
    </row>
    <row r="757" spans="9:10" x14ac:dyDescent="0.25">
      <c r="I757" s="1"/>
      <c r="J757" s="1"/>
    </row>
    <row r="758" spans="9:10" x14ac:dyDescent="0.25">
      <c r="I758" s="1"/>
      <c r="J758" s="1"/>
    </row>
    <row r="759" spans="9:10" x14ac:dyDescent="0.25">
      <c r="I759" s="1"/>
      <c r="J759" s="1"/>
    </row>
    <row r="760" spans="9:10" x14ac:dyDescent="0.25">
      <c r="I760" s="1"/>
      <c r="J760" s="1"/>
    </row>
    <row r="761" spans="9:10" x14ac:dyDescent="0.25">
      <c r="I761" s="1"/>
      <c r="J761" s="1"/>
    </row>
    <row r="762" spans="9:10" x14ac:dyDescent="0.25">
      <c r="I762" s="1"/>
      <c r="J762" s="1"/>
    </row>
    <row r="763" spans="9:10" x14ac:dyDescent="0.25">
      <c r="I763" s="1"/>
      <c r="J763" s="1"/>
    </row>
    <row r="764" spans="9:10" x14ac:dyDescent="0.25">
      <c r="I764" s="1"/>
      <c r="J764" s="1"/>
    </row>
    <row r="765" spans="9:10" x14ac:dyDescent="0.25">
      <c r="I765" s="1"/>
      <c r="J765" s="1"/>
    </row>
    <row r="766" spans="9:10" x14ac:dyDescent="0.25">
      <c r="I766" s="1"/>
      <c r="J766" s="1"/>
    </row>
    <row r="767" spans="9:10" x14ac:dyDescent="0.25">
      <c r="I767" s="1"/>
      <c r="J767" s="1"/>
    </row>
    <row r="768" spans="9:10" x14ac:dyDescent="0.25">
      <c r="I768" s="1"/>
      <c r="J768" s="1"/>
    </row>
    <row r="769" spans="9:10" x14ac:dyDescent="0.25">
      <c r="I769" s="1"/>
      <c r="J769" s="1"/>
    </row>
    <row r="770" spans="9:10" x14ac:dyDescent="0.25">
      <c r="I770" s="1"/>
      <c r="J770" s="1"/>
    </row>
    <row r="771" spans="9:10" x14ac:dyDescent="0.25">
      <c r="I771" s="1"/>
      <c r="J771" s="1"/>
    </row>
    <row r="772" spans="9:10" x14ac:dyDescent="0.25">
      <c r="I772" s="1"/>
      <c r="J772" s="1"/>
    </row>
    <row r="773" spans="9:10" x14ac:dyDescent="0.25">
      <c r="I773" s="1"/>
      <c r="J773" s="1"/>
    </row>
    <row r="774" spans="9:10" x14ac:dyDescent="0.25">
      <c r="I774" s="1"/>
      <c r="J774" s="1"/>
    </row>
    <row r="775" spans="9:10" x14ac:dyDescent="0.25">
      <c r="I775" s="1"/>
      <c r="J775" s="1"/>
    </row>
    <row r="776" spans="9:10" x14ac:dyDescent="0.25">
      <c r="I776" s="1"/>
      <c r="J776" s="1"/>
    </row>
    <row r="777" spans="9:10" x14ac:dyDescent="0.25">
      <c r="I777" s="1"/>
      <c r="J777" s="1"/>
    </row>
    <row r="778" spans="9:10" x14ac:dyDescent="0.25">
      <c r="I778" s="1"/>
      <c r="J778" s="1"/>
    </row>
    <row r="779" spans="9:10" x14ac:dyDescent="0.25">
      <c r="I779" s="1"/>
      <c r="J779" s="1"/>
    </row>
    <row r="780" spans="9:10" x14ac:dyDescent="0.25">
      <c r="I780" s="1"/>
      <c r="J780" s="1"/>
    </row>
    <row r="781" spans="9:10" x14ac:dyDescent="0.25">
      <c r="I781" s="1"/>
      <c r="J781" s="1"/>
    </row>
    <row r="782" spans="9:10" x14ac:dyDescent="0.25">
      <c r="I782" s="1"/>
      <c r="J782" s="1"/>
    </row>
    <row r="783" spans="9:10" x14ac:dyDescent="0.25">
      <c r="I783" s="1"/>
      <c r="J783" s="1"/>
    </row>
    <row r="784" spans="9:10" x14ac:dyDescent="0.25">
      <c r="I784" s="1"/>
      <c r="J784" s="1"/>
    </row>
    <row r="785" spans="9:10" x14ac:dyDescent="0.25">
      <c r="I785" s="1"/>
      <c r="J785" s="1"/>
    </row>
    <row r="786" spans="9:10" x14ac:dyDescent="0.25">
      <c r="I786" s="1"/>
      <c r="J786" s="1"/>
    </row>
    <row r="787" spans="9:10" x14ac:dyDescent="0.25">
      <c r="I787" s="1"/>
      <c r="J787" s="1"/>
    </row>
    <row r="788" spans="9:10" x14ac:dyDescent="0.25">
      <c r="I788" s="1"/>
      <c r="J788" s="1"/>
    </row>
    <row r="789" spans="9:10" x14ac:dyDescent="0.25">
      <c r="I789" s="1"/>
      <c r="J789" s="1"/>
    </row>
    <row r="790" spans="9:10" x14ac:dyDescent="0.25">
      <c r="I790" s="1"/>
      <c r="J790" s="1"/>
    </row>
    <row r="791" spans="9:10" x14ac:dyDescent="0.25">
      <c r="I791" s="1"/>
      <c r="J791" s="1"/>
    </row>
    <row r="792" spans="9:10" x14ac:dyDescent="0.25">
      <c r="I792" s="1"/>
      <c r="J792" s="1"/>
    </row>
    <row r="793" spans="9:10" x14ac:dyDescent="0.25">
      <c r="I793" s="1"/>
      <c r="J793" s="1"/>
    </row>
    <row r="794" spans="9:10" x14ac:dyDescent="0.25">
      <c r="I794" s="1"/>
      <c r="J794" s="1"/>
    </row>
    <row r="795" spans="9:10" x14ac:dyDescent="0.25">
      <c r="I795" s="1"/>
      <c r="J795" s="1"/>
    </row>
    <row r="796" spans="9:10" x14ac:dyDescent="0.25">
      <c r="I796" s="1"/>
      <c r="J796" s="1"/>
    </row>
    <row r="797" spans="9:10" x14ac:dyDescent="0.25">
      <c r="I797" s="1"/>
      <c r="J797" s="1"/>
    </row>
    <row r="798" spans="9:10" x14ac:dyDescent="0.25">
      <c r="I798" s="1"/>
      <c r="J798" s="1"/>
    </row>
    <row r="799" spans="9:10" x14ac:dyDescent="0.25">
      <c r="I799" s="1"/>
      <c r="J799" s="1"/>
    </row>
    <row r="800" spans="9:10" x14ac:dyDescent="0.25">
      <c r="I800" s="1"/>
      <c r="J800" s="1"/>
    </row>
    <row r="801" spans="9:10" x14ac:dyDescent="0.25">
      <c r="I801" s="1"/>
      <c r="J801" s="1"/>
    </row>
    <row r="802" spans="9:10" x14ac:dyDescent="0.25">
      <c r="I802" s="1"/>
      <c r="J802" s="1"/>
    </row>
    <row r="803" spans="9:10" x14ac:dyDescent="0.25">
      <c r="I803" s="1"/>
      <c r="J803" s="1"/>
    </row>
    <row r="804" spans="9:10" x14ac:dyDescent="0.25">
      <c r="I804" s="1"/>
      <c r="J804" s="1"/>
    </row>
    <row r="805" spans="9:10" x14ac:dyDescent="0.25">
      <c r="I805" s="1"/>
      <c r="J805" s="1"/>
    </row>
    <row r="806" spans="9:10" x14ac:dyDescent="0.25">
      <c r="I806" s="1"/>
      <c r="J806" s="1"/>
    </row>
    <row r="807" spans="9:10" x14ac:dyDescent="0.25">
      <c r="I807" s="1"/>
      <c r="J807" s="1"/>
    </row>
    <row r="808" spans="9:10" x14ac:dyDescent="0.25">
      <c r="I808" s="1"/>
      <c r="J808" s="1"/>
    </row>
    <row r="809" spans="9:10" x14ac:dyDescent="0.25">
      <c r="I809" s="1"/>
      <c r="J809" s="1"/>
    </row>
    <row r="810" spans="9:10" x14ac:dyDescent="0.25">
      <c r="I810" s="1"/>
      <c r="J810" s="1"/>
    </row>
    <row r="811" spans="9:10" x14ac:dyDescent="0.25">
      <c r="I811" s="1"/>
      <c r="J811" s="1"/>
    </row>
    <row r="812" spans="9:10" x14ac:dyDescent="0.25">
      <c r="I812" s="1"/>
      <c r="J812" s="1"/>
    </row>
    <row r="813" spans="9:10" x14ac:dyDescent="0.25">
      <c r="I813" s="1"/>
      <c r="J813" s="1"/>
    </row>
    <row r="814" spans="9:10" x14ac:dyDescent="0.25">
      <c r="I814" s="1"/>
      <c r="J814" s="1"/>
    </row>
    <row r="815" spans="9:10" x14ac:dyDescent="0.25">
      <c r="I815" s="1"/>
      <c r="J815" s="1"/>
    </row>
    <row r="816" spans="9:10" x14ac:dyDescent="0.25">
      <c r="I816" s="1"/>
      <c r="J816" s="1"/>
    </row>
    <row r="817" spans="9:10" x14ac:dyDescent="0.25">
      <c r="I817" s="1"/>
      <c r="J817" s="1"/>
    </row>
    <row r="818" spans="9:10" x14ac:dyDescent="0.25">
      <c r="I818" s="1"/>
      <c r="J818" s="1"/>
    </row>
    <row r="819" spans="9:10" x14ac:dyDescent="0.25">
      <c r="I819" s="1"/>
      <c r="J819" s="1"/>
    </row>
    <row r="820" spans="9:10" x14ac:dyDescent="0.25">
      <c r="I820" s="1"/>
      <c r="J820" s="1"/>
    </row>
    <row r="821" spans="9:10" x14ac:dyDescent="0.25">
      <c r="I821" s="1"/>
      <c r="J821" s="1"/>
    </row>
    <row r="822" spans="9:10" x14ac:dyDescent="0.25">
      <c r="I822" s="1"/>
      <c r="J822" s="1"/>
    </row>
    <row r="823" spans="9:10" x14ac:dyDescent="0.25">
      <c r="I823" s="1"/>
      <c r="J823" s="1"/>
    </row>
    <row r="824" spans="9:10" x14ac:dyDescent="0.25">
      <c r="I824" s="1"/>
      <c r="J824" s="1"/>
    </row>
    <row r="825" spans="9:10" x14ac:dyDescent="0.25">
      <c r="I825" s="1"/>
      <c r="J825" s="1"/>
    </row>
    <row r="826" spans="9:10" x14ac:dyDescent="0.25">
      <c r="I826" s="1"/>
      <c r="J826" s="1"/>
    </row>
    <row r="827" spans="9:10" x14ac:dyDescent="0.25">
      <c r="I827" s="1"/>
      <c r="J827" s="1"/>
    </row>
    <row r="828" spans="9:10" x14ac:dyDescent="0.25">
      <c r="I828" s="1"/>
      <c r="J828" s="1"/>
    </row>
    <row r="829" spans="9:10" x14ac:dyDescent="0.25">
      <c r="I829" s="1"/>
      <c r="J829" s="1"/>
    </row>
    <row r="830" spans="9:10" x14ac:dyDescent="0.25">
      <c r="I830" s="1"/>
      <c r="J830" s="1"/>
    </row>
    <row r="831" spans="9:10" x14ac:dyDescent="0.25">
      <c r="I831" s="1"/>
      <c r="J831" s="1"/>
    </row>
    <row r="832" spans="9:10" x14ac:dyDescent="0.25">
      <c r="I832" s="1"/>
      <c r="J832" s="1"/>
    </row>
    <row r="833" spans="9:10" x14ac:dyDescent="0.25">
      <c r="I833" s="1"/>
      <c r="J833" s="1"/>
    </row>
    <row r="834" spans="9:10" x14ac:dyDescent="0.25">
      <c r="I834" s="1"/>
      <c r="J834" s="1"/>
    </row>
    <row r="835" spans="9:10" x14ac:dyDescent="0.25">
      <c r="I835" s="1"/>
      <c r="J835" s="1"/>
    </row>
    <row r="836" spans="9:10" x14ac:dyDescent="0.25">
      <c r="I836" s="1"/>
      <c r="J836" s="1"/>
    </row>
    <row r="837" spans="9:10" x14ac:dyDescent="0.25">
      <c r="I837" s="1"/>
      <c r="J837" s="1"/>
    </row>
    <row r="838" spans="9:10" x14ac:dyDescent="0.25">
      <c r="I838" s="1"/>
      <c r="J838" s="1"/>
    </row>
    <row r="839" spans="9:10" x14ac:dyDescent="0.25">
      <c r="I839" s="1"/>
      <c r="J839" s="1"/>
    </row>
    <row r="840" spans="9:10" x14ac:dyDescent="0.25">
      <c r="I840" s="1"/>
      <c r="J840" s="1"/>
    </row>
    <row r="841" spans="9:10" x14ac:dyDescent="0.25">
      <c r="I841" s="1"/>
      <c r="J841" s="1"/>
    </row>
    <row r="842" spans="9:10" x14ac:dyDescent="0.25">
      <c r="I842" s="1"/>
      <c r="J842" s="1"/>
    </row>
    <row r="843" spans="9:10" x14ac:dyDescent="0.25">
      <c r="I843" s="1"/>
      <c r="J843" s="1"/>
    </row>
    <row r="844" spans="9:10" x14ac:dyDescent="0.25">
      <c r="I844" s="1"/>
      <c r="J844" s="1"/>
    </row>
    <row r="845" spans="9:10" x14ac:dyDescent="0.25">
      <c r="I845" s="1"/>
      <c r="J845" s="1"/>
    </row>
    <row r="846" spans="9:10" x14ac:dyDescent="0.25">
      <c r="I846" s="1"/>
      <c r="J846" s="1"/>
    </row>
    <row r="847" spans="9:10" x14ac:dyDescent="0.25">
      <c r="I847" s="1"/>
      <c r="J847" s="1"/>
    </row>
    <row r="848" spans="9:10" x14ac:dyDescent="0.25">
      <c r="I848" s="1"/>
      <c r="J848" s="1"/>
    </row>
    <row r="849" spans="9:10" x14ac:dyDescent="0.25">
      <c r="I849" s="1"/>
      <c r="J849" s="1"/>
    </row>
    <row r="850" spans="9:10" x14ac:dyDescent="0.25">
      <c r="I850" s="1"/>
      <c r="J850" s="1"/>
    </row>
    <row r="851" spans="9:10" x14ac:dyDescent="0.25">
      <c r="I851" s="1"/>
      <c r="J851" s="1"/>
    </row>
    <row r="852" spans="9:10" x14ac:dyDescent="0.25">
      <c r="I852" s="1"/>
      <c r="J852" s="1"/>
    </row>
    <row r="853" spans="9:10" x14ac:dyDescent="0.25">
      <c r="I853" s="1"/>
      <c r="J853" s="1"/>
    </row>
    <row r="854" spans="9:10" x14ac:dyDescent="0.25">
      <c r="I854" s="1"/>
      <c r="J854" s="1"/>
    </row>
    <row r="855" spans="9:10" x14ac:dyDescent="0.25">
      <c r="I855" s="1"/>
      <c r="J855" s="1"/>
    </row>
    <row r="856" spans="9:10" x14ac:dyDescent="0.25">
      <c r="I856" s="1"/>
      <c r="J856" s="1"/>
    </row>
    <row r="857" spans="9:10" x14ac:dyDescent="0.25">
      <c r="I857" s="1"/>
      <c r="J857" s="1"/>
    </row>
    <row r="858" spans="9:10" x14ac:dyDescent="0.25">
      <c r="I858" s="1"/>
      <c r="J858" s="1"/>
    </row>
    <row r="859" spans="9:10" x14ac:dyDescent="0.25">
      <c r="I859" s="1"/>
      <c r="J859" s="1"/>
    </row>
    <row r="860" spans="9:10" x14ac:dyDescent="0.25">
      <c r="I860" s="1"/>
      <c r="J860" s="1"/>
    </row>
    <row r="861" spans="9:10" x14ac:dyDescent="0.25">
      <c r="I861" s="1"/>
      <c r="J861" s="1"/>
    </row>
    <row r="862" spans="9:10" x14ac:dyDescent="0.25">
      <c r="I862" s="1"/>
      <c r="J862" s="1"/>
    </row>
    <row r="863" spans="9:10" x14ac:dyDescent="0.25">
      <c r="I863" s="1"/>
      <c r="J863" s="1"/>
    </row>
    <row r="864" spans="9:10" x14ac:dyDescent="0.25">
      <c r="I864" s="1"/>
      <c r="J864" s="1"/>
    </row>
    <row r="865" spans="9:10" x14ac:dyDescent="0.25">
      <c r="I865" s="1"/>
      <c r="J865" s="1"/>
    </row>
    <row r="866" spans="9:10" x14ac:dyDescent="0.25">
      <c r="I866" s="1"/>
      <c r="J866" s="1"/>
    </row>
    <row r="867" spans="9:10" x14ac:dyDescent="0.25">
      <c r="I867" s="1"/>
      <c r="J867" s="1"/>
    </row>
    <row r="868" spans="9:10" x14ac:dyDescent="0.25">
      <c r="I868" s="1"/>
      <c r="J868" s="1"/>
    </row>
    <row r="869" spans="9:10" x14ac:dyDescent="0.25">
      <c r="I869" s="1"/>
      <c r="J869" s="1"/>
    </row>
    <row r="870" spans="9:10" x14ac:dyDescent="0.25">
      <c r="I870" s="1"/>
      <c r="J870" s="1"/>
    </row>
    <row r="871" spans="9:10" x14ac:dyDescent="0.25">
      <c r="I871" s="1"/>
      <c r="J871" s="1"/>
    </row>
    <row r="872" spans="9:10" x14ac:dyDescent="0.25">
      <c r="I872" s="1"/>
      <c r="J872" s="1"/>
    </row>
    <row r="873" spans="9:10" x14ac:dyDescent="0.25">
      <c r="I873" s="1"/>
      <c r="J873" s="1"/>
    </row>
    <row r="874" spans="9:10" x14ac:dyDescent="0.25">
      <c r="I874" s="1"/>
      <c r="J874" s="1"/>
    </row>
    <row r="875" spans="9:10" x14ac:dyDescent="0.25">
      <c r="I875" s="1"/>
      <c r="J875" s="1"/>
    </row>
    <row r="876" spans="9:10" x14ac:dyDescent="0.25">
      <c r="I876" s="1"/>
      <c r="J876" s="1"/>
    </row>
    <row r="877" spans="9:10" x14ac:dyDescent="0.25">
      <c r="I877" s="1"/>
      <c r="J877" s="1"/>
    </row>
    <row r="878" spans="9:10" x14ac:dyDescent="0.25">
      <c r="I878" s="1"/>
      <c r="J878" s="1"/>
    </row>
    <row r="879" spans="9:10" x14ac:dyDescent="0.25">
      <c r="I879" s="1"/>
      <c r="J879" s="1"/>
    </row>
    <row r="880" spans="9:10" x14ac:dyDescent="0.25">
      <c r="I880" s="1"/>
      <c r="J880" s="1"/>
    </row>
    <row r="881" spans="9:10" x14ac:dyDescent="0.25">
      <c r="I881" s="1"/>
      <c r="J881" s="1"/>
    </row>
    <row r="882" spans="9:10" x14ac:dyDescent="0.25">
      <c r="I882" s="1"/>
      <c r="J882" s="1"/>
    </row>
    <row r="883" spans="9:10" x14ac:dyDescent="0.25">
      <c r="I883" s="1"/>
      <c r="J883" s="1"/>
    </row>
    <row r="884" spans="9:10" x14ac:dyDescent="0.25">
      <c r="I884" s="1"/>
      <c r="J884" s="1"/>
    </row>
    <row r="885" spans="9:10" x14ac:dyDescent="0.25">
      <c r="I885" s="1"/>
      <c r="J885" s="1"/>
    </row>
    <row r="886" spans="9:10" x14ac:dyDescent="0.25">
      <c r="I886" s="1"/>
      <c r="J886" s="1"/>
    </row>
    <row r="887" spans="9:10" x14ac:dyDescent="0.25">
      <c r="I887" s="1"/>
      <c r="J887" s="1"/>
    </row>
    <row r="888" spans="9:10" x14ac:dyDescent="0.25">
      <c r="I888" s="1"/>
      <c r="J888" s="1"/>
    </row>
    <row r="889" spans="9:10" x14ac:dyDescent="0.25">
      <c r="I889" s="1"/>
      <c r="J889" s="1"/>
    </row>
    <row r="890" spans="9:10" x14ac:dyDescent="0.25">
      <c r="I890" s="1"/>
      <c r="J890" s="1"/>
    </row>
    <row r="891" spans="9:10" x14ac:dyDescent="0.25">
      <c r="I891" s="1"/>
      <c r="J891" s="1"/>
    </row>
    <row r="892" spans="9:10" x14ac:dyDescent="0.25">
      <c r="I892" s="1"/>
      <c r="J892" s="1"/>
    </row>
    <row r="893" spans="9:10" x14ac:dyDescent="0.25">
      <c r="I893" s="1"/>
      <c r="J893" s="1"/>
    </row>
    <row r="894" spans="9:10" x14ac:dyDescent="0.25">
      <c r="I894" s="1"/>
      <c r="J894" s="1"/>
    </row>
    <row r="895" spans="9:10" x14ac:dyDescent="0.25">
      <c r="I895" s="1"/>
      <c r="J895" s="1"/>
    </row>
    <row r="896" spans="9:10" x14ac:dyDescent="0.25">
      <c r="I896" s="1"/>
      <c r="J896" s="1"/>
    </row>
    <row r="897" spans="9:10" x14ac:dyDescent="0.25">
      <c r="I897" s="1"/>
      <c r="J897" s="1"/>
    </row>
    <row r="898" spans="9:10" x14ac:dyDescent="0.25">
      <c r="I898" s="1"/>
      <c r="J898" s="1"/>
    </row>
    <row r="899" spans="9:10" x14ac:dyDescent="0.25">
      <c r="I899" s="1"/>
      <c r="J899" s="1"/>
    </row>
    <row r="900" spans="9:10" x14ac:dyDescent="0.25">
      <c r="I900" s="1"/>
      <c r="J900" s="1"/>
    </row>
    <row r="901" spans="9:10" x14ac:dyDescent="0.25">
      <c r="I901" s="1"/>
      <c r="J901" s="1"/>
    </row>
    <row r="902" spans="9:10" x14ac:dyDescent="0.25">
      <c r="I902" s="1"/>
      <c r="J902" s="1"/>
    </row>
    <row r="903" spans="9:10" x14ac:dyDescent="0.25">
      <c r="I903" s="1"/>
      <c r="J903" s="1"/>
    </row>
    <row r="904" spans="9:10" x14ac:dyDescent="0.25">
      <c r="I904" s="1"/>
      <c r="J904" s="1"/>
    </row>
    <row r="905" spans="9:10" x14ac:dyDescent="0.25">
      <c r="I905" s="1"/>
      <c r="J905" s="1"/>
    </row>
    <row r="906" spans="9:10" x14ac:dyDescent="0.25">
      <c r="I906" s="1"/>
      <c r="J906" s="1"/>
    </row>
    <row r="907" spans="9:10" x14ac:dyDescent="0.25">
      <c r="I907" s="1"/>
      <c r="J907" s="1"/>
    </row>
    <row r="908" spans="9:10" x14ac:dyDescent="0.25">
      <c r="I908" s="1"/>
      <c r="J908" s="1"/>
    </row>
    <row r="909" spans="9:10" x14ac:dyDescent="0.25">
      <c r="I909" s="1"/>
      <c r="J909" s="1"/>
    </row>
    <row r="910" spans="9:10" x14ac:dyDescent="0.25">
      <c r="I910" s="1"/>
      <c r="J910" s="1"/>
    </row>
    <row r="911" spans="9:10" x14ac:dyDescent="0.25">
      <c r="I911" s="1"/>
      <c r="J911" s="1"/>
    </row>
    <row r="912" spans="9:10" x14ac:dyDescent="0.25">
      <c r="I912" s="1"/>
      <c r="J912" s="1"/>
    </row>
    <row r="913" spans="9:10" x14ac:dyDescent="0.25">
      <c r="I913" s="1"/>
      <c r="J913" s="1"/>
    </row>
    <row r="914" spans="9:10" x14ac:dyDescent="0.25">
      <c r="I914" s="1"/>
      <c r="J914" s="1"/>
    </row>
    <row r="915" spans="9:10" x14ac:dyDescent="0.25">
      <c r="I915" s="1"/>
      <c r="J915" s="1"/>
    </row>
    <row r="916" spans="9:10" x14ac:dyDescent="0.25">
      <c r="I916" s="1"/>
      <c r="J916" s="1"/>
    </row>
    <row r="917" spans="9:10" x14ac:dyDescent="0.25">
      <c r="I917" s="1"/>
      <c r="J917" s="1"/>
    </row>
    <row r="918" spans="9:10" x14ac:dyDescent="0.25">
      <c r="I918" s="1"/>
      <c r="J918" s="1"/>
    </row>
    <row r="919" spans="9:10" x14ac:dyDescent="0.25">
      <c r="I919" s="1"/>
      <c r="J919" s="1"/>
    </row>
    <row r="920" spans="9:10" x14ac:dyDescent="0.25">
      <c r="I920" s="1"/>
      <c r="J920" s="1"/>
    </row>
    <row r="921" spans="9:10" x14ac:dyDescent="0.25">
      <c r="I921" s="1"/>
      <c r="J921" s="1"/>
    </row>
    <row r="922" spans="9:10" x14ac:dyDescent="0.25">
      <c r="I922" s="1"/>
      <c r="J922" s="1"/>
    </row>
    <row r="923" spans="9:10" x14ac:dyDescent="0.25">
      <c r="I923" s="1"/>
      <c r="J923" s="1"/>
    </row>
    <row r="924" spans="9:10" x14ac:dyDescent="0.25">
      <c r="I924" s="1"/>
      <c r="J924" s="1"/>
    </row>
    <row r="925" spans="9:10" x14ac:dyDescent="0.25">
      <c r="I925" s="1"/>
      <c r="J925" s="1"/>
    </row>
    <row r="926" spans="9:10" x14ac:dyDescent="0.25">
      <c r="I926" s="1"/>
      <c r="J926" s="1"/>
    </row>
    <row r="927" spans="9:10" x14ac:dyDescent="0.25">
      <c r="I927" s="1"/>
      <c r="J927" s="1"/>
    </row>
    <row r="928" spans="9:10" x14ac:dyDescent="0.25">
      <c r="I928" s="1"/>
      <c r="J928" s="1"/>
    </row>
    <row r="929" spans="9:10" x14ac:dyDescent="0.25">
      <c r="I929" s="1"/>
      <c r="J929" s="1"/>
    </row>
    <row r="930" spans="9:10" x14ac:dyDescent="0.25">
      <c r="I930" s="1"/>
      <c r="J930" s="1"/>
    </row>
    <row r="931" spans="9:10" x14ac:dyDescent="0.25">
      <c r="I931" s="1"/>
      <c r="J931" s="1"/>
    </row>
    <row r="932" spans="9:10" x14ac:dyDescent="0.25">
      <c r="I932" s="1"/>
      <c r="J932" s="1"/>
    </row>
    <row r="933" spans="9:10" x14ac:dyDescent="0.25">
      <c r="I933" s="1"/>
      <c r="J933" s="1"/>
    </row>
    <row r="934" spans="9:10" x14ac:dyDescent="0.25">
      <c r="I934" s="1"/>
      <c r="J934" s="1"/>
    </row>
    <row r="935" spans="9:10" x14ac:dyDescent="0.25">
      <c r="I935" s="1"/>
      <c r="J935" s="1"/>
    </row>
    <row r="936" spans="9:10" x14ac:dyDescent="0.25">
      <c r="I936" s="1"/>
      <c r="J936" s="1"/>
    </row>
    <row r="937" spans="9:10" x14ac:dyDescent="0.25">
      <c r="I937" s="1"/>
      <c r="J937" s="1"/>
    </row>
    <row r="938" spans="9:10" x14ac:dyDescent="0.25">
      <c r="I938" s="1"/>
      <c r="J938" s="1"/>
    </row>
    <row r="939" spans="9:10" x14ac:dyDescent="0.25">
      <c r="I939" s="1"/>
      <c r="J939" s="1"/>
    </row>
    <row r="940" spans="9:10" x14ac:dyDescent="0.25">
      <c r="I940" s="1"/>
      <c r="J940" s="1"/>
    </row>
    <row r="941" spans="9:10" x14ac:dyDescent="0.25">
      <c r="I941" s="1"/>
      <c r="J941" s="1"/>
    </row>
    <row r="942" spans="9:10" x14ac:dyDescent="0.25">
      <c r="I942" s="1"/>
      <c r="J942" s="1"/>
    </row>
    <row r="943" spans="9:10" x14ac:dyDescent="0.25">
      <c r="I943" s="1"/>
      <c r="J943" s="1"/>
    </row>
    <row r="944" spans="9:10" x14ac:dyDescent="0.25">
      <c r="I944" s="1"/>
      <c r="J944" s="1"/>
    </row>
    <row r="945" spans="9:10" x14ac:dyDescent="0.25">
      <c r="I945" s="1"/>
      <c r="J945" s="1"/>
    </row>
    <row r="946" spans="9:10" x14ac:dyDescent="0.25">
      <c r="I946" s="1"/>
      <c r="J946" s="1"/>
    </row>
    <row r="947" spans="9:10" x14ac:dyDescent="0.25">
      <c r="I947" s="1"/>
      <c r="J947" s="1"/>
    </row>
    <row r="948" spans="9:10" x14ac:dyDescent="0.25">
      <c r="I948" s="1"/>
      <c r="J948" s="1"/>
    </row>
    <row r="949" spans="9:10" x14ac:dyDescent="0.25">
      <c r="I949" s="1"/>
      <c r="J949" s="1"/>
    </row>
    <row r="950" spans="9:10" x14ac:dyDescent="0.25">
      <c r="I950" s="1"/>
      <c r="J950" s="1"/>
    </row>
    <row r="951" spans="9:10" x14ac:dyDescent="0.25">
      <c r="I951" s="1"/>
      <c r="J951" s="1"/>
    </row>
    <row r="952" spans="9:10" x14ac:dyDescent="0.25">
      <c r="I952" s="1"/>
      <c r="J952" s="1"/>
    </row>
    <row r="953" spans="9:10" x14ac:dyDescent="0.25">
      <c r="I953" s="1"/>
      <c r="J953" s="1"/>
    </row>
    <row r="954" spans="9:10" x14ac:dyDescent="0.25">
      <c r="I954" s="1"/>
      <c r="J954" s="1"/>
    </row>
    <row r="955" spans="9:10" x14ac:dyDescent="0.25">
      <c r="I955" s="1"/>
      <c r="J955" s="1"/>
    </row>
    <row r="956" spans="9:10" x14ac:dyDescent="0.25">
      <c r="I956" s="1"/>
      <c r="J956" s="1"/>
    </row>
    <row r="957" spans="9:10" x14ac:dyDescent="0.25">
      <c r="I957" s="1"/>
      <c r="J957" s="1"/>
    </row>
    <row r="958" spans="9:10" x14ac:dyDescent="0.25">
      <c r="I958" s="1"/>
      <c r="J958" s="1"/>
    </row>
    <row r="959" spans="9:10" x14ac:dyDescent="0.25">
      <c r="I959" s="1"/>
      <c r="J959" s="1"/>
    </row>
    <row r="960" spans="9:10" x14ac:dyDescent="0.25">
      <c r="I960" s="1"/>
      <c r="J960" s="1"/>
    </row>
    <row r="961" spans="9:10" x14ac:dyDescent="0.25">
      <c r="I961" s="1"/>
      <c r="J961" s="1"/>
    </row>
    <row r="962" spans="9:10" x14ac:dyDescent="0.25">
      <c r="I962" s="1"/>
      <c r="J962" s="1"/>
    </row>
    <row r="963" spans="9:10" x14ac:dyDescent="0.25">
      <c r="I963" s="1"/>
      <c r="J963" s="1"/>
    </row>
    <row r="964" spans="9:10" x14ac:dyDescent="0.25">
      <c r="I964" s="1"/>
      <c r="J964" s="1"/>
    </row>
    <row r="965" spans="9:10" x14ac:dyDescent="0.25">
      <c r="I965" s="1"/>
      <c r="J965" s="1"/>
    </row>
    <row r="966" spans="9:10" x14ac:dyDescent="0.25">
      <c r="I966" s="1"/>
      <c r="J966" s="1"/>
    </row>
    <row r="967" spans="9:10" x14ac:dyDescent="0.25">
      <c r="I967" s="1"/>
      <c r="J967" s="1"/>
    </row>
    <row r="968" spans="9:10" x14ac:dyDescent="0.25">
      <c r="I968" s="1"/>
      <c r="J968" s="1"/>
    </row>
    <row r="969" spans="9:10" x14ac:dyDescent="0.25">
      <c r="I969" s="1"/>
      <c r="J969" s="1"/>
    </row>
    <row r="970" spans="9:10" x14ac:dyDescent="0.25">
      <c r="I970" s="1"/>
      <c r="J970" s="1"/>
    </row>
    <row r="971" spans="9:10" x14ac:dyDescent="0.25">
      <c r="I971" s="1"/>
      <c r="J971" s="1"/>
    </row>
    <row r="972" spans="9:10" x14ac:dyDescent="0.25">
      <c r="I972" s="1"/>
      <c r="J972" s="1"/>
    </row>
    <row r="973" spans="9:10" x14ac:dyDescent="0.25">
      <c r="I973" s="1"/>
      <c r="J973" s="1"/>
    </row>
    <row r="974" spans="9:10" x14ac:dyDescent="0.25">
      <c r="I974" s="1"/>
      <c r="J974" s="1"/>
    </row>
    <row r="975" spans="9:10" x14ac:dyDescent="0.25">
      <c r="I975" s="1"/>
      <c r="J975" s="1"/>
    </row>
    <row r="976" spans="9:10" x14ac:dyDescent="0.25">
      <c r="I976" s="1"/>
      <c r="J976" s="1"/>
    </row>
    <row r="977" spans="9:10" x14ac:dyDescent="0.25">
      <c r="I977" s="1"/>
      <c r="J977" s="1"/>
    </row>
    <row r="978" spans="9:10" x14ac:dyDescent="0.25">
      <c r="I978" s="1"/>
      <c r="J978" s="1"/>
    </row>
    <row r="979" spans="9:10" x14ac:dyDescent="0.25">
      <c r="I979" s="1"/>
      <c r="J979" s="1"/>
    </row>
    <row r="980" spans="9:10" x14ac:dyDescent="0.25">
      <c r="I980" s="1"/>
      <c r="J980" s="1"/>
    </row>
    <row r="981" spans="9:10" x14ac:dyDescent="0.25">
      <c r="I981" s="1"/>
      <c r="J981" s="1"/>
    </row>
    <row r="982" spans="9:10" x14ac:dyDescent="0.25">
      <c r="I982" s="1"/>
      <c r="J982" s="1"/>
    </row>
    <row r="983" spans="9:10" x14ac:dyDescent="0.25">
      <c r="I983" s="1"/>
      <c r="J983" s="1"/>
    </row>
    <row r="984" spans="9:10" x14ac:dyDescent="0.25">
      <c r="I984" s="1"/>
      <c r="J984" s="1"/>
    </row>
    <row r="985" spans="9:10" x14ac:dyDescent="0.25">
      <c r="I985" s="1"/>
      <c r="J985" s="1"/>
    </row>
    <row r="986" spans="9:10" x14ac:dyDescent="0.25">
      <c r="I986" s="1"/>
      <c r="J986" s="1"/>
    </row>
    <row r="987" spans="9:10" x14ac:dyDescent="0.25">
      <c r="I987" s="1"/>
      <c r="J987" s="1"/>
    </row>
    <row r="988" spans="9:10" x14ac:dyDescent="0.25">
      <c r="I988" s="1"/>
      <c r="J988" s="1"/>
    </row>
    <row r="989" spans="9:10" x14ac:dyDescent="0.25">
      <c r="I989" s="1"/>
      <c r="J989" s="1"/>
    </row>
    <row r="990" spans="9:10" x14ac:dyDescent="0.25">
      <c r="I990" s="1"/>
      <c r="J990" s="1"/>
    </row>
    <row r="991" spans="9:10" x14ac:dyDescent="0.25">
      <c r="I991" s="1"/>
      <c r="J991" s="1"/>
    </row>
    <row r="992" spans="9:10" x14ac:dyDescent="0.25">
      <c r="I992" s="1"/>
      <c r="J992" s="1"/>
    </row>
    <row r="993" spans="9:10" x14ac:dyDescent="0.25">
      <c r="I993" s="1"/>
      <c r="J993" s="1"/>
    </row>
    <row r="994" spans="9:10" x14ac:dyDescent="0.25">
      <c r="I994" s="1"/>
      <c r="J994" s="1"/>
    </row>
    <row r="995" spans="9:10" x14ac:dyDescent="0.25">
      <c r="I995" s="1"/>
      <c r="J995" s="1"/>
    </row>
    <row r="996" spans="9:10" x14ac:dyDescent="0.25">
      <c r="I996" s="1"/>
      <c r="J996" s="1"/>
    </row>
    <row r="997" spans="9:10" x14ac:dyDescent="0.25">
      <c r="I997" s="1"/>
      <c r="J997" s="1"/>
    </row>
    <row r="998" spans="9:10" x14ac:dyDescent="0.25">
      <c r="I998" s="1"/>
      <c r="J998" s="1"/>
    </row>
    <row r="999" spans="9:10" x14ac:dyDescent="0.25">
      <c r="I999" s="1"/>
      <c r="J999" s="1"/>
    </row>
    <row r="1000" spans="9:10" x14ac:dyDescent="0.25">
      <c r="I1000" s="1"/>
      <c r="J1000" s="1"/>
    </row>
    <row r="1001" spans="9:10" x14ac:dyDescent="0.25">
      <c r="I1001" s="1"/>
      <c r="J1001" s="1"/>
    </row>
    <row r="1002" spans="9:10" x14ac:dyDescent="0.25">
      <c r="I1002" s="1"/>
      <c r="J1002" s="1"/>
    </row>
    <row r="1003" spans="9:10" x14ac:dyDescent="0.25">
      <c r="I1003" s="1"/>
      <c r="J1003" s="1"/>
    </row>
    <row r="1004" spans="9:10" x14ac:dyDescent="0.25">
      <c r="I1004" s="1"/>
      <c r="J1004" s="1"/>
    </row>
    <row r="1005" spans="9:10" x14ac:dyDescent="0.25">
      <c r="I1005" s="1"/>
      <c r="J1005" s="1"/>
    </row>
    <row r="1006" spans="9:10" x14ac:dyDescent="0.25">
      <c r="I1006" s="1"/>
      <c r="J1006" s="1"/>
    </row>
    <row r="1007" spans="9:10" x14ac:dyDescent="0.25">
      <c r="I1007" s="1"/>
      <c r="J1007" s="1"/>
    </row>
    <row r="1008" spans="9:10" x14ac:dyDescent="0.25">
      <c r="I1008" s="1"/>
      <c r="J1008" s="1"/>
    </row>
    <row r="1009" spans="9:10" x14ac:dyDescent="0.25">
      <c r="I1009" s="1"/>
      <c r="J1009" s="1"/>
    </row>
    <row r="1010" spans="9:10" x14ac:dyDescent="0.25">
      <c r="I1010" s="1"/>
      <c r="J1010" s="1"/>
    </row>
    <row r="1011" spans="9:10" x14ac:dyDescent="0.25">
      <c r="I1011" s="1"/>
      <c r="J1011" s="1"/>
    </row>
    <row r="1012" spans="9:10" x14ac:dyDescent="0.25">
      <c r="I1012" s="1"/>
      <c r="J1012" s="1"/>
    </row>
    <row r="1013" spans="9:10" x14ac:dyDescent="0.25">
      <c r="I1013" s="1"/>
      <c r="J1013" s="1"/>
    </row>
    <row r="1014" spans="9:10" x14ac:dyDescent="0.25">
      <c r="I1014" s="1"/>
      <c r="J1014" s="1"/>
    </row>
    <row r="1015" spans="9:10" x14ac:dyDescent="0.25">
      <c r="I1015" s="1"/>
      <c r="J1015" s="1"/>
    </row>
    <row r="1016" spans="9:10" x14ac:dyDescent="0.25">
      <c r="I1016" s="1"/>
      <c r="J1016" s="1"/>
    </row>
    <row r="1017" spans="9:10" x14ac:dyDescent="0.25">
      <c r="I1017" s="1"/>
      <c r="J1017" s="1"/>
    </row>
    <row r="1018" spans="9:10" x14ac:dyDescent="0.25">
      <c r="I1018" s="1"/>
      <c r="J1018" s="1"/>
    </row>
    <row r="1019" spans="9:10" x14ac:dyDescent="0.25">
      <c r="I1019" s="1"/>
      <c r="J1019" s="1"/>
    </row>
    <row r="1020" spans="9:10" x14ac:dyDescent="0.25">
      <c r="I1020" s="1"/>
      <c r="J1020" s="1"/>
    </row>
    <row r="1021" spans="9:10" x14ac:dyDescent="0.25">
      <c r="I1021" s="1"/>
      <c r="J1021" s="1"/>
    </row>
    <row r="1022" spans="9:10" x14ac:dyDescent="0.25">
      <c r="I1022" s="1"/>
      <c r="J1022" s="1"/>
    </row>
    <row r="1023" spans="9:10" x14ac:dyDescent="0.25">
      <c r="I1023" s="1"/>
      <c r="J1023" s="1"/>
    </row>
    <row r="1024" spans="9:10" x14ac:dyDescent="0.25">
      <c r="I1024" s="1"/>
      <c r="J1024" s="1"/>
    </row>
    <row r="1025" spans="9:10" x14ac:dyDescent="0.25">
      <c r="I1025" s="1"/>
      <c r="J1025" s="1"/>
    </row>
    <row r="1026" spans="9:10" x14ac:dyDescent="0.25">
      <c r="I1026" s="1"/>
      <c r="J1026" s="1"/>
    </row>
    <row r="1027" spans="9:10" x14ac:dyDescent="0.25">
      <c r="I1027" s="1"/>
      <c r="J1027" s="1"/>
    </row>
    <row r="1028" spans="9:10" x14ac:dyDescent="0.25">
      <c r="I1028" s="1"/>
      <c r="J1028" s="1"/>
    </row>
    <row r="1029" spans="9:10" x14ac:dyDescent="0.25">
      <c r="I1029" s="1"/>
      <c r="J1029" s="1"/>
    </row>
    <row r="1030" spans="9:10" x14ac:dyDescent="0.25">
      <c r="I1030" s="1"/>
      <c r="J1030" s="1"/>
    </row>
    <row r="1031" spans="9:10" x14ac:dyDescent="0.25">
      <c r="I1031" s="1"/>
      <c r="J1031" s="1"/>
    </row>
    <row r="1032" spans="9:10" x14ac:dyDescent="0.25">
      <c r="I1032" s="1"/>
      <c r="J1032" s="1"/>
    </row>
    <row r="1033" spans="9:10" x14ac:dyDescent="0.25">
      <c r="I1033" s="1"/>
      <c r="J1033" s="1"/>
    </row>
    <row r="1034" spans="9:10" x14ac:dyDescent="0.25">
      <c r="I1034" s="1"/>
      <c r="J1034" s="1"/>
    </row>
    <row r="1035" spans="9:10" x14ac:dyDescent="0.25">
      <c r="I1035" s="1"/>
      <c r="J1035" s="1"/>
    </row>
    <row r="1036" spans="9:10" x14ac:dyDescent="0.25">
      <c r="I1036" s="1"/>
      <c r="J1036" s="1"/>
    </row>
    <row r="1037" spans="9:10" x14ac:dyDescent="0.25">
      <c r="I1037" s="1"/>
      <c r="J1037" s="1"/>
    </row>
    <row r="1038" spans="9:10" x14ac:dyDescent="0.25">
      <c r="I1038" s="1"/>
      <c r="J1038" s="1"/>
    </row>
    <row r="1039" spans="9:10" x14ac:dyDescent="0.25">
      <c r="I1039" s="1"/>
      <c r="J1039" s="1"/>
    </row>
    <row r="1040" spans="9:10" x14ac:dyDescent="0.25">
      <c r="I1040" s="1"/>
      <c r="J1040" s="1"/>
    </row>
    <row r="1041" spans="9:11" x14ac:dyDescent="0.25">
      <c r="I1041" s="1"/>
      <c r="J1041" s="1"/>
    </row>
    <row r="1042" spans="9:11" x14ac:dyDescent="0.25">
      <c r="I1042" s="1"/>
      <c r="J1042" s="1"/>
    </row>
    <row r="1043" spans="9:11" x14ac:dyDescent="0.25">
      <c r="I1043" s="1"/>
      <c r="J1043" s="1"/>
    </row>
    <row r="1044" spans="9:11" x14ac:dyDescent="0.25">
      <c r="I1044" s="1"/>
      <c r="J1044" s="1"/>
    </row>
    <row r="1045" spans="9:11" x14ac:dyDescent="0.25">
      <c r="I1045" s="1"/>
      <c r="J1045" s="1"/>
    </row>
    <row r="1046" spans="9:11" x14ac:dyDescent="0.25">
      <c r="I1046" s="1"/>
      <c r="J1046" s="1"/>
      <c r="K1046" s="1"/>
    </row>
    <row r="1047" spans="9:11" x14ac:dyDescent="0.25">
      <c r="I1047" s="1"/>
      <c r="J1047" s="1"/>
    </row>
    <row r="1048" spans="9:11" x14ac:dyDescent="0.25">
      <c r="I1048" s="1"/>
      <c r="J1048" s="1"/>
    </row>
    <row r="1049" spans="9:11" x14ac:dyDescent="0.25">
      <c r="I1049" s="1"/>
      <c r="J1049" s="1"/>
    </row>
    <row r="1050" spans="9:11" x14ac:dyDescent="0.25">
      <c r="I1050" s="1"/>
      <c r="J1050" s="1"/>
    </row>
    <row r="1051" spans="9:11" x14ac:dyDescent="0.25">
      <c r="I1051" s="1"/>
      <c r="J1051" s="1"/>
    </row>
    <row r="1052" spans="9:11" x14ac:dyDescent="0.25">
      <c r="I1052" s="1"/>
      <c r="J1052" s="1"/>
    </row>
    <row r="1053" spans="9:11" x14ac:dyDescent="0.25">
      <c r="I1053" s="1"/>
      <c r="J1053" s="1"/>
    </row>
    <row r="1054" spans="9:11" x14ac:dyDescent="0.25">
      <c r="I1054" s="1"/>
      <c r="J1054" s="1"/>
    </row>
    <row r="1055" spans="9:11" x14ac:dyDescent="0.25">
      <c r="I1055" s="1"/>
      <c r="J1055" s="1"/>
    </row>
    <row r="1056" spans="9:11" x14ac:dyDescent="0.25">
      <c r="I1056" s="1"/>
      <c r="J1056" s="1"/>
    </row>
    <row r="1057" spans="9:10" x14ac:dyDescent="0.25">
      <c r="I1057" s="1"/>
      <c r="J1057" s="1"/>
    </row>
    <row r="1058" spans="9:10" x14ac:dyDescent="0.25">
      <c r="I1058" s="1"/>
      <c r="J1058" s="1"/>
    </row>
    <row r="1059" spans="9:10" x14ac:dyDescent="0.25">
      <c r="I1059" s="1"/>
      <c r="J1059" s="1"/>
    </row>
    <row r="1060" spans="9:10" x14ac:dyDescent="0.25">
      <c r="I1060" s="1"/>
      <c r="J1060" s="1"/>
    </row>
    <row r="1061" spans="9:10" x14ac:dyDescent="0.25">
      <c r="I1061" s="1"/>
      <c r="J1061" s="1"/>
    </row>
    <row r="1062" spans="9:10" x14ac:dyDescent="0.25">
      <c r="I1062" s="1"/>
      <c r="J1062" s="1"/>
    </row>
    <row r="1063" spans="9:10" x14ac:dyDescent="0.25">
      <c r="I1063" s="1"/>
      <c r="J1063" s="1"/>
    </row>
    <row r="1064" spans="9:10" x14ac:dyDescent="0.25">
      <c r="I1064" s="1"/>
      <c r="J1064" s="1"/>
    </row>
    <row r="1065" spans="9:10" x14ac:dyDescent="0.25">
      <c r="I1065" s="1"/>
      <c r="J1065" s="1"/>
    </row>
    <row r="1066" spans="9:10" x14ac:dyDescent="0.25">
      <c r="I1066" s="1"/>
      <c r="J1066" s="1"/>
    </row>
    <row r="1067" spans="9:10" x14ac:dyDescent="0.25">
      <c r="I1067" s="1"/>
      <c r="J1067" s="1"/>
    </row>
    <row r="1068" spans="9:10" x14ac:dyDescent="0.25">
      <c r="I1068" s="1"/>
      <c r="J1068" s="1"/>
    </row>
    <row r="1069" spans="9:10" x14ac:dyDescent="0.25">
      <c r="I1069" s="1"/>
      <c r="J1069" s="1"/>
    </row>
    <row r="1070" spans="9:10" x14ac:dyDescent="0.25">
      <c r="I1070" s="1"/>
      <c r="J1070" s="1"/>
    </row>
    <row r="1071" spans="9:10" x14ac:dyDescent="0.25">
      <c r="I1071" s="1"/>
      <c r="J1071" s="1"/>
    </row>
    <row r="1072" spans="9:10" x14ac:dyDescent="0.25">
      <c r="I1072" s="1"/>
      <c r="J1072" s="1"/>
    </row>
    <row r="1073" spans="9:10" x14ac:dyDescent="0.25">
      <c r="I1073" s="1"/>
      <c r="J1073" s="1"/>
    </row>
    <row r="1074" spans="9:10" x14ac:dyDescent="0.25">
      <c r="I1074" s="1"/>
      <c r="J1074" s="1"/>
    </row>
    <row r="1075" spans="9:10" x14ac:dyDescent="0.25">
      <c r="I1075" s="1"/>
      <c r="J1075" s="1"/>
    </row>
    <row r="1076" spans="9:10" x14ac:dyDescent="0.25">
      <c r="I1076" s="1"/>
      <c r="J1076" s="1"/>
    </row>
    <row r="1077" spans="9:10" x14ac:dyDescent="0.25">
      <c r="I1077" s="1"/>
      <c r="J1077" s="1"/>
    </row>
    <row r="1078" spans="9:10" x14ac:dyDescent="0.25">
      <c r="I1078" s="1"/>
      <c r="J1078" s="1"/>
    </row>
    <row r="1079" spans="9:10" x14ac:dyDescent="0.25">
      <c r="I1079" s="1"/>
      <c r="J1079" s="1"/>
    </row>
    <row r="1080" spans="9:10" x14ac:dyDescent="0.25">
      <c r="I1080" s="1"/>
      <c r="J1080" s="1"/>
    </row>
    <row r="1081" spans="9:10" x14ac:dyDescent="0.25">
      <c r="I1081" s="1"/>
      <c r="J1081" s="1"/>
    </row>
    <row r="1082" spans="9:10" x14ac:dyDescent="0.25">
      <c r="I1082" s="1"/>
      <c r="J1082" s="1"/>
    </row>
    <row r="1083" spans="9:10" x14ac:dyDescent="0.25">
      <c r="I1083" s="1"/>
      <c r="J1083" s="1"/>
    </row>
    <row r="1084" spans="9:10" x14ac:dyDescent="0.25">
      <c r="I1084" s="1"/>
      <c r="J1084" s="1"/>
    </row>
    <row r="1085" spans="9:10" x14ac:dyDescent="0.25">
      <c r="I1085" s="1"/>
      <c r="J1085" s="1"/>
    </row>
    <row r="1086" spans="9:10" x14ac:dyDescent="0.25">
      <c r="I1086" s="1"/>
      <c r="J1086" s="1"/>
    </row>
    <row r="1087" spans="9:10" x14ac:dyDescent="0.25">
      <c r="I1087" s="1"/>
      <c r="J1087" s="1"/>
    </row>
    <row r="1088" spans="9:10" x14ac:dyDescent="0.25">
      <c r="I1088" s="1"/>
      <c r="J1088" s="1"/>
    </row>
    <row r="1089" spans="9:10" x14ac:dyDescent="0.25">
      <c r="I1089" s="1"/>
      <c r="J1089" s="1"/>
    </row>
    <row r="1090" spans="9:10" x14ac:dyDescent="0.25">
      <c r="I1090" s="1"/>
      <c r="J1090" s="1"/>
    </row>
    <row r="1091" spans="9:10" x14ac:dyDescent="0.25">
      <c r="I1091" s="1"/>
      <c r="J1091" s="1"/>
    </row>
    <row r="1092" spans="9:10" x14ac:dyDescent="0.25">
      <c r="I1092" s="1"/>
      <c r="J1092" s="1"/>
    </row>
    <row r="1093" spans="9:10" x14ac:dyDescent="0.25">
      <c r="I1093" s="1"/>
      <c r="J1093" s="1"/>
    </row>
    <row r="1094" spans="9:10" x14ac:dyDescent="0.25">
      <c r="I1094" s="1"/>
      <c r="J1094" s="1"/>
    </row>
    <row r="1095" spans="9:10" x14ac:dyDescent="0.25">
      <c r="I1095" s="1"/>
      <c r="J1095" s="1"/>
    </row>
    <row r="1096" spans="9:10" x14ac:dyDescent="0.25">
      <c r="I1096" s="1"/>
      <c r="J1096" s="1"/>
    </row>
    <row r="1097" spans="9:10" x14ac:dyDescent="0.25">
      <c r="I1097" s="1"/>
      <c r="J1097" s="1"/>
    </row>
    <row r="1098" spans="9:10" x14ac:dyDescent="0.25">
      <c r="I1098" s="1"/>
      <c r="J1098" s="1"/>
    </row>
    <row r="1099" spans="9:10" x14ac:dyDescent="0.25">
      <c r="I1099" s="1"/>
      <c r="J1099" s="1"/>
    </row>
    <row r="1100" spans="9:10" x14ac:dyDescent="0.25">
      <c r="I1100" s="1"/>
      <c r="J1100" s="1"/>
    </row>
    <row r="1101" spans="9:10" x14ac:dyDescent="0.25">
      <c r="I1101" s="1"/>
      <c r="J1101" s="1"/>
    </row>
    <row r="1102" spans="9:10" x14ac:dyDescent="0.25">
      <c r="I1102" s="1"/>
      <c r="J1102" s="1"/>
    </row>
    <row r="1103" spans="9:10" x14ac:dyDescent="0.25">
      <c r="I1103" s="1"/>
      <c r="J1103" s="1"/>
    </row>
    <row r="1104" spans="9:10" x14ac:dyDescent="0.25">
      <c r="I1104" s="1"/>
      <c r="J1104" s="1"/>
    </row>
    <row r="1105" spans="9:10" x14ac:dyDescent="0.25">
      <c r="I1105" s="1"/>
      <c r="J1105" s="1"/>
    </row>
    <row r="1106" spans="9:10" x14ac:dyDescent="0.25">
      <c r="I1106" s="1"/>
      <c r="J1106" s="1"/>
    </row>
    <row r="1107" spans="9:10" x14ac:dyDescent="0.25">
      <c r="I1107" s="1"/>
      <c r="J1107" s="1"/>
    </row>
    <row r="1108" spans="9:10" x14ac:dyDescent="0.25">
      <c r="I1108" s="1"/>
      <c r="J1108" s="1"/>
    </row>
    <row r="1109" spans="9:10" x14ac:dyDescent="0.25">
      <c r="I1109" s="1"/>
      <c r="J1109" s="1"/>
    </row>
    <row r="1110" spans="9:10" x14ac:dyDescent="0.25">
      <c r="I1110" s="1"/>
      <c r="J1110" s="1"/>
    </row>
    <row r="1111" spans="9:10" x14ac:dyDescent="0.25">
      <c r="I1111" s="1"/>
      <c r="J1111" s="1"/>
    </row>
    <row r="1112" spans="9:10" x14ac:dyDescent="0.25">
      <c r="I1112" s="1"/>
      <c r="J1112" s="1"/>
    </row>
    <row r="1113" spans="9:10" x14ac:dyDescent="0.25">
      <c r="I1113" s="1"/>
      <c r="J1113" s="1"/>
    </row>
    <row r="1114" spans="9:10" x14ac:dyDescent="0.25">
      <c r="I1114" s="1"/>
      <c r="J1114" s="1"/>
    </row>
    <row r="1115" spans="9:10" x14ac:dyDescent="0.25">
      <c r="I1115" s="1"/>
      <c r="J1115" s="1"/>
    </row>
    <row r="1116" spans="9:10" x14ac:dyDescent="0.25">
      <c r="I1116" s="1"/>
      <c r="J1116" s="1"/>
    </row>
    <row r="1117" spans="9:10" x14ac:dyDescent="0.25">
      <c r="I1117" s="1"/>
      <c r="J1117" s="1"/>
    </row>
    <row r="1118" spans="9:10" x14ac:dyDescent="0.25">
      <c r="I1118" s="1"/>
      <c r="J1118" s="1"/>
    </row>
    <row r="1119" spans="9:10" x14ac:dyDescent="0.25">
      <c r="I1119" s="1"/>
      <c r="J1119" s="1"/>
    </row>
    <row r="1120" spans="9:10" x14ac:dyDescent="0.25">
      <c r="I1120" s="1"/>
      <c r="J1120" s="1"/>
    </row>
    <row r="1121" spans="9:11" x14ac:dyDescent="0.25">
      <c r="I1121" s="1"/>
      <c r="J1121" s="1"/>
    </row>
    <row r="1122" spans="9:11" x14ac:dyDescent="0.25">
      <c r="I1122" s="1"/>
      <c r="J1122" s="1"/>
      <c r="K1122" s="1"/>
    </row>
    <row r="1123" spans="9:11" x14ac:dyDescent="0.25">
      <c r="I1123" s="1"/>
      <c r="J1123" s="1"/>
    </row>
    <row r="1124" spans="9:11" x14ac:dyDescent="0.25">
      <c r="I1124" s="1"/>
      <c r="J1124" s="1"/>
    </row>
    <row r="1125" spans="9:11" x14ac:dyDescent="0.25">
      <c r="I1125" s="1"/>
      <c r="J1125" s="1"/>
    </row>
    <row r="1126" spans="9:11" x14ac:dyDescent="0.25">
      <c r="I1126" s="1"/>
      <c r="J1126" s="1"/>
    </row>
    <row r="1127" spans="9:11" x14ac:dyDescent="0.25">
      <c r="I1127" s="1"/>
      <c r="J1127" s="1"/>
    </row>
    <row r="1128" spans="9:11" x14ac:dyDescent="0.25">
      <c r="I1128" s="1"/>
      <c r="J1128" s="1"/>
    </row>
    <row r="1129" spans="9:11" x14ac:dyDescent="0.25">
      <c r="I1129" s="1"/>
      <c r="J1129" s="1"/>
    </row>
    <row r="1130" spans="9:11" x14ac:dyDescent="0.25">
      <c r="I1130" s="1"/>
      <c r="J1130" s="1"/>
    </row>
    <row r="1131" spans="9:11" x14ac:dyDescent="0.25">
      <c r="I1131" s="1"/>
      <c r="J1131" s="1"/>
    </row>
    <row r="1132" spans="9:11" x14ac:dyDescent="0.25">
      <c r="I1132" s="1"/>
      <c r="J1132" s="1"/>
    </row>
    <row r="1133" spans="9:11" x14ac:dyDescent="0.25">
      <c r="I1133" s="1"/>
      <c r="J1133" s="1"/>
    </row>
    <row r="1134" spans="9:11" x14ac:dyDescent="0.25">
      <c r="I1134" s="1"/>
      <c r="J1134" s="1"/>
    </row>
    <row r="1135" spans="9:11" x14ac:dyDescent="0.25">
      <c r="I1135" s="1"/>
      <c r="J1135" s="1"/>
    </row>
    <row r="1136" spans="9:11" x14ac:dyDescent="0.25">
      <c r="I1136" s="1"/>
      <c r="J1136" s="1"/>
    </row>
    <row r="1137" spans="9:10" x14ac:dyDescent="0.25">
      <c r="I1137" s="1"/>
      <c r="J1137" s="1"/>
    </row>
    <row r="1138" spans="9:10" x14ac:dyDescent="0.25">
      <c r="I1138" s="1"/>
      <c r="J1138" s="1"/>
    </row>
    <row r="1139" spans="9:10" x14ac:dyDescent="0.25">
      <c r="I1139" s="1"/>
      <c r="J1139" s="1"/>
    </row>
    <row r="1140" spans="9:10" x14ac:dyDescent="0.25">
      <c r="I1140" s="1"/>
      <c r="J1140" s="1"/>
    </row>
    <row r="1141" spans="9:10" x14ac:dyDescent="0.25">
      <c r="I1141" s="1"/>
      <c r="J1141" s="1"/>
    </row>
    <row r="1142" spans="9:10" x14ac:dyDescent="0.25">
      <c r="I1142" s="1"/>
      <c r="J1142" s="1"/>
    </row>
    <row r="1143" spans="9:10" x14ac:dyDescent="0.25">
      <c r="I1143" s="1"/>
      <c r="J1143" s="1"/>
    </row>
    <row r="1144" spans="9:10" x14ac:dyDescent="0.25">
      <c r="I1144" s="1"/>
      <c r="J1144" s="1"/>
    </row>
    <row r="1145" spans="9:10" x14ac:dyDescent="0.25">
      <c r="I1145" s="1"/>
      <c r="J1145" s="1"/>
    </row>
    <row r="1146" spans="9:10" x14ac:dyDescent="0.25">
      <c r="I1146" s="1"/>
      <c r="J1146" s="1"/>
    </row>
    <row r="1147" spans="9:10" x14ac:dyDescent="0.25">
      <c r="I1147" s="1"/>
      <c r="J1147" s="1"/>
    </row>
    <row r="1148" spans="9:10" x14ac:dyDescent="0.25">
      <c r="I1148" s="1"/>
      <c r="J1148" s="1"/>
    </row>
    <row r="1149" spans="9:10" x14ac:dyDescent="0.25">
      <c r="I1149" s="1"/>
      <c r="J1149" s="1"/>
    </row>
    <row r="1150" spans="9:10" x14ac:dyDescent="0.25">
      <c r="I1150" s="1"/>
      <c r="J1150" s="1"/>
    </row>
    <row r="1151" spans="9:10" x14ac:dyDescent="0.25">
      <c r="I1151" s="1"/>
      <c r="J1151" s="1"/>
    </row>
    <row r="1152" spans="9:10" x14ac:dyDescent="0.25">
      <c r="I1152" s="1"/>
      <c r="J1152" s="1"/>
    </row>
    <row r="1153" spans="9:10" x14ac:dyDescent="0.25">
      <c r="I1153" s="1"/>
      <c r="J1153" s="1"/>
    </row>
    <row r="1154" spans="9:10" x14ac:dyDescent="0.25">
      <c r="I1154" s="1"/>
      <c r="J1154" s="1"/>
    </row>
    <row r="1155" spans="9:10" x14ac:dyDescent="0.25">
      <c r="I1155" s="1"/>
      <c r="J1155" s="1"/>
    </row>
    <row r="1156" spans="9:10" x14ac:dyDescent="0.25">
      <c r="I1156" s="1"/>
      <c r="J1156" s="1"/>
    </row>
    <row r="1157" spans="9:10" x14ac:dyDescent="0.25">
      <c r="I1157" s="1"/>
      <c r="J1157" s="1"/>
    </row>
    <row r="1158" spans="9:10" x14ac:dyDescent="0.25">
      <c r="I1158" s="1"/>
      <c r="J1158" s="1"/>
    </row>
    <row r="1159" spans="9:10" x14ac:dyDescent="0.25">
      <c r="I1159" s="1"/>
      <c r="J1159" s="1"/>
    </row>
    <row r="1160" spans="9:10" x14ac:dyDescent="0.25">
      <c r="I1160" s="1"/>
      <c r="J1160" s="1"/>
    </row>
    <row r="1161" spans="9:10" x14ac:dyDescent="0.25">
      <c r="I1161" s="1"/>
      <c r="J1161" s="1"/>
    </row>
    <row r="1162" spans="9:10" x14ac:dyDescent="0.25">
      <c r="I1162" s="1"/>
      <c r="J1162" s="1"/>
    </row>
    <row r="1163" spans="9:10" x14ac:dyDescent="0.25">
      <c r="I1163" s="1"/>
      <c r="J1163" s="1"/>
    </row>
    <row r="1164" spans="9:10" x14ac:dyDescent="0.25">
      <c r="I1164" s="1"/>
      <c r="J1164" s="1"/>
    </row>
    <row r="1165" spans="9:10" x14ac:dyDescent="0.25">
      <c r="I1165" s="1"/>
      <c r="J1165" s="1"/>
    </row>
    <row r="1166" spans="9:10" x14ac:dyDescent="0.25">
      <c r="I1166" s="1"/>
      <c r="J1166" s="1"/>
    </row>
    <row r="1167" spans="9:10" x14ac:dyDescent="0.25">
      <c r="I1167" s="1"/>
      <c r="J1167" s="1"/>
    </row>
    <row r="1168" spans="9:10" x14ac:dyDescent="0.25">
      <c r="I1168" s="1"/>
      <c r="J1168" s="1"/>
    </row>
    <row r="1169" spans="9:10" x14ac:dyDescent="0.25">
      <c r="I1169" s="1"/>
      <c r="J1169" s="1"/>
    </row>
    <row r="1170" spans="9:10" x14ac:dyDescent="0.25">
      <c r="I1170" s="1"/>
      <c r="J1170" s="1"/>
    </row>
    <row r="1171" spans="9:10" x14ac:dyDescent="0.25">
      <c r="I1171" s="1"/>
      <c r="J1171" s="1"/>
    </row>
    <row r="1172" spans="9:10" x14ac:dyDescent="0.25">
      <c r="I1172" s="1"/>
      <c r="J1172" s="1"/>
    </row>
    <row r="1173" spans="9:10" x14ac:dyDescent="0.25">
      <c r="I1173" s="1"/>
      <c r="J1173" s="1"/>
    </row>
    <row r="1174" spans="9:10" x14ac:dyDescent="0.25">
      <c r="I1174" s="1"/>
      <c r="J1174" s="1"/>
    </row>
    <row r="1175" spans="9:10" x14ac:dyDescent="0.25">
      <c r="I1175" s="1"/>
      <c r="J1175" s="1"/>
    </row>
    <row r="1176" spans="9:10" x14ac:dyDescent="0.25">
      <c r="I1176" s="1"/>
      <c r="J1176" s="1"/>
    </row>
    <row r="1177" spans="9:10" x14ac:dyDescent="0.25">
      <c r="I1177" s="1"/>
      <c r="J1177" s="1"/>
    </row>
    <row r="1178" spans="9:10" x14ac:dyDescent="0.25">
      <c r="I1178" s="1"/>
      <c r="J1178" s="1"/>
    </row>
    <row r="1179" spans="9:10" x14ac:dyDescent="0.25">
      <c r="I1179" s="1"/>
      <c r="J1179" s="1"/>
    </row>
    <row r="1180" spans="9:10" x14ac:dyDescent="0.25">
      <c r="I1180" s="1"/>
      <c r="J1180" s="1"/>
    </row>
    <row r="1181" spans="9:10" x14ac:dyDescent="0.25">
      <c r="I1181" s="1"/>
      <c r="J1181" s="1"/>
    </row>
    <row r="1182" spans="9:10" x14ac:dyDescent="0.25">
      <c r="I1182" s="1"/>
      <c r="J1182" s="1"/>
    </row>
    <row r="1183" spans="9:10" x14ac:dyDescent="0.25">
      <c r="I1183" s="1"/>
      <c r="J1183" s="1"/>
    </row>
    <row r="1184" spans="9:10" x14ac:dyDescent="0.25">
      <c r="I1184" s="1"/>
      <c r="J1184" s="1"/>
    </row>
    <row r="1185" spans="9:10" x14ac:dyDescent="0.25">
      <c r="I1185" s="1"/>
      <c r="J1185" s="1"/>
    </row>
    <row r="1186" spans="9:10" x14ac:dyDescent="0.25">
      <c r="I1186" s="1"/>
      <c r="J1186" s="1"/>
    </row>
    <row r="1187" spans="9:10" x14ac:dyDescent="0.25">
      <c r="I1187" s="1"/>
      <c r="J1187" s="1"/>
    </row>
    <row r="1188" spans="9:10" x14ac:dyDescent="0.25">
      <c r="I1188" s="1"/>
      <c r="J1188" s="1"/>
    </row>
    <row r="1189" spans="9:10" x14ac:dyDescent="0.25">
      <c r="I1189" s="1"/>
      <c r="J1189" s="1"/>
    </row>
    <row r="1190" spans="9:10" x14ac:dyDescent="0.25">
      <c r="I1190" s="1"/>
      <c r="J1190" s="1"/>
    </row>
    <row r="1191" spans="9:10" x14ac:dyDescent="0.25">
      <c r="I1191" s="1"/>
      <c r="J1191" s="1"/>
    </row>
    <row r="1192" spans="9:10" x14ac:dyDescent="0.25">
      <c r="I1192" s="1"/>
      <c r="J1192" s="1"/>
    </row>
    <row r="1193" spans="9:10" x14ac:dyDescent="0.25">
      <c r="I1193" s="1"/>
      <c r="J1193" s="1"/>
    </row>
    <row r="1194" spans="9:10" x14ac:dyDescent="0.25">
      <c r="I1194" s="1"/>
      <c r="J1194" s="1"/>
    </row>
    <row r="1195" spans="9:10" x14ac:dyDescent="0.25">
      <c r="I1195" s="1"/>
      <c r="J1195" s="1"/>
    </row>
    <row r="1196" spans="9:10" x14ac:dyDescent="0.25">
      <c r="I1196" s="1"/>
      <c r="J1196" s="1"/>
    </row>
    <row r="1197" spans="9:10" x14ac:dyDescent="0.25">
      <c r="I1197" s="1"/>
      <c r="J1197" s="1"/>
    </row>
    <row r="1198" spans="9:10" x14ac:dyDescent="0.25">
      <c r="I1198" s="1"/>
      <c r="J1198" s="1"/>
    </row>
    <row r="1199" spans="9:10" x14ac:dyDescent="0.25">
      <c r="I1199" s="1"/>
      <c r="J1199" s="1"/>
    </row>
    <row r="1200" spans="9:10" x14ac:dyDescent="0.25">
      <c r="I1200" s="1"/>
      <c r="J1200" s="1"/>
    </row>
    <row r="1201" spans="9:10" x14ac:dyDescent="0.25">
      <c r="I1201" s="1"/>
      <c r="J1201" s="1"/>
    </row>
    <row r="1202" spans="9:10" x14ac:dyDescent="0.25">
      <c r="I1202" s="1"/>
      <c r="J1202" s="1"/>
    </row>
    <row r="1203" spans="9:10" x14ac:dyDescent="0.25">
      <c r="I1203" s="1"/>
      <c r="J1203" s="1"/>
    </row>
    <row r="1204" spans="9:10" x14ac:dyDescent="0.25">
      <c r="I1204" s="1"/>
      <c r="J1204" s="1"/>
    </row>
    <row r="1205" spans="9:10" x14ac:dyDescent="0.25">
      <c r="I1205" s="1"/>
      <c r="J1205" s="1"/>
    </row>
    <row r="1206" spans="9:10" x14ac:dyDescent="0.25">
      <c r="I1206" s="1"/>
      <c r="J1206" s="1"/>
    </row>
    <row r="1207" spans="9:10" x14ac:dyDescent="0.25">
      <c r="I1207" s="1"/>
      <c r="J1207" s="1"/>
    </row>
    <row r="1208" spans="9:10" x14ac:dyDescent="0.25">
      <c r="I1208" s="1"/>
      <c r="J1208" s="1"/>
    </row>
    <row r="1209" spans="9:10" x14ac:dyDescent="0.25">
      <c r="I1209" s="1"/>
      <c r="J1209" s="1"/>
    </row>
    <row r="1210" spans="9:10" x14ac:dyDescent="0.25">
      <c r="I1210" s="1"/>
      <c r="J1210" s="1"/>
    </row>
    <row r="1211" spans="9:10" x14ac:dyDescent="0.25">
      <c r="I1211" s="1"/>
      <c r="J1211" s="1"/>
    </row>
    <row r="1212" spans="9:10" x14ac:dyDescent="0.25">
      <c r="I1212" s="1"/>
      <c r="J1212" s="1"/>
    </row>
    <row r="1213" spans="9:10" x14ac:dyDescent="0.25">
      <c r="I1213" s="1"/>
      <c r="J1213" s="1"/>
    </row>
    <row r="1214" spans="9:10" x14ac:dyDescent="0.25">
      <c r="I1214" s="1"/>
      <c r="J1214" s="1"/>
    </row>
    <row r="1215" spans="9:10" x14ac:dyDescent="0.25">
      <c r="I1215" s="1"/>
      <c r="J1215" s="1"/>
    </row>
    <row r="1216" spans="9:10" x14ac:dyDescent="0.25">
      <c r="I1216" s="1"/>
      <c r="J1216" s="1"/>
    </row>
    <row r="1217" spans="9:10" x14ac:dyDescent="0.25">
      <c r="I1217" s="1"/>
      <c r="J1217" s="1"/>
    </row>
    <row r="1218" spans="9:10" x14ac:dyDescent="0.25">
      <c r="I1218" s="1"/>
      <c r="J1218" s="1"/>
    </row>
    <row r="1219" spans="9:10" x14ac:dyDescent="0.25">
      <c r="I1219" s="1"/>
      <c r="J1219" s="1"/>
    </row>
    <row r="1220" spans="9:10" x14ac:dyDescent="0.25">
      <c r="I1220" s="1"/>
      <c r="J1220" s="1"/>
    </row>
    <row r="1221" spans="9:10" x14ac:dyDescent="0.25">
      <c r="I1221" s="1"/>
      <c r="J1221" s="1"/>
    </row>
    <row r="1222" spans="9:10" x14ac:dyDescent="0.25">
      <c r="I1222" s="1"/>
      <c r="J1222" s="1"/>
    </row>
    <row r="1223" spans="9:10" x14ac:dyDescent="0.25">
      <c r="I1223" s="1"/>
      <c r="J1223" s="1"/>
    </row>
    <row r="1224" spans="9:10" x14ac:dyDescent="0.25">
      <c r="I1224" s="1"/>
      <c r="J1224" s="1"/>
    </row>
    <row r="1225" spans="9:10" x14ac:dyDescent="0.25">
      <c r="I1225" s="1"/>
      <c r="J1225" s="1"/>
    </row>
    <row r="1226" spans="9:10" x14ac:dyDescent="0.25">
      <c r="I1226" s="1"/>
      <c r="J1226" s="1"/>
    </row>
    <row r="1227" spans="9:10" x14ac:dyDescent="0.25">
      <c r="I1227" s="1"/>
      <c r="J1227" s="1"/>
    </row>
    <row r="1228" spans="9:10" x14ac:dyDescent="0.25">
      <c r="I1228" s="1"/>
      <c r="J1228" s="1"/>
    </row>
    <row r="1229" spans="9:10" x14ac:dyDescent="0.25">
      <c r="I1229" s="1"/>
      <c r="J1229" s="1"/>
    </row>
    <row r="1230" spans="9:10" x14ac:dyDescent="0.25">
      <c r="I1230" s="1"/>
      <c r="J1230" s="1"/>
    </row>
    <row r="1231" spans="9:10" x14ac:dyDescent="0.25">
      <c r="I1231" s="1"/>
      <c r="J1231" s="1"/>
    </row>
    <row r="1232" spans="9:10" x14ac:dyDescent="0.25">
      <c r="I1232" s="1"/>
      <c r="J1232" s="1"/>
    </row>
    <row r="1233" spans="9:10" x14ac:dyDescent="0.25">
      <c r="I1233" s="1"/>
      <c r="J1233" s="1"/>
    </row>
    <row r="1234" spans="9:10" x14ac:dyDescent="0.25">
      <c r="I1234" s="1"/>
      <c r="J1234" s="1"/>
    </row>
    <row r="1235" spans="9:10" x14ac:dyDescent="0.25">
      <c r="I1235" s="1"/>
      <c r="J1235" s="1"/>
    </row>
    <row r="1236" spans="9:10" x14ac:dyDescent="0.25">
      <c r="I1236" s="1"/>
      <c r="J1236" s="1"/>
    </row>
    <row r="1237" spans="9:10" x14ac:dyDescent="0.25">
      <c r="I1237" s="1"/>
      <c r="J1237" s="1"/>
    </row>
    <row r="1238" spans="9:10" x14ac:dyDescent="0.25">
      <c r="I1238" s="1"/>
      <c r="J1238" s="1"/>
    </row>
    <row r="1239" spans="9:10" x14ac:dyDescent="0.25">
      <c r="I1239" s="1"/>
      <c r="J1239" s="1"/>
    </row>
    <row r="1240" spans="9:10" x14ac:dyDescent="0.25">
      <c r="I1240" s="1"/>
      <c r="J1240" s="1"/>
    </row>
    <row r="1241" spans="9:10" x14ac:dyDescent="0.25">
      <c r="I1241" s="1"/>
      <c r="J1241" s="1"/>
    </row>
    <row r="1242" spans="9:10" x14ac:dyDescent="0.25">
      <c r="I1242" s="1"/>
      <c r="J1242" s="1"/>
    </row>
    <row r="1243" spans="9:10" x14ac:dyDescent="0.25">
      <c r="I1243" s="1"/>
      <c r="J1243" s="1"/>
    </row>
    <row r="1244" spans="9:10" x14ac:dyDescent="0.25">
      <c r="I1244" s="1"/>
      <c r="J1244" s="1"/>
    </row>
    <row r="1245" spans="9:10" x14ac:dyDescent="0.25">
      <c r="I1245" s="1"/>
      <c r="J1245" s="1"/>
    </row>
    <row r="1246" spans="9:10" x14ac:dyDescent="0.25">
      <c r="I1246" s="1"/>
      <c r="J1246" s="1"/>
    </row>
    <row r="1247" spans="9:10" x14ac:dyDescent="0.25">
      <c r="I1247" s="1"/>
      <c r="J1247" s="1"/>
    </row>
    <row r="1248" spans="9:10" x14ac:dyDescent="0.25">
      <c r="I1248" s="1"/>
      <c r="J1248" s="1"/>
    </row>
    <row r="1249" spans="9:10" x14ac:dyDescent="0.25">
      <c r="I1249" s="1"/>
      <c r="J1249" s="1"/>
    </row>
    <row r="1250" spans="9:10" x14ac:dyDescent="0.25">
      <c r="I1250" s="1"/>
      <c r="J1250" s="1"/>
    </row>
    <row r="1251" spans="9:10" x14ac:dyDescent="0.25">
      <c r="I1251" s="1"/>
      <c r="J1251" s="1"/>
    </row>
    <row r="1252" spans="9:10" x14ac:dyDescent="0.25">
      <c r="I1252" s="1"/>
      <c r="J1252" s="1"/>
    </row>
    <row r="1253" spans="9:10" x14ac:dyDescent="0.25">
      <c r="I1253" s="1"/>
      <c r="J1253" s="1"/>
    </row>
    <row r="1254" spans="9:10" x14ac:dyDescent="0.25">
      <c r="I1254" s="1"/>
      <c r="J1254" s="1"/>
    </row>
    <row r="1255" spans="9:10" x14ac:dyDescent="0.25">
      <c r="I1255" s="1"/>
      <c r="J1255" s="1"/>
    </row>
    <row r="1256" spans="9:10" x14ac:dyDescent="0.25">
      <c r="I1256" s="1"/>
      <c r="J1256" s="1"/>
    </row>
    <row r="1257" spans="9:10" x14ac:dyDescent="0.25">
      <c r="I1257" s="1"/>
      <c r="J1257" s="1"/>
    </row>
    <row r="1258" spans="9:10" x14ac:dyDescent="0.25">
      <c r="I1258" s="1"/>
      <c r="J1258" s="1"/>
    </row>
    <row r="1259" spans="9:10" x14ac:dyDescent="0.25">
      <c r="I1259" s="1"/>
      <c r="J1259" s="1"/>
    </row>
    <row r="1260" spans="9:10" x14ac:dyDescent="0.25">
      <c r="I1260" s="1"/>
      <c r="J1260" s="1"/>
    </row>
    <row r="1261" spans="9:10" x14ac:dyDescent="0.25">
      <c r="I1261" s="1"/>
      <c r="J1261" s="1"/>
    </row>
    <row r="1262" spans="9:10" x14ac:dyDescent="0.25">
      <c r="I1262" s="1"/>
      <c r="J1262" s="1"/>
    </row>
    <row r="1263" spans="9:10" x14ac:dyDescent="0.25">
      <c r="I1263" s="1"/>
      <c r="J1263" s="1"/>
    </row>
    <row r="1264" spans="9:10" x14ac:dyDescent="0.25">
      <c r="I1264" s="1"/>
      <c r="J1264" s="1"/>
    </row>
    <row r="1265" spans="9:10" x14ac:dyDescent="0.25">
      <c r="I1265" s="1"/>
      <c r="J1265" s="1"/>
    </row>
    <row r="1266" spans="9:10" x14ac:dyDescent="0.25">
      <c r="I1266" s="1"/>
      <c r="J1266" s="1"/>
    </row>
    <row r="1267" spans="9:10" x14ac:dyDescent="0.25">
      <c r="I1267" s="1"/>
      <c r="J1267" s="1"/>
    </row>
    <row r="1268" spans="9:10" x14ac:dyDescent="0.25">
      <c r="I1268" s="1"/>
      <c r="J1268" s="1"/>
    </row>
    <row r="1269" spans="9:10" x14ac:dyDescent="0.25">
      <c r="I1269" s="1"/>
      <c r="J1269" s="1"/>
    </row>
    <row r="1270" spans="9:10" x14ac:dyDescent="0.25">
      <c r="I1270" s="1"/>
      <c r="J1270" s="1"/>
    </row>
    <row r="1271" spans="9:10" x14ac:dyDescent="0.25">
      <c r="I1271" s="1"/>
      <c r="J1271" s="1"/>
    </row>
    <row r="1272" spans="9:10" x14ac:dyDescent="0.25">
      <c r="I1272" s="1"/>
      <c r="J1272" s="1"/>
    </row>
    <row r="1273" spans="9:10" x14ac:dyDescent="0.25">
      <c r="I1273" s="1"/>
      <c r="J1273" s="1"/>
    </row>
    <row r="1274" spans="9:10" x14ac:dyDescent="0.25">
      <c r="I1274" s="1"/>
      <c r="J1274" s="1"/>
    </row>
    <row r="1275" spans="9:10" x14ac:dyDescent="0.25">
      <c r="I1275" s="1"/>
      <c r="J1275" s="1"/>
    </row>
    <row r="1276" spans="9:10" x14ac:dyDescent="0.25">
      <c r="I1276" s="1"/>
      <c r="J1276" s="1"/>
    </row>
    <row r="1277" spans="9:10" x14ac:dyDescent="0.25">
      <c r="I1277" s="1"/>
      <c r="J1277" s="1"/>
    </row>
    <row r="1278" spans="9:10" x14ac:dyDescent="0.25">
      <c r="I1278" s="1"/>
      <c r="J1278" s="1"/>
    </row>
    <row r="1279" spans="9:10" x14ac:dyDescent="0.25">
      <c r="I1279" s="1"/>
      <c r="J1279" s="1"/>
    </row>
    <row r="1280" spans="9:10" x14ac:dyDescent="0.25">
      <c r="I1280" s="1"/>
      <c r="J1280" s="1"/>
    </row>
    <row r="1281" spans="9:10" x14ac:dyDescent="0.25">
      <c r="I1281" s="1"/>
      <c r="J1281" s="1"/>
    </row>
    <row r="1282" spans="9:10" x14ac:dyDescent="0.25">
      <c r="I1282" s="1"/>
      <c r="J1282" s="1"/>
    </row>
    <row r="1283" spans="9:10" x14ac:dyDescent="0.25">
      <c r="I1283" s="1"/>
      <c r="J1283" s="1"/>
    </row>
    <row r="1284" spans="9:10" x14ac:dyDescent="0.25">
      <c r="I1284" s="1"/>
      <c r="J1284" s="1"/>
    </row>
    <row r="1285" spans="9:10" x14ac:dyDescent="0.25">
      <c r="I1285" s="1"/>
      <c r="J1285" s="1"/>
    </row>
    <row r="1286" spans="9:10" x14ac:dyDescent="0.25">
      <c r="I1286" s="1"/>
      <c r="J1286" s="1"/>
    </row>
    <row r="1287" spans="9:10" x14ac:dyDescent="0.25">
      <c r="I1287" s="1"/>
      <c r="J1287" s="1"/>
    </row>
    <row r="1288" spans="9:10" x14ac:dyDescent="0.25">
      <c r="I1288" s="1"/>
      <c r="J1288" s="1"/>
    </row>
    <row r="1289" spans="9:10" x14ac:dyDescent="0.25">
      <c r="I1289" s="1"/>
      <c r="J1289" s="1"/>
    </row>
    <row r="1290" spans="9:10" x14ac:dyDescent="0.25">
      <c r="I1290" s="1"/>
      <c r="J1290" s="1"/>
    </row>
    <row r="1291" spans="9:10" x14ac:dyDescent="0.25">
      <c r="I1291" s="1"/>
      <c r="J1291" s="1"/>
    </row>
    <row r="1292" spans="9:10" x14ac:dyDescent="0.25">
      <c r="I1292" s="1"/>
      <c r="J1292" s="1"/>
    </row>
    <row r="1293" spans="9:10" x14ac:dyDescent="0.25">
      <c r="I1293" s="1"/>
      <c r="J1293" s="1"/>
    </row>
    <row r="1294" spans="9:10" x14ac:dyDescent="0.25">
      <c r="I1294" s="1"/>
      <c r="J1294" s="1"/>
    </row>
    <row r="1295" spans="9:10" x14ac:dyDescent="0.25">
      <c r="I1295" s="1"/>
      <c r="J1295" s="1"/>
    </row>
    <row r="1296" spans="9:10" x14ac:dyDescent="0.25">
      <c r="I1296" s="1"/>
      <c r="J1296" s="1"/>
    </row>
    <row r="1297" spans="9:10" x14ac:dyDescent="0.25">
      <c r="I1297" s="1"/>
      <c r="J1297" s="1"/>
    </row>
    <row r="1298" spans="9:10" x14ac:dyDescent="0.25">
      <c r="I1298" s="1"/>
      <c r="J1298" s="1"/>
    </row>
    <row r="1299" spans="9:10" x14ac:dyDescent="0.25">
      <c r="I1299" s="1"/>
      <c r="J1299" s="1"/>
    </row>
    <row r="1300" spans="9:10" x14ac:dyDescent="0.25">
      <c r="I1300" s="1"/>
      <c r="J1300" s="1"/>
    </row>
    <row r="1301" spans="9:10" x14ac:dyDescent="0.25">
      <c r="I1301" s="1"/>
      <c r="J1301" s="1"/>
    </row>
    <row r="1302" spans="9:10" x14ac:dyDescent="0.25">
      <c r="I1302" s="1"/>
      <c r="J1302" s="1"/>
    </row>
    <row r="1303" spans="9:10" x14ac:dyDescent="0.25">
      <c r="I1303" s="1"/>
      <c r="J1303" s="1"/>
    </row>
    <row r="1304" spans="9:10" x14ac:dyDescent="0.25">
      <c r="I1304" s="1"/>
      <c r="J1304" s="1"/>
    </row>
    <row r="1305" spans="9:10" x14ac:dyDescent="0.25">
      <c r="I1305" s="1"/>
      <c r="J1305" s="1"/>
    </row>
    <row r="1306" spans="9:10" x14ac:dyDescent="0.25">
      <c r="I1306" s="1"/>
      <c r="J1306" s="1"/>
    </row>
    <row r="1307" spans="9:10" x14ac:dyDescent="0.25">
      <c r="I1307" s="1"/>
      <c r="J1307" s="1"/>
    </row>
    <row r="1308" spans="9:10" x14ac:dyDescent="0.25">
      <c r="I1308" s="1"/>
      <c r="J1308" s="1"/>
    </row>
    <row r="1309" spans="9:10" x14ac:dyDescent="0.25">
      <c r="I1309" s="1"/>
      <c r="J1309" s="1"/>
    </row>
    <row r="1310" spans="9:10" x14ac:dyDescent="0.25">
      <c r="I1310" s="1"/>
      <c r="J1310" s="1"/>
    </row>
    <row r="1311" spans="9:10" x14ac:dyDescent="0.25">
      <c r="I1311" s="1"/>
      <c r="J1311" s="1"/>
    </row>
    <row r="1312" spans="9:10" x14ac:dyDescent="0.25">
      <c r="I1312" s="1"/>
      <c r="J1312" s="1"/>
    </row>
    <row r="1313" spans="9:10" x14ac:dyDescent="0.25">
      <c r="I1313" s="1"/>
      <c r="J1313" s="1"/>
    </row>
    <row r="1314" spans="9:10" x14ac:dyDescent="0.25">
      <c r="I1314" s="1"/>
      <c r="J1314" s="1"/>
    </row>
    <row r="1315" spans="9:10" x14ac:dyDescent="0.25">
      <c r="I1315" s="1"/>
      <c r="J1315" s="1"/>
    </row>
    <row r="1316" spans="9:10" x14ac:dyDescent="0.25">
      <c r="I1316" s="1"/>
      <c r="J1316" s="1"/>
    </row>
    <row r="1317" spans="9:10" x14ac:dyDescent="0.25">
      <c r="I1317" s="1"/>
      <c r="J1317" s="1"/>
    </row>
    <row r="1318" spans="9:10" x14ac:dyDescent="0.25">
      <c r="I1318" s="1"/>
      <c r="J1318" s="1"/>
    </row>
    <row r="1319" spans="9:10" x14ac:dyDescent="0.25">
      <c r="I1319" s="1"/>
      <c r="J1319" s="1"/>
    </row>
    <row r="1320" spans="9:10" x14ac:dyDescent="0.25">
      <c r="I1320" s="1"/>
      <c r="J1320" s="1"/>
    </row>
    <row r="1321" spans="9:10" x14ac:dyDescent="0.25">
      <c r="I1321" s="1"/>
      <c r="J1321" s="1"/>
    </row>
    <row r="1322" spans="9:10" x14ac:dyDescent="0.25">
      <c r="I1322" s="1"/>
      <c r="J1322" s="1"/>
    </row>
    <row r="1323" spans="9:10" x14ac:dyDescent="0.25">
      <c r="I1323" s="1"/>
      <c r="J1323" s="1"/>
    </row>
    <row r="1324" spans="9:10" x14ac:dyDescent="0.25">
      <c r="I1324" s="1"/>
      <c r="J1324" s="1"/>
    </row>
    <row r="1325" spans="9:10" x14ac:dyDescent="0.25">
      <c r="I1325" s="1"/>
      <c r="J1325" s="1"/>
    </row>
    <row r="1326" spans="9:10" x14ac:dyDescent="0.25">
      <c r="I1326" s="1"/>
      <c r="J1326" s="1"/>
    </row>
    <row r="1327" spans="9:10" x14ac:dyDescent="0.25">
      <c r="I1327" s="1"/>
      <c r="J1327" s="1"/>
    </row>
    <row r="1328" spans="9:10" x14ac:dyDescent="0.25">
      <c r="I1328" s="1"/>
      <c r="J1328" s="1"/>
    </row>
    <row r="1329" spans="9:10" x14ac:dyDescent="0.25">
      <c r="I1329" s="1"/>
      <c r="J1329" s="1"/>
    </row>
    <row r="1330" spans="9:10" x14ac:dyDescent="0.25">
      <c r="I1330" s="1"/>
      <c r="J1330" s="1"/>
    </row>
    <row r="1331" spans="9:10" x14ac:dyDescent="0.25">
      <c r="I1331" s="1"/>
      <c r="J1331" s="1"/>
    </row>
    <row r="1332" spans="9:10" x14ac:dyDescent="0.25">
      <c r="I1332" s="1"/>
      <c r="J1332" s="1"/>
    </row>
    <row r="1333" spans="9:10" x14ac:dyDescent="0.25">
      <c r="I1333" s="1"/>
      <c r="J1333" s="1"/>
    </row>
    <row r="1334" spans="9:10" x14ac:dyDescent="0.25">
      <c r="I1334" s="1"/>
      <c r="J1334" s="1"/>
    </row>
    <row r="1335" spans="9:10" x14ac:dyDescent="0.25">
      <c r="I1335" s="1"/>
      <c r="J1335" s="1"/>
    </row>
    <row r="1336" spans="9:10" x14ac:dyDescent="0.25">
      <c r="I1336" s="1"/>
      <c r="J1336" s="1"/>
    </row>
    <row r="1337" spans="9:10" x14ac:dyDescent="0.25">
      <c r="I1337" s="1"/>
      <c r="J1337" s="1"/>
    </row>
    <row r="1338" spans="9:10" x14ac:dyDescent="0.25">
      <c r="I1338" s="1"/>
      <c r="J1338" s="1"/>
    </row>
    <row r="1339" spans="9:10" x14ac:dyDescent="0.25">
      <c r="I1339" s="1"/>
      <c r="J1339" s="1"/>
    </row>
    <row r="1340" spans="9:10" x14ac:dyDescent="0.25">
      <c r="I1340" s="1"/>
      <c r="J1340" s="1"/>
    </row>
    <row r="1341" spans="9:10" x14ac:dyDescent="0.25">
      <c r="I1341" s="1"/>
      <c r="J1341" s="1"/>
    </row>
    <row r="1342" spans="9:10" x14ac:dyDescent="0.25">
      <c r="I1342" s="1"/>
      <c r="J1342" s="1"/>
    </row>
    <row r="1343" spans="9:10" x14ac:dyDescent="0.25">
      <c r="I1343" s="1"/>
      <c r="J1343" s="1"/>
    </row>
    <row r="1344" spans="9:10" x14ac:dyDescent="0.25">
      <c r="I1344" s="1"/>
      <c r="J1344" s="1"/>
    </row>
    <row r="1345" spans="9:10" x14ac:dyDescent="0.25">
      <c r="I1345" s="1"/>
      <c r="J1345" s="1"/>
    </row>
    <row r="1346" spans="9:10" x14ac:dyDescent="0.25">
      <c r="I1346" s="1"/>
      <c r="J1346" s="1"/>
    </row>
    <row r="1347" spans="9:10" x14ac:dyDescent="0.25">
      <c r="I1347" s="1"/>
      <c r="J1347" s="1"/>
    </row>
    <row r="1348" spans="9:10" x14ac:dyDescent="0.25">
      <c r="I1348" s="1"/>
      <c r="J1348" s="1"/>
    </row>
    <row r="1349" spans="9:10" x14ac:dyDescent="0.25">
      <c r="I1349" s="1"/>
      <c r="J1349" s="1"/>
    </row>
    <row r="1350" spans="9:10" x14ac:dyDescent="0.25">
      <c r="I1350" s="1"/>
      <c r="J1350" s="1"/>
    </row>
    <row r="1351" spans="9:10" x14ac:dyDescent="0.25">
      <c r="I1351" s="1"/>
      <c r="J1351" s="1"/>
    </row>
    <row r="1352" spans="9:10" x14ac:dyDescent="0.25">
      <c r="I1352" s="1"/>
      <c r="J1352" s="1"/>
    </row>
    <row r="1353" spans="9:10" x14ac:dyDescent="0.25">
      <c r="I1353" s="1"/>
      <c r="J1353" s="1"/>
    </row>
    <row r="1354" spans="9:10" x14ac:dyDescent="0.25">
      <c r="I1354" s="1"/>
      <c r="J1354" s="1"/>
    </row>
    <row r="1355" spans="9:10" x14ac:dyDescent="0.25">
      <c r="I1355" s="1"/>
      <c r="J1355" s="1"/>
    </row>
    <row r="1356" spans="9:10" x14ac:dyDescent="0.25">
      <c r="I1356" s="1"/>
      <c r="J1356" s="1"/>
    </row>
    <row r="1357" spans="9:10" x14ac:dyDescent="0.25">
      <c r="I1357" s="1"/>
      <c r="J1357" s="1"/>
    </row>
    <row r="1358" spans="9:10" x14ac:dyDescent="0.25">
      <c r="I1358" s="1"/>
      <c r="J1358" s="1"/>
    </row>
    <row r="1359" spans="9:10" x14ac:dyDescent="0.25">
      <c r="I1359" s="1"/>
      <c r="J1359" s="1"/>
    </row>
    <row r="1360" spans="9:10" x14ac:dyDescent="0.25">
      <c r="I1360" s="1"/>
      <c r="J1360" s="1"/>
    </row>
    <row r="1361" spans="9:10" x14ac:dyDescent="0.25">
      <c r="I1361" s="1"/>
      <c r="J1361" s="1"/>
    </row>
    <row r="1362" spans="9:10" x14ac:dyDescent="0.25">
      <c r="I1362" s="1"/>
      <c r="J1362" s="1"/>
    </row>
    <row r="1363" spans="9:10" x14ac:dyDescent="0.25">
      <c r="I1363" s="1"/>
      <c r="J1363" s="1"/>
    </row>
    <row r="1364" spans="9:10" x14ac:dyDescent="0.25">
      <c r="I1364" s="1"/>
      <c r="J1364" s="1"/>
    </row>
    <row r="1365" spans="9:10" x14ac:dyDescent="0.25">
      <c r="I1365" s="1"/>
      <c r="J1365" s="1"/>
    </row>
    <row r="1366" spans="9:10" x14ac:dyDescent="0.25">
      <c r="I1366" s="1"/>
      <c r="J1366" s="1"/>
    </row>
    <row r="1367" spans="9:10" x14ac:dyDescent="0.25">
      <c r="I1367" s="1"/>
      <c r="J1367" s="1"/>
    </row>
    <row r="1368" spans="9:10" x14ac:dyDescent="0.25">
      <c r="I1368" s="1"/>
      <c r="J1368" s="1"/>
    </row>
    <row r="1369" spans="9:10" x14ac:dyDescent="0.25">
      <c r="I1369" s="1"/>
      <c r="J1369" s="1"/>
    </row>
    <row r="1370" spans="9:10" x14ac:dyDescent="0.25">
      <c r="I1370" s="1"/>
      <c r="J1370" s="1"/>
    </row>
    <row r="1371" spans="9:10" x14ac:dyDescent="0.25">
      <c r="I1371" s="1"/>
      <c r="J1371" s="1"/>
    </row>
    <row r="1372" spans="9:10" x14ac:dyDescent="0.25">
      <c r="I1372" s="1"/>
      <c r="J1372" s="1"/>
    </row>
    <row r="1373" spans="9:10" x14ac:dyDescent="0.25">
      <c r="I1373" s="1"/>
      <c r="J1373" s="1"/>
    </row>
    <row r="1374" spans="9:10" x14ac:dyDescent="0.25">
      <c r="I1374" s="1"/>
      <c r="J1374" s="1"/>
    </row>
    <row r="1375" spans="9:10" x14ac:dyDescent="0.25">
      <c r="I1375" s="1"/>
      <c r="J1375" s="1"/>
    </row>
    <row r="1376" spans="9:10" x14ac:dyDescent="0.25">
      <c r="I1376" s="1"/>
      <c r="J1376" s="1"/>
    </row>
    <row r="1377" spans="9:10" x14ac:dyDescent="0.25">
      <c r="I1377" s="1"/>
      <c r="J1377" s="1"/>
    </row>
    <row r="1378" spans="9:10" x14ac:dyDescent="0.25">
      <c r="I1378" s="1"/>
      <c r="J1378" s="1"/>
    </row>
    <row r="1379" spans="9:10" x14ac:dyDescent="0.25">
      <c r="I1379" s="1"/>
      <c r="J1379" s="1"/>
    </row>
    <row r="1380" spans="9:10" x14ac:dyDescent="0.25">
      <c r="I1380" s="1"/>
      <c r="J1380" s="1"/>
    </row>
    <row r="1381" spans="9:10" x14ac:dyDescent="0.25">
      <c r="I1381" s="1"/>
      <c r="J1381" s="1"/>
    </row>
    <row r="1382" spans="9:10" x14ac:dyDescent="0.25">
      <c r="I1382" s="1"/>
      <c r="J1382" s="1"/>
    </row>
    <row r="1383" spans="9:10" x14ac:dyDescent="0.25">
      <c r="I1383" s="1"/>
      <c r="J1383" s="1"/>
    </row>
    <row r="1384" spans="9:10" x14ac:dyDescent="0.25">
      <c r="I1384" s="1"/>
      <c r="J1384" s="1"/>
    </row>
    <row r="1385" spans="9:10" x14ac:dyDescent="0.25">
      <c r="I1385" s="1"/>
      <c r="J1385" s="1"/>
    </row>
    <row r="1386" spans="9:10" x14ac:dyDescent="0.25">
      <c r="I1386" s="1"/>
      <c r="J1386" s="1"/>
    </row>
    <row r="1387" spans="9:10" x14ac:dyDescent="0.25">
      <c r="I1387" s="1"/>
      <c r="J1387" s="1"/>
    </row>
    <row r="1388" spans="9:10" x14ac:dyDescent="0.25">
      <c r="I1388" s="1"/>
      <c r="J1388" s="1"/>
    </row>
    <row r="1389" spans="9:10" x14ac:dyDescent="0.25">
      <c r="I1389" s="1"/>
      <c r="J1389" s="1"/>
    </row>
    <row r="1390" spans="9:10" x14ac:dyDescent="0.25">
      <c r="I1390" s="1"/>
      <c r="J1390" s="1"/>
    </row>
    <row r="1391" spans="9:10" x14ac:dyDescent="0.25">
      <c r="I1391" s="1"/>
      <c r="J1391" s="1"/>
    </row>
    <row r="1392" spans="9:10" x14ac:dyDescent="0.25">
      <c r="I1392" s="1"/>
      <c r="J1392" s="1"/>
    </row>
    <row r="1393" spans="9:10" x14ac:dyDescent="0.25">
      <c r="I1393" s="1"/>
      <c r="J1393" s="1"/>
    </row>
    <row r="1394" spans="9:10" x14ac:dyDescent="0.25">
      <c r="I1394" s="1"/>
      <c r="J1394" s="1"/>
    </row>
    <row r="1395" spans="9:10" x14ac:dyDescent="0.25">
      <c r="I1395" s="1"/>
      <c r="J1395" s="1"/>
    </row>
    <row r="1396" spans="9:10" x14ac:dyDescent="0.25">
      <c r="I1396" s="1"/>
      <c r="J1396" s="1"/>
    </row>
    <row r="1397" spans="9:10" x14ac:dyDescent="0.25">
      <c r="I1397" s="1"/>
      <c r="J1397" s="1"/>
    </row>
    <row r="1398" spans="9:10" x14ac:dyDescent="0.25">
      <c r="I1398" s="1"/>
      <c r="J1398" s="1"/>
    </row>
    <row r="1399" spans="9:10" x14ac:dyDescent="0.25">
      <c r="I1399" s="1"/>
      <c r="J1399" s="1"/>
    </row>
    <row r="1400" spans="9:10" x14ac:dyDescent="0.25">
      <c r="I1400" s="1"/>
      <c r="J1400" s="1"/>
    </row>
    <row r="1401" spans="9:10" x14ac:dyDescent="0.25">
      <c r="I1401" s="1"/>
      <c r="J1401" s="1"/>
    </row>
    <row r="1402" spans="9:10" x14ac:dyDescent="0.25">
      <c r="I1402" s="1"/>
      <c r="J1402" s="1"/>
    </row>
    <row r="1403" spans="9:10" x14ac:dyDescent="0.25">
      <c r="I1403" s="1"/>
      <c r="J1403" s="1"/>
    </row>
    <row r="1404" spans="9:10" x14ac:dyDescent="0.25">
      <c r="I1404" s="1"/>
      <c r="J1404" s="1"/>
    </row>
    <row r="1405" spans="9:10" x14ac:dyDescent="0.25">
      <c r="I1405" s="1"/>
      <c r="J1405" s="1"/>
    </row>
    <row r="1406" spans="9:10" x14ac:dyDescent="0.25">
      <c r="I1406" s="1"/>
      <c r="J1406" s="1"/>
    </row>
    <row r="1407" spans="9:10" x14ac:dyDescent="0.25">
      <c r="I1407" s="1"/>
      <c r="J1407" s="1"/>
    </row>
    <row r="1408" spans="9:10" x14ac:dyDescent="0.25">
      <c r="I1408" s="1"/>
      <c r="J1408" s="1"/>
    </row>
    <row r="1409" spans="9:10" x14ac:dyDescent="0.25">
      <c r="I1409" s="1"/>
      <c r="J1409" s="1"/>
    </row>
    <row r="1410" spans="9:10" x14ac:dyDescent="0.25">
      <c r="I1410" s="1"/>
      <c r="J1410" s="1"/>
    </row>
    <row r="1411" spans="9:10" x14ac:dyDescent="0.25">
      <c r="I1411" s="1"/>
      <c r="J1411" s="1"/>
    </row>
    <row r="1412" spans="9:10" x14ac:dyDescent="0.25">
      <c r="I1412" s="1"/>
      <c r="J1412" s="1"/>
    </row>
    <row r="1413" spans="9:10" x14ac:dyDescent="0.25">
      <c r="I1413" s="1"/>
      <c r="J1413" s="1"/>
    </row>
    <row r="1414" spans="9:10" x14ac:dyDescent="0.25">
      <c r="I1414" s="1"/>
      <c r="J1414" s="1"/>
    </row>
    <row r="1415" spans="9:10" x14ac:dyDescent="0.25">
      <c r="I1415" s="1"/>
      <c r="J1415" s="1"/>
    </row>
    <row r="1416" spans="9:10" x14ac:dyDescent="0.25">
      <c r="I1416" s="1"/>
      <c r="J1416" s="1"/>
    </row>
    <row r="1417" spans="9:10" x14ac:dyDescent="0.25">
      <c r="I1417" s="1"/>
      <c r="J1417" s="1"/>
    </row>
    <row r="1418" spans="9:10" x14ac:dyDescent="0.25">
      <c r="I1418" s="1"/>
      <c r="J1418" s="1"/>
    </row>
    <row r="1419" spans="9:10" x14ac:dyDescent="0.25">
      <c r="I1419" s="1"/>
      <c r="J1419" s="1"/>
    </row>
    <row r="1420" spans="9:10" x14ac:dyDescent="0.25">
      <c r="I1420" s="1"/>
      <c r="J1420" s="1"/>
    </row>
    <row r="1421" spans="9:10" x14ac:dyDescent="0.25">
      <c r="I1421" s="1"/>
      <c r="J1421" s="1"/>
    </row>
    <row r="1422" spans="9:10" x14ac:dyDescent="0.25">
      <c r="I1422" s="1"/>
      <c r="J1422" s="1"/>
    </row>
    <row r="1423" spans="9:10" x14ac:dyDescent="0.25">
      <c r="I1423" s="1"/>
      <c r="J1423" s="1"/>
    </row>
    <row r="1424" spans="9:10" x14ac:dyDescent="0.25">
      <c r="I1424" s="1"/>
      <c r="J1424" s="1"/>
    </row>
    <row r="1425" spans="9:10" x14ac:dyDescent="0.25">
      <c r="I1425" s="1"/>
      <c r="J1425" s="1"/>
    </row>
    <row r="1426" spans="9:10" x14ac:dyDescent="0.25">
      <c r="I1426" s="1"/>
      <c r="J1426" s="1"/>
    </row>
    <row r="1427" spans="9:10" x14ac:dyDescent="0.25">
      <c r="I1427" s="1"/>
      <c r="J1427" s="1"/>
    </row>
    <row r="1428" spans="9:10" x14ac:dyDescent="0.25">
      <c r="I1428" s="1"/>
      <c r="J1428" s="1"/>
    </row>
    <row r="1429" spans="9:10" x14ac:dyDescent="0.25">
      <c r="I1429" s="1"/>
      <c r="J1429" s="1"/>
    </row>
    <row r="1430" spans="9:10" x14ac:dyDescent="0.25">
      <c r="I1430" s="1"/>
      <c r="J1430" s="1"/>
    </row>
    <row r="1431" spans="9:10" x14ac:dyDescent="0.25">
      <c r="I1431" s="1"/>
      <c r="J1431" s="1"/>
    </row>
    <row r="1432" spans="9:10" x14ac:dyDescent="0.25">
      <c r="I1432" s="1"/>
      <c r="J1432" s="1"/>
    </row>
    <row r="1433" spans="9:10" x14ac:dyDescent="0.25">
      <c r="I1433" s="1"/>
      <c r="J1433" s="1"/>
    </row>
    <row r="1434" spans="9:10" x14ac:dyDescent="0.25">
      <c r="I1434" s="1"/>
      <c r="J1434" s="1"/>
    </row>
    <row r="1435" spans="9:10" x14ac:dyDescent="0.25">
      <c r="I1435" s="1"/>
      <c r="J1435" s="1"/>
    </row>
    <row r="1436" spans="9:10" x14ac:dyDescent="0.25">
      <c r="I1436" s="1"/>
      <c r="J1436" s="1"/>
    </row>
    <row r="1437" spans="9:10" x14ac:dyDescent="0.25">
      <c r="I1437" s="1"/>
      <c r="J1437" s="1"/>
    </row>
    <row r="1438" spans="9:10" x14ac:dyDescent="0.25">
      <c r="I1438" s="1"/>
      <c r="J1438" s="1"/>
    </row>
    <row r="1439" spans="9:10" x14ac:dyDescent="0.25">
      <c r="I1439" s="1"/>
      <c r="J1439" s="1"/>
    </row>
    <row r="1440" spans="9:10" x14ac:dyDescent="0.25">
      <c r="I1440" s="1"/>
      <c r="J1440" s="1"/>
    </row>
    <row r="1441" spans="9:10" x14ac:dyDescent="0.25">
      <c r="I1441" s="1"/>
      <c r="J1441" s="1"/>
    </row>
    <row r="1442" spans="9:10" x14ac:dyDescent="0.25">
      <c r="I1442" s="1"/>
      <c r="J1442" s="1"/>
    </row>
    <row r="1443" spans="9:10" x14ac:dyDescent="0.25">
      <c r="I1443" s="1"/>
      <c r="J1443" s="1"/>
    </row>
    <row r="1444" spans="9:10" x14ac:dyDescent="0.25">
      <c r="I1444" s="1"/>
      <c r="J1444" s="1"/>
    </row>
    <row r="1445" spans="9:10" x14ac:dyDescent="0.25">
      <c r="I1445" s="1"/>
      <c r="J1445" s="1"/>
    </row>
    <row r="1446" spans="9:10" x14ac:dyDescent="0.25">
      <c r="I1446" s="1"/>
      <c r="J1446" s="1"/>
    </row>
    <row r="1447" spans="9:10" x14ac:dyDescent="0.25">
      <c r="I1447" s="1"/>
      <c r="J1447" s="1"/>
    </row>
    <row r="1448" spans="9:10" x14ac:dyDescent="0.25">
      <c r="I1448" s="1"/>
      <c r="J1448" s="1"/>
    </row>
    <row r="1449" spans="9:10" x14ac:dyDescent="0.25">
      <c r="I1449" s="1"/>
      <c r="J1449" s="1"/>
    </row>
    <row r="1450" spans="9:10" x14ac:dyDescent="0.25">
      <c r="I1450" s="1"/>
      <c r="J1450" s="1"/>
    </row>
    <row r="1451" spans="9:10" x14ac:dyDescent="0.25">
      <c r="I1451" s="1"/>
      <c r="J1451" s="1"/>
    </row>
    <row r="1452" spans="9:10" x14ac:dyDescent="0.25">
      <c r="I1452" s="1"/>
      <c r="J1452" s="1"/>
    </row>
    <row r="1453" spans="9:10" x14ac:dyDescent="0.25">
      <c r="I1453" s="1"/>
      <c r="J1453" s="1"/>
    </row>
    <row r="1454" spans="9:10" x14ac:dyDescent="0.25">
      <c r="I1454" s="1"/>
      <c r="J1454" s="1"/>
    </row>
    <row r="1455" spans="9:10" x14ac:dyDescent="0.25">
      <c r="I1455" s="1"/>
      <c r="J1455" s="1"/>
    </row>
    <row r="1456" spans="9:10" x14ac:dyDescent="0.25">
      <c r="I1456" s="1"/>
      <c r="J1456" s="1"/>
    </row>
    <row r="1457" spans="9:11" x14ac:dyDescent="0.25">
      <c r="I1457" s="1"/>
      <c r="J1457" s="1"/>
    </row>
    <row r="1458" spans="9:11" x14ac:dyDescent="0.25">
      <c r="I1458" s="1"/>
      <c r="J1458" s="1"/>
    </row>
    <row r="1459" spans="9:11" x14ac:dyDescent="0.25">
      <c r="I1459" s="1"/>
      <c r="J1459" s="1"/>
    </row>
    <row r="1460" spans="9:11" x14ac:dyDescent="0.25">
      <c r="I1460" s="1"/>
      <c r="J1460" s="1"/>
    </row>
    <row r="1461" spans="9:11" x14ac:dyDescent="0.25">
      <c r="I1461" s="1"/>
      <c r="J1461" s="1"/>
    </row>
    <row r="1462" spans="9:11" x14ac:dyDescent="0.25">
      <c r="I1462" s="1"/>
      <c r="J1462" s="1"/>
    </row>
    <row r="1463" spans="9:11" x14ac:dyDescent="0.25">
      <c r="I1463" s="1"/>
      <c r="J1463" s="1"/>
    </row>
    <row r="1464" spans="9:11" x14ac:dyDescent="0.25">
      <c r="I1464" s="1"/>
      <c r="J1464" s="1"/>
    </row>
    <row r="1465" spans="9:11" x14ac:dyDescent="0.25">
      <c r="I1465" s="1"/>
      <c r="J1465" s="1"/>
    </row>
    <row r="1466" spans="9:11" x14ac:dyDescent="0.25">
      <c r="I1466" s="1"/>
      <c r="J1466" s="1"/>
    </row>
    <row r="1467" spans="9:11" x14ac:dyDescent="0.25">
      <c r="I1467" s="1"/>
      <c r="J1467" s="1"/>
    </row>
    <row r="1468" spans="9:11" x14ac:dyDescent="0.25">
      <c r="I1468" s="1"/>
      <c r="J1468" s="1"/>
    </row>
    <row r="1469" spans="9:11" x14ac:dyDescent="0.25">
      <c r="I1469" s="1"/>
      <c r="J1469" s="1"/>
    </row>
    <row r="1470" spans="9:11" x14ac:dyDescent="0.25">
      <c r="I1470" s="1"/>
      <c r="J1470" s="1"/>
    </row>
    <row r="1471" spans="9:11" x14ac:dyDescent="0.25">
      <c r="I1471" s="1"/>
      <c r="J1471" s="1"/>
      <c r="K1471" s="1"/>
    </row>
    <row r="1472" spans="9:11" x14ac:dyDescent="0.25">
      <c r="I1472" s="1"/>
      <c r="J1472" s="1"/>
      <c r="K1472" s="1"/>
    </row>
    <row r="1473" spans="9:11" x14ac:dyDescent="0.25">
      <c r="I1473" s="1"/>
      <c r="J1473" s="1"/>
    </row>
    <row r="1474" spans="9:11" x14ac:dyDescent="0.25">
      <c r="I1474" s="1"/>
      <c r="J1474" s="1"/>
    </row>
    <row r="1475" spans="9:11" x14ac:dyDescent="0.25">
      <c r="I1475" s="1"/>
      <c r="J1475" s="1"/>
    </row>
    <row r="1476" spans="9:11" x14ac:dyDescent="0.25">
      <c r="I1476" s="1"/>
      <c r="J1476" s="1"/>
    </row>
    <row r="1477" spans="9:11" x14ac:dyDescent="0.25">
      <c r="I1477" s="1"/>
      <c r="J1477" s="1"/>
    </row>
    <row r="1478" spans="9:11" x14ac:dyDescent="0.25">
      <c r="I1478" s="1"/>
      <c r="J1478" s="1"/>
    </row>
    <row r="1479" spans="9:11" x14ac:dyDescent="0.25">
      <c r="I1479" s="1"/>
      <c r="J1479" s="1"/>
      <c r="K1479" s="1"/>
    </row>
    <row r="1480" spans="9:11" x14ac:dyDescent="0.25">
      <c r="I1480" s="1"/>
      <c r="J1480" s="1"/>
    </row>
    <row r="1481" spans="9:11" x14ac:dyDescent="0.25">
      <c r="I1481" s="1"/>
      <c r="J1481" s="1"/>
    </row>
    <row r="1482" spans="9:11" x14ac:dyDescent="0.25">
      <c r="I1482" s="1"/>
      <c r="J1482" s="1"/>
    </row>
    <row r="1483" spans="9:11" x14ac:dyDescent="0.25">
      <c r="I1483" s="1"/>
      <c r="J1483" s="1"/>
    </row>
    <row r="1484" spans="9:11" x14ac:dyDescent="0.25">
      <c r="I1484" s="1"/>
      <c r="J1484" s="1"/>
    </row>
    <row r="1485" spans="9:11" x14ac:dyDescent="0.25">
      <c r="I1485" s="1"/>
      <c r="J1485" s="1"/>
    </row>
    <row r="1486" spans="9:11" x14ac:dyDescent="0.25">
      <c r="I1486" s="1"/>
      <c r="J1486" s="1"/>
      <c r="K1486" s="1"/>
    </row>
    <row r="1487" spans="9:11" x14ac:dyDescent="0.25">
      <c r="I1487" s="1"/>
      <c r="J1487" s="1"/>
    </row>
    <row r="1488" spans="9:11" x14ac:dyDescent="0.25">
      <c r="I1488" s="1"/>
      <c r="J1488" s="1"/>
    </row>
    <row r="1489" spans="9:11" x14ac:dyDescent="0.25">
      <c r="I1489" s="1"/>
      <c r="J1489" s="1"/>
      <c r="K1489" s="1"/>
    </row>
    <row r="1490" spans="9:11" x14ac:dyDescent="0.25">
      <c r="I1490" s="1"/>
      <c r="J1490" s="1"/>
      <c r="K1490" s="1"/>
    </row>
    <row r="1491" spans="9:11" x14ac:dyDescent="0.25">
      <c r="I1491" s="1"/>
      <c r="J1491" s="1"/>
      <c r="K1491" s="1"/>
    </row>
    <row r="1492" spans="9:11" x14ac:dyDescent="0.25">
      <c r="I1492" s="1"/>
      <c r="J1492" s="1"/>
      <c r="K1492" s="1"/>
    </row>
    <row r="1493" spans="9:11" x14ac:dyDescent="0.25">
      <c r="I1493" s="1"/>
      <c r="J1493" s="1"/>
      <c r="K1493" s="1"/>
    </row>
    <row r="1494" spans="9:11" x14ac:dyDescent="0.25">
      <c r="I1494" s="1"/>
      <c r="J1494" s="1"/>
      <c r="K1494" s="1"/>
    </row>
    <row r="1495" spans="9:11" x14ac:dyDescent="0.25">
      <c r="I1495" s="1"/>
      <c r="J1495" s="1"/>
      <c r="K1495" s="1"/>
    </row>
    <row r="1496" spans="9:11" x14ac:dyDescent="0.25">
      <c r="I1496" s="1"/>
      <c r="J1496" s="1"/>
      <c r="K1496" s="1"/>
    </row>
    <row r="1497" spans="9:11" x14ac:dyDescent="0.25">
      <c r="I1497" s="1"/>
      <c r="J1497" s="1"/>
      <c r="K1497" s="1"/>
    </row>
    <row r="1498" spans="9:11" x14ac:dyDescent="0.25">
      <c r="I1498" s="1"/>
      <c r="J1498" s="1"/>
      <c r="K1498" s="1"/>
    </row>
    <row r="1499" spans="9:11" x14ac:dyDescent="0.25">
      <c r="I1499" s="1"/>
      <c r="J1499" s="1"/>
      <c r="K1499" s="1"/>
    </row>
    <row r="1500" spans="9:11" x14ac:dyDescent="0.25">
      <c r="I1500" s="1"/>
      <c r="J1500" s="1"/>
    </row>
    <row r="1501" spans="9:11" x14ac:dyDescent="0.25">
      <c r="I1501" s="1"/>
      <c r="J1501" s="1"/>
    </row>
    <row r="1502" spans="9:11" x14ac:dyDescent="0.25">
      <c r="I1502" s="1"/>
      <c r="J1502" s="1"/>
    </row>
    <row r="1503" spans="9:11" x14ac:dyDescent="0.25">
      <c r="I1503" s="1"/>
      <c r="J1503" s="1"/>
    </row>
    <row r="1504" spans="9:11" x14ac:dyDescent="0.25">
      <c r="I1504" s="1"/>
      <c r="J1504" s="1"/>
      <c r="K1504" s="1"/>
    </row>
    <row r="1505" spans="9:11" x14ac:dyDescent="0.25">
      <c r="I1505" s="1"/>
      <c r="J1505" s="1"/>
      <c r="K1505" s="1"/>
    </row>
    <row r="1506" spans="9:11" x14ac:dyDescent="0.25">
      <c r="I1506" s="1"/>
      <c r="J1506" s="1"/>
    </row>
    <row r="1507" spans="9:11" x14ac:dyDescent="0.25">
      <c r="I1507" s="1"/>
      <c r="J1507" s="1"/>
      <c r="K1507" s="1"/>
    </row>
    <row r="1508" spans="9:11" x14ac:dyDescent="0.25">
      <c r="I1508" s="1"/>
      <c r="J1508" s="1"/>
    </row>
    <row r="1509" spans="9:11" x14ac:dyDescent="0.25">
      <c r="I1509" s="1"/>
      <c r="J1509" s="1"/>
    </row>
    <row r="1510" spans="9:11" x14ac:dyDescent="0.25">
      <c r="I1510" s="1"/>
      <c r="J1510" s="1"/>
    </row>
    <row r="1511" spans="9:11" x14ac:dyDescent="0.25">
      <c r="I1511" s="1"/>
      <c r="J1511" s="1"/>
    </row>
    <row r="1512" spans="9:11" x14ac:dyDescent="0.25">
      <c r="I1512" s="1"/>
      <c r="J1512" s="1"/>
    </row>
  </sheetData>
  <sortState xmlns:xlrd2="http://schemas.microsoft.com/office/spreadsheetml/2017/richdata2" ref="A2:AD268">
    <sortCondition ref="Q2:Q2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2026-07-03T08:23:13Z</dcterms:created>
  <dcterms:modified xsi:type="dcterms:W3CDTF">2026-07-06T14:34:19Z</dcterms:modified>
</cp:coreProperties>
</file>